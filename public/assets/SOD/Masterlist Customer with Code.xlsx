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ll in One System\public\assets\SOD\"/>
    </mc:Choice>
  </mc:AlternateContent>
  <xr:revisionPtr revIDLastSave="0" documentId="8_{F0192203-A508-4AA4-9252-5E777A386C46}" xr6:coauthVersionLast="47" xr6:coauthVersionMax="47" xr10:uidLastSave="{00000000-0000-0000-0000-000000000000}"/>
  <bookViews>
    <workbookView xWindow="-108" yWindow="-108" windowWidth="23256" windowHeight="12456" xr2:uid="{AA22B436-1EA9-4742-AE13-43504971556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480" i="1" l="1"/>
  <c r="AB2480" i="1"/>
  <c r="Z2480" i="1"/>
  <c r="W2480" i="1"/>
  <c r="V2480" i="1"/>
  <c r="U2480" i="1"/>
  <c r="I2480" i="1"/>
  <c r="E2480" i="1"/>
  <c r="D2480" i="1"/>
  <c r="C2480" i="1"/>
  <c r="B2480" i="1"/>
  <c r="AC2479" i="1"/>
  <c r="AB2479" i="1"/>
  <c r="Z2479" i="1"/>
  <c r="W2479" i="1"/>
  <c r="V2479" i="1"/>
  <c r="U2479" i="1"/>
  <c r="I2479" i="1"/>
  <c r="E2479" i="1"/>
  <c r="D2479" i="1"/>
  <c r="C2479" i="1"/>
  <c r="B2479" i="1"/>
  <c r="AC2478" i="1"/>
  <c r="AB2478" i="1"/>
  <c r="Z2478" i="1"/>
  <c r="W2478" i="1"/>
  <c r="V2478" i="1"/>
  <c r="U2478" i="1"/>
  <c r="I2478" i="1"/>
  <c r="E2478" i="1"/>
  <c r="D2478" i="1"/>
  <c r="C2478" i="1"/>
  <c r="B2478" i="1"/>
  <c r="AC2477" i="1"/>
  <c r="AB2477" i="1"/>
  <c r="Z2477" i="1"/>
  <c r="W2477" i="1"/>
  <c r="V2477" i="1"/>
  <c r="U2477" i="1"/>
  <c r="I2477" i="1"/>
  <c r="E2477" i="1"/>
  <c r="D2477" i="1"/>
  <c r="C2477" i="1"/>
  <c r="B2477" i="1"/>
  <c r="AC2476" i="1"/>
  <c r="AB2476" i="1"/>
  <c r="Z2476" i="1"/>
  <c r="W2476" i="1"/>
  <c r="V2476" i="1"/>
  <c r="U2476" i="1"/>
  <c r="I2476" i="1"/>
  <c r="E2476" i="1"/>
  <c r="D2476" i="1"/>
  <c r="C2476" i="1"/>
  <c r="B2476" i="1"/>
  <c r="AC2475" i="1"/>
  <c r="AB2475" i="1"/>
  <c r="Z2475" i="1"/>
  <c r="W2475" i="1"/>
  <c r="V2475" i="1"/>
  <c r="U2475" i="1"/>
  <c r="I2475" i="1"/>
  <c r="E2475" i="1"/>
  <c r="D2475" i="1"/>
  <c r="C2475" i="1"/>
  <c r="B2475" i="1"/>
  <c r="AC2474" i="1"/>
  <c r="AB2474" i="1"/>
  <c r="Z2474" i="1"/>
  <c r="W2474" i="1"/>
  <c r="V2474" i="1"/>
  <c r="U2474" i="1"/>
  <c r="I2474" i="1"/>
  <c r="E2474" i="1"/>
  <c r="D2474" i="1"/>
  <c r="C2474" i="1"/>
  <c r="B2474" i="1"/>
  <c r="AC2473" i="1"/>
  <c r="AB2473" i="1"/>
  <c r="Z2473" i="1"/>
  <c r="W2473" i="1"/>
  <c r="V2473" i="1"/>
  <c r="U2473" i="1"/>
  <c r="I2473" i="1"/>
  <c r="E2473" i="1"/>
  <c r="D2473" i="1"/>
  <c r="C2473" i="1"/>
  <c r="B2473" i="1"/>
  <c r="AC2472" i="1"/>
  <c r="AB2472" i="1"/>
  <c r="Z2472" i="1"/>
  <c r="W2472" i="1"/>
  <c r="V2472" i="1"/>
  <c r="U2472" i="1"/>
  <c r="I2472" i="1"/>
  <c r="E2472" i="1"/>
  <c r="D2472" i="1"/>
  <c r="C2472" i="1"/>
  <c r="B2472" i="1"/>
  <c r="AC2471" i="1"/>
  <c r="AB2471" i="1"/>
  <c r="Z2471" i="1"/>
  <c r="W2471" i="1"/>
  <c r="V2471" i="1"/>
  <c r="U2471" i="1"/>
  <c r="I2471" i="1"/>
  <c r="E2471" i="1"/>
  <c r="D2471" i="1"/>
  <c r="C2471" i="1"/>
  <c r="B2471" i="1"/>
  <c r="AC2470" i="1"/>
  <c r="AB2470" i="1"/>
  <c r="Z2470" i="1"/>
  <c r="W2470" i="1"/>
  <c r="V2470" i="1"/>
  <c r="U2470" i="1"/>
  <c r="I2470" i="1"/>
  <c r="E2470" i="1"/>
  <c r="D2470" i="1"/>
  <c r="C2470" i="1"/>
  <c r="B2470" i="1"/>
  <c r="AC2469" i="1"/>
  <c r="AB2469" i="1"/>
  <c r="Z2469" i="1"/>
  <c r="W2469" i="1"/>
  <c r="V2469" i="1"/>
  <c r="U2469" i="1"/>
  <c r="I2469" i="1"/>
  <c r="E2469" i="1"/>
  <c r="D2469" i="1"/>
  <c r="C2469" i="1"/>
  <c r="B2469" i="1"/>
  <c r="AC2468" i="1"/>
  <c r="AB2468" i="1"/>
  <c r="Z2468" i="1"/>
  <c r="W2468" i="1"/>
  <c r="V2468" i="1"/>
  <c r="U2468" i="1"/>
  <c r="I2468" i="1"/>
  <c r="E2468" i="1"/>
  <c r="D2468" i="1"/>
  <c r="C2468" i="1"/>
  <c r="B2468" i="1"/>
  <c r="AC2467" i="1"/>
  <c r="AB2467" i="1"/>
  <c r="Z2467" i="1"/>
  <c r="W2467" i="1"/>
  <c r="V2467" i="1"/>
  <c r="U2467" i="1"/>
  <c r="I2467" i="1"/>
  <c r="E2467" i="1"/>
  <c r="D2467" i="1"/>
  <c r="C2467" i="1"/>
  <c r="B2467" i="1"/>
  <c r="AC2466" i="1"/>
  <c r="AB2466" i="1"/>
  <c r="Z2466" i="1"/>
  <c r="W2466" i="1"/>
  <c r="V2466" i="1"/>
  <c r="U2466" i="1"/>
  <c r="I2466" i="1"/>
  <c r="E2466" i="1"/>
  <c r="D2466" i="1"/>
  <c r="C2466" i="1"/>
  <c r="B2466" i="1"/>
  <c r="AC2465" i="1"/>
  <c r="AB2465" i="1"/>
  <c r="Z2465" i="1"/>
  <c r="W2465" i="1"/>
  <c r="V2465" i="1"/>
  <c r="U2465" i="1"/>
  <c r="I2465" i="1"/>
  <c r="E2465" i="1"/>
  <c r="D2465" i="1"/>
  <c r="C2465" i="1"/>
  <c r="B2465" i="1"/>
  <c r="AC2464" i="1"/>
  <c r="AB2464" i="1"/>
  <c r="Z2464" i="1"/>
  <c r="W2464" i="1"/>
  <c r="V2464" i="1"/>
  <c r="U2464" i="1"/>
  <c r="I2464" i="1"/>
  <c r="E2464" i="1"/>
  <c r="D2464" i="1"/>
  <c r="C2464" i="1"/>
  <c r="B2464" i="1"/>
  <c r="AC2463" i="1"/>
  <c r="AB2463" i="1"/>
  <c r="Z2463" i="1"/>
  <c r="W2463" i="1"/>
  <c r="V2463" i="1"/>
  <c r="U2463" i="1"/>
  <c r="I2463" i="1"/>
  <c r="E2463" i="1"/>
  <c r="D2463" i="1"/>
  <c r="C2463" i="1"/>
  <c r="B2463" i="1"/>
  <c r="AC2462" i="1"/>
  <c r="AB2462" i="1"/>
  <c r="Z2462" i="1"/>
  <c r="W2462" i="1"/>
  <c r="V2462" i="1"/>
  <c r="U2462" i="1"/>
  <c r="I2462" i="1"/>
  <c r="E2462" i="1"/>
  <c r="D2462" i="1"/>
  <c r="C2462" i="1"/>
  <c r="B2462" i="1"/>
  <c r="AC2461" i="1"/>
  <c r="AB2461" i="1"/>
  <c r="Z2461" i="1"/>
  <c r="W2461" i="1"/>
  <c r="V2461" i="1"/>
  <c r="U2461" i="1"/>
  <c r="I2461" i="1"/>
  <c r="E2461" i="1"/>
  <c r="D2461" i="1"/>
  <c r="C2461" i="1"/>
  <c r="B2461" i="1"/>
  <c r="AC2460" i="1"/>
  <c r="AB2460" i="1"/>
  <c r="Z2460" i="1"/>
  <c r="W2460" i="1"/>
  <c r="V2460" i="1"/>
  <c r="U2460" i="1"/>
  <c r="I2460" i="1"/>
  <c r="E2460" i="1"/>
  <c r="D2460" i="1"/>
  <c r="C2460" i="1"/>
  <c r="B2460" i="1"/>
  <c r="AC2459" i="1"/>
  <c r="AB2459" i="1"/>
  <c r="Z2459" i="1"/>
  <c r="W2459" i="1"/>
  <c r="V2459" i="1"/>
  <c r="U2459" i="1"/>
  <c r="I2459" i="1"/>
  <c r="E2459" i="1"/>
  <c r="D2459" i="1"/>
  <c r="C2459" i="1"/>
  <c r="B2459" i="1"/>
  <c r="AC2458" i="1"/>
  <c r="AB2458" i="1"/>
  <c r="Z2458" i="1"/>
  <c r="W2458" i="1"/>
  <c r="V2458" i="1"/>
  <c r="U2458" i="1"/>
  <c r="I2458" i="1"/>
  <c r="E2458" i="1"/>
  <c r="D2458" i="1"/>
  <c r="C2458" i="1"/>
  <c r="B2458" i="1"/>
  <c r="AC2457" i="1"/>
  <c r="AB2457" i="1"/>
  <c r="Z2457" i="1"/>
  <c r="W2457" i="1"/>
  <c r="V2457" i="1"/>
  <c r="U2457" i="1"/>
  <c r="I2457" i="1"/>
  <c r="E2457" i="1"/>
  <c r="D2457" i="1"/>
  <c r="C2457" i="1"/>
  <c r="B2457" i="1"/>
  <c r="AC2456" i="1"/>
  <c r="AB2456" i="1"/>
  <c r="Z2456" i="1"/>
  <c r="W2456" i="1"/>
  <c r="V2456" i="1"/>
  <c r="U2456" i="1"/>
  <c r="I2456" i="1"/>
  <c r="E2456" i="1"/>
  <c r="D2456" i="1"/>
  <c r="C2456" i="1"/>
  <c r="B2456" i="1"/>
  <c r="AC2455" i="1"/>
  <c r="AB2455" i="1"/>
  <c r="Z2455" i="1"/>
  <c r="W2455" i="1"/>
  <c r="V2455" i="1"/>
  <c r="U2455" i="1"/>
  <c r="I2455" i="1"/>
  <c r="E2455" i="1"/>
  <c r="D2455" i="1"/>
  <c r="C2455" i="1"/>
  <c r="B2455" i="1"/>
  <c r="AC2454" i="1"/>
  <c r="AB2454" i="1"/>
  <c r="Z2454" i="1"/>
  <c r="W2454" i="1"/>
  <c r="V2454" i="1"/>
  <c r="U2454" i="1"/>
  <c r="I2454" i="1"/>
  <c r="E2454" i="1"/>
  <c r="D2454" i="1"/>
  <c r="C2454" i="1"/>
  <c r="B2454" i="1"/>
  <c r="AC2453" i="1"/>
  <c r="AB2453" i="1"/>
  <c r="Z2453" i="1"/>
  <c r="W2453" i="1"/>
  <c r="V2453" i="1"/>
  <c r="U2453" i="1"/>
  <c r="I2453" i="1"/>
  <c r="E2453" i="1"/>
  <c r="D2453" i="1"/>
  <c r="C2453" i="1"/>
  <c r="B2453" i="1"/>
  <c r="AC2452" i="1"/>
  <c r="AB2452" i="1"/>
  <c r="Z2452" i="1"/>
  <c r="W2452" i="1"/>
  <c r="V2452" i="1"/>
  <c r="U2452" i="1"/>
  <c r="I2452" i="1"/>
  <c r="E2452" i="1"/>
  <c r="D2452" i="1"/>
  <c r="C2452" i="1"/>
  <c r="B2452" i="1"/>
  <c r="AC2451" i="1"/>
  <c r="AB2451" i="1"/>
  <c r="Z2451" i="1"/>
  <c r="W2451" i="1"/>
  <c r="V2451" i="1"/>
  <c r="U2451" i="1"/>
  <c r="I2451" i="1"/>
  <c r="E2451" i="1"/>
  <c r="D2451" i="1"/>
  <c r="C2451" i="1"/>
  <c r="B2451" i="1"/>
  <c r="AC2450" i="1"/>
  <c r="AB2450" i="1"/>
  <c r="Z2450" i="1"/>
  <c r="W2450" i="1"/>
  <c r="V2450" i="1"/>
  <c r="U2450" i="1"/>
  <c r="I2450" i="1"/>
  <c r="E2450" i="1"/>
  <c r="D2450" i="1"/>
  <c r="C2450" i="1"/>
  <c r="B2450" i="1"/>
  <c r="AC2449" i="1"/>
  <c r="AB2449" i="1"/>
  <c r="Z2449" i="1"/>
  <c r="W2449" i="1"/>
  <c r="V2449" i="1"/>
  <c r="U2449" i="1"/>
  <c r="I2449" i="1"/>
  <c r="E2449" i="1"/>
  <c r="D2449" i="1"/>
  <c r="C2449" i="1"/>
  <c r="B2449" i="1"/>
  <c r="AC2448" i="1"/>
  <c r="AB2448" i="1"/>
  <c r="Z2448" i="1"/>
  <c r="W2448" i="1"/>
  <c r="V2448" i="1"/>
  <c r="U2448" i="1"/>
  <c r="I2448" i="1"/>
  <c r="E2448" i="1"/>
  <c r="D2448" i="1"/>
  <c r="C2448" i="1"/>
  <c r="B2448" i="1"/>
  <c r="AC2447" i="1"/>
  <c r="AB2447" i="1"/>
  <c r="Z2447" i="1"/>
  <c r="W2447" i="1"/>
  <c r="V2447" i="1"/>
  <c r="U2447" i="1"/>
  <c r="I2447" i="1"/>
  <c r="E2447" i="1"/>
  <c r="D2447" i="1"/>
  <c r="C2447" i="1"/>
  <c r="B2447" i="1"/>
  <c r="AC2446" i="1"/>
  <c r="AB2446" i="1"/>
  <c r="Z2446" i="1"/>
  <c r="W2446" i="1"/>
  <c r="V2446" i="1"/>
  <c r="U2446" i="1"/>
  <c r="I2446" i="1"/>
  <c r="E2446" i="1"/>
  <c r="D2446" i="1"/>
  <c r="C2446" i="1"/>
  <c r="B2446" i="1"/>
  <c r="AC2445" i="1"/>
  <c r="AB2445" i="1"/>
  <c r="Z2445" i="1"/>
  <c r="W2445" i="1"/>
  <c r="V2445" i="1"/>
  <c r="U2445" i="1"/>
  <c r="I2445" i="1"/>
  <c r="E2445" i="1"/>
  <c r="D2445" i="1"/>
  <c r="C2445" i="1"/>
  <c r="B2445" i="1"/>
  <c r="AC2444" i="1"/>
  <c r="AB2444" i="1"/>
  <c r="Z2444" i="1"/>
  <c r="W2444" i="1"/>
  <c r="V2444" i="1"/>
  <c r="U2444" i="1"/>
  <c r="I2444" i="1"/>
  <c r="E2444" i="1"/>
  <c r="D2444" i="1"/>
  <c r="C2444" i="1"/>
  <c r="B2444" i="1"/>
  <c r="AC2443" i="1"/>
  <c r="AB2443" i="1"/>
  <c r="Z2443" i="1"/>
  <c r="W2443" i="1"/>
  <c r="V2443" i="1"/>
  <c r="U2443" i="1"/>
  <c r="I2443" i="1"/>
  <c r="E2443" i="1"/>
  <c r="D2443" i="1"/>
  <c r="C2443" i="1"/>
  <c r="B2443" i="1"/>
  <c r="AC2442" i="1"/>
  <c r="AB2442" i="1"/>
  <c r="Z2442" i="1"/>
  <c r="W2442" i="1"/>
  <c r="V2442" i="1"/>
  <c r="U2442" i="1"/>
  <c r="I2442" i="1"/>
  <c r="E2442" i="1"/>
  <c r="D2442" i="1"/>
  <c r="C2442" i="1"/>
  <c r="B2442" i="1"/>
  <c r="AC2441" i="1"/>
  <c r="AB2441" i="1"/>
  <c r="Z2441" i="1"/>
  <c r="W2441" i="1"/>
  <c r="V2441" i="1"/>
  <c r="U2441" i="1"/>
  <c r="I2441" i="1"/>
  <c r="E2441" i="1"/>
  <c r="D2441" i="1"/>
  <c r="C2441" i="1"/>
  <c r="B2441" i="1"/>
  <c r="AC2440" i="1"/>
  <c r="AB2440" i="1"/>
  <c r="Z2440" i="1"/>
  <c r="W2440" i="1"/>
  <c r="V2440" i="1"/>
  <c r="U2440" i="1"/>
  <c r="I2440" i="1"/>
  <c r="E2440" i="1"/>
  <c r="D2440" i="1"/>
  <c r="C2440" i="1"/>
  <c r="B2440" i="1"/>
  <c r="AC2439" i="1"/>
  <c r="AB2439" i="1"/>
  <c r="Z2439" i="1"/>
  <c r="W2439" i="1"/>
  <c r="V2439" i="1"/>
  <c r="U2439" i="1"/>
  <c r="I2439" i="1"/>
  <c r="E2439" i="1"/>
  <c r="D2439" i="1"/>
  <c r="C2439" i="1"/>
  <c r="B2439" i="1"/>
  <c r="AC2438" i="1"/>
  <c r="AB2438" i="1"/>
  <c r="Z2438" i="1"/>
  <c r="W2438" i="1"/>
  <c r="V2438" i="1"/>
  <c r="U2438" i="1"/>
  <c r="I2438" i="1"/>
  <c r="E2438" i="1"/>
  <c r="D2438" i="1"/>
  <c r="C2438" i="1"/>
  <c r="B2438" i="1"/>
  <c r="AC2437" i="1"/>
  <c r="AB2437" i="1"/>
  <c r="Z2437" i="1"/>
  <c r="W2437" i="1"/>
  <c r="V2437" i="1"/>
  <c r="U2437" i="1"/>
  <c r="I2437" i="1"/>
  <c r="E2437" i="1"/>
  <c r="D2437" i="1"/>
  <c r="C2437" i="1"/>
  <c r="B2437" i="1"/>
  <c r="AC2436" i="1"/>
  <c r="AB2436" i="1"/>
  <c r="Z2436" i="1"/>
  <c r="W2436" i="1"/>
  <c r="V2436" i="1"/>
  <c r="U2436" i="1"/>
  <c r="I2436" i="1"/>
  <c r="E2436" i="1"/>
  <c r="D2436" i="1"/>
  <c r="C2436" i="1"/>
  <c r="B2436" i="1"/>
  <c r="AC2435" i="1"/>
  <c r="AB2435" i="1"/>
  <c r="Z2435" i="1"/>
  <c r="W2435" i="1"/>
  <c r="V2435" i="1"/>
  <c r="U2435" i="1"/>
  <c r="I2435" i="1"/>
  <c r="E2435" i="1"/>
  <c r="D2435" i="1"/>
  <c r="C2435" i="1"/>
  <c r="B2435" i="1"/>
  <c r="AC2434" i="1"/>
  <c r="AB2434" i="1"/>
  <c r="Z2434" i="1"/>
  <c r="W2434" i="1"/>
  <c r="V2434" i="1"/>
  <c r="U2434" i="1"/>
  <c r="I2434" i="1"/>
  <c r="E2434" i="1"/>
  <c r="D2434" i="1"/>
  <c r="C2434" i="1"/>
  <c r="B2434" i="1"/>
  <c r="AC2433" i="1"/>
  <c r="AB2433" i="1"/>
  <c r="Z2433" i="1"/>
  <c r="W2433" i="1"/>
  <c r="V2433" i="1"/>
  <c r="U2433" i="1"/>
  <c r="I2433" i="1"/>
  <c r="E2433" i="1"/>
  <c r="D2433" i="1"/>
  <c r="C2433" i="1"/>
  <c r="B2433" i="1"/>
  <c r="AC2432" i="1"/>
  <c r="AB2432" i="1"/>
  <c r="Z2432" i="1"/>
  <c r="W2432" i="1"/>
  <c r="V2432" i="1"/>
  <c r="U2432" i="1"/>
  <c r="I2432" i="1"/>
  <c r="E2432" i="1"/>
  <c r="D2432" i="1"/>
  <c r="C2432" i="1"/>
  <c r="B2432" i="1"/>
  <c r="AC2431" i="1"/>
  <c r="AB2431" i="1"/>
  <c r="Z2431" i="1"/>
  <c r="W2431" i="1"/>
  <c r="V2431" i="1"/>
  <c r="U2431" i="1"/>
  <c r="I2431" i="1"/>
  <c r="E2431" i="1"/>
  <c r="D2431" i="1"/>
  <c r="C2431" i="1"/>
  <c r="B2431" i="1"/>
  <c r="AC2430" i="1"/>
  <c r="AB2430" i="1"/>
  <c r="Z2430" i="1"/>
  <c r="W2430" i="1"/>
  <c r="V2430" i="1"/>
  <c r="U2430" i="1"/>
  <c r="I2430" i="1"/>
  <c r="E2430" i="1"/>
  <c r="D2430" i="1"/>
  <c r="C2430" i="1"/>
  <c r="B2430" i="1"/>
  <c r="AC2429" i="1"/>
  <c r="AB2429" i="1"/>
  <c r="Z2429" i="1"/>
  <c r="W2429" i="1"/>
  <c r="V2429" i="1"/>
  <c r="U2429" i="1"/>
  <c r="I2429" i="1"/>
  <c r="E2429" i="1"/>
  <c r="D2429" i="1"/>
  <c r="C2429" i="1"/>
  <c r="B2429" i="1"/>
  <c r="AC2428" i="1"/>
  <c r="AB2428" i="1"/>
  <c r="Z2428" i="1"/>
  <c r="W2428" i="1"/>
  <c r="V2428" i="1"/>
  <c r="U2428" i="1"/>
  <c r="I2428" i="1"/>
  <c r="E2428" i="1"/>
  <c r="D2428" i="1"/>
  <c r="C2428" i="1"/>
  <c r="B2428" i="1"/>
  <c r="AC2427" i="1"/>
  <c r="AB2427" i="1"/>
  <c r="Z2427" i="1"/>
  <c r="W2427" i="1"/>
  <c r="V2427" i="1"/>
  <c r="U2427" i="1"/>
  <c r="I2427" i="1"/>
  <c r="E2427" i="1"/>
  <c r="D2427" i="1"/>
  <c r="C2427" i="1"/>
  <c r="B2427" i="1"/>
  <c r="AC2426" i="1"/>
  <c r="AB2426" i="1"/>
  <c r="Z2426" i="1"/>
  <c r="W2426" i="1"/>
  <c r="V2426" i="1"/>
  <c r="U2426" i="1"/>
  <c r="I2426" i="1"/>
  <c r="E2426" i="1"/>
  <c r="D2426" i="1"/>
  <c r="C2426" i="1"/>
  <c r="B2426" i="1"/>
  <c r="AC2425" i="1"/>
  <c r="AB2425" i="1"/>
  <c r="Z2425" i="1"/>
  <c r="W2425" i="1"/>
  <c r="V2425" i="1"/>
  <c r="U2425" i="1"/>
  <c r="I2425" i="1"/>
  <c r="E2425" i="1"/>
  <c r="D2425" i="1"/>
  <c r="C2425" i="1"/>
  <c r="B2425" i="1"/>
  <c r="AC2424" i="1"/>
  <c r="AB2424" i="1"/>
  <c r="Z2424" i="1"/>
  <c r="W2424" i="1"/>
  <c r="V2424" i="1"/>
  <c r="U2424" i="1"/>
  <c r="I2424" i="1"/>
  <c r="E2424" i="1"/>
  <c r="D2424" i="1"/>
  <c r="C2424" i="1"/>
  <c r="B2424" i="1"/>
  <c r="AC2423" i="1"/>
  <c r="AB2423" i="1"/>
  <c r="Z2423" i="1"/>
  <c r="W2423" i="1"/>
  <c r="V2423" i="1"/>
  <c r="U2423" i="1"/>
  <c r="I2423" i="1"/>
  <c r="E2423" i="1"/>
  <c r="D2423" i="1"/>
  <c r="C2423" i="1"/>
  <c r="B2423" i="1"/>
  <c r="AC2422" i="1"/>
  <c r="AB2422" i="1"/>
  <c r="Z2422" i="1"/>
  <c r="W2422" i="1"/>
  <c r="V2422" i="1"/>
  <c r="U2422" i="1"/>
  <c r="I2422" i="1"/>
  <c r="E2422" i="1"/>
  <c r="D2422" i="1"/>
  <c r="C2422" i="1"/>
  <c r="B2422" i="1"/>
  <c r="AC2421" i="1"/>
  <c r="AB2421" i="1"/>
  <c r="Z2421" i="1"/>
  <c r="W2421" i="1"/>
  <c r="V2421" i="1"/>
  <c r="U2421" i="1"/>
  <c r="I2421" i="1"/>
  <c r="E2421" i="1"/>
  <c r="D2421" i="1"/>
  <c r="C2421" i="1"/>
  <c r="B2421" i="1"/>
  <c r="AC2420" i="1"/>
  <c r="AB2420" i="1"/>
  <c r="Z2420" i="1"/>
  <c r="W2420" i="1"/>
  <c r="V2420" i="1"/>
  <c r="U2420" i="1"/>
  <c r="I2420" i="1"/>
  <c r="E2420" i="1"/>
  <c r="D2420" i="1"/>
  <c r="C2420" i="1"/>
  <c r="B2420" i="1"/>
  <c r="AC2419" i="1"/>
  <c r="AB2419" i="1"/>
  <c r="Z2419" i="1"/>
  <c r="W2419" i="1"/>
  <c r="V2419" i="1"/>
  <c r="U2419" i="1"/>
  <c r="I2419" i="1"/>
  <c r="E2419" i="1"/>
  <c r="D2419" i="1"/>
  <c r="C2419" i="1"/>
  <c r="B2419" i="1"/>
  <c r="AC2418" i="1"/>
  <c r="AB2418" i="1"/>
  <c r="Z2418" i="1"/>
  <c r="W2418" i="1"/>
  <c r="V2418" i="1"/>
  <c r="U2418" i="1"/>
  <c r="I2418" i="1"/>
  <c r="E2418" i="1"/>
  <c r="D2418" i="1"/>
  <c r="C2418" i="1"/>
  <c r="B2418" i="1"/>
  <c r="AC2417" i="1"/>
  <c r="AB2417" i="1"/>
  <c r="Z2417" i="1"/>
  <c r="W2417" i="1"/>
  <c r="V2417" i="1"/>
  <c r="U2417" i="1"/>
  <c r="I2417" i="1"/>
  <c r="E2417" i="1"/>
  <c r="D2417" i="1"/>
  <c r="C2417" i="1"/>
  <c r="B2417" i="1"/>
  <c r="AC2416" i="1"/>
  <c r="AB2416" i="1"/>
  <c r="Z2416" i="1"/>
  <c r="W2416" i="1"/>
  <c r="V2416" i="1"/>
  <c r="U2416" i="1"/>
  <c r="I2416" i="1"/>
  <c r="E2416" i="1"/>
  <c r="D2416" i="1"/>
  <c r="C2416" i="1"/>
  <c r="B2416" i="1"/>
  <c r="AC2415" i="1"/>
  <c r="AB2415" i="1"/>
  <c r="Z2415" i="1"/>
  <c r="W2415" i="1"/>
  <c r="V2415" i="1"/>
  <c r="U2415" i="1"/>
  <c r="I2415" i="1"/>
  <c r="E2415" i="1"/>
  <c r="D2415" i="1"/>
  <c r="C2415" i="1"/>
  <c r="B2415" i="1"/>
  <c r="AC2414" i="1"/>
  <c r="AB2414" i="1"/>
  <c r="Z2414" i="1"/>
  <c r="W2414" i="1"/>
  <c r="V2414" i="1"/>
  <c r="U2414" i="1"/>
  <c r="I2414" i="1"/>
  <c r="E2414" i="1"/>
  <c r="D2414" i="1"/>
  <c r="C2414" i="1"/>
  <c r="B2414" i="1"/>
  <c r="AC2413" i="1"/>
  <c r="AB2413" i="1"/>
  <c r="Z2413" i="1"/>
  <c r="W2413" i="1"/>
  <c r="V2413" i="1"/>
  <c r="U2413" i="1"/>
  <c r="I2413" i="1"/>
  <c r="E2413" i="1"/>
  <c r="D2413" i="1"/>
  <c r="C2413" i="1"/>
  <c r="B2413" i="1"/>
  <c r="AC2412" i="1"/>
  <c r="AB2412" i="1"/>
  <c r="Z2412" i="1"/>
  <c r="W2412" i="1"/>
  <c r="V2412" i="1"/>
  <c r="U2412" i="1"/>
  <c r="I2412" i="1"/>
  <c r="E2412" i="1"/>
  <c r="D2412" i="1"/>
  <c r="C2412" i="1"/>
  <c r="B2412" i="1"/>
  <c r="AC2411" i="1"/>
  <c r="AB2411" i="1"/>
  <c r="Z2411" i="1"/>
  <c r="W2411" i="1"/>
  <c r="V2411" i="1"/>
  <c r="U2411" i="1"/>
  <c r="I2411" i="1"/>
  <c r="E2411" i="1"/>
  <c r="D2411" i="1"/>
  <c r="C2411" i="1"/>
  <c r="B2411" i="1"/>
  <c r="AC2410" i="1"/>
  <c r="AB2410" i="1"/>
  <c r="Z2410" i="1"/>
  <c r="W2410" i="1"/>
  <c r="V2410" i="1"/>
  <c r="U2410" i="1"/>
  <c r="I2410" i="1"/>
  <c r="E2410" i="1"/>
  <c r="D2410" i="1"/>
  <c r="C2410" i="1"/>
  <c r="B2410" i="1"/>
  <c r="AC2409" i="1"/>
  <c r="AB2409" i="1"/>
  <c r="Z2409" i="1"/>
  <c r="W2409" i="1"/>
  <c r="V2409" i="1"/>
  <c r="U2409" i="1"/>
  <c r="I2409" i="1"/>
  <c r="E2409" i="1"/>
  <c r="D2409" i="1"/>
  <c r="C2409" i="1"/>
  <c r="B2409" i="1"/>
  <c r="AC2408" i="1"/>
  <c r="AB2408" i="1"/>
  <c r="Z2408" i="1"/>
  <c r="W2408" i="1"/>
  <c r="V2408" i="1"/>
  <c r="U2408" i="1"/>
  <c r="I2408" i="1"/>
  <c r="E2408" i="1"/>
  <c r="D2408" i="1"/>
  <c r="C2408" i="1"/>
  <c r="B2408" i="1"/>
  <c r="AC2407" i="1"/>
  <c r="AB2407" i="1"/>
  <c r="Z2407" i="1"/>
  <c r="W2407" i="1"/>
  <c r="V2407" i="1"/>
  <c r="U2407" i="1"/>
  <c r="I2407" i="1"/>
  <c r="E2407" i="1"/>
  <c r="D2407" i="1"/>
  <c r="C2407" i="1"/>
  <c r="B2407" i="1"/>
  <c r="AC2406" i="1"/>
  <c r="AB2406" i="1"/>
  <c r="Z2406" i="1"/>
  <c r="W2406" i="1"/>
  <c r="V2406" i="1"/>
  <c r="U2406" i="1"/>
  <c r="I2406" i="1"/>
  <c r="E2406" i="1"/>
  <c r="D2406" i="1"/>
  <c r="C2406" i="1"/>
  <c r="B2406" i="1"/>
  <c r="AC2405" i="1"/>
  <c r="AB2405" i="1"/>
  <c r="Z2405" i="1"/>
  <c r="W2405" i="1"/>
  <c r="V2405" i="1"/>
  <c r="U2405" i="1"/>
  <c r="I2405" i="1"/>
  <c r="E2405" i="1"/>
  <c r="D2405" i="1"/>
  <c r="C2405" i="1"/>
  <c r="B2405" i="1"/>
  <c r="AC2404" i="1"/>
  <c r="AB2404" i="1"/>
  <c r="Z2404" i="1"/>
  <c r="W2404" i="1"/>
  <c r="V2404" i="1"/>
  <c r="U2404" i="1"/>
  <c r="I2404" i="1"/>
  <c r="E2404" i="1"/>
  <c r="D2404" i="1"/>
  <c r="C2404" i="1"/>
  <c r="B2404" i="1"/>
  <c r="AC2403" i="1"/>
  <c r="AB2403" i="1"/>
  <c r="Z2403" i="1"/>
  <c r="W2403" i="1"/>
  <c r="V2403" i="1"/>
  <c r="U2403" i="1"/>
  <c r="I2403" i="1"/>
  <c r="E2403" i="1"/>
  <c r="D2403" i="1"/>
  <c r="C2403" i="1"/>
  <c r="B2403" i="1"/>
  <c r="AC2402" i="1"/>
  <c r="AB2402" i="1"/>
  <c r="Z2402" i="1"/>
  <c r="W2402" i="1"/>
  <c r="V2402" i="1"/>
  <c r="U2402" i="1"/>
  <c r="I2402" i="1"/>
  <c r="E2402" i="1"/>
  <c r="D2402" i="1"/>
  <c r="C2402" i="1"/>
  <c r="B2402" i="1"/>
  <c r="AC2401" i="1"/>
  <c r="AB2401" i="1"/>
  <c r="Z2401" i="1"/>
  <c r="W2401" i="1"/>
  <c r="V2401" i="1"/>
  <c r="U2401" i="1"/>
  <c r="I2401" i="1"/>
  <c r="E2401" i="1"/>
  <c r="D2401" i="1"/>
  <c r="C2401" i="1"/>
  <c r="B2401" i="1"/>
  <c r="AC2400" i="1"/>
  <c r="AB2400" i="1"/>
  <c r="Z2400" i="1"/>
  <c r="W2400" i="1"/>
  <c r="V2400" i="1"/>
  <c r="U2400" i="1"/>
  <c r="I2400" i="1"/>
  <c r="E2400" i="1"/>
  <c r="D2400" i="1"/>
  <c r="C2400" i="1"/>
  <c r="B2400" i="1"/>
  <c r="AC2399" i="1"/>
  <c r="AB2399" i="1"/>
  <c r="Z2399" i="1"/>
  <c r="W2399" i="1"/>
  <c r="V2399" i="1"/>
  <c r="U2399" i="1"/>
  <c r="I2399" i="1"/>
  <c r="E2399" i="1"/>
  <c r="D2399" i="1"/>
  <c r="B2399" i="1"/>
  <c r="AC2398" i="1"/>
  <c r="AB2398" i="1"/>
  <c r="Z2398" i="1"/>
  <c r="W2398" i="1"/>
  <c r="V2398" i="1"/>
  <c r="U2398" i="1"/>
  <c r="I2398" i="1"/>
  <c r="E2398" i="1"/>
  <c r="D2398" i="1"/>
  <c r="C2398" i="1"/>
  <c r="B2398" i="1"/>
  <c r="AC2397" i="1"/>
  <c r="AB2397" i="1"/>
  <c r="Z2397" i="1"/>
  <c r="W2397" i="1"/>
  <c r="V2397" i="1"/>
  <c r="U2397" i="1"/>
  <c r="I2397" i="1"/>
  <c r="E2397" i="1"/>
  <c r="D2397" i="1"/>
  <c r="C2397" i="1"/>
  <c r="B2397" i="1"/>
  <c r="AC2396" i="1"/>
  <c r="AB2396" i="1"/>
  <c r="Z2396" i="1"/>
  <c r="W2396" i="1"/>
  <c r="V2396" i="1"/>
  <c r="U2396" i="1"/>
  <c r="I2396" i="1"/>
  <c r="E2396" i="1"/>
  <c r="D2396" i="1"/>
  <c r="C2396" i="1"/>
  <c r="B2396" i="1"/>
  <c r="AC2395" i="1"/>
  <c r="AB2395" i="1"/>
  <c r="Z2395" i="1"/>
  <c r="W2395" i="1"/>
  <c r="V2395" i="1"/>
  <c r="U2395" i="1"/>
  <c r="I2395" i="1"/>
  <c r="E2395" i="1"/>
  <c r="D2395" i="1"/>
  <c r="C2395" i="1"/>
  <c r="B2395" i="1"/>
  <c r="AC2394" i="1"/>
  <c r="AB2394" i="1"/>
  <c r="Z2394" i="1"/>
  <c r="W2394" i="1"/>
  <c r="V2394" i="1"/>
  <c r="U2394" i="1"/>
  <c r="I2394" i="1"/>
  <c r="E2394" i="1"/>
  <c r="D2394" i="1"/>
  <c r="C2394" i="1"/>
  <c r="B2394" i="1"/>
  <c r="AC2393" i="1"/>
  <c r="AB2393" i="1"/>
  <c r="Z2393" i="1"/>
  <c r="W2393" i="1"/>
  <c r="V2393" i="1"/>
  <c r="U2393" i="1"/>
  <c r="I2393" i="1"/>
  <c r="E2393" i="1"/>
  <c r="D2393" i="1"/>
  <c r="C2393" i="1"/>
  <c r="B2393" i="1"/>
  <c r="AC2392" i="1"/>
  <c r="AB2392" i="1"/>
  <c r="Z2392" i="1"/>
  <c r="W2392" i="1"/>
  <c r="V2392" i="1"/>
  <c r="U2392" i="1"/>
  <c r="I2392" i="1"/>
  <c r="E2392" i="1"/>
  <c r="D2392" i="1"/>
  <c r="C2392" i="1"/>
  <c r="B2392" i="1"/>
  <c r="AC2391" i="1"/>
  <c r="AB2391" i="1"/>
  <c r="Z2391" i="1"/>
  <c r="W2391" i="1"/>
  <c r="V2391" i="1"/>
  <c r="U2391" i="1"/>
  <c r="I2391" i="1"/>
  <c r="E2391" i="1"/>
  <c r="D2391" i="1"/>
  <c r="C2391" i="1"/>
  <c r="B2391" i="1"/>
  <c r="AC2390" i="1"/>
  <c r="AB2390" i="1"/>
  <c r="Z2390" i="1"/>
  <c r="W2390" i="1"/>
  <c r="V2390" i="1"/>
  <c r="U2390" i="1"/>
  <c r="I2390" i="1"/>
  <c r="E2390" i="1"/>
  <c r="D2390" i="1"/>
  <c r="C2390" i="1"/>
  <c r="B2390" i="1"/>
  <c r="AC2389" i="1"/>
  <c r="AB2389" i="1"/>
  <c r="Z2389" i="1"/>
  <c r="W2389" i="1"/>
  <c r="V2389" i="1"/>
  <c r="U2389" i="1"/>
  <c r="I2389" i="1"/>
  <c r="E2389" i="1"/>
  <c r="D2389" i="1"/>
  <c r="C2389" i="1"/>
  <c r="B2389" i="1"/>
  <c r="AC2388" i="1"/>
  <c r="AB2388" i="1"/>
  <c r="Z2388" i="1"/>
  <c r="W2388" i="1"/>
  <c r="V2388" i="1"/>
  <c r="U2388" i="1"/>
  <c r="I2388" i="1"/>
  <c r="E2388" i="1"/>
  <c r="D2388" i="1"/>
  <c r="C2388" i="1"/>
  <c r="B2388" i="1"/>
  <c r="AC2387" i="1"/>
  <c r="AB2387" i="1"/>
  <c r="Z2387" i="1"/>
  <c r="W2387" i="1"/>
  <c r="V2387" i="1"/>
  <c r="U2387" i="1"/>
  <c r="I2387" i="1"/>
  <c r="E2387" i="1"/>
  <c r="D2387" i="1"/>
  <c r="C2387" i="1"/>
  <c r="B2387" i="1"/>
  <c r="AC2386" i="1"/>
  <c r="AB2386" i="1"/>
  <c r="Z2386" i="1"/>
  <c r="W2386" i="1"/>
  <c r="V2386" i="1"/>
  <c r="U2386" i="1"/>
  <c r="I2386" i="1"/>
  <c r="E2386" i="1"/>
  <c r="D2386" i="1"/>
  <c r="C2386" i="1"/>
  <c r="B2386" i="1"/>
  <c r="AC2385" i="1"/>
  <c r="AB2385" i="1"/>
  <c r="Z2385" i="1"/>
  <c r="W2385" i="1"/>
  <c r="V2385" i="1"/>
  <c r="U2385" i="1"/>
  <c r="I2385" i="1"/>
  <c r="E2385" i="1"/>
  <c r="D2385" i="1"/>
  <c r="C2385" i="1"/>
  <c r="B2385" i="1"/>
  <c r="AC2384" i="1"/>
  <c r="AB2384" i="1"/>
  <c r="Z2384" i="1"/>
  <c r="W2384" i="1"/>
  <c r="V2384" i="1"/>
  <c r="U2384" i="1"/>
  <c r="I2384" i="1"/>
  <c r="E2384" i="1"/>
  <c r="D2384" i="1"/>
  <c r="C2384" i="1"/>
  <c r="B2384" i="1"/>
  <c r="AC2383" i="1"/>
  <c r="AB2383" i="1"/>
  <c r="Z2383" i="1"/>
  <c r="W2383" i="1"/>
  <c r="V2383" i="1"/>
  <c r="U2383" i="1"/>
  <c r="I2383" i="1"/>
  <c r="E2383" i="1"/>
  <c r="D2383" i="1"/>
  <c r="C2383" i="1"/>
  <c r="B2383" i="1"/>
  <c r="AC2382" i="1"/>
  <c r="AB2382" i="1"/>
  <c r="Z2382" i="1"/>
  <c r="W2382" i="1"/>
  <c r="V2382" i="1"/>
  <c r="U2382" i="1"/>
  <c r="I2382" i="1"/>
  <c r="E2382" i="1"/>
  <c r="D2382" i="1"/>
  <c r="C2382" i="1"/>
  <c r="B2382" i="1"/>
  <c r="AC2381" i="1"/>
  <c r="AB2381" i="1"/>
  <c r="Z2381" i="1"/>
  <c r="W2381" i="1"/>
  <c r="V2381" i="1"/>
  <c r="U2381" i="1"/>
  <c r="I2381" i="1"/>
  <c r="E2381" i="1"/>
  <c r="D2381" i="1"/>
  <c r="C2381" i="1"/>
  <c r="B2381" i="1"/>
  <c r="AC2380" i="1"/>
  <c r="AB2380" i="1"/>
  <c r="Z2380" i="1"/>
  <c r="W2380" i="1"/>
  <c r="V2380" i="1"/>
  <c r="U2380" i="1"/>
  <c r="I2380" i="1"/>
  <c r="E2380" i="1"/>
  <c r="D2380" i="1"/>
  <c r="C2380" i="1"/>
  <c r="B2380" i="1"/>
  <c r="AC2379" i="1"/>
  <c r="AB2379" i="1"/>
  <c r="Z2379" i="1"/>
  <c r="W2379" i="1"/>
  <c r="V2379" i="1"/>
  <c r="U2379" i="1"/>
  <c r="I2379" i="1"/>
  <c r="E2379" i="1"/>
  <c r="D2379" i="1"/>
  <c r="C2379" i="1"/>
  <c r="B2379" i="1"/>
  <c r="AC2378" i="1"/>
  <c r="AB2378" i="1"/>
  <c r="Z2378" i="1"/>
  <c r="W2378" i="1"/>
  <c r="V2378" i="1"/>
  <c r="U2378" i="1"/>
  <c r="I2378" i="1"/>
  <c r="E2378" i="1"/>
  <c r="D2378" i="1"/>
  <c r="C2378" i="1"/>
  <c r="B2378" i="1"/>
  <c r="AC2377" i="1"/>
  <c r="AB2377" i="1"/>
  <c r="Z2377" i="1"/>
  <c r="W2377" i="1"/>
  <c r="V2377" i="1"/>
  <c r="U2377" i="1"/>
  <c r="I2377" i="1"/>
  <c r="E2377" i="1"/>
  <c r="D2377" i="1"/>
  <c r="C2377" i="1"/>
  <c r="B2377" i="1"/>
  <c r="AC2376" i="1"/>
  <c r="AB2376" i="1"/>
  <c r="Z2376" i="1"/>
  <c r="W2376" i="1"/>
  <c r="V2376" i="1"/>
  <c r="U2376" i="1"/>
  <c r="I2376" i="1"/>
  <c r="E2376" i="1"/>
  <c r="D2376" i="1"/>
  <c r="C2376" i="1"/>
  <c r="B2376" i="1"/>
  <c r="AC2375" i="1"/>
  <c r="AB2375" i="1"/>
  <c r="Z2375" i="1"/>
  <c r="W2375" i="1"/>
  <c r="V2375" i="1"/>
  <c r="U2375" i="1"/>
  <c r="I2375" i="1"/>
  <c r="E2375" i="1"/>
  <c r="D2375" i="1"/>
  <c r="C2375" i="1"/>
  <c r="B2375" i="1"/>
  <c r="AC2374" i="1"/>
  <c r="AB2374" i="1"/>
  <c r="Z2374" i="1"/>
  <c r="W2374" i="1"/>
  <c r="V2374" i="1"/>
  <c r="U2374" i="1"/>
  <c r="I2374" i="1"/>
  <c r="E2374" i="1"/>
  <c r="D2374" i="1"/>
  <c r="C2374" i="1"/>
  <c r="B2374" i="1"/>
  <c r="AC2373" i="1"/>
  <c r="AB2373" i="1"/>
  <c r="Z2373" i="1"/>
  <c r="W2373" i="1"/>
  <c r="V2373" i="1"/>
  <c r="U2373" i="1"/>
  <c r="I2373" i="1"/>
  <c r="E2373" i="1"/>
  <c r="D2373" i="1"/>
  <c r="C2373" i="1"/>
  <c r="B2373" i="1"/>
  <c r="AC2372" i="1"/>
  <c r="AB2372" i="1"/>
  <c r="Z2372" i="1"/>
  <c r="W2372" i="1"/>
  <c r="V2372" i="1"/>
  <c r="U2372" i="1"/>
  <c r="I2372" i="1"/>
  <c r="E2372" i="1"/>
  <c r="D2372" i="1"/>
  <c r="C2372" i="1"/>
  <c r="B2372" i="1"/>
  <c r="AC2371" i="1"/>
  <c r="AB2371" i="1"/>
  <c r="Z2371" i="1"/>
  <c r="W2371" i="1"/>
  <c r="V2371" i="1"/>
  <c r="U2371" i="1"/>
  <c r="I2371" i="1"/>
  <c r="E2371" i="1"/>
  <c r="D2371" i="1"/>
  <c r="C2371" i="1"/>
  <c r="B2371" i="1"/>
  <c r="AC2370" i="1"/>
  <c r="AB2370" i="1"/>
  <c r="Z2370" i="1"/>
  <c r="W2370" i="1"/>
  <c r="V2370" i="1"/>
  <c r="U2370" i="1"/>
  <c r="I2370" i="1"/>
  <c r="E2370" i="1"/>
  <c r="D2370" i="1"/>
  <c r="C2370" i="1"/>
  <c r="B2370" i="1"/>
  <c r="AC2369" i="1"/>
  <c r="AB2369" i="1"/>
  <c r="Z2369" i="1"/>
  <c r="W2369" i="1"/>
  <c r="V2369" i="1"/>
  <c r="U2369" i="1"/>
  <c r="I2369" i="1"/>
  <c r="E2369" i="1"/>
  <c r="D2369" i="1"/>
  <c r="C2369" i="1"/>
  <c r="B2369" i="1"/>
  <c r="AC2368" i="1"/>
  <c r="AB2368" i="1"/>
  <c r="Z2368" i="1"/>
  <c r="W2368" i="1"/>
  <c r="V2368" i="1"/>
  <c r="U2368" i="1"/>
  <c r="I2368" i="1"/>
  <c r="E2368" i="1"/>
  <c r="D2368" i="1"/>
  <c r="C2368" i="1"/>
  <c r="B2368" i="1"/>
  <c r="AC2367" i="1"/>
  <c r="AB2367" i="1"/>
  <c r="Z2367" i="1"/>
  <c r="W2367" i="1"/>
  <c r="V2367" i="1"/>
  <c r="U2367" i="1"/>
  <c r="I2367" i="1"/>
  <c r="E2367" i="1"/>
  <c r="D2367" i="1"/>
  <c r="C2367" i="1"/>
  <c r="B2367" i="1"/>
  <c r="AC2366" i="1"/>
  <c r="AB2366" i="1"/>
  <c r="Z2366" i="1"/>
  <c r="W2366" i="1"/>
  <c r="V2366" i="1"/>
  <c r="U2366" i="1"/>
  <c r="I2366" i="1"/>
  <c r="E2366" i="1"/>
  <c r="D2366" i="1"/>
  <c r="C2366" i="1"/>
  <c r="B2366" i="1"/>
  <c r="AC2365" i="1"/>
  <c r="AB2365" i="1"/>
  <c r="Z2365" i="1"/>
  <c r="W2365" i="1"/>
  <c r="V2365" i="1"/>
  <c r="U2365" i="1"/>
  <c r="I2365" i="1"/>
  <c r="E2365" i="1"/>
  <c r="D2365" i="1"/>
  <c r="C2365" i="1"/>
  <c r="B2365" i="1"/>
  <c r="AC2364" i="1"/>
  <c r="AB2364" i="1"/>
  <c r="Z2364" i="1"/>
  <c r="W2364" i="1"/>
  <c r="V2364" i="1"/>
  <c r="U2364" i="1"/>
  <c r="I2364" i="1"/>
  <c r="E2364" i="1"/>
  <c r="D2364" i="1"/>
  <c r="C2364" i="1"/>
  <c r="B2364" i="1"/>
  <c r="AC2363" i="1"/>
  <c r="AB2363" i="1"/>
  <c r="Z2363" i="1"/>
  <c r="W2363" i="1"/>
  <c r="V2363" i="1"/>
  <c r="U2363" i="1"/>
  <c r="I2363" i="1"/>
  <c r="E2363" i="1"/>
  <c r="D2363" i="1"/>
  <c r="C2363" i="1"/>
  <c r="B2363" i="1"/>
  <c r="AC2362" i="1"/>
  <c r="AB2362" i="1"/>
  <c r="Z2362" i="1"/>
  <c r="W2362" i="1"/>
  <c r="V2362" i="1"/>
  <c r="U2362" i="1"/>
  <c r="I2362" i="1"/>
  <c r="E2362" i="1"/>
  <c r="D2362" i="1"/>
  <c r="C2362" i="1"/>
  <c r="B2362" i="1"/>
  <c r="AC2361" i="1"/>
  <c r="AB2361" i="1"/>
  <c r="Z2361" i="1"/>
  <c r="W2361" i="1"/>
  <c r="V2361" i="1"/>
  <c r="U2361" i="1"/>
  <c r="I2361" i="1"/>
  <c r="E2361" i="1"/>
  <c r="D2361" i="1"/>
  <c r="C2361" i="1"/>
  <c r="B2361" i="1"/>
  <c r="AC2360" i="1"/>
  <c r="AB2360" i="1"/>
  <c r="Z2360" i="1"/>
  <c r="W2360" i="1"/>
  <c r="V2360" i="1"/>
  <c r="U2360" i="1"/>
  <c r="I2360" i="1"/>
  <c r="E2360" i="1"/>
  <c r="D2360" i="1"/>
  <c r="C2360" i="1"/>
  <c r="B2360" i="1"/>
  <c r="AC2359" i="1"/>
  <c r="AB2359" i="1"/>
  <c r="Z2359" i="1"/>
  <c r="W2359" i="1"/>
  <c r="V2359" i="1"/>
  <c r="U2359" i="1"/>
  <c r="I2359" i="1"/>
  <c r="E2359" i="1"/>
  <c r="D2359" i="1"/>
  <c r="C2359" i="1"/>
  <c r="B2359" i="1"/>
  <c r="AC2358" i="1"/>
  <c r="AB2358" i="1"/>
  <c r="Z2358" i="1"/>
  <c r="W2358" i="1"/>
  <c r="V2358" i="1"/>
  <c r="U2358" i="1"/>
  <c r="I2358" i="1"/>
  <c r="E2358" i="1"/>
  <c r="D2358" i="1"/>
  <c r="C2358" i="1"/>
  <c r="B2358" i="1"/>
  <c r="AC2357" i="1"/>
  <c r="AB2357" i="1"/>
  <c r="Z2357" i="1"/>
  <c r="W2357" i="1"/>
  <c r="V2357" i="1"/>
  <c r="U2357" i="1"/>
  <c r="I2357" i="1"/>
  <c r="E2357" i="1"/>
  <c r="D2357" i="1"/>
  <c r="C2357" i="1"/>
  <c r="B2357" i="1"/>
  <c r="AC2356" i="1"/>
  <c r="AB2356" i="1"/>
  <c r="Z2356" i="1"/>
  <c r="W2356" i="1"/>
  <c r="V2356" i="1"/>
  <c r="U2356" i="1"/>
  <c r="I2356" i="1"/>
  <c r="E2356" i="1"/>
  <c r="D2356" i="1"/>
  <c r="C2356" i="1"/>
  <c r="B2356" i="1"/>
  <c r="AC2355" i="1"/>
  <c r="AB2355" i="1"/>
  <c r="Z2355" i="1"/>
  <c r="W2355" i="1"/>
  <c r="V2355" i="1"/>
  <c r="U2355" i="1"/>
  <c r="I2355" i="1"/>
  <c r="E2355" i="1"/>
  <c r="D2355" i="1"/>
  <c r="C2355" i="1"/>
  <c r="B2355" i="1"/>
  <c r="AC2354" i="1"/>
  <c r="AB2354" i="1"/>
  <c r="Z2354" i="1"/>
  <c r="W2354" i="1"/>
  <c r="V2354" i="1"/>
  <c r="U2354" i="1"/>
  <c r="I2354" i="1"/>
  <c r="E2354" i="1"/>
  <c r="D2354" i="1"/>
  <c r="C2354" i="1"/>
  <c r="B2354" i="1"/>
  <c r="AC2353" i="1"/>
  <c r="AB2353" i="1"/>
  <c r="Z2353" i="1"/>
  <c r="W2353" i="1"/>
  <c r="V2353" i="1"/>
  <c r="U2353" i="1"/>
  <c r="I2353" i="1"/>
  <c r="E2353" i="1"/>
  <c r="D2353" i="1"/>
  <c r="C2353" i="1"/>
  <c r="B2353" i="1"/>
  <c r="AC2352" i="1"/>
  <c r="AB2352" i="1"/>
  <c r="Z2352" i="1"/>
  <c r="W2352" i="1"/>
  <c r="V2352" i="1"/>
  <c r="U2352" i="1"/>
  <c r="I2352" i="1"/>
  <c r="E2352" i="1"/>
  <c r="D2352" i="1"/>
  <c r="C2352" i="1"/>
  <c r="B2352" i="1"/>
  <c r="AC2351" i="1"/>
  <c r="AB2351" i="1"/>
  <c r="Z2351" i="1"/>
  <c r="W2351" i="1"/>
  <c r="V2351" i="1"/>
  <c r="U2351" i="1"/>
  <c r="I2351" i="1"/>
  <c r="E2351" i="1"/>
  <c r="D2351" i="1"/>
  <c r="C2351" i="1"/>
  <c r="B2351" i="1"/>
  <c r="AC2350" i="1"/>
  <c r="AB2350" i="1"/>
  <c r="Z2350" i="1"/>
  <c r="W2350" i="1"/>
  <c r="V2350" i="1"/>
  <c r="U2350" i="1"/>
  <c r="I2350" i="1"/>
  <c r="E2350" i="1"/>
  <c r="D2350" i="1"/>
  <c r="C2350" i="1"/>
  <c r="B2350" i="1"/>
  <c r="AC2349" i="1"/>
  <c r="AB2349" i="1"/>
  <c r="Z2349" i="1"/>
  <c r="W2349" i="1"/>
  <c r="V2349" i="1"/>
  <c r="U2349" i="1"/>
  <c r="I2349" i="1"/>
  <c r="E2349" i="1"/>
  <c r="D2349" i="1"/>
  <c r="C2349" i="1"/>
  <c r="B2349" i="1"/>
  <c r="AC2348" i="1"/>
  <c r="AB2348" i="1"/>
  <c r="Z2348" i="1"/>
  <c r="W2348" i="1"/>
  <c r="V2348" i="1"/>
  <c r="U2348" i="1"/>
  <c r="I2348" i="1"/>
  <c r="E2348" i="1"/>
  <c r="D2348" i="1"/>
  <c r="C2348" i="1"/>
  <c r="B2348" i="1"/>
  <c r="AC2347" i="1"/>
  <c r="AB2347" i="1"/>
  <c r="Z2347" i="1"/>
  <c r="W2347" i="1"/>
  <c r="V2347" i="1"/>
  <c r="U2347" i="1"/>
  <c r="I2347" i="1"/>
  <c r="E2347" i="1"/>
  <c r="D2347" i="1"/>
  <c r="C2347" i="1"/>
  <c r="B2347" i="1"/>
  <c r="AC2346" i="1"/>
  <c r="AB2346" i="1"/>
  <c r="Z2346" i="1"/>
  <c r="W2346" i="1"/>
  <c r="V2346" i="1"/>
  <c r="U2346" i="1"/>
  <c r="I2346" i="1"/>
  <c r="E2346" i="1"/>
  <c r="D2346" i="1"/>
  <c r="C2346" i="1"/>
  <c r="B2346" i="1"/>
  <c r="AC2345" i="1"/>
  <c r="AB2345" i="1"/>
  <c r="Z2345" i="1"/>
  <c r="W2345" i="1"/>
  <c r="V2345" i="1"/>
  <c r="U2345" i="1"/>
  <c r="I2345" i="1"/>
  <c r="E2345" i="1"/>
  <c r="D2345" i="1"/>
  <c r="C2345" i="1"/>
  <c r="B2345" i="1"/>
  <c r="AC2344" i="1"/>
  <c r="AB2344" i="1"/>
  <c r="Z2344" i="1"/>
  <c r="W2344" i="1"/>
  <c r="V2344" i="1"/>
  <c r="U2344" i="1"/>
  <c r="I2344" i="1"/>
  <c r="E2344" i="1"/>
  <c r="D2344" i="1"/>
  <c r="C2344" i="1"/>
  <c r="B2344" i="1"/>
  <c r="AC2343" i="1"/>
  <c r="AB2343" i="1"/>
  <c r="Z2343" i="1"/>
  <c r="W2343" i="1"/>
  <c r="V2343" i="1"/>
  <c r="U2343" i="1"/>
  <c r="I2343" i="1"/>
  <c r="E2343" i="1"/>
  <c r="D2343" i="1"/>
  <c r="C2343" i="1"/>
  <c r="B2343" i="1"/>
  <c r="AC2342" i="1"/>
  <c r="AB2342" i="1"/>
  <c r="Z2342" i="1"/>
  <c r="W2342" i="1"/>
  <c r="V2342" i="1"/>
  <c r="U2342" i="1"/>
  <c r="I2342" i="1"/>
  <c r="E2342" i="1"/>
  <c r="D2342" i="1"/>
  <c r="C2342" i="1"/>
  <c r="B2342" i="1"/>
  <c r="AC2341" i="1"/>
  <c r="AB2341" i="1"/>
  <c r="Z2341" i="1"/>
  <c r="W2341" i="1"/>
  <c r="V2341" i="1"/>
  <c r="U2341" i="1"/>
  <c r="I2341" i="1"/>
  <c r="E2341" i="1"/>
  <c r="D2341" i="1"/>
  <c r="C2341" i="1"/>
  <c r="B2341" i="1"/>
  <c r="AC2340" i="1"/>
  <c r="AB2340" i="1"/>
  <c r="Z2340" i="1"/>
  <c r="W2340" i="1"/>
  <c r="V2340" i="1"/>
  <c r="U2340" i="1"/>
  <c r="I2340" i="1"/>
  <c r="E2340" i="1"/>
  <c r="D2340" i="1"/>
  <c r="C2340" i="1"/>
  <c r="B2340" i="1"/>
  <c r="AC2339" i="1"/>
  <c r="AB2339" i="1"/>
  <c r="Z2339" i="1"/>
  <c r="W2339" i="1"/>
  <c r="V2339" i="1"/>
  <c r="U2339" i="1"/>
  <c r="I2339" i="1"/>
  <c r="E2339" i="1"/>
  <c r="D2339" i="1"/>
  <c r="C2339" i="1"/>
  <c r="B2339" i="1"/>
  <c r="AC2338" i="1"/>
  <c r="AB2338" i="1"/>
  <c r="Z2338" i="1"/>
  <c r="W2338" i="1"/>
  <c r="V2338" i="1"/>
  <c r="U2338" i="1"/>
  <c r="I2338" i="1"/>
  <c r="E2338" i="1"/>
  <c r="D2338" i="1"/>
  <c r="C2338" i="1"/>
  <c r="B2338" i="1"/>
  <c r="AC2337" i="1"/>
  <c r="AB2337" i="1"/>
  <c r="Z2337" i="1"/>
  <c r="W2337" i="1"/>
  <c r="V2337" i="1"/>
  <c r="U2337" i="1"/>
  <c r="I2337" i="1"/>
  <c r="E2337" i="1"/>
  <c r="D2337" i="1"/>
  <c r="C2337" i="1"/>
  <c r="B2337" i="1"/>
  <c r="AC2336" i="1"/>
  <c r="AB2336" i="1"/>
  <c r="Z2336" i="1"/>
  <c r="W2336" i="1"/>
  <c r="V2336" i="1"/>
  <c r="U2336" i="1"/>
  <c r="I2336" i="1"/>
  <c r="E2336" i="1"/>
  <c r="D2336" i="1"/>
  <c r="C2336" i="1"/>
  <c r="B2336" i="1"/>
  <c r="AC2335" i="1"/>
  <c r="AB2335" i="1"/>
  <c r="Z2335" i="1"/>
  <c r="W2335" i="1"/>
  <c r="V2335" i="1"/>
  <c r="U2335" i="1"/>
  <c r="I2335" i="1"/>
  <c r="E2335" i="1"/>
  <c r="D2335" i="1"/>
  <c r="C2335" i="1"/>
  <c r="B2335" i="1"/>
  <c r="AC2334" i="1"/>
  <c r="AB2334" i="1"/>
  <c r="Z2334" i="1"/>
  <c r="W2334" i="1"/>
  <c r="V2334" i="1"/>
  <c r="U2334" i="1"/>
  <c r="I2334" i="1"/>
  <c r="E2334" i="1"/>
  <c r="D2334" i="1"/>
  <c r="C2334" i="1"/>
  <c r="B2334" i="1"/>
  <c r="AC2333" i="1"/>
  <c r="AB2333" i="1"/>
  <c r="Z2333" i="1"/>
  <c r="W2333" i="1"/>
  <c r="V2333" i="1"/>
  <c r="U2333" i="1"/>
  <c r="I2333" i="1"/>
  <c r="E2333" i="1"/>
  <c r="D2333" i="1"/>
  <c r="C2333" i="1"/>
  <c r="B2333" i="1"/>
  <c r="AC2332" i="1"/>
  <c r="AB2332" i="1"/>
  <c r="Z2332" i="1"/>
  <c r="W2332" i="1"/>
  <c r="V2332" i="1"/>
  <c r="U2332" i="1"/>
  <c r="I2332" i="1"/>
  <c r="E2332" i="1"/>
  <c r="D2332" i="1"/>
  <c r="C2332" i="1"/>
  <c r="B2332" i="1"/>
  <c r="AC2331" i="1"/>
  <c r="AB2331" i="1"/>
  <c r="Z2331" i="1"/>
  <c r="W2331" i="1"/>
  <c r="V2331" i="1"/>
  <c r="U2331" i="1"/>
  <c r="I2331" i="1"/>
  <c r="E2331" i="1"/>
  <c r="D2331" i="1"/>
  <c r="C2331" i="1"/>
  <c r="B2331" i="1"/>
  <c r="AC2330" i="1"/>
  <c r="AB2330" i="1"/>
  <c r="Z2330" i="1"/>
  <c r="W2330" i="1"/>
  <c r="V2330" i="1"/>
  <c r="U2330" i="1"/>
  <c r="I2330" i="1"/>
  <c r="E2330" i="1"/>
  <c r="D2330" i="1"/>
  <c r="C2330" i="1"/>
  <c r="B2330" i="1"/>
  <c r="AC2329" i="1"/>
  <c r="AB2329" i="1"/>
  <c r="Z2329" i="1"/>
  <c r="W2329" i="1"/>
  <c r="V2329" i="1"/>
  <c r="U2329" i="1"/>
  <c r="I2329" i="1"/>
  <c r="E2329" i="1"/>
  <c r="D2329" i="1"/>
  <c r="C2329" i="1"/>
  <c r="B2329" i="1"/>
  <c r="AC2328" i="1"/>
  <c r="AB2328" i="1"/>
  <c r="Z2328" i="1"/>
  <c r="W2328" i="1"/>
  <c r="V2328" i="1"/>
  <c r="U2328" i="1"/>
  <c r="I2328" i="1"/>
  <c r="E2328" i="1"/>
  <c r="D2328" i="1"/>
  <c r="C2328" i="1"/>
  <c r="B2328" i="1"/>
  <c r="AC2327" i="1"/>
  <c r="AB2327" i="1"/>
  <c r="Z2327" i="1"/>
  <c r="W2327" i="1"/>
  <c r="V2327" i="1"/>
  <c r="U2327" i="1"/>
  <c r="I2327" i="1"/>
  <c r="E2327" i="1"/>
  <c r="D2327" i="1"/>
  <c r="C2327" i="1"/>
  <c r="B2327" i="1"/>
  <c r="AC2326" i="1"/>
  <c r="AB2326" i="1"/>
  <c r="Z2326" i="1"/>
  <c r="W2326" i="1"/>
  <c r="V2326" i="1"/>
  <c r="U2326" i="1"/>
  <c r="I2326" i="1"/>
  <c r="E2326" i="1"/>
  <c r="D2326" i="1"/>
  <c r="C2326" i="1"/>
  <c r="B2326" i="1"/>
  <c r="AC2325" i="1"/>
  <c r="AB2325" i="1"/>
  <c r="Z2325" i="1"/>
  <c r="W2325" i="1"/>
  <c r="V2325" i="1"/>
  <c r="U2325" i="1"/>
  <c r="I2325" i="1"/>
  <c r="E2325" i="1"/>
  <c r="D2325" i="1"/>
  <c r="C2325" i="1"/>
  <c r="B2325" i="1"/>
  <c r="AC2324" i="1"/>
  <c r="AB2324" i="1"/>
  <c r="Z2324" i="1"/>
  <c r="W2324" i="1"/>
  <c r="V2324" i="1"/>
  <c r="U2324" i="1"/>
  <c r="I2324" i="1"/>
  <c r="E2324" i="1"/>
  <c r="D2324" i="1"/>
  <c r="C2324" i="1"/>
  <c r="B2324" i="1"/>
  <c r="AC2323" i="1"/>
  <c r="AB2323" i="1"/>
  <c r="Z2323" i="1"/>
  <c r="W2323" i="1"/>
  <c r="V2323" i="1"/>
  <c r="U2323" i="1"/>
  <c r="I2323" i="1"/>
  <c r="E2323" i="1"/>
  <c r="D2323" i="1"/>
  <c r="C2323" i="1"/>
  <c r="B2323" i="1"/>
  <c r="AC2322" i="1"/>
  <c r="AB2322" i="1"/>
  <c r="Z2322" i="1"/>
  <c r="W2322" i="1"/>
  <c r="V2322" i="1"/>
  <c r="U2322" i="1"/>
  <c r="I2322" i="1"/>
  <c r="E2322" i="1"/>
  <c r="D2322" i="1"/>
  <c r="C2322" i="1"/>
  <c r="B2322" i="1"/>
  <c r="AC2321" i="1"/>
  <c r="AB2321" i="1"/>
  <c r="Z2321" i="1"/>
  <c r="W2321" i="1"/>
  <c r="V2321" i="1"/>
  <c r="U2321" i="1"/>
  <c r="I2321" i="1"/>
  <c r="E2321" i="1"/>
  <c r="D2321" i="1"/>
  <c r="C2321" i="1"/>
  <c r="B2321" i="1"/>
  <c r="AC2320" i="1"/>
  <c r="AB2320" i="1"/>
  <c r="Z2320" i="1"/>
  <c r="W2320" i="1"/>
  <c r="V2320" i="1"/>
  <c r="U2320" i="1"/>
  <c r="I2320" i="1"/>
  <c r="E2320" i="1"/>
  <c r="D2320" i="1"/>
  <c r="C2320" i="1"/>
  <c r="B2320" i="1"/>
  <c r="AC2319" i="1"/>
  <c r="AB2319" i="1"/>
  <c r="Z2319" i="1"/>
  <c r="W2319" i="1"/>
  <c r="V2319" i="1"/>
  <c r="U2319" i="1"/>
  <c r="I2319" i="1"/>
  <c r="E2319" i="1"/>
  <c r="D2319" i="1"/>
  <c r="C2319" i="1"/>
  <c r="B2319" i="1"/>
  <c r="AC2318" i="1"/>
  <c r="AB2318" i="1"/>
  <c r="Z2318" i="1"/>
  <c r="W2318" i="1"/>
  <c r="V2318" i="1"/>
  <c r="U2318" i="1"/>
  <c r="I2318" i="1"/>
  <c r="E2318" i="1"/>
  <c r="D2318" i="1"/>
  <c r="C2318" i="1"/>
  <c r="B2318" i="1"/>
  <c r="AC2317" i="1"/>
  <c r="AB2317" i="1"/>
  <c r="Z2317" i="1"/>
  <c r="W2317" i="1"/>
  <c r="V2317" i="1"/>
  <c r="U2317" i="1"/>
  <c r="I2317" i="1"/>
  <c r="E2317" i="1"/>
  <c r="D2317" i="1"/>
  <c r="C2317" i="1"/>
  <c r="B2317" i="1"/>
  <c r="AC2316" i="1"/>
  <c r="AB2316" i="1"/>
  <c r="Z2316" i="1"/>
  <c r="W2316" i="1"/>
  <c r="V2316" i="1"/>
  <c r="U2316" i="1"/>
  <c r="I2316" i="1"/>
  <c r="E2316" i="1"/>
  <c r="D2316" i="1"/>
  <c r="C2316" i="1"/>
  <c r="B2316" i="1"/>
  <c r="AC2315" i="1"/>
  <c r="AB2315" i="1"/>
  <c r="Z2315" i="1"/>
  <c r="W2315" i="1"/>
  <c r="V2315" i="1"/>
  <c r="U2315" i="1"/>
  <c r="I2315" i="1"/>
  <c r="E2315" i="1"/>
  <c r="D2315" i="1"/>
  <c r="C2315" i="1"/>
  <c r="B2315" i="1"/>
  <c r="AC2314" i="1"/>
  <c r="AB2314" i="1"/>
  <c r="Z2314" i="1"/>
  <c r="W2314" i="1"/>
  <c r="V2314" i="1"/>
  <c r="U2314" i="1"/>
  <c r="I2314" i="1"/>
  <c r="E2314" i="1"/>
  <c r="D2314" i="1"/>
  <c r="C2314" i="1"/>
  <c r="B2314" i="1"/>
  <c r="AC2313" i="1"/>
  <c r="AB2313" i="1"/>
  <c r="Z2313" i="1"/>
  <c r="W2313" i="1"/>
  <c r="V2313" i="1"/>
  <c r="U2313" i="1"/>
  <c r="I2313" i="1"/>
  <c r="E2313" i="1"/>
  <c r="D2313" i="1"/>
  <c r="C2313" i="1"/>
  <c r="B2313" i="1"/>
  <c r="AC2312" i="1"/>
  <c r="AB2312" i="1"/>
  <c r="Z2312" i="1"/>
  <c r="W2312" i="1"/>
  <c r="V2312" i="1"/>
  <c r="U2312" i="1"/>
  <c r="I2312" i="1"/>
  <c r="E2312" i="1"/>
  <c r="D2312" i="1"/>
  <c r="C2312" i="1"/>
  <c r="B2312" i="1"/>
  <c r="AC2311" i="1"/>
  <c r="AB2311" i="1"/>
  <c r="Z2311" i="1"/>
  <c r="W2311" i="1"/>
  <c r="V2311" i="1"/>
  <c r="U2311" i="1"/>
  <c r="I2311" i="1"/>
  <c r="E2311" i="1"/>
  <c r="D2311" i="1"/>
  <c r="C2311" i="1"/>
  <c r="B2311" i="1"/>
  <c r="AC2310" i="1"/>
  <c r="AB2310" i="1"/>
  <c r="Z2310" i="1"/>
  <c r="W2310" i="1"/>
  <c r="V2310" i="1"/>
  <c r="U2310" i="1"/>
  <c r="I2310" i="1"/>
  <c r="E2310" i="1"/>
  <c r="D2310" i="1"/>
  <c r="C2310" i="1"/>
  <c r="B2310" i="1"/>
  <c r="AC2309" i="1"/>
  <c r="AB2309" i="1"/>
  <c r="Z2309" i="1"/>
  <c r="W2309" i="1"/>
  <c r="V2309" i="1"/>
  <c r="U2309" i="1"/>
  <c r="I2309" i="1"/>
  <c r="E2309" i="1"/>
  <c r="D2309" i="1"/>
  <c r="C2309" i="1"/>
  <c r="B2309" i="1"/>
  <c r="AC2308" i="1"/>
  <c r="AB2308" i="1"/>
  <c r="Z2308" i="1"/>
  <c r="W2308" i="1"/>
  <c r="V2308" i="1"/>
  <c r="U2308" i="1"/>
  <c r="I2308" i="1"/>
  <c r="E2308" i="1"/>
  <c r="D2308" i="1"/>
  <c r="C2308" i="1"/>
  <c r="B2308" i="1"/>
  <c r="AC2307" i="1"/>
  <c r="AB2307" i="1"/>
  <c r="Z2307" i="1"/>
  <c r="W2307" i="1"/>
  <c r="V2307" i="1"/>
  <c r="U2307" i="1"/>
  <c r="I2307" i="1"/>
  <c r="E2307" i="1"/>
  <c r="D2307" i="1"/>
  <c r="C2307" i="1"/>
  <c r="B2307" i="1"/>
  <c r="AC2306" i="1"/>
  <c r="AB2306" i="1"/>
  <c r="Z2306" i="1"/>
  <c r="W2306" i="1"/>
  <c r="V2306" i="1"/>
  <c r="U2306" i="1"/>
  <c r="I2306" i="1"/>
  <c r="E2306" i="1"/>
  <c r="D2306" i="1"/>
  <c r="C2306" i="1"/>
  <c r="B2306" i="1"/>
  <c r="AC2305" i="1"/>
  <c r="AB2305" i="1"/>
  <c r="Z2305" i="1"/>
  <c r="W2305" i="1"/>
  <c r="V2305" i="1"/>
  <c r="U2305" i="1"/>
  <c r="I2305" i="1"/>
  <c r="E2305" i="1"/>
  <c r="D2305" i="1"/>
  <c r="C2305" i="1"/>
  <c r="B2305" i="1"/>
  <c r="AC2304" i="1"/>
  <c r="AB2304" i="1"/>
  <c r="Z2304" i="1"/>
  <c r="W2304" i="1"/>
  <c r="V2304" i="1"/>
  <c r="U2304" i="1"/>
  <c r="I2304" i="1"/>
  <c r="E2304" i="1"/>
  <c r="D2304" i="1"/>
  <c r="C2304" i="1"/>
  <c r="B2304" i="1"/>
  <c r="AC2303" i="1"/>
  <c r="AB2303" i="1"/>
  <c r="Z2303" i="1"/>
  <c r="W2303" i="1"/>
  <c r="V2303" i="1"/>
  <c r="U2303" i="1"/>
  <c r="I2303" i="1"/>
  <c r="E2303" i="1"/>
  <c r="D2303" i="1"/>
  <c r="C2303" i="1"/>
  <c r="B2303" i="1"/>
  <c r="AC2302" i="1"/>
  <c r="AB2302" i="1"/>
  <c r="Z2302" i="1"/>
  <c r="W2302" i="1"/>
  <c r="V2302" i="1"/>
  <c r="U2302" i="1"/>
  <c r="I2302" i="1"/>
  <c r="E2302" i="1"/>
  <c r="D2302" i="1"/>
  <c r="C2302" i="1"/>
  <c r="B2302" i="1"/>
  <c r="AC2301" i="1"/>
  <c r="AB2301" i="1"/>
  <c r="Z2301" i="1"/>
  <c r="W2301" i="1"/>
  <c r="V2301" i="1"/>
  <c r="U2301" i="1"/>
  <c r="I2301" i="1"/>
  <c r="E2301" i="1"/>
  <c r="D2301" i="1"/>
  <c r="C2301" i="1"/>
  <c r="B2301" i="1"/>
  <c r="AC2300" i="1"/>
  <c r="AB2300" i="1"/>
  <c r="Z2300" i="1"/>
  <c r="W2300" i="1"/>
  <c r="V2300" i="1"/>
  <c r="U2300" i="1"/>
  <c r="I2300" i="1"/>
  <c r="E2300" i="1"/>
  <c r="D2300" i="1"/>
  <c r="C2300" i="1"/>
  <c r="B2300" i="1"/>
  <c r="AC2299" i="1"/>
  <c r="AB2299" i="1"/>
  <c r="Z2299" i="1"/>
  <c r="W2299" i="1"/>
  <c r="V2299" i="1"/>
  <c r="U2299" i="1"/>
  <c r="I2299" i="1"/>
  <c r="E2299" i="1"/>
  <c r="D2299" i="1"/>
  <c r="C2299" i="1"/>
  <c r="B2299" i="1"/>
  <c r="AC2298" i="1"/>
  <c r="AB2298" i="1"/>
  <c r="Z2298" i="1"/>
  <c r="W2298" i="1"/>
  <c r="V2298" i="1"/>
  <c r="U2298" i="1"/>
  <c r="I2298" i="1"/>
  <c r="E2298" i="1"/>
  <c r="D2298" i="1"/>
  <c r="C2298" i="1"/>
  <c r="B2298" i="1"/>
  <c r="AC2297" i="1"/>
  <c r="AB2297" i="1"/>
  <c r="Z2297" i="1"/>
  <c r="W2297" i="1"/>
  <c r="V2297" i="1"/>
  <c r="U2297" i="1"/>
  <c r="I2297" i="1"/>
  <c r="E2297" i="1"/>
  <c r="D2297" i="1"/>
  <c r="C2297" i="1"/>
  <c r="B2297" i="1"/>
  <c r="AC2296" i="1"/>
  <c r="AB2296" i="1"/>
  <c r="Z2296" i="1"/>
  <c r="W2296" i="1"/>
  <c r="V2296" i="1"/>
  <c r="U2296" i="1"/>
  <c r="I2296" i="1"/>
  <c r="E2296" i="1"/>
  <c r="D2296" i="1"/>
  <c r="C2296" i="1"/>
  <c r="B2296" i="1"/>
  <c r="AC2295" i="1"/>
  <c r="AB2295" i="1"/>
  <c r="Z2295" i="1"/>
  <c r="W2295" i="1"/>
  <c r="V2295" i="1"/>
  <c r="U2295" i="1"/>
  <c r="I2295" i="1"/>
  <c r="E2295" i="1"/>
  <c r="D2295" i="1"/>
  <c r="C2295" i="1"/>
  <c r="B2295" i="1"/>
  <c r="AC2294" i="1"/>
  <c r="AB2294" i="1"/>
  <c r="Z2294" i="1"/>
  <c r="W2294" i="1"/>
  <c r="V2294" i="1"/>
  <c r="U2294" i="1"/>
  <c r="I2294" i="1"/>
  <c r="E2294" i="1"/>
  <c r="D2294" i="1"/>
  <c r="C2294" i="1"/>
  <c r="B2294" i="1"/>
  <c r="AC2293" i="1"/>
  <c r="AB2293" i="1"/>
  <c r="Z2293" i="1"/>
  <c r="W2293" i="1"/>
  <c r="V2293" i="1"/>
  <c r="U2293" i="1"/>
  <c r="I2293" i="1"/>
  <c r="E2293" i="1"/>
  <c r="D2293" i="1"/>
  <c r="C2293" i="1"/>
  <c r="B2293" i="1"/>
  <c r="AC2292" i="1"/>
  <c r="AB2292" i="1"/>
  <c r="Z2292" i="1"/>
  <c r="W2292" i="1"/>
  <c r="V2292" i="1"/>
  <c r="U2292" i="1"/>
  <c r="I2292" i="1"/>
  <c r="E2292" i="1"/>
  <c r="D2292" i="1"/>
  <c r="C2292" i="1"/>
  <c r="B2292" i="1"/>
  <c r="AC2291" i="1"/>
  <c r="AB2291" i="1"/>
  <c r="Z2291" i="1"/>
  <c r="W2291" i="1"/>
  <c r="V2291" i="1"/>
  <c r="U2291" i="1"/>
  <c r="I2291" i="1"/>
  <c r="E2291" i="1"/>
  <c r="D2291" i="1"/>
  <c r="C2291" i="1"/>
  <c r="B2291" i="1"/>
  <c r="AC2290" i="1"/>
  <c r="AB2290" i="1"/>
  <c r="Z2290" i="1"/>
  <c r="W2290" i="1"/>
  <c r="V2290" i="1"/>
  <c r="U2290" i="1"/>
  <c r="I2290" i="1"/>
  <c r="E2290" i="1"/>
  <c r="D2290" i="1"/>
  <c r="C2290" i="1"/>
  <c r="B2290" i="1"/>
  <c r="AC2289" i="1"/>
  <c r="AB2289" i="1"/>
  <c r="Z2289" i="1"/>
  <c r="W2289" i="1"/>
  <c r="V2289" i="1"/>
  <c r="U2289" i="1"/>
  <c r="I2289" i="1"/>
  <c r="E2289" i="1"/>
  <c r="D2289" i="1"/>
  <c r="C2289" i="1"/>
  <c r="B2289" i="1"/>
  <c r="AC2288" i="1"/>
  <c r="AB2288" i="1"/>
  <c r="Z2288" i="1"/>
  <c r="W2288" i="1"/>
  <c r="V2288" i="1"/>
  <c r="U2288" i="1"/>
  <c r="I2288" i="1"/>
  <c r="E2288" i="1"/>
  <c r="D2288" i="1"/>
  <c r="C2288" i="1"/>
  <c r="B2288" i="1"/>
  <c r="AC2287" i="1"/>
  <c r="AB2287" i="1"/>
  <c r="Z2287" i="1"/>
  <c r="W2287" i="1"/>
  <c r="V2287" i="1"/>
  <c r="U2287" i="1"/>
  <c r="I2287" i="1"/>
  <c r="E2287" i="1"/>
  <c r="D2287" i="1"/>
  <c r="C2287" i="1"/>
  <c r="B2287" i="1"/>
  <c r="AC2286" i="1"/>
  <c r="AB2286" i="1"/>
  <c r="Z2286" i="1"/>
  <c r="W2286" i="1"/>
  <c r="V2286" i="1"/>
  <c r="U2286" i="1"/>
  <c r="I2286" i="1"/>
  <c r="E2286" i="1"/>
  <c r="D2286" i="1"/>
  <c r="C2286" i="1"/>
  <c r="B2286" i="1"/>
  <c r="AC2285" i="1"/>
  <c r="AB2285" i="1"/>
  <c r="Z2285" i="1"/>
  <c r="W2285" i="1"/>
  <c r="V2285" i="1"/>
  <c r="U2285" i="1"/>
  <c r="I2285" i="1"/>
  <c r="E2285" i="1"/>
  <c r="D2285" i="1"/>
  <c r="C2285" i="1"/>
  <c r="B2285" i="1"/>
  <c r="AC2284" i="1"/>
  <c r="AB2284" i="1"/>
  <c r="Z2284" i="1"/>
  <c r="W2284" i="1"/>
  <c r="V2284" i="1"/>
  <c r="U2284" i="1"/>
  <c r="I2284" i="1"/>
  <c r="E2284" i="1"/>
  <c r="D2284" i="1"/>
  <c r="C2284" i="1"/>
  <c r="B2284" i="1"/>
  <c r="AC2283" i="1"/>
  <c r="AB2283" i="1"/>
  <c r="Z2283" i="1"/>
  <c r="W2283" i="1"/>
  <c r="V2283" i="1"/>
  <c r="U2283" i="1"/>
  <c r="I2283" i="1"/>
  <c r="E2283" i="1"/>
  <c r="D2283" i="1"/>
  <c r="C2283" i="1"/>
  <c r="B2283" i="1"/>
  <c r="AC2282" i="1"/>
  <c r="AB2282" i="1"/>
  <c r="Z2282" i="1"/>
  <c r="W2282" i="1"/>
  <c r="V2282" i="1"/>
  <c r="U2282" i="1"/>
  <c r="I2282" i="1"/>
  <c r="E2282" i="1"/>
  <c r="D2282" i="1"/>
  <c r="C2282" i="1"/>
  <c r="B2282" i="1"/>
  <c r="AC2281" i="1"/>
  <c r="AB2281" i="1"/>
  <c r="Z2281" i="1"/>
  <c r="W2281" i="1"/>
  <c r="V2281" i="1"/>
  <c r="U2281" i="1"/>
  <c r="I2281" i="1"/>
  <c r="E2281" i="1"/>
  <c r="D2281" i="1"/>
  <c r="C2281" i="1"/>
  <c r="B2281" i="1"/>
  <c r="AC2280" i="1"/>
  <c r="AB2280" i="1"/>
  <c r="Z2280" i="1"/>
  <c r="W2280" i="1"/>
  <c r="V2280" i="1"/>
  <c r="U2280" i="1"/>
  <c r="I2280" i="1"/>
  <c r="E2280" i="1"/>
  <c r="D2280" i="1"/>
  <c r="C2280" i="1"/>
  <c r="B2280" i="1"/>
  <c r="AC2279" i="1"/>
  <c r="AB2279" i="1"/>
  <c r="Z2279" i="1"/>
  <c r="W2279" i="1"/>
  <c r="V2279" i="1"/>
  <c r="U2279" i="1"/>
  <c r="I2279" i="1"/>
  <c r="E2279" i="1"/>
  <c r="D2279" i="1"/>
  <c r="C2279" i="1"/>
  <c r="B2279" i="1"/>
  <c r="AC2278" i="1"/>
  <c r="AB2278" i="1"/>
  <c r="Z2278" i="1"/>
  <c r="W2278" i="1"/>
  <c r="V2278" i="1"/>
  <c r="U2278" i="1"/>
  <c r="I2278" i="1"/>
  <c r="E2278" i="1"/>
  <c r="D2278" i="1"/>
  <c r="C2278" i="1"/>
  <c r="B2278" i="1"/>
  <c r="AC2277" i="1"/>
  <c r="AB2277" i="1"/>
  <c r="Z2277" i="1"/>
  <c r="W2277" i="1"/>
  <c r="V2277" i="1"/>
  <c r="U2277" i="1"/>
  <c r="I2277" i="1"/>
  <c r="E2277" i="1"/>
  <c r="D2277" i="1"/>
  <c r="C2277" i="1"/>
  <c r="B2277" i="1"/>
  <c r="AC2276" i="1"/>
  <c r="AB2276" i="1"/>
  <c r="Z2276" i="1"/>
  <c r="W2276" i="1"/>
  <c r="V2276" i="1"/>
  <c r="U2276" i="1"/>
  <c r="I2276" i="1"/>
  <c r="E2276" i="1"/>
  <c r="D2276" i="1"/>
  <c r="C2276" i="1"/>
  <c r="B2276" i="1"/>
  <c r="AC2275" i="1"/>
  <c r="AB2275" i="1"/>
  <c r="Z2275" i="1"/>
  <c r="W2275" i="1"/>
  <c r="V2275" i="1"/>
  <c r="U2275" i="1"/>
  <c r="I2275" i="1"/>
  <c r="E2275" i="1"/>
  <c r="D2275" i="1"/>
  <c r="C2275" i="1"/>
  <c r="B2275" i="1"/>
  <c r="AC2274" i="1"/>
  <c r="AB2274" i="1"/>
  <c r="Z2274" i="1"/>
  <c r="W2274" i="1"/>
  <c r="V2274" i="1"/>
  <c r="U2274" i="1"/>
  <c r="I2274" i="1"/>
  <c r="E2274" i="1"/>
  <c r="D2274" i="1"/>
  <c r="C2274" i="1"/>
  <c r="B2274" i="1"/>
  <c r="AC2273" i="1"/>
  <c r="AB2273" i="1"/>
  <c r="Z2273" i="1"/>
  <c r="W2273" i="1"/>
  <c r="V2273" i="1"/>
  <c r="U2273" i="1"/>
  <c r="I2273" i="1"/>
  <c r="E2273" i="1"/>
  <c r="D2273" i="1"/>
  <c r="C2273" i="1"/>
  <c r="B2273" i="1"/>
  <c r="AC2272" i="1"/>
  <c r="AB2272" i="1"/>
  <c r="Z2272" i="1"/>
  <c r="W2272" i="1"/>
  <c r="V2272" i="1"/>
  <c r="U2272" i="1"/>
  <c r="I2272" i="1"/>
  <c r="E2272" i="1"/>
  <c r="D2272" i="1"/>
  <c r="C2272" i="1"/>
  <c r="B2272" i="1"/>
  <c r="AC2271" i="1"/>
  <c r="AB2271" i="1"/>
  <c r="Z2271" i="1"/>
  <c r="W2271" i="1"/>
  <c r="V2271" i="1"/>
  <c r="U2271" i="1"/>
  <c r="I2271" i="1"/>
  <c r="E2271" i="1"/>
  <c r="D2271" i="1"/>
  <c r="C2271" i="1"/>
  <c r="B2271" i="1"/>
  <c r="AC2270" i="1"/>
  <c r="AB2270" i="1"/>
  <c r="Z2270" i="1"/>
  <c r="W2270" i="1"/>
  <c r="V2270" i="1"/>
  <c r="U2270" i="1"/>
  <c r="I2270" i="1"/>
  <c r="E2270" i="1"/>
  <c r="D2270" i="1"/>
  <c r="C2270" i="1"/>
  <c r="B2270" i="1"/>
  <c r="AC2269" i="1"/>
  <c r="AB2269" i="1"/>
  <c r="Z2269" i="1"/>
  <c r="W2269" i="1"/>
  <c r="V2269" i="1"/>
  <c r="U2269" i="1"/>
  <c r="I2269" i="1"/>
  <c r="E2269" i="1"/>
  <c r="D2269" i="1"/>
  <c r="C2269" i="1"/>
  <c r="B2269" i="1"/>
  <c r="AC2268" i="1"/>
  <c r="AB2268" i="1"/>
  <c r="Z2268" i="1"/>
  <c r="W2268" i="1"/>
  <c r="V2268" i="1"/>
  <c r="U2268" i="1"/>
  <c r="I2268" i="1"/>
  <c r="E2268" i="1"/>
  <c r="D2268" i="1"/>
  <c r="C2268" i="1"/>
  <c r="B2268" i="1"/>
  <c r="AC2267" i="1"/>
  <c r="AB2267" i="1"/>
  <c r="Z2267" i="1"/>
  <c r="W2267" i="1"/>
  <c r="V2267" i="1"/>
  <c r="U2267" i="1"/>
  <c r="I2267" i="1"/>
  <c r="E2267" i="1"/>
  <c r="D2267" i="1"/>
  <c r="C2267" i="1"/>
  <c r="B2267" i="1"/>
  <c r="AC2266" i="1"/>
  <c r="AB2266" i="1"/>
  <c r="Z2266" i="1"/>
  <c r="W2266" i="1"/>
  <c r="V2266" i="1"/>
  <c r="U2266" i="1"/>
  <c r="I2266" i="1"/>
  <c r="E2266" i="1"/>
  <c r="D2266" i="1"/>
  <c r="C2266" i="1"/>
  <c r="B2266" i="1"/>
  <c r="AC2265" i="1"/>
  <c r="AB2265" i="1"/>
  <c r="Z2265" i="1"/>
  <c r="W2265" i="1"/>
  <c r="V2265" i="1"/>
  <c r="U2265" i="1"/>
  <c r="I2265" i="1"/>
  <c r="E2265" i="1"/>
  <c r="D2265" i="1"/>
  <c r="C2265" i="1"/>
  <c r="B2265" i="1"/>
  <c r="AC2264" i="1"/>
  <c r="AB2264" i="1"/>
  <c r="Z2264" i="1"/>
  <c r="W2264" i="1"/>
  <c r="V2264" i="1"/>
  <c r="U2264" i="1"/>
  <c r="I2264" i="1"/>
  <c r="E2264" i="1"/>
  <c r="D2264" i="1"/>
  <c r="C2264" i="1"/>
  <c r="B2264" i="1"/>
  <c r="AC2263" i="1"/>
  <c r="AB2263" i="1"/>
  <c r="Z2263" i="1"/>
  <c r="W2263" i="1"/>
  <c r="V2263" i="1"/>
  <c r="U2263" i="1"/>
  <c r="I2263" i="1"/>
  <c r="E2263" i="1"/>
  <c r="D2263" i="1"/>
  <c r="C2263" i="1"/>
  <c r="B2263" i="1"/>
  <c r="AC2262" i="1"/>
  <c r="AB2262" i="1"/>
  <c r="Z2262" i="1"/>
  <c r="W2262" i="1"/>
  <c r="V2262" i="1"/>
  <c r="U2262" i="1"/>
  <c r="I2262" i="1"/>
  <c r="E2262" i="1"/>
  <c r="D2262" i="1"/>
  <c r="C2262" i="1"/>
  <c r="B2262" i="1"/>
  <c r="AC2261" i="1"/>
  <c r="AB2261" i="1"/>
  <c r="Z2261" i="1"/>
  <c r="W2261" i="1"/>
  <c r="V2261" i="1"/>
  <c r="U2261" i="1"/>
  <c r="I2261" i="1"/>
  <c r="E2261" i="1"/>
  <c r="D2261" i="1"/>
  <c r="C2261" i="1"/>
  <c r="B2261" i="1"/>
  <c r="AC2260" i="1"/>
  <c r="AB2260" i="1"/>
  <c r="Z2260" i="1"/>
  <c r="W2260" i="1"/>
  <c r="V2260" i="1"/>
  <c r="U2260" i="1"/>
  <c r="I2260" i="1"/>
  <c r="E2260" i="1"/>
  <c r="D2260" i="1"/>
  <c r="C2260" i="1"/>
  <c r="B2260" i="1"/>
  <c r="AC2259" i="1"/>
  <c r="AB2259" i="1"/>
  <c r="Z2259" i="1"/>
  <c r="W2259" i="1"/>
  <c r="V2259" i="1"/>
  <c r="U2259" i="1"/>
  <c r="I2259" i="1"/>
  <c r="E2259" i="1"/>
  <c r="D2259" i="1"/>
  <c r="C2259" i="1"/>
  <c r="B2259" i="1"/>
  <c r="AC2258" i="1"/>
  <c r="AB2258" i="1"/>
  <c r="Z2258" i="1"/>
  <c r="W2258" i="1"/>
  <c r="V2258" i="1"/>
  <c r="U2258" i="1"/>
  <c r="I2258" i="1"/>
  <c r="E2258" i="1"/>
  <c r="D2258" i="1"/>
  <c r="C2258" i="1"/>
  <c r="B2258" i="1"/>
  <c r="AC2257" i="1"/>
  <c r="AB2257" i="1"/>
  <c r="Z2257" i="1"/>
  <c r="W2257" i="1"/>
  <c r="V2257" i="1"/>
  <c r="U2257" i="1"/>
  <c r="I2257" i="1"/>
  <c r="E2257" i="1"/>
  <c r="D2257" i="1"/>
  <c r="C2257" i="1"/>
  <c r="B2257" i="1"/>
  <c r="AC2256" i="1"/>
  <c r="AB2256" i="1"/>
  <c r="Z2256" i="1"/>
  <c r="W2256" i="1"/>
  <c r="V2256" i="1"/>
  <c r="U2256" i="1"/>
  <c r="I2256" i="1"/>
  <c r="E2256" i="1"/>
  <c r="D2256" i="1"/>
  <c r="C2256" i="1"/>
  <c r="B2256" i="1"/>
  <c r="AC2255" i="1"/>
  <c r="AB2255" i="1"/>
  <c r="Z2255" i="1"/>
  <c r="W2255" i="1"/>
  <c r="V2255" i="1"/>
  <c r="U2255" i="1"/>
  <c r="I2255" i="1"/>
  <c r="E2255" i="1"/>
  <c r="D2255" i="1"/>
  <c r="C2255" i="1"/>
  <c r="B2255" i="1"/>
  <c r="AC2254" i="1"/>
  <c r="AB2254" i="1"/>
  <c r="Z2254" i="1"/>
  <c r="W2254" i="1"/>
  <c r="V2254" i="1"/>
  <c r="U2254" i="1"/>
  <c r="I2254" i="1"/>
  <c r="E2254" i="1"/>
  <c r="D2254" i="1"/>
  <c r="C2254" i="1"/>
  <c r="B2254" i="1"/>
  <c r="AC2253" i="1"/>
  <c r="AB2253" i="1"/>
  <c r="Z2253" i="1"/>
  <c r="W2253" i="1"/>
  <c r="V2253" i="1"/>
  <c r="U2253" i="1"/>
  <c r="I2253" i="1"/>
  <c r="E2253" i="1"/>
  <c r="D2253" i="1"/>
  <c r="C2253" i="1"/>
  <c r="B2253" i="1"/>
  <c r="AC2252" i="1"/>
  <c r="AB2252" i="1"/>
  <c r="Z2252" i="1"/>
  <c r="W2252" i="1"/>
  <c r="V2252" i="1"/>
  <c r="U2252" i="1"/>
  <c r="I2252" i="1"/>
  <c r="E2252" i="1"/>
  <c r="D2252" i="1"/>
  <c r="C2252" i="1"/>
  <c r="B2252" i="1"/>
  <c r="AC2251" i="1"/>
  <c r="AB2251" i="1"/>
  <c r="Z2251" i="1"/>
  <c r="W2251" i="1"/>
  <c r="V2251" i="1"/>
  <c r="U2251" i="1"/>
  <c r="I2251" i="1"/>
  <c r="E2251" i="1"/>
  <c r="D2251" i="1"/>
  <c r="C2251" i="1"/>
  <c r="B2251" i="1"/>
  <c r="AC2250" i="1"/>
  <c r="AB2250" i="1"/>
  <c r="Z2250" i="1"/>
  <c r="W2250" i="1"/>
  <c r="V2250" i="1"/>
  <c r="U2250" i="1"/>
  <c r="I2250" i="1"/>
  <c r="E2250" i="1"/>
  <c r="D2250" i="1"/>
  <c r="C2250" i="1"/>
  <c r="B2250" i="1"/>
  <c r="AC2249" i="1"/>
  <c r="AB2249" i="1"/>
  <c r="Z2249" i="1"/>
  <c r="W2249" i="1"/>
  <c r="V2249" i="1"/>
  <c r="U2249" i="1"/>
  <c r="I2249" i="1"/>
  <c r="E2249" i="1"/>
  <c r="D2249" i="1"/>
  <c r="C2249" i="1"/>
  <c r="B2249" i="1"/>
  <c r="AC2248" i="1"/>
  <c r="AB2248" i="1"/>
  <c r="Z2248" i="1"/>
  <c r="W2248" i="1"/>
  <c r="V2248" i="1"/>
  <c r="U2248" i="1"/>
  <c r="I2248" i="1"/>
  <c r="E2248" i="1"/>
  <c r="D2248" i="1"/>
  <c r="C2248" i="1"/>
  <c r="B2248" i="1"/>
  <c r="AC2247" i="1"/>
  <c r="AB2247" i="1"/>
  <c r="Z2247" i="1"/>
  <c r="W2247" i="1"/>
  <c r="V2247" i="1"/>
  <c r="U2247" i="1"/>
  <c r="I2247" i="1"/>
  <c r="E2247" i="1"/>
  <c r="D2247" i="1"/>
  <c r="C2247" i="1"/>
  <c r="B2247" i="1"/>
  <c r="AC2246" i="1"/>
  <c r="AB2246" i="1"/>
  <c r="Z2246" i="1"/>
  <c r="W2246" i="1"/>
  <c r="V2246" i="1"/>
  <c r="U2246" i="1"/>
  <c r="I2246" i="1"/>
  <c r="E2246" i="1"/>
  <c r="D2246" i="1"/>
  <c r="C2246" i="1"/>
  <c r="B2246" i="1"/>
  <c r="AC2245" i="1"/>
  <c r="AB2245" i="1"/>
  <c r="Z2245" i="1"/>
  <c r="W2245" i="1"/>
  <c r="V2245" i="1"/>
  <c r="U2245" i="1"/>
  <c r="I2245" i="1"/>
  <c r="E2245" i="1"/>
  <c r="D2245" i="1"/>
  <c r="C2245" i="1"/>
  <c r="B2245" i="1"/>
  <c r="AC2244" i="1"/>
  <c r="AB2244" i="1"/>
  <c r="Z2244" i="1"/>
  <c r="W2244" i="1"/>
  <c r="V2244" i="1"/>
  <c r="U2244" i="1"/>
  <c r="I2244" i="1"/>
  <c r="E2244" i="1"/>
  <c r="D2244" i="1"/>
  <c r="C2244" i="1"/>
  <c r="B2244" i="1"/>
  <c r="AC2243" i="1"/>
  <c r="AB2243" i="1"/>
  <c r="Z2243" i="1"/>
  <c r="W2243" i="1"/>
  <c r="V2243" i="1"/>
  <c r="U2243" i="1"/>
  <c r="I2243" i="1"/>
  <c r="E2243" i="1"/>
  <c r="D2243" i="1"/>
  <c r="C2243" i="1"/>
  <c r="B2243" i="1"/>
  <c r="AC2242" i="1"/>
  <c r="AB2242" i="1"/>
  <c r="Z2242" i="1"/>
  <c r="W2242" i="1"/>
  <c r="V2242" i="1"/>
  <c r="U2242" i="1"/>
  <c r="I2242" i="1"/>
  <c r="E2242" i="1"/>
  <c r="D2242" i="1"/>
  <c r="C2242" i="1"/>
  <c r="B2242" i="1"/>
  <c r="AC2241" i="1"/>
  <c r="AB2241" i="1"/>
  <c r="Z2241" i="1"/>
  <c r="W2241" i="1"/>
  <c r="V2241" i="1"/>
  <c r="U2241" i="1"/>
  <c r="I2241" i="1"/>
  <c r="E2241" i="1"/>
  <c r="D2241" i="1"/>
  <c r="C2241" i="1"/>
  <c r="B2241" i="1"/>
  <c r="AC2240" i="1"/>
  <c r="AB2240" i="1"/>
  <c r="Z2240" i="1"/>
  <c r="W2240" i="1"/>
  <c r="V2240" i="1"/>
  <c r="U2240" i="1"/>
  <c r="I2240" i="1"/>
  <c r="E2240" i="1"/>
  <c r="D2240" i="1"/>
  <c r="C2240" i="1"/>
  <c r="B2240" i="1"/>
  <c r="AC2239" i="1"/>
  <c r="AB2239" i="1"/>
  <c r="Z2239" i="1"/>
  <c r="W2239" i="1"/>
  <c r="V2239" i="1"/>
  <c r="U2239" i="1"/>
  <c r="I2239" i="1"/>
  <c r="E2239" i="1"/>
  <c r="D2239" i="1"/>
  <c r="C2239" i="1"/>
  <c r="B2239" i="1"/>
  <c r="AC2238" i="1"/>
  <c r="AB2238" i="1"/>
  <c r="Z2238" i="1"/>
  <c r="W2238" i="1"/>
  <c r="V2238" i="1"/>
  <c r="U2238" i="1"/>
  <c r="I2238" i="1"/>
  <c r="E2238" i="1"/>
  <c r="D2238" i="1"/>
  <c r="C2238" i="1"/>
  <c r="B2238" i="1"/>
  <c r="AC2237" i="1"/>
  <c r="AB2237" i="1"/>
  <c r="Z2237" i="1"/>
  <c r="W2237" i="1"/>
  <c r="V2237" i="1"/>
  <c r="U2237" i="1"/>
  <c r="I2237" i="1"/>
  <c r="E2237" i="1"/>
  <c r="D2237" i="1"/>
  <c r="C2237" i="1"/>
  <c r="B2237" i="1"/>
  <c r="AC2236" i="1"/>
  <c r="AB2236" i="1"/>
  <c r="Z2236" i="1"/>
  <c r="W2236" i="1"/>
  <c r="V2236" i="1"/>
  <c r="U2236" i="1"/>
  <c r="I2236" i="1"/>
  <c r="E2236" i="1"/>
  <c r="D2236" i="1"/>
  <c r="C2236" i="1"/>
  <c r="B2236" i="1"/>
  <c r="AC2235" i="1"/>
  <c r="AB2235" i="1"/>
  <c r="Z2235" i="1"/>
  <c r="W2235" i="1"/>
  <c r="V2235" i="1"/>
  <c r="U2235" i="1"/>
  <c r="I2235" i="1"/>
  <c r="E2235" i="1"/>
  <c r="D2235" i="1"/>
  <c r="C2235" i="1"/>
  <c r="B2235" i="1"/>
  <c r="AC2234" i="1"/>
  <c r="AB2234" i="1"/>
  <c r="Z2234" i="1"/>
  <c r="W2234" i="1"/>
  <c r="V2234" i="1"/>
  <c r="U2234" i="1"/>
  <c r="I2234" i="1"/>
  <c r="E2234" i="1"/>
  <c r="D2234" i="1"/>
  <c r="C2234" i="1"/>
  <c r="B2234" i="1"/>
  <c r="AC2233" i="1"/>
  <c r="AB2233" i="1"/>
  <c r="Z2233" i="1"/>
  <c r="W2233" i="1"/>
  <c r="V2233" i="1"/>
  <c r="U2233" i="1"/>
  <c r="I2233" i="1"/>
  <c r="E2233" i="1"/>
  <c r="D2233" i="1"/>
  <c r="C2233" i="1"/>
  <c r="B2233" i="1"/>
  <c r="AC2232" i="1"/>
  <c r="AB2232" i="1"/>
  <c r="Z2232" i="1"/>
  <c r="W2232" i="1"/>
  <c r="V2232" i="1"/>
  <c r="U2232" i="1"/>
  <c r="I2232" i="1"/>
  <c r="E2232" i="1"/>
  <c r="D2232" i="1"/>
  <c r="C2232" i="1"/>
  <c r="B2232" i="1"/>
  <c r="AC2231" i="1"/>
  <c r="AB2231" i="1"/>
  <c r="Z2231" i="1"/>
  <c r="W2231" i="1"/>
  <c r="V2231" i="1"/>
  <c r="U2231" i="1"/>
  <c r="I2231" i="1"/>
  <c r="E2231" i="1"/>
  <c r="D2231" i="1"/>
  <c r="C2231" i="1"/>
  <c r="B2231" i="1"/>
  <c r="AC2230" i="1"/>
  <c r="AB2230" i="1"/>
  <c r="Z2230" i="1"/>
  <c r="W2230" i="1"/>
  <c r="V2230" i="1"/>
  <c r="U2230" i="1"/>
  <c r="I2230" i="1"/>
  <c r="E2230" i="1"/>
  <c r="D2230" i="1"/>
  <c r="C2230" i="1"/>
  <c r="B2230" i="1"/>
  <c r="AC2229" i="1"/>
  <c r="AB2229" i="1"/>
  <c r="Z2229" i="1"/>
  <c r="W2229" i="1"/>
  <c r="V2229" i="1"/>
  <c r="U2229" i="1"/>
  <c r="I2229" i="1"/>
  <c r="E2229" i="1"/>
  <c r="D2229" i="1"/>
  <c r="C2229" i="1"/>
  <c r="B2229" i="1"/>
  <c r="AC2228" i="1"/>
  <c r="AB2228" i="1"/>
  <c r="Z2228" i="1"/>
  <c r="W2228" i="1"/>
  <c r="V2228" i="1"/>
  <c r="U2228" i="1"/>
  <c r="I2228" i="1"/>
  <c r="E2228" i="1"/>
  <c r="D2228" i="1"/>
  <c r="C2228" i="1"/>
  <c r="B2228" i="1"/>
  <c r="AC2227" i="1"/>
  <c r="AB2227" i="1"/>
  <c r="Z2227" i="1"/>
  <c r="W2227" i="1"/>
  <c r="V2227" i="1"/>
  <c r="U2227" i="1"/>
  <c r="I2227" i="1"/>
  <c r="E2227" i="1"/>
  <c r="D2227" i="1"/>
  <c r="C2227" i="1"/>
  <c r="B2227" i="1"/>
  <c r="AC2226" i="1"/>
  <c r="AB2226" i="1"/>
  <c r="Z2226" i="1"/>
  <c r="W2226" i="1"/>
  <c r="V2226" i="1"/>
  <c r="U2226" i="1"/>
  <c r="I2226" i="1"/>
  <c r="E2226" i="1"/>
  <c r="D2226" i="1"/>
  <c r="C2226" i="1"/>
  <c r="B2226" i="1"/>
  <c r="AC2225" i="1"/>
  <c r="AB2225" i="1"/>
  <c r="Z2225" i="1"/>
  <c r="W2225" i="1"/>
  <c r="V2225" i="1"/>
  <c r="U2225" i="1"/>
  <c r="I2225" i="1"/>
  <c r="E2225" i="1"/>
  <c r="D2225" i="1"/>
  <c r="C2225" i="1"/>
  <c r="B2225" i="1"/>
  <c r="AC2224" i="1"/>
  <c r="AB2224" i="1"/>
  <c r="Z2224" i="1"/>
  <c r="W2224" i="1"/>
  <c r="V2224" i="1"/>
  <c r="U2224" i="1"/>
  <c r="I2224" i="1"/>
  <c r="E2224" i="1"/>
  <c r="D2224" i="1"/>
  <c r="C2224" i="1"/>
  <c r="B2224" i="1"/>
  <c r="AC2223" i="1"/>
  <c r="AB2223" i="1"/>
  <c r="Z2223" i="1"/>
  <c r="W2223" i="1"/>
  <c r="V2223" i="1"/>
  <c r="U2223" i="1"/>
  <c r="I2223" i="1"/>
  <c r="E2223" i="1"/>
  <c r="D2223" i="1"/>
  <c r="C2223" i="1"/>
  <c r="B2223" i="1"/>
  <c r="AC2222" i="1"/>
  <c r="AB2222" i="1"/>
  <c r="Z2222" i="1"/>
  <c r="W2222" i="1"/>
  <c r="V2222" i="1"/>
  <c r="U2222" i="1"/>
  <c r="I2222" i="1"/>
  <c r="E2222" i="1"/>
  <c r="D2222" i="1"/>
  <c r="C2222" i="1"/>
  <c r="B2222" i="1"/>
  <c r="AC2221" i="1"/>
  <c r="AB2221" i="1"/>
  <c r="Z2221" i="1"/>
  <c r="W2221" i="1"/>
  <c r="V2221" i="1"/>
  <c r="U2221" i="1"/>
  <c r="I2221" i="1"/>
  <c r="E2221" i="1"/>
  <c r="D2221" i="1"/>
  <c r="C2221" i="1"/>
  <c r="B2221" i="1"/>
  <c r="AC2220" i="1"/>
  <c r="AB2220" i="1"/>
  <c r="Z2220" i="1"/>
  <c r="W2220" i="1"/>
  <c r="V2220" i="1"/>
  <c r="U2220" i="1"/>
  <c r="I2220" i="1"/>
  <c r="E2220" i="1"/>
  <c r="D2220" i="1"/>
  <c r="C2220" i="1"/>
  <c r="B2220" i="1"/>
  <c r="AC2219" i="1"/>
  <c r="AB2219" i="1"/>
  <c r="Z2219" i="1"/>
  <c r="W2219" i="1"/>
  <c r="V2219" i="1"/>
  <c r="U2219" i="1"/>
  <c r="I2219" i="1"/>
  <c r="E2219" i="1"/>
  <c r="D2219" i="1"/>
  <c r="C2219" i="1"/>
  <c r="B2219" i="1"/>
  <c r="AC2218" i="1"/>
  <c r="AB2218" i="1"/>
  <c r="Z2218" i="1"/>
  <c r="W2218" i="1"/>
  <c r="V2218" i="1"/>
  <c r="U2218" i="1"/>
  <c r="I2218" i="1"/>
  <c r="E2218" i="1"/>
  <c r="D2218" i="1"/>
  <c r="C2218" i="1"/>
  <c r="B2218" i="1"/>
  <c r="AC2217" i="1"/>
  <c r="AB2217" i="1"/>
  <c r="Z2217" i="1"/>
  <c r="W2217" i="1"/>
  <c r="V2217" i="1"/>
  <c r="U2217" i="1"/>
  <c r="I2217" i="1"/>
  <c r="E2217" i="1"/>
  <c r="D2217" i="1"/>
  <c r="C2217" i="1"/>
  <c r="B2217" i="1"/>
  <c r="AC2216" i="1"/>
  <c r="AB2216" i="1"/>
  <c r="Z2216" i="1"/>
  <c r="W2216" i="1"/>
  <c r="V2216" i="1"/>
  <c r="U2216" i="1"/>
  <c r="I2216" i="1"/>
  <c r="E2216" i="1"/>
  <c r="D2216" i="1"/>
  <c r="C2216" i="1"/>
  <c r="B2216" i="1"/>
  <c r="AC2215" i="1"/>
  <c r="AB2215" i="1"/>
  <c r="Z2215" i="1"/>
  <c r="W2215" i="1"/>
  <c r="V2215" i="1"/>
  <c r="U2215" i="1"/>
  <c r="I2215" i="1"/>
  <c r="E2215" i="1"/>
  <c r="D2215" i="1"/>
  <c r="C2215" i="1"/>
  <c r="B2215" i="1"/>
  <c r="AC2214" i="1"/>
  <c r="AB2214" i="1"/>
  <c r="Z2214" i="1"/>
  <c r="W2214" i="1"/>
  <c r="V2214" i="1"/>
  <c r="U2214" i="1"/>
  <c r="I2214" i="1"/>
  <c r="E2214" i="1"/>
  <c r="D2214" i="1"/>
  <c r="C2214" i="1"/>
  <c r="B2214" i="1"/>
  <c r="AC2213" i="1"/>
  <c r="AB2213" i="1"/>
  <c r="Z2213" i="1"/>
  <c r="W2213" i="1"/>
  <c r="V2213" i="1"/>
  <c r="U2213" i="1"/>
  <c r="I2213" i="1"/>
  <c r="E2213" i="1"/>
  <c r="D2213" i="1"/>
  <c r="C2213" i="1"/>
  <c r="B2213" i="1"/>
  <c r="AC2212" i="1"/>
  <c r="AB2212" i="1"/>
  <c r="Z2212" i="1"/>
  <c r="W2212" i="1"/>
  <c r="V2212" i="1"/>
  <c r="U2212" i="1"/>
  <c r="I2212" i="1"/>
  <c r="E2212" i="1"/>
  <c r="D2212" i="1"/>
  <c r="C2212" i="1"/>
  <c r="B2212" i="1"/>
  <c r="AC2211" i="1"/>
  <c r="AB2211" i="1"/>
  <c r="Z2211" i="1"/>
  <c r="W2211" i="1"/>
  <c r="V2211" i="1"/>
  <c r="U2211" i="1"/>
  <c r="I2211" i="1"/>
  <c r="E2211" i="1"/>
  <c r="D2211" i="1"/>
  <c r="C2211" i="1"/>
  <c r="B2211" i="1"/>
  <c r="AC2210" i="1"/>
  <c r="AB2210" i="1"/>
  <c r="Z2210" i="1"/>
  <c r="W2210" i="1"/>
  <c r="V2210" i="1"/>
  <c r="U2210" i="1"/>
  <c r="I2210" i="1"/>
  <c r="E2210" i="1"/>
  <c r="D2210" i="1"/>
  <c r="C2210" i="1"/>
  <c r="B2210" i="1"/>
  <c r="AC2209" i="1"/>
  <c r="AB2209" i="1"/>
  <c r="Z2209" i="1"/>
  <c r="W2209" i="1"/>
  <c r="V2209" i="1"/>
  <c r="U2209" i="1"/>
  <c r="I2209" i="1"/>
  <c r="E2209" i="1"/>
  <c r="D2209" i="1"/>
  <c r="C2209" i="1"/>
  <c r="B2209" i="1"/>
  <c r="AC2208" i="1"/>
  <c r="AB2208" i="1"/>
  <c r="Z2208" i="1"/>
  <c r="W2208" i="1"/>
  <c r="V2208" i="1"/>
  <c r="U2208" i="1"/>
  <c r="I2208" i="1"/>
  <c r="E2208" i="1"/>
  <c r="D2208" i="1"/>
  <c r="C2208" i="1"/>
  <c r="B2208" i="1"/>
  <c r="AC2207" i="1"/>
  <c r="AB2207" i="1"/>
  <c r="Z2207" i="1"/>
  <c r="W2207" i="1"/>
  <c r="V2207" i="1"/>
  <c r="U2207" i="1"/>
  <c r="I2207" i="1"/>
  <c r="E2207" i="1"/>
  <c r="D2207" i="1"/>
  <c r="C2207" i="1"/>
  <c r="B2207" i="1"/>
  <c r="AC2206" i="1"/>
  <c r="AB2206" i="1"/>
  <c r="Z2206" i="1"/>
  <c r="W2206" i="1"/>
  <c r="V2206" i="1"/>
  <c r="U2206" i="1"/>
  <c r="I2206" i="1"/>
  <c r="E2206" i="1"/>
  <c r="D2206" i="1"/>
  <c r="C2206" i="1"/>
  <c r="B2206" i="1"/>
  <c r="AC2205" i="1"/>
  <c r="AB2205" i="1"/>
  <c r="Z2205" i="1"/>
  <c r="W2205" i="1"/>
  <c r="V2205" i="1"/>
  <c r="U2205" i="1"/>
  <c r="I2205" i="1"/>
  <c r="E2205" i="1"/>
  <c r="D2205" i="1"/>
  <c r="C2205" i="1"/>
  <c r="B2205" i="1"/>
  <c r="AC2204" i="1"/>
  <c r="AB2204" i="1"/>
  <c r="Z2204" i="1"/>
  <c r="W2204" i="1"/>
  <c r="V2204" i="1"/>
  <c r="U2204" i="1"/>
  <c r="I2204" i="1"/>
  <c r="E2204" i="1"/>
  <c r="D2204" i="1"/>
  <c r="C2204" i="1"/>
  <c r="B2204" i="1"/>
  <c r="AC2203" i="1"/>
  <c r="AB2203" i="1"/>
  <c r="Z2203" i="1"/>
  <c r="W2203" i="1"/>
  <c r="V2203" i="1"/>
  <c r="U2203" i="1"/>
  <c r="I2203" i="1"/>
  <c r="E2203" i="1"/>
  <c r="D2203" i="1"/>
  <c r="C2203" i="1"/>
  <c r="B2203" i="1"/>
  <c r="AC2202" i="1"/>
  <c r="AB2202" i="1"/>
  <c r="Z2202" i="1"/>
  <c r="W2202" i="1"/>
  <c r="V2202" i="1"/>
  <c r="U2202" i="1"/>
  <c r="I2202" i="1"/>
  <c r="E2202" i="1"/>
  <c r="D2202" i="1"/>
  <c r="C2202" i="1"/>
  <c r="B2202" i="1"/>
  <c r="AC2201" i="1"/>
  <c r="AB2201" i="1"/>
  <c r="Z2201" i="1"/>
  <c r="W2201" i="1"/>
  <c r="V2201" i="1"/>
  <c r="U2201" i="1"/>
  <c r="I2201" i="1"/>
  <c r="E2201" i="1"/>
  <c r="D2201" i="1"/>
  <c r="C2201" i="1"/>
  <c r="B2201" i="1"/>
  <c r="AC2200" i="1"/>
  <c r="AB2200" i="1"/>
  <c r="Z2200" i="1"/>
  <c r="W2200" i="1"/>
  <c r="V2200" i="1"/>
  <c r="U2200" i="1"/>
  <c r="I2200" i="1"/>
  <c r="E2200" i="1"/>
  <c r="D2200" i="1"/>
  <c r="C2200" i="1"/>
  <c r="B2200" i="1"/>
  <c r="AC2199" i="1"/>
  <c r="AB2199" i="1"/>
  <c r="Z2199" i="1"/>
  <c r="W2199" i="1"/>
  <c r="V2199" i="1"/>
  <c r="U2199" i="1"/>
  <c r="I2199" i="1"/>
  <c r="E2199" i="1"/>
  <c r="D2199" i="1"/>
  <c r="C2199" i="1"/>
  <c r="B2199" i="1"/>
  <c r="AC2198" i="1"/>
  <c r="AB2198" i="1"/>
  <c r="Z2198" i="1"/>
  <c r="W2198" i="1"/>
  <c r="V2198" i="1"/>
  <c r="U2198" i="1"/>
  <c r="I2198" i="1"/>
  <c r="E2198" i="1"/>
  <c r="D2198" i="1"/>
  <c r="C2198" i="1"/>
  <c r="B2198" i="1"/>
  <c r="AC2197" i="1"/>
  <c r="AB2197" i="1"/>
  <c r="Z2197" i="1"/>
  <c r="W2197" i="1"/>
  <c r="V2197" i="1"/>
  <c r="U2197" i="1"/>
  <c r="I2197" i="1"/>
  <c r="E2197" i="1"/>
  <c r="D2197" i="1"/>
  <c r="C2197" i="1"/>
  <c r="B2197" i="1"/>
  <c r="AC2196" i="1"/>
  <c r="AB2196" i="1"/>
  <c r="Z2196" i="1"/>
  <c r="W2196" i="1"/>
  <c r="V2196" i="1"/>
  <c r="U2196" i="1"/>
  <c r="I2196" i="1"/>
  <c r="E2196" i="1"/>
  <c r="D2196" i="1"/>
  <c r="C2196" i="1"/>
  <c r="B2196" i="1"/>
  <c r="AC2195" i="1"/>
  <c r="AB2195" i="1"/>
  <c r="Z2195" i="1"/>
  <c r="W2195" i="1"/>
  <c r="V2195" i="1"/>
  <c r="U2195" i="1"/>
  <c r="I2195" i="1"/>
  <c r="E2195" i="1"/>
  <c r="D2195" i="1"/>
  <c r="C2195" i="1"/>
  <c r="B2195" i="1"/>
  <c r="AC2194" i="1"/>
  <c r="AB2194" i="1"/>
  <c r="Z2194" i="1"/>
  <c r="W2194" i="1"/>
  <c r="V2194" i="1"/>
  <c r="U2194" i="1"/>
  <c r="I2194" i="1"/>
  <c r="E2194" i="1"/>
  <c r="D2194" i="1"/>
  <c r="C2194" i="1"/>
  <c r="B2194" i="1"/>
  <c r="AC2193" i="1"/>
  <c r="AB2193" i="1"/>
  <c r="Z2193" i="1"/>
  <c r="W2193" i="1"/>
  <c r="V2193" i="1"/>
  <c r="U2193" i="1"/>
  <c r="I2193" i="1"/>
  <c r="E2193" i="1"/>
  <c r="D2193" i="1"/>
  <c r="C2193" i="1"/>
  <c r="B2193" i="1"/>
  <c r="AC2192" i="1"/>
  <c r="AB2192" i="1"/>
  <c r="Z2192" i="1"/>
  <c r="W2192" i="1"/>
  <c r="V2192" i="1"/>
  <c r="U2192" i="1"/>
  <c r="I2192" i="1"/>
  <c r="E2192" i="1"/>
  <c r="D2192" i="1"/>
  <c r="C2192" i="1"/>
  <c r="B2192" i="1"/>
  <c r="AC2191" i="1"/>
  <c r="AB2191" i="1"/>
  <c r="Z2191" i="1"/>
  <c r="W2191" i="1"/>
  <c r="V2191" i="1"/>
  <c r="U2191" i="1"/>
  <c r="I2191" i="1"/>
  <c r="E2191" i="1"/>
  <c r="D2191" i="1"/>
  <c r="C2191" i="1"/>
  <c r="B2191" i="1"/>
  <c r="AC2190" i="1"/>
  <c r="AB2190" i="1"/>
  <c r="Z2190" i="1"/>
  <c r="W2190" i="1"/>
  <c r="V2190" i="1"/>
  <c r="U2190" i="1"/>
  <c r="I2190" i="1"/>
  <c r="E2190" i="1"/>
  <c r="D2190" i="1"/>
  <c r="C2190" i="1"/>
  <c r="B2190" i="1"/>
  <c r="AC2189" i="1"/>
  <c r="AB2189" i="1"/>
  <c r="Z2189" i="1"/>
  <c r="W2189" i="1"/>
  <c r="V2189" i="1"/>
  <c r="U2189" i="1"/>
  <c r="I2189" i="1"/>
  <c r="E2189" i="1"/>
  <c r="D2189" i="1"/>
  <c r="C2189" i="1"/>
  <c r="B2189" i="1"/>
  <c r="AC2188" i="1"/>
  <c r="AB2188" i="1"/>
  <c r="Z2188" i="1"/>
  <c r="W2188" i="1"/>
  <c r="V2188" i="1"/>
  <c r="U2188" i="1"/>
  <c r="I2188" i="1"/>
  <c r="E2188" i="1"/>
  <c r="D2188" i="1"/>
  <c r="C2188" i="1"/>
  <c r="B2188" i="1"/>
  <c r="AC2187" i="1"/>
  <c r="AB2187" i="1"/>
  <c r="Z2187" i="1"/>
  <c r="W2187" i="1"/>
  <c r="V2187" i="1"/>
  <c r="U2187" i="1"/>
  <c r="I2187" i="1"/>
  <c r="E2187" i="1"/>
  <c r="D2187" i="1"/>
  <c r="C2187" i="1"/>
  <c r="B2187" i="1"/>
  <c r="AC2186" i="1"/>
  <c r="AB2186" i="1"/>
  <c r="Z2186" i="1"/>
  <c r="W2186" i="1"/>
  <c r="V2186" i="1"/>
  <c r="U2186" i="1"/>
  <c r="I2186" i="1"/>
  <c r="E2186" i="1"/>
  <c r="D2186" i="1"/>
  <c r="C2186" i="1"/>
  <c r="B2186" i="1"/>
  <c r="AC2185" i="1"/>
  <c r="AB2185" i="1"/>
  <c r="Z2185" i="1"/>
  <c r="W2185" i="1"/>
  <c r="V2185" i="1"/>
  <c r="U2185" i="1"/>
  <c r="I2185" i="1"/>
  <c r="E2185" i="1"/>
  <c r="D2185" i="1"/>
  <c r="C2185" i="1"/>
  <c r="B2185" i="1"/>
  <c r="AC2184" i="1"/>
  <c r="AB2184" i="1"/>
  <c r="Z2184" i="1"/>
  <c r="W2184" i="1"/>
  <c r="V2184" i="1"/>
  <c r="U2184" i="1"/>
  <c r="I2184" i="1"/>
  <c r="E2184" i="1"/>
  <c r="D2184" i="1"/>
  <c r="C2184" i="1"/>
  <c r="B2184" i="1"/>
  <c r="AC2183" i="1"/>
  <c r="AB2183" i="1"/>
  <c r="Z2183" i="1"/>
  <c r="W2183" i="1"/>
  <c r="V2183" i="1"/>
  <c r="U2183" i="1"/>
  <c r="I2183" i="1"/>
  <c r="E2183" i="1"/>
  <c r="D2183" i="1"/>
  <c r="C2183" i="1"/>
  <c r="B2183" i="1"/>
  <c r="AC2182" i="1"/>
  <c r="AB2182" i="1"/>
  <c r="Z2182" i="1"/>
  <c r="W2182" i="1"/>
  <c r="V2182" i="1"/>
  <c r="U2182" i="1"/>
  <c r="I2182" i="1"/>
  <c r="E2182" i="1"/>
  <c r="D2182" i="1"/>
  <c r="C2182" i="1"/>
  <c r="B2182" i="1"/>
  <c r="AC2181" i="1"/>
  <c r="AB2181" i="1"/>
  <c r="Z2181" i="1"/>
  <c r="W2181" i="1"/>
  <c r="V2181" i="1"/>
  <c r="U2181" i="1"/>
  <c r="I2181" i="1"/>
  <c r="E2181" i="1"/>
  <c r="D2181" i="1"/>
  <c r="C2181" i="1"/>
  <c r="B2181" i="1"/>
  <c r="AC2180" i="1"/>
  <c r="AB2180" i="1"/>
  <c r="Z2180" i="1"/>
  <c r="W2180" i="1"/>
  <c r="V2180" i="1"/>
  <c r="U2180" i="1"/>
  <c r="I2180" i="1"/>
  <c r="E2180" i="1"/>
  <c r="D2180" i="1"/>
  <c r="C2180" i="1"/>
  <c r="B2180" i="1"/>
  <c r="AC2179" i="1"/>
  <c r="AB2179" i="1"/>
  <c r="Z2179" i="1"/>
  <c r="W2179" i="1"/>
  <c r="V2179" i="1"/>
  <c r="U2179" i="1"/>
  <c r="I2179" i="1"/>
  <c r="E2179" i="1"/>
  <c r="D2179" i="1"/>
  <c r="C2179" i="1"/>
  <c r="B2179" i="1"/>
  <c r="AC2178" i="1"/>
  <c r="AB2178" i="1"/>
  <c r="Z2178" i="1"/>
  <c r="W2178" i="1"/>
  <c r="V2178" i="1"/>
  <c r="U2178" i="1"/>
  <c r="I2178" i="1"/>
  <c r="E2178" i="1"/>
  <c r="D2178" i="1"/>
  <c r="C2178" i="1"/>
  <c r="B2178" i="1"/>
  <c r="AC2177" i="1"/>
  <c r="AB2177" i="1"/>
  <c r="Z2177" i="1"/>
  <c r="W2177" i="1"/>
  <c r="V2177" i="1"/>
  <c r="U2177" i="1"/>
  <c r="I2177" i="1"/>
  <c r="E2177" i="1"/>
  <c r="D2177" i="1"/>
  <c r="C2177" i="1"/>
  <c r="B2177" i="1"/>
  <c r="AC2176" i="1"/>
  <c r="AB2176" i="1"/>
  <c r="Z2176" i="1"/>
  <c r="W2176" i="1"/>
  <c r="V2176" i="1"/>
  <c r="U2176" i="1"/>
  <c r="I2176" i="1"/>
  <c r="E2176" i="1"/>
  <c r="D2176" i="1"/>
  <c r="C2176" i="1"/>
  <c r="B2176" i="1"/>
  <c r="AC2175" i="1"/>
  <c r="AB2175" i="1"/>
  <c r="Z2175" i="1"/>
  <c r="W2175" i="1"/>
  <c r="V2175" i="1"/>
  <c r="U2175" i="1"/>
  <c r="I2175" i="1"/>
  <c r="E2175" i="1"/>
  <c r="D2175" i="1"/>
  <c r="C2175" i="1"/>
  <c r="B2175" i="1"/>
  <c r="AC2174" i="1"/>
  <c r="AB2174" i="1"/>
  <c r="Z2174" i="1"/>
  <c r="W2174" i="1"/>
  <c r="V2174" i="1"/>
  <c r="U2174" i="1"/>
  <c r="I2174" i="1"/>
  <c r="E2174" i="1"/>
  <c r="D2174" i="1"/>
  <c r="C2174" i="1"/>
  <c r="B2174" i="1"/>
  <c r="AC2173" i="1"/>
  <c r="AB2173" i="1"/>
  <c r="Z2173" i="1"/>
  <c r="W2173" i="1"/>
  <c r="V2173" i="1"/>
  <c r="U2173" i="1"/>
  <c r="I2173" i="1"/>
  <c r="E2173" i="1"/>
  <c r="D2173" i="1"/>
  <c r="C2173" i="1"/>
  <c r="B2173" i="1"/>
  <c r="AC2172" i="1"/>
  <c r="AB2172" i="1"/>
  <c r="Z2172" i="1"/>
  <c r="W2172" i="1"/>
  <c r="V2172" i="1"/>
  <c r="U2172" i="1"/>
  <c r="I2172" i="1"/>
  <c r="E2172" i="1"/>
  <c r="D2172" i="1"/>
  <c r="C2172" i="1"/>
  <c r="B2172" i="1"/>
  <c r="AC2171" i="1"/>
  <c r="AB2171" i="1"/>
  <c r="Z2171" i="1"/>
  <c r="W2171" i="1"/>
  <c r="V2171" i="1"/>
  <c r="U2171" i="1"/>
  <c r="I2171" i="1"/>
  <c r="E2171" i="1"/>
  <c r="D2171" i="1"/>
  <c r="C2171" i="1"/>
  <c r="B2171" i="1"/>
  <c r="AC2170" i="1"/>
  <c r="AB2170" i="1"/>
  <c r="Z2170" i="1"/>
  <c r="W2170" i="1"/>
  <c r="V2170" i="1"/>
  <c r="U2170" i="1"/>
  <c r="I2170" i="1"/>
  <c r="E2170" i="1"/>
  <c r="D2170" i="1"/>
  <c r="C2170" i="1"/>
  <c r="B2170" i="1"/>
  <c r="AC2169" i="1"/>
  <c r="AB2169" i="1"/>
  <c r="Z2169" i="1"/>
  <c r="W2169" i="1"/>
  <c r="V2169" i="1"/>
  <c r="U2169" i="1"/>
  <c r="I2169" i="1"/>
  <c r="E2169" i="1"/>
  <c r="D2169" i="1"/>
  <c r="C2169" i="1"/>
  <c r="B2169" i="1"/>
  <c r="AC2168" i="1"/>
  <c r="AB2168" i="1"/>
  <c r="Z2168" i="1"/>
  <c r="W2168" i="1"/>
  <c r="V2168" i="1"/>
  <c r="U2168" i="1"/>
  <c r="I2168" i="1"/>
  <c r="E2168" i="1"/>
  <c r="D2168" i="1"/>
  <c r="C2168" i="1"/>
  <c r="B2168" i="1"/>
  <c r="AC2167" i="1"/>
  <c r="AB2167" i="1"/>
  <c r="Z2167" i="1"/>
  <c r="W2167" i="1"/>
  <c r="V2167" i="1"/>
  <c r="U2167" i="1"/>
  <c r="I2167" i="1"/>
  <c r="E2167" i="1"/>
  <c r="D2167" i="1"/>
  <c r="C2167" i="1"/>
  <c r="B2167" i="1"/>
  <c r="AC2166" i="1"/>
  <c r="AB2166" i="1"/>
  <c r="Z2166" i="1"/>
  <c r="W2166" i="1"/>
  <c r="V2166" i="1"/>
  <c r="U2166" i="1"/>
  <c r="I2166" i="1"/>
  <c r="E2166" i="1"/>
  <c r="D2166" i="1"/>
  <c r="C2166" i="1"/>
  <c r="B2166" i="1"/>
  <c r="AC2165" i="1"/>
  <c r="AB2165" i="1"/>
  <c r="Z2165" i="1"/>
  <c r="W2165" i="1"/>
  <c r="V2165" i="1"/>
  <c r="U2165" i="1"/>
  <c r="I2165" i="1"/>
  <c r="E2165" i="1"/>
  <c r="D2165" i="1"/>
  <c r="C2165" i="1"/>
  <c r="B2165" i="1"/>
  <c r="AC2164" i="1"/>
  <c r="AB2164" i="1"/>
  <c r="Z2164" i="1"/>
  <c r="W2164" i="1"/>
  <c r="V2164" i="1"/>
  <c r="U2164" i="1"/>
  <c r="I2164" i="1"/>
  <c r="E2164" i="1"/>
  <c r="D2164" i="1"/>
  <c r="C2164" i="1"/>
  <c r="B2164" i="1"/>
  <c r="AC2163" i="1"/>
  <c r="AB2163" i="1"/>
  <c r="Z2163" i="1"/>
  <c r="W2163" i="1"/>
  <c r="V2163" i="1"/>
  <c r="U2163" i="1"/>
  <c r="I2163" i="1"/>
  <c r="E2163" i="1"/>
  <c r="D2163" i="1"/>
  <c r="C2163" i="1"/>
  <c r="B2163" i="1"/>
  <c r="AC2162" i="1"/>
  <c r="AB2162" i="1"/>
  <c r="Z2162" i="1"/>
  <c r="W2162" i="1"/>
  <c r="V2162" i="1"/>
  <c r="U2162" i="1"/>
  <c r="I2162" i="1"/>
  <c r="E2162" i="1"/>
  <c r="D2162" i="1"/>
  <c r="C2162" i="1"/>
  <c r="B2162" i="1"/>
  <c r="AC2161" i="1"/>
  <c r="AB2161" i="1"/>
  <c r="Z2161" i="1"/>
  <c r="W2161" i="1"/>
  <c r="V2161" i="1"/>
  <c r="U2161" i="1"/>
  <c r="I2161" i="1"/>
  <c r="E2161" i="1"/>
  <c r="D2161" i="1"/>
  <c r="C2161" i="1"/>
  <c r="B2161" i="1"/>
  <c r="AC2160" i="1"/>
  <c r="AB2160" i="1"/>
  <c r="Z2160" i="1"/>
  <c r="W2160" i="1"/>
  <c r="V2160" i="1"/>
  <c r="U2160" i="1"/>
  <c r="I2160" i="1"/>
  <c r="E2160" i="1"/>
  <c r="D2160" i="1"/>
  <c r="C2160" i="1"/>
  <c r="B2160" i="1"/>
  <c r="AC2159" i="1"/>
  <c r="AB2159" i="1"/>
  <c r="Z2159" i="1"/>
  <c r="W2159" i="1"/>
  <c r="V2159" i="1"/>
  <c r="U2159" i="1"/>
  <c r="I2159" i="1"/>
  <c r="E2159" i="1"/>
  <c r="D2159" i="1"/>
  <c r="C2159" i="1"/>
  <c r="B2159" i="1"/>
  <c r="AC2158" i="1"/>
  <c r="AB2158" i="1"/>
  <c r="Z2158" i="1"/>
  <c r="W2158" i="1"/>
  <c r="V2158" i="1"/>
  <c r="U2158" i="1"/>
  <c r="I2158" i="1"/>
  <c r="E2158" i="1"/>
  <c r="D2158" i="1"/>
  <c r="C2158" i="1"/>
  <c r="B2158" i="1"/>
  <c r="AC2157" i="1"/>
  <c r="AB2157" i="1"/>
  <c r="Z2157" i="1"/>
  <c r="W2157" i="1"/>
  <c r="V2157" i="1"/>
  <c r="U2157" i="1"/>
  <c r="I2157" i="1"/>
  <c r="E2157" i="1"/>
  <c r="D2157" i="1"/>
  <c r="C2157" i="1"/>
  <c r="B2157" i="1"/>
  <c r="AC2156" i="1"/>
  <c r="AB2156" i="1"/>
  <c r="Z2156" i="1"/>
  <c r="W2156" i="1"/>
  <c r="V2156" i="1"/>
  <c r="U2156" i="1"/>
  <c r="I2156" i="1"/>
  <c r="E2156" i="1"/>
  <c r="D2156" i="1"/>
  <c r="C2156" i="1"/>
  <c r="B2156" i="1"/>
  <c r="AC2155" i="1"/>
  <c r="AB2155" i="1"/>
  <c r="Z2155" i="1"/>
  <c r="W2155" i="1"/>
  <c r="V2155" i="1"/>
  <c r="U2155" i="1"/>
  <c r="I2155" i="1"/>
  <c r="E2155" i="1"/>
  <c r="D2155" i="1"/>
  <c r="C2155" i="1"/>
  <c r="B2155" i="1"/>
  <c r="AC2154" i="1"/>
  <c r="AB2154" i="1"/>
  <c r="Z2154" i="1"/>
  <c r="W2154" i="1"/>
  <c r="V2154" i="1"/>
  <c r="U2154" i="1"/>
  <c r="I2154" i="1"/>
  <c r="E2154" i="1"/>
  <c r="D2154" i="1"/>
  <c r="C2154" i="1"/>
  <c r="B2154" i="1"/>
  <c r="AC2153" i="1"/>
  <c r="AB2153" i="1"/>
  <c r="Z2153" i="1"/>
  <c r="W2153" i="1"/>
  <c r="V2153" i="1"/>
  <c r="U2153" i="1"/>
  <c r="I2153" i="1"/>
  <c r="E2153" i="1"/>
  <c r="D2153" i="1"/>
  <c r="C2153" i="1"/>
  <c r="B2153" i="1"/>
  <c r="AC2152" i="1"/>
  <c r="AB2152" i="1"/>
  <c r="Z2152" i="1"/>
  <c r="W2152" i="1"/>
  <c r="V2152" i="1"/>
  <c r="U2152" i="1"/>
  <c r="I2152" i="1"/>
  <c r="E2152" i="1"/>
  <c r="D2152" i="1"/>
  <c r="C2152" i="1"/>
  <c r="B2152" i="1"/>
  <c r="AC2151" i="1"/>
  <c r="AB2151" i="1"/>
  <c r="Z2151" i="1"/>
  <c r="W2151" i="1"/>
  <c r="V2151" i="1"/>
  <c r="U2151" i="1"/>
  <c r="I2151" i="1"/>
  <c r="E2151" i="1"/>
  <c r="D2151" i="1"/>
  <c r="C2151" i="1"/>
  <c r="B2151" i="1"/>
  <c r="AC2150" i="1"/>
  <c r="AB2150" i="1"/>
  <c r="Z2150" i="1"/>
  <c r="W2150" i="1"/>
  <c r="V2150" i="1"/>
  <c r="U2150" i="1"/>
  <c r="I2150" i="1"/>
  <c r="E2150" i="1"/>
  <c r="D2150" i="1"/>
  <c r="C2150" i="1"/>
  <c r="B2150" i="1"/>
  <c r="AC2149" i="1"/>
  <c r="AB2149" i="1"/>
  <c r="Z2149" i="1"/>
  <c r="W2149" i="1"/>
  <c r="V2149" i="1"/>
  <c r="U2149" i="1"/>
  <c r="I2149" i="1"/>
  <c r="E2149" i="1"/>
  <c r="D2149" i="1"/>
  <c r="C2149" i="1"/>
  <c r="B2149" i="1"/>
  <c r="AC2148" i="1"/>
  <c r="AB2148" i="1"/>
  <c r="Z2148" i="1"/>
  <c r="W2148" i="1"/>
  <c r="V2148" i="1"/>
  <c r="U2148" i="1"/>
  <c r="I2148" i="1"/>
  <c r="E2148" i="1"/>
  <c r="D2148" i="1"/>
  <c r="C2148" i="1"/>
  <c r="B2148" i="1"/>
  <c r="AC2147" i="1"/>
  <c r="AB2147" i="1"/>
  <c r="Z2147" i="1"/>
  <c r="W2147" i="1"/>
  <c r="V2147" i="1"/>
  <c r="U2147" i="1"/>
  <c r="I2147" i="1"/>
  <c r="E2147" i="1"/>
  <c r="D2147" i="1"/>
  <c r="C2147" i="1"/>
  <c r="B2147" i="1"/>
  <c r="AC2146" i="1"/>
  <c r="AB2146" i="1"/>
  <c r="Z2146" i="1"/>
  <c r="W2146" i="1"/>
  <c r="V2146" i="1"/>
  <c r="U2146" i="1"/>
  <c r="I2146" i="1"/>
  <c r="E2146" i="1"/>
  <c r="D2146" i="1"/>
  <c r="C2146" i="1"/>
  <c r="B2146" i="1"/>
  <c r="AC2145" i="1"/>
  <c r="AB2145" i="1"/>
  <c r="Z2145" i="1"/>
  <c r="W2145" i="1"/>
  <c r="V2145" i="1"/>
  <c r="U2145" i="1"/>
  <c r="I2145" i="1"/>
  <c r="E2145" i="1"/>
  <c r="D2145" i="1"/>
  <c r="C2145" i="1"/>
  <c r="B2145" i="1"/>
  <c r="AC2144" i="1"/>
  <c r="AB2144" i="1"/>
  <c r="Z2144" i="1"/>
  <c r="W2144" i="1"/>
  <c r="V2144" i="1"/>
  <c r="U2144" i="1"/>
  <c r="I2144" i="1"/>
  <c r="E2144" i="1"/>
  <c r="D2144" i="1"/>
  <c r="C2144" i="1"/>
  <c r="B2144" i="1"/>
  <c r="AC2143" i="1"/>
  <c r="AB2143" i="1"/>
  <c r="Z2143" i="1"/>
  <c r="W2143" i="1"/>
  <c r="V2143" i="1"/>
  <c r="U2143" i="1"/>
  <c r="I2143" i="1"/>
  <c r="E2143" i="1"/>
  <c r="D2143" i="1"/>
  <c r="C2143" i="1"/>
  <c r="B2143" i="1"/>
  <c r="AC2142" i="1"/>
  <c r="AB2142" i="1"/>
  <c r="Z2142" i="1"/>
  <c r="W2142" i="1"/>
  <c r="V2142" i="1"/>
  <c r="U2142" i="1"/>
  <c r="I2142" i="1"/>
  <c r="E2142" i="1"/>
  <c r="D2142" i="1"/>
  <c r="C2142" i="1"/>
  <c r="B2142" i="1"/>
  <c r="AC2141" i="1"/>
  <c r="AB2141" i="1"/>
  <c r="Z2141" i="1"/>
  <c r="W2141" i="1"/>
  <c r="V2141" i="1"/>
  <c r="U2141" i="1"/>
  <c r="I2141" i="1"/>
  <c r="E2141" i="1"/>
  <c r="D2141" i="1"/>
  <c r="C2141" i="1"/>
  <c r="B2141" i="1"/>
  <c r="AC2140" i="1"/>
  <c r="AB2140" i="1"/>
  <c r="Z2140" i="1"/>
  <c r="W2140" i="1"/>
  <c r="V2140" i="1"/>
  <c r="U2140" i="1"/>
  <c r="I2140" i="1"/>
  <c r="E2140" i="1"/>
  <c r="D2140" i="1"/>
  <c r="C2140" i="1"/>
  <c r="B2140" i="1"/>
  <c r="AC2139" i="1"/>
  <c r="AB2139" i="1"/>
  <c r="Z2139" i="1"/>
  <c r="W2139" i="1"/>
  <c r="V2139" i="1"/>
  <c r="U2139" i="1"/>
  <c r="I2139" i="1"/>
  <c r="E2139" i="1"/>
  <c r="D2139" i="1"/>
  <c r="C2139" i="1"/>
  <c r="B2139" i="1"/>
  <c r="AC2138" i="1"/>
  <c r="AB2138" i="1"/>
  <c r="Z2138" i="1"/>
  <c r="W2138" i="1"/>
  <c r="V2138" i="1"/>
  <c r="U2138" i="1"/>
  <c r="I2138" i="1"/>
  <c r="E2138" i="1"/>
  <c r="D2138" i="1"/>
  <c r="C2138" i="1"/>
  <c r="B2138" i="1"/>
  <c r="AC2137" i="1"/>
  <c r="AB2137" i="1"/>
  <c r="Z2137" i="1"/>
  <c r="W2137" i="1"/>
  <c r="V2137" i="1"/>
  <c r="U2137" i="1"/>
  <c r="I2137" i="1"/>
  <c r="E2137" i="1"/>
  <c r="D2137" i="1"/>
  <c r="C2137" i="1"/>
  <c r="B2137" i="1"/>
  <c r="AC2136" i="1"/>
  <c r="AB2136" i="1"/>
  <c r="Z2136" i="1"/>
  <c r="W2136" i="1"/>
  <c r="V2136" i="1"/>
  <c r="U2136" i="1"/>
  <c r="I2136" i="1"/>
  <c r="E2136" i="1"/>
  <c r="D2136" i="1"/>
  <c r="C2136" i="1"/>
  <c r="B2136" i="1"/>
  <c r="AC2135" i="1"/>
  <c r="AB2135" i="1"/>
  <c r="Z2135" i="1"/>
  <c r="W2135" i="1"/>
  <c r="V2135" i="1"/>
  <c r="U2135" i="1"/>
  <c r="I2135" i="1"/>
  <c r="E2135" i="1"/>
  <c r="D2135" i="1"/>
  <c r="C2135" i="1"/>
  <c r="B2135" i="1"/>
  <c r="AC2134" i="1"/>
  <c r="AB2134" i="1"/>
  <c r="Z2134" i="1"/>
  <c r="W2134" i="1"/>
  <c r="V2134" i="1"/>
  <c r="U2134" i="1"/>
  <c r="I2134" i="1"/>
  <c r="E2134" i="1"/>
  <c r="D2134" i="1"/>
  <c r="C2134" i="1"/>
  <c r="B2134" i="1"/>
  <c r="AC2133" i="1"/>
  <c r="AB2133" i="1"/>
  <c r="Z2133" i="1"/>
  <c r="W2133" i="1"/>
  <c r="V2133" i="1"/>
  <c r="U2133" i="1"/>
  <c r="I2133" i="1"/>
  <c r="E2133" i="1"/>
  <c r="D2133" i="1"/>
  <c r="C2133" i="1"/>
  <c r="B2133" i="1"/>
  <c r="AC2132" i="1"/>
  <c r="AB2132" i="1"/>
  <c r="Z2132" i="1"/>
  <c r="W2132" i="1"/>
  <c r="V2132" i="1"/>
  <c r="U2132" i="1"/>
  <c r="I2132" i="1"/>
  <c r="E2132" i="1"/>
  <c r="D2132" i="1"/>
  <c r="C2132" i="1"/>
  <c r="B2132" i="1"/>
  <c r="AC2131" i="1"/>
  <c r="AB2131" i="1"/>
  <c r="Z2131" i="1"/>
  <c r="W2131" i="1"/>
  <c r="V2131" i="1"/>
  <c r="U2131" i="1"/>
  <c r="I2131" i="1"/>
  <c r="E2131" i="1"/>
  <c r="D2131" i="1"/>
  <c r="C2131" i="1"/>
  <c r="B2131" i="1"/>
  <c r="AC2130" i="1"/>
  <c r="AB2130" i="1"/>
  <c r="Z2130" i="1"/>
  <c r="W2130" i="1"/>
  <c r="V2130" i="1"/>
  <c r="U2130" i="1"/>
  <c r="I2130" i="1"/>
  <c r="E2130" i="1"/>
  <c r="D2130" i="1"/>
  <c r="C2130" i="1"/>
  <c r="B2130" i="1"/>
  <c r="AC2129" i="1"/>
  <c r="AB2129" i="1"/>
  <c r="Z2129" i="1"/>
  <c r="W2129" i="1"/>
  <c r="V2129" i="1"/>
  <c r="U2129" i="1"/>
  <c r="I2129" i="1"/>
  <c r="E2129" i="1"/>
  <c r="D2129" i="1"/>
  <c r="C2129" i="1"/>
  <c r="B2129" i="1"/>
  <c r="AC2128" i="1"/>
  <c r="AB2128" i="1"/>
  <c r="Z2128" i="1"/>
  <c r="W2128" i="1"/>
  <c r="V2128" i="1"/>
  <c r="U2128" i="1"/>
  <c r="I2128" i="1"/>
  <c r="E2128" i="1"/>
  <c r="D2128" i="1"/>
  <c r="C2128" i="1"/>
  <c r="B2128" i="1"/>
  <c r="AC2127" i="1"/>
  <c r="AB2127" i="1"/>
  <c r="Z2127" i="1"/>
  <c r="W2127" i="1"/>
  <c r="V2127" i="1"/>
  <c r="U2127" i="1"/>
  <c r="I2127" i="1"/>
  <c r="E2127" i="1"/>
  <c r="D2127" i="1"/>
  <c r="C2127" i="1"/>
  <c r="B2127" i="1"/>
  <c r="AC2126" i="1"/>
  <c r="AB2126" i="1"/>
  <c r="Z2126" i="1"/>
  <c r="W2126" i="1"/>
  <c r="V2126" i="1"/>
  <c r="U2126" i="1"/>
  <c r="I2126" i="1"/>
  <c r="E2126" i="1"/>
  <c r="D2126" i="1"/>
  <c r="C2126" i="1"/>
  <c r="B2126" i="1"/>
  <c r="AC2125" i="1"/>
  <c r="AB2125" i="1"/>
  <c r="Z2125" i="1"/>
  <c r="W2125" i="1"/>
  <c r="V2125" i="1"/>
  <c r="U2125" i="1"/>
  <c r="I2125" i="1"/>
  <c r="E2125" i="1"/>
  <c r="D2125" i="1"/>
  <c r="C2125" i="1"/>
  <c r="B2125" i="1"/>
  <c r="AC2124" i="1"/>
  <c r="AB2124" i="1"/>
  <c r="Z2124" i="1"/>
  <c r="W2124" i="1"/>
  <c r="V2124" i="1"/>
  <c r="U2124" i="1"/>
  <c r="I2124" i="1"/>
  <c r="E2124" i="1"/>
  <c r="D2124" i="1"/>
  <c r="C2124" i="1"/>
  <c r="B2124" i="1"/>
  <c r="AC2123" i="1"/>
  <c r="AB2123" i="1"/>
  <c r="Z2123" i="1"/>
  <c r="W2123" i="1"/>
  <c r="V2123" i="1"/>
  <c r="U2123" i="1"/>
  <c r="I2123" i="1"/>
  <c r="E2123" i="1"/>
  <c r="D2123" i="1"/>
  <c r="C2123" i="1"/>
  <c r="B2123" i="1"/>
  <c r="AC2122" i="1"/>
  <c r="AB2122" i="1"/>
  <c r="Z2122" i="1"/>
  <c r="W2122" i="1"/>
  <c r="V2122" i="1"/>
  <c r="U2122" i="1"/>
  <c r="I2122" i="1"/>
  <c r="E2122" i="1"/>
  <c r="D2122" i="1"/>
  <c r="C2122" i="1"/>
  <c r="B2122" i="1"/>
  <c r="AC2121" i="1"/>
  <c r="AB2121" i="1"/>
  <c r="Z2121" i="1"/>
  <c r="W2121" i="1"/>
  <c r="V2121" i="1"/>
  <c r="U2121" i="1"/>
  <c r="I2121" i="1"/>
  <c r="E2121" i="1"/>
  <c r="D2121" i="1"/>
  <c r="C2121" i="1"/>
  <c r="B2121" i="1"/>
  <c r="AC2120" i="1"/>
  <c r="AB2120" i="1"/>
  <c r="Z2120" i="1"/>
  <c r="W2120" i="1"/>
  <c r="V2120" i="1"/>
  <c r="U2120" i="1"/>
  <c r="I2120" i="1"/>
  <c r="E2120" i="1"/>
  <c r="D2120" i="1"/>
  <c r="C2120" i="1"/>
  <c r="B2120" i="1"/>
  <c r="AC2119" i="1"/>
  <c r="AB2119" i="1"/>
  <c r="Z2119" i="1"/>
  <c r="W2119" i="1"/>
  <c r="V2119" i="1"/>
  <c r="U2119" i="1"/>
  <c r="I2119" i="1"/>
  <c r="E2119" i="1"/>
  <c r="D2119" i="1"/>
  <c r="C2119" i="1"/>
  <c r="B2119" i="1"/>
  <c r="AC2118" i="1"/>
  <c r="AB2118" i="1"/>
  <c r="Z2118" i="1"/>
  <c r="W2118" i="1"/>
  <c r="V2118" i="1"/>
  <c r="U2118" i="1"/>
  <c r="I2118" i="1"/>
  <c r="E2118" i="1"/>
  <c r="D2118" i="1"/>
  <c r="C2118" i="1"/>
  <c r="B2118" i="1"/>
  <c r="AC2117" i="1"/>
  <c r="AB2117" i="1"/>
  <c r="Z2117" i="1"/>
  <c r="W2117" i="1"/>
  <c r="V2117" i="1"/>
  <c r="U2117" i="1"/>
  <c r="I2117" i="1"/>
  <c r="E2117" i="1"/>
  <c r="D2117" i="1"/>
  <c r="C2117" i="1"/>
  <c r="B2117" i="1"/>
  <c r="AC2116" i="1"/>
  <c r="AB2116" i="1"/>
  <c r="Z2116" i="1"/>
  <c r="W2116" i="1"/>
  <c r="V2116" i="1"/>
  <c r="U2116" i="1"/>
  <c r="I2116" i="1"/>
  <c r="E2116" i="1"/>
  <c r="D2116" i="1"/>
  <c r="C2116" i="1"/>
  <c r="B2116" i="1"/>
  <c r="AC2115" i="1"/>
  <c r="AB2115" i="1"/>
  <c r="Z2115" i="1"/>
  <c r="W2115" i="1"/>
  <c r="V2115" i="1"/>
  <c r="U2115" i="1"/>
  <c r="I2115" i="1"/>
  <c r="E2115" i="1"/>
  <c r="D2115" i="1"/>
  <c r="C2115" i="1"/>
  <c r="B2115" i="1"/>
  <c r="AC2114" i="1"/>
  <c r="AB2114" i="1"/>
  <c r="Z2114" i="1"/>
  <c r="W2114" i="1"/>
  <c r="V2114" i="1"/>
  <c r="U2114" i="1"/>
  <c r="I2114" i="1"/>
  <c r="E2114" i="1"/>
  <c r="D2114" i="1"/>
  <c r="C2114" i="1"/>
  <c r="B2114" i="1"/>
  <c r="AC2113" i="1"/>
  <c r="AB2113" i="1"/>
  <c r="Z2113" i="1"/>
  <c r="W2113" i="1"/>
  <c r="V2113" i="1"/>
  <c r="U2113" i="1"/>
  <c r="I2113" i="1"/>
  <c r="E2113" i="1"/>
  <c r="D2113" i="1"/>
  <c r="C2113" i="1"/>
  <c r="B2113" i="1"/>
  <c r="AC2112" i="1"/>
  <c r="AB2112" i="1"/>
  <c r="Z2112" i="1"/>
  <c r="W2112" i="1"/>
  <c r="V2112" i="1"/>
  <c r="U2112" i="1"/>
  <c r="I2112" i="1"/>
  <c r="E2112" i="1"/>
  <c r="D2112" i="1"/>
  <c r="C2112" i="1"/>
  <c r="B2112" i="1"/>
  <c r="AC2111" i="1"/>
  <c r="AB2111" i="1"/>
  <c r="Z2111" i="1"/>
  <c r="W2111" i="1"/>
  <c r="V2111" i="1"/>
  <c r="U2111" i="1"/>
  <c r="I2111" i="1"/>
  <c r="E2111" i="1"/>
  <c r="D2111" i="1"/>
  <c r="C2111" i="1"/>
  <c r="B2111" i="1"/>
  <c r="AC2110" i="1"/>
  <c r="AB2110" i="1"/>
  <c r="Z2110" i="1"/>
  <c r="W2110" i="1"/>
  <c r="V2110" i="1"/>
  <c r="U2110" i="1"/>
  <c r="I2110" i="1"/>
  <c r="E2110" i="1"/>
  <c r="D2110" i="1"/>
  <c r="C2110" i="1"/>
  <c r="B2110" i="1"/>
  <c r="AC2109" i="1"/>
  <c r="AB2109" i="1"/>
  <c r="Z2109" i="1"/>
  <c r="W2109" i="1"/>
  <c r="V2109" i="1"/>
  <c r="U2109" i="1"/>
  <c r="I2109" i="1"/>
  <c r="E2109" i="1"/>
  <c r="D2109" i="1"/>
  <c r="C2109" i="1"/>
  <c r="B2109" i="1"/>
  <c r="AC2108" i="1"/>
  <c r="AB2108" i="1"/>
  <c r="Z2108" i="1"/>
  <c r="W2108" i="1"/>
  <c r="V2108" i="1"/>
  <c r="U2108" i="1"/>
  <c r="I2108" i="1"/>
  <c r="E2108" i="1"/>
  <c r="D2108" i="1"/>
  <c r="C2108" i="1"/>
  <c r="B2108" i="1"/>
  <c r="AC2107" i="1"/>
  <c r="AB2107" i="1"/>
  <c r="Z2107" i="1"/>
  <c r="W2107" i="1"/>
  <c r="V2107" i="1"/>
  <c r="U2107" i="1"/>
  <c r="I2107" i="1"/>
  <c r="E2107" i="1"/>
  <c r="D2107" i="1"/>
  <c r="C2107" i="1"/>
  <c r="B2107" i="1"/>
  <c r="AC2106" i="1"/>
  <c r="AB2106" i="1"/>
  <c r="Z2106" i="1"/>
  <c r="W2106" i="1"/>
  <c r="V2106" i="1"/>
  <c r="U2106" i="1"/>
  <c r="I2106" i="1"/>
  <c r="E2106" i="1"/>
  <c r="D2106" i="1"/>
  <c r="C2106" i="1"/>
  <c r="B2106" i="1"/>
  <c r="AC2105" i="1"/>
  <c r="AB2105" i="1"/>
  <c r="Z2105" i="1"/>
  <c r="W2105" i="1"/>
  <c r="V2105" i="1"/>
  <c r="U2105" i="1"/>
  <c r="I2105" i="1"/>
  <c r="E2105" i="1"/>
  <c r="D2105" i="1"/>
  <c r="C2105" i="1"/>
  <c r="B2105" i="1"/>
  <c r="AC2104" i="1"/>
  <c r="AB2104" i="1"/>
  <c r="Z2104" i="1"/>
  <c r="W2104" i="1"/>
  <c r="V2104" i="1"/>
  <c r="U2104" i="1"/>
  <c r="I2104" i="1"/>
  <c r="E2104" i="1"/>
  <c r="D2104" i="1"/>
  <c r="C2104" i="1"/>
  <c r="B2104" i="1"/>
  <c r="AC2103" i="1"/>
  <c r="AB2103" i="1"/>
  <c r="Z2103" i="1"/>
  <c r="W2103" i="1"/>
  <c r="V2103" i="1"/>
  <c r="U2103" i="1"/>
  <c r="I2103" i="1"/>
  <c r="E2103" i="1"/>
  <c r="D2103" i="1"/>
  <c r="C2103" i="1"/>
  <c r="B2103" i="1"/>
  <c r="AC2102" i="1"/>
  <c r="AB2102" i="1"/>
  <c r="Z2102" i="1"/>
  <c r="W2102" i="1"/>
  <c r="V2102" i="1"/>
  <c r="U2102" i="1"/>
  <c r="I2102" i="1"/>
  <c r="E2102" i="1"/>
  <c r="D2102" i="1"/>
  <c r="C2102" i="1"/>
  <c r="B2102" i="1"/>
  <c r="AC2101" i="1"/>
  <c r="AB2101" i="1"/>
  <c r="Z2101" i="1"/>
  <c r="W2101" i="1"/>
  <c r="V2101" i="1"/>
  <c r="U2101" i="1"/>
  <c r="I2101" i="1"/>
  <c r="E2101" i="1"/>
  <c r="D2101" i="1"/>
  <c r="C2101" i="1"/>
  <c r="B2101" i="1"/>
  <c r="AC2100" i="1"/>
  <c r="AB2100" i="1"/>
  <c r="Z2100" i="1"/>
  <c r="W2100" i="1"/>
  <c r="V2100" i="1"/>
  <c r="U2100" i="1"/>
  <c r="I2100" i="1"/>
  <c r="E2100" i="1"/>
  <c r="D2100" i="1"/>
  <c r="C2100" i="1"/>
  <c r="B2100" i="1"/>
  <c r="AC2099" i="1"/>
  <c r="AB2099" i="1"/>
  <c r="Z2099" i="1"/>
  <c r="W2099" i="1"/>
  <c r="V2099" i="1"/>
  <c r="U2099" i="1"/>
  <c r="I2099" i="1"/>
  <c r="E2099" i="1"/>
  <c r="D2099" i="1"/>
  <c r="C2099" i="1"/>
  <c r="B2099" i="1"/>
  <c r="AC2098" i="1"/>
  <c r="AB2098" i="1"/>
  <c r="Z2098" i="1"/>
  <c r="W2098" i="1"/>
  <c r="V2098" i="1"/>
  <c r="U2098" i="1"/>
  <c r="I2098" i="1"/>
  <c r="E2098" i="1"/>
  <c r="D2098" i="1"/>
  <c r="C2098" i="1"/>
  <c r="B2098" i="1"/>
  <c r="AC2097" i="1"/>
  <c r="AB2097" i="1"/>
  <c r="Z2097" i="1"/>
  <c r="W2097" i="1"/>
  <c r="V2097" i="1"/>
  <c r="U2097" i="1"/>
  <c r="I2097" i="1"/>
  <c r="E2097" i="1"/>
  <c r="D2097" i="1"/>
  <c r="C2097" i="1"/>
  <c r="B2097" i="1"/>
  <c r="AC2096" i="1"/>
  <c r="AB2096" i="1"/>
  <c r="Z2096" i="1"/>
  <c r="W2096" i="1"/>
  <c r="V2096" i="1"/>
  <c r="U2096" i="1"/>
  <c r="I2096" i="1"/>
  <c r="E2096" i="1"/>
  <c r="D2096" i="1"/>
  <c r="C2096" i="1"/>
  <c r="B2096" i="1"/>
  <c r="AC2095" i="1"/>
  <c r="AB2095" i="1"/>
  <c r="Z2095" i="1"/>
  <c r="W2095" i="1"/>
  <c r="V2095" i="1"/>
  <c r="U2095" i="1"/>
  <c r="I2095" i="1"/>
  <c r="E2095" i="1"/>
  <c r="D2095" i="1"/>
  <c r="C2095" i="1"/>
  <c r="B2095" i="1"/>
  <c r="AC2094" i="1"/>
  <c r="AB2094" i="1"/>
  <c r="Z2094" i="1"/>
  <c r="W2094" i="1"/>
  <c r="V2094" i="1"/>
  <c r="U2094" i="1"/>
  <c r="I2094" i="1"/>
  <c r="E2094" i="1"/>
  <c r="D2094" i="1"/>
  <c r="C2094" i="1"/>
  <c r="B2094" i="1"/>
  <c r="AC2093" i="1"/>
  <c r="AB2093" i="1"/>
  <c r="Z2093" i="1"/>
  <c r="W2093" i="1"/>
  <c r="V2093" i="1"/>
  <c r="U2093" i="1"/>
  <c r="I2093" i="1"/>
  <c r="E2093" i="1"/>
  <c r="D2093" i="1"/>
  <c r="C2093" i="1"/>
  <c r="B2093" i="1"/>
  <c r="AC2092" i="1"/>
  <c r="AB2092" i="1"/>
  <c r="Z2092" i="1"/>
  <c r="W2092" i="1"/>
  <c r="V2092" i="1"/>
  <c r="U2092" i="1"/>
  <c r="I2092" i="1"/>
  <c r="E2092" i="1"/>
  <c r="D2092" i="1"/>
  <c r="C2092" i="1"/>
  <c r="B2092" i="1"/>
  <c r="AC2091" i="1"/>
  <c r="AB2091" i="1"/>
  <c r="Z2091" i="1"/>
  <c r="W2091" i="1"/>
  <c r="V2091" i="1"/>
  <c r="U2091" i="1"/>
  <c r="I2091" i="1"/>
  <c r="E2091" i="1"/>
  <c r="D2091" i="1"/>
  <c r="C2091" i="1"/>
  <c r="B2091" i="1"/>
  <c r="AC2090" i="1"/>
  <c r="AB2090" i="1"/>
  <c r="Z2090" i="1"/>
  <c r="W2090" i="1"/>
  <c r="V2090" i="1"/>
  <c r="U2090" i="1"/>
  <c r="I2090" i="1"/>
  <c r="E2090" i="1"/>
  <c r="D2090" i="1"/>
  <c r="C2090" i="1"/>
  <c r="B2090" i="1"/>
  <c r="AC2089" i="1"/>
  <c r="AB2089" i="1"/>
  <c r="Z2089" i="1"/>
  <c r="W2089" i="1"/>
  <c r="V2089" i="1"/>
  <c r="U2089" i="1"/>
  <c r="I2089" i="1"/>
  <c r="E2089" i="1"/>
  <c r="D2089" i="1"/>
  <c r="C2089" i="1"/>
  <c r="B2089" i="1"/>
  <c r="AC2088" i="1"/>
  <c r="AB2088" i="1"/>
  <c r="Z2088" i="1"/>
  <c r="W2088" i="1"/>
  <c r="V2088" i="1"/>
  <c r="U2088" i="1"/>
  <c r="I2088" i="1"/>
  <c r="E2088" i="1"/>
  <c r="D2088" i="1"/>
  <c r="C2088" i="1"/>
  <c r="B2088" i="1"/>
  <c r="AC2087" i="1"/>
  <c r="AB2087" i="1"/>
  <c r="Z2087" i="1"/>
  <c r="W2087" i="1"/>
  <c r="V2087" i="1"/>
  <c r="U2087" i="1"/>
  <c r="I2087" i="1"/>
  <c r="E2087" i="1"/>
  <c r="D2087" i="1"/>
  <c r="C2087" i="1"/>
  <c r="B2087" i="1"/>
  <c r="AC2086" i="1"/>
  <c r="AB2086" i="1"/>
  <c r="Z2086" i="1"/>
  <c r="W2086" i="1"/>
  <c r="V2086" i="1"/>
  <c r="U2086" i="1"/>
  <c r="I2086" i="1"/>
  <c r="E2086" i="1"/>
  <c r="D2086" i="1"/>
  <c r="C2086" i="1"/>
  <c r="B2086" i="1"/>
  <c r="AC2085" i="1"/>
  <c r="AB2085" i="1"/>
  <c r="Z2085" i="1"/>
  <c r="W2085" i="1"/>
  <c r="V2085" i="1"/>
  <c r="U2085" i="1"/>
  <c r="I2085" i="1"/>
  <c r="E2085" i="1"/>
  <c r="D2085" i="1"/>
  <c r="C2085" i="1"/>
  <c r="B2085" i="1"/>
  <c r="AC2084" i="1"/>
  <c r="AB2084" i="1"/>
  <c r="Z2084" i="1"/>
  <c r="W2084" i="1"/>
  <c r="V2084" i="1"/>
  <c r="U2084" i="1"/>
  <c r="I2084" i="1"/>
  <c r="E2084" i="1"/>
  <c r="D2084" i="1"/>
  <c r="C2084" i="1"/>
  <c r="B2084" i="1"/>
  <c r="AC2083" i="1"/>
  <c r="AB2083" i="1"/>
  <c r="Z2083" i="1"/>
  <c r="W2083" i="1"/>
  <c r="V2083" i="1"/>
  <c r="U2083" i="1"/>
  <c r="I2083" i="1"/>
  <c r="E2083" i="1"/>
  <c r="D2083" i="1"/>
  <c r="C2083" i="1"/>
  <c r="B2083" i="1"/>
  <c r="AC2082" i="1"/>
  <c r="AB2082" i="1"/>
  <c r="Z2082" i="1"/>
  <c r="W2082" i="1"/>
  <c r="V2082" i="1"/>
  <c r="U2082" i="1"/>
  <c r="I2082" i="1"/>
  <c r="E2082" i="1"/>
  <c r="D2082" i="1"/>
  <c r="C2082" i="1"/>
  <c r="B2082" i="1"/>
  <c r="AC2081" i="1"/>
  <c r="AB2081" i="1"/>
  <c r="Z2081" i="1"/>
  <c r="W2081" i="1"/>
  <c r="V2081" i="1"/>
  <c r="U2081" i="1"/>
  <c r="I2081" i="1"/>
  <c r="E2081" i="1"/>
  <c r="D2081" i="1"/>
  <c r="C2081" i="1"/>
  <c r="B2081" i="1"/>
  <c r="AC2080" i="1"/>
  <c r="AB2080" i="1"/>
  <c r="Z2080" i="1"/>
  <c r="W2080" i="1"/>
  <c r="V2080" i="1"/>
  <c r="U2080" i="1"/>
  <c r="I2080" i="1"/>
  <c r="E2080" i="1"/>
  <c r="D2080" i="1"/>
  <c r="C2080" i="1"/>
  <c r="B2080" i="1"/>
  <c r="AC2079" i="1"/>
  <c r="AB2079" i="1"/>
  <c r="Z2079" i="1"/>
  <c r="W2079" i="1"/>
  <c r="V2079" i="1"/>
  <c r="U2079" i="1"/>
  <c r="I2079" i="1"/>
  <c r="E2079" i="1"/>
  <c r="D2079" i="1"/>
  <c r="C2079" i="1"/>
  <c r="B2079" i="1"/>
  <c r="AC2078" i="1"/>
  <c r="AB2078" i="1"/>
  <c r="Z2078" i="1"/>
  <c r="W2078" i="1"/>
  <c r="V2078" i="1"/>
  <c r="U2078" i="1"/>
  <c r="I2078" i="1"/>
  <c r="E2078" i="1"/>
  <c r="D2078" i="1"/>
  <c r="C2078" i="1"/>
  <c r="B2078" i="1"/>
  <c r="AC2077" i="1"/>
  <c r="AB2077" i="1"/>
  <c r="Z2077" i="1"/>
  <c r="W2077" i="1"/>
  <c r="V2077" i="1"/>
  <c r="U2077" i="1"/>
  <c r="I2077" i="1"/>
  <c r="E2077" i="1"/>
  <c r="D2077" i="1"/>
  <c r="C2077" i="1"/>
  <c r="B2077" i="1"/>
  <c r="AC2076" i="1"/>
  <c r="AB2076" i="1"/>
  <c r="Z2076" i="1"/>
  <c r="W2076" i="1"/>
  <c r="V2076" i="1"/>
  <c r="U2076" i="1"/>
  <c r="I2076" i="1"/>
  <c r="E2076" i="1"/>
  <c r="D2076" i="1"/>
  <c r="C2076" i="1"/>
  <c r="B2076" i="1"/>
  <c r="AC2075" i="1"/>
  <c r="AB2075" i="1"/>
  <c r="Z2075" i="1"/>
  <c r="W2075" i="1"/>
  <c r="V2075" i="1"/>
  <c r="U2075" i="1"/>
  <c r="I2075" i="1"/>
  <c r="E2075" i="1"/>
  <c r="D2075" i="1"/>
  <c r="C2075" i="1"/>
  <c r="B2075" i="1"/>
  <c r="AC2074" i="1"/>
  <c r="AB2074" i="1"/>
  <c r="Z2074" i="1"/>
  <c r="W2074" i="1"/>
  <c r="V2074" i="1"/>
  <c r="U2074" i="1"/>
  <c r="I2074" i="1"/>
  <c r="E2074" i="1"/>
  <c r="D2074" i="1"/>
  <c r="C2074" i="1"/>
  <c r="B2074" i="1"/>
  <c r="AC2073" i="1"/>
  <c r="AB2073" i="1"/>
  <c r="Z2073" i="1"/>
  <c r="W2073" i="1"/>
  <c r="V2073" i="1"/>
  <c r="U2073" i="1"/>
  <c r="I2073" i="1"/>
  <c r="E2073" i="1"/>
  <c r="D2073" i="1"/>
  <c r="C2073" i="1"/>
  <c r="B2073" i="1"/>
  <c r="AC2072" i="1"/>
  <c r="AB2072" i="1"/>
  <c r="Z2072" i="1"/>
  <c r="W2072" i="1"/>
  <c r="V2072" i="1"/>
  <c r="U2072" i="1"/>
  <c r="I2072" i="1"/>
  <c r="E2072" i="1"/>
  <c r="D2072" i="1"/>
  <c r="C2072" i="1"/>
  <c r="B2072" i="1"/>
  <c r="AC2071" i="1"/>
  <c r="AB2071" i="1"/>
  <c r="Z2071" i="1"/>
  <c r="W2071" i="1"/>
  <c r="V2071" i="1"/>
  <c r="U2071" i="1"/>
  <c r="I2071" i="1"/>
  <c r="E2071" i="1"/>
  <c r="D2071" i="1"/>
  <c r="C2071" i="1"/>
  <c r="B2071" i="1"/>
  <c r="AC2070" i="1"/>
  <c r="AB2070" i="1"/>
  <c r="Z2070" i="1"/>
  <c r="W2070" i="1"/>
  <c r="V2070" i="1"/>
  <c r="U2070" i="1"/>
  <c r="I2070" i="1"/>
  <c r="E2070" i="1"/>
  <c r="D2070" i="1"/>
  <c r="C2070" i="1"/>
  <c r="B2070" i="1"/>
  <c r="AC2069" i="1"/>
  <c r="AB2069" i="1"/>
  <c r="Z2069" i="1"/>
  <c r="W2069" i="1"/>
  <c r="V2069" i="1"/>
  <c r="U2069" i="1"/>
  <c r="I2069" i="1"/>
  <c r="E2069" i="1"/>
  <c r="D2069" i="1"/>
  <c r="C2069" i="1"/>
  <c r="B2069" i="1"/>
  <c r="AC2068" i="1"/>
  <c r="AB2068" i="1"/>
  <c r="Z2068" i="1"/>
  <c r="W2068" i="1"/>
  <c r="V2068" i="1"/>
  <c r="U2068" i="1"/>
  <c r="I2068" i="1"/>
  <c r="E2068" i="1"/>
  <c r="D2068" i="1"/>
  <c r="C2068" i="1"/>
  <c r="B2068" i="1"/>
  <c r="AC2067" i="1"/>
  <c r="AB2067" i="1"/>
  <c r="Z2067" i="1"/>
  <c r="W2067" i="1"/>
  <c r="V2067" i="1"/>
  <c r="U2067" i="1"/>
  <c r="I2067" i="1"/>
  <c r="E2067" i="1"/>
  <c r="D2067" i="1"/>
  <c r="C2067" i="1"/>
  <c r="B2067" i="1"/>
  <c r="AC2066" i="1"/>
  <c r="AB2066" i="1"/>
  <c r="Z2066" i="1"/>
  <c r="W2066" i="1"/>
  <c r="V2066" i="1"/>
  <c r="U2066" i="1"/>
  <c r="I2066" i="1"/>
  <c r="E2066" i="1"/>
  <c r="D2066" i="1"/>
  <c r="C2066" i="1"/>
  <c r="B2066" i="1"/>
  <c r="AC2065" i="1"/>
  <c r="AB2065" i="1"/>
  <c r="Z2065" i="1"/>
  <c r="W2065" i="1"/>
  <c r="V2065" i="1"/>
  <c r="U2065" i="1"/>
  <c r="I2065" i="1"/>
  <c r="E2065" i="1"/>
  <c r="D2065" i="1"/>
  <c r="C2065" i="1"/>
  <c r="B2065" i="1"/>
  <c r="AC2064" i="1"/>
  <c r="AB2064" i="1"/>
  <c r="Z2064" i="1"/>
  <c r="W2064" i="1"/>
  <c r="V2064" i="1"/>
  <c r="U2064" i="1"/>
  <c r="I2064" i="1"/>
  <c r="E2064" i="1"/>
  <c r="D2064" i="1"/>
  <c r="C2064" i="1"/>
  <c r="B2064" i="1"/>
  <c r="AC2063" i="1"/>
  <c r="AB2063" i="1"/>
  <c r="Z2063" i="1"/>
  <c r="W2063" i="1"/>
  <c r="V2063" i="1"/>
  <c r="U2063" i="1"/>
  <c r="I2063" i="1"/>
  <c r="E2063" i="1"/>
  <c r="D2063" i="1"/>
  <c r="B2063" i="1"/>
  <c r="AC2062" i="1"/>
  <c r="AB2062" i="1"/>
  <c r="Z2062" i="1"/>
  <c r="W2062" i="1"/>
  <c r="V2062" i="1"/>
  <c r="U2062" i="1"/>
  <c r="I2062" i="1"/>
  <c r="E2062" i="1"/>
  <c r="D2062" i="1"/>
  <c r="C2062" i="1"/>
  <c r="B2062" i="1"/>
  <c r="AC2061" i="1"/>
  <c r="AB2061" i="1"/>
  <c r="Z2061" i="1"/>
  <c r="W2061" i="1"/>
  <c r="V2061" i="1"/>
  <c r="U2061" i="1"/>
  <c r="I2061" i="1"/>
  <c r="E2061" i="1"/>
  <c r="D2061" i="1"/>
  <c r="C2061" i="1"/>
  <c r="B2061" i="1"/>
  <c r="AC2060" i="1"/>
  <c r="AB2060" i="1"/>
  <c r="Z2060" i="1"/>
  <c r="W2060" i="1"/>
  <c r="V2060" i="1"/>
  <c r="U2060" i="1"/>
  <c r="I2060" i="1"/>
  <c r="E2060" i="1"/>
  <c r="D2060" i="1"/>
  <c r="C2060" i="1"/>
  <c r="B2060" i="1"/>
  <c r="AC2059" i="1"/>
  <c r="AB2059" i="1"/>
  <c r="Z2059" i="1"/>
  <c r="W2059" i="1"/>
  <c r="V2059" i="1"/>
  <c r="U2059" i="1"/>
  <c r="I2059" i="1"/>
  <c r="E2059" i="1"/>
  <c r="D2059" i="1"/>
  <c r="C2059" i="1"/>
  <c r="B2059" i="1"/>
  <c r="AC2058" i="1"/>
  <c r="AB2058" i="1"/>
  <c r="Z2058" i="1"/>
  <c r="W2058" i="1"/>
  <c r="V2058" i="1"/>
  <c r="U2058" i="1"/>
  <c r="I2058" i="1"/>
  <c r="E2058" i="1"/>
  <c r="D2058" i="1"/>
  <c r="C2058" i="1"/>
  <c r="B2058" i="1"/>
  <c r="AC2057" i="1"/>
  <c r="AB2057" i="1"/>
  <c r="Z2057" i="1"/>
  <c r="W2057" i="1"/>
  <c r="V2057" i="1"/>
  <c r="U2057" i="1"/>
  <c r="I2057" i="1"/>
  <c r="E2057" i="1"/>
  <c r="D2057" i="1"/>
  <c r="C2057" i="1"/>
  <c r="B2057" i="1"/>
  <c r="AC2056" i="1"/>
  <c r="AB2056" i="1"/>
  <c r="Z2056" i="1"/>
  <c r="W2056" i="1"/>
  <c r="V2056" i="1"/>
  <c r="U2056" i="1"/>
  <c r="I2056" i="1"/>
  <c r="E2056" i="1"/>
  <c r="D2056" i="1"/>
  <c r="C2056" i="1"/>
  <c r="B2056" i="1"/>
  <c r="AC2055" i="1"/>
  <c r="AB2055" i="1"/>
  <c r="Z2055" i="1"/>
  <c r="W2055" i="1"/>
  <c r="V2055" i="1"/>
  <c r="U2055" i="1"/>
  <c r="I2055" i="1"/>
  <c r="E2055" i="1"/>
  <c r="D2055" i="1"/>
  <c r="C2055" i="1"/>
  <c r="B2055" i="1"/>
  <c r="AC2054" i="1"/>
  <c r="AB2054" i="1"/>
  <c r="Z2054" i="1"/>
  <c r="W2054" i="1"/>
  <c r="V2054" i="1"/>
  <c r="U2054" i="1"/>
  <c r="I2054" i="1"/>
  <c r="E2054" i="1"/>
  <c r="D2054" i="1"/>
  <c r="C2054" i="1"/>
  <c r="B2054" i="1"/>
  <c r="AC2053" i="1"/>
  <c r="AB2053" i="1"/>
  <c r="Z2053" i="1"/>
  <c r="W2053" i="1"/>
  <c r="V2053" i="1"/>
  <c r="U2053" i="1"/>
  <c r="I2053" i="1"/>
  <c r="E2053" i="1"/>
  <c r="D2053" i="1"/>
  <c r="C2053" i="1"/>
  <c r="B2053" i="1"/>
  <c r="AC2052" i="1"/>
  <c r="AB2052" i="1"/>
  <c r="Z2052" i="1"/>
  <c r="W2052" i="1"/>
  <c r="V2052" i="1"/>
  <c r="U2052" i="1"/>
  <c r="I2052" i="1"/>
  <c r="E2052" i="1"/>
  <c r="D2052" i="1"/>
  <c r="C2052" i="1"/>
  <c r="B2052" i="1"/>
  <c r="AC2051" i="1"/>
  <c r="AB2051" i="1"/>
  <c r="Z2051" i="1"/>
  <c r="W2051" i="1"/>
  <c r="V2051" i="1"/>
  <c r="U2051" i="1"/>
  <c r="I2051" i="1"/>
  <c r="E2051" i="1"/>
  <c r="D2051" i="1"/>
  <c r="C2051" i="1"/>
  <c r="B2051" i="1"/>
  <c r="AC2050" i="1"/>
  <c r="AB2050" i="1"/>
  <c r="Z2050" i="1"/>
  <c r="W2050" i="1"/>
  <c r="V2050" i="1"/>
  <c r="U2050" i="1"/>
  <c r="I2050" i="1"/>
  <c r="E2050" i="1"/>
  <c r="D2050" i="1"/>
  <c r="C2050" i="1"/>
  <c r="B2050" i="1"/>
  <c r="AC2049" i="1"/>
  <c r="AB2049" i="1"/>
  <c r="Z2049" i="1"/>
  <c r="W2049" i="1"/>
  <c r="V2049" i="1"/>
  <c r="U2049" i="1"/>
  <c r="I2049" i="1"/>
  <c r="E2049" i="1"/>
  <c r="D2049" i="1"/>
  <c r="C2049" i="1"/>
  <c r="B2049" i="1"/>
  <c r="AC2048" i="1"/>
  <c r="AB2048" i="1"/>
  <c r="Z2048" i="1"/>
  <c r="W2048" i="1"/>
  <c r="V2048" i="1"/>
  <c r="U2048" i="1"/>
  <c r="I2048" i="1"/>
  <c r="E2048" i="1"/>
  <c r="D2048" i="1"/>
  <c r="C2048" i="1"/>
  <c r="B2048" i="1"/>
  <c r="AC2047" i="1"/>
  <c r="AB2047" i="1"/>
  <c r="Z2047" i="1"/>
  <c r="W2047" i="1"/>
  <c r="V2047" i="1"/>
  <c r="U2047" i="1"/>
  <c r="I2047" i="1"/>
  <c r="E2047" i="1"/>
  <c r="D2047" i="1"/>
  <c r="C2047" i="1"/>
  <c r="B2047" i="1"/>
  <c r="AC2046" i="1"/>
  <c r="AB2046" i="1"/>
  <c r="Z2046" i="1"/>
  <c r="W2046" i="1"/>
  <c r="V2046" i="1"/>
  <c r="U2046" i="1"/>
  <c r="I2046" i="1"/>
  <c r="E2046" i="1"/>
  <c r="D2046" i="1"/>
  <c r="C2046" i="1"/>
  <c r="B2046" i="1"/>
  <c r="AC2045" i="1"/>
  <c r="AB2045" i="1"/>
  <c r="Z2045" i="1"/>
  <c r="W2045" i="1"/>
  <c r="V2045" i="1"/>
  <c r="U2045" i="1"/>
  <c r="I2045" i="1"/>
  <c r="E2045" i="1"/>
  <c r="D2045" i="1"/>
  <c r="C2045" i="1"/>
  <c r="B2045" i="1"/>
  <c r="AC2044" i="1"/>
  <c r="AB2044" i="1"/>
  <c r="Z2044" i="1"/>
  <c r="W2044" i="1"/>
  <c r="V2044" i="1"/>
  <c r="U2044" i="1"/>
  <c r="I2044" i="1"/>
  <c r="E2044" i="1"/>
  <c r="D2044" i="1"/>
  <c r="C2044" i="1"/>
  <c r="B2044" i="1"/>
  <c r="AC2043" i="1"/>
  <c r="AB2043" i="1"/>
  <c r="Z2043" i="1"/>
  <c r="W2043" i="1"/>
  <c r="V2043" i="1"/>
  <c r="U2043" i="1"/>
  <c r="I2043" i="1"/>
  <c r="E2043" i="1"/>
  <c r="D2043" i="1"/>
  <c r="C2043" i="1"/>
  <c r="B2043" i="1"/>
  <c r="AC2042" i="1"/>
  <c r="AB2042" i="1"/>
  <c r="Z2042" i="1"/>
  <c r="W2042" i="1"/>
  <c r="V2042" i="1"/>
  <c r="U2042" i="1"/>
  <c r="I2042" i="1"/>
  <c r="E2042" i="1"/>
  <c r="D2042" i="1"/>
  <c r="C2042" i="1"/>
  <c r="B2042" i="1"/>
  <c r="AC2041" i="1"/>
  <c r="AB2041" i="1"/>
  <c r="Z2041" i="1"/>
  <c r="W2041" i="1"/>
  <c r="V2041" i="1"/>
  <c r="U2041" i="1"/>
  <c r="I2041" i="1"/>
  <c r="E2041" i="1"/>
  <c r="D2041" i="1"/>
  <c r="C2041" i="1"/>
  <c r="B2041" i="1"/>
  <c r="AC2040" i="1"/>
  <c r="AB2040" i="1"/>
  <c r="Z2040" i="1"/>
  <c r="W2040" i="1"/>
  <c r="V2040" i="1"/>
  <c r="U2040" i="1"/>
  <c r="I2040" i="1"/>
  <c r="E2040" i="1"/>
  <c r="D2040" i="1"/>
  <c r="C2040" i="1"/>
  <c r="B2040" i="1"/>
  <c r="AC2039" i="1"/>
  <c r="AB2039" i="1"/>
  <c r="Z2039" i="1"/>
  <c r="W2039" i="1"/>
  <c r="V2039" i="1"/>
  <c r="U2039" i="1"/>
  <c r="I2039" i="1"/>
  <c r="E2039" i="1"/>
  <c r="D2039" i="1"/>
  <c r="C2039" i="1"/>
  <c r="B2039" i="1"/>
  <c r="AC2038" i="1"/>
  <c r="AB2038" i="1"/>
  <c r="Z2038" i="1"/>
  <c r="W2038" i="1"/>
  <c r="V2038" i="1"/>
  <c r="U2038" i="1"/>
  <c r="I2038" i="1"/>
  <c r="E2038" i="1"/>
  <c r="D2038" i="1"/>
  <c r="C2038" i="1"/>
  <c r="B2038" i="1"/>
  <c r="AC2037" i="1"/>
  <c r="AB2037" i="1"/>
  <c r="Z2037" i="1"/>
  <c r="W2037" i="1"/>
  <c r="V2037" i="1"/>
  <c r="U2037" i="1"/>
  <c r="I2037" i="1"/>
  <c r="E2037" i="1"/>
  <c r="D2037" i="1"/>
  <c r="C2037" i="1"/>
  <c r="B2037" i="1"/>
  <c r="AC2036" i="1"/>
  <c r="AB2036" i="1"/>
  <c r="Z2036" i="1"/>
  <c r="W2036" i="1"/>
  <c r="V2036" i="1"/>
  <c r="U2036" i="1"/>
  <c r="I2036" i="1"/>
  <c r="E2036" i="1"/>
  <c r="D2036" i="1"/>
  <c r="C2036" i="1"/>
  <c r="B2036" i="1"/>
  <c r="AC2035" i="1"/>
  <c r="AB2035" i="1"/>
  <c r="Z2035" i="1"/>
  <c r="W2035" i="1"/>
  <c r="V2035" i="1"/>
  <c r="U2035" i="1"/>
  <c r="I2035" i="1"/>
  <c r="E2035" i="1"/>
  <c r="D2035" i="1"/>
  <c r="C2035" i="1"/>
  <c r="B2035" i="1"/>
  <c r="AC2034" i="1"/>
  <c r="AB2034" i="1"/>
  <c r="Z2034" i="1"/>
  <c r="W2034" i="1"/>
  <c r="V2034" i="1"/>
  <c r="U2034" i="1"/>
  <c r="I2034" i="1"/>
  <c r="E2034" i="1"/>
  <c r="D2034" i="1"/>
  <c r="C2034" i="1"/>
  <c r="B2034" i="1"/>
  <c r="AC2033" i="1"/>
  <c r="AB2033" i="1"/>
  <c r="Z2033" i="1"/>
  <c r="W2033" i="1"/>
  <c r="V2033" i="1"/>
  <c r="U2033" i="1"/>
  <c r="I2033" i="1"/>
  <c r="E2033" i="1"/>
  <c r="D2033" i="1"/>
  <c r="C2033" i="1"/>
  <c r="B2033" i="1"/>
  <c r="AC2032" i="1"/>
  <c r="AB2032" i="1"/>
  <c r="Z2032" i="1"/>
  <c r="W2032" i="1"/>
  <c r="V2032" i="1"/>
  <c r="U2032" i="1"/>
  <c r="I2032" i="1"/>
  <c r="E2032" i="1"/>
  <c r="D2032" i="1"/>
  <c r="C2032" i="1"/>
  <c r="B2032" i="1"/>
  <c r="AC2031" i="1"/>
  <c r="AB2031" i="1"/>
  <c r="Z2031" i="1"/>
  <c r="W2031" i="1"/>
  <c r="V2031" i="1"/>
  <c r="U2031" i="1"/>
  <c r="I2031" i="1"/>
  <c r="E2031" i="1"/>
  <c r="D2031" i="1"/>
  <c r="C2031" i="1"/>
  <c r="B2031" i="1"/>
  <c r="AC2030" i="1"/>
  <c r="AB2030" i="1"/>
  <c r="Z2030" i="1"/>
  <c r="W2030" i="1"/>
  <c r="V2030" i="1"/>
  <c r="U2030" i="1"/>
  <c r="I2030" i="1"/>
  <c r="E2030" i="1"/>
  <c r="D2030" i="1"/>
  <c r="C2030" i="1"/>
  <c r="B2030" i="1"/>
  <c r="AC2029" i="1"/>
  <c r="AB2029" i="1"/>
  <c r="Z2029" i="1"/>
  <c r="W2029" i="1"/>
  <c r="V2029" i="1"/>
  <c r="U2029" i="1"/>
  <c r="I2029" i="1"/>
  <c r="E2029" i="1"/>
  <c r="D2029" i="1"/>
  <c r="C2029" i="1"/>
  <c r="B2029" i="1"/>
  <c r="AC2028" i="1"/>
  <c r="AB2028" i="1"/>
  <c r="Z2028" i="1"/>
  <c r="W2028" i="1"/>
  <c r="V2028" i="1"/>
  <c r="U2028" i="1"/>
  <c r="I2028" i="1"/>
  <c r="E2028" i="1"/>
  <c r="D2028" i="1"/>
  <c r="C2028" i="1"/>
  <c r="B2028" i="1"/>
  <c r="AC2027" i="1"/>
  <c r="AB2027" i="1"/>
  <c r="Z2027" i="1"/>
  <c r="W2027" i="1"/>
  <c r="V2027" i="1"/>
  <c r="U2027" i="1"/>
  <c r="I2027" i="1"/>
  <c r="E2027" i="1"/>
  <c r="D2027" i="1"/>
  <c r="C2027" i="1"/>
  <c r="B2027" i="1"/>
  <c r="AC2026" i="1"/>
  <c r="AB2026" i="1"/>
  <c r="Z2026" i="1"/>
  <c r="W2026" i="1"/>
  <c r="V2026" i="1"/>
  <c r="U2026" i="1"/>
  <c r="I2026" i="1"/>
  <c r="E2026" i="1"/>
  <c r="D2026" i="1"/>
  <c r="C2026" i="1"/>
  <c r="B2026" i="1"/>
  <c r="AC2025" i="1"/>
  <c r="AB2025" i="1"/>
  <c r="Z2025" i="1"/>
  <c r="W2025" i="1"/>
  <c r="V2025" i="1"/>
  <c r="U2025" i="1"/>
  <c r="I2025" i="1"/>
  <c r="E2025" i="1"/>
  <c r="D2025" i="1"/>
  <c r="C2025" i="1"/>
  <c r="B2025" i="1"/>
  <c r="AC2024" i="1"/>
  <c r="AB2024" i="1"/>
  <c r="Z2024" i="1"/>
  <c r="W2024" i="1"/>
  <c r="V2024" i="1"/>
  <c r="U2024" i="1"/>
  <c r="I2024" i="1"/>
  <c r="E2024" i="1"/>
  <c r="D2024" i="1"/>
  <c r="C2024" i="1"/>
  <c r="B2024" i="1"/>
  <c r="AC2023" i="1"/>
  <c r="AB2023" i="1"/>
  <c r="Z2023" i="1"/>
  <c r="W2023" i="1"/>
  <c r="V2023" i="1"/>
  <c r="U2023" i="1"/>
  <c r="I2023" i="1"/>
  <c r="E2023" i="1"/>
  <c r="D2023" i="1"/>
  <c r="C2023" i="1"/>
  <c r="B2023" i="1"/>
  <c r="AC2022" i="1"/>
  <c r="AB2022" i="1"/>
  <c r="Z2022" i="1"/>
  <c r="W2022" i="1"/>
  <c r="V2022" i="1"/>
  <c r="U2022" i="1"/>
  <c r="I2022" i="1"/>
  <c r="E2022" i="1"/>
  <c r="D2022" i="1"/>
  <c r="C2022" i="1"/>
  <c r="B2022" i="1"/>
  <c r="AC2021" i="1"/>
  <c r="AB2021" i="1"/>
  <c r="Z2021" i="1"/>
  <c r="W2021" i="1"/>
  <c r="V2021" i="1"/>
  <c r="U2021" i="1"/>
  <c r="I2021" i="1"/>
  <c r="E2021" i="1"/>
  <c r="D2021" i="1"/>
  <c r="C2021" i="1"/>
  <c r="B2021" i="1"/>
  <c r="AC2020" i="1"/>
  <c r="AB2020" i="1"/>
  <c r="Z2020" i="1"/>
  <c r="W2020" i="1"/>
  <c r="V2020" i="1"/>
  <c r="U2020" i="1"/>
  <c r="I2020" i="1"/>
  <c r="E2020" i="1"/>
  <c r="D2020" i="1"/>
  <c r="C2020" i="1"/>
  <c r="B2020" i="1"/>
  <c r="AC2019" i="1"/>
  <c r="AB2019" i="1"/>
  <c r="Z2019" i="1"/>
  <c r="W2019" i="1"/>
  <c r="V2019" i="1"/>
  <c r="U2019" i="1"/>
  <c r="I2019" i="1"/>
  <c r="E2019" i="1"/>
  <c r="D2019" i="1"/>
  <c r="C2019" i="1"/>
  <c r="B2019" i="1"/>
  <c r="AC2018" i="1"/>
  <c r="AB2018" i="1"/>
  <c r="Z2018" i="1"/>
  <c r="W2018" i="1"/>
  <c r="V2018" i="1"/>
  <c r="U2018" i="1"/>
  <c r="I2018" i="1"/>
  <c r="E2018" i="1"/>
  <c r="D2018" i="1"/>
  <c r="C2018" i="1"/>
  <c r="B2018" i="1"/>
  <c r="AC2017" i="1"/>
  <c r="AB2017" i="1"/>
  <c r="Z2017" i="1"/>
  <c r="W2017" i="1"/>
  <c r="V2017" i="1"/>
  <c r="U2017" i="1"/>
  <c r="I2017" i="1"/>
  <c r="E2017" i="1"/>
  <c r="D2017" i="1"/>
  <c r="C2017" i="1"/>
  <c r="B2017" i="1"/>
  <c r="AC2016" i="1"/>
  <c r="AB2016" i="1"/>
  <c r="Z2016" i="1"/>
  <c r="W2016" i="1"/>
  <c r="V2016" i="1"/>
  <c r="U2016" i="1"/>
  <c r="I2016" i="1"/>
  <c r="E2016" i="1"/>
  <c r="D2016" i="1"/>
  <c r="C2016" i="1"/>
  <c r="B2016" i="1"/>
  <c r="AC2015" i="1"/>
  <c r="AB2015" i="1"/>
  <c r="Z2015" i="1"/>
  <c r="W2015" i="1"/>
  <c r="V2015" i="1"/>
  <c r="U2015" i="1"/>
  <c r="I2015" i="1"/>
  <c r="E2015" i="1"/>
  <c r="D2015" i="1"/>
  <c r="C2015" i="1"/>
  <c r="B2015" i="1"/>
  <c r="AC2014" i="1"/>
  <c r="AB2014" i="1"/>
  <c r="Z2014" i="1"/>
  <c r="W2014" i="1"/>
  <c r="V2014" i="1"/>
  <c r="U2014" i="1"/>
  <c r="I2014" i="1"/>
  <c r="E2014" i="1"/>
  <c r="D2014" i="1"/>
  <c r="C2014" i="1"/>
  <c r="B2014" i="1"/>
  <c r="AC2013" i="1"/>
  <c r="AB2013" i="1"/>
  <c r="Z2013" i="1"/>
  <c r="W2013" i="1"/>
  <c r="V2013" i="1"/>
  <c r="U2013" i="1"/>
  <c r="I2013" i="1"/>
  <c r="E2013" i="1"/>
  <c r="D2013" i="1"/>
  <c r="C2013" i="1"/>
  <c r="B2013" i="1"/>
  <c r="AC2012" i="1"/>
  <c r="AB2012" i="1"/>
  <c r="Z2012" i="1"/>
  <c r="W2012" i="1"/>
  <c r="V2012" i="1"/>
  <c r="U2012" i="1"/>
  <c r="I2012" i="1"/>
  <c r="E2012" i="1"/>
  <c r="D2012" i="1"/>
  <c r="C2012" i="1"/>
  <c r="B2012" i="1"/>
  <c r="AC2011" i="1"/>
  <c r="AB2011" i="1"/>
  <c r="Z2011" i="1"/>
  <c r="W2011" i="1"/>
  <c r="V2011" i="1"/>
  <c r="U2011" i="1"/>
  <c r="I2011" i="1"/>
  <c r="E2011" i="1"/>
  <c r="D2011" i="1"/>
  <c r="C2011" i="1"/>
  <c r="B2011" i="1"/>
  <c r="AC2010" i="1"/>
  <c r="AB2010" i="1"/>
  <c r="Z2010" i="1"/>
  <c r="W2010" i="1"/>
  <c r="V2010" i="1"/>
  <c r="U2010" i="1"/>
  <c r="I2010" i="1"/>
  <c r="E2010" i="1"/>
  <c r="D2010" i="1"/>
  <c r="C2010" i="1"/>
  <c r="B2010" i="1"/>
  <c r="AC2009" i="1"/>
  <c r="AB2009" i="1"/>
  <c r="Z2009" i="1"/>
  <c r="W2009" i="1"/>
  <c r="V2009" i="1"/>
  <c r="U2009" i="1"/>
  <c r="I2009" i="1"/>
  <c r="E2009" i="1"/>
  <c r="D2009" i="1"/>
  <c r="C2009" i="1"/>
  <c r="B2009" i="1"/>
  <c r="AC2008" i="1"/>
  <c r="AB2008" i="1"/>
  <c r="Z2008" i="1"/>
  <c r="W2008" i="1"/>
  <c r="V2008" i="1"/>
  <c r="U2008" i="1"/>
  <c r="I2008" i="1"/>
  <c r="E2008" i="1"/>
  <c r="D2008" i="1"/>
  <c r="C2008" i="1"/>
  <c r="B2008" i="1"/>
  <c r="AC2007" i="1"/>
  <c r="AB2007" i="1"/>
  <c r="Z2007" i="1"/>
  <c r="W2007" i="1"/>
  <c r="V2007" i="1"/>
  <c r="U2007" i="1"/>
  <c r="I2007" i="1"/>
  <c r="E2007" i="1"/>
  <c r="D2007" i="1"/>
  <c r="C2007" i="1"/>
  <c r="B2007" i="1"/>
  <c r="AC2006" i="1"/>
  <c r="AB2006" i="1"/>
  <c r="Z2006" i="1"/>
  <c r="W2006" i="1"/>
  <c r="V2006" i="1"/>
  <c r="U2006" i="1"/>
  <c r="I2006" i="1"/>
  <c r="E2006" i="1"/>
  <c r="D2006" i="1"/>
  <c r="C2006" i="1"/>
  <c r="B2006" i="1"/>
  <c r="AC2005" i="1"/>
  <c r="AB2005" i="1"/>
  <c r="Z2005" i="1"/>
  <c r="W2005" i="1"/>
  <c r="V2005" i="1"/>
  <c r="U2005" i="1"/>
  <c r="I2005" i="1"/>
  <c r="E2005" i="1"/>
  <c r="D2005" i="1"/>
  <c r="C2005" i="1"/>
  <c r="B2005" i="1"/>
  <c r="AC2004" i="1"/>
  <c r="AB2004" i="1"/>
  <c r="Z2004" i="1"/>
  <c r="W2004" i="1"/>
  <c r="V2004" i="1"/>
  <c r="U2004" i="1"/>
  <c r="I2004" i="1"/>
  <c r="E2004" i="1"/>
  <c r="D2004" i="1"/>
  <c r="C2004" i="1"/>
  <c r="B2004" i="1"/>
  <c r="AC2003" i="1"/>
  <c r="AB2003" i="1"/>
  <c r="Z2003" i="1"/>
  <c r="W2003" i="1"/>
  <c r="V2003" i="1"/>
  <c r="U2003" i="1"/>
  <c r="I2003" i="1"/>
  <c r="E2003" i="1"/>
  <c r="D2003" i="1"/>
  <c r="C2003" i="1"/>
  <c r="B2003" i="1"/>
  <c r="AC2002" i="1"/>
  <c r="AB2002" i="1"/>
  <c r="Z2002" i="1"/>
  <c r="W2002" i="1"/>
  <c r="V2002" i="1"/>
  <c r="U2002" i="1"/>
  <c r="I2002" i="1"/>
  <c r="E2002" i="1"/>
  <c r="D2002" i="1"/>
  <c r="C2002" i="1"/>
  <c r="B2002" i="1"/>
  <c r="AC2001" i="1"/>
  <c r="AB2001" i="1"/>
  <c r="Z2001" i="1"/>
  <c r="W2001" i="1"/>
  <c r="V2001" i="1"/>
  <c r="U2001" i="1"/>
  <c r="I2001" i="1"/>
  <c r="E2001" i="1"/>
  <c r="D2001" i="1"/>
  <c r="C2001" i="1"/>
  <c r="B2001" i="1"/>
  <c r="AC2000" i="1"/>
  <c r="AB2000" i="1"/>
  <c r="Z2000" i="1"/>
  <c r="W2000" i="1"/>
  <c r="V2000" i="1"/>
  <c r="U2000" i="1"/>
  <c r="I2000" i="1"/>
  <c r="E2000" i="1"/>
  <c r="D2000" i="1"/>
  <c r="C2000" i="1"/>
  <c r="B2000" i="1"/>
  <c r="AC1999" i="1"/>
  <c r="AB1999" i="1"/>
  <c r="Z1999" i="1"/>
  <c r="W1999" i="1"/>
  <c r="V1999" i="1"/>
  <c r="U1999" i="1"/>
  <c r="I1999" i="1"/>
  <c r="E1999" i="1"/>
  <c r="D1999" i="1"/>
  <c r="C1999" i="1"/>
  <c r="B1999" i="1"/>
  <c r="AC1998" i="1"/>
  <c r="AB1998" i="1"/>
  <c r="Z1998" i="1"/>
  <c r="W1998" i="1"/>
  <c r="V1998" i="1"/>
  <c r="U1998" i="1"/>
  <c r="I1998" i="1"/>
  <c r="E1998" i="1"/>
  <c r="D1998" i="1"/>
  <c r="C1998" i="1"/>
  <c r="B1998" i="1"/>
  <c r="AC1997" i="1"/>
  <c r="AB1997" i="1"/>
  <c r="Z1997" i="1"/>
  <c r="W1997" i="1"/>
  <c r="V1997" i="1"/>
  <c r="U1997" i="1"/>
  <c r="I1997" i="1"/>
  <c r="E1997" i="1"/>
  <c r="D1997" i="1"/>
  <c r="C1997" i="1"/>
  <c r="B1997" i="1"/>
  <c r="AC1996" i="1"/>
  <c r="AB1996" i="1"/>
  <c r="Z1996" i="1"/>
  <c r="W1996" i="1"/>
  <c r="V1996" i="1"/>
  <c r="U1996" i="1"/>
  <c r="I1996" i="1"/>
  <c r="E1996" i="1"/>
  <c r="D1996" i="1"/>
  <c r="C1996" i="1"/>
  <c r="B1996" i="1"/>
  <c r="AC1995" i="1"/>
  <c r="AB1995" i="1"/>
  <c r="Z1995" i="1"/>
  <c r="W1995" i="1"/>
  <c r="V1995" i="1"/>
  <c r="U1995" i="1"/>
  <c r="I1995" i="1"/>
  <c r="E1995" i="1"/>
  <c r="D1995" i="1"/>
  <c r="C1995" i="1"/>
  <c r="B1995" i="1"/>
  <c r="AC1994" i="1"/>
  <c r="AB1994" i="1"/>
  <c r="Z1994" i="1"/>
  <c r="W1994" i="1"/>
  <c r="V1994" i="1"/>
  <c r="U1994" i="1"/>
  <c r="I1994" i="1"/>
  <c r="E1994" i="1"/>
  <c r="D1994" i="1"/>
  <c r="C1994" i="1"/>
  <c r="B1994" i="1"/>
  <c r="AC1993" i="1"/>
  <c r="AB1993" i="1"/>
  <c r="Z1993" i="1"/>
  <c r="W1993" i="1"/>
  <c r="V1993" i="1"/>
  <c r="U1993" i="1"/>
  <c r="I1993" i="1"/>
  <c r="E1993" i="1"/>
  <c r="D1993" i="1"/>
  <c r="C1993" i="1"/>
  <c r="B1993" i="1"/>
  <c r="AC1992" i="1"/>
  <c r="AB1992" i="1"/>
  <c r="Z1992" i="1"/>
  <c r="W1992" i="1"/>
  <c r="V1992" i="1"/>
  <c r="U1992" i="1"/>
  <c r="I1992" i="1"/>
  <c r="E1992" i="1"/>
  <c r="D1992" i="1"/>
  <c r="C1992" i="1"/>
  <c r="B1992" i="1"/>
  <c r="AC1991" i="1"/>
  <c r="AB1991" i="1"/>
  <c r="Z1991" i="1"/>
  <c r="W1991" i="1"/>
  <c r="V1991" i="1"/>
  <c r="U1991" i="1"/>
  <c r="I1991" i="1"/>
  <c r="E1991" i="1"/>
  <c r="D1991" i="1"/>
  <c r="C1991" i="1"/>
  <c r="B1991" i="1"/>
  <c r="AC1990" i="1"/>
  <c r="AB1990" i="1"/>
  <c r="Z1990" i="1"/>
  <c r="W1990" i="1"/>
  <c r="V1990" i="1"/>
  <c r="U1990" i="1"/>
  <c r="I1990" i="1"/>
  <c r="E1990" i="1"/>
  <c r="D1990" i="1"/>
  <c r="C1990" i="1"/>
  <c r="B1990" i="1"/>
  <c r="AC1989" i="1"/>
  <c r="AB1989" i="1"/>
  <c r="Z1989" i="1"/>
  <c r="W1989" i="1"/>
  <c r="V1989" i="1"/>
  <c r="U1989" i="1"/>
  <c r="I1989" i="1"/>
  <c r="E1989" i="1"/>
  <c r="D1989" i="1"/>
  <c r="C1989" i="1"/>
  <c r="B1989" i="1"/>
  <c r="AC1988" i="1"/>
  <c r="AB1988" i="1"/>
  <c r="Z1988" i="1"/>
  <c r="W1988" i="1"/>
  <c r="V1988" i="1"/>
  <c r="U1988" i="1"/>
  <c r="I1988" i="1"/>
  <c r="E1988" i="1"/>
  <c r="D1988" i="1"/>
  <c r="C1988" i="1"/>
  <c r="B1988" i="1"/>
  <c r="AC1987" i="1"/>
  <c r="AB1987" i="1"/>
  <c r="Z1987" i="1"/>
  <c r="W1987" i="1"/>
  <c r="V1987" i="1"/>
  <c r="U1987" i="1"/>
  <c r="I1987" i="1"/>
  <c r="E1987" i="1"/>
  <c r="D1987" i="1"/>
  <c r="C1987" i="1"/>
  <c r="B1987" i="1"/>
  <c r="AC1986" i="1"/>
  <c r="AB1986" i="1"/>
  <c r="Z1986" i="1"/>
  <c r="W1986" i="1"/>
  <c r="V1986" i="1"/>
  <c r="U1986" i="1"/>
  <c r="I1986" i="1"/>
  <c r="E1986" i="1"/>
  <c r="D1986" i="1"/>
  <c r="C1986" i="1"/>
  <c r="B1986" i="1"/>
  <c r="AC1985" i="1"/>
  <c r="AB1985" i="1"/>
  <c r="Z1985" i="1"/>
  <c r="W1985" i="1"/>
  <c r="V1985" i="1"/>
  <c r="U1985" i="1"/>
  <c r="I1985" i="1"/>
  <c r="E1985" i="1"/>
  <c r="D1985" i="1"/>
  <c r="C1985" i="1"/>
  <c r="B1985" i="1"/>
  <c r="AC1984" i="1"/>
  <c r="AB1984" i="1"/>
  <c r="Z1984" i="1"/>
  <c r="W1984" i="1"/>
  <c r="V1984" i="1"/>
  <c r="U1984" i="1"/>
  <c r="I1984" i="1"/>
  <c r="E1984" i="1"/>
  <c r="D1984" i="1"/>
  <c r="C1984" i="1"/>
  <c r="B1984" i="1"/>
  <c r="AC1983" i="1"/>
  <c r="AB1983" i="1"/>
  <c r="Z1983" i="1"/>
  <c r="W1983" i="1"/>
  <c r="V1983" i="1"/>
  <c r="U1983" i="1"/>
  <c r="I1983" i="1"/>
  <c r="E1983" i="1"/>
  <c r="D1983" i="1"/>
  <c r="C1983" i="1"/>
  <c r="B1983" i="1"/>
  <c r="AC1982" i="1"/>
  <c r="AB1982" i="1"/>
  <c r="Z1982" i="1"/>
  <c r="W1982" i="1"/>
  <c r="V1982" i="1"/>
  <c r="U1982" i="1"/>
  <c r="I1982" i="1"/>
  <c r="E1982" i="1"/>
  <c r="D1982" i="1"/>
  <c r="C1982" i="1"/>
  <c r="B1982" i="1"/>
  <c r="AC1981" i="1"/>
  <c r="AB1981" i="1"/>
  <c r="Z1981" i="1"/>
  <c r="W1981" i="1"/>
  <c r="V1981" i="1"/>
  <c r="U1981" i="1"/>
  <c r="I1981" i="1"/>
  <c r="E1981" i="1"/>
  <c r="D1981" i="1"/>
  <c r="C1981" i="1"/>
  <c r="B1981" i="1"/>
  <c r="AC1980" i="1"/>
  <c r="AB1980" i="1"/>
  <c r="Z1980" i="1"/>
  <c r="W1980" i="1"/>
  <c r="V1980" i="1"/>
  <c r="U1980" i="1"/>
  <c r="I1980" i="1"/>
  <c r="E1980" i="1"/>
  <c r="D1980" i="1"/>
  <c r="C1980" i="1"/>
  <c r="B1980" i="1"/>
  <c r="AC1979" i="1"/>
  <c r="AB1979" i="1"/>
  <c r="Z1979" i="1"/>
  <c r="W1979" i="1"/>
  <c r="V1979" i="1"/>
  <c r="U1979" i="1"/>
  <c r="I1979" i="1"/>
  <c r="E1979" i="1"/>
  <c r="D1979" i="1"/>
  <c r="C1979" i="1"/>
  <c r="B1979" i="1"/>
  <c r="AC1978" i="1"/>
  <c r="AB1978" i="1"/>
  <c r="Z1978" i="1"/>
  <c r="W1978" i="1"/>
  <c r="V1978" i="1"/>
  <c r="U1978" i="1"/>
  <c r="I1978" i="1"/>
  <c r="E1978" i="1"/>
  <c r="D1978" i="1"/>
  <c r="C1978" i="1"/>
  <c r="B1978" i="1"/>
  <c r="AC1977" i="1"/>
  <c r="AB1977" i="1"/>
  <c r="Z1977" i="1"/>
  <c r="W1977" i="1"/>
  <c r="V1977" i="1"/>
  <c r="U1977" i="1"/>
  <c r="I1977" i="1"/>
  <c r="E1977" i="1"/>
  <c r="D1977" i="1"/>
  <c r="C1977" i="1"/>
  <c r="B1977" i="1"/>
  <c r="AC1976" i="1"/>
  <c r="AB1976" i="1"/>
  <c r="Z1976" i="1"/>
  <c r="W1976" i="1"/>
  <c r="V1976" i="1"/>
  <c r="U1976" i="1"/>
  <c r="I1976" i="1"/>
  <c r="E1976" i="1"/>
  <c r="D1976" i="1"/>
  <c r="C1976" i="1"/>
  <c r="B1976" i="1"/>
  <c r="AC1975" i="1"/>
  <c r="AB1975" i="1"/>
  <c r="Z1975" i="1"/>
  <c r="W1975" i="1"/>
  <c r="V1975" i="1"/>
  <c r="U1975" i="1"/>
  <c r="I1975" i="1"/>
  <c r="E1975" i="1"/>
  <c r="D1975" i="1"/>
  <c r="C1975" i="1"/>
  <c r="B1975" i="1"/>
  <c r="AC1974" i="1"/>
  <c r="AB1974" i="1"/>
  <c r="Z1974" i="1"/>
  <c r="W1974" i="1"/>
  <c r="V1974" i="1"/>
  <c r="U1974" i="1"/>
  <c r="I1974" i="1"/>
  <c r="E1974" i="1"/>
  <c r="D1974" i="1"/>
  <c r="C1974" i="1"/>
  <c r="B1974" i="1"/>
  <c r="AC1973" i="1"/>
  <c r="AB1973" i="1"/>
  <c r="Z1973" i="1"/>
  <c r="W1973" i="1"/>
  <c r="V1973" i="1"/>
  <c r="U1973" i="1"/>
  <c r="I1973" i="1"/>
  <c r="E1973" i="1"/>
  <c r="D1973" i="1"/>
  <c r="C1973" i="1"/>
  <c r="B1973" i="1"/>
  <c r="AC1972" i="1"/>
  <c r="AB1972" i="1"/>
  <c r="Z1972" i="1"/>
  <c r="W1972" i="1"/>
  <c r="V1972" i="1"/>
  <c r="U1972" i="1"/>
  <c r="I1972" i="1"/>
  <c r="E1972" i="1"/>
  <c r="D1972" i="1"/>
  <c r="C1972" i="1"/>
  <c r="B1972" i="1"/>
  <c r="AC1971" i="1"/>
  <c r="AB1971" i="1"/>
  <c r="Z1971" i="1"/>
  <c r="W1971" i="1"/>
  <c r="V1971" i="1"/>
  <c r="U1971" i="1"/>
  <c r="I1971" i="1"/>
  <c r="E1971" i="1"/>
  <c r="D1971" i="1"/>
  <c r="C1971" i="1"/>
  <c r="B1971" i="1"/>
  <c r="AC1970" i="1"/>
  <c r="AB1970" i="1"/>
  <c r="Z1970" i="1"/>
  <c r="W1970" i="1"/>
  <c r="V1970" i="1"/>
  <c r="U1970" i="1"/>
  <c r="I1970" i="1"/>
  <c r="E1970" i="1"/>
  <c r="D1970" i="1"/>
  <c r="C1970" i="1"/>
  <c r="B1970" i="1"/>
  <c r="AC1969" i="1"/>
  <c r="AB1969" i="1"/>
  <c r="Z1969" i="1"/>
  <c r="W1969" i="1"/>
  <c r="V1969" i="1"/>
  <c r="U1969" i="1"/>
  <c r="I1969" i="1"/>
  <c r="E1969" i="1"/>
  <c r="D1969" i="1"/>
  <c r="C1969" i="1"/>
  <c r="B1969" i="1"/>
  <c r="AC1968" i="1"/>
  <c r="AB1968" i="1"/>
  <c r="Z1968" i="1"/>
  <c r="W1968" i="1"/>
  <c r="V1968" i="1"/>
  <c r="U1968" i="1"/>
  <c r="I1968" i="1"/>
  <c r="E1968" i="1"/>
  <c r="D1968" i="1"/>
  <c r="C1968" i="1"/>
  <c r="B1968" i="1"/>
  <c r="AC1967" i="1"/>
  <c r="AB1967" i="1"/>
  <c r="Z1967" i="1"/>
  <c r="W1967" i="1"/>
  <c r="V1967" i="1"/>
  <c r="U1967" i="1"/>
  <c r="I1967" i="1"/>
  <c r="E1967" i="1"/>
  <c r="D1967" i="1"/>
  <c r="C1967" i="1"/>
  <c r="B1967" i="1"/>
  <c r="AC1966" i="1"/>
  <c r="AB1966" i="1"/>
  <c r="Z1966" i="1"/>
  <c r="W1966" i="1"/>
  <c r="V1966" i="1"/>
  <c r="U1966" i="1"/>
  <c r="I1966" i="1"/>
  <c r="E1966" i="1"/>
  <c r="D1966" i="1"/>
  <c r="C1966" i="1"/>
  <c r="B1966" i="1"/>
  <c r="AC1965" i="1"/>
  <c r="AB1965" i="1"/>
  <c r="Z1965" i="1"/>
  <c r="W1965" i="1"/>
  <c r="V1965" i="1"/>
  <c r="U1965" i="1"/>
  <c r="I1965" i="1"/>
  <c r="E1965" i="1"/>
  <c r="D1965" i="1"/>
  <c r="C1965" i="1"/>
  <c r="B1965" i="1"/>
  <c r="AC1964" i="1"/>
  <c r="AB1964" i="1"/>
  <c r="Z1964" i="1"/>
  <c r="W1964" i="1"/>
  <c r="V1964" i="1"/>
  <c r="U1964" i="1"/>
  <c r="I1964" i="1"/>
  <c r="E1964" i="1"/>
  <c r="D1964" i="1"/>
  <c r="C1964" i="1"/>
  <c r="B1964" i="1"/>
  <c r="AC1963" i="1"/>
  <c r="AB1963" i="1"/>
  <c r="Z1963" i="1"/>
  <c r="W1963" i="1"/>
  <c r="V1963" i="1"/>
  <c r="U1963" i="1"/>
  <c r="I1963" i="1"/>
  <c r="E1963" i="1"/>
  <c r="D1963" i="1"/>
  <c r="C1963" i="1"/>
  <c r="B1963" i="1"/>
  <c r="AC1962" i="1"/>
  <c r="AB1962" i="1"/>
  <c r="Z1962" i="1"/>
  <c r="W1962" i="1"/>
  <c r="V1962" i="1"/>
  <c r="U1962" i="1"/>
  <c r="I1962" i="1"/>
  <c r="E1962" i="1"/>
  <c r="D1962" i="1"/>
  <c r="C1962" i="1"/>
  <c r="B1962" i="1"/>
  <c r="AC1961" i="1"/>
  <c r="AB1961" i="1"/>
  <c r="Z1961" i="1"/>
  <c r="W1961" i="1"/>
  <c r="V1961" i="1"/>
  <c r="U1961" i="1"/>
  <c r="I1961" i="1"/>
  <c r="E1961" i="1"/>
  <c r="D1961" i="1"/>
  <c r="C1961" i="1"/>
  <c r="B1961" i="1"/>
  <c r="AC1960" i="1"/>
  <c r="AB1960" i="1"/>
  <c r="Z1960" i="1"/>
  <c r="W1960" i="1"/>
  <c r="V1960" i="1"/>
  <c r="U1960" i="1"/>
  <c r="I1960" i="1"/>
  <c r="E1960" i="1"/>
  <c r="D1960" i="1"/>
  <c r="C1960" i="1"/>
  <c r="B1960" i="1"/>
  <c r="AC1959" i="1"/>
  <c r="AB1959" i="1"/>
  <c r="Z1959" i="1"/>
  <c r="W1959" i="1"/>
  <c r="V1959" i="1"/>
  <c r="U1959" i="1"/>
  <c r="I1959" i="1"/>
  <c r="E1959" i="1"/>
  <c r="D1959" i="1"/>
  <c r="C1959" i="1"/>
  <c r="B1959" i="1"/>
  <c r="AC1958" i="1"/>
  <c r="AB1958" i="1"/>
  <c r="Z1958" i="1"/>
  <c r="W1958" i="1"/>
  <c r="V1958" i="1"/>
  <c r="U1958" i="1"/>
  <c r="I1958" i="1"/>
  <c r="E1958" i="1"/>
  <c r="D1958" i="1"/>
  <c r="C1958" i="1"/>
  <c r="B1958" i="1"/>
  <c r="AC1957" i="1"/>
  <c r="AB1957" i="1"/>
  <c r="Z1957" i="1"/>
  <c r="W1957" i="1"/>
  <c r="V1957" i="1"/>
  <c r="U1957" i="1"/>
  <c r="I1957" i="1"/>
  <c r="E1957" i="1"/>
  <c r="D1957" i="1"/>
  <c r="C1957" i="1"/>
  <c r="B1957" i="1"/>
  <c r="AC1956" i="1"/>
  <c r="AB1956" i="1"/>
  <c r="Z1956" i="1"/>
  <c r="W1956" i="1"/>
  <c r="V1956" i="1"/>
  <c r="U1956" i="1"/>
  <c r="I1956" i="1"/>
  <c r="E1956" i="1"/>
  <c r="D1956" i="1"/>
  <c r="C1956" i="1"/>
  <c r="B1956" i="1"/>
  <c r="AC1955" i="1"/>
  <c r="AB1955" i="1"/>
  <c r="Z1955" i="1"/>
  <c r="W1955" i="1"/>
  <c r="V1955" i="1"/>
  <c r="U1955" i="1"/>
  <c r="I1955" i="1"/>
  <c r="E1955" i="1"/>
  <c r="D1955" i="1"/>
  <c r="C1955" i="1"/>
  <c r="B1955" i="1"/>
  <c r="AC1954" i="1"/>
  <c r="AB1954" i="1"/>
  <c r="Z1954" i="1"/>
  <c r="W1954" i="1"/>
  <c r="V1954" i="1"/>
  <c r="U1954" i="1"/>
  <c r="I1954" i="1"/>
  <c r="E1954" i="1"/>
  <c r="D1954" i="1"/>
  <c r="C1954" i="1"/>
  <c r="B1954" i="1"/>
  <c r="AC1953" i="1"/>
  <c r="AB1953" i="1"/>
  <c r="Z1953" i="1"/>
  <c r="W1953" i="1"/>
  <c r="V1953" i="1"/>
  <c r="U1953" i="1"/>
  <c r="I1953" i="1"/>
  <c r="E1953" i="1"/>
  <c r="D1953" i="1"/>
  <c r="C1953" i="1"/>
  <c r="B1953" i="1"/>
  <c r="AC1952" i="1"/>
  <c r="AB1952" i="1"/>
  <c r="Z1952" i="1"/>
  <c r="W1952" i="1"/>
  <c r="V1952" i="1"/>
  <c r="U1952" i="1"/>
  <c r="I1952" i="1"/>
  <c r="E1952" i="1"/>
  <c r="D1952" i="1"/>
  <c r="C1952" i="1"/>
  <c r="B1952" i="1"/>
  <c r="AC1951" i="1"/>
  <c r="AB1951" i="1"/>
  <c r="Z1951" i="1"/>
  <c r="W1951" i="1"/>
  <c r="V1951" i="1"/>
  <c r="U1951" i="1"/>
  <c r="I1951" i="1"/>
  <c r="E1951" i="1"/>
  <c r="D1951" i="1"/>
  <c r="C1951" i="1"/>
  <c r="B1951" i="1"/>
  <c r="AC1950" i="1"/>
  <c r="AB1950" i="1"/>
  <c r="Z1950" i="1"/>
  <c r="W1950" i="1"/>
  <c r="V1950" i="1"/>
  <c r="U1950" i="1"/>
  <c r="I1950" i="1"/>
  <c r="E1950" i="1"/>
  <c r="D1950" i="1"/>
  <c r="C1950" i="1"/>
  <c r="B1950" i="1"/>
  <c r="AC1949" i="1"/>
  <c r="AB1949" i="1"/>
  <c r="Z1949" i="1"/>
  <c r="W1949" i="1"/>
  <c r="V1949" i="1"/>
  <c r="U1949" i="1"/>
  <c r="I1949" i="1"/>
  <c r="E1949" i="1"/>
  <c r="D1949" i="1"/>
  <c r="C1949" i="1"/>
  <c r="B1949" i="1"/>
  <c r="AC1948" i="1"/>
  <c r="AB1948" i="1"/>
  <c r="Z1948" i="1"/>
  <c r="W1948" i="1"/>
  <c r="V1948" i="1"/>
  <c r="U1948" i="1"/>
  <c r="I1948" i="1"/>
  <c r="E1948" i="1"/>
  <c r="D1948" i="1"/>
  <c r="C1948" i="1"/>
  <c r="B1948" i="1"/>
  <c r="AC1947" i="1"/>
  <c r="AB1947" i="1"/>
  <c r="Z1947" i="1"/>
  <c r="W1947" i="1"/>
  <c r="V1947" i="1"/>
  <c r="U1947" i="1"/>
  <c r="I1947" i="1"/>
  <c r="E1947" i="1"/>
  <c r="D1947" i="1"/>
  <c r="C1947" i="1"/>
  <c r="B1947" i="1"/>
  <c r="AC1946" i="1"/>
  <c r="AB1946" i="1"/>
  <c r="Z1946" i="1"/>
  <c r="W1946" i="1"/>
  <c r="V1946" i="1"/>
  <c r="U1946" i="1"/>
  <c r="I1946" i="1"/>
  <c r="E1946" i="1"/>
  <c r="D1946" i="1"/>
  <c r="C1946" i="1"/>
  <c r="B1946" i="1"/>
  <c r="AC1945" i="1"/>
  <c r="AB1945" i="1"/>
  <c r="Z1945" i="1"/>
  <c r="W1945" i="1"/>
  <c r="V1945" i="1"/>
  <c r="U1945" i="1"/>
  <c r="I1945" i="1"/>
  <c r="E1945" i="1"/>
  <c r="D1945" i="1"/>
  <c r="C1945" i="1"/>
  <c r="B1945" i="1"/>
  <c r="AC1944" i="1"/>
  <c r="AB1944" i="1"/>
  <c r="Z1944" i="1"/>
  <c r="W1944" i="1"/>
  <c r="V1944" i="1"/>
  <c r="U1944" i="1"/>
  <c r="I1944" i="1"/>
  <c r="E1944" i="1"/>
  <c r="D1944" i="1"/>
  <c r="C1944" i="1"/>
  <c r="B1944" i="1"/>
  <c r="AC1943" i="1"/>
  <c r="AB1943" i="1"/>
  <c r="Z1943" i="1"/>
  <c r="W1943" i="1"/>
  <c r="V1943" i="1"/>
  <c r="U1943" i="1"/>
  <c r="I1943" i="1"/>
  <c r="E1943" i="1"/>
  <c r="D1943" i="1"/>
  <c r="C1943" i="1"/>
  <c r="B1943" i="1"/>
  <c r="AC1942" i="1"/>
  <c r="AB1942" i="1"/>
  <c r="Z1942" i="1"/>
  <c r="W1942" i="1"/>
  <c r="V1942" i="1"/>
  <c r="U1942" i="1"/>
  <c r="I1942" i="1"/>
  <c r="E1942" i="1"/>
  <c r="D1942" i="1"/>
  <c r="C1942" i="1"/>
  <c r="B1942" i="1"/>
  <c r="AC1941" i="1"/>
  <c r="AB1941" i="1"/>
  <c r="Z1941" i="1"/>
  <c r="W1941" i="1"/>
  <c r="V1941" i="1"/>
  <c r="U1941" i="1"/>
  <c r="I1941" i="1"/>
  <c r="E1941" i="1"/>
  <c r="D1941" i="1"/>
  <c r="C1941" i="1"/>
  <c r="B1941" i="1"/>
  <c r="AC1940" i="1"/>
  <c r="AB1940" i="1"/>
  <c r="Z1940" i="1"/>
  <c r="W1940" i="1"/>
  <c r="V1940" i="1"/>
  <c r="U1940" i="1"/>
  <c r="I1940" i="1"/>
  <c r="E1940" i="1"/>
  <c r="D1940" i="1"/>
  <c r="C1940" i="1"/>
  <c r="B1940" i="1"/>
  <c r="AC1939" i="1"/>
  <c r="AB1939" i="1"/>
  <c r="Z1939" i="1"/>
  <c r="W1939" i="1"/>
  <c r="V1939" i="1"/>
  <c r="U1939" i="1"/>
  <c r="I1939" i="1"/>
  <c r="E1939" i="1"/>
  <c r="D1939" i="1"/>
  <c r="C1939" i="1"/>
  <c r="B1939" i="1"/>
  <c r="AC1938" i="1"/>
  <c r="AB1938" i="1"/>
  <c r="Z1938" i="1"/>
  <c r="W1938" i="1"/>
  <c r="V1938" i="1"/>
  <c r="U1938" i="1"/>
  <c r="I1938" i="1"/>
  <c r="E1938" i="1"/>
  <c r="D1938" i="1"/>
  <c r="C1938" i="1"/>
  <c r="B1938" i="1"/>
  <c r="AC1937" i="1"/>
  <c r="AB1937" i="1"/>
  <c r="Z1937" i="1"/>
  <c r="W1937" i="1"/>
  <c r="V1937" i="1"/>
  <c r="U1937" i="1"/>
  <c r="I1937" i="1"/>
  <c r="E1937" i="1"/>
  <c r="D1937" i="1"/>
  <c r="C1937" i="1"/>
  <c r="B1937" i="1"/>
  <c r="AC1936" i="1"/>
  <c r="AB1936" i="1"/>
  <c r="Z1936" i="1"/>
  <c r="W1936" i="1"/>
  <c r="V1936" i="1"/>
  <c r="U1936" i="1"/>
  <c r="I1936" i="1"/>
  <c r="E1936" i="1"/>
  <c r="D1936" i="1"/>
  <c r="C1936" i="1"/>
  <c r="B1936" i="1"/>
  <c r="AC1935" i="1"/>
  <c r="AB1935" i="1"/>
  <c r="Z1935" i="1"/>
  <c r="W1935" i="1"/>
  <c r="V1935" i="1"/>
  <c r="U1935" i="1"/>
  <c r="I1935" i="1"/>
  <c r="E1935" i="1"/>
  <c r="D1935" i="1"/>
  <c r="C1935" i="1"/>
  <c r="B1935" i="1"/>
  <c r="AC1934" i="1"/>
  <c r="AB1934" i="1"/>
  <c r="Z1934" i="1"/>
  <c r="W1934" i="1"/>
  <c r="V1934" i="1"/>
  <c r="U1934" i="1"/>
  <c r="I1934" i="1"/>
  <c r="E1934" i="1"/>
  <c r="D1934" i="1"/>
  <c r="C1934" i="1"/>
  <c r="B1934" i="1"/>
  <c r="AC1933" i="1"/>
  <c r="AB1933" i="1"/>
  <c r="Z1933" i="1"/>
  <c r="W1933" i="1"/>
  <c r="V1933" i="1"/>
  <c r="U1933" i="1"/>
  <c r="I1933" i="1"/>
  <c r="E1933" i="1"/>
  <c r="D1933" i="1"/>
  <c r="C1933" i="1"/>
  <c r="B1933" i="1"/>
  <c r="AC1932" i="1"/>
  <c r="AB1932" i="1"/>
  <c r="Z1932" i="1"/>
  <c r="W1932" i="1"/>
  <c r="V1932" i="1"/>
  <c r="U1932" i="1"/>
  <c r="I1932" i="1"/>
  <c r="E1932" i="1"/>
  <c r="D1932" i="1"/>
  <c r="C1932" i="1"/>
  <c r="B1932" i="1"/>
  <c r="AC1931" i="1"/>
  <c r="AB1931" i="1"/>
  <c r="Z1931" i="1"/>
  <c r="W1931" i="1"/>
  <c r="V1931" i="1"/>
  <c r="U1931" i="1"/>
  <c r="I1931" i="1"/>
  <c r="E1931" i="1"/>
  <c r="D1931" i="1"/>
  <c r="C1931" i="1"/>
  <c r="B1931" i="1"/>
  <c r="AC1930" i="1"/>
  <c r="AB1930" i="1"/>
  <c r="Z1930" i="1"/>
  <c r="W1930" i="1"/>
  <c r="V1930" i="1"/>
  <c r="U1930" i="1"/>
  <c r="I1930" i="1"/>
  <c r="E1930" i="1"/>
  <c r="D1930" i="1"/>
  <c r="C1930" i="1"/>
  <c r="B1930" i="1"/>
  <c r="AC1929" i="1"/>
  <c r="AB1929" i="1"/>
  <c r="Z1929" i="1"/>
  <c r="W1929" i="1"/>
  <c r="V1929" i="1"/>
  <c r="U1929" i="1"/>
  <c r="I1929" i="1"/>
  <c r="E1929" i="1"/>
  <c r="D1929" i="1"/>
  <c r="C1929" i="1"/>
  <c r="B1929" i="1"/>
  <c r="AC1928" i="1"/>
  <c r="AB1928" i="1"/>
  <c r="Z1928" i="1"/>
  <c r="W1928" i="1"/>
  <c r="V1928" i="1"/>
  <c r="U1928" i="1"/>
  <c r="I1928" i="1"/>
  <c r="E1928" i="1"/>
  <c r="D1928" i="1"/>
  <c r="C1928" i="1"/>
  <c r="B1928" i="1"/>
  <c r="AC1927" i="1"/>
  <c r="AB1927" i="1"/>
  <c r="Z1927" i="1"/>
  <c r="W1927" i="1"/>
  <c r="V1927" i="1"/>
  <c r="U1927" i="1"/>
  <c r="I1927" i="1"/>
  <c r="E1927" i="1"/>
  <c r="D1927" i="1"/>
  <c r="C1927" i="1"/>
  <c r="B1927" i="1"/>
  <c r="AC1926" i="1"/>
  <c r="AB1926" i="1"/>
  <c r="Z1926" i="1"/>
  <c r="W1926" i="1"/>
  <c r="V1926" i="1"/>
  <c r="U1926" i="1"/>
  <c r="I1926" i="1"/>
  <c r="E1926" i="1"/>
  <c r="D1926" i="1"/>
  <c r="C1926" i="1"/>
  <c r="B1926" i="1"/>
  <c r="AC1925" i="1"/>
  <c r="AB1925" i="1"/>
  <c r="Z1925" i="1"/>
  <c r="W1925" i="1"/>
  <c r="V1925" i="1"/>
  <c r="U1925" i="1"/>
  <c r="I1925" i="1"/>
  <c r="E1925" i="1"/>
  <c r="D1925" i="1"/>
  <c r="C1925" i="1"/>
  <c r="B1925" i="1"/>
  <c r="AC1924" i="1"/>
  <c r="AB1924" i="1"/>
  <c r="Z1924" i="1"/>
  <c r="W1924" i="1"/>
  <c r="V1924" i="1"/>
  <c r="U1924" i="1"/>
  <c r="I1924" i="1"/>
  <c r="E1924" i="1"/>
  <c r="D1924" i="1"/>
  <c r="C1924" i="1"/>
  <c r="B1924" i="1"/>
  <c r="AC1923" i="1"/>
  <c r="AB1923" i="1"/>
  <c r="Z1923" i="1"/>
  <c r="W1923" i="1"/>
  <c r="V1923" i="1"/>
  <c r="U1923" i="1"/>
  <c r="I1923" i="1"/>
  <c r="E1923" i="1"/>
  <c r="D1923" i="1"/>
  <c r="C1923" i="1"/>
  <c r="B1923" i="1"/>
  <c r="AC1922" i="1"/>
  <c r="AB1922" i="1"/>
  <c r="Z1922" i="1"/>
  <c r="W1922" i="1"/>
  <c r="V1922" i="1"/>
  <c r="U1922" i="1"/>
  <c r="I1922" i="1"/>
  <c r="E1922" i="1"/>
  <c r="D1922" i="1"/>
  <c r="C1922" i="1"/>
  <c r="B1922" i="1"/>
  <c r="AC1921" i="1"/>
  <c r="AB1921" i="1"/>
  <c r="Z1921" i="1"/>
  <c r="W1921" i="1"/>
  <c r="V1921" i="1"/>
  <c r="U1921" i="1"/>
  <c r="I1921" i="1"/>
  <c r="E1921" i="1"/>
  <c r="D1921" i="1"/>
  <c r="C1921" i="1"/>
  <c r="B1921" i="1"/>
  <c r="AC1920" i="1"/>
  <c r="AB1920" i="1"/>
  <c r="Z1920" i="1"/>
  <c r="W1920" i="1"/>
  <c r="V1920" i="1"/>
  <c r="U1920" i="1"/>
  <c r="I1920" i="1"/>
  <c r="E1920" i="1"/>
  <c r="D1920" i="1"/>
  <c r="C1920" i="1"/>
  <c r="B1920" i="1"/>
  <c r="AC1919" i="1"/>
  <c r="AB1919" i="1"/>
  <c r="Z1919" i="1"/>
  <c r="W1919" i="1"/>
  <c r="V1919" i="1"/>
  <c r="U1919" i="1"/>
  <c r="I1919" i="1"/>
  <c r="E1919" i="1"/>
  <c r="D1919" i="1"/>
  <c r="C1919" i="1"/>
  <c r="B1919" i="1"/>
  <c r="AC1918" i="1"/>
  <c r="AB1918" i="1"/>
  <c r="Z1918" i="1"/>
  <c r="W1918" i="1"/>
  <c r="V1918" i="1"/>
  <c r="U1918" i="1"/>
  <c r="I1918" i="1"/>
  <c r="E1918" i="1"/>
  <c r="D1918" i="1"/>
  <c r="C1918" i="1"/>
  <c r="B1918" i="1"/>
  <c r="AC1917" i="1"/>
  <c r="AB1917" i="1"/>
  <c r="Z1917" i="1"/>
  <c r="W1917" i="1"/>
  <c r="V1917" i="1"/>
  <c r="U1917" i="1"/>
  <c r="I1917" i="1"/>
  <c r="E1917" i="1"/>
  <c r="D1917" i="1"/>
  <c r="C1917" i="1"/>
  <c r="B1917" i="1"/>
  <c r="AC1916" i="1"/>
  <c r="AB1916" i="1"/>
  <c r="Z1916" i="1"/>
  <c r="W1916" i="1"/>
  <c r="V1916" i="1"/>
  <c r="U1916" i="1"/>
  <c r="I1916" i="1"/>
  <c r="E1916" i="1"/>
  <c r="D1916" i="1"/>
  <c r="C1916" i="1"/>
  <c r="B1916" i="1"/>
  <c r="AC1915" i="1"/>
  <c r="AB1915" i="1"/>
  <c r="Z1915" i="1"/>
  <c r="W1915" i="1"/>
  <c r="V1915" i="1"/>
  <c r="U1915" i="1"/>
  <c r="I1915" i="1"/>
  <c r="E1915" i="1"/>
  <c r="D1915" i="1"/>
  <c r="C1915" i="1"/>
  <c r="B1915" i="1"/>
  <c r="AC1914" i="1"/>
  <c r="AB1914" i="1"/>
  <c r="Z1914" i="1"/>
  <c r="W1914" i="1"/>
  <c r="V1914" i="1"/>
  <c r="U1914" i="1"/>
  <c r="I1914" i="1"/>
  <c r="E1914" i="1"/>
  <c r="D1914" i="1"/>
  <c r="C1914" i="1"/>
  <c r="B1914" i="1"/>
  <c r="AC1913" i="1"/>
  <c r="AB1913" i="1"/>
  <c r="Z1913" i="1"/>
  <c r="W1913" i="1"/>
  <c r="V1913" i="1"/>
  <c r="U1913" i="1"/>
  <c r="I1913" i="1"/>
  <c r="E1913" i="1"/>
  <c r="D1913" i="1"/>
  <c r="C1913" i="1"/>
  <c r="B1913" i="1"/>
  <c r="AC1912" i="1"/>
  <c r="AB1912" i="1"/>
  <c r="Z1912" i="1"/>
  <c r="W1912" i="1"/>
  <c r="V1912" i="1"/>
  <c r="U1912" i="1"/>
  <c r="I1912" i="1"/>
  <c r="E1912" i="1"/>
  <c r="D1912" i="1"/>
  <c r="C1912" i="1"/>
  <c r="B1912" i="1"/>
  <c r="AC1911" i="1"/>
  <c r="AB1911" i="1"/>
  <c r="Z1911" i="1"/>
  <c r="W1911" i="1"/>
  <c r="V1911" i="1"/>
  <c r="U1911" i="1"/>
  <c r="I1911" i="1"/>
  <c r="E1911" i="1"/>
  <c r="D1911" i="1"/>
  <c r="C1911" i="1"/>
  <c r="B1911" i="1"/>
  <c r="AC1910" i="1"/>
  <c r="AB1910" i="1"/>
  <c r="Z1910" i="1"/>
  <c r="W1910" i="1"/>
  <c r="V1910" i="1"/>
  <c r="U1910" i="1"/>
  <c r="I1910" i="1"/>
  <c r="E1910" i="1"/>
  <c r="D1910" i="1"/>
  <c r="C1910" i="1"/>
  <c r="B1910" i="1"/>
  <c r="AC1909" i="1"/>
  <c r="AB1909" i="1"/>
  <c r="Z1909" i="1"/>
  <c r="W1909" i="1"/>
  <c r="V1909" i="1"/>
  <c r="U1909" i="1"/>
  <c r="I1909" i="1"/>
  <c r="E1909" i="1"/>
  <c r="D1909" i="1"/>
  <c r="C1909" i="1"/>
  <c r="B1909" i="1"/>
  <c r="AC1908" i="1"/>
  <c r="AB1908" i="1"/>
  <c r="Z1908" i="1"/>
  <c r="W1908" i="1"/>
  <c r="V1908" i="1"/>
  <c r="U1908" i="1"/>
  <c r="I1908" i="1"/>
  <c r="E1908" i="1"/>
  <c r="D1908" i="1"/>
  <c r="C1908" i="1"/>
  <c r="B1908" i="1"/>
  <c r="AC1907" i="1"/>
  <c r="AB1907" i="1"/>
  <c r="Z1907" i="1"/>
  <c r="W1907" i="1"/>
  <c r="V1907" i="1"/>
  <c r="U1907" i="1"/>
  <c r="I1907" i="1"/>
  <c r="E1907" i="1"/>
  <c r="D1907" i="1"/>
  <c r="C1907" i="1"/>
  <c r="B1907" i="1"/>
  <c r="AC1906" i="1"/>
  <c r="AB1906" i="1"/>
  <c r="Z1906" i="1"/>
  <c r="W1906" i="1"/>
  <c r="V1906" i="1"/>
  <c r="U1906" i="1"/>
  <c r="I1906" i="1"/>
  <c r="E1906" i="1"/>
  <c r="D1906" i="1"/>
  <c r="C1906" i="1"/>
  <c r="B1906" i="1"/>
  <c r="AC1905" i="1"/>
  <c r="AB1905" i="1"/>
  <c r="Z1905" i="1"/>
  <c r="W1905" i="1"/>
  <c r="V1905" i="1"/>
  <c r="U1905" i="1"/>
  <c r="I1905" i="1"/>
  <c r="E1905" i="1"/>
  <c r="D1905" i="1"/>
  <c r="C1905" i="1"/>
  <c r="B1905" i="1"/>
  <c r="AC1904" i="1"/>
  <c r="AB1904" i="1"/>
  <c r="Z1904" i="1"/>
  <c r="W1904" i="1"/>
  <c r="V1904" i="1"/>
  <c r="U1904" i="1"/>
  <c r="I1904" i="1"/>
  <c r="E1904" i="1"/>
  <c r="D1904" i="1"/>
  <c r="C1904" i="1"/>
  <c r="B1904" i="1"/>
  <c r="AC1903" i="1"/>
  <c r="AB1903" i="1"/>
  <c r="Z1903" i="1"/>
  <c r="W1903" i="1"/>
  <c r="V1903" i="1"/>
  <c r="U1903" i="1"/>
  <c r="I1903" i="1"/>
  <c r="E1903" i="1"/>
  <c r="D1903" i="1"/>
  <c r="C1903" i="1"/>
  <c r="B1903" i="1"/>
  <c r="AC1902" i="1"/>
  <c r="AB1902" i="1"/>
  <c r="Z1902" i="1"/>
  <c r="W1902" i="1"/>
  <c r="V1902" i="1"/>
  <c r="U1902" i="1"/>
  <c r="I1902" i="1"/>
  <c r="E1902" i="1"/>
  <c r="D1902" i="1"/>
  <c r="C1902" i="1"/>
  <c r="B1902" i="1"/>
  <c r="AC1901" i="1"/>
  <c r="AB1901" i="1"/>
  <c r="Z1901" i="1"/>
  <c r="W1901" i="1"/>
  <c r="V1901" i="1"/>
  <c r="U1901" i="1"/>
  <c r="I1901" i="1"/>
  <c r="E1901" i="1"/>
  <c r="D1901" i="1"/>
  <c r="C1901" i="1"/>
  <c r="B1901" i="1"/>
  <c r="AC1900" i="1"/>
  <c r="AB1900" i="1"/>
  <c r="Z1900" i="1"/>
  <c r="W1900" i="1"/>
  <c r="V1900" i="1"/>
  <c r="U1900" i="1"/>
  <c r="I1900" i="1"/>
  <c r="E1900" i="1"/>
  <c r="D1900" i="1"/>
  <c r="C1900" i="1"/>
  <c r="B1900" i="1"/>
  <c r="AC1899" i="1"/>
  <c r="AB1899" i="1"/>
  <c r="Z1899" i="1"/>
  <c r="W1899" i="1"/>
  <c r="V1899" i="1"/>
  <c r="U1899" i="1"/>
  <c r="I1899" i="1"/>
  <c r="E1899" i="1"/>
  <c r="D1899" i="1"/>
  <c r="C1899" i="1"/>
  <c r="B1899" i="1"/>
  <c r="AC1898" i="1"/>
  <c r="AB1898" i="1"/>
  <c r="Z1898" i="1"/>
  <c r="W1898" i="1"/>
  <c r="V1898" i="1"/>
  <c r="U1898" i="1"/>
  <c r="I1898" i="1"/>
  <c r="E1898" i="1"/>
  <c r="D1898" i="1"/>
  <c r="C1898" i="1"/>
  <c r="B1898" i="1"/>
  <c r="AC1897" i="1"/>
  <c r="AB1897" i="1"/>
  <c r="Z1897" i="1"/>
  <c r="W1897" i="1"/>
  <c r="V1897" i="1"/>
  <c r="U1897" i="1"/>
  <c r="I1897" i="1"/>
  <c r="E1897" i="1"/>
  <c r="D1897" i="1"/>
  <c r="C1897" i="1"/>
  <c r="B1897" i="1"/>
  <c r="AC1896" i="1"/>
  <c r="AB1896" i="1"/>
  <c r="Z1896" i="1"/>
  <c r="W1896" i="1"/>
  <c r="V1896" i="1"/>
  <c r="I1896" i="1"/>
  <c r="E1896" i="1"/>
  <c r="D1896" i="1"/>
  <c r="C1896" i="1"/>
  <c r="B1896" i="1"/>
  <c r="AC1895" i="1"/>
  <c r="AB1895" i="1"/>
  <c r="Z1895" i="1"/>
  <c r="W1895" i="1"/>
  <c r="V1895" i="1"/>
  <c r="U1895" i="1"/>
  <c r="I1895" i="1"/>
  <c r="E1895" i="1"/>
  <c r="D1895" i="1"/>
  <c r="C1895" i="1"/>
  <c r="B1895" i="1"/>
  <c r="AC1894" i="1"/>
  <c r="AB1894" i="1"/>
  <c r="Z1894" i="1"/>
  <c r="W1894" i="1"/>
  <c r="V1894" i="1"/>
  <c r="U1894" i="1"/>
  <c r="I1894" i="1"/>
  <c r="E1894" i="1"/>
  <c r="D1894" i="1"/>
  <c r="C1894" i="1"/>
  <c r="B1894" i="1"/>
  <c r="AC1893" i="1"/>
  <c r="AB1893" i="1"/>
  <c r="Z1893" i="1"/>
  <c r="W1893" i="1"/>
  <c r="V1893" i="1"/>
  <c r="U1893" i="1"/>
  <c r="I1893" i="1"/>
  <c r="E1893" i="1"/>
  <c r="D1893" i="1"/>
  <c r="C1893" i="1"/>
  <c r="B1893" i="1"/>
  <c r="AC1892" i="1"/>
  <c r="AB1892" i="1"/>
  <c r="Z1892" i="1"/>
  <c r="W1892" i="1"/>
  <c r="V1892" i="1"/>
  <c r="U1892" i="1"/>
  <c r="I1892" i="1"/>
  <c r="E1892" i="1"/>
  <c r="D1892" i="1"/>
  <c r="C1892" i="1"/>
  <c r="B1892" i="1"/>
  <c r="AC1891" i="1"/>
  <c r="AB1891" i="1"/>
  <c r="Z1891" i="1"/>
  <c r="W1891" i="1"/>
  <c r="V1891" i="1"/>
  <c r="U1891" i="1"/>
  <c r="I1891" i="1"/>
  <c r="E1891" i="1"/>
  <c r="D1891" i="1"/>
  <c r="C1891" i="1"/>
  <c r="B1891" i="1"/>
  <c r="AC1890" i="1"/>
  <c r="AB1890" i="1"/>
  <c r="Z1890" i="1"/>
  <c r="W1890" i="1"/>
  <c r="V1890" i="1"/>
  <c r="U1890" i="1"/>
  <c r="I1890" i="1"/>
  <c r="E1890" i="1"/>
  <c r="D1890" i="1"/>
  <c r="C1890" i="1"/>
  <c r="B1890" i="1"/>
  <c r="AC1889" i="1"/>
  <c r="AB1889" i="1"/>
  <c r="Z1889" i="1"/>
  <c r="W1889" i="1"/>
  <c r="V1889" i="1"/>
  <c r="U1889" i="1"/>
  <c r="I1889" i="1"/>
  <c r="E1889" i="1"/>
  <c r="D1889" i="1"/>
  <c r="C1889" i="1"/>
  <c r="B1889" i="1"/>
  <c r="AC1888" i="1"/>
  <c r="AB1888" i="1"/>
  <c r="Z1888" i="1"/>
  <c r="W1888" i="1"/>
  <c r="V1888" i="1"/>
  <c r="U1888" i="1"/>
  <c r="I1888" i="1"/>
  <c r="E1888" i="1"/>
  <c r="D1888" i="1"/>
  <c r="C1888" i="1"/>
  <c r="B1888" i="1"/>
  <c r="AC1887" i="1"/>
  <c r="AB1887" i="1"/>
  <c r="Z1887" i="1"/>
  <c r="W1887" i="1"/>
  <c r="V1887" i="1"/>
  <c r="U1887" i="1"/>
  <c r="I1887" i="1"/>
  <c r="E1887" i="1"/>
  <c r="D1887" i="1"/>
  <c r="C1887" i="1"/>
  <c r="B1887" i="1"/>
  <c r="AC1886" i="1"/>
  <c r="AB1886" i="1"/>
  <c r="Z1886" i="1"/>
  <c r="W1886" i="1"/>
  <c r="V1886" i="1"/>
  <c r="U1886" i="1"/>
  <c r="I1886" i="1"/>
  <c r="E1886" i="1"/>
  <c r="D1886" i="1"/>
  <c r="C1886" i="1"/>
  <c r="B1886" i="1"/>
  <c r="AC1885" i="1"/>
  <c r="AB1885" i="1"/>
  <c r="Z1885" i="1"/>
  <c r="W1885" i="1"/>
  <c r="V1885" i="1"/>
  <c r="U1885" i="1"/>
  <c r="I1885" i="1"/>
  <c r="E1885" i="1"/>
  <c r="D1885" i="1"/>
  <c r="C1885" i="1"/>
  <c r="B1885" i="1"/>
  <c r="AC1884" i="1"/>
  <c r="AB1884" i="1"/>
  <c r="Z1884" i="1"/>
  <c r="W1884" i="1"/>
  <c r="V1884" i="1"/>
  <c r="U1884" i="1"/>
  <c r="I1884" i="1"/>
  <c r="E1884" i="1"/>
  <c r="D1884" i="1"/>
  <c r="C1884" i="1"/>
  <c r="B1884" i="1"/>
  <c r="AC1883" i="1"/>
  <c r="AB1883" i="1"/>
  <c r="Z1883" i="1"/>
  <c r="W1883" i="1"/>
  <c r="V1883" i="1"/>
  <c r="U1883" i="1"/>
  <c r="I1883" i="1"/>
  <c r="E1883" i="1"/>
  <c r="D1883" i="1"/>
  <c r="C1883" i="1"/>
  <c r="B1883" i="1"/>
  <c r="AC1882" i="1"/>
  <c r="AB1882" i="1"/>
  <c r="Z1882" i="1"/>
  <c r="W1882" i="1"/>
  <c r="V1882" i="1"/>
  <c r="U1882" i="1"/>
  <c r="I1882" i="1"/>
  <c r="E1882" i="1"/>
  <c r="D1882" i="1"/>
  <c r="C1882" i="1"/>
  <c r="B1882" i="1"/>
  <c r="AC1881" i="1"/>
  <c r="AB1881" i="1"/>
  <c r="Z1881" i="1"/>
  <c r="W1881" i="1"/>
  <c r="V1881" i="1"/>
  <c r="U1881" i="1"/>
  <c r="I1881" i="1"/>
  <c r="E1881" i="1"/>
  <c r="D1881" i="1"/>
  <c r="C1881" i="1"/>
  <c r="B1881" i="1"/>
  <c r="AC1880" i="1"/>
  <c r="AB1880" i="1"/>
  <c r="Z1880" i="1"/>
  <c r="W1880" i="1"/>
  <c r="V1880" i="1"/>
  <c r="U1880" i="1"/>
  <c r="I1880" i="1"/>
  <c r="E1880" i="1"/>
  <c r="D1880" i="1"/>
  <c r="C1880" i="1"/>
  <c r="B1880" i="1"/>
  <c r="AC1879" i="1"/>
  <c r="AB1879" i="1"/>
  <c r="Z1879" i="1"/>
  <c r="W1879" i="1"/>
  <c r="V1879" i="1"/>
  <c r="U1879" i="1"/>
  <c r="I1879" i="1"/>
  <c r="E1879" i="1"/>
  <c r="D1879" i="1"/>
  <c r="C1879" i="1"/>
  <c r="B1879" i="1"/>
  <c r="AC1878" i="1"/>
  <c r="AB1878" i="1"/>
  <c r="Z1878" i="1"/>
  <c r="W1878" i="1"/>
  <c r="V1878" i="1"/>
  <c r="U1878" i="1"/>
  <c r="I1878" i="1"/>
  <c r="E1878" i="1"/>
  <c r="D1878" i="1"/>
  <c r="C1878" i="1"/>
  <c r="B1878" i="1"/>
  <c r="AC1877" i="1"/>
  <c r="AB1877" i="1"/>
  <c r="Z1877" i="1"/>
  <c r="W1877" i="1"/>
  <c r="V1877" i="1"/>
  <c r="U1877" i="1"/>
  <c r="I1877" i="1"/>
  <c r="E1877" i="1"/>
  <c r="D1877" i="1"/>
  <c r="C1877" i="1"/>
  <c r="B1877" i="1"/>
  <c r="AC1876" i="1"/>
  <c r="AB1876" i="1"/>
  <c r="Z1876" i="1"/>
  <c r="W1876" i="1"/>
  <c r="V1876" i="1"/>
  <c r="U1876" i="1"/>
  <c r="I1876" i="1"/>
  <c r="E1876" i="1"/>
  <c r="D1876" i="1"/>
  <c r="C1876" i="1"/>
  <c r="B1876" i="1"/>
  <c r="AC1875" i="1"/>
  <c r="AB1875" i="1"/>
  <c r="Z1875" i="1"/>
  <c r="W1875" i="1"/>
  <c r="V1875" i="1"/>
  <c r="U1875" i="1"/>
  <c r="I1875" i="1"/>
  <c r="E1875" i="1"/>
  <c r="D1875" i="1"/>
  <c r="C1875" i="1"/>
  <c r="B1875" i="1"/>
  <c r="AC1874" i="1"/>
  <c r="AB1874" i="1"/>
  <c r="Z1874" i="1"/>
  <c r="W1874" i="1"/>
  <c r="V1874" i="1"/>
  <c r="U1874" i="1"/>
  <c r="I1874" i="1"/>
  <c r="E1874" i="1"/>
  <c r="D1874" i="1"/>
  <c r="C1874" i="1"/>
  <c r="B1874" i="1"/>
  <c r="AC1873" i="1"/>
  <c r="AB1873" i="1"/>
  <c r="Z1873" i="1"/>
  <c r="W1873" i="1"/>
  <c r="V1873" i="1"/>
  <c r="U1873" i="1"/>
  <c r="I1873" i="1"/>
  <c r="E1873" i="1"/>
  <c r="D1873" i="1"/>
  <c r="C1873" i="1"/>
  <c r="B1873" i="1"/>
  <c r="AC1872" i="1"/>
  <c r="AB1872" i="1"/>
  <c r="Z1872" i="1"/>
  <c r="W1872" i="1"/>
  <c r="V1872" i="1"/>
  <c r="U1872" i="1"/>
  <c r="I1872" i="1"/>
  <c r="E1872" i="1"/>
  <c r="D1872" i="1"/>
  <c r="C1872" i="1"/>
  <c r="B1872" i="1"/>
  <c r="AC1871" i="1"/>
  <c r="AB1871" i="1"/>
  <c r="Z1871" i="1"/>
  <c r="W1871" i="1"/>
  <c r="V1871" i="1"/>
  <c r="U1871" i="1"/>
  <c r="I1871" i="1"/>
  <c r="E1871" i="1"/>
  <c r="D1871" i="1"/>
  <c r="C1871" i="1"/>
  <c r="B1871" i="1"/>
  <c r="AC1870" i="1"/>
  <c r="AB1870" i="1"/>
  <c r="Z1870" i="1"/>
  <c r="W1870" i="1"/>
  <c r="V1870" i="1"/>
  <c r="U1870" i="1"/>
  <c r="I1870" i="1"/>
  <c r="E1870" i="1"/>
  <c r="D1870" i="1"/>
  <c r="C1870" i="1"/>
  <c r="B1870" i="1"/>
  <c r="AC1869" i="1"/>
  <c r="AB1869" i="1"/>
  <c r="Z1869" i="1"/>
  <c r="W1869" i="1"/>
  <c r="V1869" i="1"/>
  <c r="U1869" i="1"/>
  <c r="I1869" i="1"/>
  <c r="E1869" i="1"/>
  <c r="D1869" i="1"/>
  <c r="C1869" i="1"/>
  <c r="B1869" i="1"/>
  <c r="AC1868" i="1"/>
  <c r="AB1868" i="1"/>
  <c r="Z1868" i="1"/>
  <c r="W1868" i="1"/>
  <c r="V1868" i="1"/>
  <c r="U1868" i="1"/>
  <c r="I1868" i="1"/>
  <c r="E1868" i="1"/>
  <c r="D1868" i="1"/>
  <c r="C1868" i="1"/>
  <c r="B1868" i="1"/>
  <c r="AC1867" i="1"/>
  <c r="AB1867" i="1"/>
  <c r="Z1867" i="1"/>
  <c r="W1867" i="1"/>
  <c r="V1867" i="1"/>
  <c r="U1867" i="1"/>
  <c r="I1867" i="1"/>
  <c r="E1867" i="1"/>
  <c r="D1867" i="1"/>
  <c r="C1867" i="1"/>
  <c r="B1867" i="1"/>
  <c r="AC1866" i="1"/>
  <c r="AB1866" i="1"/>
  <c r="Z1866" i="1"/>
  <c r="W1866" i="1"/>
  <c r="V1866" i="1"/>
  <c r="U1866" i="1"/>
  <c r="I1866" i="1"/>
  <c r="E1866" i="1"/>
  <c r="D1866" i="1"/>
  <c r="C1866" i="1"/>
  <c r="B1866" i="1"/>
  <c r="AC1865" i="1"/>
  <c r="AB1865" i="1"/>
  <c r="Z1865" i="1"/>
  <c r="W1865" i="1"/>
  <c r="V1865" i="1"/>
  <c r="U1865" i="1"/>
  <c r="I1865" i="1"/>
  <c r="E1865" i="1"/>
  <c r="D1865" i="1"/>
  <c r="C1865" i="1"/>
  <c r="B1865" i="1"/>
  <c r="AC1864" i="1"/>
  <c r="AB1864" i="1"/>
  <c r="Z1864" i="1"/>
  <c r="W1864" i="1"/>
  <c r="V1864" i="1"/>
  <c r="U1864" i="1"/>
  <c r="I1864" i="1"/>
  <c r="E1864" i="1"/>
  <c r="D1864" i="1"/>
  <c r="C1864" i="1"/>
  <c r="B1864" i="1"/>
  <c r="AC1863" i="1"/>
  <c r="AB1863" i="1"/>
  <c r="Z1863" i="1"/>
  <c r="W1863" i="1"/>
  <c r="V1863" i="1"/>
  <c r="U1863" i="1"/>
  <c r="I1863" i="1"/>
  <c r="E1863" i="1"/>
  <c r="D1863" i="1"/>
  <c r="C1863" i="1"/>
  <c r="B1863" i="1"/>
  <c r="AC1862" i="1"/>
  <c r="AB1862" i="1"/>
  <c r="Z1862" i="1"/>
  <c r="W1862" i="1"/>
  <c r="V1862" i="1"/>
  <c r="U1862" i="1"/>
  <c r="I1862" i="1"/>
  <c r="E1862" i="1"/>
  <c r="D1862" i="1"/>
  <c r="C1862" i="1"/>
  <c r="B1862" i="1"/>
  <c r="AC1861" i="1"/>
  <c r="AB1861" i="1"/>
  <c r="Z1861" i="1"/>
  <c r="W1861" i="1"/>
  <c r="V1861" i="1"/>
  <c r="U1861" i="1"/>
  <c r="I1861" i="1"/>
  <c r="E1861" i="1"/>
  <c r="D1861" i="1"/>
  <c r="C1861" i="1"/>
  <c r="B1861" i="1"/>
  <c r="AC1860" i="1"/>
  <c r="AB1860" i="1"/>
  <c r="Z1860" i="1"/>
  <c r="W1860" i="1"/>
  <c r="V1860" i="1"/>
  <c r="U1860" i="1"/>
  <c r="I1860" i="1"/>
  <c r="E1860" i="1"/>
  <c r="D1860" i="1"/>
  <c r="C1860" i="1"/>
  <c r="B1860" i="1"/>
  <c r="AC1859" i="1"/>
  <c r="AB1859" i="1"/>
  <c r="Z1859" i="1"/>
  <c r="W1859" i="1"/>
  <c r="V1859" i="1"/>
  <c r="U1859" i="1"/>
  <c r="I1859" i="1"/>
  <c r="E1859" i="1"/>
  <c r="D1859" i="1"/>
  <c r="C1859" i="1"/>
  <c r="B1859" i="1"/>
  <c r="AC1858" i="1"/>
  <c r="AB1858" i="1"/>
  <c r="Z1858" i="1"/>
  <c r="W1858" i="1"/>
  <c r="V1858" i="1"/>
  <c r="U1858" i="1"/>
  <c r="I1858" i="1"/>
  <c r="E1858" i="1"/>
  <c r="D1858" i="1"/>
  <c r="C1858" i="1"/>
  <c r="B1858" i="1"/>
  <c r="AC1857" i="1"/>
  <c r="AB1857" i="1"/>
  <c r="Z1857" i="1"/>
  <c r="W1857" i="1"/>
  <c r="V1857" i="1"/>
  <c r="U1857" i="1"/>
  <c r="I1857" i="1"/>
  <c r="E1857" i="1"/>
  <c r="D1857" i="1"/>
  <c r="C1857" i="1"/>
  <c r="B1857" i="1"/>
  <c r="AC1856" i="1"/>
  <c r="AB1856" i="1"/>
  <c r="Z1856" i="1"/>
  <c r="W1856" i="1"/>
  <c r="V1856" i="1"/>
  <c r="U1856" i="1"/>
  <c r="I1856" i="1"/>
  <c r="E1856" i="1"/>
  <c r="D1856" i="1"/>
  <c r="C1856" i="1"/>
  <c r="B1856" i="1"/>
  <c r="AC1855" i="1"/>
  <c r="AB1855" i="1"/>
  <c r="Z1855" i="1"/>
  <c r="W1855" i="1"/>
  <c r="V1855" i="1"/>
  <c r="U1855" i="1"/>
  <c r="I1855" i="1"/>
  <c r="E1855" i="1"/>
  <c r="D1855" i="1"/>
  <c r="C1855" i="1"/>
  <c r="B1855" i="1"/>
  <c r="AC1854" i="1"/>
  <c r="AB1854" i="1"/>
  <c r="Z1854" i="1"/>
  <c r="W1854" i="1"/>
  <c r="V1854" i="1"/>
  <c r="U1854" i="1"/>
  <c r="I1854" i="1"/>
  <c r="E1854" i="1"/>
  <c r="D1854" i="1"/>
  <c r="C1854" i="1"/>
  <c r="B1854" i="1"/>
  <c r="AC1853" i="1"/>
  <c r="AB1853" i="1"/>
  <c r="Z1853" i="1"/>
  <c r="W1853" i="1"/>
  <c r="V1853" i="1"/>
  <c r="U1853" i="1"/>
  <c r="I1853" i="1"/>
  <c r="E1853" i="1"/>
  <c r="D1853" i="1"/>
  <c r="C1853" i="1"/>
  <c r="B1853" i="1"/>
  <c r="AC1852" i="1"/>
  <c r="AB1852" i="1"/>
  <c r="Z1852" i="1"/>
  <c r="W1852" i="1"/>
  <c r="V1852" i="1"/>
  <c r="U1852" i="1"/>
  <c r="I1852" i="1"/>
  <c r="E1852" i="1"/>
  <c r="D1852" i="1"/>
  <c r="C1852" i="1"/>
  <c r="B1852" i="1"/>
  <c r="AC1851" i="1"/>
  <c r="AB1851" i="1"/>
  <c r="Z1851" i="1"/>
  <c r="W1851" i="1"/>
  <c r="V1851" i="1"/>
  <c r="U1851" i="1"/>
  <c r="I1851" i="1"/>
  <c r="E1851" i="1"/>
  <c r="D1851" i="1"/>
  <c r="C1851" i="1"/>
  <c r="B1851" i="1"/>
  <c r="AC1850" i="1"/>
  <c r="AB1850" i="1"/>
  <c r="Z1850" i="1"/>
  <c r="W1850" i="1"/>
  <c r="V1850" i="1"/>
  <c r="U1850" i="1"/>
  <c r="I1850" i="1"/>
  <c r="E1850" i="1"/>
  <c r="D1850" i="1"/>
  <c r="C1850" i="1"/>
  <c r="B1850" i="1"/>
  <c r="AC1849" i="1"/>
  <c r="AB1849" i="1"/>
  <c r="Z1849" i="1"/>
  <c r="W1849" i="1"/>
  <c r="V1849" i="1"/>
  <c r="U1849" i="1"/>
  <c r="I1849" i="1"/>
  <c r="E1849" i="1"/>
  <c r="D1849" i="1"/>
  <c r="C1849" i="1"/>
  <c r="B1849" i="1"/>
  <c r="AC1848" i="1"/>
  <c r="AB1848" i="1"/>
  <c r="Z1848" i="1"/>
  <c r="W1848" i="1"/>
  <c r="V1848" i="1"/>
  <c r="U1848" i="1"/>
  <c r="I1848" i="1"/>
  <c r="E1848" i="1"/>
  <c r="D1848" i="1"/>
  <c r="C1848" i="1"/>
  <c r="B1848" i="1"/>
  <c r="AC1847" i="1"/>
  <c r="AB1847" i="1"/>
  <c r="Z1847" i="1"/>
  <c r="W1847" i="1"/>
  <c r="V1847" i="1"/>
  <c r="U1847" i="1"/>
  <c r="I1847" i="1"/>
  <c r="E1847" i="1"/>
  <c r="D1847" i="1"/>
  <c r="C1847" i="1"/>
  <c r="B1847" i="1"/>
  <c r="AC1846" i="1"/>
  <c r="AB1846" i="1"/>
  <c r="Z1846" i="1"/>
  <c r="W1846" i="1"/>
  <c r="V1846" i="1"/>
  <c r="U1846" i="1"/>
  <c r="I1846" i="1"/>
  <c r="E1846" i="1"/>
  <c r="D1846" i="1"/>
  <c r="C1846" i="1"/>
  <c r="B1846" i="1"/>
  <c r="AC1845" i="1"/>
  <c r="AB1845" i="1"/>
  <c r="Z1845" i="1"/>
  <c r="W1845" i="1"/>
  <c r="V1845" i="1"/>
  <c r="U1845" i="1"/>
  <c r="I1845" i="1"/>
  <c r="E1845" i="1"/>
  <c r="D1845" i="1"/>
  <c r="C1845" i="1"/>
  <c r="B1845" i="1"/>
  <c r="AC1844" i="1"/>
  <c r="AB1844" i="1"/>
  <c r="Z1844" i="1"/>
  <c r="W1844" i="1"/>
  <c r="V1844" i="1"/>
  <c r="U1844" i="1"/>
  <c r="I1844" i="1"/>
  <c r="E1844" i="1"/>
  <c r="D1844" i="1"/>
  <c r="C1844" i="1"/>
  <c r="B1844" i="1"/>
  <c r="AC1843" i="1"/>
  <c r="AB1843" i="1"/>
  <c r="Z1843" i="1"/>
  <c r="W1843" i="1"/>
  <c r="V1843" i="1"/>
  <c r="U1843" i="1"/>
  <c r="I1843" i="1"/>
  <c r="E1843" i="1"/>
  <c r="D1843" i="1"/>
  <c r="C1843" i="1"/>
  <c r="B1843" i="1"/>
  <c r="AC1842" i="1"/>
  <c r="AB1842" i="1"/>
  <c r="Z1842" i="1"/>
  <c r="W1842" i="1"/>
  <c r="V1842" i="1"/>
  <c r="U1842" i="1"/>
  <c r="I1842" i="1"/>
  <c r="E1842" i="1"/>
  <c r="D1842" i="1"/>
  <c r="C1842" i="1"/>
  <c r="B1842" i="1"/>
  <c r="AC1841" i="1"/>
  <c r="AB1841" i="1"/>
  <c r="Z1841" i="1"/>
  <c r="W1841" i="1"/>
  <c r="V1841" i="1"/>
  <c r="U1841" i="1"/>
  <c r="I1841" i="1"/>
  <c r="E1841" i="1"/>
  <c r="D1841" i="1"/>
  <c r="C1841" i="1"/>
  <c r="B1841" i="1"/>
  <c r="AC1840" i="1"/>
  <c r="AB1840" i="1"/>
  <c r="Z1840" i="1"/>
  <c r="W1840" i="1"/>
  <c r="V1840" i="1"/>
  <c r="U1840" i="1"/>
  <c r="I1840" i="1"/>
  <c r="E1840" i="1"/>
  <c r="D1840" i="1"/>
  <c r="C1840" i="1"/>
  <c r="B1840" i="1"/>
  <c r="AC1839" i="1"/>
  <c r="AB1839" i="1"/>
  <c r="Z1839" i="1"/>
  <c r="W1839" i="1"/>
  <c r="V1839" i="1"/>
  <c r="U1839" i="1"/>
  <c r="I1839" i="1"/>
  <c r="E1839" i="1"/>
  <c r="D1839" i="1"/>
  <c r="C1839" i="1"/>
  <c r="B1839" i="1"/>
  <c r="AC1838" i="1"/>
  <c r="AB1838" i="1"/>
  <c r="Z1838" i="1"/>
  <c r="W1838" i="1"/>
  <c r="V1838" i="1"/>
  <c r="U1838" i="1"/>
  <c r="I1838" i="1"/>
  <c r="E1838" i="1"/>
  <c r="D1838" i="1"/>
  <c r="C1838" i="1"/>
  <c r="B1838" i="1"/>
  <c r="AC1837" i="1"/>
  <c r="AB1837" i="1"/>
  <c r="Z1837" i="1"/>
  <c r="W1837" i="1"/>
  <c r="V1837" i="1"/>
  <c r="U1837" i="1"/>
  <c r="I1837" i="1"/>
  <c r="E1837" i="1"/>
  <c r="D1837" i="1"/>
  <c r="C1837" i="1"/>
  <c r="B1837" i="1"/>
  <c r="AC1836" i="1"/>
  <c r="AB1836" i="1"/>
  <c r="Z1836" i="1"/>
  <c r="W1836" i="1"/>
  <c r="V1836" i="1"/>
  <c r="U1836" i="1"/>
  <c r="I1836" i="1"/>
  <c r="E1836" i="1"/>
  <c r="D1836" i="1"/>
  <c r="C1836" i="1"/>
  <c r="B1836" i="1"/>
  <c r="AC1835" i="1"/>
  <c r="AB1835" i="1"/>
  <c r="Z1835" i="1"/>
  <c r="W1835" i="1"/>
  <c r="V1835" i="1"/>
  <c r="U1835" i="1"/>
  <c r="I1835" i="1"/>
  <c r="E1835" i="1"/>
  <c r="D1835" i="1"/>
  <c r="C1835" i="1"/>
  <c r="B1835" i="1"/>
  <c r="AC1834" i="1"/>
  <c r="AB1834" i="1"/>
  <c r="Z1834" i="1"/>
  <c r="W1834" i="1"/>
  <c r="V1834" i="1"/>
  <c r="U1834" i="1"/>
  <c r="I1834" i="1"/>
  <c r="E1834" i="1"/>
  <c r="D1834" i="1"/>
  <c r="C1834" i="1"/>
  <c r="B1834" i="1"/>
  <c r="AC1833" i="1"/>
  <c r="AB1833" i="1"/>
  <c r="Z1833" i="1"/>
  <c r="W1833" i="1"/>
  <c r="V1833" i="1"/>
  <c r="U1833" i="1"/>
  <c r="I1833" i="1"/>
  <c r="E1833" i="1"/>
  <c r="D1833" i="1"/>
  <c r="C1833" i="1"/>
  <c r="B1833" i="1"/>
  <c r="AC1832" i="1"/>
  <c r="AB1832" i="1"/>
  <c r="Z1832" i="1"/>
  <c r="W1832" i="1"/>
  <c r="V1832" i="1"/>
  <c r="U1832" i="1"/>
  <c r="I1832" i="1"/>
  <c r="E1832" i="1"/>
  <c r="D1832" i="1"/>
  <c r="C1832" i="1"/>
  <c r="B1832" i="1"/>
  <c r="AC1831" i="1"/>
  <c r="AB1831" i="1"/>
  <c r="Z1831" i="1"/>
  <c r="W1831" i="1"/>
  <c r="V1831" i="1"/>
  <c r="U1831" i="1"/>
  <c r="I1831" i="1"/>
  <c r="E1831" i="1"/>
  <c r="D1831" i="1"/>
  <c r="C1831" i="1"/>
  <c r="B1831" i="1"/>
  <c r="AC1830" i="1"/>
  <c r="AB1830" i="1"/>
  <c r="Z1830" i="1"/>
  <c r="W1830" i="1"/>
  <c r="V1830" i="1"/>
  <c r="U1830" i="1"/>
  <c r="I1830" i="1"/>
  <c r="E1830" i="1"/>
  <c r="D1830" i="1"/>
  <c r="C1830" i="1"/>
  <c r="B1830" i="1"/>
  <c r="AC1829" i="1"/>
  <c r="AB1829" i="1"/>
  <c r="Z1829" i="1"/>
  <c r="W1829" i="1"/>
  <c r="V1829" i="1"/>
  <c r="U1829" i="1"/>
  <c r="I1829" i="1"/>
  <c r="E1829" i="1"/>
  <c r="D1829" i="1"/>
  <c r="C1829" i="1"/>
  <c r="B1829" i="1"/>
  <c r="AC1828" i="1"/>
  <c r="AB1828" i="1"/>
  <c r="Z1828" i="1"/>
  <c r="W1828" i="1"/>
  <c r="V1828" i="1"/>
  <c r="U1828" i="1"/>
  <c r="I1828" i="1"/>
  <c r="E1828" i="1"/>
  <c r="D1828" i="1"/>
  <c r="C1828" i="1"/>
  <c r="B1828" i="1"/>
  <c r="AC1827" i="1"/>
  <c r="AB1827" i="1"/>
  <c r="Z1827" i="1"/>
  <c r="W1827" i="1"/>
  <c r="V1827" i="1"/>
  <c r="U1827" i="1"/>
  <c r="I1827" i="1"/>
  <c r="E1827" i="1"/>
  <c r="D1827" i="1"/>
  <c r="C1827" i="1"/>
  <c r="B1827" i="1"/>
  <c r="AC1826" i="1"/>
  <c r="AB1826" i="1"/>
  <c r="Z1826" i="1"/>
  <c r="W1826" i="1"/>
  <c r="V1826" i="1"/>
  <c r="U1826" i="1"/>
  <c r="I1826" i="1"/>
  <c r="E1826" i="1"/>
  <c r="D1826" i="1"/>
  <c r="C1826" i="1"/>
  <c r="B1826" i="1"/>
  <c r="AC1825" i="1"/>
  <c r="AB1825" i="1"/>
  <c r="Z1825" i="1"/>
  <c r="W1825" i="1"/>
  <c r="V1825" i="1"/>
  <c r="U1825" i="1"/>
  <c r="I1825" i="1"/>
  <c r="E1825" i="1"/>
  <c r="D1825" i="1"/>
  <c r="C1825" i="1"/>
  <c r="B1825" i="1"/>
  <c r="AC1824" i="1"/>
  <c r="AB1824" i="1"/>
  <c r="Z1824" i="1"/>
  <c r="W1824" i="1"/>
  <c r="V1824" i="1"/>
  <c r="U1824" i="1"/>
  <c r="I1824" i="1"/>
  <c r="E1824" i="1"/>
  <c r="D1824" i="1"/>
  <c r="C1824" i="1"/>
  <c r="B1824" i="1"/>
  <c r="AC1823" i="1"/>
  <c r="AB1823" i="1"/>
  <c r="Z1823" i="1"/>
  <c r="W1823" i="1"/>
  <c r="V1823" i="1"/>
  <c r="U1823" i="1"/>
  <c r="I1823" i="1"/>
  <c r="E1823" i="1"/>
  <c r="D1823" i="1"/>
  <c r="C1823" i="1"/>
  <c r="B1823" i="1"/>
  <c r="AC1822" i="1"/>
  <c r="AB1822" i="1"/>
  <c r="Z1822" i="1"/>
  <c r="W1822" i="1"/>
  <c r="V1822" i="1"/>
  <c r="U1822" i="1"/>
  <c r="I1822" i="1"/>
  <c r="E1822" i="1"/>
  <c r="D1822" i="1"/>
  <c r="C1822" i="1"/>
  <c r="B1822" i="1"/>
  <c r="AC1821" i="1"/>
  <c r="AB1821" i="1"/>
  <c r="Z1821" i="1"/>
  <c r="W1821" i="1"/>
  <c r="V1821" i="1"/>
  <c r="U1821" i="1"/>
  <c r="I1821" i="1"/>
  <c r="E1821" i="1"/>
  <c r="D1821" i="1"/>
  <c r="C1821" i="1"/>
  <c r="B1821" i="1"/>
  <c r="AC1820" i="1"/>
  <c r="AB1820" i="1"/>
  <c r="Z1820" i="1"/>
  <c r="W1820" i="1"/>
  <c r="V1820" i="1"/>
  <c r="U1820" i="1"/>
  <c r="I1820" i="1"/>
  <c r="E1820" i="1"/>
  <c r="D1820" i="1"/>
  <c r="C1820" i="1"/>
  <c r="B1820" i="1"/>
  <c r="AC1819" i="1"/>
  <c r="AB1819" i="1"/>
  <c r="Z1819" i="1"/>
  <c r="W1819" i="1"/>
  <c r="V1819" i="1"/>
  <c r="U1819" i="1"/>
  <c r="I1819" i="1"/>
  <c r="E1819" i="1"/>
  <c r="D1819" i="1"/>
  <c r="C1819" i="1"/>
  <c r="B1819" i="1"/>
  <c r="AC1818" i="1"/>
  <c r="AB1818" i="1"/>
  <c r="Z1818" i="1"/>
  <c r="W1818" i="1"/>
  <c r="V1818" i="1"/>
  <c r="U1818" i="1"/>
  <c r="I1818" i="1"/>
  <c r="E1818" i="1"/>
  <c r="D1818" i="1"/>
  <c r="C1818" i="1"/>
  <c r="B1818" i="1"/>
  <c r="AC1817" i="1"/>
  <c r="AB1817" i="1"/>
  <c r="Z1817" i="1"/>
  <c r="W1817" i="1"/>
  <c r="V1817" i="1"/>
  <c r="U1817" i="1"/>
  <c r="I1817" i="1"/>
  <c r="E1817" i="1"/>
  <c r="D1817" i="1"/>
  <c r="C1817" i="1"/>
  <c r="B1817" i="1"/>
  <c r="AC1816" i="1"/>
  <c r="AB1816" i="1"/>
  <c r="Z1816" i="1"/>
  <c r="W1816" i="1"/>
  <c r="V1816" i="1"/>
  <c r="U1816" i="1"/>
  <c r="I1816" i="1"/>
  <c r="E1816" i="1"/>
  <c r="D1816" i="1"/>
  <c r="C1816" i="1"/>
  <c r="B1816" i="1"/>
  <c r="AC1815" i="1"/>
  <c r="AB1815" i="1"/>
  <c r="Z1815" i="1"/>
  <c r="W1815" i="1"/>
  <c r="V1815" i="1"/>
  <c r="U1815" i="1"/>
  <c r="I1815" i="1"/>
  <c r="E1815" i="1"/>
  <c r="D1815" i="1"/>
  <c r="C1815" i="1"/>
  <c r="B1815" i="1"/>
  <c r="AC1814" i="1"/>
  <c r="AB1814" i="1"/>
  <c r="Z1814" i="1"/>
  <c r="W1814" i="1"/>
  <c r="V1814" i="1"/>
  <c r="U1814" i="1"/>
  <c r="I1814" i="1"/>
  <c r="E1814" i="1"/>
  <c r="D1814" i="1"/>
  <c r="C1814" i="1"/>
  <c r="B1814" i="1"/>
  <c r="AC1813" i="1"/>
  <c r="AB1813" i="1"/>
  <c r="Z1813" i="1"/>
  <c r="W1813" i="1"/>
  <c r="V1813" i="1"/>
  <c r="U1813" i="1"/>
  <c r="I1813" i="1"/>
  <c r="E1813" i="1"/>
  <c r="D1813" i="1"/>
  <c r="C1813" i="1"/>
  <c r="B1813" i="1"/>
  <c r="AC1812" i="1"/>
  <c r="AB1812" i="1"/>
  <c r="Z1812" i="1"/>
  <c r="W1812" i="1"/>
  <c r="V1812" i="1"/>
  <c r="U1812" i="1"/>
  <c r="I1812" i="1"/>
  <c r="E1812" i="1"/>
  <c r="D1812" i="1"/>
  <c r="C1812" i="1"/>
  <c r="B1812" i="1"/>
  <c r="AC1811" i="1"/>
  <c r="AB1811" i="1"/>
  <c r="Z1811" i="1"/>
  <c r="W1811" i="1"/>
  <c r="V1811" i="1"/>
  <c r="U1811" i="1"/>
  <c r="I1811" i="1"/>
  <c r="E1811" i="1"/>
  <c r="D1811" i="1"/>
  <c r="C1811" i="1"/>
  <c r="B1811" i="1"/>
  <c r="AC1810" i="1"/>
  <c r="AB1810" i="1"/>
  <c r="Z1810" i="1"/>
  <c r="W1810" i="1"/>
  <c r="V1810" i="1"/>
  <c r="U1810" i="1"/>
  <c r="I1810" i="1"/>
  <c r="E1810" i="1"/>
  <c r="D1810" i="1"/>
  <c r="C1810" i="1"/>
  <c r="B1810" i="1"/>
  <c r="AC1809" i="1"/>
  <c r="AB1809" i="1"/>
  <c r="Z1809" i="1"/>
  <c r="W1809" i="1"/>
  <c r="V1809" i="1"/>
  <c r="U1809" i="1"/>
  <c r="I1809" i="1"/>
  <c r="E1809" i="1"/>
  <c r="D1809" i="1"/>
  <c r="C1809" i="1"/>
  <c r="B1809" i="1"/>
  <c r="AC1808" i="1"/>
  <c r="AB1808" i="1"/>
  <c r="Z1808" i="1"/>
  <c r="W1808" i="1"/>
  <c r="V1808" i="1"/>
  <c r="U1808" i="1"/>
  <c r="I1808" i="1"/>
  <c r="E1808" i="1"/>
  <c r="D1808" i="1"/>
  <c r="C1808" i="1"/>
  <c r="B1808" i="1"/>
  <c r="AC1807" i="1"/>
  <c r="AB1807" i="1"/>
  <c r="Z1807" i="1"/>
  <c r="W1807" i="1"/>
  <c r="V1807" i="1"/>
  <c r="U1807" i="1"/>
  <c r="I1807" i="1"/>
  <c r="E1807" i="1"/>
  <c r="D1807" i="1"/>
  <c r="C1807" i="1"/>
  <c r="B1807" i="1"/>
  <c r="AC1806" i="1"/>
  <c r="AB1806" i="1"/>
  <c r="Z1806" i="1"/>
  <c r="W1806" i="1"/>
  <c r="V1806" i="1"/>
  <c r="U1806" i="1"/>
  <c r="I1806" i="1"/>
  <c r="E1806" i="1"/>
  <c r="D1806" i="1"/>
  <c r="C1806" i="1"/>
  <c r="B1806" i="1"/>
  <c r="AC1805" i="1"/>
  <c r="AB1805" i="1"/>
  <c r="Z1805" i="1"/>
  <c r="W1805" i="1"/>
  <c r="V1805" i="1"/>
  <c r="U1805" i="1"/>
  <c r="I1805" i="1"/>
  <c r="E1805" i="1"/>
  <c r="D1805" i="1"/>
  <c r="C1805" i="1"/>
  <c r="B1805" i="1"/>
  <c r="AC1804" i="1"/>
  <c r="AB1804" i="1"/>
  <c r="Z1804" i="1"/>
  <c r="W1804" i="1"/>
  <c r="V1804" i="1"/>
  <c r="U1804" i="1"/>
  <c r="I1804" i="1"/>
  <c r="E1804" i="1"/>
  <c r="D1804" i="1"/>
  <c r="C1804" i="1"/>
  <c r="B1804" i="1"/>
  <c r="AC1803" i="1"/>
  <c r="AB1803" i="1"/>
  <c r="Z1803" i="1"/>
  <c r="W1803" i="1"/>
  <c r="V1803" i="1"/>
  <c r="U1803" i="1"/>
  <c r="I1803" i="1"/>
  <c r="E1803" i="1"/>
  <c r="D1803" i="1"/>
  <c r="C1803" i="1"/>
  <c r="B1803" i="1"/>
  <c r="AC1802" i="1"/>
  <c r="AB1802" i="1"/>
  <c r="Z1802" i="1"/>
  <c r="W1802" i="1"/>
  <c r="V1802" i="1"/>
  <c r="U1802" i="1"/>
  <c r="I1802" i="1"/>
  <c r="E1802" i="1"/>
  <c r="D1802" i="1"/>
  <c r="C1802" i="1"/>
  <c r="B1802" i="1"/>
  <c r="AC1801" i="1"/>
  <c r="AB1801" i="1"/>
  <c r="Z1801" i="1"/>
  <c r="W1801" i="1"/>
  <c r="V1801" i="1"/>
  <c r="U1801" i="1"/>
  <c r="I1801" i="1"/>
  <c r="E1801" i="1"/>
  <c r="D1801" i="1"/>
  <c r="C1801" i="1"/>
  <c r="B1801" i="1"/>
  <c r="AC1800" i="1"/>
  <c r="AB1800" i="1"/>
  <c r="Z1800" i="1"/>
  <c r="W1800" i="1"/>
  <c r="V1800" i="1"/>
  <c r="U1800" i="1"/>
  <c r="I1800" i="1"/>
  <c r="E1800" i="1"/>
  <c r="D1800" i="1"/>
  <c r="C1800" i="1"/>
  <c r="B1800" i="1"/>
  <c r="AC1799" i="1"/>
  <c r="AB1799" i="1"/>
  <c r="Z1799" i="1"/>
  <c r="W1799" i="1"/>
  <c r="V1799" i="1"/>
  <c r="U1799" i="1"/>
  <c r="I1799" i="1"/>
  <c r="E1799" i="1"/>
  <c r="D1799" i="1"/>
  <c r="C1799" i="1"/>
  <c r="B1799" i="1"/>
  <c r="AC1798" i="1"/>
  <c r="AB1798" i="1"/>
  <c r="Z1798" i="1"/>
  <c r="W1798" i="1"/>
  <c r="V1798" i="1"/>
  <c r="U1798" i="1"/>
  <c r="I1798" i="1"/>
  <c r="E1798" i="1"/>
  <c r="D1798" i="1"/>
  <c r="C1798" i="1"/>
  <c r="B1798" i="1"/>
  <c r="AC1797" i="1"/>
  <c r="AB1797" i="1"/>
  <c r="Z1797" i="1"/>
  <c r="W1797" i="1"/>
  <c r="V1797" i="1"/>
  <c r="U1797" i="1"/>
  <c r="I1797" i="1"/>
  <c r="E1797" i="1"/>
  <c r="D1797" i="1"/>
  <c r="C1797" i="1"/>
  <c r="B1797" i="1"/>
  <c r="AC1796" i="1"/>
  <c r="AB1796" i="1"/>
  <c r="Z1796" i="1"/>
  <c r="W1796" i="1"/>
  <c r="V1796" i="1"/>
  <c r="U1796" i="1"/>
  <c r="I1796" i="1"/>
  <c r="E1796" i="1"/>
  <c r="D1796" i="1"/>
  <c r="C1796" i="1"/>
  <c r="B1796" i="1"/>
  <c r="AC1795" i="1"/>
  <c r="AB1795" i="1"/>
  <c r="Z1795" i="1"/>
  <c r="W1795" i="1"/>
  <c r="V1795" i="1"/>
  <c r="U1795" i="1"/>
  <c r="I1795" i="1"/>
  <c r="E1795" i="1"/>
  <c r="D1795" i="1"/>
  <c r="C1795" i="1"/>
  <c r="B1795" i="1"/>
  <c r="AC1794" i="1"/>
  <c r="AB1794" i="1"/>
  <c r="Z1794" i="1"/>
  <c r="W1794" i="1"/>
  <c r="V1794" i="1"/>
  <c r="U1794" i="1"/>
  <c r="I1794" i="1"/>
  <c r="E1794" i="1"/>
  <c r="D1794" i="1"/>
  <c r="C1794" i="1"/>
  <c r="B1794" i="1"/>
  <c r="AC1793" i="1"/>
  <c r="AB1793" i="1"/>
  <c r="Z1793" i="1"/>
  <c r="W1793" i="1"/>
  <c r="V1793" i="1"/>
  <c r="U1793" i="1"/>
  <c r="I1793" i="1"/>
  <c r="E1793" i="1"/>
  <c r="D1793" i="1"/>
  <c r="C1793" i="1"/>
  <c r="B1793" i="1"/>
  <c r="AC1792" i="1"/>
  <c r="AB1792" i="1"/>
  <c r="Z1792" i="1"/>
  <c r="W1792" i="1"/>
  <c r="V1792" i="1"/>
  <c r="U1792" i="1"/>
  <c r="I1792" i="1"/>
  <c r="E1792" i="1"/>
  <c r="D1792" i="1"/>
  <c r="C1792" i="1"/>
  <c r="B1792" i="1"/>
  <c r="AC1791" i="1"/>
  <c r="AB1791" i="1"/>
  <c r="Z1791" i="1"/>
  <c r="W1791" i="1"/>
  <c r="V1791" i="1"/>
  <c r="U1791" i="1"/>
  <c r="I1791" i="1"/>
  <c r="E1791" i="1"/>
  <c r="D1791" i="1"/>
  <c r="C1791" i="1"/>
  <c r="B1791" i="1"/>
  <c r="AC1790" i="1"/>
  <c r="AB1790" i="1"/>
  <c r="Z1790" i="1"/>
  <c r="W1790" i="1"/>
  <c r="V1790" i="1"/>
  <c r="U1790" i="1"/>
  <c r="I1790" i="1"/>
  <c r="E1790" i="1"/>
  <c r="D1790" i="1"/>
  <c r="C1790" i="1"/>
  <c r="B1790" i="1"/>
  <c r="AC1789" i="1"/>
  <c r="AB1789" i="1"/>
  <c r="Z1789" i="1"/>
  <c r="W1789" i="1"/>
  <c r="V1789" i="1"/>
  <c r="U1789" i="1"/>
  <c r="I1789" i="1"/>
  <c r="E1789" i="1"/>
  <c r="D1789" i="1"/>
  <c r="C1789" i="1"/>
  <c r="B1789" i="1"/>
  <c r="AC1788" i="1"/>
  <c r="AB1788" i="1"/>
  <c r="Z1788" i="1"/>
  <c r="W1788" i="1"/>
  <c r="V1788" i="1"/>
  <c r="U1788" i="1"/>
  <c r="I1788" i="1"/>
  <c r="E1788" i="1"/>
  <c r="D1788" i="1"/>
  <c r="C1788" i="1"/>
  <c r="B1788" i="1"/>
  <c r="AC1787" i="1"/>
  <c r="AB1787" i="1"/>
  <c r="Z1787" i="1"/>
  <c r="W1787" i="1"/>
  <c r="V1787" i="1"/>
  <c r="U1787" i="1"/>
  <c r="I1787" i="1"/>
  <c r="E1787" i="1"/>
  <c r="D1787" i="1"/>
  <c r="C1787" i="1"/>
  <c r="B1787" i="1"/>
  <c r="AC1786" i="1"/>
  <c r="AB1786" i="1"/>
  <c r="Z1786" i="1"/>
  <c r="W1786" i="1"/>
  <c r="V1786" i="1"/>
  <c r="U1786" i="1"/>
  <c r="I1786" i="1"/>
  <c r="E1786" i="1"/>
  <c r="D1786" i="1"/>
  <c r="C1786" i="1"/>
  <c r="B1786" i="1"/>
  <c r="AC1785" i="1"/>
  <c r="AB1785" i="1"/>
  <c r="Z1785" i="1"/>
  <c r="W1785" i="1"/>
  <c r="V1785" i="1"/>
  <c r="U1785" i="1"/>
  <c r="I1785" i="1"/>
  <c r="E1785" i="1"/>
  <c r="D1785" i="1"/>
  <c r="C1785" i="1"/>
  <c r="B1785" i="1"/>
  <c r="AC1784" i="1"/>
  <c r="AB1784" i="1"/>
  <c r="Z1784" i="1"/>
  <c r="W1784" i="1"/>
  <c r="V1784" i="1"/>
  <c r="U1784" i="1"/>
  <c r="I1784" i="1"/>
  <c r="E1784" i="1"/>
  <c r="D1784" i="1"/>
  <c r="C1784" i="1"/>
  <c r="B1784" i="1"/>
  <c r="AC1783" i="1"/>
  <c r="AB1783" i="1"/>
  <c r="Z1783" i="1"/>
  <c r="W1783" i="1"/>
  <c r="V1783" i="1"/>
  <c r="U1783" i="1"/>
  <c r="I1783" i="1"/>
  <c r="E1783" i="1"/>
  <c r="D1783" i="1"/>
  <c r="C1783" i="1"/>
  <c r="B1783" i="1"/>
  <c r="AC1782" i="1"/>
  <c r="AB1782" i="1"/>
  <c r="Z1782" i="1"/>
  <c r="W1782" i="1"/>
  <c r="V1782" i="1"/>
  <c r="U1782" i="1"/>
  <c r="I1782" i="1"/>
  <c r="E1782" i="1"/>
  <c r="D1782" i="1"/>
  <c r="C1782" i="1"/>
  <c r="B1782" i="1"/>
  <c r="AC1781" i="1"/>
  <c r="AB1781" i="1"/>
  <c r="Z1781" i="1"/>
  <c r="W1781" i="1"/>
  <c r="V1781" i="1"/>
  <c r="U1781" i="1"/>
  <c r="I1781" i="1"/>
  <c r="E1781" i="1"/>
  <c r="D1781" i="1"/>
  <c r="C1781" i="1"/>
  <c r="B1781" i="1"/>
  <c r="AC1780" i="1"/>
  <c r="AB1780" i="1"/>
  <c r="Z1780" i="1"/>
  <c r="W1780" i="1"/>
  <c r="V1780" i="1"/>
  <c r="U1780" i="1"/>
  <c r="I1780" i="1"/>
  <c r="E1780" i="1"/>
  <c r="D1780" i="1"/>
  <c r="C1780" i="1"/>
  <c r="B1780" i="1"/>
  <c r="AC1779" i="1"/>
  <c r="AB1779" i="1"/>
  <c r="Z1779" i="1"/>
  <c r="W1779" i="1"/>
  <c r="V1779" i="1"/>
  <c r="U1779" i="1"/>
  <c r="I1779" i="1"/>
  <c r="E1779" i="1"/>
  <c r="D1779" i="1"/>
  <c r="C1779" i="1"/>
  <c r="B1779" i="1"/>
  <c r="AC1778" i="1"/>
  <c r="AB1778" i="1"/>
  <c r="Z1778" i="1"/>
  <c r="W1778" i="1"/>
  <c r="V1778" i="1"/>
  <c r="U1778" i="1"/>
  <c r="I1778" i="1"/>
  <c r="E1778" i="1"/>
  <c r="D1778" i="1"/>
  <c r="C1778" i="1"/>
  <c r="B1778" i="1"/>
  <c r="AC1777" i="1"/>
  <c r="AB1777" i="1"/>
  <c r="Z1777" i="1"/>
  <c r="W1777" i="1"/>
  <c r="V1777" i="1"/>
  <c r="U1777" i="1"/>
  <c r="I1777" i="1"/>
  <c r="E1777" i="1"/>
  <c r="D1777" i="1"/>
  <c r="C1777" i="1"/>
  <c r="B1777" i="1"/>
  <c r="AC1776" i="1"/>
  <c r="AB1776" i="1"/>
  <c r="Z1776" i="1"/>
  <c r="W1776" i="1"/>
  <c r="V1776" i="1"/>
  <c r="U1776" i="1"/>
  <c r="I1776" i="1"/>
  <c r="E1776" i="1"/>
  <c r="D1776" i="1"/>
  <c r="C1776" i="1"/>
  <c r="B1776" i="1"/>
  <c r="AC1775" i="1"/>
  <c r="AB1775" i="1"/>
  <c r="Z1775" i="1"/>
  <c r="W1775" i="1"/>
  <c r="V1775" i="1"/>
  <c r="U1775" i="1"/>
  <c r="I1775" i="1"/>
  <c r="E1775" i="1"/>
  <c r="D1775" i="1"/>
  <c r="C1775" i="1"/>
  <c r="B1775" i="1"/>
  <c r="AC1774" i="1"/>
  <c r="AB1774" i="1"/>
  <c r="Z1774" i="1"/>
  <c r="W1774" i="1"/>
  <c r="V1774" i="1"/>
  <c r="U1774" i="1"/>
  <c r="I1774" i="1"/>
  <c r="E1774" i="1"/>
  <c r="D1774" i="1"/>
  <c r="C1774" i="1"/>
  <c r="B1774" i="1"/>
  <c r="AC1773" i="1"/>
  <c r="AB1773" i="1"/>
  <c r="Z1773" i="1"/>
  <c r="W1773" i="1"/>
  <c r="V1773" i="1"/>
  <c r="U1773" i="1"/>
  <c r="I1773" i="1"/>
  <c r="E1773" i="1"/>
  <c r="D1773" i="1"/>
  <c r="C1773" i="1"/>
  <c r="B1773" i="1"/>
  <c r="AC1772" i="1"/>
  <c r="AB1772" i="1"/>
  <c r="Z1772" i="1"/>
  <c r="W1772" i="1"/>
  <c r="V1772" i="1"/>
  <c r="U1772" i="1"/>
  <c r="I1772" i="1"/>
  <c r="E1772" i="1"/>
  <c r="D1772" i="1"/>
  <c r="C1772" i="1"/>
  <c r="B1772" i="1"/>
  <c r="AC1771" i="1"/>
  <c r="AB1771" i="1"/>
  <c r="Z1771" i="1"/>
  <c r="W1771" i="1"/>
  <c r="V1771" i="1"/>
  <c r="U1771" i="1"/>
  <c r="I1771" i="1"/>
  <c r="E1771" i="1"/>
  <c r="D1771" i="1"/>
  <c r="C1771" i="1"/>
  <c r="B1771" i="1"/>
  <c r="AC1770" i="1"/>
  <c r="AB1770" i="1"/>
  <c r="Z1770" i="1"/>
  <c r="W1770" i="1"/>
  <c r="V1770" i="1"/>
  <c r="U1770" i="1"/>
  <c r="I1770" i="1"/>
  <c r="E1770" i="1"/>
  <c r="D1770" i="1"/>
  <c r="C1770" i="1"/>
  <c r="B1770" i="1"/>
  <c r="AC1769" i="1"/>
  <c r="AB1769" i="1"/>
  <c r="Z1769" i="1"/>
  <c r="W1769" i="1"/>
  <c r="V1769" i="1"/>
  <c r="U1769" i="1"/>
  <c r="I1769" i="1"/>
  <c r="E1769" i="1"/>
  <c r="D1769" i="1"/>
  <c r="C1769" i="1"/>
  <c r="B1769" i="1"/>
  <c r="AC1768" i="1"/>
  <c r="AB1768" i="1"/>
  <c r="Z1768" i="1"/>
  <c r="W1768" i="1"/>
  <c r="V1768" i="1"/>
  <c r="U1768" i="1"/>
  <c r="I1768" i="1"/>
  <c r="E1768" i="1"/>
  <c r="D1768" i="1"/>
  <c r="C1768" i="1"/>
  <c r="B1768" i="1"/>
  <c r="AC1767" i="1"/>
  <c r="AB1767" i="1"/>
  <c r="Z1767" i="1"/>
  <c r="W1767" i="1"/>
  <c r="V1767" i="1"/>
  <c r="U1767" i="1"/>
  <c r="I1767" i="1"/>
  <c r="E1767" i="1"/>
  <c r="D1767" i="1"/>
  <c r="C1767" i="1"/>
  <c r="B1767" i="1"/>
  <c r="AC1766" i="1"/>
  <c r="AB1766" i="1"/>
  <c r="Z1766" i="1"/>
  <c r="W1766" i="1"/>
  <c r="V1766" i="1"/>
  <c r="U1766" i="1"/>
  <c r="I1766" i="1"/>
  <c r="E1766" i="1"/>
  <c r="D1766" i="1"/>
  <c r="C1766" i="1"/>
  <c r="B1766" i="1"/>
  <c r="AC1765" i="1"/>
  <c r="AB1765" i="1"/>
  <c r="Z1765" i="1"/>
  <c r="W1765" i="1"/>
  <c r="V1765" i="1"/>
  <c r="U1765" i="1"/>
  <c r="I1765" i="1"/>
  <c r="E1765" i="1"/>
  <c r="D1765" i="1"/>
  <c r="C1765" i="1"/>
  <c r="B1765" i="1"/>
  <c r="AC1764" i="1"/>
  <c r="AB1764" i="1"/>
  <c r="Z1764" i="1"/>
  <c r="W1764" i="1"/>
  <c r="V1764" i="1"/>
  <c r="U1764" i="1"/>
  <c r="I1764" i="1"/>
  <c r="E1764" i="1"/>
  <c r="D1764" i="1"/>
  <c r="C1764" i="1"/>
  <c r="B1764" i="1"/>
  <c r="AC1763" i="1"/>
  <c r="AB1763" i="1"/>
  <c r="Z1763" i="1"/>
  <c r="W1763" i="1"/>
  <c r="V1763" i="1"/>
  <c r="U1763" i="1"/>
  <c r="I1763" i="1"/>
  <c r="E1763" i="1"/>
  <c r="D1763" i="1"/>
  <c r="C1763" i="1"/>
  <c r="B1763" i="1"/>
  <c r="AC1762" i="1"/>
  <c r="AB1762" i="1"/>
  <c r="Z1762" i="1"/>
  <c r="W1762" i="1"/>
  <c r="V1762" i="1"/>
  <c r="U1762" i="1"/>
  <c r="I1762" i="1"/>
  <c r="E1762" i="1"/>
  <c r="D1762" i="1"/>
  <c r="C1762" i="1"/>
  <c r="B1762" i="1"/>
  <c r="AC1761" i="1"/>
  <c r="AB1761" i="1"/>
  <c r="Z1761" i="1"/>
  <c r="W1761" i="1"/>
  <c r="V1761" i="1"/>
  <c r="U1761" i="1"/>
  <c r="I1761" i="1"/>
  <c r="E1761" i="1"/>
  <c r="D1761" i="1"/>
  <c r="C1761" i="1"/>
  <c r="B1761" i="1"/>
  <c r="AC1760" i="1"/>
  <c r="AB1760" i="1"/>
  <c r="Z1760" i="1"/>
  <c r="W1760" i="1"/>
  <c r="V1760" i="1"/>
  <c r="U1760" i="1"/>
  <c r="I1760" i="1"/>
  <c r="E1760" i="1"/>
  <c r="D1760" i="1"/>
  <c r="C1760" i="1"/>
  <c r="B1760" i="1"/>
  <c r="AC1759" i="1"/>
  <c r="AB1759" i="1"/>
  <c r="Z1759" i="1"/>
  <c r="W1759" i="1"/>
  <c r="V1759" i="1"/>
  <c r="U1759" i="1"/>
  <c r="I1759" i="1"/>
  <c r="E1759" i="1"/>
  <c r="D1759" i="1"/>
  <c r="C1759" i="1"/>
  <c r="B1759" i="1"/>
  <c r="AC1758" i="1"/>
  <c r="AB1758" i="1"/>
  <c r="Z1758" i="1"/>
  <c r="W1758" i="1"/>
  <c r="V1758" i="1"/>
  <c r="U1758" i="1"/>
  <c r="I1758" i="1"/>
  <c r="E1758" i="1"/>
  <c r="D1758" i="1"/>
  <c r="C1758" i="1"/>
  <c r="B1758" i="1"/>
  <c r="AC1757" i="1"/>
  <c r="AB1757" i="1"/>
  <c r="Z1757" i="1"/>
  <c r="W1757" i="1"/>
  <c r="V1757" i="1"/>
  <c r="U1757" i="1"/>
  <c r="I1757" i="1"/>
  <c r="E1757" i="1"/>
  <c r="D1757" i="1"/>
  <c r="C1757" i="1"/>
  <c r="B1757" i="1"/>
  <c r="AC1756" i="1"/>
  <c r="AB1756" i="1"/>
  <c r="Z1756" i="1"/>
  <c r="W1756" i="1"/>
  <c r="V1756" i="1"/>
  <c r="U1756" i="1"/>
  <c r="I1756" i="1"/>
  <c r="E1756" i="1"/>
  <c r="D1756" i="1"/>
  <c r="C1756" i="1"/>
  <c r="B1756" i="1"/>
  <c r="AC1755" i="1"/>
  <c r="AB1755" i="1"/>
  <c r="Z1755" i="1"/>
  <c r="W1755" i="1"/>
  <c r="V1755" i="1"/>
  <c r="U1755" i="1"/>
  <c r="I1755" i="1"/>
  <c r="E1755" i="1"/>
  <c r="D1755" i="1"/>
  <c r="C1755" i="1"/>
  <c r="B1755" i="1"/>
  <c r="AC1754" i="1"/>
  <c r="AB1754" i="1"/>
  <c r="Z1754" i="1"/>
  <c r="W1754" i="1"/>
  <c r="V1754" i="1"/>
  <c r="U1754" i="1"/>
  <c r="I1754" i="1"/>
  <c r="E1754" i="1"/>
  <c r="D1754" i="1"/>
  <c r="C1754" i="1"/>
  <c r="B1754" i="1"/>
  <c r="AC1753" i="1"/>
  <c r="AB1753" i="1"/>
  <c r="Z1753" i="1"/>
  <c r="W1753" i="1"/>
  <c r="V1753" i="1"/>
  <c r="U1753" i="1"/>
  <c r="I1753" i="1"/>
  <c r="E1753" i="1"/>
  <c r="D1753" i="1"/>
  <c r="C1753" i="1"/>
  <c r="B1753" i="1"/>
  <c r="AC1752" i="1"/>
  <c r="AB1752" i="1"/>
  <c r="Z1752" i="1"/>
  <c r="W1752" i="1"/>
  <c r="V1752" i="1"/>
  <c r="U1752" i="1"/>
  <c r="I1752" i="1"/>
  <c r="E1752" i="1"/>
  <c r="D1752" i="1"/>
  <c r="C1752" i="1"/>
  <c r="B1752" i="1"/>
  <c r="AC1751" i="1"/>
  <c r="AB1751" i="1"/>
  <c r="Z1751" i="1"/>
  <c r="W1751" i="1"/>
  <c r="V1751" i="1"/>
  <c r="U1751" i="1"/>
  <c r="I1751" i="1"/>
  <c r="E1751" i="1"/>
  <c r="D1751" i="1"/>
  <c r="C1751" i="1"/>
  <c r="B1751" i="1"/>
  <c r="AC1750" i="1"/>
  <c r="AB1750" i="1"/>
  <c r="Z1750" i="1"/>
  <c r="W1750" i="1"/>
  <c r="V1750" i="1"/>
  <c r="U1750" i="1"/>
  <c r="I1750" i="1"/>
  <c r="E1750" i="1"/>
  <c r="D1750" i="1"/>
  <c r="C1750" i="1"/>
  <c r="B1750" i="1"/>
  <c r="AC1749" i="1"/>
  <c r="AB1749" i="1"/>
  <c r="Z1749" i="1"/>
  <c r="W1749" i="1"/>
  <c r="V1749" i="1"/>
  <c r="U1749" i="1"/>
  <c r="I1749" i="1"/>
  <c r="E1749" i="1"/>
  <c r="D1749" i="1"/>
  <c r="C1749" i="1"/>
  <c r="B1749" i="1"/>
  <c r="AC1748" i="1"/>
  <c r="AB1748" i="1"/>
  <c r="Z1748" i="1"/>
  <c r="W1748" i="1"/>
  <c r="V1748" i="1"/>
  <c r="U1748" i="1"/>
  <c r="I1748" i="1"/>
  <c r="E1748" i="1"/>
  <c r="D1748" i="1"/>
  <c r="C1748" i="1"/>
  <c r="B1748" i="1"/>
  <c r="AC1747" i="1"/>
  <c r="AB1747" i="1"/>
  <c r="Z1747" i="1"/>
  <c r="W1747" i="1"/>
  <c r="V1747" i="1"/>
  <c r="U1747" i="1"/>
  <c r="I1747" i="1"/>
  <c r="E1747" i="1"/>
  <c r="D1747" i="1"/>
  <c r="C1747" i="1"/>
  <c r="B1747" i="1"/>
  <c r="AC1746" i="1"/>
  <c r="AB1746" i="1"/>
  <c r="Z1746" i="1"/>
  <c r="W1746" i="1"/>
  <c r="V1746" i="1"/>
  <c r="U1746" i="1"/>
  <c r="I1746" i="1"/>
  <c r="E1746" i="1"/>
  <c r="D1746" i="1"/>
  <c r="C1746" i="1"/>
  <c r="B1746" i="1"/>
  <c r="AC1745" i="1"/>
  <c r="AB1745" i="1"/>
  <c r="Z1745" i="1"/>
  <c r="W1745" i="1"/>
  <c r="V1745" i="1"/>
  <c r="U1745" i="1"/>
  <c r="I1745" i="1"/>
  <c r="E1745" i="1"/>
  <c r="D1745" i="1"/>
  <c r="C1745" i="1"/>
  <c r="B1745" i="1"/>
  <c r="AC1744" i="1"/>
  <c r="AB1744" i="1"/>
  <c r="Z1744" i="1"/>
  <c r="W1744" i="1"/>
  <c r="V1744" i="1"/>
  <c r="U1744" i="1"/>
  <c r="I1744" i="1"/>
  <c r="E1744" i="1"/>
  <c r="D1744" i="1"/>
  <c r="C1744" i="1"/>
  <c r="B1744" i="1"/>
  <c r="AC1743" i="1"/>
  <c r="AB1743" i="1"/>
  <c r="Z1743" i="1"/>
  <c r="W1743" i="1"/>
  <c r="V1743" i="1"/>
  <c r="U1743" i="1"/>
  <c r="I1743" i="1"/>
  <c r="E1743" i="1"/>
  <c r="D1743" i="1"/>
  <c r="C1743" i="1"/>
  <c r="B1743" i="1"/>
  <c r="AC1742" i="1"/>
  <c r="AB1742" i="1"/>
  <c r="Z1742" i="1"/>
  <c r="W1742" i="1"/>
  <c r="V1742" i="1"/>
  <c r="U1742" i="1"/>
  <c r="I1742" i="1"/>
  <c r="E1742" i="1"/>
  <c r="D1742" i="1"/>
  <c r="C1742" i="1"/>
  <c r="B1742" i="1"/>
  <c r="AC1741" i="1"/>
  <c r="AB1741" i="1"/>
  <c r="Z1741" i="1"/>
  <c r="W1741" i="1"/>
  <c r="V1741" i="1"/>
  <c r="U1741" i="1"/>
  <c r="I1741" i="1"/>
  <c r="E1741" i="1"/>
  <c r="D1741" i="1"/>
  <c r="C1741" i="1"/>
  <c r="B1741" i="1"/>
  <c r="AC1740" i="1"/>
  <c r="AB1740" i="1"/>
  <c r="Z1740" i="1"/>
  <c r="W1740" i="1"/>
  <c r="V1740" i="1"/>
  <c r="U1740" i="1"/>
  <c r="I1740" i="1"/>
  <c r="E1740" i="1"/>
  <c r="D1740" i="1"/>
  <c r="C1740" i="1"/>
  <c r="B1740" i="1"/>
  <c r="AC1739" i="1"/>
  <c r="AB1739" i="1"/>
  <c r="Z1739" i="1"/>
  <c r="W1739" i="1"/>
  <c r="V1739" i="1"/>
  <c r="U1739" i="1"/>
  <c r="I1739" i="1"/>
  <c r="E1739" i="1"/>
  <c r="D1739" i="1"/>
  <c r="C1739" i="1"/>
  <c r="B1739" i="1"/>
  <c r="AC1738" i="1"/>
  <c r="AB1738" i="1"/>
  <c r="Z1738" i="1"/>
  <c r="W1738" i="1"/>
  <c r="V1738" i="1"/>
  <c r="U1738" i="1"/>
  <c r="I1738" i="1"/>
  <c r="E1738" i="1"/>
  <c r="D1738" i="1"/>
  <c r="C1738" i="1"/>
  <c r="B1738" i="1"/>
  <c r="AC1737" i="1"/>
  <c r="AB1737" i="1"/>
  <c r="Z1737" i="1"/>
  <c r="W1737" i="1"/>
  <c r="V1737" i="1"/>
  <c r="U1737" i="1"/>
  <c r="I1737" i="1"/>
  <c r="E1737" i="1"/>
  <c r="D1737" i="1"/>
  <c r="C1737" i="1"/>
  <c r="B1737" i="1"/>
  <c r="AC1736" i="1"/>
  <c r="AB1736" i="1"/>
  <c r="Z1736" i="1"/>
  <c r="W1736" i="1"/>
  <c r="V1736" i="1"/>
  <c r="U1736" i="1"/>
  <c r="I1736" i="1"/>
  <c r="E1736" i="1"/>
  <c r="D1736" i="1"/>
  <c r="C1736" i="1"/>
  <c r="B1736" i="1"/>
  <c r="AC1735" i="1"/>
  <c r="AB1735" i="1"/>
  <c r="Z1735" i="1"/>
  <c r="W1735" i="1"/>
  <c r="V1735" i="1"/>
  <c r="U1735" i="1"/>
  <c r="I1735" i="1"/>
  <c r="E1735" i="1"/>
  <c r="D1735" i="1"/>
  <c r="C1735" i="1"/>
  <c r="B1735" i="1"/>
  <c r="AC1734" i="1"/>
  <c r="AB1734" i="1"/>
  <c r="Z1734" i="1"/>
  <c r="W1734" i="1"/>
  <c r="V1734" i="1"/>
  <c r="U1734" i="1"/>
  <c r="I1734" i="1"/>
  <c r="E1734" i="1"/>
  <c r="D1734" i="1"/>
  <c r="C1734" i="1"/>
  <c r="B1734" i="1"/>
  <c r="AC1733" i="1"/>
  <c r="AB1733" i="1"/>
  <c r="Z1733" i="1"/>
  <c r="W1733" i="1"/>
  <c r="V1733" i="1"/>
  <c r="U1733" i="1"/>
  <c r="I1733" i="1"/>
  <c r="E1733" i="1"/>
  <c r="D1733" i="1"/>
  <c r="C1733" i="1"/>
  <c r="B1733" i="1"/>
  <c r="AC1732" i="1"/>
  <c r="AB1732" i="1"/>
  <c r="Z1732" i="1"/>
  <c r="W1732" i="1"/>
  <c r="V1732" i="1"/>
  <c r="U1732" i="1"/>
  <c r="I1732" i="1"/>
  <c r="E1732" i="1"/>
  <c r="D1732" i="1"/>
  <c r="C1732" i="1"/>
  <c r="B1732" i="1"/>
  <c r="AC1731" i="1"/>
  <c r="AB1731" i="1"/>
  <c r="Z1731" i="1"/>
  <c r="W1731" i="1"/>
  <c r="V1731" i="1"/>
  <c r="U1731" i="1"/>
  <c r="I1731" i="1"/>
  <c r="E1731" i="1"/>
  <c r="D1731" i="1"/>
  <c r="C1731" i="1"/>
  <c r="B1731" i="1"/>
  <c r="AC1730" i="1"/>
  <c r="AB1730" i="1"/>
  <c r="Z1730" i="1"/>
  <c r="W1730" i="1"/>
  <c r="V1730" i="1"/>
  <c r="U1730" i="1"/>
  <c r="I1730" i="1"/>
  <c r="E1730" i="1"/>
  <c r="D1730" i="1"/>
  <c r="C1730" i="1"/>
  <c r="B1730" i="1"/>
  <c r="AC1729" i="1"/>
  <c r="AB1729" i="1"/>
  <c r="Z1729" i="1"/>
  <c r="W1729" i="1"/>
  <c r="V1729" i="1"/>
  <c r="U1729" i="1"/>
  <c r="I1729" i="1"/>
  <c r="E1729" i="1"/>
  <c r="D1729" i="1"/>
  <c r="C1729" i="1"/>
  <c r="B1729" i="1"/>
  <c r="AC1728" i="1"/>
  <c r="AB1728" i="1"/>
  <c r="Z1728" i="1"/>
  <c r="W1728" i="1"/>
  <c r="V1728" i="1"/>
  <c r="U1728" i="1"/>
  <c r="I1728" i="1"/>
  <c r="E1728" i="1"/>
  <c r="D1728" i="1"/>
  <c r="C1728" i="1"/>
  <c r="B1728" i="1"/>
  <c r="AC1727" i="1"/>
  <c r="AB1727" i="1"/>
  <c r="Z1727" i="1"/>
  <c r="W1727" i="1"/>
  <c r="V1727" i="1"/>
  <c r="U1727" i="1"/>
  <c r="I1727" i="1"/>
  <c r="E1727" i="1"/>
  <c r="D1727" i="1"/>
  <c r="C1727" i="1"/>
  <c r="B1727" i="1"/>
  <c r="AC1726" i="1"/>
  <c r="AB1726" i="1"/>
  <c r="Z1726" i="1"/>
  <c r="W1726" i="1"/>
  <c r="V1726" i="1"/>
  <c r="U1726" i="1"/>
  <c r="I1726" i="1"/>
  <c r="E1726" i="1"/>
  <c r="D1726" i="1"/>
  <c r="C1726" i="1"/>
  <c r="B1726" i="1"/>
  <c r="AC1725" i="1"/>
  <c r="AB1725" i="1"/>
  <c r="Z1725" i="1"/>
  <c r="W1725" i="1"/>
  <c r="V1725" i="1"/>
  <c r="U1725" i="1"/>
  <c r="I1725" i="1"/>
  <c r="E1725" i="1"/>
  <c r="D1725" i="1"/>
  <c r="C1725" i="1"/>
  <c r="B1725" i="1"/>
  <c r="AC1724" i="1"/>
  <c r="AB1724" i="1"/>
  <c r="Z1724" i="1"/>
  <c r="W1724" i="1"/>
  <c r="V1724" i="1"/>
  <c r="U1724" i="1"/>
  <c r="I1724" i="1"/>
  <c r="E1724" i="1"/>
  <c r="D1724" i="1"/>
  <c r="C1724" i="1"/>
  <c r="B1724" i="1"/>
  <c r="AC1723" i="1"/>
  <c r="AB1723" i="1"/>
  <c r="Z1723" i="1"/>
  <c r="W1723" i="1"/>
  <c r="V1723" i="1"/>
  <c r="U1723" i="1"/>
  <c r="I1723" i="1"/>
  <c r="E1723" i="1"/>
  <c r="D1723" i="1"/>
  <c r="C1723" i="1"/>
  <c r="B1723" i="1"/>
  <c r="AC1722" i="1"/>
  <c r="AB1722" i="1"/>
  <c r="Z1722" i="1"/>
  <c r="W1722" i="1"/>
  <c r="V1722" i="1"/>
  <c r="U1722" i="1"/>
  <c r="I1722" i="1"/>
  <c r="E1722" i="1"/>
  <c r="D1722" i="1"/>
  <c r="C1722" i="1"/>
  <c r="B1722" i="1"/>
  <c r="AC1721" i="1"/>
  <c r="AB1721" i="1"/>
  <c r="Z1721" i="1"/>
  <c r="W1721" i="1"/>
  <c r="V1721" i="1"/>
  <c r="U1721" i="1"/>
  <c r="I1721" i="1"/>
  <c r="E1721" i="1"/>
  <c r="D1721" i="1"/>
  <c r="C1721" i="1"/>
  <c r="B1721" i="1"/>
  <c r="AC1720" i="1"/>
  <c r="AB1720" i="1"/>
  <c r="Z1720" i="1"/>
  <c r="W1720" i="1"/>
  <c r="V1720" i="1"/>
  <c r="U1720" i="1"/>
  <c r="I1720" i="1"/>
  <c r="E1720" i="1"/>
  <c r="D1720" i="1"/>
  <c r="C1720" i="1"/>
  <c r="B1720" i="1"/>
  <c r="AC1719" i="1"/>
  <c r="AB1719" i="1"/>
  <c r="Z1719" i="1"/>
  <c r="W1719" i="1"/>
  <c r="V1719" i="1"/>
  <c r="U1719" i="1"/>
  <c r="I1719" i="1"/>
  <c r="E1719" i="1"/>
  <c r="D1719" i="1"/>
  <c r="C1719" i="1"/>
  <c r="B1719" i="1"/>
  <c r="AC1718" i="1"/>
  <c r="AB1718" i="1"/>
  <c r="Z1718" i="1"/>
  <c r="W1718" i="1"/>
  <c r="V1718" i="1"/>
  <c r="U1718" i="1"/>
  <c r="I1718" i="1"/>
  <c r="E1718" i="1"/>
  <c r="D1718" i="1"/>
  <c r="C1718" i="1"/>
  <c r="B1718" i="1"/>
  <c r="AC1717" i="1"/>
  <c r="AB1717" i="1"/>
  <c r="Z1717" i="1"/>
  <c r="W1717" i="1"/>
  <c r="V1717" i="1"/>
  <c r="U1717" i="1"/>
  <c r="I1717" i="1"/>
  <c r="E1717" i="1"/>
  <c r="D1717" i="1"/>
  <c r="C1717" i="1"/>
  <c r="B1717" i="1"/>
  <c r="AC1716" i="1"/>
  <c r="AB1716" i="1"/>
  <c r="Z1716" i="1"/>
  <c r="W1716" i="1"/>
  <c r="V1716" i="1"/>
  <c r="U1716" i="1"/>
  <c r="I1716" i="1"/>
  <c r="E1716" i="1"/>
  <c r="D1716" i="1"/>
  <c r="C1716" i="1"/>
  <c r="B1716" i="1"/>
  <c r="AC1715" i="1"/>
  <c r="AB1715" i="1"/>
  <c r="Z1715" i="1"/>
  <c r="W1715" i="1"/>
  <c r="V1715" i="1"/>
  <c r="U1715" i="1"/>
  <c r="I1715" i="1"/>
  <c r="E1715" i="1"/>
  <c r="D1715" i="1"/>
  <c r="C1715" i="1"/>
  <c r="B1715" i="1"/>
  <c r="AC1714" i="1"/>
  <c r="AB1714" i="1"/>
  <c r="Z1714" i="1"/>
  <c r="W1714" i="1"/>
  <c r="V1714" i="1"/>
  <c r="U1714" i="1"/>
  <c r="I1714" i="1"/>
  <c r="E1714" i="1"/>
  <c r="D1714" i="1"/>
  <c r="C1714" i="1"/>
  <c r="B1714" i="1"/>
  <c r="AC1713" i="1"/>
  <c r="AB1713" i="1"/>
  <c r="Z1713" i="1"/>
  <c r="W1713" i="1"/>
  <c r="V1713" i="1"/>
  <c r="U1713" i="1"/>
  <c r="I1713" i="1"/>
  <c r="E1713" i="1"/>
  <c r="D1713" i="1"/>
  <c r="C1713" i="1"/>
  <c r="B1713" i="1"/>
  <c r="AC1712" i="1"/>
  <c r="AB1712" i="1"/>
  <c r="Z1712" i="1"/>
  <c r="W1712" i="1"/>
  <c r="V1712" i="1"/>
  <c r="U1712" i="1"/>
  <c r="I1712" i="1"/>
  <c r="E1712" i="1"/>
  <c r="D1712" i="1"/>
  <c r="C1712" i="1"/>
  <c r="B1712" i="1"/>
  <c r="AC1711" i="1"/>
  <c r="AB1711" i="1"/>
  <c r="Z1711" i="1"/>
  <c r="W1711" i="1"/>
  <c r="V1711" i="1"/>
  <c r="U1711" i="1"/>
  <c r="I1711" i="1"/>
  <c r="E1711" i="1"/>
  <c r="D1711" i="1"/>
  <c r="C1711" i="1"/>
  <c r="B1711" i="1"/>
  <c r="AC1710" i="1"/>
  <c r="AB1710" i="1"/>
  <c r="Z1710" i="1"/>
  <c r="W1710" i="1"/>
  <c r="V1710" i="1"/>
  <c r="U1710" i="1"/>
  <c r="I1710" i="1"/>
  <c r="E1710" i="1"/>
  <c r="D1710" i="1"/>
  <c r="C1710" i="1"/>
  <c r="B1710" i="1"/>
  <c r="AC1709" i="1"/>
  <c r="AB1709" i="1"/>
  <c r="Z1709" i="1"/>
  <c r="W1709" i="1"/>
  <c r="V1709" i="1"/>
  <c r="U1709" i="1"/>
  <c r="I1709" i="1"/>
  <c r="E1709" i="1"/>
  <c r="D1709" i="1"/>
  <c r="C1709" i="1"/>
  <c r="B1709" i="1"/>
  <c r="AC1708" i="1"/>
  <c r="AB1708" i="1"/>
  <c r="Z1708" i="1"/>
  <c r="W1708" i="1"/>
  <c r="V1708" i="1"/>
  <c r="U1708" i="1"/>
  <c r="I1708" i="1"/>
  <c r="E1708" i="1"/>
  <c r="D1708" i="1"/>
  <c r="C1708" i="1"/>
  <c r="B1708" i="1"/>
  <c r="AC1707" i="1"/>
  <c r="AB1707" i="1"/>
  <c r="Z1707" i="1"/>
  <c r="W1707" i="1"/>
  <c r="V1707" i="1"/>
  <c r="U1707" i="1"/>
  <c r="I1707" i="1"/>
  <c r="E1707" i="1"/>
  <c r="D1707" i="1"/>
  <c r="C1707" i="1"/>
  <c r="B1707" i="1"/>
  <c r="AC1706" i="1"/>
  <c r="AB1706" i="1"/>
  <c r="Z1706" i="1"/>
  <c r="W1706" i="1"/>
  <c r="V1706" i="1"/>
  <c r="U1706" i="1"/>
  <c r="I1706" i="1"/>
  <c r="E1706" i="1"/>
  <c r="D1706" i="1"/>
  <c r="C1706" i="1"/>
  <c r="B1706" i="1"/>
  <c r="AC1705" i="1"/>
  <c r="AB1705" i="1"/>
  <c r="Z1705" i="1"/>
  <c r="W1705" i="1"/>
  <c r="V1705" i="1"/>
  <c r="U1705" i="1"/>
  <c r="I1705" i="1"/>
  <c r="E1705" i="1"/>
  <c r="D1705" i="1"/>
  <c r="C1705" i="1"/>
  <c r="B1705" i="1"/>
  <c r="AC1704" i="1"/>
  <c r="AB1704" i="1"/>
  <c r="Z1704" i="1"/>
  <c r="W1704" i="1"/>
  <c r="V1704" i="1"/>
  <c r="U1704" i="1"/>
  <c r="I1704" i="1"/>
  <c r="E1704" i="1"/>
  <c r="D1704" i="1"/>
  <c r="C1704" i="1"/>
  <c r="B1704" i="1"/>
  <c r="AC1703" i="1"/>
  <c r="AB1703" i="1"/>
  <c r="Z1703" i="1"/>
  <c r="W1703" i="1"/>
  <c r="V1703" i="1"/>
  <c r="U1703" i="1"/>
  <c r="I1703" i="1"/>
  <c r="E1703" i="1"/>
  <c r="D1703" i="1"/>
  <c r="C1703" i="1"/>
  <c r="B1703" i="1"/>
  <c r="AC1702" i="1"/>
  <c r="AB1702" i="1"/>
  <c r="Z1702" i="1"/>
  <c r="W1702" i="1"/>
  <c r="V1702" i="1"/>
  <c r="U1702" i="1"/>
  <c r="I1702" i="1"/>
  <c r="E1702" i="1"/>
  <c r="D1702" i="1"/>
  <c r="C1702" i="1"/>
  <c r="B1702" i="1"/>
  <c r="AC1701" i="1"/>
  <c r="AB1701" i="1"/>
  <c r="Z1701" i="1"/>
  <c r="W1701" i="1"/>
  <c r="V1701" i="1"/>
  <c r="U1701" i="1"/>
  <c r="I1701" i="1"/>
  <c r="E1701" i="1"/>
  <c r="D1701" i="1"/>
  <c r="C1701" i="1"/>
  <c r="B1701" i="1"/>
  <c r="AC1700" i="1"/>
  <c r="AB1700" i="1"/>
  <c r="Z1700" i="1"/>
  <c r="W1700" i="1"/>
  <c r="V1700" i="1"/>
  <c r="U1700" i="1"/>
  <c r="I1700" i="1"/>
  <c r="E1700" i="1"/>
  <c r="D1700" i="1"/>
  <c r="C1700" i="1"/>
  <c r="B1700" i="1"/>
  <c r="AC1699" i="1"/>
  <c r="AB1699" i="1"/>
  <c r="Z1699" i="1"/>
  <c r="W1699" i="1"/>
  <c r="V1699" i="1"/>
  <c r="U1699" i="1"/>
  <c r="I1699" i="1"/>
  <c r="E1699" i="1"/>
  <c r="D1699" i="1"/>
  <c r="C1699" i="1"/>
  <c r="B1699" i="1"/>
  <c r="AC1698" i="1"/>
  <c r="AB1698" i="1"/>
  <c r="Z1698" i="1"/>
  <c r="W1698" i="1"/>
  <c r="V1698" i="1"/>
  <c r="U1698" i="1"/>
  <c r="I1698" i="1"/>
  <c r="E1698" i="1"/>
  <c r="D1698" i="1"/>
  <c r="C1698" i="1"/>
  <c r="B1698" i="1"/>
  <c r="AC1697" i="1"/>
  <c r="AB1697" i="1"/>
  <c r="Z1697" i="1"/>
  <c r="W1697" i="1"/>
  <c r="V1697" i="1"/>
  <c r="U1697" i="1"/>
  <c r="I1697" i="1"/>
  <c r="E1697" i="1"/>
  <c r="D1697" i="1"/>
  <c r="C1697" i="1"/>
  <c r="B1697" i="1"/>
  <c r="AC1696" i="1"/>
  <c r="AB1696" i="1"/>
  <c r="Z1696" i="1"/>
  <c r="W1696" i="1"/>
  <c r="V1696" i="1"/>
  <c r="U1696" i="1"/>
  <c r="I1696" i="1"/>
  <c r="E1696" i="1"/>
  <c r="D1696" i="1"/>
  <c r="C1696" i="1"/>
  <c r="B1696" i="1"/>
  <c r="AC1695" i="1"/>
  <c r="AB1695" i="1"/>
  <c r="Z1695" i="1"/>
  <c r="W1695" i="1"/>
  <c r="V1695" i="1"/>
  <c r="U1695" i="1"/>
  <c r="I1695" i="1"/>
  <c r="E1695" i="1"/>
  <c r="D1695" i="1"/>
  <c r="C1695" i="1"/>
  <c r="B1695" i="1"/>
  <c r="AC1694" i="1"/>
  <c r="AB1694" i="1"/>
  <c r="Z1694" i="1"/>
  <c r="W1694" i="1"/>
  <c r="V1694" i="1"/>
  <c r="U1694" i="1"/>
  <c r="I1694" i="1"/>
  <c r="E1694" i="1"/>
  <c r="D1694" i="1"/>
  <c r="C1694" i="1"/>
  <c r="B1694" i="1"/>
  <c r="AC1693" i="1"/>
  <c r="AB1693" i="1"/>
  <c r="Z1693" i="1"/>
  <c r="W1693" i="1"/>
  <c r="V1693" i="1"/>
  <c r="U1693" i="1"/>
  <c r="I1693" i="1"/>
  <c r="E1693" i="1"/>
  <c r="D1693" i="1"/>
  <c r="C1693" i="1"/>
  <c r="B1693" i="1"/>
  <c r="AC1692" i="1"/>
  <c r="AB1692" i="1"/>
  <c r="Z1692" i="1"/>
  <c r="W1692" i="1"/>
  <c r="V1692" i="1"/>
  <c r="U1692" i="1"/>
  <c r="I1692" i="1"/>
  <c r="E1692" i="1"/>
  <c r="D1692" i="1"/>
  <c r="C1692" i="1"/>
  <c r="B1692" i="1"/>
  <c r="AC1691" i="1"/>
  <c r="AB1691" i="1"/>
  <c r="Z1691" i="1"/>
  <c r="W1691" i="1"/>
  <c r="V1691" i="1"/>
  <c r="U1691" i="1"/>
  <c r="I1691" i="1"/>
  <c r="E1691" i="1"/>
  <c r="D1691" i="1"/>
  <c r="C1691" i="1"/>
  <c r="B1691" i="1"/>
  <c r="AC1690" i="1"/>
  <c r="AB1690" i="1"/>
  <c r="Z1690" i="1"/>
  <c r="W1690" i="1"/>
  <c r="V1690" i="1"/>
  <c r="U1690" i="1"/>
  <c r="I1690" i="1"/>
  <c r="E1690" i="1"/>
  <c r="D1690" i="1"/>
  <c r="C1690" i="1"/>
  <c r="B1690" i="1"/>
  <c r="AC1689" i="1"/>
  <c r="AB1689" i="1"/>
  <c r="Z1689" i="1"/>
  <c r="W1689" i="1"/>
  <c r="V1689" i="1"/>
  <c r="U1689" i="1"/>
  <c r="I1689" i="1"/>
  <c r="E1689" i="1"/>
  <c r="D1689" i="1"/>
  <c r="C1689" i="1"/>
  <c r="B1689" i="1"/>
  <c r="AC1688" i="1"/>
  <c r="AB1688" i="1"/>
  <c r="Z1688" i="1"/>
  <c r="W1688" i="1"/>
  <c r="V1688" i="1"/>
  <c r="U1688" i="1"/>
  <c r="I1688" i="1"/>
  <c r="E1688" i="1"/>
  <c r="D1688" i="1"/>
  <c r="C1688" i="1"/>
  <c r="B1688" i="1"/>
  <c r="AC1687" i="1"/>
  <c r="AB1687" i="1"/>
  <c r="Z1687" i="1"/>
  <c r="W1687" i="1"/>
  <c r="V1687" i="1"/>
  <c r="U1687" i="1"/>
  <c r="I1687" i="1"/>
  <c r="E1687" i="1"/>
  <c r="D1687" i="1"/>
  <c r="C1687" i="1"/>
  <c r="B1687" i="1"/>
  <c r="AC1686" i="1"/>
  <c r="AB1686" i="1"/>
  <c r="Z1686" i="1"/>
  <c r="W1686" i="1"/>
  <c r="V1686" i="1"/>
  <c r="U1686" i="1"/>
  <c r="I1686" i="1"/>
  <c r="E1686" i="1"/>
  <c r="D1686" i="1"/>
  <c r="C1686" i="1"/>
  <c r="B1686" i="1"/>
  <c r="AC1685" i="1"/>
  <c r="AB1685" i="1"/>
  <c r="Z1685" i="1"/>
  <c r="W1685" i="1"/>
  <c r="V1685" i="1"/>
  <c r="U1685" i="1"/>
  <c r="I1685" i="1"/>
  <c r="E1685" i="1"/>
  <c r="D1685" i="1"/>
  <c r="C1685" i="1"/>
  <c r="B1685" i="1"/>
  <c r="AC1684" i="1"/>
  <c r="AB1684" i="1"/>
  <c r="Z1684" i="1"/>
  <c r="W1684" i="1"/>
  <c r="V1684" i="1"/>
  <c r="U1684" i="1"/>
  <c r="I1684" i="1"/>
  <c r="E1684" i="1"/>
  <c r="D1684" i="1"/>
  <c r="C1684" i="1"/>
  <c r="B1684" i="1"/>
  <c r="AC1683" i="1"/>
  <c r="AB1683" i="1"/>
  <c r="Z1683" i="1"/>
  <c r="W1683" i="1"/>
  <c r="V1683" i="1"/>
  <c r="U1683" i="1"/>
  <c r="I1683" i="1"/>
  <c r="E1683" i="1"/>
  <c r="D1683" i="1"/>
  <c r="C1683" i="1"/>
  <c r="B1683" i="1"/>
  <c r="AC1682" i="1"/>
  <c r="AB1682" i="1"/>
  <c r="Z1682" i="1"/>
  <c r="W1682" i="1"/>
  <c r="V1682" i="1"/>
  <c r="U1682" i="1"/>
  <c r="I1682" i="1"/>
  <c r="E1682" i="1"/>
  <c r="D1682" i="1"/>
  <c r="C1682" i="1"/>
  <c r="B1682" i="1"/>
  <c r="AC1681" i="1"/>
  <c r="AB1681" i="1"/>
  <c r="Z1681" i="1"/>
  <c r="W1681" i="1"/>
  <c r="V1681" i="1"/>
  <c r="U1681" i="1"/>
  <c r="I1681" i="1"/>
  <c r="E1681" i="1"/>
  <c r="D1681" i="1"/>
  <c r="C1681" i="1"/>
  <c r="B1681" i="1"/>
  <c r="AC1680" i="1"/>
  <c r="AB1680" i="1"/>
  <c r="Z1680" i="1"/>
  <c r="W1680" i="1"/>
  <c r="V1680" i="1"/>
  <c r="U1680" i="1"/>
  <c r="I1680" i="1"/>
  <c r="E1680" i="1"/>
  <c r="D1680" i="1"/>
  <c r="C1680" i="1"/>
  <c r="B1680" i="1"/>
  <c r="AC1679" i="1"/>
  <c r="AB1679" i="1"/>
  <c r="Z1679" i="1"/>
  <c r="W1679" i="1"/>
  <c r="V1679" i="1"/>
  <c r="U1679" i="1"/>
  <c r="I1679" i="1"/>
  <c r="E1679" i="1"/>
  <c r="D1679" i="1"/>
  <c r="C1679" i="1"/>
  <c r="B1679" i="1"/>
  <c r="AC1678" i="1"/>
  <c r="AB1678" i="1"/>
  <c r="Z1678" i="1"/>
  <c r="W1678" i="1"/>
  <c r="V1678" i="1"/>
  <c r="U1678" i="1"/>
  <c r="I1678" i="1"/>
  <c r="E1678" i="1"/>
  <c r="D1678" i="1"/>
  <c r="C1678" i="1"/>
  <c r="B1678" i="1"/>
  <c r="AC1677" i="1"/>
  <c r="AB1677" i="1"/>
  <c r="Z1677" i="1"/>
  <c r="W1677" i="1"/>
  <c r="V1677" i="1"/>
  <c r="U1677" i="1"/>
  <c r="I1677" i="1"/>
  <c r="E1677" i="1"/>
  <c r="D1677" i="1"/>
  <c r="C1677" i="1"/>
  <c r="B1677" i="1"/>
  <c r="AC1676" i="1"/>
  <c r="AB1676" i="1"/>
  <c r="Z1676" i="1"/>
  <c r="W1676" i="1"/>
  <c r="V1676" i="1"/>
  <c r="U1676" i="1"/>
  <c r="I1676" i="1"/>
  <c r="E1676" i="1"/>
  <c r="D1676" i="1"/>
  <c r="C1676" i="1"/>
  <c r="B1676" i="1"/>
  <c r="AC1675" i="1"/>
  <c r="AB1675" i="1"/>
  <c r="Z1675" i="1"/>
  <c r="W1675" i="1"/>
  <c r="V1675" i="1"/>
  <c r="U1675" i="1"/>
  <c r="I1675" i="1"/>
  <c r="E1675" i="1"/>
  <c r="D1675" i="1"/>
  <c r="C1675" i="1"/>
  <c r="B1675" i="1"/>
  <c r="AC1674" i="1"/>
  <c r="AB1674" i="1"/>
  <c r="Z1674" i="1"/>
  <c r="W1674" i="1"/>
  <c r="V1674" i="1"/>
  <c r="U1674" i="1"/>
  <c r="I1674" i="1"/>
  <c r="E1674" i="1"/>
  <c r="D1674" i="1"/>
  <c r="C1674" i="1"/>
  <c r="B1674" i="1"/>
  <c r="AC1673" i="1"/>
  <c r="AB1673" i="1"/>
  <c r="Z1673" i="1"/>
  <c r="W1673" i="1"/>
  <c r="V1673" i="1"/>
  <c r="U1673" i="1"/>
  <c r="I1673" i="1"/>
  <c r="E1673" i="1"/>
  <c r="D1673" i="1"/>
  <c r="C1673" i="1"/>
  <c r="B1673" i="1"/>
  <c r="AC1672" i="1"/>
  <c r="AB1672" i="1"/>
  <c r="Z1672" i="1"/>
  <c r="W1672" i="1"/>
  <c r="V1672" i="1"/>
  <c r="U1672" i="1"/>
  <c r="I1672" i="1"/>
  <c r="E1672" i="1"/>
  <c r="D1672" i="1"/>
  <c r="C1672" i="1"/>
  <c r="B1672" i="1"/>
  <c r="AC1671" i="1"/>
  <c r="AB1671" i="1"/>
  <c r="Z1671" i="1"/>
  <c r="W1671" i="1"/>
  <c r="V1671" i="1"/>
  <c r="U1671" i="1"/>
  <c r="I1671" i="1"/>
  <c r="E1671" i="1"/>
  <c r="D1671" i="1"/>
  <c r="C1671" i="1"/>
  <c r="B1671" i="1"/>
  <c r="AC1670" i="1"/>
  <c r="AB1670" i="1"/>
  <c r="Z1670" i="1"/>
  <c r="W1670" i="1"/>
  <c r="V1670" i="1"/>
  <c r="U1670" i="1"/>
  <c r="I1670" i="1"/>
  <c r="E1670" i="1"/>
  <c r="D1670" i="1"/>
  <c r="C1670" i="1"/>
  <c r="B1670" i="1"/>
  <c r="AC1669" i="1"/>
  <c r="AB1669" i="1"/>
  <c r="Z1669" i="1"/>
  <c r="W1669" i="1"/>
  <c r="V1669" i="1"/>
  <c r="U1669" i="1"/>
  <c r="I1669" i="1"/>
  <c r="E1669" i="1"/>
  <c r="D1669" i="1"/>
  <c r="C1669" i="1"/>
  <c r="B1669" i="1"/>
  <c r="AC1668" i="1"/>
  <c r="AB1668" i="1"/>
  <c r="Z1668" i="1"/>
  <c r="W1668" i="1"/>
  <c r="V1668" i="1"/>
  <c r="U1668" i="1"/>
  <c r="I1668" i="1"/>
  <c r="E1668" i="1"/>
  <c r="D1668" i="1"/>
  <c r="C1668" i="1"/>
  <c r="B1668" i="1"/>
  <c r="AC1667" i="1"/>
  <c r="AB1667" i="1"/>
  <c r="Z1667" i="1"/>
  <c r="W1667" i="1"/>
  <c r="V1667" i="1"/>
  <c r="U1667" i="1"/>
  <c r="I1667" i="1"/>
  <c r="E1667" i="1"/>
  <c r="D1667" i="1"/>
  <c r="C1667" i="1"/>
  <c r="B1667" i="1"/>
  <c r="AC1666" i="1"/>
  <c r="AB1666" i="1"/>
  <c r="Z1666" i="1"/>
  <c r="W1666" i="1"/>
  <c r="V1666" i="1"/>
  <c r="U1666" i="1"/>
  <c r="I1666" i="1"/>
  <c r="E1666" i="1"/>
  <c r="D1666" i="1"/>
  <c r="C1666" i="1"/>
  <c r="B1666" i="1"/>
  <c r="AC1665" i="1"/>
  <c r="AB1665" i="1"/>
  <c r="Z1665" i="1"/>
  <c r="W1665" i="1"/>
  <c r="V1665" i="1"/>
  <c r="U1665" i="1"/>
  <c r="I1665" i="1"/>
  <c r="E1665" i="1"/>
  <c r="D1665" i="1"/>
  <c r="C1665" i="1"/>
  <c r="B1665" i="1"/>
  <c r="AC1664" i="1"/>
  <c r="AB1664" i="1"/>
  <c r="Z1664" i="1"/>
  <c r="W1664" i="1"/>
  <c r="V1664" i="1"/>
  <c r="U1664" i="1"/>
  <c r="I1664" i="1"/>
  <c r="E1664" i="1"/>
  <c r="D1664" i="1"/>
  <c r="C1664" i="1"/>
  <c r="B1664" i="1"/>
  <c r="AC1663" i="1"/>
  <c r="AB1663" i="1"/>
  <c r="Z1663" i="1"/>
  <c r="W1663" i="1"/>
  <c r="V1663" i="1"/>
  <c r="U1663" i="1"/>
  <c r="I1663" i="1"/>
  <c r="E1663" i="1"/>
  <c r="D1663" i="1"/>
  <c r="C1663" i="1"/>
  <c r="B1663" i="1"/>
  <c r="AC1662" i="1"/>
  <c r="AB1662" i="1"/>
  <c r="Z1662" i="1"/>
  <c r="W1662" i="1"/>
  <c r="V1662" i="1"/>
  <c r="U1662" i="1"/>
  <c r="I1662" i="1"/>
  <c r="E1662" i="1"/>
  <c r="D1662" i="1"/>
  <c r="C1662" i="1"/>
  <c r="B1662" i="1"/>
  <c r="AC1661" i="1"/>
  <c r="AB1661" i="1"/>
  <c r="Z1661" i="1"/>
  <c r="W1661" i="1"/>
  <c r="V1661" i="1"/>
  <c r="U1661" i="1"/>
  <c r="I1661" i="1"/>
  <c r="E1661" i="1"/>
  <c r="D1661" i="1"/>
  <c r="C1661" i="1"/>
  <c r="B1661" i="1"/>
  <c r="AC1660" i="1"/>
  <c r="AB1660" i="1"/>
  <c r="Z1660" i="1"/>
  <c r="W1660" i="1"/>
  <c r="V1660" i="1"/>
  <c r="U1660" i="1"/>
  <c r="I1660" i="1"/>
  <c r="E1660" i="1"/>
  <c r="D1660" i="1"/>
  <c r="C1660" i="1"/>
  <c r="B1660" i="1"/>
  <c r="AC1659" i="1"/>
  <c r="AB1659" i="1"/>
  <c r="Z1659" i="1"/>
  <c r="W1659" i="1"/>
  <c r="V1659" i="1"/>
  <c r="U1659" i="1"/>
  <c r="I1659" i="1"/>
  <c r="E1659" i="1"/>
  <c r="D1659" i="1"/>
  <c r="C1659" i="1"/>
  <c r="B1659" i="1"/>
  <c r="AC1658" i="1"/>
  <c r="AB1658" i="1"/>
  <c r="Z1658" i="1"/>
  <c r="W1658" i="1"/>
  <c r="V1658" i="1"/>
  <c r="U1658" i="1"/>
  <c r="I1658" i="1"/>
  <c r="E1658" i="1"/>
  <c r="D1658" i="1"/>
  <c r="C1658" i="1"/>
  <c r="B1658" i="1"/>
  <c r="AC1657" i="1"/>
  <c r="AB1657" i="1"/>
  <c r="Z1657" i="1"/>
  <c r="W1657" i="1"/>
  <c r="V1657" i="1"/>
  <c r="U1657" i="1"/>
  <c r="I1657" i="1"/>
  <c r="E1657" i="1"/>
  <c r="D1657" i="1"/>
  <c r="C1657" i="1"/>
  <c r="B1657" i="1"/>
  <c r="AC1656" i="1"/>
  <c r="AB1656" i="1"/>
  <c r="Z1656" i="1"/>
  <c r="W1656" i="1"/>
  <c r="V1656" i="1"/>
  <c r="U1656" i="1"/>
  <c r="I1656" i="1"/>
  <c r="E1656" i="1"/>
  <c r="D1656" i="1"/>
  <c r="C1656" i="1"/>
  <c r="B1656" i="1"/>
  <c r="AC1655" i="1"/>
  <c r="AB1655" i="1"/>
  <c r="Z1655" i="1"/>
  <c r="W1655" i="1"/>
  <c r="V1655" i="1"/>
  <c r="U1655" i="1"/>
  <c r="I1655" i="1"/>
  <c r="E1655" i="1"/>
  <c r="D1655" i="1"/>
  <c r="C1655" i="1"/>
  <c r="B1655" i="1"/>
  <c r="AC1654" i="1"/>
  <c r="AB1654" i="1"/>
  <c r="Z1654" i="1"/>
  <c r="W1654" i="1"/>
  <c r="V1654" i="1"/>
  <c r="U1654" i="1"/>
  <c r="I1654" i="1"/>
  <c r="E1654" i="1"/>
  <c r="D1654" i="1"/>
  <c r="C1654" i="1"/>
  <c r="B1654" i="1"/>
  <c r="AC1653" i="1"/>
  <c r="AB1653" i="1"/>
  <c r="Z1653" i="1"/>
  <c r="W1653" i="1"/>
  <c r="V1653" i="1"/>
  <c r="U1653" i="1"/>
  <c r="I1653" i="1"/>
  <c r="E1653" i="1"/>
  <c r="D1653" i="1"/>
  <c r="C1653" i="1"/>
  <c r="B1653" i="1"/>
  <c r="AC1652" i="1"/>
  <c r="AB1652" i="1"/>
  <c r="Z1652" i="1"/>
  <c r="W1652" i="1"/>
  <c r="V1652" i="1"/>
  <c r="U1652" i="1"/>
  <c r="I1652" i="1"/>
  <c r="E1652" i="1"/>
  <c r="D1652" i="1"/>
  <c r="C1652" i="1"/>
  <c r="B1652" i="1"/>
  <c r="AC1651" i="1"/>
  <c r="AB1651" i="1"/>
  <c r="Z1651" i="1"/>
  <c r="W1651" i="1"/>
  <c r="V1651" i="1"/>
  <c r="U1651" i="1"/>
  <c r="I1651" i="1"/>
  <c r="E1651" i="1"/>
  <c r="D1651" i="1"/>
  <c r="C1651" i="1"/>
  <c r="B1651" i="1"/>
  <c r="AC1650" i="1"/>
  <c r="AB1650" i="1"/>
  <c r="Z1650" i="1"/>
  <c r="W1650" i="1"/>
  <c r="V1650" i="1"/>
  <c r="U1650" i="1"/>
  <c r="I1650" i="1"/>
  <c r="E1650" i="1"/>
  <c r="D1650" i="1"/>
  <c r="C1650" i="1"/>
  <c r="B1650" i="1"/>
  <c r="AC1649" i="1"/>
  <c r="AB1649" i="1"/>
  <c r="Z1649" i="1"/>
  <c r="W1649" i="1"/>
  <c r="V1649" i="1"/>
  <c r="U1649" i="1"/>
  <c r="I1649" i="1"/>
  <c r="E1649" i="1"/>
  <c r="D1649" i="1"/>
  <c r="C1649" i="1"/>
  <c r="B1649" i="1"/>
  <c r="AC1648" i="1"/>
  <c r="AB1648" i="1"/>
  <c r="Z1648" i="1"/>
  <c r="W1648" i="1"/>
  <c r="V1648" i="1"/>
  <c r="U1648" i="1"/>
  <c r="I1648" i="1"/>
  <c r="E1648" i="1"/>
  <c r="D1648" i="1"/>
  <c r="C1648" i="1"/>
  <c r="B1648" i="1"/>
  <c r="AC1647" i="1"/>
  <c r="AB1647" i="1"/>
  <c r="Z1647" i="1"/>
  <c r="W1647" i="1"/>
  <c r="V1647" i="1"/>
  <c r="U1647" i="1"/>
  <c r="I1647" i="1"/>
  <c r="E1647" i="1"/>
  <c r="D1647" i="1"/>
  <c r="C1647" i="1"/>
  <c r="B1647" i="1"/>
  <c r="AC1646" i="1"/>
  <c r="AB1646" i="1"/>
  <c r="Z1646" i="1"/>
  <c r="W1646" i="1"/>
  <c r="V1646" i="1"/>
  <c r="U1646" i="1"/>
  <c r="I1646" i="1"/>
  <c r="E1646" i="1"/>
  <c r="D1646" i="1"/>
  <c r="C1646" i="1"/>
  <c r="B1646" i="1"/>
  <c r="AC1645" i="1"/>
  <c r="AB1645" i="1"/>
  <c r="Z1645" i="1"/>
  <c r="W1645" i="1"/>
  <c r="V1645" i="1"/>
  <c r="U1645" i="1"/>
  <c r="I1645" i="1"/>
  <c r="E1645" i="1"/>
  <c r="D1645" i="1"/>
  <c r="C1645" i="1"/>
  <c r="B1645" i="1"/>
  <c r="AC1644" i="1"/>
  <c r="AB1644" i="1"/>
  <c r="Z1644" i="1"/>
  <c r="W1644" i="1"/>
  <c r="V1644" i="1"/>
  <c r="U1644" i="1"/>
  <c r="I1644" i="1"/>
  <c r="E1644" i="1"/>
  <c r="D1644" i="1"/>
  <c r="C1644" i="1"/>
  <c r="B1644" i="1"/>
  <c r="AC1643" i="1"/>
  <c r="AB1643" i="1"/>
  <c r="Z1643" i="1"/>
  <c r="W1643" i="1"/>
  <c r="V1643" i="1"/>
  <c r="U1643" i="1"/>
  <c r="I1643" i="1"/>
  <c r="E1643" i="1"/>
  <c r="D1643" i="1"/>
  <c r="C1643" i="1"/>
  <c r="B1643" i="1"/>
  <c r="AC1642" i="1"/>
  <c r="AB1642" i="1"/>
  <c r="Z1642" i="1"/>
  <c r="W1642" i="1"/>
  <c r="V1642" i="1"/>
  <c r="U1642" i="1"/>
  <c r="I1642" i="1"/>
  <c r="E1642" i="1"/>
  <c r="D1642" i="1"/>
  <c r="C1642" i="1"/>
  <c r="B1642" i="1"/>
  <c r="AC1641" i="1"/>
  <c r="AB1641" i="1"/>
  <c r="Z1641" i="1"/>
  <c r="W1641" i="1"/>
  <c r="V1641" i="1"/>
  <c r="U1641" i="1"/>
  <c r="I1641" i="1"/>
  <c r="E1641" i="1"/>
  <c r="D1641" i="1"/>
  <c r="C1641" i="1"/>
  <c r="B1641" i="1"/>
  <c r="AC1640" i="1"/>
  <c r="AB1640" i="1"/>
  <c r="Z1640" i="1"/>
  <c r="W1640" i="1"/>
  <c r="V1640" i="1"/>
  <c r="U1640" i="1"/>
  <c r="I1640" i="1"/>
  <c r="E1640" i="1"/>
  <c r="D1640" i="1"/>
  <c r="C1640" i="1"/>
  <c r="B1640" i="1"/>
  <c r="AC1639" i="1"/>
  <c r="AB1639" i="1"/>
  <c r="Z1639" i="1"/>
  <c r="W1639" i="1"/>
  <c r="V1639" i="1"/>
  <c r="U1639" i="1"/>
  <c r="I1639" i="1"/>
  <c r="E1639" i="1"/>
  <c r="D1639" i="1"/>
  <c r="C1639" i="1"/>
  <c r="B1639" i="1"/>
  <c r="AC1638" i="1"/>
  <c r="AB1638" i="1"/>
  <c r="Z1638" i="1"/>
  <c r="W1638" i="1"/>
  <c r="V1638" i="1"/>
  <c r="U1638" i="1"/>
  <c r="I1638" i="1"/>
  <c r="E1638" i="1"/>
  <c r="D1638" i="1"/>
  <c r="C1638" i="1"/>
  <c r="B1638" i="1"/>
  <c r="AC1637" i="1"/>
  <c r="AB1637" i="1"/>
  <c r="Z1637" i="1"/>
  <c r="W1637" i="1"/>
  <c r="V1637" i="1"/>
  <c r="U1637" i="1"/>
  <c r="I1637" i="1"/>
  <c r="E1637" i="1"/>
  <c r="D1637" i="1"/>
  <c r="C1637" i="1"/>
  <c r="B1637" i="1"/>
  <c r="AC1636" i="1"/>
  <c r="AB1636" i="1"/>
  <c r="Z1636" i="1"/>
  <c r="W1636" i="1"/>
  <c r="V1636" i="1"/>
  <c r="U1636" i="1"/>
  <c r="I1636" i="1"/>
  <c r="E1636" i="1"/>
  <c r="D1636" i="1"/>
  <c r="C1636" i="1"/>
  <c r="B1636" i="1"/>
  <c r="AC1635" i="1"/>
  <c r="AB1635" i="1"/>
  <c r="Z1635" i="1"/>
  <c r="W1635" i="1"/>
  <c r="V1635" i="1"/>
  <c r="U1635" i="1"/>
  <c r="I1635" i="1"/>
  <c r="E1635" i="1"/>
  <c r="D1635" i="1"/>
  <c r="C1635" i="1"/>
  <c r="B1635" i="1"/>
  <c r="AC1634" i="1"/>
  <c r="AB1634" i="1"/>
  <c r="Z1634" i="1"/>
  <c r="W1634" i="1"/>
  <c r="V1634" i="1"/>
  <c r="U1634" i="1"/>
  <c r="I1634" i="1"/>
  <c r="E1634" i="1"/>
  <c r="D1634" i="1"/>
  <c r="C1634" i="1"/>
  <c r="B1634" i="1"/>
  <c r="AC1633" i="1"/>
  <c r="AB1633" i="1"/>
  <c r="Z1633" i="1"/>
  <c r="W1633" i="1"/>
  <c r="V1633" i="1"/>
  <c r="U1633" i="1"/>
  <c r="I1633" i="1"/>
  <c r="E1633" i="1"/>
  <c r="D1633" i="1"/>
  <c r="C1633" i="1"/>
  <c r="B1633" i="1"/>
  <c r="AC1632" i="1"/>
  <c r="AB1632" i="1"/>
  <c r="Z1632" i="1"/>
  <c r="W1632" i="1"/>
  <c r="V1632" i="1"/>
  <c r="U1632" i="1"/>
  <c r="I1632" i="1"/>
  <c r="E1632" i="1"/>
  <c r="D1632" i="1"/>
  <c r="C1632" i="1"/>
  <c r="B1632" i="1"/>
  <c r="AC1631" i="1"/>
  <c r="AB1631" i="1"/>
  <c r="Z1631" i="1"/>
  <c r="W1631" i="1"/>
  <c r="V1631" i="1"/>
  <c r="U1631" i="1"/>
  <c r="I1631" i="1"/>
  <c r="E1631" i="1"/>
  <c r="D1631" i="1"/>
  <c r="C1631" i="1"/>
  <c r="B1631" i="1"/>
  <c r="AC1630" i="1"/>
  <c r="AB1630" i="1"/>
  <c r="Z1630" i="1"/>
  <c r="W1630" i="1"/>
  <c r="V1630" i="1"/>
  <c r="U1630" i="1"/>
  <c r="I1630" i="1"/>
  <c r="E1630" i="1"/>
  <c r="D1630" i="1"/>
  <c r="C1630" i="1"/>
  <c r="B1630" i="1"/>
  <c r="AC1629" i="1"/>
  <c r="AB1629" i="1"/>
  <c r="Z1629" i="1"/>
  <c r="W1629" i="1"/>
  <c r="V1629" i="1"/>
  <c r="U1629" i="1"/>
  <c r="I1629" i="1"/>
  <c r="E1629" i="1"/>
  <c r="D1629" i="1"/>
  <c r="C1629" i="1"/>
  <c r="B1629" i="1"/>
  <c r="AC1628" i="1"/>
  <c r="AB1628" i="1"/>
  <c r="Z1628" i="1"/>
  <c r="W1628" i="1"/>
  <c r="V1628" i="1"/>
  <c r="U1628" i="1"/>
  <c r="I1628" i="1"/>
  <c r="E1628" i="1"/>
  <c r="D1628" i="1"/>
  <c r="C1628" i="1"/>
  <c r="B1628" i="1"/>
  <c r="AC1627" i="1"/>
  <c r="AB1627" i="1"/>
  <c r="Z1627" i="1"/>
  <c r="W1627" i="1"/>
  <c r="V1627" i="1"/>
  <c r="U1627" i="1"/>
  <c r="I1627" i="1"/>
  <c r="E1627" i="1"/>
  <c r="D1627" i="1"/>
  <c r="C1627" i="1"/>
  <c r="B1627" i="1"/>
  <c r="AC1626" i="1"/>
  <c r="AB1626" i="1"/>
  <c r="Z1626" i="1"/>
  <c r="W1626" i="1"/>
  <c r="V1626" i="1"/>
  <c r="U1626" i="1"/>
  <c r="I1626" i="1"/>
  <c r="E1626" i="1"/>
  <c r="D1626" i="1"/>
  <c r="C1626" i="1"/>
  <c r="B1626" i="1"/>
  <c r="AC1625" i="1"/>
  <c r="AB1625" i="1"/>
  <c r="Z1625" i="1"/>
  <c r="W1625" i="1"/>
  <c r="V1625" i="1"/>
  <c r="U1625" i="1"/>
  <c r="I1625" i="1"/>
  <c r="E1625" i="1"/>
  <c r="D1625" i="1"/>
  <c r="C1625" i="1"/>
  <c r="B1625" i="1"/>
  <c r="AC1624" i="1"/>
  <c r="AB1624" i="1"/>
  <c r="Z1624" i="1"/>
  <c r="W1624" i="1"/>
  <c r="V1624" i="1"/>
  <c r="U1624" i="1"/>
  <c r="I1624" i="1"/>
  <c r="E1624" i="1"/>
  <c r="D1624" i="1"/>
  <c r="C1624" i="1"/>
  <c r="B1624" i="1"/>
  <c r="AC1623" i="1"/>
  <c r="AB1623" i="1"/>
  <c r="Z1623" i="1"/>
  <c r="W1623" i="1"/>
  <c r="V1623" i="1"/>
  <c r="U1623" i="1"/>
  <c r="I1623" i="1"/>
  <c r="E1623" i="1"/>
  <c r="D1623" i="1"/>
  <c r="C1623" i="1"/>
  <c r="B1623" i="1"/>
  <c r="AC1622" i="1"/>
  <c r="AB1622" i="1"/>
  <c r="Z1622" i="1"/>
  <c r="W1622" i="1"/>
  <c r="V1622" i="1"/>
  <c r="U1622" i="1"/>
  <c r="I1622" i="1"/>
  <c r="E1622" i="1"/>
  <c r="D1622" i="1"/>
  <c r="C1622" i="1"/>
  <c r="B1622" i="1"/>
  <c r="AC1621" i="1"/>
  <c r="AB1621" i="1"/>
  <c r="Z1621" i="1"/>
  <c r="W1621" i="1"/>
  <c r="V1621" i="1"/>
  <c r="U1621" i="1"/>
  <c r="I1621" i="1"/>
  <c r="E1621" i="1"/>
  <c r="D1621" i="1"/>
  <c r="C1621" i="1"/>
  <c r="B1621" i="1"/>
  <c r="AC1620" i="1"/>
  <c r="AB1620" i="1"/>
  <c r="Z1620" i="1"/>
  <c r="W1620" i="1"/>
  <c r="V1620" i="1"/>
  <c r="U1620" i="1"/>
  <c r="I1620" i="1"/>
  <c r="E1620" i="1"/>
  <c r="D1620" i="1"/>
  <c r="C1620" i="1"/>
  <c r="B1620" i="1"/>
  <c r="AC1619" i="1"/>
  <c r="AB1619" i="1"/>
  <c r="Z1619" i="1"/>
  <c r="W1619" i="1"/>
  <c r="V1619" i="1"/>
  <c r="U1619" i="1"/>
  <c r="I1619" i="1"/>
  <c r="E1619" i="1"/>
  <c r="D1619" i="1"/>
  <c r="C1619" i="1"/>
  <c r="B1619" i="1"/>
  <c r="AC1618" i="1"/>
  <c r="AB1618" i="1"/>
  <c r="Z1618" i="1"/>
  <c r="W1618" i="1"/>
  <c r="V1618" i="1"/>
  <c r="U1618" i="1"/>
  <c r="I1618" i="1"/>
  <c r="E1618" i="1"/>
  <c r="D1618" i="1"/>
  <c r="C1618" i="1"/>
  <c r="B1618" i="1"/>
  <c r="AC1617" i="1"/>
  <c r="AB1617" i="1"/>
  <c r="Z1617" i="1"/>
  <c r="W1617" i="1"/>
  <c r="V1617" i="1"/>
  <c r="U1617" i="1"/>
  <c r="I1617" i="1"/>
  <c r="E1617" i="1"/>
  <c r="D1617" i="1"/>
  <c r="C1617" i="1"/>
  <c r="B1617" i="1"/>
  <c r="AC1616" i="1"/>
  <c r="AB1616" i="1"/>
  <c r="Z1616" i="1"/>
  <c r="W1616" i="1"/>
  <c r="V1616" i="1"/>
  <c r="U1616" i="1"/>
  <c r="I1616" i="1"/>
  <c r="E1616" i="1"/>
  <c r="D1616" i="1"/>
  <c r="C1616" i="1"/>
  <c r="B1616" i="1"/>
  <c r="AC1615" i="1"/>
  <c r="AB1615" i="1"/>
  <c r="Z1615" i="1"/>
  <c r="W1615" i="1"/>
  <c r="V1615" i="1"/>
  <c r="U1615" i="1"/>
  <c r="I1615" i="1"/>
  <c r="E1615" i="1"/>
  <c r="D1615" i="1"/>
  <c r="C1615" i="1"/>
  <c r="B1615" i="1"/>
  <c r="AC1614" i="1"/>
  <c r="AB1614" i="1"/>
  <c r="Z1614" i="1"/>
  <c r="W1614" i="1"/>
  <c r="V1614" i="1"/>
  <c r="U1614" i="1"/>
  <c r="I1614" i="1"/>
  <c r="E1614" i="1"/>
  <c r="D1614" i="1"/>
  <c r="C1614" i="1"/>
  <c r="B1614" i="1"/>
  <c r="AC1613" i="1"/>
  <c r="AB1613" i="1"/>
  <c r="Z1613" i="1"/>
  <c r="W1613" i="1"/>
  <c r="V1613" i="1"/>
  <c r="U1613" i="1"/>
  <c r="I1613" i="1"/>
  <c r="E1613" i="1"/>
  <c r="D1613" i="1"/>
  <c r="C1613" i="1"/>
  <c r="B1613" i="1"/>
  <c r="AC1612" i="1"/>
  <c r="AB1612" i="1"/>
  <c r="Z1612" i="1"/>
  <c r="W1612" i="1"/>
  <c r="V1612" i="1"/>
  <c r="U1612" i="1"/>
  <c r="I1612" i="1"/>
  <c r="E1612" i="1"/>
  <c r="D1612" i="1"/>
  <c r="C1612" i="1"/>
  <c r="B1612" i="1"/>
  <c r="AC1611" i="1"/>
  <c r="AB1611" i="1"/>
  <c r="Z1611" i="1"/>
  <c r="W1611" i="1"/>
  <c r="V1611" i="1"/>
  <c r="U1611" i="1"/>
  <c r="I1611" i="1"/>
  <c r="E1611" i="1"/>
  <c r="D1611" i="1"/>
  <c r="C1611" i="1"/>
  <c r="B1611" i="1"/>
  <c r="AC1610" i="1"/>
  <c r="AB1610" i="1"/>
  <c r="Z1610" i="1"/>
  <c r="W1610" i="1"/>
  <c r="V1610" i="1"/>
  <c r="U1610" i="1"/>
  <c r="I1610" i="1"/>
  <c r="E1610" i="1"/>
  <c r="D1610" i="1"/>
  <c r="C1610" i="1"/>
  <c r="B1610" i="1"/>
  <c r="AC1609" i="1"/>
  <c r="AB1609" i="1"/>
  <c r="Z1609" i="1"/>
  <c r="W1609" i="1"/>
  <c r="V1609" i="1"/>
  <c r="U1609" i="1"/>
  <c r="I1609" i="1"/>
  <c r="E1609" i="1"/>
  <c r="D1609" i="1"/>
  <c r="C1609" i="1"/>
  <c r="B1609" i="1"/>
  <c r="AC1608" i="1"/>
  <c r="AB1608" i="1"/>
  <c r="Z1608" i="1"/>
  <c r="W1608" i="1"/>
  <c r="V1608" i="1"/>
  <c r="U1608" i="1"/>
  <c r="I1608" i="1"/>
  <c r="E1608" i="1"/>
  <c r="D1608" i="1"/>
  <c r="C1608" i="1"/>
  <c r="B1608" i="1"/>
  <c r="AC1607" i="1"/>
  <c r="AB1607" i="1"/>
  <c r="Z1607" i="1"/>
  <c r="W1607" i="1"/>
  <c r="V1607" i="1"/>
  <c r="U1607" i="1"/>
  <c r="I1607" i="1"/>
  <c r="E1607" i="1"/>
  <c r="D1607" i="1"/>
  <c r="C1607" i="1"/>
  <c r="B1607" i="1"/>
  <c r="AC1606" i="1"/>
  <c r="AB1606" i="1"/>
  <c r="Z1606" i="1"/>
  <c r="W1606" i="1"/>
  <c r="V1606" i="1"/>
  <c r="U1606" i="1"/>
  <c r="I1606" i="1"/>
  <c r="E1606" i="1"/>
  <c r="D1606" i="1"/>
  <c r="C1606" i="1"/>
  <c r="B1606" i="1"/>
  <c r="AC1605" i="1"/>
  <c r="AB1605" i="1"/>
  <c r="Z1605" i="1"/>
  <c r="W1605" i="1"/>
  <c r="V1605" i="1"/>
  <c r="U1605" i="1"/>
  <c r="I1605" i="1"/>
  <c r="E1605" i="1"/>
  <c r="D1605" i="1"/>
  <c r="C1605" i="1"/>
  <c r="B1605" i="1"/>
  <c r="AC1604" i="1"/>
  <c r="AB1604" i="1"/>
  <c r="Z1604" i="1"/>
  <c r="W1604" i="1"/>
  <c r="V1604" i="1"/>
  <c r="U1604" i="1"/>
  <c r="I1604" i="1"/>
  <c r="E1604" i="1"/>
  <c r="D1604" i="1"/>
  <c r="C1604" i="1"/>
  <c r="B1604" i="1"/>
  <c r="AC1603" i="1"/>
  <c r="AB1603" i="1"/>
  <c r="Z1603" i="1"/>
  <c r="W1603" i="1"/>
  <c r="V1603" i="1"/>
  <c r="U1603" i="1"/>
  <c r="I1603" i="1"/>
  <c r="E1603" i="1"/>
  <c r="D1603" i="1"/>
  <c r="C1603" i="1"/>
  <c r="B1603" i="1"/>
  <c r="AC1602" i="1"/>
  <c r="AB1602" i="1"/>
  <c r="Z1602" i="1"/>
  <c r="W1602" i="1"/>
  <c r="V1602" i="1"/>
  <c r="U1602" i="1"/>
  <c r="I1602" i="1"/>
  <c r="E1602" i="1"/>
  <c r="D1602" i="1"/>
  <c r="C1602" i="1"/>
  <c r="B1602" i="1"/>
  <c r="AC1601" i="1"/>
  <c r="AB1601" i="1"/>
  <c r="Z1601" i="1"/>
  <c r="W1601" i="1"/>
  <c r="V1601" i="1"/>
  <c r="U1601" i="1"/>
  <c r="I1601" i="1"/>
  <c r="E1601" i="1"/>
  <c r="D1601" i="1"/>
  <c r="C1601" i="1"/>
  <c r="B1601" i="1"/>
  <c r="AC1600" i="1"/>
  <c r="AB1600" i="1"/>
  <c r="Z1600" i="1"/>
  <c r="W1600" i="1"/>
  <c r="V1600" i="1"/>
  <c r="U1600" i="1"/>
  <c r="I1600" i="1"/>
  <c r="E1600" i="1"/>
  <c r="D1600" i="1"/>
  <c r="C1600" i="1"/>
  <c r="B1600" i="1"/>
  <c r="AC1599" i="1"/>
  <c r="AB1599" i="1"/>
  <c r="Z1599" i="1"/>
  <c r="W1599" i="1"/>
  <c r="V1599" i="1"/>
  <c r="U1599" i="1"/>
  <c r="I1599" i="1"/>
  <c r="E1599" i="1"/>
  <c r="D1599" i="1"/>
  <c r="C1599" i="1"/>
  <c r="B1599" i="1"/>
  <c r="AC1598" i="1"/>
  <c r="AB1598" i="1"/>
  <c r="Z1598" i="1"/>
  <c r="W1598" i="1"/>
  <c r="V1598" i="1"/>
  <c r="U1598" i="1"/>
  <c r="I1598" i="1"/>
  <c r="E1598" i="1"/>
  <c r="D1598" i="1"/>
  <c r="C1598" i="1"/>
  <c r="B1598" i="1"/>
  <c r="AC1597" i="1"/>
  <c r="AB1597" i="1"/>
  <c r="Z1597" i="1"/>
  <c r="W1597" i="1"/>
  <c r="V1597" i="1"/>
  <c r="U1597" i="1"/>
  <c r="I1597" i="1"/>
  <c r="E1597" i="1"/>
  <c r="D1597" i="1"/>
  <c r="C1597" i="1"/>
  <c r="B1597" i="1"/>
  <c r="AC1596" i="1"/>
  <c r="AB1596" i="1"/>
  <c r="Z1596" i="1"/>
  <c r="W1596" i="1"/>
  <c r="V1596" i="1"/>
  <c r="U1596" i="1"/>
  <c r="I1596" i="1"/>
  <c r="E1596" i="1"/>
  <c r="D1596" i="1"/>
  <c r="C1596" i="1"/>
  <c r="B1596" i="1"/>
  <c r="AC1595" i="1"/>
  <c r="AB1595" i="1"/>
  <c r="Z1595" i="1"/>
  <c r="W1595" i="1"/>
  <c r="V1595" i="1"/>
  <c r="U1595" i="1"/>
  <c r="I1595" i="1"/>
  <c r="E1595" i="1"/>
  <c r="D1595" i="1"/>
  <c r="C1595" i="1"/>
  <c r="B1595" i="1"/>
  <c r="AC1594" i="1"/>
  <c r="AB1594" i="1"/>
  <c r="Z1594" i="1"/>
  <c r="W1594" i="1"/>
  <c r="V1594" i="1"/>
  <c r="U1594" i="1"/>
  <c r="I1594" i="1"/>
  <c r="E1594" i="1"/>
  <c r="D1594" i="1"/>
  <c r="C1594" i="1"/>
  <c r="B1594" i="1"/>
  <c r="AC1593" i="1"/>
  <c r="AB1593" i="1"/>
  <c r="Z1593" i="1"/>
  <c r="W1593" i="1"/>
  <c r="V1593" i="1"/>
  <c r="U1593" i="1"/>
  <c r="I1593" i="1"/>
  <c r="E1593" i="1"/>
  <c r="D1593" i="1"/>
  <c r="C1593" i="1"/>
  <c r="B1593" i="1"/>
  <c r="AC1592" i="1"/>
  <c r="AB1592" i="1"/>
  <c r="Z1592" i="1"/>
  <c r="W1592" i="1"/>
  <c r="V1592" i="1"/>
  <c r="U1592" i="1"/>
  <c r="I1592" i="1"/>
  <c r="E1592" i="1"/>
  <c r="D1592" i="1"/>
  <c r="C1592" i="1"/>
  <c r="B1592" i="1"/>
  <c r="AC1591" i="1"/>
  <c r="AB1591" i="1"/>
  <c r="Z1591" i="1"/>
  <c r="W1591" i="1"/>
  <c r="V1591" i="1"/>
  <c r="U1591" i="1"/>
  <c r="I1591" i="1"/>
  <c r="E1591" i="1"/>
  <c r="D1591" i="1"/>
  <c r="C1591" i="1"/>
  <c r="B1591" i="1"/>
  <c r="AC1590" i="1"/>
  <c r="AB1590" i="1"/>
  <c r="Z1590" i="1"/>
  <c r="W1590" i="1"/>
  <c r="V1590" i="1"/>
  <c r="U1590" i="1"/>
  <c r="I1590" i="1"/>
  <c r="E1590" i="1"/>
  <c r="D1590" i="1"/>
  <c r="C1590" i="1"/>
  <c r="B1590" i="1"/>
  <c r="AC1589" i="1"/>
  <c r="AB1589" i="1"/>
  <c r="Z1589" i="1"/>
  <c r="W1589" i="1"/>
  <c r="V1589" i="1"/>
  <c r="U1589" i="1"/>
  <c r="I1589" i="1"/>
  <c r="E1589" i="1"/>
  <c r="D1589" i="1"/>
  <c r="C1589" i="1"/>
  <c r="B1589" i="1"/>
  <c r="AC1588" i="1"/>
  <c r="AB1588" i="1"/>
  <c r="Z1588" i="1"/>
  <c r="W1588" i="1"/>
  <c r="V1588" i="1"/>
  <c r="U1588" i="1"/>
  <c r="I1588" i="1"/>
  <c r="E1588" i="1"/>
  <c r="D1588" i="1"/>
  <c r="C1588" i="1"/>
  <c r="B1588" i="1"/>
  <c r="AC1587" i="1"/>
  <c r="AB1587" i="1"/>
  <c r="Z1587" i="1"/>
  <c r="W1587" i="1"/>
  <c r="V1587" i="1"/>
  <c r="U1587" i="1"/>
  <c r="I1587" i="1"/>
  <c r="E1587" i="1"/>
  <c r="D1587" i="1"/>
  <c r="C1587" i="1"/>
  <c r="B1587" i="1"/>
  <c r="AC1586" i="1"/>
  <c r="AB1586" i="1"/>
  <c r="Z1586" i="1"/>
  <c r="W1586" i="1"/>
  <c r="V1586" i="1"/>
  <c r="U1586" i="1"/>
  <c r="I1586" i="1"/>
  <c r="E1586" i="1"/>
  <c r="D1586" i="1"/>
  <c r="C1586" i="1"/>
  <c r="B1586" i="1"/>
  <c r="AC1585" i="1"/>
  <c r="AB1585" i="1"/>
  <c r="Z1585" i="1"/>
  <c r="W1585" i="1"/>
  <c r="V1585" i="1"/>
  <c r="U1585" i="1"/>
  <c r="I1585" i="1"/>
  <c r="E1585" i="1"/>
  <c r="D1585" i="1"/>
  <c r="C1585" i="1"/>
  <c r="B1585" i="1"/>
  <c r="AC1584" i="1"/>
  <c r="AB1584" i="1"/>
  <c r="Z1584" i="1"/>
  <c r="W1584" i="1"/>
  <c r="V1584" i="1"/>
  <c r="U1584" i="1"/>
  <c r="I1584" i="1"/>
  <c r="E1584" i="1"/>
  <c r="D1584" i="1"/>
  <c r="C1584" i="1"/>
  <c r="B1584" i="1"/>
  <c r="AC1583" i="1"/>
  <c r="AB1583" i="1"/>
  <c r="Z1583" i="1"/>
  <c r="W1583" i="1"/>
  <c r="V1583" i="1"/>
  <c r="U1583" i="1"/>
  <c r="I1583" i="1"/>
  <c r="E1583" i="1"/>
  <c r="D1583" i="1"/>
  <c r="C1583" i="1"/>
  <c r="B1583" i="1"/>
  <c r="AC1582" i="1"/>
  <c r="AB1582" i="1"/>
  <c r="Z1582" i="1"/>
  <c r="W1582" i="1"/>
  <c r="V1582" i="1"/>
  <c r="U1582" i="1"/>
  <c r="I1582" i="1"/>
  <c r="E1582" i="1"/>
  <c r="D1582" i="1"/>
  <c r="C1582" i="1"/>
  <c r="B1582" i="1"/>
  <c r="AC1581" i="1"/>
  <c r="AB1581" i="1"/>
  <c r="Z1581" i="1"/>
  <c r="W1581" i="1"/>
  <c r="V1581" i="1"/>
  <c r="U1581" i="1"/>
  <c r="I1581" i="1"/>
  <c r="E1581" i="1"/>
  <c r="D1581" i="1"/>
  <c r="C1581" i="1"/>
  <c r="B1581" i="1"/>
  <c r="AC1580" i="1"/>
  <c r="AB1580" i="1"/>
  <c r="Z1580" i="1"/>
  <c r="W1580" i="1"/>
  <c r="V1580" i="1"/>
  <c r="U1580" i="1"/>
  <c r="I1580" i="1"/>
  <c r="E1580" i="1"/>
  <c r="D1580" i="1"/>
  <c r="C1580" i="1"/>
  <c r="B1580" i="1"/>
  <c r="AC1579" i="1"/>
  <c r="AB1579" i="1"/>
  <c r="Z1579" i="1"/>
  <c r="W1579" i="1"/>
  <c r="V1579" i="1"/>
  <c r="U1579" i="1"/>
  <c r="I1579" i="1"/>
  <c r="E1579" i="1"/>
  <c r="D1579" i="1"/>
  <c r="C1579" i="1"/>
  <c r="B1579" i="1"/>
  <c r="AC1578" i="1"/>
  <c r="AB1578" i="1"/>
  <c r="Z1578" i="1"/>
  <c r="W1578" i="1"/>
  <c r="V1578" i="1"/>
  <c r="U1578" i="1"/>
  <c r="I1578" i="1"/>
  <c r="E1578" i="1"/>
  <c r="D1578" i="1"/>
  <c r="C1578" i="1"/>
  <c r="B1578" i="1"/>
  <c r="AC1577" i="1"/>
  <c r="AB1577" i="1"/>
  <c r="Z1577" i="1"/>
  <c r="W1577" i="1"/>
  <c r="V1577" i="1"/>
  <c r="U1577" i="1"/>
  <c r="I1577" i="1"/>
  <c r="E1577" i="1"/>
  <c r="D1577" i="1"/>
  <c r="C1577" i="1"/>
  <c r="B1577" i="1"/>
  <c r="AC1576" i="1"/>
  <c r="AB1576" i="1"/>
  <c r="Z1576" i="1"/>
  <c r="W1576" i="1"/>
  <c r="V1576" i="1"/>
  <c r="U1576" i="1"/>
  <c r="I1576" i="1"/>
  <c r="E1576" i="1"/>
  <c r="D1576" i="1"/>
  <c r="C1576" i="1"/>
  <c r="B1576" i="1"/>
  <c r="AC1575" i="1"/>
  <c r="AB1575" i="1"/>
  <c r="Z1575" i="1"/>
  <c r="W1575" i="1"/>
  <c r="V1575" i="1"/>
  <c r="U1575" i="1"/>
  <c r="I1575" i="1"/>
  <c r="E1575" i="1"/>
  <c r="D1575" i="1"/>
  <c r="C1575" i="1"/>
  <c r="B1575" i="1"/>
  <c r="AC1574" i="1"/>
  <c r="AB1574" i="1"/>
  <c r="Z1574" i="1"/>
  <c r="W1574" i="1"/>
  <c r="V1574" i="1"/>
  <c r="U1574" i="1"/>
  <c r="I1574" i="1"/>
  <c r="E1574" i="1"/>
  <c r="D1574" i="1"/>
  <c r="C1574" i="1"/>
  <c r="B1574" i="1"/>
  <c r="AC1573" i="1"/>
  <c r="AB1573" i="1"/>
  <c r="Z1573" i="1"/>
  <c r="W1573" i="1"/>
  <c r="V1573" i="1"/>
  <c r="U1573" i="1"/>
  <c r="I1573" i="1"/>
  <c r="E1573" i="1"/>
  <c r="D1573" i="1"/>
  <c r="C1573" i="1"/>
  <c r="B1573" i="1"/>
  <c r="AC1572" i="1"/>
  <c r="AB1572" i="1"/>
  <c r="Z1572" i="1"/>
  <c r="W1572" i="1"/>
  <c r="V1572" i="1"/>
  <c r="U1572" i="1"/>
  <c r="I1572" i="1"/>
  <c r="E1572" i="1"/>
  <c r="D1572" i="1"/>
  <c r="C1572" i="1"/>
  <c r="B1572" i="1"/>
  <c r="AC1571" i="1"/>
  <c r="AB1571" i="1"/>
  <c r="Z1571" i="1"/>
  <c r="W1571" i="1"/>
  <c r="V1571" i="1"/>
  <c r="U1571" i="1"/>
  <c r="I1571" i="1"/>
  <c r="E1571" i="1"/>
  <c r="D1571" i="1"/>
  <c r="C1571" i="1"/>
  <c r="B1571" i="1"/>
  <c r="AC1570" i="1"/>
  <c r="AB1570" i="1"/>
  <c r="Z1570" i="1"/>
  <c r="W1570" i="1"/>
  <c r="V1570" i="1"/>
  <c r="U1570" i="1"/>
  <c r="I1570" i="1"/>
  <c r="E1570" i="1"/>
  <c r="D1570" i="1"/>
  <c r="C1570" i="1"/>
  <c r="B1570" i="1"/>
  <c r="AC1569" i="1"/>
  <c r="AB1569" i="1"/>
  <c r="Z1569" i="1"/>
  <c r="W1569" i="1"/>
  <c r="V1569" i="1"/>
  <c r="U1569" i="1"/>
  <c r="I1569" i="1"/>
  <c r="E1569" i="1"/>
  <c r="D1569" i="1"/>
  <c r="C1569" i="1"/>
  <c r="B1569" i="1"/>
  <c r="AC1568" i="1"/>
  <c r="AB1568" i="1"/>
  <c r="Z1568" i="1"/>
  <c r="W1568" i="1"/>
  <c r="V1568" i="1"/>
  <c r="U1568" i="1"/>
  <c r="I1568" i="1"/>
  <c r="E1568" i="1"/>
  <c r="D1568" i="1"/>
  <c r="C1568" i="1"/>
  <c r="B1568" i="1"/>
  <c r="AC1567" i="1"/>
  <c r="AB1567" i="1"/>
  <c r="Z1567" i="1"/>
  <c r="W1567" i="1"/>
  <c r="V1567" i="1"/>
  <c r="U1567" i="1"/>
  <c r="I1567" i="1"/>
  <c r="E1567" i="1"/>
  <c r="D1567" i="1"/>
  <c r="C1567" i="1"/>
  <c r="B1567" i="1"/>
  <c r="AC1566" i="1"/>
  <c r="AB1566" i="1"/>
  <c r="Z1566" i="1"/>
  <c r="W1566" i="1"/>
  <c r="V1566" i="1"/>
  <c r="U1566" i="1"/>
  <c r="I1566" i="1"/>
  <c r="E1566" i="1"/>
  <c r="D1566" i="1"/>
  <c r="C1566" i="1"/>
  <c r="B1566" i="1"/>
  <c r="AC1565" i="1"/>
  <c r="AB1565" i="1"/>
  <c r="Z1565" i="1"/>
  <c r="W1565" i="1"/>
  <c r="V1565" i="1"/>
  <c r="U1565" i="1"/>
  <c r="I1565" i="1"/>
  <c r="E1565" i="1"/>
  <c r="D1565" i="1"/>
  <c r="C1565" i="1"/>
  <c r="B1565" i="1"/>
  <c r="AC1564" i="1"/>
  <c r="AB1564" i="1"/>
  <c r="Z1564" i="1"/>
  <c r="W1564" i="1"/>
  <c r="V1564" i="1"/>
  <c r="U1564" i="1"/>
  <c r="I1564" i="1"/>
  <c r="E1564" i="1"/>
  <c r="D1564" i="1"/>
  <c r="C1564" i="1"/>
  <c r="B1564" i="1"/>
  <c r="AC1563" i="1"/>
  <c r="AB1563" i="1"/>
  <c r="Z1563" i="1"/>
  <c r="W1563" i="1"/>
  <c r="V1563" i="1"/>
  <c r="U1563" i="1"/>
  <c r="I1563" i="1"/>
  <c r="E1563" i="1"/>
  <c r="D1563" i="1"/>
  <c r="C1563" i="1"/>
  <c r="B1563" i="1"/>
  <c r="AC1562" i="1"/>
  <c r="AB1562" i="1"/>
  <c r="Z1562" i="1"/>
  <c r="W1562" i="1"/>
  <c r="V1562" i="1"/>
  <c r="U1562" i="1"/>
  <c r="I1562" i="1"/>
  <c r="E1562" i="1"/>
  <c r="D1562" i="1"/>
  <c r="C1562" i="1"/>
  <c r="B1562" i="1"/>
  <c r="AC1561" i="1"/>
  <c r="AB1561" i="1"/>
  <c r="Z1561" i="1"/>
  <c r="W1561" i="1"/>
  <c r="V1561" i="1"/>
  <c r="U1561" i="1"/>
  <c r="I1561" i="1"/>
  <c r="E1561" i="1"/>
  <c r="D1561" i="1"/>
  <c r="C1561" i="1"/>
  <c r="B1561" i="1"/>
  <c r="AC1560" i="1"/>
  <c r="AB1560" i="1"/>
  <c r="Z1560" i="1"/>
  <c r="W1560" i="1"/>
  <c r="V1560" i="1"/>
  <c r="U1560" i="1"/>
  <c r="I1560" i="1"/>
  <c r="E1560" i="1"/>
  <c r="D1560" i="1"/>
  <c r="C1560" i="1"/>
  <c r="B1560" i="1"/>
  <c r="AC1559" i="1"/>
  <c r="AB1559" i="1"/>
  <c r="Z1559" i="1"/>
  <c r="W1559" i="1"/>
  <c r="V1559" i="1"/>
  <c r="U1559" i="1"/>
  <c r="I1559" i="1"/>
  <c r="E1559" i="1"/>
  <c r="D1559" i="1"/>
  <c r="C1559" i="1"/>
  <c r="B1559" i="1"/>
  <c r="AC1558" i="1"/>
  <c r="AB1558" i="1"/>
  <c r="Z1558" i="1"/>
  <c r="W1558" i="1"/>
  <c r="V1558" i="1"/>
  <c r="U1558" i="1"/>
  <c r="I1558" i="1"/>
  <c r="E1558" i="1"/>
  <c r="D1558" i="1"/>
  <c r="C1558" i="1"/>
  <c r="B1558" i="1"/>
  <c r="AC1557" i="1"/>
  <c r="AB1557" i="1"/>
  <c r="Z1557" i="1"/>
  <c r="W1557" i="1"/>
  <c r="V1557" i="1"/>
  <c r="U1557" i="1"/>
  <c r="I1557" i="1"/>
  <c r="E1557" i="1"/>
  <c r="D1557" i="1"/>
  <c r="C1557" i="1"/>
  <c r="B1557" i="1"/>
  <c r="AC1556" i="1"/>
  <c r="AB1556" i="1"/>
  <c r="Z1556" i="1"/>
  <c r="W1556" i="1"/>
  <c r="V1556" i="1"/>
  <c r="U1556" i="1"/>
  <c r="I1556" i="1"/>
  <c r="E1556" i="1"/>
  <c r="D1556" i="1"/>
  <c r="C1556" i="1"/>
  <c r="B1556" i="1"/>
  <c r="AC1555" i="1"/>
  <c r="AB1555" i="1"/>
  <c r="Z1555" i="1"/>
  <c r="W1555" i="1"/>
  <c r="V1555" i="1"/>
  <c r="U1555" i="1"/>
  <c r="I1555" i="1"/>
  <c r="E1555" i="1"/>
  <c r="D1555" i="1"/>
  <c r="C1555" i="1"/>
  <c r="B1555" i="1"/>
  <c r="AC1554" i="1"/>
  <c r="AB1554" i="1"/>
  <c r="Z1554" i="1"/>
  <c r="W1554" i="1"/>
  <c r="V1554" i="1"/>
  <c r="U1554" i="1"/>
  <c r="I1554" i="1"/>
  <c r="E1554" i="1"/>
  <c r="D1554" i="1"/>
  <c r="C1554" i="1"/>
  <c r="B1554" i="1"/>
  <c r="AC1553" i="1"/>
  <c r="AB1553" i="1"/>
  <c r="Z1553" i="1"/>
  <c r="W1553" i="1"/>
  <c r="V1553" i="1"/>
  <c r="U1553" i="1"/>
  <c r="I1553" i="1"/>
  <c r="E1553" i="1"/>
  <c r="D1553" i="1"/>
  <c r="C1553" i="1"/>
  <c r="B1553" i="1"/>
  <c r="AC1552" i="1"/>
  <c r="AB1552" i="1"/>
  <c r="Z1552" i="1"/>
  <c r="W1552" i="1"/>
  <c r="V1552" i="1"/>
  <c r="U1552" i="1"/>
  <c r="I1552" i="1"/>
  <c r="E1552" i="1"/>
  <c r="D1552" i="1"/>
  <c r="C1552" i="1"/>
  <c r="B1552" i="1"/>
  <c r="AC1551" i="1"/>
  <c r="AB1551" i="1"/>
  <c r="Z1551" i="1"/>
  <c r="W1551" i="1"/>
  <c r="V1551" i="1"/>
  <c r="U1551" i="1"/>
  <c r="I1551" i="1"/>
  <c r="E1551" i="1"/>
  <c r="D1551" i="1"/>
  <c r="C1551" i="1"/>
  <c r="B1551" i="1"/>
  <c r="AC1550" i="1"/>
  <c r="AB1550" i="1"/>
  <c r="Z1550" i="1"/>
  <c r="W1550" i="1"/>
  <c r="V1550" i="1"/>
  <c r="U1550" i="1"/>
  <c r="I1550" i="1"/>
  <c r="E1550" i="1"/>
  <c r="D1550" i="1"/>
  <c r="C1550" i="1"/>
  <c r="B1550" i="1"/>
  <c r="AC1549" i="1"/>
  <c r="AB1549" i="1"/>
  <c r="Z1549" i="1"/>
  <c r="W1549" i="1"/>
  <c r="V1549" i="1"/>
  <c r="U1549" i="1"/>
  <c r="I1549" i="1"/>
  <c r="E1549" i="1"/>
  <c r="D1549" i="1"/>
  <c r="C1549" i="1"/>
  <c r="B1549" i="1"/>
  <c r="AC1548" i="1"/>
  <c r="AB1548" i="1"/>
  <c r="Z1548" i="1"/>
  <c r="W1548" i="1"/>
  <c r="V1548" i="1"/>
  <c r="U1548" i="1"/>
  <c r="I1548" i="1"/>
  <c r="E1548" i="1"/>
  <c r="D1548" i="1"/>
  <c r="C1548" i="1"/>
  <c r="B1548" i="1"/>
  <c r="AC1547" i="1"/>
  <c r="AB1547" i="1"/>
  <c r="Z1547" i="1"/>
  <c r="W1547" i="1"/>
  <c r="V1547" i="1"/>
  <c r="U1547" i="1"/>
  <c r="I1547" i="1"/>
  <c r="E1547" i="1"/>
  <c r="D1547" i="1"/>
  <c r="C1547" i="1"/>
  <c r="B1547" i="1"/>
  <c r="AC1546" i="1"/>
  <c r="AB1546" i="1"/>
  <c r="Z1546" i="1"/>
  <c r="W1546" i="1"/>
  <c r="V1546" i="1"/>
  <c r="U1546" i="1"/>
  <c r="I1546" i="1"/>
  <c r="E1546" i="1"/>
  <c r="D1546" i="1"/>
  <c r="C1546" i="1"/>
  <c r="B1546" i="1"/>
  <c r="AC1545" i="1"/>
  <c r="AB1545" i="1"/>
  <c r="Z1545" i="1"/>
  <c r="W1545" i="1"/>
  <c r="V1545" i="1"/>
  <c r="U1545" i="1"/>
  <c r="I1545" i="1"/>
  <c r="E1545" i="1"/>
  <c r="D1545" i="1"/>
  <c r="C1545" i="1"/>
  <c r="B1545" i="1"/>
  <c r="AC1544" i="1"/>
  <c r="AB1544" i="1"/>
  <c r="Z1544" i="1"/>
  <c r="W1544" i="1"/>
  <c r="V1544" i="1"/>
  <c r="U1544" i="1"/>
  <c r="I1544" i="1"/>
  <c r="E1544" i="1"/>
  <c r="D1544" i="1"/>
  <c r="C1544" i="1"/>
  <c r="B1544" i="1"/>
  <c r="AC1543" i="1"/>
  <c r="AB1543" i="1"/>
  <c r="Z1543" i="1"/>
  <c r="W1543" i="1"/>
  <c r="V1543" i="1"/>
  <c r="U1543" i="1"/>
  <c r="I1543" i="1"/>
  <c r="E1543" i="1"/>
  <c r="D1543" i="1"/>
  <c r="C1543" i="1"/>
  <c r="B1543" i="1"/>
  <c r="AC1542" i="1"/>
  <c r="AB1542" i="1"/>
  <c r="Z1542" i="1"/>
  <c r="W1542" i="1"/>
  <c r="V1542" i="1"/>
  <c r="U1542" i="1"/>
  <c r="I1542" i="1"/>
  <c r="E1542" i="1"/>
  <c r="D1542" i="1"/>
  <c r="C1542" i="1"/>
  <c r="B1542" i="1"/>
  <c r="AC1541" i="1"/>
  <c r="AB1541" i="1"/>
  <c r="Z1541" i="1"/>
  <c r="W1541" i="1"/>
  <c r="V1541" i="1"/>
  <c r="U1541" i="1"/>
  <c r="I1541" i="1"/>
  <c r="E1541" i="1"/>
  <c r="D1541" i="1"/>
  <c r="C1541" i="1"/>
  <c r="B1541" i="1"/>
  <c r="AC1540" i="1"/>
  <c r="AB1540" i="1"/>
  <c r="Z1540" i="1"/>
  <c r="W1540" i="1"/>
  <c r="V1540" i="1"/>
  <c r="U1540" i="1"/>
  <c r="I1540" i="1"/>
  <c r="E1540" i="1"/>
  <c r="D1540" i="1"/>
  <c r="C1540" i="1"/>
  <c r="B1540" i="1"/>
  <c r="AC1539" i="1"/>
  <c r="AB1539" i="1"/>
  <c r="Z1539" i="1"/>
  <c r="W1539" i="1"/>
  <c r="V1539" i="1"/>
  <c r="U1539" i="1"/>
  <c r="I1539" i="1"/>
  <c r="E1539" i="1"/>
  <c r="D1539" i="1"/>
  <c r="C1539" i="1"/>
  <c r="B1539" i="1"/>
  <c r="AC1538" i="1"/>
  <c r="AB1538" i="1"/>
  <c r="Z1538" i="1"/>
  <c r="W1538" i="1"/>
  <c r="V1538" i="1"/>
  <c r="U1538" i="1"/>
  <c r="I1538" i="1"/>
  <c r="E1538" i="1"/>
  <c r="D1538" i="1"/>
  <c r="C1538" i="1"/>
  <c r="B1538" i="1"/>
  <c r="AC1537" i="1"/>
  <c r="AB1537" i="1"/>
  <c r="Z1537" i="1"/>
  <c r="W1537" i="1"/>
  <c r="V1537" i="1"/>
  <c r="U1537" i="1"/>
  <c r="I1537" i="1"/>
  <c r="E1537" i="1"/>
  <c r="D1537" i="1"/>
  <c r="C1537" i="1"/>
  <c r="B1537" i="1"/>
  <c r="AC1536" i="1"/>
  <c r="AB1536" i="1"/>
  <c r="Z1536" i="1"/>
  <c r="W1536" i="1"/>
  <c r="V1536" i="1"/>
  <c r="U1536" i="1"/>
  <c r="I1536" i="1"/>
  <c r="E1536" i="1"/>
  <c r="D1536" i="1"/>
  <c r="C1536" i="1"/>
  <c r="B1536" i="1"/>
  <c r="AC1535" i="1"/>
  <c r="AB1535" i="1"/>
  <c r="Z1535" i="1"/>
  <c r="W1535" i="1"/>
  <c r="V1535" i="1"/>
  <c r="U1535" i="1"/>
  <c r="I1535" i="1"/>
  <c r="E1535" i="1"/>
  <c r="D1535" i="1"/>
  <c r="C1535" i="1"/>
  <c r="B1535" i="1"/>
  <c r="AC1534" i="1"/>
  <c r="AB1534" i="1"/>
  <c r="Z1534" i="1"/>
  <c r="W1534" i="1"/>
  <c r="V1534" i="1"/>
  <c r="U1534" i="1"/>
  <c r="I1534" i="1"/>
  <c r="E1534" i="1"/>
  <c r="D1534" i="1"/>
  <c r="C1534" i="1"/>
  <c r="B1534" i="1"/>
  <c r="AC1533" i="1"/>
  <c r="AB1533" i="1"/>
  <c r="Z1533" i="1"/>
  <c r="W1533" i="1"/>
  <c r="V1533" i="1"/>
  <c r="U1533" i="1"/>
  <c r="I1533" i="1"/>
  <c r="E1533" i="1"/>
  <c r="D1533" i="1"/>
  <c r="C1533" i="1"/>
  <c r="B1533" i="1"/>
  <c r="AC1532" i="1"/>
  <c r="AB1532" i="1"/>
  <c r="Z1532" i="1"/>
  <c r="W1532" i="1"/>
  <c r="V1532" i="1"/>
  <c r="U1532" i="1"/>
  <c r="I1532" i="1"/>
  <c r="E1532" i="1"/>
  <c r="D1532" i="1"/>
  <c r="C1532" i="1"/>
  <c r="B1532" i="1"/>
  <c r="AC1531" i="1"/>
  <c r="AB1531" i="1"/>
  <c r="Z1531" i="1"/>
  <c r="W1531" i="1"/>
  <c r="V1531" i="1"/>
  <c r="U1531" i="1"/>
  <c r="I1531" i="1"/>
  <c r="E1531" i="1"/>
  <c r="D1531" i="1"/>
  <c r="C1531" i="1"/>
  <c r="B1531" i="1"/>
  <c r="AC1530" i="1"/>
  <c r="AB1530" i="1"/>
  <c r="Z1530" i="1"/>
  <c r="W1530" i="1"/>
  <c r="V1530" i="1"/>
  <c r="U1530" i="1"/>
  <c r="I1530" i="1"/>
  <c r="E1530" i="1"/>
  <c r="D1530" i="1"/>
  <c r="C1530" i="1"/>
  <c r="B1530" i="1"/>
  <c r="AC1529" i="1"/>
  <c r="AB1529" i="1"/>
  <c r="Z1529" i="1"/>
  <c r="W1529" i="1"/>
  <c r="V1529" i="1"/>
  <c r="U1529" i="1"/>
  <c r="I1529" i="1"/>
  <c r="E1529" i="1"/>
  <c r="D1529" i="1"/>
  <c r="C1529" i="1"/>
  <c r="B1529" i="1"/>
  <c r="AC1528" i="1"/>
  <c r="AB1528" i="1"/>
  <c r="Z1528" i="1"/>
  <c r="W1528" i="1"/>
  <c r="V1528" i="1"/>
  <c r="U1528" i="1"/>
  <c r="I1528" i="1"/>
  <c r="E1528" i="1"/>
  <c r="D1528" i="1"/>
  <c r="C1528" i="1"/>
  <c r="B1528" i="1"/>
  <c r="AC1527" i="1"/>
  <c r="AB1527" i="1"/>
  <c r="Z1527" i="1"/>
  <c r="W1527" i="1"/>
  <c r="V1527" i="1"/>
  <c r="U1527" i="1"/>
  <c r="I1527" i="1"/>
  <c r="E1527" i="1"/>
  <c r="D1527" i="1"/>
  <c r="C1527" i="1"/>
  <c r="B1527" i="1"/>
  <c r="AC1526" i="1"/>
  <c r="AB1526" i="1"/>
  <c r="Z1526" i="1"/>
  <c r="W1526" i="1"/>
  <c r="V1526" i="1"/>
  <c r="U1526" i="1"/>
  <c r="I1526" i="1"/>
  <c r="E1526" i="1"/>
  <c r="D1526" i="1"/>
  <c r="C1526" i="1"/>
  <c r="B1526" i="1"/>
  <c r="AC1525" i="1"/>
  <c r="AB1525" i="1"/>
  <c r="Z1525" i="1"/>
  <c r="W1525" i="1"/>
  <c r="V1525" i="1"/>
  <c r="U1525" i="1"/>
  <c r="I1525" i="1"/>
  <c r="E1525" i="1"/>
  <c r="D1525" i="1"/>
  <c r="C1525" i="1"/>
  <c r="B1525" i="1"/>
  <c r="AC1524" i="1"/>
  <c r="AB1524" i="1"/>
  <c r="Z1524" i="1"/>
  <c r="W1524" i="1"/>
  <c r="V1524" i="1"/>
  <c r="U1524" i="1"/>
  <c r="I1524" i="1"/>
  <c r="E1524" i="1"/>
  <c r="D1524" i="1"/>
  <c r="C1524" i="1"/>
  <c r="B1524" i="1"/>
  <c r="AC1523" i="1"/>
  <c r="AB1523" i="1"/>
  <c r="Z1523" i="1"/>
  <c r="W1523" i="1"/>
  <c r="V1523" i="1"/>
  <c r="U1523" i="1"/>
  <c r="I1523" i="1"/>
  <c r="E1523" i="1"/>
  <c r="D1523" i="1"/>
  <c r="C1523" i="1"/>
  <c r="B1523" i="1"/>
  <c r="AC1522" i="1"/>
  <c r="AB1522" i="1"/>
  <c r="Z1522" i="1"/>
  <c r="W1522" i="1"/>
  <c r="V1522" i="1"/>
  <c r="U1522" i="1"/>
  <c r="I1522" i="1"/>
  <c r="E1522" i="1"/>
  <c r="D1522" i="1"/>
  <c r="C1522" i="1"/>
  <c r="B1522" i="1"/>
  <c r="AC1521" i="1"/>
  <c r="AB1521" i="1"/>
  <c r="Z1521" i="1"/>
  <c r="W1521" i="1"/>
  <c r="V1521" i="1"/>
  <c r="U1521" i="1"/>
  <c r="I1521" i="1"/>
  <c r="E1521" i="1"/>
  <c r="D1521" i="1"/>
  <c r="C1521" i="1"/>
  <c r="B1521" i="1"/>
  <c r="AC1520" i="1"/>
  <c r="AB1520" i="1"/>
  <c r="Z1520" i="1"/>
  <c r="W1520" i="1"/>
  <c r="V1520" i="1"/>
  <c r="U1520" i="1"/>
  <c r="I1520" i="1"/>
  <c r="E1520" i="1"/>
  <c r="D1520" i="1"/>
  <c r="C1520" i="1"/>
  <c r="B1520" i="1"/>
  <c r="AC1519" i="1"/>
  <c r="AB1519" i="1"/>
  <c r="Z1519" i="1"/>
  <c r="W1519" i="1"/>
  <c r="V1519" i="1"/>
  <c r="U1519" i="1"/>
  <c r="I1519" i="1"/>
  <c r="E1519" i="1"/>
  <c r="D1519" i="1"/>
  <c r="C1519" i="1"/>
  <c r="B1519" i="1"/>
  <c r="AC1518" i="1"/>
  <c r="AB1518" i="1"/>
  <c r="Z1518" i="1"/>
  <c r="W1518" i="1"/>
  <c r="V1518" i="1"/>
  <c r="U1518" i="1"/>
  <c r="I1518" i="1"/>
  <c r="E1518" i="1"/>
  <c r="D1518" i="1"/>
  <c r="C1518" i="1"/>
  <c r="B1518" i="1"/>
  <c r="AC1517" i="1"/>
  <c r="AB1517" i="1"/>
  <c r="Z1517" i="1"/>
  <c r="W1517" i="1"/>
  <c r="V1517" i="1"/>
  <c r="U1517" i="1"/>
  <c r="I1517" i="1"/>
  <c r="E1517" i="1"/>
  <c r="D1517" i="1"/>
  <c r="C1517" i="1"/>
  <c r="B1517" i="1"/>
  <c r="AC1516" i="1"/>
  <c r="AB1516" i="1"/>
  <c r="Z1516" i="1"/>
  <c r="W1516" i="1"/>
  <c r="V1516" i="1"/>
  <c r="U1516" i="1"/>
  <c r="I1516" i="1"/>
  <c r="E1516" i="1"/>
  <c r="D1516" i="1"/>
  <c r="C1516" i="1"/>
  <c r="B1516" i="1"/>
  <c r="AC1515" i="1"/>
  <c r="AB1515" i="1"/>
  <c r="Z1515" i="1"/>
  <c r="W1515" i="1"/>
  <c r="V1515" i="1"/>
  <c r="U1515" i="1"/>
  <c r="I1515" i="1"/>
  <c r="E1515" i="1"/>
  <c r="D1515" i="1"/>
  <c r="C1515" i="1"/>
  <c r="B1515" i="1"/>
  <c r="AC1514" i="1"/>
  <c r="AB1514" i="1"/>
  <c r="Z1514" i="1"/>
  <c r="W1514" i="1"/>
  <c r="V1514" i="1"/>
  <c r="U1514" i="1"/>
  <c r="I1514" i="1"/>
  <c r="E1514" i="1"/>
  <c r="D1514" i="1"/>
  <c r="C1514" i="1"/>
  <c r="B1514" i="1"/>
  <c r="AC1513" i="1"/>
  <c r="AB1513" i="1"/>
  <c r="Z1513" i="1"/>
  <c r="W1513" i="1"/>
  <c r="V1513" i="1"/>
  <c r="U1513" i="1"/>
  <c r="I1513" i="1"/>
  <c r="E1513" i="1"/>
  <c r="D1513" i="1"/>
  <c r="C1513" i="1"/>
  <c r="B1513" i="1"/>
  <c r="AC1512" i="1"/>
  <c r="AB1512" i="1"/>
  <c r="Z1512" i="1"/>
  <c r="W1512" i="1"/>
  <c r="V1512" i="1"/>
  <c r="U1512" i="1"/>
  <c r="I1512" i="1"/>
  <c r="E1512" i="1"/>
  <c r="D1512" i="1"/>
  <c r="C1512" i="1"/>
  <c r="B1512" i="1"/>
  <c r="AC1511" i="1"/>
  <c r="AB1511" i="1"/>
  <c r="Z1511" i="1"/>
  <c r="W1511" i="1"/>
  <c r="V1511" i="1"/>
  <c r="U1511" i="1"/>
  <c r="I1511" i="1"/>
  <c r="E1511" i="1"/>
  <c r="D1511" i="1"/>
  <c r="C1511" i="1"/>
  <c r="B1511" i="1"/>
  <c r="AC1510" i="1"/>
  <c r="AB1510" i="1"/>
  <c r="Z1510" i="1"/>
  <c r="W1510" i="1"/>
  <c r="V1510" i="1"/>
  <c r="U1510" i="1"/>
  <c r="I1510" i="1"/>
  <c r="E1510" i="1"/>
  <c r="D1510" i="1"/>
  <c r="C1510" i="1"/>
  <c r="B1510" i="1"/>
  <c r="AC1509" i="1"/>
  <c r="AB1509" i="1"/>
  <c r="Z1509" i="1"/>
  <c r="W1509" i="1"/>
  <c r="V1509" i="1"/>
  <c r="U1509" i="1"/>
  <c r="I1509" i="1"/>
  <c r="E1509" i="1"/>
  <c r="D1509" i="1"/>
  <c r="C1509" i="1"/>
  <c r="B1509" i="1"/>
  <c r="AC1508" i="1"/>
  <c r="AB1508" i="1"/>
  <c r="Z1508" i="1"/>
  <c r="W1508" i="1"/>
  <c r="V1508" i="1"/>
  <c r="U1508" i="1"/>
  <c r="I1508" i="1"/>
  <c r="E1508" i="1"/>
  <c r="D1508" i="1"/>
  <c r="C1508" i="1"/>
  <c r="B1508" i="1"/>
  <c r="AC1507" i="1"/>
  <c r="AB1507" i="1"/>
  <c r="Z1507" i="1"/>
  <c r="W1507" i="1"/>
  <c r="V1507" i="1"/>
  <c r="U1507" i="1"/>
  <c r="I1507" i="1"/>
  <c r="E1507" i="1"/>
  <c r="D1507" i="1"/>
  <c r="C1507" i="1"/>
  <c r="B1507" i="1"/>
  <c r="AC1506" i="1"/>
  <c r="AB1506" i="1"/>
  <c r="Z1506" i="1"/>
  <c r="W1506" i="1"/>
  <c r="V1506" i="1"/>
  <c r="U1506" i="1"/>
  <c r="I1506" i="1"/>
  <c r="E1506" i="1"/>
  <c r="D1506" i="1"/>
  <c r="C1506" i="1"/>
  <c r="B1506" i="1"/>
  <c r="AC1505" i="1"/>
  <c r="AB1505" i="1"/>
  <c r="Z1505" i="1"/>
  <c r="W1505" i="1"/>
  <c r="V1505" i="1"/>
  <c r="U1505" i="1"/>
  <c r="I1505" i="1"/>
  <c r="E1505" i="1"/>
  <c r="D1505" i="1"/>
  <c r="C1505" i="1"/>
  <c r="B1505" i="1"/>
  <c r="AC1504" i="1"/>
  <c r="AB1504" i="1"/>
  <c r="Z1504" i="1"/>
  <c r="W1504" i="1"/>
  <c r="V1504" i="1"/>
  <c r="U1504" i="1"/>
  <c r="I1504" i="1"/>
  <c r="E1504" i="1"/>
  <c r="D1504" i="1"/>
  <c r="C1504" i="1"/>
  <c r="B1504" i="1"/>
  <c r="AC1503" i="1"/>
  <c r="AB1503" i="1"/>
  <c r="Z1503" i="1"/>
  <c r="W1503" i="1"/>
  <c r="V1503" i="1"/>
  <c r="U1503" i="1"/>
  <c r="I1503" i="1"/>
  <c r="E1503" i="1"/>
  <c r="D1503" i="1"/>
  <c r="C1503" i="1"/>
  <c r="B1503" i="1"/>
  <c r="AC1502" i="1"/>
  <c r="AB1502" i="1"/>
  <c r="Z1502" i="1"/>
  <c r="W1502" i="1"/>
  <c r="V1502" i="1"/>
  <c r="U1502" i="1"/>
  <c r="I1502" i="1"/>
  <c r="E1502" i="1"/>
  <c r="D1502" i="1"/>
  <c r="C1502" i="1"/>
  <c r="B1502" i="1"/>
  <c r="AC1501" i="1"/>
  <c r="AB1501" i="1"/>
  <c r="Z1501" i="1"/>
  <c r="W1501" i="1"/>
  <c r="V1501" i="1"/>
  <c r="U1501" i="1"/>
  <c r="I1501" i="1"/>
  <c r="E1501" i="1"/>
  <c r="D1501" i="1"/>
  <c r="C1501" i="1"/>
  <c r="B1501" i="1"/>
  <c r="AC1500" i="1"/>
  <c r="AB1500" i="1"/>
  <c r="Z1500" i="1"/>
  <c r="W1500" i="1"/>
  <c r="V1500" i="1"/>
  <c r="U1500" i="1"/>
  <c r="I1500" i="1"/>
  <c r="E1500" i="1"/>
  <c r="D1500" i="1"/>
  <c r="C1500" i="1"/>
  <c r="B1500" i="1"/>
  <c r="AC1499" i="1"/>
  <c r="AB1499" i="1"/>
  <c r="Z1499" i="1"/>
  <c r="W1499" i="1"/>
  <c r="V1499" i="1"/>
  <c r="U1499" i="1"/>
  <c r="I1499" i="1"/>
  <c r="E1499" i="1"/>
  <c r="D1499" i="1"/>
  <c r="C1499" i="1"/>
  <c r="B1499" i="1"/>
  <c r="AC1498" i="1"/>
  <c r="AB1498" i="1"/>
  <c r="Z1498" i="1"/>
  <c r="W1498" i="1"/>
  <c r="V1498" i="1"/>
  <c r="U1498" i="1"/>
  <c r="I1498" i="1"/>
  <c r="E1498" i="1"/>
  <c r="D1498" i="1"/>
  <c r="C1498" i="1"/>
  <c r="B1498" i="1"/>
  <c r="AC1497" i="1"/>
  <c r="AB1497" i="1"/>
  <c r="Z1497" i="1"/>
  <c r="W1497" i="1"/>
  <c r="V1497" i="1"/>
  <c r="U1497" i="1"/>
  <c r="I1497" i="1"/>
  <c r="E1497" i="1"/>
  <c r="D1497" i="1"/>
  <c r="C1497" i="1"/>
  <c r="B1497" i="1"/>
  <c r="AC1496" i="1"/>
  <c r="AB1496" i="1"/>
  <c r="Z1496" i="1"/>
  <c r="W1496" i="1"/>
  <c r="V1496" i="1"/>
  <c r="U1496" i="1"/>
  <c r="I1496" i="1"/>
  <c r="E1496" i="1"/>
  <c r="D1496" i="1"/>
  <c r="C1496" i="1"/>
  <c r="B1496" i="1"/>
  <c r="AC1495" i="1"/>
  <c r="AB1495" i="1"/>
  <c r="Z1495" i="1"/>
  <c r="W1495" i="1"/>
  <c r="V1495" i="1"/>
  <c r="U1495" i="1"/>
  <c r="I1495" i="1"/>
  <c r="E1495" i="1"/>
  <c r="D1495" i="1"/>
  <c r="C1495" i="1"/>
  <c r="B1495" i="1"/>
  <c r="AC1494" i="1"/>
  <c r="AB1494" i="1"/>
  <c r="Z1494" i="1"/>
  <c r="W1494" i="1"/>
  <c r="V1494" i="1"/>
  <c r="U1494" i="1"/>
  <c r="I1494" i="1"/>
  <c r="E1494" i="1"/>
  <c r="D1494" i="1"/>
  <c r="C1494" i="1"/>
  <c r="B1494" i="1"/>
  <c r="AC1493" i="1"/>
  <c r="AB1493" i="1"/>
  <c r="Z1493" i="1"/>
  <c r="W1493" i="1"/>
  <c r="V1493" i="1"/>
  <c r="U1493" i="1"/>
  <c r="I1493" i="1"/>
  <c r="E1493" i="1"/>
  <c r="D1493" i="1"/>
  <c r="C1493" i="1"/>
  <c r="B1493" i="1"/>
  <c r="AC1492" i="1"/>
  <c r="AB1492" i="1"/>
  <c r="Z1492" i="1"/>
  <c r="W1492" i="1"/>
  <c r="V1492" i="1"/>
  <c r="U1492" i="1"/>
  <c r="I1492" i="1"/>
  <c r="E1492" i="1"/>
  <c r="D1492" i="1"/>
  <c r="C1492" i="1"/>
  <c r="B1492" i="1"/>
  <c r="AC1491" i="1"/>
  <c r="AB1491" i="1"/>
  <c r="Z1491" i="1"/>
  <c r="W1491" i="1"/>
  <c r="V1491" i="1"/>
  <c r="U1491" i="1"/>
  <c r="I1491" i="1"/>
  <c r="E1491" i="1"/>
  <c r="D1491" i="1"/>
  <c r="C1491" i="1"/>
  <c r="B1491" i="1"/>
  <c r="AC1490" i="1"/>
  <c r="AB1490" i="1"/>
  <c r="Z1490" i="1"/>
  <c r="W1490" i="1"/>
  <c r="V1490" i="1"/>
  <c r="U1490" i="1"/>
  <c r="I1490" i="1"/>
  <c r="E1490" i="1"/>
  <c r="D1490" i="1"/>
  <c r="C1490" i="1"/>
  <c r="B1490" i="1"/>
  <c r="AC1489" i="1"/>
  <c r="AB1489" i="1"/>
  <c r="Z1489" i="1"/>
  <c r="W1489" i="1"/>
  <c r="V1489" i="1"/>
  <c r="U1489" i="1"/>
  <c r="I1489" i="1"/>
  <c r="E1489" i="1"/>
  <c r="D1489" i="1"/>
  <c r="C1489" i="1"/>
  <c r="B1489" i="1"/>
  <c r="AC1488" i="1"/>
  <c r="AB1488" i="1"/>
  <c r="Z1488" i="1"/>
  <c r="W1488" i="1"/>
  <c r="V1488" i="1"/>
  <c r="U1488" i="1"/>
  <c r="I1488" i="1"/>
  <c r="E1488" i="1"/>
  <c r="D1488" i="1"/>
  <c r="C1488" i="1"/>
  <c r="B1488" i="1"/>
  <c r="AC1487" i="1"/>
  <c r="AB1487" i="1"/>
  <c r="Z1487" i="1"/>
  <c r="W1487" i="1"/>
  <c r="V1487" i="1"/>
  <c r="U1487" i="1"/>
  <c r="I1487" i="1"/>
  <c r="E1487" i="1"/>
  <c r="D1487" i="1"/>
  <c r="C1487" i="1"/>
  <c r="B1487" i="1"/>
  <c r="AC1486" i="1"/>
  <c r="AB1486" i="1"/>
  <c r="Z1486" i="1"/>
  <c r="W1486" i="1"/>
  <c r="V1486" i="1"/>
  <c r="U1486" i="1"/>
  <c r="I1486" i="1"/>
  <c r="E1486" i="1"/>
  <c r="D1486" i="1"/>
  <c r="C1486" i="1"/>
  <c r="B1486" i="1"/>
  <c r="AC1485" i="1"/>
  <c r="AB1485" i="1"/>
  <c r="Z1485" i="1"/>
  <c r="W1485" i="1"/>
  <c r="V1485" i="1"/>
  <c r="U1485" i="1"/>
  <c r="I1485" i="1"/>
  <c r="E1485" i="1"/>
  <c r="D1485" i="1"/>
  <c r="C1485" i="1"/>
  <c r="B1485" i="1"/>
  <c r="AC1484" i="1"/>
  <c r="AB1484" i="1"/>
  <c r="Z1484" i="1"/>
  <c r="W1484" i="1"/>
  <c r="V1484" i="1"/>
  <c r="U1484" i="1"/>
  <c r="I1484" i="1"/>
  <c r="E1484" i="1"/>
  <c r="D1484" i="1"/>
  <c r="C1484" i="1"/>
  <c r="B1484" i="1"/>
  <c r="AC1483" i="1"/>
  <c r="AB1483" i="1"/>
  <c r="Z1483" i="1"/>
  <c r="W1483" i="1"/>
  <c r="V1483" i="1"/>
  <c r="U1483" i="1"/>
  <c r="I1483" i="1"/>
  <c r="E1483" i="1"/>
  <c r="D1483" i="1"/>
  <c r="C1483" i="1"/>
  <c r="B1483" i="1"/>
  <c r="AC1482" i="1"/>
  <c r="AB1482" i="1"/>
  <c r="Z1482" i="1"/>
  <c r="W1482" i="1"/>
  <c r="V1482" i="1"/>
  <c r="U1482" i="1"/>
  <c r="I1482" i="1"/>
  <c r="E1482" i="1"/>
  <c r="D1482" i="1"/>
  <c r="C1482" i="1"/>
  <c r="B1482" i="1"/>
  <c r="AC1481" i="1"/>
  <c r="AB1481" i="1"/>
  <c r="Z1481" i="1"/>
  <c r="W1481" i="1"/>
  <c r="V1481" i="1"/>
  <c r="U1481" i="1"/>
  <c r="I1481" i="1"/>
  <c r="E1481" i="1"/>
  <c r="D1481" i="1"/>
  <c r="C1481" i="1"/>
  <c r="B1481" i="1"/>
  <c r="AC1480" i="1"/>
  <c r="AB1480" i="1"/>
  <c r="Z1480" i="1"/>
  <c r="W1480" i="1"/>
  <c r="V1480" i="1"/>
  <c r="U1480" i="1"/>
  <c r="I1480" i="1"/>
  <c r="E1480" i="1"/>
  <c r="D1480" i="1"/>
  <c r="C1480" i="1"/>
  <c r="B1480" i="1"/>
  <c r="AC1479" i="1"/>
  <c r="AB1479" i="1"/>
  <c r="Z1479" i="1"/>
  <c r="W1479" i="1"/>
  <c r="V1479" i="1"/>
  <c r="U1479" i="1"/>
  <c r="I1479" i="1"/>
  <c r="E1479" i="1"/>
  <c r="D1479" i="1"/>
  <c r="C1479" i="1"/>
  <c r="B1479" i="1"/>
  <c r="AC1478" i="1"/>
  <c r="AB1478" i="1"/>
  <c r="Z1478" i="1"/>
  <c r="W1478" i="1"/>
  <c r="V1478" i="1"/>
  <c r="U1478" i="1"/>
  <c r="I1478" i="1"/>
  <c r="E1478" i="1"/>
  <c r="D1478" i="1"/>
  <c r="C1478" i="1"/>
  <c r="B1478" i="1"/>
  <c r="AC1477" i="1"/>
  <c r="AB1477" i="1"/>
  <c r="Z1477" i="1"/>
  <c r="W1477" i="1"/>
  <c r="V1477" i="1"/>
  <c r="U1477" i="1"/>
  <c r="I1477" i="1"/>
  <c r="E1477" i="1"/>
  <c r="D1477" i="1"/>
  <c r="C1477" i="1"/>
  <c r="B1477" i="1"/>
  <c r="AC1476" i="1"/>
  <c r="AB1476" i="1"/>
  <c r="Z1476" i="1"/>
  <c r="W1476" i="1"/>
  <c r="V1476" i="1"/>
  <c r="U1476" i="1"/>
  <c r="I1476" i="1"/>
  <c r="E1476" i="1"/>
  <c r="D1476" i="1"/>
  <c r="C1476" i="1"/>
  <c r="B1476" i="1"/>
  <c r="AC1475" i="1"/>
  <c r="AB1475" i="1"/>
  <c r="Z1475" i="1"/>
  <c r="W1475" i="1"/>
  <c r="V1475" i="1"/>
  <c r="U1475" i="1"/>
  <c r="I1475" i="1"/>
  <c r="E1475" i="1"/>
  <c r="D1475" i="1"/>
  <c r="C1475" i="1"/>
  <c r="B1475" i="1"/>
  <c r="AC1474" i="1"/>
  <c r="AB1474" i="1"/>
  <c r="Z1474" i="1"/>
  <c r="W1474" i="1"/>
  <c r="V1474" i="1"/>
  <c r="U1474" i="1"/>
  <c r="I1474" i="1"/>
  <c r="E1474" i="1"/>
  <c r="D1474" i="1"/>
  <c r="C1474" i="1"/>
  <c r="B1474" i="1"/>
  <c r="AC1473" i="1"/>
  <c r="AB1473" i="1"/>
  <c r="Z1473" i="1"/>
  <c r="W1473" i="1"/>
  <c r="V1473" i="1"/>
  <c r="U1473" i="1"/>
  <c r="I1473" i="1"/>
  <c r="E1473" i="1"/>
  <c r="D1473" i="1"/>
  <c r="C1473" i="1"/>
  <c r="B1473" i="1"/>
  <c r="AC1472" i="1"/>
  <c r="AB1472" i="1"/>
  <c r="Z1472" i="1"/>
  <c r="W1472" i="1"/>
  <c r="V1472" i="1"/>
  <c r="U1472" i="1"/>
  <c r="I1472" i="1"/>
  <c r="E1472" i="1"/>
  <c r="D1472" i="1"/>
  <c r="C1472" i="1"/>
  <c r="B1472" i="1"/>
  <c r="AC1471" i="1"/>
  <c r="AB1471" i="1"/>
  <c r="Z1471" i="1"/>
  <c r="W1471" i="1"/>
  <c r="V1471" i="1"/>
  <c r="U1471" i="1"/>
  <c r="I1471" i="1"/>
  <c r="E1471" i="1"/>
  <c r="D1471" i="1"/>
  <c r="C1471" i="1"/>
  <c r="B1471" i="1"/>
  <c r="AC1470" i="1"/>
  <c r="AB1470" i="1"/>
  <c r="Z1470" i="1"/>
  <c r="W1470" i="1"/>
  <c r="U1470" i="1"/>
  <c r="I1470" i="1"/>
  <c r="E1470" i="1"/>
  <c r="D1470" i="1"/>
  <c r="C1470" i="1"/>
  <c r="B1470" i="1"/>
  <c r="AC1469" i="1"/>
  <c r="AB1469" i="1"/>
  <c r="Z1469" i="1"/>
  <c r="W1469" i="1"/>
  <c r="V1469" i="1"/>
  <c r="U1469" i="1"/>
  <c r="I1469" i="1"/>
  <c r="E1469" i="1"/>
  <c r="D1469" i="1"/>
  <c r="C1469" i="1"/>
  <c r="B1469" i="1"/>
  <c r="AC1468" i="1"/>
  <c r="AB1468" i="1"/>
  <c r="Z1468" i="1"/>
  <c r="W1468" i="1"/>
  <c r="V1468" i="1"/>
  <c r="U1468" i="1"/>
  <c r="I1468" i="1"/>
  <c r="E1468" i="1"/>
  <c r="D1468" i="1"/>
  <c r="C1468" i="1"/>
  <c r="B1468" i="1"/>
  <c r="AC1467" i="1"/>
  <c r="AB1467" i="1"/>
  <c r="Z1467" i="1"/>
  <c r="W1467" i="1"/>
  <c r="V1467" i="1"/>
  <c r="U1467" i="1"/>
  <c r="I1467" i="1"/>
  <c r="E1467" i="1"/>
  <c r="D1467" i="1"/>
  <c r="C1467" i="1"/>
  <c r="B1467" i="1"/>
  <c r="AC1466" i="1"/>
  <c r="AB1466" i="1"/>
  <c r="Z1466" i="1"/>
  <c r="W1466" i="1"/>
  <c r="V1466" i="1"/>
  <c r="U1466" i="1"/>
  <c r="I1466" i="1"/>
  <c r="E1466" i="1"/>
  <c r="D1466" i="1"/>
  <c r="C1466" i="1"/>
  <c r="B1466" i="1"/>
  <c r="AC1465" i="1"/>
  <c r="AB1465" i="1"/>
  <c r="Z1465" i="1"/>
  <c r="W1465" i="1"/>
  <c r="V1465" i="1"/>
  <c r="U1465" i="1"/>
  <c r="I1465" i="1"/>
  <c r="E1465" i="1"/>
  <c r="D1465" i="1"/>
  <c r="C1465" i="1"/>
  <c r="B1465" i="1"/>
  <c r="AC1464" i="1"/>
  <c r="AB1464" i="1"/>
  <c r="Z1464" i="1"/>
  <c r="W1464" i="1"/>
  <c r="V1464" i="1"/>
  <c r="U1464" i="1"/>
  <c r="I1464" i="1"/>
  <c r="E1464" i="1"/>
  <c r="D1464" i="1"/>
  <c r="C1464" i="1"/>
  <c r="B1464" i="1"/>
  <c r="AC1463" i="1"/>
  <c r="AB1463" i="1"/>
  <c r="Z1463" i="1"/>
  <c r="W1463" i="1"/>
  <c r="V1463" i="1"/>
  <c r="U1463" i="1"/>
  <c r="I1463" i="1"/>
  <c r="E1463" i="1"/>
  <c r="D1463" i="1"/>
  <c r="C1463" i="1"/>
  <c r="B1463" i="1"/>
  <c r="AC1462" i="1"/>
  <c r="AB1462" i="1"/>
  <c r="Z1462" i="1"/>
  <c r="W1462" i="1"/>
  <c r="V1462" i="1"/>
  <c r="U1462" i="1"/>
  <c r="I1462" i="1"/>
  <c r="E1462" i="1"/>
  <c r="D1462" i="1"/>
  <c r="C1462" i="1"/>
  <c r="B1462" i="1"/>
  <c r="AC1461" i="1"/>
  <c r="AB1461" i="1"/>
  <c r="Z1461" i="1"/>
  <c r="W1461" i="1"/>
  <c r="V1461" i="1"/>
  <c r="U1461" i="1"/>
  <c r="I1461" i="1"/>
  <c r="E1461" i="1"/>
  <c r="D1461" i="1"/>
  <c r="C1461" i="1"/>
  <c r="B1461" i="1"/>
  <c r="AC1460" i="1"/>
  <c r="AB1460" i="1"/>
  <c r="Z1460" i="1"/>
  <c r="W1460" i="1"/>
  <c r="V1460" i="1"/>
  <c r="U1460" i="1"/>
  <c r="I1460" i="1"/>
  <c r="E1460" i="1"/>
  <c r="D1460" i="1"/>
  <c r="C1460" i="1"/>
  <c r="B1460" i="1"/>
  <c r="AC1459" i="1"/>
  <c r="AB1459" i="1"/>
  <c r="Z1459" i="1"/>
  <c r="W1459" i="1"/>
  <c r="V1459" i="1"/>
  <c r="U1459" i="1"/>
  <c r="I1459" i="1"/>
  <c r="E1459" i="1"/>
  <c r="D1459" i="1"/>
  <c r="C1459" i="1"/>
  <c r="B1459" i="1"/>
  <c r="AC1458" i="1"/>
  <c r="AB1458" i="1"/>
  <c r="Z1458" i="1"/>
  <c r="W1458" i="1"/>
  <c r="V1458" i="1"/>
  <c r="U1458" i="1"/>
  <c r="I1458" i="1"/>
  <c r="E1458" i="1"/>
  <c r="D1458" i="1"/>
  <c r="C1458" i="1"/>
  <c r="B1458" i="1"/>
  <c r="AC1457" i="1"/>
  <c r="AB1457" i="1"/>
  <c r="Z1457" i="1"/>
  <c r="W1457" i="1"/>
  <c r="V1457" i="1"/>
  <c r="U1457" i="1"/>
  <c r="I1457" i="1"/>
  <c r="E1457" i="1"/>
  <c r="D1457" i="1"/>
  <c r="C1457" i="1"/>
  <c r="B1457" i="1"/>
  <c r="AC1456" i="1"/>
  <c r="AB1456" i="1"/>
  <c r="Z1456" i="1"/>
  <c r="W1456" i="1"/>
  <c r="V1456" i="1"/>
  <c r="U1456" i="1"/>
  <c r="I1456" i="1"/>
  <c r="E1456" i="1"/>
  <c r="D1456" i="1"/>
  <c r="C1456" i="1"/>
  <c r="B1456" i="1"/>
  <c r="AC1455" i="1"/>
  <c r="AB1455" i="1"/>
  <c r="Z1455" i="1"/>
  <c r="W1455" i="1"/>
  <c r="V1455" i="1"/>
  <c r="U1455" i="1"/>
  <c r="I1455" i="1"/>
  <c r="E1455" i="1"/>
  <c r="D1455" i="1"/>
  <c r="C1455" i="1"/>
  <c r="B1455" i="1"/>
  <c r="AC1454" i="1"/>
  <c r="AB1454" i="1"/>
  <c r="Z1454" i="1"/>
  <c r="W1454" i="1"/>
  <c r="V1454" i="1"/>
  <c r="U1454" i="1"/>
  <c r="I1454" i="1"/>
  <c r="E1454" i="1"/>
  <c r="D1454" i="1"/>
  <c r="C1454" i="1"/>
  <c r="B1454" i="1"/>
  <c r="AC1453" i="1"/>
  <c r="AB1453" i="1"/>
  <c r="Z1453" i="1"/>
  <c r="W1453" i="1"/>
  <c r="V1453" i="1"/>
  <c r="U1453" i="1"/>
  <c r="I1453" i="1"/>
  <c r="E1453" i="1"/>
  <c r="D1453" i="1"/>
  <c r="C1453" i="1"/>
  <c r="B1453" i="1"/>
  <c r="AC1452" i="1"/>
  <c r="AB1452" i="1"/>
  <c r="Z1452" i="1"/>
  <c r="W1452" i="1"/>
  <c r="V1452" i="1"/>
  <c r="U1452" i="1"/>
  <c r="I1452" i="1"/>
  <c r="E1452" i="1"/>
  <c r="D1452" i="1"/>
  <c r="C1452" i="1"/>
  <c r="B1452" i="1"/>
  <c r="AC1451" i="1"/>
  <c r="AB1451" i="1"/>
  <c r="Z1451" i="1"/>
  <c r="W1451" i="1"/>
  <c r="V1451" i="1"/>
  <c r="U1451" i="1"/>
  <c r="I1451" i="1"/>
  <c r="E1451" i="1"/>
  <c r="D1451" i="1"/>
  <c r="C1451" i="1"/>
  <c r="B1451" i="1"/>
  <c r="AC1450" i="1"/>
  <c r="AB1450" i="1"/>
  <c r="Z1450" i="1"/>
  <c r="W1450" i="1"/>
  <c r="V1450" i="1"/>
  <c r="U1450" i="1"/>
  <c r="I1450" i="1"/>
  <c r="E1450" i="1"/>
  <c r="D1450" i="1"/>
  <c r="C1450" i="1"/>
  <c r="B1450" i="1"/>
  <c r="AC1449" i="1"/>
  <c r="AB1449" i="1"/>
  <c r="Z1449" i="1"/>
  <c r="W1449" i="1"/>
  <c r="V1449" i="1"/>
  <c r="U1449" i="1"/>
  <c r="I1449" i="1"/>
  <c r="E1449" i="1"/>
  <c r="D1449" i="1"/>
  <c r="C1449" i="1"/>
  <c r="B1449" i="1"/>
  <c r="AC1448" i="1"/>
  <c r="AB1448" i="1"/>
  <c r="Z1448" i="1"/>
  <c r="W1448" i="1"/>
  <c r="V1448" i="1"/>
  <c r="U1448" i="1"/>
  <c r="I1448" i="1"/>
  <c r="E1448" i="1"/>
  <c r="D1448" i="1"/>
  <c r="C1448" i="1"/>
  <c r="B1448" i="1"/>
  <c r="AC1447" i="1"/>
  <c r="AB1447" i="1"/>
  <c r="Z1447" i="1"/>
  <c r="W1447" i="1"/>
  <c r="V1447" i="1"/>
  <c r="U1447" i="1"/>
  <c r="I1447" i="1"/>
  <c r="E1447" i="1"/>
  <c r="D1447" i="1"/>
  <c r="C1447" i="1"/>
  <c r="B1447" i="1"/>
  <c r="AC1446" i="1"/>
  <c r="AB1446" i="1"/>
  <c r="Z1446" i="1"/>
  <c r="W1446" i="1"/>
  <c r="V1446" i="1"/>
  <c r="U1446" i="1"/>
  <c r="I1446" i="1"/>
  <c r="E1446" i="1"/>
  <c r="D1446" i="1"/>
  <c r="C1446" i="1"/>
  <c r="B1446" i="1"/>
  <c r="AC1445" i="1"/>
  <c r="AB1445" i="1"/>
  <c r="Z1445" i="1"/>
  <c r="W1445" i="1"/>
  <c r="V1445" i="1"/>
  <c r="U1445" i="1"/>
  <c r="I1445" i="1"/>
  <c r="E1445" i="1"/>
  <c r="D1445" i="1"/>
  <c r="C1445" i="1"/>
  <c r="B1445" i="1"/>
  <c r="AC1444" i="1"/>
  <c r="AB1444" i="1"/>
  <c r="Z1444" i="1"/>
  <c r="W1444" i="1"/>
  <c r="V1444" i="1"/>
  <c r="U1444" i="1"/>
  <c r="I1444" i="1"/>
  <c r="E1444" i="1"/>
  <c r="D1444" i="1"/>
  <c r="C1444" i="1"/>
  <c r="B1444" i="1"/>
  <c r="AC1443" i="1"/>
  <c r="AB1443" i="1"/>
  <c r="Z1443" i="1"/>
  <c r="W1443" i="1"/>
  <c r="V1443" i="1"/>
  <c r="U1443" i="1"/>
  <c r="I1443" i="1"/>
  <c r="E1443" i="1"/>
  <c r="D1443" i="1"/>
  <c r="C1443" i="1"/>
  <c r="B1443" i="1"/>
  <c r="AC1442" i="1"/>
  <c r="AB1442" i="1"/>
  <c r="Z1442" i="1"/>
  <c r="W1442" i="1"/>
  <c r="V1442" i="1"/>
  <c r="U1442" i="1"/>
  <c r="I1442" i="1"/>
  <c r="E1442" i="1"/>
  <c r="D1442" i="1"/>
  <c r="C1442" i="1"/>
  <c r="B1442" i="1"/>
  <c r="AC1441" i="1"/>
  <c r="AB1441" i="1"/>
  <c r="Z1441" i="1"/>
  <c r="W1441" i="1"/>
  <c r="V1441" i="1"/>
  <c r="U1441" i="1"/>
  <c r="I1441" i="1"/>
  <c r="E1441" i="1"/>
  <c r="D1441" i="1"/>
  <c r="C1441" i="1"/>
  <c r="B1441" i="1"/>
  <c r="AC1440" i="1"/>
  <c r="AB1440" i="1"/>
  <c r="Z1440" i="1"/>
  <c r="W1440" i="1"/>
  <c r="V1440" i="1"/>
  <c r="U1440" i="1"/>
  <c r="I1440" i="1"/>
  <c r="E1440" i="1"/>
  <c r="D1440" i="1"/>
  <c r="C1440" i="1"/>
  <c r="B1440" i="1"/>
  <c r="AC1439" i="1"/>
  <c r="AB1439" i="1"/>
  <c r="Z1439" i="1"/>
  <c r="W1439" i="1"/>
  <c r="V1439" i="1"/>
  <c r="U1439" i="1"/>
  <c r="I1439" i="1"/>
  <c r="E1439" i="1"/>
  <c r="D1439" i="1"/>
  <c r="C1439" i="1"/>
  <c r="B1439" i="1"/>
  <c r="AC1438" i="1"/>
  <c r="AB1438" i="1"/>
  <c r="Z1438" i="1"/>
  <c r="W1438" i="1"/>
  <c r="V1438" i="1"/>
  <c r="U1438" i="1"/>
  <c r="I1438" i="1"/>
  <c r="E1438" i="1"/>
  <c r="D1438" i="1"/>
  <c r="C1438" i="1"/>
  <c r="B1438" i="1"/>
  <c r="AC1437" i="1"/>
  <c r="AB1437" i="1"/>
  <c r="Z1437" i="1"/>
  <c r="W1437" i="1"/>
  <c r="V1437" i="1"/>
  <c r="U1437" i="1"/>
  <c r="I1437" i="1"/>
  <c r="E1437" i="1"/>
  <c r="D1437" i="1"/>
  <c r="C1437" i="1"/>
  <c r="B1437" i="1"/>
  <c r="AC1436" i="1"/>
  <c r="AB1436" i="1"/>
  <c r="Z1436" i="1"/>
  <c r="W1436" i="1"/>
  <c r="V1436" i="1"/>
  <c r="U1436" i="1"/>
  <c r="I1436" i="1"/>
  <c r="E1436" i="1"/>
  <c r="D1436" i="1"/>
  <c r="B1436" i="1"/>
  <c r="AC1435" i="1"/>
  <c r="AB1435" i="1"/>
  <c r="Z1435" i="1"/>
  <c r="W1435" i="1"/>
  <c r="V1435" i="1"/>
  <c r="U1435" i="1"/>
  <c r="I1435" i="1"/>
  <c r="E1435" i="1"/>
  <c r="D1435" i="1"/>
  <c r="B1435" i="1"/>
  <c r="AC1434" i="1"/>
  <c r="AB1434" i="1"/>
  <c r="Z1434" i="1"/>
  <c r="W1434" i="1"/>
  <c r="V1434" i="1"/>
  <c r="U1434" i="1"/>
  <c r="I1434" i="1"/>
  <c r="E1434" i="1"/>
  <c r="D1434" i="1"/>
  <c r="C1434" i="1"/>
  <c r="B1434" i="1"/>
  <c r="AC1433" i="1"/>
  <c r="AB1433" i="1"/>
  <c r="Z1433" i="1"/>
  <c r="W1433" i="1"/>
  <c r="V1433" i="1"/>
  <c r="U1433" i="1"/>
  <c r="I1433" i="1"/>
  <c r="E1433" i="1"/>
  <c r="D1433" i="1"/>
  <c r="C1433" i="1"/>
  <c r="B1433" i="1"/>
  <c r="AC1432" i="1"/>
  <c r="AB1432" i="1"/>
  <c r="Z1432" i="1"/>
  <c r="W1432" i="1"/>
  <c r="V1432" i="1"/>
  <c r="U1432" i="1"/>
  <c r="I1432" i="1"/>
  <c r="E1432" i="1"/>
  <c r="D1432" i="1"/>
  <c r="C1432" i="1"/>
  <c r="B1432" i="1"/>
  <c r="AC1431" i="1"/>
  <c r="AB1431" i="1"/>
  <c r="Z1431" i="1"/>
  <c r="W1431" i="1"/>
  <c r="V1431" i="1"/>
  <c r="U1431" i="1"/>
  <c r="I1431" i="1"/>
  <c r="E1431" i="1"/>
  <c r="D1431" i="1"/>
  <c r="C1431" i="1"/>
  <c r="B1431" i="1"/>
  <c r="AC1430" i="1"/>
  <c r="AB1430" i="1"/>
  <c r="Z1430" i="1"/>
  <c r="W1430" i="1"/>
  <c r="V1430" i="1"/>
  <c r="U1430" i="1"/>
  <c r="I1430" i="1"/>
  <c r="E1430" i="1"/>
  <c r="D1430" i="1"/>
  <c r="C1430" i="1"/>
  <c r="B1430" i="1"/>
  <c r="AC1429" i="1"/>
  <c r="AB1429" i="1"/>
  <c r="Z1429" i="1"/>
  <c r="W1429" i="1"/>
  <c r="V1429" i="1"/>
  <c r="U1429" i="1"/>
  <c r="I1429" i="1"/>
  <c r="E1429" i="1"/>
  <c r="D1429" i="1"/>
  <c r="C1429" i="1"/>
  <c r="B1429" i="1"/>
  <c r="AC1428" i="1"/>
  <c r="AB1428" i="1"/>
  <c r="Z1428" i="1"/>
  <c r="W1428" i="1"/>
  <c r="V1428" i="1"/>
  <c r="U1428" i="1"/>
  <c r="I1428" i="1"/>
  <c r="E1428" i="1"/>
  <c r="D1428" i="1"/>
  <c r="C1428" i="1"/>
  <c r="B1428" i="1"/>
  <c r="AC1427" i="1"/>
  <c r="AB1427" i="1"/>
  <c r="Z1427" i="1"/>
  <c r="W1427" i="1"/>
  <c r="V1427" i="1"/>
  <c r="U1427" i="1"/>
  <c r="I1427" i="1"/>
  <c r="E1427" i="1"/>
  <c r="D1427" i="1"/>
  <c r="C1427" i="1"/>
  <c r="B1427" i="1"/>
  <c r="AC1426" i="1"/>
  <c r="AB1426" i="1"/>
  <c r="Z1426" i="1"/>
  <c r="W1426" i="1"/>
  <c r="V1426" i="1"/>
  <c r="U1426" i="1"/>
  <c r="I1426" i="1"/>
  <c r="E1426" i="1"/>
  <c r="D1426" i="1"/>
  <c r="C1426" i="1"/>
  <c r="B1426" i="1"/>
  <c r="AC1425" i="1"/>
  <c r="AB1425" i="1"/>
  <c r="Z1425" i="1"/>
  <c r="W1425" i="1"/>
  <c r="V1425" i="1"/>
  <c r="U1425" i="1"/>
  <c r="I1425" i="1"/>
  <c r="E1425" i="1"/>
  <c r="D1425" i="1"/>
  <c r="C1425" i="1"/>
  <c r="B1425" i="1"/>
  <c r="AC1424" i="1"/>
  <c r="AB1424" i="1"/>
  <c r="Z1424" i="1"/>
  <c r="W1424" i="1"/>
  <c r="V1424" i="1"/>
  <c r="U1424" i="1"/>
  <c r="I1424" i="1"/>
  <c r="E1424" i="1"/>
  <c r="D1424" i="1"/>
  <c r="C1424" i="1"/>
  <c r="B1424" i="1"/>
  <c r="AC1423" i="1"/>
  <c r="AB1423" i="1"/>
  <c r="Z1423" i="1"/>
  <c r="W1423" i="1"/>
  <c r="V1423" i="1"/>
  <c r="U1423" i="1"/>
  <c r="I1423" i="1"/>
  <c r="E1423" i="1"/>
  <c r="D1423" i="1"/>
  <c r="C1423" i="1"/>
  <c r="B1423" i="1"/>
  <c r="AC1422" i="1"/>
  <c r="AB1422" i="1"/>
  <c r="Z1422" i="1"/>
  <c r="W1422" i="1"/>
  <c r="V1422" i="1"/>
  <c r="U1422" i="1"/>
  <c r="I1422" i="1"/>
  <c r="E1422" i="1"/>
  <c r="D1422" i="1"/>
  <c r="C1422" i="1"/>
  <c r="B1422" i="1"/>
  <c r="AC1421" i="1"/>
  <c r="AB1421" i="1"/>
  <c r="Z1421" i="1"/>
  <c r="W1421" i="1"/>
  <c r="V1421" i="1"/>
  <c r="U1421" i="1"/>
  <c r="I1421" i="1"/>
  <c r="E1421" i="1"/>
  <c r="D1421" i="1"/>
  <c r="C1421" i="1"/>
  <c r="B1421" i="1"/>
  <c r="AC1420" i="1"/>
  <c r="AB1420" i="1"/>
  <c r="Z1420" i="1"/>
  <c r="W1420" i="1"/>
  <c r="V1420" i="1"/>
  <c r="U1420" i="1"/>
  <c r="I1420" i="1"/>
  <c r="E1420" i="1"/>
  <c r="D1420" i="1"/>
  <c r="C1420" i="1"/>
  <c r="B1420" i="1"/>
  <c r="AC1419" i="1"/>
  <c r="AB1419" i="1"/>
  <c r="Z1419" i="1"/>
  <c r="W1419" i="1"/>
  <c r="V1419" i="1"/>
  <c r="U1419" i="1"/>
  <c r="I1419" i="1"/>
  <c r="E1419" i="1"/>
  <c r="D1419" i="1"/>
  <c r="C1419" i="1"/>
  <c r="B1419" i="1"/>
  <c r="AC1418" i="1"/>
  <c r="AB1418" i="1"/>
  <c r="Z1418" i="1"/>
  <c r="W1418" i="1"/>
  <c r="V1418" i="1"/>
  <c r="U1418" i="1"/>
  <c r="I1418" i="1"/>
  <c r="E1418" i="1"/>
  <c r="D1418" i="1"/>
  <c r="C1418" i="1"/>
  <c r="B1418" i="1"/>
  <c r="AC1417" i="1"/>
  <c r="AB1417" i="1"/>
  <c r="Z1417" i="1"/>
  <c r="W1417" i="1"/>
  <c r="V1417" i="1"/>
  <c r="U1417" i="1"/>
  <c r="I1417" i="1"/>
  <c r="E1417" i="1"/>
  <c r="D1417" i="1"/>
  <c r="C1417" i="1"/>
  <c r="B1417" i="1"/>
  <c r="AC1416" i="1"/>
  <c r="AB1416" i="1"/>
  <c r="Z1416" i="1"/>
  <c r="W1416" i="1"/>
  <c r="V1416" i="1"/>
  <c r="U1416" i="1"/>
  <c r="I1416" i="1"/>
  <c r="E1416" i="1"/>
  <c r="D1416" i="1"/>
  <c r="C1416" i="1"/>
  <c r="B1416" i="1"/>
  <c r="AC1415" i="1"/>
  <c r="AB1415" i="1"/>
  <c r="Z1415" i="1"/>
  <c r="W1415" i="1"/>
  <c r="V1415" i="1"/>
  <c r="U1415" i="1"/>
  <c r="I1415" i="1"/>
  <c r="E1415" i="1"/>
  <c r="D1415" i="1"/>
  <c r="C1415" i="1"/>
  <c r="B1415" i="1"/>
  <c r="AC1414" i="1"/>
  <c r="AB1414" i="1"/>
  <c r="Z1414" i="1"/>
  <c r="W1414" i="1"/>
  <c r="V1414" i="1"/>
  <c r="U1414" i="1"/>
  <c r="I1414" i="1"/>
  <c r="E1414" i="1"/>
  <c r="D1414" i="1"/>
  <c r="C1414" i="1"/>
  <c r="B1414" i="1"/>
  <c r="AC1413" i="1"/>
  <c r="AB1413" i="1"/>
  <c r="Z1413" i="1"/>
  <c r="W1413" i="1"/>
  <c r="V1413" i="1"/>
  <c r="U1413" i="1"/>
  <c r="I1413" i="1"/>
  <c r="E1413" i="1"/>
  <c r="D1413" i="1"/>
  <c r="C1413" i="1"/>
  <c r="B1413" i="1"/>
  <c r="AC1412" i="1"/>
  <c r="AB1412" i="1"/>
  <c r="Z1412" i="1"/>
  <c r="W1412" i="1"/>
  <c r="V1412" i="1"/>
  <c r="U1412" i="1"/>
  <c r="I1412" i="1"/>
  <c r="E1412" i="1"/>
  <c r="D1412" i="1"/>
  <c r="C1412" i="1"/>
  <c r="B1412" i="1"/>
  <c r="AC1411" i="1"/>
  <c r="AB1411" i="1"/>
  <c r="Z1411" i="1"/>
  <c r="W1411" i="1"/>
  <c r="V1411" i="1"/>
  <c r="U1411" i="1"/>
  <c r="I1411" i="1"/>
  <c r="E1411" i="1"/>
  <c r="D1411" i="1"/>
  <c r="C1411" i="1"/>
  <c r="B1411" i="1"/>
  <c r="AC1410" i="1"/>
  <c r="AB1410" i="1"/>
  <c r="Z1410" i="1"/>
  <c r="W1410" i="1"/>
  <c r="V1410" i="1"/>
  <c r="U1410" i="1"/>
  <c r="I1410" i="1"/>
  <c r="E1410" i="1"/>
  <c r="D1410" i="1"/>
  <c r="C1410" i="1"/>
  <c r="B1410" i="1"/>
  <c r="AC1409" i="1"/>
  <c r="AB1409" i="1"/>
  <c r="Z1409" i="1"/>
  <c r="W1409" i="1"/>
  <c r="V1409" i="1"/>
  <c r="U1409" i="1"/>
  <c r="I1409" i="1"/>
  <c r="E1409" i="1"/>
  <c r="D1409" i="1"/>
  <c r="C1409" i="1"/>
  <c r="B1409" i="1"/>
  <c r="AC1408" i="1"/>
  <c r="AB1408" i="1"/>
  <c r="Z1408" i="1"/>
  <c r="W1408" i="1"/>
  <c r="V1408" i="1"/>
  <c r="U1408" i="1"/>
  <c r="I1408" i="1"/>
  <c r="E1408" i="1"/>
  <c r="D1408" i="1"/>
  <c r="C1408" i="1"/>
  <c r="B1408" i="1"/>
  <c r="AC1407" i="1"/>
  <c r="AB1407" i="1"/>
  <c r="Z1407" i="1"/>
  <c r="W1407" i="1"/>
  <c r="V1407" i="1"/>
  <c r="U1407" i="1"/>
  <c r="I1407" i="1"/>
  <c r="E1407" i="1"/>
  <c r="D1407" i="1"/>
  <c r="C1407" i="1"/>
  <c r="B1407" i="1"/>
  <c r="AC1406" i="1"/>
  <c r="AB1406" i="1"/>
  <c r="Z1406" i="1"/>
  <c r="W1406" i="1"/>
  <c r="V1406" i="1"/>
  <c r="U1406" i="1"/>
  <c r="I1406" i="1"/>
  <c r="E1406" i="1"/>
  <c r="D1406" i="1"/>
  <c r="C1406" i="1"/>
  <c r="B1406" i="1"/>
  <c r="AC1405" i="1"/>
  <c r="AB1405" i="1"/>
  <c r="Z1405" i="1"/>
  <c r="W1405" i="1"/>
  <c r="V1405" i="1"/>
  <c r="U1405" i="1"/>
  <c r="I1405" i="1"/>
  <c r="E1405" i="1"/>
  <c r="D1405" i="1"/>
  <c r="C1405" i="1"/>
  <c r="B1405" i="1"/>
  <c r="AC1404" i="1"/>
  <c r="AB1404" i="1"/>
  <c r="Z1404" i="1"/>
  <c r="W1404" i="1"/>
  <c r="V1404" i="1"/>
  <c r="U1404" i="1"/>
  <c r="I1404" i="1"/>
  <c r="E1404" i="1"/>
  <c r="D1404" i="1"/>
  <c r="C1404" i="1"/>
  <c r="B1404" i="1"/>
  <c r="AC1403" i="1"/>
  <c r="AB1403" i="1"/>
  <c r="Z1403" i="1"/>
  <c r="W1403" i="1"/>
  <c r="V1403" i="1"/>
  <c r="U1403" i="1"/>
  <c r="I1403" i="1"/>
  <c r="E1403" i="1"/>
  <c r="D1403" i="1"/>
  <c r="C1403" i="1"/>
  <c r="B1403" i="1"/>
  <c r="AC1402" i="1"/>
  <c r="AB1402" i="1"/>
  <c r="Z1402" i="1"/>
  <c r="W1402" i="1"/>
  <c r="V1402" i="1"/>
  <c r="U1402" i="1"/>
  <c r="I1402" i="1"/>
  <c r="E1402" i="1"/>
  <c r="D1402" i="1"/>
  <c r="C1402" i="1"/>
  <c r="B1402" i="1"/>
  <c r="AC1401" i="1"/>
  <c r="AB1401" i="1"/>
  <c r="Z1401" i="1"/>
  <c r="W1401" i="1"/>
  <c r="V1401" i="1"/>
  <c r="U1401" i="1"/>
  <c r="I1401" i="1"/>
  <c r="E1401" i="1"/>
  <c r="D1401" i="1"/>
  <c r="C1401" i="1"/>
  <c r="B1401" i="1"/>
  <c r="AC1400" i="1"/>
  <c r="AB1400" i="1"/>
  <c r="Z1400" i="1"/>
  <c r="W1400" i="1"/>
  <c r="V1400" i="1"/>
  <c r="U1400" i="1"/>
  <c r="I1400" i="1"/>
  <c r="E1400" i="1"/>
  <c r="D1400" i="1"/>
  <c r="C1400" i="1"/>
  <c r="B1400" i="1"/>
  <c r="AC1399" i="1"/>
  <c r="AB1399" i="1"/>
  <c r="Z1399" i="1"/>
  <c r="W1399" i="1"/>
  <c r="V1399" i="1"/>
  <c r="U1399" i="1"/>
  <c r="I1399" i="1"/>
  <c r="E1399" i="1"/>
  <c r="D1399" i="1"/>
  <c r="C1399" i="1"/>
  <c r="B1399" i="1"/>
  <c r="AC1398" i="1"/>
  <c r="AB1398" i="1"/>
  <c r="Z1398" i="1"/>
  <c r="W1398" i="1"/>
  <c r="V1398" i="1"/>
  <c r="U1398" i="1"/>
  <c r="I1398" i="1"/>
  <c r="E1398" i="1"/>
  <c r="D1398" i="1"/>
  <c r="C1398" i="1"/>
  <c r="B1398" i="1"/>
  <c r="AC1397" i="1"/>
  <c r="AB1397" i="1"/>
  <c r="Z1397" i="1"/>
  <c r="W1397" i="1"/>
  <c r="V1397" i="1"/>
  <c r="U1397" i="1"/>
  <c r="I1397" i="1"/>
  <c r="E1397" i="1"/>
  <c r="D1397" i="1"/>
  <c r="C1397" i="1"/>
  <c r="B1397" i="1"/>
  <c r="AC1396" i="1"/>
  <c r="AB1396" i="1"/>
  <c r="Z1396" i="1"/>
  <c r="W1396" i="1"/>
  <c r="V1396" i="1"/>
  <c r="U1396" i="1"/>
  <c r="I1396" i="1"/>
  <c r="E1396" i="1"/>
  <c r="D1396" i="1"/>
  <c r="C1396" i="1"/>
  <c r="B1396" i="1"/>
  <c r="AC1395" i="1"/>
  <c r="AB1395" i="1"/>
  <c r="Z1395" i="1"/>
  <c r="W1395" i="1"/>
  <c r="V1395" i="1"/>
  <c r="U1395" i="1"/>
  <c r="I1395" i="1"/>
  <c r="E1395" i="1"/>
  <c r="D1395" i="1"/>
  <c r="C1395" i="1"/>
  <c r="B1395" i="1"/>
  <c r="AC1394" i="1"/>
  <c r="AB1394" i="1"/>
  <c r="Z1394" i="1"/>
  <c r="W1394" i="1"/>
  <c r="V1394" i="1"/>
  <c r="U1394" i="1"/>
  <c r="I1394" i="1"/>
  <c r="E1394" i="1"/>
  <c r="D1394" i="1"/>
  <c r="C1394" i="1"/>
  <c r="B1394" i="1"/>
  <c r="AC1393" i="1"/>
  <c r="AB1393" i="1"/>
  <c r="Z1393" i="1"/>
  <c r="W1393" i="1"/>
  <c r="V1393" i="1"/>
  <c r="U1393" i="1"/>
  <c r="I1393" i="1"/>
  <c r="E1393" i="1"/>
  <c r="D1393" i="1"/>
  <c r="C1393" i="1"/>
  <c r="B1393" i="1"/>
  <c r="AC1392" i="1"/>
  <c r="AB1392" i="1"/>
  <c r="Z1392" i="1"/>
  <c r="W1392" i="1"/>
  <c r="V1392" i="1"/>
  <c r="U1392" i="1"/>
  <c r="I1392" i="1"/>
  <c r="E1392" i="1"/>
  <c r="D1392" i="1"/>
  <c r="C1392" i="1"/>
  <c r="B1392" i="1"/>
  <c r="AC1391" i="1"/>
  <c r="AB1391" i="1"/>
  <c r="Z1391" i="1"/>
  <c r="W1391" i="1"/>
  <c r="V1391" i="1"/>
  <c r="U1391" i="1"/>
  <c r="I1391" i="1"/>
  <c r="E1391" i="1"/>
  <c r="D1391" i="1"/>
  <c r="C1391" i="1"/>
  <c r="B1391" i="1"/>
  <c r="AC1390" i="1"/>
  <c r="AB1390" i="1"/>
  <c r="Z1390" i="1"/>
  <c r="W1390" i="1"/>
  <c r="V1390" i="1"/>
  <c r="U1390" i="1"/>
  <c r="I1390" i="1"/>
  <c r="E1390" i="1"/>
  <c r="D1390" i="1"/>
  <c r="C1390" i="1"/>
  <c r="B1390" i="1"/>
  <c r="AC1389" i="1"/>
  <c r="AB1389" i="1"/>
  <c r="Z1389" i="1"/>
  <c r="W1389" i="1"/>
  <c r="V1389" i="1"/>
  <c r="U1389" i="1"/>
  <c r="I1389" i="1"/>
  <c r="E1389" i="1"/>
  <c r="D1389" i="1"/>
  <c r="C1389" i="1"/>
  <c r="B1389" i="1"/>
  <c r="AC1388" i="1"/>
  <c r="AB1388" i="1"/>
  <c r="Z1388" i="1"/>
  <c r="W1388" i="1"/>
  <c r="V1388" i="1"/>
  <c r="U1388" i="1"/>
  <c r="I1388" i="1"/>
  <c r="E1388" i="1"/>
  <c r="D1388" i="1"/>
  <c r="C1388" i="1"/>
  <c r="B1388" i="1"/>
  <c r="AC1387" i="1"/>
  <c r="AB1387" i="1"/>
  <c r="Z1387" i="1"/>
  <c r="W1387" i="1"/>
  <c r="V1387" i="1"/>
  <c r="U1387" i="1"/>
  <c r="I1387" i="1"/>
  <c r="E1387" i="1"/>
  <c r="D1387" i="1"/>
  <c r="C1387" i="1"/>
  <c r="B1387" i="1"/>
  <c r="AC1386" i="1"/>
  <c r="AB1386" i="1"/>
  <c r="Z1386" i="1"/>
  <c r="W1386" i="1"/>
  <c r="V1386" i="1"/>
  <c r="U1386" i="1"/>
  <c r="I1386" i="1"/>
  <c r="E1386" i="1"/>
  <c r="D1386" i="1"/>
  <c r="C1386" i="1"/>
  <c r="B1386" i="1"/>
  <c r="AC1385" i="1"/>
  <c r="AB1385" i="1"/>
  <c r="Z1385" i="1"/>
  <c r="W1385" i="1"/>
  <c r="V1385" i="1"/>
  <c r="U1385" i="1"/>
  <c r="I1385" i="1"/>
  <c r="E1385" i="1"/>
  <c r="D1385" i="1"/>
  <c r="C1385" i="1"/>
  <c r="B1385" i="1"/>
  <c r="AC1384" i="1"/>
  <c r="AB1384" i="1"/>
  <c r="Z1384" i="1"/>
  <c r="W1384" i="1"/>
  <c r="V1384" i="1"/>
  <c r="U1384" i="1"/>
  <c r="I1384" i="1"/>
  <c r="E1384" i="1"/>
  <c r="D1384" i="1"/>
  <c r="C1384" i="1"/>
  <c r="B1384" i="1"/>
  <c r="AC1383" i="1"/>
  <c r="AB1383" i="1"/>
  <c r="Z1383" i="1"/>
  <c r="W1383" i="1"/>
  <c r="V1383" i="1"/>
  <c r="U1383" i="1"/>
  <c r="I1383" i="1"/>
  <c r="E1383" i="1"/>
  <c r="D1383" i="1"/>
  <c r="C1383" i="1"/>
  <c r="B1383" i="1"/>
  <c r="AC1382" i="1"/>
  <c r="AB1382" i="1"/>
  <c r="Z1382" i="1"/>
  <c r="W1382" i="1"/>
  <c r="V1382" i="1"/>
  <c r="U1382" i="1"/>
  <c r="I1382" i="1"/>
  <c r="E1382" i="1"/>
  <c r="D1382" i="1"/>
  <c r="C1382" i="1"/>
  <c r="B1382" i="1"/>
  <c r="AC1381" i="1"/>
  <c r="AB1381" i="1"/>
  <c r="Z1381" i="1"/>
  <c r="W1381" i="1"/>
  <c r="V1381" i="1"/>
  <c r="U1381" i="1"/>
  <c r="I1381" i="1"/>
  <c r="E1381" i="1"/>
  <c r="D1381" i="1"/>
  <c r="C1381" i="1"/>
  <c r="B1381" i="1"/>
  <c r="AC1380" i="1"/>
  <c r="AB1380" i="1"/>
  <c r="Z1380" i="1"/>
  <c r="W1380" i="1"/>
  <c r="V1380" i="1"/>
  <c r="U1380" i="1"/>
  <c r="I1380" i="1"/>
  <c r="E1380" i="1"/>
  <c r="D1380" i="1"/>
  <c r="C1380" i="1"/>
  <c r="B1380" i="1"/>
  <c r="AC1379" i="1"/>
  <c r="AB1379" i="1"/>
  <c r="Z1379" i="1"/>
  <c r="W1379" i="1"/>
  <c r="V1379" i="1"/>
  <c r="U1379" i="1"/>
  <c r="I1379" i="1"/>
  <c r="E1379" i="1"/>
  <c r="D1379" i="1"/>
  <c r="C1379" i="1"/>
  <c r="B1379" i="1"/>
  <c r="AC1378" i="1"/>
  <c r="AB1378" i="1"/>
  <c r="Z1378" i="1"/>
  <c r="W1378" i="1"/>
  <c r="V1378" i="1"/>
  <c r="U1378" i="1"/>
  <c r="I1378" i="1"/>
  <c r="E1378" i="1"/>
  <c r="D1378" i="1"/>
  <c r="C1378" i="1"/>
  <c r="B1378" i="1"/>
  <c r="AC1377" i="1"/>
  <c r="AB1377" i="1"/>
  <c r="Z1377" i="1"/>
  <c r="W1377" i="1"/>
  <c r="V1377" i="1"/>
  <c r="U1377" i="1"/>
  <c r="I1377" i="1"/>
  <c r="E1377" i="1"/>
  <c r="D1377" i="1"/>
  <c r="C1377" i="1"/>
  <c r="B1377" i="1"/>
  <c r="AC1376" i="1"/>
  <c r="AB1376" i="1"/>
  <c r="Z1376" i="1"/>
  <c r="W1376" i="1"/>
  <c r="V1376" i="1"/>
  <c r="U1376" i="1"/>
  <c r="I1376" i="1"/>
  <c r="E1376" i="1"/>
  <c r="D1376" i="1"/>
  <c r="C1376" i="1"/>
  <c r="B1376" i="1"/>
  <c r="AC1375" i="1"/>
  <c r="AB1375" i="1"/>
  <c r="Z1375" i="1"/>
  <c r="W1375" i="1"/>
  <c r="V1375" i="1"/>
  <c r="U1375" i="1"/>
  <c r="I1375" i="1"/>
  <c r="E1375" i="1"/>
  <c r="D1375" i="1"/>
  <c r="C1375" i="1"/>
  <c r="B1375" i="1"/>
  <c r="AC1374" i="1"/>
  <c r="AB1374" i="1"/>
  <c r="Z1374" i="1"/>
  <c r="W1374" i="1"/>
  <c r="V1374" i="1"/>
  <c r="U1374" i="1"/>
  <c r="I1374" i="1"/>
  <c r="E1374" i="1"/>
  <c r="D1374" i="1"/>
  <c r="C1374" i="1"/>
  <c r="B1374" i="1"/>
  <c r="AC1373" i="1"/>
  <c r="AB1373" i="1"/>
  <c r="Z1373" i="1"/>
  <c r="W1373" i="1"/>
  <c r="V1373" i="1"/>
  <c r="U1373" i="1"/>
  <c r="I1373" i="1"/>
  <c r="E1373" i="1"/>
  <c r="D1373" i="1"/>
  <c r="C1373" i="1"/>
  <c r="B1373" i="1"/>
  <c r="AC1372" i="1"/>
  <c r="AB1372" i="1"/>
  <c r="Z1372" i="1"/>
  <c r="W1372" i="1"/>
  <c r="V1372" i="1"/>
  <c r="U1372" i="1"/>
  <c r="I1372" i="1"/>
  <c r="E1372" i="1"/>
  <c r="D1372" i="1"/>
  <c r="C1372" i="1"/>
  <c r="B1372" i="1"/>
  <c r="AC1371" i="1"/>
  <c r="AB1371" i="1"/>
  <c r="Z1371" i="1"/>
  <c r="W1371" i="1"/>
  <c r="V1371" i="1"/>
  <c r="U1371" i="1"/>
  <c r="I1371" i="1"/>
  <c r="E1371" i="1"/>
  <c r="D1371" i="1"/>
  <c r="C1371" i="1"/>
  <c r="B1371" i="1"/>
  <c r="AC1370" i="1"/>
  <c r="AB1370" i="1"/>
  <c r="Z1370" i="1"/>
  <c r="W1370" i="1"/>
  <c r="V1370" i="1"/>
  <c r="U1370" i="1"/>
  <c r="I1370" i="1"/>
  <c r="E1370" i="1"/>
  <c r="D1370" i="1"/>
  <c r="C1370" i="1"/>
  <c r="B1370" i="1"/>
  <c r="AC1369" i="1"/>
  <c r="AB1369" i="1"/>
  <c r="Z1369" i="1"/>
  <c r="W1369" i="1"/>
  <c r="V1369" i="1"/>
  <c r="U1369" i="1"/>
  <c r="I1369" i="1"/>
  <c r="E1369" i="1"/>
  <c r="D1369" i="1"/>
  <c r="C1369" i="1"/>
  <c r="B1369" i="1"/>
  <c r="AC1368" i="1"/>
  <c r="AB1368" i="1"/>
  <c r="Z1368" i="1"/>
  <c r="W1368" i="1"/>
  <c r="V1368" i="1"/>
  <c r="U1368" i="1"/>
  <c r="I1368" i="1"/>
  <c r="E1368" i="1"/>
  <c r="D1368" i="1"/>
  <c r="C1368" i="1"/>
  <c r="B1368" i="1"/>
  <c r="AC1367" i="1"/>
  <c r="AB1367" i="1"/>
  <c r="Z1367" i="1"/>
  <c r="W1367" i="1"/>
  <c r="V1367" i="1"/>
  <c r="U1367" i="1"/>
  <c r="I1367" i="1"/>
  <c r="E1367" i="1"/>
  <c r="D1367" i="1"/>
  <c r="C1367" i="1"/>
  <c r="B1367" i="1"/>
  <c r="AC1366" i="1"/>
  <c r="AB1366" i="1"/>
  <c r="Z1366" i="1"/>
  <c r="W1366" i="1"/>
  <c r="V1366" i="1"/>
  <c r="U1366" i="1"/>
  <c r="I1366" i="1"/>
  <c r="E1366" i="1"/>
  <c r="D1366" i="1"/>
  <c r="C1366" i="1"/>
  <c r="B1366" i="1"/>
  <c r="AC1365" i="1"/>
  <c r="AB1365" i="1"/>
  <c r="Z1365" i="1"/>
  <c r="W1365" i="1"/>
  <c r="V1365" i="1"/>
  <c r="U1365" i="1"/>
  <c r="I1365" i="1"/>
  <c r="E1365" i="1"/>
  <c r="D1365" i="1"/>
  <c r="C1365" i="1"/>
  <c r="B1365" i="1"/>
  <c r="AC1364" i="1"/>
  <c r="AB1364" i="1"/>
  <c r="Z1364" i="1"/>
  <c r="W1364" i="1"/>
  <c r="V1364" i="1"/>
  <c r="U1364" i="1"/>
  <c r="I1364" i="1"/>
  <c r="E1364" i="1"/>
  <c r="D1364" i="1"/>
  <c r="C1364" i="1"/>
  <c r="B1364" i="1"/>
  <c r="AC1363" i="1"/>
  <c r="AB1363" i="1"/>
  <c r="Z1363" i="1"/>
  <c r="W1363" i="1"/>
  <c r="V1363" i="1"/>
  <c r="U1363" i="1"/>
  <c r="I1363" i="1"/>
  <c r="E1363" i="1"/>
  <c r="D1363" i="1"/>
  <c r="C1363" i="1"/>
  <c r="B1363" i="1"/>
  <c r="AC1362" i="1"/>
  <c r="AB1362" i="1"/>
  <c r="Z1362" i="1"/>
  <c r="W1362" i="1"/>
  <c r="V1362" i="1"/>
  <c r="U1362" i="1"/>
  <c r="I1362" i="1"/>
  <c r="E1362" i="1"/>
  <c r="D1362" i="1"/>
  <c r="C1362" i="1"/>
  <c r="B1362" i="1"/>
  <c r="AC1361" i="1"/>
  <c r="AB1361" i="1"/>
  <c r="Z1361" i="1"/>
  <c r="W1361" i="1"/>
  <c r="V1361" i="1"/>
  <c r="U1361" i="1"/>
  <c r="I1361" i="1"/>
  <c r="E1361" i="1"/>
  <c r="D1361" i="1"/>
  <c r="C1361" i="1"/>
  <c r="B1361" i="1"/>
  <c r="AC1360" i="1"/>
  <c r="AB1360" i="1"/>
  <c r="Z1360" i="1"/>
  <c r="W1360" i="1"/>
  <c r="V1360" i="1"/>
  <c r="U1360" i="1"/>
  <c r="I1360" i="1"/>
  <c r="E1360" i="1"/>
  <c r="D1360" i="1"/>
  <c r="C1360" i="1"/>
  <c r="B1360" i="1"/>
  <c r="AC1359" i="1"/>
  <c r="AB1359" i="1"/>
  <c r="Z1359" i="1"/>
  <c r="W1359" i="1"/>
  <c r="V1359" i="1"/>
  <c r="U1359" i="1"/>
  <c r="I1359" i="1"/>
  <c r="E1359" i="1"/>
  <c r="D1359" i="1"/>
  <c r="C1359" i="1"/>
  <c r="B1359" i="1"/>
  <c r="AC1358" i="1"/>
  <c r="AB1358" i="1"/>
  <c r="Z1358" i="1"/>
  <c r="W1358" i="1"/>
  <c r="V1358" i="1"/>
  <c r="U1358" i="1"/>
  <c r="I1358" i="1"/>
  <c r="E1358" i="1"/>
  <c r="D1358" i="1"/>
  <c r="C1358" i="1"/>
  <c r="B1358" i="1"/>
  <c r="AC1357" i="1"/>
  <c r="AB1357" i="1"/>
  <c r="Z1357" i="1"/>
  <c r="W1357" i="1"/>
  <c r="V1357" i="1"/>
  <c r="U1357" i="1"/>
  <c r="I1357" i="1"/>
  <c r="E1357" i="1"/>
  <c r="D1357" i="1"/>
  <c r="C1357" i="1"/>
  <c r="B1357" i="1"/>
  <c r="AC1356" i="1"/>
  <c r="AB1356" i="1"/>
  <c r="Z1356" i="1"/>
  <c r="W1356" i="1"/>
  <c r="V1356" i="1"/>
  <c r="U1356" i="1"/>
  <c r="I1356" i="1"/>
  <c r="E1356" i="1"/>
  <c r="D1356" i="1"/>
  <c r="C1356" i="1"/>
  <c r="B1356" i="1"/>
  <c r="AC1355" i="1"/>
  <c r="AB1355" i="1"/>
  <c r="Z1355" i="1"/>
  <c r="W1355" i="1"/>
  <c r="V1355" i="1"/>
  <c r="U1355" i="1"/>
  <c r="I1355" i="1"/>
  <c r="E1355" i="1"/>
  <c r="D1355" i="1"/>
  <c r="C1355" i="1"/>
  <c r="B1355" i="1"/>
  <c r="AC1354" i="1"/>
  <c r="AB1354" i="1"/>
  <c r="Z1354" i="1"/>
  <c r="W1354" i="1"/>
  <c r="V1354" i="1"/>
  <c r="U1354" i="1"/>
  <c r="I1354" i="1"/>
  <c r="E1354" i="1"/>
  <c r="D1354" i="1"/>
  <c r="C1354" i="1"/>
  <c r="B1354" i="1"/>
  <c r="AC1353" i="1"/>
  <c r="AB1353" i="1"/>
  <c r="Z1353" i="1"/>
  <c r="W1353" i="1"/>
  <c r="V1353" i="1"/>
  <c r="U1353" i="1"/>
  <c r="I1353" i="1"/>
  <c r="E1353" i="1"/>
  <c r="D1353" i="1"/>
  <c r="C1353" i="1"/>
  <c r="B1353" i="1"/>
  <c r="AC1352" i="1"/>
  <c r="AB1352" i="1"/>
  <c r="Z1352" i="1"/>
  <c r="W1352" i="1"/>
  <c r="V1352" i="1"/>
  <c r="U1352" i="1"/>
  <c r="I1352" i="1"/>
  <c r="E1352" i="1"/>
  <c r="D1352" i="1"/>
  <c r="C1352" i="1"/>
  <c r="B1352" i="1"/>
  <c r="AC1351" i="1"/>
  <c r="AB1351" i="1"/>
  <c r="Z1351" i="1"/>
  <c r="W1351" i="1"/>
  <c r="V1351" i="1"/>
  <c r="U1351" i="1"/>
  <c r="I1351" i="1"/>
  <c r="E1351" i="1"/>
  <c r="D1351" i="1"/>
  <c r="C1351" i="1"/>
  <c r="B1351" i="1"/>
  <c r="AC1350" i="1"/>
  <c r="AB1350" i="1"/>
  <c r="Z1350" i="1"/>
  <c r="W1350" i="1"/>
  <c r="V1350" i="1"/>
  <c r="U1350" i="1"/>
  <c r="I1350" i="1"/>
  <c r="E1350" i="1"/>
  <c r="D1350" i="1"/>
  <c r="C1350" i="1"/>
  <c r="B1350" i="1"/>
  <c r="AC1349" i="1"/>
  <c r="AB1349" i="1"/>
  <c r="Z1349" i="1"/>
  <c r="W1349" i="1"/>
  <c r="V1349" i="1"/>
  <c r="U1349" i="1"/>
  <c r="I1349" i="1"/>
  <c r="E1349" i="1"/>
  <c r="D1349" i="1"/>
  <c r="C1349" i="1"/>
  <c r="B1349" i="1"/>
  <c r="AC1348" i="1"/>
  <c r="AB1348" i="1"/>
  <c r="Z1348" i="1"/>
  <c r="W1348" i="1"/>
  <c r="V1348" i="1"/>
  <c r="U1348" i="1"/>
  <c r="I1348" i="1"/>
  <c r="E1348" i="1"/>
  <c r="D1348" i="1"/>
  <c r="C1348" i="1"/>
  <c r="B1348" i="1"/>
  <c r="AC1347" i="1"/>
  <c r="AB1347" i="1"/>
  <c r="Z1347" i="1"/>
  <c r="W1347" i="1"/>
  <c r="V1347" i="1"/>
  <c r="U1347" i="1"/>
  <c r="I1347" i="1"/>
  <c r="E1347" i="1"/>
  <c r="D1347" i="1"/>
  <c r="C1347" i="1"/>
  <c r="B1347" i="1"/>
  <c r="AC1346" i="1"/>
  <c r="AB1346" i="1"/>
  <c r="Z1346" i="1"/>
  <c r="W1346" i="1"/>
  <c r="V1346" i="1"/>
  <c r="U1346" i="1"/>
  <c r="I1346" i="1"/>
  <c r="E1346" i="1"/>
  <c r="D1346" i="1"/>
  <c r="C1346" i="1"/>
  <c r="B1346" i="1"/>
  <c r="AC1345" i="1"/>
  <c r="AB1345" i="1"/>
  <c r="Z1345" i="1"/>
  <c r="W1345" i="1"/>
  <c r="V1345" i="1"/>
  <c r="U1345" i="1"/>
  <c r="I1345" i="1"/>
  <c r="E1345" i="1"/>
  <c r="D1345" i="1"/>
  <c r="C1345" i="1"/>
  <c r="B1345" i="1"/>
  <c r="AC1344" i="1"/>
  <c r="AB1344" i="1"/>
  <c r="Z1344" i="1"/>
  <c r="W1344" i="1"/>
  <c r="V1344" i="1"/>
  <c r="U1344" i="1"/>
  <c r="I1344" i="1"/>
  <c r="E1344" i="1"/>
  <c r="D1344" i="1"/>
  <c r="C1344" i="1"/>
  <c r="B1344" i="1"/>
  <c r="AC1343" i="1"/>
  <c r="AB1343" i="1"/>
  <c r="Z1343" i="1"/>
  <c r="W1343" i="1"/>
  <c r="V1343" i="1"/>
  <c r="U1343" i="1"/>
  <c r="I1343" i="1"/>
  <c r="E1343" i="1"/>
  <c r="D1343" i="1"/>
  <c r="C1343" i="1"/>
  <c r="B1343" i="1"/>
  <c r="AC1342" i="1"/>
  <c r="AB1342" i="1"/>
  <c r="Z1342" i="1"/>
  <c r="W1342" i="1"/>
  <c r="V1342" i="1"/>
  <c r="U1342" i="1"/>
  <c r="I1342" i="1"/>
  <c r="E1342" i="1"/>
  <c r="D1342" i="1"/>
  <c r="C1342" i="1"/>
  <c r="B1342" i="1"/>
  <c r="AC1341" i="1"/>
  <c r="AB1341" i="1"/>
  <c r="Z1341" i="1"/>
  <c r="W1341" i="1"/>
  <c r="V1341" i="1"/>
  <c r="U1341" i="1"/>
  <c r="I1341" i="1"/>
  <c r="E1341" i="1"/>
  <c r="D1341" i="1"/>
  <c r="C1341" i="1"/>
  <c r="B1341" i="1"/>
  <c r="AC1340" i="1"/>
  <c r="AB1340" i="1"/>
  <c r="Z1340" i="1"/>
  <c r="W1340" i="1"/>
  <c r="V1340" i="1"/>
  <c r="U1340" i="1"/>
  <c r="I1340" i="1"/>
  <c r="E1340" i="1"/>
  <c r="D1340" i="1"/>
  <c r="C1340" i="1"/>
  <c r="B1340" i="1"/>
  <c r="AC1339" i="1"/>
  <c r="AB1339" i="1"/>
  <c r="Z1339" i="1"/>
  <c r="W1339" i="1"/>
  <c r="V1339" i="1"/>
  <c r="U1339" i="1"/>
  <c r="I1339" i="1"/>
  <c r="E1339" i="1"/>
  <c r="D1339" i="1"/>
  <c r="C1339" i="1"/>
  <c r="B1339" i="1"/>
  <c r="AC1338" i="1"/>
  <c r="AB1338" i="1"/>
  <c r="Z1338" i="1"/>
  <c r="W1338" i="1"/>
  <c r="V1338" i="1"/>
  <c r="U1338" i="1"/>
  <c r="I1338" i="1"/>
  <c r="E1338" i="1"/>
  <c r="D1338" i="1"/>
  <c r="C1338" i="1"/>
  <c r="B1338" i="1"/>
  <c r="AC1337" i="1"/>
  <c r="AB1337" i="1"/>
  <c r="Z1337" i="1"/>
  <c r="W1337" i="1"/>
  <c r="V1337" i="1"/>
  <c r="U1337" i="1"/>
  <c r="I1337" i="1"/>
  <c r="E1337" i="1"/>
  <c r="D1337" i="1"/>
  <c r="C1337" i="1"/>
  <c r="B1337" i="1"/>
  <c r="AC1336" i="1"/>
  <c r="AB1336" i="1"/>
  <c r="Z1336" i="1"/>
  <c r="W1336" i="1"/>
  <c r="V1336" i="1"/>
  <c r="U1336" i="1"/>
  <c r="I1336" i="1"/>
  <c r="E1336" i="1"/>
  <c r="D1336" i="1"/>
  <c r="C1336" i="1"/>
  <c r="B1336" i="1"/>
  <c r="AC1335" i="1"/>
  <c r="AB1335" i="1"/>
  <c r="Z1335" i="1"/>
  <c r="W1335" i="1"/>
  <c r="V1335" i="1"/>
  <c r="U1335" i="1"/>
  <c r="I1335" i="1"/>
  <c r="E1335" i="1"/>
  <c r="D1335" i="1"/>
  <c r="C1335" i="1"/>
  <c r="B1335" i="1"/>
  <c r="AC1334" i="1"/>
  <c r="AB1334" i="1"/>
  <c r="Z1334" i="1"/>
  <c r="W1334" i="1"/>
  <c r="V1334" i="1"/>
  <c r="U1334" i="1"/>
  <c r="I1334" i="1"/>
  <c r="E1334" i="1"/>
  <c r="D1334" i="1"/>
  <c r="C1334" i="1"/>
  <c r="B1334" i="1"/>
  <c r="AC1333" i="1"/>
  <c r="AB1333" i="1"/>
  <c r="Z1333" i="1"/>
  <c r="W1333" i="1"/>
  <c r="V1333" i="1"/>
  <c r="U1333" i="1"/>
  <c r="I1333" i="1"/>
  <c r="E1333" i="1"/>
  <c r="D1333" i="1"/>
  <c r="C1333" i="1"/>
  <c r="B1333" i="1"/>
  <c r="AC1332" i="1"/>
  <c r="AB1332" i="1"/>
  <c r="Z1332" i="1"/>
  <c r="W1332" i="1"/>
  <c r="V1332" i="1"/>
  <c r="U1332" i="1"/>
  <c r="I1332" i="1"/>
  <c r="E1332" i="1"/>
  <c r="D1332" i="1"/>
  <c r="B1332" i="1"/>
  <c r="AC1331" i="1"/>
  <c r="AB1331" i="1"/>
  <c r="Z1331" i="1"/>
  <c r="W1331" i="1"/>
  <c r="V1331" i="1"/>
  <c r="U1331" i="1"/>
  <c r="I1331" i="1"/>
  <c r="E1331" i="1"/>
  <c r="D1331" i="1"/>
  <c r="C1331" i="1"/>
  <c r="B1331" i="1"/>
  <c r="AC1330" i="1"/>
  <c r="AB1330" i="1"/>
  <c r="Z1330" i="1"/>
  <c r="W1330" i="1"/>
  <c r="V1330" i="1"/>
  <c r="U1330" i="1"/>
  <c r="I1330" i="1"/>
  <c r="E1330" i="1"/>
  <c r="D1330" i="1"/>
  <c r="C1330" i="1"/>
  <c r="B1330" i="1"/>
  <c r="AC1329" i="1"/>
  <c r="AB1329" i="1"/>
  <c r="Z1329" i="1"/>
  <c r="W1329" i="1"/>
  <c r="V1329" i="1"/>
  <c r="U1329" i="1"/>
  <c r="I1329" i="1"/>
  <c r="E1329" i="1"/>
  <c r="D1329" i="1"/>
  <c r="C1329" i="1"/>
  <c r="B1329" i="1"/>
  <c r="AC1328" i="1"/>
  <c r="AB1328" i="1"/>
  <c r="Z1328" i="1"/>
  <c r="W1328" i="1"/>
  <c r="V1328" i="1"/>
  <c r="U1328" i="1"/>
  <c r="I1328" i="1"/>
  <c r="E1328" i="1"/>
  <c r="D1328" i="1"/>
  <c r="C1328" i="1"/>
  <c r="B1328" i="1"/>
  <c r="AC1327" i="1"/>
  <c r="AB1327" i="1"/>
  <c r="Z1327" i="1"/>
  <c r="W1327" i="1"/>
  <c r="V1327" i="1"/>
  <c r="U1327" i="1"/>
  <c r="I1327" i="1"/>
  <c r="E1327" i="1"/>
  <c r="D1327" i="1"/>
  <c r="C1327" i="1"/>
  <c r="B1327" i="1"/>
  <c r="AC1326" i="1"/>
  <c r="AB1326" i="1"/>
  <c r="Z1326" i="1"/>
  <c r="W1326" i="1"/>
  <c r="V1326" i="1"/>
  <c r="U1326" i="1"/>
  <c r="I1326" i="1"/>
  <c r="E1326" i="1"/>
  <c r="D1326" i="1"/>
  <c r="C1326" i="1"/>
  <c r="B1326" i="1"/>
  <c r="AC1325" i="1"/>
  <c r="AB1325" i="1"/>
  <c r="Z1325" i="1"/>
  <c r="W1325" i="1"/>
  <c r="V1325" i="1"/>
  <c r="U1325" i="1"/>
  <c r="I1325" i="1"/>
  <c r="E1325" i="1"/>
  <c r="D1325" i="1"/>
  <c r="C1325" i="1"/>
  <c r="B1325" i="1"/>
  <c r="AC1324" i="1"/>
  <c r="AB1324" i="1"/>
  <c r="Z1324" i="1"/>
  <c r="W1324" i="1"/>
  <c r="V1324" i="1"/>
  <c r="U1324" i="1"/>
  <c r="I1324" i="1"/>
  <c r="E1324" i="1"/>
  <c r="D1324" i="1"/>
  <c r="C1324" i="1"/>
  <c r="B1324" i="1"/>
  <c r="AC1323" i="1"/>
  <c r="AB1323" i="1"/>
  <c r="Z1323" i="1"/>
  <c r="W1323" i="1"/>
  <c r="V1323" i="1"/>
  <c r="U1323" i="1"/>
  <c r="I1323" i="1"/>
  <c r="E1323" i="1"/>
  <c r="D1323" i="1"/>
  <c r="C1323" i="1"/>
  <c r="B1323" i="1"/>
  <c r="AC1322" i="1"/>
  <c r="AB1322" i="1"/>
  <c r="Z1322" i="1"/>
  <c r="W1322" i="1"/>
  <c r="V1322" i="1"/>
  <c r="U1322" i="1"/>
  <c r="I1322" i="1"/>
  <c r="E1322" i="1"/>
  <c r="D1322" i="1"/>
  <c r="C1322" i="1"/>
  <c r="B1322" i="1"/>
  <c r="AC1321" i="1"/>
  <c r="AB1321" i="1"/>
  <c r="Z1321" i="1"/>
  <c r="W1321" i="1"/>
  <c r="V1321" i="1"/>
  <c r="U1321" i="1"/>
  <c r="I1321" i="1"/>
  <c r="E1321" i="1"/>
  <c r="D1321" i="1"/>
  <c r="C1321" i="1"/>
  <c r="B1321" i="1"/>
  <c r="AC1320" i="1"/>
  <c r="AB1320" i="1"/>
  <c r="Z1320" i="1"/>
  <c r="W1320" i="1"/>
  <c r="V1320" i="1"/>
  <c r="U1320" i="1"/>
  <c r="I1320" i="1"/>
  <c r="E1320" i="1"/>
  <c r="D1320" i="1"/>
  <c r="C1320" i="1"/>
  <c r="B1320" i="1"/>
  <c r="AC1319" i="1"/>
  <c r="AB1319" i="1"/>
  <c r="Z1319" i="1"/>
  <c r="W1319" i="1"/>
  <c r="V1319" i="1"/>
  <c r="U1319" i="1"/>
  <c r="I1319" i="1"/>
  <c r="E1319" i="1"/>
  <c r="D1319" i="1"/>
  <c r="C1319" i="1"/>
  <c r="B1319" i="1"/>
  <c r="AC1318" i="1"/>
  <c r="AB1318" i="1"/>
  <c r="Z1318" i="1"/>
  <c r="W1318" i="1"/>
  <c r="V1318" i="1"/>
  <c r="U1318" i="1"/>
  <c r="I1318" i="1"/>
  <c r="E1318" i="1"/>
  <c r="D1318" i="1"/>
  <c r="C1318" i="1"/>
  <c r="B1318" i="1"/>
  <c r="AC1317" i="1"/>
  <c r="AB1317" i="1"/>
  <c r="Z1317" i="1"/>
  <c r="W1317" i="1"/>
  <c r="V1317" i="1"/>
  <c r="U1317" i="1"/>
  <c r="I1317" i="1"/>
  <c r="E1317" i="1"/>
  <c r="D1317" i="1"/>
  <c r="C1317" i="1"/>
  <c r="B1317" i="1"/>
  <c r="AC1316" i="1"/>
  <c r="AB1316" i="1"/>
  <c r="Z1316" i="1"/>
  <c r="W1316" i="1"/>
  <c r="V1316" i="1"/>
  <c r="U1316" i="1"/>
  <c r="I1316" i="1"/>
  <c r="E1316" i="1"/>
  <c r="D1316" i="1"/>
  <c r="C1316" i="1"/>
  <c r="B1316" i="1"/>
  <c r="AC1315" i="1"/>
  <c r="AB1315" i="1"/>
  <c r="Z1315" i="1"/>
  <c r="W1315" i="1"/>
  <c r="V1315" i="1"/>
  <c r="U1315" i="1"/>
  <c r="I1315" i="1"/>
  <c r="E1315" i="1"/>
  <c r="D1315" i="1"/>
  <c r="C1315" i="1"/>
  <c r="B1315" i="1"/>
  <c r="AC1314" i="1"/>
  <c r="AB1314" i="1"/>
  <c r="Z1314" i="1"/>
  <c r="W1314" i="1"/>
  <c r="V1314" i="1"/>
  <c r="U1314" i="1"/>
  <c r="I1314" i="1"/>
  <c r="E1314" i="1"/>
  <c r="D1314" i="1"/>
  <c r="C1314" i="1"/>
  <c r="B1314" i="1"/>
  <c r="AC1313" i="1"/>
  <c r="AB1313" i="1"/>
  <c r="Z1313" i="1"/>
  <c r="W1313" i="1"/>
  <c r="V1313" i="1"/>
  <c r="U1313" i="1"/>
  <c r="I1313" i="1"/>
  <c r="E1313" i="1"/>
  <c r="D1313" i="1"/>
  <c r="C1313" i="1"/>
  <c r="B1313" i="1"/>
  <c r="AC1312" i="1"/>
  <c r="AB1312" i="1"/>
  <c r="Z1312" i="1"/>
  <c r="W1312" i="1"/>
  <c r="V1312" i="1"/>
  <c r="U1312" i="1"/>
  <c r="I1312" i="1"/>
  <c r="E1312" i="1"/>
  <c r="D1312" i="1"/>
  <c r="C1312" i="1"/>
  <c r="B1312" i="1"/>
  <c r="AC1311" i="1"/>
  <c r="AB1311" i="1"/>
  <c r="Z1311" i="1"/>
  <c r="W1311" i="1"/>
  <c r="V1311" i="1"/>
  <c r="U1311" i="1"/>
  <c r="I1311" i="1"/>
  <c r="E1311" i="1"/>
  <c r="D1311" i="1"/>
  <c r="C1311" i="1"/>
  <c r="B1311" i="1"/>
  <c r="AC1310" i="1"/>
  <c r="AB1310" i="1"/>
  <c r="Z1310" i="1"/>
  <c r="W1310" i="1"/>
  <c r="V1310" i="1"/>
  <c r="U1310" i="1"/>
  <c r="I1310" i="1"/>
  <c r="E1310" i="1"/>
  <c r="D1310" i="1"/>
  <c r="C1310" i="1"/>
  <c r="B1310" i="1"/>
  <c r="AC1309" i="1"/>
  <c r="AB1309" i="1"/>
  <c r="Z1309" i="1"/>
  <c r="W1309" i="1"/>
  <c r="V1309" i="1"/>
  <c r="U1309" i="1"/>
  <c r="I1309" i="1"/>
  <c r="E1309" i="1"/>
  <c r="D1309" i="1"/>
  <c r="C1309" i="1"/>
  <c r="B1309" i="1"/>
  <c r="AC1308" i="1"/>
  <c r="AB1308" i="1"/>
  <c r="Z1308" i="1"/>
  <c r="W1308" i="1"/>
  <c r="V1308" i="1"/>
  <c r="U1308" i="1"/>
  <c r="I1308" i="1"/>
  <c r="E1308" i="1"/>
  <c r="D1308" i="1"/>
  <c r="C1308" i="1"/>
  <c r="B1308" i="1"/>
  <c r="AC1307" i="1"/>
  <c r="AB1307" i="1"/>
  <c r="Z1307" i="1"/>
  <c r="W1307" i="1"/>
  <c r="V1307" i="1"/>
  <c r="U1307" i="1"/>
  <c r="I1307" i="1"/>
  <c r="E1307" i="1"/>
  <c r="D1307" i="1"/>
  <c r="C1307" i="1"/>
  <c r="B1307" i="1"/>
  <c r="AC1306" i="1"/>
  <c r="AB1306" i="1"/>
  <c r="Z1306" i="1"/>
  <c r="W1306" i="1"/>
  <c r="V1306" i="1"/>
  <c r="U1306" i="1"/>
  <c r="I1306" i="1"/>
  <c r="E1306" i="1"/>
  <c r="D1306" i="1"/>
  <c r="C1306" i="1"/>
  <c r="B1306" i="1"/>
  <c r="AC1305" i="1"/>
  <c r="AB1305" i="1"/>
  <c r="Z1305" i="1"/>
  <c r="W1305" i="1"/>
  <c r="V1305" i="1"/>
  <c r="U1305" i="1"/>
  <c r="I1305" i="1"/>
  <c r="E1305" i="1"/>
  <c r="D1305" i="1"/>
  <c r="C1305" i="1"/>
  <c r="B1305" i="1"/>
  <c r="AC1304" i="1"/>
  <c r="AB1304" i="1"/>
  <c r="Z1304" i="1"/>
  <c r="W1304" i="1"/>
  <c r="V1304" i="1"/>
  <c r="U1304" i="1"/>
  <c r="I1304" i="1"/>
  <c r="E1304" i="1"/>
  <c r="D1304" i="1"/>
  <c r="C1304" i="1"/>
  <c r="B1304" i="1"/>
  <c r="AC1303" i="1"/>
  <c r="AB1303" i="1"/>
  <c r="Z1303" i="1"/>
  <c r="W1303" i="1"/>
  <c r="V1303" i="1"/>
  <c r="U1303" i="1"/>
  <c r="I1303" i="1"/>
  <c r="E1303" i="1"/>
  <c r="D1303" i="1"/>
  <c r="C1303" i="1"/>
  <c r="B1303" i="1"/>
  <c r="AC1302" i="1"/>
  <c r="AB1302" i="1"/>
  <c r="Z1302" i="1"/>
  <c r="W1302" i="1"/>
  <c r="V1302" i="1"/>
  <c r="U1302" i="1"/>
  <c r="I1302" i="1"/>
  <c r="E1302" i="1"/>
  <c r="D1302" i="1"/>
  <c r="C1302" i="1"/>
  <c r="B1302" i="1"/>
  <c r="AC1301" i="1"/>
  <c r="AB1301" i="1"/>
  <c r="Z1301" i="1"/>
  <c r="W1301" i="1"/>
  <c r="V1301" i="1"/>
  <c r="U1301" i="1"/>
  <c r="I1301" i="1"/>
  <c r="E1301" i="1"/>
  <c r="D1301" i="1"/>
  <c r="C1301" i="1"/>
  <c r="B1301" i="1"/>
  <c r="AC1300" i="1"/>
  <c r="AB1300" i="1"/>
  <c r="Z1300" i="1"/>
  <c r="W1300" i="1"/>
  <c r="V1300" i="1"/>
  <c r="U1300" i="1"/>
  <c r="I1300" i="1"/>
  <c r="E1300" i="1"/>
  <c r="D1300" i="1"/>
  <c r="C1300" i="1"/>
  <c r="B1300" i="1"/>
  <c r="AC1299" i="1"/>
  <c r="AB1299" i="1"/>
  <c r="Z1299" i="1"/>
  <c r="W1299" i="1"/>
  <c r="V1299" i="1"/>
  <c r="U1299" i="1"/>
  <c r="I1299" i="1"/>
  <c r="E1299" i="1"/>
  <c r="D1299" i="1"/>
  <c r="C1299" i="1"/>
  <c r="B1299" i="1"/>
  <c r="AC1298" i="1"/>
  <c r="AB1298" i="1"/>
  <c r="Z1298" i="1"/>
  <c r="W1298" i="1"/>
  <c r="V1298" i="1"/>
  <c r="U1298" i="1"/>
  <c r="I1298" i="1"/>
  <c r="E1298" i="1"/>
  <c r="D1298" i="1"/>
  <c r="C1298" i="1"/>
  <c r="B1298" i="1"/>
  <c r="AC1297" i="1"/>
  <c r="AB1297" i="1"/>
  <c r="Z1297" i="1"/>
  <c r="W1297" i="1"/>
  <c r="V1297" i="1"/>
  <c r="U1297" i="1"/>
  <c r="I1297" i="1"/>
  <c r="E1297" i="1"/>
  <c r="D1297" i="1"/>
  <c r="C1297" i="1"/>
  <c r="B1297" i="1"/>
  <c r="AC1296" i="1"/>
  <c r="AB1296" i="1"/>
  <c r="Z1296" i="1"/>
  <c r="W1296" i="1"/>
  <c r="V1296" i="1"/>
  <c r="U1296" i="1"/>
  <c r="I1296" i="1"/>
  <c r="E1296" i="1"/>
  <c r="D1296" i="1"/>
  <c r="C1296" i="1"/>
  <c r="B1296" i="1"/>
  <c r="AC1295" i="1"/>
  <c r="AB1295" i="1"/>
  <c r="Z1295" i="1"/>
  <c r="W1295" i="1"/>
  <c r="V1295" i="1"/>
  <c r="U1295" i="1"/>
  <c r="I1295" i="1"/>
  <c r="E1295" i="1"/>
  <c r="D1295" i="1"/>
  <c r="C1295" i="1"/>
  <c r="B1295" i="1"/>
  <c r="AC1294" i="1"/>
  <c r="AB1294" i="1"/>
  <c r="Z1294" i="1"/>
  <c r="W1294" i="1"/>
  <c r="V1294" i="1"/>
  <c r="U1294" i="1"/>
  <c r="I1294" i="1"/>
  <c r="E1294" i="1"/>
  <c r="D1294" i="1"/>
  <c r="C1294" i="1"/>
  <c r="B1294" i="1"/>
  <c r="AC1293" i="1"/>
  <c r="AB1293" i="1"/>
  <c r="Z1293" i="1"/>
  <c r="W1293" i="1"/>
  <c r="V1293" i="1"/>
  <c r="U1293" i="1"/>
  <c r="I1293" i="1"/>
  <c r="E1293" i="1"/>
  <c r="D1293" i="1"/>
  <c r="C1293" i="1"/>
  <c r="B1293" i="1"/>
  <c r="AC1292" i="1"/>
  <c r="AB1292" i="1"/>
  <c r="Z1292" i="1"/>
  <c r="W1292" i="1"/>
  <c r="V1292" i="1"/>
  <c r="U1292" i="1"/>
  <c r="I1292" i="1"/>
  <c r="E1292" i="1"/>
  <c r="D1292" i="1"/>
  <c r="C1292" i="1"/>
  <c r="B1292" i="1"/>
  <c r="AC1291" i="1"/>
  <c r="AB1291" i="1"/>
  <c r="Z1291" i="1"/>
  <c r="W1291" i="1"/>
  <c r="V1291" i="1"/>
  <c r="U1291" i="1"/>
  <c r="I1291" i="1"/>
  <c r="E1291" i="1"/>
  <c r="D1291" i="1"/>
  <c r="C1291" i="1"/>
  <c r="B1291" i="1"/>
  <c r="AC1290" i="1"/>
  <c r="AB1290" i="1"/>
  <c r="Z1290" i="1"/>
  <c r="W1290" i="1"/>
  <c r="V1290" i="1"/>
  <c r="U1290" i="1"/>
  <c r="I1290" i="1"/>
  <c r="E1290" i="1"/>
  <c r="D1290" i="1"/>
  <c r="C1290" i="1"/>
  <c r="B1290" i="1"/>
  <c r="AC1289" i="1"/>
  <c r="AB1289" i="1"/>
  <c r="Z1289" i="1"/>
  <c r="W1289" i="1"/>
  <c r="V1289" i="1"/>
  <c r="U1289" i="1"/>
  <c r="I1289" i="1"/>
  <c r="E1289" i="1"/>
  <c r="D1289" i="1"/>
  <c r="C1289" i="1"/>
  <c r="B1289" i="1"/>
  <c r="AC1288" i="1"/>
  <c r="AB1288" i="1"/>
  <c r="Z1288" i="1"/>
  <c r="W1288" i="1"/>
  <c r="V1288" i="1"/>
  <c r="U1288" i="1"/>
  <c r="I1288" i="1"/>
  <c r="E1288" i="1"/>
  <c r="D1288" i="1"/>
  <c r="C1288" i="1"/>
  <c r="B1288" i="1"/>
  <c r="AC1287" i="1"/>
  <c r="AB1287" i="1"/>
  <c r="Z1287" i="1"/>
  <c r="W1287" i="1"/>
  <c r="V1287" i="1"/>
  <c r="U1287" i="1"/>
  <c r="I1287" i="1"/>
  <c r="E1287" i="1"/>
  <c r="D1287" i="1"/>
  <c r="C1287" i="1"/>
  <c r="B1287" i="1"/>
  <c r="AC1286" i="1"/>
  <c r="AB1286" i="1"/>
  <c r="Z1286" i="1"/>
  <c r="W1286" i="1"/>
  <c r="V1286" i="1"/>
  <c r="U1286" i="1"/>
  <c r="I1286" i="1"/>
  <c r="E1286" i="1"/>
  <c r="D1286" i="1"/>
  <c r="C1286" i="1"/>
  <c r="B1286" i="1"/>
  <c r="AC1285" i="1"/>
  <c r="AB1285" i="1"/>
  <c r="Z1285" i="1"/>
  <c r="W1285" i="1"/>
  <c r="V1285" i="1"/>
  <c r="U1285" i="1"/>
  <c r="I1285" i="1"/>
  <c r="E1285" i="1"/>
  <c r="D1285" i="1"/>
  <c r="C1285" i="1"/>
  <c r="B1285" i="1"/>
  <c r="AC1284" i="1"/>
  <c r="AB1284" i="1"/>
  <c r="Z1284" i="1"/>
  <c r="W1284" i="1"/>
  <c r="V1284" i="1"/>
  <c r="U1284" i="1"/>
  <c r="I1284" i="1"/>
  <c r="E1284" i="1"/>
  <c r="D1284" i="1"/>
  <c r="C1284" i="1"/>
  <c r="B1284" i="1"/>
  <c r="AC1283" i="1"/>
  <c r="AB1283" i="1"/>
  <c r="Z1283" i="1"/>
  <c r="W1283" i="1"/>
  <c r="V1283" i="1"/>
  <c r="U1283" i="1"/>
  <c r="I1283" i="1"/>
  <c r="E1283" i="1"/>
  <c r="D1283" i="1"/>
  <c r="C1283" i="1"/>
  <c r="B1283" i="1"/>
  <c r="AC1282" i="1"/>
  <c r="AB1282" i="1"/>
  <c r="Z1282" i="1"/>
  <c r="W1282" i="1"/>
  <c r="V1282" i="1"/>
  <c r="U1282" i="1"/>
  <c r="I1282" i="1"/>
  <c r="E1282" i="1"/>
  <c r="D1282" i="1"/>
  <c r="C1282" i="1"/>
  <c r="B1282" i="1"/>
  <c r="AC1281" i="1"/>
  <c r="AB1281" i="1"/>
  <c r="Z1281" i="1"/>
  <c r="W1281" i="1"/>
  <c r="V1281" i="1"/>
  <c r="U1281" i="1"/>
  <c r="I1281" i="1"/>
  <c r="E1281" i="1"/>
  <c r="D1281" i="1"/>
  <c r="C1281" i="1"/>
  <c r="B1281" i="1"/>
  <c r="AC1280" i="1"/>
  <c r="AB1280" i="1"/>
  <c r="Z1280" i="1"/>
  <c r="W1280" i="1"/>
  <c r="V1280" i="1"/>
  <c r="U1280" i="1"/>
  <c r="I1280" i="1"/>
  <c r="E1280" i="1"/>
  <c r="D1280" i="1"/>
  <c r="C1280" i="1"/>
  <c r="B1280" i="1"/>
  <c r="AC1279" i="1"/>
  <c r="AB1279" i="1"/>
  <c r="Z1279" i="1"/>
  <c r="W1279" i="1"/>
  <c r="V1279" i="1"/>
  <c r="U1279" i="1"/>
  <c r="I1279" i="1"/>
  <c r="E1279" i="1"/>
  <c r="D1279" i="1"/>
  <c r="C1279" i="1"/>
  <c r="B1279" i="1"/>
  <c r="AC1278" i="1"/>
  <c r="AB1278" i="1"/>
  <c r="Z1278" i="1"/>
  <c r="W1278" i="1"/>
  <c r="V1278" i="1"/>
  <c r="U1278" i="1"/>
  <c r="I1278" i="1"/>
  <c r="E1278" i="1"/>
  <c r="D1278" i="1"/>
  <c r="C1278" i="1"/>
  <c r="B1278" i="1"/>
  <c r="AC1277" i="1"/>
  <c r="AB1277" i="1"/>
  <c r="Z1277" i="1"/>
  <c r="W1277" i="1"/>
  <c r="V1277" i="1"/>
  <c r="U1277" i="1"/>
  <c r="I1277" i="1"/>
  <c r="E1277" i="1"/>
  <c r="D1277" i="1"/>
  <c r="C1277" i="1"/>
  <c r="B1277" i="1"/>
  <c r="AC1276" i="1"/>
  <c r="AB1276" i="1"/>
  <c r="Z1276" i="1"/>
  <c r="W1276" i="1"/>
  <c r="V1276" i="1"/>
  <c r="U1276" i="1"/>
  <c r="I1276" i="1"/>
  <c r="E1276" i="1"/>
  <c r="D1276" i="1"/>
  <c r="C1276" i="1"/>
  <c r="B1276" i="1"/>
  <c r="AC1275" i="1"/>
  <c r="AB1275" i="1"/>
  <c r="Z1275" i="1"/>
  <c r="W1275" i="1"/>
  <c r="V1275" i="1"/>
  <c r="U1275" i="1"/>
  <c r="I1275" i="1"/>
  <c r="E1275" i="1"/>
  <c r="D1275" i="1"/>
  <c r="C1275" i="1"/>
  <c r="B1275" i="1"/>
  <c r="AC1274" i="1"/>
  <c r="AB1274" i="1"/>
  <c r="Z1274" i="1"/>
  <c r="W1274" i="1"/>
  <c r="V1274" i="1"/>
  <c r="U1274" i="1"/>
  <c r="I1274" i="1"/>
  <c r="E1274" i="1"/>
  <c r="D1274" i="1"/>
  <c r="C1274" i="1"/>
  <c r="B1274" i="1"/>
  <c r="AC1273" i="1"/>
  <c r="AB1273" i="1"/>
  <c r="Z1273" i="1"/>
  <c r="W1273" i="1"/>
  <c r="V1273" i="1"/>
  <c r="U1273" i="1"/>
  <c r="I1273" i="1"/>
  <c r="E1273" i="1"/>
  <c r="D1273" i="1"/>
  <c r="C1273" i="1"/>
  <c r="B1273" i="1"/>
  <c r="AC1272" i="1"/>
  <c r="AB1272" i="1"/>
  <c r="Z1272" i="1"/>
  <c r="W1272" i="1"/>
  <c r="V1272" i="1"/>
  <c r="U1272" i="1"/>
  <c r="I1272" i="1"/>
  <c r="E1272" i="1"/>
  <c r="D1272" i="1"/>
  <c r="C1272" i="1"/>
  <c r="B1272" i="1"/>
  <c r="AC1271" i="1"/>
  <c r="AB1271" i="1"/>
  <c r="Z1271" i="1"/>
  <c r="W1271" i="1"/>
  <c r="V1271" i="1"/>
  <c r="U1271" i="1"/>
  <c r="I1271" i="1"/>
  <c r="E1271" i="1"/>
  <c r="D1271" i="1"/>
  <c r="C1271" i="1"/>
  <c r="B1271" i="1"/>
  <c r="AC1270" i="1"/>
  <c r="AB1270" i="1"/>
  <c r="Z1270" i="1"/>
  <c r="W1270" i="1"/>
  <c r="V1270" i="1"/>
  <c r="U1270" i="1"/>
  <c r="I1270" i="1"/>
  <c r="E1270" i="1"/>
  <c r="D1270" i="1"/>
  <c r="C1270" i="1"/>
  <c r="B1270" i="1"/>
  <c r="AC1269" i="1"/>
  <c r="AB1269" i="1"/>
  <c r="Z1269" i="1"/>
  <c r="W1269" i="1"/>
  <c r="V1269" i="1"/>
  <c r="U1269" i="1"/>
  <c r="I1269" i="1"/>
  <c r="E1269" i="1"/>
  <c r="D1269" i="1"/>
  <c r="C1269" i="1"/>
  <c r="B1269" i="1"/>
  <c r="AC1268" i="1"/>
  <c r="AB1268" i="1"/>
  <c r="Z1268" i="1"/>
  <c r="W1268" i="1"/>
  <c r="V1268" i="1"/>
  <c r="U1268" i="1"/>
  <c r="I1268" i="1"/>
  <c r="E1268" i="1"/>
  <c r="D1268" i="1"/>
  <c r="C1268" i="1"/>
  <c r="B1268" i="1"/>
  <c r="AC1267" i="1"/>
  <c r="AB1267" i="1"/>
  <c r="Z1267" i="1"/>
  <c r="W1267" i="1"/>
  <c r="V1267" i="1"/>
  <c r="U1267" i="1"/>
  <c r="I1267" i="1"/>
  <c r="E1267" i="1"/>
  <c r="D1267" i="1"/>
  <c r="C1267" i="1"/>
  <c r="B1267" i="1"/>
  <c r="AC1266" i="1"/>
  <c r="AB1266" i="1"/>
  <c r="Z1266" i="1"/>
  <c r="W1266" i="1"/>
  <c r="V1266" i="1"/>
  <c r="U1266" i="1"/>
  <c r="I1266" i="1"/>
  <c r="E1266" i="1"/>
  <c r="D1266" i="1"/>
  <c r="C1266" i="1"/>
  <c r="B1266" i="1"/>
  <c r="AC1265" i="1"/>
  <c r="AB1265" i="1"/>
  <c r="Z1265" i="1"/>
  <c r="W1265" i="1"/>
  <c r="V1265" i="1"/>
  <c r="U1265" i="1"/>
  <c r="I1265" i="1"/>
  <c r="E1265" i="1"/>
  <c r="D1265" i="1"/>
  <c r="C1265" i="1"/>
  <c r="B1265" i="1"/>
  <c r="AC1264" i="1"/>
  <c r="AB1264" i="1"/>
  <c r="Z1264" i="1"/>
  <c r="W1264" i="1"/>
  <c r="V1264" i="1"/>
  <c r="U1264" i="1"/>
  <c r="I1264" i="1"/>
  <c r="E1264" i="1"/>
  <c r="D1264" i="1"/>
  <c r="B1264" i="1"/>
  <c r="AC1263" i="1"/>
  <c r="AB1263" i="1"/>
  <c r="Z1263" i="1"/>
  <c r="W1263" i="1"/>
  <c r="V1263" i="1"/>
  <c r="U1263" i="1"/>
  <c r="I1263" i="1"/>
  <c r="E1263" i="1"/>
  <c r="D1263" i="1"/>
  <c r="C1263" i="1"/>
  <c r="B1263" i="1"/>
  <c r="AC1262" i="1"/>
  <c r="AB1262" i="1"/>
  <c r="Z1262" i="1"/>
  <c r="W1262" i="1"/>
  <c r="V1262" i="1"/>
  <c r="U1262" i="1"/>
  <c r="I1262" i="1"/>
  <c r="E1262" i="1"/>
  <c r="D1262" i="1"/>
  <c r="C1262" i="1"/>
  <c r="B1262" i="1"/>
  <c r="AC1261" i="1"/>
  <c r="AB1261" i="1"/>
  <c r="Z1261" i="1"/>
  <c r="W1261" i="1"/>
  <c r="V1261" i="1"/>
  <c r="U1261" i="1"/>
  <c r="I1261" i="1"/>
  <c r="E1261" i="1"/>
  <c r="D1261" i="1"/>
  <c r="C1261" i="1"/>
  <c r="B1261" i="1"/>
  <c r="AC1260" i="1"/>
  <c r="AB1260" i="1"/>
  <c r="Z1260" i="1"/>
  <c r="W1260" i="1"/>
  <c r="V1260" i="1"/>
  <c r="U1260" i="1"/>
  <c r="I1260" i="1"/>
  <c r="E1260" i="1"/>
  <c r="D1260" i="1"/>
  <c r="C1260" i="1"/>
  <c r="B1260" i="1"/>
  <c r="AC1259" i="1"/>
  <c r="AB1259" i="1"/>
  <c r="Z1259" i="1"/>
  <c r="W1259" i="1"/>
  <c r="V1259" i="1"/>
  <c r="U1259" i="1"/>
  <c r="I1259" i="1"/>
  <c r="E1259" i="1"/>
  <c r="D1259" i="1"/>
  <c r="C1259" i="1"/>
  <c r="B1259" i="1"/>
  <c r="AC1258" i="1"/>
  <c r="AB1258" i="1"/>
  <c r="Z1258" i="1"/>
  <c r="W1258" i="1"/>
  <c r="V1258" i="1"/>
  <c r="U1258" i="1"/>
  <c r="I1258" i="1"/>
  <c r="E1258" i="1"/>
  <c r="D1258" i="1"/>
  <c r="C1258" i="1"/>
  <c r="B1258" i="1"/>
  <c r="AC1257" i="1"/>
  <c r="AB1257" i="1"/>
  <c r="Z1257" i="1"/>
  <c r="W1257" i="1"/>
  <c r="V1257" i="1"/>
  <c r="U1257" i="1"/>
  <c r="I1257" i="1"/>
  <c r="E1257" i="1"/>
  <c r="D1257" i="1"/>
  <c r="C1257" i="1"/>
  <c r="B1257" i="1"/>
  <c r="AC1256" i="1"/>
  <c r="AB1256" i="1"/>
  <c r="Z1256" i="1"/>
  <c r="W1256" i="1"/>
  <c r="V1256" i="1"/>
  <c r="U1256" i="1"/>
  <c r="I1256" i="1"/>
  <c r="E1256" i="1"/>
  <c r="D1256" i="1"/>
  <c r="C1256" i="1"/>
  <c r="B1256" i="1"/>
  <c r="AC1255" i="1"/>
  <c r="AB1255" i="1"/>
  <c r="Z1255" i="1"/>
  <c r="W1255" i="1"/>
  <c r="V1255" i="1"/>
  <c r="U1255" i="1"/>
  <c r="I1255" i="1"/>
  <c r="E1255" i="1"/>
  <c r="D1255" i="1"/>
  <c r="C1255" i="1"/>
  <c r="B1255" i="1"/>
  <c r="AC1254" i="1"/>
  <c r="AB1254" i="1"/>
  <c r="Z1254" i="1"/>
  <c r="W1254" i="1"/>
  <c r="V1254" i="1"/>
  <c r="U1254" i="1"/>
  <c r="I1254" i="1"/>
  <c r="E1254" i="1"/>
  <c r="D1254" i="1"/>
  <c r="C1254" i="1"/>
  <c r="B1254" i="1"/>
  <c r="AC1253" i="1"/>
  <c r="AB1253" i="1"/>
  <c r="Z1253" i="1"/>
  <c r="W1253" i="1"/>
  <c r="V1253" i="1"/>
  <c r="U1253" i="1"/>
  <c r="I1253" i="1"/>
  <c r="E1253" i="1"/>
  <c r="D1253" i="1"/>
  <c r="C1253" i="1"/>
  <c r="B1253" i="1"/>
  <c r="AC1252" i="1"/>
  <c r="AB1252" i="1"/>
  <c r="Z1252" i="1"/>
  <c r="W1252" i="1"/>
  <c r="V1252" i="1"/>
  <c r="U1252" i="1"/>
  <c r="I1252" i="1"/>
  <c r="E1252" i="1"/>
  <c r="D1252" i="1"/>
  <c r="C1252" i="1"/>
  <c r="B1252" i="1"/>
  <c r="AC1251" i="1"/>
  <c r="AB1251" i="1"/>
  <c r="Z1251" i="1"/>
  <c r="W1251" i="1"/>
  <c r="V1251" i="1"/>
  <c r="U1251" i="1"/>
  <c r="I1251" i="1"/>
  <c r="E1251" i="1"/>
  <c r="D1251" i="1"/>
  <c r="C1251" i="1"/>
  <c r="B1251" i="1"/>
  <c r="AC1250" i="1"/>
  <c r="AB1250" i="1"/>
  <c r="Z1250" i="1"/>
  <c r="W1250" i="1"/>
  <c r="V1250" i="1"/>
  <c r="U1250" i="1"/>
  <c r="I1250" i="1"/>
  <c r="E1250" i="1"/>
  <c r="D1250" i="1"/>
  <c r="C1250" i="1"/>
  <c r="B1250" i="1"/>
  <c r="AC1249" i="1"/>
  <c r="AB1249" i="1"/>
  <c r="Z1249" i="1"/>
  <c r="W1249" i="1"/>
  <c r="V1249" i="1"/>
  <c r="U1249" i="1"/>
  <c r="I1249" i="1"/>
  <c r="E1249" i="1"/>
  <c r="D1249" i="1"/>
  <c r="C1249" i="1"/>
  <c r="B1249" i="1"/>
  <c r="AC1248" i="1"/>
  <c r="AB1248" i="1"/>
  <c r="Z1248" i="1"/>
  <c r="W1248" i="1"/>
  <c r="V1248" i="1"/>
  <c r="U1248" i="1"/>
  <c r="I1248" i="1"/>
  <c r="E1248" i="1"/>
  <c r="D1248" i="1"/>
  <c r="C1248" i="1"/>
  <c r="B1248" i="1"/>
  <c r="AC1247" i="1"/>
  <c r="AB1247" i="1"/>
  <c r="Z1247" i="1"/>
  <c r="W1247" i="1"/>
  <c r="V1247" i="1"/>
  <c r="U1247" i="1"/>
  <c r="I1247" i="1"/>
  <c r="E1247" i="1"/>
  <c r="D1247" i="1"/>
  <c r="C1247" i="1"/>
  <c r="B1247" i="1"/>
  <c r="AC1246" i="1"/>
  <c r="AB1246" i="1"/>
  <c r="Z1246" i="1"/>
  <c r="W1246" i="1"/>
  <c r="V1246" i="1"/>
  <c r="U1246" i="1"/>
  <c r="I1246" i="1"/>
  <c r="E1246" i="1"/>
  <c r="D1246" i="1"/>
  <c r="C1246" i="1"/>
  <c r="B1246" i="1"/>
  <c r="AC1245" i="1"/>
  <c r="AB1245" i="1"/>
  <c r="Z1245" i="1"/>
  <c r="W1245" i="1"/>
  <c r="V1245" i="1"/>
  <c r="U1245" i="1"/>
  <c r="I1245" i="1"/>
  <c r="E1245" i="1"/>
  <c r="D1245" i="1"/>
  <c r="C1245" i="1"/>
  <c r="B1245" i="1"/>
  <c r="AC1244" i="1"/>
  <c r="AB1244" i="1"/>
  <c r="Z1244" i="1"/>
  <c r="W1244" i="1"/>
  <c r="V1244" i="1"/>
  <c r="U1244" i="1"/>
  <c r="I1244" i="1"/>
  <c r="E1244" i="1"/>
  <c r="D1244" i="1"/>
  <c r="C1244" i="1"/>
  <c r="B1244" i="1"/>
  <c r="AC1243" i="1"/>
  <c r="AB1243" i="1"/>
  <c r="Z1243" i="1"/>
  <c r="W1243" i="1"/>
  <c r="V1243" i="1"/>
  <c r="U1243" i="1"/>
  <c r="I1243" i="1"/>
  <c r="E1243" i="1"/>
  <c r="D1243" i="1"/>
  <c r="C1243" i="1"/>
  <c r="B1243" i="1"/>
  <c r="AC1242" i="1"/>
  <c r="AB1242" i="1"/>
  <c r="Z1242" i="1"/>
  <c r="W1242" i="1"/>
  <c r="V1242" i="1"/>
  <c r="U1242" i="1"/>
  <c r="I1242" i="1"/>
  <c r="E1242" i="1"/>
  <c r="D1242" i="1"/>
  <c r="C1242" i="1"/>
  <c r="B1242" i="1"/>
  <c r="AC1241" i="1"/>
  <c r="AB1241" i="1"/>
  <c r="Z1241" i="1"/>
  <c r="W1241" i="1"/>
  <c r="V1241" i="1"/>
  <c r="U1241" i="1"/>
  <c r="I1241" i="1"/>
  <c r="E1241" i="1"/>
  <c r="D1241" i="1"/>
  <c r="C1241" i="1"/>
  <c r="B1241" i="1"/>
  <c r="AC1240" i="1"/>
  <c r="AB1240" i="1"/>
  <c r="Z1240" i="1"/>
  <c r="W1240" i="1"/>
  <c r="V1240" i="1"/>
  <c r="U1240" i="1"/>
  <c r="I1240" i="1"/>
  <c r="E1240" i="1"/>
  <c r="D1240" i="1"/>
  <c r="C1240" i="1"/>
  <c r="B1240" i="1"/>
  <c r="AC1239" i="1"/>
  <c r="AB1239" i="1"/>
  <c r="Z1239" i="1"/>
  <c r="W1239" i="1"/>
  <c r="V1239" i="1"/>
  <c r="U1239" i="1"/>
  <c r="I1239" i="1"/>
  <c r="E1239" i="1"/>
  <c r="D1239" i="1"/>
  <c r="C1239" i="1"/>
  <c r="B1239" i="1"/>
  <c r="AC1238" i="1"/>
  <c r="AB1238" i="1"/>
  <c r="Z1238" i="1"/>
  <c r="W1238" i="1"/>
  <c r="V1238" i="1"/>
  <c r="U1238" i="1"/>
  <c r="I1238" i="1"/>
  <c r="E1238" i="1"/>
  <c r="D1238" i="1"/>
  <c r="C1238" i="1"/>
  <c r="B1238" i="1"/>
  <c r="AC1237" i="1"/>
  <c r="AB1237" i="1"/>
  <c r="Z1237" i="1"/>
  <c r="W1237" i="1"/>
  <c r="V1237" i="1"/>
  <c r="U1237" i="1"/>
  <c r="I1237" i="1"/>
  <c r="E1237" i="1"/>
  <c r="D1237" i="1"/>
  <c r="C1237" i="1"/>
  <c r="B1237" i="1"/>
  <c r="AC1236" i="1"/>
  <c r="AB1236" i="1"/>
  <c r="Z1236" i="1"/>
  <c r="W1236" i="1"/>
  <c r="V1236" i="1"/>
  <c r="U1236" i="1"/>
  <c r="I1236" i="1"/>
  <c r="E1236" i="1"/>
  <c r="D1236" i="1"/>
  <c r="C1236" i="1"/>
  <c r="B1236" i="1"/>
  <c r="AC1235" i="1"/>
  <c r="AB1235" i="1"/>
  <c r="Z1235" i="1"/>
  <c r="W1235" i="1"/>
  <c r="V1235" i="1"/>
  <c r="U1235" i="1"/>
  <c r="I1235" i="1"/>
  <c r="E1235" i="1"/>
  <c r="D1235" i="1"/>
  <c r="C1235" i="1"/>
  <c r="B1235" i="1"/>
  <c r="AC1234" i="1"/>
  <c r="AB1234" i="1"/>
  <c r="Z1234" i="1"/>
  <c r="W1234" i="1"/>
  <c r="V1234" i="1"/>
  <c r="U1234" i="1"/>
  <c r="I1234" i="1"/>
  <c r="E1234" i="1"/>
  <c r="D1234" i="1"/>
  <c r="C1234" i="1"/>
  <c r="B1234" i="1"/>
  <c r="AC1233" i="1"/>
  <c r="AB1233" i="1"/>
  <c r="Z1233" i="1"/>
  <c r="W1233" i="1"/>
  <c r="V1233" i="1"/>
  <c r="U1233" i="1"/>
  <c r="I1233" i="1"/>
  <c r="E1233" i="1"/>
  <c r="D1233" i="1"/>
  <c r="C1233" i="1"/>
  <c r="B1233" i="1"/>
  <c r="AC1232" i="1"/>
  <c r="AB1232" i="1"/>
  <c r="Z1232" i="1"/>
  <c r="W1232" i="1"/>
  <c r="V1232" i="1"/>
  <c r="U1232" i="1"/>
  <c r="I1232" i="1"/>
  <c r="E1232" i="1"/>
  <c r="D1232" i="1"/>
  <c r="C1232" i="1"/>
  <c r="B1232" i="1"/>
  <c r="AC1231" i="1"/>
  <c r="AB1231" i="1"/>
  <c r="Z1231" i="1"/>
  <c r="W1231" i="1"/>
  <c r="V1231" i="1"/>
  <c r="U1231" i="1"/>
  <c r="I1231" i="1"/>
  <c r="E1231" i="1"/>
  <c r="D1231" i="1"/>
  <c r="C1231" i="1"/>
  <c r="B1231" i="1"/>
  <c r="AC1230" i="1"/>
  <c r="AB1230" i="1"/>
  <c r="Z1230" i="1"/>
  <c r="W1230" i="1"/>
  <c r="V1230" i="1"/>
  <c r="U1230" i="1"/>
  <c r="I1230" i="1"/>
  <c r="E1230" i="1"/>
  <c r="D1230" i="1"/>
  <c r="C1230" i="1"/>
  <c r="B1230" i="1"/>
  <c r="AC1229" i="1"/>
  <c r="AB1229" i="1"/>
  <c r="Z1229" i="1"/>
  <c r="W1229" i="1"/>
  <c r="V1229" i="1"/>
  <c r="U1229" i="1"/>
  <c r="I1229" i="1"/>
  <c r="E1229" i="1"/>
  <c r="D1229" i="1"/>
  <c r="C1229" i="1"/>
  <c r="B1229" i="1"/>
  <c r="AC1228" i="1"/>
  <c r="AB1228" i="1"/>
  <c r="Z1228" i="1"/>
  <c r="W1228" i="1"/>
  <c r="V1228" i="1"/>
  <c r="U1228" i="1"/>
  <c r="I1228" i="1"/>
  <c r="E1228" i="1"/>
  <c r="D1228" i="1"/>
  <c r="C1228" i="1"/>
  <c r="B1228" i="1"/>
  <c r="AC1227" i="1"/>
  <c r="AB1227" i="1"/>
  <c r="Z1227" i="1"/>
  <c r="W1227" i="1"/>
  <c r="V1227" i="1"/>
  <c r="U1227" i="1"/>
  <c r="I1227" i="1"/>
  <c r="E1227" i="1"/>
  <c r="D1227" i="1"/>
  <c r="C1227" i="1"/>
  <c r="B1227" i="1"/>
  <c r="AC1226" i="1"/>
  <c r="AB1226" i="1"/>
  <c r="Z1226" i="1"/>
  <c r="W1226" i="1"/>
  <c r="V1226" i="1"/>
  <c r="U1226" i="1"/>
  <c r="I1226" i="1"/>
  <c r="E1226" i="1"/>
  <c r="D1226" i="1"/>
  <c r="C1226" i="1"/>
  <c r="B1226" i="1"/>
  <c r="AC1225" i="1"/>
  <c r="AB1225" i="1"/>
  <c r="Z1225" i="1"/>
  <c r="W1225" i="1"/>
  <c r="V1225" i="1"/>
  <c r="U1225" i="1"/>
  <c r="I1225" i="1"/>
  <c r="E1225" i="1"/>
  <c r="D1225" i="1"/>
  <c r="C1225" i="1"/>
  <c r="B1225" i="1"/>
  <c r="AC1224" i="1"/>
  <c r="AB1224" i="1"/>
  <c r="Z1224" i="1"/>
  <c r="W1224" i="1"/>
  <c r="V1224" i="1"/>
  <c r="U1224" i="1"/>
  <c r="I1224" i="1"/>
  <c r="E1224" i="1"/>
  <c r="D1224" i="1"/>
  <c r="C1224" i="1"/>
  <c r="B1224" i="1"/>
  <c r="AC1223" i="1"/>
  <c r="AB1223" i="1"/>
  <c r="Z1223" i="1"/>
  <c r="W1223" i="1"/>
  <c r="V1223" i="1"/>
  <c r="U1223" i="1"/>
  <c r="I1223" i="1"/>
  <c r="E1223" i="1"/>
  <c r="D1223" i="1"/>
  <c r="C1223" i="1"/>
  <c r="B1223" i="1"/>
  <c r="AC1222" i="1"/>
  <c r="AB1222" i="1"/>
  <c r="Z1222" i="1"/>
  <c r="W1222" i="1"/>
  <c r="V1222" i="1"/>
  <c r="U1222" i="1"/>
  <c r="I1222" i="1"/>
  <c r="E1222" i="1"/>
  <c r="D1222" i="1"/>
  <c r="C1222" i="1"/>
  <c r="B1222" i="1"/>
  <c r="AC1221" i="1"/>
  <c r="AB1221" i="1"/>
  <c r="Z1221" i="1"/>
  <c r="W1221" i="1"/>
  <c r="V1221" i="1"/>
  <c r="U1221" i="1"/>
  <c r="I1221" i="1"/>
  <c r="E1221" i="1"/>
  <c r="D1221" i="1"/>
  <c r="C1221" i="1"/>
  <c r="B1221" i="1"/>
  <c r="AC1220" i="1"/>
  <c r="AB1220" i="1"/>
  <c r="Z1220" i="1"/>
  <c r="W1220" i="1"/>
  <c r="V1220" i="1"/>
  <c r="U1220" i="1"/>
  <c r="I1220" i="1"/>
  <c r="E1220" i="1"/>
  <c r="D1220" i="1"/>
  <c r="C1220" i="1"/>
  <c r="B1220" i="1"/>
  <c r="AC1219" i="1"/>
  <c r="AB1219" i="1"/>
  <c r="Z1219" i="1"/>
  <c r="W1219" i="1"/>
  <c r="V1219" i="1"/>
  <c r="U1219" i="1"/>
  <c r="I1219" i="1"/>
  <c r="E1219" i="1"/>
  <c r="D1219" i="1"/>
  <c r="C1219" i="1"/>
  <c r="B1219" i="1"/>
  <c r="AC1218" i="1"/>
  <c r="AB1218" i="1"/>
  <c r="Z1218" i="1"/>
  <c r="W1218" i="1"/>
  <c r="V1218" i="1"/>
  <c r="U1218" i="1"/>
  <c r="I1218" i="1"/>
  <c r="E1218" i="1"/>
  <c r="D1218" i="1"/>
  <c r="C1218" i="1"/>
  <c r="B1218" i="1"/>
  <c r="AC1217" i="1"/>
  <c r="AB1217" i="1"/>
  <c r="Z1217" i="1"/>
  <c r="W1217" i="1"/>
  <c r="V1217" i="1"/>
  <c r="U1217" i="1"/>
  <c r="I1217" i="1"/>
  <c r="E1217" i="1"/>
  <c r="D1217" i="1"/>
  <c r="C1217" i="1"/>
  <c r="B1217" i="1"/>
  <c r="AC1216" i="1"/>
  <c r="AB1216" i="1"/>
  <c r="Z1216" i="1"/>
  <c r="W1216" i="1"/>
  <c r="V1216" i="1"/>
  <c r="U1216" i="1"/>
  <c r="I1216" i="1"/>
  <c r="E1216" i="1"/>
  <c r="D1216" i="1"/>
  <c r="C1216" i="1"/>
  <c r="B1216" i="1"/>
  <c r="AC1215" i="1"/>
  <c r="AB1215" i="1"/>
  <c r="Z1215" i="1"/>
  <c r="W1215" i="1"/>
  <c r="V1215" i="1"/>
  <c r="U1215" i="1"/>
  <c r="I1215" i="1"/>
  <c r="E1215" i="1"/>
  <c r="D1215" i="1"/>
  <c r="C1215" i="1"/>
  <c r="B1215" i="1"/>
  <c r="AC1214" i="1"/>
  <c r="AB1214" i="1"/>
  <c r="Z1214" i="1"/>
  <c r="W1214" i="1"/>
  <c r="V1214" i="1"/>
  <c r="U1214" i="1"/>
  <c r="I1214" i="1"/>
  <c r="E1214" i="1"/>
  <c r="D1214" i="1"/>
  <c r="B1214" i="1"/>
  <c r="AC1213" i="1"/>
  <c r="AB1213" i="1"/>
  <c r="Z1213" i="1"/>
  <c r="W1213" i="1"/>
  <c r="V1213" i="1"/>
  <c r="U1213" i="1"/>
  <c r="I1213" i="1"/>
  <c r="E1213" i="1"/>
  <c r="D1213" i="1"/>
  <c r="C1213" i="1"/>
  <c r="B1213" i="1"/>
  <c r="AC1212" i="1"/>
  <c r="AB1212" i="1"/>
  <c r="Z1212" i="1"/>
  <c r="W1212" i="1"/>
  <c r="V1212" i="1"/>
  <c r="U1212" i="1"/>
  <c r="I1212" i="1"/>
  <c r="E1212" i="1"/>
  <c r="D1212" i="1"/>
  <c r="C1212" i="1"/>
  <c r="B1212" i="1"/>
  <c r="AC1211" i="1"/>
  <c r="AB1211" i="1"/>
  <c r="Z1211" i="1"/>
  <c r="W1211" i="1"/>
  <c r="V1211" i="1"/>
  <c r="U1211" i="1"/>
  <c r="I1211" i="1"/>
  <c r="E1211" i="1"/>
  <c r="D1211" i="1"/>
  <c r="C1211" i="1"/>
  <c r="B1211" i="1"/>
  <c r="AC1210" i="1"/>
  <c r="AB1210" i="1"/>
  <c r="Z1210" i="1"/>
  <c r="W1210" i="1"/>
  <c r="V1210" i="1"/>
  <c r="U1210" i="1"/>
  <c r="I1210" i="1"/>
  <c r="E1210" i="1"/>
  <c r="D1210" i="1"/>
  <c r="C1210" i="1"/>
  <c r="B1210" i="1"/>
  <c r="AC1209" i="1"/>
  <c r="AB1209" i="1"/>
  <c r="Z1209" i="1"/>
  <c r="W1209" i="1"/>
  <c r="V1209" i="1"/>
  <c r="U1209" i="1"/>
  <c r="I1209" i="1"/>
  <c r="E1209" i="1"/>
  <c r="D1209" i="1"/>
  <c r="C1209" i="1"/>
  <c r="B1209" i="1"/>
  <c r="AC1208" i="1"/>
  <c r="AB1208" i="1"/>
  <c r="Z1208" i="1"/>
  <c r="W1208" i="1"/>
  <c r="V1208" i="1"/>
  <c r="U1208" i="1"/>
  <c r="I1208" i="1"/>
  <c r="E1208" i="1"/>
  <c r="D1208" i="1"/>
  <c r="C1208" i="1"/>
  <c r="B1208" i="1"/>
  <c r="AC1207" i="1"/>
  <c r="AB1207" i="1"/>
  <c r="Z1207" i="1"/>
  <c r="W1207" i="1"/>
  <c r="V1207" i="1"/>
  <c r="U1207" i="1"/>
  <c r="I1207" i="1"/>
  <c r="E1207" i="1"/>
  <c r="D1207" i="1"/>
  <c r="C1207" i="1"/>
  <c r="B1207" i="1"/>
  <c r="AC1206" i="1"/>
  <c r="AB1206" i="1"/>
  <c r="Z1206" i="1"/>
  <c r="W1206" i="1"/>
  <c r="V1206" i="1"/>
  <c r="U1206" i="1"/>
  <c r="I1206" i="1"/>
  <c r="E1206" i="1"/>
  <c r="D1206" i="1"/>
  <c r="C1206" i="1"/>
  <c r="B1206" i="1"/>
  <c r="AC1205" i="1"/>
  <c r="AB1205" i="1"/>
  <c r="Z1205" i="1"/>
  <c r="W1205" i="1"/>
  <c r="V1205" i="1"/>
  <c r="U1205" i="1"/>
  <c r="I1205" i="1"/>
  <c r="E1205" i="1"/>
  <c r="D1205" i="1"/>
  <c r="C1205" i="1"/>
  <c r="B1205" i="1"/>
  <c r="AC1204" i="1"/>
  <c r="AB1204" i="1"/>
  <c r="Z1204" i="1"/>
  <c r="W1204" i="1"/>
  <c r="V1204" i="1"/>
  <c r="U1204" i="1"/>
  <c r="I1204" i="1"/>
  <c r="E1204" i="1"/>
  <c r="D1204" i="1"/>
  <c r="C1204" i="1"/>
  <c r="B1204" i="1"/>
  <c r="AC1203" i="1"/>
  <c r="AB1203" i="1"/>
  <c r="Z1203" i="1"/>
  <c r="W1203" i="1"/>
  <c r="V1203" i="1"/>
  <c r="U1203" i="1"/>
  <c r="I1203" i="1"/>
  <c r="E1203" i="1"/>
  <c r="D1203" i="1"/>
  <c r="C1203" i="1"/>
  <c r="B1203" i="1"/>
  <c r="AC1202" i="1"/>
  <c r="AB1202" i="1"/>
  <c r="Z1202" i="1"/>
  <c r="W1202" i="1"/>
  <c r="V1202" i="1"/>
  <c r="U1202" i="1"/>
  <c r="I1202" i="1"/>
  <c r="E1202" i="1"/>
  <c r="D1202" i="1"/>
  <c r="C1202" i="1"/>
  <c r="B1202" i="1"/>
  <c r="AC1201" i="1"/>
  <c r="AB1201" i="1"/>
  <c r="Z1201" i="1"/>
  <c r="W1201" i="1"/>
  <c r="V1201" i="1"/>
  <c r="U1201" i="1"/>
  <c r="I1201" i="1"/>
  <c r="E1201" i="1"/>
  <c r="D1201" i="1"/>
  <c r="C1201" i="1"/>
  <c r="B1201" i="1"/>
  <c r="AC1200" i="1"/>
  <c r="AB1200" i="1"/>
  <c r="Z1200" i="1"/>
  <c r="W1200" i="1"/>
  <c r="V1200" i="1"/>
  <c r="U1200" i="1"/>
  <c r="I1200" i="1"/>
  <c r="E1200" i="1"/>
  <c r="D1200" i="1"/>
  <c r="C1200" i="1"/>
  <c r="B1200" i="1"/>
  <c r="AC1199" i="1"/>
  <c r="AB1199" i="1"/>
  <c r="Z1199" i="1"/>
  <c r="W1199" i="1"/>
  <c r="V1199" i="1"/>
  <c r="U1199" i="1"/>
  <c r="I1199" i="1"/>
  <c r="E1199" i="1"/>
  <c r="D1199" i="1"/>
  <c r="C1199" i="1"/>
  <c r="B1199" i="1"/>
  <c r="AC1198" i="1"/>
  <c r="AB1198" i="1"/>
  <c r="Z1198" i="1"/>
  <c r="W1198" i="1"/>
  <c r="V1198" i="1"/>
  <c r="U1198" i="1"/>
  <c r="I1198" i="1"/>
  <c r="E1198" i="1"/>
  <c r="D1198" i="1"/>
  <c r="C1198" i="1"/>
  <c r="B1198" i="1"/>
  <c r="AC1197" i="1"/>
  <c r="AB1197" i="1"/>
  <c r="Z1197" i="1"/>
  <c r="W1197" i="1"/>
  <c r="V1197" i="1"/>
  <c r="U1197" i="1"/>
  <c r="I1197" i="1"/>
  <c r="E1197" i="1"/>
  <c r="D1197" i="1"/>
  <c r="C1197" i="1"/>
  <c r="B1197" i="1"/>
  <c r="AC1196" i="1"/>
  <c r="AB1196" i="1"/>
  <c r="Z1196" i="1"/>
  <c r="W1196" i="1"/>
  <c r="V1196" i="1"/>
  <c r="U1196" i="1"/>
  <c r="I1196" i="1"/>
  <c r="E1196" i="1"/>
  <c r="D1196" i="1"/>
  <c r="C1196" i="1"/>
  <c r="B1196" i="1"/>
  <c r="AC1195" i="1"/>
  <c r="AB1195" i="1"/>
  <c r="Z1195" i="1"/>
  <c r="W1195" i="1"/>
  <c r="V1195" i="1"/>
  <c r="U1195" i="1"/>
  <c r="I1195" i="1"/>
  <c r="E1195" i="1"/>
  <c r="D1195" i="1"/>
  <c r="C1195" i="1"/>
  <c r="B1195" i="1"/>
  <c r="AC1194" i="1"/>
  <c r="AB1194" i="1"/>
  <c r="Z1194" i="1"/>
  <c r="W1194" i="1"/>
  <c r="V1194" i="1"/>
  <c r="U1194" i="1"/>
  <c r="I1194" i="1"/>
  <c r="E1194" i="1"/>
  <c r="D1194" i="1"/>
  <c r="C1194" i="1"/>
  <c r="B1194" i="1"/>
  <c r="AC1193" i="1"/>
  <c r="AB1193" i="1"/>
  <c r="Z1193" i="1"/>
  <c r="W1193" i="1"/>
  <c r="V1193" i="1"/>
  <c r="U1193" i="1"/>
  <c r="I1193" i="1"/>
  <c r="E1193" i="1"/>
  <c r="D1193" i="1"/>
  <c r="C1193" i="1"/>
  <c r="B1193" i="1"/>
  <c r="AC1192" i="1"/>
  <c r="AB1192" i="1"/>
  <c r="Z1192" i="1"/>
  <c r="W1192" i="1"/>
  <c r="V1192" i="1"/>
  <c r="U1192" i="1"/>
  <c r="I1192" i="1"/>
  <c r="E1192" i="1"/>
  <c r="D1192" i="1"/>
  <c r="C1192" i="1"/>
  <c r="B1192" i="1"/>
  <c r="AC1191" i="1"/>
  <c r="AB1191" i="1"/>
  <c r="Z1191" i="1"/>
  <c r="W1191" i="1"/>
  <c r="V1191" i="1"/>
  <c r="U1191" i="1"/>
  <c r="I1191" i="1"/>
  <c r="E1191" i="1"/>
  <c r="D1191" i="1"/>
  <c r="C1191" i="1"/>
  <c r="B1191" i="1"/>
  <c r="AC1190" i="1"/>
  <c r="AB1190" i="1"/>
  <c r="Z1190" i="1"/>
  <c r="W1190" i="1"/>
  <c r="V1190" i="1"/>
  <c r="U1190" i="1"/>
  <c r="I1190" i="1"/>
  <c r="E1190" i="1"/>
  <c r="D1190" i="1"/>
  <c r="C1190" i="1"/>
  <c r="B1190" i="1"/>
  <c r="AC1189" i="1"/>
  <c r="AB1189" i="1"/>
  <c r="Z1189" i="1"/>
  <c r="W1189" i="1"/>
  <c r="V1189" i="1"/>
  <c r="U1189" i="1"/>
  <c r="I1189" i="1"/>
  <c r="E1189" i="1"/>
  <c r="D1189" i="1"/>
  <c r="C1189" i="1"/>
  <c r="B1189" i="1"/>
  <c r="AC1188" i="1"/>
  <c r="AB1188" i="1"/>
  <c r="Z1188" i="1"/>
  <c r="W1188" i="1"/>
  <c r="V1188" i="1"/>
  <c r="U1188" i="1"/>
  <c r="I1188" i="1"/>
  <c r="E1188" i="1"/>
  <c r="D1188" i="1"/>
  <c r="C1188" i="1"/>
  <c r="B1188" i="1"/>
  <c r="AC1187" i="1"/>
  <c r="AB1187" i="1"/>
  <c r="Z1187" i="1"/>
  <c r="W1187" i="1"/>
  <c r="V1187" i="1"/>
  <c r="U1187" i="1"/>
  <c r="I1187" i="1"/>
  <c r="E1187" i="1"/>
  <c r="D1187" i="1"/>
  <c r="C1187" i="1"/>
  <c r="B1187" i="1"/>
  <c r="AC1186" i="1"/>
  <c r="AB1186" i="1"/>
  <c r="Z1186" i="1"/>
  <c r="W1186" i="1"/>
  <c r="V1186" i="1"/>
  <c r="U1186" i="1"/>
  <c r="I1186" i="1"/>
  <c r="E1186" i="1"/>
  <c r="D1186" i="1"/>
  <c r="C1186" i="1"/>
  <c r="B1186" i="1"/>
  <c r="AC1185" i="1"/>
  <c r="AB1185" i="1"/>
  <c r="Z1185" i="1"/>
  <c r="W1185" i="1"/>
  <c r="V1185" i="1"/>
  <c r="U1185" i="1"/>
  <c r="I1185" i="1"/>
  <c r="E1185" i="1"/>
  <c r="D1185" i="1"/>
  <c r="C1185" i="1"/>
  <c r="B1185" i="1"/>
  <c r="AC1184" i="1"/>
  <c r="AB1184" i="1"/>
  <c r="Z1184" i="1"/>
  <c r="W1184" i="1"/>
  <c r="V1184" i="1"/>
  <c r="U1184" i="1"/>
  <c r="I1184" i="1"/>
  <c r="E1184" i="1"/>
  <c r="D1184" i="1"/>
  <c r="C1184" i="1"/>
  <c r="B1184" i="1"/>
  <c r="AC1183" i="1"/>
  <c r="AB1183" i="1"/>
  <c r="Z1183" i="1"/>
  <c r="W1183" i="1"/>
  <c r="V1183" i="1"/>
  <c r="U1183" i="1"/>
  <c r="I1183" i="1"/>
  <c r="E1183" i="1"/>
  <c r="D1183" i="1"/>
  <c r="C1183" i="1"/>
  <c r="B1183" i="1"/>
  <c r="AC1182" i="1"/>
  <c r="AB1182" i="1"/>
  <c r="Z1182" i="1"/>
  <c r="W1182" i="1"/>
  <c r="V1182" i="1"/>
  <c r="U1182" i="1"/>
  <c r="I1182" i="1"/>
  <c r="E1182" i="1"/>
  <c r="D1182" i="1"/>
  <c r="C1182" i="1"/>
  <c r="B1182" i="1"/>
  <c r="AC1181" i="1"/>
  <c r="AB1181" i="1"/>
  <c r="Z1181" i="1"/>
  <c r="W1181" i="1"/>
  <c r="V1181" i="1"/>
  <c r="U1181" i="1"/>
  <c r="I1181" i="1"/>
  <c r="E1181" i="1"/>
  <c r="D1181" i="1"/>
  <c r="C1181" i="1"/>
  <c r="B1181" i="1"/>
  <c r="AC1180" i="1"/>
  <c r="AB1180" i="1"/>
  <c r="Z1180" i="1"/>
  <c r="W1180" i="1"/>
  <c r="V1180" i="1"/>
  <c r="U1180" i="1"/>
  <c r="I1180" i="1"/>
  <c r="E1180" i="1"/>
  <c r="D1180" i="1"/>
  <c r="C1180" i="1"/>
  <c r="B1180" i="1"/>
  <c r="AC1179" i="1"/>
  <c r="AB1179" i="1"/>
  <c r="Z1179" i="1"/>
  <c r="W1179" i="1"/>
  <c r="V1179" i="1"/>
  <c r="U1179" i="1"/>
  <c r="I1179" i="1"/>
  <c r="E1179" i="1"/>
  <c r="D1179" i="1"/>
  <c r="C1179" i="1"/>
  <c r="B1179" i="1"/>
  <c r="AC1178" i="1"/>
  <c r="AB1178" i="1"/>
  <c r="Z1178" i="1"/>
  <c r="W1178" i="1"/>
  <c r="V1178" i="1"/>
  <c r="U1178" i="1"/>
  <c r="I1178" i="1"/>
  <c r="E1178" i="1"/>
  <c r="D1178" i="1"/>
  <c r="C1178" i="1"/>
  <c r="B1178" i="1"/>
  <c r="AC1177" i="1"/>
  <c r="AB1177" i="1"/>
  <c r="Z1177" i="1"/>
  <c r="W1177" i="1"/>
  <c r="V1177" i="1"/>
  <c r="U1177" i="1"/>
  <c r="I1177" i="1"/>
  <c r="E1177" i="1"/>
  <c r="D1177" i="1"/>
  <c r="C1177" i="1"/>
  <c r="B1177" i="1"/>
  <c r="AC1176" i="1"/>
  <c r="AB1176" i="1"/>
  <c r="Z1176" i="1"/>
  <c r="W1176" i="1"/>
  <c r="V1176" i="1"/>
  <c r="U1176" i="1"/>
  <c r="I1176" i="1"/>
  <c r="E1176" i="1"/>
  <c r="D1176" i="1"/>
  <c r="C1176" i="1"/>
  <c r="B1176" i="1"/>
  <c r="AC1175" i="1"/>
  <c r="AB1175" i="1"/>
  <c r="Z1175" i="1"/>
  <c r="W1175" i="1"/>
  <c r="V1175" i="1"/>
  <c r="U1175" i="1"/>
  <c r="I1175" i="1"/>
  <c r="E1175" i="1"/>
  <c r="D1175" i="1"/>
  <c r="C1175" i="1"/>
  <c r="B1175" i="1"/>
  <c r="AC1174" i="1"/>
  <c r="AB1174" i="1"/>
  <c r="Z1174" i="1"/>
  <c r="W1174" i="1"/>
  <c r="V1174" i="1"/>
  <c r="U1174" i="1"/>
  <c r="I1174" i="1"/>
  <c r="E1174" i="1"/>
  <c r="D1174" i="1"/>
  <c r="C1174" i="1"/>
  <c r="B1174" i="1"/>
  <c r="AC1173" i="1"/>
  <c r="AB1173" i="1"/>
  <c r="Z1173" i="1"/>
  <c r="W1173" i="1"/>
  <c r="V1173" i="1"/>
  <c r="U1173" i="1"/>
  <c r="I1173" i="1"/>
  <c r="E1173" i="1"/>
  <c r="D1173" i="1"/>
  <c r="C1173" i="1"/>
  <c r="B1173" i="1"/>
  <c r="AC1172" i="1"/>
  <c r="AB1172" i="1"/>
  <c r="Z1172" i="1"/>
  <c r="W1172" i="1"/>
  <c r="V1172" i="1"/>
  <c r="U1172" i="1"/>
  <c r="I1172" i="1"/>
  <c r="E1172" i="1"/>
  <c r="D1172" i="1"/>
  <c r="B1172" i="1"/>
  <c r="AC1171" i="1"/>
  <c r="AB1171" i="1"/>
  <c r="Z1171" i="1"/>
  <c r="W1171" i="1"/>
  <c r="U1171" i="1"/>
  <c r="I1171" i="1"/>
  <c r="E1171" i="1"/>
  <c r="D1171" i="1"/>
  <c r="C1171" i="1"/>
  <c r="B1171" i="1"/>
  <c r="AC1170" i="1"/>
  <c r="AB1170" i="1"/>
  <c r="Z1170" i="1"/>
  <c r="W1170" i="1"/>
  <c r="V1170" i="1"/>
  <c r="U1170" i="1"/>
  <c r="I1170" i="1"/>
  <c r="E1170" i="1"/>
  <c r="D1170" i="1"/>
  <c r="C1170" i="1"/>
  <c r="B1170" i="1"/>
  <c r="AC1169" i="1"/>
  <c r="AB1169" i="1"/>
  <c r="Z1169" i="1"/>
  <c r="W1169" i="1"/>
  <c r="V1169" i="1"/>
  <c r="U1169" i="1"/>
  <c r="I1169" i="1"/>
  <c r="E1169" i="1"/>
  <c r="D1169" i="1"/>
  <c r="C1169" i="1"/>
  <c r="B1169" i="1"/>
  <c r="AC1168" i="1"/>
  <c r="AB1168" i="1"/>
  <c r="Z1168" i="1"/>
  <c r="W1168" i="1"/>
  <c r="V1168" i="1"/>
  <c r="U1168" i="1"/>
  <c r="I1168" i="1"/>
  <c r="E1168" i="1"/>
  <c r="D1168" i="1"/>
  <c r="C1168" i="1"/>
  <c r="B1168" i="1"/>
  <c r="AC1167" i="1"/>
  <c r="AB1167" i="1"/>
  <c r="Z1167" i="1"/>
  <c r="W1167" i="1"/>
  <c r="V1167" i="1"/>
  <c r="U1167" i="1"/>
  <c r="I1167" i="1"/>
  <c r="E1167" i="1"/>
  <c r="D1167" i="1"/>
  <c r="C1167" i="1"/>
  <c r="B1167" i="1"/>
  <c r="AC1166" i="1"/>
  <c r="AB1166" i="1"/>
  <c r="Z1166" i="1"/>
  <c r="W1166" i="1"/>
  <c r="V1166" i="1"/>
  <c r="U1166" i="1"/>
  <c r="I1166" i="1"/>
  <c r="E1166" i="1"/>
  <c r="D1166" i="1"/>
  <c r="C1166" i="1"/>
  <c r="B1166" i="1"/>
  <c r="AC1165" i="1"/>
  <c r="AB1165" i="1"/>
  <c r="Z1165" i="1"/>
  <c r="W1165" i="1"/>
  <c r="V1165" i="1"/>
  <c r="U1165" i="1"/>
  <c r="I1165" i="1"/>
  <c r="E1165" i="1"/>
  <c r="D1165" i="1"/>
  <c r="C1165" i="1"/>
  <c r="B1165" i="1"/>
  <c r="AC1164" i="1"/>
  <c r="AB1164" i="1"/>
  <c r="Z1164" i="1"/>
  <c r="W1164" i="1"/>
  <c r="V1164" i="1"/>
  <c r="U1164" i="1"/>
  <c r="I1164" i="1"/>
  <c r="E1164" i="1"/>
  <c r="D1164" i="1"/>
  <c r="C1164" i="1"/>
  <c r="B1164" i="1"/>
  <c r="AC1163" i="1"/>
  <c r="AB1163" i="1"/>
  <c r="Z1163" i="1"/>
  <c r="W1163" i="1"/>
  <c r="V1163" i="1"/>
  <c r="U1163" i="1"/>
  <c r="I1163" i="1"/>
  <c r="E1163" i="1"/>
  <c r="D1163" i="1"/>
  <c r="C1163" i="1"/>
  <c r="B1163" i="1"/>
  <c r="AC1162" i="1"/>
  <c r="AB1162" i="1"/>
  <c r="Z1162" i="1"/>
  <c r="W1162" i="1"/>
  <c r="V1162" i="1"/>
  <c r="U1162" i="1"/>
  <c r="I1162" i="1"/>
  <c r="E1162" i="1"/>
  <c r="D1162" i="1"/>
  <c r="C1162" i="1"/>
  <c r="B1162" i="1"/>
  <c r="AC1161" i="1"/>
  <c r="AB1161" i="1"/>
  <c r="Z1161" i="1"/>
  <c r="W1161" i="1"/>
  <c r="V1161" i="1"/>
  <c r="U1161" i="1"/>
  <c r="I1161" i="1"/>
  <c r="E1161" i="1"/>
  <c r="D1161" i="1"/>
  <c r="C1161" i="1"/>
  <c r="B1161" i="1"/>
  <c r="AC1160" i="1"/>
  <c r="AB1160" i="1"/>
  <c r="Z1160" i="1"/>
  <c r="W1160" i="1"/>
  <c r="V1160" i="1"/>
  <c r="U1160" i="1"/>
  <c r="I1160" i="1"/>
  <c r="E1160" i="1"/>
  <c r="D1160" i="1"/>
  <c r="C1160" i="1"/>
  <c r="B1160" i="1"/>
  <c r="AC1159" i="1"/>
  <c r="AB1159" i="1"/>
  <c r="Z1159" i="1"/>
  <c r="W1159" i="1"/>
  <c r="V1159" i="1"/>
  <c r="U1159" i="1"/>
  <c r="I1159" i="1"/>
  <c r="E1159" i="1"/>
  <c r="D1159" i="1"/>
  <c r="C1159" i="1"/>
  <c r="B1159" i="1"/>
  <c r="AC1158" i="1"/>
  <c r="AB1158" i="1"/>
  <c r="Z1158" i="1"/>
  <c r="W1158" i="1"/>
  <c r="V1158" i="1"/>
  <c r="U1158" i="1"/>
  <c r="I1158" i="1"/>
  <c r="E1158" i="1"/>
  <c r="D1158" i="1"/>
  <c r="C1158" i="1"/>
  <c r="B1158" i="1"/>
  <c r="AC1157" i="1"/>
  <c r="AB1157" i="1"/>
  <c r="Z1157" i="1"/>
  <c r="W1157" i="1"/>
  <c r="V1157" i="1"/>
  <c r="U1157" i="1"/>
  <c r="I1157" i="1"/>
  <c r="E1157" i="1"/>
  <c r="D1157" i="1"/>
  <c r="C1157" i="1"/>
  <c r="B1157" i="1"/>
  <c r="AC1156" i="1"/>
  <c r="AB1156" i="1"/>
  <c r="Z1156" i="1"/>
  <c r="W1156" i="1"/>
  <c r="V1156" i="1"/>
  <c r="U1156" i="1"/>
  <c r="I1156" i="1"/>
  <c r="E1156" i="1"/>
  <c r="D1156" i="1"/>
  <c r="C1156" i="1"/>
  <c r="B1156" i="1"/>
  <c r="AC1155" i="1"/>
  <c r="AB1155" i="1"/>
  <c r="Z1155" i="1"/>
  <c r="W1155" i="1"/>
  <c r="V1155" i="1"/>
  <c r="U1155" i="1"/>
  <c r="I1155" i="1"/>
  <c r="E1155" i="1"/>
  <c r="D1155" i="1"/>
  <c r="C1155" i="1"/>
  <c r="B1155" i="1"/>
  <c r="AC1154" i="1"/>
  <c r="AB1154" i="1"/>
  <c r="Z1154" i="1"/>
  <c r="W1154" i="1"/>
  <c r="V1154" i="1"/>
  <c r="U1154" i="1"/>
  <c r="I1154" i="1"/>
  <c r="E1154" i="1"/>
  <c r="D1154" i="1"/>
  <c r="C1154" i="1"/>
  <c r="B1154" i="1"/>
  <c r="AC1153" i="1"/>
  <c r="AB1153" i="1"/>
  <c r="Z1153" i="1"/>
  <c r="W1153" i="1"/>
  <c r="V1153" i="1"/>
  <c r="U1153" i="1"/>
  <c r="I1153" i="1"/>
  <c r="E1153" i="1"/>
  <c r="D1153" i="1"/>
  <c r="C1153" i="1"/>
  <c r="B1153" i="1"/>
  <c r="AC1152" i="1"/>
  <c r="AB1152" i="1"/>
  <c r="Z1152" i="1"/>
  <c r="W1152" i="1"/>
  <c r="V1152" i="1"/>
  <c r="U1152" i="1"/>
  <c r="I1152" i="1"/>
  <c r="E1152" i="1"/>
  <c r="D1152" i="1"/>
  <c r="C1152" i="1"/>
  <c r="B1152" i="1"/>
  <c r="AC1151" i="1"/>
  <c r="AB1151" i="1"/>
  <c r="Z1151" i="1"/>
  <c r="W1151" i="1"/>
  <c r="V1151" i="1"/>
  <c r="U1151" i="1"/>
  <c r="I1151" i="1"/>
  <c r="E1151" i="1"/>
  <c r="D1151" i="1"/>
  <c r="C1151" i="1"/>
  <c r="B1151" i="1"/>
  <c r="AC1150" i="1"/>
  <c r="AB1150" i="1"/>
  <c r="Z1150" i="1"/>
  <c r="W1150" i="1"/>
  <c r="V1150" i="1"/>
  <c r="U1150" i="1"/>
  <c r="I1150" i="1"/>
  <c r="E1150" i="1"/>
  <c r="D1150" i="1"/>
  <c r="C1150" i="1"/>
  <c r="B1150" i="1"/>
  <c r="AC1149" i="1"/>
  <c r="AB1149" i="1"/>
  <c r="Z1149" i="1"/>
  <c r="W1149" i="1"/>
  <c r="V1149" i="1"/>
  <c r="U1149" i="1"/>
  <c r="I1149" i="1"/>
  <c r="E1149" i="1"/>
  <c r="D1149" i="1"/>
  <c r="C1149" i="1"/>
  <c r="B1149" i="1"/>
  <c r="AC1148" i="1"/>
  <c r="AB1148" i="1"/>
  <c r="Z1148" i="1"/>
  <c r="W1148" i="1"/>
  <c r="V1148" i="1"/>
  <c r="U1148" i="1"/>
  <c r="I1148" i="1"/>
  <c r="E1148" i="1"/>
  <c r="D1148" i="1"/>
  <c r="C1148" i="1"/>
  <c r="B1148" i="1"/>
  <c r="AC1147" i="1"/>
  <c r="AB1147" i="1"/>
  <c r="Z1147" i="1"/>
  <c r="W1147" i="1"/>
  <c r="V1147" i="1"/>
  <c r="U1147" i="1"/>
  <c r="I1147" i="1"/>
  <c r="E1147" i="1"/>
  <c r="D1147" i="1"/>
  <c r="C1147" i="1"/>
  <c r="B1147" i="1"/>
  <c r="AC1146" i="1"/>
  <c r="AB1146" i="1"/>
  <c r="Z1146" i="1"/>
  <c r="W1146" i="1"/>
  <c r="V1146" i="1"/>
  <c r="U1146" i="1"/>
  <c r="I1146" i="1"/>
  <c r="E1146" i="1"/>
  <c r="D1146" i="1"/>
  <c r="C1146" i="1"/>
  <c r="B1146" i="1"/>
  <c r="AC1145" i="1"/>
  <c r="AB1145" i="1"/>
  <c r="Z1145" i="1"/>
  <c r="W1145" i="1"/>
  <c r="V1145" i="1"/>
  <c r="U1145" i="1"/>
  <c r="I1145" i="1"/>
  <c r="E1145" i="1"/>
  <c r="D1145" i="1"/>
  <c r="C1145" i="1"/>
  <c r="B1145" i="1"/>
  <c r="AC1144" i="1"/>
  <c r="AB1144" i="1"/>
  <c r="Z1144" i="1"/>
  <c r="W1144" i="1"/>
  <c r="V1144" i="1"/>
  <c r="U1144" i="1"/>
  <c r="I1144" i="1"/>
  <c r="E1144" i="1"/>
  <c r="D1144" i="1"/>
  <c r="C1144" i="1"/>
  <c r="B1144" i="1"/>
  <c r="AC1143" i="1"/>
  <c r="AB1143" i="1"/>
  <c r="Z1143" i="1"/>
  <c r="W1143" i="1"/>
  <c r="V1143" i="1"/>
  <c r="U1143" i="1"/>
  <c r="I1143" i="1"/>
  <c r="E1143" i="1"/>
  <c r="D1143" i="1"/>
  <c r="C1143" i="1"/>
  <c r="B1143" i="1"/>
  <c r="AC1142" i="1"/>
  <c r="AB1142" i="1"/>
  <c r="Z1142" i="1"/>
  <c r="W1142" i="1"/>
  <c r="V1142" i="1"/>
  <c r="U1142" i="1"/>
  <c r="I1142" i="1"/>
  <c r="E1142" i="1"/>
  <c r="D1142" i="1"/>
  <c r="C1142" i="1"/>
  <c r="B1142" i="1"/>
  <c r="AC1141" i="1"/>
  <c r="AB1141" i="1"/>
  <c r="Z1141" i="1"/>
  <c r="W1141" i="1"/>
  <c r="V1141" i="1"/>
  <c r="U1141" i="1"/>
  <c r="I1141" i="1"/>
  <c r="E1141" i="1"/>
  <c r="D1141" i="1"/>
  <c r="C1141" i="1"/>
  <c r="B1141" i="1"/>
  <c r="AC1140" i="1"/>
  <c r="AB1140" i="1"/>
  <c r="Z1140" i="1"/>
  <c r="W1140" i="1"/>
  <c r="V1140" i="1"/>
  <c r="U1140" i="1"/>
  <c r="I1140" i="1"/>
  <c r="E1140" i="1"/>
  <c r="D1140" i="1"/>
  <c r="C1140" i="1"/>
  <c r="B1140" i="1"/>
  <c r="AC1139" i="1"/>
  <c r="AB1139" i="1"/>
  <c r="Z1139" i="1"/>
  <c r="W1139" i="1"/>
  <c r="V1139" i="1"/>
  <c r="U1139" i="1"/>
  <c r="I1139" i="1"/>
  <c r="E1139" i="1"/>
  <c r="D1139" i="1"/>
  <c r="C1139" i="1"/>
  <c r="B1139" i="1"/>
  <c r="AC1138" i="1"/>
  <c r="AB1138" i="1"/>
  <c r="Z1138" i="1"/>
  <c r="W1138" i="1"/>
  <c r="V1138" i="1"/>
  <c r="U1138" i="1"/>
  <c r="I1138" i="1"/>
  <c r="E1138" i="1"/>
  <c r="D1138" i="1"/>
  <c r="C1138" i="1"/>
  <c r="B1138" i="1"/>
  <c r="AC1137" i="1"/>
  <c r="AB1137" i="1"/>
  <c r="Z1137" i="1"/>
  <c r="W1137" i="1"/>
  <c r="V1137" i="1"/>
  <c r="U1137" i="1"/>
  <c r="I1137" i="1"/>
  <c r="E1137" i="1"/>
  <c r="D1137" i="1"/>
  <c r="C1137" i="1"/>
  <c r="B1137" i="1"/>
  <c r="AC1136" i="1"/>
  <c r="AB1136" i="1"/>
  <c r="Z1136" i="1"/>
  <c r="W1136" i="1"/>
  <c r="V1136" i="1"/>
  <c r="U1136" i="1"/>
  <c r="I1136" i="1"/>
  <c r="E1136" i="1"/>
  <c r="D1136" i="1"/>
  <c r="C1136" i="1"/>
  <c r="B1136" i="1"/>
  <c r="AC1135" i="1"/>
  <c r="AB1135" i="1"/>
  <c r="Z1135" i="1"/>
  <c r="W1135" i="1"/>
  <c r="V1135" i="1"/>
  <c r="U1135" i="1"/>
  <c r="I1135" i="1"/>
  <c r="E1135" i="1"/>
  <c r="D1135" i="1"/>
  <c r="C1135" i="1"/>
  <c r="B1135" i="1"/>
  <c r="AC1134" i="1"/>
  <c r="AB1134" i="1"/>
  <c r="Z1134" i="1"/>
  <c r="W1134" i="1"/>
  <c r="V1134" i="1"/>
  <c r="U1134" i="1"/>
  <c r="I1134" i="1"/>
  <c r="E1134" i="1"/>
  <c r="D1134" i="1"/>
  <c r="C1134" i="1"/>
  <c r="B1134" i="1"/>
  <c r="AC1133" i="1"/>
  <c r="AB1133" i="1"/>
  <c r="Z1133" i="1"/>
  <c r="W1133" i="1"/>
  <c r="V1133" i="1"/>
  <c r="U1133" i="1"/>
  <c r="I1133" i="1"/>
  <c r="E1133" i="1"/>
  <c r="D1133" i="1"/>
  <c r="C1133" i="1"/>
  <c r="B1133" i="1"/>
  <c r="AC1132" i="1"/>
  <c r="AB1132" i="1"/>
  <c r="Z1132" i="1"/>
  <c r="W1132" i="1"/>
  <c r="V1132" i="1"/>
  <c r="U1132" i="1"/>
  <c r="I1132" i="1"/>
  <c r="E1132" i="1"/>
  <c r="D1132" i="1"/>
  <c r="C1132" i="1"/>
  <c r="B1132" i="1"/>
  <c r="AC1131" i="1"/>
  <c r="AB1131" i="1"/>
  <c r="Z1131" i="1"/>
  <c r="W1131" i="1"/>
  <c r="V1131" i="1"/>
  <c r="U1131" i="1"/>
  <c r="I1131" i="1"/>
  <c r="E1131" i="1"/>
  <c r="D1131" i="1"/>
  <c r="C1131" i="1"/>
  <c r="B1131" i="1"/>
  <c r="AC1130" i="1"/>
  <c r="AB1130" i="1"/>
  <c r="Z1130" i="1"/>
  <c r="W1130" i="1"/>
  <c r="V1130" i="1"/>
  <c r="U1130" i="1"/>
  <c r="I1130" i="1"/>
  <c r="E1130" i="1"/>
  <c r="D1130" i="1"/>
  <c r="C1130" i="1"/>
  <c r="B1130" i="1"/>
  <c r="AC1129" i="1"/>
  <c r="AB1129" i="1"/>
  <c r="Z1129" i="1"/>
  <c r="W1129" i="1"/>
  <c r="V1129" i="1"/>
  <c r="U1129" i="1"/>
  <c r="I1129" i="1"/>
  <c r="E1129" i="1"/>
  <c r="D1129" i="1"/>
  <c r="C1129" i="1"/>
  <c r="B1129" i="1"/>
  <c r="AC1128" i="1"/>
  <c r="AB1128" i="1"/>
  <c r="Z1128" i="1"/>
  <c r="W1128" i="1"/>
  <c r="V1128" i="1"/>
  <c r="U1128" i="1"/>
  <c r="I1128" i="1"/>
  <c r="E1128" i="1"/>
  <c r="D1128" i="1"/>
  <c r="C1128" i="1"/>
  <c r="B1128" i="1"/>
  <c r="AC1127" i="1"/>
  <c r="AB1127" i="1"/>
  <c r="Z1127" i="1"/>
  <c r="W1127" i="1"/>
  <c r="V1127" i="1"/>
  <c r="U1127" i="1"/>
  <c r="I1127" i="1"/>
  <c r="E1127" i="1"/>
  <c r="D1127" i="1"/>
  <c r="C1127" i="1"/>
  <c r="B1127" i="1"/>
  <c r="AC1126" i="1"/>
  <c r="AB1126" i="1"/>
  <c r="Z1126" i="1"/>
  <c r="W1126" i="1"/>
  <c r="V1126" i="1"/>
  <c r="U1126" i="1"/>
  <c r="I1126" i="1"/>
  <c r="E1126" i="1"/>
  <c r="D1126" i="1"/>
  <c r="C1126" i="1"/>
  <c r="B1126" i="1"/>
  <c r="AC1125" i="1"/>
  <c r="AB1125" i="1"/>
  <c r="Z1125" i="1"/>
  <c r="W1125" i="1"/>
  <c r="V1125" i="1"/>
  <c r="U1125" i="1"/>
  <c r="I1125" i="1"/>
  <c r="E1125" i="1"/>
  <c r="D1125" i="1"/>
  <c r="C1125" i="1"/>
  <c r="B1125" i="1"/>
  <c r="AC1124" i="1"/>
  <c r="AB1124" i="1"/>
  <c r="Z1124" i="1"/>
  <c r="W1124" i="1"/>
  <c r="V1124" i="1"/>
  <c r="U1124" i="1"/>
  <c r="I1124" i="1"/>
  <c r="E1124" i="1"/>
  <c r="D1124" i="1"/>
  <c r="C1124" i="1"/>
  <c r="B1124" i="1"/>
  <c r="AC1123" i="1"/>
  <c r="AB1123" i="1"/>
  <c r="Z1123" i="1"/>
  <c r="W1123" i="1"/>
  <c r="V1123" i="1"/>
  <c r="U1123" i="1"/>
  <c r="I1123" i="1"/>
  <c r="E1123" i="1"/>
  <c r="D1123" i="1"/>
  <c r="C1123" i="1"/>
  <c r="B1123" i="1"/>
  <c r="AC1122" i="1"/>
  <c r="AB1122" i="1"/>
  <c r="Z1122" i="1"/>
  <c r="W1122" i="1"/>
  <c r="V1122" i="1"/>
  <c r="U1122" i="1"/>
  <c r="I1122" i="1"/>
  <c r="E1122" i="1"/>
  <c r="D1122" i="1"/>
  <c r="C1122" i="1"/>
  <c r="B1122" i="1"/>
  <c r="AC1121" i="1"/>
  <c r="AB1121" i="1"/>
  <c r="Z1121" i="1"/>
  <c r="W1121" i="1"/>
  <c r="V1121" i="1"/>
  <c r="U1121" i="1"/>
  <c r="I1121" i="1"/>
  <c r="E1121" i="1"/>
  <c r="D1121" i="1"/>
  <c r="C1121" i="1"/>
  <c r="B1121" i="1"/>
  <c r="AC1120" i="1"/>
  <c r="AB1120" i="1"/>
  <c r="Z1120" i="1"/>
  <c r="W1120" i="1"/>
  <c r="V1120" i="1"/>
  <c r="U1120" i="1"/>
  <c r="I1120" i="1"/>
  <c r="E1120" i="1"/>
  <c r="D1120" i="1"/>
  <c r="C1120" i="1"/>
  <c r="B1120" i="1"/>
  <c r="AC1119" i="1"/>
  <c r="AB1119" i="1"/>
  <c r="Z1119" i="1"/>
  <c r="W1119" i="1"/>
  <c r="V1119" i="1"/>
  <c r="U1119" i="1"/>
  <c r="I1119" i="1"/>
  <c r="E1119" i="1"/>
  <c r="D1119" i="1"/>
  <c r="C1119" i="1"/>
  <c r="B1119" i="1"/>
  <c r="AC1118" i="1"/>
  <c r="AB1118" i="1"/>
  <c r="Z1118" i="1"/>
  <c r="W1118" i="1"/>
  <c r="V1118" i="1"/>
  <c r="U1118" i="1"/>
  <c r="I1118" i="1"/>
  <c r="E1118" i="1"/>
  <c r="D1118" i="1"/>
  <c r="C1118" i="1"/>
  <c r="B1118" i="1"/>
  <c r="AC1117" i="1"/>
  <c r="AB1117" i="1"/>
  <c r="Z1117" i="1"/>
  <c r="W1117" i="1"/>
  <c r="V1117" i="1"/>
  <c r="U1117" i="1"/>
  <c r="I1117" i="1"/>
  <c r="E1117" i="1"/>
  <c r="D1117" i="1"/>
  <c r="C1117" i="1"/>
  <c r="B1117" i="1"/>
  <c r="AC1116" i="1"/>
  <c r="AB1116" i="1"/>
  <c r="Z1116" i="1"/>
  <c r="W1116" i="1"/>
  <c r="V1116" i="1"/>
  <c r="U1116" i="1"/>
  <c r="I1116" i="1"/>
  <c r="E1116" i="1"/>
  <c r="D1116" i="1"/>
  <c r="C1116" i="1"/>
  <c r="B1116" i="1"/>
  <c r="AC1115" i="1"/>
  <c r="AB1115" i="1"/>
  <c r="Z1115" i="1"/>
  <c r="W1115" i="1"/>
  <c r="V1115" i="1"/>
  <c r="U1115" i="1"/>
  <c r="I1115" i="1"/>
  <c r="E1115" i="1"/>
  <c r="D1115" i="1"/>
  <c r="C1115" i="1"/>
  <c r="B1115" i="1"/>
  <c r="AC1114" i="1"/>
  <c r="AB1114" i="1"/>
  <c r="Z1114" i="1"/>
  <c r="W1114" i="1"/>
  <c r="V1114" i="1"/>
  <c r="U1114" i="1"/>
  <c r="I1114" i="1"/>
  <c r="E1114" i="1"/>
  <c r="D1114" i="1"/>
  <c r="C1114" i="1"/>
  <c r="B1114" i="1"/>
  <c r="AC1113" i="1"/>
  <c r="AB1113" i="1"/>
  <c r="Z1113" i="1"/>
  <c r="W1113" i="1"/>
  <c r="V1113" i="1"/>
  <c r="U1113" i="1"/>
  <c r="I1113" i="1"/>
  <c r="E1113" i="1"/>
  <c r="D1113" i="1"/>
  <c r="C1113" i="1"/>
  <c r="B1113" i="1"/>
  <c r="AC1112" i="1"/>
  <c r="AB1112" i="1"/>
  <c r="Z1112" i="1"/>
  <c r="W1112" i="1"/>
  <c r="V1112" i="1"/>
  <c r="U1112" i="1"/>
  <c r="I1112" i="1"/>
  <c r="E1112" i="1"/>
  <c r="D1112" i="1"/>
  <c r="C1112" i="1"/>
  <c r="B1112" i="1"/>
  <c r="AC1111" i="1"/>
  <c r="AB1111" i="1"/>
  <c r="Z1111" i="1"/>
  <c r="W1111" i="1"/>
  <c r="V1111" i="1"/>
  <c r="U1111" i="1"/>
  <c r="I1111" i="1"/>
  <c r="E1111" i="1"/>
  <c r="D1111" i="1"/>
  <c r="C1111" i="1"/>
  <c r="B1111" i="1"/>
  <c r="AC1110" i="1"/>
  <c r="AB1110" i="1"/>
  <c r="Z1110" i="1"/>
  <c r="W1110" i="1"/>
  <c r="V1110" i="1"/>
  <c r="U1110" i="1"/>
  <c r="I1110" i="1"/>
  <c r="E1110" i="1"/>
  <c r="D1110" i="1"/>
  <c r="C1110" i="1"/>
  <c r="B1110" i="1"/>
  <c r="AC1109" i="1"/>
  <c r="AB1109" i="1"/>
  <c r="Z1109" i="1"/>
  <c r="W1109" i="1"/>
  <c r="V1109" i="1"/>
  <c r="U1109" i="1"/>
  <c r="I1109" i="1"/>
  <c r="E1109" i="1"/>
  <c r="D1109" i="1"/>
  <c r="C1109" i="1"/>
  <c r="B1109" i="1"/>
  <c r="AC1108" i="1"/>
  <c r="AB1108" i="1"/>
  <c r="Z1108" i="1"/>
  <c r="W1108" i="1"/>
  <c r="V1108" i="1"/>
  <c r="U1108" i="1"/>
  <c r="I1108" i="1"/>
  <c r="E1108" i="1"/>
  <c r="D1108" i="1"/>
  <c r="C1108" i="1"/>
  <c r="B1108" i="1"/>
  <c r="AC1107" i="1"/>
  <c r="AB1107" i="1"/>
  <c r="Z1107" i="1"/>
  <c r="W1107" i="1"/>
  <c r="V1107" i="1"/>
  <c r="U1107" i="1"/>
  <c r="I1107" i="1"/>
  <c r="E1107" i="1"/>
  <c r="D1107" i="1"/>
  <c r="C1107" i="1"/>
  <c r="B1107" i="1"/>
  <c r="AC1106" i="1"/>
  <c r="AB1106" i="1"/>
  <c r="Z1106" i="1"/>
  <c r="W1106" i="1"/>
  <c r="V1106" i="1"/>
  <c r="U1106" i="1"/>
  <c r="I1106" i="1"/>
  <c r="E1106" i="1"/>
  <c r="D1106" i="1"/>
  <c r="C1106" i="1"/>
  <c r="B1106" i="1"/>
  <c r="AC1105" i="1"/>
  <c r="AB1105" i="1"/>
  <c r="Z1105" i="1"/>
  <c r="W1105" i="1"/>
  <c r="V1105" i="1"/>
  <c r="U1105" i="1"/>
  <c r="I1105" i="1"/>
  <c r="E1105" i="1"/>
  <c r="D1105" i="1"/>
  <c r="C1105" i="1"/>
  <c r="B1105" i="1"/>
  <c r="AC1104" i="1"/>
  <c r="AB1104" i="1"/>
  <c r="Z1104" i="1"/>
  <c r="W1104" i="1"/>
  <c r="V1104" i="1"/>
  <c r="U1104" i="1"/>
  <c r="I1104" i="1"/>
  <c r="E1104" i="1"/>
  <c r="D1104" i="1"/>
  <c r="C1104" i="1"/>
  <c r="B1104" i="1"/>
  <c r="AC1103" i="1"/>
  <c r="AB1103" i="1"/>
  <c r="Z1103" i="1"/>
  <c r="W1103" i="1"/>
  <c r="V1103" i="1"/>
  <c r="U1103" i="1"/>
  <c r="I1103" i="1"/>
  <c r="E1103" i="1"/>
  <c r="D1103" i="1"/>
  <c r="C1103" i="1"/>
  <c r="B1103" i="1"/>
  <c r="AC1102" i="1"/>
  <c r="AB1102" i="1"/>
  <c r="Z1102" i="1"/>
  <c r="W1102" i="1"/>
  <c r="V1102" i="1"/>
  <c r="U1102" i="1"/>
  <c r="I1102" i="1"/>
  <c r="E1102" i="1"/>
  <c r="D1102" i="1"/>
  <c r="C1102" i="1"/>
  <c r="B1102" i="1"/>
  <c r="AC1101" i="1"/>
  <c r="AB1101" i="1"/>
  <c r="Z1101" i="1"/>
  <c r="W1101" i="1"/>
  <c r="V1101" i="1"/>
  <c r="U1101" i="1"/>
  <c r="I1101" i="1"/>
  <c r="E1101" i="1"/>
  <c r="D1101" i="1"/>
  <c r="C1101" i="1"/>
  <c r="B1101" i="1"/>
  <c r="AC1100" i="1"/>
  <c r="AB1100" i="1"/>
  <c r="Z1100" i="1"/>
  <c r="W1100" i="1"/>
  <c r="V1100" i="1"/>
  <c r="U1100" i="1"/>
  <c r="I1100" i="1"/>
  <c r="E1100" i="1"/>
  <c r="D1100" i="1"/>
  <c r="C1100" i="1"/>
  <c r="B1100" i="1"/>
  <c r="AC1099" i="1"/>
  <c r="AB1099" i="1"/>
  <c r="Z1099" i="1"/>
  <c r="W1099" i="1"/>
  <c r="V1099" i="1"/>
  <c r="U1099" i="1"/>
  <c r="I1099" i="1"/>
  <c r="E1099" i="1"/>
  <c r="D1099" i="1"/>
  <c r="C1099" i="1"/>
  <c r="B1099" i="1"/>
  <c r="AC1098" i="1"/>
  <c r="AB1098" i="1"/>
  <c r="Z1098" i="1"/>
  <c r="W1098" i="1"/>
  <c r="V1098" i="1"/>
  <c r="U1098" i="1"/>
  <c r="I1098" i="1"/>
  <c r="E1098" i="1"/>
  <c r="D1098" i="1"/>
  <c r="C1098" i="1"/>
  <c r="B1098" i="1"/>
  <c r="AC1097" i="1"/>
  <c r="AB1097" i="1"/>
  <c r="Z1097" i="1"/>
  <c r="W1097" i="1"/>
  <c r="V1097" i="1"/>
  <c r="U1097" i="1"/>
  <c r="I1097" i="1"/>
  <c r="E1097" i="1"/>
  <c r="D1097" i="1"/>
  <c r="C1097" i="1"/>
  <c r="B1097" i="1"/>
  <c r="AC1096" i="1"/>
  <c r="AB1096" i="1"/>
  <c r="Z1096" i="1"/>
  <c r="W1096" i="1"/>
  <c r="V1096" i="1"/>
  <c r="U1096" i="1"/>
  <c r="I1096" i="1"/>
  <c r="E1096" i="1"/>
  <c r="D1096" i="1"/>
  <c r="C1096" i="1"/>
  <c r="B1096" i="1"/>
  <c r="AC1095" i="1"/>
  <c r="AB1095" i="1"/>
  <c r="Z1095" i="1"/>
  <c r="W1095" i="1"/>
  <c r="V1095" i="1"/>
  <c r="U1095" i="1"/>
  <c r="I1095" i="1"/>
  <c r="E1095" i="1"/>
  <c r="D1095" i="1"/>
  <c r="C1095" i="1"/>
  <c r="B1095" i="1"/>
  <c r="AC1094" i="1"/>
  <c r="AB1094" i="1"/>
  <c r="Z1094" i="1"/>
  <c r="W1094" i="1"/>
  <c r="V1094" i="1"/>
  <c r="U1094" i="1"/>
  <c r="I1094" i="1"/>
  <c r="E1094" i="1"/>
  <c r="D1094" i="1"/>
  <c r="C1094" i="1"/>
  <c r="B1094" i="1"/>
  <c r="AC1093" i="1"/>
  <c r="AB1093" i="1"/>
  <c r="Z1093" i="1"/>
  <c r="W1093" i="1"/>
  <c r="V1093" i="1"/>
  <c r="U1093" i="1"/>
  <c r="I1093" i="1"/>
  <c r="E1093" i="1"/>
  <c r="D1093" i="1"/>
  <c r="C1093" i="1"/>
  <c r="B1093" i="1"/>
  <c r="AC1092" i="1"/>
  <c r="AB1092" i="1"/>
  <c r="Z1092" i="1"/>
  <c r="W1092" i="1"/>
  <c r="V1092" i="1"/>
  <c r="U1092" i="1"/>
  <c r="I1092" i="1"/>
  <c r="E1092" i="1"/>
  <c r="D1092" i="1"/>
  <c r="C1092" i="1"/>
  <c r="B1092" i="1"/>
  <c r="AC1091" i="1"/>
  <c r="AB1091" i="1"/>
  <c r="Z1091" i="1"/>
  <c r="W1091" i="1"/>
  <c r="V1091" i="1"/>
  <c r="U1091" i="1"/>
  <c r="I1091" i="1"/>
  <c r="E1091" i="1"/>
  <c r="D1091" i="1"/>
  <c r="C1091" i="1"/>
  <c r="B1091" i="1"/>
  <c r="AC1090" i="1"/>
  <c r="AB1090" i="1"/>
  <c r="Z1090" i="1"/>
  <c r="W1090" i="1"/>
  <c r="V1090" i="1"/>
  <c r="U1090" i="1"/>
  <c r="I1090" i="1"/>
  <c r="E1090" i="1"/>
  <c r="D1090" i="1"/>
  <c r="C1090" i="1"/>
  <c r="B1090" i="1"/>
  <c r="AC1089" i="1"/>
  <c r="AB1089" i="1"/>
  <c r="Z1089" i="1"/>
  <c r="W1089" i="1"/>
  <c r="V1089" i="1"/>
  <c r="U1089" i="1"/>
  <c r="I1089" i="1"/>
  <c r="E1089" i="1"/>
  <c r="D1089" i="1"/>
  <c r="C1089" i="1"/>
  <c r="B1089" i="1"/>
  <c r="AC1088" i="1"/>
  <c r="AB1088" i="1"/>
  <c r="Z1088" i="1"/>
  <c r="W1088" i="1"/>
  <c r="V1088" i="1"/>
  <c r="U1088" i="1"/>
  <c r="I1088" i="1"/>
  <c r="E1088" i="1"/>
  <c r="D1088" i="1"/>
  <c r="C1088" i="1"/>
  <c r="B1088" i="1"/>
  <c r="AC1087" i="1"/>
  <c r="AB1087" i="1"/>
  <c r="Z1087" i="1"/>
  <c r="W1087" i="1"/>
  <c r="V1087" i="1"/>
  <c r="U1087" i="1"/>
  <c r="I1087" i="1"/>
  <c r="E1087" i="1"/>
  <c r="D1087" i="1"/>
  <c r="C1087" i="1"/>
  <c r="B1087" i="1"/>
  <c r="AC1086" i="1"/>
  <c r="AB1086" i="1"/>
  <c r="Z1086" i="1"/>
  <c r="W1086" i="1"/>
  <c r="V1086" i="1"/>
  <c r="U1086" i="1"/>
  <c r="I1086" i="1"/>
  <c r="E1086" i="1"/>
  <c r="D1086" i="1"/>
  <c r="C1086" i="1"/>
  <c r="B1086" i="1"/>
  <c r="AC1085" i="1"/>
  <c r="AB1085" i="1"/>
  <c r="Z1085" i="1"/>
  <c r="W1085" i="1"/>
  <c r="V1085" i="1"/>
  <c r="U1085" i="1"/>
  <c r="I1085" i="1"/>
  <c r="E1085" i="1"/>
  <c r="D1085" i="1"/>
  <c r="C1085" i="1"/>
  <c r="B1085" i="1"/>
  <c r="AC1084" i="1"/>
  <c r="AB1084" i="1"/>
  <c r="Z1084" i="1"/>
  <c r="W1084" i="1"/>
  <c r="V1084" i="1"/>
  <c r="U1084" i="1"/>
  <c r="I1084" i="1"/>
  <c r="E1084" i="1"/>
  <c r="D1084" i="1"/>
  <c r="C1084" i="1"/>
  <c r="B1084" i="1"/>
  <c r="AC1083" i="1"/>
  <c r="AB1083" i="1"/>
  <c r="Z1083" i="1"/>
  <c r="W1083" i="1"/>
  <c r="V1083" i="1"/>
  <c r="U1083" i="1"/>
  <c r="I1083" i="1"/>
  <c r="E1083" i="1"/>
  <c r="D1083" i="1"/>
  <c r="C1083" i="1"/>
  <c r="B1083" i="1"/>
  <c r="AC1082" i="1"/>
  <c r="AB1082" i="1"/>
  <c r="Z1082" i="1"/>
  <c r="W1082" i="1"/>
  <c r="V1082" i="1"/>
  <c r="U1082" i="1"/>
  <c r="I1082" i="1"/>
  <c r="E1082" i="1"/>
  <c r="D1082" i="1"/>
  <c r="C1082" i="1"/>
  <c r="B1082" i="1"/>
  <c r="AC1081" i="1"/>
  <c r="AB1081" i="1"/>
  <c r="Z1081" i="1"/>
  <c r="W1081" i="1"/>
  <c r="V1081" i="1"/>
  <c r="U1081" i="1"/>
  <c r="I1081" i="1"/>
  <c r="E1081" i="1"/>
  <c r="D1081" i="1"/>
  <c r="C1081" i="1"/>
  <c r="B1081" i="1"/>
  <c r="AC1080" i="1"/>
  <c r="AB1080" i="1"/>
  <c r="Z1080" i="1"/>
  <c r="W1080" i="1"/>
  <c r="V1080" i="1"/>
  <c r="U1080" i="1"/>
  <c r="I1080" i="1"/>
  <c r="E1080" i="1"/>
  <c r="D1080" i="1"/>
  <c r="C1080" i="1"/>
  <c r="B1080" i="1"/>
  <c r="AC1079" i="1"/>
  <c r="AB1079" i="1"/>
  <c r="Z1079" i="1"/>
  <c r="W1079" i="1"/>
  <c r="V1079" i="1"/>
  <c r="U1079" i="1"/>
  <c r="I1079" i="1"/>
  <c r="E1079" i="1"/>
  <c r="D1079" i="1"/>
  <c r="C1079" i="1"/>
  <c r="B1079" i="1"/>
  <c r="AC1078" i="1"/>
  <c r="AB1078" i="1"/>
  <c r="Z1078" i="1"/>
  <c r="W1078" i="1"/>
  <c r="V1078" i="1"/>
  <c r="U1078" i="1"/>
  <c r="I1078" i="1"/>
  <c r="E1078" i="1"/>
  <c r="D1078" i="1"/>
  <c r="C1078" i="1"/>
  <c r="B1078" i="1"/>
  <c r="AC1077" i="1"/>
  <c r="AB1077" i="1"/>
  <c r="Z1077" i="1"/>
  <c r="W1077" i="1"/>
  <c r="V1077" i="1"/>
  <c r="U1077" i="1"/>
  <c r="I1077" i="1"/>
  <c r="E1077" i="1"/>
  <c r="D1077" i="1"/>
  <c r="C1077" i="1"/>
  <c r="B1077" i="1"/>
  <c r="AC1076" i="1"/>
  <c r="AB1076" i="1"/>
  <c r="Z1076" i="1"/>
  <c r="W1076" i="1"/>
  <c r="V1076" i="1"/>
  <c r="U1076" i="1"/>
  <c r="I1076" i="1"/>
  <c r="E1076" i="1"/>
  <c r="D1076" i="1"/>
  <c r="C1076" i="1"/>
  <c r="B1076" i="1"/>
  <c r="AC1075" i="1"/>
  <c r="AB1075" i="1"/>
  <c r="Z1075" i="1"/>
  <c r="W1075" i="1"/>
  <c r="V1075" i="1"/>
  <c r="U1075" i="1"/>
  <c r="I1075" i="1"/>
  <c r="E1075" i="1"/>
  <c r="D1075" i="1"/>
  <c r="C1075" i="1"/>
  <c r="B1075" i="1"/>
  <c r="AC1074" i="1"/>
  <c r="AB1074" i="1"/>
  <c r="Z1074" i="1"/>
  <c r="W1074" i="1"/>
  <c r="V1074" i="1"/>
  <c r="U1074" i="1"/>
  <c r="I1074" i="1"/>
  <c r="E1074" i="1"/>
  <c r="D1074" i="1"/>
  <c r="C1074" i="1"/>
  <c r="B1074" i="1"/>
  <c r="AC1073" i="1"/>
  <c r="AB1073" i="1"/>
  <c r="Z1073" i="1"/>
  <c r="W1073" i="1"/>
  <c r="V1073" i="1"/>
  <c r="U1073" i="1"/>
  <c r="I1073" i="1"/>
  <c r="E1073" i="1"/>
  <c r="D1073" i="1"/>
  <c r="C1073" i="1"/>
  <c r="B1073" i="1"/>
  <c r="AC1072" i="1"/>
  <c r="AB1072" i="1"/>
  <c r="Z1072" i="1"/>
  <c r="W1072" i="1"/>
  <c r="V1072" i="1"/>
  <c r="U1072" i="1"/>
  <c r="I1072" i="1"/>
  <c r="E1072" i="1"/>
  <c r="D1072" i="1"/>
  <c r="C1072" i="1"/>
  <c r="B1072" i="1"/>
  <c r="AC1071" i="1"/>
  <c r="AB1071" i="1"/>
  <c r="Z1071" i="1"/>
  <c r="W1071" i="1"/>
  <c r="V1071" i="1"/>
  <c r="U1071" i="1"/>
  <c r="I1071" i="1"/>
  <c r="E1071" i="1"/>
  <c r="D1071" i="1"/>
  <c r="C1071" i="1"/>
  <c r="B1071" i="1"/>
  <c r="AC1070" i="1"/>
  <c r="AB1070" i="1"/>
  <c r="Z1070" i="1"/>
  <c r="W1070" i="1"/>
  <c r="V1070" i="1"/>
  <c r="U1070" i="1"/>
  <c r="I1070" i="1"/>
  <c r="E1070" i="1"/>
  <c r="D1070" i="1"/>
  <c r="C1070" i="1"/>
  <c r="B1070" i="1"/>
  <c r="AC1069" i="1"/>
  <c r="AB1069" i="1"/>
  <c r="Z1069" i="1"/>
  <c r="W1069" i="1"/>
  <c r="V1069" i="1"/>
  <c r="U1069" i="1"/>
  <c r="I1069" i="1"/>
  <c r="E1069" i="1"/>
  <c r="D1069" i="1"/>
  <c r="C1069" i="1"/>
  <c r="B1069" i="1"/>
  <c r="AC1068" i="1"/>
  <c r="AB1068" i="1"/>
  <c r="Z1068" i="1"/>
  <c r="W1068" i="1"/>
  <c r="V1068" i="1"/>
  <c r="U1068" i="1"/>
  <c r="I1068" i="1"/>
  <c r="E1068" i="1"/>
  <c r="D1068" i="1"/>
  <c r="C1068" i="1"/>
  <c r="B1068" i="1"/>
  <c r="AC1067" i="1"/>
  <c r="AB1067" i="1"/>
  <c r="Z1067" i="1"/>
  <c r="W1067" i="1"/>
  <c r="V1067" i="1"/>
  <c r="U1067" i="1"/>
  <c r="I1067" i="1"/>
  <c r="E1067" i="1"/>
  <c r="D1067" i="1"/>
  <c r="C1067" i="1"/>
  <c r="B1067" i="1"/>
  <c r="AC1066" i="1"/>
  <c r="AB1066" i="1"/>
  <c r="Z1066" i="1"/>
  <c r="W1066" i="1"/>
  <c r="V1066" i="1"/>
  <c r="U1066" i="1"/>
  <c r="I1066" i="1"/>
  <c r="E1066" i="1"/>
  <c r="D1066" i="1"/>
  <c r="C1066" i="1"/>
  <c r="B1066" i="1"/>
  <c r="AC1065" i="1"/>
  <c r="AB1065" i="1"/>
  <c r="Z1065" i="1"/>
  <c r="W1065" i="1"/>
  <c r="V1065" i="1"/>
  <c r="U1065" i="1"/>
  <c r="I1065" i="1"/>
  <c r="E1065" i="1"/>
  <c r="D1065" i="1"/>
  <c r="C1065" i="1"/>
  <c r="B1065" i="1"/>
  <c r="AC1064" i="1"/>
  <c r="AB1064" i="1"/>
  <c r="Z1064" i="1"/>
  <c r="W1064" i="1"/>
  <c r="V1064" i="1"/>
  <c r="U1064" i="1"/>
  <c r="I1064" i="1"/>
  <c r="E1064" i="1"/>
  <c r="D1064" i="1"/>
  <c r="C1064" i="1"/>
  <c r="B1064" i="1"/>
  <c r="AC1063" i="1"/>
  <c r="AB1063" i="1"/>
  <c r="Z1063" i="1"/>
  <c r="W1063" i="1"/>
  <c r="V1063" i="1"/>
  <c r="U1063" i="1"/>
  <c r="I1063" i="1"/>
  <c r="E1063" i="1"/>
  <c r="D1063" i="1"/>
  <c r="C1063" i="1"/>
  <c r="B1063" i="1"/>
  <c r="AC1062" i="1"/>
  <c r="AB1062" i="1"/>
  <c r="Z1062" i="1"/>
  <c r="W1062" i="1"/>
  <c r="V1062" i="1"/>
  <c r="U1062" i="1"/>
  <c r="I1062" i="1"/>
  <c r="E1062" i="1"/>
  <c r="D1062" i="1"/>
  <c r="C1062" i="1"/>
  <c r="B1062" i="1"/>
  <c r="AC1061" i="1"/>
  <c r="AB1061" i="1"/>
  <c r="Z1061" i="1"/>
  <c r="W1061" i="1"/>
  <c r="V1061" i="1"/>
  <c r="U1061" i="1"/>
  <c r="I1061" i="1"/>
  <c r="E1061" i="1"/>
  <c r="D1061" i="1"/>
  <c r="C1061" i="1"/>
  <c r="B1061" i="1"/>
  <c r="AC1060" i="1"/>
  <c r="AB1060" i="1"/>
  <c r="Z1060" i="1"/>
  <c r="W1060" i="1"/>
  <c r="V1060" i="1"/>
  <c r="U1060" i="1"/>
  <c r="I1060" i="1"/>
  <c r="E1060" i="1"/>
  <c r="D1060" i="1"/>
  <c r="C1060" i="1"/>
  <c r="B1060" i="1"/>
  <c r="AC1059" i="1"/>
  <c r="AB1059" i="1"/>
  <c r="Z1059" i="1"/>
  <c r="W1059" i="1"/>
  <c r="V1059" i="1"/>
  <c r="U1059" i="1"/>
  <c r="I1059" i="1"/>
  <c r="E1059" i="1"/>
  <c r="D1059" i="1"/>
  <c r="C1059" i="1"/>
  <c r="B1059" i="1"/>
  <c r="AC1058" i="1"/>
  <c r="AB1058" i="1"/>
  <c r="Z1058" i="1"/>
  <c r="W1058" i="1"/>
  <c r="V1058" i="1"/>
  <c r="U1058" i="1"/>
  <c r="I1058" i="1"/>
  <c r="E1058" i="1"/>
  <c r="D1058" i="1"/>
  <c r="C1058" i="1"/>
  <c r="B1058" i="1"/>
  <c r="AC1057" i="1"/>
  <c r="AB1057" i="1"/>
  <c r="Z1057" i="1"/>
  <c r="W1057" i="1"/>
  <c r="V1057" i="1"/>
  <c r="U1057" i="1"/>
  <c r="I1057" i="1"/>
  <c r="E1057" i="1"/>
  <c r="D1057" i="1"/>
  <c r="C1057" i="1"/>
  <c r="B1057" i="1"/>
  <c r="AC1056" i="1"/>
  <c r="AB1056" i="1"/>
  <c r="Z1056" i="1"/>
  <c r="W1056" i="1"/>
  <c r="V1056" i="1"/>
  <c r="U1056" i="1"/>
  <c r="I1056" i="1"/>
  <c r="E1056" i="1"/>
  <c r="D1056" i="1"/>
  <c r="C1056" i="1"/>
  <c r="B1056" i="1"/>
  <c r="AC1055" i="1"/>
  <c r="AB1055" i="1"/>
  <c r="Z1055" i="1"/>
  <c r="W1055" i="1"/>
  <c r="V1055" i="1"/>
  <c r="U1055" i="1"/>
  <c r="I1055" i="1"/>
  <c r="E1055" i="1"/>
  <c r="D1055" i="1"/>
  <c r="C1055" i="1"/>
  <c r="B1055" i="1"/>
  <c r="AC1054" i="1"/>
  <c r="AB1054" i="1"/>
  <c r="Z1054" i="1"/>
  <c r="W1054" i="1"/>
  <c r="V1054" i="1"/>
  <c r="U1054" i="1"/>
  <c r="I1054" i="1"/>
  <c r="E1054" i="1"/>
  <c r="D1054" i="1"/>
  <c r="C1054" i="1"/>
  <c r="B1054" i="1"/>
  <c r="AC1053" i="1"/>
  <c r="AB1053" i="1"/>
  <c r="Z1053" i="1"/>
  <c r="W1053" i="1"/>
  <c r="V1053" i="1"/>
  <c r="U1053" i="1"/>
  <c r="I1053" i="1"/>
  <c r="E1053" i="1"/>
  <c r="D1053" i="1"/>
  <c r="C1053" i="1"/>
  <c r="B1053" i="1"/>
  <c r="AC1052" i="1"/>
  <c r="AB1052" i="1"/>
  <c r="Z1052" i="1"/>
  <c r="W1052" i="1"/>
  <c r="V1052" i="1"/>
  <c r="U1052" i="1"/>
  <c r="I1052" i="1"/>
  <c r="E1052" i="1"/>
  <c r="D1052" i="1"/>
  <c r="C1052" i="1"/>
  <c r="B1052" i="1"/>
  <c r="AC1051" i="1"/>
  <c r="AB1051" i="1"/>
  <c r="Z1051" i="1"/>
  <c r="W1051" i="1"/>
  <c r="V1051" i="1"/>
  <c r="U1051" i="1"/>
  <c r="I1051" i="1"/>
  <c r="E1051" i="1"/>
  <c r="D1051" i="1"/>
  <c r="C1051" i="1"/>
  <c r="B1051" i="1"/>
  <c r="AC1050" i="1"/>
  <c r="AB1050" i="1"/>
  <c r="Z1050" i="1"/>
  <c r="W1050" i="1"/>
  <c r="V1050" i="1"/>
  <c r="U1050" i="1"/>
  <c r="I1050" i="1"/>
  <c r="E1050" i="1"/>
  <c r="D1050" i="1"/>
  <c r="C1050" i="1"/>
  <c r="B1050" i="1"/>
  <c r="AC1049" i="1"/>
  <c r="AB1049" i="1"/>
  <c r="Z1049" i="1"/>
  <c r="W1049" i="1"/>
  <c r="V1049" i="1"/>
  <c r="U1049" i="1"/>
  <c r="I1049" i="1"/>
  <c r="E1049" i="1"/>
  <c r="D1049" i="1"/>
  <c r="C1049" i="1"/>
  <c r="B1049" i="1"/>
  <c r="AC1048" i="1"/>
  <c r="AB1048" i="1"/>
  <c r="Z1048" i="1"/>
  <c r="W1048" i="1"/>
  <c r="V1048" i="1"/>
  <c r="U1048" i="1"/>
  <c r="I1048" i="1"/>
  <c r="E1048" i="1"/>
  <c r="D1048" i="1"/>
  <c r="C1048" i="1"/>
  <c r="B1048" i="1"/>
  <c r="AC1047" i="1"/>
  <c r="AB1047" i="1"/>
  <c r="Z1047" i="1"/>
  <c r="W1047" i="1"/>
  <c r="V1047" i="1"/>
  <c r="U1047" i="1"/>
  <c r="I1047" i="1"/>
  <c r="E1047" i="1"/>
  <c r="D1047" i="1"/>
  <c r="C1047" i="1"/>
  <c r="B1047" i="1"/>
  <c r="AC1046" i="1"/>
  <c r="AB1046" i="1"/>
  <c r="Z1046" i="1"/>
  <c r="W1046" i="1"/>
  <c r="V1046" i="1"/>
  <c r="U1046" i="1"/>
  <c r="I1046" i="1"/>
  <c r="E1046" i="1"/>
  <c r="D1046" i="1"/>
  <c r="C1046" i="1"/>
  <c r="B1046" i="1"/>
  <c r="AC1045" i="1"/>
  <c r="AB1045" i="1"/>
  <c r="Z1045" i="1"/>
  <c r="W1045" i="1"/>
  <c r="V1045" i="1"/>
  <c r="U1045" i="1"/>
  <c r="I1045" i="1"/>
  <c r="E1045" i="1"/>
  <c r="D1045" i="1"/>
  <c r="C1045" i="1"/>
  <c r="B1045" i="1"/>
  <c r="AC1044" i="1"/>
  <c r="AB1044" i="1"/>
  <c r="Z1044" i="1"/>
  <c r="W1044" i="1"/>
  <c r="V1044" i="1"/>
  <c r="U1044" i="1"/>
  <c r="I1044" i="1"/>
  <c r="E1044" i="1"/>
  <c r="D1044" i="1"/>
  <c r="C1044" i="1"/>
  <c r="B1044" i="1"/>
  <c r="AC1043" i="1"/>
  <c r="AB1043" i="1"/>
  <c r="Z1043" i="1"/>
  <c r="W1043" i="1"/>
  <c r="V1043" i="1"/>
  <c r="U1043" i="1"/>
  <c r="I1043" i="1"/>
  <c r="E1043" i="1"/>
  <c r="D1043" i="1"/>
  <c r="C1043" i="1"/>
  <c r="B1043" i="1"/>
  <c r="AC1042" i="1"/>
  <c r="AB1042" i="1"/>
  <c r="Z1042" i="1"/>
  <c r="W1042" i="1"/>
  <c r="V1042" i="1"/>
  <c r="U1042" i="1"/>
  <c r="I1042" i="1"/>
  <c r="E1042" i="1"/>
  <c r="D1042" i="1"/>
  <c r="C1042" i="1"/>
  <c r="B1042" i="1"/>
  <c r="AC1041" i="1"/>
  <c r="AB1041" i="1"/>
  <c r="Z1041" i="1"/>
  <c r="W1041" i="1"/>
  <c r="V1041" i="1"/>
  <c r="U1041" i="1"/>
  <c r="I1041" i="1"/>
  <c r="E1041" i="1"/>
  <c r="D1041" i="1"/>
  <c r="C1041" i="1"/>
  <c r="B1041" i="1"/>
  <c r="AC1040" i="1"/>
  <c r="AB1040" i="1"/>
  <c r="Z1040" i="1"/>
  <c r="W1040" i="1"/>
  <c r="V1040" i="1"/>
  <c r="U1040" i="1"/>
  <c r="I1040" i="1"/>
  <c r="E1040" i="1"/>
  <c r="D1040" i="1"/>
  <c r="C1040" i="1"/>
  <c r="B1040" i="1"/>
  <c r="AC1039" i="1"/>
  <c r="AB1039" i="1"/>
  <c r="Z1039" i="1"/>
  <c r="W1039" i="1"/>
  <c r="V1039" i="1"/>
  <c r="U1039" i="1"/>
  <c r="I1039" i="1"/>
  <c r="E1039" i="1"/>
  <c r="D1039" i="1"/>
  <c r="C1039" i="1"/>
  <c r="B1039" i="1"/>
  <c r="AC1038" i="1"/>
  <c r="AB1038" i="1"/>
  <c r="Z1038" i="1"/>
  <c r="W1038" i="1"/>
  <c r="V1038" i="1"/>
  <c r="U1038" i="1"/>
  <c r="I1038" i="1"/>
  <c r="E1038" i="1"/>
  <c r="D1038" i="1"/>
  <c r="C1038" i="1"/>
  <c r="B1038" i="1"/>
  <c r="AC1037" i="1"/>
  <c r="AB1037" i="1"/>
  <c r="Z1037" i="1"/>
  <c r="W1037" i="1"/>
  <c r="V1037" i="1"/>
  <c r="U1037" i="1"/>
  <c r="I1037" i="1"/>
  <c r="E1037" i="1"/>
  <c r="D1037" i="1"/>
  <c r="C1037" i="1"/>
  <c r="B1037" i="1"/>
  <c r="AC1036" i="1"/>
  <c r="AB1036" i="1"/>
  <c r="Z1036" i="1"/>
  <c r="W1036" i="1"/>
  <c r="V1036" i="1"/>
  <c r="U1036" i="1"/>
  <c r="I1036" i="1"/>
  <c r="E1036" i="1"/>
  <c r="D1036" i="1"/>
  <c r="C1036" i="1"/>
  <c r="B1036" i="1"/>
  <c r="AC1035" i="1"/>
  <c r="AB1035" i="1"/>
  <c r="Z1035" i="1"/>
  <c r="W1035" i="1"/>
  <c r="V1035" i="1"/>
  <c r="U1035" i="1"/>
  <c r="I1035" i="1"/>
  <c r="E1035" i="1"/>
  <c r="D1035" i="1"/>
  <c r="C1035" i="1"/>
  <c r="B1035" i="1"/>
  <c r="AC1034" i="1"/>
  <c r="AB1034" i="1"/>
  <c r="Z1034" i="1"/>
  <c r="W1034" i="1"/>
  <c r="V1034" i="1"/>
  <c r="U1034" i="1"/>
  <c r="I1034" i="1"/>
  <c r="E1034" i="1"/>
  <c r="D1034" i="1"/>
  <c r="C1034" i="1"/>
  <c r="B1034" i="1"/>
  <c r="AC1033" i="1"/>
  <c r="AB1033" i="1"/>
  <c r="Z1033" i="1"/>
  <c r="W1033" i="1"/>
  <c r="V1033" i="1"/>
  <c r="U1033" i="1"/>
  <c r="I1033" i="1"/>
  <c r="E1033" i="1"/>
  <c r="D1033" i="1"/>
  <c r="C1033" i="1"/>
  <c r="B1033" i="1"/>
  <c r="AC1032" i="1"/>
  <c r="AB1032" i="1"/>
  <c r="Z1032" i="1"/>
  <c r="W1032" i="1"/>
  <c r="V1032" i="1"/>
  <c r="U1032" i="1"/>
  <c r="I1032" i="1"/>
  <c r="E1032" i="1"/>
  <c r="D1032" i="1"/>
  <c r="C1032" i="1"/>
  <c r="B1032" i="1"/>
  <c r="AC1031" i="1"/>
  <c r="AB1031" i="1"/>
  <c r="Z1031" i="1"/>
  <c r="W1031" i="1"/>
  <c r="V1031" i="1"/>
  <c r="U1031" i="1"/>
  <c r="I1031" i="1"/>
  <c r="E1031" i="1"/>
  <c r="D1031" i="1"/>
  <c r="C1031" i="1"/>
  <c r="B1031" i="1"/>
  <c r="AC1030" i="1"/>
  <c r="AB1030" i="1"/>
  <c r="Z1030" i="1"/>
  <c r="W1030" i="1"/>
  <c r="V1030" i="1"/>
  <c r="U1030" i="1"/>
  <c r="I1030" i="1"/>
  <c r="E1030" i="1"/>
  <c r="D1030" i="1"/>
  <c r="C1030" i="1"/>
  <c r="B1030" i="1"/>
  <c r="AC1029" i="1"/>
  <c r="AB1029" i="1"/>
  <c r="Z1029" i="1"/>
  <c r="W1029" i="1"/>
  <c r="V1029" i="1"/>
  <c r="U1029" i="1"/>
  <c r="I1029" i="1"/>
  <c r="E1029" i="1"/>
  <c r="D1029" i="1"/>
  <c r="C1029" i="1"/>
  <c r="B1029" i="1"/>
  <c r="AC1028" i="1"/>
  <c r="AB1028" i="1"/>
  <c r="Z1028" i="1"/>
  <c r="W1028" i="1"/>
  <c r="V1028" i="1"/>
  <c r="U1028" i="1"/>
  <c r="I1028" i="1"/>
  <c r="E1028" i="1"/>
  <c r="D1028" i="1"/>
  <c r="C1028" i="1"/>
  <c r="B1028" i="1"/>
  <c r="AC1027" i="1"/>
  <c r="AB1027" i="1"/>
  <c r="Z1027" i="1"/>
  <c r="W1027" i="1"/>
  <c r="V1027" i="1"/>
  <c r="U1027" i="1"/>
  <c r="I1027" i="1"/>
  <c r="E1027" i="1"/>
  <c r="D1027" i="1"/>
  <c r="C1027" i="1"/>
  <c r="B1027" i="1"/>
  <c r="AC1026" i="1"/>
  <c r="AB1026" i="1"/>
  <c r="Z1026" i="1"/>
  <c r="W1026" i="1"/>
  <c r="V1026" i="1"/>
  <c r="U1026" i="1"/>
  <c r="I1026" i="1"/>
  <c r="E1026" i="1"/>
  <c r="D1026" i="1"/>
  <c r="C1026" i="1"/>
  <c r="B1026" i="1"/>
  <c r="AC1025" i="1"/>
  <c r="AB1025" i="1"/>
  <c r="Z1025" i="1"/>
  <c r="W1025" i="1"/>
  <c r="V1025" i="1"/>
  <c r="U1025" i="1"/>
  <c r="I1025" i="1"/>
  <c r="E1025" i="1"/>
  <c r="D1025" i="1"/>
  <c r="C1025" i="1"/>
  <c r="B1025" i="1"/>
  <c r="AC1024" i="1"/>
  <c r="AB1024" i="1"/>
  <c r="Z1024" i="1"/>
  <c r="W1024" i="1"/>
  <c r="V1024" i="1"/>
  <c r="U1024" i="1"/>
  <c r="I1024" i="1"/>
  <c r="E1024" i="1"/>
  <c r="D1024" i="1"/>
  <c r="C1024" i="1"/>
  <c r="B1024" i="1"/>
  <c r="AC1023" i="1"/>
  <c r="AB1023" i="1"/>
  <c r="Z1023" i="1"/>
  <c r="W1023" i="1"/>
  <c r="V1023" i="1"/>
  <c r="U1023" i="1"/>
  <c r="I1023" i="1"/>
  <c r="E1023" i="1"/>
  <c r="D1023" i="1"/>
  <c r="C1023" i="1"/>
  <c r="B1023" i="1"/>
  <c r="AC1022" i="1"/>
  <c r="AB1022" i="1"/>
  <c r="Z1022" i="1"/>
  <c r="W1022" i="1"/>
  <c r="V1022" i="1"/>
  <c r="U1022" i="1"/>
  <c r="I1022" i="1"/>
  <c r="E1022" i="1"/>
  <c r="D1022" i="1"/>
  <c r="C1022" i="1"/>
  <c r="B1022" i="1"/>
  <c r="AC1021" i="1"/>
  <c r="AB1021" i="1"/>
  <c r="Z1021" i="1"/>
  <c r="W1021" i="1"/>
  <c r="V1021" i="1"/>
  <c r="U1021" i="1"/>
  <c r="I1021" i="1"/>
  <c r="E1021" i="1"/>
  <c r="D1021" i="1"/>
  <c r="C1021" i="1"/>
  <c r="B1021" i="1"/>
  <c r="AC1020" i="1"/>
  <c r="AB1020" i="1"/>
  <c r="Z1020" i="1"/>
  <c r="W1020" i="1"/>
  <c r="V1020" i="1"/>
  <c r="U1020" i="1"/>
  <c r="I1020" i="1"/>
  <c r="E1020" i="1"/>
  <c r="D1020" i="1"/>
  <c r="C1020" i="1"/>
  <c r="B1020" i="1"/>
  <c r="AC1019" i="1"/>
  <c r="AB1019" i="1"/>
  <c r="Z1019" i="1"/>
  <c r="W1019" i="1"/>
  <c r="V1019" i="1"/>
  <c r="U1019" i="1"/>
  <c r="I1019" i="1"/>
  <c r="E1019" i="1"/>
  <c r="D1019" i="1"/>
  <c r="C1019" i="1"/>
  <c r="B1019" i="1"/>
  <c r="AC1018" i="1"/>
  <c r="AB1018" i="1"/>
  <c r="Z1018" i="1"/>
  <c r="W1018" i="1"/>
  <c r="V1018" i="1"/>
  <c r="U1018" i="1"/>
  <c r="I1018" i="1"/>
  <c r="E1018" i="1"/>
  <c r="D1018" i="1"/>
  <c r="C1018" i="1"/>
  <c r="B1018" i="1"/>
  <c r="AC1017" i="1"/>
  <c r="AB1017" i="1"/>
  <c r="Z1017" i="1"/>
  <c r="W1017" i="1"/>
  <c r="V1017" i="1"/>
  <c r="U1017" i="1"/>
  <c r="I1017" i="1"/>
  <c r="E1017" i="1"/>
  <c r="D1017" i="1"/>
  <c r="C1017" i="1"/>
  <c r="B1017" i="1"/>
  <c r="AC1016" i="1"/>
  <c r="AB1016" i="1"/>
  <c r="Z1016" i="1"/>
  <c r="W1016" i="1"/>
  <c r="V1016" i="1"/>
  <c r="U1016" i="1"/>
  <c r="I1016" i="1"/>
  <c r="E1016" i="1"/>
  <c r="D1016" i="1"/>
  <c r="C1016" i="1"/>
  <c r="B1016" i="1"/>
  <c r="AC1015" i="1"/>
  <c r="AB1015" i="1"/>
  <c r="Z1015" i="1"/>
  <c r="W1015" i="1"/>
  <c r="V1015" i="1"/>
  <c r="U1015" i="1"/>
  <c r="I1015" i="1"/>
  <c r="E1015" i="1"/>
  <c r="D1015" i="1"/>
  <c r="C1015" i="1"/>
  <c r="B1015" i="1"/>
  <c r="AC1014" i="1"/>
  <c r="AB1014" i="1"/>
  <c r="Z1014" i="1"/>
  <c r="W1014" i="1"/>
  <c r="V1014" i="1"/>
  <c r="U1014" i="1"/>
  <c r="I1014" i="1"/>
  <c r="E1014" i="1"/>
  <c r="D1014" i="1"/>
  <c r="C1014" i="1"/>
  <c r="B1014" i="1"/>
  <c r="AC1013" i="1"/>
  <c r="AB1013" i="1"/>
  <c r="Z1013" i="1"/>
  <c r="W1013" i="1"/>
  <c r="V1013" i="1"/>
  <c r="U1013" i="1"/>
  <c r="I1013" i="1"/>
  <c r="E1013" i="1"/>
  <c r="D1013" i="1"/>
  <c r="C1013" i="1"/>
  <c r="B1013" i="1"/>
  <c r="AC1012" i="1"/>
  <c r="AB1012" i="1"/>
  <c r="Z1012" i="1"/>
  <c r="W1012" i="1"/>
  <c r="V1012" i="1"/>
  <c r="U1012" i="1"/>
  <c r="I1012" i="1"/>
  <c r="E1012" i="1"/>
  <c r="D1012" i="1"/>
  <c r="C1012" i="1"/>
  <c r="B1012" i="1"/>
  <c r="AC1011" i="1"/>
  <c r="AB1011" i="1"/>
  <c r="Z1011" i="1"/>
  <c r="W1011" i="1"/>
  <c r="V1011" i="1"/>
  <c r="U1011" i="1"/>
  <c r="I1011" i="1"/>
  <c r="E1011" i="1"/>
  <c r="D1011" i="1"/>
  <c r="C1011" i="1"/>
  <c r="B1011" i="1"/>
  <c r="AC1010" i="1"/>
  <c r="AB1010" i="1"/>
  <c r="Z1010" i="1"/>
  <c r="W1010" i="1"/>
  <c r="V1010" i="1"/>
  <c r="U1010" i="1"/>
  <c r="I1010" i="1"/>
  <c r="E1010" i="1"/>
  <c r="D1010" i="1"/>
  <c r="C1010" i="1"/>
  <c r="B1010" i="1"/>
  <c r="AC1009" i="1"/>
  <c r="AB1009" i="1"/>
  <c r="Z1009" i="1"/>
  <c r="W1009" i="1"/>
  <c r="V1009" i="1"/>
  <c r="U1009" i="1"/>
  <c r="I1009" i="1"/>
  <c r="E1009" i="1"/>
  <c r="D1009" i="1"/>
  <c r="C1009" i="1"/>
  <c r="B1009" i="1"/>
  <c r="AC1008" i="1"/>
  <c r="AB1008" i="1"/>
  <c r="Z1008" i="1"/>
  <c r="W1008" i="1"/>
  <c r="V1008" i="1"/>
  <c r="U1008" i="1"/>
  <c r="I1008" i="1"/>
  <c r="E1008" i="1"/>
  <c r="D1008" i="1"/>
  <c r="C1008" i="1"/>
  <c r="B1008" i="1"/>
  <c r="AC1007" i="1"/>
  <c r="AB1007" i="1"/>
  <c r="Z1007" i="1"/>
  <c r="W1007" i="1"/>
  <c r="V1007" i="1"/>
  <c r="U1007" i="1"/>
  <c r="I1007" i="1"/>
  <c r="E1007" i="1"/>
  <c r="D1007" i="1"/>
  <c r="C1007" i="1"/>
  <c r="B1007" i="1"/>
  <c r="AC1006" i="1"/>
  <c r="AB1006" i="1"/>
  <c r="Z1006" i="1"/>
  <c r="W1006" i="1"/>
  <c r="V1006" i="1"/>
  <c r="U1006" i="1"/>
  <c r="I1006" i="1"/>
  <c r="E1006" i="1"/>
  <c r="D1006" i="1"/>
  <c r="C1006" i="1"/>
  <c r="B1006" i="1"/>
  <c r="AC1005" i="1"/>
  <c r="AB1005" i="1"/>
  <c r="Z1005" i="1"/>
  <c r="W1005" i="1"/>
  <c r="V1005" i="1"/>
  <c r="U1005" i="1"/>
  <c r="I1005" i="1"/>
  <c r="E1005" i="1"/>
  <c r="D1005" i="1"/>
  <c r="C1005" i="1"/>
  <c r="B1005" i="1"/>
  <c r="AC1004" i="1"/>
  <c r="AB1004" i="1"/>
  <c r="Z1004" i="1"/>
  <c r="W1004" i="1"/>
  <c r="V1004" i="1"/>
  <c r="U1004" i="1"/>
  <c r="I1004" i="1"/>
  <c r="E1004" i="1"/>
  <c r="D1004" i="1"/>
  <c r="C1004" i="1"/>
  <c r="B1004" i="1"/>
  <c r="AC1003" i="1"/>
  <c r="AB1003" i="1"/>
  <c r="Z1003" i="1"/>
  <c r="W1003" i="1"/>
  <c r="V1003" i="1"/>
  <c r="U1003" i="1"/>
  <c r="I1003" i="1"/>
  <c r="E1003" i="1"/>
  <c r="D1003" i="1"/>
  <c r="C1003" i="1"/>
  <c r="B1003" i="1"/>
  <c r="AC1002" i="1"/>
  <c r="AB1002" i="1"/>
  <c r="Z1002" i="1"/>
  <c r="W1002" i="1"/>
  <c r="V1002" i="1"/>
  <c r="U1002" i="1"/>
  <c r="I1002" i="1"/>
  <c r="E1002" i="1"/>
  <c r="D1002" i="1"/>
  <c r="C1002" i="1"/>
  <c r="B1002" i="1"/>
  <c r="AC1001" i="1"/>
  <c r="AB1001" i="1"/>
  <c r="Z1001" i="1"/>
  <c r="W1001" i="1"/>
  <c r="V1001" i="1"/>
  <c r="U1001" i="1"/>
  <c r="I1001" i="1"/>
  <c r="E1001" i="1"/>
  <c r="D1001" i="1"/>
  <c r="C1001" i="1"/>
  <c r="B1001" i="1"/>
  <c r="AC1000" i="1"/>
  <c r="AB1000" i="1"/>
  <c r="Z1000" i="1"/>
  <c r="W1000" i="1"/>
  <c r="V1000" i="1"/>
  <c r="U1000" i="1"/>
  <c r="I1000" i="1"/>
  <c r="E1000" i="1"/>
  <c r="D1000" i="1"/>
  <c r="C1000" i="1"/>
  <c r="B1000" i="1"/>
  <c r="AC999" i="1"/>
  <c r="AB999" i="1"/>
  <c r="Z999" i="1"/>
  <c r="W999" i="1"/>
  <c r="V999" i="1"/>
  <c r="U999" i="1"/>
  <c r="I999" i="1"/>
  <c r="E999" i="1"/>
  <c r="D999" i="1"/>
  <c r="C999" i="1"/>
  <c r="B999" i="1"/>
  <c r="AC998" i="1"/>
  <c r="AB998" i="1"/>
  <c r="Z998" i="1"/>
  <c r="W998" i="1"/>
  <c r="V998" i="1"/>
  <c r="U998" i="1"/>
  <c r="I998" i="1"/>
  <c r="E998" i="1"/>
  <c r="D998" i="1"/>
  <c r="C998" i="1"/>
  <c r="B998" i="1"/>
  <c r="AC997" i="1"/>
  <c r="AB997" i="1"/>
  <c r="Z997" i="1"/>
  <c r="W997" i="1"/>
  <c r="V997" i="1"/>
  <c r="U997" i="1"/>
  <c r="I997" i="1"/>
  <c r="E997" i="1"/>
  <c r="D997" i="1"/>
  <c r="C997" i="1"/>
  <c r="B997" i="1"/>
  <c r="AC996" i="1"/>
  <c r="AB996" i="1"/>
  <c r="Z996" i="1"/>
  <c r="W996" i="1"/>
  <c r="V996" i="1"/>
  <c r="U996" i="1"/>
  <c r="I996" i="1"/>
  <c r="E996" i="1"/>
  <c r="D996" i="1"/>
  <c r="C996" i="1"/>
  <c r="B996" i="1"/>
  <c r="AC995" i="1"/>
  <c r="AB995" i="1"/>
  <c r="Z995" i="1"/>
  <c r="W995" i="1"/>
  <c r="V995" i="1"/>
  <c r="U995" i="1"/>
  <c r="I995" i="1"/>
  <c r="E995" i="1"/>
  <c r="D995" i="1"/>
  <c r="C995" i="1"/>
  <c r="B995" i="1"/>
  <c r="AC994" i="1"/>
  <c r="AB994" i="1"/>
  <c r="Z994" i="1"/>
  <c r="W994" i="1"/>
  <c r="V994" i="1"/>
  <c r="U994" i="1"/>
  <c r="I994" i="1"/>
  <c r="E994" i="1"/>
  <c r="D994" i="1"/>
  <c r="C994" i="1"/>
  <c r="B994" i="1"/>
  <c r="AC993" i="1"/>
  <c r="AB993" i="1"/>
  <c r="Z993" i="1"/>
  <c r="W993" i="1"/>
  <c r="V993" i="1"/>
  <c r="U993" i="1"/>
  <c r="I993" i="1"/>
  <c r="E993" i="1"/>
  <c r="D993" i="1"/>
  <c r="C993" i="1"/>
  <c r="B993" i="1"/>
  <c r="AC992" i="1"/>
  <c r="AB992" i="1"/>
  <c r="Z992" i="1"/>
  <c r="W992" i="1"/>
  <c r="V992" i="1"/>
  <c r="U992" i="1"/>
  <c r="I992" i="1"/>
  <c r="E992" i="1"/>
  <c r="D992" i="1"/>
  <c r="C992" i="1"/>
  <c r="B992" i="1"/>
  <c r="AC991" i="1"/>
  <c r="AB991" i="1"/>
  <c r="Z991" i="1"/>
  <c r="W991" i="1"/>
  <c r="V991" i="1"/>
  <c r="U991" i="1"/>
  <c r="I991" i="1"/>
  <c r="E991" i="1"/>
  <c r="D991" i="1"/>
  <c r="C991" i="1"/>
  <c r="B991" i="1"/>
  <c r="AC990" i="1"/>
  <c r="AB990" i="1"/>
  <c r="Z990" i="1"/>
  <c r="W990" i="1"/>
  <c r="V990" i="1"/>
  <c r="U990" i="1"/>
  <c r="I990" i="1"/>
  <c r="E990" i="1"/>
  <c r="D990" i="1"/>
  <c r="C990" i="1"/>
  <c r="B990" i="1"/>
  <c r="AC989" i="1"/>
  <c r="AB989" i="1"/>
  <c r="Z989" i="1"/>
  <c r="W989" i="1"/>
  <c r="V989" i="1"/>
  <c r="U989" i="1"/>
  <c r="I989" i="1"/>
  <c r="E989" i="1"/>
  <c r="D989" i="1"/>
  <c r="C989" i="1"/>
  <c r="B989" i="1"/>
  <c r="AC988" i="1"/>
  <c r="AB988" i="1"/>
  <c r="Z988" i="1"/>
  <c r="W988" i="1"/>
  <c r="V988" i="1"/>
  <c r="U988" i="1"/>
  <c r="I988" i="1"/>
  <c r="E988" i="1"/>
  <c r="D988" i="1"/>
  <c r="C988" i="1"/>
  <c r="B988" i="1"/>
  <c r="AC987" i="1"/>
  <c r="AB987" i="1"/>
  <c r="Z987" i="1"/>
  <c r="W987" i="1"/>
  <c r="V987" i="1"/>
  <c r="U987" i="1"/>
  <c r="I987" i="1"/>
  <c r="E987" i="1"/>
  <c r="D987" i="1"/>
  <c r="C987" i="1"/>
  <c r="B987" i="1"/>
  <c r="AC986" i="1"/>
  <c r="AB986" i="1"/>
  <c r="Z986" i="1"/>
  <c r="W986" i="1"/>
  <c r="V986" i="1"/>
  <c r="U986" i="1"/>
  <c r="I986" i="1"/>
  <c r="E986" i="1"/>
  <c r="D986" i="1"/>
  <c r="C986" i="1"/>
  <c r="B986" i="1"/>
  <c r="AC985" i="1"/>
  <c r="AB985" i="1"/>
  <c r="Z985" i="1"/>
  <c r="W985" i="1"/>
  <c r="V985" i="1"/>
  <c r="U985" i="1"/>
  <c r="I985" i="1"/>
  <c r="E985" i="1"/>
  <c r="D985" i="1"/>
  <c r="C985" i="1"/>
  <c r="B985" i="1"/>
  <c r="AC984" i="1"/>
  <c r="AB984" i="1"/>
  <c r="Z984" i="1"/>
  <c r="W984" i="1"/>
  <c r="V984" i="1"/>
  <c r="U984" i="1"/>
  <c r="I984" i="1"/>
  <c r="E984" i="1"/>
  <c r="D984" i="1"/>
  <c r="C984" i="1"/>
  <c r="B984" i="1"/>
  <c r="AC983" i="1"/>
  <c r="AB983" i="1"/>
  <c r="Z983" i="1"/>
  <c r="W983" i="1"/>
  <c r="V983" i="1"/>
  <c r="U983" i="1"/>
  <c r="I983" i="1"/>
  <c r="E983" i="1"/>
  <c r="D983" i="1"/>
  <c r="C983" i="1"/>
  <c r="B983" i="1"/>
  <c r="AC982" i="1"/>
  <c r="AB982" i="1"/>
  <c r="Z982" i="1"/>
  <c r="W982" i="1"/>
  <c r="V982" i="1"/>
  <c r="U982" i="1"/>
  <c r="I982" i="1"/>
  <c r="E982" i="1"/>
  <c r="D982" i="1"/>
  <c r="C982" i="1"/>
  <c r="B982" i="1"/>
  <c r="AC981" i="1"/>
  <c r="AB981" i="1"/>
  <c r="Z981" i="1"/>
  <c r="W981" i="1"/>
  <c r="V981" i="1"/>
  <c r="U981" i="1"/>
  <c r="I981" i="1"/>
  <c r="E981" i="1"/>
  <c r="D981" i="1"/>
  <c r="C981" i="1"/>
  <c r="B981" i="1"/>
  <c r="AC980" i="1"/>
  <c r="AB980" i="1"/>
  <c r="Z980" i="1"/>
  <c r="W980" i="1"/>
  <c r="V980" i="1"/>
  <c r="U980" i="1"/>
  <c r="I980" i="1"/>
  <c r="E980" i="1"/>
  <c r="D980" i="1"/>
  <c r="C980" i="1"/>
  <c r="B980" i="1"/>
  <c r="AC979" i="1"/>
  <c r="AB979" i="1"/>
  <c r="Z979" i="1"/>
  <c r="W979" i="1"/>
  <c r="V979" i="1"/>
  <c r="U979" i="1"/>
  <c r="I979" i="1"/>
  <c r="E979" i="1"/>
  <c r="D979" i="1"/>
  <c r="C979" i="1"/>
  <c r="B979" i="1"/>
  <c r="AC978" i="1"/>
  <c r="AB978" i="1"/>
  <c r="Z978" i="1"/>
  <c r="W978" i="1"/>
  <c r="V978" i="1"/>
  <c r="U978" i="1"/>
  <c r="I978" i="1"/>
  <c r="E978" i="1"/>
  <c r="D978" i="1"/>
  <c r="C978" i="1"/>
  <c r="B978" i="1"/>
  <c r="AC977" i="1"/>
  <c r="AB977" i="1"/>
  <c r="Z977" i="1"/>
  <c r="W977" i="1"/>
  <c r="V977" i="1"/>
  <c r="U977" i="1"/>
  <c r="I977" i="1"/>
  <c r="E977" i="1"/>
  <c r="D977" i="1"/>
  <c r="C977" i="1"/>
  <c r="B977" i="1"/>
  <c r="AC976" i="1"/>
  <c r="AB976" i="1"/>
  <c r="Z976" i="1"/>
  <c r="W976" i="1"/>
  <c r="V976" i="1"/>
  <c r="U976" i="1"/>
  <c r="I976" i="1"/>
  <c r="E976" i="1"/>
  <c r="D976" i="1"/>
  <c r="C976" i="1"/>
  <c r="B976" i="1"/>
  <c r="AC975" i="1"/>
  <c r="AB975" i="1"/>
  <c r="Z975" i="1"/>
  <c r="W975" i="1"/>
  <c r="V975" i="1"/>
  <c r="U975" i="1"/>
  <c r="I975" i="1"/>
  <c r="E975" i="1"/>
  <c r="D975" i="1"/>
  <c r="C975" i="1"/>
  <c r="B975" i="1"/>
  <c r="AC974" i="1"/>
  <c r="AB974" i="1"/>
  <c r="Z974" i="1"/>
  <c r="W974" i="1"/>
  <c r="V974" i="1"/>
  <c r="U974" i="1"/>
  <c r="I974" i="1"/>
  <c r="E974" i="1"/>
  <c r="D974" i="1"/>
  <c r="C974" i="1"/>
  <c r="B974" i="1"/>
  <c r="AC973" i="1"/>
  <c r="AB973" i="1"/>
  <c r="Z973" i="1"/>
  <c r="W973" i="1"/>
  <c r="V973" i="1"/>
  <c r="U973" i="1"/>
  <c r="I973" i="1"/>
  <c r="E973" i="1"/>
  <c r="D973" i="1"/>
  <c r="C973" i="1"/>
  <c r="B973" i="1"/>
  <c r="AC972" i="1"/>
  <c r="AB972" i="1"/>
  <c r="Z972" i="1"/>
  <c r="W972" i="1"/>
  <c r="V972" i="1"/>
  <c r="U972" i="1"/>
  <c r="I972" i="1"/>
  <c r="E972" i="1"/>
  <c r="D972" i="1"/>
  <c r="C972" i="1"/>
  <c r="B972" i="1"/>
  <c r="AC971" i="1"/>
  <c r="AB971" i="1"/>
  <c r="Z971" i="1"/>
  <c r="W971" i="1"/>
  <c r="V971" i="1"/>
  <c r="U971" i="1"/>
  <c r="I971" i="1"/>
  <c r="E971" i="1"/>
  <c r="D971" i="1"/>
  <c r="C971" i="1"/>
  <c r="B971" i="1"/>
  <c r="AC970" i="1"/>
  <c r="AB970" i="1"/>
  <c r="Z970" i="1"/>
  <c r="W970" i="1"/>
  <c r="V970" i="1"/>
  <c r="U970" i="1"/>
  <c r="I970" i="1"/>
  <c r="E970" i="1"/>
  <c r="D970" i="1"/>
  <c r="C970" i="1"/>
  <c r="B970" i="1"/>
  <c r="AC969" i="1"/>
  <c r="AB969" i="1"/>
  <c r="Z969" i="1"/>
  <c r="W969" i="1"/>
  <c r="V969" i="1"/>
  <c r="U969" i="1"/>
  <c r="I969" i="1"/>
  <c r="E969" i="1"/>
  <c r="D969" i="1"/>
  <c r="C969" i="1"/>
  <c r="B969" i="1"/>
  <c r="AC968" i="1"/>
  <c r="AB968" i="1"/>
  <c r="Z968" i="1"/>
  <c r="W968" i="1"/>
  <c r="V968" i="1"/>
  <c r="U968" i="1"/>
  <c r="I968" i="1"/>
  <c r="E968" i="1"/>
  <c r="D968" i="1"/>
  <c r="C968" i="1"/>
  <c r="B968" i="1"/>
  <c r="AC967" i="1"/>
  <c r="AB967" i="1"/>
  <c r="Z967" i="1"/>
  <c r="W967" i="1"/>
  <c r="V967" i="1"/>
  <c r="U967" i="1"/>
  <c r="I967" i="1"/>
  <c r="E967" i="1"/>
  <c r="D967" i="1"/>
  <c r="C967" i="1"/>
  <c r="B967" i="1"/>
  <c r="AC966" i="1"/>
  <c r="AB966" i="1"/>
  <c r="Z966" i="1"/>
  <c r="W966" i="1"/>
  <c r="V966" i="1"/>
  <c r="U966" i="1"/>
  <c r="I966" i="1"/>
  <c r="E966" i="1"/>
  <c r="D966" i="1"/>
  <c r="C966" i="1"/>
  <c r="B966" i="1"/>
  <c r="AC965" i="1"/>
  <c r="AB965" i="1"/>
  <c r="Z965" i="1"/>
  <c r="W965" i="1"/>
  <c r="V965" i="1"/>
  <c r="U965" i="1"/>
  <c r="I965" i="1"/>
  <c r="E965" i="1"/>
  <c r="D965" i="1"/>
  <c r="C965" i="1"/>
  <c r="B965" i="1"/>
  <c r="AC964" i="1"/>
  <c r="AB964" i="1"/>
  <c r="Z964" i="1"/>
  <c r="W964" i="1"/>
  <c r="V964" i="1"/>
  <c r="U964" i="1"/>
  <c r="I964" i="1"/>
  <c r="E964" i="1"/>
  <c r="D964" i="1"/>
  <c r="C964" i="1"/>
  <c r="B964" i="1"/>
  <c r="AC963" i="1"/>
  <c r="AB963" i="1"/>
  <c r="Z963" i="1"/>
  <c r="W963" i="1"/>
  <c r="V963" i="1"/>
  <c r="U963" i="1"/>
  <c r="I963" i="1"/>
  <c r="E963" i="1"/>
  <c r="D963" i="1"/>
  <c r="C963" i="1"/>
  <c r="B963" i="1"/>
  <c r="AC962" i="1"/>
  <c r="AB962" i="1"/>
  <c r="Z962" i="1"/>
  <c r="W962" i="1"/>
  <c r="V962" i="1"/>
  <c r="U962" i="1"/>
  <c r="I962" i="1"/>
  <c r="E962" i="1"/>
  <c r="D962" i="1"/>
  <c r="C962" i="1"/>
  <c r="B962" i="1"/>
  <c r="AC961" i="1"/>
  <c r="AB961" i="1"/>
  <c r="Z961" i="1"/>
  <c r="W961" i="1"/>
  <c r="V961" i="1"/>
  <c r="U961" i="1"/>
  <c r="I961" i="1"/>
  <c r="E961" i="1"/>
  <c r="D961" i="1"/>
  <c r="C961" i="1"/>
  <c r="B961" i="1"/>
  <c r="AC960" i="1"/>
  <c r="AB960" i="1"/>
  <c r="Z960" i="1"/>
  <c r="W960" i="1"/>
  <c r="V960" i="1"/>
  <c r="U960" i="1"/>
  <c r="I960" i="1"/>
  <c r="E960" i="1"/>
  <c r="D960" i="1"/>
  <c r="C960" i="1"/>
  <c r="B960" i="1"/>
  <c r="AC959" i="1"/>
  <c r="AB959" i="1"/>
  <c r="Z959" i="1"/>
  <c r="W959" i="1"/>
  <c r="V959" i="1"/>
  <c r="U959" i="1"/>
  <c r="I959" i="1"/>
  <c r="E959" i="1"/>
  <c r="D959" i="1"/>
  <c r="C959" i="1"/>
  <c r="B959" i="1"/>
  <c r="AC958" i="1"/>
  <c r="AB958" i="1"/>
  <c r="Z958" i="1"/>
  <c r="W958" i="1"/>
  <c r="V958" i="1"/>
  <c r="U958" i="1"/>
  <c r="I958" i="1"/>
  <c r="E958" i="1"/>
  <c r="D958" i="1"/>
  <c r="C958" i="1"/>
  <c r="B958" i="1"/>
  <c r="AC957" i="1"/>
  <c r="AB957" i="1"/>
  <c r="Z957" i="1"/>
  <c r="W957" i="1"/>
  <c r="V957" i="1"/>
  <c r="U957" i="1"/>
  <c r="I957" i="1"/>
  <c r="E957" i="1"/>
  <c r="D957" i="1"/>
  <c r="C957" i="1"/>
  <c r="B957" i="1"/>
  <c r="AC956" i="1"/>
  <c r="AB956" i="1"/>
  <c r="Z956" i="1"/>
  <c r="W956" i="1"/>
  <c r="V956" i="1"/>
  <c r="U956" i="1"/>
  <c r="I956" i="1"/>
  <c r="E956" i="1"/>
  <c r="D956" i="1"/>
  <c r="C956" i="1"/>
  <c r="B956" i="1"/>
  <c r="AC955" i="1"/>
  <c r="AB955" i="1"/>
  <c r="Z955" i="1"/>
  <c r="W955" i="1"/>
  <c r="V955" i="1"/>
  <c r="U955" i="1"/>
  <c r="I955" i="1"/>
  <c r="E955" i="1"/>
  <c r="D955" i="1"/>
  <c r="C955" i="1"/>
  <c r="B955" i="1"/>
  <c r="AC954" i="1"/>
  <c r="AB954" i="1"/>
  <c r="Z954" i="1"/>
  <c r="W954" i="1"/>
  <c r="V954" i="1"/>
  <c r="U954" i="1"/>
  <c r="I954" i="1"/>
  <c r="E954" i="1"/>
  <c r="D954" i="1"/>
  <c r="C954" i="1"/>
  <c r="B954" i="1"/>
  <c r="AC953" i="1"/>
  <c r="AB953" i="1"/>
  <c r="Z953" i="1"/>
  <c r="W953" i="1"/>
  <c r="V953" i="1"/>
  <c r="U953" i="1"/>
  <c r="I953" i="1"/>
  <c r="E953" i="1"/>
  <c r="D953" i="1"/>
  <c r="C953" i="1"/>
  <c r="B953" i="1"/>
  <c r="AC952" i="1"/>
  <c r="AB952" i="1"/>
  <c r="Z952" i="1"/>
  <c r="W952" i="1"/>
  <c r="V952" i="1"/>
  <c r="U952" i="1"/>
  <c r="I952" i="1"/>
  <c r="E952" i="1"/>
  <c r="D952" i="1"/>
  <c r="C952" i="1"/>
  <c r="B952" i="1"/>
  <c r="AC951" i="1"/>
  <c r="AB951" i="1"/>
  <c r="Z951" i="1"/>
  <c r="W951" i="1"/>
  <c r="V951" i="1"/>
  <c r="U951" i="1"/>
  <c r="I951" i="1"/>
  <c r="E951" i="1"/>
  <c r="D951" i="1"/>
  <c r="C951" i="1"/>
  <c r="B951" i="1"/>
  <c r="AC950" i="1"/>
  <c r="AB950" i="1"/>
  <c r="Z950" i="1"/>
  <c r="W950" i="1"/>
  <c r="V950" i="1"/>
  <c r="U950" i="1"/>
  <c r="I950" i="1"/>
  <c r="E950" i="1"/>
  <c r="D950" i="1"/>
  <c r="C950" i="1"/>
  <c r="B950" i="1"/>
  <c r="AC949" i="1"/>
  <c r="AB949" i="1"/>
  <c r="Z949" i="1"/>
  <c r="W949" i="1"/>
  <c r="V949" i="1"/>
  <c r="U949" i="1"/>
  <c r="I949" i="1"/>
  <c r="E949" i="1"/>
  <c r="D949" i="1"/>
  <c r="C949" i="1"/>
  <c r="B949" i="1"/>
  <c r="AC948" i="1"/>
  <c r="AB948" i="1"/>
  <c r="Z948" i="1"/>
  <c r="W948" i="1"/>
  <c r="V948" i="1"/>
  <c r="U948" i="1"/>
  <c r="I948" i="1"/>
  <c r="E948" i="1"/>
  <c r="D948" i="1"/>
  <c r="C948" i="1"/>
  <c r="B948" i="1"/>
  <c r="AC947" i="1"/>
  <c r="AB947" i="1"/>
  <c r="Z947" i="1"/>
  <c r="W947" i="1"/>
  <c r="V947" i="1"/>
  <c r="U947" i="1"/>
  <c r="I947" i="1"/>
  <c r="E947" i="1"/>
  <c r="D947" i="1"/>
  <c r="C947" i="1"/>
  <c r="B947" i="1"/>
  <c r="AC946" i="1"/>
  <c r="AB946" i="1"/>
  <c r="Z946" i="1"/>
  <c r="W946" i="1"/>
  <c r="V946" i="1"/>
  <c r="U946" i="1"/>
  <c r="I946" i="1"/>
  <c r="E946" i="1"/>
  <c r="D946" i="1"/>
  <c r="C946" i="1"/>
  <c r="B946" i="1"/>
  <c r="AC945" i="1"/>
  <c r="AB945" i="1"/>
  <c r="Z945" i="1"/>
  <c r="W945" i="1"/>
  <c r="V945" i="1"/>
  <c r="U945" i="1"/>
  <c r="I945" i="1"/>
  <c r="E945" i="1"/>
  <c r="D945" i="1"/>
  <c r="C945" i="1"/>
  <c r="B945" i="1"/>
  <c r="AC944" i="1"/>
  <c r="AB944" i="1"/>
  <c r="Z944" i="1"/>
  <c r="W944" i="1"/>
  <c r="V944" i="1"/>
  <c r="U944" i="1"/>
  <c r="I944" i="1"/>
  <c r="E944" i="1"/>
  <c r="D944" i="1"/>
  <c r="C944" i="1"/>
  <c r="B944" i="1"/>
  <c r="AC943" i="1"/>
  <c r="AB943" i="1"/>
  <c r="Z943" i="1"/>
  <c r="W943" i="1"/>
  <c r="V943" i="1"/>
  <c r="U943" i="1"/>
  <c r="I943" i="1"/>
  <c r="E943" i="1"/>
  <c r="D943" i="1"/>
  <c r="C943" i="1"/>
  <c r="B943" i="1"/>
  <c r="AC942" i="1"/>
  <c r="AB942" i="1"/>
  <c r="Z942" i="1"/>
  <c r="W942" i="1"/>
  <c r="V942" i="1"/>
  <c r="U942" i="1"/>
  <c r="I942" i="1"/>
  <c r="E942" i="1"/>
  <c r="D942" i="1"/>
  <c r="C942" i="1"/>
  <c r="B942" i="1"/>
  <c r="AC941" i="1"/>
  <c r="AB941" i="1"/>
  <c r="Z941" i="1"/>
  <c r="W941" i="1"/>
  <c r="V941" i="1"/>
  <c r="U941" i="1"/>
  <c r="I941" i="1"/>
  <c r="E941" i="1"/>
  <c r="D941" i="1"/>
  <c r="C941" i="1"/>
  <c r="B941" i="1"/>
  <c r="AC940" i="1"/>
  <c r="AB940" i="1"/>
  <c r="Z940" i="1"/>
  <c r="W940" i="1"/>
  <c r="V940" i="1"/>
  <c r="U940" i="1"/>
  <c r="I940" i="1"/>
  <c r="E940" i="1"/>
  <c r="D940" i="1"/>
  <c r="C940" i="1"/>
  <c r="B940" i="1"/>
  <c r="AC939" i="1"/>
  <c r="AB939" i="1"/>
  <c r="Z939" i="1"/>
  <c r="W939" i="1"/>
  <c r="V939" i="1"/>
  <c r="U939" i="1"/>
  <c r="I939" i="1"/>
  <c r="E939" i="1"/>
  <c r="D939" i="1"/>
  <c r="C939" i="1"/>
  <c r="B939" i="1"/>
  <c r="AC938" i="1"/>
  <c r="AB938" i="1"/>
  <c r="Z938" i="1"/>
  <c r="W938" i="1"/>
  <c r="V938" i="1"/>
  <c r="U938" i="1"/>
  <c r="I938" i="1"/>
  <c r="E938" i="1"/>
  <c r="D938" i="1"/>
  <c r="C938" i="1"/>
  <c r="B938" i="1"/>
  <c r="AC937" i="1"/>
  <c r="AB937" i="1"/>
  <c r="Z937" i="1"/>
  <c r="W937" i="1"/>
  <c r="V937" i="1"/>
  <c r="U937" i="1"/>
  <c r="I937" i="1"/>
  <c r="E937" i="1"/>
  <c r="D937" i="1"/>
  <c r="C937" i="1"/>
  <c r="B937" i="1"/>
  <c r="AC936" i="1"/>
  <c r="AB936" i="1"/>
  <c r="Z936" i="1"/>
  <c r="W936" i="1"/>
  <c r="V936" i="1"/>
  <c r="U936" i="1"/>
  <c r="I936" i="1"/>
  <c r="E936" i="1"/>
  <c r="D936" i="1"/>
  <c r="C936" i="1"/>
  <c r="B936" i="1"/>
  <c r="AC935" i="1"/>
  <c r="AB935" i="1"/>
  <c r="Z935" i="1"/>
  <c r="W935" i="1"/>
  <c r="V935" i="1"/>
  <c r="U935" i="1"/>
  <c r="I935" i="1"/>
  <c r="E935" i="1"/>
  <c r="D935" i="1"/>
  <c r="C935" i="1"/>
  <c r="B935" i="1"/>
  <c r="AC934" i="1"/>
  <c r="AB934" i="1"/>
  <c r="Z934" i="1"/>
  <c r="W934" i="1"/>
  <c r="V934" i="1"/>
  <c r="U934" i="1"/>
  <c r="I934" i="1"/>
  <c r="E934" i="1"/>
  <c r="D934" i="1"/>
  <c r="C934" i="1"/>
  <c r="B934" i="1"/>
  <c r="AC933" i="1"/>
  <c r="AB933" i="1"/>
  <c r="Z933" i="1"/>
  <c r="W933" i="1"/>
  <c r="V933" i="1"/>
  <c r="U933" i="1"/>
  <c r="I933" i="1"/>
  <c r="E933" i="1"/>
  <c r="D933" i="1"/>
  <c r="C933" i="1"/>
  <c r="B933" i="1"/>
  <c r="AC932" i="1"/>
  <c r="AB932" i="1"/>
  <c r="Z932" i="1"/>
  <c r="W932" i="1"/>
  <c r="V932" i="1"/>
  <c r="U932" i="1"/>
  <c r="I932" i="1"/>
  <c r="E932" i="1"/>
  <c r="D932" i="1"/>
  <c r="C932" i="1"/>
  <c r="B932" i="1"/>
  <c r="AC931" i="1"/>
  <c r="AB931" i="1"/>
  <c r="Z931" i="1"/>
  <c r="W931" i="1"/>
  <c r="V931" i="1"/>
  <c r="U931" i="1"/>
  <c r="I931" i="1"/>
  <c r="E931" i="1"/>
  <c r="D931" i="1"/>
  <c r="C931" i="1"/>
  <c r="B931" i="1"/>
  <c r="AC930" i="1"/>
  <c r="AB930" i="1"/>
  <c r="Z930" i="1"/>
  <c r="W930" i="1"/>
  <c r="V930" i="1"/>
  <c r="U930" i="1"/>
  <c r="I930" i="1"/>
  <c r="E930" i="1"/>
  <c r="D930" i="1"/>
  <c r="C930" i="1"/>
  <c r="B930" i="1"/>
  <c r="AC929" i="1"/>
  <c r="AB929" i="1"/>
  <c r="Z929" i="1"/>
  <c r="W929" i="1"/>
  <c r="V929" i="1"/>
  <c r="U929" i="1"/>
  <c r="I929" i="1"/>
  <c r="E929" i="1"/>
  <c r="D929" i="1"/>
  <c r="C929" i="1"/>
  <c r="B929" i="1"/>
  <c r="AC928" i="1"/>
  <c r="AB928" i="1"/>
  <c r="Z928" i="1"/>
  <c r="W928" i="1"/>
  <c r="V928" i="1"/>
  <c r="U928" i="1"/>
  <c r="I928" i="1"/>
  <c r="E928" i="1"/>
  <c r="D928" i="1"/>
  <c r="C928" i="1"/>
  <c r="B928" i="1"/>
  <c r="AC927" i="1"/>
  <c r="AB927" i="1"/>
  <c r="Z927" i="1"/>
  <c r="W927" i="1"/>
  <c r="V927" i="1"/>
  <c r="U927" i="1"/>
  <c r="I927" i="1"/>
  <c r="E927" i="1"/>
  <c r="D927" i="1"/>
  <c r="C927" i="1"/>
  <c r="B927" i="1"/>
  <c r="AC926" i="1"/>
  <c r="AB926" i="1"/>
  <c r="Z926" i="1"/>
  <c r="W926" i="1"/>
  <c r="V926" i="1"/>
  <c r="U926" i="1"/>
  <c r="I926" i="1"/>
  <c r="E926" i="1"/>
  <c r="D926" i="1"/>
  <c r="C926" i="1"/>
  <c r="B926" i="1"/>
  <c r="AC925" i="1"/>
  <c r="AB925" i="1"/>
  <c r="Z925" i="1"/>
  <c r="W925" i="1"/>
  <c r="V925" i="1"/>
  <c r="U925" i="1"/>
  <c r="I925" i="1"/>
  <c r="E925" i="1"/>
  <c r="D925" i="1"/>
  <c r="C925" i="1"/>
  <c r="B925" i="1"/>
  <c r="AC924" i="1"/>
  <c r="AB924" i="1"/>
  <c r="Z924" i="1"/>
  <c r="W924" i="1"/>
  <c r="V924" i="1"/>
  <c r="U924" i="1"/>
  <c r="I924" i="1"/>
  <c r="E924" i="1"/>
  <c r="D924" i="1"/>
  <c r="C924" i="1"/>
  <c r="B924" i="1"/>
  <c r="AC923" i="1"/>
  <c r="AB923" i="1"/>
  <c r="Z923" i="1"/>
  <c r="W923" i="1"/>
  <c r="V923" i="1"/>
  <c r="U923" i="1"/>
  <c r="I923" i="1"/>
  <c r="E923" i="1"/>
  <c r="D923" i="1"/>
  <c r="C923" i="1"/>
  <c r="B923" i="1"/>
  <c r="AC922" i="1"/>
  <c r="AB922" i="1"/>
  <c r="Z922" i="1"/>
  <c r="W922" i="1"/>
  <c r="V922" i="1"/>
  <c r="U922" i="1"/>
  <c r="I922" i="1"/>
  <c r="E922" i="1"/>
  <c r="D922" i="1"/>
  <c r="C922" i="1"/>
  <c r="B922" i="1"/>
  <c r="AC921" i="1"/>
  <c r="AB921" i="1"/>
  <c r="Z921" i="1"/>
  <c r="W921" i="1"/>
  <c r="V921" i="1"/>
  <c r="U921" i="1"/>
  <c r="I921" i="1"/>
  <c r="E921" i="1"/>
  <c r="D921" i="1"/>
  <c r="C921" i="1"/>
  <c r="B921" i="1"/>
  <c r="AC920" i="1"/>
  <c r="AB920" i="1"/>
  <c r="Z920" i="1"/>
  <c r="W920" i="1"/>
  <c r="V920" i="1"/>
  <c r="U920" i="1"/>
  <c r="I920" i="1"/>
  <c r="E920" i="1"/>
  <c r="D920" i="1"/>
  <c r="C920" i="1"/>
  <c r="B920" i="1"/>
  <c r="AC919" i="1"/>
  <c r="AB919" i="1"/>
  <c r="Z919" i="1"/>
  <c r="W919" i="1"/>
  <c r="V919" i="1"/>
  <c r="U919" i="1"/>
  <c r="I919" i="1"/>
  <c r="E919" i="1"/>
  <c r="D919" i="1"/>
  <c r="C919" i="1"/>
  <c r="B919" i="1"/>
  <c r="AC918" i="1"/>
  <c r="AB918" i="1"/>
  <c r="Z918" i="1"/>
  <c r="W918" i="1"/>
  <c r="V918" i="1"/>
  <c r="U918" i="1"/>
  <c r="I918" i="1"/>
  <c r="E918" i="1"/>
  <c r="D918" i="1"/>
  <c r="C918" i="1"/>
  <c r="B918" i="1"/>
  <c r="AC917" i="1"/>
  <c r="AB917" i="1"/>
  <c r="Z917" i="1"/>
  <c r="W917" i="1"/>
  <c r="V917" i="1"/>
  <c r="U917" i="1"/>
  <c r="I917" i="1"/>
  <c r="E917" i="1"/>
  <c r="D917" i="1"/>
  <c r="C917" i="1"/>
  <c r="B917" i="1"/>
  <c r="AC916" i="1"/>
  <c r="AB916" i="1"/>
  <c r="Z916" i="1"/>
  <c r="W916" i="1"/>
  <c r="V916" i="1"/>
  <c r="U916" i="1"/>
  <c r="I916" i="1"/>
  <c r="E916" i="1"/>
  <c r="D916" i="1"/>
  <c r="C916" i="1"/>
  <c r="B916" i="1"/>
  <c r="AC915" i="1"/>
  <c r="AB915" i="1"/>
  <c r="Z915" i="1"/>
  <c r="W915" i="1"/>
  <c r="V915" i="1"/>
  <c r="U915" i="1"/>
  <c r="I915" i="1"/>
  <c r="E915" i="1"/>
  <c r="D915" i="1"/>
  <c r="C915" i="1"/>
  <c r="B915" i="1"/>
  <c r="AC914" i="1"/>
  <c r="AB914" i="1"/>
  <c r="Z914" i="1"/>
  <c r="W914" i="1"/>
  <c r="V914" i="1"/>
  <c r="U914" i="1"/>
  <c r="I914" i="1"/>
  <c r="E914" i="1"/>
  <c r="D914" i="1"/>
  <c r="C914" i="1"/>
  <c r="B914" i="1"/>
  <c r="AC913" i="1"/>
  <c r="AB913" i="1"/>
  <c r="Z913" i="1"/>
  <c r="W913" i="1"/>
  <c r="V913" i="1"/>
  <c r="U913" i="1"/>
  <c r="I913" i="1"/>
  <c r="E913" i="1"/>
  <c r="D913" i="1"/>
  <c r="C913" i="1"/>
  <c r="B913" i="1"/>
  <c r="AC912" i="1"/>
  <c r="AB912" i="1"/>
  <c r="Z912" i="1"/>
  <c r="W912" i="1"/>
  <c r="V912" i="1"/>
  <c r="U912" i="1"/>
  <c r="I912" i="1"/>
  <c r="E912" i="1"/>
  <c r="D912" i="1"/>
  <c r="C912" i="1"/>
  <c r="B912" i="1"/>
  <c r="AC911" i="1"/>
  <c r="AB911" i="1"/>
  <c r="Z911" i="1"/>
  <c r="W911" i="1"/>
  <c r="V911" i="1"/>
  <c r="U911" i="1"/>
  <c r="I911" i="1"/>
  <c r="E911" i="1"/>
  <c r="D911" i="1"/>
  <c r="C911" i="1"/>
  <c r="B911" i="1"/>
  <c r="AC910" i="1"/>
  <c r="AB910" i="1"/>
  <c r="Z910" i="1"/>
  <c r="W910" i="1"/>
  <c r="V910" i="1"/>
  <c r="U910" i="1"/>
  <c r="I910" i="1"/>
  <c r="E910" i="1"/>
  <c r="D910" i="1"/>
  <c r="C910" i="1"/>
  <c r="B910" i="1"/>
  <c r="AC909" i="1"/>
  <c r="AB909" i="1"/>
  <c r="Z909" i="1"/>
  <c r="W909" i="1"/>
  <c r="V909" i="1"/>
  <c r="U909" i="1"/>
  <c r="I909" i="1"/>
  <c r="E909" i="1"/>
  <c r="D909" i="1"/>
  <c r="C909" i="1"/>
  <c r="B909" i="1"/>
  <c r="AC908" i="1"/>
  <c r="AB908" i="1"/>
  <c r="Z908" i="1"/>
  <c r="W908" i="1"/>
  <c r="V908" i="1"/>
  <c r="U908" i="1"/>
  <c r="I908" i="1"/>
  <c r="E908" i="1"/>
  <c r="D908" i="1"/>
  <c r="C908" i="1"/>
  <c r="B908" i="1"/>
  <c r="AC907" i="1"/>
  <c r="AB907" i="1"/>
  <c r="Z907" i="1"/>
  <c r="W907" i="1"/>
  <c r="V907" i="1"/>
  <c r="U907" i="1"/>
  <c r="I907" i="1"/>
  <c r="E907" i="1"/>
  <c r="D907" i="1"/>
  <c r="C907" i="1"/>
  <c r="B907" i="1"/>
  <c r="AC906" i="1"/>
  <c r="AB906" i="1"/>
  <c r="Z906" i="1"/>
  <c r="W906" i="1"/>
  <c r="V906" i="1"/>
  <c r="U906" i="1"/>
  <c r="I906" i="1"/>
  <c r="E906" i="1"/>
  <c r="D906" i="1"/>
  <c r="C906" i="1"/>
  <c r="B906" i="1"/>
  <c r="AC905" i="1"/>
  <c r="AB905" i="1"/>
  <c r="Z905" i="1"/>
  <c r="W905" i="1"/>
  <c r="V905" i="1"/>
  <c r="U905" i="1"/>
  <c r="I905" i="1"/>
  <c r="E905" i="1"/>
  <c r="D905" i="1"/>
  <c r="C905" i="1"/>
  <c r="B905" i="1"/>
  <c r="AC904" i="1"/>
  <c r="AB904" i="1"/>
  <c r="Z904" i="1"/>
  <c r="W904" i="1"/>
  <c r="V904" i="1"/>
  <c r="U904" i="1"/>
  <c r="I904" i="1"/>
  <c r="E904" i="1"/>
  <c r="D904" i="1"/>
  <c r="C904" i="1"/>
  <c r="B904" i="1"/>
  <c r="AC903" i="1"/>
  <c r="AB903" i="1"/>
  <c r="Z903" i="1"/>
  <c r="W903" i="1"/>
  <c r="V903" i="1"/>
  <c r="U903" i="1"/>
  <c r="I903" i="1"/>
  <c r="E903" i="1"/>
  <c r="D903" i="1"/>
  <c r="C903" i="1"/>
  <c r="B903" i="1"/>
  <c r="AC902" i="1"/>
  <c r="AB902" i="1"/>
  <c r="Z902" i="1"/>
  <c r="W902" i="1"/>
  <c r="V902" i="1"/>
  <c r="U902" i="1"/>
  <c r="I902" i="1"/>
  <c r="E902" i="1"/>
  <c r="D902" i="1"/>
  <c r="C902" i="1"/>
  <c r="B902" i="1"/>
  <c r="AC901" i="1"/>
  <c r="AB901" i="1"/>
  <c r="Z901" i="1"/>
  <c r="W901" i="1"/>
  <c r="V901" i="1"/>
  <c r="U901" i="1"/>
  <c r="I901" i="1"/>
  <c r="E901" i="1"/>
  <c r="D901" i="1"/>
  <c r="C901" i="1"/>
  <c r="B901" i="1"/>
  <c r="AC900" i="1"/>
  <c r="AB900" i="1"/>
  <c r="Z900" i="1"/>
  <c r="W900" i="1"/>
  <c r="V900" i="1"/>
  <c r="U900" i="1"/>
  <c r="I900" i="1"/>
  <c r="E900" i="1"/>
  <c r="D900" i="1"/>
  <c r="C900" i="1"/>
  <c r="B900" i="1"/>
  <c r="AC899" i="1"/>
  <c r="AB899" i="1"/>
  <c r="Z899" i="1"/>
  <c r="W899" i="1"/>
  <c r="V899" i="1"/>
  <c r="U899" i="1"/>
  <c r="I899" i="1"/>
  <c r="E899" i="1"/>
  <c r="D899" i="1"/>
  <c r="C899" i="1"/>
  <c r="B899" i="1"/>
  <c r="AC898" i="1"/>
  <c r="AB898" i="1"/>
  <c r="Z898" i="1"/>
  <c r="W898" i="1"/>
  <c r="V898" i="1"/>
  <c r="U898" i="1"/>
  <c r="I898" i="1"/>
  <c r="E898" i="1"/>
  <c r="D898" i="1"/>
  <c r="C898" i="1"/>
  <c r="B898" i="1"/>
  <c r="AC897" i="1"/>
  <c r="AB897" i="1"/>
  <c r="Z897" i="1"/>
  <c r="W897" i="1"/>
  <c r="V897" i="1"/>
  <c r="U897" i="1"/>
  <c r="I897" i="1"/>
  <c r="E897" i="1"/>
  <c r="D897" i="1"/>
  <c r="C897" i="1"/>
  <c r="B897" i="1"/>
  <c r="AC896" i="1"/>
  <c r="AB896" i="1"/>
  <c r="Z896" i="1"/>
  <c r="W896" i="1"/>
  <c r="V896" i="1"/>
  <c r="U896" i="1"/>
  <c r="I896" i="1"/>
  <c r="E896" i="1"/>
  <c r="D896" i="1"/>
  <c r="C896" i="1"/>
  <c r="B896" i="1"/>
  <c r="AC895" i="1"/>
  <c r="AB895" i="1"/>
  <c r="Z895" i="1"/>
  <c r="W895" i="1"/>
  <c r="V895" i="1"/>
  <c r="U895" i="1"/>
  <c r="I895" i="1"/>
  <c r="E895" i="1"/>
  <c r="D895" i="1"/>
  <c r="C895" i="1"/>
  <c r="B895" i="1"/>
  <c r="AC894" i="1"/>
  <c r="AB894" i="1"/>
  <c r="Z894" i="1"/>
  <c r="W894" i="1"/>
  <c r="V894" i="1"/>
  <c r="U894" i="1"/>
  <c r="I894" i="1"/>
  <c r="E894" i="1"/>
  <c r="D894" i="1"/>
  <c r="C894" i="1"/>
  <c r="B894" i="1"/>
  <c r="AC893" i="1"/>
  <c r="AB893" i="1"/>
  <c r="Z893" i="1"/>
  <c r="W893" i="1"/>
  <c r="V893" i="1"/>
  <c r="U893" i="1"/>
  <c r="I893" i="1"/>
  <c r="E893" i="1"/>
  <c r="D893" i="1"/>
  <c r="C893" i="1"/>
  <c r="B893" i="1"/>
  <c r="AC892" i="1"/>
  <c r="AB892" i="1"/>
  <c r="Z892" i="1"/>
  <c r="W892" i="1"/>
  <c r="V892" i="1"/>
  <c r="U892" i="1"/>
  <c r="I892" i="1"/>
  <c r="E892" i="1"/>
  <c r="D892" i="1"/>
  <c r="C892" i="1"/>
  <c r="B892" i="1"/>
  <c r="AC891" i="1"/>
  <c r="AB891" i="1"/>
  <c r="Z891" i="1"/>
  <c r="W891" i="1"/>
  <c r="V891" i="1"/>
  <c r="U891" i="1"/>
  <c r="I891" i="1"/>
  <c r="E891" i="1"/>
  <c r="D891" i="1"/>
  <c r="C891" i="1"/>
  <c r="B891" i="1"/>
  <c r="AC890" i="1"/>
  <c r="AB890" i="1"/>
  <c r="Z890" i="1"/>
  <c r="W890" i="1"/>
  <c r="V890" i="1"/>
  <c r="U890" i="1"/>
  <c r="I890" i="1"/>
  <c r="E890" i="1"/>
  <c r="D890" i="1"/>
  <c r="C890" i="1"/>
  <c r="B890" i="1"/>
  <c r="AC889" i="1"/>
  <c r="AB889" i="1"/>
  <c r="Z889" i="1"/>
  <c r="W889" i="1"/>
  <c r="V889" i="1"/>
  <c r="U889" i="1"/>
  <c r="I889" i="1"/>
  <c r="E889" i="1"/>
  <c r="D889" i="1"/>
  <c r="C889" i="1"/>
  <c r="B889" i="1"/>
  <c r="AC888" i="1"/>
  <c r="AB888" i="1"/>
  <c r="Z888" i="1"/>
  <c r="W888" i="1"/>
  <c r="V888" i="1"/>
  <c r="U888" i="1"/>
  <c r="I888" i="1"/>
  <c r="E888" i="1"/>
  <c r="D888" i="1"/>
  <c r="C888" i="1"/>
  <c r="B888" i="1"/>
  <c r="AC887" i="1"/>
  <c r="AB887" i="1"/>
  <c r="Z887" i="1"/>
  <c r="W887" i="1"/>
  <c r="V887" i="1"/>
  <c r="U887" i="1"/>
  <c r="I887" i="1"/>
  <c r="E887" i="1"/>
  <c r="D887" i="1"/>
  <c r="C887" i="1"/>
  <c r="B887" i="1"/>
  <c r="AC886" i="1"/>
  <c r="AB886" i="1"/>
  <c r="Z886" i="1"/>
  <c r="W886" i="1"/>
  <c r="V886" i="1"/>
  <c r="U886" i="1"/>
  <c r="I886" i="1"/>
  <c r="E886" i="1"/>
  <c r="D886" i="1"/>
  <c r="C886" i="1"/>
  <c r="B886" i="1"/>
  <c r="AC885" i="1"/>
  <c r="AB885" i="1"/>
  <c r="Z885" i="1"/>
  <c r="W885" i="1"/>
  <c r="V885" i="1"/>
  <c r="U885" i="1"/>
  <c r="I885" i="1"/>
  <c r="E885" i="1"/>
  <c r="D885" i="1"/>
  <c r="C885" i="1"/>
  <c r="B885" i="1"/>
  <c r="AC884" i="1"/>
  <c r="AB884" i="1"/>
  <c r="Z884" i="1"/>
  <c r="W884" i="1"/>
  <c r="V884" i="1"/>
  <c r="U884" i="1"/>
  <c r="I884" i="1"/>
  <c r="E884" i="1"/>
  <c r="D884" i="1"/>
  <c r="C884" i="1"/>
  <c r="B884" i="1"/>
  <c r="AC883" i="1"/>
  <c r="AB883" i="1"/>
  <c r="Z883" i="1"/>
  <c r="W883" i="1"/>
  <c r="V883" i="1"/>
  <c r="U883" i="1"/>
  <c r="I883" i="1"/>
  <c r="E883" i="1"/>
  <c r="D883" i="1"/>
  <c r="C883" i="1"/>
  <c r="B883" i="1"/>
  <c r="AC882" i="1"/>
  <c r="AB882" i="1"/>
  <c r="Z882" i="1"/>
  <c r="W882" i="1"/>
  <c r="V882" i="1"/>
  <c r="U882" i="1"/>
  <c r="I882" i="1"/>
  <c r="E882" i="1"/>
  <c r="D882" i="1"/>
  <c r="C882" i="1"/>
  <c r="B882" i="1"/>
  <c r="AC881" i="1"/>
  <c r="AB881" i="1"/>
  <c r="Z881" i="1"/>
  <c r="W881" i="1"/>
  <c r="V881" i="1"/>
  <c r="U881" i="1"/>
  <c r="I881" i="1"/>
  <c r="E881" i="1"/>
  <c r="D881" i="1"/>
  <c r="C881" i="1"/>
  <c r="B881" i="1"/>
  <c r="AC880" i="1"/>
  <c r="AB880" i="1"/>
  <c r="Z880" i="1"/>
  <c r="W880" i="1"/>
  <c r="V880" i="1"/>
  <c r="U880" i="1"/>
  <c r="I880" i="1"/>
  <c r="E880" i="1"/>
  <c r="D880" i="1"/>
  <c r="C880" i="1"/>
  <c r="B880" i="1"/>
  <c r="AC879" i="1"/>
  <c r="AB879" i="1"/>
  <c r="Z879" i="1"/>
  <c r="W879" i="1"/>
  <c r="V879" i="1"/>
  <c r="U879" i="1"/>
  <c r="I879" i="1"/>
  <c r="E879" i="1"/>
  <c r="D879" i="1"/>
  <c r="C879" i="1"/>
  <c r="B879" i="1"/>
  <c r="AC878" i="1"/>
  <c r="AB878" i="1"/>
  <c r="Z878" i="1"/>
  <c r="W878" i="1"/>
  <c r="V878" i="1"/>
  <c r="U878" i="1"/>
  <c r="I878" i="1"/>
  <c r="E878" i="1"/>
  <c r="D878" i="1"/>
  <c r="C878" i="1"/>
  <c r="B878" i="1"/>
  <c r="AC877" i="1"/>
  <c r="AB877" i="1"/>
  <c r="Z877" i="1"/>
  <c r="W877" i="1"/>
  <c r="V877" i="1"/>
  <c r="U877" i="1"/>
  <c r="I877" i="1"/>
  <c r="E877" i="1"/>
  <c r="D877" i="1"/>
  <c r="C877" i="1"/>
  <c r="B877" i="1"/>
  <c r="AC876" i="1"/>
  <c r="AB876" i="1"/>
  <c r="Z876" i="1"/>
  <c r="W876" i="1"/>
  <c r="V876" i="1"/>
  <c r="U876" i="1"/>
  <c r="I876" i="1"/>
  <c r="E876" i="1"/>
  <c r="D876" i="1"/>
  <c r="C876" i="1"/>
  <c r="B876" i="1"/>
  <c r="AC875" i="1"/>
  <c r="AB875" i="1"/>
  <c r="Z875" i="1"/>
  <c r="W875" i="1"/>
  <c r="V875" i="1"/>
  <c r="U875" i="1"/>
  <c r="I875" i="1"/>
  <c r="E875" i="1"/>
  <c r="D875" i="1"/>
  <c r="C875" i="1"/>
  <c r="B875" i="1"/>
  <c r="AC874" i="1"/>
  <c r="AB874" i="1"/>
  <c r="Z874" i="1"/>
  <c r="W874" i="1"/>
  <c r="V874" i="1"/>
  <c r="U874" i="1"/>
  <c r="I874" i="1"/>
  <c r="E874" i="1"/>
  <c r="D874" i="1"/>
  <c r="C874" i="1"/>
  <c r="B874" i="1"/>
  <c r="AC873" i="1"/>
  <c r="AB873" i="1"/>
  <c r="Z873" i="1"/>
  <c r="W873" i="1"/>
  <c r="V873" i="1"/>
  <c r="U873" i="1"/>
  <c r="I873" i="1"/>
  <c r="E873" i="1"/>
  <c r="D873" i="1"/>
  <c r="C873" i="1"/>
  <c r="B873" i="1"/>
  <c r="AC872" i="1"/>
  <c r="AB872" i="1"/>
  <c r="Z872" i="1"/>
  <c r="W872" i="1"/>
  <c r="V872" i="1"/>
  <c r="U872" i="1"/>
  <c r="I872" i="1"/>
  <c r="E872" i="1"/>
  <c r="D872" i="1"/>
  <c r="C872" i="1"/>
  <c r="B872" i="1"/>
  <c r="AC871" i="1"/>
  <c r="AB871" i="1"/>
  <c r="Z871" i="1"/>
  <c r="W871" i="1"/>
  <c r="V871" i="1"/>
  <c r="U871" i="1"/>
  <c r="I871" i="1"/>
  <c r="E871" i="1"/>
  <c r="D871" i="1"/>
  <c r="C871" i="1"/>
  <c r="B871" i="1"/>
  <c r="AC870" i="1"/>
  <c r="AB870" i="1"/>
  <c r="Z870" i="1"/>
  <c r="W870" i="1"/>
  <c r="V870" i="1"/>
  <c r="U870" i="1"/>
  <c r="I870" i="1"/>
  <c r="E870" i="1"/>
  <c r="D870" i="1"/>
  <c r="C870" i="1"/>
  <c r="B870" i="1"/>
  <c r="AC869" i="1"/>
  <c r="AB869" i="1"/>
  <c r="Z869" i="1"/>
  <c r="W869" i="1"/>
  <c r="V869" i="1"/>
  <c r="U869" i="1"/>
  <c r="I869" i="1"/>
  <c r="E869" i="1"/>
  <c r="D869" i="1"/>
  <c r="C869" i="1"/>
  <c r="B869" i="1"/>
  <c r="AC868" i="1"/>
  <c r="AB868" i="1"/>
  <c r="Z868" i="1"/>
  <c r="W868" i="1"/>
  <c r="V868" i="1"/>
  <c r="U868" i="1"/>
  <c r="I868" i="1"/>
  <c r="E868" i="1"/>
  <c r="D868" i="1"/>
  <c r="C868" i="1"/>
  <c r="B868" i="1"/>
  <c r="AC867" i="1"/>
  <c r="AB867" i="1"/>
  <c r="Z867" i="1"/>
  <c r="W867" i="1"/>
  <c r="V867" i="1"/>
  <c r="U867" i="1"/>
  <c r="I867" i="1"/>
  <c r="E867" i="1"/>
  <c r="D867" i="1"/>
  <c r="C867" i="1"/>
  <c r="B867" i="1"/>
  <c r="AC866" i="1"/>
  <c r="AB866" i="1"/>
  <c r="Z866" i="1"/>
  <c r="W866" i="1"/>
  <c r="V866" i="1"/>
  <c r="U866" i="1"/>
  <c r="I866" i="1"/>
  <c r="E866" i="1"/>
  <c r="D866" i="1"/>
  <c r="C866" i="1"/>
  <c r="B866" i="1"/>
  <c r="AC865" i="1"/>
  <c r="AB865" i="1"/>
  <c r="Z865" i="1"/>
  <c r="W865" i="1"/>
  <c r="V865" i="1"/>
  <c r="U865" i="1"/>
  <c r="I865" i="1"/>
  <c r="E865" i="1"/>
  <c r="D865" i="1"/>
  <c r="C865" i="1"/>
  <c r="B865" i="1"/>
  <c r="AC864" i="1"/>
  <c r="AB864" i="1"/>
  <c r="Z864" i="1"/>
  <c r="W864" i="1"/>
  <c r="V864" i="1"/>
  <c r="U864" i="1"/>
  <c r="I864" i="1"/>
  <c r="E864" i="1"/>
  <c r="D864" i="1"/>
  <c r="C864" i="1"/>
  <c r="B864" i="1"/>
  <c r="AC863" i="1"/>
  <c r="AB863" i="1"/>
  <c r="Z863" i="1"/>
  <c r="W863" i="1"/>
  <c r="V863" i="1"/>
  <c r="U863" i="1"/>
  <c r="I863" i="1"/>
  <c r="E863" i="1"/>
  <c r="D863" i="1"/>
  <c r="C863" i="1"/>
  <c r="B863" i="1"/>
  <c r="AC862" i="1"/>
  <c r="AB862" i="1"/>
  <c r="Z862" i="1"/>
  <c r="W862" i="1"/>
  <c r="V862" i="1"/>
  <c r="U862" i="1"/>
  <c r="I862" i="1"/>
  <c r="E862" i="1"/>
  <c r="D862" i="1"/>
  <c r="C862" i="1"/>
  <c r="B862" i="1"/>
  <c r="AC861" i="1"/>
  <c r="AB861" i="1"/>
  <c r="Z861" i="1"/>
  <c r="W861" i="1"/>
  <c r="V861" i="1"/>
  <c r="U861" i="1"/>
  <c r="I861" i="1"/>
  <c r="E861" i="1"/>
  <c r="D861" i="1"/>
  <c r="C861" i="1"/>
  <c r="B861" i="1"/>
  <c r="AC860" i="1"/>
  <c r="AB860" i="1"/>
  <c r="Z860" i="1"/>
  <c r="W860" i="1"/>
  <c r="V860" i="1"/>
  <c r="U860" i="1"/>
  <c r="I860" i="1"/>
  <c r="E860" i="1"/>
  <c r="D860" i="1"/>
  <c r="C860" i="1"/>
  <c r="B860" i="1"/>
  <c r="AC859" i="1"/>
  <c r="AB859" i="1"/>
  <c r="Z859" i="1"/>
  <c r="W859" i="1"/>
  <c r="V859" i="1"/>
  <c r="U859" i="1"/>
  <c r="I859" i="1"/>
  <c r="E859" i="1"/>
  <c r="D859" i="1"/>
  <c r="C859" i="1"/>
  <c r="B859" i="1"/>
  <c r="AC858" i="1"/>
  <c r="AB858" i="1"/>
  <c r="Z858" i="1"/>
  <c r="W858" i="1"/>
  <c r="V858" i="1"/>
  <c r="U858" i="1"/>
  <c r="I858" i="1"/>
  <c r="E858" i="1"/>
  <c r="D858" i="1"/>
  <c r="C858" i="1"/>
  <c r="B858" i="1"/>
  <c r="AC857" i="1"/>
  <c r="AB857" i="1"/>
  <c r="Z857" i="1"/>
  <c r="W857" i="1"/>
  <c r="V857" i="1"/>
  <c r="U857" i="1"/>
  <c r="I857" i="1"/>
  <c r="E857" i="1"/>
  <c r="D857" i="1"/>
  <c r="C857" i="1"/>
  <c r="B857" i="1"/>
  <c r="AC856" i="1"/>
  <c r="AB856" i="1"/>
  <c r="Z856" i="1"/>
  <c r="W856" i="1"/>
  <c r="V856" i="1"/>
  <c r="U856" i="1"/>
  <c r="I856" i="1"/>
  <c r="E856" i="1"/>
  <c r="D856" i="1"/>
  <c r="C856" i="1"/>
  <c r="B856" i="1"/>
  <c r="AC855" i="1"/>
  <c r="AB855" i="1"/>
  <c r="Z855" i="1"/>
  <c r="W855" i="1"/>
  <c r="V855" i="1"/>
  <c r="U855" i="1"/>
  <c r="I855" i="1"/>
  <c r="E855" i="1"/>
  <c r="D855" i="1"/>
  <c r="C855" i="1"/>
  <c r="B855" i="1"/>
  <c r="AC854" i="1"/>
  <c r="AB854" i="1"/>
  <c r="Z854" i="1"/>
  <c r="W854" i="1"/>
  <c r="V854" i="1"/>
  <c r="U854" i="1"/>
  <c r="I854" i="1"/>
  <c r="E854" i="1"/>
  <c r="D854" i="1"/>
  <c r="C854" i="1"/>
  <c r="B854" i="1"/>
  <c r="AC853" i="1"/>
  <c r="AB853" i="1"/>
  <c r="Z853" i="1"/>
  <c r="W853" i="1"/>
  <c r="V853" i="1"/>
  <c r="U853" i="1"/>
  <c r="I853" i="1"/>
  <c r="E853" i="1"/>
  <c r="D853" i="1"/>
  <c r="C853" i="1"/>
  <c r="B853" i="1"/>
  <c r="AC852" i="1"/>
  <c r="AB852" i="1"/>
  <c r="Z852" i="1"/>
  <c r="W852" i="1"/>
  <c r="V852" i="1"/>
  <c r="U852" i="1"/>
  <c r="I852" i="1"/>
  <c r="E852" i="1"/>
  <c r="D852" i="1"/>
  <c r="C852" i="1"/>
  <c r="B852" i="1"/>
  <c r="AC851" i="1"/>
  <c r="AB851" i="1"/>
  <c r="Z851" i="1"/>
  <c r="W851" i="1"/>
  <c r="V851" i="1"/>
  <c r="U851" i="1"/>
  <c r="I851" i="1"/>
  <c r="E851" i="1"/>
  <c r="D851" i="1"/>
  <c r="C851" i="1"/>
  <c r="B851" i="1"/>
  <c r="AC850" i="1"/>
  <c r="AB850" i="1"/>
  <c r="Z850" i="1"/>
  <c r="W850" i="1"/>
  <c r="V850" i="1"/>
  <c r="U850" i="1"/>
  <c r="I850" i="1"/>
  <c r="E850" i="1"/>
  <c r="D850" i="1"/>
  <c r="C850" i="1"/>
  <c r="B850" i="1"/>
  <c r="AC849" i="1"/>
  <c r="AB849" i="1"/>
  <c r="Z849" i="1"/>
  <c r="W849" i="1"/>
  <c r="V849" i="1"/>
  <c r="U849" i="1"/>
  <c r="I849" i="1"/>
  <c r="E849" i="1"/>
  <c r="D849" i="1"/>
  <c r="C849" i="1"/>
  <c r="B849" i="1"/>
  <c r="AC848" i="1"/>
  <c r="AB848" i="1"/>
  <c r="Z848" i="1"/>
  <c r="W848" i="1"/>
  <c r="V848" i="1"/>
  <c r="U848" i="1"/>
  <c r="I848" i="1"/>
  <c r="E848" i="1"/>
  <c r="D848" i="1"/>
  <c r="C848" i="1"/>
  <c r="B848" i="1"/>
  <c r="AC847" i="1"/>
  <c r="AB847" i="1"/>
  <c r="Z847" i="1"/>
  <c r="W847" i="1"/>
  <c r="V847" i="1"/>
  <c r="U847" i="1"/>
  <c r="I847" i="1"/>
  <c r="E847" i="1"/>
  <c r="D847" i="1"/>
  <c r="C847" i="1"/>
  <c r="B847" i="1"/>
  <c r="AC846" i="1"/>
  <c r="AB846" i="1"/>
  <c r="Z846" i="1"/>
  <c r="W846" i="1"/>
  <c r="V846" i="1"/>
  <c r="U846" i="1"/>
  <c r="I846" i="1"/>
  <c r="E846" i="1"/>
  <c r="D846" i="1"/>
  <c r="C846" i="1"/>
  <c r="B846" i="1"/>
  <c r="AC845" i="1"/>
  <c r="AB845" i="1"/>
  <c r="Z845" i="1"/>
  <c r="W845" i="1"/>
  <c r="V845" i="1"/>
  <c r="U845" i="1"/>
  <c r="I845" i="1"/>
  <c r="E845" i="1"/>
  <c r="D845" i="1"/>
  <c r="C845" i="1"/>
  <c r="B845" i="1"/>
  <c r="AC844" i="1"/>
  <c r="AB844" i="1"/>
  <c r="Z844" i="1"/>
  <c r="W844" i="1"/>
  <c r="V844" i="1"/>
  <c r="U844" i="1"/>
  <c r="I844" i="1"/>
  <c r="E844" i="1"/>
  <c r="D844" i="1"/>
  <c r="C844" i="1"/>
  <c r="B844" i="1"/>
  <c r="AC843" i="1"/>
  <c r="AB843" i="1"/>
  <c r="Z843" i="1"/>
  <c r="W843" i="1"/>
  <c r="V843" i="1"/>
  <c r="U843" i="1"/>
  <c r="I843" i="1"/>
  <c r="E843" i="1"/>
  <c r="D843" i="1"/>
  <c r="C843" i="1"/>
  <c r="B843" i="1"/>
  <c r="AC842" i="1"/>
  <c r="AB842" i="1"/>
  <c r="Z842" i="1"/>
  <c r="W842" i="1"/>
  <c r="V842" i="1"/>
  <c r="U842" i="1"/>
  <c r="I842" i="1"/>
  <c r="E842" i="1"/>
  <c r="D842" i="1"/>
  <c r="C842" i="1"/>
  <c r="B842" i="1"/>
  <c r="AC841" i="1"/>
  <c r="AB841" i="1"/>
  <c r="Z841" i="1"/>
  <c r="W841" i="1"/>
  <c r="V841" i="1"/>
  <c r="U841" i="1"/>
  <c r="I841" i="1"/>
  <c r="E841" i="1"/>
  <c r="D841" i="1"/>
  <c r="C841" i="1"/>
  <c r="B841" i="1"/>
  <c r="AC840" i="1"/>
  <c r="AB840" i="1"/>
  <c r="Z840" i="1"/>
  <c r="W840" i="1"/>
  <c r="V840" i="1"/>
  <c r="U840" i="1"/>
  <c r="I840" i="1"/>
  <c r="E840" i="1"/>
  <c r="D840" i="1"/>
  <c r="C840" i="1"/>
  <c r="B840" i="1"/>
  <c r="AC839" i="1"/>
  <c r="AB839" i="1"/>
  <c r="Z839" i="1"/>
  <c r="W839" i="1"/>
  <c r="V839" i="1"/>
  <c r="U839" i="1"/>
  <c r="I839" i="1"/>
  <c r="E839" i="1"/>
  <c r="D839" i="1"/>
  <c r="C839" i="1"/>
  <c r="B839" i="1"/>
  <c r="AC838" i="1"/>
  <c r="AB838" i="1"/>
  <c r="Z838" i="1"/>
  <c r="W838" i="1"/>
  <c r="V838" i="1"/>
  <c r="U838" i="1"/>
  <c r="I838" i="1"/>
  <c r="E838" i="1"/>
  <c r="D838" i="1"/>
  <c r="C838" i="1"/>
  <c r="B838" i="1"/>
  <c r="AC837" i="1"/>
  <c r="AB837" i="1"/>
  <c r="Z837" i="1"/>
  <c r="W837" i="1"/>
  <c r="V837" i="1"/>
  <c r="U837" i="1"/>
  <c r="I837" i="1"/>
  <c r="E837" i="1"/>
  <c r="D837" i="1"/>
  <c r="C837" i="1"/>
  <c r="B837" i="1"/>
  <c r="AC836" i="1"/>
  <c r="AB836" i="1"/>
  <c r="Z836" i="1"/>
  <c r="W836" i="1"/>
  <c r="V836" i="1"/>
  <c r="U836" i="1"/>
  <c r="I836" i="1"/>
  <c r="E836" i="1"/>
  <c r="D836" i="1"/>
  <c r="C836" i="1"/>
  <c r="B836" i="1"/>
  <c r="AC835" i="1"/>
  <c r="AB835" i="1"/>
  <c r="Z835" i="1"/>
  <c r="W835" i="1"/>
  <c r="V835" i="1"/>
  <c r="U835" i="1"/>
  <c r="I835" i="1"/>
  <c r="E835" i="1"/>
  <c r="D835" i="1"/>
  <c r="C835" i="1"/>
  <c r="B835" i="1"/>
  <c r="AC834" i="1"/>
  <c r="AB834" i="1"/>
  <c r="Z834" i="1"/>
  <c r="W834" i="1"/>
  <c r="V834" i="1"/>
  <c r="U834" i="1"/>
  <c r="I834" i="1"/>
  <c r="E834" i="1"/>
  <c r="D834" i="1"/>
  <c r="C834" i="1"/>
  <c r="B834" i="1"/>
  <c r="AC833" i="1"/>
  <c r="AB833" i="1"/>
  <c r="Z833" i="1"/>
  <c r="W833" i="1"/>
  <c r="V833" i="1"/>
  <c r="U833" i="1"/>
  <c r="I833" i="1"/>
  <c r="E833" i="1"/>
  <c r="D833" i="1"/>
  <c r="C833" i="1"/>
  <c r="B833" i="1"/>
  <c r="AC832" i="1"/>
  <c r="AB832" i="1"/>
  <c r="Z832" i="1"/>
  <c r="W832" i="1"/>
  <c r="V832" i="1"/>
  <c r="U832" i="1"/>
  <c r="I832" i="1"/>
  <c r="E832" i="1"/>
  <c r="D832" i="1"/>
  <c r="C832" i="1"/>
  <c r="B832" i="1"/>
  <c r="AC831" i="1"/>
  <c r="AB831" i="1"/>
  <c r="Z831" i="1"/>
  <c r="W831" i="1"/>
  <c r="V831" i="1"/>
  <c r="U831" i="1"/>
  <c r="I831" i="1"/>
  <c r="E831" i="1"/>
  <c r="D831" i="1"/>
  <c r="C831" i="1"/>
  <c r="B831" i="1"/>
  <c r="AC830" i="1"/>
  <c r="AB830" i="1"/>
  <c r="Z830" i="1"/>
  <c r="W830" i="1"/>
  <c r="V830" i="1"/>
  <c r="U830" i="1"/>
  <c r="I830" i="1"/>
  <c r="E830" i="1"/>
  <c r="D830" i="1"/>
  <c r="C830" i="1"/>
  <c r="B830" i="1"/>
  <c r="AC829" i="1"/>
  <c r="AB829" i="1"/>
  <c r="Z829" i="1"/>
  <c r="W829" i="1"/>
  <c r="V829" i="1"/>
  <c r="U829" i="1"/>
  <c r="I829" i="1"/>
  <c r="E829" i="1"/>
  <c r="D829" i="1"/>
  <c r="C829" i="1"/>
  <c r="B829" i="1"/>
  <c r="AC828" i="1"/>
  <c r="AB828" i="1"/>
  <c r="Z828" i="1"/>
  <c r="W828" i="1"/>
  <c r="V828" i="1"/>
  <c r="U828" i="1"/>
  <c r="I828" i="1"/>
  <c r="E828" i="1"/>
  <c r="D828" i="1"/>
  <c r="C828" i="1"/>
  <c r="B828" i="1"/>
  <c r="AC827" i="1"/>
  <c r="AB827" i="1"/>
  <c r="Z827" i="1"/>
  <c r="W827" i="1"/>
  <c r="V827" i="1"/>
  <c r="U827" i="1"/>
  <c r="I827" i="1"/>
  <c r="E827" i="1"/>
  <c r="D827" i="1"/>
  <c r="C827" i="1"/>
  <c r="B827" i="1"/>
  <c r="AC826" i="1"/>
  <c r="AB826" i="1"/>
  <c r="Z826" i="1"/>
  <c r="W826" i="1"/>
  <c r="V826" i="1"/>
  <c r="U826" i="1"/>
  <c r="I826" i="1"/>
  <c r="E826" i="1"/>
  <c r="D826" i="1"/>
  <c r="C826" i="1"/>
  <c r="B826" i="1"/>
  <c r="AC825" i="1"/>
  <c r="AB825" i="1"/>
  <c r="Z825" i="1"/>
  <c r="W825" i="1"/>
  <c r="V825" i="1"/>
  <c r="U825" i="1"/>
  <c r="I825" i="1"/>
  <c r="E825" i="1"/>
  <c r="D825" i="1"/>
  <c r="C825" i="1"/>
  <c r="B825" i="1"/>
  <c r="AC824" i="1"/>
  <c r="AB824" i="1"/>
  <c r="Z824" i="1"/>
  <c r="W824" i="1"/>
  <c r="V824" i="1"/>
  <c r="U824" i="1"/>
  <c r="I824" i="1"/>
  <c r="E824" i="1"/>
  <c r="D824" i="1"/>
  <c r="C824" i="1"/>
  <c r="B824" i="1"/>
  <c r="AC823" i="1"/>
  <c r="AB823" i="1"/>
  <c r="Z823" i="1"/>
  <c r="W823" i="1"/>
  <c r="V823" i="1"/>
  <c r="U823" i="1"/>
  <c r="I823" i="1"/>
  <c r="E823" i="1"/>
  <c r="D823" i="1"/>
  <c r="C823" i="1"/>
  <c r="B823" i="1"/>
  <c r="AC822" i="1"/>
  <c r="AB822" i="1"/>
  <c r="Z822" i="1"/>
  <c r="W822" i="1"/>
  <c r="V822" i="1"/>
  <c r="U822" i="1"/>
  <c r="I822" i="1"/>
  <c r="E822" i="1"/>
  <c r="D822" i="1"/>
  <c r="C822" i="1"/>
  <c r="B822" i="1"/>
  <c r="AC821" i="1"/>
  <c r="AB821" i="1"/>
  <c r="Z821" i="1"/>
  <c r="W821" i="1"/>
  <c r="V821" i="1"/>
  <c r="U821" i="1"/>
  <c r="I821" i="1"/>
  <c r="E821" i="1"/>
  <c r="D821" i="1"/>
  <c r="C821" i="1"/>
  <c r="B821" i="1"/>
  <c r="AC820" i="1"/>
  <c r="AB820" i="1"/>
  <c r="Z820" i="1"/>
  <c r="W820" i="1"/>
  <c r="V820" i="1"/>
  <c r="U820" i="1"/>
  <c r="I820" i="1"/>
  <c r="E820" i="1"/>
  <c r="D820" i="1"/>
  <c r="C820" i="1"/>
  <c r="B820" i="1"/>
  <c r="AC819" i="1"/>
  <c r="AB819" i="1"/>
  <c r="Z819" i="1"/>
  <c r="W819" i="1"/>
  <c r="V819" i="1"/>
  <c r="U819" i="1"/>
  <c r="I819" i="1"/>
  <c r="E819" i="1"/>
  <c r="D819" i="1"/>
  <c r="C819" i="1"/>
  <c r="B819" i="1"/>
  <c r="AC818" i="1"/>
  <c r="AB818" i="1"/>
  <c r="Z818" i="1"/>
  <c r="W818" i="1"/>
  <c r="V818" i="1"/>
  <c r="U818" i="1"/>
  <c r="I818" i="1"/>
  <c r="E818" i="1"/>
  <c r="D818" i="1"/>
  <c r="C818" i="1"/>
  <c r="B818" i="1"/>
  <c r="AC817" i="1"/>
  <c r="AB817" i="1"/>
  <c r="Z817" i="1"/>
  <c r="W817" i="1"/>
  <c r="V817" i="1"/>
  <c r="U817" i="1"/>
  <c r="I817" i="1"/>
  <c r="E817" i="1"/>
  <c r="D817" i="1"/>
  <c r="C817" i="1"/>
  <c r="B817" i="1"/>
  <c r="AC816" i="1"/>
  <c r="AB816" i="1"/>
  <c r="Z816" i="1"/>
  <c r="W816" i="1"/>
  <c r="V816" i="1"/>
  <c r="U816" i="1"/>
  <c r="I816" i="1"/>
  <c r="E816" i="1"/>
  <c r="D816" i="1"/>
  <c r="C816" i="1"/>
  <c r="B816" i="1"/>
  <c r="AC815" i="1"/>
  <c r="AB815" i="1"/>
  <c r="Z815" i="1"/>
  <c r="W815" i="1"/>
  <c r="V815" i="1"/>
  <c r="U815" i="1"/>
  <c r="I815" i="1"/>
  <c r="E815" i="1"/>
  <c r="D815" i="1"/>
  <c r="C815" i="1"/>
  <c r="B815" i="1"/>
  <c r="AC814" i="1"/>
  <c r="AB814" i="1"/>
  <c r="Z814" i="1"/>
  <c r="W814" i="1"/>
  <c r="V814" i="1"/>
  <c r="U814" i="1"/>
  <c r="I814" i="1"/>
  <c r="E814" i="1"/>
  <c r="D814" i="1"/>
  <c r="C814" i="1"/>
  <c r="B814" i="1"/>
  <c r="AC813" i="1"/>
  <c r="AB813" i="1"/>
  <c r="Z813" i="1"/>
  <c r="W813" i="1"/>
  <c r="V813" i="1"/>
  <c r="U813" i="1"/>
  <c r="I813" i="1"/>
  <c r="E813" i="1"/>
  <c r="D813" i="1"/>
  <c r="C813" i="1"/>
  <c r="B813" i="1"/>
  <c r="AC812" i="1"/>
  <c r="AB812" i="1"/>
  <c r="Z812" i="1"/>
  <c r="W812" i="1"/>
  <c r="V812" i="1"/>
  <c r="U812" i="1"/>
  <c r="I812" i="1"/>
  <c r="E812" i="1"/>
  <c r="D812" i="1"/>
  <c r="C812" i="1"/>
  <c r="B812" i="1"/>
  <c r="AC811" i="1"/>
  <c r="AB811" i="1"/>
  <c r="Z811" i="1"/>
  <c r="W811" i="1"/>
  <c r="V811" i="1"/>
  <c r="U811" i="1"/>
  <c r="I811" i="1"/>
  <c r="E811" i="1"/>
  <c r="D811" i="1"/>
  <c r="C811" i="1"/>
  <c r="B811" i="1"/>
  <c r="AC810" i="1"/>
  <c r="AB810" i="1"/>
  <c r="Z810" i="1"/>
  <c r="W810" i="1"/>
  <c r="V810" i="1"/>
  <c r="U810" i="1"/>
  <c r="I810" i="1"/>
  <c r="E810" i="1"/>
  <c r="D810" i="1"/>
  <c r="C810" i="1"/>
  <c r="B810" i="1"/>
  <c r="AC809" i="1"/>
  <c r="AB809" i="1"/>
  <c r="Z809" i="1"/>
  <c r="W809" i="1"/>
  <c r="V809" i="1"/>
  <c r="U809" i="1"/>
  <c r="I809" i="1"/>
  <c r="E809" i="1"/>
  <c r="D809" i="1"/>
  <c r="C809" i="1"/>
  <c r="B809" i="1"/>
  <c r="AC808" i="1"/>
  <c r="AB808" i="1"/>
  <c r="Z808" i="1"/>
  <c r="W808" i="1"/>
  <c r="V808" i="1"/>
  <c r="U808" i="1"/>
  <c r="I808" i="1"/>
  <c r="E808" i="1"/>
  <c r="D808" i="1"/>
  <c r="C808" i="1"/>
  <c r="B808" i="1"/>
  <c r="AC807" i="1"/>
  <c r="AB807" i="1"/>
  <c r="Z807" i="1"/>
  <c r="W807" i="1"/>
  <c r="V807" i="1"/>
  <c r="U807" i="1"/>
  <c r="I807" i="1"/>
  <c r="E807" i="1"/>
  <c r="D807" i="1"/>
  <c r="C807" i="1"/>
  <c r="B807" i="1"/>
  <c r="AC806" i="1"/>
  <c r="AB806" i="1"/>
  <c r="Z806" i="1"/>
  <c r="W806" i="1"/>
  <c r="V806" i="1"/>
  <c r="U806" i="1"/>
  <c r="I806" i="1"/>
  <c r="E806" i="1"/>
  <c r="D806" i="1"/>
  <c r="C806" i="1"/>
  <c r="B806" i="1"/>
  <c r="AC805" i="1"/>
  <c r="AB805" i="1"/>
  <c r="Z805" i="1"/>
  <c r="W805" i="1"/>
  <c r="V805" i="1"/>
  <c r="U805" i="1"/>
  <c r="I805" i="1"/>
  <c r="E805" i="1"/>
  <c r="D805" i="1"/>
  <c r="C805" i="1"/>
  <c r="B805" i="1"/>
  <c r="AC804" i="1"/>
  <c r="AB804" i="1"/>
  <c r="Z804" i="1"/>
  <c r="W804" i="1"/>
  <c r="V804" i="1"/>
  <c r="U804" i="1"/>
  <c r="I804" i="1"/>
  <c r="E804" i="1"/>
  <c r="D804" i="1"/>
  <c r="C804" i="1"/>
  <c r="B804" i="1"/>
  <c r="AC803" i="1"/>
  <c r="AB803" i="1"/>
  <c r="Z803" i="1"/>
  <c r="W803" i="1"/>
  <c r="V803" i="1"/>
  <c r="U803" i="1"/>
  <c r="I803" i="1"/>
  <c r="E803" i="1"/>
  <c r="D803" i="1"/>
  <c r="C803" i="1"/>
  <c r="B803" i="1"/>
  <c r="AC802" i="1"/>
  <c r="AB802" i="1"/>
  <c r="Z802" i="1"/>
  <c r="W802" i="1"/>
  <c r="V802" i="1"/>
  <c r="U802" i="1"/>
  <c r="I802" i="1"/>
  <c r="E802" i="1"/>
  <c r="D802" i="1"/>
  <c r="C802" i="1"/>
  <c r="B802" i="1"/>
  <c r="AC801" i="1"/>
  <c r="AB801" i="1"/>
  <c r="Z801" i="1"/>
  <c r="W801" i="1"/>
  <c r="V801" i="1"/>
  <c r="U801" i="1"/>
  <c r="I801" i="1"/>
  <c r="E801" i="1"/>
  <c r="D801" i="1"/>
  <c r="C801" i="1"/>
  <c r="B801" i="1"/>
  <c r="AC800" i="1"/>
  <c r="AB800" i="1"/>
  <c r="Z800" i="1"/>
  <c r="W800" i="1"/>
  <c r="V800" i="1"/>
  <c r="U800" i="1"/>
  <c r="I800" i="1"/>
  <c r="E800" i="1"/>
  <c r="D800" i="1"/>
  <c r="C800" i="1"/>
  <c r="B800" i="1"/>
  <c r="AC799" i="1"/>
  <c r="AB799" i="1"/>
  <c r="Z799" i="1"/>
  <c r="W799" i="1"/>
  <c r="V799" i="1"/>
  <c r="U799" i="1"/>
  <c r="I799" i="1"/>
  <c r="E799" i="1"/>
  <c r="D799" i="1"/>
  <c r="C799" i="1"/>
  <c r="B799" i="1"/>
  <c r="AC798" i="1"/>
  <c r="AB798" i="1"/>
  <c r="Z798" i="1"/>
  <c r="W798" i="1"/>
  <c r="V798" i="1"/>
  <c r="U798" i="1"/>
  <c r="I798" i="1"/>
  <c r="E798" i="1"/>
  <c r="D798" i="1"/>
  <c r="C798" i="1"/>
  <c r="B798" i="1"/>
  <c r="AC797" i="1"/>
  <c r="AB797" i="1"/>
  <c r="Z797" i="1"/>
  <c r="W797" i="1"/>
  <c r="V797" i="1"/>
  <c r="U797" i="1"/>
  <c r="I797" i="1"/>
  <c r="E797" i="1"/>
  <c r="D797" i="1"/>
  <c r="C797" i="1"/>
  <c r="B797" i="1"/>
  <c r="AC796" i="1"/>
  <c r="AB796" i="1"/>
  <c r="Z796" i="1"/>
  <c r="W796" i="1"/>
  <c r="V796" i="1"/>
  <c r="U796" i="1"/>
  <c r="I796" i="1"/>
  <c r="E796" i="1"/>
  <c r="D796" i="1"/>
  <c r="C796" i="1"/>
  <c r="B796" i="1"/>
  <c r="AC795" i="1"/>
  <c r="AB795" i="1"/>
  <c r="Z795" i="1"/>
  <c r="W795" i="1"/>
  <c r="V795" i="1"/>
  <c r="U795" i="1"/>
  <c r="I795" i="1"/>
  <c r="E795" i="1"/>
  <c r="D795" i="1"/>
  <c r="C795" i="1"/>
  <c r="B795" i="1"/>
  <c r="AC794" i="1"/>
  <c r="AB794" i="1"/>
  <c r="Z794" i="1"/>
  <c r="W794" i="1"/>
  <c r="V794" i="1"/>
  <c r="U794" i="1"/>
  <c r="I794" i="1"/>
  <c r="E794" i="1"/>
  <c r="D794" i="1"/>
  <c r="C794" i="1"/>
  <c r="B794" i="1"/>
  <c r="AC793" i="1"/>
  <c r="AB793" i="1"/>
  <c r="Z793" i="1"/>
  <c r="W793" i="1"/>
  <c r="V793" i="1"/>
  <c r="U793" i="1"/>
  <c r="I793" i="1"/>
  <c r="E793" i="1"/>
  <c r="D793" i="1"/>
  <c r="C793" i="1"/>
  <c r="B793" i="1"/>
  <c r="AC792" i="1"/>
  <c r="AB792" i="1"/>
  <c r="Z792" i="1"/>
  <c r="W792" i="1"/>
  <c r="V792" i="1"/>
  <c r="U792" i="1"/>
  <c r="I792" i="1"/>
  <c r="E792" i="1"/>
  <c r="D792" i="1"/>
  <c r="C792" i="1"/>
  <c r="B792" i="1"/>
  <c r="AC791" i="1"/>
  <c r="AB791" i="1"/>
  <c r="Z791" i="1"/>
  <c r="W791" i="1"/>
  <c r="V791" i="1"/>
  <c r="U791" i="1"/>
  <c r="I791" i="1"/>
  <c r="E791" i="1"/>
  <c r="D791" i="1"/>
  <c r="C791" i="1"/>
  <c r="B791" i="1"/>
  <c r="AC790" i="1"/>
  <c r="AB790" i="1"/>
  <c r="Z790" i="1"/>
  <c r="W790" i="1"/>
  <c r="V790" i="1"/>
  <c r="U790" i="1"/>
  <c r="I790" i="1"/>
  <c r="E790" i="1"/>
  <c r="D790" i="1"/>
  <c r="C790" i="1"/>
  <c r="B790" i="1"/>
  <c r="AC789" i="1"/>
  <c r="AB789" i="1"/>
  <c r="Z789" i="1"/>
  <c r="W789" i="1"/>
  <c r="V789" i="1"/>
  <c r="U789" i="1"/>
  <c r="I789" i="1"/>
  <c r="E789" i="1"/>
  <c r="D789" i="1"/>
  <c r="C789" i="1"/>
  <c r="B789" i="1"/>
  <c r="AC788" i="1"/>
  <c r="AB788" i="1"/>
  <c r="Z788" i="1"/>
  <c r="W788" i="1"/>
  <c r="V788" i="1"/>
  <c r="U788" i="1"/>
  <c r="I788" i="1"/>
  <c r="E788" i="1"/>
  <c r="D788" i="1"/>
  <c r="C788" i="1"/>
  <c r="B788" i="1"/>
  <c r="AC787" i="1"/>
  <c r="AB787" i="1"/>
  <c r="Z787" i="1"/>
  <c r="W787" i="1"/>
  <c r="V787" i="1"/>
  <c r="U787" i="1"/>
  <c r="I787" i="1"/>
  <c r="E787" i="1"/>
  <c r="D787" i="1"/>
  <c r="C787" i="1"/>
  <c r="B787" i="1"/>
  <c r="AC786" i="1"/>
  <c r="AB786" i="1"/>
  <c r="Z786" i="1"/>
  <c r="W786" i="1"/>
  <c r="V786" i="1"/>
  <c r="U786" i="1"/>
  <c r="I786" i="1"/>
  <c r="E786" i="1"/>
  <c r="D786" i="1"/>
  <c r="C786" i="1"/>
  <c r="B786" i="1"/>
  <c r="AC785" i="1"/>
  <c r="AB785" i="1"/>
  <c r="Z785" i="1"/>
  <c r="W785" i="1"/>
  <c r="V785" i="1"/>
  <c r="U785" i="1"/>
  <c r="I785" i="1"/>
  <c r="E785" i="1"/>
  <c r="D785" i="1"/>
  <c r="C785" i="1"/>
  <c r="B785" i="1"/>
  <c r="AC784" i="1"/>
  <c r="AB784" i="1"/>
  <c r="Z784" i="1"/>
  <c r="W784" i="1"/>
  <c r="V784" i="1"/>
  <c r="U784" i="1"/>
  <c r="I784" i="1"/>
  <c r="E784" i="1"/>
  <c r="D784" i="1"/>
  <c r="C784" i="1"/>
  <c r="B784" i="1"/>
  <c r="AC783" i="1"/>
  <c r="AB783" i="1"/>
  <c r="Z783" i="1"/>
  <c r="W783" i="1"/>
  <c r="V783" i="1"/>
  <c r="U783" i="1"/>
  <c r="I783" i="1"/>
  <c r="E783" i="1"/>
  <c r="D783" i="1"/>
  <c r="C783" i="1"/>
  <c r="B783" i="1"/>
  <c r="AC782" i="1"/>
  <c r="AB782" i="1"/>
  <c r="Z782" i="1"/>
  <c r="W782" i="1"/>
  <c r="V782" i="1"/>
  <c r="U782" i="1"/>
  <c r="I782" i="1"/>
  <c r="E782" i="1"/>
  <c r="D782" i="1"/>
  <c r="C782" i="1"/>
  <c r="B782" i="1"/>
  <c r="AC781" i="1"/>
  <c r="AB781" i="1"/>
  <c r="Z781" i="1"/>
  <c r="W781" i="1"/>
  <c r="V781" i="1"/>
  <c r="U781" i="1"/>
  <c r="I781" i="1"/>
  <c r="E781" i="1"/>
  <c r="D781" i="1"/>
  <c r="C781" i="1"/>
  <c r="B781" i="1"/>
  <c r="AC780" i="1"/>
  <c r="AB780" i="1"/>
  <c r="Z780" i="1"/>
  <c r="W780" i="1"/>
  <c r="V780" i="1"/>
  <c r="U780" i="1"/>
  <c r="I780" i="1"/>
  <c r="E780" i="1"/>
  <c r="D780" i="1"/>
  <c r="C780" i="1"/>
  <c r="B780" i="1"/>
  <c r="AC779" i="1"/>
  <c r="AB779" i="1"/>
  <c r="Z779" i="1"/>
  <c r="W779" i="1"/>
  <c r="V779" i="1"/>
  <c r="U779" i="1"/>
  <c r="I779" i="1"/>
  <c r="E779" i="1"/>
  <c r="D779" i="1"/>
  <c r="C779" i="1"/>
  <c r="B779" i="1"/>
  <c r="AC778" i="1"/>
  <c r="AB778" i="1"/>
  <c r="Z778" i="1"/>
  <c r="W778" i="1"/>
  <c r="V778" i="1"/>
  <c r="U778" i="1"/>
  <c r="I778" i="1"/>
  <c r="E778" i="1"/>
  <c r="D778" i="1"/>
  <c r="C778" i="1"/>
  <c r="B778" i="1"/>
  <c r="AC777" i="1"/>
  <c r="AB777" i="1"/>
  <c r="Z777" i="1"/>
  <c r="W777" i="1"/>
  <c r="V777" i="1"/>
  <c r="U777" i="1"/>
  <c r="I777" i="1"/>
  <c r="E777" i="1"/>
  <c r="D777" i="1"/>
  <c r="C777" i="1"/>
  <c r="B777" i="1"/>
  <c r="AC776" i="1"/>
  <c r="AB776" i="1"/>
  <c r="Z776" i="1"/>
  <c r="W776" i="1"/>
  <c r="V776" i="1"/>
  <c r="U776" i="1"/>
  <c r="I776" i="1"/>
  <c r="E776" i="1"/>
  <c r="D776" i="1"/>
  <c r="C776" i="1"/>
  <c r="B776" i="1"/>
  <c r="AC775" i="1"/>
  <c r="AB775" i="1"/>
  <c r="Z775" i="1"/>
  <c r="W775" i="1"/>
  <c r="V775" i="1"/>
  <c r="U775" i="1"/>
  <c r="I775" i="1"/>
  <c r="E775" i="1"/>
  <c r="D775" i="1"/>
  <c r="C775" i="1"/>
  <c r="B775" i="1"/>
  <c r="AC774" i="1"/>
  <c r="AB774" i="1"/>
  <c r="Z774" i="1"/>
  <c r="W774" i="1"/>
  <c r="V774" i="1"/>
  <c r="U774" i="1"/>
  <c r="I774" i="1"/>
  <c r="E774" i="1"/>
  <c r="D774" i="1"/>
  <c r="C774" i="1"/>
  <c r="B774" i="1"/>
  <c r="AC773" i="1"/>
  <c r="AB773" i="1"/>
  <c r="Z773" i="1"/>
  <c r="W773" i="1"/>
  <c r="V773" i="1"/>
  <c r="U773" i="1"/>
  <c r="I773" i="1"/>
  <c r="E773" i="1"/>
  <c r="D773" i="1"/>
  <c r="C773" i="1"/>
  <c r="B773" i="1"/>
  <c r="AC772" i="1"/>
  <c r="AB772" i="1"/>
  <c r="Z772" i="1"/>
  <c r="W772" i="1"/>
  <c r="V772" i="1"/>
  <c r="U772" i="1"/>
  <c r="I772" i="1"/>
  <c r="E772" i="1"/>
  <c r="D772" i="1"/>
  <c r="C772" i="1"/>
  <c r="B772" i="1"/>
  <c r="AC771" i="1"/>
  <c r="AB771" i="1"/>
  <c r="Z771" i="1"/>
  <c r="W771" i="1"/>
  <c r="V771" i="1"/>
  <c r="U771" i="1"/>
  <c r="I771" i="1"/>
  <c r="E771" i="1"/>
  <c r="D771" i="1"/>
  <c r="C771" i="1"/>
  <c r="B771" i="1"/>
  <c r="AC770" i="1"/>
  <c r="AB770" i="1"/>
  <c r="Z770" i="1"/>
  <c r="W770" i="1"/>
  <c r="V770" i="1"/>
  <c r="U770" i="1"/>
  <c r="I770" i="1"/>
  <c r="E770" i="1"/>
  <c r="D770" i="1"/>
  <c r="C770" i="1"/>
  <c r="B770" i="1"/>
  <c r="AC769" i="1"/>
  <c r="AB769" i="1"/>
  <c r="Z769" i="1"/>
  <c r="W769" i="1"/>
  <c r="V769" i="1"/>
  <c r="U769" i="1"/>
  <c r="I769" i="1"/>
  <c r="E769" i="1"/>
  <c r="D769" i="1"/>
  <c r="C769" i="1"/>
  <c r="B769" i="1"/>
  <c r="AC768" i="1"/>
  <c r="AB768" i="1"/>
  <c r="Z768" i="1"/>
  <c r="W768" i="1"/>
  <c r="V768" i="1"/>
  <c r="U768" i="1"/>
  <c r="I768" i="1"/>
  <c r="E768" i="1"/>
  <c r="D768" i="1"/>
  <c r="C768" i="1"/>
  <c r="B768" i="1"/>
  <c r="AC767" i="1"/>
  <c r="AB767" i="1"/>
  <c r="Z767" i="1"/>
  <c r="W767" i="1"/>
  <c r="V767" i="1"/>
  <c r="U767" i="1"/>
  <c r="I767" i="1"/>
  <c r="E767" i="1"/>
  <c r="D767" i="1"/>
  <c r="C767" i="1"/>
  <c r="B767" i="1"/>
  <c r="AC766" i="1"/>
  <c r="AB766" i="1"/>
  <c r="Z766" i="1"/>
  <c r="W766" i="1"/>
  <c r="V766" i="1"/>
  <c r="U766" i="1"/>
  <c r="I766" i="1"/>
  <c r="E766" i="1"/>
  <c r="D766" i="1"/>
  <c r="C766" i="1"/>
  <c r="B766" i="1"/>
  <c r="AC765" i="1"/>
  <c r="AB765" i="1"/>
  <c r="Z765" i="1"/>
  <c r="W765" i="1"/>
  <c r="V765" i="1"/>
  <c r="U765" i="1"/>
  <c r="I765" i="1"/>
  <c r="E765" i="1"/>
  <c r="D765" i="1"/>
  <c r="C765" i="1"/>
  <c r="B765" i="1"/>
  <c r="AC764" i="1"/>
  <c r="AB764" i="1"/>
  <c r="Z764" i="1"/>
  <c r="W764" i="1"/>
  <c r="V764" i="1"/>
  <c r="U764" i="1"/>
  <c r="I764" i="1"/>
  <c r="E764" i="1"/>
  <c r="D764" i="1"/>
  <c r="C764" i="1"/>
  <c r="B764" i="1"/>
  <c r="AC763" i="1"/>
  <c r="AB763" i="1"/>
  <c r="Z763" i="1"/>
  <c r="W763" i="1"/>
  <c r="V763" i="1"/>
  <c r="U763" i="1"/>
  <c r="I763" i="1"/>
  <c r="E763" i="1"/>
  <c r="D763" i="1"/>
  <c r="C763" i="1"/>
  <c r="B763" i="1"/>
  <c r="AC762" i="1"/>
  <c r="AB762" i="1"/>
  <c r="Z762" i="1"/>
  <c r="W762" i="1"/>
  <c r="V762" i="1"/>
  <c r="U762" i="1"/>
  <c r="I762" i="1"/>
  <c r="E762" i="1"/>
  <c r="D762" i="1"/>
  <c r="C762" i="1"/>
  <c r="B762" i="1"/>
  <c r="AC761" i="1"/>
  <c r="AB761" i="1"/>
  <c r="Z761" i="1"/>
  <c r="W761" i="1"/>
  <c r="V761" i="1"/>
  <c r="U761" i="1"/>
  <c r="I761" i="1"/>
  <c r="E761" i="1"/>
  <c r="D761" i="1"/>
  <c r="C761" i="1"/>
  <c r="B761" i="1"/>
  <c r="AC760" i="1"/>
  <c r="AB760" i="1"/>
  <c r="Z760" i="1"/>
  <c r="W760" i="1"/>
  <c r="V760" i="1"/>
  <c r="U760" i="1"/>
  <c r="I760" i="1"/>
  <c r="E760" i="1"/>
  <c r="D760" i="1"/>
  <c r="C760" i="1"/>
  <c r="B760" i="1"/>
  <c r="AC759" i="1"/>
  <c r="AB759" i="1"/>
  <c r="Z759" i="1"/>
  <c r="W759" i="1"/>
  <c r="V759" i="1"/>
  <c r="U759" i="1"/>
  <c r="I759" i="1"/>
  <c r="E759" i="1"/>
  <c r="D759" i="1"/>
  <c r="C759" i="1"/>
  <c r="B759" i="1"/>
  <c r="AC758" i="1"/>
  <c r="AB758" i="1"/>
  <c r="Z758" i="1"/>
  <c r="W758" i="1"/>
  <c r="V758" i="1"/>
  <c r="U758" i="1"/>
  <c r="I758" i="1"/>
  <c r="E758" i="1"/>
  <c r="D758" i="1"/>
  <c r="C758" i="1"/>
  <c r="B758" i="1"/>
  <c r="AC757" i="1"/>
  <c r="AB757" i="1"/>
  <c r="Z757" i="1"/>
  <c r="W757" i="1"/>
  <c r="V757" i="1"/>
  <c r="U757" i="1"/>
  <c r="I757" i="1"/>
  <c r="E757" i="1"/>
  <c r="D757" i="1"/>
  <c r="C757" i="1"/>
  <c r="B757" i="1"/>
  <c r="AC756" i="1"/>
  <c r="AB756" i="1"/>
  <c r="Z756" i="1"/>
  <c r="W756" i="1"/>
  <c r="V756" i="1"/>
  <c r="U756" i="1"/>
  <c r="I756" i="1"/>
  <c r="E756" i="1"/>
  <c r="D756" i="1"/>
  <c r="C756" i="1"/>
  <c r="B756" i="1"/>
  <c r="AC755" i="1"/>
  <c r="AB755" i="1"/>
  <c r="Z755" i="1"/>
  <c r="W755" i="1"/>
  <c r="V755" i="1"/>
  <c r="U755" i="1"/>
  <c r="I755" i="1"/>
  <c r="E755" i="1"/>
  <c r="D755" i="1"/>
  <c r="C755" i="1"/>
  <c r="B755" i="1"/>
  <c r="AC754" i="1"/>
  <c r="AB754" i="1"/>
  <c r="Z754" i="1"/>
  <c r="W754" i="1"/>
  <c r="V754" i="1"/>
  <c r="U754" i="1"/>
  <c r="I754" i="1"/>
  <c r="E754" i="1"/>
  <c r="D754" i="1"/>
  <c r="C754" i="1"/>
  <c r="B754" i="1"/>
  <c r="AC753" i="1"/>
  <c r="AB753" i="1"/>
  <c r="Z753" i="1"/>
  <c r="W753" i="1"/>
  <c r="V753" i="1"/>
  <c r="U753" i="1"/>
  <c r="I753" i="1"/>
  <c r="E753" i="1"/>
  <c r="D753" i="1"/>
  <c r="C753" i="1"/>
  <c r="B753" i="1"/>
  <c r="AC752" i="1"/>
  <c r="AB752" i="1"/>
  <c r="Z752" i="1"/>
  <c r="W752" i="1"/>
  <c r="V752" i="1"/>
  <c r="U752" i="1"/>
  <c r="I752" i="1"/>
  <c r="E752" i="1"/>
  <c r="D752" i="1"/>
  <c r="C752" i="1"/>
  <c r="B752" i="1"/>
  <c r="AC751" i="1"/>
  <c r="AB751" i="1"/>
  <c r="Z751" i="1"/>
  <c r="W751" i="1"/>
  <c r="V751" i="1"/>
  <c r="U751" i="1"/>
  <c r="I751" i="1"/>
  <c r="E751" i="1"/>
  <c r="D751" i="1"/>
  <c r="C751" i="1"/>
  <c r="B751" i="1"/>
  <c r="AC750" i="1"/>
  <c r="AB750" i="1"/>
  <c r="Z750" i="1"/>
  <c r="W750" i="1"/>
  <c r="V750" i="1"/>
  <c r="U750" i="1"/>
  <c r="I750" i="1"/>
  <c r="E750" i="1"/>
  <c r="D750" i="1"/>
  <c r="C750" i="1"/>
  <c r="B750" i="1"/>
  <c r="AC749" i="1"/>
  <c r="AB749" i="1"/>
  <c r="Z749" i="1"/>
  <c r="W749" i="1"/>
  <c r="V749" i="1"/>
  <c r="U749" i="1"/>
  <c r="I749" i="1"/>
  <c r="E749" i="1"/>
  <c r="D749" i="1"/>
  <c r="C749" i="1"/>
  <c r="B749" i="1"/>
  <c r="AC748" i="1"/>
  <c r="AB748" i="1"/>
  <c r="Z748" i="1"/>
  <c r="W748" i="1"/>
  <c r="V748" i="1"/>
  <c r="U748" i="1"/>
  <c r="I748" i="1"/>
  <c r="E748" i="1"/>
  <c r="D748" i="1"/>
  <c r="C748" i="1"/>
  <c r="B748" i="1"/>
  <c r="AC747" i="1"/>
  <c r="AB747" i="1"/>
  <c r="Z747" i="1"/>
  <c r="W747" i="1"/>
  <c r="V747" i="1"/>
  <c r="U747" i="1"/>
  <c r="I747" i="1"/>
  <c r="E747" i="1"/>
  <c r="D747" i="1"/>
  <c r="C747" i="1"/>
  <c r="B747" i="1"/>
  <c r="AC746" i="1"/>
  <c r="AB746" i="1"/>
  <c r="Z746" i="1"/>
  <c r="W746" i="1"/>
  <c r="V746" i="1"/>
  <c r="U746" i="1"/>
  <c r="I746" i="1"/>
  <c r="E746" i="1"/>
  <c r="D746" i="1"/>
  <c r="C746" i="1"/>
  <c r="B746" i="1"/>
  <c r="AC745" i="1"/>
  <c r="AB745" i="1"/>
  <c r="Z745" i="1"/>
  <c r="W745" i="1"/>
  <c r="V745" i="1"/>
  <c r="U745" i="1"/>
  <c r="I745" i="1"/>
  <c r="E745" i="1"/>
  <c r="D745" i="1"/>
  <c r="C745" i="1"/>
  <c r="B745" i="1"/>
  <c r="AC744" i="1"/>
  <c r="AB744" i="1"/>
  <c r="Z744" i="1"/>
  <c r="W744" i="1"/>
  <c r="V744" i="1"/>
  <c r="U744" i="1"/>
  <c r="I744" i="1"/>
  <c r="E744" i="1"/>
  <c r="D744" i="1"/>
  <c r="C744" i="1"/>
  <c r="B744" i="1"/>
  <c r="AC743" i="1"/>
  <c r="AB743" i="1"/>
  <c r="Z743" i="1"/>
  <c r="W743" i="1"/>
  <c r="V743" i="1"/>
  <c r="U743" i="1"/>
  <c r="I743" i="1"/>
  <c r="E743" i="1"/>
  <c r="D743" i="1"/>
  <c r="C743" i="1"/>
  <c r="B743" i="1"/>
  <c r="AC742" i="1"/>
  <c r="AB742" i="1"/>
  <c r="Z742" i="1"/>
  <c r="W742" i="1"/>
  <c r="V742" i="1"/>
  <c r="U742" i="1"/>
  <c r="I742" i="1"/>
  <c r="E742" i="1"/>
  <c r="D742" i="1"/>
  <c r="C742" i="1"/>
  <c r="B742" i="1"/>
  <c r="AC741" i="1"/>
  <c r="AB741" i="1"/>
  <c r="Z741" i="1"/>
  <c r="W741" i="1"/>
  <c r="V741" i="1"/>
  <c r="U741" i="1"/>
  <c r="I741" i="1"/>
  <c r="E741" i="1"/>
  <c r="D741" i="1"/>
  <c r="C741" i="1"/>
  <c r="B741" i="1"/>
  <c r="AC740" i="1"/>
  <c r="AB740" i="1"/>
  <c r="Z740" i="1"/>
  <c r="W740" i="1"/>
  <c r="V740" i="1"/>
  <c r="U740" i="1"/>
  <c r="I740" i="1"/>
  <c r="E740" i="1"/>
  <c r="D740" i="1"/>
  <c r="C740" i="1"/>
  <c r="B740" i="1"/>
  <c r="AC739" i="1"/>
  <c r="AB739" i="1"/>
  <c r="Z739" i="1"/>
  <c r="W739" i="1"/>
  <c r="V739" i="1"/>
  <c r="U739" i="1"/>
  <c r="I739" i="1"/>
  <c r="E739" i="1"/>
  <c r="D739" i="1"/>
  <c r="C739" i="1"/>
  <c r="B739" i="1"/>
  <c r="AC738" i="1"/>
  <c r="AB738" i="1"/>
  <c r="Z738" i="1"/>
  <c r="W738" i="1"/>
  <c r="V738" i="1"/>
  <c r="U738" i="1"/>
  <c r="I738" i="1"/>
  <c r="E738" i="1"/>
  <c r="D738" i="1"/>
  <c r="C738" i="1"/>
  <c r="B738" i="1"/>
  <c r="AC737" i="1"/>
  <c r="AB737" i="1"/>
  <c r="Z737" i="1"/>
  <c r="W737" i="1"/>
  <c r="V737" i="1"/>
  <c r="U737" i="1"/>
  <c r="I737" i="1"/>
  <c r="E737" i="1"/>
  <c r="D737" i="1"/>
  <c r="C737" i="1"/>
  <c r="B737" i="1"/>
  <c r="AC736" i="1"/>
  <c r="AB736" i="1"/>
  <c r="Z736" i="1"/>
  <c r="W736" i="1"/>
  <c r="V736" i="1"/>
  <c r="U736" i="1"/>
  <c r="I736" i="1"/>
  <c r="E736" i="1"/>
  <c r="D736" i="1"/>
  <c r="C736" i="1"/>
  <c r="B736" i="1"/>
  <c r="AC735" i="1"/>
  <c r="AB735" i="1"/>
  <c r="Z735" i="1"/>
  <c r="W735" i="1"/>
  <c r="V735" i="1"/>
  <c r="U735" i="1"/>
  <c r="I735" i="1"/>
  <c r="E735" i="1"/>
  <c r="D735" i="1"/>
  <c r="C735" i="1"/>
  <c r="B735" i="1"/>
  <c r="AC734" i="1"/>
  <c r="AB734" i="1"/>
  <c r="Z734" i="1"/>
  <c r="W734" i="1"/>
  <c r="V734" i="1"/>
  <c r="U734" i="1"/>
  <c r="I734" i="1"/>
  <c r="E734" i="1"/>
  <c r="D734" i="1"/>
  <c r="C734" i="1"/>
  <c r="B734" i="1"/>
  <c r="AC733" i="1"/>
  <c r="AB733" i="1"/>
  <c r="Z733" i="1"/>
  <c r="W733" i="1"/>
  <c r="V733" i="1"/>
  <c r="U733" i="1"/>
  <c r="I733" i="1"/>
  <c r="E733" i="1"/>
  <c r="D733" i="1"/>
  <c r="C733" i="1"/>
  <c r="B733" i="1"/>
  <c r="AC732" i="1"/>
  <c r="AB732" i="1"/>
  <c r="Z732" i="1"/>
  <c r="W732" i="1"/>
  <c r="V732" i="1"/>
  <c r="U732" i="1"/>
  <c r="I732" i="1"/>
  <c r="E732" i="1"/>
  <c r="D732" i="1"/>
  <c r="C732" i="1"/>
  <c r="B732" i="1"/>
  <c r="AC731" i="1"/>
  <c r="AB731" i="1"/>
  <c r="Z731" i="1"/>
  <c r="W731" i="1"/>
  <c r="V731" i="1"/>
  <c r="U731" i="1"/>
  <c r="I731" i="1"/>
  <c r="E731" i="1"/>
  <c r="D731" i="1"/>
  <c r="C731" i="1"/>
  <c r="B731" i="1"/>
  <c r="AC730" i="1"/>
  <c r="AB730" i="1"/>
  <c r="Z730" i="1"/>
  <c r="W730" i="1"/>
  <c r="V730" i="1"/>
  <c r="U730" i="1"/>
  <c r="I730" i="1"/>
  <c r="E730" i="1"/>
  <c r="D730" i="1"/>
  <c r="C730" i="1"/>
  <c r="B730" i="1"/>
  <c r="AC729" i="1"/>
  <c r="AB729" i="1"/>
  <c r="Z729" i="1"/>
  <c r="W729" i="1"/>
  <c r="V729" i="1"/>
  <c r="U729" i="1"/>
  <c r="I729" i="1"/>
  <c r="E729" i="1"/>
  <c r="D729" i="1"/>
  <c r="C729" i="1"/>
  <c r="B729" i="1"/>
  <c r="AC728" i="1"/>
  <c r="AB728" i="1"/>
  <c r="Z728" i="1"/>
  <c r="W728" i="1"/>
  <c r="V728" i="1"/>
  <c r="U728" i="1"/>
  <c r="I728" i="1"/>
  <c r="E728" i="1"/>
  <c r="D728" i="1"/>
  <c r="C728" i="1"/>
  <c r="B728" i="1"/>
  <c r="AC727" i="1"/>
  <c r="AB727" i="1"/>
  <c r="Z727" i="1"/>
  <c r="W727" i="1"/>
  <c r="V727" i="1"/>
  <c r="U727" i="1"/>
  <c r="I727" i="1"/>
  <c r="E727" i="1"/>
  <c r="D727" i="1"/>
  <c r="C727" i="1"/>
  <c r="B727" i="1"/>
  <c r="AC726" i="1"/>
  <c r="AB726" i="1"/>
  <c r="Z726" i="1"/>
  <c r="W726" i="1"/>
  <c r="V726" i="1"/>
  <c r="U726" i="1"/>
  <c r="I726" i="1"/>
  <c r="E726" i="1"/>
  <c r="D726" i="1"/>
  <c r="C726" i="1"/>
  <c r="B726" i="1"/>
  <c r="AC725" i="1"/>
  <c r="AB725" i="1"/>
  <c r="Z725" i="1"/>
  <c r="W725" i="1"/>
  <c r="V725" i="1"/>
  <c r="U725" i="1"/>
  <c r="I725" i="1"/>
  <c r="E725" i="1"/>
  <c r="D725" i="1"/>
  <c r="C725" i="1"/>
  <c r="B725" i="1"/>
  <c r="AC724" i="1"/>
  <c r="AB724" i="1"/>
  <c r="Z724" i="1"/>
  <c r="W724" i="1"/>
  <c r="V724" i="1"/>
  <c r="U724" i="1"/>
  <c r="I724" i="1"/>
  <c r="E724" i="1"/>
  <c r="D724" i="1"/>
  <c r="C724" i="1"/>
  <c r="B724" i="1"/>
  <c r="AC723" i="1"/>
  <c r="AB723" i="1"/>
  <c r="Z723" i="1"/>
  <c r="W723" i="1"/>
  <c r="V723" i="1"/>
  <c r="U723" i="1"/>
  <c r="I723" i="1"/>
  <c r="E723" i="1"/>
  <c r="D723" i="1"/>
  <c r="C723" i="1"/>
  <c r="B723" i="1"/>
  <c r="AC722" i="1"/>
  <c r="AB722" i="1"/>
  <c r="Z722" i="1"/>
  <c r="W722" i="1"/>
  <c r="V722" i="1"/>
  <c r="U722" i="1"/>
  <c r="I722" i="1"/>
  <c r="E722" i="1"/>
  <c r="D722" i="1"/>
  <c r="C722" i="1"/>
  <c r="B722" i="1"/>
  <c r="AC721" i="1"/>
  <c r="AB721" i="1"/>
  <c r="Z721" i="1"/>
  <c r="W721" i="1"/>
  <c r="V721" i="1"/>
  <c r="U721" i="1"/>
  <c r="I721" i="1"/>
  <c r="E721" i="1"/>
  <c r="D721" i="1"/>
  <c r="C721" i="1"/>
  <c r="B721" i="1"/>
  <c r="AC720" i="1"/>
  <c r="AB720" i="1"/>
  <c r="Z720" i="1"/>
  <c r="W720" i="1"/>
  <c r="V720" i="1"/>
  <c r="U720" i="1"/>
  <c r="I720" i="1"/>
  <c r="E720" i="1"/>
  <c r="D720" i="1"/>
  <c r="C720" i="1"/>
  <c r="B720" i="1"/>
  <c r="AC719" i="1"/>
  <c r="AB719" i="1"/>
  <c r="Z719" i="1"/>
  <c r="W719" i="1"/>
  <c r="V719" i="1"/>
  <c r="U719" i="1"/>
  <c r="I719" i="1"/>
  <c r="E719" i="1"/>
  <c r="D719" i="1"/>
  <c r="C719" i="1"/>
  <c r="B719" i="1"/>
  <c r="AC718" i="1"/>
  <c r="AB718" i="1"/>
  <c r="Z718" i="1"/>
  <c r="W718" i="1"/>
  <c r="V718" i="1"/>
  <c r="U718" i="1"/>
  <c r="I718" i="1"/>
  <c r="E718" i="1"/>
  <c r="D718" i="1"/>
  <c r="C718" i="1"/>
  <c r="B718" i="1"/>
  <c r="AC717" i="1"/>
  <c r="AB717" i="1"/>
  <c r="Z717" i="1"/>
  <c r="W717" i="1"/>
  <c r="V717" i="1"/>
  <c r="U717" i="1"/>
  <c r="I717" i="1"/>
  <c r="E717" i="1"/>
  <c r="D717" i="1"/>
  <c r="C717" i="1"/>
  <c r="B717" i="1"/>
  <c r="AC716" i="1"/>
  <c r="AB716" i="1"/>
  <c r="Z716" i="1"/>
  <c r="W716" i="1"/>
  <c r="V716" i="1"/>
  <c r="U716" i="1"/>
  <c r="I716" i="1"/>
  <c r="E716" i="1"/>
  <c r="D716" i="1"/>
  <c r="C716" i="1"/>
  <c r="B716" i="1"/>
  <c r="AC715" i="1"/>
  <c r="AB715" i="1"/>
  <c r="Z715" i="1"/>
  <c r="W715" i="1"/>
  <c r="V715" i="1"/>
  <c r="U715" i="1"/>
  <c r="I715" i="1"/>
  <c r="E715" i="1"/>
  <c r="D715" i="1"/>
  <c r="C715" i="1"/>
  <c r="B715" i="1"/>
  <c r="AC714" i="1"/>
  <c r="AB714" i="1"/>
  <c r="Z714" i="1"/>
  <c r="W714" i="1"/>
  <c r="V714" i="1"/>
  <c r="U714" i="1"/>
  <c r="I714" i="1"/>
  <c r="E714" i="1"/>
  <c r="D714" i="1"/>
  <c r="C714" i="1"/>
  <c r="B714" i="1"/>
  <c r="AC713" i="1"/>
  <c r="AB713" i="1"/>
  <c r="Z713" i="1"/>
  <c r="W713" i="1"/>
  <c r="V713" i="1"/>
  <c r="U713" i="1"/>
  <c r="I713" i="1"/>
  <c r="E713" i="1"/>
  <c r="D713" i="1"/>
  <c r="C713" i="1"/>
  <c r="B713" i="1"/>
  <c r="AC712" i="1"/>
  <c r="AB712" i="1"/>
  <c r="Z712" i="1"/>
  <c r="W712" i="1"/>
  <c r="V712" i="1"/>
  <c r="U712" i="1"/>
  <c r="I712" i="1"/>
  <c r="E712" i="1"/>
  <c r="D712" i="1"/>
  <c r="C712" i="1"/>
  <c r="B712" i="1"/>
  <c r="AC711" i="1"/>
  <c r="AB711" i="1"/>
  <c r="Z711" i="1"/>
  <c r="W711" i="1"/>
  <c r="V711" i="1"/>
  <c r="U711" i="1"/>
  <c r="I711" i="1"/>
  <c r="E711" i="1"/>
  <c r="D711" i="1"/>
  <c r="C711" i="1"/>
  <c r="B711" i="1"/>
  <c r="AC710" i="1"/>
  <c r="AB710" i="1"/>
  <c r="Z710" i="1"/>
  <c r="W710" i="1"/>
  <c r="V710" i="1"/>
  <c r="U710" i="1"/>
  <c r="I710" i="1"/>
  <c r="E710" i="1"/>
  <c r="D710" i="1"/>
  <c r="C710" i="1"/>
  <c r="B710" i="1"/>
  <c r="AC709" i="1"/>
  <c r="AB709" i="1"/>
  <c r="Z709" i="1"/>
  <c r="W709" i="1"/>
  <c r="V709" i="1"/>
  <c r="U709" i="1"/>
  <c r="I709" i="1"/>
  <c r="E709" i="1"/>
  <c r="D709" i="1"/>
  <c r="C709" i="1"/>
  <c r="B709" i="1"/>
  <c r="AC708" i="1"/>
  <c r="AB708" i="1"/>
  <c r="Z708" i="1"/>
  <c r="W708" i="1"/>
  <c r="V708" i="1"/>
  <c r="U708" i="1"/>
  <c r="I708" i="1"/>
  <c r="E708" i="1"/>
  <c r="D708" i="1"/>
  <c r="C708" i="1"/>
  <c r="B708" i="1"/>
  <c r="AC707" i="1"/>
  <c r="AB707" i="1"/>
  <c r="Z707" i="1"/>
  <c r="W707" i="1"/>
  <c r="V707" i="1"/>
  <c r="U707" i="1"/>
  <c r="I707" i="1"/>
  <c r="E707" i="1"/>
  <c r="D707" i="1"/>
  <c r="C707" i="1"/>
  <c r="B707" i="1"/>
  <c r="AC706" i="1"/>
  <c r="AB706" i="1"/>
  <c r="Z706" i="1"/>
  <c r="W706" i="1"/>
  <c r="V706" i="1"/>
  <c r="U706" i="1"/>
  <c r="I706" i="1"/>
  <c r="E706" i="1"/>
  <c r="D706" i="1"/>
  <c r="C706" i="1"/>
  <c r="B706" i="1"/>
  <c r="AC705" i="1"/>
  <c r="AB705" i="1"/>
  <c r="Z705" i="1"/>
  <c r="W705" i="1"/>
  <c r="V705" i="1"/>
  <c r="U705" i="1"/>
  <c r="I705" i="1"/>
  <c r="E705" i="1"/>
  <c r="D705" i="1"/>
  <c r="C705" i="1"/>
  <c r="B705" i="1"/>
  <c r="AC704" i="1"/>
  <c r="AB704" i="1"/>
  <c r="Z704" i="1"/>
  <c r="W704" i="1"/>
  <c r="V704" i="1"/>
  <c r="U704" i="1"/>
  <c r="I704" i="1"/>
  <c r="E704" i="1"/>
  <c r="D704" i="1"/>
  <c r="C704" i="1"/>
  <c r="B704" i="1"/>
  <c r="AC703" i="1"/>
  <c r="AB703" i="1"/>
  <c r="Z703" i="1"/>
  <c r="W703" i="1"/>
  <c r="V703" i="1"/>
  <c r="U703" i="1"/>
  <c r="I703" i="1"/>
  <c r="E703" i="1"/>
  <c r="D703" i="1"/>
  <c r="C703" i="1"/>
  <c r="B703" i="1"/>
  <c r="AC702" i="1"/>
  <c r="AB702" i="1"/>
  <c r="Z702" i="1"/>
  <c r="W702" i="1"/>
  <c r="V702" i="1"/>
  <c r="U702" i="1"/>
  <c r="I702" i="1"/>
  <c r="E702" i="1"/>
  <c r="D702" i="1"/>
  <c r="C702" i="1"/>
  <c r="B702" i="1"/>
  <c r="AC701" i="1"/>
  <c r="AB701" i="1"/>
  <c r="Z701" i="1"/>
  <c r="W701" i="1"/>
  <c r="V701" i="1"/>
  <c r="U701" i="1"/>
  <c r="I701" i="1"/>
  <c r="E701" i="1"/>
  <c r="D701" i="1"/>
  <c r="C701" i="1"/>
  <c r="B701" i="1"/>
  <c r="AC700" i="1"/>
  <c r="AB700" i="1"/>
  <c r="Z700" i="1"/>
  <c r="W700" i="1"/>
  <c r="V700" i="1"/>
  <c r="U700" i="1"/>
  <c r="I700" i="1"/>
  <c r="E700" i="1"/>
  <c r="D700" i="1"/>
  <c r="C700" i="1"/>
  <c r="B700" i="1"/>
  <c r="AC699" i="1"/>
  <c r="AB699" i="1"/>
  <c r="Z699" i="1"/>
  <c r="W699" i="1"/>
  <c r="V699" i="1"/>
  <c r="U699" i="1"/>
  <c r="I699" i="1"/>
  <c r="E699" i="1"/>
  <c r="D699" i="1"/>
  <c r="C699" i="1"/>
  <c r="B699" i="1"/>
  <c r="AC698" i="1"/>
  <c r="AB698" i="1"/>
  <c r="Z698" i="1"/>
  <c r="W698" i="1"/>
  <c r="V698" i="1"/>
  <c r="U698" i="1"/>
  <c r="I698" i="1"/>
  <c r="E698" i="1"/>
  <c r="D698" i="1"/>
  <c r="C698" i="1"/>
  <c r="B698" i="1"/>
  <c r="AC697" i="1"/>
  <c r="AB697" i="1"/>
  <c r="Z697" i="1"/>
  <c r="W697" i="1"/>
  <c r="V697" i="1"/>
  <c r="U697" i="1"/>
  <c r="I697" i="1"/>
  <c r="E697" i="1"/>
  <c r="D697" i="1"/>
  <c r="C697" i="1"/>
  <c r="B697" i="1"/>
  <c r="AC696" i="1"/>
  <c r="AB696" i="1"/>
  <c r="Z696" i="1"/>
  <c r="W696" i="1"/>
  <c r="V696" i="1"/>
  <c r="U696" i="1"/>
  <c r="I696" i="1"/>
  <c r="E696" i="1"/>
  <c r="D696" i="1"/>
  <c r="C696" i="1"/>
  <c r="B696" i="1"/>
  <c r="AC695" i="1"/>
  <c r="AB695" i="1"/>
  <c r="Z695" i="1"/>
  <c r="W695" i="1"/>
  <c r="V695" i="1"/>
  <c r="U695" i="1"/>
  <c r="I695" i="1"/>
  <c r="E695" i="1"/>
  <c r="D695" i="1"/>
  <c r="C695" i="1"/>
  <c r="B695" i="1"/>
  <c r="AC694" i="1"/>
  <c r="AB694" i="1"/>
  <c r="Z694" i="1"/>
  <c r="W694" i="1"/>
  <c r="V694" i="1"/>
  <c r="U694" i="1"/>
  <c r="I694" i="1"/>
  <c r="E694" i="1"/>
  <c r="D694" i="1"/>
  <c r="C694" i="1"/>
  <c r="B694" i="1"/>
  <c r="AC693" i="1"/>
  <c r="AB693" i="1"/>
  <c r="Z693" i="1"/>
  <c r="W693" i="1"/>
  <c r="V693" i="1"/>
  <c r="U693" i="1"/>
  <c r="I693" i="1"/>
  <c r="E693" i="1"/>
  <c r="D693" i="1"/>
  <c r="C693" i="1"/>
  <c r="B693" i="1"/>
  <c r="AC692" i="1"/>
  <c r="AB692" i="1"/>
  <c r="Z692" i="1"/>
  <c r="W692" i="1"/>
  <c r="V692" i="1"/>
  <c r="U692" i="1"/>
  <c r="I692" i="1"/>
  <c r="E692" i="1"/>
  <c r="D692" i="1"/>
  <c r="C692" i="1"/>
  <c r="B692" i="1"/>
  <c r="AC691" i="1"/>
  <c r="AB691" i="1"/>
  <c r="Z691" i="1"/>
  <c r="W691" i="1"/>
  <c r="V691" i="1"/>
  <c r="U691" i="1"/>
  <c r="I691" i="1"/>
  <c r="E691" i="1"/>
  <c r="D691" i="1"/>
  <c r="C691" i="1"/>
  <c r="B691" i="1"/>
  <c r="AC690" i="1"/>
  <c r="AB690" i="1"/>
  <c r="Z690" i="1"/>
  <c r="W690" i="1"/>
  <c r="V690" i="1"/>
  <c r="U690" i="1"/>
  <c r="I690" i="1"/>
  <c r="E690" i="1"/>
  <c r="D690" i="1"/>
  <c r="C690" i="1"/>
  <c r="B690" i="1"/>
  <c r="AC689" i="1"/>
  <c r="AB689" i="1"/>
  <c r="Z689" i="1"/>
  <c r="W689" i="1"/>
  <c r="V689" i="1"/>
  <c r="U689" i="1"/>
  <c r="I689" i="1"/>
  <c r="E689" i="1"/>
  <c r="D689" i="1"/>
  <c r="C689" i="1"/>
  <c r="B689" i="1"/>
  <c r="AC688" i="1"/>
  <c r="AB688" i="1"/>
  <c r="Z688" i="1"/>
  <c r="W688" i="1"/>
  <c r="V688" i="1"/>
  <c r="U688" i="1"/>
  <c r="I688" i="1"/>
  <c r="E688" i="1"/>
  <c r="D688" i="1"/>
  <c r="C688" i="1"/>
  <c r="B688" i="1"/>
  <c r="AC687" i="1"/>
  <c r="AB687" i="1"/>
  <c r="Z687" i="1"/>
  <c r="W687" i="1"/>
  <c r="V687" i="1"/>
  <c r="U687" i="1"/>
  <c r="I687" i="1"/>
  <c r="E687" i="1"/>
  <c r="D687" i="1"/>
  <c r="C687" i="1"/>
  <c r="B687" i="1"/>
  <c r="AC686" i="1"/>
  <c r="AB686" i="1"/>
  <c r="Z686" i="1"/>
  <c r="W686" i="1"/>
  <c r="V686" i="1"/>
  <c r="U686" i="1"/>
  <c r="I686" i="1"/>
  <c r="E686" i="1"/>
  <c r="D686" i="1"/>
  <c r="C686" i="1"/>
  <c r="B686" i="1"/>
  <c r="AC685" i="1"/>
  <c r="AB685" i="1"/>
  <c r="Z685" i="1"/>
  <c r="W685" i="1"/>
  <c r="V685" i="1"/>
  <c r="U685" i="1"/>
  <c r="I685" i="1"/>
  <c r="E685" i="1"/>
  <c r="D685" i="1"/>
  <c r="C685" i="1"/>
  <c r="B685" i="1"/>
  <c r="AC684" i="1"/>
  <c r="AB684" i="1"/>
  <c r="Z684" i="1"/>
  <c r="W684" i="1"/>
  <c r="V684" i="1"/>
  <c r="U684" i="1"/>
  <c r="I684" i="1"/>
  <c r="E684" i="1"/>
  <c r="D684" i="1"/>
  <c r="C684" i="1"/>
  <c r="B684" i="1"/>
  <c r="AC683" i="1"/>
  <c r="AB683" i="1"/>
  <c r="Z683" i="1"/>
  <c r="W683" i="1"/>
  <c r="V683" i="1"/>
  <c r="U683" i="1"/>
  <c r="I683" i="1"/>
  <c r="E683" i="1"/>
  <c r="D683" i="1"/>
  <c r="C683" i="1"/>
  <c r="B683" i="1"/>
  <c r="AC682" i="1"/>
  <c r="AB682" i="1"/>
  <c r="Z682" i="1"/>
  <c r="W682" i="1"/>
  <c r="V682" i="1"/>
  <c r="U682" i="1"/>
  <c r="I682" i="1"/>
  <c r="E682" i="1"/>
  <c r="D682" i="1"/>
  <c r="C682" i="1"/>
  <c r="B682" i="1"/>
  <c r="AC681" i="1"/>
  <c r="AB681" i="1"/>
  <c r="Z681" i="1"/>
  <c r="W681" i="1"/>
  <c r="V681" i="1"/>
  <c r="U681" i="1"/>
  <c r="I681" i="1"/>
  <c r="E681" i="1"/>
  <c r="D681" i="1"/>
  <c r="C681" i="1"/>
  <c r="B681" i="1"/>
  <c r="AC680" i="1"/>
  <c r="AB680" i="1"/>
  <c r="Z680" i="1"/>
  <c r="W680" i="1"/>
  <c r="V680" i="1"/>
  <c r="U680" i="1"/>
  <c r="I680" i="1"/>
  <c r="E680" i="1"/>
  <c r="D680" i="1"/>
  <c r="C680" i="1"/>
  <c r="B680" i="1"/>
  <c r="AC679" i="1"/>
  <c r="AB679" i="1"/>
  <c r="Z679" i="1"/>
  <c r="W679" i="1"/>
  <c r="V679" i="1"/>
  <c r="U679" i="1"/>
  <c r="I679" i="1"/>
  <c r="E679" i="1"/>
  <c r="D679" i="1"/>
  <c r="C679" i="1"/>
  <c r="B679" i="1"/>
  <c r="AC678" i="1"/>
  <c r="AB678" i="1"/>
  <c r="Z678" i="1"/>
  <c r="W678" i="1"/>
  <c r="V678" i="1"/>
  <c r="U678" i="1"/>
  <c r="I678" i="1"/>
  <c r="E678" i="1"/>
  <c r="D678" i="1"/>
  <c r="C678" i="1"/>
  <c r="B678" i="1"/>
  <c r="AC677" i="1"/>
  <c r="AB677" i="1"/>
  <c r="Z677" i="1"/>
  <c r="W677" i="1"/>
  <c r="V677" i="1"/>
  <c r="U677" i="1"/>
  <c r="I677" i="1"/>
  <c r="E677" i="1"/>
  <c r="D677" i="1"/>
  <c r="C677" i="1"/>
  <c r="B677" i="1"/>
  <c r="AC676" i="1"/>
  <c r="AB676" i="1"/>
  <c r="Z676" i="1"/>
  <c r="W676" i="1"/>
  <c r="V676" i="1"/>
  <c r="U676" i="1"/>
  <c r="I676" i="1"/>
  <c r="E676" i="1"/>
  <c r="D676" i="1"/>
  <c r="C676" i="1"/>
  <c r="B676" i="1"/>
  <c r="AC675" i="1"/>
  <c r="AB675" i="1"/>
  <c r="Z675" i="1"/>
  <c r="W675" i="1"/>
  <c r="V675" i="1"/>
  <c r="U675" i="1"/>
  <c r="I675" i="1"/>
  <c r="E675" i="1"/>
  <c r="D675" i="1"/>
  <c r="C675" i="1"/>
  <c r="B675" i="1"/>
  <c r="AC674" i="1"/>
  <c r="AB674" i="1"/>
  <c r="Z674" i="1"/>
  <c r="W674" i="1"/>
  <c r="V674" i="1"/>
  <c r="U674" i="1"/>
  <c r="I674" i="1"/>
  <c r="E674" i="1"/>
  <c r="D674" i="1"/>
  <c r="C674" i="1"/>
  <c r="B674" i="1"/>
  <c r="AC673" i="1"/>
  <c r="AB673" i="1"/>
  <c r="Z673" i="1"/>
  <c r="W673" i="1"/>
  <c r="V673" i="1"/>
  <c r="U673" i="1"/>
  <c r="I673" i="1"/>
  <c r="E673" i="1"/>
  <c r="D673" i="1"/>
  <c r="C673" i="1"/>
  <c r="B673" i="1"/>
  <c r="AC672" i="1"/>
  <c r="AB672" i="1"/>
  <c r="Z672" i="1"/>
  <c r="W672" i="1"/>
  <c r="V672" i="1"/>
  <c r="U672" i="1"/>
  <c r="I672" i="1"/>
  <c r="E672" i="1"/>
  <c r="D672" i="1"/>
  <c r="C672" i="1"/>
  <c r="B672" i="1"/>
  <c r="AC671" i="1"/>
  <c r="AB671" i="1"/>
  <c r="Z671" i="1"/>
  <c r="W671" i="1"/>
  <c r="V671" i="1"/>
  <c r="U671" i="1"/>
  <c r="I671" i="1"/>
  <c r="E671" i="1"/>
  <c r="D671" i="1"/>
  <c r="C671" i="1"/>
  <c r="B671" i="1"/>
  <c r="AC670" i="1"/>
  <c r="AB670" i="1"/>
  <c r="Z670" i="1"/>
  <c r="W670" i="1"/>
  <c r="V670" i="1"/>
  <c r="U670" i="1"/>
  <c r="I670" i="1"/>
  <c r="E670" i="1"/>
  <c r="D670" i="1"/>
  <c r="C670" i="1"/>
  <c r="B670" i="1"/>
  <c r="AC669" i="1"/>
  <c r="AB669" i="1"/>
  <c r="Z669" i="1"/>
  <c r="W669" i="1"/>
  <c r="V669" i="1"/>
  <c r="U669" i="1"/>
  <c r="I669" i="1"/>
  <c r="E669" i="1"/>
  <c r="D669" i="1"/>
  <c r="C669" i="1"/>
  <c r="B669" i="1"/>
  <c r="AC668" i="1"/>
  <c r="AB668" i="1"/>
  <c r="Z668" i="1"/>
  <c r="W668" i="1"/>
  <c r="V668" i="1"/>
  <c r="U668" i="1"/>
  <c r="I668" i="1"/>
  <c r="E668" i="1"/>
  <c r="D668" i="1"/>
  <c r="C668" i="1"/>
  <c r="B668" i="1"/>
  <c r="AC667" i="1"/>
  <c r="AB667" i="1"/>
  <c r="Z667" i="1"/>
  <c r="W667" i="1"/>
  <c r="V667" i="1"/>
  <c r="U667" i="1"/>
  <c r="I667" i="1"/>
  <c r="E667" i="1"/>
  <c r="D667" i="1"/>
  <c r="C667" i="1"/>
  <c r="B667" i="1"/>
  <c r="AC666" i="1"/>
  <c r="AB666" i="1"/>
  <c r="Z666" i="1"/>
  <c r="W666" i="1"/>
  <c r="V666" i="1"/>
  <c r="U666" i="1"/>
  <c r="I666" i="1"/>
  <c r="E666" i="1"/>
  <c r="D666" i="1"/>
  <c r="C666" i="1"/>
  <c r="B666" i="1"/>
  <c r="AC665" i="1"/>
  <c r="AB665" i="1"/>
  <c r="Z665" i="1"/>
  <c r="W665" i="1"/>
  <c r="V665" i="1"/>
  <c r="U665" i="1"/>
  <c r="I665" i="1"/>
  <c r="E665" i="1"/>
  <c r="D665" i="1"/>
  <c r="C665" i="1"/>
  <c r="B665" i="1"/>
  <c r="AC664" i="1"/>
  <c r="AB664" i="1"/>
  <c r="Z664" i="1"/>
  <c r="W664" i="1"/>
  <c r="V664" i="1"/>
  <c r="U664" i="1"/>
  <c r="I664" i="1"/>
  <c r="E664" i="1"/>
  <c r="D664" i="1"/>
  <c r="C664" i="1"/>
  <c r="B664" i="1"/>
  <c r="AC663" i="1"/>
  <c r="AB663" i="1"/>
  <c r="Z663" i="1"/>
  <c r="W663" i="1"/>
  <c r="V663" i="1"/>
  <c r="U663" i="1"/>
  <c r="I663" i="1"/>
  <c r="E663" i="1"/>
  <c r="D663" i="1"/>
  <c r="C663" i="1"/>
  <c r="B663" i="1"/>
  <c r="AC662" i="1"/>
  <c r="AB662" i="1"/>
  <c r="Z662" i="1"/>
  <c r="W662" i="1"/>
  <c r="V662" i="1"/>
  <c r="U662" i="1"/>
  <c r="I662" i="1"/>
  <c r="E662" i="1"/>
  <c r="D662" i="1"/>
  <c r="C662" i="1"/>
  <c r="B662" i="1"/>
  <c r="AC661" i="1"/>
  <c r="AB661" i="1"/>
  <c r="Z661" i="1"/>
  <c r="W661" i="1"/>
  <c r="V661" i="1"/>
  <c r="U661" i="1"/>
  <c r="I661" i="1"/>
  <c r="E661" i="1"/>
  <c r="D661" i="1"/>
  <c r="C661" i="1"/>
  <c r="B661" i="1"/>
  <c r="AC660" i="1"/>
  <c r="AB660" i="1"/>
  <c r="Z660" i="1"/>
  <c r="W660" i="1"/>
  <c r="V660" i="1"/>
  <c r="U660" i="1"/>
  <c r="I660" i="1"/>
  <c r="E660" i="1"/>
  <c r="D660" i="1"/>
  <c r="C660" i="1"/>
  <c r="B660" i="1"/>
  <c r="AC659" i="1"/>
  <c r="AB659" i="1"/>
  <c r="Z659" i="1"/>
  <c r="W659" i="1"/>
  <c r="V659" i="1"/>
  <c r="U659" i="1"/>
  <c r="I659" i="1"/>
  <c r="E659" i="1"/>
  <c r="D659" i="1"/>
  <c r="C659" i="1"/>
  <c r="B659" i="1"/>
  <c r="AC658" i="1"/>
  <c r="AB658" i="1"/>
  <c r="Z658" i="1"/>
  <c r="W658" i="1"/>
  <c r="V658" i="1"/>
  <c r="U658" i="1"/>
  <c r="I658" i="1"/>
  <c r="E658" i="1"/>
  <c r="D658" i="1"/>
  <c r="C658" i="1"/>
  <c r="B658" i="1"/>
  <c r="AC657" i="1"/>
  <c r="AB657" i="1"/>
  <c r="Z657" i="1"/>
  <c r="W657" i="1"/>
  <c r="V657" i="1"/>
  <c r="U657" i="1"/>
  <c r="I657" i="1"/>
  <c r="E657" i="1"/>
  <c r="D657" i="1"/>
  <c r="C657" i="1"/>
  <c r="B657" i="1"/>
  <c r="AC656" i="1"/>
  <c r="AB656" i="1"/>
  <c r="Z656" i="1"/>
  <c r="W656" i="1"/>
  <c r="V656" i="1"/>
  <c r="U656" i="1"/>
  <c r="I656" i="1"/>
  <c r="E656" i="1"/>
  <c r="D656" i="1"/>
  <c r="C656" i="1"/>
  <c r="B656" i="1"/>
  <c r="AC655" i="1"/>
  <c r="AB655" i="1"/>
  <c r="Z655" i="1"/>
  <c r="W655" i="1"/>
  <c r="V655" i="1"/>
  <c r="U655" i="1"/>
  <c r="I655" i="1"/>
  <c r="E655" i="1"/>
  <c r="D655" i="1"/>
  <c r="C655" i="1"/>
  <c r="B655" i="1"/>
  <c r="AC654" i="1"/>
  <c r="AB654" i="1"/>
  <c r="Z654" i="1"/>
  <c r="W654" i="1"/>
  <c r="V654" i="1"/>
  <c r="U654" i="1"/>
  <c r="I654" i="1"/>
  <c r="E654" i="1"/>
  <c r="D654" i="1"/>
  <c r="C654" i="1"/>
  <c r="B654" i="1"/>
  <c r="AC653" i="1"/>
  <c r="AB653" i="1"/>
  <c r="Z653" i="1"/>
  <c r="W653" i="1"/>
  <c r="V653" i="1"/>
  <c r="U653" i="1"/>
  <c r="I653" i="1"/>
  <c r="E653" i="1"/>
  <c r="D653" i="1"/>
  <c r="C653" i="1"/>
  <c r="B653" i="1"/>
  <c r="AC652" i="1"/>
  <c r="AB652" i="1"/>
  <c r="Z652" i="1"/>
  <c r="W652" i="1"/>
  <c r="V652" i="1"/>
  <c r="U652" i="1"/>
  <c r="I652" i="1"/>
  <c r="E652" i="1"/>
  <c r="D652" i="1"/>
  <c r="C652" i="1"/>
  <c r="B652" i="1"/>
  <c r="AC651" i="1"/>
  <c r="AB651" i="1"/>
  <c r="Z651" i="1"/>
  <c r="W651" i="1"/>
  <c r="V651" i="1"/>
  <c r="U651" i="1"/>
  <c r="I651" i="1"/>
  <c r="E651" i="1"/>
  <c r="D651" i="1"/>
  <c r="C651" i="1"/>
  <c r="B651" i="1"/>
  <c r="AC650" i="1"/>
  <c r="AB650" i="1"/>
  <c r="Z650" i="1"/>
  <c r="W650" i="1"/>
  <c r="V650" i="1"/>
  <c r="U650" i="1"/>
  <c r="I650" i="1"/>
  <c r="E650" i="1"/>
  <c r="D650" i="1"/>
  <c r="C650" i="1"/>
  <c r="B650" i="1"/>
  <c r="AC649" i="1"/>
  <c r="AB649" i="1"/>
  <c r="Z649" i="1"/>
  <c r="W649" i="1"/>
  <c r="V649" i="1"/>
  <c r="U649" i="1"/>
  <c r="I649" i="1"/>
  <c r="E649" i="1"/>
  <c r="D649" i="1"/>
  <c r="C649" i="1"/>
  <c r="B649" i="1"/>
  <c r="AC648" i="1"/>
  <c r="AB648" i="1"/>
  <c r="Z648" i="1"/>
  <c r="W648" i="1"/>
  <c r="V648" i="1"/>
  <c r="U648" i="1"/>
  <c r="I648" i="1"/>
  <c r="E648" i="1"/>
  <c r="D648" i="1"/>
  <c r="C648" i="1"/>
  <c r="B648" i="1"/>
  <c r="AC647" i="1"/>
  <c r="AB647" i="1"/>
  <c r="Z647" i="1"/>
  <c r="W647" i="1"/>
  <c r="V647" i="1"/>
  <c r="U647" i="1"/>
  <c r="I647" i="1"/>
  <c r="E647" i="1"/>
  <c r="D647" i="1"/>
  <c r="C647" i="1"/>
  <c r="B647" i="1"/>
  <c r="AC646" i="1"/>
  <c r="AB646" i="1"/>
  <c r="Z646" i="1"/>
  <c r="W646" i="1"/>
  <c r="V646" i="1"/>
  <c r="U646" i="1"/>
  <c r="I646" i="1"/>
  <c r="E646" i="1"/>
  <c r="D646" i="1"/>
  <c r="C646" i="1"/>
  <c r="B646" i="1"/>
  <c r="AC645" i="1"/>
  <c r="AB645" i="1"/>
  <c r="Z645" i="1"/>
  <c r="W645" i="1"/>
  <c r="V645" i="1"/>
  <c r="U645" i="1"/>
  <c r="I645" i="1"/>
  <c r="E645" i="1"/>
  <c r="D645" i="1"/>
  <c r="C645" i="1"/>
  <c r="B645" i="1"/>
  <c r="AC644" i="1"/>
  <c r="AB644" i="1"/>
  <c r="Z644" i="1"/>
  <c r="W644" i="1"/>
  <c r="V644" i="1"/>
  <c r="U644" i="1"/>
  <c r="I644" i="1"/>
  <c r="E644" i="1"/>
  <c r="D644" i="1"/>
  <c r="C644" i="1"/>
  <c r="B644" i="1"/>
  <c r="AC643" i="1"/>
  <c r="AB643" i="1"/>
  <c r="Z643" i="1"/>
  <c r="W643" i="1"/>
  <c r="V643" i="1"/>
  <c r="U643" i="1"/>
  <c r="I643" i="1"/>
  <c r="E643" i="1"/>
  <c r="D643" i="1"/>
  <c r="C643" i="1"/>
  <c r="B643" i="1"/>
  <c r="AC642" i="1"/>
  <c r="AB642" i="1"/>
  <c r="Z642" i="1"/>
  <c r="W642" i="1"/>
  <c r="V642" i="1"/>
  <c r="U642" i="1"/>
  <c r="I642" i="1"/>
  <c r="E642" i="1"/>
  <c r="D642" i="1"/>
  <c r="C642" i="1"/>
  <c r="B642" i="1"/>
  <c r="AC641" i="1"/>
  <c r="AB641" i="1"/>
  <c r="Z641" i="1"/>
  <c r="W641" i="1"/>
  <c r="V641" i="1"/>
  <c r="U641" i="1"/>
  <c r="I641" i="1"/>
  <c r="E641" i="1"/>
  <c r="D641" i="1"/>
  <c r="C641" i="1"/>
  <c r="B641" i="1"/>
  <c r="AC640" i="1"/>
  <c r="AB640" i="1"/>
  <c r="Z640" i="1"/>
  <c r="W640" i="1"/>
  <c r="V640" i="1"/>
  <c r="U640" i="1"/>
  <c r="I640" i="1"/>
  <c r="E640" i="1"/>
  <c r="D640" i="1"/>
  <c r="C640" i="1"/>
  <c r="B640" i="1"/>
  <c r="AC639" i="1"/>
  <c r="AB639" i="1"/>
  <c r="Z639" i="1"/>
  <c r="W639" i="1"/>
  <c r="V639" i="1"/>
  <c r="U639" i="1"/>
  <c r="I639" i="1"/>
  <c r="E639" i="1"/>
  <c r="D639" i="1"/>
  <c r="C639" i="1"/>
  <c r="B639" i="1"/>
  <c r="AC638" i="1"/>
  <c r="AB638" i="1"/>
  <c r="Z638" i="1"/>
  <c r="W638" i="1"/>
  <c r="V638" i="1"/>
  <c r="U638" i="1"/>
  <c r="I638" i="1"/>
  <c r="E638" i="1"/>
  <c r="D638" i="1"/>
  <c r="C638" i="1"/>
  <c r="B638" i="1"/>
  <c r="AC637" i="1"/>
  <c r="AB637" i="1"/>
  <c r="Z637" i="1"/>
  <c r="W637" i="1"/>
  <c r="V637" i="1"/>
  <c r="U637" i="1"/>
  <c r="I637" i="1"/>
  <c r="E637" i="1"/>
  <c r="D637" i="1"/>
  <c r="C637" i="1"/>
  <c r="B637" i="1"/>
  <c r="AC636" i="1"/>
  <c r="AB636" i="1"/>
  <c r="Z636" i="1"/>
  <c r="W636" i="1"/>
  <c r="V636" i="1"/>
  <c r="U636" i="1"/>
  <c r="I636" i="1"/>
  <c r="E636" i="1"/>
  <c r="D636" i="1"/>
  <c r="C636" i="1"/>
  <c r="B636" i="1"/>
  <c r="AC635" i="1"/>
  <c r="AB635" i="1"/>
  <c r="Z635" i="1"/>
  <c r="W635" i="1"/>
  <c r="V635" i="1"/>
  <c r="U635" i="1"/>
  <c r="I635" i="1"/>
  <c r="E635" i="1"/>
  <c r="D635" i="1"/>
  <c r="C635" i="1"/>
  <c r="B635" i="1"/>
  <c r="AC634" i="1"/>
  <c r="AB634" i="1"/>
  <c r="Z634" i="1"/>
  <c r="W634" i="1"/>
  <c r="V634" i="1"/>
  <c r="U634" i="1"/>
  <c r="I634" i="1"/>
  <c r="E634" i="1"/>
  <c r="D634" i="1"/>
  <c r="C634" i="1"/>
  <c r="B634" i="1"/>
  <c r="AC633" i="1"/>
  <c r="AB633" i="1"/>
  <c r="Z633" i="1"/>
  <c r="W633" i="1"/>
  <c r="V633" i="1"/>
  <c r="U633" i="1"/>
  <c r="I633" i="1"/>
  <c r="E633" i="1"/>
  <c r="D633" i="1"/>
  <c r="C633" i="1"/>
  <c r="B633" i="1"/>
  <c r="AC632" i="1"/>
  <c r="AB632" i="1"/>
  <c r="Z632" i="1"/>
  <c r="W632" i="1"/>
  <c r="V632" i="1"/>
  <c r="U632" i="1"/>
  <c r="I632" i="1"/>
  <c r="E632" i="1"/>
  <c r="D632" i="1"/>
  <c r="C632" i="1"/>
  <c r="B632" i="1"/>
  <c r="AC631" i="1"/>
  <c r="AB631" i="1"/>
  <c r="Z631" i="1"/>
  <c r="W631" i="1"/>
  <c r="V631" i="1"/>
  <c r="U631" i="1"/>
  <c r="I631" i="1"/>
  <c r="E631" i="1"/>
  <c r="D631" i="1"/>
  <c r="C631" i="1"/>
  <c r="B631" i="1"/>
  <c r="AC630" i="1"/>
  <c r="AB630" i="1"/>
  <c r="Z630" i="1"/>
  <c r="W630" i="1"/>
  <c r="V630" i="1"/>
  <c r="U630" i="1"/>
  <c r="I630" i="1"/>
  <c r="E630" i="1"/>
  <c r="D630" i="1"/>
  <c r="C630" i="1"/>
  <c r="B630" i="1"/>
  <c r="AC629" i="1"/>
  <c r="AB629" i="1"/>
  <c r="Z629" i="1"/>
  <c r="W629" i="1"/>
  <c r="V629" i="1"/>
  <c r="U629" i="1"/>
  <c r="I629" i="1"/>
  <c r="E629" i="1"/>
  <c r="D629" i="1"/>
  <c r="C629" i="1"/>
  <c r="B629" i="1"/>
  <c r="AC628" i="1"/>
  <c r="AB628" i="1"/>
  <c r="Z628" i="1"/>
  <c r="W628" i="1"/>
  <c r="V628" i="1"/>
  <c r="U628" i="1"/>
  <c r="I628" i="1"/>
  <c r="E628" i="1"/>
  <c r="D628" i="1"/>
  <c r="C628" i="1"/>
  <c r="B628" i="1"/>
  <c r="AC627" i="1"/>
  <c r="AB627" i="1"/>
  <c r="Z627" i="1"/>
  <c r="W627" i="1"/>
  <c r="V627" i="1"/>
  <c r="U627" i="1"/>
  <c r="I627" i="1"/>
  <c r="E627" i="1"/>
  <c r="D627" i="1"/>
  <c r="C627" i="1"/>
  <c r="B627" i="1"/>
  <c r="AC626" i="1"/>
  <c r="AB626" i="1"/>
  <c r="Z626" i="1"/>
  <c r="W626" i="1"/>
  <c r="V626" i="1"/>
  <c r="U626" i="1"/>
  <c r="I626" i="1"/>
  <c r="E626" i="1"/>
  <c r="D626" i="1"/>
  <c r="C626" i="1"/>
  <c r="B626" i="1"/>
  <c r="AC625" i="1"/>
  <c r="AB625" i="1"/>
  <c r="Z625" i="1"/>
  <c r="W625" i="1"/>
  <c r="V625" i="1"/>
  <c r="U625" i="1"/>
  <c r="I625" i="1"/>
  <c r="E625" i="1"/>
  <c r="D625" i="1"/>
  <c r="C625" i="1"/>
  <c r="B625" i="1"/>
  <c r="AC624" i="1"/>
  <c r="AB624" i="1"/>
  <c r="Z624" i="1"/>
  <c r="W624" i="1"/>
  <c r="V624" i="1"/>
  <c r="U624" i="1"/>
  <c r="I624" i="1"/>
  <c r="E624" i="1"/>
  <c r="D624" i="1"/>
  <c r="C624" i="1"/>
  <c r="B624" i="1"/>
  <c r="AC623" i="1"/>
  <c r="AB623" i="1"/>
  <c r="Z623" i="1"/>
  <c r="W623" i="1"/>
  <c r="V623" i="1"/>
  <c r="U623" i="1"/>
  <c r="I623" i="1"/>
  <c r="E623" i="1"/>
  <c r="D623" i="1"/>
  <c r="C623" i="1"/>
  <c r="B623" i="1"/>
  <c r="AC622" i="1"/>
  <c r="AB622" i="1"/>
  <c r="Z622" i="1"/>
  <c r="W622" i="1"/>
  <c r="V622" i="1"/>
  <c r="U622" i="1"/>
  <c r="I622" i="1"/>
  <c r="E622" i="1"/>
  <c r="D622" i="1"/>
  <c r="C622" i="1"/>
  <c r="B622" i="1"/>
  <c r="AC621" i="1"/>
  <c r="AB621" i="1"/>
  <c r="Z621" i="1"/>
  <c r="W621" i="1"/>
  <c r="V621" i="1"/>
  <c r="U621" i="1"/>
  <c r="I621" i="1"/>
  <c r="E621" i="1"/>
  <c r="D621" i="1"/>
  <c r="C621" i="1"/>
  <c r="B621" i="1"/>
  <c r="AC620" i="1"/>
  <c r="AB620" i="1"/>
  <c r="Z620" i="1"/>
  <c r="W620" i="1"/>
  <c r="V620" i="1"/>
  <c r="U620" i="1"/>
  <c r="I620" i="1"/>
  <c r="E620" i="1"/>
  <c r="D620" i="1"/>
  <c r="C620" i="1"/>
  <c r="B620" i="1"/>
  <c r="AC619" i="1"/>
  <c r="AB619" i="1"/>
  <c r="Z619" i="1"/>
  <c r="W619" i="1"/>
  <c r="V619" i="1"/>
  <c r="U619" i="1"/>
  <c r="I619" i="1"/>
  <c r="E619" i="1"/>
  <c r="D619" i="1"/>
  <c r="C619" i="1"/>
  <c r="B619" i="1"/>
  <c r="AC618" i="1"/>
  <c r="AB618" i="1"/>
  <c r="Z618" i="1"/>
  <c r="W618" i="1"/>
  <c r="V618" i="1"/>
  <c r="U618" i="1"/>
  <c r="I618" i="1"/>
  <c r="E618" i="1"/>
  <c r="D618" i="1"/>
  <c r="C618" i="1"/>
  <c r="B618" i="1"/>
  <c r="AC617" i="1"/>
  <c r="AB617" i="1"/>
  <c r="Z617" i="1"/>
  <c r="W617" i="1"/>
  <c r="V617" i="1"/>
  <c r="U617" i="1"/>
  <c r="I617" i="1"/>
  <c r="E617" i="1"/>
  <c r="D617" i="1"/>
  <c r="C617" i="1"/>
  <c r="B617" i="1"/>
  <c r="AC616" i="1"/>
  <c r="AB616" i="1"/>
  <c r="Z616" i="1"/>
  <c r="W616" i="1"/>
  <c r="V616" i="1"/>
  <c r="U616" i="1"/>
  <c r="I616" i="1"/>
  <c r="E616" i="1"/>
  <c r="D616" i="1"/>
  <c r="C616" i="1"/>
  <c r="B616" i="1"/>
  <c r="AC615" i="1"/>
  <c r="AB615" i="1"/>
  <c r="Z615" i="1"/>
  <c r="W615" i="1"/>
  <c r="V615" i="1"/>
  <c r="U615" i="1"/>
  <c r="I615" i="1"/>
  <c r="E615" i="1"/>
  <c r="D615" i="1"/>
  <c r="C615" i="1"/>
  <c r="B615" i="1"/>
  <c r="AC614" i="1"/>
  <c r="AB614" i="1"/>
  <c r="Z614" i="1"/>
  <c r="W614" i="1"/>
  <c r="V614" i="1"/>
  <c r="U614" i="1"/>
  <c r="I614" i="1"/>
  <c r="E614" i="1"/>
  <c r="D614" i="1"/>
  <c r="C614" i="1"/>
  <c r="B614" i="1"/>
  <c r="AC613" i="1"/>
  <c r="AB613" i="1"/>
  <c r="Z613" i="1"/>
  <c r="W613" i="1"/>
  <c r="V613" i="1"/>
  <c r="U613" i="1"/>
  <c r="I613" i="1"/>
  <c r="E613" i="1"/>
  <c r="D613" i="1"/>
  <c r="C613" i="1"/>
  <c r="B613" i="1"/>
  <c r="AC612" i="1"/>
  <c r="AB612" i="1"/>
  <c r="Z612" i="1"/>
  <c r="W612" i="1"/>
  <c r="V612" i="1"/>
  <c r="U612" i="1"/>
  <c r="I612" i="1"/>
  <c r="E612" i="1"/>
  <c r="D612" i="1"/>
  <c r="C612" i="1"/>
  <c r="B612" i="1"/>
  <c r="AC611" i="1"/>
  <c r="AB611" i="1"/>
  <c r="Z611" i="1"/>
  <c r="W611" i="1"/>
  <c r="V611" i="1"/>
  <c r="U611" i="1"/>
  <c r="I611" i="1"/>
  <c r="E611" i="1"/>
  <c r="D611" i="1"/>
  <c r="C611" i="1"/>
  <c r="B611" i="1"/>
  <c r="AC610" i="1"/>
  <c r="AB610" i="1"/>
  <c r="Z610" i="1"/>
  <c r="W610" i="1"/>
  <c r="V610" i="1"/>
  <c r="U610" i="1"/>
  <c r="I610" i="1"/>
  <c r="E610" i="1"/>
  <c r="D610" i="1"/>
  <c r="C610" i="1"/>
  <c r="B610" i="1"/>
  <c r="AC609" i="1"/>
  <c r="AB609" i="1"/>
  <c r="Z609" i="1"/>
  <c r="W609" i="1"/>
  <c r="V609" i="1"/>
  <c r="U609" i="1"/>
  <c r="I609" i="1"/>
  <c r="E609" i="1"/>
  <c r="D609" i="1"/>
  <c r="C609" i="1"/>
  <c r="B609" i="1"/>
  <c r="AC608" i="1"/>
  <c r="AB608" i="1"/>
  <c r="Z608" i="1"/>
  <c r="W608" i="1"/>
  <c r="V608" i="1"/>
  <c r="U608" i="1"/>
  <c r="I608" i="1"/>
  <c r="E608" i="1"/>
  <c r="D608" i="1"/>
  <c r="C608" i="1"/>
  <c r="B608" i="1"/>
  <c r="AC607" i="1"/>
  <c r="AB607" i="1"/>
  <c r="Z607" i="1"/>
  <c r="W607" i="1"/>
  <c r="V607" i="1"/>
  <c r="U607" i="1"/>
  <c r="I607" i="1"/>
  <c r="E607" i="1"/>
  <c r="D607" i="1"/>
  <c r="C607" i="1"/>
  <c r="B607" i="1"/>
  <c r="AC606" i="1"/>
  <c r="AB606" i="1"/>
  <c r="Z606" i="1"/>
  <c r="W606" i="1"/>
  <c r="V606" i="1"/>
  <c r="U606" i="1"/>
  <c r="I606" i="1"/>
  <c r="E606" i="1"/>
  <c r="D606" i="1"/>
  <c r="C606" i="1"/>
  <c r="B606" i="1"/>
  <c r="AC605" i="1"/>
  <c r="AB605" i="1"/>
  <c r="Z605" i="1"/>
  <c r="W605" i="1"/>
  <c r="V605" i="1"/>
  <c r="U605" i="1"/>
  <c r="I605" i="1"/>
  <c r="E605" i="1"/>
  <c r="D605" i="1"/>
  <c r="C605" i="1"/>
  <c r="B605" i="1"/>
  <c r="AC604" i="1"/>
  <c r="AB604" i="1"/>
  <c r="Z604" i="1"/>
  <c r="W604" i="1"/>
  <c r="V604" i="1"/>
  <c r="U604" i="1"/>
  <c r="I604" i="1"/>
  <c r="E604" i="1"/>
  <c r="D604" i="1"/>
  <c r="C604" i="1"/>
  <c r="B604" i="1"/>
  <c r="AC603" i="1"/>
  <c r="AB603" i="1"/>
  <c r="Z603" i="1"/>
  <c r="W603" i="1"/>
  <c r="V603" i="1"/>
  <c r="U603" i="1"/>
  <c r="I603" i="1"/>
  <c r="E603" i="1"/>
  <c r="D603" i="1"/>
  <c r="C603" i="1"/>
  <c r="B603" i="1"/>
  <c r="AC602" i="1"/>
  <c r="AB602" i="1"/>
  <c r="Z602" i="1"/>
  <c r="W602" i="1"/>
  <c r="V602" i="1"/>
  <c r="U602" i="1"/>
  <c r="I602" i="1"/>
  <c r="E602" i="1"/>
  <c r="D602" i="1"/>
  <c r="C602" i="1"/>
  <c r="B602" i="1"/>
  <c r="AC601" i="1"/>
  <c r="AB601" i="1"/>
  <c r="Z601" i="1"/>
  <c r="W601" i="1"/>
  <c r="V601" i="1"/>
  <c r="U601" i="1"/>
  <c r="I601" i="1"/>
  <c r="E601" i="1"/>
  <c r="D601" i="1"/>
  <c r="C601" i="1"/>
  <c r="B601" i="1"/>
  <c r="AC600" i="1"/>
  <c r="AB600" i="1"/>
  <c r="Z600" i="1"/>
  <c r="W600" i="1"/>
  <c r="V600" i="1"/>
  <c r="U600" i="1"/>
  <c r="I600" i="1"/>
  <c r="E600" i="1"/>
  <c r="D600" i="1"/>
  <c r="C600" i="1"/>
  <c r="B600" i="1"/>
  <c r="AC599" i="1"/>
  <c r="AB599" i="1"/>
  <c r="Z599" i="1"/>
  <c r="W599" i="1"/>
  <c r="V599" i="1"/>
  <c r="U599" i="1"/>
  <c r="I599" i="1"/>
  <c r="E599" i="1"/>
  <c r="D599" i="1"/>
  <c r="C599" i="1"/>
  <c r="B599" i="1"/>
  <c r="AC598" i="1"/>
  <c r="AB598" i="1"/>
  <c r="Z598" i="1"/>
  <c r="W598" i="1"/>
  <c r="V598" i="1"/>
  <c r="U598" i="1"/>
  <c r="I598" i="1"/>
  <c r="E598" i="1"/>
  <c r="D598" i="1"/>
  <c r="C598" i="1"/>
  <c r="B598" i="1"/>
  <c r="AC597" i="1"/>
  <c r="AB597" i="1"/>
  <c r="Z597" i="1"/>
  <c r="W597" i="1"/>
  <c r="V597" i="1"/>
  <c r="U597" i="1"/>
  <c r="I597" i="1"/>
  <c r="E597" i="1"/>
  <c r="D597" i="1"/>
  <c r="C597" i="1"/>
  <c r="B597" i="1"/>
  <c r="AC596" i="1"/>
  <c r="AB596" i="1"/>
  <c r="Z596" i="1"/>
  <c r="W596" i="1"/>
  <c r="V596" i="1"/>
  <c r="U596" i="1"/>
  <c r="I596" i="1"/>
  <c r="E596" i="1"/>
  <c r="D596" i="1"/>
  <c r="C596" i="1"/>
  <c r="B596" i="1"/>
  <c r="AC595" i="1"/>
  <c r="AB595" i="1"/>
  <c r="Z595" i="1"/>
  <c r="W595" i="1"/>
  <c r="V595" i="1"/>
  <c r="U595" i="1"/>
  <c r="I595" i="1"/>
  <c r="E595" i="1"/>
  <c r="D595" i="1"/>
  <c r="C595" i="1"/>
  <c r="B595" i="1"/>
  <c r="AC594" i="1"/>
  <c r="AB594" i="1"/>
  <c r="Z594" i="1"/>
  <c r="W594" i="1"/>
  <c r="V594" i="1"/>
  <c r="U594" i="1"/>
  <c r="I594" i="1"/>
  <c r="E594" i="1"/>
  <c r="D594" i="1"/>
  <c r="C594" i="1"/>
  <c r="B594" i="1"/>
  <c r="AC593" i="1"/>
  <c r="AB593" i="1"/>
  <c r="Z593" i="1"/>
  <c r="W593" i="1"/>
  <c r="V593" i="1"/>
  <c r="U593" i="1"/>
  <c r="I593" i="1"/>
  <c r="E593" i="1"/>
  <c r="D593" i="1"/>
  <c r="C593" i="1"/>
  <c r="B593" i="1"/>
  <c r="AC592" i="1"/>
  <c r="AB592" i="1"/>
  <c r="Z592" i="1"/>
  <c r="W592" i="1"/>
  <c r="V592" i="1"/>
  <c r="U592" i="1"/>
  <c r="I592" i="1"/>
  <c r="E592" i="1"/>
  <c r="D592" i="1"/>
  <c r="C592" i="1"/>
  <c r="B592" i="1"/>
  <c r="AC591" i="1"/>
  <c r="AB591" i="1"/>
  <c r="Z591" i="1"/>
  <c r="W591" i="1"/>
  <c r="V591" i="1"/>
  <c r="U591" i="1"/>
  <c r="I591" i="1"/>
  <c r="E591" i="1"/>
  <c r="D591" i="1"/>
  <c r="C591" i="1"/>
  <c r="B591" i="1"/>
  <c r="AC590" i="1"/>
  <c r="AB590" i="1"/>
  <c r="Z590" i="1"/>
  <c r="W590" i="1"/>
  <c r="V590" i="1"/>
  <c r="U590" i="1"/>
  <c r="I590" i="1"/>
  <c r="E590" i="1"/>
  <c r="D590" i="1"/>
  <c r="C590" i="1"/>
  <c r="B590" i="1"/>
  <c r="AC589" i="1"/>
  <c r="AB589" i="1"/>
  <c r="Z589" i="1"/>
  <c r="W589" i="1"/>
  <c r="V589" i="1"/>
  <c r="U589" i="1"/>
  <c r="I589" i="1"/>
  <c r="E589" i="1"/>
  <c r="D589" i="1"/>
  <c r="C589" i="1"/>
  <c r="B589" i="1"/>
  <c r="AC588" i="1"/>
  <c r="AB588" i="1"/>
  <c r="Z588" i="1"/>
  <c r="W588" i="1"/>
  <c r="V588" i="1"/>
  <c r="U588" i="1"/>
  <c r="I588" i="1"/>
  <c r="E588" i="1"/>
  <c r="D588" i="1"/>
  <c r="C588" i="1"/>
  <c r="B588" i="1"/>
  <c r="AC587" i="1"/>
  <c r="AB587" i="1"/>
  <c r="Z587" i="1"/>
  <c r="W587" i="1"/>
  <c r="V587" i="1"/>
  <c r="U587" i="1"/>
  <c r="I587" i="1"/>
  <c r="E587" i="1"/>
  <c r="D587" i="1"/>
  <c r="C587" i="1"/>
  <c r="B587" i="1"/>
  <c r="AC586" i="1"/>
  <c r="AB586" i="1"/>
  <c r="Z586" i="1"/>
  <c r="W586" i="1"/>
  <c r="V586" i="1"/>
  <c r="U586" i="1"/>
  <c r="I586" i="1"/>
  <c r="E586" i="1"/>
  <c r="D586" i="1"/>
  <c r="C586" i="1"/>
  <c r="B586" i="1"/>
  <c r="AC585" i="1"/>
  <c r="AB585" i="1"/>
  <c r="Z585" i="1"/>
  <c r="W585" i="1"/>
  <c r="V585" i="1"/>
  <c r="U585" i="1"/>
  <c r="I585" i="1"/>
  <c r="E585" i="1"/>
  <c r="D585" i="1"/>
  <c r="C585" i="1"/>
  <c r="B585" i="1"/>
  <c r="AC584" i="1"/>
  <c r="AB584" i="1"/>
  <c r="Z584" i="1"/>
  <c r="W584" i="1"/>
  <c r="V584" i="1"/>
  <c r="U584" i="1"/>
  <c r="I584" i="1"/>
  <c r="E584" i="1"/>
  <c r="D584" i="1"/>
  <c r="C584" i="1"/>
  <c r="B584" i="1"/>
  <c r="AC583" i="1"/>
  <c r="AB583" i="1"/>
  <c r="Z583" i="1"/>
  <c r="W583" i="1"/>
  <c r="V583" i="1"/>
  <c r="U583" i="1"/>
  <c r="I583" i="1"/>
  <c r="E583" i="1"/>
  <c r="D583" i="1"/>
  <c r="C583" i="1"/>
  <c r="B583" i="1"/>
  <c r="AC582" i="1"/>
  <c r="AB582" i="1"/>
  <c r="Z582" i="1"/>
  <c r="W582" i="1"/>
  <c r="V582" i="1"/>
  <c r="U582" i="1"/>
  <c r="I582" i="1"/>
  <c r="E582" i="1"/>
  <c r="D582" i="1"/>
  <c r="C582" i="1"/>
  <c r="B582" i="1"/>
  <c r="AC581" i="1"/>
  <c r="AB581" i="1"/>
  <c r="Z581" i="1"/>
  <c r="W581" i="1"/>
  <c r="V581" i="1"/>
  <c r="U581" i="1"/>
  <c r="I581" i="1"/>
  <c r="E581" i="1"/>
  <c r="D581" i="1"/>
  <c r="C581" i="1"/>
  <c r="B581" i="1"/>
  <c r="AC580" i="1"/>
  <c r="AB580" i="1"/>
  <c r="Z580" i="1"/>
  <c r="W580" i="1"/>
  <c r="V580" i="1"/>
  <c r="U580" i="1"/>
  <c r="I580" i="1"/>
  <c r="E580" i="1"/>
  <c r="D580" i="1"/>
  <c r="C580" i="1"/>
  <c r="B580" i="1"/>
  <c r="AC579" i="1"/>
  <c r="AB579" i="1"/>
  <c r="Z579" i="1"/>
  <c r="W579" i="1"/>
  <c r="V579" i="1"/>
  <c r="U579" i="1"/>
  <c r="I579" i="1"/>
  <c r="E579" i="1"/>
  <c r="D579" i="1"/>
  <c r="C579" i="1"/>
  <c r="B579" i="1"/>
  <c r="AC578" i="1"/>
  <c r="AB578" i="1"/>
  <c r="Z578" i="1"/>
  <c r="W578" i="1"/>
  <c r="V578" i="1"/>
  <c r="U578" i="1"/>
  <c r="I578" i="1"/>
  <c r="E578" i="1"/>
  <c r="D578" i="1"/>
  <c r="C578" i="1"/>
  <c r="B578" i="1"/>
  <c r="AC577" i="1"/>
  <c r="AB577" i="1"/>
  <c r="Z577" i="1"/>
  <c r="W577" i="1"/>
  <c r="V577" i="1"/>
  <c r="U577" i="1"/>
  <c r="I577" i="1"/>
  <c r="E577" i="1"/>
  <c r="D577" i="1"/>
  <c r="C577" i="1"/>
  <c r="B577" i="1"/>
  <c r="AC576" i="1"/>
  <c r="AB576" i="1"/>
  <c r="Z576" i="1"/>
  <c r="W576" i="1"/>
  <c r="V576" i="1"/>
  <c r="U576" i="1"/>
  <c r="I576" i="1"/>
  <c r="E576" i="1"/>
  <c r="D576" i="1"/>
  <c r="C576" i="1"/>
  <c r="B576" i="1"/>
  <c r="AC575" i="1"/>
  <c r="AB575" i="1"/>
  <c r="Z575" i="1"/>
  <c r="W575" i="1"/>
  <c r="V575" i="1"/>
  <c r="U575" i="1"/>
  <c r="I575" i="1"/>
  <c r="E575" i="1"/>
  <c r="D575" i="1"/>
  <c r="C575" i="1"/>
  <c r="B575" i="1"/>
  <c r="AC574" i="1"/>
  <c r="AB574" i="1"/>
  <c r="Z574" i="1"/>
  <c r="W574" i="1"/>
  <c r="V574" i="1"/>
  <c r="U574" i="1"/>
  <c r="I574" i="1"/>
  <c r="E574" i="1"/>
  <c r="D574" i="1"/>
  <c r="C574" i="1"/>
  <c r="B574" i="1"/>
  <c r="AC573" i="1"/>
  <c r="AB573" i="1"/>
  <c r="Z573" i="1"/>
  <c r="W573" i="1"/>
  <c r="V573" i="1"/>
  <c r="U573" i="1"/>
  <c r="I573" i="1"/>
  <c r="E573" i="1"/>
  <c r="D573" i="1"/>
  <c r="C573" i="1"/>
  <c r="B573" i="1"/>
  <c r="AC572" i="1"/>
  <c r="AB572" i="1"/>
  <c r="Z572" i="1"/>
  <c r="W572" i="1"/>
  <c r="V572" i="1"/>
  <c r="U572" i="1"/>
  <c r="I572" i="1"/>
  <c r="E572" i="1"/>
  <c r="D572" i="1"/>
  <c r="C572" i="1"/>
  <c r="B572" i="1"/>
  <c r="AC571" i="1"/>
  <c r="AB571" i="1"/>
  <c r="Z571" i="1"/>
  <c r="W571" i="1"/>
  <c r="V571" i="1"/>
  <c r="U571" i="1"/>
  <c r="I571" i="1"/>
  <c r="E571" i="1"/>
  <c r="D571" i="1"/>
  <c r="C571" i="1"/>
  <c r="B571" i="1"/>
  <c r="AC570" i="1"/>
  <c r="AB570" i="1"/>
  <c r="Z570" i="1"/>
  <c r="W570" i="1"/>
  <c r="V570" i="1"/>
  <c r="U570" i="1"/>
  <c r="I570" i="1"/>
  <c r="E570" i="1"/>
  <c r="D570" i="1"/>
  <c r="C570" i="1"/>
  <c r="B570" i="1"/>
  <c r="AC569" i="1"/>
  <c r="AB569" i="1"/>
  <c r="Z569" i="1"/>
  <c r="W569" i="1"/>
  <c r="V569" i="1"/>
  <c r="U569" i="1"/>
  <c r="I569" i="1"/>
  <c r="E569" i="1"/>
  <c r="D569" i="1"/>
  <c r="C569" i="1"/>
  <c r="B569" i="1"/>
  <c r="AC568" i="1"/>
  <c r="AB568" i="1"/>
  <c r="Z568" i="1"/>
  <c r="W568" i="1"/>
  <c r="V568" i="1"/>
  <c r="U568" i="1"/>
  <c r="I568" i="1"/>
  <c r="E568" i="1"/>
  <c r="D568" i="1"/>
  <c r="C568" i="1"/>
  <c r="B568" i="1"/>
  <c r="AC567" i="1"/>
  <c r="AB567" i="1"/>
  <c r="Z567" i="1"/>
  <c r="W567" i="1"/>
  <c r="V567" i="1"/>
  <c r="U567" i="1"/>
  <c r="I567" i="1"/>
  <c r="E567" i="1"/>
  <c r="D567" i="1"/>
  <c r="C567" i="1"/>
  <c r="B567" i="1"/>
  <c r="AC566" i="1"/>
  <c r="AB566" i="1"/>
  <c r="Z566" i="1"/>
  <c r="W566" i="1"/>
  <c r="V566" i="1"/>
  <c r="U566" i="1"/>
  <c r="I566" i="1"/>
  <c r="E566" i="1"/>
  <c r="D566" i="1"/>
  <c r="C566" i="1"/>
  <c r="B566" i="1"/>
  <c r="AC565" i="1"/>
  <c r="AB565" i="1"/>
  <c r="Z565" i="1"/>
  <c r="W565" i="1"/>
  <c r="V565" i="1"/>
  <c r="U565" i="1"/>
  <c r="I565" i="1"/>
  <c r="E565" i="1"/>
  <c r="D565" i="1"/>
  <c r="C565" i="1"/>
  <c r="B565" i="1"/>
  <c r="AC564" i="1"/>
  <c r="AB564" i="1"/>
  <c r="Z564" i="1"/>
  <c r="W564" i="1"/>
  <c r="V564" i="1"/>
  <c r="U564" i="1"/>
  <c r="I564" i="1"/>
  <c r="E564" i="1"/>
  <c r="D564" i="1"/>
  <c r="C564" i="1"/>
  <c r="B564" i="1"/>
  <c r="AC563" i="1"/>
  <c r="AB563" i="1"/>
  <c r="Z563" i="1"/>
  <c r="W563" i="1"/>
  <c r="V563" i="1"/>
  <c r="U563" i="1"/>
  <c r="I563" i="1"/>
  <c r="E563" i="1"/>
  <c r="D563" i="1"/>
  <c r="C563" i="1"/>
  <c r="B563" i="1"/>
  <c r="AC562" i="1"/>
  <c r="AB562" i="1"/>
  <c r="Z562" i="1"/>
  <c r="W562" i="1"/>
  <c r="V562" i="1"/>
  <c r="U562" i="1"/>
  <c r="I562" i="1"/>
  <c r="E562" i="1"/>
  <c r="D562" i="1"/>
  <c r="C562" i="1"/>
  <c r="B562" i="1"/>
  <c r="AC561" i="1"/>
  <c r="AB561" i="1"/>
  <c r="Z561" i="1"/>
  <c r="W561" i="1"/>
  <c r="V561" i="1"/>
  <c r="U561" i="1"/>
  <c r="I561" i="1"/>
  <c r="E561" i="1"/>
  <c r="D561" i="1"/>
  <c r="C561" i="1"/>
  <c r="B561" i="1"/>
  <c r="AC560" i="1"/>
  <c r="AB560" i="1"/>
  <c r="Z560" i="1"/>
  <c r="W560" i="1"/>
  <c r="V560" i="1"/>
  <c r="U560" i="1"/>
  <c r="I560" i="1"/>
  <c r="E560" i="1"/>
  <c r="D560" i="1"/>
  <c r="C560" i="1"/>
  <c r="B560" i="1"/>
  <c r="AC559" i="1"/>
  <c r="AB559" i="1"/>
  <c r="Z559" i="1"/>
  <c r="W559" i="1"/>
  <c r="V559" i="1"/>
  <c r="U559" i="1"/>
  <c r="I559" i="1"/>
  <c r="E559" i="1"/>
  <c r="D559" i="1"/>
  <c r="C559" i="1"/>
  <c r="B559" i="1"/>
  <c r="AC558" i="1"/>
  <c r="AB558" i="1"/>
  <c r="Z558" i="1"/>
  <c r="W558" i="1"/>
  <c r="V558" i="1"/>
  <c r="U558" i="1"/>
  <c r="I558" i="1"/>
  <c r="E558" i="1"/>
  <c r="D558" i="1"/>
  <c r="C558" i="1"/>
  <c r="B558" i="1"/>
  <c r="AC557" i="1"/>
  <c r="AB557" i="1"/>
  <c r="Z557" i="1"/>
  <c r="W557" i="1"/>
  <c r="V557" i="1"/>
  <c r="U557" i="1"/>
  <c r="I557" i="1"/>
  <c r="E557" i="1"/>
  <c r="D557" i="1"/>
  <c r="C557" i="1"/>
  <c r="B557" i="1"/>
  <c r="AC556" i="1"/>
  <c r="AB556" i="1"/>
  <c r="Z556" i="1"/>
  <c r="W556" i="1"/>
  <c r="V556" i="1"/>
  <c r="U556" i="1"/>
  <c r="I556" i="1"/>
  <c r="E556" i="1"/>
  <c r="D556" i="1"/>
  <c r="C556" i="1"/>
  <c r="B556" i="1"/>
  <c r="AC555" i="1"/>
  <c r="AB555" i="1"/>
  <c r="Z555" i="1"/>
  <c r="W555" i="1"/>
  <c r="V555" i="1"/>
  <c r="U555" i="1"/>
  <c r="I555" i="1"/>
  <c r="E555" i="1"/>
  <c r="D555" i="1"/>
  <c r="C555" i="1"/>
  <c r="B555" i="1"/>
  <c r="AC554" i="1"/>
  <c r="AB554" i="1"/>
  <c r="Z554" i="1"/>
  <c r="W554" i="1"/>
  <c r="V554" i="1"/>
  <c r="U554" i="1"/>
  <c r="I554" i="1"/>
  <c r="E554" i="1"/>
  <c r="D554" i="1"/>
  <c r="C554" i="1"/>
  <c r="B554" i="1"/>
  <c r="AC553" i="1"/>
  <c r="AB553" i="1"/>
  <c r="Z553" i="1"/>
  <c r="W553" i="1"/>
  <c r="V553" i="1"/>
  <c r="U553" i="1"/>
  <c r="I553" i="1"/>
  <c r="E553" i="1"/>
  <c r="D553" i="1"/>
  <c r="C553" i="1"/>
  <c r="B553" i="1"/>
  <c r="AC552" i="1"/>
  <c r="AB552" i="1"/>
  <c r="Z552" i="1"/>
  <c r="W552" i="1"/>
  <c r="V552" i="1"/>
  <c r="U552" i="1"/>
  <c r="I552" i="1"/>
  <c r="E552" i="1"/>
  <c r="D552" i="1"/>
  <c r="C552" i="1"/>
  <c r="B552" i="1"/>
  <c r="AC551" i="1"/>
  <c r="AB551" i="1"/>
  <c r="Z551" i="1"/>
  <c r="W551" i="1"/>
  <c r="V551" i="1"/>
  <c r="U551" i="1"/>
  <c r="I551" i="1"/>
  <c r="E551" i="1"/>
  <c r="D551" i="1"/>
  <c r="C551" i="1"/>
  <c r="B551" i="1"/>
  <c r="AC550" i="1"/>
  <c r="AB550" i="1"/>
  <c r="Z550" i="1"/>
  <c r="W550" i="1"/>
  <c r="V550" i="1"/>
  <c r="U550" i="1"/>
  <c r="I550" i="1"/>
  <c r="E550" i="1"/>
  <c r="D550" i="1"/>
  <c r="C550" i="1"/>
  <c r="B550" i="1"/>
  <c r="AC549" i="1"/>
  <c r="AB549" i="1"/>
  <c r="Z549" i="1"/>
  <c r="W549" i="1"/>
  <c r="V549" i="1"/>
  <c r="U549" i="1"/>
  <c r="I549" i="1"/>
  <c r="E549" i="1"/>
  <c r="D549" i="1"/>
  <c r="C549" i="1"/>
  <c r="B549" i="1"/>
  <c r="AC548" i="1"/>
  <c r="AB548" i="1"/>
  <c r="Z548" i="1"/>
  <c r="W548" i="1"/>
  <c r="V548" i="1"/>
  <c r="U548" i="1"/>
  <c r="I548" i="1"/>
  <c r="E548" i="1"/>
  <c r="D548" i="1"/>
  <c r="C548" i="1"/>
  <c r="B548" i="1"/>
  <c r="AC547" i="1"/>
  <c r="AB547" i="1"/>
  <c r="Z547" i="1"/>
  <c r="W547" i="1"/>
  <c r="V547" i="1"/>
  <c r="U547" i="1"/>
  <c r="I547" i="1"/>
  <c r="E547" i="1"/>
  <c r="D547" i="1"/>
  <c r="C547" i="1"/>
  <c r="B547" i="1"/>
  <c r="AC546" i="1"/>
  <c r="AB546" i="1"/>
  <c r="Z546" i="1"/>
  <c r="W546" i="1"/>
  <c r="V546" i="1"/>
  <c r="U546" i="1"/>
  <c r="I546" i="1"/>
  <c r="E546" i="1"/>
  <c r="D546" i="1"/>
  <c r="C546" i="1"/>
  <c r="B546" i="1"/>
  <c r="AC545" i="1"/>
  <c r="AB545" i="1"/>
  <c r="Z545" i="1"/>
  <c r="W545" i="1"/>
  <c r="V545" i="1"/>
  <c r="U545" i="1"/>
  <c r="I545" i="1"/>
  <c r="E545" i="1"/>
  <c r="D545" i="1"/>
  <c r="C545" i="1"/>
  <c r="B545" i="1"/>
  <c r="AC544" i="1"/>
  <c r="AB544" i="1"/>
  <c r="Z544" i="1"/>
  <c r="W544" i="1"/>
  <c r="V544" i="1"/>
  <c r="U544" i="1"/>
  <c r="I544" i="1"/>
  <c r="E544" i="1"/>
  <c r="D544" i="1"/>
  <c r="C544" i="1"/>
  <c r="B544" i="1"/>
  <c r="AC543" i="1"/>
  <c r="AB543" i="1"/>
  <c r="Z543" i="1"/>
  <c r="W543" i="1"/>
  <c r="V543" i="1"/>
  <c r="U543" i="1"/>
  <c r="I543" i="1"/>
  <c r="E543" i="1"/>
  <c r="D543" i="1"/>
  <c r="C543" i="1"/>
  <c r="B543" i="1"/>
  <c r="AC542" i="1"/>
  <c r="AB542" i="1"/>
  <c r="Z542" i="1"/>
  <c r="W542" i="1"/>
  <c r="V542" i="1"/>
  <c r="U542" i="1"/>
  <c r="I542" i="1"/>
  <c r="E542" i="1"/>
  <c r="D542" i="1"/>
  <c r="C542" i="1"/>
  <c r="B542" i="1"/>
  <c r="AC541" i="1"/>
  <c r="AB541" i="1"/>
  <c r="Z541" i="1"/>
  <c r="W541" i="1"/>
  <c r="V541" i="1"/>
  <c r="U541" i="1"/>
  <c r="I541" i="1"/>
  <c r="E541" i="1"/>
  <c r="D541" i="1"/>
  <c r="C541" i="1"/>
  <c r="B541" i="1"/>
  <c r="AC540" i="1"/>
  <c r="AB540" i="1"/>
  <c r="Z540" i="1"/>
  <c r="W540" i="1"/>
  <c r="V540" i="1"/>
  <c r="U540" i="1"/>
  <c r="I540" i="1"/>
  <c r="E540" i="1"/>
  <c r="D540" i="1"/>
  <c r="C540" i="1"/>
  <c r="B540" i="1"/>
  <c r="AC539" i="1"/>
  <c r="AB539" i="1"/>
  <c r="Z539" i="1"/>
  <c r="W539" i="1"/>
  <c r="V539" i="1"/>
  <c r="U539" i="1"/>
  <c r="I539" i="1"/>
  <c r="E539" i="1"/>
  <c r="D539" i="1"/>
  <c r="C539" i="1"/>
  <c r="B539" i="1"/>
  <c r="AC538" i="1"/>
  <c r="AB538" i="1"/>
  <c r="Z538" i="1"/>
  <c r="W538" i="1"/>
  <c r="V538" i="1"/>
  <c r="U538" i="1"/>
  <c r="I538" i="1"/>
  <c r="E538" i="1"/>
  <c r="D538" i="1"/>
  <c r="C538" i="1"/>
  <c r="B538" i="1"/>
  <c r="AC537" i="1"/>
  <c r="AB537" i="1"/>
  <c r="Z537" i="1"/>
  <c r="W537" i="1"/>
  <c r="V537" i="1"/>
  <c r="U537" i="1"/>
  <c r="I537" i="1"/>
  <c r="E537" i="1"/>
  <c r="D537" i="1"/>
  <c r="C537" i="1"/>
  <c r="B537" i="1"/>
  <c r="AC536" i="1"/>
  <c r="AB536" i="1"/>
  <c r="Z536" i="1"/>
  <c r="W536" i="1"/>
  <c r="V536" i="1"/>
  <c r="U536" i="1"/>
  <c r="I536" i="1"/>
  <c r="E536" i="1"/>
  <c r="D536" i="1"/>
  <c r="C536" i="1"/>
  <c r="B536" i="1"/>
  <c r="AC535" i="1"/>
  <c r="AB535" i="1"/>
  <c r="Z535" i="1"/>
  <c r="W535" i="1"/>
  <c r="V535" i="1"/>
  <c r="U535" i="1"/>
  <c r="I535" i="1"/>
  <c r="E535" i="1"/>
  <c r="D535" i="1"/>
  <c r="C535" i="1"/>
  <c r="B535" i="1"/>
  <c r="AC534" i="1"/>
  <c r="AB534" i="1"/>
  <c r="Z534" i="1"/>
  <c r="W534" i="1"/>
  <c r="V534" i="1"/>
  <c r="U534" i="1"/>
  <c r="I534" i="1"/>
  <c r="E534" i="1"/>
  <c r="D534" i="1"/>
  <c r="C534" i="1"/>
  <c r="B534" i="1"/>
  <c r="AC533" i="1"/>
  <c r="AB533" i="1"/>
  <c r="Z533" i="1"/>
  <c r="W533" i="1"/>
  <c r="V533" i="1"/>
  <c r="U533" i="1"/>
  <c r="I533" i="1"/>
  <c r="E533" i="1"/>
  <c r="D533" i="1"/>
  <c r="C533" i="1"/>
  <c r="B533" i="1"/>
  <c r="AC532" i="1"/>
  <c r="AB532" i="1"/>
  <c r="Z532" i="1"/>
  <c r="W532" i="1"/>
  <c r="V532" i="1"/>
  <c r="U532" i="1"/>
  <c r="I532" i="1"/>
  <c r="E532" i="1"/>
  <c r="D532" i="1"/>
  <c r="C532" i="1"/>
  <c r="B532" i="1"/>
  <c r="AC531" i="1"/>
  <c r="AB531" i="1"/>
  <c r="Z531" i="1"/>
  <c r="W531" i="1"/>
  <c r="V531" i="1"/>
  <c r="U531" i="1"/>
  <c r="I531" i="1"/>
  <c r="E531" i="1"/>
  <c r="D531" i="1"/>
  <c r="C531" i="1"/>
  <c r="B531" i="1"/>
  <c r="AC530" i="1"/>
  <c r="AB530" i="1"/>
  <c r="Z530" i="1"/>
  <c r="W530" i="1"/>
  <c r="V530" i="1"/>
  <c r="U530" i="1"/>
  <c r="I530" i="1"/>
  <c r="E530" i="1"/>
  <c r="D530" i="1"/>
  <c r="C530" i="1"/>
  <c r="B530" i="1"/>
  <c r="AC529" i="1"/>
  <c r="AB529" i="1"/>
  <c r="Z529" i="1"/>
  <c r="W529" i="1"/>
  <c r="V529" i="1"/>
  <c r="U529" i="1"/>
  <c r="I529" i="1"/>
  <c r="E529" i="1"/>
  <c r="D529" i="1"/>
  <c r="C529" i="1"/>
  <c r="B529" i="1"/>
  <c r="AC528" i="1"/>
  <c r="AB528" i="1"/>
  <c r="Z528" i="1"/>
  <c r="W528" i="1"/>
  <c r="V528" i="1"/>
  <c r="U528" i="1"/>
  <c r="I528" i="1"/>
  <c r="E528" i="1"/>
  <c r="D528" i="1"/>
  <c r="C528" i="1"/>
  <c r="B528" i="1"/>
  <c r="AC527" i="1"/>
  <c r="AB527" i="1"/>
  <c r="Z527" i="1"/>
  <c r="W527" i="1"/>
  <c r="V527" i="1"/>
  <c r="U527" i="1"/>
  <c r="I527" i="1"/>
  <c r="E527" i="1"/>
  <c r="D527" i="1"/>
  <c r="C527" i="1"/>
  <c r="B527" i="1"/>
  <c r="AC526" i="1"/>
  <c r="AB526" i="1"/>
  <c r="Z526" i="1"/>
  <c r="W526" i="1"/>
  <c r="V526" i="1"/>
  <c r="U526" i="1"/>
  <c r="I526" i="1"/>
  <c r="E526" i="1"/>
  <c r="D526" i="1"/>
  <c r="C526" i="1"/>
  <c r="B526" i="1"/>
  <c r="AC525" i="1"/>
  <c r="AB525" i="1"/>
  <c r="Z525" i="1"/>
  <c r="W525" i="1"/>
  <c r="V525" i="1"/>
  <c r="U525" i="1"/>
  <c r="I525" i="1"/>
  <c r="E525" i="1"/>
  <c r="D525" i="1"/>
  <c r="C525" i="1"/>
  <c r="B525" i="1"/>
  <c r="AC524" i="1"/>
  <c r="AB524" i="1"/>
  <c r="Z524" i="1"/>
  <c r="W524" i="1"/>
  <c r="V524" i="1"/>
  <c r="U524" i="1"/>
  <c r="I524" i="1"/>
  <c r="E524" i="1"/>
  <c r="D524" i="1"/>
  <c r="C524" i="1"/>
  <c r="B524" i="1"/>
  <c r="AC523" i="1"/>
  <c r="AB523" i="1"/>
  <c r="Z523" i="1"/>
  <c r="W523" i="1"/>
  <c r="V523" i="1"/>
  <c r="U523" i="1"/>
  <c r="I523" i="1"/>
  <c r="E523" i="1"/>
  <c r="D523" i="1"/>
  <c r="C523" i="1"/>
  <c r="B523" i="1"/>
  <c r="AC522" i="1"/>
  <c r="AB522" i="1"/>
  <c r="Z522" i="1"/>
  <c r="W522" i="1"/>
  <c r="V522" i="1"/>
  <c r="U522" i="1"/>
  <c r="I522" i="1"/>
  <c r="E522" i="1"/>
  <c r="D522" i="1"/>
  <c r="C522" i="1"/>
  <c r="B522" i="1"/>
  <c r="AC521" i="1"/>
  <c r="AB521" i="1"/>
  <c r="Z521" i="1"/>
  <c r="W521" i="1"/>
  <c r="V521" i="1"/>
  <c r="U521" i="1"/>
  <c r="I521" i="1"/>
  <c r="E521" i="1"/>
  <c r="D521" i="1"/>
  <c r="C521" i="1"/>
  <c r="B521" i="1"/>
  <c r="AC520" i="1"/>
  <c r="AB520" i="1"/>
  <c r="Z520" i="1"/>
  <c r="W520" i="1"/>
  <c r="V520" i="1"/>
  <c r="U520" i="1"/>
  <c r="I520" i="1"/>
  <c r="E520" i="1"/>
  <c r="D520" i="1"/>
  <c r="C520" i="1"/>
  <c r="B520" i="1"/>
  <c r="AC519" i="1"/>
  <c r="AB519" i="1"/>
  <c r="Z519" i="1"/>
  <c r="W519" i="1"/>
  <c r="V519" i="1"/>
  <c r="U519" i="1"/>
  <c r="I519" i="1"/>
  <c r="E519" i="1"/>
  <c r="D519" i="1"/>
  <c r="C519" i="1"/>
  <c r="B519" i="1"/>
  <c r="AC518" i="1"/>
  <c r="AB518" i="1"/>
  <c r="Z518" i="1"/>
  <c r="W518" i="1"/>
  <c r="V518" i="1"/>
  <c r="U518" i="1"/>
  <c r="I518" i="1"/>
  <c r="E518" i="1"/>
  <c r="D518" i="1"/>
  <c r="C518" i="1"/>
  <c r="B518" i="1"/>
  <c r="AC517" i="1"/>
  <c r="AB517" i="1"/>
  <c r="Z517" i="1"/>
  <c r="W517" i="1"/>
  <c r="V517" i="1"/>
  <c r="U517" i="1"/>
  <c r="I517" i="1"/>
  <c r="E517" i="1"/>
  <c r="D517" i="1"/>
  <c r="C517" i="1"/>
  <c r="B517" i="1"/>
  <c r="AC516" i="1"/>
  <c r="AB516" i="1"/>
  <c r="Z516" i="1"/>
  <c r="W516" i="1"/>
  <c r="V516" i="1"/>
  <c r="U516" i="1"/>
  <c r="I516" i="1"/>
  <c r="E516" i="1"/>
  <c r="D516" i="1"/>
  <c r="C516" i="1"/>
  <c r="B516" i="1"/>
  <c r="AC515" i="1"/>
  <c r="AB515" i="1"/>
  <c r="Z515" i="1"/>
  <c r="W515" i="1"/>
  <c r="V515" i="1"/>
  <c r="U515" i="1"/>
  <c r="I515" i="1"/>
  <c r="E515" i="1"/>
  <c r="D515" i="1"/>
  <c r="C515" i="1"/>
  <c r="B515" i="1"/>
  <c r="AC514" i="1"/>
  <c r="AB514" i="1"/>
  <c r="Z514" i="1"/>
  <c r="W514" i="1"/>
  <c r="V514" i="1"/>
  <c r="U514" i="1"/>
  <c r="I514" i="1"/>
  <c r="E514" i="1"/>
  <c r="D514" i="1"/>
  <c r="C514" i="1"/>
  <c r="B514" i="1"/>
  <c r="AC513" i="1"/>
  <c r="AB513" i="1"/>
  <c r="Z513" i="1"/>
  <c r="W513" i="1"/>
  <c r="V513" i="1"/>
  <c r="U513" i="1"/>
  <c r="I513" i="1"/>
  <c r="E513" i="1"/>
  <c r="D513" i="1"/>
  <c r="C513" i="1"/>
  <c r="B513" i="1"/>
  <c r="AC512" i="1"/>
  <c r="AB512" i="1"/>
  <c r="Z512" i="1"/>
  <c r="W512" i="1"/>
  <c r="V512" i="1"/>
  <c r="U512" i="1"/>
  <c r="I512" i="1"/>
  <c r="E512" i="1"/>
  <c r="D512" i="1"/>
  <c r="C512" i="1"/>
  <c r="B512" i="1"/>
  <c r="AC511" i="1"/>
  <c r="AB511" i="1"/>
  <c r="Z511" i="1"/>
  <c r="W511" i="1"/>
  <c r="V511" i="1"/>
  <c r="U511" i="1"/>
  <c r="I511" i="1"/>
  <c r="E511" i="1"/>
  <c r="D511" i="1"/>
  <c r="C511" i="1"/>
  <c r="B511" i="1"/>
  <c r="AC510" i="1"/>
  <c r="AB510" i="1"/>
  <c r="Z510" i="1"/>
  <c r="W510" i="1"/>
  <c r="V510" i="1"/>
  <c r="U510" i="1"/>
  <c r="I510" i="1"/>
  <c r="E510" i="1"/>
  <c r="D510" i="1"/>
  <c r="C510" i="1"/>
  <c r="B510" i="1"/>
  <c r="AC509" i="1"/>
  <c r="AB509" i="1"/>
  <c r="Z509" i="1"/>
  <c r="W509" i="1"/>
  <c r="V509" i="1"/>
  <c r="U509" i="1"/>
  <c r="I509" i="1"/>
  <c r="E509" i="1"/>
  <c r="D509" i="1"/>
  <c r="C509" i="1"/>
  <c r="B509" i="1"/>
  <c r="AC508" i="1"/>
  <c r="AB508" i="1"/>
  <c r="Z508" i="1"/>
  <c r="W508" i="1"/>
  <c r="V508" i="1"/>
  <c r="U508" i="1"/>
  <c r="I508" i="1"/>
  <c r="E508" i="1"/>
  <c r="D508" i="1"/>
  <c r="C508" i="1"/>
  <c r="B508" i="1"/>
  <c r="AC507" i="1"/>
  <c r="AB507" i="1"/>
  <c r="Z507" i="1"/>
  <c r="W507" i="1"/>
  <c r="V507" i="1"/>
  <c r="U507" i="1"/>
  <c r="I507" i="1"/>
  <c r="E507" i="1"/>
  <c r="D507" i="1"/>
  <c r="C507" i="1"/>
  <c r="B507" i="1"/>
  <c r="AC506" i="1"/>
  <c r="AB506" i="1"/>
  <c r="Z506" i="1"/>
  <c r="W506" i="1"/>
  <c r="V506" i="1"/>
  <c r="U506" i="1"/>
  <c r="I506" i="1"/>
  <c r="E506" i="1"/>
  <c r="D506" i="1"/>
  <c r="C506" i="1"/>
  <c r="B506" i="1"/>
  <c r="AC505" i="1"/>
  <c r="AB505" i="1"/>
  <c r="Z505" i="1"/>
  <c r="W505" i="1"/>
  <c r="V505" i="1"/>
  <c r="U505" i="1"/>
  <c r="I505" i="1"/>
  <c r="E505" i="1"/>
  <c r="D505" i="1"/>
  <c r="C505" i="1"/>
  <c r="B505" i="1"/>
  <c r="AC504" i="1"/>
  <c r="AB504" i="1"/>
  <c r="Z504" i="1"/>
  <c r="W504" i="1"/>
  <c r="V504" i="1"/>
  <c r="U504" i="1"/>
  <c r="I504" i="1"/>
  <c r="E504" i="1"/>
  <c r="D504" i="1"/>
  <c r="C504" i="1"/>
  <c r="B504" i="1"/>
  <c r="AC503" i="1"/>
  <c r="AB503" i="1"/>
  <c r="Z503" i="1"/>
  <c r="W503" i="1"/>
  <c r="V503" i="1"/>
  <c r="U503" i="1"/>
  <c r="I503" i="1"/>
  <c r="E503" i="1"/>
  <c r="D503" i="1"/>
  <c r="C503" i="1"/>
  <c r="B503" i="1"/>
  <c r="AC502" i="1"/>
  <c r="AB502" i="1"/>
  <c r="Z502" i="1"/>
  <c r="W502" i="1"/>
  <c r="V502" i="1"/>
  <c r="U502" i="1"/>
  <c r="I502" i="1"/>
  <c r="E502" i="1"/>
  <c r="D502" i="1"/>
  <c r="C502" i="1"/>
  <c r="B502" i="1"/>
  <c r="AC501" i="1"/>
  <c r="AB501" i="1"/>
  <c r="Z501" i="1"/>
  <c r="W501" i="1"/>
  <c r="V501" i="1"/>
  <c r="U501" i="1"/>
  <c r="I501" i="1"/>
  <c r="E501" i="1"/>
  <c r="D501" i="1"/>
  <c r="C501" i="1"/>
  <c r="B501" i="1"/>
  <c r="AC500" i="1"/>
  <c r="AB500" i="1"/>
  <c r="Z500" i="1"/>
  <c r="W500" i="1"/>
  <c r="V500" i="1"/>
  <c r="U500" i="1"/>
  <c r="I500" i="1"/>
  <c r="E500" i="1"/>
  <c r="D500" i="1"/>
  <c r="C500" i="1"/>
  <c r="B500" i="1"/>
  <c r="AC499" i="1"/>
  <c r="AB499" i="1"/>
  <c r="Z499" i="1"/>
  <c r="W499" i="1"/>
  <c r="V499" i="1"/>
  <c r="U499" i="1"/>
  <c r="I499" i="1"/>
  <c r="E499" i="1"/>
  <c r="D499" i="1"/>
  <c r="C499" i="1"/>
  <c r="B499" i="1"/>
  <c r="AC498" i="1"/>
  <c r="AB498" i="1"/>
  <c r="Z498" i="1"/>
  <c r="W498" i="1"/>
  <c r="V498" i="1"/>
  <c r="U498" i="1"/>
  <c r="I498" i="1"/>
  <c r="E498" i="1"/>
  <c r="D498" i="1"/>
  <c r="C498" i="1"/>
  <c r="B498" i="1"/>
  <c r="AC497" i="1"/>
  <c r="AB497" i="1"/>
  <c r="Z497" i="1"/>
  <c r="W497" i="1"/>
  <c r="V497" i="1"/>
  <c r="U497" i="1"/>
  <c r="I497" i="1"/>
  <c r="E497" i="1"/>
  <c r="D497" i="1"/>
  <c r="C497" i="1"/>
  <c r="B497" i="1"/>
  <c r="AC496" i="1"/>
  <c r="AB496" i="1"/>
  <c r="Z496" i="1"/>
  <c r="W496" i="1"/>
  <c r="V496" i="1"/>
  <c r="U496" i="1"/>
  <c r="I496" i="1"/>
  <c r="E496" i="1"/>
  <c r="D496" i="1"/>
  <c r="C496" i="1"/>
  <c r="B496" i="1"/>
  <c r="AC495" i="1"/>
  <c r="AB495" i="1"/>
  <c r="Z495" i="1"/>
  <c r="W495" i="1"/>
  <c r="V495" i="1"/>
  <c r="U495" i="1"/>
  <c r="I495" i="1"/>
  <c r="E495" i="1"/>
  <c r="D495" i="1"/>
  <c r="C495" i="1"/>
  <c r="B495" i="1"/>
  <c r="AC494" i="1"/>
  <c r="AB494" i="1"/>
  <c r="Z494" i="1"/>
  <c r="W494" i="1"/>
  <c r="V494" i="1"/>
  <c r="U494" i="1"/>
  <c r="I494" i="1"/>
  <c r="E494" i="1"/>
  <c r="D494" i="1"/>
  <c r="C494" i="1"/>
  <c r="B494" i="1"/>
  <c r="AC493" i="1"/>
  <c r="AB493" i="1"/>
  <c r="Z493" i="1"/>
  <c r="W493" i="1"/>
  <c r="V493" i="1"/>
  <c r="U493" i="1"/>
  <c r="I493" i="1"/>
  <c r="E493" i="1"/>
  <c r="D493" i="1"/>
  <c r="C493" i="1"/>
  <c r="B493" i="1"/>
  <c r="AC492" i="1"/>
  <c r="AB492" i="1"/>
  <c r="Z492" i="1"/>
  <c r="W492" i="1"/>
  <c r="V492" i="1"/>
  <c r="U492" i="1"/>
  <c r="I492" i="1"/>
  <c r="E492" i="1"/>
  <c r="D492" i="1"/>
  <c r="C492" i="1"/>
  <c r="B492" i="1"/>
  <c r="AC491" i="1"/>
  <c r="AB491" i="1"/>
  <c r="Z491" i="1"/>
  <c r="W491" i="1"/>
  <c r="V491" i="1"/>
  <c r="U491" i="1"/>
  <c r="I491" i="1"/>
  <c r="E491" i="1"/>
  <c r="D491" i="1"/>
  <c r="C491" i="1"/>
  <c r="B491" i="1"/>
  <c r="AC490" i="1"/>
  <c r="AB490" i="1"/>
  <c r="Z490" i="1"/>
  <c r="W490" i="1"/>
  <c r="V490" i="1"/>
  <c r="U490" i="1"/>
  <c r="I490" i="1"/>
  <c r="E490" i="1"/>
  <c r="D490" i="1"/>
  <c r="C490" i="1"/>
  <c r="B490" i="1"/>
  <c r="AC489" i="1"/>
  <c r="AB489" i="1"/>
  <c r="Z489" i="1"/>
  <c r="W489" i="1"/>
  <c r="V489" i="1"/>
  <c r="U489" i="1"/>
  <c r="I489" i="1"/>
  <c r="E489" i="1"/>
  <c r="D489" i="1"/>
  <c r="C489" i="1"/>
  <c r="B489" i="1"/>
  <c r="AC488" i="1"/>
  <c r="AB488" i="1"/>
  <c r="Z488" i="1"/>
  <c r="W488" i="1"/>
  <c r="V488" i="1"/>
  <c r="U488" i="1"/>
  <c r="I488" i="1"/>
  <c r="E488" i="1"/>
  <c r="D488" i="1"/>
  <c r="C488" i="1"/>
  <c r="B488" i="1"/>
  <c r="AC487" i="1"/>
  <c r="AB487" i="1"/>
  <c r="Z487" i="1"/>
  <c r="W487" i="1"/>
  <c r="V487" i="1"/>
  <c r="U487" i="1"/>
  <c r="I487" i="1"/>
  <c r="E487" i="1"/>
  <c r="D487" i="1"/>
  <c r="C487" i="1"/>
  <c r="B487" i="1"/>
  <c r="AC486" i="1"/>
  <c r="AB486" i="1"/>
  <c r="Z486" i="1"/>
  <c r="W486" i="1"/>
  <c r="V486" i="1"/>
  <c r="U486" i="1"/>
  <c r="I486" i="1"/>
  <c r="E486" i="1"/>
  <c r="D486" i="1"/>
  <c r="C486" i="1"/>
  <c r="B486" i="1"/>
  <c r="AC485" i="1"/>
  <c r="AB485" i="1"/>
  <c r="Z485" i="1"/>
  <c r="W485" i="1"/>
  <c r="V485" i="1"/>
  <c r="U485" i="1"/>
  <c r="I485" i="1"/>
  <c r="E485" i="1"/>
  <c r="D485" i="1"/>
  <c r="C485" i="1"/>
  <c r="B485" i="1"/>
  <c r="AC484" i="1"/>
  <c r="AB484" i="1"/>
  <c r="Z484" i="1"/>
  <c r="W484" i="1"/>
  <c r="V484" i="1"/>
  <c r="U484" i="1"/>
  <c r="I484" i="1"/>
  <c r="E484" i="1"/>
  <c r="D484" i="1"/>
  <c r="C484" i="1"/>
  <c r="B484" i="1"/>
  <c r="AC483" i="1"/>
  <c r="AB483" i="1"/>
  <c r="Z483" i="1"/>
  <c r="W483" i="1"/>
  <c r="V483" i="1"/>
  <c r="U483" i="1"/>
  <c r="I483" i="1"/>
  <c r="E483" i="1"/>
  <c r="D483" i="1"/>
  <c r="C483" i="1"/>
  <c r="B483" i="1"/>
  <c r="AC482" i="1"/>
  <c r="AB482" i="1"/>
  <c r="Z482" i="1"/>
  <c r="W482" i="1"/>
  <c r="V482" i="1"/>
  <c r="U482" i="1"/>
  <c r="I482" i="1"/>
  <c r="E482" i="1"/>
  <c r="D482" i="1"/>
  <c r="C482" i="1"/>
  <c r="B482" i="1"/>
  <c r="AC481" i="1"/>
  <c r="AB481" i="1"/>
  <c r="Z481" i="1"/>
  <c r="W481" i="1"/>
  <c r="V481" i="1"/>
  <c r="U481" i="1"/>
  <c r="I481" i="1"/>
  <c r="E481" i="1"/>
  <c r="D481" i="1"/>
  <c r="C481" i="1"/>
  <c r="B481" i="1"/>
  <c r="AC480" i="1"/>
  <c r="AB480" i="1"/>
  <c r="Z480" i="1"/>
  <c r="W480" i="1"/>
  <c r="V480" i="1"/>
  <c r="U480" i="1"/>
  <c r="I480" i="1"/>
  <c r="E480" i="1"/>
  <c r="D480" i="1"/>
  <c r="C480" i="1"/>
  <c r="B480" i="1"/>
  <c r="AC479" i="1"/>
  <c r="AB479" i="1"/>
  <c r="Z479" i="1"/>
  <c r="W479" i="1"/>
  <c r="V479" i="1"/>
  <c r="U479" i="1"/>
  <c r="I479" i="1"/>
  <c r="E479" i="1"/>
  <c r="D479" i="1"/>
  <c r="C479" i="1"/>
  <c r="B479" i="1"/>
  <c r="AC478" i="1"/>
  <c r="AB478" i="1"/>
  <c r="Z478" i="1"/>
  <c r="W478" i="1"/>
  <c r="V478" i="1"/>
  <c r="U478" i="1"/>
  <c r="I478" i="1"/>
  <c r="E478" i="1"/>
  <c r="D478" i="1"/>
  <c r="C478" i="1"/>
  <c r="B478" i="1"/>
  <c r="AC477" i="1"/>
  <c r="AB477" i="1"/>
  <c r="Z477" i="1"/>
  <c r="W477" i="1"/>
  <c r="V477" i="1"/>
  <c r="U477" i="1"/>
  <c r="I477" i="1"/>
  <c r="E477" i="1"/>
  <c r="D477" i="1"/>
  <c r="C477" i="1"/>
  <c r="B477" i="1"/>
  <c r="AC476" i="1"/>
  <c r="AB476" i="1"/>
  <c r="Z476" i="1"/>
  <c r="W476" i="1"/>
  <c r="V476" i="1"/>
  <c r="U476" i="1"/>
  <c r="I476" i="1"/>
  <c r="E476" i="1"/>
  <c r="D476" i="1"/>
  <c r="C476" i="1"/>
  <c r="B476" i="1"/>
  <c r="AC475" i="1"/>
  <c r="AB475" i="1"/>
  <c r="Z475" i="1"/>
  <c r="W475" i="1"/>
  <c r="V475" i="1"/>
  <c r="U475" i="1"/>
  <c r="I475" i="1"/>
  <c r="E475" i="1"/>
  <c r="D475" i="1"/>
  <c r="C475" i="1"/>
  <c r="B475" i="1"/>
  <c r="AC474" i="1"/>
  <c r="AB474" i="1"/>
  <c r="Z474" i="1"/>
  <c r="W474" i="1"/>
  <c r="V474" i="1"/>
  <c r="U474" i="1"/>
  <c r="I474" i="1"/>
  <c r="E474" i="1"/>
  <c r="D474" i="1"/>
  <c r="C474" i="1"/>
  <c r="B474" i="1"/>
  <c r="AC473" i="1"/>
  <c r="AB473" i="1"/>
  <c r="Z473" i="1"/>
  <c r="W473" i="1"/>
  <c r="V473" i="1"/>
  <c r="U473" i="1"/>
  <c r="I473" i="1"/>
  <c r="E473" i="1"/>
  <c r="D473" i="1"/>
  <c r="C473" i="1"/>
  <c r="B473" i="1"/>
  <c r="AC472" i="1"/>
  <c r="AB472" i="1"/>
  <c r="Z472" i="1"/>
  <c r="W472" i="1"/>
  <c r="V472" i="1"/>
  <c r="U472" i="1"/>
  <c r="I472" i="1"/>
  <c r="E472" i="1"/>
  <c r="D472" i="1"/>
  <c r="C472" i="1"/>
  <c r="B472" i="1"/>
  <c r="AC471" i="1"/>
  <c r="AB471" i="1"/>
  <c r="Z471" i="1"/>
  <c r="W471" i="1"/>
  <c r="V471" i="1"/>
  <c r="U471" i="1"/>
  <c r="I471" i="1"/>
  <c r="E471" i="1"/>
  <c r="D471" i="1"/>
  <c r="C471" i="1"/>
  <c r="B471" i="1"/>
  <c r="AC470" i="1"/>
  <c r="AB470" i="1"/>
  <c r="Z470" i="1"/>
  <c r="W470" i="1"/>
  <c r="V470" i="1"/>
  <c r="U470" i="1"/>
  <c r="I470" i="1"/>
  <c r="E470" i="1"/>
  <c r="D470" i="1"/>
  <c r="C470" i="1"/>
  <c r="B470" i="1"/>
  <c r="AC469" i="1"/>
  <c r="AB469" i="1"/>
  <c r="Z469" i="1"/>
  <c r="W469" i="1"/>
  <c r="V469" i="1"/>
  <c r="U469" i="1"/>
  <c r="I469" i="1"/>
  <c r="E469" i="1"/>
  <c r="D469" i="1"/>
  <c r="C469" i="1"/>
  <c r="B469" i="1"/>
  <c r="AC468" i="1"/>
  <c r="AB468" i="1"/>
  <c r="Z468" i="1"/>
  <c r="W468" i="1"/>
  <c r="V468" i="1"/>
  <c r="U468" i="1"/>
  <c r="I468" i="1"/>
  <c r="E468" i="1"/>
  <c r="D468" i="1"/>
  <c r="C468" i="1"/>
  <c r="B468" i="1"/>
  <c r="AC467" i="1"/>
  <c r="AB467" i="1"/>
  <c r="Z467" i="1"/>
  <c r="W467" i="1"/>
  <c r="V467" i="1"/>
  <c r="U467" i="1"/>
  <c r="I467" i="1"/>
  <c r="E467" i="1"/>
  <c r="D467" i="1"/>
  <c r="C467" i="1"/>
  <c r="B467" i="1"/>
  <c r="AC466" i="1"/>
  <c r="AB466" i="1"/>
  <c r="Z466" i="1"/>
  <c r="W466" i="1"/>
  <c r="V466" i="1"/>
  <c r="U466" i="1"/>
  <c r="I466" i="1"/>
  <c r="E466" i="1"/>
  <c r="D466" i="1"/>
  <c r="C466" i="1"/>
  <c r="B466" i="1"/>
  <c r="AC465" i="1"/>
  <c r="AB465" i="1"/>
  <c r="Z465" i="1"/>
  <c r="W465" i="1"/>
  <c r="V465" i="1"/>
  <c r="U465" i="1"/>
  <c r="I465" i="1"/>
  <c r="E465" i="1"/>
  <c r="D465" i="1"/>
  <c r="C465" i="1"/>
  <c r="B465" i="1"/>
  <c r="AC464" i="1"/>
  <c r="AB464" i="1"/>
  <c r="Z464" i="1"/>
  <c r="W464" i="1"/>
  <c r="V464" i="1"/>
  <c r="U464" i="1"/>
  <c r="I464" i="1"/>
  <c r="E464" i="1"/>
  <c r="D464" i="1"/>
  <c r="C464" i="1"/>
  <c r="B464" i="1"/>
  <c r="AC463" i="1"/>
  <c r="AB463" i="1"/>
  <c r="Z463" i="1"/>
  <c r="W463" i="1"/>
  <c r="V463" i="1"/>
  <c r="U463" i="1"/>
  <c r="I463" i="1"/>
  <c r="E463" i="1"/>
  <c r="D463" i="1"/>
  <c r="C463" i="1"/>
  <c r="B463" i="1"/>
  <c r="AC462" i="1"/>
  <c r="AB462" i="1"/>
  <c r="Z462" i="1"/>
  <c r="W462" i="1"/>
  <c r="V462" i="1"/>
  <c r="U462" i="1"/>
  <c r="I462" i="1"/>
  <c r="E462" i="1"/>
  <c r="D462" i="1"/>
  <c r="C462" i="1"/>
  <c r="B462" i="1"/>
  <c r="AC461" i="1"/>
  <c r="AB461" i="1"/>
  <c r="Z461" i="1"/>
  <c r="W461" i="1"/>
  <c r="V461" i="1"/>
  <c r="U461" i="1"/>
  <c r="I461" i="1"/>
  <c r="E461" i="1"/>
  <c r="D461" i="1"/>
  <c r="C461" i="1"/>
  <c r="B461" i="1"/>
  <c r="AC460" i="1"/>
  <c r="AB460" i="1"/>
  <c r="Z460" i="1"/>
  <c r="W460" i="1"/>
  <c r="V460" i="1"/>
  <c r="U460" i="1"/>
  <c r="I460" i="1"/>
  <c r="E460" i="1"/>
  <c r="D460" i="1"/>
  <c r="C460" i="1"/>
  <c r="B460" i="1"/>
  <c r="AC459" i="1"/>
  <c r="AB459" i="1"/>
  <c r="Z459" i="1"/>
  <c r="W459" i="1"/>
  <c r="V459" i="1"/>
  <c r="U459" i="1"/>
  <c r="I459" i="1"/>
  <c r="E459" i="1"/>
  <c r="D459" i="1"/>
  <c r="C459" i="1"/>
  <c r="B459" i="1"/>
  <c r="AC458" i="1"/>
  <c r="AB458" i="1"/>
  <c r="Z458" i="1"/>
  <c r="W458" i="1"/>
  <c r="V458" i="1"/>
  <c r="U458" i="1"/>
  <c r="I458" i="1"/>
  <c r="E458" i="1"/>
  <c r="D458" i="1"/>
  <c r="C458" i="1"/>
  <c r="B458" i="1"/>
  <c r="AC457" i="1"/>
  <c r="AB457" i="1"/>
  <c r="Z457" i="1"/>
  <c r="W457" i="1"/>
  <c r="V457" i="1"/>
  <c r="U457" i="1"/>
  <c r="I457" i="1"/>
  <c r="E457" i="1"/>
  <c r="D457" i="1"/>
  <c r="C457" i="1"/>
  <c r="B457" i="1"/>
  <c r="AC456" i="1"/>
  <c r="AB456" i="1"/>
  <c r="Z456" i="1"/>
  <c r="W456" i="1"/>
  <c r="V456" i="1"/>
  <c r="U456" i="1"/>
  <c r="I456" i="1"/>
  <c r="E456" i="1"/>
  <c r="D456" i="1"/>
  <c r="C456" i="1"/>
  <c r="B456" i="1"/>
  <c r="AC455" i="1"/>
  <c r="AB455" i="1"/>
  <c r="Z455" i="1"/>
  <c r="W455" i="1"/>
  <c r="V455" i="1"/>
  <c r="U455" i="1"/>
  <c r="I455" i="1"/>
  <c r="E455" i="1"/>
  <c r="D455" i="1"/>
  <c r="C455" i="1"/>
  <c r="B455" i="1"/>
  <c r="AC454" i="1"/>
  <c r="AB454" i="1"/>
  <c r="Z454" i="1"/>
  <c r="W454" i="1"/>
  <c r="V454" i="1"/>
  <c r="U454" i="1"/>
  <c r="I454" i="1"/>
  <c r="E454" i="1"/>
  <c r="D454" i="1"/>
  <c r="C454" i="1"/>
  <c r="B454" i="1"/>
  <c r="AC453" i="1"/>
  <c r="AB453" i="1"/>
  <c r="Z453" i="1"/>
  <c r="W453" i="1"/>
  <c r="V453" i="1"/>
  <c r="U453" i="1"/>
  <c r="I453" i="1"/>
  <c r="E453" i="1"/>
  <c r="D453" i="1"/>
  <c r="C453" i="1"/>
  <c r="B453" i="1"/>
  <c r="AC452" i="1"/>
  <c r="AB452" i="1"/>
  <c r="Z452" i="1"/>
  <c r="W452" i="1"/>
  <c r="V452" i="1"/>
  <c r="U452" i="1"/>
  <c r="I452" i="1"/>
  <c r="E452" i="1"/>
  <c r="D452" i="1"/>
  <c r="C452" i="1"/>
  <c r="B452" i="1"/>
  <c r="AC451" i="1"/>
  <c r="AB451" i="1"/>
  <c r="Z451" i="1"/>
  <c r="W451" i="1"/>
  <c r="V451" i="1"/>
  <c r="U451" i="1"/>
  <c r="I451" i="1"/>
  <c r="E451" i="1"/>
  <c r="D451" i="1"/>
  <c r="C451" i="1"/>
  <c r="B451" i="1"/>
  <c r="AC450" i="1"/>
  <c r="AB450" i="1"/>
  <c r="Z450" i="1"/>
  <c r="W450" i="1"/>
  <c r="V450" i="1"/>
  <c r="U450" i="1"/>
  <c r="I450" i="1"/>
  <c r="E450" i="1"/>
  <c r="D450" i="1"/>
  <c r="C450" i="1"/>
  <c r="B450" i="1"/>
  <c r="AC449" i="1"/>
  <c r="AB449" i="1"/>
  <c r="Z449" i="1"/>
  <c r="W449" i="1"/>
  <c r="V449" i="1"/>
  <c r="U449" i="1"/>
  <c r="I449" i="1"/>
  <c r="E449" i="1"/>
  <c r="D449" i="1"/>
  <c r="C449" i="1"/>
  <c r="B449" i="1"/>
  <c r="AC448" i="1"/>
  <c r="AB448" i="1"/>
  <c r="Z448" i="1"/>
  <c r="W448" i="1"/>
  <c r="V448" i="1"/>
  <c r="U448" i="1"/>
  <c r="I448" i="1"/>
  <c r="E448" i="1"/>
  <c r="D448" i="1"/>
  <c r="C448" i="1"/>
  <c r="B448" i="1"/>
  <c r="AC447" i="1"/>
  <c r="AB447" i="1"/>
  <c r="Z447" i="1"/>
  <c r="W447" i="1"/>
  <c r="V447" i="1"/>
  <c r="U447" i="1"/>
  <c r="I447" i="1"/>
  <c r="E447" i="1"/>
  <c r="D447" i="1"/>
  <c r="C447" i="1"/>
  <c r="B447" i="1"/>
  <c r="AC446" i="1"/>
  <c r="AB446" i="1"/>
  <c r="Z446" i="1"/>
  <c r="W446" i="1"/>
  <c r="V446" i="1"/>
  <c r="U446" i="1"/>
  <c r="I446" i="1"/>
  <c r="E446" i="1"/>
  <c r="D446" i="1"/>
  <c r="C446" i="1"/>
  <c r="B446" i="1"/>
  <c r="AC445" i="1"/>
  <c r="AB445" i="1"/>
  <c r="Z445" i="1"/>
  <c r="W445" i="1"/>
  <c r="V445" i="1"/>
  <c r="U445" i="1"/>
  <c r="I445" i="1"/>
  <c r="E445" i="1"/>
  <c r="D445" i="1"/>
  <c r="C445" i="1"/>
  <c r="B445" i="1"/>
  <c r="AC444" i="1"/>
  <c r="AB444" i="1"/>
  <c r="Z444" i="1"/>
  <c r="W444" i="1"/>
  <c r="V444" i="1"/>
  <c r="U444" i="1"/>
  <c r="I444" i="1"/>
  <c r="E444" i="1"/>
  <c r="D444" i="1"/>
  <c r="C444" i="1"/>
  <c r="B444" i="1"/>
  <c r="AC443" i="1"/>
  <c r="AB443" i="1"/>
  <c r="Z443" i="1"/>
  <c r="W443" i="1"/>
  <c r="V443" i="1"/>
  <c r="U443" i="1"/>
  <c r="I443" i="1"/>
  <c r="E443" i="1"/>
  <c r="D443" i="1"/>
  <c r="C443" i="1"/>
  <c r="B443" i="1"/>
  <c r="AC442" i="1"/>
  <c r="AB442" i="1"/>
  <c r="Z442" i="1"/>
  <c r="W442" i="1"/>
  <c r="V442" i="1"/>
  <c r="U442" i="1"/>
  <c r="I442" i="1"/>
  <c r="E442" i="1"/>
  <c r="D442" i="1"/>
  <c r="C442" i="1"/>
  <c r="B442" i="1"/>
  <c r="AC441" i="1"/>
  <c r="AB441" i="1"/>
  <c r="Z441" i="1"/>
  <c r="W441" i="1"/>
  <c r="V441" i="1"/>
  <c r="U441" i="1"/>
  <c r="I441" i="1"/>
  <c r="E441" i="1"/>
  <c r="D441" i="1"/>
  <c r="C441" i="1"/>
  <c r="B441" i="1"/>
  <c r="AC440" i="1"/>
  <c r="AB440" i="1"/>
  <c r="Z440" i="1"/>
  <c r="W440" i="1"/>
  <c r="V440" i="1"/>
  <c r="U440" i="1"/>
  <c r="I440" i="1"/>
  <c r="E440" i="1"/>
  <c r="D440" i="1"/>
  <c r="C440" i="1"/>
  <c r="B440" i="1"/>
  <c r="AC439" i="1"/>
  <c r="AB439" i="1"/>
  <c r="Z439" i="1"/>
  <c r="W439" i="1"/>
  <c r="V439" i="1"/>
  <c r="U439" i="1"/>
  <c r="I439" i="1"/>
  <c r="E439" i="1"/>
  <c r="D439" i="1"/>
  <c r="C439" i="1"/>
  <c r="B439" i="1"/>
  <c r="AC438" i="1"/>
  <c r="AB438" i="1"/>
  <c r="Z438" i="1"/>
  <c r="W438" i="1"/>
  <c r="V438" i="1"/>
  <c r="U438" i="1"/>
  <c r="I438" i="1"/>
  <c r="E438" i="1"/>
  <c r="D438" i="1"/>
  <c r="C438" i="1"/>
  <c r="B438" i="1"/>
  <c r="AC437" i="1"/>
  <c r="AB437" i="1"/>
  <c r="Z437" i="1"/>
  <c r="W437" i="1"/>
  <c r="V437" i="1"/>
  <c r="U437" i="1"/>
  <c r="I437" i="1"/>
  <c r="E437" i="1"/>
  <c r="D437" i="1"/>
  <c r="C437" i="1"/>
  <c r="B437" i="1"/>
  <c r="AC436" i="1"/>
  <c r="AB436" i="1"/>
  <c r="Z436" i="1"/>
  <c r="W436" i="1"/>
  <c r="V436" i="1"/>
  <c r="U436" i="1"/>
  <c r="I436" i="1"/>
  <c r="E436" i="1"/>
  <c r="D436" i="1"/>
  <c r="C436" i="1"/>
  <c r="B436" i="1"/>
  <c r="AC435" i="1"/>
  <c r="AB435" i="1"/>
  <c r="Z435" i="1"/>
  <c r="W435" i="1"/>
  <c r="V435" i="1"/>
  <c r="U435" i="1"/>
  <c r="I435" i="1"/>
  <c r="E435" i="1"/>
  <c r="D435" i="1"/>
  <c r="C435" i="1"/>
  <c r="B435" i="1"/>
  <c r="AC434" i="1"/>
  <c r="AB434" i="1"/>
  <c r="Z434" i="1"/>
  <c r="W434" i="1"/>
  <c r="V434" i="1"/>
  <c r="U434" i="1"/>
  <c r="I434" i="1"/>
  <c r="E434" i="1"/>
  <c r="D434" i="1"/>
  <c r="C434" i="1"/>
  <c r="B434" i="1"/>
  <c r="AC433" i="1"/>
  <c r="AB433" i="1"/>
  <c r="Z433" i="1"/>
  <c r="W433" i="1"/>
  <c r="V433" i="1"/>
  <c r="U433" i="1"/>
  <c r="I433" i="1"/>
  <c r="E433" i="1"/>
  <c r="D433" i="1"/>
  <c r="C433" i="1"/>
  <c r="B433" i="1"/>
  <c r="AC432" i="1"/>
  <c r="AB432" i="1"/>
  <c r="Z432" i="1"/>
  <c r="W432" i="1"/>
  <c r="V432" i="1"/>
  <c r="U432" i="1"/>
  <c r="I432" i="1"/>
  <c r="E432" i="1"/>
  <c r="D432" i="1"/>
  <c r="C432" i="1"/>
  <c r="B432" i="1"/>
  <c r="AC431" i="1"/>
  <c r="AB431" i="1"/>
  <c r="Z431" i="1"/>
  <c r="W431" i="1"/>
  <c r="V431" i="1"/>
  <c r="U431" i="1"/>
  <c r="I431" i="1"/>
  <c r="E431" i="1"/>
  <c r="D431" i="1"/>
  <c r="C431" i="1"/>
  <c r="B431" i="1"/>
  <c r="AC430" i="1"/>
  <c r="AB430" i="1"/>
  <c r="Z430" i="1"/>
  <c r="W430" i="1"/>
  <c r="V430" i="1"/>
  <c r="U430" i="1"/>
  <c r="I430" i="1"/>
  <c r="E430" i="1"/>
  <c r="D430" i="1"/>
  <c r="C430" i="1"/>
  <c r="B430" i="1"/>
  <c r="AC429" i="1"/>
  <c r="AB429" i="1"/>
  <c r="Z429" i="1"/>
  <c r="W429" i="1"/>
  <c r="V429" i="1"/>
  <c r="U429" i="1"/>
  <c r="I429" i="1"/>
  <c r="E429" i="1"/>
  <c r="D429" i="1"/>
  <c r="C429" i="1"/>
  <c r="B429" i="1"/>
  <c r="AC428" i="1"/>
  <c r="AB428" i="1"/>
  <c r="Z428" i="1"/>
  <c r="W428" i="1"/>
  <c r="V428" i="1"/>
  <c r="U428" i="1"/>
  <c r="I428" i="1"/>
  <c r="E428" i="1"/>
  <c r="D428" i="1"/>
  <c r="C428" i="1"/>
  <c r="B428" i="1"/>
  <c r="AC427" i="1"/>
  <c r="AB427" i="1"/>
  <c r="Z427" i="1"/>
  <c r="W427" i="1"/>
  <c r="V427" i="1"/>
  <c r="U427" i="1"/>
  <c r="I427" i="1"/>
  <c r="E427" i="1"/>
  <c r="D427" i="1"/>
  <c r="C427" i="1"/>
  <c r="B427" i="1"/>
  <c r="AC426" i="1"/>
  <c r="AB426" i="1"/>
  <c r="Z426" i="1"/>
  <c r="W426" i="1"/>
  <c r="V426" i="1"/>
  <c r="U426" i="1"/>
  <c r="I426" i="1"/>
  <c r="E426" i="1"/>
  <c r="D426" i="1"/>
  <c r="C426" i="1"/>
  <c r="B426" i="1"/>
  <c r="AC425" i="1"/>
  <c r="AB425" i="1"/>
  <c r="Z425" i="1"/>
  <c r="W425" i="1"/>
  <c r="V425" i="1"/>
  <c r="U425" i="1"/>
  <c r="I425" i="1"/>
  <c r="E425" i="1"/>
  <c r="D425" i="1"/>
  <c r="C425" i="1"/>
  <c r="B425" i="1"/>
  <c r="AC424" i="1"/>
  <c r="AB424" i="1"/>
  <c r="Z424" i="1"/>
  <c r="W424" i="1"/>
  <c r="V424" i="1"/>
  <c r="U424" i="1"/>
  <c r="I424" i="1"/>
  <c r="E424" i="1"/>
  <c r="D424" i="1"/>
  <c r="C424" i="1"/>
  <c r="B424" i="1"/>
  <c r="AC423" i="1"/>
  <c r="AB423" i="1"/>
  <c r="Z423" i="1"/>
  <c r="W423" i="1"/>
  <c r="V423" i="1"/>
  <c r="U423" i="1"/>
  <c r="I423" i="1"/>
  <c r="E423" i="1"/>
  <c r="D423" i="1"/>
  <c r="C423" i="1"/>
  <c r="B423" i="1"/>
  <c r="AC422" i="1"/>
  <c r="AB422" i="1"/>
  <c r="Z422" i="1"/>
  <c r="W422" i="1"/>
  <c r="V422" i="1"/>
  <c r="U422" i="1"/>
  <c r="I422" i="1"/>
  <c r="E422" i="1"/>
  <c r="D422" i="1"/>
  <c r="C422" i="1"/>
  <c r="B422" i="1"/>
  <c r="AC421" i="1"/>
  <c r="AB421" i="1"/>
  <c r="Z421" i="1"/>
  <c r="W421" i="1"/>
  <c r="V421" i="1"/>
  <c r="U421" i="1"/>
  <c r="I421" i="1"/>
  <c r="E421" i="1"/>
  <c r="D421" i="1"/>
  <c r="C421" i="1"/>
  <c r="B421" i="1"/>
  <c r="AC420" i="1"/>
  <c r="AB420" i="1"/>
  <c r="Z420" i="1"/>
  <c r="W420" i="1"/>
  <c r="V420" i="1"/>
  <c r="U420" i="1"/>
  <c r="I420" i="1"/>
  <c r="E420" i="1"/>
  <c r="D420" i="1"/>
  <c r="C420" i="1"/>
  <c r="B420" i="1"/>
  <c r="AC419" i="1"/>
  <c r="AB419" i="1"/>
  <c r="Z419" i="1"/>
  <c r="W419" i="1"/>
  <c r="V419" i="1"/>
  <c r="U419" i="1"/>
  <c r="I419" i="1"/>
  <c r="E419" i="1"/>
  <c r="D419" i="1"/>
  <c r="C419" i="1"/>
  <c r="B419" i="1"/>
  <c r="AC418" i="1"/>
  <c r="AB418" i="1"/>
  <c r="Z418" i="1"/>
  <c r="W418" i="1"/>
  <c r="V418" i="1"/>
  <c r="U418" i="1"/>
  <c r="I418" i="1"/>
  <c r="E418" i="1"/>
  <c r="D418" i="1"/>
  <c r="C418" i="1"/>
  <c r="B418" i="1"/>
  <c r="AC417" i="1"/>
  <c r="AB417" i="1"/>
  <c r="Z417" i="1"/>
  <c r="W417" i="1"/>
  <c r="V417" i="1"/>
  <c r="U417" i="1"/>
  <c r="I417" i="1"/>
  <c r="E417" i="1"/>
  <c r="D417" i="1"/>
  <c r="C417" i="1"/>
  <c r="B417" i="1"/>
  <c r="AC416" i="1"/>
  <c r="AB416" i="1"/>
  <c r="Z416" i="1"/>
  <c r="W416" i="1"/>
  <c r="V416" i="1"/>
  <c r="U416" i="1"/>
  <c r="I416" i="1"/>
  <c r="E416" i="1"/>
  <c r="D416" i="1"/>
  <c r="C416" i="1"/>
  <c r="B416" i="1"/>
  <c r="AC415" i="1"/>
  <c r="AB415" i="1"/>
  <c r="Z415" i="1"/>
  <c r="W415" i="1"/>
  <c r="V415" i="1"/>
  <c r="U415" i="1"/>
  <c r="I415" i="1"/>
  <c r="E415" i="1"/>
  <c r="D415" i="1"/>
  <c r="C415" i="1"/>
  <c r="B415" i="1"/>
  <c r="AC414" i="1"/>
  <c r="AB414" i="1"/>
  <c r="Z414" i="1"/>
  <c r="W414" i="1"/>
  <c r="V414" i="1"/>
  <c r="U414" i="1"/>
  <c r="I414" i="1"/>
  <c r="E414" i="1"/>
  <c r="D414" i="1"/>
  <c r="C414" i="1"/>
  <c r="B414" i="1"/>
  <c r="AC413" i="1"/>
  <c r="AB413" i="1"/>
  <c r="Z413" i="1"/>
  <c r="W413" i="1"/>
  <c r="V413" i="1"/>
  <c r="U413" i="1"/>
  <c r="I413" i="1"/>
  <c r="E413" i="1"/>
  <c r="D413" i="1"/>
  <c r="C413" i="1"/>
  <c r="B413" i="1"/>
  <c r="AC412" i="1"/>
  <c r="AB412" i="1"/>
  <c r="Z412" i="1"/>
  <c r="W412" i="1"/>
  <c r="V412" i="1"/>
  <c r="U412" i="1"/>
  <c r="I412" i="1"/>
  <c r="E412" i="1"/>
  <c r="D412" i="1"/>
  <c r="C412" i="1"/>
  <c r="B412" i="1"/>
  <c r="AC411" i="1"/>
  <c r="AB411" i="1"/>
  <c r="Z411" i="1"/>
  <c r="W411" i="1"/>
  <c r="V411" i="1"/>
  <c r="U411" i="1"/>
  <c r="I411" i="1"/>
  <c r="E411" i="1"/>
  <c r="D411" i="1"/>
  <c r="C411" i="1"/>
  <c r="B411" i="1"/>
  <c r="AC410" i="1"/>
  <c r="AB410" i="1"/>
  <c r="Z410" i="1"/>
  <c r="W410" i="1"/>
  <c r="V410" i="1"/>
  <c r="U410" i="1"/>
  <c r="I410" i="1"/>
  <c r="E410" i="1"/>
  <c r="D410" i="1"/>
  <c r="C410" i="1"/>
  <c r="B410" i="1"/>
  <c r="AC409" i="1"/>
  <c r="AB409" i="1"/>
  <c r="Z409" i="1"/>
  <c r="W409" i="1"/>
  <c r="V409" i="1"/>
  <c r="U409" i="1"/>
  <c r="I409" i="1"/>
  <c r="E409" i="1"/>
  <c r="D409" i="1"/>
  <c r="C409" i="1"/>
  <c r="B409" i="1"/>
  <c r="AC408" i="1"/>
  <c r="AB408" i="1"/>
  <c r="Z408" i="1"/>
  <c r="W408" i="1"/>
  <c r="V408" i="1"/>
  <c r="U408" i="1"/>
  <c r="I408" i="1"/>
  <c r="E408" i="1"/>
  <c r="D408" i="1"/>
  <c r="C408" i="1"/>
  <c r="B408" i="1"/>
  <c r="AC407" i="1"/>
  <c r="AB407" i="1"/>
  <c r="Z407" i="1"/>
  <c r="W407" i="1"/>
  <c r="V407" i="1"/>
  <c r="U407" i="1"/>
  <c r="I407" i="1"/>
  <c r="E407" i="1"/>
  <c r="D407" i="1"/>
  <c r="C407" i="1"/>
  <c r="B407" i="1"/>
  <c r="AC406" i="1"/>
  <c r="AB406" i="1"/>
  <c r="Z406" i="1"/>
  <c r="W406" i="1"/>
  <c r="V406" i="1"/>
  <c r="U406" i="1"/>
  <c r="I406" i="1"/>
  <c r="E406" i="1"/>
  <c r="D406" i="1"/>
  <c r="C406" i="1"/>
  <c r="B406" i="1"/>
  <c r="AC405" i="1"/>
  <c r="AB405" i="1"/>
  <c r="Z405" i="1"/>
  <c r="W405" i="1"/>
  <c r="V405" i="1"/>
  <c r="U405" i="1"/>
  <c r="I405" i="1"/>
  <c r="E405" i="1"/>
  <c r="D405" i="1"/>
  <c r="C405" i="1"/>
  <c r="B405" i="1"/>
  <c r="AC404" i="1"/>
  <c r="AB404" i="1"/>
  <c r="Z404" i="1"/>
  <c r="W404" i="1"/>
  <c r="V404" i="1"/>
  <c r="U404" i="1"/>
  <c r="I404" i="1"/>
  <c r="E404" i="1"/>
  <c r="D404" i="1"/>
  <c r="C404" i="1"/>
  <c r="B404" i="1"/>
  <c r="AC403" i="1"/>
  <c r="AB403" i="1"/>
  <c r="Z403" i="1"/>
  <c r="W403" i="1"/>
  <c r="V403" i="1"/>
  <c r="U403" i="1"/>
  <c r="I403" i="1"/>
  <c r="E403" i="1"/>
  <c r="D403" i="1"/>
  <c r="C403" i="1"/>
  <c r="B403" i="1"/>
  <c r="AC402" i="1"/>
  <c r="AB402" i="1"/>
  <c r="Z402" i="1"/>
  <c r="W402" i="1"/>
  <c r="V402" i="1"/>
  <c r="U402" i="1"/>
  <c r="I402" i="1"/>
  <c r="E402" i="1"/>
  <c r="D402" i="1"/>
  <c r="C402" i="1"/>
  <c r="B402" i="1"/>
  <c r="AC401" i="1"/>
  <c r="AB401" i="1"/>
  <c r="Z401" i="1"/>
  <c r="W401" i="1"/>
  <c r="V401" i="1"/>
  <c r="U401" i="1"/>
  <c r="I401" i="1"/>
  <c r="E401" i="1"/>
  <c r="D401" i="1"/>
  <c r="C401" i="1"/>
  <c r="B401" i="1"/>
  <c r="AC400" i="1"/>
  <c r="AB400" i="1"/>
  <c r="Z400" i="1"/>
  <c r="W400" i="1"/>
  <c r="V400" i="1"/>
  <c r="U400" i="1"/>
  <c r="I400" i="1"/>
  <c r="E400" i="1"/>
  <c r="D400" i="1"/>
  <c r="C400" i="1"/>
  <c r="B400" i="1"/>
  <c r="AC399" i="1"/>
  <c r="AB399" i="1"/>
  <c r="Z399" i="1"/>
  <c r="W399" i="1"/>
  <c r="V399" i="1"/>
  <c r="U399" i="1"/>
  <c r="I399" i="1"/>
  <c r="E399" i="1"/>
  <c r="D399" i="1"/>
  <c r="C399" i="1"/>
  <c r="B399" i="1"/>
  <c r="AC398" i="1"/>
  <c r="AB398" i="1"/>
  <c r="Z398" i="1"/>
  <c r="W398" i="1"/>
  <c r="V398" i="1"/>
  <c r="U398" i="1"/>
  <c r="I398" i="1"/>
  <c r="E398" i="1"/>
  <c r="D398" i="1"/>
  <c r="C398" i="1"/>
  <c r="B398" i="1"/>
  <c r="AC397" i="1"/>
  <c r="AB397" i="1"/>
  <c r="Z397" i="1"/>
  <c r="W397" i="1"/>
  <c r="V397" i="1"/>
  <c r="U397" i="1"/>
  <c r="I397" i="1"/>
  <c r="E397" i="1"/>
  <c r="D397" i="1"/>
  <c r="C397" i="1"/>
  <c r="B397" i="1"/>
  <c r="AC396" i="1"/>
  <c r="AB396" i="1"/>
  <c r="Z396" i="1"/>
  <c r="W396" i="1"/>
  <c r="V396" i="1"/>
  <c r="U396" i="1"/>
  <c r="I396" i="1"/>
  <c r="E396" i="1"/>
  <c r="D396" i="1"/>
  <c r="C396" i="1"/>
  <c r="B396" i="1"/>
  <c r="AC395" i="1"/>
  <c r="AB395" i="1"/>
  <c r="Z395" i="1"/>
  <c r="W395" i="1"/>
  <c r="V395" i="1"/>
  <c r="U395" i="1"/>
  <c r="I395" i="1"/>
  <c r="E395" i="1"/>
  <c r="D395" i="1"/>
  <c r="C395" i="1"/>
  <c r="B395" i="1"/>
  <c r="AC394" i="1"/>
  <c r="AB394" i="1"/>
  <c r="Z394" i="1"/>
  <c r="W394" i="1"/>
  <c r="V394" i="1"/>
  <c r="U394" i="1"/>
  <c r="I394" i="1"/>
  <c r="E394" i="1"/>
  <c r="D394" i="1"/>
  <c r="C394" i="1"/>
  <c r="B394" i="1"/>
  <c r="AC393" i="1"/>
  <c r="AB393" i="1"/>
  <c r="Z393" i="1"/>
  <c r="W393" i="1"/>
  <c r="V393" i="1"/>
  <c r="U393" i="1"/>
  <c r="I393" i="1"/>
  <c r="E393" i="1"/>
  <c r="D393" i="1"/>
  <c r="C393" i="1"/>
  <c r="B393" i="1"/>
  <c r="AC392" i="1"/>
  <c r="AB392" i="1"/>
  <c r="Z392" i="1"/>
  <c r="W392" i="1"/>
  <c r="V392" i="1"/>
  <c r="U392" i="1"/>
  <c r="I392" i="1"/>
  <c r="E392" i="1"/>
  <c r="D392" i="1"/>
  <c r="C392" i="1"/>
  <c r="B392" i="1"/>
  <c r="AC391" i="1"/>
  <c r="AB391" i="1"/>
  <c r="Z391" i="1"/>
  <c r="W391" i="1"/>
  <c r="V391" i="1"/>
  <c r="U391" i="1"/>
  <c r="I391" i="1"/>
  <c r="E391" i="1"/>
  <c r="D391" i="1"/>
  <c r="C391" i="1"/>
  <c r="B391" i="1"/>
  <c r="AC390" i="1"/>
  <c r="AB390" i="1"/>
  <c r="Z390" i="1"/>
  <c r="W390" i="1"/>
  <c r="V390" i="1"/>
  <c r="U390" i="1"/>
  <c r="I390" i="1"/>
  <c r="E390" i="1"/>
  <c r="D390" i="1"/>
  <c r="C390" i="1"/>
  <c r="B390" i="1"/>
  <c r="AC389" i="1"/>
  <c r="AB389" i="1"/>
  <c r="Z389" i="1"/>
  <c r="W389" i="1"/>
  <c r="V389" i="1"/>
  <c r="U389" i="1"/>
  <c r="I389" i="1"/>
  <c r="E389" i="1"/>
  <c r="D389" i="1"/>
  <c r="C389" i="1"/>
  <c r="B389" i="1"/>
  <c r="AC388" i="1"/>
  <c r="AB388" i="1"/>
  <c r="Z388" i="1"/>
  <c r="W388" i="1"/>
  <c r="V388" i="1"/>
  <c r="U388" i="1"/>
  <c r="I388" i="1"/>
  <c r="E388" i="1"/>
  <c r="D388" i="1"/>
  <c r="C388" i="1"/>
  <c r="B388" i="1"/>
  <c r="AC387" i="1"/>
  <c r="AB387" i="1"/>
  <c r="Z387" i="1"/>
  <c r="W387" i="1"/>
  <c r="V387" i="1"/>
  <c r="U387" i="1"/>
  <c r="I387" i="1"/>
  <c r="E387" i="1"/>
  <c r="D387" i="1"/>
  <c r="C387" i="1"/>
  <c r="B387" i="1"/>
  <c r="AC386" i="1"/>
  <c r="AB386" i="1"/>
  <c r="Z386" i="1"/>
  <c r="W386" i="1"/>
  <c r="V386" i="1"/>
  <c r="U386" i="1"/>
  <c r="I386" i="1"/>
  <c r="E386" i="1"/>
  <c r="D386" i="1"/>
  <c r="C386" i="1"/>
  <c r="B386" i="1"/>
  <c r="AC385" i="1"/>
  <c r="AB385" i="1"/>
  <c r="Z385" i="1"/>
  <c r="W385" i="1"/>
  <c r="V385" i="1"/>
  <c r="U385" i="1"/>
  <c r="I385" i="1"/>
  <c r="E385" i="1"/>
  <c r="D385" i="1"/>
  <c r="C385" i="1"/>
  <c r="B385" i="1"/>
  <c r="AC384" i="1"/>
  <c r="AB384" i="1"/>
  <c r="Z384" i="1"/>
  <c r="W384" i="1"/>
  <c r="V384" i="1"/>
  <c r="U384" i="1"/>
  <c r="I384" i="1"/>
  <c r="E384" i="1"/>
  <c r="D384" i="1"/>
  <c r="C384" i="1"/>
  <c r="B384" i="1"/>
  <c r="AC383" i="1"/>
  <c r="AB383" i="1"/>
  <c r="Z383" i="1"/>
  <c r="W383" i="1"/>
  <c r="V383" i="1"/>
  <c r="U383" i="1"/>
  <c r="I383" i="1"/>
  <c r="E383" i="1"/>
  <c r="D383" i="1"/>
  <c r="C383" i="1"/>
  <c r="B383" i="1"/>
  <c r="AC382" i="1"/>
  <c r="AB382" i="1"/>
  <c r="Z382" i="1"/>
  <c r="W382" i="1"/>
  <c r="V382" i="1"/>
  <c r="U382" i="1"/>
  <c r="I382" i="1"/>
  <c r="E382" i="1"/>
  <c r="D382" i="1"/>
  <c r="C382" i="1"/>
  <c r="B382" i="1"/>
  <c r="AC381" i="1"/>
  <c r="AB381" i="1"/>
  <c r="Z381" i="1"/>
  <c r="W381" i="1"/>
  <c r="V381" i="1"/>
  <c r="U381" i="1"/>
  <c r="I381" i="1"/>
  <c r="E381" i="1"/>
  <c r="D381" i="1"/>
  <c r="C381" i="1"/>
  <c r="B381" i="1"/>
  <c r="AC380" i="1"/>
  <c r="AB380" i="1"/>
  <c r="Z380" i="1"/>
  <c r="W380" i="1"/>
  <c r="V380" i="1"/>
  <c r="U380" i="1"/>
  <c r="I380" i="1"/>
  <c r="E380" i="1"/>
  <c r="D380" i="1"/>
  <c r="C380" i="1"/>
  <c r="B380" i="1"/>
  <c r="AC379" i="1"/>
  <c r="AB379" i="1"/>
  <c r="Z379" i="1"/>
  <c r="W379" i="1"/>
  <c r="V379" i="1"/>
  <c r="U379" i="1"/>
  <c r="I379" i="1"/>
  <c r="E379" i="1"/>
  <c r="D379" i="1"/>
  <c r="C379" i="1"/>
  <c r="B379" i="1"/>
  <c r="AC378" i="1"/>
  <c r="AB378" i="1"/>
  <c r="Z378" i="1"/>
  <c r="W378" i="1"/>
  <c r="V378" i="1"/>
  <c r="U378" i="1"/>
  <c r="I378" i="1"/>
  <c r="E378" i="1"/>
  <c r="D378" i="1"/>
  <c r="C378" i="1"/>
  <c r="B378" i="1"/>
  <c r="AC377" i="1"/>
  <c r="AB377" i="1"/>
  <c r="Z377" i="1"/>
  <c r="W377" i="1"/>
  <c r="V377" i="1"/>
  <c r="U377" i="1"/>
  <c r="I377" i="1"/>
  <c r="E377" i="1"/>
  <c r="D377" i="1"/>
  <c r="C377" i="1"/>
  <c r="B377" i="1"/>
  <c r="AC376" i="1"/>
  <c r="AB376" i="1"/>
  <c r="Z376" i="1"/>
  <c r="W376" i="1"/>
  <c r="V376" i="1"/>
  <c r="U376" i="1"/>
  <c r="I376" i="1"/>
  <c r="E376" i="1"/>
  <c r="D376" i="1"/>
  <c r="C376" i="1"/>
  <c r="B376" i="1"/>
  <c r="AC375" i="1"/>
  <c r="AB375" i="1"/>
  <c r="Z375" i="1"/>
  <c r="W375" i="1"/>
  <c r="V375" i="1"/>
  <c r="U375" i="1"/>
  <c r="I375" i="1"/>
  <c r="E375" i="1"/>
  <c r="D375" i="1"/>
  <c r="C375" i="1"/>
  <c r="B375" i="1"/>
  <c r="AC374" i="1"/>
  <c r="AB374" i="1"/>
  <c r="Z374" i="1"/>
  <c r="W374" i="1"/>
  <c r="V374" i="1"/>
  <c r="U374" i="1"/>
  <c r="I374" i="1"/>
  <c r="E374" i="1"/>
  <c r="D374" i="1"/>
  <c r="C374" i="1"/>
  <c r="B374" i="1"/>
  <c r="AC373" i="1"/>
  <c r="AB373" i="1"/>
  <c r="Z373" i="1"/>
  <c r="W373" i="1"/>
  <c r="V373" i="1"/>
  <c r="U373" i="1"/>
  <c r="I373" i="1"/>
  <c r="E373" i="1"/>
  <c r="D373" i="1"/>
  <c r="C373" i="1"/>
  <c r="B373" i="1"/>
  <c r="AC372" i="1"/>
  <c r="AB372" i="1"/>
  <c r="Z372" i="1"/>
  <c r="W372" i="1"/>
  <c r="V372" i="1"/>
  <c r="U372" i="1"/>
  <c r="I372" i="1"/>
  <c r="E372" i="1"/>
  <c r="D372" i="1"/>
  <c r="C372" i="1"/>
  <c r="B372" i="1"/>
  <c r="AC371" i="1"/>
  <c r="AB371" i="1"/>
  <c r="Z371" i="1"/>
  <c r="W371" i="1"/>
  <c r="V371" i="1"/>
  <c r="U371" i="1"/>
  <c r="I371" i="1"/>
  <c r="E371" i="1"/>
  <c r="D371" i="1"/>
  <c r="C371" i="1"/>
  <c r="B371" i="1"/>
  <c r="AC370" i="1"/>
  <c r="AB370" i="1"/>
  <c r="Z370" i="1"/>
  <c r="W370" i="1"/>
  <c r="V370" i="1"/>
  <c r="U370" i="1"/>
  <c r="I370" i="1"/>
  <c r="E370" i="1"/>
  <c r="D370" i="1"/>
  <c r="C370" i="1"/>
  <c r="B370" i="1"/>
  <c r="AC369" i="1"/>
  <c r="AB369" i="1"/>
  <c r="Z369" i="1"/>
  <c r="W369" i="1"/>
  <c r="V369" i="1"/>
  <c r="U369" i="1"/>
  <c r="I369" i="1"/>
  <c r="E369" i="1"/>
  <c r="D369" i="1"/>
  <c r="C369" i="1"/>
  <c r="B369" i="1"/>
  <c r="AC368" i="1"/>
  <c r="AB368" i="1"/>
  <c r="Z368" i="1"/>
  <c r="W368" i="1"/>
  <c r="V368" i="1"/>
  <c r="U368" i="1"/>
  <c r="I368" i="1"/>
  <c r="E368" i="1"/>
  <c r="D368" i="1"/>
  <c r="C368" i="1"/>
  <c r="B368" i="1"/>
  <c r="AC367" i="1"/>
  <c r="AB367" i="1"/>
  <c r="Z367" i="1"/>
  <c r="W367" i="1"/>
  <c r="V367" i="1"/>
  <c r="U367" i="1"/>
  <c r="I367" i="1"/>
  <c r="E367" i="1"/>
  <c r="D367" i="1"/>
  <c r="C367" i="1"/>
  <c r="B367" i="1"/>
  <c r="AC366" i="1"/>
  <c r="AB366" i="1"/>
  <c r="Z366" i="1"/>
  <c r="W366" i="1"/>
  <c r="V366" i="1"/>
  <c r="U366" i="1"/>
  <c r="I366" i="1"/>
  <c r="E366" i="1"/>
  <c r="D366" i="1"/>
  <c r="C366" i="1"/>
  <c r="B366" i="1"/>
  <c r="AC365" i="1"/>
  <c r="AB365" i="1"/>
  <c r="Z365" i="1"/>
  <c r="W365" i="1"/>
  <c r="V365" i="1"/>
  <c r="U365" i="1"/>
  <c r="I365" i="1"/>
  <c r="E365" i="1"/>
  <c r="D365" i="1"/>
  <c r="C365" i="1"/>
  <c r="B365" i="1"/>
  <c r="AC364" i="1"/>
  <c r="AB364" i="1"/>
  <c r="Z364" i="1"/>
  <c r="W364" i="1"/>
  <c r="V364" i="1"/>
  <c r="U364" i="1"/>
  <c r="I364" i="1"/>
  <c r="E364" i="1"/>
  <c r="D364" i="1"/>
  <c r="C364" i="1"/>
  <c r="B364" i="1"/>
  <c r="AC363" i="1"/>
  <c r="AB363" i="1"/>
  <c r="Z363" i="1"/>
  <c r="W363" i="1"/>
  <c r="V363" i="1"/>
  <c r="U363" i="1"/>
  <c r="I363" i="1"/>
  <c r="E363" i="1"/>
  <c r="D363" i="1"/>
  <c r="C363" i="1"/>
  <c r="B363" i="1"/>
  <c r="AC362" i="1"/>
  <c r="AB362" i="1"/>
  <c r="Z362" i="1"/>
  <c r="W362" i="1"/>
  <c r="V362" i="1"/>
  <c r="U362" i="1"/>
  <c r="I362" i="1"/>
  <c r="E362" i="1"/>
  <c r="D362" i="1"/>
  <c r="C362" i="1"/>
  <c r="B362" i="1"/>
  <c r="AC361" i="1"/>
  <c r="AB361" i="1"/>
  <c r="Z361" i="1"/>
  <c r="W361" i="1"/>
  <c r="V361" i="1"/>
  <c r="U361" i="1"/>
  <c r="I361" i="1"/>
  <c r="E361" i="1"/>
  <c r="D361" i="1"/>
  <c r="C361" i="1"/>
  <c r="B361" i="1"/>
  <c r="AC360" i="1"/>
  <c r="AB360" i="1"/>
  <c r="Z360" i="1"/>
  <c r="W360" i="1"/>
  <c r="V360" i="1"/>
  <c r="U360" i="1"/>
  <c r="I360" i="1"/>
  <c r="E360" i="1"/>
  <c r="D360" i="1"/>
  <c r="C360" i="1"/>
  <c r="B360" i="1"/>
  <c r="AC359" i="1"/>
  <c r="AB359" i="1"/>
  <c r="Z359" i="1"/>
  <c r="W359" i="1"/>
  <c r="V359" i="1"/>
  <c r="U359" i="1"/>
  <c r="I359" i="1"/>
  <c r="E359" i="1"/>
  <c r="D359" i="1"/>
  <c r="C359" i="1"/>
  <c r="B359" i="1"/>
  <c r="AC358" i="1"/>
  <c r="AB358" i="1"/>
  <c r="Z358" i="1"/>
  <c r="W358" i="1"/>
  <c r="V358" i="1"/>
  <c r="U358" i="1"/>
  <c r="I358" i="1"/>
  <c r="E358" i="1"/>
  <c r="D358" i="1"/>
  <c r="C358" i="1"/>
  <c r="B358" i="1"/>
  <c r="AC357" i="1"/>
  <c r="AB357" i="1"/>
  <c r="Z357" i="1"/>
  <c r="W357" i="1"/>
  <c r="V357" i="1"/>
  <c r="U357" i="1"/>
  <c r="I357" i="1"/>
  <c r="E357" i="1"/>
  <c r="D357" i="1"/>
  <c r="C357" i="1"/>
  <c r="B357" i="1"/>
  <c r="AC356" i="1"/>
  <c r="AB356" i="1"/>
  <c r="Z356" i="1"/>
  <c r="W356" i="1"/>
  <c r="V356" i="1"/>
  <c r="U356" i="1"/>
  <c r="I356" i="1"/>
  <c r="E356" i="1"/>
  <c r="D356" i="1"/>
  <c r="C356" i="1"/>
  <c r="B356" i="1"/>
  <c r="AC355" i="1"/>
  <c r="AB355" i="1"/>
  <c r="Z355" i="1"/>
  <c r="W355" i="1"/>
  <c r="V355" i="1"/>
  <c r="U355" i="1"/>
  <c r="I355" i="1"/>
  <c r="E355" i="1"/>
  <c r="D355" i="1"/>
  <c r="C355" i="1"/>
  <c r="B355" i="1"/>
  <c r="AC354" i="1"/>
  <c r="AB354" i="1"/>
  <c r="Z354" i="1"/>
  <c r="W354" i="1"/>
  <c r="V354" i="1"/>
  <c r="U354" i="1"/>
  <c r="I354" i="1"/>
  <c r="E354" i="1"/>
  <c r="D354" i="1"/>
  <c r="C354" i="1"/>
  <c r="B354" i="1"/>
  <c r="AC353" i="1"/>
  <c r="AB353" i="1"/>
  <c r="Z353" i="1"/>
  <c r="W353" i="1"/>
  <c r="V353" i="1"/>
  <c r="U353" i="1"/>
  <c r="I353" i="1"/>
  <c r="E353" i="1"/>
  <c r="D353" i="1"/>
  <c r="C353" i="1"/>
  <c r="B353" i="1"/>
  <c r="AC352" i="1"/>
  <c r="AB352" i="1"/>
  <c r="Z352" i="1"/>
  <c r="W352" i="1"/>
  <c r="V352" i="1"/>
  <c r="U352" i="1"/>
  <c r="I352" i="1"/>
  <c r="E352" i="1"/>
  <c r="D352" i="1"/>
  <c r="C352" i="1"/>
  <c r="B352" i="1"/>
  <c r="AC351" i="1"/>
  <c r="AB351" i="1"/>
  <c r="Z351" i="1"/>
  <c r="W351" i="1"/>
  <c r="V351" i="1"/>
  <c r="U351" i="1"/>
  <c r="I351" i="1"/>
  <c r="E351" i="1"/>
  <c r="D351" i="1"/>
  <c r="C351" i="1"/>
  <c r="B351" i="1"/>
  <c r="AC350" i="1"/>
  <c r="AB350" i="1"/>
  <c r="Z350" i="1"/>
  <c r="W350" i="1"/>
  <c r="V350" i="1"/>
  <c r="U350" i="1"/>
  <c r="I350" i="1"/>
  <c r="E350" i="1"/>
  <c r="D350" i="1"/>
  <c r="C350" i="1"/>
  <c r="B350" i="1"/>
  <c r="AC349" i="1"/>
  <c r="AB349" i="1"/>
  <c r="Z349" i="1"/>
  <c r="W349" i="1"/>
  <c r="V349" i="1"/>
  <c r="U349" i="1"/>
  <c r="I349" i="1"/>
  <c r="E349" i="1"/>
  <c r="D349" i="1"/>
  <c r="C349" i="1"/>
  <c r="B349" i="1"/>
  <c r="AC348" i="1"/>
  <c r="AB348" i="1"/>
  <c r="Z348" i="1"/>
  <c r="W348" i="1"/>
  <c r="V348" i="1"/>
  <c r="U348" i="1"/>
  <c r="I348" i="1"/>
  <c r="E348" i="1"/>
  <c r="D348" i="1"/>
  <c r="C348" i="1"/>
  <c r="B348" i="1"/>
  <c r="AC347" i="1"/>
  <c r="AB347" i="1"/>
  <c r="Z347" i="1"/>
  <c r="W347" i="1"/>
  <c r="V347" i="1"/>
  <c r="U347" i="1"/>
  <c r="I347" i="1"/>
  <c r="E347" i="1"/>
  <c r="D347" i="1"/>
  <c r="C347" i="1"/>
  <c r="B347" i="1"/>
  <c r="AC346" i="1"/>
  <c r="AB346" i="1"/>
  <c r="Z346" i="1"/>
  <c r="W346" i="1"/>
  <c r="V346" i="1"/>
  <c r="U346" i="1"/>
  <c r="I346" i="1"/>
  <c r="E346" i="1"/>
  <c r="D346" i="1"/>
  <c r="C346" i="1"/>
  <c r="B346" i="1"/>
  <c r="AC345" i="1"/>
  <c r="AB345" i="1"/>
  <c r="Z345" i="1"/>
  <c r="W345" i="1"/>
  <c r="V345" i="1"/>
  <c r="U345" i="1"/>
  <c r="I345" i="1"/>
  <c r="E345" i="1"/>
  <c r="D345" i="1"/>
  <c r="C345" i="1"/>
  <c r="B345" i="1"/>
  <c r="AC344" i="1"/>
  <c r="AB344" i="1"/>
  <c r="Z344" i="1"/>
  <c r="W344" i="1"/>
  <c r="V344" i="1"/>
  <c r="U344" i="1"/>
  <c r="I344" i="1"/>
  <c r="E344" i="1"/>
  <c r="D344" i="1"/>
  <c r="C344" i="1"/>
  <c r="B344" i="1"/>
  <c r="AC343" i="1"/>
  <c r="AB343" i="1"/>
  <c r="Z343" i="1"/>
  <c r="W343" i="1"/>
  <c r="V343" i="1"/>
  <c r="U343" i="1"/>
  <c r="I343" i="1"/>
  <c r="E343" i="1"/>
  <c r="D343" i="1"/>
  <c r="C343" i="1"/>
  <c r="B343" i="1"/>
  <c r="AC342" i="1"/>
  <c r="AB342" i="1"/>
  <c r="Z342" i="1"/>
  <c r="W342" i="1"/>
  <c r="V342" i="1"/>
  <c r="U342" i="1"/>
  <c r="I342" i="1"/>
  <c r="E342" i="1"/>
  <c r="D342" i="1"/>
  <c r="C342" i="1"/>
  <c r="B342" i="1"/>
  <c r="AC341" i="1"/>
  <c r="AB341" i="1"/>
  <c r="Z341" i="1"/>
  <c r="W341" i="1"/>
  <c r="V341" i="1"/>
  <c r="U341" i="1"/>
  <c r="I341" i="1"/>
  <c r="E341" i="1"/>
  <c r="D341" i="1"/>
  <c r="C341" i="1"/>
  <c r="B341" i="1"/>
  <c r="AC340" i="1"/>
  <c r="AB340" i="1"/>
  <c r="Z340" i="1"/>
  <c r="W340" i="1"/>
  <c r="V340" i="1"/>
  <c r="U340" i="1"/>
  <c r="I340" i="1"/>
  <c r="E340" i="1"/>
  <c r="D340" i="1"/>
  <c r="C340" i="1"/>
  <c r="B340" i="1"/>
  <c r="AC339" i="1"/>
  <c r="AB339" i="1"/>
  <c r="Z339" i="1"/>
  <c r="W339" i="1"/>
  <c r="V339" i="1"/>
  <c r="U339" i="1"/>
  <c r="I339" i="1"/>
  <c r="E339" i="1"/>
  <c r="D339" i="1"/>
  <c r="C339" i="1"/>
  <c r="B339" i="1"/>
  <c r="AC338" i="1"/>
  <c r="AB338" i="1"/>
  <c r="Z338" i="1"/>
  <c r="W338" i="1"/>
  <c r="V338" i="1"/>
  <c r="U338" i="1"/>
  <c r="I338" i="1"/>
  <c r="E338" i="1"/>
  <c r="D338" i="1"/>
  <c r="C338" i="1"/>
  <c r="B338" i="1"/>
  <c r="AC337" i="1"/>
  <c r="AB337" i="1"/>
  <c r="Z337" i="1"/>
  <c r="W337" i="1"/>
  <c r="V337" i="1"/>
  <c r="U337" i="1"/>
  <c r="I337" i="1"/>
  <c r="E337" i="1"/>
  <c r="D337" i="1"/>
  <c r="C337" i="1"/>
  <c r="B337" i="1"/>
  <c r="AC336" i="1"/>
  <c r="AB336" i="1"/>
  <c r="Z336" i="1"/>
  <c r="W336" i="1"/>
  <c r="V336" i="1"/>
  <c r="U336" i="1"/>
  <c r="I336" i="1"/>
  <c r="E336" i="1"/>
  <c r="D336" i="1"/>
  <c r="C336" i="1"/>
  <c r="B336" i="1"/>
  <c r="AC335" i="1"/>
  <c r="AB335" i="1"/>
  <c r="Z335" i="1"/>
  <c r="W335" i="1"/>
  <c r="V335" i="1"/>
  <c r="U335" i="1"/>
  <c r="I335" i="1"/>
  <c r="E335" i="1"/>
  <c r="D335" i="1"/>
  <c r="C335" i="1"/>
  <c r="B335" i="1"/>
  <c r="AC334" i="1"/>
  <c r="AB334" i="1"/>
  <c r="Z334" i="1"/>
  <c r="W334" i="1"/>
  <c r="V334" i="1"/>
  <c r="U334" i="1"/>
  <c r="I334" i="1"/>
  <c r="E334" i="1"/>
  <c r="D334" i="1"/>
  <c r="C334" i="1"/>
  <c r="B334" i="1"/>
  <c r="AC333" i="1"/>
  <c r="AB333" i="1"/>
  <c r="Z333" i="1"/>
  <c r="W333" i="1"/>
  <c r="V333" i="1"/>
  <c r="U333" i="1"/>
  <c r="I333" i="1"/>
  <c r="E333" i="1"/>
  <c r="D333" i="1"/>
  <c r="C333" i="1"/>
  <c r="B333" i="1"/>
  <c r="AC332" i="1"/>
  <c r="AB332" i="1"/>
  <c r="Z332" i="1"/>
  <c r="W332" i="1"/>
  <c r="V332" i="1"/>
  <c r="U332" i="1"/>
  <c r="I332" i="1"/>
  <c r="E332" i="1"/>
  <c r="D332" i="1"/>
  <c r="C332" i="1"/>
  <c r="B332" i="1"/>
  <c r="AC331" i="1"/>
  <c r="AB331" i="1"/>
  <c r="Z331" i="1"/>
  <c r="W331" i="1"/>
  <c r="V331" i="1"/>
  <c r="U331" i="1"/>
  <c r="I331" i="1"/>
  <c r="E331" i="1"/>
  <c r="D331" i="1"/>
  <c r="C331" i="1"/>
  <c r="B331" i="1"/>
  <c r="AC330" i="1"/>
  <c r="AB330" i="1"/>
  <c r="Z330" i="1"/>
  <c r="W330" i="1"/>
  <c r="V330" i="1"/>
  <c r="U330" i="1"/>
  <c r="I330" i="1"/>
  <c r="E330" i="1"/>
  <c r="D330" i="1"/>
  <c r="C330" i="1"/>
  <c r="B330" i="1"/>
  <c r="AC329" i="1"/>
  <c r="AB329" i="1"/>
  <c r="Z329" i="1"/>
  <c r="W329" i="1"/>
  <c r="V329" i="1"/>
  <c r="U329" i="1"/>
  <c r="I329" i="1"/>
  <c r="E329" i="1"/>
  <c r="D329" i="1"/>
  <c r="C329" i="1"/>
  <c r="B329" i="1"/>
  <c r="AC328" i="1"/>
  <c r="AB328" i="1"/>
  <c r="Z328" i="1"/>
  <c r="W328" i="1"/>
  <c r="V328" i="1"/>
  <c r="U328" i="1"/>
  <c r="I328" i="1"/>
  <c r="E328" i="1"/>
  <c r="D328" i="1"/>
  <c r="C328" i="1"/>
  <c r="B328" i="1"/>
  <c r="AC327" i="1"/>
  <c r="AB327" i="1"/>
  <c r="Z327" i="1"/>
  <c r="W327" i="1"/>
  <c r="V327" i="1"/>
  <c r="U327" i="1"/>
  <c r="I327" i="1"/>
  <c r="E327" i="1"/>
  <c r="D327" i="1"/>
  <c r="C327" i="1"/>
  <c r="B327" i="1"/>
  <c r="AC326" i="1"/>
  <c r="AB326" i="1"/>
  <c r="Z326" i="1"/>
  <c r="W326" i="1"/>
  <c r="V326" i="1"/>
  <c r="U326" i="1"/>
  <c r="I326" i="1"/>
  <c r="E326" i="1"/>
  <c r="D326" i="1"/>
  <c r="C326" i="1"/>
  <c r="B326" i="1"/>
  <c r="AC325" i="1"/>
  <c r="AB325" i="1"/>
  <c r="Z325" i="1"/>
  <c r="W325" i="1"/>
  <c r="V325" i="1"/>
  <c r="U325" i="1"/>
  <c r="I325" i="1"/>
  <c r="E325" i="1"/>
  <c r="D325" i="1"/>
  <c r="C325" i="1"/>
  <c r="B325" i="1"/>
  <c r="AC324" i="1"/>
  <c r="AB324" i="1"/>
  <c r="Z324" i="1"/>
  <c r="W324" i="1"/>
  <c r="V324" i="1"/>
  <c r="U324" i="1"/>
  <c r="I324" i="1"/>
  <c r="E324" i="1"/>
  <c r="D324" i="1"/>
  <c r="C324" i="1"/>
  <c r="B324" i="1"/>
  <c r="AC323" i="1"/>
  <c r="AB323" i="1"/>
  <c r="Z323" i="1"/>
  <c r="W323" i="1"/>
  <c r="V323" i="1"/>
  <c r="U323" i="1"/>
  <c r="I323" i="1"/>
  <c r="E323" i="1"/>
  <c r="D323" i="1"/>
  <c r="C323" i="1"/>
  <c r="B323" i="1"/>
  <c r="AC322" i="1"/>
  <c r="AB322" i="1"/>
  <c r="Z322" i="1"/>
  <c r="W322" i="1"/>
  <c r="V322" i="1"/>
  <c r="U322" i="1"/>
  <c r="I322" i="1"/>
  <c r="E322" i="1"/>
  <c r="D322" i="1"/>
  <c r="C322" i="1"/>
  <c r="B322" i="1"/>
  <c r="AC321" i="1"/>
  <c r="AB321" i="1"/>
  <c r="Z321" i="1"/>
  <c r="W321" i="1"/>
  <c r="V321" i="1"/>
  <c r="U321" i="1"/>
  <c r="I321" i="1"/>
  <c r="E321" i="1"/>
  <c r="D321" i="1"/>
  <c r="C321" i="1"/>
  <c r="B321" i="1"/>
  <c r="AC320" i="1"/>
  <c r="AB320" i="1"/>
  <c r="Z320" i="1"/>
  <c r="W320" i="1"/>
  <c r="V320" i="1"/>
  <c r="U320" i="1"/>
  <c r="I320" i="1"/>
  <c r="E320" i="1"/>
  <c r="D320" i="1"/>
  <c r="C320" i="1"/>
  <c r="B320" i="1"/>
  <c r="AC319" i="1"/>
  <c r="AB319" i="1"/>
  <c r="Z319" i="1"/>
  <c r="W319" i="1"/>
  <c r="V319" i="1"/>
  <c r="U319" i="1"/>
  <c r="I319" i="1"/>
  <c r="E319" i="1"/>
  <c r="D319" i="1"/>
  <c r="C319" i="1"/>
  <c r="B319" i="1"/>
  <c r="AC318" i="1"/>
  <c r="AB318" i="1"/>
  <c r="Z318" i="1"/>
  <c r="W318" i="1"/>
  <c r="V318" i="1"/>
  <c r="U318" i="1"/>
  <c r="I318" i="1"/>
  <c r="E318" i="1"/>
  <c r="D318" i="1"/>
  <c r="C318" i="1"/>
  <c r="B318" i="1"/>
  <c r="AC317" i="1"/>
  <c r="AB317" i="1"/>
  <c r="Z317" i="1"/>
  <c r="W317" i="1"/>
  <c r="V317" i="1"/>
  <c r="U317" i="1"/>
  <c r="I317" i="1"/>
  <c r="E317" i="1"/>
  <c r="D317" i="1"/>
  <c r="C317" i="1"/>
  <c r="B317" i="1"/>
  <c r="AC316" i="1"/>
  <c r="AB316" i="1"/>
  <c r="Z316" i="1"/>
  <c r="W316" i="1"/>
  <c r="V316" i="1"/>
  <c r="U316" i="1"/>
  <c r="I316" i="1"/>
  <c r="E316" i="1"/>
  <c r="D316" i="1"/>
  <c r="C316" i="1"/>
  <c r="B316" i="1"/>
  <c r="AC315" i="1"/>
  <c r="AB315" i="1"/>
  <c r="Z315" i="1"/>
  <c r="W315" i="1"/>
  <c r="V315" i="1"/>
  <c r="U315" i="1"/>
  <c r="I315" i="1"/>
  <c r="E315" i="1"/>
  <c r="D315" i="1"/>
  <c r="C315" i="1"/>
  <c r="B315" i="1"/>
  <c r="AC314" i="1"/>
  <c r="AB314" i="1"/>
  <c r="Z314" i="1"/>
  <c r="W314" i="1"/>
  <c r="V314" i="1"/>
  <c r="U314" i="1"/>
  <c r="I314" i="1"/>
  <c r="E314" i="1"/>
  <c r="D314" i="1"/>
  <c r="C314" i="1"/>
  <c r="B314" i="1"/>
  <c r="AC313" i="1"/>
  <c r="AB313" i="1"/>
  <c r="Z313" i="1"/>
  <c r="W313" i="1"/>
  <c r="V313" i="1"/>
  <c r="U313" i="1"/>
  <c r="I313" i="1"/>
  <c r="E313" i="1"/>
  <c r="D313" i="1"/>
  <c r="C313" i="1"/>
  <c r="B313" i="1"/>
  <c r="AC312" i="1"/>
  <c r="AB312" i="1"/>
  <c r="Z312" i="1"/>
  <c r="W312" i="1"/>
  <c r="V312" i="1"/>
  <c r="U312" i="1"/>
  <c r="I312" i="1"/>
  <c r="E312" i="1"/>
  <c r="D312" i="1"/>
  <c r="C312" i="1"/>
  <c r="B312" i="1"/>
  <c r="AC311" i="1"/>
  <c r="AB311" i="1"/>
  <c r="Z311" i="1"/>
  <c r="W311" i="1"/>
  <c r="V311" i="1"/>
  <c r="U311" i="1"/>
  <c r="I311" i="1"/>
  <c r="E311" i="1"/>
  <c r="D311" i="1"/>
  <c r="C311" i="1"/>
  <c r="B311" i="1"/>
  <c r="AC310" i="1"/>
  <c r="AB310" i="1"/>
  <c r="Z310" i="1"/>
  <c r="W310" i="1"/>
  <c r="V310" i="1"/>
  <c r="U310" i="1"/>
  <c r="I310" i="1"/>
  <c r="E310" i="1"/>
  <c r="D310" i="1"/>
  <c r="C310" i="1"/>
  <c r="B310" i="1"/>
  <c r="AC309" i="1"/>
  <c r="AB309" i="1"/>
  <c r="Z309" i="1"/>
  <c r="W309" i="1"/>
  <c r="V309" i="1"/>
  <c r="U309" i="1"/>
  <c r="I309" i="1"/>
  <c r="E309" i="1"/>
  <c r="D309" i="1"/>
  <c r="C309" i="1"/>
  <c r="B309" i="1"/>
  <c r="AC308" i="1"/>
  <c r="AB308" i="1"/>
  <c r="Z308" i="1"/>
  <c r="W308" i="1"/>
  <c r="V308" i="1"/>
  <c r="U308" i="1"/>
  <c r="I308" i="1"/>
  <c r="E308" i="1"/>
  <c r="D308" i="1"/>
  <c r="C308" i="1"/>
  <c r="B308" i="1"/>
  <c r="AC307" i="1"/>
  <c r="AB307" i="1"/>
  <c r="Z307" i="1"/>
  <c r="W307" i="1"/>
  <c r="V307" i="1"/>
  <c r="U307" i="1"/>
  <c r="I307" i="1"/>
  <c r="E307" i="1"/>
  <c r="D307" i="1"/>
  <c r="C307" i="1"/>
  <c r="B307" i="1"/>
  <c r="AC306" i="1"/>
  <c r="AB306" i="1"/>
  <c r="Z306" i="1"/>
  <c r="W306" i="1"/>
  <c r="V306" i="1"/>
  <c r="U306" i="1"/>
  <c r="I306" i="1"/>
  <c r="E306" i="1"/>
  <c r="D306" i="1"/>
  <c r="C306" i="1"/>
  <c r="B306" i="1"/>
  <c r="AC305" i="1"/>
  <c r="AB305" i="1"/>
  <c r="Z305" i="1"/>
  <c r="W305" i="1"/>
  <c r="V305" i="1"/>
  <c r="U305" i="1"/>
  <c r="I305" i="1"/>
  <c r="E305" i="1"/>
  <c r="D305" i="1"/>
  <c r="C305" i="1"/>
  <c r="B305" i="1"/>
  <c r="AC304" i="1"/>
  <c r="AB304" i="1"/>
  <c r="Z304" i="1"/>
  <c r="W304" i="1"/>
  <c r="V304" i="1"/>
  <c r="U304" i="1"/>
  <c r="I304" i="1"/>
  <c r="E304" i="1"/>
  <c r="D304" i="1"/>
  <c r="C304" i="1"/>
  <c r="B304" i="1"/>
  <c r="AC303" i="1"/>
  <c r="AB303" i="1"/>
  <c r="Z303" i="1"/>
  <c r="W303" i="1"/>
  <c r="V303" i="1"/>
  <c r="U303" i="1"/>
  <c r="I303" i="1"/>
  <c r="E303" i="1"/>
  <c r="D303" i="1"/>
  <c r="C303" i="1"/>
  <c r="B303" i="1"/>
  <c r="AC302" i="1"/>
  <c r="AB302" i="1"/>
  <c r="Z302" i="1"/>
  <c r="W302" i="1"/>
  <c r="V302" i="1"/>
  <c r="U302" i="1"/>
  <c r="I302" i="1"/>
  <c r="E302" i="1"/>
  <c r="D302" i="1"/>
  <c r="C302" i="1"/>
  <c r="B302" i="1"/>
  <c r="AC301" i="1"/>
  <c r="AB301" i="1"/>
  <c r="Z301" i="1"/>
  <c r="W301" i="1"/>
  <c r="V301" i="1"/>
  <c r="U301" i="1"/>
  <c r="I301" i="1"/>
  <c r="E301" i="1"/>
  <c r="D301" i="1"/>
  <c r="C301" i="1"/>
  <c r="B301" i="1"/>
  <c r="AC300" i="1"/>
  <c r="AB300" i="1"/>
  <c r="Z300" i="1"/>
  <c r="W300" i="1"/>
  <c r="V300" i="1"/>
  <c r="U300" i="1"/>
  <c r="I300" i="1"/>
  <c r="E300" i="1"/>
  <c r="D300" i="1"/>
  <c r="C300" i="1"/>
  <c r="B300" i="1"/>
  <c r="AC299" i="1"/>
  <c r="AB299" i="1"/>
  <c r="Z299" i="1"/>
  <c r="W299" i="1"/>
  <c r="V299" i="1"/>
  <c r="U299" i="1"/>
  <c r="I299" i="1"/>
  <c r="E299" i="1"/>
  <c r="D299" i="1"/>
  <c r="C299" i="1"/>
  <c r="B299" i="1"/>
  <c r="AC298" i="1"/>
  <c r="AB298" i="1"/>
  <c r="Z298" i="1"/>
  <c r="W298" i="1"/>
  <c r="V298" i="1"/>
  <c r="U298" i="1"/>
  <c r="I298" i="1"/>
  <c r="E298" i="1"/>
  <c r="D298" i="1"/>
  <c r="C298" i="1"/>
  <c r="B298" i="1"/>
  <c r="AC297" i="1"/>
  <c r="AB297" i="1"/>
  <c r="Z297" i="1"/>
  <c r="W297" i="1"/>
  <c r="V297" i="1"/>
  <c r="U297" i="1"/>
  <c r="I297" i="1"/>
  <c r="E297" i="1"/>
  <c r="D297" i="1"/>
  <c r="C297" i="1"/>
  <c r="B297" i="1"/>
  <c r="AC296" i="1"/>
  <c r="AB296" i="1"/>
  <c r="Z296" i="1"/>
  <c r="W296" i="1"/>
  <c r="V296" i="1"/>
  <c r="U296" i="1"/>
  <c r="I296" i="1"/>
  <c r="E296" i="1"/>
  <c r="D296" i="1"/>
  <c r="C296" i="1"/>
  <c r="B296" i="1"/>
  <c r="AC295" i="1"/>
  <c r="AB295" i="1"/>
  <c r="Z295" i="1"/>
  <c r="W295" i="1"/>
  <c r="V295" i="1"/>
  <c r="U295" i="1"/>
  <c r="I295" i="1"/>
  <c r="E295" i="1"/>
  <c r="D295" i="1"/>
  <c r="C295" i="1"/>
  <c r="B295" i="1"/>
  <c r="AC294" i="1"/>
  <c r="AB294" i="1"/>
  <c r="Z294" i="1"/>
  <c r="W294" i="1"/>
  <c r="V294" i="1"/>
  <c r="U294" i="1"/>
  <c r="I294" i="1"/>
  <c r="E294" i="1"/>
  <c r="D294" i="1"/>
  <c r="C294" i="1"/>
  <c r="B294" i="1"/>
  <c r="AC293" i="1"/>
  <c r="AB293" i="1"/>
  <c r="Z293" i="1"/>
  <c r="W293" i="1"/>
  <c r="V293" i="1"/>
  <c r="U293" i="1"/>
  <c r="I293" i="1"/>
  <c r="E293" i="1"/>
  <c r="D293" i="1"/>
  <c r="C293" i="1"/>
  <c r="B293" i="1"/>
  <c r="AC292" i="1"/>
  <c r="AB292" i="1"/>
  <c r="Z292" i="1"/>
  <c r="W292" i="1"/>
  <c r="V292" i="1"/>
  <c r="U292" i="1"/>
  <c r="I292" i="1"/>
  <c r="E292" i="1"/>
  <c r="D292" i="1"/>
  <c r="C292" i="1"/>
  <c r="B292" i="1"/>
  <c r="AC291" i="1"/>
  <c r="AB291" i="1"/>
  <c r="Z291" i="1"/>
  <c r="W291" i="1"/>
  <c r="V291" i="1"/>
  <c r="U291" i="1"/>
  <c r="I291" i="1"/>
  <c r="E291" i="1"/>
  <c r="D291" i="1"/>
  <c r="C291" i="1"/>
  <c r="B291" i="1"/>
  <c r="AC290" i="1"/>
  <c r="AB290" i="1"/>
  <c r="Z290" i="1"/>
  <c r="W290" i="1"/>
  <c r="V290" i="1"/>
  <c r="U290" i="1"/>
  <c r="I290" i="1"/>
  <c r="E290" i="1"/>
  <c r="D290" i="1"/>
  <c r="C290" i="1"/>
  <c r="B290" i="1"/>
  <c r="AC289" i="1"/>
  <c r="AB289" i="1"/>
  <c r="Z289" i="1"/>
  <c r="W289" i="1"/>
  <c r="V289" i="1"/>
  <c r="U289" i="1"/>
  <c r="I289" i="1"/>
  <c r="E289" i="1"/>
  <c r="D289" i="1"/>
  <c r="C289" i="1"/>
  <c r="B289" i="1"/>
  <c r="AC288" i="1"/>
  <c r="AB288" i="1"/>
  <c r="Z288" i="1"/>
  <c r="W288" i="1"/>
  <c r="V288" i="1"/>
  <c r="U288" i="1"/>
  <c r="I288" i="1"/>
  <c r="E288" i="1"/>
  <c r="D288" i="1"/>
  <c r="C288" i="1"/>
  <c r="B288" i="1"/>
  <c r="AC287" i="1"/>
  <c r="AB287" i="1"/>
  <c r="Z287" i="1"/>
  <c r="W287" i="1"/>
  <c r="V287" i="1"/>
  <c r="U287" i="1"/>
  <c r="I287" i="1"/>
  <c r="E287" i="1"/>
  <c r="D287" i="1"/>
  <c r="C287" i="1"/>
  <c r="B287" i="1"/>
  <c r="AC286" i="1"/>
  <c r="AB286" i="1"/>
  <c r="Z286" i="1"/>
  <c r="W286" i="1"/>
  <c r="V286" i="1"/>
  <c r="U286" i="1"/>
  <c r="I286" i="1"/>
  <c r="E286" i="1"/>
  <c r="D286" i="1"/>
  <c r="C286" i="1"/>
  <c r="B286" i="1"/>
  <c r="AC285" i="1"/>
  <c r="AB285" i="1"/>
  <c r="Z285" i="1"/>
  <c r="W285" i="1"/>
  <c r="V285" i="1"/>
  <c r="U285" i="1"/>
  <c r="I285" i="1"/>
  <c r="E285" i="1"/>
  <c r="D285" i="1"/>
  <c r="C285" i="1"/>
  <c r="B285" i="1"/>
  <c r="AC284" i="1"/>
  <c r="AB284" i="1"/>
  <c r="Z284" i="1"/>
  <c r="W284" i="1"/>
  <c r="V284" i="1"/>
  <c r="U284" i="1"/>
  <c r="I284" i="1"/>
  <c r="E284" i="1"/>
  <c r="D284" i="1"/>
  <c r="C284" i="1"/>
  <c r="B284" i="1"/>
  <c r="AC283" i="1"/>
  <c r="AB283" i="1"/>
  <c r="Z283" i="1"/>
  <c r="W283" i="1"/>
  <c r="V283" i="1"/>
  <c r="U283" i="1"/>
  <c r="I283" i="1"/>
  <c r="E283" i="1"/>
  <c r="D283" i="1"/>
  <c r="C283" i="1"/>
  <c r="B283" i="1"/>
  <c r="AC282" i="1"/>
  <c r="AB282" i="1"/>
  <c r="Z282" i="1"/>
  <c r="W282" i="1"/>
  <c r="V282" i="1"/>
  <c r="U282" i="1"/>
  <c r="I282" i="1"/>
  <c r="E282" i="1"/>
  <c r="D282" i="1"/>
  <c r="C282" i="1"/>
  <c r="B282" i="1"/>
  <c r="AC281" i="1"/>
  <c r="AB281" i="1"/>
  <c r="Z281" i="1"/>
  <c r="W281" i="1"/>
  <c r="V281" i="1"/>
  <c r="U281" i="1"/>
  <c r="I281" i="1"/>
  <c r="E281" i="1"/>
  <c r="D281" i="1"/>
  <c r="C281" i="1"/>
  <c r="B281" i="1"/>
  <c r="AC280" i="1"/>
  <c r="AB280" i="1"/>
  <c r="Z280" i="1"/>
  <c r="W280" i="1"/>
  <c r="V280" i="1"/>
  <c r="U280" i="1"/>
  <c r="I280" i="1"/>
  <c r="E280" i="1"/>
  <c r="D280" i="1"/>
  <c r="C280" i="1"/>
  <c r="B280" i="1"/>
  <c r="AC279" i="1"/>
  <c r="AB279" i="1"/>
  <c r="Z279" i="1"/>
  <c r="W279" i="1"/>
  <c r="V279" i="1"/>
  <c r="U279" i="1"/>
  <c r="I279" i="1"/>
  <c r="E279" i="1"/>
  <c r="D279" i="1"/>
  <c r="C279" i="1"/>
  <c r="B279" i="1"/>
  <c r="AC278" i="1"/>
  <c r="AB278" i="1"/>
  <c r="Z278" i="1"/>
  <c r="W278" i="1"/>
  <c r="V278" i="1"/>
  <c r="U278" i="1"/>
  <c r="I278" i="1"/>
  <c r="E278" i="1"/>
  <c r="D278" i="1"/>
  <c r="C278" i="1"/>
  <c r="B278" i="1"/>
  <c r="AC277" i="1"/>
  <c r="AB277" i="1"/>
  <c r="Z277" i="1"/>
  <c r="W277" i="1"/>
  <c r="V277" i="1"/>
  <c r="U277" i="1"/>
  <c r="I277" i="1"/>
  <c r="E277" i="1"/>
  <c r="D277" i="1"/>
  <c r="C277" i="1"/>
  <c r="B277" i="1"/>
  <c r="AC276" i="1"/>
  <c r="AB276" i="1"/>
  <c r="Z276" i="1"/>
  <c r="W276" i="1"/>
  <c r="V276" i="1"/>
  <c r="U276" i="1"/>
  <c r="I276" i="1"/>
  <c r="E276" i="1"/>
  <c r="D276" i="1"/>
  <c r="C276" i="1"/>
  <c r="B276" i="1"/>
  <c r="AC275" i="1"/>
  <c r="AB275" i="1"/>
  <c r="Z275" i="1"/>
  <c r="W275" i="1"/>
  <c r="V275" i="1"/>
  <c r="U275" i="1"/>
  <c r="I275" i="1"/>
  <c r="E275" i="1"/>
  <c r="D275" i="1"/>
  <c r="C275" i="1"/>
  <c r="B275" i="1"/>
  <c r="AC274" i="1"/>
  <c r="AB274" i="1"/>
  <c r="Z274" i="1"/>
  <c r="W274" i="1"/>
  <c r="V274" i="1"/>
  <c r="U274" i="1"/>
  <c r="I274" i="1"/>
  <c r="E274" i="1"/>
  <c r="D274" i="1"/>
  <c r="C274" i="1"/>
  <c r="B274" i="1"/>
  <c r="AC273" i="1"/>
  <c r="AB273" i="1"/>
  <c r="Z273" i="1"/>
  <c r="W273" i="1"/>
  <c r="V273" i="1"/>
  <c r="U273" i="1"/>
  <c r="I273" i="1"/>
  <c r="E273" i="1"/>
  <c r="D273" i="1"/>
  <c r="C273" i="1"/>
  <c r="B273" i="1"/>
  <c r="AC272" i="1"/>
  <c r="AB272" i="1"/>
  <c r="Z272" i="1"/>
  <c r="W272" i="1"/>
  <c r="V272" i="1"/>
  <c r="U272" i="1"/>
  <c r="I272" i="1"/>
  <c r="E272" i="1"/>
  <c r="D272" i="1"/>
  <c r="C272" i="1"/>
  <c r="B272" i="1"/>
  <c r="AC271" i="1"/>
  <c r="AB271" i="1"/>
  <c r="Z271" i="1"/>
  <c r="W271" i="1"/>
  <c r="V271" i="1"/>
  <c r="U271" i="1"/>
  <c r="I271" i="1"/>
  <c r="E271" i="1"/>
  <c r="D271" i="1"/>
  <c r="C271" i="1"/>
  <c r="B271" i="1"/>
  <c r="AC270" i="1"/>
  <c r="AB270" i="1"/>
  <c r="Z270" i="1"/>
  <c r="W270" i="1"/>
  <c r="V270" i="1"/>
  <c r="U270" i="1"/>
  <c r="I270" i="1"/>
  <c r="E270" i="1"/>
  <c r="D270" i="1"/>
  <c r="C270" i="1"/>
  <c r="B270" i="1"/>
  <c r="AC269" i="1"/>
  <c r="AB269" i="1"/>
  <c r="Z269" i="1"/>
  <c r="W269" i="1"/>
  <c r="V269" i="1"/>
  <c r="U269" i="1"/>
  <c r="I269" i="1"/>
  <c r="E269" i="1"/>
  <c r="D269" i="1"/>
  <c r="C269" i="1"/>
  <c r="B269" i="1"/>
  <c r="AC268" i="1"/>
  <c r="AB268" i="1"/>
  <c r="Z268" i="1"/>
  <c r="W268" i="1"/>
  <c r="V268" i="1"/>
  <c r="U268" i="1"/>
  <c r="I268" i="1"/>
  <c r="E268" i="1"/>
  <c r="D268" i="1"/>
  <c r="C268" i="1"/>
  <c r="B268" i="1"/>
  <c r="AC267" i="1"/>
  <c r="AB267" i="1"/>
  <c r="Z267" i="1"/>
  <c r="W267" i="1"/>
  <c r="V267" i="1"/>
  <c r="U267" i="1"/>
  <c r="I267" i="1"/>
  <c r="E267" i="1"/>
  <c r="D267" i="1"/>
  <c r="C267" i="1"/>
  <c r="B267" i="1"/>
  <c r="AC266" i="1"/>
  <c r="AB266" i="1"/>
  <c r="Z266" i="1"/>
  <c r="W266" i="1"/>
  <c r="V266" i="1"/>
  <c r="U266" i="1"/>
  <c r="I266" i="1"/>
  <c r="E266" i="1"/>
  <c r="D266" i="1"/>
  <c r="C266" i="1"/>
  <c r="B266" i="1"/>
  <c r="AC265" i="1"/>
  <c r="AB265" i="1"/>
  <c r="Z265" i="1"/>
  <c r="W265" i="1"/>
  <c r="V265" i="1"/>
  <c r="U265" i="1"/>
  <c r="I265" i="1"/>
  <c r="E265" i="1"/>
  <c r="D265" i="1"/>
  <c r="C265" i="1"/>
  <c r="B265" i="1"/>
  <c r="AC264" i="1"/>
  <c r="AB264" i="1"/>
  <c r="Z264" i="1"/>
  <c r="W264" i="1"/>
  <c r="V264" i="1"/>
  <c r="U264" i="1"/>
  <c r="I264" i="1"/>
  <c r="E264" i="1"/>
  <c r="D264" i="1"/>
  <c r="C264" i="1"/>
  <c r="B264" i="1"/>
  <c r="AC263" i="1"/>
  <c r="AB263" i="1"/>
  <c r="Z263" i="1"/>
  <c r="W263" i="1"/>
  <c r="V263" i="1"/>
  <c r="U263" i="1"/>
  <c r="I263" i="1"/>
  <c r="E263" i="1"/>
  <c r="D263" i="1"/>
  <c r="C263" i="1"/>
  <c r="B263" i="1"/>
  <c r="AC262" i="1"/>
  <c r="AB262" i="1"/>
  <c r="Z262" i="1"/>
  <c r="W262" i="1"/>
  <c r="V262" i="1"/>
  <c r="U262" i="1"/>
  <c r="I262" i="1"/>
  <c r="E262" i="1"/>
  <c r="D262" i="1"/>
  <c r="C262" i="1"/>
  <c r="B262" i="1"/>
  <c r="AC261" i="1"/>
  <c r="AB261" i="1"/>
  <c r="Z261" i="1"/>
  <c r="W261" i="1"/>
  <c r="V261" i="1"/>
  <c r="U261" i="1"/>
  <c r="I261" i="1"/>
  <c r="E261" i="1"/>
  <c r="D261" i="1"/>
  <c r="C261" i="1"/>
  <c r="B261" i="1"/>
  <c r="AC260" i="1"/>
  <c r="AB260" i="1"/>
  <c r="Z260" i="1"/>
  <c r="W260" i="1"/>
  <c r="V260" i="1"/>
  <c r="U260" i="1"/>
  <c r="I260" i="1"/>
  <c r="E260" i="1"/>
  <c r="D260" i="1"/>
  <c r="C260" i="1"/>
  <c r="B260" i="1"/>
  <c r="AC259" i="1"/>
  <c r="AB259" i="1"/>
  <c r="Z259" i="1"/>
  <c r="W259" i="1"/>
  <c r="V259" i="1"/>
  <c r="U259" i="1"/>
  <c r="I259" i="1"/>
  <c r="E259" i="1"/>
  <c r="D259" i="1"/>
  <c r="C259" i="1"/>
  <c r="B259" i="1"/>
  <c r="AC258" i="1"/>
  <c r="AB258" i="1"/>
  <c r="Z258" i="1"/>
  <c r="W258" i="1"/>
  <c r="V258" i="1"/>
  <c r="U258" i="1"/>
  <c r="I258" i="1"/>
  <c r="E258" i="1"/>
  <c r="D258" i="1"/>
  <c r="C258" i="1"/>
  <c r="B258" i="1"/>
  <c r="AC257" i="1"/>
  <c r="AB257" i="1"/>
  <c r="Z257" i="1"/>
  <c r="W257" i="1"/>
  <c r="V257" i="1"/>
  <c r="U257" i="1"/>
  <c r="I257" i="1"/>
  <c r="E257" i="1"/>
  <c r="D257" i="1"/>
  <c r="C257" i="1"/>
  <c r="B257" i="1"/>
  <c r="AC256" i="1"/>
  <c r="AB256" i="1"/>
  <c r="Z256" i="1"/>
  <c r="W256" i="1"/>
  <c r="V256" i="1"/>
  <c r="U256" i="1"/>
  <c r="I256" i="1"/>
  <c r="E256" i="1"/>
  <c r="D256" i="1"/>
  <c r="C256" i="1"/>
  <c r="B256" i="1"/>
  <c r="AC255" i="1"/>
  <c r="AB255" i="1"/>
  <c r="Z255" i="1"/>
  <c r="W255" i="1"/>
  <c r="V255" i="1"/>
  <c r="U255" i="1"/>
  <c r="I255" i="1"/>
  <c r="E255" i="1"/>
  <c r="D255" i="1"/>
  <c r="C255" i="1"/>
  <c r="B255" i="1"/>
  <c r="AC254" i="1"/>
  <c r="AB254" i="1"/>
  <c r="Z254" i="1"/>
  <c r="W254" i="1"/>
  <c r="V254" i="1"/>
  <c r="U254" i="1"/>
  <c r="I254" i="1"/>
  <c r="E254" i="1"/>
  <c r="D254" i="1"/>
  <c r="C254" i="1"/>
  <c r="B254" i="1"/>
  <c r="AC253" i="1"/>
  <c r="AB253" i="1"/>
  <c r="Z253" i="1"/>
  <c r="W253" i="1"/>
  <c r="V253" i="1"/>
  <c r="U253" i="1"/>
  <c r="I253" i="1"/>
  <c r="E253" i="1"/>
  <c r="D253" i="1"/>
  <c r="C253" i="1"/>
  <c r="B253" i="1"/>
  <c r="AC252" i="1"/>
  <c r="AB252" i="1"/>
  <c r="Z252" i="1"/>
  <c r="W252" i="1"/>
  <c r="V252" i="1"/>
  <c r="U252" i="1"/>
  <c r="I252" i="1"/>
  <c r="E252" i="1"/>
  <c r="D252" i="1"/>
  <c r="C252" i="1"/>
  <c r="B252" i="1"/>
  <c r="AC251" i="1"/>
  <c r="AB251" i="1"/>
  <c r="Z251" i="1"/>
  <c r="W251" i="1"/>
  <c r="V251" i="1"/>
  <c r="U251" i="1"/>
  <c r="I251" i="1"/>
  <c r="E251" i="1"/>
  <c r="D251" i="1"/>
  <c r="C251" i="1"/>
  <c r="B251" i="1"/>
  <c r="AC250" i="1"/>
  <c r="AB250" i="1"/>
  <c r="Z250" i="1"/>
  <c r="W250" i="1"/>
  <c r="V250" i="1"/>
  <c r="U250" i="1"/>
  <c r="I250" i="1"/>
  <c r="E250" i="1"/>
  <c r="D250" i="1"/>
  <c r="C250" i="1"/>
  <c r="B250" i="1"/>
  <c r="AC249" i="1"/>
  <c r="AB249" i="1"/>
  <c r="Z249" i="1"/>
  <c r="W249" i="1"/>
  <c r="V249" i="1"/>
  <c r="U249" i="1"/>
  <c r="I249" i="1"/>
  <c r="E249" i="1"/>
  <c r="D249" i="1"/>
  <c r="C249" i="1"/>
  <c r="B249" i="1"/>
  <c r="AC248" i="1"/>
  <c r="AB248" i="1"/>
  <c r="Z248" i="1"/>
  <c r="W248" i="1"/>
  <c r="V248" i="1"/>
  <c r="U248" i="1"/>
  <c r="I248" i="1"/>
  <c r="E248" i="1"/>
  <c r="D248" i="1"/>
  <c r="C248" i="1"/>
  <c r="B248" i="1"/>
  <c r="AC247" i="1"/>
  <c r="AB247" i="1"/>
  <c r="Z247" i="1"/>
  <c r="W247" i="1"/>
  <c r="V247" i="1"/>
  <c r="U247" i="1"/>
  <c r="I247" i="1"/>
  <c r="E247" i="1"/>
  <c r="D247" i="1"/>
  <c r="C247" i="1"/>
  <c r="B247" i="1"/>
  <c r="AC246" i="1"/>
  <c r="AB246" i="1"/>
  <c r="Z246" i="1"/>
  <c r="W246" i="1"/>
  <c r="V246" i="1"/>
  <c r="U246" i="1"/>
  <c r="I246" i="1"/>
  <c r="E246" i="1"/>
  <c r="D246" i="1"/>
  <c r="C246" i="1"/>
  <c r="B246" i="1"/>
  <c r="AC245" i="1"/>
  <c r="AB245" i="1"/>
  <c r="Z245" i="1"/>
  <c r="W245" i="1"/>
  <c r="V245" i="1"/>
  <c r="U245" i="1"/>
  <c r="I245" i="1"/>
  <c r="E245" i="1"/>
  <c r="D245" i="1"/>
  <c r="C245" i="1"/>
  <c r="B245" i="1"/>
  <c r="AC244" i="1"/>
  <c r="AB244" i="1"/>
  <c r="Z244" i="1"/>
  <c r="W244" i="1"/>
  <c r="V244" i="1"/>
  <c r="U244" i="1"/>
  <c r="I244" i="1"/>
  <c r="E244" i="1"/>
  <c r="D244" i="1"/>
  <c r="C244" i="1"/>
  <c r="B244" i="1"/>
  <c r="AC243" i="1"/>
  <c r="AB243" i="1"/>
  <c r="Z243" i="1"/>
  <c r="W243" i="1"/>
  <c r="V243" i="1"/>
  <c r="U243" i="1"/>
  <c r="I243" i="1"/>
  <c r="E243" i="1"/>
  <c r="D243" i="1"/>
  <c r="C243" i="1"/>
  <c r="B243" i="1"/>
  <c r="AC242" i="1"/>
  <c r="AB242" i="1"/>
  <c r="Z242" i="1"/>
  <c r="W242" i="1"/>
  <c r="V242" i="1"/>
  <c r="U242" i="1"/>
  <c r="I242" i="1"/>
  <c r="E242" i="1"/>
  <c r="D242" i="1"/>
  <c r="C242" i="1"/>
  <c r="B242" i="1"/>
  <c r="AC241" i="1"/>
  <c r="AB241" i="1"/>
  <c r="Z241" i="1"/>
  <c r="W241" i="1"/>
  <c r="V241" i="1"/>
  <c r="U241" i="1"/>
  <c r="I241" i="1"/>
  <c r="E241" i="1"/>
  <c r="D241" i="1"/>
  <c r="C241" i="1"/>
  <c r="B241" i="1"/>
  <c r="AC240" i="1"/>
  <c r="AB240" i="1"/>
  <c r="Z240" i="1"/>
  <c r="W240" i="1"/>
  <c r="V240" i="1"/>
  <c r="U240" i="1"/>
  <c r="I240" i="1"/>
  <c r="E240" i="1"/>
  <c r="D240" i="1"/>
  <c r="C240" i="1"/>
  <c r="B240" i="1"/>
  <c r="AC239" i="1"/>
  <c r="AB239" i="1"/>
  <c r="Z239" i="1"/>
  <c r="W239" i="1"/>
  <c r="V239" i="1"/>
  <c r="U239" i="1"/>
  <c r="I239" i="1"/>
  <c r="E239" i="1"/>
  <c r="D239" i="1"/>
  <c r="C239" i="1"/>
  <c r="B239" i="1"/>
  <c r="AC238" i="1"/>
  <c r="AB238" i="1"/>
  <c r="Z238" i="1"/>
  <c r="W238" i="1"/>
  <c r="V238" i="1"/>
  <c r="U238" i="1"/>
  <c r="I238" i="1"/>
  <c r="E238" i="1"/>
  <c r="D238" i="1"/>
  <c r="C238" i="1"/>
  <c r="B238" i="1"/>
  <c r="AC237" i="1"/>
  <c r="AB237" i="1"/>
  <c r="Z237" i="1"/>
  <c r="W237" i="1"/>
  <c r="V237" i="1"/>
  <c r="U237" i="1"/>
  <c r="I237" i="1"/>
  <c r="E237" i="1"/>
  <c r="D237" i="1"/>
  <c r="C237" i="1"/>
  <c r="B237" i="1"/>
  <c r="AC236" i="1"/>
  <c r="AB236" i="1"/>
  <c r="Z236" i="1"/>
  <c r="W236" i="1"/>
  <c r="V236" i="1"/>
  <c r="U236" i="1"/>
  <c r="I236" i="1"/>
  <c r="E236" i="1"/>
  <c r="D236" i="1"/>
  <c r="C236" i="1"/>
  <c r="B236" i="1"/>
  <c r="AC235" i="1"/>
  <c r="AB235" i="1"/>
  <c r="Z235" i="1"/>
  <c r="W235" i="1"/>
  <c r="V235" i="1"/>
  <c r="U235" i="1"/>
  <c r="I235" i="1"/>
  <c r="E235" i="1"/>
  <c r="D235" i="1"/>
  <c r="C235" i="1"/>
  <c r="B235" i="1"/>
  <c r="AC234" i="1"/>
  <c r="AB234" i="1"/>
  <c r="Z234" i="1"/>
  <c r="W234" i="1"/>
  <c r="V234" i="1"/>
  <c r="U234" i="1"/>
  <c r="I234" i="1"/>
  <c r="E234" i="1"/>
  <c r="D234" i="1"/>
  <c r="C234" i="1"/>
  <c r="B234" i="1"/>
  <c r="AC233" i="1"/>
  <c r="AB233" i="1"/>
  <c r="Z233" i="1"/>
  <c r="W233" i="1"/>
  <c r="V233" i="1"/>
  <c r="U233" i="1"/>
  <c r="I233" i="1"/>
  <c r="E233" i="1"/>
  <c r="D233" i="1"/>
  <c r="C233" i="1"/>
  <c r="B233" i="1"/>
  <c r="AC232" i="1"/>
  <c r="AB232" i="1"/>
  <c r="Z232" i="1"/>
  <c r="W232" i="1"/>
  <c r="V232" i="1"/>
  <c r="U232" i="1"/>
  <c r="I232" i="1"/>
  <c r="E232" i="1"/>
  <c r="D232" i="1"/>
  <c r="C232" i="1"/>
  <c r="B232" i="1"/>
  <c r="AC231" i="1"/>
  <c r="AB231" i="1"/>
  <c r="Z231" i="1"/>
  <c r="W231" i="1"/>
  <c r="V231" i="1"/>
  <c r="U231" i="1"/>
  <c r="I231" i="1"/>
  <c r="E231" i="1"/>
  <c r="D231" i="1"/>
  <c r="C231" i="1"/>
  <c r="B231" i="1"/>
  <c r="AC230" i="1"/>
  <c r="AB230" i="1"/>
  <c r="Z230" i="1"/>
  <c r="W230" i="1"/>
  <c r="V230" i="1"/>
  <c r="U230" i="1"/>
  <c r="I230" i="1"/>
  <c r="E230" i="1"/>
  <c r="D230" i="1"/>
  <c r="C230" i="1"/>
  <c r="B230" i="1"/>
  <c r="AC229" i="1"/>
  <c r="AB229" i="1"/>
  <c r="Z229" i="1"/>
  <c r="W229" i="1"/>
  <c r="V229" i="1"/>
  <c r="U229" i="1"/>
  <c r="I229" i="1"/>
  <c r="E229" i="1"/>
  <c r="D229" i="1"/>
  <c r="C229" i="1"/>
  <c r="B229" i="1"/>
  <c r="AC228" i="1"/>
  <c r="AB228" i="1"/>
  <c r="Z228" i="1"/>
  <c r="W228" i="1"/>
  <c r="V228" i="1"/>
  <c r="U228" i="1"/>
  <c r="I228" i="1"/>
  <c r="E228" i="1"/>
  <c r="D228" i="1"/>
  <c r="C228" i="1"/>
  <c r="B228" i="1"/>
  <c r="AC227" i="1"/>
  <c r="AB227" i="1"/>
  <c r="Z227" i="1"/>
  <c r="W227" i="1"/>
  <c r="V227" i="1"/>
  <c r="U227" i="1"/>
  <c r="I227" i="1"/>
  <c r="E227" i="1"/>
  <c r="D227" i="1"/>
  <c r="C227" i="1"/>
  <c r="B227" i="1"/>
  <c r="AC226" i="1"/>
  <c r="AB226" i="1"/>
  <c r="Z226" i="1"/>
  <c r="W226" i="1"/>
  <c r="V226" i="1"/>
  <c r="U226" i="1"/>
  <c r="I226" i="1"/>
  <c r="E226" i="1"/>
  <c r="D226" i="1"/>
  <c r="C226" i="1"/>
  <c r="B226" i="1"/>
  <c r="AC225" i="1"/>
  <c r="AB225" i="1"/>
  <c r="Z225" i="1"/>
  <c r="W225" i="1"/>
  <c r="V225" i="1"/>
  <c r="U225" i="1"/>
  <c r="I225" i="1"/>
  <c r="E225" i="1"/>
  <c r="D225" i="1"/>
  <c r="C225" i="1"/>
  <c r="B225" i="1"/>
  <c r="AC224" i="1"/>
  <c r="AB224" i="1"/>
  <c r="Z224" i="1"/>
  <c r="W224" i="1"/>
  <c r="V224" i="1"/>
  <c r="U224" i="1"/>
  <c r="I224" i="1"/>
  <c r="E224" i="1"/>
  <c r="D224" i="1"/>
  <c r="C224" i="1"/>
  <c r="B224" i="1"/>
  <c r="AC223" i="1"/>
  <c r="AB223" i="1"/>
  <c r="Z223" i="1"/>
  <c r="W223" i="1"/>
  <c r="V223" i="1"/>
  <c r="U223" i="1"/>
  <c r="I223" i="1"/>
  <c r="E223" i="1"/>
  <c r="D223" i="1"/>
  <c r="C223" i="1"/>
  <c r="B223" i="1"/>
  <c r="AC222" i="1"/>
  <c r="AB222" i="1"/>
  <c r="Z222" i="1"/>
  <c r="W222" i="1"/>
  <c r="V222" i="1"/>
  <c r="U222" i="1"/>
  <c r="I222" i="1"/>
  <c r="E222" i="1"/>
  <c r="D222" i="1"/>
  <c r="C222" i="1"/>
  <c r="B222" i="1"/>
  <c r="AC221" i="1"/>
  <c r="AB221" i="1"/>
  <c r="Z221" i="1"/>
  <c r="W221" i="1"/>
  <c r="V221" i="1"/>
  <c r="U221" i="1"/>
  <c r="I221" i="1"/>
  <c r="E221" i="1"/>
  <c r="D221" i="1"/>
  <c r="C221" i="1"/>
  <c r="B221" i="1"/>
  <c r="AC220" i="1"/>
  <c r="AB220" i="1"/>
  <c r="Z220" i="1"/>
  <c r="W220" i="1"/>
  <c r="V220" i="1"/>
  <c r="U220" i="1"/>
  <c r="I220" i="1"/>
  <c r="E220" i="1"/>
  <c r="D220" i="1"/>
  <c r="C220" i="1"/>
  <c r="B220" i="1"/>
  <c r="AC219" i="1"/>
  <c r="AB219" i="1"/>
  <c r="Z219" i="1"/>
  <c r="W219" i="1"/>
  <c r="V219" i="1"/>
  <c r="U219" i="1"/>
  <c r="I219" i="1"/>
  <c r="E219" i="1"/>
  <c r="D219" i="1"/>
  <c r="C219" i="1"/>
  <c r="B219" i="1"/>
  <c r="AC218" i="1"/>
  <c r="AB218" i="1"/>
  <c r="Z218" i="1"/>
  <c r="W218" i="1"/>
  <c r="V218" i="1"/>
  <c r="U218" i="1"/>
  <c r="I218" i="1"/>
  <c r="E218" i="1"/>
  <c r="D218" i="1"/>
  <c r="C218" i="1"/>
  <c r="B218" i="1"/>
  <c r="AC217" i="1"/>
  <c r="AB217" i="1"/>
  <c r="Z217" i="1"/>
  <c r="W217" i="1"/>
  <c r="V217" i="1"/>
  <c r="U217" i="1"/>
  <c r="I217" i="1"/>
  <c r="E217" i="1"/>
  <c r="D217" i="1"/>
  <c r="C217" i="1"/>
  <c r="B217" i="1"/>
  <c r="AC216" i="1"/>
  <c r="AB216" i="1"/>
  <c r="Z216" i="1"/>
  <c r="W216" i="1"/>
  <c r="V216" i="1"/>
  <c r="U216" i="1"/>
  <c r="I216" i="1"/>
  <c r="E216" i="1"/>
  <c r="D216" i="1"/>
  <c r="C216" i="1"/>
  <c r="B216" i="1"/>
  <c r="AC215" i="1"/>
  <c r="AB215" i="1"/>
  <c r="Z215" i="1"/>
  <c r="W215" i="1"/>
  <c r="V215" i="1"/>
  <c r="U215" i="1"/>
  <c r="I215" i="1"/>
  <c r="E215" i="1"/>
  <c r="D215" i="1"/>
  <c r="C215" i="1"/>
  <c r="B215" i="1"/>
  <c r="AC214" i="1"/>
  <c r="AB214" i="1"/>
  <c r="Z214" i="1"/>
  <c r="W214" i="1"/>
  <c r="V214" i="1"/>
  <c r="U214" i="1"/>
  <c r="I214" i="1"/>
  <c r="E214" i="1"/>
  <c r="D214" i="1"/>
  <c r="C214" i="1"/>
  <c r="B214" i="1"/>
  <c r="AC213" i="1"/>
  <c r="AB213" i="1"/>
  <c r="Z213" i="1"/>
  <c r="W213" i="1"/>
  <c r="V213" i="1"/>
  <c r="U213" i="1"/>
  <c r="I213" i="1"/>
  <c r="E213" i="1"/>
  <c r="D213" i="1"/>
  <c r="C213" i="1"/>
  <c r="B213" i="1"/>
  <c r="AC212" i="1"/>
  <c r="AB212" i="1"/>
  <c r="Z212" i="1"/>
  <c r="W212" i="1"/>
  <c r="V212" i="1"/>
  <c r="U212" i="1"/>
  <c r="I212" i="1"/>
  <c r="E212" i="1"/>
  <c r="D212" i="1"/>
  <c r="C212" i="1"/>
  <c r="B212" i="1"/>
  <c r="AC211" i="1"/>
  <c r="AB211" i="1"/>
  <c r="Z211" i="1"/>
  <c r="W211" i="1"/>
  <c r="V211" i="1"/>
  <c r="U211" i="1"/>
  <c r="I211" i="1"/>
  <c r="E211" i="1"/>
  <c r="D211" i="1"/>
  <c r="C211" i="1"/>
  <c r="B211" i="1"/>
  <c r="AC210" i="1"/>
  <c r="AB210" i="1"/>
  <c r="Z210" i="1"/>
  <c r="W210" i="1"/>
  <c r="V210" i="1"/>
  <c r="U210" i="1"/>
  <c r="I210" i="1"/>
  <c r="E210" i="1"/>
  <c r="D210" i="1"/>
  <c r="C210" i="1"/>
  <c r="B210" i="1"/>
  <c r="AC209" i="1"/>
  <c r="AB209" i="1"/>
  <c r="Z209" i="1"/>
  <c r="W209" i="1"/>
  <c r="V209" i="1"/>
  <c r="U209" i="1"/>
  <c r="I209" i="1"/>
  <c r="E209" i="1"/>
  <c r="D209" i="1"/>
  <c r="C209" i="1"/>
  <c r="B209" i="1"/>
  <c r="AC208" i="1"/>
  <c r="AB208" i="1"/>
  <c r="Z208" i="1"/>
  <c r="W208" i="1"/>
  <c r="V208" i="1"/>
  <c r="U208" i="1"/>
  <c r="I208" i="1"/>
  <c r="E208" i="1"/>
  <c r="D208" i="1"/>
  <c r="C208" i="1"/>
  <c r="B208" i="1"/>
  <c r="AC207" i="1"/>
  <c r="AB207" i="1"/>
  <c r="Z207" i="1"/>
  <c r="W207" i="1"/>
  <c r="V207" i="1"/>
  <c r="U207" i="1"/>
  <c r="I207" i="1"/>
  <c r="E207" i="1"/>
  <c r="D207" i="1"/>
  <c r="C207" i="1"/>
  <c r="B207" i="1"/>
  <c r="AC206" i="1"/>
  <c r="AB206" i="1"/>
  <c r="Z206" i="1"/>
  <c r="W206" i="1"/>
  <c r="V206" i="1"/>
  <c r="U206" i="1"/>
  <c r="I206" i="1"/>
  <c r="E206" i="1"/>
  <c r="D206" i="1"/>
  <c r="C206" i="1"/>
  <c r="B206" i="1"/>
  <c r="AC205" i="1"/>
  <c r="AB205" i="1"/>
  <c r="Z205" i="1"/>
  <c r="W205" i="1"/>
  <c r="V205" i="1"/>
  <c r="U205" i="1"/>
  <c r="I205" i="1"/>
  <c r="E205" i="1"/>
  <c r="D205" i="1"/>
  <c r="C205" i="1"/>
  <c r="B205" i="1"/>
  <c r="AC204" i="1"/>
  <c r="AB204" i="1"/>
  <c r="Z204" i="1"/>
  <c r="W204" i="1"/>
  <c r="V204" i="1"/>
  <c r="U204" i="1"/>
  <c r="I204" i="1"/>
  <c r="E204" i="1"/>
  <c r="D204" i="1"/>
  <c r="C204" i="1"/>
  <c r="B204" i="1"/>
  <c r="AC203" i="1"/>
  <c r="AB203" i="1"/>
  <c r="Z203" i="1"/>
  <c r="W203" i="1"/>
  <c r="V203" i="1"/>
  <c r="U203" i="1"/>
  <c r="I203" i="1"/>
  <c r="E203" i="1"/>
  <c r="D203" i="1"/>
  <c r="C203" i="1"/>
  <c r="B203" i="1"/>
  <c r="AC202" i="1"/>
  <c r="AB202" i="1"/>
  <c r="Z202" i="1"/>
  <c r="W202" i="1"/>
  <c r="V202" i="1"/>
  <c r="U202" i="1"/>
  <c r="I202" i="1"/>
  <c r="E202" i="1"/>
  <c r="D202" i="1"/>
  <c r="C202" i="1"/>
  <c r="B202" i="1"/>
  <c r="AC201" i="1"/>
  <c r="AB201" i="1"/>
  <c r="Z201" i="1"/>
  <c r="W201" i="1"/>
  <c r="V201" i="1"/>
  <c r="U201" i="1"/>
  <c r="I201" i="1"/>
  <c r="E201" i="1"/>
  <c r="D201" i="1"/>
  <c r="C201" i="1"/>
  <c r="B201" i="1"/>
  <c r="AC200" i="1"/>
  <c r="AB200" i="1"/>
  <c r="Z200" i="1"/>
  <c r="W200" i="1"/>
  <c r="V200" i="1"/>
  <c r="U200" i="1"/>
  <c r="I200" i="1"/>
  <c r="E200" i="1"/>
  <c r="D200" i="1"/>
  <c r="C200" i="1"/>
  <c r="B200" i="1"/>
  <c r="AC199" i="1"/>
  <c r="AB199" i="1"/>
  <c r="Z199" i="1"/>
  <c r="W199" i="1"/>
  <c r="V199" i="1"/>
  <c r="U199" i="1"/>
  <c r="I199" i="1"/>
  <c r="E199" i="1"/>
  <c r="D199" i="1"/>
  <c r="C199" i="1"/>
  <c r="B199" i="1"/>
  <c r="AC198" i="1"/>
  <c r="AB198" i="1"/>
  <c r="Z198" i="1"/>
  <c r="W198" i="1"/>
  <c r="V198" i="1"/>
  <c r="U198" i="1"/>
  <c r="I198" i="1"/>
  <c r="E198" i="1"/>
  <c r="D198" i="1"/>
  <c r="C198" i="1"/>
  <c r="B198" i="1"/>
  <c r="AC197" i="1"/>
  <c r="AB197" i="1"/>
  <c r="Z197" i="1"/>
  <c r="W197" i="1"/>
  <c r="V197" i="1"/>
  <c r="U197" i="1"/>
  <c r="I197" i="1"/>
  <c r="E197" i="1"/>
  <c r="D197" i="1"/>
  <c r="C197" i="1"/>
  <c r="B197" i="1"/>
  <c r="AC196" i="1"/>
  <c r="AB196" i="1"/>
  <c r="Z196" i="1"/>
  <c r="W196" i="1"/>
  <c r="V196" i="1"/>
  <c r="U196" i="1"/>
  <c r="I196" i="1"/>
  <c r="E196" i="1"/>
  <c r="D196" i="1"/>
  <c r="C196" i="1"/>
  <c r="B196" i="1"/>
  <c r="AC195" i="1"/>
  <c r="AB195" i="1"/>
  <c r="Z195" i="1"/>
  <c r="W195" i="1"/>
  <c r="V195" i="1"/>
  <c r="U195" i="1"/>
  <c r="I195" i="1"/>
  <c r="E195" i="1"/>
  <c r="D195" i="1"/>
  <c r="C195" i="1"/>
  <c r="B195" i="1"/>
  <c r="AC194" i="1"/>
  <c r="AB194" i="1"/>
  <c r="Z194" i="1"/>
  <c r="W194" i="1"/>
  <c r="V194" i="1"/>
  <c r="U194" i="1"/>
  <c r="I194" i="1"/>
  <c r="E194" i="1"/>
  <c r="D194" i="1"/>
  <c r="C194" i="1"/>
  <c r="B194" i="1"/>
  <c r="AC193" i="1"/>
  <c r="AB193" i="1"/>
  <c r="Z193" i="1"/>
  <c r="W193" i="1"/>
  <c r="V193" i="1"/>
  <c r="U193" i="1"/>
  <c r="I193" i="1"/>
  <c r="E193" i="1"/>
  <c r="D193" i="1"/>
  <c r="C193" i="1"/>
  <c r="B193" i="1"/>
  <c r="AC192" i="1"/>
  <c r="AB192" i="1"/>
  <c r="Z192" i="1"/>
  <c r="W192" i="1"/>
  <c r="V192" i="1"/>
  <c r="U192" i="1"/>
  <c r="I192" i="1"/>
  <c r="E192" i="1"/>
  <c r="D192" i="1"/>
  <c r="C192" i="1"/>
  <c r="B192" i="1"/>
  <c r="AC191" i="1"/>
  <c r="AB191" i="1"/>
  <c r="Z191" i="1"/>
  <c r="W191" i="1"/>
  <c r="V191" i="1"/>
  <c r="U191" i="1"/>
  <c r="I191" i="1"/>
  <c r="E191" i="1"/>
  <c r="D191" i="1"/>
  <c r="C191" i="1"/>
  <c r="B191" i="1"/>
  <c r="AC190" i="1"/>
  <c r="AB190" i="1"/>
  <c r="Z190" i="1"/>
  <c r="W190" i="1"/>
  <c r="V190" i="1"/>
  <c r="U190" i="1"/>
  <c r="I190" i="1"/>
  <c r="E190" i="1"/>
  <c r="D190" i="1"/>
  <c r="C190" i="1"/>
  <c r="B190" i="1"/>
  <c r="AC189" i="1"/>
  <c r="AB189" i="1"/>
  <c r="Z189" i="1"/>
  <c r="W189" i="1"/>
  <c r="V189" i="1"/>
  <c r="U189" i="1"/>
  <c r="I189" i="1"/>
  <c r="E189" i="1"/>
  <c r="D189" i="1"/>
  <c r="C189" i="1"/>
  <c r="B189" i="1"/>
  <c r="AC188" i="1"/>
  <c r="AB188" i="1"/>
  <c r="Z188" i="1"/>
  <c r="W188" i="1"/>
  <c r="V188" i="1"/>
  <c r="U188" i="1"/>
  <c r="I188" i="1"/>
  <c r="E188" i="1"/>
  <c r="D188" i="1"/>
  <c r="C188" i="1"/>
  <c r="B188" i="1"/>
  <c r="AC187" i="1"/>
  <c r="AB187" i="1"/>
  <c r="Z187" i="1"/>
  <c r="W187" i="1"/>
  <c r="V187" i="1"/>
  <c r="U187" i="1"/>
  <c r="I187" i="1"/>
  <c r="E187" i="1"/>
  <c r="D187" i="1"/>
  <c r="C187" i="1"/>
  <c r="B187" i="1"/>
  <c r="AC186" i="1"/>
  <c r="AB186" i="1"/>
  <c r="Z186" i="1"/>
  <c r="W186" i="1"/>
  <c r="V186" i="1"/>
  <c r="U186" i="1"/>
  <c r="I186" i="1"/>
  <c r="E186" i="1"/>
  <c r="D186" i="1"/>
  <c r="C186" i="1"/>
  <c r="B186" i="1"/>
  <c r="AC185" i="1"/>
  <c r="AB185" i="1"/>
  <c r="Z185" i="1"/>
  <c r="W185" i="1"/>
  <c r="V185" i="1"/>
  <c r="U185" i="1"/>
  <c r="I185" i="1"/>
  <c r="E185" i="1"/>
  <c r="D185" i="1"/>
  <c r="C185" i="1"/>
  <c r="B185" i="1"/>
  <c r="AC184" i="1"/>
  <c r="AB184" i="1"/>
  <c r="Z184" i="1"/>
  <c r="W184" i="1"/>
  <c r="V184" i="1"/>
  <c r="U184" i="1"/>
  <c r="I184" i="1"/>
  <c r="E184" i="1"/>
  <c r="D184" i="1"/>
  <c r="C184" i="1"/>
  <c r="B184" i="1"/>
  <c r="AC183" i="1"/>
  <c r="AB183" i="1"/>
  <c r="Z183" i="1"/>
  <c r="W183" i="1"/>
  <c r="V183" i="1"/>
  <c r="U183" i="1"/>
  <c r="I183" i="1"/>
  <c r="E183" i="1"/>
  <c r="D183" i="1"/>
  <c r="C183" i="1"/>
  <c r="B183" i="1"/>
  <c r="AC182" i="1"/>
  <c r="AB182" i="1"/>
  <c r="Z182" i="1"/>
  <c r="W182" i="1"/>
  <c r="V182" i="1"/>
  <c r="U182" i="1"/>
  <c r="I182" i="1"/>
  <c r="E182" i="1"/>
  <c r="D182" i="1"/>
  <c r="C182" i="1"/>
  <c r="B182" i="1"/>
  <c r="AC181" i="1"/>
  <c r="AB181" i="1"/>
  <c r="Z181" i="1"/>
  <c r="W181" i="1"/>
  <c r="V181" i="1"/>
  <c r="U181" i="1"/>
  <c r="I181" i="1"/>
  <c r="E181" i="1"/>
  <c r="D181" i="1"/>
  <c r="C181" i="1"/>
  <c r="B181" i="1"/>
  <c r="AC180" i="1"/>
  <c r="AB180" i="1"/>
  <c r="Z180" i="1"/>
  <c r="W180" i="1"/>
  <c r="V180" i="1"/>
  <c r="U180" i="1"/>
  <c r="I180" i="1"/>
  <c r="E180" i="1"/>
  <c r="D180" i="1"/>
  <c r="C180" i="1"/>
  <c r="B180" i="1"/>
  <c r="AC179" i="1"/>
  <c r="AB179" i="1"/>
  <c r="Z179" i="1"/>
  <c r="W179" i="1"/>
  <c r="V179" i="1"/>
  <c r="U179" i="1"/>
  <c r="I179" i="1"/>
  <c r="E179" i="1"/>
  <c r="D179" i="1"/>
  <c r="C179" i="1"/>
  <c r="B179" i="1"/>
  <c r="AC178" i="1"/>
  <c r="AB178" i="1"/>
  <c r="Z178" i="1"/>
  <c r="W178" i="1"/>
  <c r="V178" i="1"/>
  <c r="U178" i="1"/>
  <c r="I178" i="1"/>
  <c r="E178" i="1"/>
  <c r="D178" i="1"/>
  <c r="C178" i="1"/>
  <c r="B178" i="1"/>
  <c r="AC177" i="1"/>
  <c r="AB177" i="1"/>
  <c r="Z177" i="1"/>
  <c r="W177" i="1"/>
  <c r="V177" i="1"/>
  <c r="U177" i="1"/>
  <c r="I177" i="1"/>
  <c r="E177" i="1"/>
  <c r="D177" i="1"/>
  <c r="C177" i="1"/>
  <c r="B177" i="1"/>
  <c r="AC176" i="1"/>
  <c r="AB176" i="1"/>
  <c r="Z176" i="1"/>
  <c r="W176" i="1"/>
  <c r="V176" i="1"/>
  <c r="U176" i="1"/>
  <c r="I176" i="1"/>
  <c r="E176" i="1"/>
  <c r="D176" i="1"/>
  <c r="C176" i="1"/>
  <c r="B176" i="1"/>
  <c r="AC175" i="1"/>
  <c r="AB175" i="1"/>
  <c r="Z175" i="1"/>
  <c r="W175" i="1"/>
  <c r="V175" i="1"/>
  <c r="U175" i="1"/>
  <c r="I175" i="1"/>
  <c r="E175" i="1"/>
  <c r="D175" i="1"/>
  <c r="C175" i="1"/>
  <c r="B175" i="1"/>
  <c r="AC174" i="1"/>
  <c r="AB174" i="1"/>
  <c r="Z174" i="1"/>
  <c r="W174" i="1"/>
  <c r="V174" i="1"/>
  <c r="U174" i="1"/>
  <c r="I174" i="1"/>
  <c r="E174" i="1"/>
  <c r="D174" i="1"/>
  <c r="C174" i="1"/>
  <c r="B174" i="1"/>
  <c r="AC173" i="1"/>
  <c r="AB173" i="1"/>
  <c r="Z173" i="1"/>
  <c r="W173" i="1"/>
  <c r="V173" i="1"/>
  <c r="U173" i="1"/>
  <c r="I173" i="1"/>
  <c r="E173" i="1"/>
  <c r="D173" i="1"/>
  <c r="C173" i="1"/>
  <c r="B173" i="1"/>
  <c r="AC172" i="1"/>
  <c r="AB172" i="1"/>
  <c r="Z172" i="1"/>
  <c r="W172" i="1"/>
  <c r="V172" i="1"/>
  <c r="U172" i="1"/>
  <c r="I172" i="1"/>
  <c r="E172" i="1"/>
  <c r="D172" i="1"/>
  <c r="C172" i="1"/>
  <c r="B172" i="1"/>
  <c r="AC171" i="1"/>
  <c r="AB171" i="1"/>
  <c r="Z171" i="1"/>
  <c r="W171" i="1"/>
  <c r="V171" i="1"/>
  <c r="U171" i="1"/>
  <c r="I171" i="1"/>
  <c r="E171" i="1"/>
  <c r="D171" i="1"/>
  <c r="C171" i="1"/>
  <c r="B171" i="1"/>
  <c r="AC170" i="1"/>
  <c r="AB170" i="1"/>
  <c r="Z170" i="1"/>
  <c r="W170" i="1"/>
  <c r="V170" i="1"/>
  <c r="U170" i="1"/>
  <c r="I170" i="1"/>
  <c r="E170" i="1"/>
  <c r="D170" i="1"/>
  <c r="C170" i="1"/>
  <c r="B170" i="1"/>
  <c r="AC169" i="1"/>
  <c r="AB169" i="1"/>
  <c r="Z169" i="1"/>
  <c r="W169" i="1"/>
  <c r="V169" i="1"/>
  <c r="U169" i="1"/>
  <c r="I169" i="1"/>
  <c r="E169" i="1"/>
  <c r="D169" i="1"/>
  <c r="C169" i="1"/>
  <c r="B169" i="1"/>
  <c r="AC168" i="1"/>
  <c r="AB168" i="1"/>
  <c r="Z168" i="1"/>
  <c r="W168" i="1"/>
  <c r="V168" i="1"/>
  <c r="U168" i="1"/>
  <c r="I168" i="1"/>
  <c r="E168" i="1"/>
  <c r="D168" i="1"/>
  <c r="C168" i="1"/>
  <c r="B168" i="1"/>
  <c r="AC167" i="1"/>
  <c r="AB167" i="1"/>
  <c r="Z167" i="1"/>
  <c r="W167" i="1"/>
  <c r="V167" i="1"/>
  <c r="U167" i="1"/>
  <c r="I167" i="1"/>
  <c r="E167" i="1"/>
  <c r="D167" i="1"/>
  <c r="C167" i="1"/>
  <c r="B167" i="1"/>
  <c r="AC166" i="1"/>
  <c r="AB166" i="1"/>
  <c r="Z166" i="1"/>
  <c r="W166" i="1"/>
  <c r="V166" i="1"/>
  <c r="U166" i="1"/>
  <c r="I166" i="1"/>
  <c r="E166" i="1"/>
  <c r="D166" i="1"/>
  <c r="C166" i="1"/>
  <c r="B166" i="1"/>
  <c r="AC165" i="1"/>
  <c r="AB165" i="1"/>
  <c r="Z165" i="1"/>
  <c r="W165" i="1"/>
  <c r="V165" i="1"/>
  <c r="U165" i="1"/>
  <c r="I165" i="1"/>
  <c r="E165" i="1"/>
  <c r="D165" i="1"/>
  <c r="C165" i="1"/>
  <c r="B165" i="1"/>
  <c r="AC164" i="1"/>
  <c r="AB164" i="1"/>
  <c r="Z164" i="1"/>
  <c r="W164" i="1"/>
  <c r="V164" i="1"/>
  <c r="U164" i="1"/>
  <c r="I164" i="1"/>
  <c r="E164" i="1"/>
  <c r="D164" i="1"/>
  <c r="C164" i="1"/>
  <c r="B164" i="1"/>
  <c r="AC163" i="1"/>
  <c r="AB163" i="1"/>
  <c r="Z163" i="1"/>
  <c r="W163" i="1"/>
  <c r="V163" i="1"/>
  <c r="U163" i="1"/>
  <c r="I163" i="1"/>
  <c r="E163" i="1"/>
  <c r="D163" i="1"/>
  <c r="C163" i="1"/>
  <c r="B163" i="1"/>
  <c r="AC162" i="1"/>
  <c r="AB162" i="1"/>
  <c r="Z162" i="1"/>
  <c r="W162" i="1"/>
  <c r="V162" i="1"/>
  <c r="U162" i="1"/>
  <c r="I162" i="1"/>
  <c r="E162" i="1"/>
  <c r="D162" i="1"/>
  <c r="C162" i="1"/>
  <c r="B162" i="1"/>
  <c r="AC161" i="1"/>
  <c r="AB161" i="1"/>
  <c r="Z161" i="1"/>
  <c r="W161" i="1"/>
  <c r="V161" i="1"/>
  <c r="U161" i="1"/>
  <c r="I161" i="1"/>
  <c r="E161" i="1"/>
  <c r="D161" i="1"/>
  <c r="C161" i="1"/>
  <c r="B161" i="1"/>
  <c r="AC160" i="1"/>
  <c r="AB160" i="1"/>
  <c r="Z160" i="1"/>
  <c r="W160" i="1"/>
  <c r="V160" i="1"/>
  <c r="U160" i="1"/>
  <c r="I160" i="1"/>
  <c r="E160" i="1"/>
  <c r="D160" i="1"/>
  <c r="C160" i="1"/>
  <c r="B160" i="1"/>
  <c r="AC159" i="1"/>
  <c r="AB159" i="1"/>
  <c r="Z159" i="1"/>
  <c r="W159" i="1"/>
  <c r="V159" i="1"/>
  <c r="U159" i="1"/>
  <c r="I159" i="1"/>
  <c r="E159" i="1"/>
  <c r="D159" i="1"/>
  <c r="C159" i="1"/>
  <c r="B159" i="1"/>
  <c r="AC158" i="1"/>
  <c r="AB158" i="1"/>
  <c r="Z158" i="1"/>
  <c r="W158" i="1"/>
  <c r="V158" i="1"/>
  <c r="U158" i="1"/>
  <c r="I158" i="1"/>
  <c r="E158" i="1"/>
  <c r="D158" i="1"/>
  <c r="C158" i="1"/>
  <c r="B158" i="1"/>
  <c r="AC157" i="1"/>
  <c r="AB157" i="1"/>
  <c r="Z157" i="1"/>
  <c r="W157" i="1"/>
  <c r="V157" i="1"/>
  <c r="U157" i="1"/>
  <c r="I157" i="1"/>
  <c r="E157" i="1"/>
  <c r="D157" i="1"/>
  <c r="C157" i="1"/>
  <c r="B157" i="1"/>
  <c r="AC156" i="1"/>
  <c r="AB156" i="1"/>
  <c r="Z156" i="1"/>
  <c r="W156" i="1"/>
  <c r="V156" i="1"/>
  <c r="U156" i="1"/>
  <c r="I156" i="1"/>
  <c r="E156" i="1"/>
  <c r="D156" i="1"/>
  <c r="C156" i="1"/>
  <c r="B156" i="1"/>
  <c r="AC155" i="1"/>
  <c r="AB155" i="1"/>
  <c r="Z155" i="1"/>
  <c r="W155" i="1"/>
  <c r="V155" i="1"/>
  <c r="U155" i="1"/>
  <c r="I155" i="1"/>
  <c r="E155" i="1"/>
  <c r="D155" i="1"/>
  <c r="C155" i="1"/>
  <c r="B155" i="1"/>
  <c r="AC154" i="1"/>
  <c r="AB154" i="1"/>
  <c r="Z154" i="1"/>
  <c r="W154" i="1"/>
  <c r="V154" i="1"/>
  <c r="U154" i="1"/>
  <c r="I154" i="1"/>
  <c r="E154" i="1"/>
  <c r="D154" i="1"/>
  <c r="C154" i="1"/>
  <c r="B154" i="1"/>
  <c r="AC153" i="1"/>
  <c r="AB153" i="1"/>
  <c r="Z153" i="1"/>
  <c r="W153" i="1"/>
  <c r="V153" i="1"/>
  <c r="U153" i="1"/>
  <c r="I153" i="1"/>
  <c r="E153" i="1"/>
  <c r="D153" i="1"/>
  <c r="C153" i="1"/>
  <c r="B153" i="1"/>
  <c r="AC152" i="1"/>
  <c r="AB152" i="1"/>
  <c r="Z152" i="1"/>
  <c r="W152" i="1"/>
  <c r="V152" i="1"/>
  <c r="U152" i="1"/>
  <c r="I152" i="1"/>
  <c r="E152" i="1"/>
  <c r="D152" i="1"/>
  <c r="C152" i="1"/>
  <c r="B152" i="1"/>
  <c r="AC151" i="1"/>
  <c r="AB151" i="1"/>
  <c r="Z151" i="1"/>
  <c r="W151" i="1"/>
  <c r="V151" i="1"/>
  <c r="U151" i="1"/>
  <c r="I151" i="1"/>
  <c r="E151" i="1"/>
  <c r="D151" i="1"/>
  <c r="C151" i="1"/>
  <c r="B151" i="1"/>
  <c r="AC150" i="1"/>
  <c r="AB150" i="1"/>
  <c r="Z150" i="1"/>
  <c r="W150" i="1"/>
  <c r="V150" i="1"/>
  <c r="U150" i="1"/>
  <c r="I150" i="1"/>
  <c r="E150" i="1"/>
  <c r="D150" i="1"/>
  <c r="C150" i="1"/>
  <c r="B150" i="1"/>
  <c r="AC149" i="1"/>
  <c r="AB149" i="1"/>
  <c r="Z149" i="1"/>
  <c r="W149" i="1"/>
  <c r="V149" i="1"/>
  <c r="U149" i="1"/>
  <c r="I149" i="1"/>
  <c r="E149" i="1"/>
  <c r="D149" i="1"/>
  <c r="C149" i="1"/>
  <c r="B149" i="1"/>
  <c r="AC148" i="1"/>
  <c r="AB148" i="1"/>
  <c r="Z148" i="1"/>
  <c r="W148" i="1"/>
  <c r="V148" i="1"/>
  <c r="U148" i="1"/>
  <c r="I148" i="1"/>
  <c r="E148" i="1"/>
  <c r="D148" i="1"/>
  <c r="C148" i="1"/>
  <c r="B148" i="1"/>
  <c r="AC147" i="1"/>
  <c r="AB147" i="1"/>
  <c r="Z147" i="1"/>
  <c r="W147" i="1"/>
  <c r="V147" i="1"/>
  <c r="U147" i="1"/>
  <c r="I147" i="1"/>
  <c r="E147" i="1"/>
  <c r="D147" i="1"/>
  <c r="C147" i="1"/>
  <c r="B147" i="1"/>
  <c r="AC146" i="1"/>
  <c r="AB146" i="1"/>
  <c r="Z146" i="1"/>
  <c r="W146" i="1"/>
  <c r="V146" i="1"/>
  <c r="U146" i="1"/>
  <c r="I146" i="1"/>
  <c r="E146" i="1"/>
  <c r="D146" i="1"/>
  <c r="C146" i="1"/>
  <c r="B146" i="1"/>
  <c r="AC145" i="1"/>
  <c r="AB145" i="1"/>
  <c r="Z145" i="1"/>
  <c r="W145" i="1"/>
  <c r="V145" i="1"/>
  <c r="U145" i="1"/>
  <c r="I145" i="1"/>
  <c r="E145" i="1"/>
  <c r="D145" i="1"/>
  <c r="C145" i="1"/>
  <c r="B145" i="1"/>
  <c r="AC144" i="1"/>
  <c r="AB144" i="1"/>
  <c r="Z144" i="1"/>
  <c r="W144" i="1"/>
  <c r="V144" i="1"/>
  <c r="U144" i="1"/>
  <c r="I144" i="1"/>
  <c r="E144" i="1"/>
  <c r="D144" i="1"/>
  <c r="C144" i="1"/>
  <c r="B144" i="1"/>
  <c r="AC143" i="1"/>
  <c r="AB143" i="1"/>
  <c r="Z143" i="1"/>
  <c r="W143" i="1"/>
  <c r="V143" i="1"/>
  <c r="U143" i="1"/>
  <c r="I143" i="1"/>
  <c r="E143" i="1"/>
  <c r="D143" i="1"/>
  <c r="C143" i="1"/>
  <c r="B143" i="1"/>
  <c r="AC142" i="1"/>
  <c r="AB142" i="1"/>
  <c r="Z142" i="1"/>
  <c r="W142" i="1"/>
  <c r="V142" i="1"/>
  <c r="U142" i="1"/>
  <c r="I142" i="1"/>
  <c r="E142" i="1"/>
  <c r="D142" i="1"/>
  <c r="C142" i="1"/>
  <c r="B142" i="1"/>
  <c r="AC141" i="1"/>
  <c r="AB141" i="1"/>
  <c r="Z141" i="1"/>
  <c r="W141" i="1"/>
  <c r="V141" i="1"/>
  <c r="U141" i="1"/>
  <c r="I141" i="1"/>
  <c r="E141" i="1"/>
  <c r="D141" i="1"/>
  <c r="C141" i="1"/>
  <c r="B141" i="1"/>
  <c r="AC140" i="1"/>
  <c r="AB140" i="1"/>
  <c r="Z140" i="1"/>
  <c r="W140" i="1"/>
  <c r="V140" i="1"/>
  <c r="U140" i="1"/>
  <c r="I140" i="1"/>
  <c r="E140" i="1"/>
  <c r="D140" i="1"/>
  <c r="C140" i="1"/>
  <c r="B140" i="1"/>
  <c r="AC139" i="1"/>
  <c r="AB139" i="1"/>
  <c r="Z139" i="1"/>
  <c r="W139" i="1"/>
  <c r="V139" i="1"/>
  <c r="U139" i="1"/>
  <c r="I139" i="1"/>
  <c r="E139" i="1"/>
  <c r="D139" i="1"/>
  <c r="C139" i="1"/>
  <c r="B139" i="1"/>
  <c r="AC138" i="1"/>
  <c r="AB138" i="1"/>
  <c r="Z138" i="1"/>
  <c r="W138" i="1"/>
  <c r="V138" i="1"/>
  <c r="U138" i="1"/>
  <c r="I138" i="1"/>
  <c r="E138" i="1"/>
  <c r="D138" i="1"/>
  <c r="C138" i="1"/>
  <c r="B138" i="1"/>
  <c r="AC137" i="1"/>
  <c r="AB137" i="1"/>
  <c r="Z137" i="1"/>
  <c r="W137" i="1"/>
  <c r="V137" i="1"/>
  <c r="U137" i="1"/>
  <c r="I137" i="1"/>
  <c r="E137" i="1"/>
  <c r="D137" i="1"/>
  <c r="C137" i="1"/>
  <c r="B137" i="1"/>
  <c r="AC136" i="1"/>
  <c r="AB136" i="1"/>
  <c r="Z136" i="1"/>
  <c r="W136" i="1"/>
  <c r="V136" i="1"/>
  <c r="U136" i="1"/>
  <c r="I136" i="1"/>
  <c r="E136" i="1"/>
  <c r="D136" i="1"/>
  <c r="C136" i="1"/>
  <c r="B136" i="1"/>
  <c r="AC135" i="1"/>
  <c r="AB135" i="1"/>
  <c r="Z135" i="1"/>
  <c r="W135" i="1"/>
  <c r="V135" i="1"/>
  <c r="U135" i="1"/>
  <c r="I135" i="1"/>
  <c r="E135" i="1"/>
  <c r="D135" i="1"/>
  <c r="C135" i="1"/>
  <c r="B135" i="1"/>
  <c r="AC134" i="1"/>
  <c r="AB134" i="1"/>
  <c r="Z134" i="1"/>
  <c r="W134" i="1"/>
  <c r="V134" i="1"/>
  <c r="U134" i="1"/>
  <c r="I134" i="1"/>
  <c r="E134" i="1"/>
  <c r="D134" i="1"/>
  <c r="C134" i="1"/>
  <c r="B134" i="1"/>
  <c r="AC133" i="1"/>
  <c r="AB133" i="1"/>
  <c r="Z133" i="1"/>
  <c r="W133" i="1"/>
  <c r="V133" i="1"/>
  <c r="U133" i="1"/>
  <c r="I133" i="1"/>
  <c r="E133" i="1"/>
  <c r="D133" i="1"/>
  <c r="C133" i="1"/>
  <c r="B133" i="1"/>
  <c r="AC132" i="1"/>
  <c r="AB132" i="1"/>
  <c r="Z132" i="1"/>
  <c r="W132" i="1"/>
  <c r="V132" i="1"/>
  <c r="U132" i="1"/>
  <c r="I132" i="1"/>
  <c r="E132" i="1"/>
  <c r="D132" i="1"/>
  <c r="C132" i="1"/>
  <c r="B132" i="1"/>
  <c r="AC131" i="1"/>
  <c r="AB131" i="1"/>
  <c r="Z131" i="1"/>
  <c r="W131" i="1"/>
  <c r="V131" i="1"/>
  <c r="U131" i="1"/>
  <c r="I131" i="1"/>
  <c r="E131" i="1"/>
  <c r="D131" i="1"/>
  <c r="C131" i="1"/>
  <c r="B131" i="1"/>
  <c r="AC130" i="1"/>
  <c r="AB130" i="1"/>
  <c r="Z130" i="1"/>
  <c r="W130" i="1"/>
  <c r="V130" i="1"/>
  <c r="U130" i="1"/>
  <c r="I130" i="1"/>
  <c r="E130" i="1"/>
  <c r="D130" i="1"/>
  <c r="C130" i="1"/>
  <c r="B130" i="1"/>
  <c r="AC129" i="1"/>
  <c r="AB129" i="1"/>
  <c r="Z129" i="1"/>
  <c r="W129" i="1"/>
  <c r="V129" i="1"/>
  <c r="U129" i="1"/>
  <c r="I129" i="1"/>
  <c r="E129" i="1"/>
  <c r="D129" i="1"/>
  <c r="C129" i="1"/>
  <c r="B129" i="1"/>
  <c r="AC128" i="1"/>
  <c r="AB128" i="1"/>
  <c r="Z128" i="1"/>
  <c r="W128" i="1"/>
  <c r="V128" i="1"/>
  <c r="U128" i="1"/>
  <c r="I128" i="1"/>
  <c r="E128" i="1"/>
  <c r="D128" i="1"/>
  <c r="C128" i="1"/>
  <c r="B128" i="1"/>
  <c r="AC127" i="1"/>
  <c r="AB127" i="1"/>
  <c r="Z127" i="1"/>
  <c r="W127" i="1"/>
  <c r="V127" i="1"/>
  <c r="U127" i="1"/>
  <c r="I127" i="1"/>
  <c r="E127" i="1"/>
  <c r="D127" i="1"/>
  <c r="C127" i="1"/>
  <c r="B127" i="1"/>
  <c r="AC126" i="1"/>
  <c r="AB126" i="1"/>
  <c r="Z126" i="1"/>
  <c r="W126" i="1"/>
  <c r="V126" i="1"/>
  <c r="U126" i="1"/>
  <c r="I126" i="1"/>
  <c r="E126" i="1"/>
  <c r="D126" i="1"/>
  <c r="C126" i="1"/>
  <c r="B126" i="1"/>
  <c r="AC125" i="1"/>
  <c r="AB125" i="1"/>
  <c r="Z125" i="1"/>
  <c r="W125" i="1"/>
  <c r="V125" i="1"/>
  <c r="U125" i="1"/>
  <c r="I125" i="1"/>
  <c r="E125" i="1"/>
  <c r="D125" i="1"/>
  <c r="C125" i="1"/>
  <c r="B125" i="1"/>
  <c r="AC124" i="1"/>
  <c r="AB124" i="1"/>
  <c r="Z124" i="1"/>
  <c r="W124" i="1"/>
  <c r="V124" i="1"/>
  <c r="U124" i="1"/>
  <c r="I124" i="1"/>
  <c r="E124" i="1"/>
  <c r="D124" i="1"/>
  <c r="C124" i="1"/>
  <c r="B124" i="1"/>
  <c r="AC123" i="1"/>
  <c r="AB123" i="1"/>
  <c r="Z123" i="1"/>
  <c r="W123" i="1"/>
  <c r="V123" i="1"/>
  <c r="U123" i="1"/>
  <c r="I123" i="1"/>
  <c r="E123" i="1"/>
  <c r="D123" i="1"/>
  <c r="C123" i="1"/>
  <c r="B123" i="1"/>
  <c r="AC122" i="1"/>
  <c r="AB122" i="1"/>
  <c r="Z122" i="1"/>
  <c r="W122" i="1"/>
  <c r="V122" i="1"/>
  <c r="U122" i="1"/>
  <c r="I122" i="1"/>
  <c r="E122" i="1"/>
  <c r="D122" i="1"/>
  <c r="C122" i="1"/>
  <c r="B122" i="1"/>
  <c r="AC121" i="1"/>
  <c r="AB121" i="1"/>
  <c r="Z121" i="1"/>
  <c r="W121" i="1"/>
  <c r="V121" i="1"/>
  <c r="U121" i="1"/>
  <c r="I121" i="1"/>
  <c r="E121" i="1"/>
  <c r="D121" i="1"/>
  <c r="C121" i="1"/>
  <c r="B121" i="1"/>
  <c r="AC120" i="1"/>
  <c r="AB120" i="1"/>
  <c r="Z120" i="1"/>
  <c r="W120" i="1"/>
  <c r="V120" i="1"/>
  <c r="U120" i="1"/>
  <c r="I120" i="1"/>
  <c r="E120" i="1"/>
  <c r="D120" i="1"/>
  <c r="C120" i="1"/>
  <c r="B120" i="1"/>
  <c r="AC119" i="1"/>
  <c r="AB119" i="1"/>
  <c r="Z119" i="1"/>
  <c r="W119" i="1"/>
  <c r="V119" i="1"/>
  <c r="U119" i="1"/>
  <c r="I119" i="1"/>
  <c r="E119" i="1"/>
  <c r="D119" i="1"/>
  <c r="C119" i="1"/>
  <c r="B119" i="1"/>
  <c r="AC118" i="1"/>
  <c r="AB118" i="1"/>
  <c r="Z118" i="1"/>
  <c r="W118" i="1"/>
  <c r="V118" i="1"/>
  <c r="U118" i="1"/>
  <c r="I118" i="1"/>
  <c r="E118" i="1"/>
  <c r="D118" i="1"/>
  <c r="C118" i="1"/>
  <c r="B118" i="1"/>
  <c r="AC117" i="1"/>
  <c r="AB117" i="1"/>
  <c r="Z117" i="1"/>
  <c r="W117" i="1"/>
  <c r="V117" i="1"/>
  <c r="U117" i="1"/>
  <c r="I117" i="1"/>
  <c r="E117" i="1"/>
  <c r="D117" i="1"/>
  <c r="C117" i="1"/>
  <c r="B117" i="1"/>
  <c r="AC116" i="1"/>
  <c r="AB116" i="1"/>
  <c r="Z116" i="1"/>
  <c r="W116" i="1"/>
  <c r="V116" i="1"/>
  <c r="U116" i="1"/>
  <c r="I116" i="1"/>
  <c r="E116" i="1"/>
  <c r="D116" i="1"/>
  <c r="C116" i="1"/>
  <c r="B116" i="1"/>
  <c r="AC115" i="1"/>
  <c r="AB115" i="1"/>
  <c r="Z115" i="1"/>
  <c r="W115" i="1"/>
  <c r="V115" i="1"/>
  <c r="U115" i="1"/>
  <c r="I115" i="1"/>
  <c r="E115" i="1"/>
  <c r="D115" i="1"/>
  <c r="C115" i="1"/>
  <c r="B115" i="1"/>
  <c r="AC114" i="1"/>
  <c r="AB114" i="1"/>
  <c r="Z114" i="1"/>
  <c r="W114" i="1"/>
  <c r="V114" i="1"/>
  <c r="U114" i="1"/>
  <c r="I114" i="1"/>
  <c r="E114" i="1"/>
  <c r="D114" i="1"/>
  <c r="C114" i="1"/>
  <c r="B114" i="1"/>
  <c r="AC113" i="1"/>
  <c r="AB113" i="1"/>
  <c r="Z113" i="1"/>
  <c r="W113" i="1"/>
  <c r="V113" i="1"/>
  <c r="U113" i="1"/>
  <c r="I113" i="1"/>
  <c r="E113" i="1"/>
  <c r="D113" i="1"/>
  <c r="C113" i="1"/>
  <c r="B113" i="1"/>
  <c r="AC112" i="1"/>
  <c r="AB112" i="1"/>
  <c r="Z112" i="1"/>
  <c r="W112" i="1"/>
  <c r="V112" i="1"/>
  <c r="U112" i="1"/>
  <c r="I112" i="1"/>
  <c r="E112" i="1"/>
  <c r="D112" i="1"/>
  <c r="C112" i="1"/>
  <c r="B112" i="1"/>
  <c r="AC111" i="1"/>
  <c r="AB111" i="1"/>
  <c r="Z111" i="1"/>
  <c r="W111" i="1"/>
  <c r="V111" i="1"/>
  <c r="U111" i="1"/>
  <c r="I111" i="1"/>
  <c r="E111" i="1"/>
  <c r="D111" i="1"/>
  <c r="C111" i="1"/>
  <c r="B111" i="1"/>
  <c r="AC110" i="1"/>
  <c r="AB110" i="1"/>
  <c r="Z110" i="1"/>
  <c r="W110" i="1"/>
  <c r="V110" i="1"/>
  <c r="U110" i="1"/>
  <c r="I110" i="1"/>
  <c r="E110" i="1"/>
  <c r="D110" i="1"/>
  <c r="C110" i="1"/>
  <c r="B110" i="1"/>
  <c r="AC109" i="1"/>
  <c r="AB109" i="1"/>
  <c r="Z109" i="1"/>
  <c r="W109" i="1"/>
  <c r="V109" i="1"/>
  <c r="U109" i="1"/>
  <c r="I109" i="1"/>
  <c r="E109" i="1"/>
  <c r="D109" i="1"/>
  <c r="C109" i="1"/>
  <c r="B109" i="1"/>
  <c r="AC108" i="1"/>
  <c r="AB108" i="1"/>
  <c r="Z108" i="1"/>
  <c r="W108" i="1"/>
  <c r="V108" i="1"/>
  <c r="U108" i="1"/>
  <c r="I108" i="1"/>
  <c r="E108" i="1"/>
  <c r="D108" i="1"/>
  <c r="C108" i="1"/>
  <c r="B108" i="1"/>
  <c r="AC107" i="1"/>
  <c r="AB107" i="1"/>
  <c r="Z107" i="1"/>
  <c r="W107" i="1"/>
  <c r="V107" i="1"/>
  <c r="U107" i="1"/>
  <c r="I107" i="1"/>
  <c r="E107" i="1"/>
  <c r="D107" i="1"/>
  <c r="C107" i="1"/>
  <c r="B107" i="1"/>
  <c r="AC106" i="1"/>
  <c r="AB106" i="1"/>
  <c r="Z106" i="1"/>
  <c r="W106" i="1"/>
  <c r="V106" i="1"/>
  <c r="U106" i="1"/>
  <c r="I106" i="1"/>
  <c r="E106" i="1"/>
  <c r="D106" i="1"/>
  <c r="C106" i="1"/>
  <c r="B106" i="1"/>
  <c r="AC105" i="1"/>
  <c r="AB105" i="1"/>
  <c r="Z105" i="1"/>
  <c r="W105" i="1"/>
  <c r="V105" i="1"/>
  <c r="U105" i="1"/>
  <c r="I105" i="1"/>
  <c r="E105" i="1"/>
  <c r="D105" i="1"/>
  <c r="C105" i="1"/>
  <c r="B105" i="1"/>
  <c r="AC104" i="1"/>
  <c r="AB104" i="1"/>
  <c r="Z104" i="1"/>
  <c r="W104" i="1"/>
  <c r="V104" i="1"/>
  <c r="U104" i="1"/>
  <c r="I104" i="1"/>
  <c r="E104" i="1"/>
  <c r="D104" i="1"/>
  <c r="C104" i="1"/>
  <c r="B104" i="1"/>
  <c r="AC103" i="1"/>
  <c r="AB103" i="1"/>
  <c r="Z103" i="1"/>
  <c r="W103" i="1"/>
  <c r="V103" i="1"/>
  <c r="U103" i="1"/>
  <c r="I103" i="1"/>
  <c r="E103" i="1"/>
  <c r="D103" i="1"/>
  <c r="C103" i="1"/>
  <c r="B103" i="1"/>
  <c r="AC102" i="1"/>
  <c r="AB102" i="1"/>
  <c r="Z102" i="1"/>
  <c r="W102" i="1"/>
  <c r="V102" i="1"/>
  <c r="U102" i="1"/>
  <c r="I102" i="1"/>
  <c r="E102" i="1"/>
  <c r="D102" i="1"/>
  <c r="C102" i="1"/>
  <c r="B102" i="1"/>
  <c r="AC101" i="1"/>
  <c r="AB101" i="1"/>
  <c r="Z101" i="1"/>
  <c r="W101" i="1"/>
  <c r="V101" i="1"/>
  <c r="U101" i="1"/>
  <c r="I101" i="1"/>
  <c r="E101" i="1"/>
  <c r="D101" i="1"/>
  <c r="C101" i="1"/>
  <c r="B101" i="1"/>
  <c r="AC100" i="1"/>
  <c r="AB100" i="1"/>
  <c r="Z100" i="1"/>
  <c r="W100" i="1"/>
  <c r="V100" i="1"/>
  <c r="U100" i="1"/>
  <c r="I100" i="1"/>
  <c r="E100" i="1"/>
  <c r="D100" i="1"/>
  <c r="C100" i="1"/>
  <c r="B100" i="1"/>
  <c r="AC99" i="1"/>
  <c r="AB99" i="1"/>
  <c r="Z99" i="1"/>
  <c r="W99" i="1"/>
  <c r="V99" i="1"/>
  <c r="U99" i="1"/>
  <c r="I99" i="1"/>
  <c r="E99" i="1"/>
  <c r="D99" i="1"/>
  <c r="C99" i="1"/>
  <c r="B99" i="1"/>
  <c r="AC98" i="1"/>
  <c r="AB98" i="1"/>
  <c r="Z98" i="1"/>
  <c r="W98" i="1"/>
  <c r="V98" i="1"/>
  <c r="U98" i="1"/>
  <c r="I98" i="1"/>
  <c r="E98" i="1"/>
  <c r="D98" i="1"/>
  <c r="C98" i="1"/>
  <c r="B98" i="1"/>
  <c r="AC97" i="1"/>
  <c r="AB97" i="1"/>
  <c r="Z97" i="1"/>
  <c r="W97" i="1"/>
  <c r="V97" i="1"/>
  <c r="U97" i="1"/>
  <c r="I97" i="1"/>
  <c r="E97" i="1"/>
  <c r="D97" i="1"/>
  <c r="C97" i="1"/>
  <c r="B97" i="1"/>
  <c r="AC96" i="1"/>
  <c r="AB96" i="1"/>
  <c r="Z96" i="1"/>
  <c r="W96" i="1"/>
  <c r="V96" i="1"/>
  <c r="U96" i="1"/>
  <c r="I96" i="1"/>
  <c r="E96" i="1"/>
  <c r="D96" i="1"/>
  <c r="C96" i="1"/>
  <c r="B96" i="1"/>
  <c r="AC95" i="1"/>
  <c r="AB95" i="1"/>
  <c r="Z95" i="1"/>
  <c r="W95" i="1"/>
  <c r="V95" i="1"/>
  <c r="U95" i="1"/>
  <c r="I95" i="1"/>
  <c r="E95" i="1"/>
  <c r="D95" i="1"/>
  <c r="C95" i="1"/>
  <c r="B95" i="1"/>
  <c r="AC94" i="1"/>
  <c r="AB94" i="1"/>
  <c r="Z94" i="1"/>
  <c r="W94" i="1"/>
  <c r="V94" i="1"/>
  <c r="U94" i="1"/>
  <c r="I94" i="1"/>
  <c r="E94" i="1"/>
  <c r="D94" i="1"/>
  <c r="C94" i="1"/>
  <c r="B94" i="1"/>
  <c r="AC93" i="1"/>
  <c r="AB93" i="1"/>
  <c r="Z93" i="1"/>
  <c r="W93" i="1"/>
  <c r="V93" i="1"/>
  <c r="U93" i="1"/>
  <c r="I93" i="1"/>
  <c r="E93" i="1"/>
  <c r="D93" i="1"/>
  <c r="C93" i="1"/>
  <c r="B93" i="1"/>
  <c r="AC92" i="1"/>
  <c r="AB92" i="1"/>
  <c r="Z92" i="1"/>
  <c r="W92" i="1"/>
  <c r="V92" i="1"/>
  <c r="U92" i="1"/>
  <c r="I92" i="1"/>
  <c r="E92" i="1"/>
  <c r="D92" i="1"/>
  <c r="C92" i="1"/>
  <c r="B92" i="1"/>
  <c r="AC91" i="1"/>
  <c r="AB91" i="1"/>
  <c r="Z91" i="1"/>
  <c r="W91" i="1"/>
  <c r="V91" i="1"/>
  <c r="U91" i="1"/>
  <c r="I91" i="1"/>
  <c r="E91" i="1"/>
  <c r="D91" i="1"/>
  <c r="C91" i="1"/>
  <c r="B91" i="1"/>
  <c r="AC90" i="1"/>
  <c r="AB90" i="1"/>
  <c r="Z90" i="1"/>
  <c r="W90" i="1"/>
  <c r="V90" i="1"/>
  <c r="U90" i="1"/>
  <c r="I90" i="1"/>
  <c r="E90" i="1"/>
  <c r="D90" i="1"/>
  <c r="C90" i="1"/>
  <c r="B90" i="1"/>
  <c r="AC89" i="1"/>
  <c r="AB89" i="1"/>
  <c r="Z89" i="1"/>
  <c r="W89" i="1"/>
  <c r="V89" i="1"/>
  <c r="U89" i="1"/>
  <c r="I89" i="1"/>
  <c r="E89" i="1"/>
  <c r="D89" i="1"/>
  <c r="C89" i="1"/>
  <c r="B89" i="1"/>
  <c r="AC88" i="1"/>
  <c r="AB88" i="1"/>
  <c r="Z88" i="1"/>
  <c r="W88" i="1"/>
  <c r="V88" i="1"/>
  <c r="U88" i="1"/>
  <c r="I88" i="1"/>
  <c r="E88" i="1"/>
  <c r="D88" i="1"/>
  <c r="C88" i="1"/>
  <c r="B88" i="1"/>
  <c r="AC87" i="1"/>
  <c r="AB87" i="1"/>
  <c r="Z87" i="1"/>
  <c r="W87" i="1"/>
  <c r="V87" i="1"/>
  <c r="U87" i="1"/>
  <c r="I87" i="1"/>
  <c r="E87" i="1"/>
  <c r="D87" i="1"/>
  <c r="C87" i="1"/>
  <c r="B87" i="1"/>
  <c r="AC86" i="1"/>
  <c r="AB86" i="1"/>
  <c r="Z86" i="1"/>
  <c r="W86" i="1"/>
  <c r="V86" i="1"/>
  <c r="U86" i="1"/>
  <c r="I86" i="1"/>
  <c r="E86" i="1"/>
  <c r="D86" i="1"/>
  <c r="C86" i="1"/>
  <c r="B86" i="1"/>
  <c r="AC85" i="1"/>
  <c r="AB85" i="1"/>
  <c r="Z85" i="1"/>
  <c r="W85" i="1"/>
  <c r="V85" i="1"/>
  <c r="U85" i="1"/>
  <c r="I85" i="1"/>
  <c r="E85" i="1"/>
  <c r="D85" i="1"/>
  <c r="C85" i="1"/>
  <c r="B85" i="1"/>
  <c r="AC84" i="1"/>
  <c r="AB84" i="1"/>
  <c r="Z84" i="1"/>
  <c r="W84" i="1"/>
  <c r="V84" i="1"/>
  <c r="U84" i="1"/>
  <c r="I84" i="1"/>
  <c r="E84" i="1"/>
  <c r="D84" i="1"/>
  <c r="C84" i="1"/>
  <c r="B84" i="1"/>
  <c r="AC83" i="1"/>
  <c r="AB83" i="1"/>
  <c r="Z83" i="1"/>
  <c r="W83" i="1"/>
  <c r="V83" i="1"/>
  <c r="U83" i="1"/>
  <c r="I83" i="1"/>
  <c r="E83" i="1"/>
  <c r="D83" i="1"/>
  <c r="C83" i="1"/>
  <c r="B83" i="1"/>
  <c r="AC82" i="1"/>
  <c r="AB82" i="1"/>
  <c r="Z82" i="1"/>
  <c r="W82" i="1"/>
  <c r="V82" i="1"/>
  <c r="U82" i="1"/>
  <c r="I82" i="1"/>
  <c r="E82" i="1"/>
  <c r="D82" i="1"/>
  <c r="C82" i="1"/>
  <c r="B82" i="1"/>
  <c r="AC81" i="1"/>
  <c r="AB81" i="1"/>
  <c r="Z81" i="1"/>
  <c r="W81" i="1"/>
  <c r="V81" i="1"/>
  <c r="U81" i="1"/>
  <c r="I81" i="1"/>
  <c r="E81" i="1"/>
  <c r="D81" i="1"/>
  <c r="C81" i="1"/>
  <c r="B81" i="1"/>
  <c r="AC80" i="1"/>
  <c r="AB80" i="1"/>
  <c r="Z80" i="1"/>
  <c r="W80" i="1"/>
  <c r="V80" i="1"/>
  <c r="U80" i="1"/>
  <c r="I80" i="1"/>
  <c r="E80" i="1"/>
  <c r="D80" i="1"/>
  <c r="C80" i="1"/>
  <c r="B80" i="1"/>
  <c r="AC79" i="1"/>
  <c r="AB79" i="1"/>
  <c r="Z79" i="1"/>
  <c r="W79" i="1"/>
  <c r="V79" i="1"/>
  <c r="U79" i="1"/>
  <c r="I79" i="1"/>
  <c r="E79" i="1"/>
  <c r="D79" i="1"/>
  <c r="C79" i="1"/>
  <c r="B79" i="1"/>
  <c r="AC78" i="1"/>
  <c r="AB78" i="1"/>
  <c r="Z78" i="1"/>
  <c r="W78" i="1"/>
  <c r="V78" i="1"/>
  <c r="U78" i="1"/>
  <c r="I78" i="1"/>
  <c r="E78" i="1"/>
  <c r="D78" i="1"/>
  <c r="C78" i="1"/>
  <c r="B78" i="1"/>
  <c r="AC77" i="1"/>
  <c r="AB77" i="1"/>
  <c r="Z77" i="1"/>
  <c r="W77" i="1"/>
  <c r="V77" i="1"/>
  <c r="U77" i="1"/>
  <c r="I77" i="1"/>
  <c r="E77" i="1"/>
  <c r="D77" i="1"/>
  <c r="C77" i="1"/>
  <c r="B77" i="1"/>
  <c r="AC76" i="1"/>
  <c r="AB76" i="1"/>
  <c r="Z76" i="1"/>
  <c r="W76" i="1"/>
  <c r="V76" i="1"/>
  <c r="U76" i="1"/>
  <c r="I76" i="1"/>
  <c r="E76" i="1"/>
  <c r="D76" i="1"/>
  <c r="C76" i="1"/>
  <c r="B76" i="1"/>
  <c r="AC75" i="1"/>
  <c r="AB75" i="1"/>
  <c r="Z75" i="1"/>
  <c r="W75" i="1"/>
  <c r="V75" i="1"/>
  <c r="U75" i="1"/>
  <c r="I75" i="1"/>
  <c r="E75" i="1"/>
  <c r="D75" i="1"/>
  <c r="C75" i="1"/>
  <c r="B75" i="1"/>
  <c r="AC74" i="1"/>
  <c r="AB74" i="1"/>
  <c r="Z74" i="1"/>
  <c r="W74" i="1"/>
  <c r="V74" i="1"/>
  <c r="U74" i="1"/>
  <c r="I74" i="1"/>
  <c r="E74" i="1"/>
  <c r="D74" i="1"/>
  <c r="C74" i="1"/>
  <c r="B74" i="1"/>
  <c r="AC73" i="1"/>
  <c r="AB73" i="1"/>
  <c r="Z73" i="1"/>
  <c r="W73" i="1"/>
  <c r="V73" i="1"/>
  <c r="U73" i="1"/>
  <c r="I73" i="1"/>
  <c r="E73" i="1"/>
  <c r="D73" i="1"/>
  <c r="C73" i="1"/>
  <c r="B73" i="1"/>
  <c r="AC72" i="1"/>
  <c r="AB72" i="1"/>
  <c r="Z72" i="1"/>
  <c r="W72" i="1"/>
  <c r="V72" i="1"/>
  <c r="U72" i="1"/>
  <c r="I72" i="1"/>
  <c r="E72" i="1"/>
  <c r="D72" i="1"/>
  <c r="C72" i="1"/>
  <c r="B72" i="1"/>
  <c r="AC71" i="1"/>
  <c r="AB71" i="1"/>
  <c r="Z71" i="1"/>
  <c r="W71" i="1"/>
  <c r="V71" i="1"/>
  <c r="U71" i="1"/>
  <c r="I71" i="1"/>
  <c r="E71" i="1"/>
  <c r="D71" i="1"/>
  <c r="C71" i="1"/>
  <c r="B71" i="1"/>
  <c r="AC70" i="1"/>
  <c r="AB70" i="1"/>
  <c r="Z70" i="1"/>
  <c r="W70" i="1"/>
  <c r="V70" i="1"/>
  <c r="U70" i="1"/>
  <c r="I70" i="1"/>
  <c r="E70" i="1"/>
  <c r="D70" i="1"/>
  <c r="C70" i="1"/>
  <c r="B70" i="1"/>
  <c r="AC69" i="1"/>
  <c r="AB69" i="1"/>
  <c r="Z69" i="1"/>
  <c r="W69" i="1"/>
  <c r="V69" i="1"/>
  <c r="U69" i="1"/>
  <c r="I69" i="1"/>
  <c r="E69" i="1"/>
  <c r="D69" i="1"/>
  <c r="C69" i="1"/>
  <c r="B69" i="1"/>
  <c r="AC68" i="1"/>
  <c r="AB68" i="1"/>
  <c r="Z68" i="1"/>
  <c r="W68" i="1"/>
  <c r="V68" i="1"/>
  <c r="U68" i="1"/>
  <c r="I68" i="1"/>
  <c r="E68" i="1"/>
  <c r="D68" i="1"/>
  <c r="C68" i="1"/>
  <c r="B68" i="1"/>
  <c r="AC67" i="1"/>
  <c r="AB67" i="1"/>
  <c r="Z67" i="1"/>
  <c r="W67" i="1"/>
  <c r="V67" i="1"/>
  <c r="U67" i="1"/>
  <c r="I67" i="1"/>
  <c r="E67" i="1"/>
  <c r="D67" i="1"/>
  <c r="C67" i="1"/>
  <c r="B67" i="1"/>
  <c r="AC66" i="1"/>
  <c r="AB66" i="1"/>
  <c r="Z66" i="1"/>
  <c r="W66" i="1"/>
  <c r="V66" i="1"/>
  <c r="U66" i="1"/>
  <c r="I66" i="1"/>
  <c r="E66" i="1"/>
  <c r="D66" i="1"/>
  <c r="C66" i="1"/>
  <c r="B66" i="1"/>
  <c r="AC65" i="1"/>
  <c r="AB65" i="1"/>
  <c r="Z65" i="1"/>
  <c r="W65" i="1"/>
  <c r="V65" i="1"/>
  <c r="U65" i="1"/>
  <c r="I65" i="1"/>
  <c r="E65" i="1"/>
  <c r="D65" i="1"/>
  <c r="C65" i="1"/>
  <c r="B65" i="1"/>
  <c r="AC64" i="1"/>
  <c r="AB64" i="1"/>
  <c r="Z64" i="1"/>
  <c r="W64" i="1"/>
  <c r="V64" i="1"/>
  <c r="U64" i="1"/>
  <c r="I64" i="1"/>
  <c r="E64" i="1"/>
  <c r="D64" i="1"/>
  <c r="C64" i="1"/>
  <c r="B64" i="1"/>
  <c r="AC63" i="1"/>
  <c r="AB63" i="1"/>
  <c r="Z63" i="1"/>
  <c r="W63" i="1"/>
  <c r="V63" i="1"/>
  <c r="U63" i="1"/>
  <c r="I63" i="1"/>
  <c r="E63" i="1"/>
  <c r="D63" i="1"/>
  <c r="C63" i="1"/>
  <c r="B63" i="1"/>
  <c r="AC62" i="1"/>
  <c r="AB62" i="1"/>
  <c r="Z62" i="1"/>
  <c r="W62" i="1"/>
  <c r="V62" i="1"/>
  <c r="U62" i="1"/>
  <c r="I62" i="1"/>
  <c r="E62" i="1"/>
  <c r="D62" i="1"/>
  <c r="C62" i="1"/>
  <c r="B62" i="1"/>
  <c r="AC61" i="1"/>
  <c r="AB61" i="1"/>
  <c r="Z61" i="1"/>
  <c r="W61" i="1"/>
  <c r="V61" i="1"/>
  <c r="U61" i="1"/>
  <c r="I61" i="1"/>
  <c r="E61" i="1"/>
  <c r="D61" i="1"/>
  <c r="C61" i="1"/>
  <c r="B61" i="1"/>
  <c r="AC60" i="1"/>
  <c r="AB60" i="1"/>
  <c r="Z60" i="1"/>
  <c r="W60" i="1"/>
  <c r="V60" i="1"/>
  <c r="U60" i="1"/>
  <c r="I60" i="1"/>
  <c r="E60" i="1"/>
  <c r="D60" i="1"/>
  <c r="C60" i="1"/>
  <c r="B60" i="1"/>
  <c r="AC59" i="1"/>
  <c r="AB59" i="1"/>
  <c r="Z59" i="1"/>
  <c r="W59" i="1"/>
  <c r="V59" i="1"/>
  <c r="U59" i="1"/>
  <c r="I59" i="1"/>
  <c r="E59" i="1"/>
  <c r="D59" i="1"/>
  <c r="C59" i="1"/>
  <c r="B59" i="1"/>
  <c r="AC58" i="1"/>
  <c r="AB58" i="1"/>
  <c r="Z58" i="1"/>
  <c r="W58" i="1"/>
  <c r="V58" i="1"/>
  <c r="U58" i="1"/>
  <c r="I58" i="1"/>
  <c r="E58" i="1"/>
  <c r="D58" i="1"/>
  <c r="C58" i="1"/>
  <c r="B58" i="1"/>
  <c r="AC57" i="1"/>
  <c r="AB57" i="1"/>
  <c r="Z57" i="1"/>
  <c r="W57" i="1"/>
  <c r="V57" i="1"/>
  <c r="U57" i="1"/>
  <c r="I57" i="1"/>
  <c r="E57" i="1"/>
  <c r="D57" i="1"/>
  <c r="C57" i="1"/>
  <c r="B57" i="1"/>
  <c r="AC56" i="1"/>
  <c r="AB56" i="1"/>
  <c r="Z56" i="1"/>
  <c r="W56" i="1"/>
  <c r="V56" i="1"/>
  <c r="U56" i="1"/>
  <c r="I56" i="1"/>
  <c r="E56" i="1"/>
  <c r="D56" i="1"/>
  <c r="C56" i="1"/>
  <c r="B56" i="1"/>
  <c r="AC55" i="1"/>
  <c r="AB55" i="1"/>
  <c r="Z55" i="1"/>
  <c r="W55" i="1"/>
  <c r="V55" i="1"/>
  <c r="U55" i="1"/>
  <c r="I55" i="1"/>
  <c r="E55" i="1"/>
  <c r="D55" i="1"/>
  <c r="C55" i="1"/>
  <c r="B55" i="1"/>
  <c r="AC54" i="1"/>
  <c r="AB54" i="1"/>
  <c r="Z54" i="1"/>
  <c r="W54" i="1"/>
  <c r="V54" i="1"/>
  <c r="U54" i="1"/>
  <c r="I54" i="1"/>
  <c r="E54" i="1"/>
  <c r="D54" i="1"/>
  <c r="C54" i="1"/>
  <c r="B54" i="1"/>
  <c r="AC53" i="1"/>
  <c r="AB53" i="1"/>
  <c r="Z53" i="1"/>
  <c r="W53" i="1"/>
  <c r="V53" i="1"/>
  <c r="U53" i="1"/>
  <c r="I53" i="1"/>
  <c r="E53" i="1"/>
  <c r="D53" i="1"/>
  <c r="C53" i="1"/>
  <c r="B53" i="1"/>
  <c r="AC52" i="1"/>
  <c r="AB52" i="1"/>
  <c r="Z52" i="1"/>
  <c r="W52" i="1"/>
  <c r="V52" i="1"/>
  <c r="U52" i="1"/>
  <c r="I52" i="1"/>
  <c r="E52" i="1"/>
  <c r="D52" i="1"/>
  <c r="C52" i="1"/>
  <c r="B52" i="1"/>
  <c r="AC51" i="1"/>
  <c r="AB51" i="1"/>
  <c r="Z51" i="1"/>
  <c r="W51" i="1"/>
  <c r="V51" i="1"/>
  <c r="U51" i="1"/>
  <c r="I51" i="1"/>
  <c r="E51" i="1"/>
  <c r="D51" i="1"/>
  <c r="C51" i="1"/>
  <c r="B51" i="1"/>
  <c r="AC50" i="1"/>
  <c r="AB50" i="1"/>
  <c r="Z50" i="1"/>
  <c r="W50" i="1"/>
  <c r="V50" i="1"/>
  <c r="U50" i="1"/>
  <c r="I50" i="1"/>
  <c r="E50" i="1"/>
  <c r="D50" i="1"/>
  <c r="C50" i="1"/>
  <c r="B50" i="1"/>
  <c r="AC49" i="1"/>
  <c r="AB49" i="1"/>
  <c r="Z49" i="1"/>
  <c r="W49" i="1"/>
  <c r="V49" i="1"/>
  <c r="U49" i="1"/>
  <c r="I49" i="1"/>
  <c r="E49" i="1"/>
  <c r="D49" i="1"/>
  <c r="C49" i="1"/>
  <c r="B49" i="1"/>
  <c r="AC48" i="1"/>
  <c r="AB48" i="1"/>
  <c r="Z48" i="1"/>
  <c r="W48" i="1"/>
  <c r="V48" i="1"/>
  <c r="U48" i="1"/>
  <c r="I48" i="1"/>
  <c r="E48" i="1"/>
  <c r="D48" i="1"/>
  <c r="C48" i="1"/>
  <c r="B48" i="1"/>
  <c r="AC47" i="1"/>
  <c r="AB47" i="1"/>
  <c r="Z47" i="1"/>
  <c r="W47" i="1"/>
  <c r="V47" i="1"/>
  <c r="U47" i="1"/>
  <c r="I47" i="1"/>
  <c r="E47" i="1"/>
  <c r="D47" i="1"/>
  <c r="C47" i="1"/>
  <c r="B47" i="1"/>
  <c r="AC46" i="1"/>
  <c r="AB46" i="1"/>
  <c r="Z46" i="1"/>
  <c r="W46" i="1"/>
  <c r="V46" i="1"/>
  <c r="U46" i="1"/>
  <c r="I46" i="1"/>
  <c r="E46" i="1"/>
  <c r="D46" i="1"/>
  <c r="C46" i="1"/>
  <c r="B46" i="1"/>
  <c r="AC45" i="1"/>
  <c r="AB45" i="1"/>
  <c r="Z45" i="1"/>
  <c r="W45" i="1"/>
  <c r="V45" i="1"/>
  <c r="U45" i="1"/>
  <c r="I45" i="1"/>
  <c r="E45" i="1"/>
  <c r="D45" i="1"/>
  <c r="C45" i="1"/>
  <c r="B45" i="1"/>
  <c r="AC44" i="1"/>
  <c r="AB44" i="1"/>
  <c r="Z44" i="1"/>
  <c r="W44" i="1"/>
  <c r="V44" i="1"/>
  <c r="U44" i="1"/>
  <c r="I44" i="1"/>
  <c r="E44" i="1"/>
  <c r="D44" i="1"/>
  <c r="C44" i="1"/>
  <c r="B44" i="1"/>
  <c r="AC43" i="1"/>
  <c r="AB43" i="1"/>
  <c r="Z43" i="1"/>
  <c r="W43" i="1"/>
  <c r="V43" i="1"/>
  <c r="U43" i="1"/>
  <c r="I43" i="1"/>
  <c r="E43" i="1"/>
  <c r="D43" i="1"/>
  <c r="C43" i="1"/>
  <c r="B43" i="1"/>
  <c r="AC42" i="1"/>
  <c r="AB42" i="1"/>
  <c r="Z42" i="1"/>
  <c r="W42" i="1"/>
  <c r="V42" i="1"/>
  <c r="U42" i="1"/>
  <c r="I42" i="1"/>
  <c r="E42" i="1"/>
  <c r="D42" i="1"/>
  <c r="C42" i="1"/>
  <c r="B42" i="1"/>
  <c r="AC41" i="1"/>
  <c r="AB41" i="1"/>
  <c r="Z41" i="1"/>
  <c r="W41" i="1"/>
  <c r="V41" i="1"/>
  <c r="U41" i="1"/>
  <c r="I41" i="1"/>
  <c r="E41" i="1"/>
  <c r="D41" i="1"/>
  <c r="C41" i="1"/>
  <c r="B41" i="1"/>
  <c r="AC40" i="1"/>
  <c r="AB40" i="1"/>
  <c r="Z40" i="1"/>
  <c r="W40" i="1"/>
  <c r="V40" i="1"/>
  <c r="U40" i="1"/>
  <c r="I40" i="1"/>
  <c r="E40" i="1"/>
  <c r="D40" i="1"/>
  <c r="C40" i="1"/>
  <c r="B40" i="1"/>
  <c r="AC39" i="1"/>
  <c r="AB39" i="1"/>
  <c r="Z39" i="1"/>
  <c r="W39" i="1"/>
  <c r="V39" i="1"/>
  <c r="U39" i="1"/>
  <c r="I39" i="1"/>
  <c r="E39" i="1"/>
  <c r="D39" i="1"/>
  <c r="C39" i="1"/>
  <c r="B39" i="1"/>
  <c r="AC38" i="1"/>
  <c r="AB38" i="1"/>
  <c r="Z38" i="1"/>
  <c r="W38" i="1"/>
  <c r="V38" i="1"/>
  <c r="U38" i="1"/>
  <c r="I38" i="1"/>
  <c r="E38" i="1"/>
  <c r="D38" i="1"/>
  <c r="C38" i="1"/>
  <c r="B38" i="1"/>
  <c r="AC37" i="1"/>
  <c r="AB37" i="1"/>
  <c r="Z37" i="1"/>
  <c r="W37" i="1"/>
  <c r="V37" i="1"/>
  <c r="U37" i="1"/>
  <c r="I37" i="1"/>
  <c r="E37" i="1"/>
  <c r="D37" i="1"/>
  <c r="C37" i="1"/>
  <c r="B37" i="1"/>
  <c r="AC36" i="1"/>
  <c r="AB36" i="1"/>
  <c r="Z36" i="1"/>
  <c r="W36" i="1"/>
  <c r="V36" i="1"/>
  <c r="U36" i="1"/>
  <c r="I36" i="1"/>
  <c r="E36" i="1"/>
  <c r="D36" i="1"/>
  <c r="C36" i="1"/>
  <c r="B36" i="1"/>
  <c r="AC35" i="1"/>
  <c r="AB35" i="1"/>
  <c r="Z35" i="1"/>
  <c r="W35" i="1"/>
  <c r="V35" i="1"/>
  <c r="U35" i="1"/>
  <c r="I35" i="1"/>
  <c r="E35" i="1"/>
  <c r="D35" i="1"/>
  <c r="C35" i="1"/>
  <c r="B35" i="1"/>
  <c r="AC34" i="1"/>
  <c r="AB34" i="1"/>
  <c r="Z34" i="1"/>
  <c r="W34" i="1"/>
  <c r="V34" i="1"/>
  <c r="U34" i="1"/>
  <c r="I34" i="1"/>
  <c r="E34" i="1"/>
  <c r="D34" i="1"/>
  <c r="C34" i="1"/>
  <c r="B34" i="1"/>
  <c r="AC33" i="1"/>
  <c r="AB33" i="1"/>
  <c r="Z33" i="1"/>
  <c r="W33" i="1"/>
  <c r="V33" i="1"/>
  <c r="U33" i="1"/>
  <c r="I33" i="1"/>
  <c r="E33" i="1"/>
  <c r="D33" i="1"/>
  <c r="C33" i="1"/>
  <c r="B33" i="1"/>
  <c r="AC32" i="1"/>
  <c r="AB32" i="1"/>
  <c r="Z32" i="1"/>
  <c r="W32" i="1"/>
  <c r="V32" i="1"/>
  <c r="U32" i="1"/>
  <c r="I32" i="1"/>
  <c r="E32" i="1"/>
  <c r="D32" i="1"/>
  <c r="C32" i="1"/>
  <c r="B32" i="1"/>
  <c r="AC31" i="1"/>
  <c r="AB31" i="1"/>
  <c r="Z31" i="1"/>
  <c r="W31" i="1"/>
  <c r="V31" i="1"/>
  <c r="U31" i="1"/>
  <c r="I31" i="1"/>
  <c r="E31" i="1"/>
  <c r="D31" i="1"/>
  <c r="C31" i="1"/>
  <c r="B31" i="1"/>
  <c r="AC30" i="1"/>
  <c r="AB30" i="1"/>
  <c r="Z30" i="1"/>
  <c r="W30" i="1"/>
  <c r="V30" i="1"/>
  <c r="U30" i="1"/>
  <c r="I30" i="1"/>
  <c r="E30" i="1"/>
  <c r="D30" i="1"/>
  <c r="C30" i="1"/>
  <c r="B30" i="1"/>
  <c r="AC29" i="1"/>
  <c r="AB29" i="1"/>
  <c r="Z29" i="1"/>
  <c r="W29" i="1"/>
  <c r="V29" i="1"/>
  <c r="U29" i="1"/>
  <c r="I29" i="1"/>
  <c r="E29" i="1"/>
  <c r="D29" i="1"/>
  <c r="C29" i="1"/>
  <c r="B29" i="1"/>
  <c r="AC28" i="1"/>
  <c r="AB28" i="1"/>
  <c r="Z28" i="1"/>
  <c r="W28" i="1"/>
  <c r="V28" i="1"/>
  <c r="U28" i="1"/>
  <c r="I28" i="1"/>
  <c r="E28" i="1"/>
  <c r="D28" i="1"/>
  <c r="C28" i="1"/>
  <c r="B28" i="1"/>
  <c r="AC27" i="1"/>
  <c r="AB27" i="1"/>
  <c r="Z27" i="1"/>
  <c r="W27" i="1"/>
  <c r="V27" i="1"/>
  <c r="U27" i="1"/>
  <c r="I27" i="1"/>
  <c r="E27" i="1"/>
  <c r="D27" i="1"/>
  <c r="C27" i="1"/>
  <c r="B27" i="1"/>
  <c r="AC26" i="1"/>
  <c r="AB26" i="1"/>
  <c r="Z26" i="1"/>
  <c r="W26" i="1"/>
  <c r="V26" i="1"/>
  <c r="U26" i="1"/>
  <c r="I26" i="1"/>
  <c r="E26" i="1"/>
  <c r="D26" i="1"/>
  <c r="C26" i="1"/>
  <c r="B26" i="1"/>
  <c r="AC25" i="1"/>
  <c r="AB25" i="1"/>
  <c r="Z25" i="1"/>
  <c r="W25" i="1"/>
  <c r="V25" i="1"/>
  <c r="U25" i="1"/>
  <c r="I25" i="1"/>
  <c r="E25" i="1"/>
  <c r="D25" i="1"/>
  <c r="C25" i="1"/>
  <c r="B25" i="1"/>
  <c r="AC24" i="1"/>
  <c r="AB24" i="1"/>
  <c r="Z24" i="1"/>
  <c r="W24" i="1"/>
  <c r="V24" i="1"/>
  <c r="U24" i="1"/>
  <c r="I24" i="1"/>
  <c r="E24" i="1"/>
  <c r="D24" i="1"/>
  <c r="C24" i="1"/>
  <c r="B24" i="1"/>
  <c r="AC23" i="1"/>
  <c r="AB23" i="1"/>
  <c r="Z23" i="1"/>
  <c r="W23" i="1"/>
  <c r="V23" i="1"/>
  <c r="U23" i="1"/>
  <c r="I23" i="1"/>
  <c r="E23" i="1"/>
  <c r="D23" i="1"/>
  <c r="C23" i="1"/>
  <c r="B23" i="1"/>
  <c r="AC22" i="1"/>
  <c r="AB22" i="1"/>
  <c r="Z22" i="1"/>
  <c r="W22" i="1"/>
  <c r="V22" i="1"/>
  <c r="U22" i="1"/>
  <c r="I22" i="1"/>
  <c r="E22" i="1"/>
  <c r="D22" i="1"/>
  <c r="C22" i="1"/>
  <c r="B22" i="1"/>
  <c r="AC21" i="1"/>
  <c r="AB21" i="1"/>
  <c r="Z21" i="1"/>
  <c r="W21" i="1"/>
  <c r="V21" i="1"/>
  <c r="U21" i="1"/>
  <c r="I21" i="1"/>
  <c r="E21" i="1"/>
  <c r="D21" i="1"/>
  <c r="C21" i="1"/>
  <c r="B21" i="1"/>
  <c r="AC20" i="1"/>
  <c r="AB20" i="1"/>
  <c r="Z20" i="1"/>
  <c r="W20" i="1"/>
  <c r="V20" i="1"/>
  <c r="U20" i="1"/>
  <c r="I20" i="1"/>
  <c r="E20" i="1"/>
  <c r="D20" i="1"/>
  <c r="C20" i="1"/>
  <c r="B20" i="1"/>
  <c r="AC19" i="1"/>
  <c r="AB19" i="1"/>
  <c r="Z19" i="1"/>
  <c r="W19" i="1"/>
  <c r="V19" i="1"/>
  <c r="U19" i="1"/>
  <c r="I19" i="1"/>
  <c r="E19" i="1"/>
  <c r="D19" i="1"/>
  <c r="C19" i="1"/>
  <c r="B19" i="1"/>
  <c r="AC18" i="1"/>
  <c r="AB18" i="1"/>
  <c r="Z18" i="1"/>
  <c r="W18" i="1"/>
  <c r="V18" i="1"/>
  <c r="U18" i="1"/>
  <c r="I18" i="1"/>
  <c r="E18" i="1"/>
  <c r="D18" i="1"/>
  <c r="C18" i="1"/>
  <c r="B18" i="1"/>
  <c r="AC17" i="1"/>
  <c r="AB17" i="1"/>
  <c r="Z17" i="1"/>
  <c r="W17" i="1"/>
  <c r="V17" i="1"/>
  <c r="U17" i="1"/>
  <c r="I17" i="1"/>
  <c r="E17" i="1"/>
  <c r="D17" i="1"/>
  <c r="C17" i="1"/>
  <c r="B17" i="1"/>
  <c r="AC16" i="1"/>
  <c r="AB16" i="1"/>
  <c r="Z16" i="1"/>
  <c r="W16" i="1"/>
  <c r="V16" i="1"/>
  <c r="U16" i="1"/>
  <c r="I16" i="1"/>
  <c r="E16" i="1"/>
  <c r="D16" i="1"/>
  <c r="C16" i="1"/>
  <c r="B16" i="1"/>
  <c r="AC15" i="1"/>
  <c r="AB15" i="1"/>
  <c r="Z15" i="1"/>
  <c r="W15" i="1"/>
  <c r="V15" i="1"/>
  <c r="U15" i="1"/>
  <c r="I15" i="1"/>
  <c r="E15" i="1"/>
  <c r="D15" i="1"/>
  <c r="C15" i="1"/>
  <c r="B15" i="1"/>
  <c r="AC14" i="1"/>
  <c r="AB14" i="1"/>
  <c r="Z14" i="1"/>
  <c r="W14" i="1"/>
  <c r="V14" i="1"/>
  <c r="U14" i="1"/>
  <c r="I14" i="1"/>
  <c r="E14" i="1"/>
  <c r="D14" i="1"/>
  <c r="C14" i="1"/>
  <c r="B14" i="1"/>
  <c r="AC13" i="1"/>
  <c r="AB13" i="1"/>
  <c r="Z13" i="1"/>
  <c r="W13" i="1"/>
  <c r="V13" i="1"/>
  <c r="U13" i="1"/>
  <c r="I13" i="1"/>
  <c r="E13" i="1"/>
  <c r="D13" i="1"/>
  <c r="C13" i="1"/>
  <c r="B13" i="1"/>
  <c r="AC12" i="1"/>
  <c r="AB12" i="1"/>
  <c r="Z12" i="1"/>
  <c r="W12" i="1"/>
  <c r="V12" i="1"/>
  <c r="U12" i="1"/>
  <c r="I12" i="1"/>
  <c r="E12" i="1"/>
  <c r="D12" i="1"/>
  <c r="C12" i="1"/>
  <c r="B12" i="1"/>
  <c r="AC11" i="1"/>
  <c r="AB11" i="1"/>
  <c r="Z11" i="1"/>
  <c r="W11" i="1"/>
  <c r="V11" i="1"/>
  <c r="U11" i="1"/>
  <c r="I11" i="1"/>
  <c r="E11" i="1"/>
  <c r="D11" i="1"/>
  <c r="C11" i="1"/>
  <c r="B11" i="1"/>
  <c r="AC10" i="1"/>
  <c r="AB10" i="1"/>
  <c r="Z10" i="1"/>
  <c r="W10" i="1"/>
  <c r="V10" i="1"/>
  <c r="U10" i="1"/>
  <c r="I10" i="1"/>
  <c r="E10" i="1"/>
  <c r="D10" i="1"/>
  <c r="C10" i="1"/>
  <c r="B10" i="1"/>
  <c r="AC9" i="1"/>
  <c r="AB9" i="1"/>
  <c r="Z9" i="1"/>
  <c r="W9" i="1"/>
  <c r="V9" i="1"/>
  <c r="U9" i="1"/>
  <c r="I9" i="1"/>
  <c r="E9" i="1"/>
  <c r="D9" i="1"/>
  <c r="C9" i="1"/>
  <c r="B9" i="1"/>
  <c r="AC8" i="1"/>
  <c r="AB8" i="1"/>
  <c r="Z8" i="1"/>
  <c r="V8" i="1"/>
  <c r="U8" i="1"/>
  <c r="I8" i="1"/>
  <c r="E8" i="1"/>
  <c r="D8" i="1"/>
  <c r="C8" i="1"/>
  <c r="B8" i="1"/>
  <c r="AC7" i="1"/>
  <c r="AB7" i="1"/>
  <c r="Z7" i="1"/>
  <c r="W7" i="1"/>
  <c r="V7" i="1"/>
  <c r="U7" i="1"/>
  <c r="I7" i="1"/>
  <c r="E7" i="1"/>
  <c r="D7" i="1"/>
  <c r="C7" i="1"/>
  <c r="B7" i="1"/>
  <c r="AC6" i="1"/>
  <c r="AB6" i="1"/>
  <c r="Z6" i="1"/>
  <c r="W6" i="1"/>
  <c r="V6" i="1"/>
  <c r="U6" i="1"/>
  <c r="I6" i="1"/>
  <c r="E6" i="1"/>
  <c r="D6" i="1"/>
  <c r="C6" i="1"/>
  <c r="B6" i="1"/>
  <c r="AC5" i="1"/>
  <c r="AB5" i="1"/>
  <c r="Z5" i="1"/>
  <c r="W5" i="1"/>
  <c r="V5" i="1"/>
  <c r="U5" i="1"/>
  <c r="I5" i="1"/>
  <c r="E5" i="1"/>
  <c r="D5" i="1"/>
  <c r="C5" i="1"/>
  <c r="B5" i="1"/>
  <c r="AC4" i="1"/>
  <c r="AB4" i="1"/>
  <c r="Z4" i="1"/>
  <c r="W4" i="1"/>
  <c r="V4" i="1"/>
  <c r="U4" i="1"/>
  <c r="I4" i="1"/>
  <c r="E4" i="1"/>
  <c r="D4" i="1"/>
  <c r="C4" i="1"/>
  <c r="B4" i="1"/>
  <c r="AC3" i="1"/>
  <c r="AB3" i="1"/>
  <c r="Z3" i="1"/>
  <c r="W3" i="1"/>
  <c r="V3" i="1"/>
  <c r="U3" i="1"/>
  <c r="I3" i="1"/>
  <c r="E3" i="1"/>
  <c r="D3" i="1"/>
  <c r="C3" i="1"/>
  <c r="B3" i="1"/>
  <c r="AC2" i="1"/>
  <c r="AB2" i="1"/>
  <c r="Z2" i="1"/>
  <c r="W2" i="1"/>
  <c r="V2" i="1"/>
  <c r="U2" i="1"/>
  <c r="I2" i="1"/>
  <c r="E2" i="1"/>
  <c r="D2" i="1"/>
  <c r="C2" i="1"/>
  <c r="B2" i="1"/>
</calcChain>
</file>

<file path=xl/sharedStrings.xml><?xml version="1.0" encoding="utf-8"?>
<sst xmlns="http://schemas.openxmlformats.org/spreadsheetml/2006/main" count="30466" uniqueCount="15350">
  <si>
    <t>Customer ID</t>
  </si>
  <si>
    <t>Description(1)</t>
  </si>
  <si>
    <t>Description(2)</t>
  </si>
  <si>
    <t>PIC</t>
  </si>
  <si>
    <t>Full Address</t>
  </si>
  <si>
    <t>Address Line 1 (30 char)</t>
  </si>
  <si>
    <t>Address Line 2 (30 char)</t>
  </si>
  <si>
    <t>Address Line 3 (30 char)</t>
  </si>
  <si>
    <t>IF CONTAINS POSTCODE</t>
  </si>
  <si>
    <t>City</t>
  </si>
  <si>
    <t>Postal Code</t>
  </si>
  <si>
    <t>Country</t>
  </si>
  <si>
    <t>Company Registration No (New)/NRIC/Passport/Army No</t>
  </si>
  <si>
    <t>TIN Number</t>
  </si>
  <si>
    <t>SST Number (If applicable)</t>
  </si>
  <si>
    <t>Customer Misc Code</t>
  </si>
  <si>
    <t>Email Address (only 1 is required for eInvoice)</t>
  </si>
  <si>
    <t>Phone No.(1) - required format -no dash, no spacing,no extension code or text (example '017396624)</t>
  </si>
  <si>
    <t>SALES REP 1</t>
  </si>
  <si>
    <t>SALES REP 2</t>
  </si>
  <si>
    <t>Phone No.(2)</t>
  </si>
  <si>
    <t>Type</t>
  </si>
  <si>
    <t>CT</t>
  </si>
  <si>
    <t>Category Code</t>
  </si>
  <si>
    <t>NewType</t>
  </si>
  <si>
    <t>CodeID</t>
  </si>
  <si>
    <t>SageID</t>
  </si>
  <si>
    <t>Subtype</t>
  </si>
  <si>
    <t>Region</t>
  </si>
  <si>
    <t>REMARK</t>
  </si>
  <si>
    <t>3000/001</t>
  </si>
  <si>
    <t>1.02B, GROUND FLOOR</t>
  </si>
  <si>
    <t>MENARA AMBANK,</t>
  </si>
  <si>
    <t>JLN YAP KWAN SENG, KG BARU</t>
  </si>
  <si>
    <t>KUALA LUMPUR</t>
  </si>
  <si>
    <t>MALAYSIA</t>
  </si>
  <si>
    <t/>
  </si>
  <si>
    <t>FAIZ</t>
  </si>
  <si>
    <t>NURIN</t>
  </si>
  <si>
    <t>Trade Customer</t>
  </si>
  <si>
    <t>PETROMART</t>
  </si>
  <si>
    <t>PM-0145</t>
  </si>
  <si>
    <t>3000/002</t>
  </si>
  <si>
    <t xml:space="preserve">KL1550 BUS STOP, </t>
  </si>
  <si>
    <t>BULATAN INOVASI,</t>
  </si>
  <si>
    <t>MRANTI TECHNOLOGY PARK,</t>
  </si>
  <si>
    <t>anass.zulkefli@cafemesra.my</t>
  </si>
  <si>
    <t>0173966240</t>
  </si>
  <si>
    <t>PM-0144</t>
  </si>
  <si>
    <t>3000/003</t>
  </si>
  <si>
    <t>MM BUKIT KANGKAR MUAR</t>
  </si>
  <si>
    <t>LOT PTD 7605,</t>
  </si>
  <si>
    <t>JOHOR</t>
  </si>
  <si>
    <t>IG11489602100</t>
  </si>
  <si>
    <t>N/A</t>
  </si>
  <si>
    <t>stngemini1@gmail.com</t>
  </si>
  <si>
    <t>0199186177</t>
  </si>
  <si>
    <t>PM-0857</t>
  </si>
  <si>
    <t>3000/004</t>
  </si>
  <si>
    <t>MM BUKIT BARU 1</t>
  </si>
  <si>
    <t>LOT 311, JALAN PERINGGIT,</t>
  </si>
  <si>
    <t>MELAKA</t>
  </si>
  <si>
    <t>IG20988204020</t>
  </si>
  <si>
    <t>berkatpj@gmail.com</t>
  </si>
  <si>
    <t>062832151</t>
  </si>
  <si>
    <t>KHAIRUL</t>
  </si>
  <si>
    <t>PM-0117</t>
  </si>
  <si>
    <t>3000/303</t>
  </si>
  <si>
    <t>PS JALAN ROZHAN, ALMA</t>
  </si>
  <si>
    <t>LOT 10885, JALAN ROZHAN,</t>
  </si>
  <si>
    <t>MUKIM 15 ,BUKIT MERTAJAM</t>
  </si>
  <si>
    <t xml:space="preserve"> PULAU PINANG</t>
  </si>
  <si>
    <t>kasirul@hotmail.com</t>
  </si>
  <si>
    <t>045541801</t>
  </si>
  <si>
    <t>AISHAH</t>
  </si>
  <si>
    <t>PM-0401</t>
  </si>
  <si>
    <t>3000/006</t>
  </si>
  <si>
    <t>MM PETRONAS AIR HITAM</t>
  </si>
  <si>
    <t>PEKAN AIR HITAM,</t>
  </si>
  <si>
    <t xml:space="preserve">KEDAH </t>
  </si>
  <si>
    <t>06150</t>
  </si>
  <si>
    <t>049171475</t>
  </si>
  <si>
    <t>PM-0511</t>
  </si>
  <si>
    <t>3000/007</t>
  </si>
  <si>
    <t xml:space="preserve">NO 58, JALAN ALIFF 5, </t>
  </si>
  <si>
    <t>TAMAN DAMANSARA ALIFF,</t>
  </si>
  <si>
    <t xml:space="preserve"> JOHOR BAHRU</t>
  </si>
  <si>
    <t>0127960577</t>
  </si>
  <si>
    <t>ROSMAWATI</t>
  </si>
  <si>
    <t>ONLINE</t>
  </si>
  <si>
    <t>SOCIAL MEDIA</t>
  </si>
  <si>
    <t>SM-0096</t>
  </si>
  <si>
    <t>3000/008</t>
  </si>
  <si>
    <t>MM BATU BERENDAM</t>
  </si>
  <si>
    <t>BATU 5, HANG TUAH JAYA,</t>
  </si>
  <si>
    <t>JALAN BATU BERENDAM,</t>
  </si>
  <si>
    <t>zamfuelnmart@gmail.com</t>
  </si>
  <si>
    <t>063172935</t>
  </si>
  <si>
    <t>PM-1008</t>
  </si>
  <si>
    <t>3000/009</t>
  </si>
  <si>
    <t>H.M.(M) 279</t>
  </si>
  <si>
    <t>MUKIM SEMABOK</t>
  </si>
  <si>
    <t>MELAKA TENGAH</t>
  </si>
  <si>
    <t>C29946214050</t>
  </si>
  <si>
    <t>kpcsdnbhd@gmail.com</t>
  </si>
  <si>
    <t>0192820896</t>
  </si>
  <si>
    <t>PM-0371</t>
  </si>
  <si>
    <t>3000/010</t>
  </si>
  <si>
    <t>PS AIR HITAM, JOHOR</t>
  </si>
  <si>
    <t>LOT 5932, KM 1,</t>
  </si>
  <si>
    <t>JALAN BATU PAHAT,</t>
  </si>
  <si>
    <t>IG10970479070</t>
  </si>
  <si>
    <t>erien.a22@gmail.com</t>
  </si>
  <si>
    <t>0133556177</t>
  </si>
  <si>
    <t>PM-0859</t>
  </si>
  <si>
    <t>3000/011</t>
  </si>
  <si>
    <t>PS AIR KEROH 1</t>
  </si>
  <si>
    <t>LOT 4351, MUKIM BUKIT KATIL,</t>
  </si>
  <si>
    <t>TAMAN AIR KEROH,</t>
  </si>
  <si>
    <t>IG10484787050</t>
  </si>
  <si>
    <t>riverfaithstrong@gmail.com</t>
  </si>
  <si>
    <t>062326073</t>
  </si>
  <si>
    <t>PM-0318</t>
  </si>
  <si>
    <t>3000/012</t>
  </si>
  <si>
    <t>PS AIR KEROH 2</t>
  </si>
  <si>
    <t>LOT 2432, MUKIM BUKIT BARU,</t>
  </si>
  <si>
    <t>JALAN AIR KEROH,</t>
  </si>
  <si>
    <t>ashrafyusof89@gmail.com</t>
  </si>
  <si>
    <t>0193361301</t>
  </si>
  <si>
    <t>PM-0567</t>
  </si>
  <si>
    <t>3000/013</t>
  </si>
  <si>
    <t>PS AIR KEROH 3</t>
  </si>
  <si>
    <t>LOT 2854 JLN AYER KEROH,</t>
  </si>
  <si>
    <t>pssayerkeroh3@yahoo.com</t>
  </si>
  <si>
    <t>062332661</t>
  </si>
  <si>
    <t>PM-0954</t>
  </si>
  <si>
    <t>3000/014</t>
  </si>
  <si>
    <t>LOT 565, LEBUHRAYA</t>
  </si>
  <si>
    <t>SENAWANG - AIR</t>
  </si>
  <si>
    <t>KEROH (NORTH BOUND),</t>
  </si>
  <si>
    <t>intandy1@yahoo.com</t>
  </si>
  <si>
    <t>065565248</t>
  </si>
  <si>
    <t>PM-0862</t>
  </si>
  <si>
    <t>3000/015</t>
  </si>
  <si>
    <t>LOT 596,PG 10</t>
  </si>
  <si>
    <t>LEBUHRAYA SENAWANG-AIR</t>
  </si>
  <si>
    <t>KEROH(SOUTH BOUND)</t>
  </si>
  <si>
    <t>kp_petromiles@hotmail.com</t>
  </si>
  <si>
    <t>0196660617</t>
  </si>
  <si>
    <t>PM-0677</t>
  </si>
  <si>
    <t>3000/016</t>
  </si>
  <si>
    <t>PS AJIL</t>
  </si>
  <si>
    <t>LOT 1303, JALAN KUALA BERANG</t>
  </si>
  <si>
    <t xml:space="preserve">AJIL, </t>
  </si>
  <si>
    <t xml:space="preserve">TERENGGANU </t>
  </si>
  <si>
    <t>IG674976030</t>
  </si>
  <si>
    <t>n/a</t>
  </si>
  <si>
    <t>seltrostation@yahoo.com</t>
  </si>
  <si>
    <t>096862477</t>
  </si>
  <si>
    <t>PM-0788</t>
  </si>
  <si>
    <t>3000/017</t>
  </si>
  <si>
    <t>PS ALAM DAMAI</t>
  </si>
  <si>
    <t>LOT 899 (SPPR SUNGAI MIDAH),</t>
  </si>
  <si>
    <t>MUKIM CHERAS,</t>
  </si>
  <si>
    <t>IG3786715061</t>
  </si>
  <si>
    <t>sridamai.rohani@gmail.com</t>
  </si>
  <si>
    <t>0182374918</t>
  </si>
  <si>
    <t>PM-0899</t>
  </si>
  <si>
    <t>3000/018</t>
  </si>
  <si>
    <t>LOT PT 4550,</t>
  </si>
  <si>
    <t>LEBUHRAYA BUKIT JALIL,</t>
  </si>
  <si>
    <t>BANDAR KINRARA, PUCHONG,</t>
  </si>
  <si>
    <t>SELANGOR</t>
  </si>
  <si>
    <t>hasbonlah@kopetro.com.my</t>
  </si>
  <si>
    <t>01121273544</t>
  </si>
  <si>
    <t>PM-0406</t>
  </si>
  <si>
    <t>3000/005</t>
  </si>
  <si>
    <t>MM BUKIT TENGAH</t>
  </si>
  <si>
    <t>MAIN ROAD,BUKIT TENGAH</t>
  </si>
  <si>
    <t>PULAU PINANG</t>
  </si>
  <si>
    <t>shiyong8383@gmail.com</t>
  </si>
  <si>
    <t>045078800</t>
  </si>
  <si>
    <t>PM-0138</t>
  </si>
  <si>
    <t>3000/020</t>
  </si>
  <si>
    <t>PS ALOR MERAH</t>
  </si>
  <si>
    <t>LOT 1537 MUKIM ALOR MERAH,</t>
  </si>
  <si>
    <t xml:space="preserve">ALOR SETAR, </t>
  </si>
  <si>
    <t>05250</t>
  </si>
  <si>
    <t>moderninventionsdnbhd@gmail.com</t>
  </si>
  <si>
    <t>0175757679</t>
  </si>
  <si>
    <t>PM-0542</t>
  </si>
  <si>
    <t>3000/021</t>
  </si>
  <si>
    <t>PS AMPANG PERMAI</t>
  </si>
  <si>
    <t>LOT PT 32710, HSM 32875,</t>
  </si>
  <si>
    <t>TAMAN PERMAI JAYA,</t>
  </si>
  <si>
    <t>C26442343070</t>
  </si>
  <si>
    <t>tuah.permaihijrah@gmail.com</t>
  </si>
  <si>
    <t>0192184001</t>
  </si>
  <si>
    <t>PM-0645</t>
  </si>
  <si>
    <t>3000/022</t>
  </si>
  <si>
    <t>LOT 726&amp;727 MUKIM AMPANGAN</t>
  </si>
  <si>
    <t>JLN SEREMBAN KUALA PILAH</t>
  </si>
  <si>
    <t>(KUALA PILAH SEREMBAN</t>
  </si>
  <si>
    <t>NEGERI SEMBILAN</t>
  </si>
  <si>
    <t>C58924040040</t>
  </si>
  <si>
    <t>47300, 47111</t>
  </si>
  <si>
    <t>eskayts@gmail.com</t>
  </si>
  <si>
    <t>066784489</t>
  </si>
  <si>
    <t>PM-0229</t>
  </si>
  <si>
    <t>3000/023</t>
  </si>
  <si>
    <t>PS ARA DAMANSARA</t>
  </si>
  <si>
    <t>LOT 1423, MUKIM DAMANSARA,</t>
  </si>
  <si>
    <t>JLN PJU 1A/20 ARA DAMANSARA</t>
  </si>
  <si>
    <t>kfspetromart@gmail.com</t>
  </si>
  <si>
    <t>0193343070</t>
  </si>
  <si>
    <t>PM-0388</t>
  </si>
  <si>
    <t>3000/024</t>
  </si>
  <si>
    <t>LOT 36400</t>
  </si>
  <si>
    <t>JLN PINTASAN DENGKIL -</t>
  </si>
  <si>
    <t>PUTRAJAYA (FT29) ARAH UTARA,</t>
  </si>
  <si>
    <t>C23652535020</t>
  </si>
  <si>
    <t>ps.ampartenang@yahoo.com; najwa.wawasanperdu@gmail.com</t>
  </si>
  <si>
    <t>0387600605</t>
  </si>
  <si>
    <t>PM-0986</t>
  </si>
  <si>
    <t>3000/025</t>
  </si>
  <si>
    <t>PS AU 2, TAMAN KERAMAT</t>
  </si>
  <si>
    <t>LOT 2, JALAN AU 2A/16,</t>
  </si>
  <si>
    <t>TAMAN KERAMAT,</t>
  </si>
  <si>
    <t>hasfazurai@kopetro.com.my</t>
  </si>
  <si>
    <t>0123602637</t>
  </si>
  <si>
    <t>PM-0405</t>
  </si>
  <si>
    <t>3000/026</t>
  </si>
  <si>
    <t>PS AU5 LEMBAH KERAMAT</t>
  </si>
  <si>
    <t>LOT 10, JALAN AU 5,</t>
  </si>
  <si>
    <t>IG 3769587081</t>
  </si>
  <si>
    <t>mampetroservice75@gmail.com</t>
  </si>
  <si>
    <t>0341629543</t>
  </si>
  <si>
    <t>PM-0492</t>
  </si>
  <si>
    <t>3000/027</t>
  </si>
  <si>
    <t>LOT PT 12616</t>
  </si>
  <si>
    <t>JLN IZUDDIN SHAH,</t>
  </si>
  <si>
    <t>MUKIM ASAM KUMBANG, TAIPING,</t>
  </si>
  <si>
    <t>PERAK</t>
  </si>
  <si>
    <t>IG 3550666000</t>
  </si>
  <si>
    <t>jasatuah2007@yahoo.com</t>
  </si>
  <si>
    <t>058070386</t>
  </si>
  <si>
    <t>PM-0866</t>
  </si>
  <si>
    <t>3000/028</t>
  </si>
  <si>
    <t>PS AWANA KIJAL</t>
  </si>
  <si>
    <t>LOT PT 4799 HS(D) 3562</t>
  </si>
  <si>
    <t>MUKIM KIJAL</t>
  </si>
  <si>
    <t>IG40834113011</t>
  </si>
  <si>
    <t>roswajaent@gmail.com</t>
  </si>
  <si>
    <t>098641911</t>
  </si>
  <si>
    <t>PM-0749</t>
  </si>
  <si>
    <t>3000/029</t>
  </si>
  <si>
    <t>PS AXIS SHAH ALAM</t>
  </si>
  <si>
    <t>NO. 2, JALAN SEPADU 25/123,</t>
  </si>
  <si>
    <t>TAMAN PERINDUSTRIAN AXIS</t>
  </si>
  <si>
    <t>C26803817010</t>
  </si>
  <si>
    <t>nst.mesra@gmail.com</t>
  </si>
  <si>
    <t>035227519</t>
  </si>
  <si>
    <t>PM-0612</t>
  </si>
  <si>
    <t>3000/030</t>
  </si>
  <si>
    <t>PS BACHANG</t>
  </si>
  <si>
    <t>LOT PT 4683 MUKIM BACHANG,</t>
  </si>
  <si>
    <t>MELAKA TENGAH,</t>
  </si>
  <si>
    <t>wisdommerchantenterprise@gmail.com</t>
  </si>
  <si>
    <t>0176029272</t>
  </si>
  <si>
    <t>PM-0990</t>
  </si>
  <si>
    <t>3000/019</t>
  </si>
  <si>
    <t>LOT 697,MK 15</t>
  </si>
  <si>
    <t>JLN ROZHAN ALMA,BUKIT</t>
  </si>
  <si>
    <t>MERTAJAM,SBRG PERAI TENGAH</t>
  </si>
  <si>
    <t>IG3468899040</t>
  </si>
  <si>
    <t>anz_sempoi@yahoo.com</t>
  </si>
  <si>
    <t>PM-0652</t>
  </si>
  <si>
    <t>3000/031</t>
  </si>
  <si>
    <t>PS BAGAN AJAM</t>
  </si>
  <si>
    <t>LOT 1444, JALAN BAGAN AJAM,</t>
  </si>
  <si>
    <t>TAMAN MOLEK, BUTTERWORTH,</t>
  </si>
  <si>
    <t>redzuan_petronas@yahoo.com</t>
  </si>
  <si>
    <t>043324657</t>
  </si>
  <si>
    <t>PM-0295</t>
  </si>
  <si>
    <t>3000/033</t>
  </si>
  <si>
    <t>LOT 7376 BATU 10</t>
  </si>
  <si>
    <t>JLN TAIPING</t>
  </si>
  <si>
    <t>BAGAN SERAI</t>
  </si>
  <si>
    <t>IG3189125100</t>
  </si>
  <si>
    <t>petronasbaganserai1@gmail.com; yazid3838@gmail.com</t>
  </si>
  <si>
    <t>057212085</t>
  </si>
  <si>
    <t>PM-0925</t>
  </si>
  <si>
    <t>3000/034</t>
  </si>
  <si>
    <t>PS BAKAR ARANG, SG PETANI</t>
  </si>
  <si>
    <t>LOT 1224, MUKIM SG PASIR</t>
  </si>
  <si>
    <t>SUNGAI PETANI,</t>
  </si>
  <si>
    <t>08000</t>
  </si>
  <si>
    <t>sarafja@yahoo.com</t>
  </si>
  <si>
    <t>044221850</t>
  </si>
  <si>
    <t>PM-0384</t>
  </si>
  <si>
    <t>3000/035</t>
  </si>
  <si>
    <t>PS BAKRI 1, MUAR</t>
  </si>
  <si>
    <t>LOT 5339, BATU 6, JALAN BAKRI,</t>
  </si>
  <si>
    <t>MUAR,</t>
  </si>
  <si>
    <t>ayubentp@yahoo.com</t>
  </si>
  <si>
    <t>069868089</t>
  </si>
  <si>
    <t>PM-0089</t>
  </si>
  <si>
    <t>3000/036</t>
  </si>
  <si>
    <t>PS BAKRI 2</t>
  </si>
  <si>
    <t>LOT 3116, BATU 2 1/2,   3000</t>
  </si>
  <si>
    <t>JALAN BAKRI 1,</t>
  </si>
  <si>
    <t>IG 23995055000</t>
  </si>
  <si>
    <t>pssbakri2@yahoo.com</t>
  </si>
  <si>
    <t>069535088</t>
  </si>
  <si>
    <t>PM-0319</t>
  </si>
  <si>
    <t>3000/037</t>
  </si>
  <si>
    <t>LOT PT 2315</t>
  </si>
  <si>
    <t>MUKIM BALAI PANJANG,</t>
  </si>
  <si>
    <t>rivermoxieenergy@gmail.com</t>
  </si>
  <si>
    <t>063352046</t>
  </si>
  <si>
    <t>PM-0743</t>
  </si>
  <si>
    <t>3000/038</t>
  </si>
  <si>
    <t>PT 12842</t>
  </si>
  <si>
    <t>TMN TAMING JAYA,BALAKONG</t>
  </si>
  <si>
    <t>ULU LANGAT,</t>
  </si>
  <si>
    <t>IG675110050</t>
  </si>
  <si>
    <t>azis_52@hotmail.com</t>
  </si>
  <si>
    <t>0389616650</t>
  </si>
  <si>
    <t>PM-0901</t>
  </si>
  <si>
    <t>3000/039</t>
  </si>
  <si>
    <t>PS BALAKONG 2</t>
  </si>
  <si>
    <t>LOT 7906, JALAN BALAKONG,</t>
  </si>
  <si>
    <t>TAMAN SG BESI INDAH,</t>
  </si>
  <si>
    <t>maza_indah@yahoo.com</t>
  </si>
  <si>
    <t>0389485090</t>
  </si>
  <si>
    <t>PM-0506</t>
  </si>
  <si>
    <t>3000/040</t>
  </si>
  <si>
    <t>PS BALOK</t>
  </si>
  <si>
    <t>LOT 4207, BANDAR BARU BALOK,</t>
  </si>
  <si>
    <t>PAHANG</t>
  </si>
  <si>
    <t>IG29104272040</t>
  </si>
  <si>
    <t>psbalokhabriana@gmail.com</t>
  </si>
  <si>
    <t>0197526050</t>
  </si>
  <si>
    <t>PM-0292</t>
  </si>
  <si>
    <t>3000/041</t>
  </si>
  <si>
    <t>HS(D) 107859</t>
  </si>
  <si>
    <t>PT 9886 ALAM DAMAI,</t>
  </si>
  <si>
    <t>CHERAS, MUKIM PETALING,</t>
  </si>
  <si>
    <t>zuraidamn@gmail.com</t>
  </si>
  <si>
    <t>0172088185</t>
  </si>
  <si>
    <t>PM-1026</t>
  </si>
  <si>
    <t>3000/042</t>
  </si>
  <si>
    <t>LOT 965 GM 2127</t>
  </si>
  <si>
    <t>BANDAR ANAK BUKIT,</t>
  </si>
  <si>
    <t>KOTA SETAR,</t>
  </si>
  <si>
    <t>KEDAH</t>
  </si>
  <si>
    <t>IG 2073039102</t>
  </si>
  <si>
    <t>pss.anakbukit@yahoo.com</t>
  </si>
  <si>
    <t>047352100</t>
  </si>
  <si>
    <t>PM-0819</t>
  </si>
  <si>
    <t>3000/032</t>
  </si>
  <si>
    <t>LOT 60&amp;66 BAGAN JERMAL</t>
  </si>
  <si>
    <t>SEK 1,BNDR BUTTERWORTH</t>
  </si>
  <si>
    <t>SEBERANG PERAI UTARA</t>
  </si>
  <si>
    <t>nurizaazani@yahoo.com</t>
  </si>
  <si>
    <t>0194510308</t>
  </si>
  <si>
    <t>PM-0306</t>
  </si>
  <si>
    <t>3000/044</t>
  </si>
  <si>
    <t>PS BANDAR BAHAU</t>
  </si>
  <si>
    <t>LOT 815, JALAN ROMPIN, BAHAU,</t>
  </si>
  <si>
    <t>JEMPOL,</t>
  </si>
  <si>
    <t>IG03631673030</t>
  </si>
  <si>
    <t>fazlimservicestation2014@yahoo.com</t>
  </si>
  <si>
    <t>064545459</t>
  </si>
  <si>
    <t>PM-0246</t>
  </si>
  <si>
    <t>3000/045</t>
  </si>
  <si>
    <t>LOT PTD 53091 HS(D)</t>
  </si>
  <si>
    <t>44103 &amp; 53092 HS(D)</t>
  </si>
  <si>
    <t>BANDAR BARU AIR HITAM,</t>
  </si>
  <si>
    <t>IG20071245040</t>
  </si>
  <si>
    <t>ezamhzr@gmail.com</t>
  </si>
  <si>
    <t>077581499</t>
  </si>
  <si>
    <t>PM-0207</t>
  </si>
  <si>
    <t>3000/046</t>
  </si>
  <si>
    <t>PT 190562 HS(D)</t>
  </si>
  <si>
    <t>176833,BNDR BARU</t>
  </si>
  <si>
    <t>BERCHAM,MUKIM HULU KINTA</t>
  </si>
  <si>
    <t xml:space="preserve">PERAK </t>
  </si>
  <si>
    <t>excelgasolenepetronas@yahoo.com</t>
  </si>
  <si>
    <t>055362133</t>
  </si>
  <si>
    <t>PM-0231</t>
  </si>
  <si>
    <t>3000/047</t>
  </si>
  <si>
    <t>PS BANDAR BARU KAMPAR</t>
  </si>
  <si>
    <t>LOT 126025, JLN BATU SINAR,</t>
  </si>
  <si>
    <t>TAMAN BANDAR BARU KAMPAR,</t>
  </si>
  <si>
    <t>C58849953060</t>
  </si>
  <si>
    <t>petronasbbkp@gmail.com</t>
  </si>
  <si>
    <t>0199999396</t>
  </si>
  <si>
    <t>PM-0366</t>
  </si>
  <si>
    <t>3000/043</t>
  </si>
  <si>
    <t>LOT 7750,7751,7753</t>
  </si>
  <si>
    <t>JLN ANGSANA,MUKIM 13,</t>
  </si>
  <si>
    <t>IG4056220041</t>
  </si>
  <si>
    <t>sitteenmerchandise@gmail.com</t>
  </si>
  <si>
    <t>0194700699</t>
  </si>
  <si>
    <t>PM-0815</t>
  </si>
  <si>
    <t>3000/049</t>
  </si>
  <si>
    <t>PS BANDAR BARU RAWANG</t>
  </si>
  <si>
    <t>PLOT C BANDAR BARU RAWANG,</t>
  </si>
  <si>
    <t>GOMBAK,</t>
  </si>
  <si>
    <t>saujana_erat@msn.com</t>
  </si>
  <si>
    <t>0360909578</t>
  </si>
  <si>
    <t>PM-0782</t>
  </si>
  <si>
    <t>3000/050</t>
  </si>
  <si>
    <t>LOT PT 10621</t>
  </si>
  <si>
    <t>HS(D) 4429, TAMAN BUNGA RAYA</t>
  </si>
  <si>
    <t>BANDAR BARU SALAK TINGGI,</t>
  </si>
  <si>
    <t>IG2743044081</t>
  </si>
  <si>
    <t>bukitqurnia@gmail.com</t>
  </si>
  <si>
    <t>0192766969</t>
  </si>
  <si>
    <t>PM-0137</t>
  </si>
  <si>
    <t>3000/051</t>
  </si>
  <si>
    <t>LOT 60349</t>
  </si>
  <si>
    <t>BANDAR BARU SELAYANG,FASA 2A</t>
  </si>
  <si>
    <t>JALAN SUNGAI TUA BATU</t>
  </si>
  <si>
    <t>cikguleha7278@yahoo.com</t>
  </si>
  <si>
    <t>0361787278</t>
  </si>
  <si>
    <t>PM-1001</t>
  </si>
  <si>
    <t>3000/052</t>
  </si>
  <si>
    <t>PS BANDAR BARU SERTING</t>
  </si>
  <si>
    <t>LOT 489, MUKIM SERTING ULU,</t>
  </si>
  <si>
    <t>JALAN JUASEH</t>
  </si>
  <si>
    <t>C25271374050</t>
  </si>
  <si>
    <t>W10-2010-32000044</t>
  </si>
  <si>
    <t>ptrns.kecau@felda.net.my</t>
  </si>
  <si>
    <t>064581156</t>
  </si>
  <si>
    <t>PM-0433</t>
  </si>
  <si>
    <t>3000/053</t>
  </si>
  <si>
    <t>PS BANDAR BARU TUNJONG</t>
  </si>
  <si>
    <t>S/65, LOT 662, LEBUHRAYA JALAN</t>
  </si>
  <si>
    <t>PASIR MAS-SALOR,</t>
  </si>
  <si>
    <t xml:space="preserve">KELANTAN </t>
  </si>
  <si>
    <t>IG23665117100</t>
  </si>
  <si>
    <t>suetunjong@gmail.com</t>
  </si>
  <si>
    <t>0172365625</t>
  </si>
  <si>
    <t>PM-0902</t>
  </si>
  <si>
    <t>3000/054</t>
  </si>
  <si>
    <t>PS BANDAR BARU UDA 1</t>
  </si>
  <si>
    <t>LOT 12105, BANDAR BARU UDA,</t>
  </si>
  <si>
    <t>BATU 4 1/2, JLN SKUDAI,</t>
  </si>
  <si>
    <t>iltizam101@gmail.com</t>
  </si>
  <si>
    <t>072325994</t>
  </si>
  <si>
    <t>PM-0332</t>
  </si>
  <si>
    <t>3000/055</t>
  </si>
  <si>
    <t>LOT PTB 16964</t>
  </si>
  <si>
    <t>JALAN PADI MALINJA 3,</t>
  </si>
  <si>
    <t xml:space="preserve">BANDAR BARU UDA, </t>
  </si>
  <si>
    <t>sitiham_bbu@yahoo.com.my</t>
  </si>
  <si>
    <t>072386636</t>
  </si>
  <si>
    <t>PM-0813</t>
  </si>
  <si>
    <t>3000/056</t>
  </si>
  <si>
    <t>PS BANDAR BUKIT TINGGI 1</t>
  </si>
  <si>
    <t>PART OF LOT 7725</t>
  </si>
  <si>
    <t>BANDAR BUKIT TINGGI</t>
  </si>
  <si>
    <t>IG3193063080</t>
  </si>
  <si>
    <t>aazhara@yahoo.com</t>
  </si>
  <si>
    <t>0333242410</t>
  </si>
  <si>
    <t>PM-0139</t>
  </si>
  <si>
    <t>3000/057</t>
  </si>
  <si>
    <t>PS BANDAR BUKIT TINGGI 2</t>
  </si>
  <si>
    <t>LOT 1 BANDAR BUKIT TINGGI,</t>
  </si>
  <si>
    <t>KLANG,</t>
  </si>
  <si>
    <t>pssbbt2@gmail.com</t>
  </si>
  <si>
    <t>0333242184</t>
  </si>
  <si>
    <t>PM-0912</t>
  </si>
  <si>
    <t>3000/058</t>
  </si>
  <si>
    <t>PS BANDAR DARULAMAN</t>
  </si>
  <si>
    <t>LOT 78,BANDAR DARULAMAN,</t>
  </si>
  <si>
    <t>KUBANG PASU,</t>
  </si>
  <si>
    <t>06600</t>
  </si>
  <si>
    <t>IG 11637483070</t>
  </si>
  <si>
    <t>zrmesrastation@gmail.com</t>
  </si>
  <si>
    <t>0124644369</t>
  </si>
  <si>
    <t>PM-1028</t>
  </si>
  <si>
    <t>3000/059</t>
  </si>
  <si>
    <t>PS BANDAR DATO ONN</t>
  </si>
  <si>
    <t>HS(D) 584415, PTD 19807,</t>
  </si>
  <si>
    <t>JALAN DATO ONN UTAMA,</t>
  </si>
  <si>
    <t>myqaira2u@gmail.com</t>
  </si>
  <si>
    <t>0137219219</t>
  </si>
  <si>
    <t>PM-0566</t>
  </si>
  <si>
    <t>3000/060</t>
  </si>
  <si>
    <t>PS BANDAR GLENMARIE</t>
  </si>
  <si>
    <t>LOT PT 4, BANDAR GLENMARIE,</t>
  </si>
  <si>
    <t xml:space="preserve">SHAH ALAM, </t>
  </si>
  <si>
    <t>IG3176287051</t>
  </si>
  <si>
    <t>aisyahyazid@gmail.com</t>
  </si>
  <si>
    <t>0378454876</t>
  </si>
  <si>
    <t>PM-0580</t>
  </si>
  <si>
    <t>3000/061</t>
  </si>
  <si>
    <t>LOT PTD 51002</t>
  </si>
  <si>
    <t>HS(D) 342551,MUKIM SENAI</t>
  </si>
  <si>
    <t>KULAI,BANDAR INDAHPURA</t>
  </si>
  <si>
    <t>IG2754073011</t>
  </si>
  <si>
    <t>jar_indahpura@yahoo.com</t>
  </si>
  <si>
    <t>076635031</t>
  </si>
  <si>
    <t>PM-0352</t>
  </si>
  <si>
    <t>3000/062</t>
  </si>
  <si>
    <t>PS BANDAR INDERA MAHKOTA</t>
  </si>
  <si>
    <t>LOT PT 33423 SEKTOR 1,</t>
  </si>
  <si>
    <t>BANDAR INDERA MAHKOTA,</t>
  </si>
  <si>
    <t>roslin.alias@yahoo.com</t>
  </si>
  <si>
    <t>095734935</t>
  </si>
  <si>
    <t>PM-0605</t>
  </si>
  <si>
    <t>3000/063</t>
  </si>
  <si>
    <t>LOT PT 8532</t>
  </si>
  <si>
    <t>HSD 9283,MUKIM AIR PANAS</t>
  </si>
  <si>
    <t>BANDAR JASIN,</t>
  </si>
  <si>
    <t>C26574638080</t>
  </si>
  <si>
    <t>tautankasih21@yahoo.com</t>
  </si>
  <si>
    <t>0176871230</t>
  </si>
  <si>
    <t>PM-0935</t>
  </si>
  <si>
    <t>3000/064</t>
  </si>
  <si>
    <t>LOT PT 2552</t>
  </si>
  <si>
    <t>HS(D) 1, MUKIM CHENOR</t>
  </si>
  <si>
    <t>BANDAR PUSAT JENGKA,</t>
  </si>
  <si>
    <t>IG3694786050</t>
  </si>
  <si>
    <t>megaprima.pss@gmail.com</t>
  </si>
  <si>
    <t>094676767</t>
  </si>
  <si>
    <t>PM-0513</t>
  </si>
  <si>
    <t>3000/065</t>
  </si>
  <si>
    <t>LOT 37331 JLN</t>
  </si>
  <si>
    <t>KINRARA 5,SEKSYEN 5</t>
  </si>
  <si>
    <t>BANDAR KINRARA,PUCHONG</t>
  </si>
  <si>
    <t>petronasbandarkinrara@gmail.com</t>
  </si>
  <si>
    <t>0380761184</t>
  </si>
  <si>
    <t>PM-0888</t>
  </si>
  <si>
    <t>3000/066</t>
  </si>
  <si>
    <t>LOT 4054</t>
  </si>
  <si>
    <t>PHASE 5A, JLN KINRARA 6</t>
  </si>
  <si>
    <t>bakarkin@yahoo.com</t>
  </si>
  <si>
    <t>0380700229</t>
  </si>
  <si>
    <t>PM-0502</t>
  </si>
  <si>
    <t>3000/067</t>
  </si>
  <si>
    <t>PS BANDAR KLANG</t>
  </si>
  <si>
    <t>LOT 95-97, JALAN BATU 3 LAMA,</t>
  </si>
  <si>
    <t>BANDAR KELANG,</t>
  </si>
  <si>
    <t>mazbt9@gmail.com</t>
  </si>
  <si>
    <t>0333436121</t>
  </si>
  <si>
    <t>PM-0572</t>
  </si>
  <si>
    <t>3000/068</t>
  </si>
  <si>
    <t>LOT 33121</t>
  </si>
  <si>
    <t>PERSIARAN MAHKOTA 2</t>
  </si>
  <si>
    <t>BANDAR MAHKOTA CHERAS,</t>
  </si>
  <si>
    <t>I4122979070</t>
  </si>
  <si>
    <t>emizaf7@hotmail.com</t>
  </si>
  <si>
    <t>0390105458</t>
  </si>
  <si>
    <t>PM-0220</t>
  </si>
  <si>
    <t>3000/069</t>
  </si>
  <si>
    <t>PS BANDAR MENTAKAB</t>
  </si>
  <si>
    <t>LOT 678 HS (D) 1471 KM 2</t>
  </si>
  <si>
    <t>JALAN MENTAKAB - KARAK,</t>
  </si>
  <si>
    <t>azhaghani@yahoo.com</t>
  </si>
  <si>
    <t>0194483444</t>
  </si>
  <si>
    <t>PM-0747</t>
  </si>
  <si>
    <t>3000/070</t>
  </si>
  <si>
    <t>LOT PT 204047</t>
  </si>
  <si>
    <t>HS(D) 141862 MUKIM HULU</t>
  </si>
  <si>
    <t>KINTA,JLN JELAPANG-CHEMOR</t>
  </si>
  <si>
    <t xml:space="preserve">pssmeruraya@gmail.com/ pss_meruraya@yahoo.com    </t>
  </si>
  <si>
    <t>055292966</t>
  </si>
  <si>
    <t>PM-0424</t>
  </si>
  <si>
    <t>3000/071</t>
  </si>
  <si>
    <t>LOT PT 1198</t>
  </si>
  <si>
    <t>BANDAR BARU MUADZAM SHAH</t>
  </si>
  <si>
    <t>PEKAN</t>
  </si>
  <si>
    <t>CS 3850840000</t>
  </si>
  <si>
    <t>NA</t>
  </si>
  <si>
    <t>slrksdkm78@gmail.com</t>
  </si>
  <si>
    <t>094522201</t>
  </si>
  <si>
    <t>PM-0426</t>
  </si>
  <si>
    <t>3000/072</t>
  </si>
  <si>
    <t>PT 49753 HSD</t>
  </si>
  <si>
    <t>773/97,BANDAR MUTIARA,JLN</t>
  </si>
  <si>
    <t>LENCONGAN TIMUR,SG PETANI</t>
  </si>
  <si>
    <t>smmdonn@gmail.com</t>
  </si>
  <si>
    <t>044441133</t>
  </si>
  <si>
    <t>PM-0869</t>
  </si>
  <si>
    <t>3000/073</t>
  </si>
  <si>
    <t>PS BANDAR PERMAISURI</t>
  </si>
  <si>
    <t>LOT 2112 KAMPUNG BALIK BUKIT,</t>
  </si>
  <si>
    <t>JALAN SETIU - JERTEH, SETIU,</t>
  </si>
  <si>
    <t>IG11637860030</t>
  </si>
  <si>
    <t>csdgolden@gmail.com</t>
  </si>
  <si>
    <t>096098600</t>
  </si>
  <si>
    <t>PM-0845</t>
  </si>
  <si>
    <t>3000/074</t>
  </si>
  <si>
    <t>PS BANDAR PUNCAK ALAM 2</t>
  </si>
  <si>
    <t>LOT PT 1937, MUKIM IJOK,</t>
  </si>
  <si>
    <t>BANDAR PUNCAK ALAM,</t>
  </si>
  <si>
    <t>antaraqent@yahoo.com</t>
  </si>
  <si>
    <t>0333935268</t>
  </si>
  <si>
    <t>PM-0067</t>
  </si>
  <si>
    <t>3000/075</t>
  </si>
  <si>
    <t>PS BANDAR PUNCAK JALIL</t>
  </si>
  <si>
    <t>BANDAR PUNCAK JALIL,</t>
  </si>
  <si>
    <t>PERSIARAN PUNCAK JALIL 2,</t>
  </si>
  <si>
    <t>legasipuncak@yahoo.com</t>
  </si>
  <si>
    <t>0389481415</t>
  </si>
  <si>
    <t>JOHARI</t>
  </si>
  <si>
    <t>PM-0468</t>
  </si>
  <si>
    <t>3000/076</t>
  </si>
  <si>
    <t>PART OF LOT 47457</t>
  </si>
  <si>
    <t>HS(D) 18435,BNDR PUTERI</t>
  </si>
  <si>
    <t>JAYA,MUKIM KUALA MUDA</t>
  </si>
  <si>
    <t>IG 11767184030</t>
  </si>
  <si>
    <t>iltizam1104@yahoo.com.my</t>
  </si>
  <si>
    <t>049551084</t>
  </si>
  <si>
    <t>PM-0333</t>
  </si>
  <si>
    <t>3000/077</t>
  </si>
  <si>
    <t>PS BANDAR PUTERI PUCHONG</t>
  </si>
  <si>
    <t>LOT 5471 &amp; 5473, LEBUH PUTERI,</t>
  </si>
  <si>
    <t>BANDAR PUTERI PUCHONG,</t>
  </si>
  <si>
    <t>psbdrputeri.sv@gmail.com</t>
  </si>
  <si>
    <t>0380614535</t>
  </si>
  <si>
    <t>PM-0533</t>
  </si>
  <si>
    <t>3000/078</t>
  </si>
  <si>
    <t>PLOT 1</t>
  </si>
  <si>
    <t>PTD 66916 BANDAR PUTRA,</t>
  </si>
  <si>
    <t>MUKIM SENAI-KULAI</t>
  </si>
  <si>
    <t>IG2497409090</t>
  </si>
  <si>
    <t>hamidr53@gmail.com</t>
  </si>
  <si>
    <t>0177787871</t>
  </si>
  <si>
    <t>PM-0719</t>
  </si>
  <si>
    <t>3000/079</t>
  </si>
  <si>
    <t>PLOT 3</t>
  </si>
  <si>
    <t>PTD 61674 BANDAR PUTRA,</t>
  </si>
  <si>
    <t xml:space="preserve">MUKIM SENAI-KULAI, </t>
  </si>
  <si>
    <t>jtgemilang@yahoo.com</t>
  </si>
  <si>
    <t>075983460</t>
  </si>
  <si>
    <t>PM-0368</t>
  </si>
  <si>
    <t>3000/080</t>
  </si>
  <si>
    <t>PS BANDAR SAUJANA PUTRA</t>
  </si>
  <si>
    <t>LOT 26103, JALAN SP 4/31,</t>
  </si>
  <si>
    <t>BANDAR SAUJANA PUTRA,</t>
  </si>
  <si>
    <t>jmeijaz@yahoo.com</t>
  </si>
  <si>
    <t>0123276069</t>
  </si>
  <si>
    <t>PM-0363</t>
  </si>
  <si>
    <t>3000/081</t>
  </si>
  <si>
    <t>LOT PTD 111519</t>
  </si>
  <si>
    <t>BANDAR SERI ALAM 2</t>
  </si>
  <si>
    <t>MUKIM PLENTONG,</t>
  </si>
  <si>
    <t>IG5449550040</t>
  </si>
  <si>
    <t>eidaman@hotmail.com</t>
  </si>
  <si>
    <t>0127325178</t>
  </si>
  <si>
    <t>PM-0208</t>
  </si>
  <si>
    <t>3000/082</t>
  </si>
  <si>
    <t>LOT 1833,JLN KOLEJ</t>
  </si>
  <si>
    <t>SERI KEMBANGAN,</t>
  </si>
  <si>
    <t>azamegask@yahoo.com</t>
  </si>
  <si>
    <t>0389425820</t>
  </si>
  <si>
    <t>PM-0096</t>
  </si>
  <si>
    <t>3000/083</t>
  </si>
  <si>
    <t>LOT PT 39138</t>
  </si>
  <si>
    <t>HSD 47005,JLN SERI</t>
  </si>
  <si>
    <t>PUTRA 1/9,BANDAR SERI PUTRA</t>
  </si>
  <si>
    <t>1313202-D</t>
  </si>
  <si>
    <t>C 25828481010</t>
  </si>
  <si>
    <t>alfatehpss@gmail.com</t>
  </si>
  <si>
    <t>PM-0125</t>
  </si>
  <si>
    <t>3000/084</t>
  </si>
  <si>
    <t>NO.1,JLN</t>
  </si>
  <si>
    <t>SETIA MURNI U13/50,SEK.U13</t>
  </si>
  <si>
    <t>BANDAR SETIA ALAM</t>
  </si>
  <si>
    <t>IG23291080040</t>
  </si>
  <si>
    <t>invoice.samusimdua@gmail.com</t>
  </si>
  <si>
    <t>0333449730</t>
  </si>
  <si>
    <t>PM-0776</t>
  </si>
  <si>
    <t>3000/085</t>
  </si>
  <si>
    <t>LOT 37196&amp;37197,</t>
  </si>
  <si>
    <t>PERSIARAN PERDANA,</t>
  </si>
  <si>
    <t>BANDAR SRI DAMANSARA,</t>
  </si>
  <si>
    <t>rmrroha@gmail.com</t>
  </si>
  <si>
    <t>0162201616</t>
  </si>
  <si>
    <t>PM-0789</t>
  </si>
  <si>
    <t>3000/086</t>
  </si>
  <si>
    <t>PS BANDAR SRI MANJUNG 2</t>
  </si>
  <si>
    <t>PLOT 2 PT 862, MUKIM LUMUT,</t>
  </si>
  <si>
    <t>SRI MANJUNG,</t>
  </si>
  <si>
    <t>nzoilenterprise@yahoo.com</t>
  </si>
  <si>
    <t>0122345780</t>
  </si>
  <si>
    <t>PM-0618</t>
  </si>
  <si>
    <t>3000/087</t>
  </si>
  <si>
    <t>LOT PT4282 JLN</t>
  </si>
  <si>
    <t>5/105,BNDR SRI PERMAISURI</t>
  </si>
  <si>
    <t>kkdagangan04@gmail.com</t>
  </si>
  <si>
    <t>0391738006</t>
  </si>
  <si>
    <t>PM-0397</t>
  </si>
  <si>
    <t>3000/088</t>
  </si>
  <si>
    <t>LOT PTD 12345,</t>
  </si>
  <si>
    <t>BANDAR SRI SAUJANA,</t>
  </si>
  <si>
    <t>MUKIM KOTA TINGGI</t>
  </si>
  <si>
    <t>IG04245156060</t>
  </si>
  <si>
    <t>pss.sri.saujana@gmail.com</t>
  </si>
  <si>
    <t>0197554600</t>
  </si>
  <si>
    <t>PM-0093</t>
  </si>
  <si>
    <t>3000/089</t>
  </si>
  <si>
    <t>PT 12695</t>
  </si>
  <si>
    <t>PERSIARAN SENDAYAN BARU,</t>
  </si>
  <si>
    <t>BANDAR SRI SENDAYAN</t>
  </si>
  <si>
    <t>mazlanjpb@gmail.com</t>
  </si>
  <si>
    <t>0124277648</t>
  </si>
  <si>
    <t>PM-0541</t>
  </si>
  <si>
    <t>3000/090</t>
  </si>
  <si>
    <t>LOT PT 197129,</t>
  </si>
  <si>
    <t>JLN SULTAN AZLAN SHAH,</t>
  </si>
  <si>
    <t>MUKIM HULU KINTA</t>
  </si>
  <si>
    <t>C 26123436060</t>
  </si>
  <si>
    <t>kbh88.solution@gmail.com</t>
  </si>
  <si>
    <t>055479100</t>
  </si>
  <si>
    <t>PM-0391</t>
  </si>
  <si>
    <t>3000/048</t>
  </si>
  <si>
    <t>LOT PT 859</t>
  </si>
  <si>
    <t>MUKIM 6,BNDR BARU PERDA</t>
  </si>
  <si>
    <t>BUKIT MERTAJAM,</t>
  </si>
  <si>
    <t>IG11973372020</t>
  </si>
  <si>
    <t>rahimiidealflow@gmail.com</t>
  </si>
  <si>
    <t>045382552</t>
  </si>
  <si>
    <t>PM-0973</t>
  </si>
  <si>
    <t>3000/092</t>
  </si>
  <si>
    <t>LOT PT 31681,</t>
  </si>
  <si>
    <t>HSM 12849,PERSIARAN TAN SRI</t>
  </si>
  <si>
    <t>LOW YOW CHUAN,BANDAR TASIK</t>
  </si>
  <si>
    <t>IG 22143478100</t>
  </si>
  <si>
    <t>dayat8587@gmail.com</t>
  </si>
  <si>
    <t>0174858875</t>
  </si>
  <si>
    <t>PM-0860</t>
  </si>
  <si>
    <t>3000/093</t>
  </si>
  <si>
    <t>PS BANDAR TENGGARA</t>
  </si>
  <si>
    <t>LOT JTI 59, BANDAR TENGGARA,</t>
  </si>
  <si>
    <t>KULAI</t>
  </si>
  <si>
    <t>IG736862030</t>
  </si>
  <si>
    <t>derispardi@hotmail.com</t>
  </si>
  <si>
    <t>078961291</t>
  </si>
  <si>
    <t>PM-0897</t>
  </si>
  <si>
    <t>3000/094</t>
  </si>
  <si>
    <t>PS BANDAR TIRAM</t>
  </si>
  <si>
    <t>LOT 55248 (GERAN 43115),</t>
  </si>
  <si>
    <t>JALAN KOTA TINGGI-JOHOR BAHRU,</t>
  </si>
  <si>
    <t>IG40046268000</t>
  </si>
  <si>
    <t>0177876008</t>
  </si>
  <si>
    <t>PM-0046</t>
  </si>
  <si>
    <t>3000/095</t>
  </si>
  <si>
    <t>LOT PT 19298</t>
  </si>
  <si>
    <t>MUKIM CHERAS,BNDR TUN</t>
  </si>
  <si>
    <t>HUSSEIN ONN,CHERAS</t>
  </si>
  <si>
    <t>aknh.kamalia@gmail.com</t>
  </si>
  <si>
    <t>0196887554</t>
  </si>
  <si>
    <t>PM-0033</t>
  </si>
  <si>
    <t>3000/096</t>
  </si>
  <si>
    <t>LOT PT 25433</t>
  </si>
  <si>
    <t>C22108143070</t>
  </si>
  <si>
    <t>horizon.gemilang@gmail.com</t>
  </si>
  <si>
    <t>0176710686</t>
  </si>
  <si>
    <t>PM-0320</t>
  </si>
  <si>
    <t>3000/097</t>
  </si>
  <si>
    <t>LOT PTD 307&amp;308,</t>
  </si>
  <si>
    <t>TRONOH, MUKIM BOTA,</t>
  </si>
  <si>
    <t>PERAK TENGAH</t>
  </si>
  <si>
    <t>sharifahbdru@gmail.com</t>
  </si>
  <si>
    <t>053711335</t>
  </si>
  <si>
    <t>PM-0879</t>
  </si>
  <si>
    <t>3000/098</t>
  </si>
  <si>
    <t>LOT 100,</t>
  </si>
  <si>
    <t>SEKSYEN 96-A, JLN BANGSAR</t>
  </si>
  <si>
    <t>W.P KUALA LUMPUR</t>
  </si>
  <si>
    <t>IG12110085050</t>
  </si>
  <si>
    <t>qanaahpetroservis@yahoo.com</t>
  </si>
  <si>
    <t>0322822922</t>
  </si>
  <si>
    <t>PM-0714</t>
  </si>
  <si>
    <t>3000/099</t>
  </si>
  <si>
    <t>LOT 2883,JLN</t>
  </si>
  <si>
    <t>JALAN MORIB, BANTING,</t>
  </si>
  <si>
    <t>KUALA LANGAT</t>
  </si>
  <si>
    <t>IG 40086635080</t>
  </si>
  <si>
    <t>ksl.niaga@gmail.com</t>
  </si>
  <si>
    <t>0331872343</t>
  </si>
  <si>
    <t>PM-0451</t>
  </si>
  <si>
    <t>3000/100</t>
  </si>
  <si>
    <t>LOT 916,BT 31</t>
  </si>
  <si>
    <t>PEKAN BATANG KALI,</t>
  </si>
  <si>
    <t>ULU SELANGOR</t>
  </si>
  <si>
    <t>zaharin_pbmf@yahoo.co.uk</t>
  </si>
  <si>
    <t>0360571196</t>
  </si>
  <si>
    <t>PM-1004</t>
  </si>
  <si>
    <t>3000/101</t>
  </si>
  <si>
    <t>NO.79 JLN</t>
  </si>
  <si>
    <t>MERANTI 1A,  SEKSYEN 3,</t>
  </si>
  <si>
    <t>BANDAR UTAMA BATANG KALI</t>
  </si>
  <si>
    <t>petromaxs17@gmail.om</t>
  </si>
  <si>
    <t>0360574722</t>
  </si>
  <si>
    <t>PM-0674</t>
  </si>
  <si>
    <t>3000/102</t>
  </si>
  <si>
    <t>PS BATAS PAIP</t>
  </si>
  <si>
    <t>LOT 1533, JALAN BATAS PAIP,</t>
  </si>
  <si>
    <t>MK TELOK KECHAI, KUALA KEDAH,</t>
  </si>
  <si>
    <t>zaimnowshera.s939@gmail.com</t>
  </si>
  <si>
    <t>047622463</t>
  </si>
  <si>
    <t>PM-0979</t>
  </si>
  <si>
    <t>3000/103</t>
  </si>
  <si>
    <t>PS BATU 2 JALAN SEMENYIH</t>
  </si>
  <si>
    <t>LOT 22521, BATU 1,</t>
  </si>
  <si>
    <t>JALAN SEMENYIH,  KAJANG,</t>
  </si>
  <si>
    <t>dilla_100886@yahoo.com</t>
  </si>
  <si>
    <t>0387376086</t>
  </si>
  <si>
    <t>PM-0763</t>
  </si>
  <si>
    <t>3000/104</t>
  </si>
  <si>
    <t>JALAN KLUANG AYER HITAM</t>
  </si>
  <si>
    <t>LOT 8379, BATU 1,</t>
  </si>
  <si>
    <t>JALAN KLUANG, AYER HITAM,</t>
  </si>
  <si>
    <t>IG2563567000</t>
  </si>
  <si>
    <t>adim_cme@yahoo.com.my</t>
  </si>
  <si>
    <t>0193205393</t>
  </si>
  <si>
    <t>PM-0156</t>
  </si>
  <si>
    <t>3000/105</t>
  </si>
  <si>
    <t>LOT PT 23</t>
  </si>
  <si>
    <t>BT 2 1/2 JALAN KAPAR,</t>
  </si>
  <si>
    <t>KLANG</t>
  </si>
  <si>
    <t>mohammadzairizulkapli@yahoo.com.sg</t>
  </si>
  <si>
    <t>0333445580</t>
  </si>
  <si>
    <t>PM-1023</t>
  </si>
  <si>
    <t>3000/106</t>
  </si>
  <si>
    <t>PS BATU 2 MERU</t>
  </si>
  <si>
    <t>LOT 3585, KM 1, JALAN MERU,</t>
  </si>
  <si>
    <t>SA0336210-X</t>
  </si>
  <si>
    <t>OG05328762020</t>
  </si>
  <si>
    <t>nadimesah@gmail.com</t>
  </si>
  <si>
    <t>0333411024</t>
  </si>
  <si>
    <t>PM-0576</t>
  </si>
  <si>
    <t>3000/107</t>
  </si>
  <si>
    <t>LOT PT 5,HS (D)</t>
  </si>
  <si>
    <t>239246,PEKAN COUNTRY</t>
  </si>
  <si>
    <t>HEIGHTS,MUKIM DAMANSARA</t>
  </si>
  <si>
    <t>sitinorhayatimohdnor@yahoo.com</t>
  </si>
  <si>
    <t>0126249154</t>
  </si>
  <si>
    <t>PM-0811</t>
  </si>
  <si>
    <t>3000/108</t>
  </si>
  <si>
    <t>PS BATU 3 SHAH ALAM</t>
  </si>
  <si>
    <t>LOT PT 119, JALAN GLENMARIE,</t>
  </si>
  <si>
    <t>BATU 3, SHAH ALAM,</t>
  </si>
  <si>
    <t>0355108331</t>
  </si>
  <si>
    <t>PM-0818</t>
  </si>
  <si>
    <t>3000/109</t>
  </si>
  <si>
    <t>PS BATU 35 1/5 JALAN PONTIAN</t>
  </si>
  <si>
    <t>NO.493, BATU 35, JALAN JOHOR,</t>
  </si>
  <si>
    <t>MUKIM RIMBA TERJUN,</t>
  </si>
  <si>
    <t>tdjbpetro@gmail.com</t>
  </si>
  <si>
    <t>0196556423</t>
  </si>
  <si>
    <t>PM-0536</t>
  </si>
  <si>
    <t>3000/110</t>
  </si>
  <si>
    <t>LOT 16032,</t>
  </si>
  <si>
    <t>BATU 5 1/2, JALAN CHERAS,</t>
  </si>
  <si>
    <t>ULU LANGAT</t>
  </si>
  <si>
    <t>0391340692</t>
  </si>
  <si>
    <t>PM-0627</t>
  </si>
  <si>
    <t>3000/111</t>
  </si>
  <si>
    <t>LOT 30217 PM906,</t>
  </si>
  <si>
    <t>LOT 30504 GM 2291,BATU 5</t>
  </si>
  <si>
    <t>JLN GOMBAK,MUKIM SETAPAK</t>
  </si>
  <si>
    <t>norikhshan@yahoo.com</t>
  </si>
  <si>
    <t>0340320663</t>
  </si>
  <si>
    <t>PM-0519</t>
  </si>
  <si>
    <t>3000/112</t>
  </si>
  <si>
    <t>LOT 4680,</t>
  </si>
  <si>
    <t>BATU 6, JALAN GOMBAK,</t>
  </si>
  <si>
    <t>GOMBAK</t>
  </si>
  <si>
    <t>linaoilrig@gmail.com</t>
  </si>
  <si>
    <t>0361890407</t>
  </si>
  <si>
    <t>PM-0470</t>
  </si>
  <si>
    <t>3000/113</t>
  </si>
  <si>
    <t>PS BATU 6 JALAN IPOH</t>
  </si>
  <si>
    <t>LOT PT 17011, MUKIM BATU,</t>
  </si>
  <si>
    <t>BATU 6, JALAN IPOH,</t>
  </si>
  <si>
    <t>mrhussin@gmail.com</t>
  </si>
  <si>
    <t>0362587077</t>
  </si>
  <si>
    <t>PM-0463</t>
  </si>
  <si>
    <t>3000/114</t>
  </si>
  <si>
    <t>PS BATU 6 PEKAN MERU</t>
  </si>
  <si>
    <t>LOT 2114, BATU 6, JALAN MERU,</t>
  </si>
  <si>
    <t>IG5458024021</t>
  </si>
  <si>
    <t>G4730</t>
  </si>
  <si>
    <t>sitizuraidahhajisurani@yahoo.com</t>
  </si>
  <si>
    <t>0333921006</t>
  </si>
  <si>
    <t>PM-0920</t>
  </si>
  <si>
    <t>3000/115</t>
  </si>
  <si>
    <t>PS BATU 8 JALAN IPOH</t>
  </si>
  <si>
    <t>LOT 6209, BATU 8, JALAN IPOH,</t>
  </si>
  <si>
    <t xml:space="preserve">BATU CAVES, </t>
  </si>
  <si>
    <t>dasba.sdnbhd@gmail.com</t>
  </si>
  <si>
    <t>0361389126</t>
  </si>
  <si>
    <t>PM-0180</t>
  </si>
  <si>
    <t>3000/116</t>
  </si>
  <si>
    <t>PS BATU ANAM</t>
  </si>
  <si>
    <t>LOT PTB 813 HS (D) 46082,</t>
  </si>
  <si>
    <t>BANDAR BATU ANAM, SEGAMAT,</t>
  </si>
  <si>
    <t>ctansar@yahoo.com</t>
  </si>
  <si>
    <t>079498788</t>
  </si>
  <si>
    <t>PM-0848</t>
  </si>
  <si>
    <t>3000/117</t>
  </si>
  <si>
    <t>LOT PT1(351)</t>
  </si>
  <si>
    <t>BATU 5, BATU BERENDAM,</t>
  </si>
  <si>
    <t>IG12243258040</t>
  </si>
  <si>
    <t>PM-1009</t>
  </si>
  <si>
    <t>3000/118</t>
  </si>
  <si>
    <t>LOT 1870,MUKIM</t>
  </si>
  <si>
    <t>BATU BURUK</t>
  </si>
  <si>
    <t>KUALA TERENGGANU,</t>
  </si>
  <si>
    <t>IG 23714271060</t>
  </si>
  <si>
    <t>zhastationlegacy@gmail.com</t>
  </si>
  <si>
    <t>096233329</t>
  </si>
  <si>
    <t>PM-1021</t>
  </si>
  <si>
    <t>3000/091</t>
  </si>
  <si>
    <t>PS BANDAR TASEK MUTIARA</t>
  </si>
  <si>
    <t>1671, JALAN TASEK,</t>
  </si>
  <si>
    <t>BANDAR TASEK MUTIARA,</t>
  </si>
  <si>
    <t>cahayaimanstation@gmail.com</t>
  </si>
  <si>
    <t>045017800</t>
  </si>
  <si>
    <t>PM-0149</t>
  </si>
  <si>
    <t>3000/120</t>
  </si>
  <si>
    <t>LOT 15613</t>
  </si>
  <si>
    <t>TAMAN BATU GAJAH PERDANA,</t>
  </si>
  <si>
    <t>PUSING</t>
  </si>
  <si>
    <t>arianaservicestation@gmail.com</t>
  </si>
  <si>
    <t>045372570</t>
  </si>
  <si>
    <t>PM-0075</t>
  </si>
  <si>
    <t>3000/121</t>
  </si>
  <si>
    <t>PS BATU RAKIT</t>
  </si>
  <si>
    <t>LOT 6820, GM 89, GONG PAK JIN,</t>
  </si>
  <si>
    <t>MUKIM BATU RAKIT,</t>
  </si>
  <si>
    <t>gongdatoenterprise@yahoo.com.my</t>
  </si>
  <si>
    <t>0199624986</t>
  </si>
  <si>
    <t>PM-0283</t>
  </si>
  <si>
    <t>3000/119</t>
  </si>
  <si>
    <t>NO 1089 JLN</t>
  </si>
  <si>
    <t>BATU FERINGGI</t>
  </si>
  <si>
    <t xml:space="preserve">BATU FERINGGI, </t>
  </si>
  <si>
    <t>IG3746462000</t>
  </si>
  <si>
    <t>ahmadzulhaimi@gmail.com</t>
  </si>
  <si>
    <t>0194123300</t>
  </si>
  <si>
    <t>PM-0100</t>
  </si>
  <si>
    <t>3000/123</t>
  </si>
  <si>
    <t>LOT PTD 148135 HS(D)</t>
  </si>
  <si>
    <t>270889(NEW LOT NO.PTD</t>
  </si>
  <si>
    <t>173047),BAYU SENIBONG</t>
  </si>
  <si>
    <t>C26678000080</t>
  </si>
  <si>
    <t>bayusenibung01@gmail.com</t>
  </si>
  <si>
    <t>073861440</t>
  </si>
  <si>
    <t>PM-0649</t>
  </si>
  <si>
    <t>173047 - BUKAN POSTCODE</t>
  </si>
  <si>
    <t>3000/124</t>
  </si>
  <si>
    <t>PS BANDAR BARU NILAI</t>
  </si>
  <si>
    <t>LOT 9252 BANDAR BARU NILAI,</t>
  </si>
  <si>
    <t>MUKIM LABU, NILAI,</t>
  </si>
  <si>
    <t>manis_bbn@yahoo.com</t>
  </si>
  <si>
    <t>068502029</t>
  </si>
  <si>
    <t>PM-0870</t>
  </si>
  <si>
    <t>3000/125</t>
  </si>
  <si>
    <t>LOT PT 1987 HS(D)</t>
  </si>
  <si>
    <t>68108, LEBUH SPA,</t>
  </si>
  <si>
    <t>BANDAR BARU SUNGAI UDANG</t>
  </si>
  <si>
    <t>petro.mesra@gmail.com</t>
  </si>
  <si>
    <t>0136058784</t>
  </si>
  <si>
    <t>PM-0668</t>
  </si>
  <si>
    <t>3000/126</t>
  </si>
  <si>
    <t>PLOT 4,PTD74299</t>
  </si>
  <si>
    <t>KM 3, BANDAR PUTRA,</t>
  </si>
  <si>
    <t>MUKIM SENAI - KULAI</t>
  </si>
  <si>
    <t>petpro.enterprise@gmail.com</t>
  </si>
  <si>
    <t>075996836</t>
  </si>
  <si>
    <t>PM-0663</t>
  </si>
  <si>
    <t>3000/127</t>
  </si>
  <si>
    <t>PS BEHOR TEMAK</t>
  </si>
  <si>
    <t>LOT 1051 MUKIM SERIAP,</t>
  </si>
  <si>
    <t>BEHOR TEMAK,</t>
  </si>
  <si>
    <t>PERLIS</t>
  </si>
  <si>
    <t>01000</t>
  </si>
  <si>
    <t>kfjniaga@gmail.com</t>
  </si>
  <si>
    <t>049764339</t>
  </si>
  <si>
    <t>PM-0386</t>
  </si>
  <si>
    <t>3000/128</t>
  </si>
  <si>
    <t>PS BEHRANG 2020</t>
  </si>
  <si>
    <t>LOT 4553, BANDAR BEHRANG 2020,</t>
  </si>
  <si>
    <t>TANJUNG MALIM,</t>
  </si>
  <si>
    <t>salim96@yahoo.com</t>
  </si>
  <si>
    <t>054562112</t>
  </si>
  <si>
    <t>PM-0921</t>
  </si>
  <si>
    <t>3000/129</t>
  </si>
  <si>
    <t>PS BEMBAN JASIN</t>
  </si>
  <si>
    <t>LOT PT 1620, PEKAN BEMBAN,</t>
  </si>
  <si>
    <t>MUKIM AIR PANAS,</t>
  </si>
  <si>
    <t>zamripakiri@yahoo.com</t>
  </si>
  <si>
    <t>0196269590</t>
  </si>
  <si>
    <t>PM-0103</t>
  </si>
  <si>
    <t>3000/130</t>
  </si>
  <si>
    <t>PS BENDANG MORAK</t>
  </si>
  <si>
    <t>LOT 519, KG BENDANG MORAK,</t>
  </si>
  <si>
    <t>WAKAF KING,</t>
  </si>
  <si>
    <t>KELANTAN</t>
  </si>
  <si>
    <t>inurulhanim40@gmail.com</t>
  </si>
  <si>
    <t>0174455540</t>
  </si>
  <si>
    <t>PM-0928</t>
  </si>
  <si>
    <t>3000/131</t>
  </si>
  <si>
    <t>PS BENTONG REST AREA</t>
  </si>
  <si>
    <t>LOT 8207 MUKIM BENTONG,</t>
  </si>
  <si>
    <t>BENTONG</t>
  </si>
  <si>
    <t>IG 06051469080</t>
  </si>
  <si>
    <t>affandihillside@yahoo.com</t>
  </si>
  <si>
    <t>092330989</t>
  </si>
  <si>
    <t>PM-0016</t>
  </si>
  <si>
    <t>3000/132</t>
  </si>
  <si>
    <t>STESEN SERVIS PETRONAS</t>
  </si>
  <si>
    <t>LOT 237,</t>
  </si>
  <si>
    <t>MUKIM BENUT</t>
  </si>
  <si>
    <t>JM0075629-K</t>
  </si>
  <si>
    <t>OG0365392502CO</t>
  </si>
  <si>
    <t>W-10-1808-3100755</t>
  </si>
  <si>
    <t>0197102934</t>
  </si>
  <si>
    <t>PM-0923</t>
  </si>
  <si>
    <t>3000/122</t>
  </si>
  <si>
    <t>LOT 1241,JLN</t>
  </si>
  <si>
    <t>SG. NIBONG,BNDR BAYAN BARU</t>
  </si>
  <si>
    <t>BAYAN LEPAS,BARAT DAYA</t>
  </si>
  <si>
    <t>petroniaga_mesra@yahoo.com</t>
  </si>
  <si>
    <t>046432222</t>
  </si>
  <si>
    <t>PM-0686</t>
  </si>
  <si>
    <t>3000/134</t>
  </si>
  <si>
    <t>LOT 1050 BATU 4</t>
  </si>
  <si>
    <t>JALAN BESERAH,</t>
  </si>
  <si>
    <t>KUANTAN</t>
  </si>
  <si>
    <t>IG20647508100</t>
  </si>
  <si>
    <t>aznirul_84@yahoo.com</t>
  </si>
  <si>
    <t>0139866007</t>
  </si>
  <si>
    <t>PM-0054</t>
  </si>
  <si>
    <t>3000/135</t>
  </si>
  <si>
    <t>LOT 945</t>
  </si>
  <si>
    <t>JLN TAPAH,PEKAN BIDOR</t>
  </si>
  <si>
    <t>BIDOR</t>
  </si>
  <si>
    <t>IG 4054794091</t>
  </si>
  <si>
    <t>-</t>
  </si>
  <si>
    <t>aiykaizensynergy@yahoo.com</t>
  </si>
  <si>
    <t>0164545164</t>
  </si>
  <si>
    <t>PM-0028</t>
  </si>
  <si>
    <t>3000/136</t>
  </si>
  <si>
    <t>LOT 257,</t>
  </si>
  <si>
    <t>GM 1618,BATU 4,BINJAI</t>
  </si>
  <si>
    <t>KEMAMAN</t>
  </si>
  <si>
    <t>TERENGGANU</t>
  </si>
  <si>
    <t>psbinjai@yahoo.com</t>
  </si>
  <si>
    <t>0133573834</t>
  </si>
  <si>
    <t>PM-0466</t>
  </si>
  <si>
    <t>3000/133</t>
  </si>
  <si>
    <t>PS BERTAM PERDANA</t>
  </si>
  <si>
    <t>LOT 2081 &amp; 6163, MUKIM 6,</t>
  </si>
  <si>
    <t>BERTAM PERDANA, KEPALA BATAS,</t>
  </si>
  <si>
    <t>rbkbertam@yahoo.com</t>
  </si>
  <si>
    <t>045783093</t>
  </si>
  <si>
    <t>PM-0726</t>
  </si>
  <si>
    <t>3000/137</t>
  </si>
  <si>
    <t>PS BKE 1 (KULIM-BOUND)</t>
  </si>
  <si>
    <t>LOT 119 &amp; 123 MUKIM 4,</t>
  </si>
  <si>
    <t>LEBUHRAYA BUTTERWORTH-KULIM,</t>
  </si>
  <si>
    <t>IG11367569000</t>
  </si>
  <si>
    <t>faizdato@gmail.com</t>
  </si>
  <si>
    <t>043977282</t>
  </si>
  <si>
    <t>PM-1024</t>
  </si>
  <si>
    <t>3000/139</t>
  </si>
  <si>
    <t>LOT 545-552,</t>
  </si>
  <si>
    <t>JLN TUN SAMBANTHAN,</t>
  </si>
  <si>
    <t>BRICKFIELDS</t>
  </si>
  <si>
    <t>0322725250</t>
  </si>
  <si>
    <t>PM-0409</t>
  </si>
  <si>
    <t>3000/140</t>
  </si>
  <si>
    <t>LOT PT 719,</t>
  </si>
  <si>
    <t>JLN BESAR,PEKAN RINGLET</t>
  </si>
  <si>
    <t>CAMERON HIGHLANDS</t>
  </si>
  <si>
    <t>mayutrading@yahoo.com</t>
  </si>
  <si>
    <t>054912197</t>
  </si>
  <si>
    <t>PM-0504</t>
  </si>
  <si>
    <t>3000/141</t>
  </si>
  <si>
    <t>LOT 53,</t>
  </si>
  <si>
    <t>JLN BESAR,BRINCHANG</t>
  </si>
  <si>
    <t>054958918</t>
  </si>
  <si>
    <t>PM-0505</t>
  </si>
  <si>
    <t>3000/142</t>
  </si>
  <si>
    <t>PS BATU 22 KUALA BERANG</t>
  </si>
  <si>
    <t>LOT PT 10180 HS(M) 8195,</t>
  </si>
  <si>
    <t>BATU 22, MUKIM KUALA BERANG,</t>
  </si>
  <si>
    <t>tgapetrol@yahoo.com</t>
  </si>
  <si>
    <t>0193847701</t>
  </si>
  <si>
    <t>PM-0949</t>
  </si>
  <si>
    <t>3000/143</t>
  </si>
  <si>
    <t>PS BUKIT ANTARABANGSA</t>
  </si>
  <si>
    <t>LOT PT 3429, JALAN WANGSA 2,</t>
  </si>
  <si>
    <t>BUKIT ANTARABANGSA,</t>
  </si>
  <si>
    <t>E9021007903</t>
  </si>
  <si>
    <t>jneantara@yahoo.com</t>
  </si>
  <si>
    <t>0192208162</t>
  </si>
  <si>
    <t>PM-0351</t>
  </si>
  <si>
    <t>3000/144</t>
  </si>
  <si>
    <t>LOT PT 313,HS(D) 310</t>
  </si>
  <si>
    <t>PERSIMPANGAN</t>
  </si>
  <si>
    <t>JLN MAAROF 5,BANGSAR</t>
  </si>
  <si>
    <t>yusrazahir@gmail.com</t>
  </si>
  <si>
    <t>0320922977</t>
  </si>
  <si>
    <t>PM-0999</t>
  </si>
  <si>
    <t>3000/145</t>
  </si>
  <si>
    <t>PS BUKIT BARU 2</t>
  </si>
  <si>
    <t>LOT 347, JALAN BUKIT BARU,</t>
  </si>
  <si>
    <t>SEKSYEN III, BUKIT BARU,</t>
  </si>
  <si>
    <t xml:space="preserve"> IG21249081080</t>
  </si>
  <si>
    <t>Retail sale of automotive fuel in specialized stores</t>
  </si>
  <si>
    <t>badarisnz@yahoo.com</t>
  </si>
  <si>
    <t>062814676</t>
  </si>
  <si>
    <t>PM-0105</t>
  </si>
  <si>
    <t>3000/146</t>
  </si>
  <si>
    <t>PS BUKIT BELACHAN</t>
  </si>
  <si>
    <t>LOT PT 476 - 484,</t>
  </si>
  <si>
    <t>JLN BUKIT BELACAN, AMPANG,</t>
  </si>
  <si>
    <t>alsira77@yahoo.com</t>
  </si>
  <si>
    <t>0342515696</t>
  </si>
  <si>
    <t>PM-0842</t>
  </si>
  <si>
    <t>3000/147</t>
  </si>
  <si>
    <t>PS BUKIT BERUANG</t>
  </si>
  <si>
    <t>LOT 4157, BUKIT BERUANG,</t>
  </si>
  <si>
    <t>halimajj@yahoo.com</t>
  </si>
  <si>
    <t>062320944</t>
  </si>
  <si>
    <t>PM-0712</t>
  </si>
  <si>
    <t>3000/148</t>
  </si>
  <si>
    <t>LOT 10496,JLN KEMUNTING 1</t>
  </si>
  <si>
    <t>BNDR BUKIT BERUNTUNG</t>
  </si>
  <si>
    <t>MUKIM SERENDAH,ULU SELANGOR</t>
  </si>
  <si>
    <t>IG5040816100</t>
  </si>
  <si>
    <t>actgreen.stn@gmail.com</t>
  </si>
  <si>
    <t>0360211889</t>
  </si>
  <si>
    <t>PM-0010</t>
  </si>
  <si>
    <t>3000/149</t>
  </si>
  <si>
    <t>PS BUKIT CHANGGANG</t>
  </si>
  <si>
    <t>NO. PT 14588, TAMAN D'MENARA,</t>
  </si>
  <si>
    <t>BUKIT CHANGGANG, BANTING,</t>
  </si>
  <si>
    <t>norliana_rosli84@yahoo.com</t>
  </si>
  <si>
    <t>0127706724</t>
  </si>
  <si>
    <t>PM-0187</t>
  </si>
  <si>
    <t>3000/150</t>
  </si>
  <si>
    <t>LOT 2177</t>
  </si>
  <si>
    <t>JLN BESAR,BUKIT GAMBIR</t>
  </si>
  <si>
    <t>JOHOR BAHRU</t>
  </si>
  <si>
    <t>IG20870787050</t>
  </si>
  <si>
    <t>petrocityii@gmail.com</t>
  </si>
  <si>
    <t>0126049366</t>
  </si>
  <si>
    <t>PM-0665</t>
  </si>
  <si>
    <t>3000/151</t>
  </si>
  <si>
    <t>PS BUKIT INDAH 1</t>
  </si>
  <si>
    <t>LOT 2595, BUKIT INDAH 1,</t>
  </si>
  <si>
    <t>sisindah@yahoo.co.uk</t>
  </si>
  <si>
    <t>072242628</t>
  </si>
  <si>
    <t>PM-0812</t>
  </si>
  <si>
    <t>3000/152</t>
  </si>
  <si>
    <t>PLAZA TOL SHAH ALAM</t>
  </si>
  <si>
    <t>ELITE HIGHWAY-BUKIT JELUTONG</t>
  </si>
  <si>
    <t>SEKSYEN U8,SHAH ALAM</t>
  </si>
  <si>
    <t>IG3288595040</t>
  </si>
  <si>
    <t>elitelayby@gmail.com</t>
  </si>
  <si>
    <t>0378421084</t>
  </si>
  <si>
    <t>PM-0762</t>
  </si>
  <si>
    <t>3000/153</t>
  </si>
  <si>
    <t>LOT PT 30147 HS (D)</t>
  </si>
  <si>
    <t>188900RESIDENTIAL) PARCEL K</t>
  </si>
  <si>
    <t>BUKIT JELUTONG,PETALING</t>
  </si>
  <si>
    <t>muhammadrzulhilmi@gmail.com</t>
  </si>
  <si>
    <t>0378469616</t>
  </si>
  <si>
    <t>PM-0894</t>
  </si>
  <si>
    <t>3000/154</t>
  </si>
  <si>
    <t>PS BUKIT KATIL</t>
  </si>
  <si>
    <t>LOT 4985, JLN TUN HAMZAH,</t>
  </si>
  <si>
    <t>MUKIM BUKIT KATIL,</t>
  </si>
  <si>
    <t>pssbukitkatil@gmail.com</t>
  </si>
  <si>
    <t>0163849090</t>
  </si>
  <si>
    <t>PM-0222</t>
  </si>
  <si>
    <t>3000/155</t>
  </si>
  <si>
    <t>PT 2827&amp;2828</t>
  </si>
  <si>
    <t>STESEN MINYAK PETRONAS,MUKIM</t>
  </si>
  <si>
    <t>SUNGAILAKA,BUKIT KAYU HITAM</t>
  </si>
  <si>
    <t>06050</t>
  </si>
  <si>
    <t>pssbukitkayuhitam@gmail.com</t>
  </si>
  <si>
    <t>049222262</t>
  </si>
  <si>
    <t>PM-0582</t>
  </si>
  <si>
    <t>3000/156</t>
  </si>
  <si>
    <t>LOT 9492</t>
  </si>
  <si>
    <t>NO 2,JLN BUKIT KEMPAS 1/5</t>
  </si>
  <si>
    <t>TMN BUKIT KEMPAS,JB</t>
  </si>
  <si>
    <t>pss_bukitkempas@yahoo.com</t>
  </si>
  <si>
    <t>0193326492</t>
  </si>
  <si>
    <t>PM-0382</t>
  </si>
  <si>
    <t>3000/157</t>
  </si>
  <si>
    <t>LOT 4 GM 2243</t>
  </si>
  <si>
    <t>JLN BUKIT KEMUNING</t>
  </si>
  <si>
    <t>sramaju@yahoo.com.my</t>
  </si>
  <si>
    <t>0378467354</t>
  </si>
  <si>
    <t>PM-0832</t>
  </si>
  <si>
    <t>3000/138</t>
  </si>
  <si>
    <t>LOT NO 3167,L/RAYA</t>
  </si>
  <si>
    <t>BUTTERWORTH-KULIM,SEBERANG</t>
  </si>
  <si>
    <t>JAYA,SEBRNG PERAI UTARA</t>
  </si>
  <si>
    <t>nazatulnura@yahoo.com</t>
  </si>
  <si>
    <t>0143999590</t>
  </si>
  <si>
    <t>PM-0602</t>
  </si>
  <si>
    <t>3000/159</t>
  </si>
  <si>
    <t>PS BUKIT NANDING</t>
  </si>
  <si>
    <t>BATU 121/2  BUKIT NANDING,</t>
  </si>
  <si>
    <t>IG 5024427020</t>
  </si>
  <si>
    <t>lemyra13@gmail.com</t>
  </si>
  <si>
    <t>0390217930</t>
  </si>
  <si>
    <t>PM-0465</t>
  </si>
  <si>
    <t>3000/160</t>
  </si>
  <si>
    <t>LOT 52310</t>
  </si>
  <si>
    <t>KG. PADANG MENKUANG</t>
  </si>
  <si>
    <t>BUKIT PAYUNG</t>
  </si>
  <si>
    <t>IG 20199150000</t>
  </si>
  <si>
    <t>nasmaharaenterprise@gmail.com</t>
  </si>
  <si>
    <t>0193072825</t>
  </si>
  <si>
    <t>PM-0587</t>
  </si>
  <si>
    <t>3000/161</t>
  </si>
  <si>
    <t>PS BUKIT PELALI</t>
  </si>
  <si>
    <t>PT 5985, HS(D) 36895,</t>
  </si>
  <si>
    <t>MUKIM PENGERANG, KOTA TINGGI,</t>
  </si>
  <si>
    <t>zahraelliyana74@gmail.com</t>
  </si>
  <si>
    <t>0198193117</t>
  </si>
  <si>
    <t>PM-0323</t>
  </si>
  <si>
    <t>3000/162</t>
  </si>
  <si>
    <t>LOT 27,SEK.36, BANDAR KUANTAN</t>
  </si>
  <si>
    <t>LOT LAMA PART OF LOT PT105104</t>
  </si>
  <si>
    <t>MUKIM BNDR KUANTAN</t>
  </si>
  <si>
    <t>mrwarikh@yahoo.com</t>
  </si>
  <si>
    <t>0123431969</t>
  </si>
  <si>
    <t>PM-0252</t>
  </si>
  <si>
    <t>3000/163</t>
  </si>
  <si>
    <t>LOT PT 33428</t>
  </si>
  <si>
    <t>GRN 41170,PEKAN BARU</t>
  </si>
  <si>
    <t>SG BULUH, JLN BUKIT RAHMAN</t>
  </si>
  <si>
    <t>luckypetrol@gmail.com</t>
  </si>
  <si>
    <t>0361418880</t>
  </si>
  <si>
    <t>PM-0491</t>
  </si>
  <si>
    <t>3000/164</t>
  </si>
  <si>
    <t>LOT PT 4588 HS(D)</t>
  </si>
  <si>
    <t>163079,BUKIT SUBANG,MUKIM</t>
  </si>
  <si>
    <t>DAMANSARA,DAERAH PETALING</t>
  </si>
  <si>
    <t>IG1266429040</t>
  </si>
  <si>
    <t>mazafresources@yahoo.com</t>
  </si>
  <si>
    <t>0377345433</t>
  </si>
  <si>
    <t>PM-0508</t>
  </si>
  <si>
    <t>3000/165</t>
  </si>
  <si>
    <t>PS BUKIT UBI</t>
  </si>
  <si>
    <t>LOT PT 38976, HSD 15121,</t>
  </si>
  <si>
    <t>JALAN BUKIT UBI,</t>
  </si>
  <si>
    <t>linorizq@gmail.com</t>
  </si>
  <si>
    <t>0199829792</t>
  </si>
  <si>
    <t>PM-0472</t>
  </si>
  <si>
    <t>3000/166</t>
  </si>
  <si>
    <t>PS CHAAH</t>
  </si>
  <si>
    <t>LOT PTD 2052, MUKIM CHAAH,</t>
  </si>
  <si>
    <t>SEGAMAT</t>
  </si>
  <si>
    <t>ptrns.chah@felda.net.my</t>
  </si>
  <si>
    <t>079264669</t>
  </si>
  <si>
    <t>PM-0447</t>
  </si>
  <si>
    <t>3000/158</t>
  </si>
  <si>
    <t>LOT 227 HS(D) 3691,MUKIM</t>
  </si>
  <si>
    <t>11,JLN BUKIT TENGAH,BUKIT</t>
  </si>
  <si>
    <t>MERTAJAM,SEBERANG PERAI TENGAH</t>
  </si>
  <si>
    <t>rbas91@yahoo.com</t>
  </si>
  <si>
    <t>045011565</t>
  </si>
  <si>
    <t>PM-0462</t>
  </si>
  <si>
    <t>3000/168</t>
  </si>
  <si>
    <t>PS CHANGKAT CERMIN</t>
  </si>
  <si>
    <t>LOT 8708 GM 2899 SUAK SEDONAN,</t>
  </si>
  <si>
    <t>MUKIM BOTA (TITI GANTUNG),</t>
  </si>
  <si>
    <t>petronas_zam@yahoo.com</t>
  </si>
  <si>
    <t>053762126</t>
  </si>
  <si>
    <t>PM-0050</t>
  </si>
  <si>
    <t>3000/169</t>
  </si>
  <si>
    <t>LOT 7338,GM 1237,</t>
  </si>
  <si>
    <t>SUNGAI NIBONG,MUKIM DURIAN</t>
  </si>
  <si>
    <t>SEBATANG,DAERAH HILIR PERAK</t>
  </si>
  <si>
    <t>C59737077100</t>
  </si>
  <si>
    <t>ganpopular@yahoo.com</t>
  </si>
  <si>
    <t>056251633</t>
  </si>
  <si>
    <t>PM-0874</t>
  </si>
  <si>
    <t>3000/170</t>
  </si>
  <si>
    <t>LOT 1993</t>
  </si>
  <si>
    <t>PEKAN LAMA CHANGLOON</t>
  </si>
  <si>
    <t>KUBANG PASU</t>
  </si>
  <si>
    <t>06010</t>
  </si>
  <si>
    <t>psschanglun@gmail.com</t>
  </si>
  <si>
    <t>049241488</t>
  </si>
  <si>
    <t>PM-0708</t>
  </si>
  <si>
    <t>3000/171</t>
  </si>
  <si>
    <t>LOT PT 3232</t>
  </si>
  <si>
    <t>KAMPUNG MESJID BESAR</t>
  </si>
  <si>
    <t>MUKIM CHENDERING</t>
  </si>
  <si>
    <t>tgzamzuri1001@yahoo.com.my</t>
  </si>
  <si>
    <t>0199691001</t>
  </si>
  <si>
    <t>PM-0950</t>
  </si>
  <si>
    <t>3000/172</t>
  </si>
  <si>
    <t>PS CHENG</t>
  </si>
  <si>
    <t>LOT 858, MUKIM CHENG,</t>
  </si>
  <si>
    <t>IG20750611060</t>
  </si>
  <si>
    <t>petromex84@gmail.com</t>
  </si>
  <si>
    <t>0193368070</t>
  </si>
  <si>
    <t>PM-0676</t>
  </si>
  <si>
    <t>3000/173</t>
  </si>
  <si>
    <t>PS CHERAS PERDANA</t>
  </si>
  <si>
    <t>LOT 21854 (PT 16292)</t>
  </si>
  <si>
    <t>TAMAN CHERAS PERDANA, CHERAS,</t>
  </si>
  <si>
    <t>anfal.psscp@gmail.com</t>
  </si>
  <si>
    <t>0139180424</t>
  </si>
  <si>
    <t>PM-0061</t>
  </si>
  <si>
    <t>3000/174</t>
  </si>
  <si>
    <t>PS KAMPUNG BARU SUBANG</t>
  </si>
  <si>
    <t>LOT 4029, JALAN 1 D,</t>
  </si>
  <si>
    <t>KG BAHARU SUBANG,</t>
  </si>
  <si>
    <t>renergyenterprise@gmail.com</t>
  </si>
  <si>
    <t>0122158351</t>
  </si>
  <si>
    <t>PM-0730</t>
  </si>
  <si>
    <t>3000/175</t>
  </si>
  <si>
    <t>PT 6726, HSM 1836,</t>
  </si>
  <si>
    <t xml:space="preserve"> JALAN GURUN, JENIANG</t>
  </si>
  <si>
    <t>MUKIM PADANG LEMBU</t>
  </si>
  <si>
    <t>08300</t>
  </si>
  <si>
    <t>petronas.nadi.oasis.gurun@gmail.com</t>
  </si>
  <si>
    <t>PM-0577</t>
  </si>
  <si>
    <t>3000/176</t>
  </si>
  <si>
    <t>LOT 3132&amp;GM 197</t>
  </si>
  <si>
    <t>LOT 790 KAMPONG</t>
  </si>
  <si>
    <t>JELAWAT,MUKIM RUSA,BACHOK</t>
  </si>
  <si>
    <t>nikharis@hotmail.com</t>
  </si>
  <si>
    <t>0129086348</t>
  </si>
  <si>
    <t>PM-0359</t>
  </si>
  <si>
    <t>3000/177</t>
  </si>
  <si>
    <t>LOT PT 3491 HS(M)</t>
  </si>
  <si>
    <t>1307 KG KEDAH</t>
  </si>
  <si>
    <t>MUKIM PARIT BUNTAR, KERIAN</t>
  </si>
  <si>
    <t>IG3727760100</t>
  </si>
  <si>
    <t>pkk_pb3793@yahoo.com.my</t>
  </si>
  <si>
    <t>0194261592</t>
  </si>
  <si>
    <t>PM-0213</t>
  </si>
  <si>
    <t>3000/178</t>
  </si>
  <si>
    <t>LOT 305121</t>
  </si>
  <si>
    <t>(PT 15978),MUKIM SUNGAI</t>
  </si>
  <si>
    <t>RAYA,KAMPUNG KEPAYANG</t>
  </si>
  <si>
    <t>johannasser25@gmail.com</t>
  </si>
  <si>
    <t>PM-0365</t>
  </si>
  <si>
    <t>3000/179</t>
  </si>
  <si>
    <t>PS KAMUNTING</t>
  </si>
  <si>
    <t>NO.1, JALAN KAMUNTING,</t>
  </si>
  <si>
    <t>KAMUNTING</t>
  </si>
  <si>
    <t>C25348051050</t>
  </si>
  <si>
    <t>nplpetroleumtrading@gmail.com</t>
  </si>
  <si>
    <t>0123676321</t>
  </si>
  <si>
    <t>PM-0609</t>
  </si>
  <si>
    <t>3000/180</t>
  </si>
  <si>
    <t>LOT 1145 HS(M)</t>
  </si>
  <si>
    <t>2053,KM 2 JALAN BANTING</t>
  </si>
  <si>
    <t>MORIB,MUKIM KLANANG,BANTING</t>
  </si>
  <si>
    <t>wawasankd@gmail.com</t>
  </si>
  <si>
    <t>0331875622</t>
  </si>
  <si>
    <t>PM-0984</t>
  </si>
  <si>
    <t>3000/181</t>
  </si>
  <si>
    <t>LOT 57709</t>
  </si>
  <si>
    <t>MUKIM PULAI,KM 25.6 JLN</t>
  </si>
  <si>
    <t>JOHOR- BAHRU-PONTIAN</t>
  </si>
  <si>
    <t>IG567992030</t>
  </si>
  <si>
    <t>aanazizenterprise@gmail.com</t>
  </si>
  <si>
    <t>075274344</t>
  </si>
  <si>
    <t>PM-0005</t>
  </si>
  <si>
    <t>3000/182</t>
  </si>
  <si>
    <t>LOT PT 623</t>
  </si>
  <si>
    <t>KAWASAN PERINDUSTRIAN PNGKLN</t>
  </si>
  <si>
    <t>CHEPA ,JLN PADANG TEMBAK</t>
  </si>
  <si>
    <t>iskandar.afian@gmail.com</t>
  </si>
  <si>
    <t>0129889082</t>
  </si>
  <si>
    <t>PM-0967</t>
  </si>
  <si>
    <t>3000/183</t>
  </si>
  <si>
    <t>PS CHERATING (EAST 2)</t>
  </si>
  <si>
    <t>LOT 1283, MUKIM SUNGAI KARANG,</t>
  </si>
  <si>
    <t>CHERATING,KUANTAN</t>
  </si>
  <si>
    <t>psscherating@gmail.com</t>
  </si>
  <si>
    <t>095819037</t>
  </si>
  <si>
    <t>PM-0244</t>
  </si>
  <si>
    <t>3000/167</t>
  </si>
  <si>
    <t>LOT 6364</t>
  </si>
  <si>
    <t>MUKIM 1,DAERAH SEBERANG PERAI</t>
  </si>
  <si>
    <t>SEBERANG PERAI TENGAH</t>
  </si>
  <si>
    <t>ptrns.chailengpark@felda.net.my</t>
  </si>
  <si>
    <t>0132558499</t>
  </si>
  <si>
    <t>PM-0440</t>
  </si>
  <si>
    <t>3000/185</t>
  </si>
  <si>
    <t>PT 6913 HSM</t>
  </si>
  <si>
    <t>4815 KG BETING CHETOK</t>
  </si>
  <si>
    <t>MUKIM CHETOK,PASIR MAS</t>
  </si>
  <si>
    <t>SG 12056006-02(0)</t>
  </si>
  <si>
    <t>petronaschetok@gmail.com</t>
  </si>
  <si>
    <t>0132067772</t>
  </si>
  <si>
    <t>PM-0182</t>
  </si>
  <si>
    <t>3000/186</t>
  </si>
  <si>
    <t>PS CHICA ARAH PASIR PUTEH</t>
  </si>
  <si>
    <t>LOT 1992 &amp; 723, MUKIM CHICA,</t>
  </si>
  <si>
    <t>KUBANG KERIAN,</t>
  </si>
  <si>
    <t>nazfieza72232@gmail.com</t>
  </si>
  <si>
    <t>0199809050</t>
  </si>
  <si>
    <t>PM-0855</t>
  </si>
  <si>
    <t>3000/187</t>
  </si>
  <si>
    <t>PS COCHRANE PERKASA (CENTRAL2)</t>
  </si>
  <si>
    <t>LOT 1246, JALAN COCHRANE,</t>
  </si>
  <si>
    <t xml:space="preserve">MUKIM AMPANG, </t>
  </si>
  <si>
    <t>IG 3333387040</t>
  </si>
  <si>
    <t>diasentiasa@gmail.com</t>
  </si>
  <si>
    <t>0123517455</t>
  </si>
  <si>
    <t>PM-0189</t>
  </si>
  <si>
    <t>3000/188</t>
  </si>
  <si>
    <t>LOT PT 12099</t>
  </si>
  <si>
    <t>HS (D) 7085, SITE 1A,</t>
  </si>
  <si>
    <t>CYBERJAYA, DENGKIL</t>
  </si>
  <si>
    <t>IG54804371000</t>
  </si>
  <si>
    <t>arafoil2017@gmail.com</t>
  </si>
  <si>
    <t>0389221178</t>
  </si>
  <si>
    <t>PM-0072</t>
  </si>
  <si>
    <t>3000/189</t>
  </si>
  <si>
    <t>LOT PT 2277</t>
  </si>
  <si>
    <t>D'AMBANG KOTA LUKUT</t>
  </si>
  <si>
    <t>PORT DICKSON</t>
  </si>
  <si>
    <t>osmanlukut62@yahoo.com</t>
  </si>
  <si>
    <t>0136839279</t>
  </si>
  <si>
    <t>PM-0963</t>
  </si>
  <si>
    <t>3000/190</t>
  </si>
  <si>
    <t>LOT 1557 BANDAR BARU</t>
  </si>
  <si>
    <t>DAMAI PERDANA</t>
  </si>
  <si>
    <t>CHERAS,ULU LANGAT</t>
  </si>
  <si>
    <t>enolils@hotmail.com</t>
  </si>
  <si>
    <t>0391001250</t>
  </si>
  <si>
    <t>PM-0064</t>
  </si>
  <si>
    <t>3000/191</t>
  </si>
  <si>
    <t>LOT PTD 104981 HS(D)</t>
  </si>
  <si>
    <t>351223,TMN DAMANSARA</t>
  </si>
  <si>
    <t>C25432785000</t>
  </si>
  <si>
    <t>ptrns.damansaraalif@felda.net.my</t>
  </si>
  <si>
    <t>0127167444</t>
  </si>
  <si>
    <t>PM-0448</t>
  </si>
  <si>
    <t>3000/192</t>
  </si>
  <si>
    <t>351223,TMN DAMANSARA ALIF,JLN</t>
  </si>
  <si>
    <t>TAMPOI,JB</t>
  </si>
  <si>
    <t>PM-0449</t>
  </si>
  <si>
    <t>3000/193</t>
  </si>
  <si>
    <t>LOT PT 36235</t>
  </si>
  <si>
    <t>DAMANSARA DAMAI</t>
  </si>
  <si>
    <t xml:space="preserve">PETALING, </t>
  </si>
  <si>
    <t>mohzani1973@yahoo.com</t>
  </si>
  <si>
    <t>0361561896</t>
  </si>
  <si>
    <t>PM-0173</t>
  </si>
  <si>
    <t>3000/194</t>
  </si>
  <si>
    <t>PS DAMANSARA JAYA 1 (CENTRAL1)</t>
  </si>
  <si>
    <t>LOT 8629, JALAN SS 22/41,</t>
  </si>
  <si>
    <t>DAMANSARA JAYA,</t>
  </si>
  <si>
    <t>IG10905771060</t>
  </si>
  <si>
    <t>0377276899</t>
  </si>
  <si>
    <t>PM-0953</t>
  </si>
  <si>
    <t>3000/195</t>
  </si>
  <si>
    <t>LOT 10068,JLN</t>
  </si>
  <si>
    <t>SS 22/4,DAMANSARA</t>
  </si>
  <si>
    <t>PETALING JAYA,</t>
  </si>
  <si>
    <t>IG5115285010</t>
  </si>
  <si>
    <t>asmarzainal@yahoo.com</t>
  </si>
  <si>
    <t>0377280680</t>
  </si>
  <si>
    <t>PM-0095</t>
  </si>
  <si>
    <t>3000/196</t>
  </si>
  <si>
    <t>D/A POLITEKNIK MERLIMAU,</t>
  </si>
  <si>
    <t>KM 26 JALAN JASIN,</t>
  </si>
  <si>
    <t>MERLIMAU</t>
  </si>
  <si>
    <t>0193805328</t>
  </si>
  <si>
    <t>SM-0251</t>
  </si>
  <si>
    <t>3000/197</t>
  </si>
  <si>
    <t>PETRONAS DATARAN</t>
  </si>
  <si>
    <t>KUALA KUBU BHARU</t>
  </si>
  <si>
    <t>JLN KUALA KUBU BHARU</t>
  </si>
  <si>
    <t>dasbadatarankkb@gmail.com</t>
  </si>
  <si>
    <t>0193574253</t>
  </si>
  <si>
    <t>PM-0179</t>
  </si>
  <si>
    <t>3000/198</t>
  </si>
  <si>
    <t>LOT 3169,JLN</t>
  </si>
  <si>
    <t>DATO KUMBAR,ALOR SETAR</t>
  </si>
  <si>
    <t xml:space="preserve">KOTA SETAR, </t>
  </si>
  <si>
    <t>05300</t>
  </si>
  <si>
    <t>ismadmar@gmail.com</t>
  </si>
  <si>
    <t>0194410664</t>
  </si>
  <si>
    <t>PM-0905</t>
  </si>
  <si>
    <t>3000/199</t>
  </si>
  <si>
    <t>PS DENGKIL (CENTRAL 3)</t>
  </si>
  <si>
    <t>LOT 270, JALAN AIR HITAM,</t>
  </si>
  <si>
    <t xml:space="preserve">DENGKIL, </t>
  </si>
  <si>
    <t>petronasdengkil@gmail.com</t>
  </si>
  <si>
    <t>01164216980</t>
  </si>
  <si>
    <t>PM-0767</t>
  </si>
  <si>
    <t>3000/200</t>
  </si>
  <si>
    <t>LOT 4003/4 JLN</t>
  </si>
  <si>
    <t>TANJONG BENDAHARA</t>
  </si>
  <si>
    <t>MUKIM DERGA,ALOR SETAR</t>
  </si>
  <si>
    <t>mafaz_petro@yahoo.com</t>
  </si>
  <si>
    <t>0194722766</t>
  </si>
  <si>
    <t>PM-0484</t>
  </si>
  <si>
    <t>3000/201</t>
  </si>
  <si>
    <t>LOT PTD 177201</t>
  </si>
  <si>
    <t>TMN DESA CEMERLANG</t>
  </si>
  <si>
    <t>MUKIM PLENTONG, JB</t>
  </si>
  <si>
    <t>marizqent@gmail.com</t>
  </si>
  <si>
    <t>078613837</t>
  </si>
  <si>
    <t>PM-0172</t>
  </si>
  <si>
    <t>3000/202</t>
  </si>
  <si>
    <t>JLOT PT 621 HS(D)</t>
  </si>
  <si>
    <t>173396 DESA MENTARI,JLN</t>
  </si>
  <si>
    <t>KELANG LAMA,MUKIM PETALING</t>
  </si>
  <si>
    <t>desamentari@yahoo.com</t>
  </si>
  <si>
    <t>0378770712</t>
  </si>
  <si>
    <t>PM-0372</t>
  </si>
  <si>
    <t>3000/203</t>
  </si>
  <si>
    <t>LOT PT21</t>
  </si>
  <si>
    <t>HS (D) 4976</t>
  </si>
  <si>
    <t>MUKIM AMPANG</t>
  </si>
  <si>
    <t>samsenafi@yahoo.com</t>
  </si>
  <si>
    <t>0122128294</t>
  </si>
  <si>
    <t>PM-0778</t>
  </si>
  <si>
    <t>3000/204</t>
  </si>
  <si>
    <t>LOT PTB 805,BNDR</t>
  </si>
  <si>
    <t>PENAWAR,DESARU,JOHOR</t>
  </si>
  <si>
    <t xml:space="preserve">KOTA TINGGI, </t>
  </si>
  <si>
    <t>pssdesaru@gmail.com</t>
  </si>
  <si>
    <t>078222118</t>
  </si>
  <si>
    <t>PM-0422</t>
  </si>
  <si>
    <t>3000/205</t>
  </si>
  <si>
    <t>PS DATUK KUMBAR</t>
  </si>
  <si>
    <t>LOT 3169 JALAN DATUK KUMBAR,</t>
  </si>
  <si>
    <t xml:space="preserve">ALOR SETAR </t>
  </si>
  <si>
    <t>PM-0865</t>
  </si>
  <si>
    <t>3000/206</t>
  </si>
  <si>
    <t>LOT PT 114</t>
  </si>
  <si>
    <t>BNDR BARU DURIAN MAS</t>
  </si>
  <si>
    <t>DUNGUN</t>
  </si>
  <si>
    <t>C2863809030</t>
  </si>
  <si>
    <t>pdt292@gmail.com</t>
  </si>
  <si>
    <t>065533054</t>
  </si>
  <si>
    <t>PM-0385</t>
  </si>
  <si>
    <t>3000/207</t>
  </si>
  <si>
    <t>PS DURIAN TAWAR (EAST 2)</t>
  </si>
  <si>
    <t>LOT 2114, MK TRIANG,</t>
  </si>
  <si>
    <t>BERA</t>
  </si>
  <si>
    <t>zack1968@live.com</t>
  </si>
  <si>
    <t>0139329580</t>
  </si>
  <si>
    <t>PM-0656</t>
  </si>
  <si>
    <t>3000/208</t>
  </si>
  <si>
    <t>PT 4 KM 16</t>
  </si>
  <si>
    <t>PEKN DURIAN TUNGGAL</t>
  </si>
  <si>
    <t>ALOR GAJAH</t>
  </si>
  <si>
    <t>IG22786177090</t>
  </si>
  <si>
    <t>0193047722</t>
  </si>
  <si>
    <t>PM-0856</t>
  </si>
  <si>
    <t>3000/209</t>
  </si>
  <si>
    <t>LOT PT 8060</t>
  </si>
  <si>
    <t>L/RAYA HUBUNGAN TIMUR BARAT</t>
  </si>
  <si>
    <t>(CONNAUGHT H/WAY),CHERAS</t>
  </si>
  <si>
    <t>samsulsaim@gmail.com</t>
  </si>
  <si>
    <t>0133652541</t>
  </si>
  <si>
    <t>PM-0974</t>
  </si>
  <si>
    <t>3000/210</t>
  </si>
  <si>
    <t>LOT 43653</t>
  </si>
  <si>
    <t>JALAN ECO MAJESTIC 9/1C</t>
  </si>
  <si>
    <t>ECO MAJESTIC,SEMENYIH</t>
  </si>
  <si>
    <t>emavenue@platform.com.my</t>
  </si>
  <si>
    <t>0122111851</t>
  </si>
  <si>
    <t>PM-0210</t>
  </si>
  <si>
    <t>3000/211</t>
  </si>
  <si>
    <t>CH 22600,R&amp;R DENGKIL</t>
  </si>
  <si>
    <t>L/RAYA UTARA-SELATAN</t>
  </si>
  <si>
    <t>HUBUNGAN TENGAH</t>
  </si>
  <si>
    <t>warisanelite@gmail.com</t>
  </si>
  <si>
    <t>0193374896</t>
  </si>
  <si>
    <t>PM-0977</t>
  </si>
  <si>
    <t>3000/212</t>
  </si>
  <si>
    <t>LOT 53391</t>
  </si>
  <si>
    <t>PN 7404 TAMAN EQUINE</t>
  </si>
  <si>
    <t>MUKIM PETALING</t>
  </si>
  <si>
    <t>kejayaanteguh58@gmail.com</t>
  </si>
  <si>
    <t>0122064229</t>
  </si>
  <si>
    <t>PM-0380</t>
  </si>
  <si>
    <t>3000/213</t>
  </si>
  <si>
    <t>KM 8.6-KM 8.7,SEKSYEN 1</t>
  </si>
  <si>
    <t>LEBUH RAYA PERSEKUTUAN</t>
  </si>
  <si>
    <t>SHAH ALAM,PETALING</t>
  </si>
  <si>
    <t>mohdsukor_sumarjan@yahoo.com</t>
  </si>
  <si>
    <t>0355138773</t>
  </si>
  <si>
    <t>PM-0460</t>
  </si>
  <si>
    <t>3000/214</t>
  </si>
  <si>
    <t>KM 12.3 L/RAYA</t>
  </si>
  <si>
    <t>PERSEKUTUAN ARAH KLANG</t>
  </si>
  <si>
    <t>SEKSYEN 15,SHAH ALAM</t>
  </si>
  <si>
    <t>dziyafauzi@hotmail.com</t>
  </si>
  <si>
    <t>0162639492</t>
  </si>
  <si>
    <t>PM-0204</t>
  </si>
  <si>
    <t>3000/215</t>
  </si>
  <si>
    <t>PS FELDA CHINI 1 (EAST 2)</t>
  </si>
  <si>
    <t>WAKIL POS BANDAR 1,</t>
  </si>
  <si>
    <t>rafidah.chini1@gmail.com</t>
  </si>
  <si>
    <t>094566206</t>
  </si>
  <si>
    <t>PM-0428</t>
  </si>
  <si>
    <t>3000/216</t>
  </si>
  <si>
    <t>FELDA KECHAU 01</t>
  </si>
  <si>
    <t>PADANG TENGKU</t>
  </si>
  <si>
    <t xml:space="preserve">LIPIS, </t>
  </si>
  <si>
    <t>petronaskechau@gmail.com</t>
  </si>
  <si>
    <t>0199217525</t>
  </si>
  <si>
    <t>PM-0441</t>
  </si>
  <si>
    <t>3000/217</t>
  </si>
  <si>
    <t>PS FELDA KERTEH 1 (EAST 1)</t>
  </si>
  <si>
    <t>LOT PT 335, MUKIM RASAU,</t>
  </si>
  <si>
    <t>BANDAR BARU KETENGAH JAYA,</t>
  </si>
  <si>
    <t>smkopfk1@yahoo.com</t>
  </si>
  <si>
    <t>098200404</t>
  </si>
  <si>
    <t>PM-0402</t>
  </si>
  <si>
    <t>3000/218</t>
  </si>
  <si>
    <t>PS FELDA LEPAR UTARA 2 (EAST2)</t>
  </si>
  <si>
    <t>FELDA UTARA 4, JERANTUT,</t>
  </si>
  <si>
    <t>JERANTUT</t>
  </si>
  <si>
    <t>ptrns.leparutara02@gmail.com</t>
  </si>
  <si>
    <t>094718308</t>
  </si>
  <si>
    <t>PM-0443</t>
  </si>
  <si>
    <t>3000/219</t>
  </si>
  <si>
    <t>PS FELDA LEPAR UTARA 3 (EAST2)</t>
  </si>
  <si>
    <t>FELDA UTARA 3, JALAN UTAMA</t>
  </si>
  <si>
    <t>JENGKA UTARA - TIMUR, JENGKA,</t>
  </si>
  <si>
    <t>ptrns.leparutara03@gmail.com</t>
  </si>
  <si>
    <t>0179852557</t>
  </si>
  <si>
    <t>PM-0444</t>
  </si>
  <si>
    <t>3000/220</t>
  </si>
  <si>
    <t>PS FELDA MEMPAGA 3 (EAST 2)</t>
  </si>
  <si>
    <t>PT 1498 SEKSYEN 16,</t>
  </si>
  <si>
    <t>JALAN UTAMA MEMPAGA,</t>
  </si>
  <si>
    <t>psmempaga3.bhd@yahoo.com</t>
  </si>
  <si>
    <t>01112199194</t>
  </si>
  <si>
    <t>PM-0403</t>
  </si>
  <si>
    <t>3000/221</t>
  </si>
  <si>
    <t>PERBADANAN NIAGA FELDA</t>
  </si>
  <si>
    <t>FELDA PALONG TIMUR 1</t>
  </si>
  <si>
    <t>BATU ANAM,SEGAMAT</t>
  </si>
  <si>
    <t>ptrns.palongtimur@gmail.com</t>
  </si>
  <si>
    <t>01118588903</t>
  </si>
  <si>
    <t>PM-0442</t>
  </si>
  <si>
    <t>3000/222</t>
  </si>
  <si>
    <t>R&amp;R GAMBANG(ARAH BARAT)</t>
  </si>
  <si>
    <t>L/RAYA PANTAI TIMUR,MK.</t>
  </si>
  <si>
    <t>HULU LEPAR,KUANTAN</t>
  </si>
  <si>
    <t>naufal95@hotmail.com</t>
  </si>
  <si>
    <t>0199803710</t>
  </si>
  <si>
    <t>PM-0473</t>
  </si>
  <si>
    <t>3000/223</t>
  </si>
  <si>
    <t>R&amp;R GAMBANG(ARAH TIMUR)</t>
  </si>
  <si>
    <t>lpttimur.enterprise@gmail.com</t>
  </si>
  <si>
    <t>0123670607</t>
  </si>
  <si>
    <t>khairul</t>
  </si>
  <si>
    <t>PM-0474</t>
  </si>
  <si>
    <t>3000/224</t>
  </si>
  <si>
    <t>KM 4.6 KAWASAN R&amp;R TAPAK B</t>
  </si>
  <si>
    <t>LALUAN KEDUA(ARAH SELATAN)</t>
  </si>
  <si>
    <t>JB/SINGAPURA,JOHOR BHARU</t>
  </si>
  <si>
    <t>rhamidr53@gmail.com</t>
  </si>
  <si>
    <t>PM-0641</t>
  </si>
  <si>
    <t>3000/225</t>
  </si>
  <si>
    <t>LOT 12202</t>
  </si>
  <si>
    <t>PM 5179. SIMPANG GELIGA</t>
  </si>
  <si>
    <t>MUKIM CHUKAI</t>
  </si>
  <si>
    <t>adheerafm@gmail.com</t>
  </si>
  <si>
    <t>0199804255</t>
  </si>
  <si>
    <t>PM-0014</t>
  </si>
  <si>
    <t>3000/226</t>
  </si>
  <si>
    <t>LOT 999,BATU 1</t>
  </si>
  <si>
    <t>JALAN BATU ANAM</t>
  </si>
  <si>
    <t>GEMAS,TAMPIN</t>
  </si>
  <si>
    <t>C58101829100</t>
  </si>
  <si>
    <t>v6gen@yahoo.com</t>
  </si>
  <si>
    <t>PM-0936</t>
  </si>
  <si>
    <t>3000/227</t>
  </si>
  <si>
    <t>PS GEMENCHEH (SOUTH 1)</t>
  </si>
  <si>
    <t>LOT 3227, PEKAN GEMENCHEH,</t>
  </si>
  <si>
    <t>TAMPIN</t>
  </si>
  <si>
    <t>pssgemencheh@gmail.com</t>
  </si>
  <si>
    <t>064316730</t>
  </si>
  <si>
    <t>PM-0660</t>
  </si>
  <si>
    <t>3000/228</t>
  </si>
  <si>
    <t>LOT PTD 1222&amp;1223</t>
  </si>
  <si>
    <t>MUKIM GEMEREH</t>
  </si>
  <si>
    <t>JALAN SEGAMAT-JEMENTAH</t>
  </si>
  <si>
    <t>IG20554872050</t>
  </si>
  <si>
    <t>petronasgemereh@gmail.com</t>
  </si>
  <si>
    <t>0162524238</t>
  </si>
  <si>
    <t>PM-1017</t>
  </si>
  <si>
    <t>3000/229</t>
  </si>
  <si>
    <t>PS GENTING SEMPAH</t>
  </si>
  <si>
    <t>GENTING SEMPAH,</t>
  </si>
  <si>
    <t>KUALA LUMPUR-KARAK HIGHWAY,</t>
  </si>
  <si>
    <t>IG21862442050</t>
  </si>
  <si>
    <t>stanapetrol@yahoo.com</t>
  </si>
  <si>
    <t>0123845748</t>
  </si>
  <si>
    <t>PM-0272</t>
  </si>
  <si>
    <t>3000/230</t>
  </si>
  <si>
    <t>PS GENTING SEMPAH (EAST 2)</t>
  </si>
  <si>
    <t>092330076</t>
  </si>
  <si>
    <t>PM-0839</t>
  </si>
  <si>
    <t>3000/231</t>
  </si>
  <si>
    <t>LOT PT 843</t>
  </si>
  <si>
    <t>JLN SULTAN ISKANDAR</t>
  </si>
  <si>
    <t>GERIK</t>
  </si>
  <si>
    <t>IG20647915080</t>
  </si>
  <si>
    <t>novaleica@yahoo.com</t>
  </si>
  <si>
    <t>0194550515</t>
  </si>
  <si>
    <t>PM-0608</t>
  </si>
  <si>
    <t>3000/232</t>
  </si>
  <si>
    <t>LOT 219 LEBUHRAYA</t>
  </si>
  <si>
    <t>CHERAS KAJANG</t>
  </si>
  <si>
    <t>pssgrand_saga2002@yahoo.com</t>
  </si>
  <si>
    <t>0124978646</t>
  </si>
  <si>
    <t>PM-0284</t>
  </si>
  <si>
    <t>3000/233</t>
  </si>
  <si>
    <t>LOT H.S(M) 21178</t>
  </si>
  <si>
    <t>PT 41316 MUKIM KAJANG</t>
  </si>
  <si>
    <t>DAERAH HULU LANGAT, KAJANG</t>
  </si>
  <si>
    <t>IG 4304910090</t>
  </si>
  <si>
    <t>rniz686@gmail.com</t>
  </si>
  <si>
    <t>0389202448</t>
  </si>
  <si>
    <t>PM-0184</t>
  </si>
  <si>
    <t>3000/234</t>
  </si>
  <si>
    <t>LOT 432 LEBUHRAYA GRAND SAGA</t>
  </si>
  <si>
    <t>(KAJANG BOUND),KAJANG</t>
  </si>
  <si>
    <t>SELANGOR,ULU LANGAT</t>
  </si>
  <si>
    <t>sittif.hashim@gmail.com</t>
  </si>
  <si>
    <t>0387368687</t>
  </si>
  <si>
    <t>PM-0285</t>
  </si>
  <si>
    <t>3000/235</t>
  </si>
  <si>
    <t>LOT 169,BNDR</t>
  </si>
  <si>
    <t>BARU GUA MUSANG</t>
  </si>
  <si>
    <t>GUA MUSANG</t>
  </si>
  <si>
    <t>biemus63@gmail.com</t>
  </si>
  <si>
    <t>099121473</t>
  </si>
  <si>
    <t>PM-0122</t>
  </si>
  <si>
    <t>3000/236</t>
  </si>
  <si>
    <t>LOT 2424,GUCHIL</t>
  </si>
  <si>
    <t>KUALA KRAI,KELANTAN</t>
  </si>
  <si>
    <t xml:space="preserve">KUALA KRAI, </t>
  </si>
  <si>
    <t xml:space="preserve">savv000@yahoo.com   </t>
  </si>
  <si>
    <t>0139804200</t>
  </si>
  <si>
    <t>PM-0340</t>
  </si>
  <si>
    <t>3000/237</t>
  </si>
  <si>
    <t>PS GUNUNG LANG (NORTH 2)</t>
  </si>
  <si>
    <t>LOT 83419 - 83426</t>
  </si>
  <si>
    <t>JALAN KUALA KANGSAR - IPOH ,</t>
  </si>
  <si>
    <t>lyndkzent@gmail.com</t>
  </si>
  <si>
    <t>0175297338</t>
  </si>
  <si>
    <t>PM-0489</t>
  </si>
  <si>
    <t>3000/238</t>
  </si>
  <si>
    <t>KAWASAN REHAT &amp; RAWAT GUNUNG</t>
  </si>
  <si>
    <t>SEMANGGOL (RSA ARAH SELATAN),</t>
  </si>
  <si>
    <t>laila_lela@yahoo.com</t>
  </si>
  <si>
    <t>PM-0792</t>
  </si>
  <si>
    <t>3000/239</t>
  </si>
  <si>
    <t>PS GURUN</t>
  </si>
  <si>
    <t>LOT 27, JALAN RAYA</t>
  </si>
  <si>
    <t xml:space="preserve">GURUN, </t>
  </si>
  <si>
    <t>ezzatiamran17@gmail.com</t>
  </si>
  <si>
    <t>044686252</t>
  </si>
  <si>
    <t>PM-0922</t>
  </si>
  <si>
    <t>3000/184</t>
  </si>
  <si>
    <t>LOT 148,149&amp;1477 MUKIM 15</t>
  </si>
  <si>
    <t>TENGAH(CHEROK TOK KUN)BUKIT</t>
  </si>
  <si>
    <t>IG 11403872040</t>
  </si>
  <si>
    <t>styservice@yahoo.com</t>
  </si>
  <si>
    <t>0182268161</t>
  </si>
  <si>
    <t>PM-0915</t>
  </si>
  <si>
    <t>3000/241</t>
  </si>
  <si>
    <t>LOT 279,BT 7 1/2</t>
  </si>
  <si>
    <t xml:space="preserve"> JLN HULU KELANG</t>
  </si>
  <si>
    <t>AMPANG,ULU LANGAT</t>
  </si>
  <si>
    <t>mrtwoservices@gmail.com</t>
  </si>
  <si>
    <t>0341062622</t>
  </si>
  <si>
    <t>PM-0607</t>
  </si>
  <si>
    <t>3000/242</t>
  </si>
  <si>
    <t>PS HUTAN MELINTANG</t>
  </si>
  <si>
    <t>LOT PT 190 SIMPANG EMPAT,</t>
  </si>
  <si>
    <t xml:space="preserve">HUTAN MELINTANG, </t>
  </si>
  <si>
    <t>psshmelintang@gmail.com</t>
  </si>
  <si>
    <t>056411695</t>
  </si>
  <si>
    <t>PM-0110</t>
  </si>
  <si>
    <t>3000/243</t>
  </si>
  <si>
    <t>PS IJOK</t>
  </si>
  <si>
    <t>LOT 1476, SIMPANG TIGA IJUK</t>
  </si>
  <si>
    <t xml:space="preserve">BATANG BERJUNTAI, </t>
  </si>
  <si>
    <t>petronasijok21@gmail.com</t>
  </si>
  <si>
    <t>0332791030</t>
  </si>
  <si>
    <t>PM-0546</t>
  </si>
  <si>
    <t>3000/244</t>
  </si>
  <si>
    <t>PS INNER RING ROAD,JB</t>
  </si>
  <si>
    <t>PART OF LOT 823 G 72225</t>
  </si>
  <si>
    <t>INNER RING ROAD, MUKIM BANDAR</t>
  </si>
  <si>
    <t>IG5334897040</t>
  </si>
  <si>
    <t>innerring@wavelet.com.my</t>
  </si>
  <si>
    <t>0196444383</t>
  </si>
  <si>
    <t>PM-0341</t>
  </si>
  <si>
    <t>3000/245</t>
  </si>
  <si>
    <t>PT 11485</t>
  </si>
  <si>
    <t>STESEN MINYAK PETRONAS</t>
  </si>
  <si>
    <t>JALAN BESAR KAMPUNG TOK DOR</t>
  </si>
  <si>
    <t>C50771209090</t>
  </si>
  <si>
    <t>amledar@yahoo.com</t>
  </si>
  <si>
    <t>0199829279</t>
  </si>
  <si>
    <t>PM-0058</t>
  </si>
  <si>
    <t>3000/246</t>
  </si>
  <si>
    <t>PS JAKAR</t>
  </si>
  <si>
    <t>KAWASAN PERINDUSTRIAN JAKAR</t>
  </si>
  <si>
    <t xml:space="preserve">KEMAMAN, </t>
  </si>
  <si>
    <t>rahmawati_pssjakar@hotmail.com</t>
  </si>
  <si>
    <t>098585805</t>
  </si>
  <si>
    <t>PM-0496</t>
  </si>
  <si>
    <t>3000/247</t>
  </si>
  <si>
    <t>PS JALAN 222, PETALING JAYA</t>
  </si>
  <si>
    <t>LOT 1, JALAN 51A/227A</t>
  </si>
  <si>
    <t xml:space="preserve">PETALING JAYA, </t>
  </si>
  <si>
    <t>IG5022315010</t>
  </si>
  <si>
    <t>pssjalan222@gmail.com</t>
  </si>
  <si>
    <t>0379322959</t>
  </si>
  <si>
    <t>PM-0797</t>
  </si>
  <si>
    <t>3000/240</t>
  </si>
  <si>
    <t>PETRONAS SERVICE STATION</t>
  </si>
  <si>
    <t>HARBOUR PARK LPANTAI KOK</t>
  </si>
  <si>
    <t>PADANG MAT SIRAT LANGKAWI</t>
  </si>
  <si>
    <t>07000</t>
  </si>
  <si>
    <t>hpparkone@yahoo.com</t>
  </si>
  <si>
    <t>049668387</t>
  </si>
  <si>
    <t>PM-0321</t>
  </si>
  <si>
    <t>3000/249</t>
  </si>
  <si>
    <t>PS JALAN AIR PUTIH, KUANTAN</t>
  </si>
  <si>
    <t>LOT 33050</t>
  </si>
  <si>
    <t>JALAN AIR PUTEH</t>
  </si>
  <si>
    <t>ig 4393382010</t>
  </si>
  <si>
    <t>mohd.basharuddin@gmail.com</t>
  </si>
  <si>
    <t>095665575</t>
  </si>
  <si>
    <t>PM-0112</t>
  </si>
  <si>
    <t>3000/250</t>
  </si>
  <si>
    <t>PS JALAN BANDAR PASIR GUDANG</t>
  </si>
  <si>
    <t>LOT PTD 69990 HS(D) 124966</t>
  </si>
  <si>
    <t>MUKIM PLENTONG, JALAN BANDAR,</t>
  </si>
  <si>
    <t>IG364836030</t>
  </si>
  <si>
    <t>psjalanbandar@gmail.com</t>
  </si>
  <si>
    <t>0197556399</t>
  </si>
  <si>
    <t>PM-0635</t>
  </si>
  <si>
    <t>3000/251</t>
  </si>
  <si>
    <t>PS JALAN BATU PAHAT KLUANG</t>
  </si>
  <si>
    <t>LOT PTD 43258, MUKIM KLUANG,</t>
  </si>
  <si>
    <t>JALAN AIR HITAM,</t>
  </si>
  <si>
    <t>FAHMIIDRIS1990@GMAIL.COM</t>
  </si>
  <si>
    <t>077766060</t>
  </si>
  <si>
    <t>PM-0882</t>
  </si>
  <si>
    <t>3000/252</t>
  </si>
  <si>
    <t>KOTA BHARU,KELANTAN</t>
  </si>
  <si>
    <t>LOT 2712 GM 1783,JLN BAYAM</t>
  </si>
  <si>
    <t>PAYA RAMBAIMUKIM LANGGAR,KB</t>
  </si>
  <si>
    <t>petronasjlnbayam@gmail.com</t>
  </si>
  <si>
    <t>0126422381</t>
  </si>
  <si>
    <t>PM-0183</t>
  </si>
  <si>
    <t>3000/253</t>
  </si>
  <si>
    <t>LOT 1317 GRN 12990</t>
  </si>
  <si>
    <t>JLN BIDOR,MUKIM&amp;</t>
  </si>
  <si>
    <t>DISTRICT OF BATANGTAPAH</t>
  </si>
  <si>
    <t>IG 4034794091</t>
  </si>
  <si>
    <t>ylafquadrant@yahoo.com</t>
  </si>
  <si>
    <t>PM-0997</t>
  </si>
  <si>
    <t>3000/248</t>
  </si>
  <si>
    <t>LOT 4367 HS(D)5744</t>
  </si>
  <si>
    <t>MUKIM 6 &amp; LOT 4867</t>
  </si>
  <si>
    <t>HS(D)411 MUKIM 8</t>
  </si>
  <si>
    <t>IG 12241235040</t>
  </si>
  <si>
    <t>sab_indah@yahoo.com</t>
  </si>
  <si>
    <t>045783100</t>
  </si>
  <si>
    <t>PM-0770</t>
  </si>
  <si>
    <t>3000/255</t>
  </si>
  <si>
    <t>PS JALAN BULOH KASAP</t>
  </si>
  <si>
    <t>LOT 912, JALAN BULOH KASAP,</t>
  </si>
  <si>
    <t>SEGAMAT,</t>
  </si>
  <si>
    <t>azam.karim@kopetro.com.my</t>
  </si>
  <si>
    <t>079311206</t>
  </si>
  <si>
    <t>PM-0407</t>
  </si>
  <si>
    <t>3000/256</t>
  </si>
  <si>
    <t>NO.494,JLN TUN</t>
  </si>
  <si>
    <t>RAZAK,OFF JLN COCHRANE</t>
  </si>
  <si>
    <t>KUALA LUMPUR,ULU LANAGT W.P</t>
  </si>
  <si>
    <t xml:space="preserve">SELANGOR </t>
  </si>
  <si>
    <t>TR0234421-P</t>
  </si>
  <si>
    <t>IG4453880040</t>
  </si>
  <si>
    <t>0000</t>
  </si>
  <si>
    <t>hradagangventure@gmail.com</t>
  </si>
  <si>
    <t>PM-0322</t>
  </si>
  <si>
    <t>3000/257</t>
  </si>
  <si>
    <t>LOT PTB 21228 HS(D),</t>
  </si>
  <si>
    <t>JALAN DATIN HALIMAH</t>
  </si>
  <si>
    <t>synergysaz@gmail.com</t>
  </si>
  <si>
    <t>0197299788</t>
  </si>
  <si>
    <t>PM-0783</t>
  </si>
  <si>
    <t>3000/254</t>
  </si>
  <si>
    <t>LOT 10034 MUKIM 13</t>
  </si>
  <si>
    <t>JLN BUKIT GAMBIR</t>
  </si>
  <si>
    <t>GELUGOR,TIMOR LAUT</t>
  </si>
  <si>
    <t>IG21956642090</t>
  </si>
  <si>
    <t>psmanjoservices@gmail.com</t>
  </si>
  <si>
    <t>046569985</t>
  </si>
  <si>
    <t>PM-0704</t>
  </si>
  <si>
    <t>3000/259</t>
  </si>
  <si>
    <t>PS JALAN DATUK KUMBAR</t>
  </si>
  <si>
    <t>LOT 3169</t>
  </si>
  <si>
    <t>JALAN DATUK KUMBAR</t>
  </si>
  <si>
    <t>PM-0684</t>
  </si>
  <si>
    <t>3000/260</t>
  </si>
  <si>
    <t>LOT PT 2686</t>
  </si>
  <si>
    <t>MUKIM SETAPAK,JLN GENTIN</t>
  </si>
  <si>
    <t>KELANG</t>
  </si>
  <si>
    <t>petroniaga.mesra@gmail.com</t>
  </si>
  <si>
    <t>01110098976</t>
  </si>
  <si>
    <t>PM-0685</t>
  </si>
  <si>
    <t>3000/261</t>
  </si>
  <si>
    <t>PS JALAN GENUANG SEGAMAT</t>
  </si>
  <si>
    <t>LOT 3618,</t>
  </si>
  <si>
    <t>JALAN GENUANG, SEGAMAT</t>
  </si>
  <si>
    <t>petronasgenuang@gmail.com</t>
  </si>
  <si>
    <t>PM-0721</t>
  </si>
  <si>
    <t>3000/262</t>
  </si>
  <si>
    <t>LOT 236,GM 356</t>
  </si>
  <si>
    <t>MUKIM SETAPAK</t>
  </si>
  <si>
    <t xml:space="preserve"> IG10404861010</t>
  </si>
  <si>
    <t>setapakmesra@yahoo.com</t>
  </si>
  <si>
    <t>0340236236</t>
  </si>
  <si>
    <t>PM-0798</t>
  </si>
  <si>
    <t>3000/263</t>
  </si>
  <si>
    <t>PS JALAN GOPENG 2</t>
  </si>
  <si>
    <t>PT 80085,</t>
  </si>
  <si>
    <t>JALAN RAJA DR NAZRIN SHAH</t>
  </si>
  <si>
    <t>IP0299314-W</t>
  </si>
  <si>
    <t>IG22356880050</t>
  </si>
  <si>
    <t>hkkzq2@gmail.com</t>
  </si>
  <si>
    <t>052530911</t>
  </si>
  <si>
    <t>PM-0314</t>
  </si>
  <si>
    <t>3000/264</t>
  </si>
  <si>
    <t>PS JALAN HAJI AHMAD</t>
  </si>
  <si>
    <t>LOT 5093</t>
  </si>
  <si>
    <t>JALAN HJ AHMAD,</t>
  </si>
  <si>
    <t>IG4393982010</t>
  </si>
  <si>
    <t>095165816</t>
  </si>
  <si>
    <t>PM-0267</t>
  </si>
  <si>
    <t>3000/265</t>
  </si>
  <si>
    <t>PS JALAN HAJI SAID</t>
  </si>
  <si>
    <t>LOT 1221/1, JALAN HAJI SAID,</t>
  </si>
  <si>
    <t xml:space="preserve">SEREMBAN, </t>
  </si>
  <si>
    <t>IG2645343060</t>
  </si>
  <si>
    <t>mercuniaga_elmu@hotmail.com</t>
  </si>
  <si>
    <t>0163049507</t>
  </si>
  <si>
    <t>PM-0517</t>
  </si>
  <si>
    <t>3000/266</t>
  </si>
  <si>
    <t>PS JALAN HAJI SIRAT</t>
  </si>
  <si>
    <t>NO 1, JALAN ISTIMEWA 5,</t>
  </si>
  <si>
    <t>OFF JALAN HAJI SIRAT,</t>
  </si>
  <si>
    <t>detronas_station@yahoo.com.my</t>
  </si>
  <si>
    <t>0122336068</t>
  </si>
  <si>
    <t>PM-0186</t>
  </si>
  <si>
    <t>3000/267</t>
  </si>
  <si>
    <t>PT 74378,PERSIARAN HAMZAH</t>
  </si>
  <si>
    <t>ALANG (KU9),MUKIM KAPAR</t>
  </si>
  <si>
    <t>DAERAH KLANG,BDR DIRAJA</t>
  </si>
  <si>
    <t>C58167959080</t>
  </si>
  <si>
    <t>pshamzahalang@gmail.com</t>
  </si>
  <si>
    <t>0192685647</t>
  </si>
  <si>
    <t>PM-0024</t>
  </si>
  <si>
    <t>3000/268</t>
  </si>
  <si>
    <t>LOT PTD 108516 HS(D) 17193</t>
  </si>
  <si>
    <t>OFF PERSIARAN PERLING,TMN</t>
  </si>
  <si>
    <t>BUTAMAN BUKIT INDAH,MKM PULAI</t>
  </si>
  <si>
    <t xml:space="preserve">JOHOR </t>
  </si>
  <si>
    <t>IG3757324010</t>
  </si>
  <si>
    <t>ezpetrocare@gmail.com</t>
  </si>
  <si>
    <t>072363000</t>
  </si>
  <si>
    <t>PM-0234</t>
  </si>
  <si>
    <t>3000/269</t>
  </si>
  <si>
    <t>LOT 489,MUKIM SERTING</t>
  </si>
  <si>
    <t>ULU,JLN JUASEH</t>
  </si>
  <si>
    <t xml:space="preserve">BAHAU, </t>
  </si>
  <si>
    <t xml:space="preserve">NEGERI SEMBILAN </t>
  </si>
  <si>
    <t>a_prisma@yahoo.com</t>
  </si>
  <si>
    <t>0172499200</t>
  </si>
  <si>
    <t>PM-0700</t>
  </si>
  <si>
    <t>3000/270</t>
  </si>
  <si>
    <t>LOT 9893N,</t>
  </si>
  <si>
    <t>JALAN KUALA KANGSAR</t>
  </si>
  <si>
    <t>055061009</t>
  </si>
  <si>
    <t>PM-0477</t>
  </si>
  <si>
    <t>3000/271</t>
  </si>
  <si>
    <t>PS JALAN KAKI BUKIT</t>
  </si>
  <si>
    <t>LOT 828,</t>
  </si>
  <si>
    <t>KM 2,  JALAN KAKI BUKIT</t>
  </si>
  <si>
    <t>pssjalankakibukit@gmail.com</t>
  </si>
  <si>
    <t>049770828</t>
  </si>
  <si>
    <t>PM-0068</t>
  </si>
  <si>
    <t>3000/272</t>
  </si>
  <si>
    <t>LOT PT 66101</t>
  </si>
  <si>
    <t>NO. 8,JLN GHAZALI JAWI</t>
  </si>
  <si>
    <t>JALAN FAIR PARK (KG SIMEE)</t>
  </si>
  <si>
    <t>IG20015485000</t>
  </si>
  <si>
    <t>zulkarnain.hf@gmail.com</t>
  </si>
  <si>
    <t>0192676994</t>
  </si>
  <si>
    <t>PM-0571</t>
  </si>
  <si>
    <t>3000/273</t>
  </si>
  <si>
    <t>LOT PT  57919</t>
  </si>
  <si>
    <t>HS(M) 1113,JLN KERBAU</t>
  </si>
  <si>
    <t>MUKIM SUNGAI PETANI</t>
  </si>
  <si>
    <t>mafazniaga.sp@gmail.com</t>
  </si>
  <si>
    <t>PM-0483</t>
  </si>
  <si>
    <t>3000/274</t>
  </si>
  <si>
    <t>LOT PT 10116,HS(M)</t>
  </si>
  <si>
    <t>10766,MUKIM TELOK</t>
  </si>
  <si>
    <t>PANGLIMA GARANG,KUALA LANGAT</t>
  </si>
  <si>
    <t>IG1326316010</t>
  </si>
  <si>
    <t>majumakmurbarakath@yahoo.com</t>
  </si>
  <si>
    <t>0132814444</t>
  </si>
  <si>
    <t>PM-0490</t>
  </si>
  <si>
    <t>3000/275</t>
  </si>
  <si>
    <t>PS JALAN KOLAM AYER  , AMPANG</t>
  </si>
  <si>
    <t>LOT 36904,</t>
  </si>
  <si>
    <t>JALAN KOLAM AIR LAMA, AMPANG</t>
  </si>
  <si>
    <t>norshima18@gmail.com</t>
  </si>
  <si>
    <t>0342570212</t>
  </si>
  <si>
    <t>PM-0853</t>
  </si>
  <si>
    <t>3000/276</t>
  </si>
  <si>
    <t>LOT PT 100381,HS (D)</t>
  </si>
  <si>
    <t>33924,JLN KUANTAN-</t>
  </si>
  <si>
    <t>SUNGAI LEMBING,KUANTAN</t>
  </si>
  <si>
    <t>IG10679426041</t>
  </si>
  <si>
    <t>kuantansglembing77@gmail.com</t>
  </si>
  <si>
    <t>0199537264</t>
  </si>
  <si>
    <t>PM-0194</t>
  </si>
  <si>
    <t>3000/277</t>
  </si>
  <si>
    <t>LOT 44498,JLN KUARI</t>
  </si>
  <si>
    <t>OFF JLN CHERAS BARU</t>
  </si>
  <si>
    <t>KL,ULU LANGAT, W.P</t>
  </si>
  <si>
    <t>IG02345718100</t>
  </si>
  <si>
    <t>asmah.assobirin02@gmail.com</t>
  </si>
  <si>
    <t>0193243455</t>
  </si>
  <si>
    <t>PM-0850</t>
  </si>
  <si>
    <t>3000/278</t>
  </si>
  <si>
    <t>LOT PT 26378,JLN KUCHING</t>
  </si>
  <si>
    <t>MUKIM BATU,KL</t>
  </si>
  <si>
    <t>IG3462910060</t>
  </si>
  <si>
    <t>anm_primax@yahoo.com.my</t>
  </si>
  <si>
    <t>0362437791</t>
  </si>
  <si>
    <t>PM-0065</t>
  </si>
  <si>
    <t>3000/279</t>
  </si>
  <si>
    <t>PS JALAN KULAI-KOTA TINGGI</t>
  </si>
  <si>
    <t>LOT PTD 94525, KM 1,</t>
  </si>
  <si>
    <t>JALAN KULAI-KOTA TINGGI,</t>
  </si>
  <si>
    <t>OG3655342050</t>
  </si>
  <si>
    <t>petromart_ent@yahoo.com</t>
  </si>
  <si>
    <t>076631722</t>
  </si>
  <si>
    <t>PM-0349</t>
  </si>
  <si>
    <t>3000/280</t>
  </si>
  <si>
    <t>PS JALAN LAHAT, MENGELEMBU</t>
  </si>
  <si>
    <t>LOT 17169 JALAN LAHAT,</t>
  </si>
  <si>
    <t>BUKIT MERAH, IPOH,</t>
  </si>
  <si>
    <t>IG 4153579001</t>
  </si>
  <si>
    <t>pssjalanlahat@gmail.com</t>
  </si>
  <si>
    <t>053220885</t>
  </si>
  <si>
    <t>PM-0458</t>
  </si>
  <si>
    <t>3000/281</t>
  </si>
  <si>
    <t>LOT 303,KAWASAN BNDR 29</t>
  </si>
  <si>
    <t>PANJANG(JLN LAKSAMANA</t>
  </si>
  <si>
    <t>CHENG HO),JLN MELAKA</t>
  </si>
  <si>
    <t>IG 5353699010</t>
  </si>
  <si>
    <t>dwen712003@gmail.com</t>
  </si>
  <si>
    <t>0122677724</t>
  </si>
  <si>
    <t>PM-0621</t>
  </si>
  <si>
    <t>3000/282</t>
  </si>
  <si>
    <t>PS JALAN LIM HOE LEK</t>
  </si>
  <si>
    <t>LOT PT 57349, HS (D) 19022,</t>
  </si>
  <si>
    <t>JALAN DATO' LIM HOE LEK</t>
  </si>
  <si>
    <t>IG3602535061</t>
  </si>
  <si>
    <t>smwahyubtkinv@yahoo.com</t>
  </si>
  <si>
    <t>095130305</t>
  </si>
  <si>
    <t>PM-0884</t>
  </si>
  <si>
    <t>3000/283</t>
  </si>
  <si>
    <t>LOT PT 189,H.S.(D)</t>
  </si>
  <si>
    <t>66194,JLN LORONG PANDAN</t>
  </si>
  <si>
    <t>PEKAN KLEBANG,SEKSYEN 4</t>
  </si>
  <si>
    <t>IG21445049100</t>
  </si>
  <si>
    <t>szshamsuddin@gmail.com</t>
  </si>
  <si>
    <t>0132237889</t>
  </si>
  <si>
    <t>PM-0286</t>
  </si>
  <si>
    <t>3000/284</t>
  </si>
  <si>
    <t>LOT 232&amp;233</t>
  </si>
  <si>
    <t>JLN MAAROF,BANGSAR</t>
  </si>
  <si>
    <t>KUALA LUMPUR W.P</t>
  </si>
  <si>
    <t>kazazpetroservis@yahoo.com</t>
  </si>
  <si>
    <t>0322823312</t>
  </si>
  <si>
    <t>PM-0142</t>
  </si>
  <si>
    <t>3000/285</t>
  </si>
  <si>
    <t>PS JALAN MASAI LAMA</t>
  </si>
  <si>
    <t>LOT PTD 111466</t>
  </si>
  <si>
    <t>JALAN MASAI, MUKIM PLENTONG,</t>
  </si>
  <si>
    <t>IG2607008011</t>
  </si>
  <si>
    <t>mnokiosk@gmail.com</t>
  </si>
  <si>
    <t>0127090077</t>
  </si>
  <si>
    <t>PM-0479</t>
  </si>
  <si>
    <t>3000/258</t>
  </si>
  <si>
    <t>LOT 256 JLN</t>
  </si>
  <si>
    <t>DATO' ISMAIL HASHIM,SUNGAARA</t>
  </si>
  <si>
    <t>BAYAN LEPAS</t>
  </si>
  <si>
    <t>naim@tunasmuda.com.my</t>
  </si>
  <si>
    <t>046438515</t>
  </si>
  <si>
    <t>PM-0430</t>
  </si>
  <si>
    <t>3000/287</t>
  </si>
  <si>
    <t>PS JALAN MAWAI,KOTA TINGGI</t>
  </si>
  <si>
    <t>LOT 1069,</t>
  </si>
  <si>
    <t>BATU 1, JALAN TUN SRI LANANG,</t>
  </si>
  <si>
    <t>noh.noraziah@yahoo.com</t>
  </si>
  <si>
    <t>0192000212</t>
  </si>
  <si>
    <t>PM-0452</t>
  </si>
  <si>
    <t>3000/288</t>
  </si>
  <si>
    <t>134E, (1216) LOT 2913,</t>
  </si>
  <si>
    <t>BATU 49, BATU 48, JALAN PAKA</t>
  </si>
  <si>
    <t>IG6129368070</t>
  </si>
  <si>
    <t>zamros37@gmail.com</t>
  </si>
  <si>
    <t>0162232737</t>
  </si>
  <si>
    <t>PM-1014</t>
  </si>
  <si>
    <t>3000/289</t>
  </si>
  <si>
    <t>PS JALAN PANDAN</t>
  </si>
  <si>
    <t>LOT PTD 209632,</t>
  </si>
  <si>
    <t>JALAN PANDAN, MUKIM PLENTONG</t>
  </si>
  <si>
    <t>zaidifuelstation@gmail.com</t>
  </si>
  <si>
    <t>0197171500</t>
  </si>
  <si>
    <t>PM-1005</t>
  </si>
  <si>
    <t>3000/290</t>
  </si>
  <si>
    <t>LOT 27956-27958</t>
  </si>
  <si>
    <t>JLN PANDANGAN,KG RAJA</t>
  </si>
  <si>
    <t>UDA,PELABUHAN KLANG</t>
  </si>
  <si>
    <t>snorzihan@gmail.com</t>
  </si>
  <si>
    <t>0331655480</t>
  </si>
  <si>
    <t>PM-0350</t>
  </si>
  <si>
    <t>3000/291</t>
  </si>
  <si>
    <t>LOT 3318</t>
  </si>
  <si>
    <t>MUKIM BUKIT BESAR,PASIR</t>
  </si>
  <si>
    <t>PANJANG,KUALA TERENGGANU</t>
  </si>
  <si>
    <t>norma.nnent@gmail.com</t>
  </si>
  <si>
    <t>096230432</t>
  </si>
  <si>
    <t>PM-0574</t>
  </si>
  <si>
    <t>3000/286</t>
  </si>
  <si>
    <t>LOT 73(NO.427)</t>
  </si>
  <si>
    <t>JLN MESJID NEGERI,GEORGETOWN</t>
  </si>
  <si>
    <t>TIMOR LAUT</t>
  </si>
  <si>
    <t>sarinani.pssgl@yahoo.com</t>
  </si>
  <si>
    <t>046578472</t>
  </si>
  <si>
    <t>PM-0777</t>
  </si>
  <si>
    <t>3000/292</t>
  </si>
  <si>
    <t>LOT 1475</t>
  </si>
  <si>
    <t>PAYA TERUBUNG,MUKIM 13</t>
  </si>
  <si>
    <t>BAYAN BARU, GEORGETOWN,</t>
  </si>
  <si>
    <t>petrelau1475@yahoo.com</t>
  </si>
  <si>
    <t>01124203044</t>
  </si>
  <si>
    <t>PM-0353</t>
  </si>
  <si>
    <t>3000/294</t>
  </si>
  <si>
    <t>NO.1 PERSIARAN KAYANGAN</t>
  </si>
  <si>
    <t>JLN PLUMBUM P7/P</t>
  </si>
  <si>
    <t>FASA 3C,SHAH ALAM,PETALING</t>
  </si>
  <si>
    <t>IG 3329599091</t>
  </si>
  <si>
    <t>aikhalman@gmail.com</t>
  </si>
  <si>
    <t>0355100546</t>
  </si>
  <si>
    <t>PM-0025</t>
  </si>
  <si>
    <t>3000/295</t>
  </si>
  <si>
    <t>LOT 4054-A JLN</t>
  </si>
  <si>
    <t>TUANKU ANTAH(JLN RAHANG)</t>
  </si>
  <si>
    <t>hmomaide@yahoo.com</t>
  </si>
  <si>
    <t>067635595</t>
  </si>
  <si>
    <t>PM-0861</t>
  </si>
  <si>
    <t>3000/296</t>
  </si>
  <si>
    <t>PS JALAN RAHMAT,BATU PAHAT</t>
  </si>
  <si>
    <t>LOT 1206 &amp; 950 JLN RAHMAT</t>
  </si>
  <si>
    <t xml:space="preserve">BATU PAHAT, </t>
  </si>
  <si>
    <t>IG2649442060</t>
  </si>
  <si>
    <t>fhrh.my@gmail.com</t>
  </si>
  <si>
    <t>074323075</t>
  </si>
  <si>
    <t>PM-0250</t>
  </si>
  <si>
    <t>3000/297</t>
  </si>
  <si>
    <t>PS JALAN RAJA DIHILIR</t>
  </si>
  <si>
    <t>PT 253208, JALAN RAJA DIHILIR,</t>
  </si>
  <si>
    <t>(JALAN TAMBUN), IPOH</t>
  </si>
  <si>
    <t>gemilangcg@gmail.com</t>
  </si>
  <si>
    <t>0125055415</t>
  </si>
  <si>
    <t>PM-0157</t>
  </si>
  <si>
    <t>3000/298</t>
  </si>
  <si>
    <t>PS JALAN RAJA SYED ALWI</t>
  </si>
  <si>
    <t>LOT 2880 HS(M) 2501</t>
  </si>
  <si>
    <t>JALAN RAJA SYED ALWI,</t>
  </si>
  <si>
    <t>IG03661807010</t>
  </si>
  <si>
    <t>zamri_trading@hotmail.com</t>
  </si>
  <si>
    <t>0194420988</t>
  </si>
  <si>
    <t>PM-1013</t>
  </si>
  <si>
    <t>3000/299</t>
  </si>
  <si>
    <t>PT 1560. NO.HS(D) 54927</t>
  </si>
  <si>
    <t>JLN SG BAKAU,JLN RAWANG-</t>
  </si>
  <si>
    <t>SG BAKAU,MUKIM RAWANG</t>
  </si>
  <si>
    <t>wanie.petronassaujana@gmail.com</t>
  </si>
  <si>
    <t>0360874338</t>
  </si>
  <si>
    <t>PM-0781</t>
  </si>
  <si>
    <t>3000/300</t>
  </si>
  <si>
    <t>GM 45,LOT 783</t>
  </si>
  <si>
    <t>BATU 17 JLN REKO</t>
  </si>
  <si>
    <t>MUKIM KAJANG,HULU LANGAT</t>
  </si>
  <si>
    <t>khairul@pesamp.org</t>
  </si>
  <si>
    <t>0387340105</t>
  </si>
  <si>
    <t>PM-0376</t>
  </si>
  <si>
    <t>3000/301</t>
  </si>
  <si>
    <t>LOT 4295&amp;4310</t>
  </si>
  <si>
    <t>JLN RHU,OFF JLN AMPANG</t>
  </si>
  <si>
    <t>khalijahy@yahoo.com</t>
  </si>
  <si>
    <t>0342602570</t>
  </si>
  <si>
    <t>PM-0736</t>
  </si>
  <si>
    <t>3000/302</t>
  </si>
  <si>
    <t>LOT PTD 52710</t>
  </si>
  <si>
    <t>JLN ROSMERAH 2/1,TMN</t>
  </si>
  <si>
    <t>JOHOR JAYA JOHOR BHARU</t>
  </si>
  <si>
    <t>IG2606849041</t>
  </si>
  <si>
    <t>N/a</t>
  </si>
  <si>
    <t>pssrosmerah@gmail.com</t>
  </si>
  <si>
    <t>0197711000</t>
  </si>
  <si>
    <t>PM-0205</t>
  </si>
  <si>
    <t>3000/293</t>
  </si>
  <si>
    <t>1800,JLN PERUSAHAAN</t>
  </si>
  <si>
    <t>BUKIT TENGAH</t>
  </si>
  <si>
    <t>PRAI (AUTOCITY)</t>
  </si>
  <si>
    <t>cheetat.keng@outlook.com</t>
  </si>
  <si>
    <t>0142226599</t>
  </si>
  <si>
    <t>PM-0383</t>
  </si>
  <si>
    <t>3000/304</t>
  </si>
  <si>
    <t>LOT 1311 GM 3713</t>
  </si>
  <si>
    <t>JLN SALLEH,MUKIM BNDR</t>
  </si>
  <si>
    <t>MUAR,MUKIM BNDR MUAR,MUAR</t>
  </si>
  <si>
    <t>zhzniaga@gmail.com</t>
  </si>
  <si>
    <t>0193367136</t>
  </si>
  <si>
    <t>PM-1022</t>
  </si>
  <si>
    <t>3000/305</t>
  </si>
  <si>
    <t>LOT 9524</t>
  </si>
  <si>
    <t>JLN SEGAMBUT,SEGAMBUT</t>
  </si>
  <si>
    <t>W.P</t>
  </si>
  <si>
    <t>IG5379817010</t>
  </si>
  <si>
    <t>syarikat_insha@hotmail.com</t>
  </si>
  <si>
    <t>0362589818</t>
  </si>
  <si>
    <t>PM-0170</t>
  </si>
  <si>
    <t>3000/306</t>
  </si>
  <si>
    <t>LOT 15,JLN SELANGOR</t>
  </si>
  <si>
    <t>PETALING</t>
  </si>
  <si>
    <t>PETALING,</t>
  </si>
  <si>
    <t>trillionempire@yahoo.com</t>
  </si>
  <si>
    <t>0379325805</t>
  </si>
  <si>
    <t>PM-0958</t>
  </si>
  <si>
    <t>3000/307</t>
  </si>
  <si>
    <t>LOT 29025</t>
  </si>
  <si>
    <t>MUKIM KUALA KUANTAN</t>
  </si>
  <si>
    <t>JLN SEMAMBU,KUANTAN</t>
  </si>
  <si>
    <t>yusriyusuf72@gmail.com</t>
  </si>
  <si>
    <t>095661871</t>
  </si>
  <si>
    <t>PM-0195</t>
  </si>
  <si>
    <t>3000/308</t>
  </si>
  <si>
    <t>LOT PT 1536 HS(D) 55329</t>
  </si>
  <si>
    <t>JLN SEMENYIH,MUKIM SEMENYIH</t>
  </si>
  <si>
    <t>IG2343810101</t>
  </si>
  <si>
    <t>pssjalansemenyih@gmail.com</t>
  </si>
  <si>
    <t>0374932013</t>
  </si>
  <si>
    <t>PM-0969</t>
  </si>
  <si>
    <t>3000/309</t>
  </si>
  <si>
    <t>PS JALAN SENTUL</t>
  </si>
  <si>
    <t>LOT 788 GM 485, JALAN SENTUL,</t>
  </si>
  <si>
    <t xml:space="preserve">MUKIM SETAPAK, </t>
  </si>
  <si>
    <t>amranjalan@yahoo.com</t>
  </si>
  <si>
    <t>0340214511</t>
  </si>
  <si>
    <t>PM-0791</t>
  </si>
  <si>
    <t>3000/310</t>
  </si>
  <si>
    <t>PS JALAN SEREMBAN-JELEBU</t>
  </si>
  <si>
    <t>LOT 15003-15008, PT 7931</t>
  </si>
  <si>
    <t>JALAN SEREMBAN- JELEBU</t>
  </si>
  <si>
    <t>smteras@yahoo.com</t>
  </si>
  <si>
    <t>0196213366</t>
  </si>
  <si>
    <t>PM-0820</t>
  </si>
  <si>
    <t>3000/311</t>
  </si>
  <si>
    <t>LOT 8945 PN 111</t>
  </si>
  <si>
    <t>JLN GENTING KLANG</t>
  </si>
  <si>
    <t>SETAPAK,</t>
  </si>
  <si>
    <t>pssetapak@gmail.com</t>
  </si>
  <si>
    <t>0340214000</t>
  </si>
  <si>
    <t>PM-0077</t>
  </si>
  <si>
    <t>3000/312</t>
  </si>
  <si>
    <t>LOT 67930,TMN SETIA INDAH</t>
  </si>
  <si>
    <t>IG10707947101</t>
  </si>
  <si>
    <t>psjalansetia3@gmail.com</t>
  </si>
  <si>
    <t>0127376583</t>
  </si>
  <si>
    <t>PM-0895</t>
  </si>
  <si>
    <t>3000/313</t>
  </si>
  <si>
    <t>LOT 367</t>
  </si>
  <si>
    <t>JLN STOREY,BUKIT SENYUM</t>
  </si>
  <si>
    <t>C22934044100</t>
  </si>
  <si>
    <t>Ibzisynergy01@gmail.com</t>
  </si>
  <si>
    <t>072234001</t>
  </si>
  <si>
    <t>PM-0324</t>
  </si>
  <si>
    <t>3000/314</t>
  </si>
  <si>
    <t>NO. 40,LOT 881</t>
  </si>
  <si>
    <t>JLN SULAIMAN,MUAR</t>
  </si>
  <si>
    <t>pss_jln_sulaiman@yahoo.com</t>
  </si>
  <si>
    <t>069545445</t>
  </si>
  <si>
    <t>PM-0538</t>
  </si>
  <si>
    <t>3000/315</t>
  </si>
  <si>
    <t>LOT 1141,JLN</t>
  </si>
  <si>
    <t>SULTANAH TAMBAHAN</t>
  </si>
  <si>
    <t>ALOR SETAR</t>
  </si>
  <si>
    <t>05350</t>
  </si>
  <si>
    <t>zahil888@gmail.com</t>
  </si>
  <si>
    <t>0194145411</t>
  </si>
  <si>
    <t>PM-0507</t>
  </si>
  <si>
    <t>3000/316</t>
  </si>
  <si>
    <t>LOT PT 98,SEKSYEN 15</t>
  </si>
  <si>
    <t>JLN SULTANAH</t>
  </si>
  <si>
    <t>ZAINAB,KOTA BHARU</t>
  </si>
  <si>
    <t>petronassultanahzainab@gmail.com</t>
  </si>
  <si>
    <t>0185734577</t>
  </si>
  <si>
    <t>PM-0414</t>
  </si>
  <si>
    <t>3000/317</t>
  </si>
  <si>
    <t xml:space="preserve">TAMAN TAKIR PERDANA, </t>
  </si>
  <si>
    <t>SEBERANG TAKIR,</t>
  </si>
  <si>
    <t>KUALA NERUS,</t>
  </si>
  <si>
    <t>0149129565</t>
  </si>
  <si>
    <t>SM-0051</t>
  </si>
  <si>
    <t>3000/318</t>
  </si>
  <si>
    <t>LOT 119929,JLN SG JATI</t>
  </si>
  <si>
    <t>MUKIM KLANG</t>
  </si>
  <si>
    <t xml:space="preserve">KLANG, </t>
  </si>
  <si>
    <t>psssgjati@gmail.com</t>
  </si>
  <si>
    <t>0351624797</t>
  </si>
  <si>
    <t>PM-0051</t>
  </si>
  <si>
    <t>3000/319</t>
  </si>
  <si>
    <t>LOT 2555 GM 944 &amp;</t>
  </si>
  <si>
    <t>LOT 2556 GM 1649,MUKIKLANG</t>
  </si>
  <si>
    <t>IG22124026080</t>
  </si>
  <si>
    <t>yanituah@gmail.com</t>
  </si>
  <si>
    <t>0333701585</t>
  </si>
  <si>
    <t>PM-0961</t>
  </si>
  <si>
    <t>3000/320</t>
  </si>
  <si>
    <t>LOT PT 34825,HS(D)</t>
  </si>
  <si>
    <t>263792 &amp; 93,JALASUNGAI</t>
  </si>
  <si>
    <t>TUA,MUKIM BATU,GOMBAK</t>
  </si>
  <si>
    <t>wanismail67@gmail.com</t>
  </si>
  <si>
    <t>0361886766</t>
  </si>
  <si>
    <t>PM-0057</t>
  </si>
  <si>
    <t>3000/321</t>
  </si>
  <si>
    <t>LOT 3901,JLN</t>
  </si>
  <si>
    <t>SUNGAI UJONG</t>
  </si>
  <si>
    <t>SEREMBAN,</t>
  </si>
  <si>
    <t>IG621812010</t>
  </si>
  <si>
    <t>yussaad@yahoo.com.my</t>
  </si>
  <si>
    <t>0193346201</t>
  </si>
  <si>
    <t>PM-0800</t>
  </si>
  <si>
    <t>3000/322</t>
  </si>
  <si>
    <t>PS JALAN TAMBUN</t>
  </si>
  <si>
    <t>LOT 510499,</t>
  </si>
  <si>
    <t>JALAN TAMBUN</t>
  </si>
  <si>
    <t>dynamicsunray186@gmail.com</t>
  </si>
  <si>
    <t>0195573786</t>
  </si>
  <si>
    <t>PM-0200</t>
  </si>
  <si>
    <t>3000/323</t>
  </si>
  <si>
    <t>LOT 20846,HSD 302912</t>
  </si>
  <si>
    <t>JLN TAMPOI</t>
  </si>
  <si>
    <t xml:space="preserve">TAMPOI, </t>
  </si>
  <si>
    <t>latimai@yahoo.com</t>
  </si>
  <si>
    <t>072375487</t>
  </si>
  <si>
    <t>PM-0226</t>
  </si>
  <si>
    <t>3000/324</t>
  </si>
  <si>
    <t>LOT PT 21123</t>
  </si>
  <si>
    <t>JLN TELUK SISEK</t>
  </si>
  <si>
    <t>KUANTAN,</t>
  </si>
  <si>
    <t>teluksisek77@gmail.com</t>
  </si>
  <si>
    <t>PM-0942</t>
  </si>
  <si>
    <t>3000/325</t>
  </si>
  <si>
    <t>PS JALAN TRAS, BENTONG</t>
  </si>
  <si>
    <t>LOT 112, JALAN TRAS,</t>
  </si>
  <si>
    <t>BENTONG,</t>
  </si>
  <si>
    <t>arl_petroleum@yahoo.com.my</t>
  </si>
  <si>
    <t>0199186348</t>
  </si>
  <si>
    <t>PM-0076</t>
  </si>
  <si>
    <t>3000/326</t>
  </si>
  <si>
    <t>KM 3.2,JLN TUN DR. ISMAIL</t>
  </si>
  <si>
    <t>SEREMBAN</t>
  </si>
  <si>
    <t>IG3471672061</t>
  </si>
  <si>
    <t>noraini.narglobal@gmail.com</t>
  </si>
  <si>
    <t>0123896722</t>
  </si>
  <si>
    <t>PM-0583</t>
  </si>
  <si>
    <t>3000/327</t>
  </si>
  <si>
    <t>NO.81(LOT 142)</t>
  </si>
  <si>
    <t>JLN TUN PERAK,MELAKA</t>
  </si>
  <si>
    <t>IG 20735228030</t>
  </si>
  <si>
    <t>berrynicepetro@gmail.com</t>
  </si>
  <si>
    <t>0174474468</t>
  </si>
  <si>
    <t>PM-0119</t>
  </si>
  <si>
    <t>3000/328</t>
  </si>
  <si>
    <t>LOT 25,CT 8901</t>
  </si>
  <si>
    <t>SEKSYEN 87 JLN TUN</t>
  </si>
  <si>
    <t>RAZAK,</t>
  </si>
  <si>
    <t>aliffitriahmad@gmail.com</t>
  </si>
  <si>
    <t>0326970018</t>
  </si>
  <si>
    <t>PM-0664</t>
  </si>
  <si>
    <t>3000/329</t>
  </si>
  <si>
    <t>IG 55798202020</t>
  </si>
  <si>
    <t>0196056037</t>
  </si>
  <si>
    <t>PM-0521</t>
  </si>
  <si>
    <t>3000/330</t>
  </si>
  <si>
    <t>LOT PTB 21742</t>
  </si>
  <si>
    <t>MUKIM BANDAR JOHOR</t>
  </si>
  <si>
    <t>BAHRU,JLN TUN RAZAK</t>
  </si>
  <si>
    <t>telokblangah_jb@yahoo.com</t>
  </si>
  <si>
    <t>0192771574</t>
  </si>
  <si>
    <t>PM-0941</t>
  </si>
  <si>
    <t>3000/331</t>
  </si>
  <si>
    <t>LOT PTB 19195,JLN</t>
  </si>
  <si>
    <t>YAHYA AWAL,JOHOR</t>
  </si>
  <si>
    <t>JOHOR BHARU</t>
  </si>
  <si>
    <t>IG06081834041</t>
  </si>
  <si>
    <t>mn.trading242@gmail.com</t>
  </si>
  <si>
    <t>0129780842</t>
  </si>
  <si>
    <t>PM-0486</t>
  </si>
  <si>
    <t>3000/332</t>
  </si>
  <si>
    <t>LOT PT 55,JLN</t>
  </si>
  <si>
    <t>CINCIN,PEKAN JASIN</t>
  </si>
  <si>
    <t>ayu_jasin@yahoo.com</t>
  </si>
  <si>
    <t>065293567</t>
  </si>
  <si>
    <t>PM-0993</t>
  </si>
  <si>
    <t>3000/333</t>
  </si>
  <si>
    <t>LOT 15291,KM 15</t>
  </si>
  <si>
    <t>BDR BARU JAYA GADING</t>
  </si>
  <si>
    <t>shumulwarisan@gmail.com</t>
  </si>
  <si>
    <t>0178087786</t>
  </si>
  <si>
    <t>PM-0809</t>
  </si>
  <si>
    <t>3000/334</t>
  </si>
  <si>
    <t>LOT PTD 35578,TMN</t>
  </si>
  <si>
    <t>JAYA SEPAKAT,MUKIM</t>
  </si>
  <si>
    <t>SENAI,</t>
  </si>
  <si>
    <t>suhaizankayat@gmail.com</t>
  </si>
  <si>
    <t>0197285174</t>
  </si>
  <si>
    <t>PM-0610</t>
  </si>
  <si>
    <t>3000/335</t>
  </si>
  <si>
    <t>GM 807,LOT 869</t>
  </si>
  <si>
    <t>JLN BATAS PAIP,MUKIM</t>
  </si>
  <si>
    <t>SUNGAI ADAM,KUBANG GAJAH</t>
  </si>
  <si>
    <t>02600</t>
  </si>
  <si>
    <t>IG22740743010</t>
  </si>
  <si>
    <t>halamajuenterprise@gmail.com</t>
  </si>
  <si>
    <t>0122722030</t>
  </si>
  <si>
    <t>PM-0296</t>
  </si>
  <si>
    <t>3000/336</t>
  </si>
  <si>
    <t>1,JLN INDUSTRI 1A</t>
  </si>
  <si>
    <t>KAWASAN INDUSTRI</t>
  </si>
  <si>
    <t>JELAPANG,IPOH KINTA</t>
  </si>
  <si>
    <t>IG4168789020</t>
  </si>
  <si>
    <t>pssjelapang2@gmail.com</t>
  </si>
  <si>
    <t>055291822</t>
  </si>
  <si>
    <t>PM-0357</t>
  </si>
  <si>
    <t>3000/337</t>
  </si>
  <si>
    <t>PT 15911,JLN</t>
  </si>
  <si>
    <t xml:space="preserve">JELATEK,KERAMAT </t>
  </si>
  <si>
    <t>IG2339754031</t>
  </si>
  <si>
    <t>zkamilan@yahoo.com</t>
  </si>
  <si>
    <t>0342531211</t>
  </si>
  <si>
    <t>PM-0978</t>
  </si>
  <si>
    <t>3000/338</t>
  </si>
  <si>
    <t>LOT 324</t>
  </si>
  <si>
    <t>MUKIM JEMENTAH,SEGAMAT</t>
  </si>
  <si>
    <t>idnurservices@gmail.com</t>
  </si>
  <si>
    <t>066966230</t>
  </si>
  <si>
    <t>PM-0327</t>
  </si>
  <si>
    <t>3000/339</t>
  </si>
  <si>
    <t>LOT 5174,JLN</t>
  </si>
  <si>
    <t>BESAR, JERAM,SUNGAI</t>
  </si>
  <si>
    <t>BULOH,JERAM</t>
  </si>
  <si>
    <t>pssjeram87@gmail.com</t>
  </si>
  <si>
    <t>0332647795</t>
  </si>
  <si>
    <t>PM-0765</t>
  </si>
  <si>
    <t>3000/340</t>
  </si>
  <si>
    <t>STESYEN MINYAK PETRONAS</t>
  </si>
  <si>
    <t>LOT 1953 MUKIM PEDAH</t>
  </si>
  <si>
    <t>faranasrudin@gmail.com</t>
  </si>
  <si>
    <t>0176343811</t>
  </si>
  <si>
    <t>PM-0256</t>
  </si>
  <si>
    <t>3000/341</t>
  </si>
  <si>
    <t>BANDAR BARU</t>
  </si>
  <si>
    <t xml:space="preserve">JERANTUT </t>
  </si>
  <si>
    <t>PM-0387</t>
  </si>
  <si>
    <t>3000/342</t>
  </si>
  <si>
    <t>LOT 7489,JLN</t>
  </si>
  <si>
    <t>KEPONG,JINJANG UTARA</t>
  </si>
  <si>
    <t>petronasjinjang23@gmail.com</t>
  </si>
  <si>
    <t>0362572488</t>
  </si>
  <si>
    <t>PM-0591</t>
  </si>
  <si>
    <t>3000/343</t>
  </si>
  <si>
    <t>LOT PT 17697,HSD</t>
  </si>
  <si>
    <t>1072/90 KELAB CINTA</t>
  </si>
  <si>
    <t>SAYANG,SUNGAI PETANI</t>
  </si>
  <si>
    <t>faidaent@gmail.com</t>
  </si>
  <si>
    <t>0123273170</t>
  </si>
  <si>
    <t>PM-0236</t>
  </si>
  <si>
    <t>3000/344</t>
  </si>
  <si>
    <t>LOT PTD 64876 &amp; 64877</t>
  </si>
  <si>
    <t>HS(D) 216844/45</t>
  </si>
  <si>
    <t>JLN KEMPAS LAMA,MKM TEBRAU</t>
  </si>
  <si>
    <t>cmnazleennoor@gmail.com</t>
  </si>
  <si>
    <t>0123936676</t>
  </si>
  <si>
    <t>PM-0048</t>
  </si>
  <si>
    <t>3000/345</t>
  </si>
  <si>
    <t>NO.7227 LOT 2489 &amp; 2490</t>
  </si>
  <si>
    <t>SEKSYEN 2,JLN RAJA UDA</t>
  </si>
  <si>
    <t>BUTTERWORTH,SEBERANG PERAI</t>
  </si>
  <si>
    <t>IG6317820060</t>
  </si>
  <si>
    <t>petronas.ru@yahoo.com</t>
  </si>
  <si>
    <t>043297000</t>
  </si>
  <si>
    <t>PM-0520</t>
  </si>
  <si>
    <t>3000/346</t>
  </si>
  <si>
    <t>LOT 312358 GRN 134251</t>
  </si>
  <si>
    <t>JLN SIMPANG</t>
  </si>
  <si>
    <t>PULAI-LOJING-GUA MUSANG</t>
  </si>
  <si>
    <t>C26542444050</t>
  </si>
  <si>
    <t>avatarsoni1@yahoo.com</t>
  </si>
  <si>
    <t>0192791904</t>
  </si>
  <si>
    <t>PM-0279</t>
  </si>
  <si>
    <t>3000/347</t>
  </si>
  <si>
    <t>LOT PT 197129,JLN</t>
  </si>
  <si>
    <t>SULTAN AZLAN SHAH</t>
  </si>
  <si>
    <t>UTARA),MUKIM HULU KINTA</t>
  </si>
  <si>
    <t>PM-0379</t>
  </si>
  <si>
    <t>3000/348</t>
  </si>
  <si>
    <t>LOT 21209,JLN</t>
  </si>
  <si>
    <t>TAN SWEE HOE, MUKIM S</t>
  </si>
  <si>
    <t>SIMPANG KANAN,BATU PAHAT</t>
  </si>
  <si>
    <t>nkmajupetromart@gmail.com</t>
  </si>
  <si>
    <t>0167744743</t>
  </si>
  <si>
    <t>PM-0597</t>
  </si>
  <si>
    <t>3000/349</t>
  </si>
  <si>
    <t>LOT PT 715,JLN</t>
  </si>
  <si>
    <t>TENGKU ISMAIL</t>
  </si>
  <si>
    <t xml:space="preserve">TEMERLOH, </t>
  </si>
  <si>
    <t>IG23033303060</t>
  </si>
  <si>
    <t>mohd909faizal@gmail.com</t>
  </si>
  <si>
    <t>092965671</t>
  </si>
  <si>
    <t>PM-0247</t>
  </si>
  <si>
    <t>3000/350</t>
  </si>
  <si>
    <t>LOT 4290,MK.6</t>
  </si>
  <si>
    <t>LEBUHRAYA UTARA SELATAN</t>
  </si>
  <si>
    <t>PERHENTIAN JURU,BUKIT MERTAJAM</t>
  </si>
  <si>
    <t>PM-0601</t>
  </si>
  <si>
    <t>3000/351</t>
  </si>
  <si>
    <t>LOT 49075 &amp; 49076</t>
  </si>
  <si>
    <t>BATU 1,JLN ISKANDA</t>
  </si>
  <si>
    <t>KAMPAR</t>
  </si>
  <si>
    <t>hkkzg2@gmail.com</t>
  </si>
  <si>
    <t>0175129363</t>
  </si>
  <si>
    <t>PM-0302</t>
  </si>
  <si>
    <t>3000/352</t>
  </si>
  <si>
    <t>LOT 2</t>
  </si>
  <si>
    <t>JLN SS 3/39,KELANA JAYA</t>
  </si>
  <si>
    <t>IG 20483844040</t>
  </si>
  <si>
    <t>ziqpetro@gmail.com</t>
  </si>
  <si>
    <t>0378764335</t>
  </si>
  <si>
    <t>PM-1025</t>
  </si>
  <si>
    <t>3000/353</t>
  </si>
  <si>
    <t>SS 4B/10,JLN BAHAGIA</t>
  </si>
  <si>
    <t>KELANA JAYAPETALING,</t>
  </si>
  <si>
    <t>IG11138567090</t>
  </si>
  <si>
    <t>ampetro_doc@yahoo.com</t>
  </si>
  <si>
    <t>0133424542</t>
  </si>
  <si>
    <t>PM-0003</t>
  </si>
  <si>
    <t>3000/354</t>
  </si>
  <si>
    <t>LOT 523,MUKIM KELEBANG</t>
  </si>
  <si>
    <t>KUAH,LANGKAWI</t>
  </si>
  <si>
    <t>LANGKAWI,</t>
  </si>
  <si>
    <t>Â salomasiru@yahoo.com</t>
  </si>
  <si>
    <t>049668721</t>
  </si>
  <si>
    <t>PM-0867</t>
  </si>
  <si>
    <t>3000/355</t>
  </si>
  <si>
    <t>LOT 3439</t>
  </si>
  <si>
    <t>JLN LURAH 23,KEMPAS BARU</t>
  </si>
  <si>
    <t xml:space="preserve">JOHOR BAHRU, </t>
  </si>
  <si>
    <t>safura_ali@hotmail.com</t>
  </si>
  <si>
    <t>072386386</t>
  </si>
  <si>
    <t>PM-0876</t>
  </si>
  <si>
    <t>3000/356</t>
  </si>
  <si>
    <t>LOT 42965</t>
  </si>
  <si>
    <t>MUKIM TEBRAU,JLN KEMPAS</t>
  </si>
  <si>
    <t>BARU,JOHOR BAHARU</t>
  </si>
  <si>
    <t>yusri_segb@yahoo.com</t>
  </si>
  <si>
    <t>0194053239</t>
  </si>
  <si>
    <t>PM-0263</t>
  </si>
  <si>
    <t>3000/357</t>
  </si>
  <si>
    <t>SMK KOMPLEKS KLIA</t>
  </si>
  <si>
    <t>NILAI</t>
  </si>
  <si>
    <t>0129308141</t>
  </si>
  <si>
    <t>SM-0393</t>
  </si>
  <si>
    <t>3000/358</t>
  </si>
  <si>
    <t>LOT 558</t>
  </si>
  <si>
    <t>JLN BUTTERWORTH,KEPALA</t>
  </si>
  <si>
    <t>yusoff_rry@yahoo.com.my</t>
  </si>
  <si>
    <t>0125376058</t>
  </si>
  <si>
    <t>PM-0756</t>
  </si>
  <si>
    <t>3000/359</t>
  </si>
  <si>
    <t>LOT NO.2</t>
  </si>
  <si>
    <t>JLN JAMBU JERTEH OFF JLN</t>
  </si>
  <si>
    <t>KEPONG,KEPONG,</t>
  </si>
  <si>
    <t>karina_elwasiq@hotmail.com</t>
  </si>
  <si>
    <t>0362579468</t>
  </si>
  <si>
    <t>PM-0375</t>
  </si>
  <si>
    <t>3000/360</t>
  </si>
  <si>
    <t>LOT 9614</t>
  </si>
  <si>
    <t>JLN 1/1A,TMN KEPONG INDAH</t>
  </si>
  <si>
    <t>WP</t>
  </si>
  <si>
    <t>norlia3297@gmail.com</t>
  </si>
  <si>
    <t>0362778008</t>
  </si>
  <si>
    <t>PM-0038</t>
  </si>
  <si>
    <t>3000/361</t>
  </si>
  <si>
    <t>LOT 2838</t>
  </si>
  <si>
    <t>PERSIARAN KIP UTAMA,PARCEL 1</t>
  </si>
  <si>
    <t>KEPONG INDUSTRIAL PARK</t>
  </si>
  <si>
    <t>IG3282979050</t>
  </si>
  <si>
    <t>jhhiew@hotmail.com</t>
  </si>
  <si>
    <t>0362801188</t>
  </si>
  <si>
    <t>PM-0396</t>
  </si>
  <si>
    <t>3000/362</t>
  </si>
  <si>
    <t>LOT 872 MUKIM KERTIH</t>
  </si>
  <si>
    <t>KEMAMAN,TERENGGANU</t>
  </si>
  <si>
    <t>KERTIH,</t>
  </si>
  <si>
    <t>C58013350080</t>
  </si>
  <si>
    <t>mdefm25@gmail.com</t>
  </si>
  <si>
    <t>098266588</t>
  </si>
  <si>
    <t>PM-0512</t>
  </si>
  <si>
    <t>3000/363</t>
  </si>
  <si>
    <t>KM 47.2 AWAN</t>
  </si>
  <si>
    <t>BESAR LEBUHRAYA KESAS</t>
  </si>
  <si>
    <t>ciksue8112@gmail.com</t>
  </si>
  <si>
    <t>0162025987</t>
  </si>
  <si>
    <t>PM-0744</t>
  </si>
  <si>
    <t>3000/364</t>
  </si>
  <si>
    <t>KM 34.5</t>
  </si>
  <si>
    <t>LEBUHRAYA SHAH ALAM (KESAS)</t>
  </si>
  <si>
    <t>SHAH ALAM,</t>
  </si>
  <si>
    <t>IG4453104040</t>
  </si>
  <si>
    <t>mesrakesastimur@gmail.com</t>
  </si>
  <si>
    <t>0193293335</t>
  </si>
  <si>
    <t>PM-0238</t>
  </si>
  <si>
    <t>3000/365</t>
  </si>
  <si>
    <t>KM 34.5 KESAS</t>
  </si>
  <si>
    <t>HIGHWAY(SHAH ALAM BOUND)</t>
  </si>
  <si>
    <t>(SHAH ALAM BOUND)</t>
  </si>
  <si>
    <t>IG12139523050</t>
  </si>
  <si>
    <t>pssmofa@gmail.com</t>
  </si>
  <si>
    <t>0123072125</t>
  </si>
  <si>
    <t>PM-0543</t>
  </si>
  <si>
    <t>3000/366</t>
  </si>
  <si>
    <t>LOT 599</t>
  </si>
  <si>
    <t>MUKIM GUA,KUALA LEMAL</t>
  </si>
  <si>
    <t>PASIR MAS</t>
  </si>
  <si>
    <t>IG22495643040</t>
  </si>
  <si>
    <t>ps_gaung@yahoo.com.my</t>
  </si>
  <si>
    <t>0199003073</t>
  </si>
  <si>
    <t>PM-0245</t>
  </si>
  <si>
    <t>3000/367</t>
  </si>
  <si>
    <t>LOT 17867</t>
  </si>
  <si>
    <t>JLN KOTA RAJA,KAMPUNG JAWA</t>
  </si>
  <si>
    <t>puppaluppa@yahoo.com</t>
  </si>
  <si>
    <t>0333716000</t>
  </si>
  <si>
    <t>PM-0709</t>
  </si>
  <si>
    <t>3000/368</t>
  </si>
  <si>
    <t>LOT PT 38368 JLN</t>
  </si>
  <si>
    <t>SUNGAI BULOH,KG MELAYU SUBANG</t>
  </si>
  <si>
    <t>SUNGAI BULOH,SHAH ALAM</t>
  </si>
  <si>
    <t>bmekar65@yahoo.com</t>
  </si>
  <si>
    <t>0378469846</t>
  </si>
  <si>
    <t>PM-0141</t>
  </si>
  <si>
    <t>3000/369</t>
  </si>
  <si>
    <t>LOT 550 KG PULAU</t>
  </si>
  <si>
    <t>MELAKA,KOTA BHARU</t>
  </si>
  <si>
    <t>IG 10424729000</t>
  </si>
  <si>
    <t>petronas.kgpulaumelaka@gmail.com</t>
  </si>
  <si>
    <t>097648292</t>
  </si>
  <si>
    <t>PM-0079</t>
  </si>
  <si>
    <t>3000/370</t>
  </si>
  <si>
    <t>LOT PT 1153,HS (M)</t>
  </si>
  <si>
    <t>460 (LOT LAMA 5061) U</t>
  </si>
  <si>
    <t>MUKIM PULAU RUSA,PEKAN</t>
  </si>
  <si>
    <t>w_wanmuda@yahoo.com</t>
  </si>
  <si>
    <t>0192168589</t>
  </si>
  <si>
    <t>PM-0450</t>
  </si>
  <si>
    <t>3000/371</t>
  </si>
  <si>
    <t>LOT 354,KIJAL</t>
  </si>
  <si>
    <t>DARAT PENINJUK MUKIM</t>
  </si>
  <si>
    <t>KIJAL</t>
  </si>
  <si>
    <t>emiroventure@gmail.com</t>
  </si>
  <si>
    <t>0139435321</t>
  </si>
  <si>
    <t>PM-0219</t>
  </si>
  <si>
    <t>3000/372</t>
  </si>
  <si>
    <t>019380532</t>
  </si>
  <si>
    <t>SM-0252</t>
  </si>
  <si>
    <t>3000/373</t>
  </si>
  <si>
    <t>LOT 5162,JLN</t>
  </si>
  <si>
    <t>GENTING KELANG,BATU 6</t>
  </si>
  <si>
    <t>KG.KLANG GATE BARU,AMPANG</t>
  </si>
  <si>
    <t>sjberhad@yahoo.com</t>
  </si>
  <si>
    <t>0192670220</t>
  </si>
  <si>
    <t>PM-0816</t>
  </si>
  <si>
    <t>3000/374</t>
  </si>
  <si>
    <t>LOT PT 64329 HS(D) 136207</t>
  </si>
  <si>
    <t>JLN HAJI ABDUL MANAN</t>
  </si>
  <si>
    <t>MUKIM KAPAR,KLANG</t>
  </si>
  <si>
    <t>marga.vista@gmail.com</t>
  </si>
  <si>
    <t>0126192425</t>
  </si>
  <si>
    <t>PM-0495</t>
  </si>
  <si>
    <t>3000/375</t>
  </si>
  <si>
    <t>LOT 260,MUKIM</t>
  </si>
  <si>
    <t>KLEBANG BESAR,MELAKA</t>
  </si>
  <si>
    <t>IG22700078010</t>
  </si>
  <si>
    <t>psklebangbesar@gmail.com</t>
  </si>
  <si>
    <t>063151102</t>
  </si>
  <si>
    <t>PM-0880</t>
  </si>
  <si>
    <t>3000/376</t>
  </si>
  <si>
    <t>LOT PT 3906</t>
  </si>
  <si>
    <t>JLN TERMINAL,KLIA,SEPANG</t>
  </si>
  <si>
    <t>IG10639276100</t>
  </si>
  <si>
    <t>pssklia1@yahoo.com</t>
  </si>
  <si>
    <t>0387873279</t>
  </si>
  <si>
    <t>PM-0232</t>
  </si>
  <si>
    <t>3000/377</t>
  </si>
  <si>
    <t>JLN TERMINAL</t>
  </si>
  <si>
    <t>KLIA</t>
  </si>
  <si>
    <t>SEPANG,</t>
  </si>
  <si>
    <t>faizul365@gmail.com</t>
  </si>
  <si>
    <t>0387872301</t>
  </si>
  <si>
    <t>PM-0945</t>
  </si>
  <si>
    <t>3000/378</t>
  </si>
  <si>
    <t>JLN PEKELILING</t>
  </si>
  <si>
    <t>KARGO,KLIA,SEPANG</t>
  </si>
  <si>
    <t>pojieshima@gmail.com</t>
  </si>
  <si>
    <t>0387872302</t>
  </si>
  <si>
    <t>PM-0946</t>
  </si>
  <si>
    <t>3000/379</t>
  </si>
  <si>
    <t>LOT 13309,KM 11</t>
  </si>
  <si>
    <t>JLN SKUDAI,JOHOR</t>
  </si>
  <si>
    <t>BAHRU,</t>
  </si>
  <si>
    <t>hayati_km11@hotmail.com</t>
  </si>
  <si>
    <t>072377128</t>
  </si>
  <si>
    <t>PM-0291</t>
  </si>
  <si>
    <t>3000/380</t>
  </si>
  <si>
    <t>LOT 105826,BATU 10</t>
  </si>
  <si>
    <t>JLN GAMBANG (ARAH KL)</t>
  </si>
  <si>
    <t>MUKIM KUALA KUANTAN,KUANTAN</t>
  </si>
  <si>
    <t>pskm16.sv@gmail.com</t>
  </si>
  <si>
    <t>095383567</t>
  </si>
  <si>
    <t>PM-0269</t>
  </si>
  <si>
    <t>3000/381</t>
  </si>
  <si>
    <t>LOT 48212 KM 26</t>
  </si>
  <si>
    <t>JLN GAMBANG-KUANTAN</t>
  </si>
  <si>
    <t>IG2418870000</t>
  </si>
  <si>
    <t>095498900</t>
  </si>
  <si>
    <t>PM-0723</t>
  </si>
  <si>
    <t>3000/382</t>
  </si>
  <si>
    <t>LOT 7424 HS(D)</t>
  </si>
  <si>
    <t>11/375,KM 5.5,JLN CHERAS</t>
  </si>
  <si>
    <t>(KAJANG BOUND),ULU,KL W.P</t>
  </si>
  <si>
    <t>amir260882@gmail.com</t>
  </si>
  <si>
    <t>0192626966</t>
  </si>
  <si>
    <t>PM-0311</t>
  </si>
  <si>
    <t>3000/383</t>
  </si>
  <si>
    <t>KM 5.75</t>
  </si>
  <si>
    <t>LEBUHRAYA PENCHALA LINK,</t>
  </si>
  <si>
    <t>WILAYAH PERSEKUTUAN</t>
  </si>
  <si>
    <t>OG 21518486060</t>
  </si>
  <si>
    <t>PM-0203</t>
  </si>
  <si>
    <t>3000/384</t>
  </si>
  <si>
    <t>KM6,LEBUH RAYA</t>
  </si>
  <si>
    <t>IPOH LUMUT,TMN PINGGIR</t>
  </si>
  <si>
    <t>RISHAH HIJAU SILIBIN,IPOH</t>
  </si>
  <si>
    <t>03010</t>
  </si>
  <si>
    <t>IG 20029154080</t>
  </si>
  <si>
    <t>altizpetrotrade@gmail.com</t>
  </si>
  <si>
    <t>055287571</t>
  </si>
  <si>
    <t>PM-0055</t>
  </si>
  <si>
    <t>3000/385</t>
  </si>
  <si>
    <t>LOT PTB 12379</t>
  </si>
  <si>
    <t>BATU 4 1/2,JLN SKUDAI</t>
  </si>
  <si>
    <t>psslangkasuka@hotmail.com</t>
  </si>
  <si>
    <t>0162020429</t>
  </si>
  <si>
    <t>PM-0040</t>
  </si>
  <si>
    <t>3000/386</t>
  </si>
  <si>
    <t>12379,JLN</t>
  </si>
  <si>
    <t>SKUDAAI KIRI BATU 4 1/2</t>
  </si>
  <si>
    <t>KAMPUNG SKUDAI KIRI,JB</t>
  </si>
  <si>
    <t>0192530284</t>
  </si>
  <si>
    <t>PM-0831</t>
  </si>
  <si>
    <t>3000/387</t>
  </si>
  <si>
    <t>LOT 1433,KM 10</t>
  </si>
  <si>
    <t>TUNJUNG,JLN KUALA KRAI</t>
  </si>
  <si>
    <t>KOTA BHARU</t>
  </si>
  <si>
    <t>mokhtajaya@yahoo.com</t>
  </si>
  <si>
    <t>097124266</t>
  </si>
  <si>
    <t>PM-0705</t>
  </si>
  <si>
    <t>3000/388</t>
  </si>
  <si>
    <t>KM 2.95,PENCHALA LINK</t>
  </si>
  <si>
    <t>(WEST BOUND)PLAZA</t>
  </si>
  <si>
    <t>TOL PENCHALA,</t>
  </si>
  <si>
    <t>psspenchalalink@gmail.com</t>
  </si>
  <si>
    <t>0362049808</t>
  </si>
  <si>
    <t>PM-0703</t>
  </si>
  <si>
    <t>3000/389</t>
  </si>
  <si>
    <t>KM 72,L/RAYA KARAK</t>
  </si>
  <si>
    <t>ARAH KL,LOT PT 7376</t>
  </si>
  <si>
    <t>HS(M) 4933 DAERAH BENTONG</t>
  </si>
  <si>
    <t>tspark74@gmail.com</t>
  </si>
  <si>
    <t>0139247160</t>
  </si>
  <si>
    <t>PM-0667</t>
  </si>
  <si>
    <t>3000/390</t>
  </si>
  <si>
    <t>LOT PT 84,BATU 16</t>
  </si>
  <si>
    <t>JLN KUALA KRAI,KO</t>
  </si>
  <si>
    <t>LANAS,KOTA BHARU</t>
  </si>
  <si>
    <t>IG11272293081</t>
  </si>
  <si>
    <t>petroemas_klanas@yahoo.com</t>
  </si>
  <si>
    <t>097887760</t>
  </si>
  <si>
    <t>PM-0666</t>
  </si>
  <si>
    <t>3000/391</t>
  </si>
  <si>
    <t>PEJABAT KOPERASI</t>
  </si>
  <si>
    <t>FELDA MEMPAGA 03</t>
  </si>
  <si>
    <t xml:space="preserve">KARAK </t>
  </si>
  <si>
    <t>koopmpg3@gmail.com</t>
  </si>
  <si>
    <t>0162186348</t>
  </si>
  <si>
    <t>PM-0890</t>
  </si>
  <si>
    <t>3000/392</t>
  </si>
  <si>
    <t>LOT 2702,PEKAN KOTA</t>
  </si>
  <si>
    <t>KOTA,SEREMBAN</t>
  </si>
  <si>
    <t>anugerah_elmu@hotmail.com</t>
  </si>
  <si>
    <t>064381407</t>
  </si>
  <si>
    <t>PM-0069</t>
  </si>
  <si>
    <t>3000/393</t>
  </si>
  <si>
    <t>LOT 4520,FASA 1</t>
  </si>
  <si>
    <t>KOTA BAYU EMAS,MUKIM</t>
  </si>
  <si>
    <t>potnas_71@yahoo.com</t>
  </si>
  <si>
    <t>0382101274</t>
  </si>
  <si>
    <t>PM-0696</t>
  </si>
  <si>
    <t>3000/394</t>
  </si>
  <si>
    <t>SEKSYEN 2,PERSIARAN</t>
  </si>
  <si>
    <t>SURIAN,KOTA</t>
  </si>
  <si>
    <t>DAMANSARA,MUKIM SUNGAI BULOH</t>
  </si>
  <si>
    <t>IG4310777101</t>
  </si>
  <si>
    <t>psskotadamansara1@gmail.com</t>
  </si>
  <si>
    <t>0361404811</t>
  </si>
  <si>
    <t>PM-0469</t>
  </si>
  <si>
    <t>3000/395</t>
  </si>
  <si>
    <t>LOT 1,JLN CAMAR 4/1 OFF</t>
  </si>
  <si>
    <t>PERSIARAN SURIAN,SEKSYEN 4</t>
  </si>
  <si>
    <t>KOTA DAMANSARA,MUKIM</t>
  </si>
  <si>
    <t>IG5105049081</t>
  </si>
  <si>
    <t>sabazpsskd2@gmail.com</t>
  </si>
  <si>
    <t>0361418950</t>
  </si>
  <si>
    <t>PM-0771</t>
  </si>
  <si>
    <t>3000/396</t>
  </si>
  <si>
    <t>LOT 68501,JLN</t>
  </si>
  <si>
    <t>PERSIARAN MOKARA,KOTA</t>
  </si>
  <si>
    <t>KEMUNING,SEKSYEN 41,SHAH ALAM</t>
  </si>
  <si>
    <t>RA0085621-U</t>
  </si>
  <si>
    <t>IG22442419100</t>
  </si>
  <si>
    <t>zettyjml@gmail.com</t>
  </si>
  <si>
    <t>0176678619</t>
  </si>
  <si>
    <t>PM-1020</t>
  </si>
  <si>
    <t>3000/397</t>
  </si>
  <si>
    <t>NO.4,JLN ANGGERIK</t>
  </si>
  <si>
    <t>ERIA 31/106,SEKSYEN13</t>
  </si>
  <si>
    <t>KOTA KEMUNING</t>
  </si>
  <si>
    <t>seetpuayleng@gmail.com</t>
  </si>
  <si>
    <t>0351246418</t>
  </si>
  <si>
    <t>PM-0399</t>
  </si>
  <si>
    <t>3000/398</t>
  </si>
  <si>
    <t>LOT 1491 HS(D)</t>
  </si>
  <si>
    <t>1108/97,SEKSYEN 41,KOTA</t>
  </si>
  <si>
    <t xml:space="preserve">KENARI,KULIM, </t>
  </si>
  <si>
    <t>09000</t>
  </si>
  <si>
    <t>CS 3899637050</t>
  </si>
  <si>
    <t>asfida28675@yahoo.com.my</t>
  </si>
  <si>
    <t>044959616</t>
  </si>
  <si>
    <t>PM-0418</t>
  </si>
  <si>
    <t>3000/399</t>
  </si>
  <si>
    <t>PTD 129028</t>
  </si>
  <si>
    <t>KOTA MASAI</t>
  </si>
  <si>
    <t>JOHOR BAHRU,</t>
  </si>
  <si>
    <t>baida_enterprise@yahoo.com</t>
  </si>
  <si>
    <t>072562005</t>
  </si>
  <si>
    <t>PM-0107</t>
  </si>
  <si>
    <t>3000/400</t>
  </si>
  <si>
    <t>LOT 230,NO.5A</t>
  </si>
  <si>
    <t>JLN JOHOR -KOTA TINGGI</t>
  </si>
  <si>
    <t>078833731</t>
  </si>
  <si>
    <t>PM-0090</t>
  </si>
  <si>
    <t>3000/401</t>
  </si>
  <si>
    <t>PTD 40120</t>
  </si>
  <si>
    <t>JLN KOTA TINGGI-BYPASS</t>
  </si>
  <si>
    <t>permatawahidarabypass@gmail.com</t>
  </si>
  <si>
    <t>0132566697</t>
  </si>
  <si>
    <t>PM-0650</t>
  </si>
  <si>
    <t>3000/402</t>
  </si>
  <si>
    <t>PT 150360</t>
  </si>
  <si>
    <t>PERSIARAN KOTASAS</t>
  </si>
  <si>
    <t xml:space="preserve">KUANTAN, </t>
  </si>
  <si>
    <t>afiqah.synergy@gmail.com</t>
  </si>
  <si>
    <t>0199856888</t>
  </si>
  <si>
    <t>PM-0017</t>
  </si>
  <si>
    <t>3000/403</t>
  </si>
  <si>
    <t>LOT 264,JLN</t>
  </si>
  <si>
    <t>KISAP,PEKAN KUAH</t>
  </si>
  <si>
    <t>CS3898274090</t>
  </si>
  <si>
    <t>psskuah@gmail.com</t>
  </si>
  <si>
    <t>049666066</t>
  </si>
  <si>
    <t>PM-0423</t>
  </si>
  <si>
    <t>3000/404</t>
  </si>
  <si>
    <t>PS KUALA BERANG</t>
  </si>
  <si>
    <t>LOT 6730 BT 24 KUALA BERANG,</t>
  </si>
  <si>
    <t>IG11018066060</t>
  </si>
  <si>
    <t>petronaskualaberang@gmail.com</t>
  </si>
  <si>
    <t>096181749</t>
  </si>
  <si>
    <t>PM-0593</t>
  </si>
  <si>
    <t>3000/405</t>
  </si>
  <si>
    <t>LOT 908,911,917</t>
  </si>
  <si>
    <t>918 &amp; 1169,1170,MUK</t>
  </si>
  <si>
    <t>KUALA KEDAH,KOTA SETAR</t>
  </si>
  <si>
    <t>IG 3224030090</t>
  </si>
  <si>
    <t>pss.kualakedah@gmail.com.my</t>
  </si>
  <si>
    <t>0164174885</t>
  </si>
  <si>
    <t>PM-0400</t>
  </si>
  <si>
    <t>3000/406</t>
  </si>
  <si>
    <t>LOT PT 115 HS(D)</t>
  </si>
  <si>
    <t>4874,JLN DATO</t>
  </si>
  <si>
    <t>IMBI,KUALA KELAWANG</t>
  </si>
  <si>
    <t>intan2dy1@gmail.com</t>
  </si>
  <si>
    <t>066136030</t>
  </si>
  <si>
    <t>PM-0863</t>
  </si>
  <si>
    <t>3000/407</t>
  </si>
  <si>
    <t>LOT 2356,MUKIM TAWAR</t>
  </si>
  <si>
    <t>KUALA KETIL,KEDAH</t>
  </si>
  <si>
    <t xml:space="preserve">BALING, </t>
  </si>
  <si>
    <t>09300</t>
  </si>
  <si>
    <t>psskualaketil@gmail.com</t>
  </si>
  <si>
    <t>044162175</t>
  </si>
  <si>
    <t>PM-0535</t>
  </si>
  <si>
    <t>3000/408</t>
  </si>
  <si>
    <t>SIMPANG 3,JLN</t>
  </si>
  <si>
    <t>PEKELILING,LIPIS</t>
  </si>
  <si>
    <t>fnaventures91@gmail.com</t>
  </si>
  <si>
    <t>093123299</t>
  </si>
  <si>
    <t>PM-0255</t>
  </si>
  <si>
    <t>3000/409</t>
  </si>
  <si>
    <t>LOT 12893 GM 2857</t>
  </si>
  <si>
    <t>GONG TOK MIR,MUKIM KUALA</t>
  </si>
  <si>
    <t>NERUS,DAERAH KUALA NERUS</t>
  </si>
  <si>
    <t>psknerus@gmail.com</t>
  </si>
  <si>
    <t>0182828591</t>
  </si>
  <si>
    <t>PM-0826</t>
  </si>
  <si>
    <t>3000/410</t>
  </si>
  <si>
    <t>LOT 2086,GM 1703</t>
  </si>
  <si>
    <t>JLN KUALA PILAH-BAHAU</t>
  </si>
  <si>
    <t xml:space="preserve">KUALA PILAH, </t>
  </si>
  <si>
    <t>IG6599022061</t>
  </si>
  <si>
    <t>dalilahawaludin@gmail.com</t>
  </si>
  <si>
    <t>0142273424</t>
  </si>
  <si>
    <t>PM-0097</t>
  </si>
  <si>
    <t>3000/411</t>
  </si>
  <si>
    <t>LOT 629 BATU 1</t>
  </si>
  <si>
    <t>JLN BESAR</t>
  </si>
  <si>
    <t xml:space="preserve">KUALA SELANGOR, </t>
  </si>
  <si>
    <t>psskualaselangor@gmail.com</t>
  </si>
  <si>
    <t>0193688111</t>
  </si>
  <si>
    <t>PM-0155</t>
  </si>
  <si>
    <t>3000/412</t>
  </si>
  <si>
    <t>PT 35330 HS(M)</t>
  </si>
  <si>
    <t>15762, KUANG</t>
  </si>
  <si>
    <t>zuldahalan@gmail.com</t>
  </si>
  <si>
    <t>0380611773</t>
  </si>
  <si>
    <t>PM-0515</t>
  </si>
  <si>
    <t>3000/413</t>
  </si>
  <si>
    <t>LOT 3749,MUKIM</t>
  </si>
  <si>
    <t>BESERAH,KUANTAN</t>
  </si>
  <si>
    <t>shimazuniaga@gmail.com</t>
  </si>
  <si>
    <t>0139331212</t>
  </si>
  <si>
    <t>PM-0807</t>
  </si>
  <si>
    <t>3000/414</t>
  </si>
  <si>
    <t>NO 2A STESEN MINYAK</t>
  </si>
  <si>
    <t>BANDAR BARU KUANTAN</t>
  </si>
  <si>
    <t>PUTRI SUNGAI SOI,KUANTAN</t>
  </si>
  <si>
    <t>nazmillenium@gmail.com</t>
  </si>
  <si>
    <t>095345450</t>
  </si>
  <si>
    <t>PM-0588</t>
  </si>
  <si>
    <t>3000/415</t>
  </si>
  <si>
    <t>KLOT 20861</t>
  </si>
  <si>
    <t>GERAN 122012,BANDAR BARU</t>
  </si>
  <si>
    <t>KOTA SRI MAS, NILAI</t>
  </si>
  <si>
    <t>pskuartersklia@yahoo.com</t>
  </si>
  <si>
    <t>0126011997</t>
  </si>
  <si>
    <t>PM-0303</t>
  </si>
  <si>
    <t>3000/416</t>
  </si>
  <si>
    <t>LOT 243 &amp; LOT 1310</t>
  </si>
  <si>
    <t>MUKIM DEMIT, DAERAH</t>
  </si>
  <si>
    <t>KUBANG KERIAN,KOTA BHARU</t>
  </si>
  <si>
    <t>pet_demit@yahoo.com</t>
  </si>
  <si>
    <t>097646041</t>
  </si>
  <si>
    <t>PM-0823</t>
  </si>
  <si>
    <t>3000/417</t>
  </si>
  <si>
    <t>LOT 1370,JLN</t>
  </si>
  <si>
    <t>MAHANG,KULIM HI-TECH</t>
  </si>
  <si>
    <t>PARK,KULIM</t>
  </si>
  <si>
    <t>IG 3557736031</t>
  </si>
  <si>
    <t>sasutera@ymail.com</t>
  </si>
  <si>
    <t>0124701245</t>
  </si>
  <si>
    <t>PM-0769</t>
  </si>
  <si>
    <t>3000/418</t>
  </si>
  <si>
    <t>LOT 2308 GM 11426</t>
  </si>
  <si>
    <t>SEKSYEN 44, KAMPUNG</t>
  </si>
  <si>
    <t>KELADI KULIM</t>
  </si>
  <si>
    <t>waheed1786@gmail.com</t>
  </si>
  <si>
    <t>PM-0329</t>
  </si>
  <si>
    <t>3000/419</t>
  </si>
  <si>
    <t>LOT 4141 PLOT 2</t>
  </si>
  <si>
    <t>JLN LUNAS,BUKIT</t>
  </si>
  <si>
    <t xml:space="preserve">KUKUS, </t>
  </si>
  <si>
    <t>0174364610</t>
  </si>
  <si>
    <t>PM-0716</t>
  </si>
  <si>
    <t>3000/420</t>
  </si>
  <si>
    <t>LOT 6271,JLN</t>
  </si>
  <si>
    <t>SEGAMAT,LABIS</t>
  </si>
  <si>
    <t xml:space="preserve">SEGAMAT, </t>
  </si>
  <si>
    <t>ps.lb@shyg.com.my</t>
  </si>
  <si>
    <t>0127807569</t>
  </si>
  <si>
    <t>PM-0257</t>
  </si>
  <si>
    <t>3000/421</t>
  </si>
  <si>
    <t>LOT 4193,GRN</t>
  </si>
  <si>
    <t>97400 MUKIM LABIS, LABIS</t>
  </si>
  <si>
    <t>maslera@hotmail.com</t>
  </si>
  <si>
    <t>079255185</t>
  </si>
  <si>
    <t>PM-0501</t>
  </si>
  <si>
    <t>3000/422</t>
  </si>
  <si>
    <t>LOT PT 33762</t>
  </si>
  <si>
    <t>HS (D) 3390/95,MUKIM SUNGAI</t>
  </si>
  <si>
    <t>PETANI,BDR LAGUNA MERBOK</t>
  </si>
  <si>
    <t>mohdrohaya@yahoo.com.my</t>
  </si>
  <si>
    <t>044846331</t>
  </si>
  <si>
    <t>PM-0759</t>
  </si>
  <si>
    <t>3000/423</t>
  </si>
  <si>
    <t>LOT PTB 20457 HS(D)</t>
  </si>
  <si>
    <t>303968, JLN LANGKASUKA</t>
  </si>
  <si>
    <t>MUKIM BANDAR JOHOR BHARU</t>
  </si>
  <si>
    <t>IG11380672080</t>
  </si>
  <si>
    <t>supplier_aie@yahoo.com</t>
  </si>
  <si>
    <t>0122890284</t>
  </si>
  <si>
    <t>PM-0041</t>
  </si>
  <si>
    <t>3000/424</t>
  </si>
  <si>
    <t>LOT PTB 11985</t>
  </si>
  <si>
    <t>JLN LARKIN OFF JLN TUN</t>
  </si>
  <si>
    <t>RAZAK,JOHOR BAHRU,</t>
  </si>
  <si>
    <t>072272317</t>
  </si>
  <si>
    <t>PM-0464</t>
  </si>
  <si>
    <t>3000/425</t>
  </si>
  <si>
    <t>KUNDANG RSA (ARAH</t>
  </si>
  <si>
    <t>KUALA SELANGOR) LEBUHRAYA</t>
  </si>
  <si>
    <t>KL-KUALA SELANGOR (LATAR)</t>
  </si>
  <si>
    <t>IG4665240101</t>
  </si>
  <si>
    <t>salmisamoon@yahoo.com</t>
  </si>
  <si>
    <t>0125080260</t>
  </si>
  <si>
    <t>PM-0775</t>
  </si>
  <si>
    <t>3000/426</t>
  </si>
  <si>
    <t>KUNDANG RSA (ARAH TIMUR)</t>
  </si>
  <si>
    <t>LEBUHRAYA KL-KUALA SELANGOR</t>
  </si>
  <si>
    <t>(LATAR),RAWANG,GOMBAK</t>
  </si>
  <si>
    <t>IG10651854020</t>
  </si>
  <si>
    <t>nadlinhazalina@gmail.com</t>
  </si>
  <si>
    <t>0123800667</t>
  </si>
  <si>
    <t>PM-0151</t>
  </si>
  <si>
    <t>3000/427</t>
  </si>
  <si>
    <t>LOT 33866 PT</t>
  </si>
  <si>
    <t>2244 LAVENDER HEIGHTS</t>
  </si>
  <si>
    <t>SENAWANG</t>
  </si>
  <si>
    <t>C58196542060</t>
  </si>
  <si>
    <t>akidmaju.lavender@gmail.com</t>
  </si>
  <si>
    <t>066751338</t>
  </si>
  <si>
    <t>PM-0031</t>
  </si>
  <si>
    <t>3000/428</t>
  </si>
  <si>
    <t>LOT 30476 HS(D) 93764</t>
  </si>
  <si>
    <t>MUKIM &amp; DAERAH PETALING</t>
  </si>
  <si>
    <t>LEBUHRAYA DAMANSARA-PUCHONG</t>
  </si>
  <si>
    <t>moliza_ent@yahoo.com</t>
  </si>
  <si>
    <t>0380605722</t>
  </si>
  <si>
    <t>PM-0549</t>
  </si>
  <si>
    <t>3000/429</t>
  </si>
  <si>
    <t>LOT PT 8414</t>
  </si>
  <si>
    <t>HM (M) 38,MUKIM CHENG</t>
  </si>
  <si>
    <t>psgoldrush@gmail.com</t>
  </si>
  <si>
    <t>0173721304</t>
  </si>
  <si>
    <t>PM-0282</t>
  </si>
  <si>
    <t>3000/430</t>
  </si>
  <si>
    <t>LOT 715,GM 505,716 GM 506&amp;</t>
  </si>
  <si>
    <t>LOT 762,GM 1053</t>
  </si>
  <si>
    <t>IG201203129697</t>
  </si>
  <si>
    <t>nndnent@gmail.com</t>
  </si>
  <si>
    <t>0196665706</t>
  </si>
  <si>
    <t>PM-0603</t>
  </si>
  <si>
    <t>3000/431</t>
  </si>
  <si>
    <t>LOT 4753 GMM</t>
  </si>
  <si>
    <t>871,LEBUH AMJ SUNGAI PETAI</t>
  </si>
  <si>
    <t>MUKIM SUNGAI PETAI,ALOR GAJAH</t>
  </si>
  <si>
    <t>IG12199105090</t>
  </si>
  <si>
    <t>mmazharo@yahoo.com</t>
  </si>
  <si>
    <t>0126223894</t>
  </si>
  <si>
    <t>PM-0030</t>
  </si>
  <si>
    <t>3000/432</t>
  </si>
  <si>
    <t>PT 269556</t>
  </si>
  <si>
    <t>IPOH,</t>
  </si>
  <si>
    <t>pslmr.koperak@gmail.com</t>
  </si>
  <si>
    <t>052533014</t>
  </si>
  <si>
    <t>PM-0425</t>
  </si>
  <si>
    <t>3000/433</t>
  </si>
  <si>
    <t>PM1614,LOT 63831</t>
  </si>
  <si>
    <t>HANG TUAH JAYA,LEBUH</t>
  </si>
  <si>
    <t>SPA,MUKIM DURIAN TUNGGAL</t>
  </si>
  <si>
    <t>znrberkatservices@gmail.com</t>
  </si>
  <si>
    <t>0193874346</t>
  </si>
  <si>
    <t>PM-1027</t>
  </si>
  <si>
    <t>3000/434</t>
  </si>
  <si>
    <t>LOT PT 10139</t>
  </si>
  <si>
    <t>HM(M) 312,LEBUH SPA KRUBONG</t>
  </si>
  <si>
    <t>MUKIM KRUBONG,AYER KEROH</t>
  </si>
  <si>
    <t>pskrubong@gmail.com</t>
  </si>
  <si>
    <t>0192670087</t>
  </si>
  <si>
    <t>PM-0202</t>
  </si>
  <si>
    <t>3000/435</t>
  </si>
  <si>
    <t>LOT 4072</t>
  </si>
  <si>
    <t>LEBUHRAYA DARULAMAN,ALOR</t>
  </si>
  <si>
    <t xml:space="preserve">SETAR, </t>
  </si>
  <si>
    <t>05200</t>
  </si>
  <si>
    <t>snacahayamesra@yahoo.com</t>
  </si>
  <si>
    <t>0194003361</t>
  </si>
  <si>
    <t>PM-0393</t>
  </si>
  <si>
    <t>3000/436</t>
  </si>
  <si>
    <t>PTD 110919 &amp; 110910,LEBUHRAYA</t>
  </si>
  <si>
    <t>PASIR GUDANG,BDR BARU KOTA</t>
  </si>
  <si>
    <t>PUTERI, JLM MASAI LAMA</t>
  </si>
  <si>
    <t>IG4599466081</t>
  </si>
  <si>
    <t>ghpeinvoice@gmail.com</t>
  </si>
  <si>
    <t>073880184</t>
  </si>
  <si>
    <t>PM-0280</t>
  </si>
  <si>
    <t>3000/437</t>
  </si>
  <si>
    <t>LOT PTD 166325 HS(D)</t>
  </si>
  <si>
    <t>330787,KM 30,L/RAYA PASIR</t>
  </si>
  <si>
    <t>GUDANG,MUKIM PLENTONG</t>
  </si>
  <si>
    <t>stesenminyakzaidi@yahoo.com</t>
  </si>
  <si>
    <t>073880500</t>
  </si>
  <si>
    <t>PM-0886</t>
  </si>
  <si>
    <t>3000/438</t>
  </si>
  <si>
    <t>LOT PTD 105660 HS(M)</t>
  </si>
  <si>
    <t>3316,LEBUHRAYA PASIR</t>
  </si>
  <si>
    <t>GUDANG (PASIR GUDANG BOUND)</t>
  </si>
  <si>
    <t>lauce65@yahoo.com</t>
  </si>
  <si>
    <t>0177773383</t>
  </si>
  <si>
    <t>PM-0281</t>
  </si>
  <si>
    <t>3000/439</t>
  </si>
  <si>
    <t>LOT 49987,MUKIM</t>
  </si>
  <si>
    <t>SENAI - KULAI,LEBUHRAYA</t>
  </si>
  <si>
    <t>PONTIAN (ARAH JOHOR BAHRU)</t>
  </si>
  <si>
    <t>C490833902</t>
  </si>
  <si>
    <t>J31-1808-31021899</t>
  </si>
  <si>
    <t>acc.utsbpetronas@gmail.com</t>
  </si>
  <si>
    <t>0197583230</t>
  </si>
  <si>
    <t>PM-0966</t>
  </si>
  <si>
    <t>3000/440</t>
  </si>
  <si>
    <t>GM 26437,LOT 46</t>
  </si>
  <si>
    <t>SEKSYEN 27 &amp; GM 26438,LOT 48</t>
  </si>
  <si>
    <t>SEKSYEN 27,BDR ALOR SETAR</t>
  </si>
  <si>
    <t>05400</t>
  </si>
  <si>
    <t>pskotasetar@antar.my</t>
  </si>
  <si>
    <t>0124308888</t>
  </si>
  <si>
    <t>PM-0643</t>
  </si>
  <si>
    <t>3000/441</t>
  </si>
  <si>
    <t>NO 11, KAWASAN REHAT</t>
  </si>
  <si>
    <t xml:space="preserve"> &amp; RAWAT PAGOH SELATAN</t>
  </si>
  <si>
    <t>JALAN SENGKANG, PAGOH, MUAR</t>
  </si>
  <si>
    <t xml:space="preserve"> JOHOR</t>
  </si>
  <si>
    <t>0129422021</t>
  </si>
  <si>
    <t>SITI HAJAR</t>
  </si>
  <si>
    <t>SM-0109</t>
  </si>
  <si>
    <t>3000/442</t>
  </si>
  <si>
    <t>NO.14,JLN GERIK</t>
  </si>
  <si>
    <t>LENGGONG</t>
  </si>
  <si>
    <t xml:space="preserve">HULU PERAK, </t>
  </si>
  <si>
    <t>designabu@yahoo.com</t>
  </si>
  <si>
    <t>057677254</t>
  </si>
  <si>
    <t>PM-0659</t>
  </si>
  <si>
    <t>3000/443</t>
  </si>
  <si>
    <t>LOT 1092 PT 6075</t>
  </si>
  <si>
    <t>LEBUHRAYA KARAK</t>
  </si>
  <si>
    <t>SELAYANG SELANGOR,GOMBAK</t>
  </si>
  <si>
    <t>mrsazali@gmail.com</t>
  </si>
  <si>
    <t>0361867334</t>
  </si>
  <si>
    <t>PM-0374</t>
  </si>
  <si>
    <t>3000/444</t>
  </si>
  <si>
    <t>TAPAK D,R&amp;R</t>
  </si>
  <si>
    <t>ARAH UTARA</t>
  </si>
  <si>
    <t>LALUAN KEDUA,GELANG PATAH</t>
  </si>
  <si>
    <t>IG5564229020</t>
  </si>
  <si>
    <t>jabal.heqma@gmail.com</t>
  </si>
  <si>
    <t>0127013566</t>
  </si>
  <si>
    <t>PM-0348</t>
  </si>
  <si>
    <t>3000/445</t>
  </si>
  <si>
    <t>LOT 5890 JLN LOBAK</t>
  </si>
  <si>
    <t>airaz.legacy@gamil.com</t>
  </si>
  <si>
    <t>067618236</t>
  </si>
  <si>
    <t>PM-0027</t>
  </si>
  <si>
    <t>3000/446</t>
  </si>
  <si>
    <t>LOT 353,BATU 3</t>
  </si>
  <si>
    <t>JLN CHERAS,</t>
  </si>
  <si>
    <t>KUALA LUMPUR,ULU LANGAT</t>
  </si>
  <si>
    <t>arjen_syafiq83@yahoo.com</t>
  </si>
  <si>
    <t>0132042968</t>
  </si>
  <si>
    <t>PM-0148</t>
  </si>
  <si>
    <t>3000/447</t>
  </si>
  <si>
    <t>NO.2,JLN AKUATIK</t>
  </si>
  <si>
    <t>13/64A,SEKSYEN 1</t>
  </si>
  <si>
    <t>SHAH ALAM,SELANGOR,PETALING</t>
  </si>
  <si>
    <t>saadiah_gme@yahoo.com</t>
  </si>
  <si>
    <t>0355194415</t>
  </si>
  <si>
    <t>PM-0266</t>
  </si>
  <si>
    <t>3000/448</t>
  </si>
  <si>
    <t>LOT 59,BATU 3</t>
  </si>
  <si>
    <t>JLN AMPANG,KUALA</t>
  </si>
  <si>
    <t>LUMPUR,WILAYAH PERSEKUTUAN</t>
  </si>
  <si>
    <t>zanrai@yahoo.com</t>
  </si>
  <si>
    <t>0342660330</t>
  </si>
  <si>
    <t>PM-1015</t>
  </si>
  <si>
    <t>3000/449</t>
  </si>
  <si>
    <t>NO.722A,JLN</t>
  </si>
  <si>
    <t>SUNGAI DUA,SUNGAI DUA</t>
  </si>
  <si>
    <t>GELUGOR,</t>
  </si>
  <si>
    <t>ojlee1@hotmail.com</t>
  </si>
  <si>
    <t>0124758757</t>
  </si>
  <si>
    <t>PM-0478</t>
  </si>
  <si>
    <t>3000/450</t>
  </si>
  <si>
    <t>LOT A, LOT 9359 HS(D)</t>
  </si>
  <si>
    <t>119818,GARDEN</t>
  </si>
  <si>
    <t>AVENUE BANDAR SEREMBAN 2</t>
  </si>
  <si>
    <t>C57813413060</t>
  </si>
  <si>
    <t>emeliasuaib812@gmail.com</t>
  </si>
  <si>
    <t>0127247770</t>
  </si>
  <si>
    <t>Johari</t>
  </si>
  <si>
    <t>PM-0218</t>
  </si>
  <si>
    <t>3000/451</t>
  </si>
  <si>
    <t>LOT C,PART OF LOT PT 6283</t>
  </si>
  <si>
    <t>HS(D) 109226</t>
  </si>
  <si>
    <t>BDR SEREMBAN 2,MUKIM RASAH</t>
  </si>
  <si>
    <t>puteramer_ent@yahoo.com.my</t>
  </si>
  <si>
    <t>066015442</t>
  </si>
  <si>
    <t>PM-0711</t>
  </si>
  <si>
    <t>3000/452</t>
  </si>
  <si>
    <t>LOT 1702,BATU 27</t>
  </si>
  <si>
    <t>JLN LUBOK CHINA,AL</t>
  </si>
  <si>
    <t xml:space="preserve">GAJAH, </t>
  </si>
  <si>
    <t>nuridenterprise@gmail.com</t>
  </si>
  <si>
    <t>PM-0614</t>
  </si>
  <si>
    <t>3000/453</t>
  </si>
  <si>
    <t>LOT PT 326,MUKIM</t>
  </si>
  <si>
    <t>BANDAR MACHANG</t>
  </si>
  <si>
    <t xml:space="preserve">MACHANG, </t>
  </si>
  <si>
    <t>musbieha65@gmail.com</t>
  </si>
  <si>
    <t>0104033149</t>
  </si>
  <si>
    <t>PM-0562</t>
  </si>
  <si>
    <t>3000/454</t>
  </si>
  <si>
    <t>LOT PT 4791 HS(M)</t>
  </si>
  <si>
    <t>KG. KWENG HITAM,JLN</t>
  </si>
  <si>
    <t>KUALA KRAI,MACHANG BYPASS</t>
  </si>
  <si>
    <t>IG11462820030</t>
  </si>
  <si>
    <t>razanpetrol@gmail.com</t>
  </si>
  <si>
    <t>0179116173</t>
  </si>
  <si>
    <t>PM-0724</t>
  </si>
  <si>
    <t>3000/455</t>
  </si>
  <si>
    <t>PS MACHAP (NORTH BOUND)</t>
  </si>
  <si>
    <t>KAWASAN REHAT &amp; RAWAT</t>
  </si>
  <si>
    <t>PLUS(ARAH UTARA), MACHAP,</t>
  </si>
  <si>
    <t>IG2605704021</t>
  </si>
  <si>
    <t>BINTANGMESRA20@GMAIL.COM</t>
  </si>
  <si>
    <t>0194549098</t>
  </si>
  <si>
    <t>PM-0130</t>
  </si>
  <si>
    <t>3000/456</t>
  </si>
  <si>
    <t>R&amp;R PLUS</t>
  </si>
  <si>
    <t>MACHAP</t>
  </si>
  <si>
    <t>ARAH SELATAN,KLUANG</t>
  </si>
  <si>
    <t>petronasmsb@jtmgroups.com</t>
  </si>
  <si>
    <t>0122070747</t>
  </si>
  <si>
    <t>PM-0369</t>
  </si>
  <si>
    <t>3000/457</t>
  </si>
  <si>
    <t>LTO PT 1053,MUKIM</t>
  </si>
  <si>
    <t>MAKA,JLN PASIR MAS</t>
  </si>
  <si>
    <t>TANAH MERAH,</t>
  </si>
  <si>
    <t>IG6381944091</t>
  </si>
  <si>
    <t>esu.pssmaka@gmail.com</t>
  </si>
  <si>
    <t>099552673</t>
  </si>
  <si>
    <t>PM-0916</t>
  </si>
  <si>
    <t>3000/458</t>
  </si>
  <si>
    <t>LOT 4704,BATU 2 1/2</t>
  </si>
  <si>
    <t>JLN SEREMBAN-PORt</t>
  </si>
  <si>
    <t>DICKSON,SEREMBAN</t>
  </si>
  <si>
    <t>pss_mambau@yahoo.com</t>
  </si>
  <si>
    <t>066337944</t>
  </si>
  <si>
    <t>PM-0233</t>
  </si>
  <si>
    <t>3000/459</t>
  </si>
  <si>
    <t>LOT PT 44665</t>
  </si>
  <si>
    <t>MUKIM BATU,BANDAR</t>
  </si>
  <si>
    <t>MENJALARA,</t>
  </si>
  <si>
    <t>zaceriaventures@gmail.com</t>
  </si>
  <si>
    <t>0362742355</t>
  </si>
  <si>
    <t>PM-1000</t>
  </si>
  <si>
    <t>3000/460</t>
  </si>
  <si>
    <t>PT 15073,PUSAT PERNIAGAAN</t>
  </si>
  <si>
    <t>MANJUNG POINT3</t>
  </si>
  <si>
    <t>MANJUNG</t>
  </si>
  <si>
    <t>917694-A</t>
  </si>
  <si>
    <t>C 21331571080</t>
  </si>
  <si>
    <t>psmanjung@gmail.com</t>
  </si>
  <si>
    <t>0123801124</t>
  </si>
  <si>
    <t>PM-0342</t>
  </si>
  <si>
    <t>3000/461</t>
  </si>
  <si>
    <t>LOT PT10 JLN</t>
  </si>
  <si>
    <t>BESAR MANTIN PEKAN</t>
  </si>
  <si>
    <t>MANTIN</t>
  </si>
  <si>
    <t>ida.pssmatahari@yahoo.com</t>
  </si>
  <si>
    <t>0126015090</t>
  </si>
  <si>
    <t>PM-0011</t>
  </si>
  <si>
    <t>3000/462</t>
  </si>
  <si>
    <t>LOT PT 8497,MUKIM</t>
  </si>
  <si>
    <t>PULAU KERENGGA</t>
  </si>
  <si>
    <t>MARANG</t>
  </si>
  <si>
    <t>shafini2019@gmail.com</t>
  </si>
  <si>
    <t>0194641727</t>
  </si>
  <si>
    <t>PM-0718</t>
  </si>
  <si>
    <t>3000/463</t>
  </si>
  <si>
    <t>PT 19710 (L/K)</t>
  </si>
  <si>
    <t>TELUK MUROH</t>
  </si>
  <si>
    <t>LUMUT</t>
  </si>
  <si>
    <t>marinastation2020@gmail.com</t>
  </si>
  <si>
    <t>0126636745</t>
  </si>
  <si>
    <t>PM-0497</t>
  </si>
  <si>
    <t>3000/464</t>
  </si>
  <si>
    <t>LOT PT 851,MUKIM</t>
  </si>
  <si>
    <t>SG.BARU ULU,PEKAN</t>
  </si>
  <si>
    <t>MASJID TANAH,ALOR GAJAH</t>
  </si>
  <si>
    <t>IG22055520060</t>
  </si>
  <si>
    <t>umatenbiz@gmail.com</t>
  </si>
  <si>
    <t>063852834</t>
  </si>
  <si>
    <t>PM-0964</t>
  </si>
  <si>
    <t>3000/465</t>
  </si>
  <si>
    <t>LOT 1846 PN 648 (LOT.PT</t>
  </si>
  <si>
    <t>4087 HSD 154332) MUKIM</t>
  </si>
  <si>
    <t>AMPANGAN,MATAHARI HEIGHT</t>
  </si>
  <si>
    <t>066791187</t>
  </si>
  <si>
    <t>PM-0335</t>
  </si>
  <si>
    <t>3000/466</t>
  </si>
  <si>
    <t>LOT 362,MUKIM</t>
  </si>
  <si>
    <t>PERINGAT,BT 12 1/2,PADA</t>
  </si>
  <si>
    <t>RAJA,KOTA BHARU,</t>
  </si>
  <si>
    <t>IG3192736100</t>
  </si>
  <si>
    <t>petromelor@yahoo.com</t>
  </si>
  <si>
    <t>097835888</t>
  </si>
  <si>
    <t>PM-0675</t>
  </si>
  <si>
    <t>3000/467</t>
  </si>
  <si>
    <t>STESEN PETRONAS MENGKUANG</t>
  </si>
  <si>
    <t>TITI, HS(D) 57556,PT 63</t>
  </si>
  <si>
    <t>MUKIM 19,KUBANG SEMANG</t>
  </si>
  <si>
    <t>azlinaibrahim5366@gmail.com</t>
  </si>
  <si>
    <t>0132032065</t>
  </si>
  <si>
    <t>PM-0201</t>
  </si>
  <si>
    <t>3000/468</t>
  </si>
  <si>
    <t>LOT 314,MUKIM MERANG</t>
  </si>
  <si>
    <t>DAERAH SETIU</t>
  </si>
  <si>
    <t>SETIU,</t>
  </si>
  <si>
    <t>IG20384200060</t>
  </si>
  <si>
    <t>ariza_ahmad04@yahoo.com</t>
  </si>
  <si>
    <t>096531512</t>
  </si>
  <si>
    <t>PM-0080</t>
  </si>
  <si>
    <t>3000/469</t>
  </si>
  <si>
    <t>PT 47359 HS(M) 14183</t>
  </si>
  <si>
    <t>KAMPUNG MERBAU INDAH</t>
  </si>
  <si>
    <t>SUNGAI BULOH,</t>
  </si>
  <si>
    <t>tankuenwei@gmail.com</t>
  </si>
  <si>
    <t>0360386988</t>
  </si>
  <si>
    <t>PM-0844</t>
  </si>
  <si>
    <t>3000/470</t>
  </si>
  <si>
    <t>LOT 3628,JLN PUTRA</t>
  </si>
  <si>
    <t>MUKIM MERGONG,ALOR SETAR</t>
  </si>
  <si>
    <t>KEDAH, KOTA SETAR</t>
  </si>
  <si>
    <t>05150</t>
  </si>
  <si>
    <t>mbmpet@yahoo.com</t>
  </si>
  <si>
    <t>047327526</t>
  </si>
  <si>
    <t>PM-0510</t>
  </si>
  <si>
    <t>3000/471</t>
  </si>
  <si>
    <t>LOT 3523,MUKIM MERLIMAU</t>
  </si>
  <si>
    <t>JASIN</t>
  </si>
  <si>
    <t>pitis.merlimau@yahoo.com</t>
  </si>
  <si>
    <t>062631984</t>
  </si>
  <si>
    <t>PM-0690</t>
  </si>
  <si>
    <t>3000/472</t>
  </si>
  <si>
    <t>LOT 1033,JLN ENDAU</t>
  </si>
  <si>
    <t>MERSING</t>
  </si>
  <si>
    <t>ptrns.mersing@felda.net.my</t>
  </si>
  <si>
    <t>077992641</t>
  </si>
  <si>
    <t>PM-0434</t>
  </si>
  <si>
    <t>3000/473</t>
  </si>
  <si>
    <t>LOT 15703 PM 3851</t>
  </si>
  <si>
    <t>MUKIM BUKIT KATIL</t>
  </si>
  <si>
    <t>PM-0029</t>
  </si>
  <si>
    <t>3000/474</t>
  </si>
  <si>
    <t>LOT PT 21,HS (D)</t>
  </si>
  <si>
    <t>4976,MUKIM AMPANG</t>
  </si>
  <si>
    <t xml:space="preserve">ULU LANGAT, </t>
  </si>
  <si>
    <t>0392003294</t>
  </si>
  <si>
    <t>PM-0779</t>
  </si>
  <si>
    <t>3000/475</t>
  </si>
  <si>
    <t>LOT PT 25747</t>
  </si>
  <si>
    <t>MUKIM BATU</t>
  </si>
  <si>
    <t xml:space="preserve">WILAYAH PERSEKUTUAN </t>
  </si>
  <si>
    <t>shanisa4@yahoo.com</t>
  </si>
  <si>
    <t>0133946974</t>
  </si>
  <si>
    <t>PM-0985</t>
  </si>
  <si>
    <t>3000/476</t>
  </si>
  <si>
    <t>PS MRR2 KEPONG</t>
  </si>
  <si>
    <t>LOT 17292 MRR2 (BATU CAVES</t>
  </si>
  <si>
    <t>BOUND), MUKIM BATU KEPONG,</t>
  </si>
  <si>
    <t>IG 5353169081</t>
  </si>
  <si>
    <t>47114 and 47300</t>
  </si>
  <si>
    <t>lindacdz4935@gmail.com</t>
  </si>
  <si>
    <t>PM-0191</t>
  </si>
  <si>
    <t>3000/477</t>
  </si>
  <si>
    <t>LOT 911,GM NO 222</t>
  </si>
  <si>
    <t>MRR2,MUKIM HULU</t>
  </si>
  <si>
    <t>KELANG,AMPANG,</t>
  </si>
  <si>
    <t>OG20702072080</t>
  </si>
  <si>
    <t>Warithiman@gmail.com</t>
  </si>
  <si>
    <t>0341058911</t>
  </si>
  <si>
    <t>PM-0980</t>
  </si>
  <si>
    <t>3000/478</t>
  </si>
  <si>
    <t>TMN SRI KENRANJI</t>
  </si>
  <si>
    <t>JLN PASIR PUTEH</t>
  </si>
  <si>
    <t>KOTA BHARU,</t>
  </si>
  <si>
    <t>muslehprohealth@gmail.com</t>
  </si>
  <si>
    <t>01124010944</t>
  </si>
  <si>
    <t>AMIR ZAMRI</t>
  </si>
  <si>
    <t>FAZILAH</t>
  </si>
  <si>
    <t>SM-0163</t>
  </si>
  <si>
    <t>3000/479</t>
  </si>
  <si>
    <t>LOT 3358,KM 78</t>
  </si>
  <si>
    <t>MUADZAM SHAH,LEBUHRAYA</t>
  </si>
  <si>
    <t>TUN RAZAK,PEKAN,PAHANG</t>
  </si>
  <si>
    <t>PM-0427</t>
  </si>
  <si>
    <t>3000/480</t>
  </si>
  <si>
    <t>LOT 4231 GM 3991 MUKIM</t>
  </si>
  <si>
    <t>GM 3991,MUKIM BDR MUAR</t>
  </si>
  <si>
    <t>MUAR BYPASS,MUAR</t>
  </si>
  <si>
    <t>mbps60@yahoo.com</t>
  </si>
  <si>
    <t>0123208317</t>
  </si>
  <si>
    <t>PM-0952</t>
  </si>
  <si>
    <t>3000/481</t>
  </si>
  <si>
    <t>PS MUKIM BANGAU</t>
  </si>
  <si>
    <t>LOT PT 1361, KM 13,</t>
  </si>
  <si>
    <t>JALAN MARAN, MUKIM BANGAU,</t>
  </si>
  <si>
    <t>CS3850851060</t>
  </si>
  <si>
    <t>pssmukimbangau@yahoo.com</t>
  </si>
  <si>
    <t>092986929</t>
  </si>
  <si>
    <t>PM-0404</t>
  </si>
  <si>
    <t>3000/482</t>
  </si>
  <si>
    <t>PS MUKIM BATU BERENDAM</t>
  </si>
  <si>
    <t>LOT 3237, GMM 384 MUKIM BATU</t>
  </si>
  <si>
    <t>BERENDAM, MELAKA TENGAH,</t>
  </si>
  <si>
    <t>IG2683035030</t>
  </si>
  <si>
    <t>kulisdagang@gmail.com</t>
  </si>
  <si>
    <t>0196539907</t>
  </si>
  <si>
    <t>PM-0456</t>
  </si>
  <si>
    <t>3000/483</t>
  </si>
  <si>
    <t>LOT PT 56</t>
  </si>
  <si>
    <t>MUKIM KELEMAK,MELAKA</t>
  </si>
  <si>
    <t>psspeladang@yahoo.com</t>
  </si>
  <si>
    <t>065564254</t>
  </si>
  <si>
    <t>PM-0658</t>
  </si>
  <si>
    <t>3000/484</t>
  </si>
  <si>
    <t>LOT PTD 6717</t>
  </si>
  <si>
    <t>MUKIM KESANG KM 1 JLN</t>
  </si>
  <si>
    <t>TANJUNG AGAS, MUAR</t>
  </si>
  <si>
    <t>ahbb.petromart@gmail.com</t>
  </si>
  <si>
    <t>069549963</t>
  </si>
  <si>
    <t>PM-0021</t>
  </si>
  <si>
    <t>3000/485</t>
  </si>
  <si>
    <t>LOT 1270</t>
  </si>
  <si>
    <t>MUKIM KUALA PAKA,DUNGUN</t>
  </si>
  <si>
    <t>yati_psspaka1@yahoo.com.my</t>
  </si>
  <si>
    <t>0199646971</t>
  </si>
  <si>
    <t>PM-0931</t>
  </si>
  <si>
    <t>3000/486</t>
  </si>
  <si>
    <t>LOT 134,MUKIM PELAGAT</t>
  </si>
  <si>
    <t>KAWASAN SEBERANG JERTEH</t>
  </si>
  <si>
    <t>ahsanenterprise0@gmail.com</t>
  </si>
  <si>
    <t>0179600498</t>
  </si>
  <si>
    <t>PM-0022</t>
  </si>
  <si>
    <t>3000/487</t>
  </si>
  <si>
    <t>LOT 1283,GM 679</t>
  </si>
  <si>
    <t>MUKIM PULAI,SKUDAI</t>
  </si>
  <si>
    <t>HIGHWAY,JOHOR BAHRU</t>
  </si>
  <si>
    <t>energysonic.my@gmail.com</t>
  </si>
  <si>
    <t>PM-0223</t>
  </si>
  <si>
    <t>3000/488</t>
  </si>
  <si>
    <t>LOT 155,MUKIM</t>
  </si>
  <si>
    <t>SERMIN,JLN BULOH KASAP</t>
  </si>
  <si>
    <t>079311190</t>
  </si>
  <si>
    <t>PM-0408</t>
  </si>
  <si>
    <t>3000/489</t>
  </si>
  <si>
    <t>PS MUKIM TEJA, IPOH</t>
  </si>
  <si>
    <t>LOT PT 2015 MUKIM TEJA, KINTA,</t>
  </si>
  <si>
    <t>GOPENG</t>
  </si>
  <si>
    <t>tejabest2@yahoo.com.my</t>
  </si>
  <si>
    <t>053596890</t>
  </si>
  <si>
    <t>PM-0671</t>
  </si>
  <si>
    <t>3000/490</t>
  </si>
  <si>
    <t>LOT 144,MUKIM</t>
  </si>
  <si>
    <t>TOK JAMAL,JLN KUALA</t>
  </si>
  <si>
    <t>BERANG,KUALA TERENGGANU</t>
  </si>
  <si>
    <t>rezamsulong@hotmail.com</t>
  </si>
  <si>
    <t>096239177</t>
  </si>
  <si>
    <t>PM-0733</t>
  </si>
  <si>
    <t>3000/491</t>
  </si>
  <si>
    <t>LOT PT 40036 HS (D)</t>
  </si>
  <si>
    <t>144347,JLN PJU 7/1 MUTIARA</t>
  </si>
  <si>
    <t>fiza_r@hotmail.com</t>
  </si>
  <si>
    <t>0326988081</t>
  </si>
  <si>
    <t>PM-0253</t>
  </si>
  <si>
    <t>3000/492</t>
  </si>
  <si>
    <t>LOT PTD 81817</t>
  </si>
  <si>
    <t>MUTIARA RINI,KUDAI,JOHOR</t>
  </si>
  <si>
    <t>dszainahent@gmail.com</t>
  </si>
  <si>
    <t>075542297</t>
  </si>
  <si>
    <t>PM-0197</t>
  </si>
  <si>
    <t>3000/493</t>
  </si>
  <si>
    <t>LOT 4107,MUKIM 9</t>
  </si>
  <si>
    <t>JLN BESAR,NIBONG TEBAL</t>
  </si>
  <si>
    <t>PULAU PINANG, SEBERANG</t>
  </si>
  <si>
    <t>nnfajarenterprise@gmail.com</t>
  </si>
  <si>
    <t>045932950</t>
  </si>
  <si>
    <t>PM-0600</t>
  </si>
  <si>
    <t>3000/494</t>
  </si>
  <si>
    <t>LOT 1227,JLN</t>
  </si>
  <si>
    <t>MUTIARA,NILAI IMPIAN</t>
  </si>
  <si>
    <t>mohamadameer@yahoo.com</t>
  </si>
  <si>
    <t>0194787066</t>
  </si>
  <si>
    <t>PM-0485</t>
  </si>
  <si>
    <t>3000/495</t>
  </si>
  <si>
    <t>LOT PT 12874&amp;12875</t>
  </si>
  <si>
    <t>JLN NILAI-PAJAM</t>
  </si>
  <si>
    <t>TMN SEMARAK II,NILAI</t>
  </si>
  <si>
    <t>gemilangvnt@g,ail.com</t>
  </si>
  <si>
    <t>PM-0273</t>
  </si>
  <si>
    <t>3000/496</t>
  </si>
  <si>
    <t>LOT 15385 KM 15.3</t>
  </si>
  <si>
    <t>NKVE-DAMANSARA BOUND</t>
  </si>
  <si>
    <t>DAMANSARA,PETALING</t>
  </si>
  <si>
    <t>IG3127366010</t>
  </si>
  <si>
    <t>einvoice_pssnkve@yahoo.com</t>
  </si>
  <si>
    <t>0323000448</t>
  </si>
  <si>
    <t>PM-0118</t>
  </si>
  <si>
    <t>3000/497</t>
  </si>
  <si>
    <t>NEW KLANG VALLEY</t>
  </si>
  <si>
    <t>EXPRESSWAY (NKVE),BUKIT RAJA</t>
  </si>
  <si>
    <t>TOLL (KLANG BOUND),KLANG</t>
  </si>
  <si>
    <t>IG 12226194010</t>
  </si>
  <si>
    <t>dellkiosk@yahoo.com</t>
  </si>
  <si>
    <t>0342520815</t>
  </si>
  <si>
    <t>PM-0185</t>
  </si>
  <si>
    <t>3000/498</t>
  </si>
  <si>
    <t>LOT PT 111 HS (M)</t>
  </si>
  <si>
    <t>10261 SECTION40,SUBANG</t>
  </si>
  <si>
    <t>mhglobal.shift@gmail.com</t>
  </si>
  <si>
    <t>0378804927</t>
  </si>
  <si>
    <t>PM-0531</t>
  </si>
  <si>
    <t>3000/499</t>
  </si>
  <si>
    <t>CH.1520-1710 OFF NEW</t>
  </si>
  <si>
    <t>PANTAI EXPRESSWAY NPE) NEAR</t>
  </si>
  <si>
    <t>PANTAI DALAM INTERCHANGE</t>
  </si>
  <si>
    <t>ilani.hafiz@gmai.com</t>
  </si>
  <si>
    <t>0122751212</t>
  </si>
  <si>
    <t>PM-0790</t>
  </si>
  <si>
    <t>3000/500</t>
  </si>
  <si>
    <t>CH 11760-CH11950</t>
  </si>
  <si>
    <t>OFF NEW PANTAI EXPRESSWAY</t>
  </si>
  <si>
    <t>(NPE) NEAR TAMAN DESA</t>
  </si>
  <si>
    <t>ffwcenterprise@gmail.com</t>
  </si>
  <si>
    <t>0379817033</t>
  </si>
  <si>
    <t>PM-0248</t>
  </si>
  <si>
    <t>3000/501</t>
  </si>
  <si>
    <t>LOT PT 31182</t>
  </si>
  <si>
    <t>KAMPUNG BARU,PEKAN</t>
  </si>
  <si>
    <t>PANDAMARAN,PELABUHAN KLANG</t>
  </si>
  <si>
    <t>azraazman@gmail.com</t>
  </si>
  <si>
    <t>0173407500</t>
  </si>
  <si>
    <t>PM-0569</t>
  </si>
  <si>
    <t>3000/502</t>
  </si>
  <si>
    <t>LOT PTD 77638</t>
  </si>
  <si>
    <t>TMN NUSA PERINTIS,GELANG</t>
  </si>
  <si>
    <t>PATAH,JOHOR BAHRU,</t>
  </si>
  <si>
    <t>G060818834041</t>
  </si>
  <si>
    <t>smperintis@yahoo.com</t>
  </si>
  <si>
    <t>075310034</t>
  </si>
  <si>
    <t>PM-0872</t>
  </si>
  <si>
    <t>3000/503</t>
  </si>
  <si>
    <t>LOT PT4024 HSM</t>
  </si>
  <si>
    <t>5694,MK TANJUNG12,OLAK</t>
  </si>
  <si>
    <t xml:space="preserve">LEMPIT,BANTING </t>
  </si>
  <si>
    <t>pssdayainsan@gmail.com</t>
  </si>
  <si>
    <t>0331493500</t>
  </si>
  <si>
    <t>PM-0924</t>
  </si>
  <si>
    <t>3000/504</t>
  </si>
  <si>
    <t>GM 1149 LOT 1988</t>
  </si>
  <si>
    <t>MUKIM TANJUNG 12,KUAL</t>
  </si>
  <si>
    <t>LANGAT,BANTING,</t>
  </si>
  <si>
    <t>psskota@gmail.com</t>
  </si>
  <si>
    <t>0173369550</t>
  </si>
  <si>
    <t>PM-0176</t>
  </si>
  <si>
    <t>3000/505</t>
  </si>
  <si>
    <t>LOT 795,MUKIM TITI</t>
  </si>
  <si>
    <t>TINGGI,PADANG BESAR</t>
  </si>
  <si>
    <t>02100</t>
  </si>
  <si>
    <t>mesrautara1@gmail.com</t>
  </si>
  <si>
    <t>049493533</t>
  </si>
  <si>
    <t>PM-0530</t>
  </si>
  <si>
    <t>3000/506</t>
  </si>
  <si>
    <t>PLOT T,LOT 228</t>
  </si>
  <si>
    <t>JLN PADANG MAT SIRAT,</t>
  </si>
  <si>
    <t xml:space="preserve">LANGKAWI, </t>
  </si>
  <si>
    <t>07100</t>
  </si>
  <si>
    <t>psswangi@gmail.com</t>
  </si>
  <si>
    <t>049552888</t>
  </si>
  <si>
    <t>PM-0174</t>
  </si>
  <si>
    <t>3000/507</t>
  </si>
  <si>
    <t>GM 36,LOT 1614 (NEW LOT</t>
  </si>
  <si>
    <t>NO 2415),KAMPU KEDAI,JLN</t>
  </si>
  <si>
    <t>KUALA TERENGGANU-KUALA BERANG</t>
  </si>
  <si>
    <t>IG21088834030</t>
  </si>
  <si>
    <t>zielasyifa@gmail.com</t>
  </si>
  <si>
    <t>096309277</t>
  </si>
  <si>
    <t>PM-0085</t>
  </si>
  <si>
    <t>3000/508</t>
  </si>
  <si>
    <t>LOT PT 497,JLN</t>
  </si>
  <si>
    <t>BESAR,KG.PAYA PANJANG</t>
  </si>
  <si>
    <t>PADANG RENGAS,KUALA KANGSAR</t>
  </si>
  <si>
    <t>0124936367</t>
  </si>
  <si>
    <t>PM-0153</t>
  </si>
  <si>
    <t>3000/509</t>
  </si>
  <si>
    <t>LOT PT 3932 HSD</t>
  </si>
  <si>
    <t>16036,TMN SERAI WANGI</t>
  </si>
  <si>
    <t>KULIM,</t>
  </si>
  <si>
    <t>IG5550522080</t>
  </si>
  <si>
    <t>fh_intech@yahoo.com</t>
  </si>
  <si>
    <t>0387761811</t>
  </si>
  <si>
    <t>PM-0249</t>
  </si>
  <si>
    <t>3000/510</t>
  </si>
  <si>
    <t>NO.3,PUSAT</t>
  </si>
  <si>
    <t>PERNIAGAAN D'GALLA,JLN</t>
  </si>
  <si>
    <t>NILAI - PAJAM,SEREMBAN</t>
  </si>
  <si>
    <t>C24710272050</t>
  </si>
  <si>
    <t>s3.petrol@gmail.com</t>
  </si>
  <si>
    <t>0165638651</t>
  </si>
  <si>
    <t>PM-0768</t>
  </si>
  <si>
    <t>3000/511</t>
  </si>
  <si>
    <t>LOT 2475 GM 5709</t>
  </si>
  <si>
    <t>MUKIM KUALA PAKA,JLN</t>
  </si>
  <si>
    <t>KERTEH-PAKA,DAERAH DUNGUN</t>
  </si>
  <si>
    <t>ig 11118439080</t>
  </si>
  <si>
    <t>budgent1805@yahoo.com.my</t>
  </si>
  <si>
    <t>095381486</t>
  </si>
  <si>
    <t>PM-0133</t>
  </si>
  <si>
    <t>3000/512</t>
  </si>
  <si>
    <t>LOT PT 18231</t>
  </si>
  <si>
    <t>JLN PANDAN INDAH 1/25</t>
  </si>
  <si>
    <t xml:space="preserve">PANDAN INDAH, </t>
  </si>
  <si>
    <t>ismail_5456@yahoo.com</t>
  </si>
  <si>
    <t>0392742352</t>
  </si>
  <si>
    <t>PM-0362</t>
  </si>
  <si>
    <t>3000/513</t>
  </si>
  <si>
    <t>LOT 6942,GMM</t>
  </si>
  <si>
    <t>2200 PANDAN JAYA,MUKIM</t>
  </si>
  <si>
    <t>BALAI PANJANG,MELAKA TENGAH</t>
  </si>
  <si>
    <t>IG21131998080</t>
  </si>
  <si>
    <t>hidayanis.ent@gmail.com</t>
  </si>
  <si>
    <t>0126307755</t>
  </si>
  <si>
    <t>PM-0308</t>
  </si>
  <si>
    <t>3000/514</t>
  </si>
  <si>
    <t>LOT 993 GM 913</t>
  </si>
  <si>
    <t>PANTAI CAHAYA BULAN,MUK</t>
  </si>
  <si>
    <t>BANGGOL,JAJAHAN KOTA BHARU</t>
  </si>
  <si>
    <t>hatta2884@gmail.com</t>
  </si>
  <si>
    <t>0123155962</t>
  </si>
  <si>
    <t>PM-0944</t>
  </si>
  <si>
    <t>3000/515</t>
  </si>
  <si>
    <t>PT 5023 BATU 17</t>
  </si>
  <si>
    <t>JLN PENGKALAN BAHARU</t>
  </si>
  <si>
    <t xml:space="preserve">PANTAI REMIS </t>
  </si>
  <si>
    <t>ppr.emplatinum@gmail.com</t>
  </si>
  <si>
    <t>0194003793</t>
  </si>
  <si>
    <t>PM-0216</t>
  </si>
  <si>
    <t>3000/516</t>
  </si>
  <si>
    <t>LOT PTD 2478</t>
  </si>
  <si>
    <t>MUKIM PESERAI,JLN BATU</t>
  </si>
  <si>
    <t>PAHAT-MUAR, JOHOR,BATU PAHAT</t>
  </si>
  <si>
    <t>pcs_btpahat@yahoo.com</t>
  </si>
  <si>
    <t>0129542053</t>
  </si>
  <si>
    <t>PM-0637</t>
  </si>
  <si>
    <t>3000/517</t>
  </si>
  <si>
    <t>LOT 126,DAERAH</t>
  </si>
  <si>
    <t>KERIAN,KAWASAN PERUSAHAAN</t>
  </si>
  <si>
    <t>PARIT BUNTAR, PARIT BUNTAR</t>
  </si>
  <si>
    <t>smcenderawasih@gmail.com</t>
  </si>
  <si>
    <t>057171178</t>
  </si>
  <si>
    <t>PM-0854</t>
  </si>
  <si>
    <t>3000/518</t>
  </si>
  <si>
    <t>LOT 6595,MUKIM SRI</t>
  </si>
  <si>
    <t>GADING,JLN KLUANG</t>
  </si>
  <si>
    <t>PARIT RAJA,BATU PAHAT,</t>
  </si>
  <si>
    <t>samsuddinhjselamat@yahoo.com</t>
  </si>
  <si>
    <t>074541494</t>
  </si>
  <si>
    <t>PM-0878</t>
  </si>
  <si>
    <t>3000/519</t>
  </si>
  <si>
    <t>LOT 94,PEKAN</t>
  </si>
  <si>
    <t>PARIT SULONG,BATU PAHAT</t>
  </si>
  <si>
    <t>pssparitsulong@gmail.com</t>
  </si>
  <si>
    <t>0192892698</t>
  </si>
  <si>
    <t>PM-0239</t>
  </si>
  <si>
    <t>3000/520</t>
  </si>
  <si>
    <t>LOT MLO 8028,MUKIM</t>
  </si>
  <si>
    <t>TANJUNG SEMBERONG</t>
  </si>
  <si>
    <t>PARIT YAANI, JOHOR,BATU PAHAT</t>
  </si>
  <si>
    <t>IG5505648020</t>
  </si>
  <si>
    <t>rumpun01@gmail.com</t>
  </si>
  <si>
    <t>074846346</t>
  </si>
  <si>
    <t>PM-0758</t>
  </si>
  <si>
    <t>3000/521</t>
  </si>
  <si>
    <t>LOT PLO 305,JLN GANGSA</t>
  </si>
  <si>
    <t>PASIR GUDANG</t>
  </si>
  <si>
    <t>anishqaisara2@gmail.com</t>
  </si>
  <si>
    <t>0167113181</t>
  </si>
  <si>
    <t>PM-0026</t>
  </si>
  <si>
    <t>3000/522</t>
  </si>
  <si>
    <t>LOT 1748,BATU 2 1/2</t>
  </si>
  <si>
    <t>JLN PASIR PEKAN</t>
  </si>
  <si>
    <t>WAKAF BHARU,TUMPAT</t>
  </si>
  <si>
    <t>koperasi_niksalleh@yahoo.com.my</t>
  </si>
  <si>
    <t>097196607</t>
  </si>
  <si>
    <t>PM-0410</t>
  </si>
  <si>
    <t>3000/523</t>
  </si>
  <si>
    <t>PT 3685,JLN</t>
  </si>
  <si>
    <t>BESAR PASIR PEKAN,1625</t>
  </si>
  <si>
    <t xml:space="preserve">TUMPAT, </t>
  </si>
  <si>
    <t>mssb.petrolstation18@gmail.com</t>
  </si>
  <si>
    <t>0172673231</t>
  </si>
  <si>
    <t>PM-0550</t>
  </si>
  <si>
    <t>3000/524</t>
  </si>
  <si>
    <t>PS PASIR PENAMBANG</t>
  </si>
  <si>
    <t>NO 2, JALAN PENINSULA NIAGA 5,</t>
  </si>
  <si>
    <t>PENINSULA PARK,</t>
  </si>
  <si>
    <t>IG 3729848080</t>
  </si>
  <si>
    <t>hasnol.esa@gmail.com</t>
  </si>
  <si>
    <t>0133583333</t>
  </si>
  <si>
    <t>PM-0002</t>
  </si>
  <si>
    <t>3000/525</t>
  </si>
  <si>
    <t>LOT 2682,MUKIM</t>
  </si>
  <si>
    <t>PASIR PUTEH,LIMBONGAN</t>
  </si>
  <si>
    <t xml:space="preserve">PASIR PUTEH, </t>
  </si>
  <si>
    <t>petronasppth2@gmail.com</t>
  </si>
  <si>
    <t>097862255</t>
  </si>
  <si>
    <t>PM-0636</t>
  </si>
  <si>
    <t>3000/526</t>
  </si>
  <si>
    <t>LOT PTB 200695</t>
  </si>
  <si>
    <t>HS(D) 461341,MUKIM</t>
  </si>
  <si>
    <t>PLENTONG, PASIR GUDANG</t>
  </si>
  <si>
    <t>1324881-A</t>
  </si>
  <si>
    <t>C26616424020</t>
  </si>
  <si>
    <t>neostationsdnbhd@gmail.com</t>
  </si>
  <si>
    <t>0127542446</t>
  </si>
  <si>
    <t>PM-0595</t>
  </si>
  <si>
    <t>3000/527</t>
  </si>
  <si>
    <t>LOT PT 9324,GRN 6279</t>
  </si>
  <si>
    <t>MUKIM 13,JLN P</t>
  </si>
  <si>
    <t>TERUBONG, PAYA TERUBONG</t>
  </si>
  <si>
    <t>waheed1786@yahoo.com</t>
  </si>
  <si>
    <t>048293318</t>
  </si>
  <si>
    <t>PM-0328</t>
  </si>
  <si>
    <t>3000/528</t>
  </si>
  <si>
    <t>KM 225 PEDAS-LINGGI</t>
  </si>
  <si>
    <t>LAYBY,PLUS HIGHWAY</t>
  </si>
  <si>
    <t>(NORTHBOUND), REMBAU</t>
  </si>
  <si>
    <t>IG 5102350040</t>
  </si>
  <si>
    <t>zhzsdnbhd@gmail.com</t>
  </si>
  <si>
    <t>064450263</t>
  </si>
  <si>
    <t>PM-0487</t>
  </si>
  <si>
    <t>3000/529</t>
  </si>
  <si>
    <t>LOT 1486</t>
  </si>
  <si>
    <t>JLN AIR MOLEK,PEKAN AIR MOLEk</t>
  </si>
  <si>
    <t>IG5353699010</t>
  </si>
  <si>
    <t>nzbmesra@gmail.com</t>
  </si>
  <si>
    <t>PM-0620</t>
  </si>
  <si>
    <t>3000/530</t>
  </si>
  <si>
    <t>LOT PT 27361,PEKAN</t>
  </si>
  <si>
    <t>AMPANG</t>
  </si>
  <si>
    <t>jelatek@gmail.com</t>
  </si>
  <si>
    <t>0342926009</t>
  </si>
  <si>
    <t>PM-0358</t>
  </si>
  <si>
    <t>3000/531</t>
  </si>
  <si>
    <t>LOT PT 25,HS(D)</t>
  </si>
  <si>
    <t>4529,JLN PEKAN-NENAS</t>
  </si>
  <si>
    <t>(KUANTAN BOUND), BANDAR PEKAN</t>
  </si>
  <si>
    <t>petronaspekan@yahoo.com</t>
  </si>
  <si>
    <t>0194701477</t>
  </si>
  <si>
    <t>PM-0983</t>
  </si>
  <si>
    <t>3000/532</t>
  </si>
  <si>
    <t>PERSIARAN JUBLI PERAK</t>
  </si>
  <si>
    <t>SEKSYEN 22,SHAH</t>
  </si>
  <si>
    <t>ALAM, SELANGOR, PETALING</t>
  </si>
  <si>
    <t>mohdrafy@hotmail.com</t>
  </si>
  <si>
    <t>0351039902</t>
  </si>
  <si>
    <t>PM-0481</t>
  </si>
  <si>
    <t>3000/533</t>
  </si>
  <si>
    <t>PT 684,HS(D) 256544</t>
  </si>
  <si>
    <t>JLN SUNGAI BULOH,BATU 3</t>
  </si>
  <si>
    <t>PEKAN BARU SUBANG, SEKSYEN U3,</t>
  </si>
  <si>
    <t>diana10469@yahoo.com</t>
  </si>
  <si>
    <t>0378421947</t>
  </si>
  <si>
    <t>PM-0509</t>
  </si>
  <si>
    <t>3000/534</t>
  </si>
  <si>
    <t>LOT 3519,JLN</t>
  </si>
  <si>
    <t>KAPAR/KU1,KM 18 OFF JAL</t>
  </si>
  <si>
    <t>KAPAR,PEKAN KAPAR,</t>
  </si>
  <si>
    <t>pspekankapar@gmail.com</t>
  </si>
  <si>
    <t>0193552272</t>
  </si>
  <si>
    <t>PM-0740</t>
  </si>
  <si>
    <t>3000/535</t>
  </si>
  <si>
    <t>LOT 7320,MUKIM</t>
  </si>
  <si>
    <t>SENAI,KULAI</t>
  </si>
  <si>
    <t>arecofuel@gmail.com</t>
  </si>
  <si>
    <t>076638122</t>
  </si>
  <si>
    <t>PM-0071</t>
  </si>
  <si>
    <t>3000/536</t>
  </si>
  <si>
    <t>LOT 4729-4734</t>
  </si>
  <si>
    <t>&amp; LOT 4735-4740, PEKAN</t>
  </si>
  <si>
    <t>LUKUT,PORT DICKSON</t>
  </si>
  <si>
    <t>IG 29849691070</t>
  </si>
  <si>
    <t>afknuramanis@gmail.com</t>
  </si>
  <si>
    <t>0172960167</t>
  </si>
  <si>
    <t>PM-0018</t>
  </si>
  <si>
    <t>3000/537</t>
  </si>
  <si>
    <t>LOT PTD 4626</t>
  </si>
  <si>
    <t>PEKAN NENAS, PONTIAN</t>
  </si>
  <si>
    <t xml:space="preserve">PONTIAN, </t>
  </si>
  <si>
    <t>IG10858716090</t>
  </si>
  <si>
    <t>psspknnenas@yahoo.com.my</t>
  </si>
  <si>
    <t>076994103</t>
  </si>
  <si>
    <t>PM-0124</t>
  </si>
  <si>
    <t>3000/538</t>
  </si>
  <si>
    <t>LOT 5945,PEKAN</t>
  </si>
  <si>
    <t>zamanitambichek@yahoo.com</t>
  </si>
  <si>
    <t>0172260014</t>
  </si>
  <si>
    <t>PM-0345</t>
  </si>
  <si>
    <t>3000/539</t>
  </si>
  <si>
    <t>JLN KLUANG</t>
  </si>
  <si>
    <t>PARIT RAJA</t>
  </si>
  <si>
    <t>C 24089980060</t>
  </si>
  <si>
    <t>srigadingservices.petronas@gmail.com</t>
  </si>
  <si>
    <t>0167000005</t>
  </si>
  <si>
    <t>PM-0835</t>
  </si>
  <si>
    <t>3000/540</t>
  </si>
  <si>
    <t>LOT 37-40</t>
  </si>
  <si>
    <t>JLN BESAR,PEKAN SALAK</t>
  </si>
  <si>
    <t>fizrai.strongwell@gmail.com</t>
  </si>
  <si>
    <t>0122046679</t>
  </si>
  <si>
    <t>PM-0914</t>
  </si>
  <si>
    <t>3000/541</t>
  </si>
  <si>
    <t>LOT PT 1457 HS (D)</t>
  </si>
  <si>
    <t>10683,PEKAN SEMENYIH</t>
  </si>
  <si>
    <t xml:space="preserve">HULU LANGAT SEMENYIH </t>
  </si>
  <si>
    <t>IG12169331070</t>
  </si>
  <si>
    <t>pspsemenyih@gmail.com</t>
  </si>
  <si>
    <t>0387238308</t>
  </si>
  <si>
    <t>PM-0557</t>
  </si>
  <si>
    <t>3000/542</t>
  </si>
  <si>
    <t>PS PEKAN SIMPANG</t>
  </si>
  <si>
    <t>PT 1341, JALAN KUALA KANGSAR,</t>
  </si>
  <si>
    <t>SIMPANG TAIPING</t>
  </si>
  <si>
    <t>starmartpetroleum@gmail.com</t>
  </si>
  <si>
    <t>PM-0840</t>
  </si>
  <si>
    <t>3000/543</t>
  </si>
  <si>
    <t>LTO PTD 105615,NO.2</t>
  </si>
  <si>
    <t>JLN PESONA</t>
  </si>
  <si>
    <t>TAMAN PELANGI INDAH, TEBRAU</t>
  </si>
  <si>
    <t>IG 23474369070</t>
  </si>
  <si>
    <t>sobirrin@gmail.com</t>
  </si>
  <si>
    <t>073527876</t>
  </si>
  <si>
    <t>PM-0828</t>
  </si>
  <si>
    <t>3000/544</t>
  </si>
  <si>
    <t>LOT 26796 PELANGI</t>
  </si>
  <si>
    <t>SEMENYIH,MUKIM</t>
  </si>
  <si>
    <t>SEMENYIH,HULU LANGAT</t>
  </si>
  <si>
    <t>ashiha68@yahoo.com</t>
  </si>
  <si>
    <t>0387235190</t>
  </si>
  <si>
    <t>PM-0780</t>
  </si>
  <si>
    <t>3000/545</t>
  </si>
  <si>
    <t>LOT PT 26061,SOLOK PENDAMAR</t>
  </si>
  <si>
    <t>INDAH 1,TMN PENDAMAR</t>
  </si>
  <si>
    <t>INDAH,PELABUHAN KLANG</t>
  </si>
  <si>
    <t>manickam.pichai@gmail.com</t>
  </si>
  <si>
    <t>0192161334</t>
  </si>
  <si>
    <t>PM-0994</t>
  </si>
  <si>
    <t>3000/546</t>
  </si>
  <si>
    <t>H.S.(D) 26752 PT 26387</t>
  </si>
  <si>
    <t>TMN PENDAMAR INDAH,MUKIM</t>
  </si>
  <si>
    <t>KLANG,KLANG</t>
  </si>
  <si>
    <t>rofaie72@yahoo.com</t>
  </si>
  <si>
    <t>0392857249</t>
  </si>
  <si>
    <t>PM-0746</t>
  </si>
  <si>
    <t>3000/547</t>
  </si>
  <si>
    <t>PS PENDANG</t>
  </si>
  <si>
    <t>LOT PT 669 (LOT 2065)</t>
  </si>
  <si>
    <t>JALAN BESAR, MUKIM PUTIH,</t>
  </si>
  <si>
    <t>06700</t>
  </si>
  <si>
    <t>047596710</t>
  </si>
  <si>
    <t>PM-0825</t>
  </si>
  <si>
    <t>3000/548</t>
  </si>
  <si>
    <t>LOT PT 12770 HS(M) 1932</t>
  </si>
  <si>
    <t>MUKIM PENGKALAN KUNDOR</t>
  </si>
  <si>
    <t>KOTA SETAR</t>
  </si>
  <si>
    <t>psstandop@yahoo.com</t>
  </si>
  <si>
    <t>047771000</t>
  </si>
  <si>
    <t>PM-0293</t>
  </si>
  <si>
    <t>3000/549</t>
  </si>
  <si>
    <t>LOT 879,GM 837</t>
  </si>
  <si>
    <t>MUKIM LANGGAR</t>
  </si>
  <si>
    <t xml:space="preserve">PEKAN, </t>
  </si>
  <si>
    <t>IG3042022092</t>
  </si>
  <si>
    <t>094252039</t>
  </si>
  <si>
    <t>PM-0199</t>
  </si>
  <si>
    <t>3000/550</t>
  </si>
  <si>
    <t>LOT PTD 100976</t>
  </si>
  <si>
    <t>TAMAN PERMAS JAYA 2</t>
  </si>
  <si>
    <t>073887800</t>
  </si>
  <si>
    <t>PM-0288</t>
  </si>
  <si>
    <t>3000/551</t>
  </si>
  <si>
    <t>LOT 813 GERAN</t>
  </si>
  <si>
    <t>94570,PERMAS KECHIL,JLN</t>
  </si>
  <si>
    <t>KUKUP-PONTIAN,MUKIM SERKAT</t>
  </si>
  <si>
    <t>2petpro@gmail.com</t>
  </si>
  <si>
    <t>0167184743</t>
  </si>
  <si>
    <t>PM-0662</t>
  </si>
  <si>
    <t>3000/552</t>
  </si>
  <si>
    <t>PS PERMATANG BADAK</t>
  </si>
  <si>
    <t>PART OF LOT 38719, GM 15725,</t>
  </si>
  <si>
    <t>MUKIM KUALA KUANTAN,</t>
  </si>
  <si>
    <t>psspmtgbdk@gmail.com</t>
  </si>
  <si>
    <t>0199190099</t>
  </si>
  <si>
    <t>PM-0037</t>
  </si>
  <si>
    <t>3000/553</t>
  </si>
  <si>
    <t>PS PERMATANG BATU</t>
  </si>
  <si>
    <t>LOT 863 JALAN PERMATANG BATU,</t>
  </si>
  <si>
    <t>mohdnazrimansor1974@gmail.com</t>
  </si>
  <si>
    <t>044766386</t>
  </si>
  <si>
    <t>PM-0540</t>
  </si>
  <si>
    <t>3000/554</t>
  </si>
  <si>
    <t>PS PERMATANG GEDONG</t>
  </si>
  <si>
    <t>NO. 1 JALAN PERMATANG GEDONG,</t>
  </si>
  <si>
    <t>PUSAT PERNIAGAAN SEJATI,</t>
  </si>
  <si>
    <t>C26861295010</t>
  </si>
  <si>
    <t>petronaspgedong@gmail.com</t>
  </si>
  <si>
    <t>0124052125</t>
  </si>
  <si>
    <t>PM-0837</t>
  </si>
  <si>
    <t>3000/555</t>
  </si>
  <si>
    <t>LOT PT 29771 HS(D)</t>
  </si>
  <si>
    <t>17393,PERSIARAN APEC</t>
  </si>
  <si>
    <t>CYBER 3,MUKIM DENGKIL</t>
  </si>
  <si>
    <t>ismadura@yahoo.com</t>
  </si>
  <si>
    <t>0182097771</t>
  </si>
  <si>
    <t>PM-0339</t>
  </si>
  <si>
    <t>3000/556</t>
  </si>
  <si>
    <t>PS PERSIARAN INDAH</t>
  </si>
  <si>
    <t>PTD 163834, JALAN INDAH 15/2,</t>
  </si>
  <si>
    <t>TAMAN BUKIT INDAH,</t>
  </si>
  <si>
    <t>ayusari_6969@yahoo.com</t>
  </si>
  <si>
    <t>0183319960</t>
  </si>
  <si>
    <t>PM-0498</t>
  </si>
  <si>
    <t>3000/557</t>
  </si>
  <si>
    <t>LOT PT 28768 HS(M) 21664</t>
  </si>
  <si>
    <t>BANDAR BARU BANGI INDUSTRIAL</t>
  </si>
  <si>
    <t>ZON 1,SUNGARAMAL DLM</t>
  </si>
  <si>
    <t>syuzianamultalib@gmail.com</t>
  </si>
  <si>
    <t>PM-0598</t>
  </si>
  <si>
    <t>3000/558</t>
  </si>
  <si>
    <t>PS PERSIARAN MAHKOTA CHERAS</t>
  </si>
  <si>
    <t>LOT 368 (PLOT B), BT. 10 1/2,</t>
  </si>
  <si>
    <t>JLN CHERAS, MUKIM CHERAS,</t>
  </si>
  <si>
    <t>scsprimaent@yahoo.com</t>
  </si>
  <si>
    <t>0123728420</t>
  </si>
  <si>
    <t>PM-0785</t>
  </si>
  <si>
    <t>3000/559</t>
  </si>
  <si>
    <t>LOT 5912,NO.5</t>
  </si>
  <si>
    <t>PERSIARAN RAJA MUDA MUSA</t>
  </si>
  <si>
    <t>0133389503</t>
  </si>
  <si>
    <t>PM-0838</t>
  </si>
  <si>
    <t>3000/560</t>
  </si>
  <si>
    <t>PS PERSIARAN RAYA GUA MUSANG</t>
  </si>
  <si>
    <t>PT.9326, JALAN PERSIARAN RAYA,</t>
  </si>
  <si>
    <t>BANDAR BARU GUA MUSANG,</t>
  </si>
  <si>
    <t>petronaspersiaranraya@gmail.com</t>
  </si>
  <si>
    <t>099124912</t>
  </si>
  <si>
    <t>PM-0420</t>
  </si>
  <si>
    <t>3000/561</t>
  </si>
  <si>
    <t>LOT 1947,JLN</t>
  </si>
  <si>
    <t>PEGAWAI,ALOR SETAR</t>
  </si>
  <si>
    <t>05050</t>
  </si>
  <si>
    <t>mdjimat@yahoo.com</t>
  </si>
  <si>
    <t>047729745</t>
  </si>
  <si>
    <t>PM-0337</t>
  </si>
  <si>
    <t>3000/562</t>
  </si>
  <si>
    <t>PS PERSIARAN UTAMA</t>
  </si>
  <si>
    <t>NO 4. JALAN SETIA UTAMA,</t>
  </si>
  <si>
    <t>SEKSYEN U13 SETIA ALAM,</t>
  </si>
  <si>
    <t>IG 4377273001</t>
  </si>
  <si>
    <t>PM-0570</t>
  </si>
  <si>
    <t>3000/563</t>
  </si>
  <si>
    <t>LOT PT 22(1068)</t>
  </si>
  <si>
    <t>KG TENGAH PERUPOK</t>
  </si>
  <si>
    <t xml:space="preserve">BACHOK, </t>
  </si>
  <si>
    <t>psperupok@gmail.com</t>
  </si>
  <si>
    <t>0199009843</t>
  </si>
  <si>
    <t>PM-0356</t>
  </si>
  <si>
    <t>3000/564</t>
  </si>
  <si>
    <t>LOT NO.PT 1773 HS(D)</t>
  </si>
  <si>
    <t>243795,KM 11 JLN KLANG LAMA</t>
  </si>
  <si>
    <t>PETALING JAYA SELATAN</t>
  </si>
  <si>
    <t>fikrahjitu@gmail.com</t>
  </si>
  <si>
    <t>0192828536</t>
  </si>
  <si>
    <t>PM-0251</t>
  </si>
  <si>
    <t>3000/565</t>
  </si>
  <si>
    <t>LOT 2614</t>
  </si>
  <si>
    <t>SEKSYEN 64,KG PINTU GENG</t>
  </si>
  <si>
    <t xml:space="preserve">KOTA BHARU, </t>
  </si>
  <si>
    <t>IG 2046853091</t>
  </si>
  <si>
    <t>razancre@gmail.com</t>
  </si>
  <si>
    <t>097486067</t>
  </si>
  <si>
    <t>PM-0167</t>
  </si>
  <si>
    <t>3000/566</t>
  </si>
  <si>
    <t>LOT 1768</t>
  </si>
  <si>
    <t>JLN TUN ABDUL RAZAK</t>
  </si>
  <si>
    <t>ALOR SETAR,</t>
  </si>
  <si>
    <t>sabri_psspknk@yahoo.com</t>
  </si>
  <si>
    <t>0124612831</t>
  </si>
  <si>
    <t>PM-0419</t>
  </si>
  <si>
    <t>3000/567</t>
  </si>
  <si>
    <t>LOT 3799</t>
  </si>
  <si>
    <t>MUKIM 12,POKOK SENA</t>
  </si>
  <si>
    <t>KEPALA BATAS, SEBERANG PERAI</t>
  </si>
  <si>
    <t>mdnazrio@gmail.com</t>
  </si>
  <si>
    <t>0195669995</t>
  </si>
  <si>
    <t>PM-0547</t>
  </si>
  <si>
    <t>3000/568</t>
  </si>
  <si>
    <t>PS PORT DICKSON 1</t>
  </si>
  <si>
    <t>LOT 2253, BATU 4 JALAN PANTAI,</t>
  </si>
  <si>
    <t>MUKIM SIRUSA,</t>
  </si>
  <si>
    <t>psspd1@yahoo.com.my</t>
  </si>
  <si>
    <t>0192165831</t>
  </si>
  <si>
    <t>PM-0461</t>
  </si>
  <si>
    <t>3000/569</t>
  </si>
  <si>
    <t>LOT 527,BDR</t>
  </si>
  <si>
    <t>PORT DICKSON (JLN PANTAI)</t>
  </si>
  <si>
    <t>BATU 1/2 - 1 JALAN PANTAI</t>
  </si>
  <si>
    <t>003465506-T</t>
  </si>
  <si>
    <t>IG2048130060</t>
  </si>
  <si>
    <t>petronaspd2@gmail.com</t>
  </si>
  <si>
    <t>0197579466</t>
  </si>
  <si>
    <t>PM-0754</t>
  </si>
  <si>
    <t>3000/570</t>
  </si>
  <si>
    <t>PS PORT DICKSON 2</t>
  </si>
  <si>
    <t>LOT 527, BATU 1, JALAN PANTAI,</t>
  </si>
  <si>
    <t>mahat.kimrima@gmail.com</t>
  </si>
  <si>
    <t>066470559</t>
  </si>
  <si>
    <t>PM-0395</t>
  </si>
  <si>
    <t>3000/571</t>
  </si>
  <si>
    <t>LOT 93,KAWASAN</t>
  </si>
  <si>
    <t>PERINDUSTRIAN PRAI,PRAI</t>
  </si>
  <si>
    <t>IG 2497505020</t>
  </si>
  <si>
    <t>azmanyeop58@yahoo.com</t>
  </si>
  <si>
    <t>043903603</t>
  </si>
  <si>
    <t>PM-0670</t>
  </si>
  <si>
    <t>3000/572</t>
  </si>
  <si>
    <t>SUBLOT D,PRIMA</t>
  </si>
  <si>
    <t>SAUJANA,MUKIM KAJANG</t>
  </si>
  <si>
    <t>SELANGOR,ULU LANGAT,</t>
  </si>
  <si>
    <t>C29923225050</t>
  </si>
  <si>
    <t>empayarprima@gmail.com</t>
  </si>
  <si>
    <t>0123242144</t>
  </si>
  <si>
    <t>PM-0221</t>
  </si>
  <si>
    <t>3000/573</t>
  </si>
  <si>
    <t>LOT 17892 SUBLOT A</t>
  </si>
  <si>
    <t>TMN PRIMA SAUJANA</t>
  </si>
  <si>
    <t>KAJANG,</t>
  </si>
  <si>
    <t>ashikin@permatagroup.com.my</t>
  </si>
  <si>
    <t>0387339005</t>
  </si>
  <si>
    <t>PM-0648</t>
  </si>
  <si>
    <t>3000/574</t>
  </si>
  <si>
    <t>LOT 6972,KG.BARU</t>
  </si>
  <si>
    <t>BT 14 JLN PUCHONG</t>
  </si>
  <si>
    <t>PUCHONG,</t>
  </si>
  <si>
    <t>pss_batu14_puchong@yahoo.com.my</t>
  </si>
  <si>
    <t>0192777667</t>
  </si>
  <si>
    <t>PM-0707</t>
  </si>
  <si>
    <t>3000/575</t>
  </si>
  <si>
    <t>PS PUCHONG GATEWAY</t>
  </si>
  <si>
    <t>LOT PT 48733, MUKIM PETALING,</t>
  </si>
  <si>
    <t>(LDP PUCHONG GATEWAY),</t>
  </si>
  <si>
    <t>IG5113010060</t>
  </si>
  <si>
    <t>naimsamori@yahoo.com</t>
  </si>
  <si>
    <t>0389457187</t>
  </si>
  <si>
    <t>PM-0734</t>
  </si>
  <si>
    <t>3000/576</t>
  </si>
  <si>
    <t>LOT 9428</t>
  </si>
  <si>
    <t>BNDR PUCHONG JAYA,PUCHONG</t>
  </si>
  <si>
    <t>nuraminresources66@hotmail.com</t>
  </si>
  <si>
    <t>0162013552</t>
  </si>
  <si>
    <t>PM-0615</t>
  </si>
  <si>
    <t>3000/577</t>
  </si>
  <si>
    <t>PS PUCHONG PRIMA</t>
  </si>
  <si>
    <t>LOT PT 1161, HS (D) 135350</t>
  </si>
  <si>
    <t>PUCHONG PERDANA, PUCHONG,</t>
  </si>
  <si>
    <t>IG 5040076020</t>
  </si>
  <si>
    <t>merali.petronas@gmail.com</t>
  </si>
  <si>
    <t>0380605859</t>
  </si>
  <si>
    <t>PM-0516</t>
  </si>
  <si>
    <t>3000/578</t>
  </si>
  <si>
    <t>PS PULAU SEBANG</t>
  </si>
  <si>
    <t>LOT 96 &amp; 97, PULAU SEBANG,</t>
  </si>
  <si>
    <t>petronaspulausebang@yahoo.com</t>
  </si>
  <si>
    <t>0166204004</t>
  </si>
  <si>
    <t>PM-0657</t>
  </si>
  <si>
    <t>3000/579</t>
  </si>
  <si>
    <t>PS PUNCAK ALAM</t>
  </si>
  <si>
    <t>PT 10695 BANDAR PUNCAK ALAM,</t>
  </si>
  <si>
    <t>MUKIM IJOK KUALA SELANGOR,</t>
  </si>
  <si>
    <t>IG26667271100</t>
  </si>
  <si>
    <t>fzniaga.enterprise@gmail.com</t>
  </si>
  <si>
    <t>0192318277</t>
  </si>
  <si>
    <t>PM-0264</t>
  </si>
  <si>
    <t>3000/580</t>
  </si>
  <si>
    <t>PT 34813 JLN HILLPARK 11/11</t>
  </si>
  <si>
    <t>PUSAT PERDAGANGAN HILLPARK</t>
  </si>
  <si>
    <t>BDR HILLPARK PUNCAK ALAM</t>
  </si>
  <si>
    <t>nc@permatagroup.com.my</t>
  </si>
  <si>
    <t>0167170260</t>
  </si>
  <si>
    <t>PM-0616</t>
  </si>
  <si>
    <t>3000/581</t>
  </si>
  <si>
    <t>PT 5193</t>
  </si>
  <si>
    <t>SEKSYEN 55,HUTAN PULAI</t>
  </si>
  <si>
    <t>BDR ALOR SETAR,KOTA SETAR</t>
  </si>
  <si>
    <t>ptrns.puspakencana@felda.net.my</t>
  </si>
  <si>
    <t>0124969019</t>
  </si>
  <si>
    <t>PM-0435</t>
  </si>
  <si>
    <t>3000/582</t>
  </si>
  <si>
    <t>LOT PTD 26080</t>
  </si>
  <si>
    <t>TMN PUTRI WANGSA</t>
  </si>
  <si>
    <t xml:space="preserve">MUKIM TEBRAU, </t>
  </si>
  <si>
    <t>ungkubalqis@gmail.com</t>
  </si>
  <si>
    <t>0167014696</t>
  </si>
  <si>
    <t>PM-0354</t>
  </si>
  <si>
    <t>3000/583</t>
  </si>
  <si>
    <t>LOT 3612,PERISARAN PUTRA</t>
  </si>
  <si>
    <t>BISTARI,PUTRA HEIGHTS</t>
  </si>
  <si>
    <t>SEKSYEN 2, SUBANG JAYA</t>
  </si>
  <si>
    <t>IG24384415080</t>
  </si>
  <si>
    <t>sv.aylatrading@gmail.com</t>
  </si>
  <si>
    <t>0136962605</t>
  </si>
  <si>
    <t>PM-0088</t>
  </si>
  <si>
    <t>3000/584</t>
  </si>
  <si>
    <t>LOT 3612 HS (D)</t>
  </si>
  <si>
    <t>108483,PUTRA HEIGHT</t>
  </si>
  <si>
    <t xml:space="preserve">SUBANG JAYA, </t>
  </si>
  <si>
    <t>adeliamesraph@yahoo.com</t>
  </si>
  <si>
    <t>0380233108</t>
  </si>
  <si>
    <t>PM-0013</t>
  </si>
  <si>
    <t>3000/585</t>
  </si>
  <si>
    <t>PS PUTRA PERDANA</t>
  </si>
  <si>
    <t>LOT PT 46710, BANDAR PUTRA,</t>
  </si>
  <si>
    <t>MUKIM DENGKIL,</t>
  </si>
  <si>
    <t>IG5459703100</t>
  </si>
  <si>
    <t>mawaddahbaaenterprise@gmail.com</t>
  </si>
  <si>
    <t>0123197974</t>
  </si>
  <si>
    <t>PM-0503</t>
  </si>
  <si>
    <t>3000/586</t>
  </si>
  <si>
    <t>LOT PT 1442 HSC(M)</t>
  </si>
  <si>
    <t>MUKIM DENGKIL PRECINT</t>
  </si>
  <si>
    <t>PRECINT 9, 0,</t>
  </si>
  <si>
    <t>PUTRAJAYA</t>
  </si>
  <si>
    <t>alyadiyana@gmail.com</t>
  </si>
  <si>
    <t>0388886797</t>
  </si>
  <si>
    <t>PM-0745</t>
  </si>
  <si>
    <t>3000/587</t>
  </si>
  <si>
    <t>LOT PT 3354</t>
  </si>
  <si>
    <t>PRECINT 11,PUTRAJAYA</t>
  </si>
  <si>
    <t>W.P PUTRAJAYA</t>
  </si>
  <si>
    <t>amirah.rahmann@gmail.com</t>
  </si>
  <si>
    <t>0342930410</t>
  </si>
  <si>
    <t>PM-0104</t>
  </si>
  <si>
    <t>3000/588</t>
  </si>
  <si>
    <t>LOT PT 2495,JLN</t>
  </si>
  <si>
    <t>P16, PRECINT 16</t>
  </si>
  <si>
    <t>nmn_ent@yahoo.com</t>
  </si>
  <si>
    <t>0388888600</t>
  </si>
  <si>
    <t>PM-0599</t>
  </si>
  <si>
    <t>3000/589</t>
  </si>
  <si>
    <t>LOT PT 12850 HS(D)</t>
  </si>
  <si>
    <t xml:space="preserve"> 8220 PRECINT 18</t>
  </si>
  <si>
    <t>BANDAR &amp; DAERAH</t>
  </si>
  <si>
    <t>petronasfadhlyn@gmail.com</t>
  </si>
  <si>
    <t>0123353352</t>
  </si>
  <si>
    <t>PM-0235</t>
  </si>
  <si>
    <t>3000/590</t>
  </si>
  <si>
    <t>LOT PT 836</t>
  </si>
  <si>
    <t>PRECINT 9,PUTRAJAYA</t>
  </si>
  <si>
    <t>WILAYAH PERSEKUTUAN PUTRAJAYA</t>
  </si>
  <si>
    <t>IG6091916070</t>
  </si>
  <si>
    <t>idzwanpetroservice1@yahoo.com</t>
  </si>
  <si>
    <t>0388885024</t>
  </si>
  <si>
    <t>PM-0331</t>
  </si>
  <si>
    <t>3000/591</t>
  </si>
  <si>
    <t>KM 274.4,L/RAYA KL-SEREMBAN</t>
  </si>
  <si>
    <t>PETI SURAT 48</t>
  </si>
  <si>
    <t>IG739175070</t>
  </si>
  <si>
    <t>0133804949</t>
  </si>
  <si>
    <t>PM-0270</t>
  </si>
  <si>
    <t>3000/592</t>
  </si>
  <si>
    <t>NO 265, JALAN DATUK SULAIMAN</t>
  </si>
  <si>
    <t>TAMAN TUN DR ISMAIL</t>
  </si>
  <si>
    <t>0123861164</t>
  </si>
  <si>
    <t>CUSTOMER BOSS</t>
  </si>
  <si>
    <t>SM-0237</t>
  </si>
  <si>
    <t>3000/593</t>
  </si>
  <si>
    <t>LOT 1358</t>
  </si>
  <si>
    <t>PEKAN RANTAU</t>
  </si>
  <si>
    <t>nhanisah1106@gmail.com</t>
  </si>
  <si>
    <t>066947179</t>
  </si>
  <si>
    <t>PM-0717</t>
  </si>
  <si>
    <t>3000/594</t>
  </si>
  <si>
    <t>LOT 1722,RANTAU</t>
  </si>
  <si>
    <t>ABANG, DUNGUN</t>
  </si>
  <si>
    <t>arzeck14@gmail.com</t>
  </si>
  <si>
    <t>PM-0078</t>
  </si>
  <si>
    <t>3000/595</t>
  </si>
  <si>
    <t>LOT 140,BDR</t>
  </si>
  <si>
    <t>BARU RANTAU PANJANG</t>
  </si>
  <si>
    <t>PASIR MAS,</t>
  </si>
  <si>
    <t>wra1212@live.com</t>
  </si>
  <si>
    <t>097952824</t>
  </si>
  <si>
    <t>PM-0728</t>
  </si>
  <si>
    <t>3000/596</t>
  </si>
  <si>
    <t>PS RANTAU PETRONAS</t>
  </si>
  <si>
    <t>LOT 6490, RANTAU PETRONAS</t>
  </si>
  <si>
    <t>KERTEH ,KEMAMAN</t>
  </si>
  <si>
    <t>IG 56786186040</t>
  </si>
  <si>
    <t>rpkonesynergy@gmail.com</t>
  </si>
  <si>
    <t>098662444</t>
  </si>
  <si>
    <t>PM-0752</t>
  </si>
  <si>
    <t>3000/597</t>
  </si>
  <si>
    <t>LOT PT 25435,HS(D)</t>
  </si>
  <si>
    <t>218453, BATU 3</t>
  </si>
  <si>
    <t>MAMBAU, MUKIM RASAH</t>
  </si>
  <si>
    <t>petronasrasah@gmail.com</t>
  </si>
  <si>
    <t>0123515747</t>
  </si>
  <si>
    <t>PM-0799</t>
  </si>
  <si>
    <t>3000/598</t>
  </si>
  <si>
    <t>LOT 10066,TMN</t>
  </si>
  <si>
    <t>RASAH JAYA, SEREMBAN</t>
  </si>
  <si>
    <t>066336214</t>
  </si>
  <si>
    <t>PM-0315</t>
  </si>
  <si>
    <t>3000/599</t>
  </si>
  <si>
    <t>KM 3 JLN</t>
  </si>
  <si>
    <t>CHEROH</t>
  </si>
  <si>
    <t>RAUB,</t>
  </si>
  <si>
    <t>IG11544442040</t>
  </si>
  <si>
    <t>fardzha.energy@gmail.com</t>
  </si>
  <si>
    <t>0196663637</t>
  </si>
  <si>
    <t>PM-0240</t>
  </si>
  <si>
    <t>3000/600</t>
  </si>
  <si>
    <t>PS RAUB 2 (MUKIM GALI)</t>
  </si>
  <si>
    <t>LOT PT 23941, HS(M) 11798,</t>
  </si>
  <si>
    <t>BATU 1, JALAN LIPIS,</t>
  </si>
  <si>
    <t>tpetrol09@yahoo.com</t>
  </si>
  <si>
    <t>0193180600</t>
  </si>
  <si>
    <t>PM-0937</t>
  </si>
  <si>
    <t>3000/601</t>
  </si>
  <si>
    <t>LOT 1253</t>
  </si>
  <si>
    <t>RAWANG INDUSTRIAL PARK</t>
  </si>
  <si>
    <t>RAWANG,</t>
  </si>
  <si>
    <t>jalalenje@yahoo.com.my</t>
  </si>
  <si>
    <t>0360929660</t>
  </si>
  <si>
    <t>PM-0225</t>
  </si>
  <si>
    <t>3000/602</t>
  </si>
  <si>
    <t>PS RAWANG INDUSTRIAL PARK 2</t>
  </si>
  <si>
    <t>LOT PT 12953 BATU 19 3/4,</t>
  </si>
  <si>
    <t>JALAN RAWANG - KUNDANG,</t>
  </si>
  <si>
    <t>IG 5317315050</t>
  </si>
  <si>
    <t>profixmarketing@yahoo.com</t>
  </si>
  <si>
    <t>0127796476</t>
  </si>
  <si>
    <t>PM-0702</t>
  </si>
  <si>
    <t>3000/603</t>
  </si>
  <si>
    <t>KAWASAN R&amp;R RAWANG</t>
  </si>
  <si>
    <t>LEBUHRAYA UTARA-SELATAN</t>
  </si>
  <si>
    <t>( ARAH UTARA,GOMBAK</t>
  </si>
  <si>
    <t>IG 3352405100</t>
  </si>
  <si>
    <t>00000</t>
  </si>
  <si>
    <t>rawangrsa@hotmail.com</t>
  </si>
  <si>
    <t>0122672021</t>
  </si>
  <si>
    <t>PM-0123</t>
  </si>
  <si>
    <t>3000/604</t>
  </si>
  <si>
    <t>LOT 2509</t>
  </si>
  <si>
    <t>MUKIM CHEMBONG, REMBAU</t>
  </si>
  <si>
    <t xml:space="preserve">REMBAU, </t>
  </si>
  <si>
    <t>IG22532231050</t>
  </si>
  <si>
    <t>hifzuddin.radzi@gmail.com</t>
  </si>
  <si>
    <t>066853226</t>
  </si>
  <si>
    <t>PM-0722</t>
  </si>
  <si>
    <t>3000/605</t>
  </si>
  <si>
    <t>LOT 2289</t>
  </si>
  <si>
    <t>JLN MELAKA ALOR GAJAH</t>
  </si>
  <si>
    <t xml:space="preserve">REMBIA,ALOR GAJAH, </t>
  </si>
  <si>
    <t>IG4361313060</t>
  </si>
  <si>
    <t>smrembia@gmail.com</t>
  </si>
  <si>
    <t>0129204000</t>
  </si>
  <si>
    <t>PM-0864</t>
  </si>
  <si>
    <t>3000/606</t>
  </si>
  <si>
    <t>PS RENGIT</t>
  </si>
  <si>
    <t>LOT 814, PEKAN RENGIT, RENGIT,</t>
  </si>
  <si>
    <t>BATU PAHAT</t>
  </si>
  <si>
    <t>zafar.station@gmail.com</t>
  </si>
  <si>
    <t>074241970</t>
  </si>
  <si>
    <t>PM-1002</t>
  </si>
  <si>
    <t>3000/607</t>
  </si>
  <si>
    <t>KM 13.8, LEBUH</t>
  </si>
  <si>
    <t>RAYA SUNGAI BESI (ARAH</t>
  </si>
  <si>
    <t xml:space="preserve">SELATAN), </t>
  </si>
  <si>
    <t>PM-0817</t>
  </si>
  <si>
    <t>3000/608</t>
  </si>
  <si>
    <t>LOT 35579</t>
  </si>
  <si>
    <t>PEKAN SALENG, JOHOR</t>
  </si>
  <si>
    <t xml:space="preserve">SENAI, </t>
  </si>
  <si>
    <t>IG 4757305081</t>
  </si>
  <si>
    <t>pesonasynergy@gmail.com</t>
  </si>
  <si>
    <t>075995082</t>
  </si>
  <si>
    <t>PM-0661</t>
  </si>
  <si>
    <t>3000/609</t>
  </si>
  <si>
    <t>LOT PT 16928 HSD 61959</t>
  </si>
  <si>
    <t>TMN SAUJANA PUCHONG</t>
  </si>
  <si>
    <t>PUCHONG,PETALING</t>
  </si>
  <si>
    <t>faizi.zin@smartskills.com.my</t>
  </si>
  <si>
    <t>0139229559</t>
  </si>
  <si>
    <t>PM-0821</t>
  </si>
  <si>
    <t>3000/610</t>
  </si>
  <si>
    <t>LOT 6318,6319,6320,6323</t>
  </si>
  <si>
    <t>6324 &amp; 6325,2/27-A WANGSA</t>
  </si>
  <si>
    <t xml:space="preserve">MAJU,MUKIM SETAPAK WP </t>
  </si>
  <si>
    <t>memenizar@yahoo.com</t>
  </si>
  <si>
    <t>0341499998</t>
  </si>
  <si>
    <t>PM-0575</t>
  </si>
  <si>
    <t>3000/611</t>
  </si>
  <si>
    <t>LOT PT 5052,JLN</t>
  </si>
  <si>
    <t>TANAH LIAT,SEKSYEN 28</t>
  </si>
  <si>
    <t>TAMAN ALAM MEGAH, SHAH ALAM</t>
  </si>
  <si>
    <t>saanetworkoil@gmail.com</t>
  </si>
  <si>
    <t>0351910069</t>
  </si>
  <si>
    <t>PM-0991</t>
  </si>
  <si>
    <t>3000/612</t>
  </si>
  <si>
    <t>LOT 295,JLN BESAR</t>
  </si>
  <si>
    <t>PEKAN SEKINCHAN</t>
  </si>
  <si>
    <t>SABAK BERNAM,</t>
  </si>
  <si>
    <t>IG3107310070</t>
  </si>
  <si>
    <t>zolkeflemdraji@gmail.com</t>
  </si>
  <si>
    <t>0192727117</t>
  </si>
  <si>
    <t>PM-0787</t>
  </si>
  <si>
    <t>3000/613</t>
  </si>
  <si>
    <t>SEKSYEN 15 BANDAR BARU BANGI,</t>
  </si>
  <si>
    <t>citione2003@gmail.com</t>
  </si>
  <si>
    <t>0389251206</t>
  </si>
  <si>
    <t>PM-0162</t>
  </si>
  <si>
    <t>3000/614</t>
  </si>
  <si>
    <t>LOT PT 812 HS (D)</t>
  </si>
  <si>
    <t>240429, SEKSYEN 15</t>
  </si>
  <si>
    <t>PERSIARAN SELANGOR,SHAH ALAM</t>
  </si>
  <si>
    <t>IG42488790060</t>
  </si>
  <si>
    <t>pssfizzili@yahoo.com</t>
  </si>
  <si>
    <t>0122369866</t>
  </si>
  <si>
    <t>PM-0254</t>
  </si>
  <si>
    <t>3000/615</t>
  </si>
  <si>
    <t>LOT PT 71313 HSD</t>
  </si>
  <si>
    <t>140427, SEKSYEN 16</t>
  </si>
  <si>
    <t>BANDAR BARU BANGI</t>
  </si>
  <si>
    <t>IG22666605000</t>
  </si>
  <si>
    <t>pss_sek16bangi@yahoo.com</t>
  </si>
  <si>
    <t>0192708981</t>
  </si>
  <si>
    <t>PM-0976</t>
  </si>
  <si>
    <t>3000/616</t>
  </si>
  <si>
    <t>SLOT 7380&amp;7381</t>
  </si>
  <si>
    <t>JLN SS 17/2</t>
  </si>
  <si>
    <t>SUBANG JAYA</t>
  </si>
  <si>
    <t>IG2142226051</t>
  </si>
  <si>
    <t>fsheritage@gmail.com</t>
  </si>
  <si>
    <t>0356332914</t>
  </si>
  <si>
    <t>PM-0261</t>
  </si>
  <si>
    <t>3000/617</t>
  </si>
  <si>
    <t>LOT PT 115,JLN PINANG 18/A</t>
  </si>
  <si>
    <t>PERSIARAN JUBLI PERAK,SEK18</t>
  </si>
  <si>
    <t>IG4272400071</t>
  </si>
  <si>
    <t>hanz1402@gmail.com</t>
  </si>
  <si>
    <t>0355495596</t>
  </si>
  <si>
    <t>PM-0300</t>
  </si>
  <si>
    <t>3000/618</t>
  </si>
  <si>
    <t>JLN 20/1,SEKSYEN 20</t>
  </si>
  <si>
    <t>tuah.silkroute10@gmail.com</t>
  </si>
  <si>
    <t>0342806154</t>
  </si>
  <si>
    <t>PM-0613</t>
  </si>
  <si>
    <t>3000/619</t>
  </si>
  <si>
    <t>LOT 52548,52549 &amp; 52550</t>
  </si>
  <si>
    <t>SECTION 22,SHAH ALAM,MUKIM</t>
  </si>
  <si>
    <t>001491917-W</t>
  </si>
  <si>
    <t>IG2160019081</t>
  </si>
  <si>
    <t>UMIZSS@GMAIL.COM</t>
  </si>
  <si>
    <t>0374927090</t>
  </si>
  <si>
    <t>PM-0965</t>
  </si>
  <si>
    <t>3000/620</t>
  </si>
  <si>
    <t>LOT 73,JLN</t>
  </si>
  <si>
    <t>IJUK 26/5,SEKSYEN 26</t>
  </si>
  <si>
    <t>zue_kristal@yahoo.com</t>
  </si>
  <si>
    <t>0193888727</t>
  </si>
  <si>
    <t>PM-1018</t>
  </si>
  <si>
    <t>3000/621</t>
  </si>
  <si>
    <t>LOT 5121 &amp; 5123,JLN</t>
  </si>
  <si>
    <t>PERSIARAN KLANG HICOM</t>
  </si>
  <si>
    <t>SECTOR B, SEKSYEN 27,SHAH ALAM</t>
  </si>
  <si>
    <t>C29765922070</t>
  </si>
  <si>
    <t>psssek27@yahoo.com</t>
  </si>
  <si>
    <t>0351927328</t>
  </si>
  <si>
    <t>PM-0647</t>
  </si>
  <si>
    <t>3000/622</t>
  </si>
  <si>
    <t>PS SEKSYEN 3 BANGI</t>
  </si>
  <si>
    <t>LOT PS 1, JALAN 3/1 SEKSYEN 3,</t>
  </si>
  <si>
    <t>BANDAR BARU BANGI,</t>
  </si>
  <si>
    <t>basukiyusof@yahoo.com.my</t>
  </si>
  <si>
    <t>0389203268</t>
  </si>
  <si>
    <t>PM-0143</t>
  </si>
  <si>
    <t>3000/623</t>
  </si>
  <si>
    <t>LOT 435,JLN</t>
  </si>
  <si>
    <t>NURI 6/61,SEKSYEN 6</t>
  </si>
  <si>
    <t>SHAH ALAM</t>
  </si>
  <si>
    <t>04000</t>
  </si>
  <si>
    <t>alya.umaruddin@gmail.com</t>
  </si>
  <si>
    <t>0163162512</t>
  </si>
  <si>
    <t>PM-0056</t>
  </si>
  <si>
    <t>3000/624</t>
  </si>
  <si>
    <t>PT 61591 HS(D)</t>
  </si>
  <si>
    <t>109493 SEKSYEN 7,BDR</t>
  </si>
  <si>
    <t>BARU BANGI,ULU LANGAT</t>
  </si>
  <si>
    <t>pssbangitujuh@gmail.com</t>
  </si>
  <si>
    <t>0192818408</t>
  </si>
  <si>
    <t>PM-0109</t>
  </si>
  <si>
    <t>3000/625</t>
  </si>
  <si>
    <t>LOT 12 OFF</t>
  </si>
  <si>
    <t>PERSIARAN KAYANGAN</t>
  </si>
  <si>
    <t>SEKSYEN 7</t>
  </si>
  <si>
    <t>Warnaalamniaga@gmail.com</t>
  </si>
  <si>
    <t>0122059146</t>
  </si>
  <si>
    <t>PM-0982</t>
  </si>
  <si>
    <t>3000/626</t>
  </si>
  <si>
    <t>LOT PT 55687 HS (D) 81796 JLN</t>
  </si>
  <si>
    <t>PERSIARAN KEMAJUAN,SEK9</t>
  </si>
  <si>
    <t>BDR BARU BANGI,ULU LANGAT</t>
  </si>
  <si>
    <t>zaiton7171@yahoo.com</t>
  </si>
  <si>
    <t>0387223485</t>
  </si>
  <si>
    <t>PM-0646</t>
  </si>
  <si>
    <t>3000/627</t>
  </si>
  <si>
    <t>PS SELAMA</t>
  </si>
  <si>
    <t>LOT 181, JALAN TAIPING,</t>
  </si>
  <si>
    <t>SELAMA</t>
  </si>
  <si>
    <t>sofian_eradagang@rocketmail.com</t>
  </si>
  <si>
    <t>058392688</t>
  </si>
  <si>
    <t>PM-0227</t>
  </si>
  <si>
    <t>3000/628</t>
  </si>
  <si>
    <t>STESYEN MINYAK</t>
  </si>
  <si>
    <t>PETRONAS SELANDAR</t>
  </si>
  <si>
    <t>LOT PT 701,PEKAN SELANDAR</t>
  </si>
  <si>
    <t>IG 21258647050</t>
  </si>
  <si>
    <t>aperjelah@yahoo.com</t>
  </si>
  <si>
    <t>065252385</t>
  </si>
  <si>
    <t>PM-0604</t>
  </si>
  <si>
    <t>3000/629</t>
  </si>
  <si>
    <t>LOT 1051,JLN</t>
  </si>
  <si>
    <t>BESAR,SELAYANG BARU</t>
  </si>
  <si>
    <t xml:space="preserve">GOMBAK, </t>
  </si>
  <si>
    <t>IG 10723830060</t>
  </si>
  <si>
    <t>selayang_bharu@yahoo.com.my</t>
  </si>
  <si>
    <t>0361387030</t>
  </si>
  <si>
    <t>PM-0906</t>
  </si>
  <si>
    <t>3000/630</t>
  </si>
  <si>
    <t>LOT 20298,MUKIM</t>
  </si>
  <si>
    <t>BATU,SELAYANG</t>
  </si>
  <si>
    <t>BATU CAVE</t>
  </si>
  <si>
    <t>selayang_bypass@yahoo.com.my</t>
  </si>
  <si>
    <t>0361281961</t>
  </si>
  <si>
    <t>PM-0911</t>
  </si>
  <si>
    <t>3000/631</t>
  </si>
  <si>
    <t>PS SEMERAH</t>
  </si>
  <si>
    <t>STESEN MINYAK PETRONAS,</t>
  </si>
  <si>
    <t>LOT 3302, PEKAN SEMERAH,</t>
  </si>
  <si>
    <t>acezeksni.synergy@gmail.com</t>
  </si>
  <si>
    <t>0127095997</t>
  </si>
  <si>
    <t>PM-0008</t>
  </si>
  <si>
    <t>3000/632</t>
  </si>
  <si>
    <t>JALAN SURADA 8/24,</t>
  </si>
  <si>
    <t>TAMAN DESA SURADA,</t>
  </si>
  <si>
    <t>0193812620</t>
  </si>
  <si>
    <t>SM-0362</t>
  </si>
  <si>
    <t>3000/633</t>
  </si>
  <si>
    <t>LPG TERBANG SULTAN ISMAIL</t>
  </si>
  <si>
    <t>(PART OF LOT 23569 PTD8797</t>
  </si>
  <si>
    <t>C25892168040</t>
  </si>
  <si>
    <t>najah_enterprise@yahoo.com</t>
  </si>
  <si>
    <t>PM-0760</t>
  </si>
  <si>
    <t>3000/634</t>
  </si>
  <si>
    <t>LOT PT 712 KM 2</t>
  </si>
  <si>
    <t>PEKAN SENALING</t>
  </si>
  <si>
    <t>KUALA PILAH</t>
  </si>
  <si>
    <t>senalingpss@yahoo.com</t>
  </si>
  <si>
    <t>064811985</t>
  </si>
  <si>
    <t>PM-0390</t>
  </si>
  <si>
    <t>3000/635</t>
  </si>
  <si>
    <t>BATU 4 1/2</t>
  </si>
  <si>
    <t>JLN SEREMBAN TAMPIN</t>
  </si>
  <si>
    <t>sahar_petronas@yahoo.com</t>
  </si>
  <si>
    <t>0193258261</t>
  </si>
  <si>
    <t>PM-0275</t>
  </si>
  <si>
    <t>3000/636</t>
  </si>
  <si>
    <t>LOT 2172,JLN</t>
  </si>
  <si>
    <t>TAMPIN-SEREMBAN,MUKIM</t>
  </si>
  <si>
    <t>RANTAU,SEREMBAN</t>
  </si>
  <si>
    <t>IG1705675080</t>
  </si>
  <si>
    <t>066774436</t>
  </si>
  <si>
    <t>PM-0274</t>
  </si>
  <si>
    <t>3000/637</t>
  </si>
  <si>
    <t>LOT 1682,JLN</t>
  </si>
  <si>
    <t>SENAWANG-PAROI,MUKIM</t>
  </si>
  <si>
    <t>AMPANGAN,SEREMBAN</t>
  </si>
  <si>
    <t>norlintee@yahoo.com</t>
  </si>
  <si>
    <t>0122273947</t>
  </si>
  <si>
    <t>PM-0036</t>
  </si>
  <si>
    <t>3000/638</t>
  </si>
  <si>
    <t>LOT PT 10841 &amp; 10842</t>
  </si>
  <si>
    <t>MUKIM RASAH</t>
  </si>
  <si>
    <t>SEREMBAN 2,SEREMBAN</t>
  </si>
  <si>
    <t>zuraini_b@yahoo.com</t>
  </si>
  <si>
    <t>0136236242</t>
  </si>
  <si>
    <t>PM-1030</t>
  </si>
  <si>
    <t>3000/639</t>
  </si>
  <si>
    <t>LOT 7356,KM 53.1</t>
  </si>
  <si>
    <t>L/RAYA KUALA LUMPUR SEREMBAN</t>
  </si>
  <si>
    <t>(ARAH UTARA),(R&amp;R),SEREMBAN</t>
  </si>
  <si>
    <t>richenergy.trading@gmail.com</t>
  </si>
  <si>
    <t>0123710020</t>
  </si>
  <si>
    <t>PM-0739</t>
  </si>
  <si>
    <t>3000/640</t>
  </si>
  <si>
    <t>LOT 13796</t>
  </si>
  <si>
    <t>PEKAN SEREMBAN JAYA</t>
  </si>
  <si>
    <t>mszmesra@hotmail.com</t>
  </si>
  <si>
    <t>066785530</t>
  </si>
  <si>
    <t>PM-0843</t>
  </si>
  <si>
    <t>3000/641</t>
  </si>
  <si>
    <t>PS SERI KEMBANGAN 1</t>
  </si>
  <si>
    <t>LOT 3464, JALAN RAYA 2,</t>
  </si>
  <si>
    <t>BANDAR BARU SRI KEMBANGAN,</t>
  </si>
  <si>
    <t>bepetrolstation@gmail.com</t>
  </si>
  <si>
    <t>0389484181</t>
  </si>
  <si>
    <t>PM-0115</t>
  </si>
  <si>
    <t>3000/642</t>
  </si>
  <si>
    <t>PLOT 4,BDR</t>
  </si>
  <si>
    <t>BARU SERI MANJUNG</t>
  </si>
  <si>
    <t>SETIAWAN,MANJUNG</t>
  </si>
  <si>
    <t>nina_stn@yahoo.com.uk</t>
  </si>
  <si>
    <t>056881335</t>
  </si>
  <si>
    <t>PM-0706</t>
  </si>
  <si>
    <t>3000/643</t>
  </si>
  <si>
    <t>PS SETAPAK INDAH</t>
  </si>
  <si>
    <t>LOT PT 2381, JALAN 1A/6,</t>
  </si>
  <si>
    <t xml:space="preserve">TAMAN SETAPAK INDAH, </t>
  </si>
  <si>
    <t>IG5355415090</t>
  </si>
  <si>
    <t>mhaamoh@gmail.com</t>
  </si>
  <si>
    <t>0122821813</t>
  </si>
  <si>
    <t>PM-0772</t>
  </si>
  <si>
    <t>3000/644</t>
  </si>
  <si>
    <t>LOT 131972,HSD 437874</t>
  </si>
  <si>
    <t>TMN SETIA TROPIKA,MUKIM</t>
  </si>
  <si>
    <t>TEBRAU,</t>
  </si>
  <si>
    <t>C23708593030</t>
  </si>
  <si>
    <t>khautharenterprise60@gmail.com</t>
  </si>
  <si>
    <t>072329143</t>
  </si>
  <si>
    <t>PM-0389</t>
  </si>
  <si>
    <t>3000/645</t>
  </si>
  <si>
    <t>LOT 20100,BERSEBELAHAN</t>
  </si>
  <si>
    <t>HENTIAN REHAT SG(ARAH</t>
  </si>
  <si>
    <t>SELATAN),L/RAYA UTARA SELATAN</t>
  </si>
  <si>
    <t>amir.zahid@gmail.com</t>
  </si>
  <si>
    <t>045850855</t>
  </si>
  <si>
    <t>PM-0957</t>
  </si>
  <si>
    <t>3000/646</t>
  </si>
  <si>
    <t>LOT 1661 HS(D) 3142</t>
  </si>
  <si>
    <t>MUKIM IJOK SG BULOH COUNTRY</t>
  </si>
  <si>
    <t>RESORT,SG BULOH,PETALING</t>
  </si>
  <si>
    <t>sri_angrik@yahoo.com</t>
  </si>
  <si>
    <t>0192798228</t>
  </si>
  <si>
    <t>PM-0833</t>
  </si>
  <si>
    <t>3000/647</t>
  </si>
  <si>
    <t>KM 453,SG BULOH</t>
  </si>
  <si>
    <t>LAYBY (KL BOUND)</t>
  </si>
  <si>
    <t>PLUS,NSE,PETALING</t>
  </si>
  <si>
    <t>syafa_on7@yahoo.co.uk</t>
  </si>
  <si>
    <t>0187069688</t>
  </si>
  <si>
    <t>PM-0713</t>
  </si>
  <si>
    <t>3000/648</t>
  </si>
  <si>
    <t>PS SG PELEK</t>
  </si>
  <si>
    <t>PT 9616, NO.2, JALAN H1,</t>
  </si>
  <si>
    <t>TAMAN HARMONI IMPIAN,</t>
  </si>
  <si>
    <t>IG 3687688070</t>
  </si>
  <si>
    <t>petronassgpelek2@gmail.com</t>
  </si>
  <si>
    <t>0192280426</t>
  </si>
  <si>
    <t>PM-0903</t>
  </si>
  <si>
    <t>3000/649</t>
  </si>
  <si>
    <t>PS SHAPADU HIGHWAY</t>
  </si>
  <si>
    <t>LOT 52, KAWASAN R&amp;R,</t>
  </si>
  <si>
    <t>LEBUHRAYA BARU SHAPADU,</t>
  </si>
  <si>
    <t>rahilah88@gmail.com</t>
  </si>
  <si>
    <t>0136306770</t>
  </si>
  <si>
    <t>PM-0590</t>
  </si>
  <si>
    <t>3000/650</t>
  </si>
  <si>
    <t>KAWASAN HENTIAN SEBELAH</t>
  </si>
  <si>
    <t>L/RAYA SUNGAI RAMAL</t>
  </si>
  <si>
    <t>L/RAYA LINGKARAN KAJANG</t>
  </si>
  <si>
    <t>CS120963310000</t>
  </si>
  <si>
    <t>petronas.silk@gmail.com</t>
  </si>
  <si>
    <t>0387334618</t>
  </si>
  <si>
    <t>PM-0413</t>
  </si>
  <si>
    <t>3000/651</t>
  </si>
  <si>
    <t>LOT 44116,KM26.8</t>
  </si>
  <si>
    <t>LEBUHRAYA SILK(ARAH KAJANG)</t>
  </si>
  <si>
    <t>rrazsynergy@gmail.com</t>
  </si>
  <si>
    <t>0123206072</t>
  </si>
  <si>
    <t>PM-0755</t>
  </si>
  <si>
    <t>3000/652</t>
  </si>
  <si>
    <t>LOT 3609,MUKIM 15</t>
  </si>
  <si>
    <t>SIMPANG EMPAT</t>
  </si>
  <si>
    <t>SEBERANG PERAI SELATAN</t>
  </si>
  <si>
    <t>IG4410622100</t>
  </si>
  <si>
    <t>psa.emdynamic2022@gmail.com</t>
  </si>
  <si>
    <t>045871375</t>
  </si>
  <si>
    <t>PM-0212</t>
  </si>
  <si>
    <t>3000/653</t>
  </si>
  <si>
    <t>PS SIMPANG DURIAN</t>
  </si>
  <si>
    <t>LOT 3897</t>
  </si>
  <si>
    <t>PEKAN SIMPANG DURIAN JELEBU</t>
  </si>
  <si>
    <t>PM-0035</t>
  </si>
  <si>
    <t>3000/654</t>
  </si>
  <si>
    <t>LOT 1686,TABOH</t>
  </si>
  <si>
    <t>NANING,SIMPANG EMPAT</t>
  </si>
  <si>
    <t xml:space="preserve">ALOR GAJAH, </t>
  </si>
  <si>
    <t>rafidimohdzin@yahoo.com</t>
  </si>
  <si>
    <t>0196669669</t>
  </si>
  <si>
    <t>PM-0764</t>
  </si>
  <si>
    <t>3000/655</t>
  </si>
  <si>
    <t>LOT PTD 26878</t>
  </si>
  <si>
    <t>MUKIM SIMPANG KANAN</t>
  </si>
  <si>
    <t>JLN KLUANG,BATU PAHAT</t>
  </si>
  <si>
    <t>smz_zeksni@yahoo.com</t>
  </si>
  <si>
    <t>0193506641</t>
  </si>
  <si>
    <t>PM-0887</t>
  </si>
  <si>
    <t>3000/656</t>
  </si>
  <si>
    <t>LOT PTD 33878,MKM</t>
  </si>
  <si>
    <t>MKM SIMPANG KANAN,KM 7 JLN</t>
  </si>
  <si>
    <t>zainahhassan@yahoo.com.my</t>
  </si>
  <si>
    <t>074556313</t>
  </si>
  <si>
    <t>PM-1007</t>
  </si>
  <si>
    <t>3000/657</t>
  </si>
  <si>
    <t>LOT PT 44263,MUKIM</t>
  </si>
  <si>
    <t>SIMPANG KANAN,JLN BUKIT</t>
  </si>
  <si>
    <t>PASIR,BATU PAHAT</t>
  </si>
  <si>
    <t>petronasjbp@jtmgroups.com</t>
  </si>
  <si>
    <t>PM-0518</t>
  </si>
  <si>
    <t>3000/658</t>
  </si>
  <si>
    <t>LOT 128025,TMN</t>
  </si>
  <si>
    <t>BERSATU,SIMPANG PULAI</t>
  </si>
  <si>
    <t>KG KEPAYANG,KINTA</t>
  </si>
  <si>
    <t>mdaxfar@gmail.com</t>
  </si>
  <si>
    <t>053574615</t>
  </si>
  <si>
    <t>PM-0086</t>
  </si>
  <si>
    <t>3000/659</t>
  </si>
  <si>
    <t>SIMPANG PULAI LAYBY, LEBUHRAYA</t>
  </si>
  <si>
    <t>PLUS (ARAH UTARA),</t>
  </si>
  <si>
    <t>andamasniaga@gmail.com</t>
  </si>
  <si>
    <t>0122001331</t>
  </si>
  <si>
    <t>PM-0060</t>
  </si>
  <si>
    <t>3000/660</t>
  </si>
  <si>
    <t>SIMPANG PULAI LAYBY</t>
  </si>
  <si>
    <t>LEBUHRAYA PLUS(ARAH UTARA)</t>
  </si>
  <si>
    <t xml:space="preserve">IPOH, </t>
  </si>
  <si>
    <t>fastrich.malaysia@gmail.com</t>
  </si>
  <si>
    <t>0192288827</t>
  </si>
  <si>
    <t>PM-0243</t>
  </si>
  <si>
    <t>3000/661</t>
  </si>
  <si>
    <t>PS SIMPANG RENGGAM</t>
  </si>
  <si>
    <t>LOT 762 PTD 4717, JALAN JOHOR,</t>
  </si>
  <si>
    <t xml:space="preserve">SIMPANG RENGAM, </t>
  </si>
  <si>
    <t>kinizam888@gmail.com</t>
  </si>
  <si>
    <t>0192296619</t>
  </si>
  <si>
    <t>PM-0851</t>
  </si>
  <si>
    <t>3000/662</t>
  </si>
  <si>
    <t>LOT 433,JLN</t>
  </si>
  <si>
    <t>DATUK AHMAD YUNUS</t>
  </si>
  <si>
    <t xml:space="preserve">SITIAWAN </t>
  </si>
  <si>
    <t>MDSB_STWN@YAHOO.COM</t>
  </si>
  <si>
    <t>0125924247</t>
  </si>
  <si>
    <t>PM-0494</t>
  </si>
  <si>
    <t>3000/663</t>
  </si>
  <si>
    <t>NO.39, LEBUH RAYA</t>
  </si>
  <si>
    <t>UTARA-SELATAN,TMN</t>
  </si>
  <si>
    <t>TEKNOLOGI JOHOR,SENAI</t>
  </si>
  <si>
    <t>IG5317315050</t>
  </si>
  <si>
    <t>pentaoil02@gmail.com</t>
  </si>
  <si>
    <t>0167798304</t>
  </si>
  <si>
    <t>PM-0644</t>
  </si>
  <si>
    <t>3000/664</t>
  </si>
  <si>
    <t>HSM NO.12810</t>
  </si>
  <si>
    <t>PT NO. 20188,AIR HITAM</t>
  </si>
  <si>
    <t>PUCHONG,DENGKIL,</t>
  </si>
  <si>
    <t>IG3768383070</t>
  </si>
  <si>
    <t>09101</t>
  </si>
  <si>
    <t>visituah@gmail.com</t>
  </si>
  <si>
    <t>0133649575</t>
  </si>
  <si>
    <t>PM-0968</t>
  </si>
  <si>
    <t>3000/665</t>
  </si>
  <si>
    <t>LOT 5739,BNDR</t>
  </si>
  <si>
    <t>BARU,SLIM RIVER</t>
  </si>
  <si>
    <t>BATANG PADANG,</t>
  </si>
  <si>
    <t>aidilrashdan@yahoo.com</t>
  </si>
  <si>
    <t>054528662</t>
  </si>
  <si>
    <t>PM-0927</t>
  </si>
  <si>
    <t>3000/666</t>
  </si>
  <si>
    <t>PGS KM 305,PLUS</t>
  </si>
  <si>
    <t>ARAH SELATAN,LOT 896</t>
  </si>
  <si>
    <t>nunoji@yahoo.com</t>
  </si>
  <si>
    <t>0185876025</t>
  </si>
  <si>
    <t>PM-1019</t>
  </si>
  <si>
    <t>3000/667</t>
  </si>
  <si>
    <t>PS SOLARIS SERDANG</t>
  </si>
  <si>
    <t>KM 0.7, LEBUHRAYA SG. BESI,</t>
  </si>
  <si>
    <t>mohdshukeri@gmail.com</t>
  </si>
  <si>
    <t>0123933810</t>
  </si>
  <si>
    <t>PM-0120</t>
  </si>
  <si>
    <t>3000/668</t>
  </si>
  <si>
    <t>LOT 2858,KWSN</t>
  </si>
  <si>
    <t>PERINDUSTRIAN SONGSANG,BATU3</t>
  </si>
  <si>
    <t>TEMERLOH</t>
  </si>
  <si>
    <t>ita_nxt6590@yahoo.com</t>
  </si>
  <si>
    <t>092773620</t>
  </si>
  <si>
    <t>PM-0892</t>
  </si>
  <si>
    <t>3000/669</t>
  </si>
  <si>
    <t>R&amp;R SIMPANG PULAI(ARAH</t>
  </si>
  <si>
    <t>SELATAN),L/RAYA UTARA</t>
  </si>
  <si>
    <t>-SELATAN (PLUS)IPOH,KINTA</t>
  </si>
  <si>
    <t>pssprima@gmail.com</t>
  </si>
  <si>
    <t>053542303</t>
  </si>
  <si>
    <t>PM-0875</t>
  </si>
  <si>
    <t>3000/670</t>
  </si>
  <si>
    <t>PS SPRINT HIGHWAY</t>
  </si>
  <si>
    <t>LOT 52985 LEBUHRAYA SPRINT</t>
  </si>
  <si>
    <t>MUKIM KUALA LUMPUR, DAMANSARA,</t>
  </si>
  <si>
    <t>sprinthway@gmail.com</t>
  </si>
  <si>
    <t>0379565051</t>
  </si>
  <si>
    <t>PM-0488</t>
  </si>
  <si>
    <t>3000/671</t>
  </si>
  <si>
    <t>LOT 48653,JLN HARTAMAS 1</t>
  </si>
  <si>
    <t>TMN SRI HARTAMAS,KL</t>
  </si>
  <si>
    <t>W.PERSEKUTUAN KL</t>
  </si>
  <si>
    <t>IG 3192571050</t>
  </si>
  <si>
    <t>norazah1609@gmail.com</t>
  </si>
  <si>
    <t>0122279831</t>
  </si>
  <si>
    <t>PM-0102</t>
  </si>
  <si>
    <t>3000/672</t>
  </si>
  <si>
    <t>PLOT 2 PT 862</t>
  </si>
  <si>
    <t>MUKIM LUMUT, SERI MANJUNG</t>
  </si>
  <si>
    <t>MANJUNG,</t>
  </si>
  <si>
    <t>056888363</t>
  </si>
  <si>
    <t>PM-0619</t>
  </si>
  <si>
    <t>3000/673</t>
  </si>
  <si>
    <t>LOT PTD 74903 HS(D) 263792</t>
  </si>
  <si>
    <t>JLNHANG JEBAT,TMN SERI</t>
  </si>
  <si>
    <t>OKID,JOHOR BHARU</t>
  </si>
  <si>
    <t>IG4722409060</t>
  </si>
  <si>
    <t>dhazira@yahoo.com</t>
  </si>
  <si>
    <t>075581562</t>
  </si>
  <si>
    <t>PM-0188</t>
  </si>
  <si>
    <t>3000/674</t>
  </si>
  <si>
    <t>PTD 105041,HSM1915</t>
  </si>
  <si>
    <t>KANGAR PULAI</t>
  </si>
  <si>
    <t>MUKIM KULAI,KULAI</t>
  </si>
  <si>
    <t>polysageengineeringpulai@gmail.com</t>
  </si>
  <si>
    <t>0175760507</t>
  </si>
  <si>
    <t>PM-0692</t>
  </si>
  <si>
    <t>3000/675</t>
  </si>
  <si>
    <t>LOT  1210,JLN</t>
  </si>
  <si>
    <t>LAPANGAN TERBANG, SUBANG</t>
  </si>
  <si>
    <t>mesragas@gmail.com</t>
  </si>
  <si>
    <t>0378462016</t>
  </si>
  <si>
    <t>PM-0534</t>
  </si>
  <si>
    <t>3000/676</t>
  </si>
  <si>
    <t>NO.1 LOT PT 46023</t>
  </si>
  <si>
    <t>PERSIARAN CAKERAWALA SUBANG</t>
  </si>
  <si>
    <t>BESTARI,SEKSYEN U5,SHAH ALAM</t>
  </si>
  <si>
    <t>imanzme@gmail.com</t>
  </si>
  <si>
    <t>0378430993</t>
  </si>
  <si>
    <t>PM-0334</t>
  </si>
  <si>
    <t>3000/677</t>
  </si>
  <si>
    <t>LOT 573&amp;574,MUKIM II</t>
  </si>
  <si>
    <t>SUNGAI BAKAP</t>
  </si>
  <si>
    <t>SG JAWI,</t>
  </si>
  <si>
    <t>psbsmsj@gmail.com</t>
  </si>
  <si>
    <t>045822304</t>
  </si>
  <si>
    <t>PM-0836</t>
  </si>
  <si>
    <t>3000/678</t>
  </si>
  <si>
    <t>LOT 9197,MUKIM</t>
  </si>
  <si>
    <t>PANCANG BEDENA</t>
  </si>
  <si>
    <t>SG BESAR BESAR,</t>
  </si>
  <si>
    <t>pssbakri@gmail.com</t>
  </si>
  <si>
    <t>0332241454</t>
  </si>
  <si>
    <t>PM-0669</t>
  </si>
  <si>
    <t>3000/679</t>
  </si>
  <si>
    <t>LOT PT 17732-17740</t>
  </si>
  <si>
    <t>SG BESI-PUCHONG BYPASS</t>
  </si>
  <si>
    <t>(KINRARA) MUKIM PETALING</t>
  </si>
  <si>
    <t>tjsc28@yahoo.com</t>
  </si>
  <si>
    <t>0380706133</t>
  </si>
  <si>
    <t>PM-0689</t>
  </si>
  <si>
    <t>3000/680</t>
  </si>
  <si>
    <t>LOT 3522,SG CHOH</t>
  </si>
  <si>
    <t>MUKIM SERENDAH</t>
  </si>
  <si>
    <t>HULU SELANGOR</t>
  </si>
  <si>
    <t>kbezy63@yahoo.com</t>
  </si>
  <si>
    <t>0360919102</t>
  </si>
  <si>
    <t>PM-0378</t>
  </si>
  <si>
    <t>3000/681</t>
  </si>
  <si>
    <t>ARAH SELATAN,GM</t>
  </si>
  <si>
    <t>1202,LOT 1973,MUKIM 02</t>
  </si>
  <si>
    <t>DAERAH SEBERANG PERAI TENGAH</t>
  </si>
  <si>
    <t>taipanmegah_pg@yahoo.com</t>
  </si>
  <si>
    <t>0177999770</t>
  </si>
  <si>
    <t>PM-0932</t>
  </si>
  <si>
    <t>3000/682</t>
  </si>
  <si>
    <t>NO.262,BATU 36</t>
  </si>
  <si>
    <t>JLN JOHOR KIRI</t>
  </si>
  <si>
    <t>1261392-D</t>
  </si>
  <si>
    <t>C-25271374050</t>
  </si>
  <si>
    <t xml:space="preserve">ptrns.sungaigurap@felda.net.my </t>
  </si>
  <si>
    <t>0197786125</t>
  </si>
  <si>
    <t>PM-0445</t>
  </si>
  <si>
    <t>3000/683</t>
  </si>
  <si>
    <t>LOT 9188&amp;9189 GM 80</t>
  </si>
  <si>
    <t>KG SG. HAJI DORANI,SG BESAR</t>
  </si>
  <si>
    <t>PANCHANG BEDENA,SABAK BERNAM</t>
  </si>
  <si>
    <t>0332242871</t>
  </si>
  <si>
    <t>PM-0196</t>
  </si>
  <si>
    <t>3000/684</t>
  </si>
  <si>
    <t>PS SUNGAI JAGUNG</t>
  </si>
  <si>
    <t>LOT PT 96580 HS(D) 120705,</t>
  </si>
  <si>
    <t>MUKIM SUNGAI PETANI,</t>
  </si>
  <si>
    <t>azmazaoil_enterprise@yahoo.com</t>
  </si>
  <si>
    <t>0124749694</t>
  </si>
  <si>
    <t>PM-0099</t>
  </si>
  <si>
    <t>3000/685</t>
  </si>
  <si>
    <t>LOT 5840,HS(D) 5380/97 MUKIM</t>
  </si>
  <si>
    <t>PADANG CINA DAERAH KULIM</t>
  </si>
  <si>
    <t>(TMN MUTIARA,SG KOB)</t>
  </si>
  <si>
    <t>knh1977@gmail.com</t>
  </si>
  <si>
    <t>0124702131</t>
  </si>
  <si>
    <t>PM-0720</t>
  </si>
  <si>
    <t>3000/686</t>
  </si>
  <si>
    <t>KOPERASI FELDA SG</t>
  </si>
  <si>
    <t>KOYAN 01 RAUB BHD</t>
  </si>
  <si>
    <t>CS4853778000</t>
  </si>
  <si>
    <t>psgkoyan@gmail.com</t>
  </si>
  <si>
    <t>0192512862</t>
  </si>
  <si>
    <t>PM-0893</t>
  </si>
  <si>
    <t>3000/687</t>
  </si>
  <si>
    <t>LOT 1735&amp;1757 MUKIM</t>
  </si>
  <si>
    <t>10,SUNGAI LOKAN</t>
  </si>
  <si>
    <t>servisria@gmail.com</t>
  </si>
  <si>
    <t>043569966</t>
  </si>
  <si>
    <t>PM-0796</t>
  </si>
  <si>
    <t>3000/688</t>
  </si>
  <si>
    <t>PS SUNGAI MANGGIS</t>
  </si>
  <si>
    <t>LOT PT 4515, JALAN SUNGAI</t>
  </si>
  <si>
    <t xml:space="preserve">MANGGIS, BANTING, </t>
  </si>
  <si>
    <t>fizrai.berkatperkasa@gmail.com</t>
  </si>
  <si>
    <t>PM-0116</t>
  </si>
  <si>
    <t>3000/689</t>
  </si>
  <si>
    <t>R&amp;R,LOT PT 2,KM297.9 ARAH</t>
  </si>
  <si>
    <t>UTARA,L/RAYA UTARA-SELATAN</t>
  </si>
  <si>
    <t>KL-SEREMBAN SG MERAB</t>
  </si>
  <si>
    <t>cintakuasapetro@gmail.com</t>
  </si>
  <si>
    <t>0126520034</t>
  </si>
  <si>
    <t>PM-0161</t>
  </si>
  <si>
    <t>3000/690</t>
  </si>
  <si>
    <t>LOT PT 14387 HS</t>
  </si>
  <si>
    <t>(M6834), LEBUHRAYA</t>
  </si>
  <si>
    <t>DAMANSARA-PUCHONG, PUCHONG</t>
  </si>
  <si>
    <t>IG 23244973020</t>
  </si>
  <si>
    <t>psskm2ldp@gmail.com</t>
  </si>
  <si>
    <t>0122272031</t>
  </si>
  <si>
    <t>PM-0158</t>
  </si>
  <si>
    <t>3000/691</t>
  </si>
  <si>
    <t>PS SUNGAI PENCHALA</t>
  </si>
  <si>
    <t>LOT 2956, JALAN DAMANSARA,</t>
  </si>
  <si>
    <t>SUNGAI PENCHALA,</t>
  </si>
  <si>
    <t>nyonan21@yahoo.com</t>
  </si>
  <si>
    <t>0377297190</t>
  </si>
  <si>
    <t>PM-0617</t>
  </si>
  <si>
    <t>3000/692</t>
  </si>
  <si>
    <t>PS SUNGAI PERAK (NORTH BOUND)</t>
  </si>
  <si>
    <t>SUNGAI PERAK (ARAH UTARA),</t>
  </si>
  <si>
    <t>nizamsgperak@yahoo.com</t>
  </si>
  <si>
    <t>0125185858</t>
  </si>
  <si>
    <t>PM-0688</t>
  </si>
  <si>
    <t>3000/693</t>
  </si>
  <si>
    <t>R&amp;R SUNGAI PERAK</t>
  </si>
  <si>
    <t>KANGSAR,</t>
  </si>
  <si>
    <t>azah_kamardin@yahoo.com</t>
  </si>
  <si>
    <t>0125197737</t>
  </si>
  <si>
    <t>PM-0514</t>
  </si>
  <si>
    <t>3000/694</t>
  </si>
  <si>
    <t>LOT 3579,MUKIM</t>
  </si>
  <si>
    <t>SUNGAI PETAI, ALOR GAJAH</t>
  </si>
  <si>
    <t>IG21859775040</t>
  </si>
  <si>
    <t>kazumi.global@gmail.com</t>
  </si>
  <si>
    <t>0126017235</t>
  </si>
  <si>
    <t>PM-0377</t>
  </si>
  <si>
    <t>3000/695</t>
  </si>
  <si>
    <t>LOT 1464,PEKAN</t>
  </si>
  <si>
    <t>SUNGAI RAMBAI, MELAKA</t>
  </si>
  <si>
    <t xml:space="preserve">JASIN, </t>
  </si>
  <si>
    <t>suriatibteramli@yahoo.com.my</t>
  </si>
  <si>
    <t>062659529</t>
  </si>
  <si>
    <t>PM-0171</t>
  </si>
  <si>
    <t>3000/696</t>
  </si>
  <si>
    <t>PT 810,JLN</t>
  </si>
  <si>
    <t>SUNGAI RANGGAM,KOTA SETIA</t>
  </si>
  <si>
    <t>KAMPUNG GAJAH</t>
  </si>
  <si>
    <t>nazpssb@gmail.com</t>
  </si>
  <si>
    <t>01121577595</t>
  </si>
  <si>
    <t>PM-0589</t>
  </si>
  <si>
    <t>3000/697</t>
  </si>
  <si>
    <t>LOT PT 3137H-S(D)</t>
  </si>
  <si>
    <t>MUKIM SUNGAI RAYA</t>
  </si>
  <si>
    <t>IPOH,KINTA</t>
  </si>
  <si>
    <t>IG 20383768010</t>
  </si>
  <si>
    <t>smar2212@gmail.com</t>
  </si>
  <si>
    <t>053542211</t>
  </si>
  <si>
    <t>PM-0849</t>
  </si>
  <si>
    <t>3000/698</t>
  </si>
  <si>
    <t>LOT 134,MUKIM</t>
  </si>
  <si>
    <t>SUNGAI SELUANG,KEDAH</t>
  </si>
  <si>
    <t>KULIM</t>
  </si>
  <si>
    <t>ismailsedik@yahoo.com</t>
  </si>
  <si>
    <t>044843888</t>
  </si>
  <si>
    <t>PM-0868</t>
  </si>
  <si>
    <t>3000/699</t>
  </si>
  <si>
    <t>NO.3545,FASA 2B</t>
  </si>
  <si>
    <t>KG. MUHIBBAH,SG SIPUT</t>
  </si>
  <si>
    <t>KUALA KANGSAR</t>
  </si>
  <si>
    <t>055980022</t>
  </si>
  <si>
    <t>PM-1010</t>
  </si>
  <si>
    <t>3000/700</t>
  </si>
  <si>
    <t>LOT 1317,BATU 11</t>
  </si>
  <si>
    <t>MUKIM SUNGAI UDANG</t>
  </si>
  <si>
    <t>mruzzi@yahoo.com</t>
  </si>
  <si>
    <t>0197453122</t>
  </si>
  <si>
    <t>PM-0761</t>
  </si>
  <si>
    <t>3000/701</t>
  </si>
  <si>
    <t>LOT 303,MUKIM</t>
  </si>
  <si>
    <t>SUNGKAI, SUNGKAI</t>
  </si>
  <si>
    <t>BATANG PADANG</t>
  </si>
  <si>
    <t>lizaafm@yahoo.com</t>
  </si>
  <si>
    <t>054386003</t>
  </si>
  <si>
    <t>PM-0019</t>
  </si>
  <si>
    <t>3000/702</t>
  </si>
  <si>
    <t>LOT KOMERSIAL 3</t>
  </si>
  <si>
    <t>JLN SM 1 BANDR SUNWAY</t>
  </si>
  <si>
    <t>BATU CAVES, GOMBAK</t>
  </si>
  <si>
    <t>luqmanulhakimashari@gmail.com</t>
  </si>
  <si>
    <t>0361850155</t>
  </si>
  <si>
    <t>PM-0459</t>
  </si>
  <si>
    <t>3000/703</t>
  </si>
  <si>
    <t>LOT 5494&amp;5729</t>
  </si>
  <si>
    <t>MUKIM 1, BANDAR SUNWAY</t>
  </si>
  <si>
    <t>SEBERANG JAYA,PERAI</t>
  </si>
  <si>
    <t>IG20717511100</t>
  </si>
  <si>
    <t>smartwayss.einvoice@gmail.com</t>
  </si>
  <si>
    <t>0194944544</t>
  </si>
  <si>
    <t>PM-0822</t>
  </si>
  <si>
    <t>3000/704</t>
  </si>
  <si>
    <t>LOT PT 303545,SUNWAY</t>
  </si>
  <si>
    <t>CITY TAMBUN,MUKIM</t>
  </si>
  <si>
    <t>HULU KINTA, KINTA</t>
  </si>
  <si>
    <t>sairampetro@yahoo.com</t>
  </si>
  <si>
    <t>055421704</t>
  </si>
  <si>
    <t>PM-0773</t>
  </si>
  <si>
    <t>3000/705</t>
  </si>
  <si>
    <t>LOT 785 GM 556</t>
  </si>
  <si>
    <t>(NEW LOT PT 12407 HS (M),KG</t>
  </si>
  <si>
    <t>PAYA DUSUN,MUKIM SURA,DUNGUN</t>
  </si>
  <si>
    <t>IG4303782081</t>
  </si>
  <si>
    <t>sura2triplea@yahoo.com.my</t>
  </si>
  <si>
    <t>0355105494</t>
  </si>
  <si>
    <t>PM-0959</t>
  </si>
  <si>
    <t>3000/706</t>
  </si>
  <si>
    <t>HS(M) 383 LOT PT 4611</t>
  </si>
  <si>
    <t>&amp; HS(M) 1603 LOT M,MUKIM</t>
  </si>
  <si>
    <t>SENAI-KULAI,SKUDAI-SENAI</t>
  </si>
  <si>
    <t>jabal.barqa@gmail.com</t>
  </si>
  <si>
    <t>PM-0347</t>
  </si>
  <si>
    <t>3000/707</t>
  </si>
  <si>
    <t>170,JLN TASEK</t>
  </si>
  <si>
    <t>TMN ANDA,IPOH</t>
  </si>
  <si>
    <t>PERAK DARUL RIDZUAN</t>
  </si>
  <si>
    <t>pstamananda@gmail.com</t>
  </si>
  <si>
    <t>0123937708</t>
  </si>
  <si>
    <t>PM-0346</t>
  </si>
  <si>
    <t>3000/708</t>
  </si>
  <si>
    <t>LOT PTD 65639 HS(D)</t>
  </si>
  <si>
    <t>215966, MUKIM TEBRAU</t>
  </si>
  <si>
    <t>TMN AUSTIN PERDANA</t>
  </si>
  <si>
    <t>IG21861872070</t>
  </si>
  <si>
    <t>petronas.austinperdana@gmail.com</t>
  </si>
  <si>
    <t>073540860</t>
  </si>
  <si>
    <t>PM-0578</t>
  </si>
  <si>
    <t>3000/709</t>
  </si>
  <si>
    <t>LOT 4401,TMN</t>
  </si>
  <si>
    <t>BALOK MAKMUR</t>
  </si>
  <si>
    <t>IG23819185000</t>
  </si>
  <si>
    <t>stmakmur.smsm5@gmail.com</t>
  </si>
  <si>
    <t>095837279</t>
  </si>
  <si>
    <t>PM-0852</t>
  </si>
  <si>
    <t>3000/710</t>
  </si>
  <si>
    <t>PS TAMAN BANANG JAYA</t>
  </si>
  <si>
    <t>NO. LOT. 28541, GERAN 298383,</t>
  </si>
  <si>
    <t>MUKIM SIMPANG KANAN,</t>
  </si>
  <si>
    <t>0136050827</t>
  </si>
  <si>
    <t>PM-0881</t>
  </si>
  <si>
    <t>3000/711</t>
  </si>
  <si>
    <t>JLN TAMPIN,PUSAT</t>
  </si>
  <si>
    <t>PERINDUSTRIAN RINGAN,LOT 23323</t>
  </si>
  <si>
    <t>HS(D) 192429,MUKIM AMPANGAN</t>
  </si>
  <si>
    <t>IG22829846060</t>
  </si>
  <si>
    <t>petronaskimibaba@gmail.com</t>
  </si>
  <si>
    <t>0129303007</t>
  </si>
  <si>
    <t>PM-0394</t>
  </si>
  <si>
    <t>3000/712</t>
  </si>
  <si>
    <t>PTD 181563,JLN BAKAR</t>
  </si>
  <si>
    <t>BATU,TMN BAYU PUTERI</t>
  </si>
  <si>
    <t>b.putri2010@gmail.com</t>
  </si>
  <si>
    <t>073354986</t>
  </si>
  <si>
    <t>PM-0827</t>
  </si>
  <si>
    <t>3000/713</t>
  </si>
  <si>
    <t>LOT 527,TMN</t>
  </si>
  <si>
    <t>BERSATU</t>
  </si>
  <si>
    <t>msbz53@yahoo.com.sg</t>
  </si>
  <si>
    <t>044902178</t>
  </si>
  <si>
    <t>PM-0558</t>
  </si>
  <si>
    <t>3000/714</t>
  </si>
  <si>
    <t>LOT PT 10295 HS(M)</t>
  </si>
  <si>
    <t>5549,TMN BERSATU,BATU 17</t>
  </si>
  <si>
    <t xml:space="preserve"> 1/2,JLN RAWANG,RAWANG</t>
  </si>
  <si>
    <t>0360914012</t>
  </si>
  <si>
    <t>PM-1003</t>
  </si>
  <si>
    <t>3000/715</t>
  </si>
  <si>
    <t>LOT PTD 166495 MUKIM</t>
  </si>
  <si>
    <t>PLENTONG,TMN BUKIT</t>
  </si>
  <si>
    <t>DAHLIA,JOHOR BAHRU</t>
  </si>
  <si>
    <t>petronasdahlia@yahoo.com</t>
  </si>
  <si>
    <t>072528907</t>
  </si>
  <si>
    <t>PM-0455</t>
  </si>
  <si>
    <t>3000/716</t>
  </si>
  <si>
    <t>NEW LOT PTD 160926</t>
  </si>
  <si>
    <t>HS (D) 338709,TMN CAHAYA</t>
  </si>
  <si>
    <t>MASAI, MUKIM PLENTONG,JB</t>
  </si>
  <si>
    <t>IG3191413060</t>
  </si>
  <si>
    <t>cahayamesra2017@gmail.com</t>
  </si>
  <si>
    <t>0197115400</t>
  </si>
  <si>
    <t>PM-0150</t>
  </si>
  <si>
    <t>3000/717</t>
  </si>
  <si>
    <t>LOT 1859,TMN</t>
  </si>
  <si>
    <t>CHEMPAKA, AMPANG</t>
  </si>
  <si>
    <t>psscempaka@yahoo.com.mu</t>
  </si>
  <si>
    <t>0133524488</t>
  </si>
  <si>
    <t>PM-0766</t>
  </si>
  <si>
    <t>3000/718</t>
  </si>
  <si>
    <t>LTO PTD 65787,MUKIM</t>
  </si>
  <si>
    <t>TEBRAU, JLN PERSIARAN</t>
  </si>
  <si>
    <t>TANJUNG,TMN CEMPAKA,JB</t>
  </si>
  <si>
    <t>legasi.ms@yahoo.com</t>
  </si>
  <si>
    <t>0392857084</t>
  </si>
  <si>
    <t>PM-0467</t>
  </si>
  <si>
    <t>3000/719</t>
  </si>
  <si>
    <t>LOT 44706(PT 12671</t>
  </si>
  <si>
    <t>HS(D) 130125),TMN DAGANG</t>
  </si>
  <si>
    <t>fasmesra.sdnbhd@gmail.com</t>
  </si>
  <si>
    <t>0342706204</t>
  </si>
  <si>
    <t>PM-0242</t>
  </si>
  <si>
    <t>3000/720</t>
  </si>
  <si>
    <t>LOT 436,MUKIM PLENTONG</t>
  </si>
  <si>
    <t>JLN BERTAM 23,TMN DAYA</t>
  </si>
  <si>
    <t>PM-0989</t>
  </si>
  <si>
    <t>3000/721</t>
  </si>
  <si>
    <t>LOT 39684,TMN DAYA</t>
  </si>
  <si>
    <t>KEPONG</t>
  </si>
  <si>
    <t>azuraalim@gmail.com</t>
  </si>
  <si>
    <t>0362722100</t>
  </si>
  <si>
    <t>PM-0039</t>
  </si>
  <si>
    <t>3000/722</t>
  </si>
  <si>
    <t>B-01-19 ONE DAMANSARA CONDO,</t>
  </si>
  <si>
    <t>JLN PJU 10/3C DAMANSARA DAMAI</t>
  </si>
  <si>
    <t>PETALING JAYA</t>
  </si>
  <si>
    <t>carloznazri@radenembun.my</t>
  </si>
  <si>
    <t>01154311915</t>
  </si>
  <si>
    <t>SM-0404</t>
  </si>
  <si>
    <t>3000/723</t>
  </si>
  <si>
    <t>LOT 84376,TMN DESA</t>
  </si>
  <si>
    <t>CEMERLANG,JLN KOTA TINGGI</t>
  </si>
  <si>
    <t>ULU TIRAM</t>
  </si>
  <si>
    <t>IG26145779090</t>
  </si>
  <si>
    <t>0197069051</t>
  </si>
  <si>
    <t>PM-0480</t>
  </si>
  <si>
    <t>3000/724</t>
  </si>
  <si>
    <t>LOT 2360,TMN DESA</t>
  </si>
  <si>
    <t>DAMAI,BUKIT H MERTAJAM</t>
  </si>
  <si>
    <t>C6876383020</t>
  </si>
  <si>
    <t>psstmnkeladi@gmail.com</t>
  </si>
  <si>
    <t>045375150</t>
  </si>
  <si>
    <t>PM-0653</t>
  </si>
  <si>
    <t>3000/725</t>
  </si>
  <si>
    <t>LOT 69921,TMN DESA</t>
  </si>
  <si>
    <t>JAYA, JOHOR</t>
  </si>
  <si>
    <t>C21331571080</t>
  </si>
  <si>
    <t>pstamandesajaya@gmail.com</t>
  </si>
  <si>
    <t>0126389143</t>
  </si>
  <si>
    <t>PM-0343</t>
  </si>
  <si>
    <t>3000/726</t>
  </si>
  <si>
    <t>LOT 37211,TMN DESA</t>
  </si>
  <si>
    <t>JLN BATU PAHAT</t>
  </si>
  <si>
    <t>KLUANG</t>
  </si>
  <si>
    <t>IG 3589000021</t>
  </si>
  <si>
    <t>dzainahent@gmail.com</t>
  </si>
  <si>
    <t>0193852467</t>
  </si>
  <si>
    <t>PM-0169</t>
  </si>
  <si>
    <t>3000/727</t>
  </si>
  <si>
    <t>LOT PTD 93016</t>
  </si>
  <si>
    <t>HSD 329339,MUKIM TEBRAU</t>
  </si>
  <si>
    <t>TMN DESA TEBRAU</t>
  </si>
  <si>
    <t>mnkraudhah@gmail.com</t>
  </si>
  <si>
    <t>073597116</t>
  </si>
  <si>
    <t>PM-0539</t>
  </si>
  <si>
    <t>3000/728</t>
  </si>
  <si>
    <t>LOT PT 13173 JLN</t>
  </si>
  <si>
    <t>5/46 TMN GASING IND</t>
  </si>
  <si>
    <t>PETALING JAYA,PETALING</t>
  </si>
  <si>
    <t>potnasmaju_1013@yahoo.com</t>
  </si>
  <si>
    <t>0377701136</t>
  </si>
  <si>
    <t>PM-0697</t>
  </si>
  <si>
    <t>3000/729</t>
  </si>
  <si>
    <t>LOT 2781,TMN</t>
  </si>
  <si>
    <t>GUCHIL JAYA,KUALA KRAI-GUA</t>
  </si>
  <si>
    <t>MUSANG HIGHWAY,KUALA KRAI</t>
  </si>
  <si>
    <t>pss.attawhid@gmail.com</t>
  </si>
  <si>
    <t>099653887</t>
  </si>
  <si>
    <t>PM-0084</t>
  </si>
  <si>
    <t>3000/730</t>
  </si>
  <si>
    <t>LOT PTD 107116</t>
  </si>
  <si>
    <t>JLN IMPIAN EMAS 8,TAM</t>
  </si>
  <si>
    <t>IMPIAN EMAS,JOHOR BAHRU</t>
  </si>
  <si>
    <t>s.ideal11@yahoo.com</t>
  </si>
  <si>
    <t>075547128</t>
  </si>
  <si>
    <t>PM-0929</t>
  </si>
  <si>
    <t>3000/731</t>
  </si>
  <si>
    <t>PT 11615 TMN</t>
  </si>
  <si>
    <t>KELADI,SUNGAI PETANI</t>
  </si>
  <si>
    <t>DAERAH KUALA MUDA</t>
  </si>
  <si>
    <t>057729745</t>
  </si>
  <si>
    <t>PM-0981</t>
  </si>
  <si>
    <t>3000/732</t>
  </si>
  <si>
    <t>LOT PT 12911</t>
  </si>
  <si>
    <t>TMN KELANG UTAMA,JLN HJ</t>
  </si>
  <si>
    <t>SIRAT,KLANG</t>
  </si>
  <si>
    <t>IG2137765000</t>
  </si>
  <si>
    <t>abadantku@gmail.com</t>
  </si>
  <si>
    <t>0332917127</t>
  </si>
  <si>
    <t>PM-0006</t>
  </si>
  <si>
    <t>3000/733</t>
  </si>
  <si>
    <t>LOT 136202,JLN</t>
  </si>
  <si>
    <t>KOTA MASAI 2,TMN KOTA</t>
  </si>
  <si>
    <t>MASAI,PASIR GUDANG</t>
  </si>
  <si>
    <t>C26089591010</t>
  </si>
  <si>
    <t>roselynkm2@gmail.com</t>
  </si>
  <si>
    <t>0167714407</t>
  </si>
  <si>
    <t>PM-0847</t>
  </si>
  <si>
    <t>3000/734</t>
  </si>
  <si>
    <t>LOT 137939</t>
  </si>
  <si>
    <t>L/RAYA PELABUHAN BARAT/KS05</t>
  </si>
  <si>
    <t>TMN KOTA PENDAMAR,KLANG</t>
  </si>
  <si>
    <t>SA0519566-A</t>
  </si>
  <si>
    <t>Ig20416302010</t>
  </si>
  <si>
    <t>psstkpendamar@gmail.com</t>
  </si>
  <si>
    <t>0331627347</t>
  </si>
  <si>
    <t>PM-0951</t>
  </si>
  <si>
    <t>3000/735</t>
  </si>
  <si>
    <t>PTD 105979,HSD</t>
  </si>
  <si>
    <t>57897,TMN KULAI PERMA</t>
  </si>
  <si>
    <t>MKM KULAI, KULAIJAYA</t>
  </si>
  <si>
    <t>IG11011563050</t>
  </si>
  <si>
    <t>tommyshirley@hotmail.com</t>
  </si>
  <si>
    <t>0123346088</t>
  </si>
  <si>
    <t>PM-0955</t>
  </si>
  <si>
    <t>3000/736</t>
  </si>
  <si>
    <t>LOT PT 128,JLN</t>
  </si>
  <si>
    <t>KG PANDAN,TMN MALURI</t>
  </si>
  <si>
    <t>ig 10895806100</t>
  </si>
  <si>
    <t>pss_maluri@yahoo.com</t>
  </si>
  <si>
    <t>0392865117</t>
  </si>
  <si>
    <t>PM-0885</t>
  </si>
  <si>
    <t>3000/737</t>
  </si>
  <si>
    <t>LOT 278 TMN</t>
  </si>
  <si>
    <t>MARIDA,SENAWANG</t>
  </si>
  <si>
    <t>IG4316990021</t>
  </si>
  <si>
    <t>nida846@yahoo.com</t>
  </si>
  <si>
    <t>066798805</t>
  </si>
  <si>
    <t>PM-0299</t>
  </si>
  <si>
    <t>3000/738</t>
  </si>
  <si>
    <t>LOT PT 3164,JLN</t>
  </si>
  <si>
    <t>MEDAN II,TMN MEDAN</t>
  </si>
  <si>
    <t>IG2201932040</t>
  </si>
  <si>
    <t>dz_lampard08@yahoo.com</t>
  </si>
  <si>
    <t>0377836926</t>
  </si>
  <si>
    <t>PM-0241</t>
  </si>
  <si>
    <t>3000/739</t>
  </si>
  <si>
    <t>LOT PT 9094,TMN</t>
  </si>
  <si>
    <t>MELATI,KUALA LUMPUR</t>
  </si>
  <si>
    <t>cemerlangpetroservis@gmail.com</t>
  </si>
  <si>
    <t>0341616507</t>
  </si>
  <si>
    <t>PM-0154</t>
  </si>
  <si>
    <t>3000/740</t>
  </si>
  <si>
    <t>LOT 13985,TMN</t>
  </si>
  <si>
    <t>MERANTI JAYA,PUCHONG</t>
  </si>
  <si>
    <t>IG 4652345061</t>
  </si>
  <si>
    <t>pssmerantijaya@gmail.com</t>
  </si>
  <si>
    <t>0380606052</t>
  </si>
  <si>
    <t>PM-0907</t>
  </si>
  <si>
    <t>3000/741</t>
  </si>
  <si>
    <t>PTD 88326 MUKIM</t>
  </si>
  <si>
    <t>PLENTONG,TMN MOLEK</t>
  </si>
  <si>
    <t xml:space="preserve">N/A </t>
  </si>
  <si>
    <t>wanfizilina@gmail.com</t>
  </si>
  <si>
    <t>073560045</t>
  </si>
  <si>
    <t>PM-0975</t>
  </si>
  <si>
    <t>3000/742</t>
  </si>
  <si>
    <t>LOT PT 23743,HSM 1700</t>
  </si>
  <si>
    <t>MUKIM SG PASIR,SG PETANI</t>
  </si>
  <si>
    <t>KUALA MUDA</t>
  </si>
  <si>
    <t>IG3544007041</t>
  </si>
  <si>
    <t>azah_amin@yahoo.com</t>
  </si>
  <si>
    <t>044253629</t>
  </si>
  <si>
    <t>PM-0094</t>
  </si>
  <si>
    <t>3000/743</t>
  </si>
  <si>
    <t>LOT PTD 12351 TMN</t>
  </si>
  <si>
    <t>TAN SRI YAAKOB MUKIM</t>
  </si>
  <si>
    <t>PULAI,JOHOR BAHRU</t>
  </si>
  <si>
    <t>kulisbistari@yahoo.com</t>
  </si>
  <si>
    <t>072357706</t>
  </si>
  <si>
    <t>PM-0898</t>
  </si>
  <si>
    <t>3000/744</t>
  </si>
  <si>
    <t>PT 1612,HS (D) 1965</t>
  </si>
  <si>
    <t>TMN PAUH JAYA,JA</t>
  </si>
  <si>
    <t>PERMATANG PAUH,BUKIT MERTAJAM</t>
  </si>
  <si>
    <t>imantaqwa80@gmail.com</t>
  </si>
  <si>
    <t>043987960</t>
  </si>
  <si>
    <t>PM-0336</t>
  </si>
  <si>
    <t>3000/745</t>
  </si>
  <si>
    <t>PS TAMAN PENGKALAN JAYA, IPOH</t>
  </si>
  <si>
    <t>LOT 89905 JALAN PASIR PUTEH,</t>
  </si>
  <si>
    <t>TAMAN PENGKALAN JAYA, IPOH,</t>
  </si>
  <si>
    <t>IG5157183081</t>
  </si>
  <si>
    <t>nskpengkalanjaya@gmail.com</t>
  </si>
  <si>
    <t>0174399580</t>
  </si>
  <si>
    <t>PM-0581</t>
  </si>
  <si>
    <t>3000/746</t>
  </si>
  <si>
    <t>LOT 191532,JLN PASIR</t>
  </si>
  <si>
    <t>PUTIH,TMN PENGKALAN UTAMA</t>
  </si>
  <si>
    <t>IG10291966060</t>
  </si>
  <si>
    <t>shaidisms@yahoo.com.my</t>
  </si>
  <si>
    <t>053225764</t>
  </si>
  <si>
    <t>PM-0803</t>
  </si>
  <si>
    <t>3000/747</t>
  </si>
  <si>
    <t>LOT 31222,HS (D)114738</t>
  </si>
  <si>
    <t>LOT 50844,JLN LAYANG16</t>
  </si>
  <si>
    <t>TMN PERLING,MUKIM PULAI</t>
  </si>
  <si>
    <t>polysage.trading@gmail.com</t>
  </si>
  <si>
    <t>072417048</t>
  </si>
  <si>
    <t>PM-0693</t>
  </si>
  <si>
    <t>3000/748</t>
  </si>
  <si>
    <t>GM 9376,LOT 31636</t>
  </si>
  <si>
    <t>MUKIM 14,SEBERANG PER</t>
  </si>
  <si>
    <t>TENGAH,BUKIT MERTAJAM</t>
  </si>
  <si>
    <t>IG5190314080</t>
  </si>
  <si>
    <t>ptpj2020@gmail.com</t>
  </si>
  <si>
    <t>0104040145</t>
  </si>
  <si>
    <t>PM-0265</t>
  </si>
  <si>
    <t>3000/749</t>
  </si>
  <si>
    <t>LOT PT 41658,HS(D)</t>
  </si>
  <si>
    <t>53482,TMN PUTERA BUDIMAN</t>
  </si>
  <si>
    <t>BUDIMAN, KAJANG</t>
  </si>
  <si>
    <t>telaga90036728@gmail.com</t>
  </si>
  <si>
    <t>0342809007</t>
  </si>
  <si>
    <t>PM-0940</t>
  </si>
  <si>
    <t>3000/750</t>
  </si>
  <si>
    <t>LOT 25150,TMN</t>
  </si>
  <si>
    <t>PUTRA,AMPANG</t>
  </si>
  <si>
    <t>SELANGOR,GOMBAK</t>
  </si>
  <si>
    <t>002691773-T</t>
  </si>
  <si>
    <t>IG 4453880040</t>
  </si>
  <si>
    <t>arhdagangventure@gmail.com</t>
  </si>
  <si>
    <t>0342877300</t>
  </si>
  <si>
    <t>PM-0073</t>
  </si>
  <si>
    <t>3000/751</t>
  </si>
  <si>
    <t>LOT PT 187383 HS (D)</t>
  </si>
  <si>
    <t>12200,TMN PUTRA INDAH,JLN</t>
  </si>
  <si>
    <t>BERCHAM-TG. RAMBUTAN, IPOH</t>
  </si>
  <si>
    <t>leekeong83@yahoo.com</t>
  </si>
  <si>
    <t>0129603383</t>
  </si>
  <si>
    <t>PM-0919</t>
  </si>
  <si>
    <t>3000/752</t>
  </si>
  <si>
    <t>PT 47809 HS (D) 125476</t>
  </si>
  <si>
    <t>BANDAR (JLN) SUNLONG(TMN</t>
  </si>
  <si>
    <t>RAKAN),MUKIM CHERAS,ULU LANGAT</t>
  </si>
  <si>
    <t>fadzilahyacob@gmail.com</t>
  </si>
  <si>
    <t>0133872567</t>
  </si>
  <si>
    <t>PM-0042</t>
  </si>
  <si>
    <t>3000/753</t>
  </si>
  <si>
    <t>LOT PT 4234,HSD</t>
  </si>
  <si>
    <t>21586,MUKIM MERGONG</t>
  </si>
  <si>
    <t>ALOR SETAR,KOTA SETAR</t>
  </si>
  <si>
    <t>zulaziad_aziz@yahoo.com</t>
  </si>
  <si>
    <t>0194541315</t>
  </si>
  <si>
    <t>PM-0092</t>
  </si>
  <si>
    <t>3000/754</t>
  </si>
  <si>
    <t>LOT PT 4033 HS(M)</t>
  </si>
  <si>
    <t>1201, MKM TANJUNG MINYAK</t>
  </si>
  <si>
    <t>TMN RAMBAI UTAMA</t>
  </si>
  <si>
    <t>IG20026884080</t>
  </si>
  <si>
    <t>46611 &amp; 47114</t>
  </si>
  <si>
    <t>rumutiara@yahoo.com.my</t>
  </si>
  <si>
    <t>063371396</t>
  </si>
  <si>
    <t>PM-0757</t>
  </si>
  <si>
    <t>3000/755</t>
  </si>
  <si>
    <t>LOT 544,JLN BATU</t>
  </si>
  <si>
    <t>TIGA LAMA,TMN RASHNA</t>
  </si>
  <si>
    <t>yazidmaz@yahoo.com</t>
  </si>
  <si>
    <t>0333423781</t>
  </si>
  <si>
    <t>PM-0181</t>
  </si>
  <si>
    <t>3000/756</t>
  </si>
  <si>
    <t>LOT PT 9290,TMN</t>
  </si>
  <si>
    <t>RIA, SUNGAI PETANI</t>
  </si>
  <si>
    <t>ainurainyusra@gmail.com</t>
  </si>
  <si>
    <t>0132153422</t>
  </si>
  <si>
    <t>PM-0276</t>
  </si>
  <si>
    <t>3000/757</t>
  </si>
  <si>
    <t>0194581013</t>
  </si>
  <si>
    <t>PM-0277</t>
  </si>
  <si>
    <t>3000/758</t>
  </si>
  <si>
    <t>LOT PTD 205161 HSD</t>
  </si>
  <si>
    <t>484338,TMN RINTING</t>
  </si>
  <si>
    <t>MUKIM PLENTONG</t>
  </si>
  <si>
    <t>IG4662623090</t>
  </si>
  <si>
    <t>binjaafartrading@yahoo.com.my</t>
  </si>
  <si>
    <t>0137792506</t>
  </si>
  <si>
    <t>PM-0127</t>
  </si>
  <si>
    <t>3000/759</t>
  </si>
  <si>
    <t>LOT 6985-7010</t>
  </si>
  <si>
    <t>TMN SAMUDERA,SERI</t>
  </si>
  <si>
    <t>MANJUNG,MANJUNG</t>
  </si>
  <si>
    <t>IG4153579000</t>
  </si>
  <si>
    <t>zaikamaenterprise@gmail.com</t>
  </si>
  <si>
    <t>056888812</t>
  </si>
  <si>
    <t>PM-1006</t>
  </si>
  <si>
    <t>3000/760</t>
  </si>
  <si>
    <t>LOT 29071-29072,TMN</t>
  </si>
  <si>
    <t>SAMUDRA</t>
  </si>
  <si>
    <t>IG 4327328090</t>
  </si>
  <si>
    <t>gemilangsamudra@yahoo.com</t>
  </si>
  <si>
    <t>0193739084</t>
  </si>
  <si>
    <t>PM-0904</t>
  </si>
  <si>
    <t>3000/761</t>
  </si>
  <si>
    <t>LOT PT 10158 HS (D)</t>
  </si>
  <si>
    <t>KA 73633,LALUAN SAUJANA 1</t>
  </si>
  <si>
    <t>TMN SAUJANA,BATU GAJAH,KINTA</t>
  </si>
  <si>
    <t>boeykk@yahoo.com</t>
  </si>
  <si>
    <t>052885792</t>
  </si>
  <si>
    <t>PM-0918</t>
  </si>
  <si>
    <t>3000/762</t>
  </si>
  <si>
    <t>PS TAMAN SEGAR</t>
  </si>
  <si>
    <t>LOT 39732, JALAN MANIS,</t>
  </si>
  <si>
    <t>TAMAN SEGAR,</t>
  </si>
  <si>
    <t>001200571-H</t>
  </si>
  <si>
    <t>IG4460089051</t>
  </si>
  <si>
    <t>wbha77@gmail.com</t>
  </si>
  <si>
    <t>0391326585</t>
  </si>
  <si>
    <t>PM-0193</t>
  </si>
  <si>
    <t>3000/763</t>
  </si>
  <si>
    <t>NO.3672A,LORONG</t>
  </si>
  <si>
    <t>SELASIH 1/3,TMN SELASIH</t>
  </si>
  <si>
    <t>annas_mustafa@yahoo.com</t>
  </si>
  <si>
    <t>044913832</t>
  </si>
  <si>
    <t>PM-0066</t>
  </si>
  <si>
    <t>3000/764</t>
  </si>
  <si>
    <t>LTO PTD 95704 HS(D)</t>
  </si>
  <si>
    <t>34290, TMN SETIA IND</t>
  </si>
  <si>
    <t>(SITE 1) MK TEBRAU</t>
  </si>
  <si>
    <t>IG4729040040</t>
  </si>
  <si>
    <t>petrosetia05@gmail.com</t>
  </si>
  <si>
    <t>073579707</t>
  </si>
  <si>
    <t>PM-0687</t>
  </si>
  <si>
    <t>3000/765</t>
  </si>
  <si>
    <t>LOT 16794,JLN</t>
  </si>
  <si>
    <t>BUKIT SETIAWANGSA,TMN</t>
  </si>
  <si>
    <t>SETIAWANGSA</t>
  </si>
  <si>
    <t>mmarzuki8@yahoo.com</t>
  </si>
  <si>
    <t>0342566440</t>
  </si>
  <si>
    <t>PM-0499</t>
  </si>
  <si>
    <t>3000/766</t>
  </si>
  <si>
    <t>LOT 17100-17102,TMN</t>
  </si>
  <si>
    <t>SRI ANDALAS,JA</t>
  </si>
  <si>
    <t>BANTING, KLANG</t>
  </si>
  <si>
    <t>smadilabadiawesome@gmail.com</t>
  </si>
  <si>
    <t>0333735867</t>
  </si>
  <si>
    <t>PM-0846</t>
  </si>
  <si>
    <t>3000/767</t>
  </si>
  <si>
    <t>LOT PT 8266 HSD</t>
  </si>
  <si>
    <t>193816, JLN MAKMUR,TMN SRI</t>
  </si>
  <si>
    <t>GOMBAK,BATU CAVES</t>
  </si>
  <si>
    <t>aza_msia@yahoo.com</t>
  </si>
  <si>
    <t>0361859907</t>
  </si>
  <si>
    <t>PM-0457</t>
  </si>
  <si>
    <t>3000/768</t>
  </si>
  <si>
    <t>PTD 111148,TMN SRI PULAI</t>
  </si>
  <si>
    <t>PERDANA</t>
  </si>
  <si>
    <t>pss_pulaiperdana@yahoo.com</t>
  </si>
  <si>
    <t>PM-0626</t>
  </si>
  <si>
    <t>3000/769</t>
  </si>
  <si>
    <t>LOT PT 737,TMN SRI</t>
  </si>
  <si>
    <t>SENTOSA,OFF JLN KLANG</t>
  </si>
  <si>
    <t>IG10739167080</t>
  </si>
  <si>
    <t>petronassentosa@gmail.com/ apai87@gmail.com</t>
  </si>
  <si>
    <t>0199849102</t>
  </si>
  <si>
    <t>PM-0750</t>
  </si>
  <si>
    <t>3000/770</t>
  </si>
  <si>
    <t>LTO HS (D) 216848</t>
  </si>
  <si>
    <t>PT 36061 PEKAN PENAGA</t>
  </si>
  <si>
    <t>TMN SUBANG MEWAH,PETALING</t>
  </si>
  <si>
    <t>multazamenterprise@yahoo.com</t>
  </si>
  <si>
    <t>0193161661</t>
  </si>
  <si>
    <t>PM-0561</t>
  </si>
  <si>
    <t>3000/771</t>
  </si>
  <si>
    <t>LOT 40846 TMN</t>
  </si>
  <si>
    <t>SG KAPAR INDAH,BATU 7</t>
  </si>
  <si>
    <t>JLN KAPAR,KLANG</t>
  </si>
  <si>
    <t>psskaparcity@gmail.com</t>
  </si>
  <si>
    <t>0332901580</t>
  </si>
  <si>
    <t>PM-0373</t>
  </si>
  <si>
    <t>3000/772</t>
  </si>
  <si>
    <t>NO 1,JLN SRI PERKASA</t>
  </si>
  <si>
    <t>UTAMA,TMN TAMPOI UTAMA</t>
  </si>
  <si>
    <t>nasjja_enterprise@yahoo.com.my</t>
  </si>
  <si>
    <t>072415077</t>
  </si>
  <si>
    <t>PM-0585</t>
  </si>
  <si>
    <t>3000/773</t>
  </si>
  <si>
    <t>LOT 3643,BATU 3 1/2</t>
  </si>
  <si>
    <t>TMN TENAGA,KUALA</t>
  </si>
  <si>
    <t>LUMPUR,ULU LANGAT</t>
  </si>
  <si>
    <t>zaros51@yahoo.com.my</t>
  </si>
  <si>
    <t>039735878</t>
  </si>
  <si>
    <t>PM-0943</t>
  </si>
  <si>
    <t>3000/774</t>
  </si>
  <si>
    <t>PT 10852&amp;10853,HS(D)</t>
  </si>
  <si>
    <t>13529 &amp; 13530</t>
  </si>
  <si>
    <t>MUKIM OF MENTAKAB, TEMERLOH</t>
  </si>
  <si>
    <t>era_tualang@yahoo.com</t>
  </si>
  <si>
    <t>092229399</t>
  </si>
  <si>
    <t>PM-0228</t>
  </si>
  <si>
    <t>3000/775</t>
  </si>
  <si>
    <t>LOT PTD 44992,JLN</t>
  </si>
  <si>
    <t>PENDIDIKAN,TMN UNIVERISITI</t>
  </si>
  <si>
    <t>IG11830118070</t>
  </si>
  <si>
    <t>alabie5475@yahoo.com.my</t>
  </si>
  <si>
    <t>075214921</t>
  </si>
  <si>
    <t>PM-0873</t>
  </si>
  <si>
    <t>3000/776</t>
  </si>
  <si>
    <t>LOT PTD 55821 TMN</t>
  </si>
  <si>
    <t>UNIVERSITI,MUKIM PULAI</t>
  </si>
  <si>
    <t>kulisaminduk@yahoo.com</t>
  </si>
  <si>
    <t>0167739907</t>
  </si>
  <si>
    <t>PM-0454</t>
  </si>
  <si>
    <t>3000/777</t>
  </si>
  <si>
    <t>LOT 9556,GRN 124948,MUKIM</t>
  </si>
  <si>
    <t>&amp;DAERAH MERSING</t>
  </si>
  <si>
    <t>ptrns.tmnwawasan@felda.net.my</t>
  </si>
  <si>
    <t>0196212271</t>
  </si>
  <si>
    <t>PM-0436</t>
  </si>
  <si>
    <t>3000/778</t>
  </si>
  <si>
    <t>LOT 55602&amp;55603,JLN 4/2B</t>
  </si>
  <si>
    <t>TMN WILAYAH,SELAYANG</t>
  </si>
  <si>
    <t>BATU CAVES</t>
  </si>
  <si>
    <t>n.azianwati@yahoo.com</t>
  </si>
  <si>
    <t>0367401397</t>
  </si>
  <si>
    <t>PM-0913</t>
  </si>
  <si>
    <t>3000/779</t>
  </si>
  <si>
    <t>LOT PTD 8255 TMN</t>
  </si>
  <si>
    <t>YAYASAN,SEGAMAT</t>
  </si>
  <si>
    <t>IG4409749020</t>
  </si>
  <si>
    <t>petronas_pj@yahoo.com</t>
  </si>
  <si>
    <t>0126136085</t>
  </si>
  <si>
    <t>PM-0877</t>
  </si>
  <si>
    <t>3000/780</t>
  </si>
  <si>
    <t>LOT 448,JLN TAMPIN</t>
  </si>
  <si>
    <t xml:space="preserve"> -SEREMBAN, NEGERI</t>
  </si>
  <si>
    <t>SEMBILAN, TAMPIN</t>
  </si>
  <si>
    <t>psstampin@yahoo.com.my</t>
  </si>
  <si>
    <t>064412686</t>
  </si>
  <si>
    <t>PM-0804</t>
  </si>
  <si>
    <t>3000/781</t>
  </si>
  <si>
    <t>LTO PTB 20802 PART OF</t>
  </si>
  <si>
    <t>LOT 6197,GERAN 89960</t>
  </si>
  <si>
    <t>072373535</t>
  </si>
  <si>
    <t>PM-0313</t>
  </si>
  <si>
    <t>3000/782</t>
  </si>
  <si>
    <t>LOT 112,SEKSYEN 1</t>
  </si>
  <si>
    <t>JLN TANAH LIAT, 14</t>
  </si>
  <si>
    <t>BUKIT MERTAJAM</t>
  </si>
  <si>
    <t>IG21121970030</t>
  </si>
  <si>
    <t>psstanahliat@gmail.com</t>
  </si>
  <si>
    <t>045300866</t>
  </si>
  <si>
    <t>PM-0023</t>
  </si>
  <si>
    <t>3000/783</t>
  </si>
  <si>
    <t>LOT 215,MUKIM</t>
  </si>
  <si>
    <t>TANGGA BATU, MELAKA</t>
  </si>
  <si>
    <t>07640</t>
  </si>
  <si>
    <t>petronas.tanggabatu@gmail.com</t>
  </si>
  <si>
    <t>0197285709</t>
  </si>
  <si>
    <t>PM-0178</t>
  </si>
  <si>
    <t>3000/784</t>
  </si>
  <si>
    <t>LOT 1205,KM 25</t>
  </si>
  <si>
    <t>JLN MUAR, TANGKAK</t>
  </si>
  <si>
    <t>amir.azlina@yahoo.com</t>
  </si>
  <si>
    <t>069784502</t>
  </si>
  <si>
    <t>PM-0858</t>
  </si>
  <si>
    <t>3000/785</t>
  </si>
  <si>
    <t>LOT 18502,GERAN</t>
  </si>
  <si>
    <t>32042,MUKIM SIMPANG KANAN</t>
  </si>
  <si>
    <t>JLN TANJUNG LABOH,BATU PAHAT</t>
  </si>
  <si>
    <t>IG12250945050</t>
  </si>
  <si>
    <t>shadulkhairi@gmail.com</t>
  </si>
  <si>
    <t>0192308298</t>
  </si>
  <si>
    <t>PM-0192</t>
  </si>
  <si>
    <t>3000/786</t>
  </si>
  <si>
    <t>LOT PTK 32,MUKIM KESANG</t>
  </si>
  <si>
    <t>KAW PERINDUSTRIAN</t>
  </si>
  <si>
    <t>TG AGAS, MUAR</t>
  </si>
  <si>
    <t>idnurniaga@gmail.com</t>
  </si>
  <si>
    <t>069511273</t>
  </si>
  <si>
    <t>PM-0326</t>
  </si>
  <si>
    <t>3000/787</t>
  </si>
  <si>
    <t>LOT 799,HS (M) 758</t>
  </si>
  <si>
    <t>TANAH KERAJAAN</t>
  </si>
  <si>
    <t>TANJUNG GEMOK,ENDAU,ROMPIN</t>
  </si>
  <si>
    <t>sidi736@yahoo.com</t>
  </si>
  <si>
    <t>094131324</t>
  </si>
  <si>
    <t>PM-0206</t>
  </si>
  <si>
    <t>3000/788</t>
  </si>
  <si>
    <t>LOT,PT 81 BATU 9</t>
  </si>
  <si>
    <t xml:space="preserve">TANJUNG KARANG, </t>
  </si>
  <si>
    <t>onecity07@gmail.com</t>
  </si>
  <si>
    <t>0192403056</t>
  </si>
  <si>
    <t>PM-0624</t>
  </si>
  <si>
    <t>3000/789</t>
  </si>
  <si>
    <t>LOT 5,GM 627(PT25 HSM 2948)</t>
  </si>
  <si>
    <t>MUKIM HUJUNG PERMATANG</t>
  </si>
  <si>
    <t>TANJONG KARANG</t>
  </si>
  <si>
    <t>IG 23131301020</t>
  </si>
  <si>
    <t>berkatabadan@gmail.com</t>
  </si>
  <si>
    <t>0163600576</t>
  </si>
  <si>
    <t>PM-0007</t>
  </si>
  <si>
    <t>3000/790</t>
  </si>
  <si>
    <t>LOT 55218,BATU 9</t>
  </si>
  <si>
    <t>JLN TANJUNG RAMBUTAN</t>
  </si>
  <si>
    <t>TANJUNG RAMBUTAN</t>
  </si>
  <si>
    <t>IG21159731070</t>
  </si>
  <si>
    <t>0102643969</t>
  </si>
  <si>
    <t>PM-0074</t>
  </si>
  <si>
    <t>3000/791</t>
  </si>
  <si>
    <t>R&amp;R TAPAH-ARAH UTARA</t>
  </si>
  <si>
    <t>LEBUHRAYA UTARA-SELATAN(PLUS)</t>
  </si>
  <si>
    <t>TAPAH,BATANG PADANG</t>
  </si>
  <si>
    <t>salisyateam@gmail.com</t>
  </si>
  <si>
    <t>PM-0774</t>
  </si>
  <si>
    <t>3000/792</t>
  </si>
  <si>
    <t>PS TASEK BOULEVARD</t>
  </si>
  <si>
    <t>Lot 9930,</t>
  </si>
  <si>
    <t>Jalan Kuala Kangsar,</t>
  </si>
  <si>
    <t>IG4267272040</t>
  </si>
  <si>
    <t>aramacao52@hotmail.com</t>
  </si>
  <si>
    <t>0165382533</t>
  </si>
  <si>
    <t>PM-0933</t>
  </si>
  <si>
    <t>3000/793</t>
  </si>
  <si>
    <t>LOT 10220,BATU 4 1/2</t>
  </si>
  <si>
    <t>JLN TEBRAU</t>
  </si>
  <si>
    <t>IG2354220090</t>
  </si>
  <si>
    <t>sitiham_enterprise@hotmail.com</t>
  </si>
  <si>
    <t>0197283889</t>
  </si>
  <si>
    <t>PM-0814</t>
  </si>
  <si>
    <t>3000/794</t>
  </si>
  <si>
    <t>LOT PT 4783&amp;3064</t>
  </si>
  <si>
    <t>LEBUHRAYA SEREMBAN</t>
  </si>
  <si>
    <t>BUKIT JALIL</t>
  </si>
  <si>
    <t>psstpm1@gmail.com</t>
  </si>
  <si>
    <t>0390596517</t>
  </si>
  <si>
    <t>PM-0552</t>
  </si>
  <si>
    <t>3000/795</t>
  </si>
  <si>
    <t>LOT 3020 MUKIM TELOK</t>
  </si>
  <si>
    <t>PANGLIMA GARANG</t>
  </si>
  <si>
    <t>akrabpadu@yahoo.com</t>
  </si>
  <si>
    <t>0331222586</t>
  </si>
  <si>
    <t>PM-0034</t>
  </si>
  <si>
    <t>3000/796</t>
  </si>
  <si>
    <t>PT 5010</t>
  </si>
  <si>
    <t>KAMPONG BUKIT KUANG</t>
  </si>
  <si>
    <t>CHUKAI,KEMAMAN</t>
  </si>
  <si>
    <t>bkfslegacy@gmail.com</t>
  </si>
  <si>
    <t>0179272819</t>
  </si>
  <si>
    <t>PM-0131</t>
  </si>
  <si>
    <t>3000/797</t>
  </si>
  <si>
    <t>KM 18.5 L/RAYA PERSEKUTUAN</t>
  </si>
  <si>
    <t>SUBANG   EX SEKSYEN U1</t>
  </si>
  <si>
    <t>KAWASAN  PERINDUSTRIAN</t>
  </si>
  <si>
    <t>mnurafiq.shafie@cafemesra.my</t>
  </si>
  <si>
    <t>0122973994</t>
  </si>
  <si>
    <t>PM-0522</t>
  </si>
  <si>
    <t>3000/798</t>
  </si>
  <si>
    <t>LOT 597-A,BATU 15</t>
  </si>
  <si>
    <t>TMN TEMPLER,RAWANG</t>
  </si>
  <si>
    <t>caristra_rz@yahoo.com.my</t>
  </si>
  <si>
    <t>0360914032</t>
  </si>
  <si>
    <t>PM-0909</t>
  </si>
  <si>
    <t>3000/799</t>
  </si>
  <si>
    <t>LOT 36622</t>
  </si>
  <si>
    <t>TANJUNG LUMPUR</t>
  </si>
  <si>
    <t>IG6033197060</t>
  </si>
  <si>
    <t>petrolghaz@gmail.com</t>
  </si>
  <si>
    <t>095341251</t>
  </si>
  <si>
    <t>PM-0278</t>
  </si>
  <si>
    <t>3000/800</t>
  </si>
  <si>
    <t>LOT 4609,MUKIM</t>
  </si>
  <si>
    <t>ULU BERNAM,TANJUNG</t>
  </si>
  <si>
    <t>MALIM</t>
  </si>
  <si>
    <t>nek.shift@gmail.com</t>
  </si>
  <si>
    <t>054596140</t>
  </si>
  <si>
    <t>PM-0594</t>
  </si>
  <si>
    <t>3000/801</t>
  </si>
  <si>
    <t>HS(D) 167302,PT 27856</t>
  </si>
  <si>
    <t>MUKIM LABU DAERAH</t>
  </si>
  <si>
    <t>D26429728080</t>
  </si>
  <si>
    <t>binsalimsendayan@gmail.com</t>
  </si>
  <si>
    <t>0183930114</t>
  </si>
  <si>
    <t>PM-0126</t>
  </si>
  <si>
    <t>3000/802</t>
  </si>
  <si>
    <t>LOT NO.4606 GRN 1277723</t>
  </si>
  <si>
    <t>BANDAR DARUL AMAN</t>
  </si>
  <si>
    <t>DAERAH KUBANG PASU, KEDAH</t>
  </si>
  <si>
    <t>06000</t>
  </si>
  <si>
    <t>PM-0307</t>
  </si>
  <si>
    <t>3000/803</t>
  </si>
  <si>
    <t xml:space="preserve">LOT 60195 </t>
  </si>
  <si>
    <t>MUKIM KUALA IBAI,</t>
  </si>
  <si>
    <t>KUALA TERENGGANU</t>
  </si>
  <si>
    <t>IG 23235599010</t>
  </si>
  <si>
    <t>psjalantokadis@gmail.com</t>
  </si>
  <si>
    <t>0177779727</t>
  </si>
  <si>
    <t>PM-0970</t>
  </si>
  <si>
    <t>3000/804</t>
  </si>
  <si>
    <t>LOT 6642,JLN TOK</t>
  </si>
  <si>
    <t>KANGAR,JURU,SIMPANG</t>
  </si>
  <si>
    <t>AMPAT,PULAU PINANG,SEBERANG</t>
  </si>
  <si>
    <t>alamdamaiteguh@gmail.com</t>
  </si>
  <si>
    <t>0109891550</t>
  </si>
  <si>
    <t>PM-0045</t>
  </si>
  <si>
    <t>3000/805</t>
  </si>
  <si>
    <t>S/55,LOT PT 416</t>
  </si>
  <si>
    <t>372 KAMPUNG PULAU,MUKIM PULAU</t>
  </si>
  <si>
    <t>DAERAH KUBANG KERIAN</t>
  </si>
  <si>
    <t>psstkenali@yahoo.com</t>
  </si>
  <si>
    <t>PM-0584</t>
  </si>
  <si>
    <t>3000/806</t>
  </si>
  <si>
    <t>LOT PT 3555 HS (M)</t>
  </si>
  <si>
    <t>95-95, MUKIM KUAH</t>
  </si>
  <si>
    <t>LANGKAWI</t>
  </si>
  <si>
    <t>nursuhadaidris5854@gmail.com</t>
  </si>
  <si>
    <t>0134234572</t>
  </si>
  <si>
    <t>PM-0114</t>
  </si>
  <si>
    <t>3000/807</t>
  </si>
  <si>
    <t>LOT 32,JLN TONGKANG</t>
  </si>
  <si>
    <t>PECAH,BATU</t>
  </si>
  <si>
    <t>PAHAT</t>
  </si>
  <si>
    <t>IG12026042050</t>
  </si>
  <si>
    <t>rafizalrizuwan@gmail.com</t>
  </si>
  <si>
    <t>074156388</t>
  </si>
  <si>
    <t>PM-0753</t>
  </si>
  <si>
    <t>3000/808</t>
  </si>
  <si>
    <t>LEBUHRAYA SEREMBAN-</t>
  </si>
  <si>
    <t>KUALA LUMPUR,BUKIT JALIL</t>
  </si>
  <si>
    <t>khairul@tpm.com.my</t>
  </si>
  <si>
    <t>0132964891</t>
  </si>
  <si>
    <t>PM-0553</t>
  </si>
  <si>
    <t>3000/809</t>
  </si>
  <si>
    <t>LOT PT 7004 H.S.(D)</t>
  </si>
  <si>
    <t>95960 MUKIM PETALING</t>
  </si>
  <si>
    <t>377141-T</t>
  </si>
  <si>
    <t>C6880374050</t>
  </si>
  <si>
    <t>W10180832000830</t>
  </si>
  <si>
    <t>psstpm2@gmail.com</t>
  </si>
  <si>
    <t>0149818533</t>
  </si>
  <si>
    <t>PM-0554</t>
  </si>
  <si>
    <t>3000/810</t>
  </si>
  <si>
    <t>LOT 29395&amp;29396</t>
  </si>
  <si>
    <t>PERSIARAN ZAABA</t>
  </si>
  <si>
    <t>IG04455043101</t>
  </si>
  <si>
    <t>stnmttdi@gmail.com</t>
  </si>
  <si>
    <t>0377282587</t>
  </si>
  <si>
    <t>PM-0883</t>
  </si>
  <si>
    <t>3000/811</t>
  </si>
  <si>
    <t>LOT 1764 GMM 957</t>
  </si>
  <si>
    <t>JLN TUN KUDU</t>
  </si>
  <si>
    <t>MUKIM AYER MOLEK</t>
  </si>
  <si>
    <t>niasagemilangsdnbhd@gmail.com</t>
  </si>
  <si>
    <t>0122910019</t>
  </si>
  <si>
    <t>PM-0596</t>
  </si>
  <si>
    <t>3000/812</t>
  </si>
  <si>
    <t>LOT 175&amp;1456,JLN</t>
  </si>
  <si>
    <t>UJONG PASIR,MELAKA</t>
  </si>
  <si>
    <t>IG579654071</t>
  </si>
  <si>
    <t>jun75.jy@gmail.com</t>
  </si>
  <si>
    <t>062832246</t>
  </si>
  <si>
    <t>PM-0370</t>
  </si>
  <si>
    <t>3000/813</t>
  </si>
  <si>
    <t>KM124,R&amp;R LEBUHRAYA</t>
  </si>
  <si>
    <t>BUTARA SELATAN (PLUS) ARAH</t>
  </si>
  <si>
    <t>SELATAN,ULU BERNAM</t>
  </si>
  <si>
    <t>amzass@gmail.com</t>
  </si>
  <si>
    <t>054582007</t>
  </si>
  <si>
    <t>PM-0059</t>
  </si>
  <si>
    <t>3000/814</t>
  </si>
  <si>
    <t>LOT 10872,MUKIM</t>
  </si>
  <si>
    <t>TEBRAU, ULU TIRAM</t>
  </si>
  <si>
    <t>KOTA TINGGI</t>
  </si>
  <si>
    <t>IG4535500021</t>
  </si>
  <si>
    <t>anh.mart@gmail.com</t>
  </si>
  <si>
    <t>0127579859</t>
  </si>
  <si>
    <t>PM-0063</t>
  </si>
  <si>
    <t>3000/815</t>
  </si>
  <si>
    <t>PS UNIKEB 1</t>
  </si>
  <si>
    <t>LOT 1, JALAN 1/1, PERINGKAT 1,</t>
  </si>
  <si>
    <t>0389269921</t>
  </si>
  <si>
    <t>PM-0305</t>
  </si>
  <si>
    <t>3000/816</t>
  </si>
  <si>
    <t>PS UNIKEB 2</t>
  </si>
  <si>
    <t>LOT 7 &amp; 9 JALAN 4/1 SEKSYEN 4,</t>
  </si>
  <si>
    <t>norazliza@unikeb.com</t>
  </si>
  <si>
    <t>0389127866</t>
  </si>
  <si>
    <t>PM-0431</t>
  </si>
  <si>
    <t>3000/817</t>
  </si>
  <si>
    <t>LOT 6306,JLN BESAR</t>
  </si>
  <si>
    <t>MUKIM DENGKIL</t>
  </si>
  <si>
    <t>SERDANG,PETALING</t>
  </si>
  <si>
    <t>upmpetronas@yahoo.com</t>
  </si>
  <si>
    <t>0389530978</t>
  </si>
  <si>
    <t>PM-0432</t>
  </si>
  <si>
    <t>3000/818</t>
  </si>
  <si>
    <t>SUBANG JAYA,</t>
  </si>
  <si>
    <t>IG 20427396100</t>
  </si>
  <si>
    <t>petronasusj14@gmail.com</t>
  </si>
  <si>
    <t>0356321449</t>
  </si>
  <si>
    <t>PM-0047</t>
  </si>
  <si>
    <t>3000/819</t>
  </si>
  <si>
    <t>LOT PT 2781,JLN</t>
  </si>
  <si>
    <t>USJ 2/2D, SUBANG UEP</t>
  </si>
  <si>
    <t>SUBANG JAYA,PETALING</t>
  </si>
  <si>
    <t>alialeesenterprise@gmail.com</t>
  </si>
  <si>
    <t>0129431171</t>
  </si>
  <si>
    <t>PM-0049</t>
  </si>
  <si>
    <t>3000/820</t>
  </si>
  <si>
    <t>LOT 49946 USJ</t>
  </si>
  <si>
    <t>20 MUKIM DAMANSARA</t>
  </si>
  <si>
    <t>adeliamesra2ent@yahoo.com.my</t>
  </si>
  <si>
    <t>0380241308</t>
  </si>
  <si>
    <t>PM-0012</t>
  </si>
  <si>
    <t>3000/821</t>
  </si>
  <si>
    <t>LOT 3870,JLN</t>
  </si>
  <si>
    <t>USJ 4/1,SUBANG UEP,SUBAN</t>
  </si>
  <si>
    <t>JAYA, PETALING</t>
  </si>
  <si>
    <t>C58256571050</t>
  </si>
  <si>
    <t>amirruddin_yahya@yahoo.com</t>
  </si>
  <si>
    <t>0356354690</t>
  </si>
  <si>
    <t>PM-0565</t>
  </si>
  <si>
    <t>3000/822</t>
  </si>
  <si>
    <t>LOT 7003,JLN USJ</t>
  </si>
  <si>
    <t>6/2J SUBANG UEP,475</t>
  </si>
  <si>
    <t>fazausj6@gmail.com</t>
  </si>
  <si>
    <t>0193134151</t>
  </si>
  <si>
    <t>PM-0896</t>
  </si>
  <si>
    <t>3000/823</t>
  </si>
  <si>
    <t>LOT 10446,JLN BAKTI</t>
  </si>
  <si>
    <t>SUBANG USJ 9/3</t>
  </si>
  <si>
    <t>IG 10932691010</t>
  </si>
  <si>
    <t>sabdulhisham@yahoo.com</t>
  </si>
  <si>
    <t>0356370342</t>
  </si>
  <si>
    <t>PM-0672</t>
  </si>
  <si>
    <t>3000/824</t>
  </si>
  <si>
    <t>LOT PT 13157,UNIVERSITI</t>
  </si>
  <si>
    <t>TEKNOLOGI PETRONAS L/RAYA</t>
  </si>
  <si>
    <t>IPOH-LUMUT (ARAH IPOH)</t>
  </si>
  <si>
    <t>psutp.kp@gmail.com</t>
  </si>
  <si>
    <t>0196054288</t>
  </si>
  <si>
    <t>PM-0111</t>
  </si>
  <si>
    <t>3000/825</t>
  </si>
  <si>
    <t>LOT PT 36982</t>
  </si>
  <si>
    <t>HS(M)25510,WAKAF BHARU</t>
  </si>
  <si>
    <t>MUKIM KUALA NERUS</t>
  </si>
  <si>
    <t>IG 20642487060</t>
  </si>
  <si>
    <t>nazxumie_ent@yahoo.com</t>
  </si>
  <si>
    <t>0179373311</t>
  </si>
  <si>
    <t>PM-0592</t>
  </si>
  <si>
    <t>3000/826</t>
  </si>
  <si>
    <t>LOT 20271&amp;20272</t>
  </si>
  <si>
    <t>WANGSA MELAWATI,JLN</t>
  </si>
  <si>
    <t>HULU KELANG</t>
  </si>
  <si>
    <t>smnpetroservice@gmail.com</t>
  </si>
  <si>
    <t>0341433653</t>
  </si>
  <si>
    <t>PM-0824</t>
  </si>
  <si>
    <t>3000/827</t>
  </si>
  <si>
    <t>PS YONG PENG</t>
  </si>
  <si>
    <t>LOT PT 3553, JALAN LABIS,</t>
  </si>
  <si>
    <t>TAMAN TIMOR, YONG PENG</t>
  </si>
  <si>
    <t>ps.yp@shyg.com.my</t>
  </si>
  <si>
    <t>0197730918</t>
  </si>
  <si>
    <t>PM-0258</t>
  </si>
  <si>
    <t>3000/828</t>
  </si>
  <si>
    <t>KOTA BAHRU</t>
  </si>
  <si>
    <t>KELANTAN LOT 2712, GM, 1783</t>
  </si>
  <si>
    <t>JALAN BAYAM, PAYA RAMBAI,</t>
  </si>
  <si>
    <t>petronasjalanbayam2@gmail.com</t>
  </si>
  <si>
    <t>PM-0032</t>
  </si>
  <si>
    <t>3000/829</t>
  </si>
  <si>
    <t>8-G-2S, 8-1-2S</t>
  </si>
  <si>
    <t>KOMPLEKS PULAU MUTIARA</t>
  </si>
  <si>
    <t>0124838787</t>
  </si>
  <si>
    <t>HAFIZ SALLEH</t>
  </si>
  <si>
    <t>CONVENIENCE/MART</t>
  </si>
  <si>
    <t>CM-0001</t>
  </si>
  <si>
    <t>3000/830</t>
  </si>
  <si>
    <t>NO 1 KM209,</t>
  </si>
  <si>
    <t>RSA AYER KEROH ARAH SELATAN</t>
  </si>
  <si>
    <t>AYER KEROH</t>
  </si>
  <si>
    <t>0126598485</t>
  </si>
  <si>
    <t>AZLIN</t>
  </si>
  <si>
    <t>CAFE</t>
  </si>
  <si>
    <t>CF-0001</t>
  </si>
  <si>
    <t>3000/831</t>
  </si>
  <si>
    <t>CM-0050</t>
  </si>
  <si>
    <t>3000/832</t>
  </si>
  <si>
    <t>LOT NO. 1, JALAN U10/99A, </t>
  </si>
  <si>
    <t xml:space="preserve">40170, SEKSYEN U10, </t>
  </si>
  <si>
    <t>0321191711</t>
  </si>
  <si>
    <t>EN AZMAN</t>
  </si>
  <si>
    <t>CM-0005</t>
  </si>
  <si>
    <t>3000/833</t>
  </si>
  <si>
    <t xml:space="preserve">TASCO SENAI SEELONG </t>
  </si>
  <si>
    <t xml:space="preserve">LOGISTICS CENTRE, LOT 5646 </t>
  </si>
  <si>
    <t>JALAN SEELONG, JOHOR BAHRU</t>
  </si>
  <si>
    <t xml:space="preserve">NORASIKIN.JAMAT@7ELEVEN.COM.MY </t>
  </si>
  <si>
    <t>0183711692</t>
  </si>
  <si>
    <t>CM-0006</t>
  </si>
  <si>
    <t>3000/834</t>
  </si>
  <si>
    <t>08-66, LEVEL 8,</t>
  </si>
  <si>
    <t>BERJAYA TIME SQUARE,</t>
  </si>
  <si>
    <t>NO 1, JALAN IMBI,</t>
  </si>
  <si>
    <t xml:space="preserve">C3861058020        </t>
  </si>
  <si>
    <t xml:space="preserve">einvoice@7eleven.com.my    </t>
  </si>
  <si>
    <t>CM-0003</t>
  </si>
  <si>
    <t>3000/835</t>
  </si>
  <si>
    <t xml:space="preserve">NO. 11, JALAN PEMAJU U1/15, </t>
  </si>
  <si>
    <t xml:space="preserve">SEKSYEN U1, HICOM GLENMARIE </t>
  </si>
  <si>
    <t>INDUSTRIAL PARK, SHAH ALAM,</t>
  </si>
  <si>
    <t>035562881</t>
  </si>
  <si>
    <t>PHARMACY/HOSPIMART</t>
  </si>
  <si>
    <t>PH-0002</t>
  </si>
  <si>
    <t>3000/836</t>
  </si>
  <si>
    <t xml:space="preserve">LEBUH IRC IOI RESORT CITY, </t>
  </si>
  <si>
    <t>0167103382</t>
  </si>
  <si>
    <t>PH-0003</t>
  </si>
  <si>
    <t>3000/837</t>
  </si>
  <si>
    <t>LOT 3, JALAN 6C/12,</t>
  </si>
  <si>
    <t xml:space="preserve"> SEKSYEN 16,</t>
  </si>
  <si>
    <t xml:space="preserve">BANDAR BARU BANGI </t>
  </si>
  <si>
    <t xml:space="preserve">C5865021000       </t>
  </si>
  <si>
    <t xml:space="preserve">einvoicing_AB@aeonretail.com.my    </t>
  </si>
  <si>
    <t>0392072005</t>
  </si>
  <si>
    <t>HYPER MARKET</t>
  </si>
  <si>
    <t>HM-0001</t>
  </si>
  <si>
    <t>3000/838</t>
  </si>
  <si>
    <t xml:space="preserve">LEVEL 3, AEON TAMAN MALURI </t>
  </si>
  <si>
    <t>SHOPPING CENTRE, JALAN</t>
  </si>
  <si>
    <t>CHERAS</t>
  </si>
  <si>
    <t xml:space="preserve">C3864540080    </t>
  </si>
  <si>
    <t xml:space="preserve">einvoice-aptrade@aeonretail.com.my   </t>
  </si>
  <si>
    <t>HM-0002</t>
  </si>
  <si>
    <t>3000/839</t>
  </si>
  <si>
    <t>NO.4,HENTIAN SIMPANG PULAI</t>
  </si>
  <si>
    <t>ARAH SELATAN</t>
  </si>
  <si>
    <t>0125962297</t>
  </si>
  <si>
    <t>CF-0005</t>
  </si>
  <si>
    <t>3000/840</t>
  </si>
  <si>
    <t>NO 12,</t>
  </si>
  <si>
    <t>KAWASAN R&amp;R RAWANG ARAH UTARA,</t>
  </si>
  <si>
    <t>LEBUHRAYA UTARA SELATAN,</t>
  </si>
  <si>
    <t>01123277019</t>
  </si>
  <si>
    <t>CF-0006</t>
  </si>
  <si>
    <t>3000/841</t>
  </si>
  <si>
    <t>AGRO BAZAR, NO 1</t>
  </si>
  <si>
    <t>R&amp;R SEREMBAN ARAH UTARA,</t>
  </si>
  <si>
    <t>0183583404</t>
  </si>
  <si>
    <t>CF-0007</t>
  </si>
  <si>
    <t>3000/842</t>
  </si>
  <si>
    <t xml:space="preserve">NO 2 </t>
  </si>
  <si>
    <t>DATARAN GURUN (ARAH UTARA)</t>
  </si>
  <si>
    <t>LEBUHRAYA UTARA SELATAN,GURUN</t>
  </si>
  <si>
    <t xml:space="preserve"> 08300</t>
  </si>
  <si>
    <t>0176725658</t>
  </si>
  <si>
    <t>CF-0010</t>
  </si>
  <si>
    <t>3000/843</t>
  </si>
  <si>
    <t xml:space="preserve">GERAI 17 </t>
  </si>
  <si>
    <t xml:space="preserve">HENTIAN SEBELAH </t>
  </si>
  <si>
    <t>BUKIT GANTANG A</t>
  </si>
  <si>
    <t>0175861960</t>
  </si>
  <si>
    <t>CF-0008</t>
  </si>
  <si>
    <t>3000/844</t>
  </si>
  <si>
    <t>NO. 26-G, JALAN AMAN SINARIA 6</t>
  </si>
  <si>
    <t>BANDAR TROPICANA AMAN</t>
  </si>
  <si>
    <t>TELOK PANGLIMA GARANG</t>
  </si>
  <si>
    <t>PH-0004</t>
  </si>
  <si>
    <t>3000/845</t>
  </si>
  <si>
    <t xml:space="preserve">NO. 30A, </t>
  </si>
  <si>
    <t>JALAN BELATUK 4 TAMAN SCIENTEX</t>
  </si>
  <si>
    <t>0389229858</t>
  </si>
  <si>
    <t>PH-0008</t>
  </si>
  <si>
    <t>3000/846</t>
  </si>
  <si>
    <t>RESTORAN JEJANTAS SUNGAI BULOH</t>
  </si>
  <si>
    <t>S09 ARAH UTARA, LEBUHRAYA</t>
  </si>
  <si>
    <t>UTARA - SELATAN, SUNGAI BULOH</t>
  </si>
  <si>
    <t>0189893042</t>
  </si>
  <si>
    <t>CF-0012</t>
  </si>
  <si>
    <t>3000/847</t>
  </si>
  <si>
    <t xml:space="preserve">PT 673, JALAN PULAU CAREY, </t>
  </si>
  <si>
    <t>MUKIM JUGRA,</t>
  </si>
  <si>
    <t xml:space="preserve"> PULAU CAREY, </t>
  </si>
  <si>
    <t xml:space="preserve">HR@AMVERTONCOVE.COM   </t>
  </si>
  <si>
    <t>0122112977</t>
  </si>
  <si>
    <t>HOTEL</t>
  </si>
  <si>
    <t>HO-0001</t>
  </si>
  <si>
    <t>3000/848</t>
  </si>
  <si>
    <t xml:space="preserve">GERAI NO 9, HENTIAN SEBELAH </t>
  </si>
  <si>
    <t>NILAI ARAH SELATAN</t>
  </si>
  <si>
    <t>LEBUHRAYA UTARA-SELATAN,</t>
  </si>
  <si>
    <t>0173335451</t>
  </si>
  <si>
    <t>CF-0016</t>
  </si>
  <si>
    <t>3000/849</t>
  </si>
  <si>
    <t xml:space="preserve">NO.5, KAWASAN REHAT &amp; RAWAT </t>
  </si>
  <si>
    <t>DENGKIL ARAH</t>
  </si>
  <si>
    <t>KM23 LEBUHRAYA PLUS, DENGKIL</t>
  </si>
  <si>
    <t>0174118355</t>
  </si>
  <si>
    <t>CF-0017</t>
  </si>
  <si>
    <t>3000/850</t>
  </si>
  <si>
    <t>R&amp;R ELIMINA UTARA,</t>
  </si>
  <si>
    <t xml:space="preserve">KM14.4, GUTHRIE CORRIDOR </t>
  </si>
  <si>
    <t>EXPRESSWAY SG BULUH</t>
  </si>
  <si>
    <t>04700</t>
  </si>
  <si>
    <t>0182384415</t>
  </si>
  <si>
    <t>CF-0018</t>
  </si>
  <si>
    <t>3000/851</t>
  </si>
  <si>
    <t xml:space="preserve">NO.11, KAWASAN REHAT &amp; RAWAT </t>
  </si>
  <si>
    <t>DENGKIL ARAH SELATAN,</t>
  </si>
  <si>
    <t xml:space="preserve"> DENGKIL</t>
  </si>
  <si>
    <t>01164857331</t>
  </si>
  <si>
    <t>CF-0019</t>
  </si>
  <si>
    <t>3000/852</t>
  </si>
  <si>
    <t>99 (ASIA MART WAREHOUSE HQ),</t>
  </si>
  <si>
    <t xml:space="preserve">NO 412, 414 &amp; 418 JALAN TAHIR </t>
  </si>
  <si>
    <t xml:space="preserve">MANAN TAMAN EMAS KAPAR KLANG </t>
  </si>
  <si>
    <t>0122304006</t>
  </si>
  <si>
    <t>HM-0003</t>
  </si>
  <si>
    <t>3000/853</t>
  </si>
  <si>
    <t xml:space="preserve">BATU 16, JALAN SEPANG, </t>
  </si>
  <si>
    <t>KANPUNG CHELET,</t>
  </si>
  <si>
    <t xml:space="preserve"> NILAI,</t>
  </si>
  <si>
    <t>NS0024121-M</t>
  </si>
  <si>
    <t>D2441743001</t>
  </si>
  <si>
    <t>Auntyainigc@gmail.com</t>
  </si>
  <si>
    <t>067991276</t>
  </si>
  <si>
    <t>CF-0021</t>
  </si>
  <si>
    <t>3000/854</t>
  </si>
  <si>
    <t>KEMENTERIAN KOMUNIKASI&amp;DIGITAL</t>
  </si>
  <si>
    <t xml:space="preserve">TINGKAT 31, LINGKARAN </t>
  </si>
  <si>
    <t xml:space="preserve">GEMILANG SATU, PRECINT 4, </t>
  </si>
  <si>
    <t>0123116996</t>
  </si>
  <si>
    <t>CM-0013</t>
  </si>
  <si>
    <t>3000/855</t>
  </si>
  <si>
    <t>NO.3, MINI PEKAN  RABU</t>
  </si>
  <si>
    <t>R&amp;R GURUN ARAH SELATAN,</t>
  </si>
  <si>
    <t>0174275758</t>
  </si>
  <si>
    <t>CF-0023</t>
  </si>
  <si>
    <t>3000/856</t>
  </si>
  <si>
    <t xml:space="preserve">NO 10, </t>
  </si>
  <si>
    <t xml:space="preserve">RSA ARAH UTARA GELANG PATAH, </t>
  </si>
  <si>
    <t>0194004924</t>
  </si>
  <si>
    <t>CF-0026</t>
  </si>
  <si>
    <t>3000/857</t>
  </si>
  <si>
    <t>NO:21 JALAN REKO MUTIARA 1/6A</t>
  </si>
  <si>
    <t>TAMAN REKO MUTIARA</t>
  </si>
  <si>
    <t>KAJANG</t>
  </si>
  <si>
    <t>0126226748</t>
  </si>
  <si>
    <t>CM-0023</t>
  </si>
  <si>
    <t>3000/858</t>
  </si>
  <si>
    <t>32-A JALAN 3/70, SEKSYEN 3,</t>
  </si>
  <si>
    <t xml:space="preserve"> BANDAR BARU BANGI, DARUL</t>
  </si>
  <si>
    <t>CF-0030</t>
  </si>
  <si>
    <t>3000/859</t>
  </si>
  <si>
    <t xml:space="preserve">SB 1, KAWASAN REHAT &amp; RAWAT </t>
  </si>
  <si>
    <t xml:space="preserve">ELMINA SELATAN, GUTHRIE </t>
  </si>
  <si>
    <t>CORRIDOR EXPRESSWAY, SHAH ALAM</t>
  </si>
  <si>
    <t>0193884125</t>
  </si>
  <si>
    <t>CF-0032</t>
  </si>
  <si>
    <t>3000/860</t>
  </si>
  <si>
    <t>LOT ME003 , HOSPITAL SELAYANG,</t>
  </si>
  <si>
    <t>LEBUHRAYA SELAYANG,</t>
  </si>
  <si>
    <t>BATU CAVES ,  DARUL EHSAN</t>
  </si>
  <si>
    <t>0193279660</t>
  </si>
  <si>
    <t>CM-0027</t>
  </si>
  <si>
    <t>3000/861</t>
  </si>
  <si>
    <t>1ST FLOOR, RIGHT PORTION,</t>
  </si>
  <si>
    <t>LOT 16,BLOCK C,SEDCO SHOPHOUSE</t>
  </si>
  <si>
    <t>PHASE 1, JALAN LILY,9110</t>
  </si>
  <si>
    <t>09110</t>
  </si>
  <si>
    <t>0168104349</t>
  </si>
  <si>
    <t>PH-0009</t>
  </si>
  <si>
    <t>3000/862</t>
  </si>
  <si>
    <t>NO.9 JALAN SUADAMAI 2/2A</t>
  </si>
  <si>
    <t xml:space="preserve">BANDAR TUN HUSSIEN ONN </t>
  </si>
  <si>
    <t xml:space="preserve">CAREPHARMLDU@GMAIL.COM    </t>
  </si>
  <si>
    <t>0126191085</t>
  </si>
  <si>
    <t>HO-0003</t>
  </si>
  <si>
    <t>3000/863</t>
  </si>
  <si>
    <t>GROUND FLOOR, WEST WING,</t>
  </si>
  <si>
    <t>MENARA MATRADE,</t>
  </si>
  <si>
    <t>JALAN SULTAN HAJI AHMAD SHAH,</t>
  </si>
  <si>
    <t>0126624662</t>
  </si>
  <si>
    <t>KOPERASI</t>
  </si>
  <si>
    <t>KO-0001</t>
  </si>
  <si>
    <t>3000/864</t>
  </si>
  <si>
    <t>NO.5, R&amp;R NILAI ARAH SELATAN,</t>
  </si>
  <si>
    <t>LEBUHRAYA PLUS UTARA-SELATAN,</t>
  </si>
  <si>
    <t>UTARA-SELATAN</t>
  </si>
  <si>
    <t>CF-0038</t>
  </si>
  <si>
    <t>3000/865</t>
  </si>
  <si>
    <t xml:space="preserve">9-1, JALAN ELEKTRON U16/D, </t>
  </si>
  <si>
    <t>DENAI ALAM,</t>
  </si>
  <si>
    <t xml:space="preserve"> SHAH ALAM </t>
  </si>
  <si>
    <t>0133439312</t>
  </si>
  <si>
    <t>PH-0011</t>
  </si>
  <si>
    <t>3000/866</t>
  </si>
  <si>
    <t>LEBUHRAYA SELAYANG , KEPONG</t>
  </si>
  <si>
    <t>SELAYANG</t>
  </si>
  <si>
    <t>CM-0030</t>
  </si>
  <si>
    <t>3000/867</t>
  </si>
  <si>
    <t xml:space="preserve">BLOK G, ARAS 1, </t>
  </si>
  <si>
    <t>HOSPITAL SUNGAI BULOH,</t>
  </si>
  <si>
    <t>JALAN HOSPITAL, SUNGAI BULOH,</t>
  </si>
  <si>
    <t>0196567314</t>
  </si>
  <si>
    <t>CM-0034</t>
  </si>
  <si>
    <t>3000/868</t>
  </si>
  <si>
    <t>NO 5, HENTIAN SEBELAH TAIPING</t>
  </si>
  <si>
    <t>ARAH SELATAN, TAIPING, PERAK</t>
  </si>
  <si>
    <t>0105600905</t>
  </si>
  <si>
    <t>CF-0045</t>
  </si>
  <si>
    <t>3000/869</t>
  </si>
  <si>
    <t>DISTRIBUTIONCENTER KOTAWARISAN</t>
  </si>
  <si>
    <t xml:space="preserve">NO.65 JALAN GEMILANG 1, </t>
  </si>
  <si>
    <t xml:space="preserve">PUSAT PERNIAGAAN SEPANG, </t>
  </si>
  <si>
    <t xml:space="preserve">purch@thbglobal.com.my    </t>
  </si>
  <si>
    <t>0192748130</t>
  </si>
  <si>
    <t>CM-0097</t>
  </si>
  <si>
    <t>3000/870</t>
  </si>
  <si>
    <t>NO 55 JALAN WIRAWATI 8,</t>
  </si>
  <si>
    <t>TAMAN MALURI,</t>
  </si>
  <si>
    <t xml:space="preserve">khairulhilmi78@gmail.com      </t>
  </si>
  <si>
    <t>0388918000</t>
  </si>
  <si>
    <t>SM-0103</t>
  </si>
  <si>
    <t>3000/871</t>
  </si>
  <si>
    <t xml:space="preserve">NO 212, BLOK 12, </t>
  </si>
  <si>
    <t xml:space="preserve">PANGSAPURI RIMAU PERDANA, </t>
  </si>
  <si>
    <t>SEKSYEN 32, SHAH ALAM,</t>
  </si>
  <si>
    <t>ecoexpert2u@gmail.com</t>
  </si>
  <si>
    <t>0167830415</t>
  </si>
  <si>
    <t>CM-0035</t>
  </si>
  <si>
    <t>3000/872</t>
  </si>
  <si>
    <t xml:space="preserve">LOT NO. 1A, PERSIARAN </t>
  </si>
  <si>
    <t xml:space="preserve">JUBLI PERAK, JALAN 22/1, </t>
  </si>
  <si>
    <t>SEKSYEN 22, SHAH ALAM,</t>
  </si>
  <si>
    <t>01123966990</t>
  </si>
  <si>
    <t>CM-0037</t>
  </si>
  <si>
    <t>3000/873</t>
  </si>
  <si>
    <t xml:space="preserve">NO.1, R&amp;R SUNGAI PERAK </t>
  </si>
  <si>
    <t>ARAH SELATAN,3300</t>
  </si>
  <si>
    <t>0189581105</t>
  </si>
  <si>
    <t>CF-0052</t>
  </si>
  <si>
    <t>3000/874</t>
  </si>
  <si>
    <t xml:space="preserve">GERAI NO.1, </t>
  </si>
  <si>
    <t>KAWASAN REHAT &amp; RAWAT SUNGAI</t>
  </si>
  <si>
    <t xml:space="preserve"> KUALA KANGSAR,</t>
  </si>
  <si>
    <t>0125968881</t>
  </si>
  <si>
    <t>CF-0054</t>
  </si>
  <si>
    <t>3000/875</t>
  </si>
  <si>
    <t xml:space="preserve">G-39,SAVILLE KAJANG, </t>
  </si>
  <si>
    <t>JALAN REKO,</t>
  </si>
  <si>
    <t xml:space="preserve"> KAJANG </t>
  </si>
  <si>
    <t>0387387180</t>
  </si>
  <si>
    <t>PH-0013</t>
  </si>
  <si>
    <t>3000/876</t>
  </si>
  <si>
    <t xml:space="preserve">D'MART MINIMARKET SERTING, </t>
  </si>
  <si>
    <t>NO. 7-2, KEDA</t>
  </si>
  <si>
    <t xml:space="preserve"> BANDAR SERI JEMPOL, </t>
  </si>
  <si>
    <t>064581990</t>
  </si>
  <si>
    <t>PH-0014</t>
  </si>
  <si>
    <t>3000/877</t>
  </si>
  <si>
    <t>NO.46 JLN BM 4/1,</t>
  </si>
  <si>
    <t>BANDAR BUKIT MAHKOTA,</t>
  </si>
  <si>
    <t>SEKSYEN 4,</t>
  </si>
  <si>
    <t xml:space="preserve">fasb.bukitmahkota@gmail.com  </t>
  </si>
  <si>
    <t>0389208082</t>
  </si>
  <si>
    <t>PH-0024</t>
  </si>
  <si>
    <t>3000/878</t>
  </si>
  <si>
    <t xml:space="preserve">NO. 26,HOSPITAL TUNKU AMPUAN </t>
  </si>
  <si>
    <t xml:space="preserve">BESAR AISHA ROHANI HOSPITAL </t>
  </si>
  <si>
    <t>PAKAR KANAK-KANAK UKM, CHERAS,</t>
  </si>
  <si>
    <t>0388617534</t>
  </si>
  <si>
    <t>PH-0016</t>
  </si>
  <si>
    <t>3000/879</t>
  </si>
  <si>
    <t>NO. 3, JLN SD1 1/1,</t>
  </si>
  <si>
    <t>TAMAN SERI DAGANG,</t>
  </si>
  <si>
    <t xml:space="preserve">BUKIT CHANGGANG, BANTING, </t>
  </si>
  <si>
    <t>0178748600</t>
  </si>
  <si>
    <t>SM-0133</t>
  </si>
  <si>
    <t>3000/880</t>
  </si>
  <si>
    <t xml:space="preserve">NO. 32, JALAN TDB 6, </t>
  </si>
  <si>
    <t>TAMAN DUYONG BESTAR</t>
  </si>
  <si>
    <t>C 23791391070</t>
  </si>
  <si>
    <t>duyongpharmacy@gmail.com</t>
  </si>
  <si>
    <t>062685688</t>
  </si>
  <si>
    <t>PH-0017</t>
  </si>
  <si>
    <t>3000/881</t>
  </si>
  <si>
    <t>DENAI ALAM</t>
  </si>
  <si>
    <t xml:space="preserve"> SHAH ALAM</t>
  </si>
  <si>
    <t>PH-0006</t>
  </si>
  <si>
    <t>3000/882</t>
  </si>
  <si>
    <t>NO.9, JALAN PENAGA RIA,</t>
  </si>
  <si>
    <t>TAMAN PENAGA RIA,</t>
  </si>
  <si>
    <t>PENAGA</t>
  </si>
  <si>
    <t>01165547561</t>
  </si>
  <si>
    <t>PH-0020</t>
  </si>
  <si>
    <t>3000/883</t>
  </si>
  <si>
    <t>NO 47, JALAN MEDAN GOPENG,</t>
  </si>
  <si>
    <t>MEDAN GOPENG, 31350 IPOH,PERAK</t>
  </si>
  <si>
    <t xml:space="preserve">IG4539384021  </t>
  </si>
  <si>
    <t>0175533474</t>
  </si>
  <si>
    <t>PH-0022</t>
  </si>
  <si>
    <t>3000/884</t>
  </si>
  <si>
    <t>368, LORONG ANGSANA 1,</t>
  </si>
  <si>
    <t>08000 SUNGAI PETANI, KEDAH</t>
  </si>
  <si>
    <t>0126183700</t>
  </si>
  <si>
    <t>PH-0023</t>
  </si>
  <si>
    <t>3000/885</t>
  </si>
  <si>
    <t>K000-01-016, GROUND FLOOR,</t>
  </si>
  <si>
    <t>BANGUNAN BATU PEKAN KUNAK</t>
  </si>
  <si>
    <t>JALAN TERATAI,KUNAK,SABAH</t>
  </si>
  <si>
    <t xml:space="preserve">SABAH </t>
  </si>
  <si>
    <t xml:space="preserve">C29712058010   </t>
  </si>
  <si>
    <t>PH-0026</t>
  </si>
  <si>
    <t>3000/886</t>
  </si>
  <si>
    <t>19 JALAN MURNI 2, TAMAN MURNI</t>
  </si>
  <si>
    <t>83000 BATU PAHAT,JOHOR</t>
  </si>
  <si>
    <t xml:space="preserve">C10583338100   </t>
  </si>
  <si>
    <t>0167237809</t>
  </si>
  <si>
    <t>PH-0028</t>
  </si>
  <si>
    <t>3000/887</t>
  </si>
  <si>
    <t xml:space="preserve">NO-2, G-PA-20, HOSPITAL </t>
  </si>
  <si>
    <t xml:space="preserve">PUTRAJAYA, PUSAT PENTADBIRAN </t>
  </si>
  <si>
    <t>KERAJAAN PERSEKUTUAN,PRESINT 7</t>
  </si>
  <si>
    <t>0388810516</t>
  </si>
  <si>
    <t>PH-0029</t>
  </si>
  <si>
    <t>3000/888</t>
  </si>
  <si>
    <t>JC529 JALAN BESTARI 5 SEKSYEN2</t>
  </si>
  <si>
    <t xml:space="preserve">BANDAR JASIN BESTARI </t>
  </si>
  <si>
    <t xml:space="preserve"> MELAKA</t>
  </si>
  <si>
    <t>065296626</t>
  </si>
  <si>
    <t>PH-0030</t>
  </si>
  <si>
    <t>3000/889</t>
  </si>
  <si>
    <t>NO.40, JALAN ANGGERIK TAMAN</t>
  </si>
  <si>
    <t xml:space="preserve"> SERI BAYU, 78000 ALOR GAJAH,</t>
  </si>
  <si>
    <t>IG1264044011</t>
  </si>
  <si>
    <t>0126704973</t>
  </si>
  <si>
    <t>PH-0032</t>
  </si>
  <si>
    <t>3000/890</t>
  </si>
  <si>
    <t>0193888566</t>
  </si>
  <si>
    <t>MAIZURA</t>
  </si>
  <si>
    <t>WALK IN</t>
  </si>
  <si>
    <t>WI-0053</t>
  </si>
  <si>
    <t>3000/891</t>
  </si>
  <si>
    <t>LORONG CHERINGIN 1,</t>
  </si>
  <si>
    <t>KAMPUNG CHERINGIN JANDA BAIK,</t>
  </si>
  <si>
    <t xml:space="preserve">mohd.izuan@bidaisariresort.com.my   </t>
  </si>
  <si>
    <t>0175070363</t>
  </si>
  <si>
    <t>HO-0002</t>
  </si>
  <si>
    <t>3000/892</t>
  </si>
  <si>
    <t xml:space="preserve">NO. 25, </t>
  </si>
  <si>
    <t>PERSIARAN BUNGA TANJUNG 2,</t>
  </si>
  <si>
    <t xml:space="preserve"> PUSAT BANDAR SENAWANG</t>
  </si>
  <si>
    <t xml:space="preserve">snw.zemart@gmail.com    </t>
  </si>
  <si>
    <t>0167767607</t>
  </si>
  <si>
    <t>HM-0019</t>
  </si>
  <si>
    <t>3000/893</t>
  </si>
  <si>
    <t>NO. 7.7A &amp; 8 JLN MUHIBAH,</t>
  </si>
  <si>
    <t>RENGIT, BATU PAHAT, JOHOR</t>
  </si>
  <si>
    <t>074242244</t>
  </si>
  <si>
    <t>SM-0170</t>
  </si>
  <si>
    <t>3000/894</t>
  </si>
  <si>
    <t>KG KANCHONG</t>
  </si>
  <si>
    <t>0193648126</t>
  </si>
  <si>
    <t>WI-0045</t>
  </si>
  <si>
    <t>3000/895</t>
  </si>
  <si>
    <t>PMG PHARMACY SDN BHD,</t>
  </si>
  <si>
    <t>NO. 396, JALAN SAMUDERA 2,</t>
  </si>
  <si>
    <t>TAMAN SAMUDERA</t>
  </si>
  <si>
    <t xml:space="preserve">pmgpharmacysamudera@gmail.com     </t>
  </si>
  <si>
    <t>0165297966</t>
  </si>
  <si>
    <t>SM-0385</t>
  </si>
  <si>
    <t>3000/896</t>
  </si>
  <si>
    <t>KOMPLEK AL AMMAR, KG KANCHONG</t>
  </si>
  <si>
    <t>0123240500</t>
  </si>
  <si>
    <t>WI-0394</t>
  </si>
  <si>
    <t>3000/897</t>
  </si>
  <si>
    <t>RANTAU SELAMAT ENTERPRISE37545</t>
  </si>
  <si>
    <t>JALAN LAPANGAN TERBANG,</t>
  </si>
  <si>
    <t xml:space="preserve"> KUALA TERENGGANU.</t>
  </si>
  <si>
    <t>0179309979</t>
  </si>
  <si>
    <t>SM-0006</t>
  </si>
  <si>
    <t>3000/898</t>
  </si>
  <si>
    <t>PUSAT OPERASI SDSI</t>
  </si>
  <si>
    <t xml:space="preserve">DAERAH REMBAU,BIP KUNDUR </t>
  </si>
  <si>
    <t xml:space="preserve">JABATAN PERTANIAN, REMBAU, </t>
  </si>
  <si>
    <t xml:space="preserve">mr_roscorn@yahoo.com.my </t>
  </si>
  <si>
    <t>0136861051</t>
  </si>
  <si>
    <t>SM-0420</t>
  </si>
  <si>
    <t>3000/899</t>
  </si>
  <si>
    <t>HEAD OFFICE,LEVEL 3,</t>
  </si>
  <si>
    <t xml:space="preserve">NO 3,JALAN 7A/62A, </t>
  </si>
  <si>
    <t>BANDAR MENJALARA, 5A</t>
  </si>
  <si>
    <t xml:space="preserve">SH_MY-Einvoice.Supplier@lotuss.com </t>
  </si>
  <si>
    <t>0362876160</t>
  </si>
  <si>
    <t>HM-0010</t>
  </si>
  <si>
    <t>3000/900</t>
  </si>
  <si>
    <t>LOT 5514 JALAN BESAR PAKA,</t>
  </si>
  <si>
    <t>23100 PAKA</t>
  </si>
  <si>
    <t>01156661826</t>
  </si>
  <si>
    <t>SM-0035</t>
  </si>
  <si>
    <t>3000/901</t>
  </si>
  <si>
    <t xml:space="preserve">NO 4 , </t>
  </si>
  <si>
    <t>KAW RNR MACHAP ARAH UTARA</t>
  </si>
  <si>
    <t xml:space="preserve"> KLUANG,</t>
  </si>
  <si>
    <t>0189574623</t>
  </si>
  <si>
    <t>CF-0154</t>
  </si>
  <si>
    <t>3000/902</t>
  </si>
  <si>
    <t xml:space="preserve">LOT 1 &amp; 2 </t>
  </si>
  <si>
    <t>ARAH BAWAH BLOK H PPAM PUDINA,</t>
  </si>
  <si>
    <t>NO 2 JALAN KASTURI, PRESINT 17</t>
  </si>
  <si>
    <t>0108729789</t>
  </si>
  <si>
    <t>SM-0255</t>
  </si>
  <si>
    <t>3000/903</t>
  </si>
  <si>
    <t>RIVERSIDE JANDA BAIK, LOT 5506</t>
  </si>
  <si>
    <t>JALAN SUM-SUM HILIR KAMPUNG</t>
  </si>
  <si>
    <t xml:space="preserve">JANDA BAIK  BENTONG, </t>
  </si>
  <si>
    <t xml:space="preserve">CA0368109-P  </t>
  </si>
  <si>
    <t xml:space="preserve">IG20713041080  </t>
  </si>
  <si>
    <t>0179330060</t>
  </si>
  <si>
    <t>SM-0345</t>
  </si>
  <si>
    <t>3000/904</t>
  </si>
  <si>
    <t>LOT 1 &amp; LOT 5,</t>
  </si>
  <si>
    <t>JALAN U10/100,</t>
  </si>
  <si>
    <t xml:space="preserve">scm.supply@mydin.com  </t>
  </si>
  <si>
    <t>0380736287</t>
  </si>
  <si>
    <t>HM-0015</t>
  </si>
  <si>
    <t>3000/905</t>
  </si>
  <si>
    <t>1-4, TOWER B, LEVEL 1,</t>
  </si>
  <si>
    <t>JLN KSB11A,PANGSAPURI ATLANTIS</t>
  </si>
  <si>
    <t>KOTA SYAHBANDAR,</t>
  </si>
  <si>
    <t>0126058390</t>
  </si>
  <si>
    <t>SM-0187</t>
  </si>
  <si>
    <t>3000/906</t>
  </si>
  <si>
    <t>NO 8 ARAH UTARA</t>
  </si>
  <si>
    <t xml:space="preserve">KAWASAN R&amp;R LEBUHRAYA </t>
  </si>
  <si>
    <t xml:space="preserve">UTARA SELATAN TAPAH </t>
  </si>
  <si>
    <t xml:space="preserve">IG 11409386051   </t>
  </si>
  <si>
    <t xml:space="preserve">rrcafe7788@gmail.com  </t>
  </si>
  <si>
    <t>0122440358</t>
  </si>
  <si>
    <t>CF-0112</t>
  </si>
  <si>
    <t>3000/907</t>
  </si>
  <si>
    <t xml:space="preserve">STESEN CALTEX </t>
  </si>
  <si>
    <t>JALAN KAMPUNG PADANG</t>
  </si>
  <si>
    <t xml:space="preserve">MELANGITKANGAR, </t>
  </si>
  <si>
    <t xml:space="preserve"> 01000 </t>
  </si>
  <si>
    <t>0169539170</t>
  </si>
  <si>
    <t>SM-0349</t>
  </si>
  <si>
    <t>3000/908</t>
  </si>
  <si>
    <t>CUSTOMER WALK IN RANTAU</t>
  </si>
  <si>
    <t>WI-0064</t>
  </si>
  <si>
    <t>3000/909</t>
  </si>
  <si>
    <t>SM-0071</t>
  </si>
  <si>
    <t>3000/910</t>
  </si>
  <si>
    <t>NO 193, JALAN SEREMBAN TIGA 4,</t>
  </si>
  <si>
    <t>SEREMBAN 3, 70300 SEREMBAN,</t>
  </si>
  <si>
    <t>0133622745</t>
  </si>
  <si>
    <t>WI-0281</t>
  </si>
  <si>
    <t>3000/911</t>
  </si>
  <si>
    <t>KG SOLOK</t>
  </si>
  <si>
    <t>0176779806</t>
  </si>
  <si>
    <t>WI-0271</t>
  </si>
  <si>
    <t>3000/912</t>
  </si>
  <si>
    <t xml:space="preserve">BANDAR BARU WARISAN PUTERI, </t>
  </si>
  <si>
    <t>SIKAMAT</t>
  </si>
  <si>
    <t>0192314403</t>
  </si>
  <si>
    <t>WI-0284</t>
  </si>
  <si>
    <t>3000/913</t>
  </si>
  <si>
    <t xml:space="preserve">F-20-2, JALAN SERAI WANGI </t>
  </si>
  <si>
    <t>N16/N, ALAM AVENUE 2,</t>
  </si>
  <si>
    <t xml:space="preserve"> SEKSYEN 16, SHAH ALAM</t>
  </si>
  <si>
    <t>C20667542090</t>
  </si>
  <si>
    <t>W24-0510-32100011</t>
  </si>
  <si>
    <t xml:space="preserve">rodong.my@gmail.com                               </t>
  </si>
  <si>
    <t>0355231076</t>
  </si>
  <si>
    <t>CORPORATE</t>
  </si>
  <si>
    <t>CO-0037</t>
  </si>
  <si>
    <t>3000/914</t>
  </si>
  <si>
    <t xml:space="preserve">ARAS 1, </t>
  </si>
  <si>
    <t xml:space="preserve">KOPERASI UNIKEB BERHAD, </t>
  </si>
  <si>
    <t>WISMA UN</t>
  </si>
  <si>
    <t xml:space="preserve">travel@unikeb.com   </t>
  </si>
  <si>
    <t>0389214022</t>
  </si>
  <si>
    <t>CM-0103</t>
  </si>
  <si>
    <t>3000/915</t>
  </si>
  <si>
    <t>RANTAU</t>
  </si>
  <si>
    <t>01110050421</t>
  </si>
  <si>
    <t>WI-0369</t>
  </si>
  <si>
    <t>3000/916</t>
  </si>
  <si>
    <t>NO.9 LORONG RAJA NONG 18A,</t>
  </si>
  <si>
    <t>OFF JALAN PENGHULU ABU BAKAR,</t>
  </si>
  <si>
    <t>01133424847</t>
  </si>
  <si>
    <t>SM-0073</t>
  </si>
  <si>
    <t>3000/917</t>
  </si>
  <si>
    <t>KG SEGA HILIR, RANTAU</t>
  </si>
  <si>
    <t>0196523341</t>
  </si>
  <si>
    <t>WI-0282</t>
  </si>
  <si>
    <t>3000/918</t>
  </si>
  <si>
    <t>LOT 2149, KG SRI LALANG,</t>
  </si>
  <si>
    <t>71200 RANTAU,</t>
  </si>
  <si>
    <t>0172989974</t>
  </si>
  <si>
    <t>WI-0420</t>
  </si>
  <si>
    <t>3000/919</t>
  </si>
  <si>
    <t>0122709290</t>
  </si>
  <si>
    <t>WI-0332</t>
  </si>
  <si>
    <t>3000/920</t>
  </si>
  <si>
    <t>0192193968</t>
  </si>
  <si>
    <t>WI-0327</t>
  </si>
  <si>
    <t>3000/921</t>
  </si>
  <si>
    <t>YNS EVENT MANAGEMENT SDN BHD</t>
  </si>
  <si>
    <t>YAYASAN NEGERI SEMBILAN, T. 4</t>
  </si>
  <si>
    <t>BANGUNAN YNS JALAN YAM TUAN</t>
  </si>
  <si>
    <t xml:space="preserve">C26435472090                                 </t>
  </si>
  <si>
    <t>0137005747</t>
  </si>
  <si>
    <t>CO-0051</t>
  </si>
  <si>
    <t>3000/922</t>
  </si>
  <si>
    <t>0172825953</t>
  </si>
  <si>
    <t>WI-0417</t>
  </si>
  <si>
    <t>3000/923</t>
  </si>
  <si>
    <t>0196518351</t>
  </si>
  <si>
    <t>WI-0103</t>
  </si>
  <si>
    <t>3000/924</t>
  </si>
  <si>
    <t xml:space="preserve">NO 41 JLN RU4, </t>
  </si>
  <si>
    <t>TMN REMBAU UTAMA</t>
  </si>
  <si>
    <t xml:space="preserve"> REMBAU, </t>
  </si>
  <si>
    <t>0196768754</t>
  </si>
  <si>
    <t>SM-0422</t>
  </si>
  <si>
    <t>3000/925</t>
  </si>
  <si>
    <t>PMG PHARMACY SDN BHD</t>
  </si>
  <si>
    <t>NO.7A JALAN LAMAN INTAN,</t>
  </si>
  <si>
    <t>BANDAR BARU TELUK INTAN,</t>
  </si>
  <si>
    <t>01110558530</t>
  </si>
  <si>
    <t>SM-0389</t>
  </si>
  <si>
    <t>3000/926</t>
  </si>
  <si>
    <t>SM-0070</t>
  </si>
  <si>
    <t>3000/927</t>
  </si>
  <si>
    <t>NO 78 TAMAN RANTAU</t>
  </si>
  <si>
    <t>0123009291</t>
  </si>
  <si>
    <t>SM-0521</t>
  </si>
  <si>
    <t>3000/928</t>
  </si>
  <si>
    <t>NO 25, KG ULU LALANG</t>
  </si>
  <si>
    <t>0192702290</t>
  </si>
  <si>
    <t>WI-0360</t>
  </si>
  <si>
    <t>3000/929</t>
  </si>
  <si>
    <t>KG MASJID SOLOK</t>
  </si>
  <si>
    <t>0192371025</t>
  </si>
  <si>
    <t>WI-0266</t>
  </si>
  <si>
    <t>3000/930</t>
  </si>
  <si>
    <t>KG TANJUNG</t>
  </si>
  <si>
    <t>0173051157</t>
  </si>
  <si>
    <t>WI-0312</t>
  </si>
  <si>
    <t>3000/931</t>
  </si>
  <si>
    <t>CALTEX KAMPUNG BARU SUBANG</t>
  </si>
  <si>
    <t>LOT 4216 JALAN BESAR,</t>
  </si>
  <si>
    <t>KAMPUNG BARU SUBANG,</t>
  </si>
  <si>
    <t>PM-0987</t>
  </si>
  <si>
    <t>3000/932</t>
  </si>
  <si>
    <t>0137828799</t>
  </si>
  <si>
    <t>WI-0230</t>
  </si>
  <si>
    <t>3000/934</t>
  </si>
  <si>
    <t>NO. 49, JALAN TIMUR 6/1B,</t>
  </si>
  <si>
    <t>TIMUR @ ENSTEK,</t>
  </si>
  <si>
    <t>BANDAR ENSTEK</t>
  </si>
  <si>
    <t>067995022</t>
  </si>
  <si>
    <t>SM-0164</t>
  </si>
  <si>
    <t>3000/935</t>
  </si>
  <si>
    <t>NO 524, JALAN 6,</t>
  </si>
  <si>
    <t>TAMAN AMPANG UTAMA,</t>
  </si>
  <si>
    <t xml:space="preserve"> AMPANG</t>
  </si>
  <si>
    <t>01161267464</t>
  </si>
  <si>
    <t>SM-0306</t>
  </si>
  <si>
    <t>3000/936</t>
  </si>
  <si>
    <t xml:space="preserve">NO.38-40, JALAN PULAU LUMUT </t>
  </si>
  <si>
    <t>QU10/Q, SEKSYEN U10,</t>
  </si>
  <si>
    <t>ALAM BUDIMAN PUNCAK ALAM</t>
  </si>
  <si>
    <t>0378599333</t>
  </si>
  <si>
    <t>CO-0010</t>
  </si>
  <si>
    <t>3000/937</t>
  </si>
  <si>
    <t>BUBBLES O2</t>
  </si>
  <si>
    <t>WI-0393</t>
  </si>
  <si>
    <t>3000/938</t>
  </si>
  <si>
    <t>LOT G-08, PLAZA BANGI PERDANA,</t>
  </si>
  <si>
    <t>JALAN GERBANG WAWASAN 1,</t>
  </si>
  <si>
    <t>SEKSYEN 15,BANDAR BARU BANGI,</t>
  </si>
  <si>
    <t xml:space="preserve">wannajib@richismocoffee.com </t>
  </si>
  <si>
    <t>0123119721</t>
  </si>
  <si>
    <t>CF-0125</t>
  </si>
  <si>
    <t>3000/939</t>
  </si>
  <si>
    <t>NO 1, KG SEGA 71200 RANTAU</t>
  </si>
  <si>
    <t>0122478840</t>
  </si>
  <si>
    <t>WI-0148</t>
  </si>
  <si>
    <t>3000/940</t>
  </si>
  <si>
    <t>NO.65 JALAN GEMILANG 1,</t>
  </si>
  <si>
    <t>PUSAT PERNIAGAAN GEMILANG</t>
  </si>
  <si>
    <t>SEPANG</t>
  </si>
  <si>
    <t>CM-0031</t>
  </si>
  <si>
    <t>3000/941</t>
  </si>
  <si>
    <t>BLOK B, ARAS 2, LOBI UTAMA,</t>
  </si>
  <si>
    <t>JALAN HOSPITAL,</t>
  </si>
  <si>
    <t>0193277857</t>
  </si>
  <si>
    <t>CM-0047</t>
  </si>
  <si>
    <t>3000/942</t>
  </si>
  <si>
    <t>N0.1, JALAN DUTAMAS 3,</t>
  </si>
  <si>
    <t>PST KOMUNITI,KOMPLEKS KEDIAMAN</t>
  </si>
  <si>
    <t xml:space="preserve">KAKITANGAN AWAM, JALAN DUTA, </t>
  </si>
  <si>
    <t>0192391272</t>
  </si>
  <si>
    <t>CM-0053</t>
  </si>
  <si>
    <t>3000/943</t>
  </si>
  <si>
    <t xml:space="preserve">LOT K02 </t>
  </si>
  <si>
    <t>TEMPAT LETAK KERETA BERTINGKAT</t>
  </si>
  <si>
    <t xml:space="preserve">PRESINT 4 </t>
  </si>
  <si>
    <t xml:space="preserve">C21686498040 </t>
  </si>
  <si>
    <t>0388614484</t>
  </si>
  <si>
    <t>CM-0074</t>
  </si>
  <si>
    <t>3000/944</t>
  </si>
  <si>
    <t>NO. 87-G, JALAN PUJ 3/9,</t>
  </si>
  <si>
    <t>TAMAN PUNCAK JALIL,</t>
  </si>
  <si>
    <t>BANDAR PUTRA PERMAI,</t>
  </si>
  <si>
    <t>mohdsukri@msuk.com.my;</t>
  </si>
  <si>
    <t>0172332750</t>
  </si>
  <si>
    <t>CM-0091</t>
  </si>
  <si>
    <t>3000/945</t>
  </si>
  <si>
    <t>K2018-1,</t>
  </si>
  <si>
    <t>MRT HOSPITAL KL STATION TITI,</t>
  </si>
  <si>
    <t>JLN KUANTAN TITIWANGSA,</t>
  </si>
  <si>
    <t>PH-0054</t>
  </si>
  <si>
    <t>3000/946</t>
  </si>
  <si>
    <t>NO. 1, LOBI UTAMA,ARAS 2,</t>
  </si>
  <si>
    <t>HOSPITAL SERDANG,</t>
  </si>
  <si>
    <t xml:space="preserve"> JALAN PUCHONG, KAJANG </t>
  </si>
  <si>
    <t>0108325594</t>
  </si>
  <si>
    <t>PH-0053</t>
  </si>
  <si>
    <t>3000/947</t>
  </si>
  <si>
    <t>SIC LAKESIDE,</t>
  </si>
  <si>
    <t xml:space="preserve">KOMPLEKS BELIA &amp; KEBUDAYAAN </t>
  </si>
  <si>
    <t>SEKSYEN 7, SHAH ALAM.</t>
  </si>
  <si>
    <t>0135338823</t>
  </si>
  <si>
    <t>CM-0085</t>
  </si>
  <si>
    <t>3000/948</t>
  </si>
  <si>
    <t xml:space="preserve">NO.27 </t>
  </si>
  <si>
    <t>JALAN KENT 3 OFF JALAN MAKTAB,</t>
  </si>
  <si>
    <t>0186607244</t>
  </si>
  <si>
    <t>SM-0084</t>
  </si>
  <si>
    <t>3000/949</t>
  </si>
  <si>
    <t>LOT KEDAI S7, ARAS 2,</t>
  </si>
  <si>
    <t xml:space="preserve">HOSPITAL UNIVERSITI TEKNOLOGI </t>
  </si>
  <si>
    <t>MARA(UITM) Puncak Alam</t>
  </si>
  <si>
    <t>0192100126</t>
  </si>
  <si>
    <t>CM-0046</t>
  </si>
  <si>
    <t>3000/950</t>
  </si>
  <si>
    <t>47, MEDAN MAKAN JALAN DUTA,</t>
  </si>
  <si>
    <t>0193842150</t>
  </si>
  <si>
    <t>CF-0145</t>
  </si>
  <si>
    <t>3000/951</t>
  </si>
  <si>
    <t xml:space="preserve">PUSAT PENTADBIRAN </t>
  </si>
  <si>
    <t>KERAJAAN PERSEKUTUAN,</t>
  </si>
  <si>
    <t>PRESINT 7</t>
  </si>
  <si>
    <t>0193349464</t>
  </si>
  <si>
    <t>CM-0026</t>
  </si>
  <si>
    <t>3000/952</t>
  </si>
  <si>
    <t>B7-G1 &amp; B7-G2,</t>
  </si>
  <si>
    <t>GAYA COMMERCIAL CENTRE,</t>
  </si>
  <si>
    <t xml:space="preserve">TAMAN MELAWATI, </t>
  </si>
  <si>
    <t>0193337171</t>
  </si>
  <si>
    <t>CF-0153</t>
  </si>
  <si>
    <t>3000/953</t>
  </si>
  <si>
    <t>NO 12,KAWASAN REHAT &amp;</t>
  </si>
  <si>
    <t>RAWAT DENGKIL UTARA,</t>
  </si>
  <si>
    <t>KM23 L/RAYA UTARA SELATAN</t>
  </si>
  <si>
    <t>0123306545</t>
  </si>
  <si>
    <t>CF-0050</t>
  </si>
  <si>
    <t>3000/954</t>
  </si>
  <si>
    <t>HOSPITAL SELAYANG,</t>
  </si>
  <si>
    <t>JALAN LEBUHRAYA SELAYANG</t>
  </si>
  <si>
    <t>-KEPONG BATU CAVES, SELAYANG,</t>
  </si>
  <si>
    <t>0192635862</t>
  </si>
  <si>
    <t>CM-0033</t>
  </si>
  <si>
    <t>3000/955</t>
  </si>
  <si>
    <t>KG SELIAU, RANTAU</t>
  </si>
  <si>
    <t>0199521561</t>
  </si>
  <si>
    <t>WI-0331</t>
  </si>
  <si>
    <t>3000/956</t>
  </si>
  <si>
    <t>KEMAS RANTAU</t>
  </si>
  <si>
    <t>0136079764</t>
  </si>
  <si>
    <t>WI-0051</t>
  </si>
  <si>
    <t>3000/957</t>
  </si>
  <si>
    <t>TAMAN TUANKU JAAFAR, SENAWANG</t>
  </si>
  <si>
    <t>0123992862</t>
  </si>
  <si>
    <t>WI-0412</t>
  </si>
  <si>
    <t>3000/958</t>
  </si>
  <si>
    <t xml:space="preserve">BG 03/04, BLOCK B, </t>
  </si>
  <si>
    <t xml:space="preserve">GROUND FLOOR, WISMA MUIS,  </t>
  </si>
  <si>
    <t>KOTA KINABALU,</t>
  </si>
  <si>
    <t>SABAH</t>
  </si>
  <si>
    <t>tamma_tradisional@hotmail.com / m.iftehussain@gmam</t>
  </si>
  <si>
    <t>0198235151</t>
  </si>
  <si>
    <t>AGENT</t>
  </si>
  <si>
    <t>AG-0003</t>
  </si>
  <si>
    <t>3000/959</t>
  </si>
  <si>
    <t>NO.21, JALAN PADI MALINJA</t>
  </si>
  <si>
    <t>9, BANDAR BARU UDA</t>
  </si>
  <si>
    <t>0197367450</t>
  </si>
  <si>
    <t>SOD</t>
  </si>
  <si>
    <t>AG-0004</t>
  </si>
  <si>
    <t>3000/960</t>
  </si>
  <si>
    <t>RANTAU 71200 NEGERI SEMBILAN</t>
  </si>
  <si>
    <t>066941222</t>
  </si>
  <si>
    <t>WI-0056</t>
  </si>
  <si>
    <t>3000/961</t>
  </si>
  <si>
    <t>IPK NEGERI SEMBILAN</t>
  </si>
  <si>
    <t>0183234153</t>
  </si>
  <si>
    <t>WI-0143</t>
  </si>
  <si>
    <t>3000/962</t>
  </si>
  <si>
    <t>0197552169</t>
  </si>
  <si>
    <t>WI-0079</t>
  </si>
  <si>
    <t>3000/963</t>
  </si>
  <si>
    <t>0196796252</t>
  </si>
  <si>
    <t>WI-0067</t>
  </si>
  <si>
    <t>3000/964</t>
  </si>
  <si>
    <t>STAR GROCER NO 2, JALAN TASIK</t>
  </si>
  <si>
    <t>PUTERI 4, BTP32,</t>
  </si>
  <si>
    <t>BANDAR TASIK PUTERI RAWANG,</t>
  </si>
  <si>
    <t xml:space="preserve">stargrocer.btp@gmail.com   </t>
  </si>
  <si>
    <t>0139895996</t>
  </si>
  <si>
    <t>HM-0030</t>
  </si>
  <si>
    <t>3000/965</t>
  </si>
  <si>
    <t>NO 311, JLN WARISAN PUTERI A11</t>
  </si>
  <si>
    <t>TAMAN WARISAN PUTERI SIKAMAT,</t>
  </si>
  <si>
    <t xml:space="preserve"> SEREMBAN, </t>
  </si>
  <si>
    <t>0139721063</t>
  </si>
  <si>
    <t>SM-0454</t>
  </si>
  <si>
    <t>3000/966</t>
  </si>
  <si>
    <t xml:space="preserve">163-0-10, GROUND FLOOR, </t>
  </si>
  <si>
    <t>WISMA MAH SING, 163, WP,</t>
  </si>
  <si>
    <t xml:space="preserve"> JLN SUNGAI BESI, PUDU, </t>
  </si>
  <si>
    <t>0122043540</t>
  </si>
  <si>
    <t>CO-0008</t>
  </si>
  <si>
    <t>3000/967</t>
  </si>
  <si>
    <t>HOSPIMART SHOPPE, Aras Bawah</t>
  </si>
  <si>
    <t xml:space="preserve">Bangunan Utama, Hospital </t>
  </si>
  <si>
    <t>Tengku Ampuan Afzan, Kuantan</t>
  </si>
  <si>
    <t>0192101820</t>
  </si>
  <si>
    <t>CM-0044</t>
  </si>
  <si>
    <t>3000/968</t>
  </si>
  <si>
    <t>0135909181</t>
  </si>
  <si>
    <t>WI-0102</t>
  </si>
  <si>
    <t>3000/969</t>
  </si>
  <si>
    <t>NYATOH</t>
  </si>
  <si>
    <t>0126369949</t>
  </si>
  <si>
    <t>WI-0080</t>
  </si>
  <si>
    <t>3000/970</t>
  </si>
  <si>
    <t>0174370494</t>
  </si>
  <si>
    <t>WI-0410</t>
  </si>
  <si>
    <t>3000/971</t>
  </si>
  <si>
    <t>PINGGIRAN SENAWANG</t>
  </si>
  <si>
    <t>0199596156</t>
  </si>
  <si>
    <t>WI-0231</t>
  </si>
  <si>
    <t>3000/972</t>
  </si>
  <si>
    <t>SM-0364</t>
  </si>
  <si>
    <t>3000/973</t>
  </si>
  <si>
    <t>0193476755</t>
  </si>
  <si>
    <t>WI-0415</t>
  </si>
  <si>
    <t>3000/974</t>
  </si>
  <si>
    <t>NO 5, JALAN MERANTI 3,</t>
  </si>
  <si>
    <t>TMN BUKIT CHEDANG</t>
  </si>
  <si>
    <t>IG730896051</t>
  </si>
  <si>
    <t>0193875496</t>
  </si>
  <si>
    <t>SM-0399</t>
  </si>
  <si>
    <t>3000/975</t>
  </si>
  <si>
    <t xml:space="preserve">5729, </t>
  </si>
  <si>
    <t>Jalan Lingkaran Tengah 1l</t>
  </si>
  <si>
    <t xml:space="preserve">NbakT, Gombak, </t>
  </si>
  <si>
    <t>Selangor</t>
  </si>
  <si>
    <t xml:space="preserve">C 10943224100   </t>
  </si>
  <si>
    <t>0341052015</t>
  </si>
  <si>
    <t>PM-0806</t>
  </si>
  <si>
    <t>3000/976</t>
  </si>
  <si>
    <t>TAMAN MARIDA, SENAWANG</t>
  </si>
  <si>
    <t>01110621015</t>
  </si>
  <si>
    <t>WI-0057</t>
  </si>
  <si>
    <t>3000/977</t>
  </si>
  <si>
    <t>0123040607</t>
  </si>
  <si>
    <t>WI-0333</t>
  </si>
  <si>
    <t>3000/978</t>
  </si>
  <si>
    <t>SDAR SG GADUT</t>
  </si>
  <si>
    <t>01113016984</t>
  </si>
  <si>
    <t>WI-0339</t>
  </si>
  <si>
    <t>3000/979</t>
  </si>
  <si>
    <t>ULU LALANG</t>
  </si>
  <si>
    <t>01131403586</t>
  </si>
  <si>
    <t>WI-0151</t>
  </si>
  <si>
    <t>3000/980</t>
  </si>
  <si>
    <t>KUALA SAWAH</t>
  </si>
  <si>
    <t>0133739872</t>
  </si>
  <si>
    <t>WI-0115</t>
  </si>
  <si>
    <t>3000/981</t>
  </si>
  <si>
    <t>TAMAN PINGGIRAN SENAWANG</t>
  </si>
  <si>
    <t>01128391480</t>
  </si>
  <si>
    <t>WI-0355</t>
  </si>
  <si>
    <t>3000/982</t>
  </si>
  <si>
    <t>WI-0071</t>
  </si>
  <si>
    <t>3000/983</t>
  </si>
  <si>
    <t>NO. 10, KAMPUNG GERAI MUDA,</t>
  </si>
  <si>
    <t xml:space="preserve"> JERTEH,</t>
  </si>
  <si>
    <t xml:space="preserve">lailatulmufaizah00@gmail.com   </t>
  </si>
  <si>
    <t>0139713004</t>
  </si>
  <si>
    <t>IFFA KB</t>
  </si>
  <si>
    <t>WI-0145</t>
  </si>
  <si>
    <t>3000/984</t>
  </si>
  <si>
    <t>CALTEX WAKAF AIK</t>
  </si>
  <si>
    <t>LOT PT1109, KAMPUNG WAKAF AIK,</t>
  </si>
  <si>
    <t>MUKIM SENAK</t>
  </si>
  <si>
    <t>IG23074901010</t>
  </si>
  <si>
    <t>mrnmajutrading03@gmail.com</t>
  </si>
  <si>
    <t>01131398175</t>
  </si>
  <si>
    <t>PM-0556</t>
  </si>
  <si>
    <t>3000/985</t>
  </si>
  <si>
    <t>CALTEX KOTA JEMBAL</t>
  </si>
  <si>
    <t>LOT 14419/PT 1094 KG RAJA,</t>
  </si>
  <si>
    <t xml:space="preserve">JALAN TAWANG, TELOK MASIRA, </t>
  </si>
  <si>
    <t>PM-0500</t>
  </si>
  <si>
    <t>3000/986</t>
  </si>
  <si>
    <t>LOT 314, TINGKAT BAWAH,</t>
  </si>
  <si>
    <t>JALAN KEBUN SULTAN,</t>
  </si>
  <si>
    <t xml:space="preserve">IG40110637030  </t>
  </si>
  <si>
    <t xml:space="preserve">iffahamirah@hotmail.com     </t>
  </si>
  <si>
    <t>0145342704</t>
  </si>
  <si>
    <t>WI-0062</t>
  </si>
  <si>
    <t>3000/987</t>
  </si>
  <si>
    <t>0193870389</t>
  </si>
  <si>
    <t>WI-0101</t>
  </si>
  <si>
    <t>3000/988</t>
  </si>
  <si>
    <t>0179320645</t>
  </si>
  <si>
    <t>WI-0044</t>
  </si>
  <si>
    <t>3000/989</t>
  </si>
  <si>
    <t>KAWASAN REHAT &amp; RAWAT (R&amp;R)</t>
  </si>
  <si>
    <t>RAWANG ARAH UTARA KM 440</t>
  </si>
  <si>
    <t xml:space="preserve">LEBUHRAYA PLUS RAWANG </t>
  </si>
  <si>
    <t xml:space="preserve">D58088297070  </t>
  </si>
  <si>
    <t>0173360744</t>
  </si>
  <si>
    <t>CF-0091</t>
  </si>
  <si>
    <t>3000/990</t>
  </si>
  <si>
    <t xml:space="preserve">589, </t>
  </si>
  <si>
    <t>Jalan Sekolah, Batu Laut</t>
  </si>
  <si>
    <t>Tanjung Sepat, Kuala Langat</t>
  </si>
  <si>
    <t xml:space="preserve">mawarniza77@gmail.com    </t>
  </si>
  <si>
    <t>0133631353</t>
  </si>
  <si>
    <t>AG-0005</t>
  </si>
  <si>
    <t>3000/991</t>
  </si>
  <si>
    <t xml:space="preserve">LOT 73740, </t>
  </si>
  <si>
    <t>SIMPANG DURIAN MENTANGAU</t>
  </si>
  <si>
    <t xml:space="preserve">D59733051040 </t>
  </si>
  <si>
    <t>PM-0290</t>
  </si>
  <si>
    <t>3000/992</t>
  </si>
  <si>
    <t>NO 6,</t>
  </si>
  <si>
    <t>GEDONG LALANG 50,</t>
  </si>
  <si>
    <t xml:space="preserve">SEREMBAN </t>
  </si>
  <si>
    <t xml:space="preserve">masbukti@gmail.com     </t>
  </si>
  <si>
    <t>0133431105</t>
  </si>
  <si>
    <t>AG-0006</t>
  </si>
  <si>
    <t>3000/993</t>
  </si>
  <si>
    <t xml:space="preserve">NO.4, HENTIAN SEBELAH </t>
  </si>
  <si>
    <t>SIMPANG PULAI ARAH UTAR</t>
  </si>
  <si>
    <t>SIMPANG PULAI,</t>
  </si>
  <si>
    <t>0168469334</t>
  </si>
  <si>
    <t>CF-0078</t>
  </si>
  <si>
    <t>3000/994</t>
  </si>
  <si>
    <t>LOT NO G013A, GROUND FLOOR,</t>
  </si>
  <si>
    <t>KSL ESPLANADE MALL,</t>
  </si>
  <si>
    <t>NO.1 PERSIARAN BESTARI 2/KS09,</t>
  </si>
  <si>
    <t>0172095361</t>
  </si>
  <si>
    <t>CM-0092</t>
  </si>
  <si>
    <t>3000/995</t>
  </si>
  <si>
    <t>LOT 6219 &amp; 6220, JALAN TOMAN 1</t>
  </si>
  <si>
    <t xml:space="preserve">KEMAYAN SQUARE, </t>
  </si>
  <si>
    <t>zafirahz@kpjpharmaserv.com</t>
  </si>
  <si>
    <t>0195655708</t>
  </si>
  <si>
    <t>PH-0043</t>
  </si>
  <si>
    <t>3000/996</t>
  </si>
  <si>
    <t>NO. 29, SPG 236-47-2 KG TUNGKU</t>
  </si>
  <si>
    <t xml:space="preserve">JALAN TUNGKU, </t>
  </si>
  <si>
    <t xml:space="preserve">GADONG BRUNEI-MUARA, BE2119, </t>
  </si>
  <si>
    <t>BRUNEI</t>
  </si>
  <si>
    <t>BE2119</t>
  </si>
  <si>
    <t>BRUNEI DARUSSALAM</t>
  </si>
  <si>
    <t xml:space="preserve">alammarbrunei@gmail.com   </t>
  </si>
  <si>
    <t>06737297770</t>
  </si>
  <si>
    <t>AG-0002</t>
  </si>
  <si>
    <t>3000/997</t>
  </si>
  <si>
    <t>CALTEX JALAN TUANKU ANTAH</t>
  </si>
  <si>
    <t>JALAN TUANKU ANTAH 70100</t>
  </si>
  <si>
    <t>PM-0392</t>
  </si>
  <si>
    <t>3000/998</t>
  </si>
  <si>
    <t>CALTEX PORT DICKSON</t>
  </si>
  <si>
    <t>3/4 JALAN PANTAI PORT DICKSON</t>
  </si>
  <si>
    <t>PM-0742</t>
  </si>
  <si>
    <t>3000/999</t>
  </si>
  <si>
    <t>CALTEX JALAN TUAN HJ SAID</t>
  </si>
  <si>
    <t>PT 5333, JALAN TUAN HJ</t>
  </si>
  <si>
    <t>SAID SEREMBAN</t>
  </si>
  <si>
    <t>D23009287100</t>
  </si>
  <si>
    <t>gammastar_service@yahoo.com</t>
  </si>
  <si>
    <t>PM-0268</t>
  </si>
  <si>
    <t>3001/001</t>
  </si>
  <si>
    <t>KG SEGE HILIR</t>
  </si>
  <si>
    <t>0196531338</t>
  </si>
  <si>
    <t>WI-0256</t>
  </si>
  <si>
    <t>3001/002</t>
  </si>
  <si>
    <t>16, TINGKAT BAWAH,</t>
  </si>
  <si>
    <t>JALAN PEKAN CHANGLUN 3,</t>
  </si>
  <si>
    <t>PEKAN CHANGLUN,</t>
  </si>
  <si>
    <t>01157728990</t>
  </si>
  <si>
    <t>SM-0134</t>
  </si>
  <si>
    <t>3001/003</t>
  </si>
  <si>
    <t>XPRESS POINT H ELITE HOTEL</t>
  </si>
  <si>
    <t>AG-G-09, AL-WAQAF@TUNJONG,</t>
  </si>
  <si>
    <t>JALAN KUALA KRAI</t>
  </si>
  <si>
    <t>0145373775</t>
  </si>
  <si>
    <t>PM-0289</t>
  </si>
  <si>
    <t>3001/004</t>
  </si>
  <si>
    <t>LOT PT 930, DESA DARULNAIM</t>
  </si>
  <si>
    <t>PASIR TUMBUH 16150</t>
  </si>
  <si>
    <t>097654566</t>
  </si>
  <si>
    <t>PM-0683</t>
  </si>
  <si>
    <t>3001/005</t>
  </si>
  <si>
    <t xml:space="preserve">47, TTGS 3, </t>
  </si>
  <si>
    <t>TAMAN TUANKU JAAFAR</t>
  </si>
  <si>
    <t>0135136177</t>
  </si>
  <si>
    <t>WI-0242</t>
  </si>
  <si>
    <t>3001/006</t>
  </si>
  <si>
    <t>NO 2, JALAN EKOFLORA 6/10,</t>
  </si>
  <si>
    <t>TAMAN EKOFLORA,</t>
  </si>
  <si>
    <t>SM-0095</t>
  </si>
  <si>
    <t>3001/007</t>
  </si>
  <si>
    <t>BANGI</t>
  </si>
  <si>
    <t>0173828214</t>
  </si>
  <si>
    <t>WI-0083</t>
  </si>
  <si>
    <t>3001/008</t>
  </si>
  <si>
    <t>0192899300</t>
  </si>
  <si>
    <t>WI-0066</t>
  </si>
  <si>
    <t>3001/009</t>
  </si>
  <si>
    <t xml:space="preserve">STESEN MINYAK PETRONAS </t>
  </si>
  <si>
    <t xml:space="preserve">JLN SG LEMBING, LOT 24757, </t>
  </si>
  <si>
    <t>JALAN SUNGAI LEMBING, KUANTAN,</t>
  </si>
  <si>
    <t>IG2160095030</t>
  </si>
  <si>
    <t>psssglembing@gmail.com</t>
  </si>
  <si>
    <t>095735305</t>
  </si>
  <si>
    <t>SM-0380</t>
  </si>
  <si>
    <t>3001/010</t>
  </si>
  <si>
    <t>KG TANJUNG, RANTAU</t>
  </si>
  <si>
    <t>0198897194</t>
  </si>
  <si>
    <t>WI-0172</t>
  </si>
  <si>
    <t>3001/011</t>
  </si>
  <si>
    <t>0123675084</t>
  </si>
  <si>
    <t>WI-0012</t>
  </si>
  <si>
    <t>3001/012</t>
  </si>
  <si>
    <t>SEREMBAN SELATAN</t>
  </si>
  <si>
    <t>01111943254</t>
  </si>
  <si>
    <t>WI-0419</t>
  </si>
  <si>
    <t>3001/013</t>
  </si>
  <si>
    <t>NO 500, JLN INTAN DUYUNG 7,</t>
  </si>
  <si>
    <t>TMN INTAN DUYUNG 71050</t>
  </si>
  <si>
    <t>01111433084</t>
  </si>
  <si>
    <t>WI-0361</t>
  </si>
  <si>
    <t>3001/014</t>
  </si>
  <si>
    <t>0123654419</t>
  </si>
  <si>
    <t>WI-0121</t>
  </si>
  <si>
    <t>3001/015</t>
  </si>
  <si>
    <t>NO 230 JALAN KEMUNING 6,</t>
  </si>
  <si>
    <t>TAMAN KEMUNING 70450</t>
  </si>
  <si>
    <t>0182262310</t>
  </si>
  <si>
    <t>SM-0223</t>
  </si>
  <si>
    <t>3001/016</t>
  </si>
  <si>
    <t xml:space="preserve">NO. 11 </t>
  </si>
  <si>
    <t>KAWASAN R&amp;R TAPAH ARAH UTARA,</t>
  </si>
  <si>
    <t xml:space="preserve"> TAPAH </t>
  </si>
  <si>
    <t>0195405998</t>
  </si>
  <si>
    <t>CF-0116</t>
  </si>
  <si>
    <t>3001/017</t>
  </si>
  <si>
    <t>R&amp;R TAPAH ARAH UTARA</t>
  </si>
  <si>
    <t>0199384146</t>
  </si>
  <si>
    <t>CF-0143</t>
  </si>
  <si>
    <t>3001/018</t>
  </si>
  <si>
    <t>NO.5, R&amp;R TAPAH ARAH SELATAN</t>
  </si>
  <si>
    <t>0179752092</t>
  </si>
  <si>
    <t>CF-0159</t>
  </si>
  <si>
    <t>3001/019</t>
  </si>
  <si>
    <t>NO.2, R&amp;R TAPAH ARAH SELATAN</t>
  </si>
  <si>
    <t>0125559069</t>
  </si>
  <si>
    <t>CF-0151</t>
  </si>
  <si>
    <t>3001/020</t>
  </si>
  <si>
    <t>NO.9 R&amp;R TAPAH ARAH SELATAN</t>
  </si>
  <si>
    <t>0125298666</t>
  </si>
  <si>
    <t>CF-0134</t>
  </si>
  <si>
    <t>3001/021</t>
  </si>
  <si>
    <t>NO.11, R&amp;R TAPAH ARAH SELATAN</t>
  </si>
  <si>
    <t>0163337002</t>
  </si>
  <si>
    <t>CF-0043</t>
  </si>
  <si>
    <t>3001/022</t>
  </si>
  <si>
    <t>NO.1, R&amp;R TAPAH ARAH SELATAN</t>
  </si>
  <si>
    <t>0123179750</t>
  </si>
  <si>
    <t>CF-0087</t>
  </si>
  <si>
    <t>3001/023</t>
  </si>
  <si>
    <t>SM-0367</t>
  </si>
  <si>
    <t>3001/024</t>
  </si>
  <si>
    <t>AG-0001</t>
  </si>
  <si>
    <t>3001/025</t>
  </si>
  <si>
    <t>BANDAR EKAR, RANTAU</t>
  </si>
  <si>
    <t>0183655952</t>
  </si>
  <si>
    <t>WI-0323</t>
  </si>
  <si>
    <t>3001/026</t>
  </si>
  <si>
    <t>F.A.HERBS, LOT 3726,</t>
  </si>
  <si>
    <t>JLN TEMBUSU, KG MELAYU SUBANG,</t>
  </si>
  <si>
    <t>0122946439</t>
  </si>
  <si>
    <t>SM-0114</t>
  </si>
  <si>
    <t>3001/027</t>
  </si>
  <si>
    <t>CALTEX PADANG ENGGANG</t>
  </si>
  <si>
    <t>PT 1238-1242, SEKSYEN 62</t>
  </si>
  <si>
    <t>JALAN PASIR HOR,</t>
  </si>
  <si>
    <t>D26481799000</t>
  </si>
  <si>
    <t>othomatspetrolservis@yahoo.com</t>
  </si>
  <si>
    <t>PM-0632</t>
  </si>
  <si>
    <t>3001/028</t>
  </si>
  <si>
    <t xml:space="preserve">CALTEX WAKAF CHE YEH PT 236, </t>
  </si>
  <si>
    <t>PADANG ENGGANG, WAKAF CHEYAH</t>
  </si>
  <si>
    <t>PM-0563</t>
  </si>
  <si>
    <t>3001/029</t>
  </si>
  <si>
    <t>CALTEX BUKIT BALAH</t>
  </si>
  <si>
    <t>LOT 1338, KAMPUNG BERDANG</t>
  </si>
  <si>
    <t>JELI</t>
  </si>
  <si>
    <t>PM-0136</t>
  </si>
  <si>
    <t>3001/030</t>
  </si>
  <si>
    <t>CALTEX TANAH MERAH</t>
  </si>
  <si>
    <t>LOT 748 KAMPUNG CHEDOK</t>
  </si>
  <si>
    <t>TANAH MERAH</t>
  </si>
  <si>
    <t>PM-0134</t>
  </si>
  <si>
    <t>3001/031</t>
  </si>
  <si>
    <t>CALTEX LUNAS</t>
  </si>
  <si>
    <t>NO 541, LORONG MURNI</t>
  </si>
  <si>
    <t>11/2, TAMAN MURNI</t>
  </si>
  <si>
    <t>09600</t>
  </si>
  <si>
    <t>PM-0476</t>
  </si>
  <si>
    <t>11/2 - BUKAN POSTCODE</t>
  </si>
  <si>
    <t>3001/032</t>
  </si>
  <si>
    <t>PT 2191,</t>
  </si>
  <si>
    <t>JALAN HOSPITAL, MUKIM PAUH,</t>
  </si>
  <si>
    <t>DAERAH PANJI,KOTA BAHRU</t>
  </si>
  <si>
    <t>C20501068070</t>
  </si>
  <si>
    <t>PM-0630</t>
  </si>
  <si>
    <t>3001/033</t>
  </si>
  <si>
    <t>CALTEX JALAN MASJID LAMA</t>
  </si>
  <si>
    <t>LOT 660, JALAN MASJID LAMA</t>
  </si>
  <si>
    <t>C23717871000</t>
  </si>
  <si>
    <t>PM-0140</t>
  </si>
  <si>
    <t>3001/034</t>
  </si>
  <si>
    <t>LOT 4965, MK PANCHOR,</t>
  </si>
  <si>
    <t>DAERAH KEMUMIN,</t>
  </si>
  <si>
    <t>JALAN PADANG TEMBAK,</t>
  </si>
  <si>
    <t>PM-0631</t>
  </si>
  <si>
    <t>3001/035</t>
  </si>
  <si>
    <t>CALTEX KENALI</t>
  </si>
  <si>
    <t>S/54 LOT 1541 MUKIM KENALI</t>
  </si>
  <si>
    <t>JALAN WAKAF STAN</t>
  </si>
  <si>
    <t>D 58888969050</t>
  </si>
  <si>
    <t>othomatsfilling@yahoo.com</t>
  </si>
  <si>
    <t>PM-0629</t>
  </si>
  <si>
    <t>3001/036</t>
  </si>
  <si>
    <t>KM O.5 HENTIAN SEBELAH</t>
  </si>
  <si>
    <t>PENCHALA LEBUHRAYA</t>
  </si>
  <si>
    <t>DAMANSARA-PUCHONG</t>
  </si>
  <si>
    <t>01126215591</t>
  </si>
  <si>
    <t>PM-0344</t>
  </si>
  <si>
    <t>3001/037</t>
  </si>
  <si>
    <t>NO 33, JALAN PPBR 3/4,</t>
  </si>
  <si>
    <t>PST PERNIAGAAN BUKIT RESIDEN,</t>
  </si>
  <si>
    <t>KUALA LIPIS</t>
  </si>
  <si>
    <t>0176168870</t>
  </si>
  <si>
    <t>SM-0145</t>
  </si>
  <si>
    <t>3001/038</t>
  </si>
  <si>
    <t>KG SEGA</t>
  </si>
  <si>
    <t>0182816729</t>
  </si>
  <si>
    <t>WI-0322</t>
  </si>
  <si>
    <t>3001/039</t>
  </si>
  <si>
    <t>CALTEX GUCHIL</t>
  </si>
  <si>
    <t>LOT 255 JALAN BESAR, GUCHIL</t>
  </si>
  <si>
    <t>KUALA KRAI</t>
  </si>
  <si>
    <t>IG 25021921020</t>
  </si>
  <si>
    <t>0193500645</t>
  </si>
  <si>
    <t>PM-0297</t>
  </si>
  <si>
    <t>3001/040</t>
  </si>
  <si>
    <t>CALTEX TENDONG</t>
  </si>
  <si>
    <t>LOT 693&amp; 1439, TENDONG</t>
  </si>
  <si>
    <t>PM-0015</t>
  </si>
  <si>
    <t>3001/041</t>
  </si>
  <si>
    <t>01116677513</t>
  </si>
  <si>
    <t>WI-0244</t>
  </si>
  <si>
    <t>3001/042</t>
  </si>
  <si>
    <t>CALTEX KETEREH</t>
  </si>
  <si>
    <t>B-9, KEDAI KETEREH</t>
  </si>
  <si>
    <t>KETEREH</t>
  </si>
  <si>
    <t>IG 4282265031</t>
  </si>
  <si>
    <t>caltextere@gmail.com</t>
  </si>
  <si>
    <t>0148220914</t>
  </si>
  <si>
    <t>PM-0082</t>
  </si>
  <si>
    <t>3001/043</t>
  </si>
  <si>
    <t>CALTEX JALAN LANGGAR</t>
  </si>
  <si>
    <t>LOT 763, KM 6, JALAN LANGGAR</t>
  </si>
  <si>
    <t>05460</t>
  </si>
  <si>
    <t>PM-0808</t>
  </si>
  <si>
    <t>3001/044</t>
  </si>
  <si>
    <t>MM KOPKEJAT</t>
  </si>
  <si>
    <t>JAJAHAN TANAH MERAH DAN</t>
  </si>
  <si>
    <t>LOT 1948, KM3, JALAN SULTAN</t>
  </si>
  <si>
    <t>0199908009</t>
  </si>
  <si>
    <t>PM-0421</t>
  </si>
  <si>
    <t>3001/045</t>
  </si>
  <si>
    <t>PERSADA PLUS,</t>
  </si>
  <si>
    <t xml:space="preserve">PERSIMPANGAN BERTINGKAT </t>
  </si>
  <si>
    <t>SUBANG KM 15 NKV</t>
  </si>
  <si>
    <t>0123003013</t>
  </si>
  <si>
    <t>CF-0147</t>
  </si>
  <si>
    <t>3001/046</t>
  </si>
  <si>
    <t xml:space="preserve">NO 1, </t>
  </si>
  <si>
    <t>KAMPUNG TANJUNG, RANTAU</t>
  </si>
  <si>
    <t>0136344207</t>
  </si>
  <si>
    <t>WI-0203</t>
  </si>
  <si>
    <t>3001/047</t>
  </si>
  <si>
    <t>LEVEL 3, 41 JALAN TUN ISMAIL,</t>
  </si>
  <si>
    <t>0326146999</t>
  </si>
  <si>
    <t>CO-0033</t>
  </si>
  <si>
    <t>3001/048</t>
  </si>
  <si>
    <t xml:space="preserve">No.5, </t>
  </si>
  <si>
    <t>Jalan Bunga Kemunting 2/10</t>
  </si>
  <si>
    <t xml:space="preserve"> Shah Alam.</t>
  </si>
  <si>
    <t>IG3024448101</t>
  </si>
  <si>
    <t>0169086409</t>
  </si>
  <si>
    <t>AG-0007</t>
  </si>
  <si>
    <t>3001/049</t>
  </si>
  <si>
    <t>AG-0008</t>
  </si>
  <si>
    <t>3001/050</t>
  </si>
  <si>
    <t>R&amp;R TAPAH ARAH SELATAN</t>
  </si>
  <si>
    <t>CF-0028</t>
  </si>
  <si>
    <t>3001/051</t>
  </si>
  <si>
    <t>CF-0002</t>
  </si>
  <si>
    <t>3001/052</t>
  </si>
  <si>
    <t>CF-0029</t>
  </si>
  <si>
    <t>3001/053</t>
  </si>
  <si>
    <t>1-C, JALAN MERU CASUARINA,</t>
  </si>
  <si>
    <t>BANDAR MERU RAYA, IPOH,</t>
  </si>
  <si>
    <t>0165921555</t>
  </si>
  <si>
    <t>HO-0004</t>
  </si>
  <si>
    <t>3001/054</t>
  </si>
  <si>
    <t>MENARA MARA, 232</t>
  </si>
  <si>
    <t>JALAN TUANKU ABDUL RAHMAN,</t>
  </si>
  <si>
    <t>01123250308</t>
  </si>
  <si>
    <t>HO-0007</t>
  </si>
  <si>
    <t>3001/055</t>
  </si>
  <si>
    <t>NO 6-G-1, JALAN MEDAN PB 4 A,</t>
  </si>
  <si>
    <t>SEKSYEN 9, BANDAR BARU BANGI,</t>
  </si>
  <si>
    <t>0389126600</t>
  </si>
  <si>
    <t>CM-0072</t>
  </si>
  <si>
    <t>3001/056</t>
  </si>
  <si>
    <t>ARAS 3, LOBI UTAMA</t>
  </si>
  <si>
    <t>LEBUHRAYA SELAYANG - KEPONG</t>
  </si>
  <si>
    <t>0192064350</t>
  </si>
  <si>
    <t>CM-0052</t>
  </si>
  <si>
    <t>3001/057</t>
  </si>
  <si>
    <t>LOT 3-13, GROUND FLOOR, DEWAN</t>
  </si>
  <si>
    <t>SRI ISKANDAR,JLN SETIAWANGSA 8</t>
  </si>
  <si>
    <t>TAMAN SETIAWANGSA</t>
  </si>
  <si>
    <t>0342522288</t>
  </si>
  <si>
    <t>HM-0026</t>
  </si>
  <si>
    <t>3001/058</t>
  </si>
  <si>
    <t>PT 35710 HSM 9116,</t>
  </si>
  <si>
    <t>BATU 22, JALAN BERANANG,</t>
  </si>
  <si>
    <t>MUKIM SEMENYIH,</t>
  </si>
  <si>
    <t>0387276388</t>
  </si>
  <si>
    <t>HM-0028</t>
  </si>
  <si>
    <t>3001/059</t>
  </si>
  <si>
    <t xml:space="preserve">LOT 21117 (PT 6394), </t>
  </si>
  <si>
    <t>JLN BESAR,BANDAR BARU SG BULOH</t>
  </si>
  <si>
    <t xml:space="preserve">SEKSYEN U20, SHAH ALAM, </t>
  </si>
  <si>
    <t>01137568411</t>
  </si>
  <si>
    <t>HM-0023</t>
  </si>
  <si>
    <t>3001/060</t>
  </si>
  <si>
    <t>NO.37, LORONG PENDING 1C,</t>
  </si>
  <si>
    <t>BANDAR PUTERI KLANG,</t>
  </si>
  <si>
    <t>0126766528</t>
  </si>
  <si>
    <t>SM-0300</t>
  </si>
  <si>
    <t>3001/061</t>
  </si>
  <si>
    <t>LOT NO.1, (PT 575),</t>
  </si>
  <si>
    <t xml:space="preserve">JALAN TENGKU AMPUAN ZABEDAH </t>
  </si>
  <si>
    <t xml:space="preserve">G 9/G SEKSYEN 9, SHAH ALAM </t>
  </si>
  <si>
    <t>0355112888</t>
  </si>
  <si>
    <t>HM-0024</t>
  </si>
  <si>
    <t>3001/062</t>
  </si>
  <si>
    <t>MAAHAD TAHFIZ AL AMMAR</t>
  </si>
  <si>
    <t>0126805698</t>
  </si>
  <si>
    <t>WI-0060</t>
  </si>
  <si>
    <t>3001/063</t>
  </si>
  <si>
    <t>CM-0040</t>
  </si>
  <si>
    <t>3001/064</t>
  </si>
  <si>
    <t>PT 227, KG. PULAU PISANG,</t>
  </si>
  <si>
    <t>JALAN KUALA BESAR,</t>
  </si>
  <si>
    <t>0192262258</t>
  </si>
  <si>
    <t>WI-0129</t>
  </si>
  <si>
    <t>3001/065</t>
  </si>
  <si>
    <t>NO 16 GROUND FLOOR,JLN AU</t>
  </si>
  <si>
    <t xml:space="preserve"> 1A/4C, TAMAN KERAMAT PERMAI,</t>
  </si>
  <si>
    <t>0139360690</t>
  </si>
  <si>
    <t>CM-0099</t>
  </si>
  <si>
    <t>3001/066</t>
  </si>
  <si>
    <t>PUSAT MEL NASIONAL,PERSIARAN</t>
  </si>
  <si>
    <t>PERKILANGAN, SEKSYEN 21,</t>
  </si>
  <si>
    <t xml:space="preserve">C6877295050 </t>
  </si>
  <si>
    <t>0197760012</t>
  </si>
  <si>
    <t>CO-0031</t>
  </si>
  <si>
    <t>3001/067</t>
  </si>
  <si>
    <t xml:space="preserve">BLOK J, ANJUNG FELDA, </t>
  </si>
  <si>
    <t>JALAN MAKTAB,</t>
  </si>
  <si>
    <t>OFF JALAN SEMARAK,</t>
  </si>
  <si>
    <t>0137008464</t>
  </si>
  <si>
    <t>CM-0039</t>
  </si>
  <si>
    <t>3001/068</t>
  </si>
  <si>
    <t>R&amp;R JEJANTAS SUNGAI BULOH</t>
  </si>
  <si>
    <t>ARAH SELATAN,</t>
  </si>
  <si>
    <t>01111696123</t>
  </si>
  <si>
    <t>CF-0110</t>
  </si>
  <si>
    <t>3001/069</t>
  </si>
  <si>
    <t>41-G, JALAN URANUS AG U5/AG</t>
  </si>
  <si>
    <t>TAMAN SUBANG IMPIAN,</t>
  </si>
  <si>
    <t>0182628116</t>
  </si>
  <si>
    <t>PH-0038</t>
  </si>
  <si>
    <t>3001/070</t>
  </si>
  <si>
    <t>NO. 6,8,10&amp;12,</t>
  </si>
  <si>
    <t>JALAN 1/76C DESA PANDAN,</t>
  </si>
  <si>
    <t>OFF KAMPUNG PANDAN KL</t>
  </si>
  <si>
    <t>0392006717</t>
  </si>
  <si>
    <t>HM-0035</t>
  </si>
  <si>
    <t>3001/071</t>
  </si>
  <si>
    <t>JALAN IKRAM-UNITEN,</t>
  </si>
  <si>
    <t>43650 BANDAR BARU BANGI</t>
  </si>
  <si>
    <t>0389227222</t>
  </si>
  <si>
    <t>CO-0041</t>
  </si>
  <si>
    <t>3001/072</t>
  </si>
  <si>
    <t xml:space="preserve">BANGUNAN KOMPLEKS, KLINIK </t>
  </si>
  <si>
    <t xml:space="preserve"> PAKAR DAN RAWATAN HARIAN,</t>
  </si>
  <si>
    <t xml:space="preserve">(SCACC), HOSPITAL </t>
  </si>
  <si>
    <t>0103159842</t>
  </si>
  <si>
    <t>CM-0020</t>
  </si>
  <si>
    <t>3001/073</t>
  </si>
  <si>
    <t>NO 3 JALAN KANTAN 2</t>
  </si>
  <si>
    <t xml:space="preserve">SEKSYEN BB8 </t>
  </si>
  <si>
    <t>BANDAR BUKIT BERUNTUNG, RAWANG</t>
  </si>
  <si>
    <t>C26239115050</t>
  </si>
  <si>
    <t>fpsb.einvoice@gmail.com</t>
  </si>
  <si>
    <t>01135589965</t>
  </si>
  <si>
    <t>PM-0237</t>
  </si>
  <si>
    <t>3001/074</t>
  </si>
  <si>
    <t>NO 221 AXIS COMMERCIAL HUB</t>
  </si>
  <si>
    <t>TAMAN TUNKU INTAN SAFINAZ,</t>
  </si>
  <si>
    <t>JITRA</t>
  </si>
  <si>
    <t>0175600358</t>
  </si>
  <si>
    <t>SM-0196</t>
  </si>
  <si>
    <t>3001/075</t>
  </si>
  <si>
    <t>CALTEX ASSAM KUMBANG</t>
  </si>
  <si>
    <t>NO7 JALAN ASSAM KUMBANG</t>
  </si>
  <si>
    <t>TAIPING</t>
  </si>
  <si>
    <t>0164184962</t>
  </si>
  <si>
    <t>PM-0128</t>
  </si>
  <si>
    <t>3001/076</t>
  </si>
  <si>
    <t>CALTEX JALAN KANCHUT</t>
  </si>
  <si>
    <t>NO 92, LEBUHRAYA DARULAMAN</t>
  </si>
  <si>
    <t>05100</t>
  </si>
  <si>
    <t>C22468745100</t>
  </si>
  <si>
    <t>tnaaresources@gmail.com</t>
  </si>
  <si>
    <t>PM-0930</t>
  </si>
  <si>
    <t>3001/077</t>
  </si>
  <si>
    <t>CALTEX HUTAN KAMPUNG</t>
  </si>
  <si>
    <t>LOT 1008, JALAN HUTAN</t>
  </si>
  <si>
    <t>KAMPUNG , ALOR SETAR,</t>
  </si>
  <si>
    <t>06200</t>
  </si>
  <si>
    <t>C 22469079050</t>
  </si>
  <si>
    <t>nadiathibroni@yahoo.com</t>
  </si>
  <si>
    <t>0194620975</t>
  </si>
  <si>
    <t>PM-0004</t>
  </si>
  <si>
    <t>3001/078</t>
  </si>
  <si>
    <t>CALTEX BAGAN AJAM</t>
  </si>
  <si>
    <t>343, BAGAN LEBAI TAHIR</t>
  </si>
  <si>
    <t>BUTTERWORTH PENANG</t>
  </si>
  <si>
    <t>C05853215030</t>
  </si>
  <si>
    <t>einvoice.teiksangss@gmail.com</t>
  </si>
  <si>
    <t>0102165173</t>
  </si>
  <si>
    <t>PM-0939</t>
  </si>
  <si>
    <t>3001/079</t>
  </si>
  <si>
    <t>CALTEX PERMATANG PAUH</t>
  </si>
  <si>
    <t>NO 1519, MUKIM 4,</t>
  </si>
  <si>
    <t>JALAN PERMATANG PAUH</t>
  </si>
  <si>
    <t>0187699028</t>
  </si>
  <si>
    <t>PM-0794</t>
  </si>
  <si>
    <t>3001/080</t>
  </si>
  <si>
    <t>LOT 1327,1328&amp; 103, MUKIM 14</t>
  </si>
  <si>
    <t>BUKIT MINYAK,</t>
  </si>
  <si>
    <t xml:space="preserve"> SEBERANG PERAI TENGAH</t>
  </si>
  <si>
    <t>0135206236</t>
  </si>
  <si>
    <t>PM-0560</t>
  </si>
  <si>
    <t>3001/081</t>
  </si>
  <si>
    <t>CALTEX SG BAKAP</t>
  </si>
  <si>
    <t>1566, JLN BESAR, SUNGAI BAKAP</t>
  </si>
  <si>
    <t>SG JAWI</t>
  </si>
  <si>
    <t>0169415780</t>
  </si>
  <si>
    <t>PM-0198</t>
  </si>
  <si>
    <t>3001/082</t>
  </si>
  <si>
    <t>SME CORP MALAYSIA, LEVEL 4</t>
  </si>
  <si>
    <t xml:space="preserve"> BLOK B SME 1, PLTAINUM</t>
  </si>
  <si>
    <t>ENTRAL,JALAN STESEN SENTRAL 2,</t>
  </si>
  <si>
    <t>0173467774</t>
  </si>
  <si>
    <t>SM-0326</t>
  </si>
  <si>
    <t>3001/083</t>
  </si>
  <si>
    <t>GERAI NO 15, R&amp;R KM75,</t>
  </si>
  <si>
    <t>MACHAP UTARA,</t>
  </si>
  <si>
    <t>0177680405</t>
  </si>
  <si>
    <t>CF-0071</t>
  </si>
  <si>
    <t>3001/084</t>
  </si>
  <si>
    <t>CALTEX GLENMARIE</t>
  </si>
  <si>
    <t>NO 1 JALAN PRESIDEN U1/1, OFF</t>
  </si>
  <si>
    <t xml:space="preserve"> PERSIARAN KERJAYA, GLENMARIE</t>
  </si>
  <si>
    <t xml:space="preserve">classic@cyl.com.my ; sohlt@cyl.com.my </t>
  </si>
  <si>
    <t>01126111312</t>
  </si>
  <si>
    <t>PM-0163</t>
  </si>
  <si>
    <t>3001/085</t>
  </si>
  <si>
    <t>CALTEX TAMAN CEMPAKA</t>
  </si>
  <si>
    <t>LOT 1860, JALAN CEMPAKA 8,</t>
  </si>
  <si>
    <t>TAMAN CEMPAKA</t>
  </si>
  <si>
    <t xml:space="preserve">hikmatcempakaxp@gmail.com   </t>
  </si>
  <si>
    <t>0102415142</t>
  </si>
  <si>
    <t>PM-0309</t>
  </si>
  <si>
    <t>3001/086</t>
  </si>
  <si>
    <t>CALTEX JALAN TUN RAZAK</t>
  </si>
  <si>
    <t>203, JALAN TUN RAZAK</t>
  </si>
  <si>
    <t xml:space="preserve">finance@oceanwide.com.my    </t>
  </si>
  <si>
    <t>0124314391</t>
  </si>
  <si>
    <t>PM-0623</t>
  </si>
  <si>
    <t>3001/087</t>
  </si>
  <si>
    <t>CALTEX SUNGAI BULOH BATU 14</t>
  </si>
  <si>
    <t>LOT PT 7849, BATU 14, MUKIM</t>
  </si>
  <si>
    <t>SUNGAI BULOH, SEKSYEN U20,</t>
  </si>
  <si>
    <t>01133180522</t>
  </si>
  <si>
    <t>PM-0710</t>
  </si>
  <si>
    <t>3001/088</t>
  </si>
  <si>
    <t>CALTEX JALAN IPOH</t>
  </si>
  <si>
    <t>LOT 4759 BATU 4 1/2</t>
  </si>
  <si>
    <t>ALAN IPOH</t>
  </si>
  <si>
    <t>0163692679</t>
  </si>
  <si>
    <t>PM-0910</t>
  </si>
  <si>
    <t>3001/089</t>
  </si>
  <si>
    <t>CALTEX BUKIT INDAH</t>
  </si>
  <si>
    <t xml:space="preserve">LOT 13887, MEDAN BUKIT INDAH </t>
  </si>
  <si>
    <t xml:space="preserve"> TAMAN  BUKIT INDAH, </t>
  </si>
  <si>
    <t>0342975203</t>
  </si>
  <si>
    <t>PM-0548</t>
  </si>
  <si>
    <t>3001/090</t>
  </si>
  <si>
    <t>LOT 1381, JALAN BATU 8,</t>
  </si>
  <si>
    <t>KAMPUNG SIJANGKANG,</t>
  </si>
  <si>
    <t>TELUK PANGLIMA GARANG</t>
  </si>
  <si>
    <t>0107867176</t>
  </si>
  <si>
    <t>SM-0370</t>
  </si>
  <si>
    <t>3001/091</t>
  </si>
  <si>
    <t>LOT 1085, JALAN CEMPAKA,</t>
  </si>
  <si>
    <t>SM-0371</t>
  </si>
  <si>
    <t>3001/092</t>
  </si>
  <si>
    <t>LOT 10902, TINGKAT BAWAH,</t>
  </si>
  <si>
    <t>WISMA SERI SETIA,</t>
  </si>
  <si>
    <t>0199395389</t>
  </si>
  <si>
    <t>WI-0087</t>
  </si>
  <si>
    <t>3001/093</t>
  </si>
  <si>
    <t>NO.6000- 6002, GROUND FLOOR,</t>
  </si>
  <si>
    <t>JALAN HAMZAH,</t>
  </si>
  <si>
    <t>0104628559</t>
  </si>
  <si>
    <t>WI-0089</t>
  </si>
  <si>
    <t>3001/094</t>
  </si>
  <si>
    <t xml:space="preserve">LULU SUPERMARKET &amp; </t>
  </si>
  <si>
    <t>DEPARTMENT STORE</t>
  </si>
  <si>
    <t>SETIA ECOHILL MALL, SEMENYIH</t>
  </si>
  <si>
    <t>0387242939</t>
  </si>
  <si>
    <t>HM-0013</t>
  </si>
  <si>
    <t>3001/095</t>
  </si>
  <si>
    <t>T-00-U.06 JALAN P9E/1,</t>
  </si>
  <si>
    <t>PRESINT 9</t>
  </si>
  <si>
    <t>C21686498040</t>
  </si>
  <si>
    <t xml:space="preserve">accounts@darussalam.com   </t>
  </si>
  <si>
    <t>0388887888</t>
  </si>
  <si>
    <t>CM-0076</t>
  </si>
  <si>
    <t>3001/096</t>
  </si>
  <si>
    <t xml:space="preserve">NO 103, </t>
  </si>
  <si>
    <t>JALAN SAMUDERA BARAT 1,</t>
  </si>
  <si>
    <t xml:space="preserve">TAMAN SAMUDERA, BATU CAVES </t>
  </si>
  <si>
    <t>0132864748</t>
  </si>
  <si>
    <t>SM-0507</t>
  </si>
  <si>
    <t>3001/097</t>
  </si>
  <si>
    <t>WI-0403</t>
  </si>
  <si>
    <t>3001/098</t>
  </si>
  <si>
    <t>3RD FLOOR ,</t>
  </si>
  <si>
    <t>AIRPORT MANAGEMENT CENTRE,</t>
  </si>
  <si>
    <t xml:space="preserve"> KLIA, SEPANG, </t>
  </si>
  <si>
    <t xml:space="preserve">szarinawatie@malaysiaairports.com.my   </t>
  </si>
  <si>
    <t>0387768515</t>
  </si>
  <si>
    <t>CM-0056</t>
  </si>
  <si>
    <t>3001/099</t>
  </si>
  <si>
    <t xml:space="preserve">PT 14143, </t>
  </si>
  <si>
    <t>SURA GATE COMMERCIAL CENTRE,</t>
  </si>
  <si>
    <t>SURA JETTY, DUNGUN</t>
  </si>
  <si>
    <t>01158821585</t>
  </si>
  <si>
    <t>SM-0215</t>
  </si>
  <si>
    <t>3001/100</t>
  </si>
  <si>
    <t xml:space="preserve">NO.3, </t>
  </si>
  <si>
    <t>R&amp;R SEREMBAN ARAH SELATAN,</t>
  </si>
  <si>
    <t>0123224463</t>
  </si>
  <si>
    <t>CF-0165</t>
  </si>
  <si>
    <t>3001/101</t>
  </si>
  <si>
    <t>NO. 1TF09 HOSPITAL AMPANG,</t>
  </si>
  <si>
    <t>JLN MEWAH UTARA, PANDAN MEWAH,</t>
  </si>
  <si>
    <t>CM-0019</t>
  </si>
  <si>
    <t>3001/102</t>
  </si>
  <si>
    <t>LOT NO. 77, JALAN UTARID U5/22</t>
  </si>
  <si>
    <t>SEKSYEN U5, MAH SING</t>
  </si>
  <si>
    <t xml:space="preserve"> INTEGRATED PARK, SHAH ALAM,</t>
  </si>
  <si>
    <t>0175853580</t>
  </si>
  <si>
    <t>CF-0118</t>
  </si>
  <si>
    <t>3001/103</t>
  </si>
  <si>
    <t>NO 5 BLOK 1 JALAN AU 3/1,</t>
  </si>
  <si>
    <t>TAMAN DESA KERAMAT,</t>
  </si>
  <si>
    <t xml:space="preserve">IG4435327080                                 </t>
  </si>
  <si>
    <t>AG-0009</t>
  </si>
  <si>
    <t>3001/104</t>
  </si>
  <si>
    <t>CALTEX MANEK URAI</t>
  </si>
  <si>
    <t>PT 5578 LEBUHRAYA KUALA KRAI</t>
  </si>
  <si>
    <t>GUA MUSANG, MANEK URAI</t>
  </si>
  <si>
    <t xml:space="preserve">IG5051244071  </t>
  </si>
  <si>
    <t>01123663520</t>
  </si>
  <si>
    <t>PM-0493</t>
  </si>
  <si>
    <t>3001/105</t>
  </si>
  <si>
    <t>NO 17, JALAN LENGKUAS 16/23A,</t>
  </si>
  <si>
    <t xml:space="preserve">KEN RIMBA LEGIAN RESIDENCES, </t>
  </si>
  <si>
    <t>0143965647</t>
  </si>
  <si>
    <t>SM-0448</t>
  </si>
  <si>
    <t>3001/106</t>
  </si>
  <si>
    <t>NO 102 TINGKAT BAWAH</t>
  </si>
  <si>
    <t>,SUSURAN PELANGI, KOMPLEKS</t>
  </si>
  <si>
    <t xml:space="preserve"> PERNIAGAAN PELANGI, JALAN</t>
  </si>
  <si>
    <t>0125396091</t>
  </si>
  <si>
    <t>SM-0421</t>
  </si>
  <si>
    <t>3001/107</t>
  </si>
  <si>
    <t>1083, JALAN S2 D27,</t>
  </si>
  <si>
    <t>GARDEN CITY HOMES SEREMBAN 2,</t>
  </si>
  <si>
    <t>0132067783</t>
  </si>
  <si>
    <t>SM-0024</t>
  </si>
  <si>
    <t>3001/108</t>
  </si>
  <si>
    <t>A-7-09 SAFIRA APARTMENT,</t>
  </si>
  <si>
    <t>PERSIARAN S2/E1, SEKSYEN E,</t>
  </si>
  <si>
    <t>SEREMBAN 2,SEREMBAN,</t>
  </si>
  <si>
    <t>0107730792</t>
  </si>
  <si>
    <t>SM-0461</t>
  </si>
  <si>
    <t>3001/109</t>
  </si>
  <si>
    <t>LEVEL 1, LOT 1, JLN NILAM 1/7</t>
  </si>
  <si>
    <t>SUBANG HI-TECH INDUSTRIAL PARK</t>
  </si>
  <si>
    <t xml:space="preserve"> SHAH ALAM, </t>
  </si>
  <si>
    <t>C3884424090</t>
  </si>
  <si>
    <t>0162975645</t>
  </si>
  <si>
    <t>PH-0042</t>
  </si>
  <si>
    <t>3001/110</t>
  </si>
  <si>
    <t>LOT 14146 JALAN KEDONDONG,</t>
  </si>
  <si>
    <t>KAMPUNG SUNGAI BUAH LUAR</t>
  </si>
  <si>
    <t>0193290306</t>
  </si>
  <si>
    <t>SM-0078</t>
  </si>
  <si>
    <t>3001/111</t>
  </si>
  <si>
    <t>SM-0366</t>
  </si>
  <si>
    <t>3001/112</t>
  </si>
  <si>
    <t>LOT 1A &amp; A8, KIPMALL SENAWANG,</t>
  </si>
  <si>
    <t>NO.1, JALAN KLS 1,</t>
  </si>
  <si>
    <t>LAVENDER HEIGHT SEREMBAN</t>
  </si>
  <si>
    <t>01134848888</t>
  </si>
  <si>
    <t>HM-0027</t>
  </si>
  <si>
    <t>3001/113</t>
  </si>
  <si>
    <t>1001, SENDAYAN WH&amp;DISTRIBUTION</t>
  </si>
  <si>
    <t xml:space="preserve">UNIT V1-A, LOT 45880, </t>
  </si>
  <si>
    <t>JLN TECHVALLEY 3/2,SENDAYAN TV</t>
  </si>
  <si>
    <t>0136216923</t>
  </si>
  <si>
    <t>PH-0007</t>
  </si>
  <si>
    <t>3001/114</t>
  </si>
  <si>
    <t>B-02-13 BLOK B,</t>
  </si>
  <si>
    <t>TAMAN TROPIKA,SUNGAI TANGKAS,</t>
  </si>
  <si>
    <t xml:space="preserve">C23637506070   </t>
  </si>
  <si>
    <t>0193277106</t>
  </si>
  <si>
    <t>CM-0080</t>
  </si>
  <si>
    <t>3001/115</t>
  </si>
  <si>
    <t>NO.6, JALAN SEMARAK API,</t>
  </si>
  <si>
    <t>OFF JALAN GOMBAK,</t>
  </si>
  <si>
    <t>0163380389</t>
  </si>
  <si>
    <t>SM-0188</t>
  </si>
  <si>
    <t>3001/116</t>
  </si>
  <si>
    <t>MASJID SAIDATINA KHADIJAH,</t>
  </si>
  <si>
    <t>JLN 5/6, TAMAN SEREMBAN JAYA</t>
  </si>
  <si>
    <t>BANDAR SEREMBAN SELATAN,</t>
  </si>
  <si>
    <t>IG10434843071</t>
  </si>
  <si>
    <t>01110636395</t>
  </si>
  <si>
    <t>SM-0520</t>
  </si>
  <si>
    <t>3001/117</t>
  </si>
  <si>
    <t>PS PALONG 16</t>
  </si>
  <si>
    <t>FELDA PALONG 16</t>
  </si>
  <si>
    <t>GEMAS</t>
  </si>
  <si>
    <t>064669926</t>
  </si>
  <si>
    <t>PM-0437</t>
  </si>
  <si>
    <t>3001/118</t>
  </si>
  <si>
    <t>WI-0075</t>
  </si>
  <si>
    <t>3001/119</t>
  </si>
  <si>
    <t>KG SELIAU</t>
  </si>
  <si>
    <t>01155035507</t>
  </si>
  <si>
    <t>WI-0093</t>
  </si>
  <si>
    <t>3001/120</t>
  </si>
  <si>
    <t>SEREMBAN 3</t>
  </si>
  <si>
    <t>0195595956</t>
  </si>
  <si>
    <t>WI-0370</t>
  </si>
  <si>
    <t>3001/121</t>
  </si>
  <si>
    <t>0182545604</t>
  </si>
  <si>
    <t>WI-0168</t>
  </si>
  <si>
    <t>3001/122</t>
  </si>
  <si>
    <t>KM62, OLAK LEMPIT,</t>
  </si>
  <si>
    <t>BANTING</t>
  </si>
  <si>
    <t>01156769506</t>
  </si>
  <si>
    <t>PH-0057</t>
  </si>
  <si>
    <t>3001/123</t>
  </si>
  <si>
    <t>NO. 1 UNIT 1A, JLN JELEMPOK 1,</t>
  </si>
  <si>
    <t>TAMAN JELEMPOK JAYA,</t>
  </si>
  <si>
    <t xml:space="preserve">ARAU, </t>
  </si>
  <si>
    <t>0133377076</t>
  </si>
  <si>
    <t>SM-0105</t>
  </si>
  <si>
    <t>3001/124</t>
  </si>
  <si>
    <t>ALBUSYRA MART, MASJID ALBUSYRA</t>
  </si>
  <si>
    <t xml:space="preserve">JALAN TANJUNG DAWAI, </t>
  </si>
  <si>
    <t xml:space="preserve"> MERBOK</t>
  </si>
  <si>
    <t>08400</t>
  </si>
  <si>
    <t>01153624456</t>
  </si>
  <si>
    <t>SM-0017</t>
  </si>
  <si>
    <t>3001/125</t>
  </si>
  <si>
    <t>LOT 266,</t>
  </si>
  <si>
    <t>KAMPUNG BATU 2</t>
  </si>
  <si>
    <t>IG26786853070</t>
  </si>
  <si>
    <t>0173142190</t>
  </si>
  <si>
    <t>WI-0065</t>
  </si>
  <si>
    <t>3001/126</t>
  </si>
  <si>
    <t>KPJ SPECIALIST HOSPITAL,GROUND</t>
  </si>
  <si>
    <t xml:space="preserve"> FLOOR, BATU 14, JALAN CHERAS,</t>
  </si>
  <si>
    <t xml:space="preserve">IG26254716030                                </t>
  </si>
  <si>
    <t>0169719432</t>
  </si>
  <si>
    <t>PH-0047</t>
  </si>
  <si>
    <t>3001/127</t>
  </si>
  <si>
    <t>NO 113 TINGKAT BAWAH,</t>
  </si>
  <si>
    <t>KOMPLEKS SULTAN ABDUL HAMID,</t>
  </si>
  <si>
    <t>PERSIARAN SULTAN ABDUL HAMID,</t>
  </si>
  <si>
    <t>K-5-1114</t>
  </si>
  <si>
    <t>CS58929232030</t>
  </si>
  <si>
    <t>kofarmakedah@gmail.com</t>
  </si>
  <si>
    <t>0172451560</t>
  </si>
  <si>
    <t>KO-0006</t>
  </si>
  <si>
    <t>SAMA SEPERTI DLM UBS</t>
  </si>
  <si>
    <t>3001/128</t>
  </si>
  <si>
    <t>NO 9 &amp; 10, JALAN KP 1/2,</t>
  </si>
  <si>
    <t>JALAN KAJANG SEMENYIH,</t>
  </si>
  <si>
    <t>TAMAN KAJANG PRIMA,</t>
  </si>
  <si>
    <t xml:space="preserve">IG26786853070  </t>
  </si>
  <si>
    <t>WI-0406</t>
  </si>
  <si>
    <t>3001/129</t>
  </si>
  <si>
    <t>WISMA MBS,</t>
  </si>
  <si>
    <t>PERSIARAN FOREST HEIGHTS 1,</t>
  </si>
  <si>
    <t>JALAN SEREMBAN-TAMPIN,</t>
  </si>
  <si>
    <t>0173228326</t>
  </si>
  <si>
    <t>SM-0517</t>
  </si>
  <si>
    <t>3001/130</t>
  </si>
  <si>
    <t xml:space="preserve">NO.12, JALAN INDAH 9, TAMAN </t>
  </si>
  <si>
    <t xml:space="preserve"> SAYONG INDAH, BANDAR </t>
  </si>
  <si>
    <t>TENGGARA KULAI</t>
  </si>
  <si>
    <t>0189118662</t>
  </si>
  <si>
    <t>PH-0050</t>
  </si>
  <si>
    <t>3001/131</t>
  </si>
  <si>
    <t>LOT NO.S-06-SB &amp; S-08-SB,</t>
  </si>
  <si>
    <t>AYER KEROH OBR ARAH SELATAN,</t>
  </si>
  <si>
    <t>0179899326</t>
  </si>
  <si>
    <t>PL-0002</t>
  </si>
  <si>
    <t>3001/132</t>
  </si>
  <si>
    <t>LOT 6665 JALAN MERAK,</t>
  </si>
  <si>
    <t>KAMPUNG SERI CHEEDING,</t>
  </si>
  <si>
    <t>coopsericheeding@gmail.com / coopmart.sericheedinm</t>
  </si>
  <si>
    <t>0196593016</t>
  </si>
  <si>
    <t>KO-0005</t>
  </si>
  <si>
    <t>3001/133</t>
  </si>
  <si>
    <t>JALAN USJ 9/5J, USJ 9,</t>
  </si>
  <si>
    <t>47620 SUBANG JAYA,</t>
  </si>
  <si>
    <t xml:space="preserve">Koopmartusj9@gmail.com      </t>
  </si>
  <si>
    <t>0173927892</t>
  </si>
  <si>
    <t>KO-0009</t>
  </si>
  <si>
    <t>3001/134</t>
  </si>
  <si>
    <t>PS BERA / KERAYONG DAERAH</t>
  </si>
  <si>
    <t xml:space="preserve">BERA, TRIANG,   HS(D) 108 </t>
  </si>
  <si>
    <t>PT 401 DAERAH BERA, TRIANG,</t>
  </si>
  <si>
    <t xml:space="preserve">jointech5@hotmail.com </t>
  </si>
  <si>
    <t>092502555</t>
  </si>
  <si>
    <t>PM-0367</t>
  </si>
  <si>
    <t>3001/135</t>
  </si>
  <si>
    <t>PS JALAN ALSAGOF</t>
  </si>
  <si>
    <t>LOT PTD 8021, JALAN ALSAGOFF,</t>
  </si>
  <si>
    <t>PONTIAN</t>
  </si>
  <si>
    <t xml:space="preserve">matsriaman_amy@hotmail.com  </t>
  </si>
  <si>
    <t>0127157408</t>
  </si>
  <si>
    <t>PM-0087</t>
  </si>
  <si>
    <t>3001/136</t>
  </si>
  <si>
    <t xml:space="preserve">17, JALAN PALOH, </t>
  </si>
  <si>
    <t>TAMAN SRI TENGAH,</t>
  </si>
  <si>
    <t xml:space="preserve"> KLUANG, </t>
  </si>
  <si>
    <t xml:space="preserve">farmasisritengah@gmail.com   </t>
  </si>
  <si>
    <t>0127265633</t>
  </si>
  <si>
    <t>PH-0033</t>
  </si>
  <si>
    <t>3001/137</t>
  </si>
  <si>
    <t>NO 231, LORONG AMANDA 3/1,</t>
  </si>
  <si>
    <t>TAMAN ALAMANDA 70450 SENAWANG</t>
  </si>
  <si>
    <t>0173707828</t>
  </si>
  <si>
    <t>SM-0262</t>
  </si>
  <si>
    <t>3001/138</t>
  </si>
  <si>
    <t>CALTEX PERMATANG RAWA LOT 900</t>
  </si>
  <si>
    <t>MUKIM 7, PERMATANG RAWA</t>
  </si>
  <si>
    <t xml:space="preserve">Caltextst@gmail.com;        </t>
  </si>
  <si>
    <t>0174059468</t>
  </si>
  <si>
    <t>PM-0960</t>
  </si>
  <si>
    <t>3001/139</t>
  </si>
  <si>
    <t xml:space="preserve">zamzarina@unikeb.com   </t>
  </si>
  <si>
    <t>0122449503</t>
  </si>
  <si>
    <t>KO-0013</t>
  </si>
  <si>
    <t>3001/140</t>
  </si>
  <si>
    <t>LOT PT3559, NO. 100, TINGKAT 1</t>
  </si>
  <si>
    <t>JALAN SULTAN ZAINAL ABIDIN,</t>
  </si>
  <si>
    <t>C 4892806020</t>
  </si>
  <si>
    <t>baki.pc2021@gmail.com</t>
  </si>
  <si>
    <t>0196760618</t>
  </si>
  <si>
    <t>SM-0049</t>
  </si>
  <si>
    <t>3001/141</t>
  </si>
  <si>
    <t>LOT 2877,</t>
  </si>
  <si>
    <t>CHANGLOON,KUBANG PASU</t>
  </si>
  <si>
    <t xml:space="preserve">caltexkoop@yahoo.com      </t>
  </si>
  <si>
    <t>0134515402</t>
  </si>
  <si>
    <t>PM-0416</t>
  </si>
  <si>
    <t>3001/142</t>
  </si>
  <si>
    <t>B7, KAWASAN INDUSTRI MARA,</t>
  </si>
  <si>
    <t>BT 7 1/2, JALAN TAMBUN,</t>
  </si>
  <si>
    <t>ULU KINTA</t>
  </si>
  <si>
    <t xml:space="preserve">inflowtrading@yahoo.com / inflowabdul67@yahoo.com </t>
  </si>
  <si>
    <t>055337728</t>
  </si>
  <si>
    <t>CM-0048</t>
  </si>
  <si>
    <t>3001/143</t>
  </si>
  <si>
    <t xml:space="preserve">G53, </t>
  </si>
  <si>
    <t>KOMERSIALRADIA PERSIARAN ARKED</t>
  </si>
  <si>
    <t xml:space="preserve"> BUKIT JELUTONG, SHAH ALAM,</t>
  </si>
  <si>
    <t xml:space="preserve">mylifepharmacyhq@gmail.com  </t>
  </si>
  <si>
    <t>0133330136</t>
  </si>
  <si>
    <t>PH-0048</t>
  </si>
  <si>
    <t>3001/144</t>
  </si>
  <si>
    <t>KLCC NEW LOADING BAY ROUTE-P1,</t>
  </si>
  <si>
    <t>MENARA 3 KLCC LOADING BAY UNIT</t>
  </si>
  <si>
    <t xml:space="preserve"> 21-26,LEVEL 21 WISMA UOA II,</t>
  </si>
  <si>
    <t>0129350673</t>
  </si>
  <si>
    <t>CM-0063</t>
  </si>
  <si>
    <t>3001/145</t>
  </si>
  <si>
    <t>AG-0010</t>
  </si>
  <si>
    <t>3001/146</t>
  </si>
  <si>
    <t>NO 46, JALAN MKJ/2,</t>
  </si>
  <si>
    <t>MEDAN KAMUNTING JAYA,</t>
  </si>
  <si>
    <t>058911158</t>
  </si>
  <si>
    <t>PH-0055</t>
  </si>
  <si>
    <t>3001/147</t>
  </si>
  <si>
    <t>4049, TAMAN MUTIARA,</t>
  </si>
  <si>
    <t>LEBUHRAYA SULTANAH BAHIYAH,</t>
  </si>
  <si>
    <t xml:space="preserve">peladangmart@gmail.com    </t>
  </si>
  <si>
    <t>0125736269</t>
  </si>
  <si>
    <t>CM-0079</t>
  </si>
  <si>
    <t>3001/148</t>
  </si>
  <si>
    <t>PS DARAT MAKBAR</t>
  </si>
  <si>
    <t>LOT 4401, JAALN DARAT MAKBAR,</t>
  </si>
  <si>
    <t xml:space="preserve">leeping_9295@hotmail.com  </t>
  </si>
  <si>
    <t>0143385195</t>
  </si>
  <si>
    <t>PM-0108</t>
  </si>
  <si>
    <t>3001/149</t>
  </si>
  <si>
    <t>GERAI NO 2 KM135 KAWASAN REHAT</t>
  </si>
  <si>
    <t>&amp; RAWAT PAGOH ARAH SELATAN</t>
  </si>
  <si>
    <t>PAGOH</t>
  </si>
  <si>
    <t>0196634511</t>
  </si>
  <si>
    <t>PL-0001</t>
  </si>
  <si>
    <t>3001/150</t>
  </si>
  <si>
    <t>NO. 9, R&amp;R PAGOH ARAH SELATAN</t>
  </si>
  <si>
    <t>0126934769</t>
  </si>
  <si>
    <t>CF-0025</t>
  </si>
  <si>
    <t>3001/151</t>
  </si>
  <si>
    <t>NO.5, RNR PAGOH SELATAN,</t>
  </si>
  <si>
    <t>84600 PAGOH JOHOR</t>
  </si>
  <si>
    <t>0132150608</t>
  </si>
  <si>
    <t>CF-0060</t>
  </si>
  <si>
    <t>3001/152</t>
  </si>
  <si>
    <t>NO.7, R&amp;R PAGOH ARAH SELATAN</t>
  </si>
  <si>
    <t>01159759415</t>
  </si>
  <si>
    <t>CF-0011</t>
  </si>
  <si>
    <t>3001/153</t>
  </si>
  <si>
    <t>HOSPITAL PASIR MAS,</t>
  </si>
  <si>
    <t>JALAN LATI, 17000 PASIR MAS</t>
  </si>
  <si>
    <t>0196264820</t>
  </si>
  <si>
    <t>CM-0032</t>
  </si>
  <si>
    <t>3001/154</t>
  </si>
  <si>
    <t xml:space="preserve">NO.7, </t>
  </si>
  <si>
    <t>R&amp;R AYER KEROH ARAH UTARA,</t>
  </si>
  <si>
    <t xml:space="preserve"> Alor Gajah, </t>
  </si>
  <si>
    <t>0183185618</t>
  </si>
  <si>
    <t>CF-0090</t>
  </si>
  <si>
    <t>3001/155</t>
  </si>
  <si>
    <t>NO.2 ,KAWASAN REHAT &amp; RAWAT</t>
  </si>
  <si>
    <t>PAGOH ARAH UTARA</t>
  </si>
  <si>
    <t>0138984808</t>
  </si>
  <si>
    <t>CF-0128</t>
  </si>
  <si>
    <t>3001/156</t>
  </si>
  <si>
    <t>No 7, RNR PAGOH UTARA KM 146,</t>
  </si>
  <si>
    <t>PANCHOR</t>
  </si>
  <si>
    <t>0196517654</t>
  </si>
  <si>
    <t>CF-0107</t>
  </si>
  <si>
    <t>3001/157</t>
  </si>
  <si>
    <t>LOT 1477 KG GANDING,</t>
  </si>
  <si>
    <t>JLN ALOR MENGKUDU, ALOR SETAR</t>
  </si>
  <si>
    <t>01110300147</t>
  </si>
  <si>
    <t>SM-0320</t>
  </si>
  <si>
    <t>3001/158</t>
  </si>
  <si>
    <t>1347 KM 2, JALAN KAKI BUKIT</t>
  </si>
  <si>
    <t>(KANGAR-PADANG BESAR)</t>
  </si>
  <si>
    <t>KG BARU KANGAR</t>
  </si>
  <si>
    <t>0194115978</t>
  </si>
  <si>
    <t>SM-0368</t>
  </si>
  <si>
    <t>3001/159</t>
  </si>
  <si>
    <t>NO 362C KAMPUNG SEKOLAH,</t>
  </si>
  <si>
    <t>TIKAM BATU 08600</t>
  </si>
  <si>
    <t>SUNGAI PETANI</t>
  </si>
  <si>
    <t>08600</t>
  </si>
  <si>
    <t>0195701429</t>
  </si>
  <si>
    <t>SM-0067</t>
  </si>
  <si>
    <t>3001/160</t>
  </si>
  <si>
    <t>NO 4, TAMAN SERI PETALING</t>
  </si>
  <si>
    <t>09000 KULIM, KEDAH</t>
  </si>
  <si>
    <t>0194421783</t>
  </si>
  <si>
    <t>SM-0197</t>
  </si>
  <si>
    <t>3001/161</t>
  </si>
  <si>
    <t>8B JLN 1/3P MUTIARA BANGI</t>
  </si>
  <si>
    <t>SM-0062</t>
  </si>
  <si>
    <t>3001/162</t>
  </si>
  <si>
    <t xml:space="preserve">VILLA SUTERA, </t>
  </si>
  <si>
    <t>0193891910</t>
  </si>
  <si>
    <t>SM-0116</t>
  </si>
  <si>
    <t>3001/163</t>
  </si>
  <si>
    <t xml:space="preserve">8 JALAN BIDAI U8/22, </t>
  </si>
  <si>
    <t>BUKIT JELUTONG, SHAH ALAM</t>
  </si>
  <si>
    <t>0194708811</t>
  </si>
  <si>
    <t>SM-0504</t>
  </si>
  <si>
    <t>3001/164</t>
  </si>
  <si>
    <t>LOT 4806-0-09 CBD PERDANA 2,</t>
  </si>
  <si>
    <t>JALAN PERDANA 63000 CYBERJAYA,</t>
  </si>
  <si>
    <t>0195000133</t>
  </si>
  <si>
    <t>SM-0510</t>
  </si>
  <si>
    <t>3001/165</t>
  </si>
  <si>
    <t>NO.38, PERJIRANAN 4/1,</t>
  </si>
  <si>
    <t>BANDAR DATO ONN,</t>
  </si>
  <si>
    <t>0187824873</t>
  </si>
  <si>
    <t>CF-0120</t>
  </si>
  <si>
    <t>3001/166</t>
  </si>
  <si>
    <t>NO.3, JLN TEKNOLOGI 3/1, TMN</t>
  </si>
  <si>
    <t>SAINS SELANGOR 1, SEKSYEN 3</t>
  </si>
  <si>
    <t xml:space="preserve">PJU 5, KOTA DAMANSARA,  PJ </t>
  </si>
  <si>
    <t xml:space="preserve">C10466418050 </t>
  </si>
  <si>
    <t xml:space="preserve">mynews.accountspayable@mynews.com.my </t>
  </si>
  <si>
    <t>0361586160</t>
  </si>
  <si>
    <t>CM-0068</t>
  </si>
  <si>
    <t>3001/167</t>
  </si>
  <si>
    <t>NO.6 R&amp;R PAGOH ARAH UTARA</t>
  </si>
  <si>
    <t>84600 JOHOR</t>
  </si>
  <si>
    <t>JR0067267-D</t>
  </si>
  <si>
    <t xml:space="preserve">IG 25853678000   </t>
  </si>
  <si>
    <t>0167742506</t>
  </si>
  <si>
    <t>CF-0099</t>
  </si>
  <si>
    <t>3001/168</t>
  </si>
  <si>
    <t>NO.3 R&amp;R PAGOH ARAH UTARA,</t>
  </si>
  <si>
    <t>0193148178</t>
  </si>
  <si>
    <t>CF-0127</t>
  </si>
  <si>
    <t>3001/169</t>
  </si>
  <si>
    <t>NO.9, R&amp;R PAGOH ARAH UTARA</t>
  </si>
  <si>
    <t>0175330900</t>
  </si>
  <si>
    <t>CF-0093</t>
  </si>
  <si>
    <t>3001/170</t>
  </si>
  <si>
    <t>NO.1-G-05, BLOCK 1</t>
  </si>
  <si>
    <t xml:space="preserve"> GROUND FLOOR KONDO PRIMA U1,</t>
  </si>
  <si>
    <t>JLN KERJAYA, SEKSYEN U1,</t>
  </si>
  <si>
    <t>0126298171</t>
  </si>
  <si>
    <t>CM-0018</t>
  </si>
  <si>
    <t>3001/171</t>
  </si>
  <si>
    <t>24D JALAN RAJA MUDA MUSA,</t>
  </si>
  <si>
    <t>OFF JLN RAJA ALANG, KG BARU,</t>
  </si>
  <si>
    <t>0109189198</t>
  </si>
  <si>
    <t>SM-0240</t>
  </si>
  <si>
    <t>3001/172</t>
  </si>
  <si>
    <t>NO 82, JALAN S2 K1/1,</t>
  </si>
  <si>
    <t>PEARL 132, SEREMBAN 2,</t>
  </si>
  <si>
    <t>0182891004</t>
  </si>
  <si>
    <t>SOCMED</t>
  </si>
  <si>
    <t>SM-0001</t>
  </si>
  <si>
    <t>3001/173</t>
  </si>
  <si>
    <t>PERSATUAN PENDUDUK TAMAN SRI BAIDURI</t>
  </si>
  <si>
    <t>SEKSYEN 9 SHAH ALAM,4,</t>
  </si>
  <si>
    <t>JLN SULTAN SALAHUDDIN</t>
  </si>
  <si>
    <t xml:space="preserve"> ABDUL AZIZ SHAH DUA 9/6B,</t>
  </si>
  <si>
    <t>0183638370</t>
  </si>
  <si>
    <t>SM-0477</t>
  </si>
  <si>
    <t>3001/174</t>
  </si>
  <si>
    <t>HOSP PAKAR AN-NUR,</t>
  </si>
  <si>
    <t xml:space="preserve"> JLN GERBANG WAWASAN 1</t>
  </si>
  <si>
    <t>SEKSYEN 15,BANDAR BARU BANGI</t>
  </si>
  <si>
    <t>0183610391</t>
  </si>
  <si>
    <t>PH-0037</t>
  </si>
  <si>
    <t>3001/175</t>
  </si>
  <si>
    <t>R&amp;R DENGKIL ARAH SELATAN,</t>
  </si>
  <si>
    <t xml:space="preserve">NO. 7, RSA DENGKIL </t>
  </si>
  <si>
    <t>ARAH SELATAN, LEBUHRAYA ELITE,</t>
  </si>
  <si>
    <t>01111743029</t>
  </si>
  <si>
    <t>CF-0079</t>
  </si>
  <si>
    <t>3001/176</t>
  </si>
  <si>
    <t>NO 935 TAMAN BANDAR EKAR 2/8,</t>
  </si>
  <si>
    <t>JALAN BANDAR EKAR,71200</t>
  </si>
  <si>
    <t xml:space="preserve">aidanurin11@gmail.com      </t>
  </si>
  <si>
    <t>0187844147</t>
  </si>
  <si>
    <t>WI-0311</t>
  </si>
  <si>
    <t>3001/177</t>
  </si>
  <si>
    <t>LOT 11190 WISMA MUIP</t>
  </si>
  <si>
    <t>TINGKAT BAWAH NADI KOTA, 26400</t>
  </si>
  <si>
    <t>BANDAR PUSAT JENGKA,PAHANG</t>
  </si>
  <si>
    <t>0169323952</t>
  </si>
  <si>
    <t>SM-0372</t>
  </si>
  <si>
    <t>3001/178</t>
  </si>
  <si>
    <t xml:space="preserve">PUSAT PELAJAR, </t>
  </si>
  <si>
    <t>LOT 3836, MRSM PARIT,</t>
  </si>
  <si>
    <t>JALAN TG BELANJA-PARIT, PARIT</t>
  </si>
  <si>
    <t>01111481869</t>
  </si>
  <si>
    <t>SM-0254</t>
  </si>
  <si>
    <t>3001/179</t>
  </si>
  <si>
    <t>0196272065</t>
  </si>
  <si>
    <t>WI-0074</t>
  </si>
  <si>
    <t>3001/180</t>
  </si>
  <si>
    <t>No.17, Jalan SS 1/29</t>
  </si>
  <si>
    <t xml:space="preserve">Kampung Tunku, 47300 </t>
  </si>
  <si>
    <t>Petaling Jaya</t>
  </si>
  <si>
    <t>IG2273764021</t>
  </si>
  <si>
    <t xml:space="preserve">zaharahtulrumai@gmail.com      </t>
  </si>
  <si>
    <t>0193302277</t>
  </si>
  <si>
    <t>AG-0011</t>
  </si>
  <si>
    <t>3001/181</t>
  </si>
  <si>
    <t>PS BATU BELAH LOT PT</t>
  </si>
  <si>
    <t xml:space="preserve"> 15124- 15137, KG BATU BELAH</t>
  </si>
  <si>
    <t>LEBUHRAYA SHAPADU, KLANG</t>
  </si>
  <si>
    <t xml:space="preserve">pssbatubelah@gmail.com   </t>
  </si>
  <si>
    <t>019368811</t>
  </si>
  <si>
    <t>PM-0113</t>
  </si>
  <si>
    <t>3001/182</t>
  </si>
  <si>
    <t xml:space="preserve">KPJ TAWAKKAL KL </t>
  </si>
  <si>
    <t>SPECIALIST HOSPITAL</t>
  </si>
  <si>
    <t>NO.1, JALAN PAHANG BARAT,</t>
  </si>
  <si>
    <t>0340220001</t>
  </si>
  <si>
    <t>PH-0035</t>
  </si>
  <si>
    <t>3001/183</t>
  </si>
  <si>
    <t xml:space="preserve">FIVE PETROL STATION S/B 1571, </t>
  </si>
  <si>
    <t>LOT 399,SUNGAISETAR BESAR</t>
  </si>
  <si>
    <t>NIBONG TEBAL</t>
  </si>
  <si>
    <t xml:space="preserve">sungaisetarenterprise@gmail.com      </t>
  </si>
  <si>
    <t>0124942243</t>
  </si>
  <si>
    <t>PM-0917</t>
  </si>
  <si>
    <t>3001/184</t>
  </si>
  <si>
    <t xml:space="preserve">2278 JLN TUN HAMDAN  </t>
  </si>
  <si>
    <t>SHEIKH TAHIR</t>
  </si>
  <si>
    <t>BANDAR PUTRA BERTAM</t>
  </si>
  <si>
    <t>PM-0715</t>
  </si>
  <si>
    <t>3001/185</t>
  </si>
  <si>
    <t>MM TAMAN SELUANG</t>
  </si>
  <si>
    <t>KERAJAAN DAERAH KULIM</t>
  </si>
  <si>
    <t>PETRONAS TAMAN SELUANG LOT 703</t>
  </si>
  <si>
    <t xml:space="preserve">solehahrazali123@gmail.com </t>
  </si>
  <si>
    <t>0135104066</t>
  </si>
  <si>
    <t>PM-0417</t>
  </si>
  <si>
    <t>3001/186</t>
  </si>
  <si>
    <t>NO.48A, JALAN KM 18,</t>
  </si>
  <si>
    <t>KITA MEKAR, CYBERSOUTH, 43800</t>
  </si>
  <si>
    <t>DENGKIL, SEPAPNG</t>
  </si>
  <si>
    <t>0166681029</t>
  </si>
  <si>
    <t>SM-0023</t>
  </si>
  <si>
    <t>3001/187</t>
  </si>
  <si>
    <t xml:space="preserve">GROUND FLOOR, BANGUNAN </t>
  </si>
  <si>
    <t>MENARA UTAMA, PUSAT PERUBATAN</t>
  </si>
  <si>
    <t xml:space="preserve"> UNIVERSITI MALAYA(PPUM)</t>
  </si>
  <si>
    <t>0127977975</t>
  </si>
  <si>
    <t>PH-0052</t>
  </si>
  <si>
    <t>3001/188</t>
  </si>
  <si>
    <t>TADIKA DAIE BESTARI KAJANG</t>
  </si>
  <si>
    <t>0126594179</t>
  </si>
  <si>
    <t>SM-0020</t>
  </si>
  <si>
    <t>3001/189</t>
  </si>
  <si>
    <t xml:space="preserve">PT 130, </t>
  </si>
  <si>
    <t>KOMPLEKS NIAGA WAKAF CHE YEH,</t>
  </si>
  <si>
    <t>MUKIM PADANG ENGGANG, K. BHARU</t>
  </si>
  <si>
    <t>0199387535</t>
  </si>
  <si>
    <t>WI-0090</t>
  </si>
  <si>
    <t>3001/190</t>
  </si>
  <si>
    <t xml:space="preserve">15, BK4/1 C, </t>
  </si>
  <si>
    <t>BANDAR KINRARA SEKSYEN 4,</t>
  </si>
  <si>
    <t xml:space="preserve"> PUCHONG, </t>
  </si>
  <si>
    <t>01115274319</t>
  </si>
  <si>
    <t>SM-0456</t>
  </si>
  <si>
    <t>3001/191</t>
  </si>
  <si>
    <t>CALTEX SUNGAI LIMAU</t>
  </si>
  <si>
    <t>NO 150 JALAN LUNAS</t>
  </si>
  <si>
    <t>TAMAN SERI SELADANG &amp;</t>
  </si>
  <si>
    <t>C22415436020</t>
  </si>
  <si>
    <t>pcempakalunas@gmail.com</t>
  </si>
  <si>
    <t>PM-0638</t>
  </si>
  <si>
    <t>3001/192</t>
  </si>
  <si>
    <t xml:space="preserve">SUNGAI CHOH, </t>
  </si>
  <si>
    <t xml:space="preserve">LOCKED BAG 224, </t>
  </si>
  <si>
    <t xml:space="preserve">RAWANG, </t>
  </si>
  <si>
    <t xml:space="preserve">zulhilmi.izazu@perodua.com.my  </t>
  </si>
  <si>
    <t>01119418446</t>
  </si>
  <si>
    <t>SM-0298</t>
  </si>
  <si>
    <t>3001/193</t>
  </si>
  <si>
    <t>BLOCK 10, CORPORATE PARK,</t>
  </si>
  <si>
    <t>STAR CENTRAL, LINGKARAN</t>
  </si>
  <si>
    <t xml:space="preserve"> CYBERPOINT TIMUR, CYBER 12, </t>
  </si>
  <si>
    <t>0176223962</t>
  </si>
  <si>
    <t>CF-0035</t>
  </si>
  <si>
    <t>3001/194</t>
  </si>
  <si>
    <t>NO.5 KWSN R&amp;R DENGKILARAHUTARA</t>
  </si>
  <si>
    <t xml:space="preserve">KM23 LEBUHRAYA UTARA SELATAN </t>
  </si>
  <si>
    <t>HUB. TENGAH, DENGKIL</t>
  </si>
  <si>
    <t>0172186807</t>
  </si>
  <si>
    <t>CF-0114</t>
  </si>
  <si>
    <t>3001/195</t>
  </si>
  <si>
    <t>BAWAH TANGGA LARUT MATANG,</t>
  </si>
  <si>
    <t>HENTIAN TEKSI LAMA BANDAR</t>
  </si>
  <si>
    <t>TAIPING. NO. 101, JLN ISKANDAR</t>
  </si>
  <si>
    <t>01111227683</t>
  </si>
  <si>
    <t>CF-0080</t>
  </si>
  <si>
    <t>3001/196</t>
  </si>
  <si>
    <t>no 67,jalan AU 5 C /6</t>
  </si>
  <si>
    <t>Taman Lembah Keramat</t>
  </si>
  <si>
    <t>Ulu Kelang WP</t>
  </si>
  <si>
    <t>IG3019790021</t>
  </si>
  <si>
    <t xml:space="preserve">ellyramlan@yahoo.com    </t>
  </si>
  <si>
    <t>0192860088</t>
  </si>
  <si>
    <t>AG-0012</t>
  </si>
  <si>
    <t>3001/197</t>
  </si>
  <si>
    <t>34, JALAN TIANG SERI U8/73C,</t>
  </si>
  <si>
    <t>BUKIT JELUTONG, 40150</t>
  </si>
  <si>
    <t>SHAH ALAM.</t>
  </si>
  <si>
    <t>0122062928</t>
  </si>
  <si>
    <t>SM-0518</t>
  </si>
  <si>
    <t>3001/198</t>
  </si>
  <si>
    <t xml:space="preserve">48, JALAN RK 4/1, </t>
  </si>
  <si>
    <t>0196224252</t>
  </si>
  <si>
    <t>SM-0475</t>
  </si>
  <si>
    <t>3001/199</t>
  </si>
  <si>
    <t>LOT 270(i),LORONG MAK MANDIN 6</t>
  </si>
  <si>
    <t>KAW.PERINDUSTRIAN MAK MANDIN,</t>
  </si>
  <si>
    <t xml:space="preserve">BUTTERWORTH </t>
  </si>
  <si>
    <t>0124252821</t>
  </si>
  <si>
    <t>CM-0102</t>
  </si>
  <si>
    <t>3001/200</t>
  </si>
  <si>
    <t>LOT 2136, BATU 19,</t>
  </si>
  <si>
    <t>KG BADAK  BACHOK, KELANTAN</t>
  </si>
  <si>
    <t>D 58840141020</t>
  </si>
  <si>
    <t>Delifamilytrading@gmail.com</t>
  </si>
  <si>
    <t>0169216051</t>
  </si>
  <si>
    <t>SM-0097</t>
  </si>
  <si>
    <t>3001/201</t>
  </si>
  <si>
    <t>HT HUB, NO 8 TAMAN SELAMAT</t>
  </si>
  <si>
    <t>BATU 14 JALAN CHERAS</t>
  </si>
  <si>
    <t>0183107050</t>
  </si>
  <si>
    <t>SM-0269</t>
  </si>
  <si>
    <t>3001/202</t>
  </si>
  <si>
    <t>NO 33 JALAN KERAK AMPANG 27/47</t>
  </si>
  <si>
    <t xml:space="preserve">SEKSYEN 27 </t>
  </si>
  <si>
    <t>TAMAN BUNGA NEGARA, SHAH ALAM</t>
  </si>
  <si>
    <t>SM-0227</t>
  </si>
  <si>
    <t>3001/203</t>
  </si>
  <si>
    <t>B1-21-10, LAKEPOINT RESIDENCE,</t>
  </si>
  <si>
    <t>63000, CYBERJAYA</t>
  </si>
  <si>
    <t>0136902665</t>
  </si>
  <si>
    <t>SM-0519</t>
  </si>
  <si>
    <t>3001/204</t>
  </si>
  <si>
    <t>0193279240</t>
  </si>
  <si>
    <t>SM-0277</t>
  </si>
  <si>
    <t>3001/205</t>
  </si>
  <si>
    <t>NO. 1, LORONG SEK. KEB. JABI,</t>
  </si>
  <si>
    <t>06400 POKOK SENA, KEDAH</t>
  </si>
  <si>
    <t>06400</t>
  </si>
  <si>
    <t>01110790139</t>
  </si>
  <si>
    <t>CM-0090</t>
  </si>
  <si>
    <t>3001/206</t>
  </si>
  <si>
    <t xml:space="preserve">NO. 22, </t>
  </si>
  <si>
    <t>LORONG SEKOLAH KEBANGSAAN JABI</t>
  </si>
  <si>
    <t>KAMPUNG JABI, POKOK SENA</t>
  </si>
  <si>
    <t>0135172748</t>
  </si>
  <si>
    <t>CM-0041</t>
  </si>
  <si>
    <t>3001/207</t>
  </si>
  <si>
    <t>NO11,KOMPLEKS PERNIAGAAN UTAMA</t>
  </si>
  <si>
    <t xml:space="preserve"> ALOR SETAR, </t>
  </si>
  <si>
    <t>0174422012</t>
  </si>
  <si>
    <t>CF-0051</t>
  </si>
  <si>
    <t>3001/208</t>
  </si>
  <si>
    <t xml:space="preserve">KPJ PENANG SPECIALIST HOSP </t>
  </si>
  <si>
    <t xml:space="preserve">570, JALAN PERDA UTAMA, </t>
  </si>
  <si>
    <t>BDR BARU PERDA,BUKIT MERTAJAM</t>
  </si>
  <si>
    <t>0125534744</t>
  </si>
  <si>
    <t>CM-0011</t>
  </si>
  <si>
    <t>3001/209</t>
  </si>
  <si>
    <t>13A, JALAN TH 2/8A,</t>
  </si>
  <si>
    <t>PARKFIELD RESIDENCE,</t>
  </si>
  <si>
    <t>TROPICANA HEIGHT</t>
  </si>
  <si>
    <t>0163739795</t>
  </si>
  <si>
    <t xml:space="preserve">FAZILAH </t>
  </si>
  <si>
    <t>SM-0102</t>
  </si>
  <si>
    <t>3001/210</t>
  </si>
  <si>
    <t>1, JALAN SEROJA 1B,,</t>
  </si>
  <si>
    <t>BUKIT SENTOSA,</t>
  </si>
  <si>
    <t>RAWANG</t>
  </si>
  <si>
    <t>0192928056</t>
  </si>
  <si>
    <t>CF-0121</t>
  </si>
  <si>
    <t>3001/211</t>
  </si>
  <si>
    <t>PUSAT PERNIAGAAN MYA,</t>
  </si>
  <si>
    <t>NO.2 JALAN TAMPIN,</t>
  </si>
  <si>
    <t>REMBAU</t>
  </si>
  <si>
    <t>066852058</t>
  </si>
  <si>
    <t>CM-0067</t>
  </si>
  <si>
    <t>3001/212</t>
  </si>
  <si>
    <t>DAGANG NET TOWER,BLK 10 (A&amp;B)</t>
  </si>
  <si>
    <t>CORPORATE PARK,STAR CENTRAL,</t>
  </si>
  <si>
    <t xml:space="preserve">LINGKARAN CYBERPOINT TIMUR </t>
  </si>
  <si>
    <t>0126557678</t>
  </si>
  <si>
    <t>CF-0041</t>
  </si>
  <si>
    <t>3001/213</t>
  </si>
  <si>
    <t>LOT 2132 JALAN SANTONG PAKA,</t>
  </si>
  <si>
    <t>23100 DUNGUN, TERENGGANU</t>
  </si>
  <si>
    <t>0169604436</t>
  </si>
  <si>
    <t>SM-0220</t>
  </si>
  <si>
    <t>3001/214</t>
  </si>
  <si>
    <t xml:space="preserve">LOT 3998-1 </t>
  </si>
  <si>
    <t>TINGKAT BAWAH BANGUNAN MPD,</t>
  </si>
  <si>
    <t>SPG BALAI POLIS DUNGUN,DUNGUN</t>
  </si>
  <si>
    <t>0145298333</t>
  </si>
  <si>
    <t>SM-0480</t>
  </si>
  <si>
    <t>3001/215</t>
  </si>
  <si>
    <t>KEMENTERIAN KOMUNIKASI DAN MULTIMEDIAMALAYSIA</t>
  </si>
  <si>
    <t>ARASG,LOT4G9,PERSIARAN PERDANA</t>
  </si>
  <si>
    <t>PRESINT 4, PUSAT PENTADBIRAN</t>
  </si>
  <si>
    <t>KERAJAAN PERSEKUTUAN</t>
  </si>
  <si>
    <t>002256294-P</t>
  </si>
  <si>
    <t xml:space="preserve">OG23416282010                                </t>
  </si>
  <si>
    <t xml:space="preserve">iqramfara007@gmail.com    </t>
  </si>
  <si>
    <t>0163701967</t>
  </si>
  <si>
    <t>SM-0194</t>
  </si>
  <si>
    <t>3001/216</t>
  </si>
  <si>
    <t>NO. 77 JALAN DIPLOMATIK,</t>
  </si>
  <si>
    <t>PRESINT 15</t>
  </si>
  <si>
    <t>0136042348</t>
  </si>
  <si>
    <t>SM-0469</t>
  </si>
  <si>
    <t>3001/217</t>
  </si>
  <si>
    <t>NO 14, 16 JALAN HARMONI,</t>
  </si>
  <si>
    <t xml:space="preserve">PUSAT BANDAR 34300 </t>
  </si>
  <si>
    <t>C22643646020</t>
  </si>
  <si>
    <t>baganseraipharmacy@gmail.com</t>
  </si>
  <si>
    <t>0195587270</t>
  </si>
  <si>
    <t>SM-0046</t>
  </si>
  <si>
    <t>3001/218</t>
  </si>
  <si>
    <t>B-20,TINGKAT BAWAH</t>
  </si>
  <si>
    <t xml:space="preserve"> JALAN TANJUNG LUMPUR</t>
  </si>
  <si>
    <t xml:space="preserve"> KUANTAN </t>
  </si>
  <si>
    <t>0143942116</t>
  </si>
  <si>
    <t>SM-0221</t>
  </si>
  <si>
    <t>3001/219</t>
  </si>
  <si>
    <t xml:space="preserve">NO 114 MUKIM 20 </t>
  </si>
  <si>
    <t>PENANTI KUBANG SEMANG,</t>
  </si>
  <si>
    <t>0135876005</t>
  </si>
  <si>
    <t>SM-0136</t>
  </si>
  <si>
    <t>3001/220</t>
  </si>
  <si>
    <t xml:space="preserve">No 6 Jln Cantik </t>
  </si>
  <si>
    <t xml:space="preserve"> Tampin </t>
  </si>
  <si>
    <t>IG12109315080</t>
  </si>
  <si>
    <t xml:space="preserve">ayahkey1959@gmail.com    </t>
  </si>
  <si>
    <t>0129691959</t>
  </si>
  <si>
    <t>AG-0013</t>
  </si>
  <si>
    <t>3001/221</t>
  </si>
  <si>
    <t>DT 512, Jalan Nuri 30</t>
  </si>
  <si>
    <t>Taman Nuri Fasa 3,</t>
  </si>
  <si>
    <t>Durian Tunggal</t>
  </si>
  <si>
    <t>IG4142017091</t>
  </si>
  <si>
    <t xml:space="preserve">norashidahasrin@yahoo.com   </t>
  </si>
  <si>
    <t>0162762930</t>
  </si>
  <si>
    <t>AG-0014</t>
  </si>
  <si>
    <t>3001/222</t>
  </si>
  <si>
    <t>NO 6,GEDONG LALANG 50</t>
  </si>
  <si>
    <t>SEREMBAN NS</t>
  </si>
  <si>
    <t>IG3001920060</t>
  </si>
  <si>
    <t xml:space="preserve">masbukti@gmail.com  </t>
  </si>
  <si>
    <t>AG-0015</t>
  </si>
  <si>
    <t>3001/223</t>
  </si>
  <si>
    <t>AG-0016</t>
  </si>
  <si>
    <t>Kena minta encik YUD</t>
  </si>
  <si>
    <t>3001/224</t>
  </si>
  <si>
    <t>PETRONAS KUALA KUBU BHARU</t>
  </si>
  <si>
    <t>BATU 39, JALAN GAP, 44000</t>
  </si>
  <si>
    <t>0132737804</t>
  </si>
  <si>
    <t>SM-0384</t>
  </si>
  <si>
    <t>3001/225</t>
  </si>
  <si>
    <t>CALTEX KG CHAWAS</t>
  </si>
  <si>
    <t>Lot PT 17210,</t>
  </si>
  <si>
    <t>Kg Chawas</t>
  </si>
  <si>
    <t xml:space="preserve">C25901756060                                 </t>
  </si>
  <si>
    <t xml:space="preserve">sriastana_petroleum@yahoo.com.my </t>
  </si>
  <si>
    <t>PM-0834</t>
  </si>
  <si>
    <t>3001/226</t>
  </si>
  <si>
    <t>NO.15, KAWASAN REHAT</t>
  </si>
  <si>
    <t xml:space="preserve"> &amp; RAWAT AYER KEROH,</t>
  </si>
  <si>
    <t>ARAH SELATAN, ALOR GAJAH,</t>
  </si>
  <si>
    <t>CF-0156</t>
  </si>
  <si>
    <t>3001/227</t>
  </si>
  <si>
    <t>H.S(D) 13558, PT 119</t>
  </si>
  <si>
    <t>SIMPANG 3 IJOK</t>
  </si>
  <si>
    <t>BESTARI JAYA</t>
  </si>
  <si>
    <t xml:space="preserve">5petrolijok2@gmail.com        </t>
  </si>
  <si>
    <t>PM-0132</t>
  </si>
  <si>
    <t>3001/228</t>
  </si>
  <si>
    <t>no 22 jalan jelutong 1a/ku8</t>
  </si>
  <si>
    <t>off jln meru, pekan meru,</t>
  </si>
  <si>
    <t>klang</t>
  </si>
  <si>
    <t>IG20814602040</t>
  </si>
  <si>
    <t xml:space="preserve">farhanahadi82@gmail.com  </t>
  </si>
  <si>
    <t>0193354221</t>
  </si>
  <si>
    <t>AG-0017</t>
  </si>
  <si>
    <t>3001/229</t>
  </si>
  <si>
    <t>NO. 3 LEBUH DEWANGSA,</t>
  </si>
  <si>
    <t>31000 BATU GAJAH,</t>
  </si>
  <si>
    <t>0163948389</t>
  </si>
  <si>
    <t>SM-0218</t>
  </si>
  <si>
    <t>3001/230</t>
  </si>
  <si>
    <t>G7,JALAN PM 3, PLAZA MAHKOTA,</t>
  </si>
  <si>
    <t>BANDAR HILIR,</t>
  </si>
  <si>
    <t>01122559944</t>
  </si>
  <si>
    <t>SM-0369</t>
  </si>
  <si>
    <t>3001/231</t>
  </si>
  <si>
    <t xml:space="preserve">BLOK E4/5, KOMPLEKS KERAJAAN </t>
  </si>
  <si>
    <t xml:space="preserve">PARCEL E, PUSAT PENTADBIRAN </t>
  </si>
  <si>
    <t>0103688643</t>
  </si>
  <si>
    <t>CO-0024</t>
  </si>
  <si>
    <t>3001/232</t>
  </si>
  <si>
    <t xml:space="preserve">NO 1028, JALAN UTAMA, </t>
  </si>
  <si>
    <t>TAMAN DAMAI</t>
  </si>
  <si>
    <t xml:space="preserve"> PONTIAN</t>
  </si>
  <si>
    <t>01136508418</t>
  </si>
  <si>
    <t>SM-0435</t>
  </si>
  <si>
    <t>3001/233</t>
  </si>
  <si>
    <t>88 JALAN SAUJANA PERDANA 4C,</t>
  </si>
  <si>
    <t>SAUJANA PERDANA,</t>
  </si>
  <si>
    <t xml:space="preserve">SG BULOH </t>
  </si>
  <si>
    <t>0125757788</t>
  </si>
  <si>
    <t>SM-0303</t>
  </si>
  <si>
    <t>3001/234</t>
  </si>
  <si>
    <t>NO 22, JALAN RIA 4,</t>
  </si>
  <si>
    <t>TAMAN RIA SERI LALANG,</t>
  </si>
  <si>
    <t>0177265450</t>
  </si>
  <si>
    <t>SM-0192</t>
  </si>
  <si>
    <t>3001/235</t>
  </si>
  <si>
    <t>CALTEX KEMUDI</t>
  </si>
  <si>
    <t>Lot 940, Kampung</t>
  </si>
  <si>
    <t>Kemudi, Jalan Melawai,</t>
  </si>
  <si>
    <t>0129085695</t>
  </si>
  <si>
    <t>PM-0691</t>
  </si>
  <si>
    <t>3001/236</t>
  </si>
  <si>
    <t xml:space="preserve">NO. 21 TAMAN PEGAWAI, </t>
  </si>
  <si>
    <t>JALAN TAURUS,</t>
  </si>
  <si>
    <t xml:space="preserve">SITIAWAN, </t>
  </si>
  <si>
    <t>0125020757</t>
  </si>
  <si>
    <t>SM-0037</t>
  </si>
  <si>
    <t>3001/237</t>
  </si>
  <si>
    <t>CALTEX(IOI)BANDAR PUTRA</t>
  </si>
  <si>
    <t xml:space="preserve">Lot 50737, Lebuh Putra </t>
  </si>
  <si>
    <t>Utama,  Bandar Putra,</t>
  </si>
  <si>
    <t xml:space="preserve">IG22954050030                                </t>
  </si>
  <si>
    <t xml:space="preserve">kim.maarop@gmail.com  </t>
  </si>
  <si>
    <t>0127161695</t>
  </si>
  <si>
    <t>PM-0101</t>
  </si>
  <si>
    <t>3001/238</t>
  </si>
  <si>
    <t>32-1, JALAN RAMPAI NIAGA 4,</t>
  </si>
  <si>
    <t>RAMPAI BUSINESS PARK</t>
  </si>
  <si>
    <t xml:space="preserve">ahmadkhir@icloud.com   </t>
  </si>
  <si>
    <t>0123054797</t>
  </si>
  <si>
    <t>SM-0247</t>
  </si>
  <si>
    <t>3001/239</t>
  </si>
  <si>
    <t>LOT 2908, KAMPUNG BARU SAUK,</t>
  </si>
  <si>
    <t>33500 SAUK, PERAK</t>
  </si>
  <si>
    <t>0193804370</t>
  </si>
  <si>
    <t>SM-0373</t>
  </si>
  <si>
    <t>3001/240</t>
  </si>
  <si>
    <t xml:space="preserve">NO 67 JALAN PJ1, </t>
  </si>
  <si>
    <t>TAMAN PERTAM JAYA,</t>
  </si>
  <si>
    <t>01110367308</t>
  </si>
  <si>
    <t>SM-0268</t>
  </si>
  <si>
    <t>3001/241</t>
  </si>
  <si>
    <t>CALTEX BUKIT MARAK</t>
  </si>
  <si>
    <t>Lot PT 67, Mukim</t>
  </si>
  <si>
    <t>Seterpa, Daerah Banggu,</t>
  </si>
  <si>
    <t xml:space="preserve">estmmy@gmail.com   </t>
  </si>
  <si>
    <t>0199933822</t>
  </si>
  <si>
    <t>PM-0325</t>
  </si>
  <si>
    <t>3001/242</t>
  </si>
  <si>
    <t>CALTEX BANDAR INDERAPURA</t>
  </si>
  <si>
    <t>LOT 7718, TAMAN</t>
  </si>
  <si>
    <t>INDERAPURA</t>
  </si>
  <si>
    <t>C10315278040</t>
  </si>
  <si>
    <t>no-reply@kimyuhuat.com</t>
  </si>
  <si>
    <t>PM-0579</t>
  </si>
  <si>
    <t>3001/243</t>
  </si>
  <si>
    <t>CALTEX JENGKA 8</t>
  </si>
  <si>
    <t>LOT 720, TMN GELANGGI PERDANA,</t>
  </si>
  <si>
    <t>SIMPANG   JENGKA 8, JERANTUT,</t>
  </si>
  <si>
    <t>C5894055030</t>
  </si>
  <si>
    <t>0193172578</t>
  </si>
  <si>
    <t>PM-0694</t>
  </si>
  <si>
    <t>3001/244</t>
  </si>
  <si>
    <t>BT8 JLN DTK KUMBAR</t>
  </si>
  <si>
    <t>ALOR SETAR 06500</t>
  </si>
  <si>
    <t>06500</t>
  </si>
  <si>
    <t>0124268754</t>
  </si>
  <si>
    <t>PM-0682</t>
  </si>
  <si>
    <t>3001/245</t>
  </si>
  <si>
    <t xml:space="preserve">NO 6 </t>
  </si>
  <si>
    <t xml:space="preserve">RNR GURUN UTARA </t>
  </si>
  <si>
    <t xml:space="preserve"> GURUN,</t>
  </si>
  <si>
    <t xml:space="preserve"> KEDAH</t>
  </si>
  <si>
    <t>0195496321</t>
  </si>
  <si>
    <t>CF-0072</t>
  </si>
  <si>
    <t>3001/246</t>
  </si>
  <si>
    <t>PS LEMBAH PAYA</t>
  </si>
  <si>
    <t>Lot PT 38685, Mukim</t>
  </si>
  <si>
    <t>Labu, Daerah Sepang</t>
  </si>
  <si>
    <t>C26177169080</t>
  </si>
  <si>
    <t>47300, 47114, 68103</t>
  </si>
  <si>
    <t>angkasakesas@gmail.com</t>
  </si>
  <si>
    <t>0196998646</t>
  </si>
  <si>
    <t>PM-0062</t>
  </si>
  <si>
    <t>3001/247</t>
  </si>
  <si>
    <t>A8-A9, TAMAN SAGA,</t>
  </si>
  <si>
    <t>ALOR MENGKUDU,</t>
  </si>
  <si>
    <t xml:space="preserve"> ALOR SETAR,</t>
  </si>
  <si>
    <t>047291123</t>
  </si>
  <si>
    <t>SM-0033</t>
  </si>
  <si>
    <t>3001/248</t>
  </si>
  <si>
    <t>NO. 477 JALAN DPP 1/4A</t>
  </si>
  <si>
    <t>TAMAN DESA PERMAI PEDAS PEDAS</t>
  </si>
  <si>
    <t>0193289220</t>
  </si>
  <si>
    <t>SM-0428</t>
  </si>
  <si>
    <t>3001/249</t>
  </si>
  <si>
    <t>LOT LG-SM, SETIA CITY MALL,</t>
  </si>
  <si>
    <t>7 PERSIARAN SETIA DAGANG,</t>
  </si>
  <si>
    <t>SEKSYEN U13, BNDR SETIA ALAM,</t>
  </si>
  <si>
    <t>0129365100</t>
  </si>
  <si>
    <t>HM-0039</t>
  </si>
  <si>
    <t>3001/250</t>
  </si>
  <si>
    <t>CALTEX FERI JERANTUT LOT 15642</t>
  </si>
  <si>
    <t>BATU 6, JALAN KUANTAN,</t>
  </si>
  <si>
    <t xml:space="preserve">popular_niches@kimyuhuat.com;   </t>
  </si>
  <si>
    <t>0196622578</t>
  </si>
  <si>
    <t>PM-0695</t>
  </si>
  <si>
    <t>3001/251</t>
  </si>
  <si>
    <t>R-1-01, GF,LAKEPOINT CENTRAL 1</t>
  </si>
  <si>
    <t>JLN PANGLIMA HITAM 35/26,</t>
  </si>
  <si>
    <t>SEKSYEN 35, ALAM IMPIAN,</t>
  </si>
  <si>
    <t>HM-0037</t>
  </si>
  <si>
    <t>3001/252</t>
  </si>
  <si>
    <t xml:space="preserve">LOT G21, G22, G23 &amp; G23A, LVL </t>
  </si>
  <si>
    <t>GROUND MENARA EXCHANGE 106</t>
  </si>
  <si>
    <t xml:space="preserve">LINGKARAN TRX, TRX </t>
  </si>
  <si>
    <t>HM-0038</t>
  </si>
  <si>
    <t>3001/253</t>
  </si>
  <si>
    <t>CALTEX TAMAN TAMBUN INDAH</t>
  </si>
  <si>
    <t>LOT 7835, JALAN BUKIT TAMBUN</t>
  </si>
  <si>
    <t>SIMPANG AMPAT</t>
  </si>
  <si>
    <t>0105202424</t>
  </si>
  <si>
    <t>PM-0996</t>
  </si>
  <si>
    <t>3001/254</t>
  </si>
  <si>
    <t>NO. 35, MEDAN KURAU 1,</t>
  </si>
  <si>
    <t>TAMAN CHAI LENG,</t>
  </si>
  <si>
    <t>PERAI</t>
  </si>
  <si>
    <t>C23708492090</t>
  </si>
  <si>
    <t xml:space="preserve">chailengparkpharmacy@hotmail.com </t>
  </si>
  <si>
    <t>0125945750</t>
  </si>
  <si>
    <t>PH-0010</t>
  </si>
  <si>
    <t>3001/255</t>
  </si>
  <si>
    <t>LOT 732, MUKIM 21,</t>
  </si>
  <si>
    <t>KAMPUNG PADANG IBU,</t>
  </si>
  <si>
    <t>DAERAH KUBANG SEMANG,</t>
  </si>
  <si>
    <t>IG11132809080</t>
  </si>
  <si>
    <t xml:space="preserve">rohanaana5090@gmail.com  </t>
  </si>
  <si>
    <t>0124590680</t>
  </si>
  <si>
    <t>CM-0064</t>
  </si>
  <si>
    <t>3001/256</t>
  </si>
  <si>
    <t xml:space="preserve">NO. 22 &amp; 24,GROUND FLOOR &amp; </t>
  </si>
  <si>
    <t>1ST FLOOR, LORONG TERAS JAYA 7</t>
  </si>
  <si>
    <t>KAWASAN PERNIAGAAN TERAS JAYA,</t>
  </si>
  <si>
    <t>0124265523</t>
  </si>
  <si>
    <t>CF-0062</t>
  </si>
  <si>
    <t>3001/257</t>
  </si>
  <si>
    <t>151-127, JALAN 2/3A</t>
  </si>
  <si>
    <t xml:space="preserve"> PUSAT BANDAR UTARA SELAYANG,</t>
  </si>
  <si>
    <t>01112265741</t>
  </si>
  <si>
    <t>CM-0106</t>
  </si>
  <si>
    <t>3001/258</t>
  </si>
  <si>
    <t xml:space="preserve">BATU 13 1/2 </t>
  </si>
  <si>
    <t xml:space="preserve">JALAN LINSUM, </t>
  </si>
  <si>
    <t xml:space="preserve">azharahmad2510@gmail.com      </t>
  </si>
  <si>
    <t>0164123468</t>
  </si>
  <si>
    <t>WI-0048</t>
  </si>
  <si>
    <t>3001/259</t>
  </si>
  <si>
    <t>NO 1.</t>
  </si>
  <si>
    <t>HENTIAN LADANG BIKAM ARAHUTARA</t>
  </si>
  <si>
    <t>L/RAYA UTARA SELATAN, SUNGKAI,</t>
  </si>
  <si>
    <t>0126705376</t>
  </si>
  <si>
    <t>CF-0063</t>
  </si>
  <si>
    <t>3001/260</t>
  </si>
  <si>
    <t xml:space="preserve">379, JLN 11, </t>
  </si>
  <si>
    <t>TMN LAVENDER HEIGHT</t>
  </si>
  <si>
    <t>0196510330</t>
  </si>
  <si>
    <t>SM-0408</t>
  </si>
  <si>
    <t>3001/261</t>
  </si>
  <si>
    <t xml:space="preserve">NO 31, SECOND FLOOR, </t>
  </si>
  <si>
    <t>JALAN PJU 5/6,</t>
  </si>
  <si>
    <t>KOTA DAMANSARA, PETALING JAYA,</t>
  </si>
  <si>
    <t>0374802386</t>
  </si>
  <si>
    <t>SM-0516</t>
  </si>
  <si>
    <t>3001/262</t>
  </si>
  <si>
    <t>NO 1 TINGKAT</t>
  </si>
  <si>
    <t>BAWAH LINTANG MAJU 1,</t>
  </si>
  <si>
    <t>TAMAN SERAI MAJU</t>
  </si>
  <si>
    <t>01116391288</t>
  </si>
  <si>
    <t>SM-0128</t>
  </si>
  <si>
    <t>3001/263</t>
  </si>
  <si>
    <t>AUFIMART PAKA</t>
  </si>
  <si>
    <t>LOT 5514 JALAN BESAR PAKA</t>
  </si>
  <si>
    <t>PAKA</t>
  </si>
  <si>
    <t>SM-0295</t>
  </si>
  <si>
    <t>3001/264</t>
  </si>
  <si>
    <t>PT 198, JALAN SJ 5/12A,</t>
  </si>
  <si>
    <t>TAMAN SEREMBAN JAYA,</t>
  </si>
  <si>
    <t>0122337117</t>
  </si>
  <si>
    <t>WI-0265</t>
  </si>
  <si>
    <t>3001/265</t>
  </si>
  <si>
    <t>STESEN MINYAK PETRONAS KG PANDAN,</t>
  </si>
  <si>
    <t xml:space="preserve">LOT 20758 BATU 8, </t>
  </si>
  <si>
    <t>JALAN KUANTAN</t>
  </si>
  <si>
    <t>BY PASS LEMBING, KUANTAN,</t>
  </si>
  <si>
    <t xml:space="preserve">pskgpandan@gmail.com     </t>
  </si>
  <si>
    <t>0193330885</t>
  </si>
  <si>
    <t>SM-0381</t>
  </si>
  <si>
    <t>3001/266</t>
  </si>
  <si>
    <t>MM KOTA TINGGI</t>
  </si>
  <si>
    <t>LOT 230, NO. 5A,</t>
  </si>
  <si>
    <t>JALAN JOHOR KOTA TINGGI</t>
  </si>
  <si>
    <t xml:space="preserve">azkotatinggi@gmail.com </t>
  </si>
  <si>
    <t>PM-0091</t>
  </si>
  <si>
    <t>3001/267</t>
  </si>
  <si>
    <t>LULU HM, 1 SHAMELIN MALL,</t>
  </si>
  <si>
    <t>LEVEL-LOWER GROUND FLOOR,</t>
  </si>
  <si>
    <t>NO 100, JLN 4/91 TMN SHAMELIN,</t>
  </si>
  <si>
    <t>039281999</t>
  </si>
  <si>
    <t>HM-0011</t>
  </si>
  <si>
    <t>3001/268</t>
  </si>
  <si>
    <t xml:space="preserve">MENARA KEMENTERIAN </t>
  </si>
  <si>
    <t>BELIA &amp; SUKAN,</t>
  </si>
  <si>
    <t>JALAN P4 Y,PERSINT 4,</t>
  </si>
  <si>
    <t>0183839117</t>
  </si>
  <si>
    <t>CM-0054</t>
  </si>
  <si>
    <t>3001/269</t>
  </si>
  <si>
    <t>1403-3 JALAN GUAR PETAI,</t>
  </si>
  <si>
    <t>TASEK GELUGOR</t>
  </si>
  <si>
    <t xml:space="preserve">PG0204652-V  </t>
  </si>
  <si>
    <t xml:space="preserve">IG24640190070                                </t>
  </si>
  <si>
    <t>0134404306</t>
  </si>
  <si>
    <t>CM-0012</t>
  </si>
  <si>
    <t>3001/270</t>
  </si>
  <si>
    <t>CALTEX BINJAI</t>
  </si>
  <si>
    <t>435, Mk 11 Kg Binjal</t>
  </si>
  <si>
    <t>Bayan Lepas</t>
  </si>
  <si>
    <t>0124332718</t>
  </si>
  <si>
    <t>PM-0338</t>
  </si>
  <si>
    <t>3001/271</t>
  </si>
  <si>
    <t>NO. 12B, TINGKAT 9,</t>
  </si>
  <si>
    <t xml:space="preserve">BANGUNAN LPPKN, </t>
  </si>
  <si>
    <t>JLN RAJA LAUT,</t>
  </si>
  <si>
    <t>0126236144</t>
  </si>
  <si>
    <t>KO-0008</t>
  </si>
  <si>
    <t>3001/272</t>
  </si>
  <si>
    <t>NO 5, JALAN IMPIAN MAKMUR 3/B,</t>
  </si>
  <si>
    <t>TAMAN SAUJANA IMPIAN,  KAJANG,</t>
  </si>
  <si>
    <t>0193132123</t>
  </si>
  <si>
    <t>SM-0416</t>
  </si>
  <si>
    <t>3001/273</t>
  </si>
  <si>
    <t>HANCITY MINI MART,</t>
  </si>
  <si>
    <t>HAN CHIANG INDOOR STADIUM</t>
  </si>
  <si>
    <t>JALAN HAN CHIANG</t>
  </si>
  <si>
    <t>0164630927</t>
  </si>
  <si>
    <t>SM-0195</t>
  </si>
  <si>
    <t>3001/274</t>
  </si>
  <si>
    <t>NO. 3, JALAN AU 1B/2E,</t>
  </si>
  <si>
    <t>TAMAN KERAMAT PERMAI,</t>
  </si>
  <si>
    <t>0122716909</t>
  </si>
  <si>
    <t>CM-0007</t>
  </si>
  <si>
    <t>3001/275</t>
  </si>
  <si>
    <t>Nl.23 Jalan P 15H 4/5</t>
  </si>
  <si>
    <t>Presint 15 Putrajaya</t>
  </si>
  <si>
    <t>IG3174509011</t>
  </si>
  <si>
    <t xml:space="preserve">norhayatew@gmail.com  </t>
  </si>
  <si>
    <t>0193405982</t>
  </si>
  <si>
    <t>AG-0018</t>
  </si>
  <si>
    <t>3001/276</t>
  </si>
  <si>
    <t>34-4 JALAN AMANSIARA 2/7,</t>
  </si>
  <si>
    <t xml:space="preserve">TAMAN AMANSIARA, </t>
  </si>
  <si>
    <t>IG11486348020</t>
  </si>
  <si>
    <t xml:space="preserve">wanmdk@gmail.com        </t>
  </si>
  <si>
    <t>0192889179</t>
  </si>
  <si>
    <t>AG-0019</t>
  </si>
  <si>
    <t>3001/277</t>
  </si>
  <si>
    <t>AG-0020</t>
  </si>
  <si>
    <t>3001/278</t>
  </si>
  <si>
    <t>AG-0021</t>
  </si>
  <si>
    <t>3001/279</t>
  </si>
  <si>
    <t xml:space="preserve">BLOK E4/5, </t>
  </si>
  <si>
    <t>KOMPLEKS KERAJAAN PARCEL E,</t>
  </si>
  <si>
    <t>PUSAT PENTADBIRAN KERAJAAN,</t>
  </si>
  <si>
    <t>CO-0038</t>
  </si>
  <si>
    <t>3001/280</t>
  </si>
  <si>
    <t xml:space="preserve">UNCLE TOK MART, </t>
  </si>
  <si>
    <t>4846 JALAN KENANGAN,</t>
  </si>
  <si>
    <t>MERU, KLANG</t>
  </si>
  <si>
    <t>0193870015</t>
  </si>
  <si>
    <t>SM-0233</t>
  </si>
  <si>
    <t>3001/281</t>
  </si>
  <si>
    <t>MINO MART PERSADA PLUS</t>
  </si>
  <si>
    <t xml:space="preserve"> SUBANG KM15 NKVE,  PJ </t>
  </si>
  <si>
    <t>0124106292</t>
  </si>
  <si>
    <t>CF-0095</t>
  </si>
  <si>
    <t>3001/282</t>
  </si>
  <si>
    <t>ALSYIFAA FARMASI JENGKA</t>
  </si>
  <si>
    <t>NO 30/31 LORONG MUTIARA 6,</t>
  </si>
  <si>
    <t>LOT NADI KOTA,</t>
  </si>
  <si>
    <t>0139753335</t>
  </si>
  <si>
    <t>SM-0382</t>
  </si>
  <si>
    <t>3001/283</t>
  </si>
  <si>
    <t>NO 5, RNR PAGOH ARAH UTARA</t>
  </si>
  <si>
    <t xml:space="preserve">KM 146 LEBUHRAYA UTARA </t>
  </si>
  <si>
    <t xml:space="preserve"> SELATAN PLUS PAGOH </t>
  </si>
  <si>
    <t>0166110010</t>
  </si>
  <si>
    <t>CF-0077</t>
  </si>
  <si>
    <t>3001/284</t>
  </si>
  <si>
    <t>PS ARAU</t>
  </si>
  <si>
    <t>Lot 3724 , Guar Sanji,</t>
  </si>
  <si>
    <t>Mukim Arau,</t>
  </si>
  <si>
    <t xml:space="preserve">stesennorenterprise@gmail.com    </t>
  </si>
  <si>
    <t>0133351802</t>
  </si>
  <si>
    <t>PM-0889</t>
  </si>
  <si>
    <t>3001/285</t>
  </si>
  <si>
    <t>BUBBLES O2 PEDAS</t>
  </si>
  <si>
    <t>WI-0063</t>
  </si>
  <si>
    <t>3001/286</t>
  </si>
  <si>
    <t>MYKEDAI. RETAIL UNIT K2039-1,</t>
  </si>
  <si>
    <t>CYBERJAYA UTARA MRT</t>
  </si>
  <si>
    <t xml:space="preserve"> PUTRAJAYA LINE, CYBERJAYA </t>
  </si>
  <si>
    <t>0139047815</t>
  </si>
  <si>
    <t>SM-0285</t>
  </si>
  <si>
    <t>3001/287</t>
  </si>
  <si>
    <t xml:space="preserve">GERAI NO 1, KAWASAN REHAT </t>
  </si>
  <si>
    <t>DAN RAWAT ARAH UTARA.</t>
  </si>
  <si>
    <t>BUKIT MERAH, GUNUNG SEMANGGOL</t>
  </si>
  <si>
    <t>0125098499</t>
  </si>
  <si>
    <t>CF-0133</t>
  </si>
  <si>
    <t>3001/288</t>
  </si>
  <si>
    <t>NO 58-G JALAN EQUINE 1B,</t>
  </si>
  <si>
    <t>TAMAN EQUINE,</t>
  </si>
  <si>
    <t>SERI KEMBANGAN</t>
  </si>
  <si>
    <t xml:space="preserve">info@kulitas.com.my  </t>
  </si>
  <si>
    <t>0395480566</t>
  </si>
  <si>
    <t>AG-0022</t>
  </si>
  <si>
    <t>3001/289</t>
  </si>
  <si>
    <t>84-G, LORONG MENGKUANG INDAH 2</t>
  </si>
  <si>
    <t>TAMAN SERI AKASIA,</t>
  </si>
  <si>
    <t xml:space="preserve"> KUBANG SEMANG, </t>
  </si>
  <si>
    <t xml:space="preserve">info.bknfbp@gmail.com </t>
  </si>
  <si>
    <t>0193664171</t>
  </si>
  <si>
    <t>PH-0027</t>
  </si>
  <si>
    <t>3001/290</t>
  </si>
  <si>
    <t>WISMA FELCRA, SETAPAK JAYA 2,</t>
  </si>
  <si>
    <t>0198565325</t>
  </si>
  <si>
    <t>CM-0038</t>
  </si>
  <si>
    <t>3001/291</t>
  </si>
  <si>
    <t>SHELL SEKSYEN 9 BANGI</t>
  </si>
  <si>
    <t>STESEN MINYAK SHELL LP 11</t>
  </si>
  <si>
    <t xml:space="preserve">PERSIARAN KEMAJUAN  SEKSYEN 9 </t>
  </si>
  <si>
    <t xml:space="preserve">mynpstop@gmail.com  </t>
  </si>
  <si>
    <t>0389262230</t>
  </si>
  <si>
    <t>PM-0568</t>
  </si>
  <si>
    <t>3001/292</t>
  </si>
  <si>
    <t xml:space="preserve">(DALAM PETRON STATION), </t>
  </si>
  <si>
    <t xml:space="preserve">LOT 10724, LEBUHRAYA SPA, </t>
  </si>
  <si>
    <t>BATU 12, JALAN BERTAM ULU,</t>
  </si>
  <si>
    <t xml:space="preserve">C24605067050                                 </t>
  </si>
  <si>
    <t xml:space="preserve">mstipetron@gmail.com  </t>
  </si>
  <si>
    <t>0176044479</t>
  </si>
  <si>
    <t>CF-0123</t>
  </si>
  <si>
    <t>3001/293</t>
  </si>
  <si>
    <t xml:space="preserve">NO. 70A, </t>
  </si>
  <si>
    <t>BANDAR DARULAMAN JAYA,</t>
  </si>
  <si>
    <t xml:space="preserve"> JITRA, </t>
  </si>
  <si>
    <t>CF-0138</t>
  </si>
  <si>
    <t>3001/294</t>
  </si>
  <si>
    <t xml:space="preserve">NO5-G,GROUND FLOOR, </t>
  </si>
  <si>
    <t>JALAN P16/1,</t>
  </si>
  <si>
    <t>PRESINT 16,</t>
  </si>
  <si>
    <t xml:space="preserve">C21686498040                                 </t>
  </si>
  <si>
    <t xml:space="preserve">accounts@darussalam.com  </t>
  </si>
  <si>
    <t>0388617836</t>
  </si>
  <si>
    <t>CM-0075</t>
  </si>
  <si>
    <t>3001/295</t>
  </si>
  <si>
    <t>MUTIARA BANGI</t>
  </si>
  <si>
    <t>SM-0417</t>
  </si>
  <si>
    <t>3001/296</t>
  </si>
  <si>
    <t>WI-0001</t>
  </si>
  <si>
    <t>3001/297</t>
  </si>
  <si>
    <t>GERAI NO 10, RNR KM75,</t>
  </si>
  <si>
    <t>MACHAP UTARA,LEBUHRAYA</t>
  </si>
  <si>
    <t xml:space="preserve"> UTARA SELATAN, KLUANG </t>
  </si>
  <si>
    <t>0177747834</t>
  </si>
  <si>
    <t>CF-0024</t>
  </si>
  <si>
    <t>3001/298</t>
  </si>
  <si>
    <t>W/HOUSE CENTRAL REGION, LOT82A</t>
  </si>
  <si>
    <t>LORONG 3 KG. TENGAH BATU 13,</t>
  </si>
  <si>
    <t>JALAN PUCHONG SHAH ALAM,</t>
  </si>
  <si>
    <t>01110864801</t>
  </si>
  <si>
    <t>CO-0011</t>
  </si>
  <si>
    <t>3001/299</t>
  </si>
  <si>
    <t>NO.17 LOT KEDAI TMN PINANGJAYA</t>
  </si>
  <si>
    <t>JALAN PINANG JAYA,</t>
  </si>
  <si>
    <t>KEPALA BATAS, ALOR SETAR</t>
  </si>
  <si>
    <t xml:space="preserve">zairulhisham_73@yahoo.com  </t>
  </si>
  <si>
    <t>0194296885</t>
  </si>
  <si>
    <t>CM-0021</t>
  </si>
  <si>
    <t>3001/300</t>
  </si>
  <si>
    <t>PETRON CHANGKAT CERMIN</t>
  </si>
  <si>
    <t>Stesen Minyak Petron, PT 50803</t>
  </si>
  <si>
    <t>Kampung Changkat Cermin</t>
  </si>
  <si>
    <t>PM-0655</t>
  </si>
  <si>
    <t>3001/301</t>
  </si>
  <si>
    <t>36, JALAN BANDAR SENAWANG 4,</t>
  </si>
  <si>
    <t>PUSAT BANDAR SENAWANG, 70450</t>
  </si>
  <si>
    <t>01151160186</t>
  </si>
  <si>
    <t>SM-0200</t>
  </si>
  <si>
    <t>3001/302</t>
  </si>
  <si>
    <t>LOT PTD 173047 BAYU SENIBONG</t>
  </si>
  <si>
    <t>BANDAR BARU PERMAS JAYA</t>
  </si>
  <si>
    <t>MASAI</t>
  </si>
  <si>
    <t>0127862202</t>
  </si>
  <si>
    <t>PH-0001</t>
  </si>
  <si>
    <t>3001/303</t>
  </si>
  <si>
    <t>NO 234, JALAN SEMARAK API F3/1</t>
  </si>
  <si>
    <t>TAMAN SEMARAK API 3,</t>
  </si>
  <si>
    <t>CHANGLUN</t>
  </si>
  <si>
    <t>0125272427</t>
  </si>
  <si>
    <t>SM-0222</t>
  </si>
  <si>
    <t>3001/304</t>
  </si>
  <si>
    <t>SM-0365</t>
  </si>
  <si>
    <t>3001/305</t>
  </si>
  <si>
    <t>HQ JHEAINS SEREMBAN</t>
  </si>
  <si>
    <t>0166565458</t>
  </si>
  <si>
    <t>SM-0394</t>
  </si>
  <si>
    <t>3001/306</t>
  </si>
  <si>
    <t>0125692258</t>
  </si>
  <si>
    <t>WI-0329</t>
  </si>
  <si>
    <t>3001/307</t>
  </si>
  <si>
    <t>NO. 8, JALAN 1/3S,</t>
  </si>
  <si>
    <t xml:space="preserve"> VILLA SUTERA,</t>
  </si>
  <si>
    <t xml:space="preserve">normahalias5806@gmail.com    </t>
  </si>
  <si>
    <t>0122029265</t>
  </si>
  <si>
    <t>SM-0397</t>
  </si>
  <si>
    <t>3001/308</t>
  </si>
  <si>
    <t>CALTEX SALOR Lot 2651</t>
  </si>
  <si>
    <t xml:space="preserve"> Kampung Padang  Merbau,</t>
  </si>
  <si>
    <t>Salor, Mukim Pasir Mas,</t>
  </si>
  <si>
    <t xml:space="preserve">kumajuss2.0@gmail.com   </t>
  </si>
  <si>
    <t>0139826042</t>
  </si>
  <si>
    <t>PM-0453</t>
  </si>
  <si>
    <t>3001/309</t>
  </si>
  <si>
    <t>CALTEX NO. 45, JALAN RAHMAT,</t>
  </si>
  <si>
    <t>83000 BATU PAHAT, JOHOR</t>
  </si>
  <si>
    <t>0167698885</t>
  </si>
  <si>
    <t>SM-0058</t>
  </si>
  <si>
    <t>3001/310</t>
  </si>
  <si>
    <t>North-South Expy,</t>
  </si>
  <si>
    <t>Behrang Ulu,</t>
  </si>
  <si>
    <t>0163429862</t>
  </si>
  <si>
    <t>CF-0108</t>
  </si>
  <si>
    <t>3001/311</t>
  </si>
  <si>
    <t>CALTEX WIRAWANG</t>
  </si>
  <si>
    <t>LOT 4216, BATU 18, JALAN BESAR</t>
  </si>
  <si>
    <t>KAMPUNG BARU SUBANG</t>
  </si>
  <si>
    <t>C3875685040</t>
  </si>
  <si>
    <t>finance.wirawangsb@gmail.com</t>
  </si>
  <si>
    <t>0122133125</t>
  </si>
  <si>
    <t>PM-0988</t>
  </si>
  <si>
    <t>3001/312</t>
  </si>
  <si>
    <t>NO. 7 TINGKAT BAWAH,</t>
  </si>
  <si>
    <t xml:space="preserve">JALAN SERI DAGANGAN 1, SERI </t>
  </si>
  <si>
    <t>DAGANGAN PERAMU, PEKAN</t>
  </si>
  <si>
    <t>C25169063060</t>
  </si>
  <si>
    <t xml:space="preserve">finance.marmin@gmail.com  </t>
  </si>
  <si>
    <t>01116776799</t>
  </si>
  <si>
    <t>PH-0005</t>
  </si>
  <si>
    <t>3001/313</t>
  </si>
  <si>
    <t>CALTEX JALAN LONG YUNUS</t>
  </si>
  <si>
    <t>Lot PT.790Jln Pekeliling Kota</t>
  </si>
  <si>
    <t>Bharu,Kota Bahru,</t>
  </si>
  <si>
    <t xml:space="preserve">kham_caltex@yahoo.com     </t>
  </si>
  <si>
    <t>0129655552</t>
  </si>
  <si>
    <t>PM-0795</t>
  </si>
  <si>
    <t>3001/314</t>
  </si>
  <si>
    <t>(RUMAH BERDEKATAN DENGAN RUMAH</t>
  </si>
  <si>
    <t>PAK USU GUARD)</t>
  </si>
  <si>
    <t>SM-0418</t>
  </si>
  <si>
    <t>3001/315</t>
  </si>
  <si>
    <t>FARMASI TAWAKAL 10 A,</t>
  </si>
  <si>
    <t>PEKAN KUALA NERANG, 06300</t>
  </si>
  <si>
    <t>KUALA NERANG</t>
  </si>
  <si>
    <t>06300</t>
  </si>
  <si>
    <t>0195724388</t>
  </si>
  <si>
    <t>SM-0341</t>
  </si>
  <si>
    <t>3001/316</t>
  </si>
  <si>
    <t>B-24H, KOMPLEKS HIG, GM 6101,</t>
  </si>
  <si>
    <t>LOT 1434, BANDAR KUAH, 07000</t>
  </si>
  <si>
    <t>01110403868</t>
  </si>
  <si>
    <t>SM-0005</t>
  </si>
  <si>
    <t>3001/317</t>
  </si>
  <si>
    <t>UMART 1 (BANGUAN WAD PESAKIT)</t>
  </si>
  <si>
    <t xml:space="preserve">HOSPITAK CONSELOR TUANKU </t>
  </si>
  <si>
    <t>MUHRIZ, BNDR TUN RAZAK CHERAS</t>
  </si>
  <si>
    <t>0125205923</t>
  </si>
  <si>
    <t>CM-0100</t>
  </si>
  <si>
    <t>3001/318</t>
  </si>
  <si>
    <t>UMART2(SEBELAH UNIT KECEMASAN)</t>
  </si>
  <si>
    <t>H/PITAL CONSELOR TUANKU MUHRIZ</t>
  </si>
  <si>
    <t>BANDAR TUN RAZAK, CHERAS</t>
  </si>
  <si>
    <t>CM-0101</t>
  </si>
  <si>
    <t>3001/319</t>
  </si>
  <si>
    <t>MUSOLLA AR RAUDHAH, JALAN</t>
  </si>
  <si>
    <t>PELINDUNG PERDANA, BERSERAH</t>
  </si>
  <si>
    <t>01110971194</t>
  </si>
  <si>
    <t>SM-0276</t>
  </si>
  <si>
    <t>3001/320</t>
  </si>
  <si>
    <t>204, JALAN MATAHARI 5,TAMAN</t>
  </si>
  <si>
    <t xml:space="preserve"> MATARHARI HEIGHTS, SENAWANG</t>
  </si>
  <si>
    <t>0122787677</t>
  </si>
  <si>
    <t>SM-0323</t>
  </si>
  <si>
    <t>3001/321</t>
  </si>
  <si>
    <t>PT284, TINGKAT 1, SEKSYEN 22,</t>
  </si>
  <si>
    <t>JALAN KOTA DARULNAIM,</t>
  </si>
  <si>
    <t xml:space="preserve">KOTA BHARU </t>
  </si>
  <si>
    <t>0139306262</t>
  </si>
  <si>
    <t>CF-0047</t>
  </si>
  <si>
    <t>3001/322</t>
  </si>
  <si>
    <t>LOT 13809A, TAMAN BUNGA RAYA,</t>
  </si>
  <si>
    <t>JALAN MAMBAU, 70300 SEREMBAN</t>
  </si>
  <si>
    <t>0195118778</t>
  </si>
  <si>
    <t>SM-0514</t>
  </si>
  <si>
    <t>3001/323</t>
  </si>
  <si>
    <t>NO 22, JALAN GOLF 2,</t>
  </si>
  <si>
    <t>GOLF HEIGHT AMPANGAN,</t>
  </si>
  <si>
    <t>01123369080</t>
  </si>
  <si>
    <t>SM-0213</t>
  </si>
  <si>
    <t>3001/324</t>
  </si>
  <si>
    <t>TS7110, LOT 508,</t>
  </si>
  <si>
    <t xml:space="preserve">JALAN TANAH LOT 2, TANAH LIAT </t>
  </si>
  <si>
    <t>0134302432</t>
  </si>
  <si>
    <t>SM-0398</t>
  </si>
  <si>
    <t>3001/325</t>
  </si>
  <si>
    <t>0176752012</t>
  </si>
  <si>
    <t>SM-0121</t>
  </si>
  <si>
    <t>3001/326</t>
  </si>
  <si>
    <t>NO 1, JALAN SEKSYEN 2/10</t>
  </si>
  <si>
    <t>KAJANG UTAMA 43000 KAJANG</t>
  </si>
  <si>
    <t>0199179379</t>
  </si>
  <si>
    <t>SM-0378</t>
  </si>
  <si>
    <t>3001/327</t>
  </si>
  <si>
    <t>B5 KOMPLEK TAMPIN SQUARE,</t>
  </si>
  <si>
    <t>0105324658</t>
  </si>
  <si>
    <t>SM-0131</t>
  </si>
  <si>
    <t>3001/328</t>
  </si>
  <si>
    <t>NO. 19, JALAN SERI ALAM 2,</t>
  </si>
  <si>
    <t>TAMAN SERI ALAM</t>
  </si>
  <si>
    <t>SUNGAI BULOH</t>
  </si>
  <si>
    <t>0126599272</t>
  </si>
  <si>
    <t>SM-0357</t>
  </si>
  <si>
    <t>3001/329</t>
  </si>
  <si>
    <t>LOT 2756, A&amp;B BATU 1/2,</t>
  </si>
  <si>
    <t>JALAN ABI TOK HASHIM,</t>
  </si>
  <si>
    <t>DATARAN GENTING BEHOR EMPIANG,</t>
  </si>
  <si>
    <t>00100</t>
  </si>
  <si>
    <t>0134878930</t>
  </si>
  <si>
    <t>HM-0009</t>
  </si>
  <si>
    <t>3001/330</t>
  </si>
  <si>
    <t>KUALA LUMPUR RAILWAY STATION,</t>
  </si>
  <si>
    <t>JALAN SULTAN HISHAMUDDIN,</t>
  </si>
  <si>
    <t>0169202348</t>
  </si>
  <si>
    <t>CM-0086</t>
  </si>
  <si>
    <t>3001/331</t>
  </si>
  <si>
    <t>NO 64, JALAN 11/10,</t>
  </si>
  <si>
    <t>TAMAN KOPERASI POLIS FASA 1,</t>
  </si>
  <si>
    <t>01112411520</t>
  </si>
  <si>
    <t>CF-0104</t>
  </si>
  <si>
    <t>3001/332</t>
  </si>
  <si>
    <t xml:space="preserve">NO.5 </t>
  </si>
  <si>
    <t>KAWASAN R&amp;R ARAH SELATAN</t>
  </si>
  <si>
    <t xml:space="preserve"> ULU BERNAM </t>
  </si>
  <si>
    <t>01139554506</t>
  </si>
  <si>
    <t>CF-0131</t>
  </si>
  <si>
    <t>3001/333</t>
  </si>
  <si>
    <t>KPJ DAMANSARA SPECIALIST HOSPITAL,</t>
  </si>
  <si>
    <t xml:space="preserve">119, JALAN SS 20/10, </t>
  </si>
  <si>
    <t xml:space="preserve">DAMANSARA UTAMA, </t>
  </si>
  <si>
    <t>01162266920</t>
  </si>
  <si>
    <t>PH-0046</t>
  </si>
  <si>
    <t>3001/334</t>
  </si>
  <si>
    <t xml:space="preserve">KEDAH MEDICAL CENTRE, </t>
  </si>
  <si>
    <t>MUKIM ALOR MERAH,</t>
  </si>
  <si>
    <t>KG PUMPANG, ALOR SETAR,</t>
  </si>
  <si>
    <t>05259</t>
  </si>
  <si>
    <t>0194405929</t>
  </si>
  <si>
    <t>PH-0040</t>
  </si>
  <si>
    <t>3001/335</t>
  </si>
  <si>
    <t>BLOCK 7H, 7J &amp; 7K, BATU 7 1/2,</t>
  </si>
  <si>
    <t>JALAN RAWANG SELAYANG</t>
  </si>
  <si>
    <t>0196075641</t>
  </si>
  <si>
    <t>HM-0020</t>
  </si>
  <si>
    <t>3001/336</t>
  </si>
  <si>
    <t>10376 KAMPUNG GONG DATUK,</t>
  </si>
  <si>
    <t>MENGABANG TELIPOT,</t>
  </si>
  <si>
    <t>0199852294</t>
  </si>
  <si>
    <t>PH-0025</t>
  </si>
  <si>
    <t>3001/337</t>
  </si>
  <si>
    <t>430A TAMAN TASEK MAJU,</t>
  </si>
  <si>
    <t>14120 SIMPANG AMPAT,</t>
  </si>
  <si>
    <t>PENANG</t>
  </si>
  <si>
    <t>0124451124</t>
  </si>
  <si>
    <t>SM-0271</t>
  </si>
  <si>
    <t>3001/338</t>
  </si>
  <si>
    <t xml:space="preserve">AZYB UTAMA ENTERPRISE LOT 19, </t>
  </si>
  <si>
    <t>BATU 6 3/4, JLN KUALA PERLIS,</t>
  </si>
  <si>
    <t>KUALA PERLIS</t>
  </si>
  <si>
    <t>02000</t>
  </si>
  <si>
    <t>SM-0512</t>
  </si>
  <si>
    <t>3001/339</t>
  </si>
  <si>
    <t xml:space="preserve">MUTIARA 2 , LOT 832,LORONG </t>
  </si>
  <si>
    <t>TOK KASIBAN, KG JLN 6 KAKI,</t>
  </si>
  <si>
    <t>BERANANG</t>
  </si>
  <si>
    <t>0193504868</t>
  </si>
  <si>
    <t>SM-0423</t>
  </si>
  <si>
    <t>3001/340</t>
  </si>
  <si>
    <t>137, JALAN LU 2/2,</t>
  </si>
  <si>
    <t>TAMAN LANGAT UTAMA,</t>
  </si>
  <si>
    <t xml:space="preserve">fhmhealthcaresb@gmail.com                         </t>
  </si>
  <si>
    <t>0194672036</t>
  </si>
  <si>
    <t>PH-0034</t>
  </si>
  <si>
    <t>3001/341</t>
  </si>
  <si>
    <t>NO. 1A, JALAN AEROBIK 13/43,</t>
  </si>
  <si>
    <t>PERSIARAN KAYANGAN,</t>
  </si>
  <si>
    <t xml:space="preserve">gm@kelabshahalam.com    </t>
  </si>
  <si>
    <t>0182351123</t>
  </si>
  <si>
    <t>CF-0083</t>
  </si>
  <si>
    <t>3001/342</t>
  </si>
  <si>
    <t>9525 C, BATU 10 SETENGAH,</t>
  </si>
  <si>
    <t>JALAN GONG BADAK,</t>
  </si>
  <si>
    <t>KUALA NERUS</t>
  </si>
  <si>
    <t>0169803217</t>
  </si>
  <si>
    <t>CM-0051</t>
  </si>
  <si>
    <t>3001/343</t>
  </si>
  <si>
    <t>PS KM 3, JALAN KUALA KRAI</t>
  </si>
  <si>
    <t>LOT 148, SEKSYEN 22</t>
  </si>
  <si>
    <t xml:space="preserve">koopkpkb@yahoo.com   </t>
  </si>
  <si>
    <t>097441924</t>
  </si>
  <si>
    <t>PM-0412</t>
  </si>
  <si>
    <t>3001/344</t>
  </si>
  <si>
    <t>NO. 18 LORONG MASRIA 4,</t>
  </si>
  <si>
    <t>TAMAN BUNGA RAYA, SETAPAK</t>
  </si>
  <si>
    <t>0133917100</t>
  </si>
  <si>
    <t>SM-0342</t>
  </si>
  <si>
    <t>3001/345</t>
  </si>
  <si>
    <t>0123826996</t>
  </si>
  <si>
    <t>SM-0202</t>
  </si>
  <si>
    <t>3001/346</t>
  </si>
  <si>
    <t>NO 2 JALAN 2/1L, MUTIARA BANGI</t>
  </si>
  <si>
    <t xml:space="preserve">oramlan56@gmail.com      </t>
  </si>
  <si>
    <t>0123000525</t>
  </si>
  <si>
    <t>SM-0206</t>
  </si>
  <si>
    <t>3001/347</t>
  </si>
  <si>
    <t>BANDAR TASIK PUTERI</t>
  </si>
  <si>
    <t>0132002148</t>
  </si>
  <si>
    <t>SM-0256</t>
  </si>
  <si>
    <t>3001/348</t>
  </si>
  <si>
    <t>SM-0468</t>
  </si>
  <si>
    <t>3001/349</t>
  </si>
  <si>
    <t>NO 6, PLAZA D MARA BESERI</t>
  </si>
  <si>
    <t>02400 BESERI, PERLIS</t>
  </si>
  <si>
    <t>02400</t>
  </si>
  <si>
    <t>0194564004</t>
  </si>
  <si>
    <t>SM-0137</t>
  </si>
  <si>
    <t>3001/350</t>
  </si>
  <si>
    <t>PS MUKIM KUSIAL</t>
  </si>
  <si>
    <t>LOT 2799, GM 2061 JLN MACHANG</t>
  </si>
  <si>
    <t>mofiz_pet@yahoo.com.my</t>
  </si>
  <si>
    <t>099502402</t>
  </si>
  <si>
    <t>SM-0288</t>
  </si>
  <si>
    <t>3001/351</t>
  </si>
  <si>
    <t>NO.14, STADIUM DARUL AMAN</t>
  </si>
  <si>
    <t>0124656294</t>
  </si>
  <si>
    <t>CF-0139</t>
  </si>
  <si>
    <t>3001/352</t>
  </si>
  <si>
    <t>NO. 10 JALAN PERAK P15,</t>
  </si>
  <si>
    <t>0192421554</t>
  </si>
  <si>
    <t>SM-0008</t>
  </si>
  <si>
    <t>3001/353</t>
  </si>
  <si>
    <t xml:space="preserve">KOPERASI KARIAH MASJID </t>
  </si>
  <si>
    <t>DATO' SHEIKH ADNAN PENAGA</t>
  </si>
  <si>
    <t>JALAN BESAR PENAGA,</t>
  </si>
  <si>
    <t>0194033040</t>
  </si>
  <si>
    <t>SM-0274</t>
  </si>
  <si>
    <t>3001/354</t>
  </si>
  <si>
    <t xml:space="preserve">NO.37 B, </t>
  </si>
  <si>
    <t>BANDAR BARU DARUL AMAN,</t>
  </si>
  <si>
    <t>0197555544</t>
  </si>
  <si>
    <t>CF-0082</t>
  </si>
  <si>
    <t>3001/355</t>
  </si>
  <si>
    <t>10-G, JALAN OASIS 1,</t>
  </si>
  <si>
    <t>PUSAT PERNIAGAAN OASIS,</t>
  </si>
  <si>
    <t>0197825004</t>
  </si>
  <si>
    <t>CF-0124</t>
  </si>
  <si>
    <t>3001/356</t>
  </si>
  <si>
    <t>PINTU-C, CASA-1,</t>
  </si>
  <si>
    <t>MAJLIS SUKAN NEGARA</t>
  </si>
  <si>
    <t>BUKIT JALIL,</t>
  </si>
  <si>
    <t>0193318786</t>
  </si>
  <si>
    <t>CM-0014</t>
  </si>
  <si>
    <t>3001/357</t>
  </si>
  <si>
    <t>PETRON BOTA WESTBOUND</t>
  </si>
  <si>
    <t>STESYEN MINYAK PETRON</t>
  </si>
  <si>
    <t>PT 50803, KG CHANGKAT CERMIN</t>
  </si>
  <si>
    <t>PM-0654</t>
  </si>
  <si>
    <t>3001/358</t>
  </si>
  <si>
    <t>WESTSTAR CAFE, BANGUNAN HONDA,</t>
  </si>
  <si>
    <t>MENARA WESTSTAR, JLN LINGKARAN</t>
  </si>
  <si>
    <t>TENGAH 2,AMPANG</t>
  </si>
  <si>
    <t>0124013520</t>
  </si>
  <si>
    <t>SM-0503</t>
  </si>
  <si>
    <t>3001/359</t>
  </si>
  <si>
    <t>BHP PASIR BESAR</t>
  </si>
  <si>
    <t>FELDA PASIR BESAR,</t>
  </si>
  <si>
    <t xml:space="preserve">C25271374050 </t>
  </si>
  <si>
    <t xml:space="preserve">bp.pasirbesar@felda.net.my  </t>
  </si>
  <si>
    <t>064576673</t>
  </si>
  <si>
    <t>PM-0438</t>
  </si>
  <si>
    <t>3001/360</t>
  </si>
  <si>
    <t xml:space="preserve">GERAI NO.4, </t>
  </si>
  <si>
    <t>R&amp;R SEMANGGOL ARAH UTARA,</t>
  </si>
  <si>
    <t>SIMPANG AMPAT, SEMANGGOL</t>
  </si>
  <si>
    <t xml:space="preserve">shafiqahsafiee@gmail.com </t>
  </si>
  <si>
    <t>0175580262</t>
  </si>
  <si>
    <t>CF-0148</t>
  </si>
  <si>
    <t>3001/361</t>
  </si>
  <si>
    <t xml:space="preserve">GERAI NO 8, KAWASAN REHAT </t>
  </si>
  <si>
    <t>DAN RAWAT ARAH SELATAN,</t>
  </si>
  <si>
    <t>GUNUNG SEMANGGOL  SPG AMPAT,</t>
  </si>
  <si>
    <t>0142571742</t>
  </si>
  <si>
    <t>CF-0075</t>
  </si>
  <si>
    <t>3001/362</t>
  </si>
  <si>
    <t>NO 17</t>
  </si>
  <si>
    <t>HENTIAN SEBELAH BUKIT GANTANG</t>
  </si>
  <si>
    <t>01124218696</t>
  </si>
  <si>
    <t>CF-0070</t>
  </si>
  <si>
    <t>3001/363</t>
  </si>
  <si>
    <t>NO 13,</t>
  </si>
  <si>
    <t>JALAN KAJANG IMPIAN 1/2,</t>
  </si>
  <si>
    <t>TAMAN KAJANG IMPIAN  KAJANG,</t>
  </si>
  <si>
    <t>0149252600</t>
  </si>
  <si>
    <t>CF-0089</t>
  </si>
  <si>
    <t>3001/364</t>
  </si>
  <si>
    <t>TINGKAT 11, MENARA PNB,</t>
  </si>
  <si>
    <t>201-A, JALAN TUN RAZAK,</t>
  </si>
  <si>
    <t xml:space="preserve">KUALA LUMPUR </t>
  </si>
  <si>
    <t>0183244602</t>
  </si>
  <si>
    <t>CO-0032</t>
  </si>
  <si>
    <t>3001/365</t>
  </si>
  <si>
    <t>PETRON KG TUNKU</t>
  </si>
  <si>
    <t>NO 52 JLN SS 1/22</t>
  </si>
  <si>
    <t>PM-0735</t>
  </si>
  <si>
    <t>3001/366</t>
  </si>
  <si>
    <t xml:space="preserve">NO. 28, </t>
  </si>
  <si>
    <t>JALAN SRI QASEH PERMAI,</t>
  </si>
  <si>
    <t>DESA SRI QASEH, SEPANG,</t>
  </si>
  <si>
    <t xml:space="preserve">fatinatiqah18@gmail.com  </t>
  </si>
  <si>
    <t>0176083882</t>
  </si>
  <si>
    <t>SM-0500</t>
  </si>
  <si>
    <t>3001/367</t>
  </si>
  <si>
    <t>13A-1, JALAN PUTRA 6,</t>
  </si>
  <si>
    <t>TAMAN PUTRA KAJANG, 43000</t>
  </si>
  <si>
    <t>0137799351</t>
  </si>
  <si>
    <t>SM-0447</t>
  </si>
  <si>
    <t>3001/368</t>
  </si>
  <si>
    <t>A109 KG. PAGAR BESI BATU RAKIT</t>
  </si>
  <si>
    <t>21020 KUALA NERUS TERENGGANU</t>
  </si>
  <si>
    <t>0139698010</t>
  </si>
  <si>
    <t>SM-0348</t>
  </si>
  <si>
    <t>3001/369</t>
  </si>
  <si>
    <t xml:space="preserve">KG KUBANG MENERONG </t>
  </si>
  <si>
    <t>PADANG SERA,</t>
  </si>
  <si>
    <t xml:space="preserve"> KODIANG, </t>
  </si>
  <si>
    <t>06100</t>
  </si>
  <si>
    <t>0194562003</t>
  </si>
  <si>
    <t>SM-0429</t>
  </si>
  <si>
    <t>3001/370</t>
  </si>
  <si>
    <t>KOMPLEKS HIG,</t>
  </si>
  <si>
    <t>LOT 1852, KOMPLEK HIG,</t>
  </si>
  <si>
    <t>JALAN PENARAK,KUAH</t>
  </si>
  <si>
    <t xml:space="preserve">roslee7777@gmail.com     </t>
  </si>
  <si>
    <t>0124707376</t>
  </si>
  <si>
    <t>CM-0043</t>
  </si>
  <si>
    <t>3001/371</t>
  </si>
  <si>
    <t xml:space="preserve">NO.34, SETIABAKTI 10, </t>
  </si>
  <si>
    <t>BUKIT DAMANSARA,</t>
  </si>
  <si>
    <t xml:space="preserve"> KUALA LUMPUR</t>
  </si>
  <si>
    <t>0192488243</t>
  </si>
  <si>
    <t>SM-0075</t>
  </si>
  <si>
    <t>3001/372</t>
  </si>
  <si>
    <t>A-15-03 DESA PUTRA CONDOMINIUM</t>
  </si>
  <si>
    <t>JALAN WANGSA PERDANA 3</t>
  </si>
  <si>
    <t>WANGSA MAJU</t>
  </si>
  <si>
    <t>0133793678</t>
  </si>
  <si>
    <t>SM-0338</t>
  </si>
  <si>
    <t>3001/373</t>
  </si>
  <si>
    <t>CALTEX SEA PARK</t>
  </si>
  <si>
    <t>1, Jalan 20/1, Seapark,</t>
  </si>
  <si>
    <t xml:space="preserve">IG 22017946080     </t>
  </si>
  <si>
    <t>0196799696</t>
  </si>
  <si>
    <t>PM-0639</t>
  </si>
  <si>
    <t>3001/374</t>
  </si>
  <si>
    <t>LOT 711, JALAN MUNGKAL</t>
  </si>
  <si>
    <t>KAMPUNG KUNDUR HULU,</t>
  </si>
  <si>
    <t>PEDAS</t>
  </si>
  <si>
    <t>0196511200</t>
  </si>
  <si>
    <t>KO-0004</t>
  </si>
  <si>
    <t>3001/375</t>
  </si>
  <si>
    <t>NO. 48, KG. TUALANG SALAK,</t>
  </si>
  <si>
    <t>JLN BEKELAM-JELAWAT,</t>
  </si>
  <si>
    <t>BACHOK</t>
  </si>
  <si>
    <t>01110773603</t>
  </si>
  <si>
    <t>SM-0353</t>
  </si>
  <si>
    <t>3001/376</t>
  </si>
  <si>
    <t>NO 5 LOT 2241 LORONG SARIDIN</t>
  </si>
  <si>
    <t>KAMPUNG DELEK KANAN,</t>
  </si>
  <si>
    <t>0132188895</t>
  </si>
  <si>
    <t>SM-0464</t>
  </si>
  <si>
    <t>3001/377</t>
  </si>
  <si>
    <t>PHARMACY NO 22-1,</t>
  </si>
  <si>
    <t>JALAN NOVA K, U5/K,</t>
  </si>
  <si>
    <t>SUBANG BESTARI SHAH ALAM</t>
  </si>
  <si>
    <t>0193553929</t>
  </si>
  <si>
    <t>PH-0036</t>
  </si>
  <si>
    <t>3001/378</t>
  </si>
  <si>
    <t>CALTEX SRI TOK BALI (XP)</t>
  </si>
  <si>
    <t>Lot PT 2575, Kampung Air Tawar</t>
  </si>
  <si>
    <t>Mukim Semarak,</t>
  </si>
  <si>
    <t>IG 23346473050</t>
  </si>
  <si>
    <t>mohamadsatar5112@gmail.com</t>
  </si>
  <si>
    <t>0199908866</t>
  </si>
  <si>
    <t>PM-0545</t>
  </si>
  <si>
    <t>3001/379</t>
  </si>
  <si>
    <t>CALTEX SENTOSA BACHOK</t>
  </si>
  <si>
    <t>LOT 1682 KG. SRI SENTOSA,</t>
  </si>
  <si>
    <t>BERIS KUBOR BESAR.</t>
  </si>
  <si>
    <t>0139411757</t>
  </si>
  <si>
    <t>PM-0098</t>
  </si>
  <si>
    <t>3001/380</t>
  </si>
  <si>
    <t>NO 9, LORONG TTJS 3/6,</t>
  </si>
  <si>
    <t>TAMAN TUANKU JAAFAR, 71450</t>
  </si>
  <si>
    <t>SG GADUT, SEREMBAN</t>
  </si>
  <si>
    <t>0147206337</t>
  </si>
  <si>
    <t>SM-0028</t>
  </si>
  <si>
    <t>3001/381</t>
  </si>
  <si>
    <t xml:space="preserve">NO 2236, TAMAN BANDAR BARU </t>
  </si>
  <si>
    <t xml:space="preserve">KAMPAR, </t>
  </si>
  <si>
    <t xml:space="preserve">1019643-M                               </t>
  </si>
  <si>
    <t xml:space="preserve">C22362461060                                 </t>
  </si>
  <si>
    <t xml:space="preserve">pmgpharmacytapah@gmail.com  </t>
  </si>
  <si>
    <t>0147417743</t>
  </si>
  <si>
    <t>SM-0386</t>
  </si>
  <si>
    <t>3001/382</t>
  </si>
  <si>
    <t>CALTEX JALAN KAKI BUKIT</t>
  </si>
  <si>
    <t>LOT 3608, BATU 7,</t>
  </si>
  <si>
    <t>JLN KAKI BUKIT, MUKIM BERSERI</t>
  </si>
  <si>
    <t xml:space="preserve">yunsinar2025@gmail.com       </t>
  </si>
  <si>
    <t>0135979346</t>
  </si>
  <si>
    <t>PM-0998</t>
  </si>
  <si>
    <t>3001/383</t>
  </si>
  <si>
    <t>CALTEX JALAN PEGAWAI Lot 3337,</t>
  </si>
  <si>
    <t xml:space="preserve"> Persiaran Sultan Abd. Hamid,</t>
  </si>
  <si>
    <t>(Jalan Pegawai),</t>
  </si>
  <si>
    <t xml:space="preserve">ppputamaenterprise@gmail.com,  </t>
  </si>
  <si>
    <t>0125899772</t>
  </si>
  <si>
    <t>PM-0698</t>
  </si>
  <si>
    <t>3001/384</t>
  </si>
  <si>
    <t xml:space="preserve">333 PETROL STATION CALTEX </t>
  </si>
  <si>
    <t xml:space="preserve"> JLN LENCONG BARAT LEBUHRAYA</t>
  </si>
  <si>
    <t xml:space="preserve"> SULTANAH BAHIYAH TAMAN</t>
  </si>
  <si>
    <t xml:space="preserve">caltexteratunas@gmail.com     </t>
  </si>
  <si>
    <t>0193683992</t>
  </si>
  <si>
    <t>PM-0947</t>
  </si>
  <si>
    <t>3001/385</t>
  </si>
  <si>
    <t>CALTEX TAMAN SURIA</t>
  </si>
  <si>
    <t>LOT 2210, JALAN KODIANG,</t>
  </si>
  <si>
    <t>JITRA,</t>
  </si>
  <si>
    <t xml:space="preserve">fullshengsb@gmail.com     </t>
  </si>
  <si>
    <t>0164151509</t>
  </si>
  <si>
    <t>PM-0262</t>
  </si>
  <si>
    <t>3001/386</t>
  </si>
  <si>
    <t>27, JALAN KENT 3,</t>
  </si>
  <si>
    <t>KAMPUNG DATUK KERAMAT, 54000</t>
  </si>
  <si>
    <t xml:space="preserve"> WILAYAH PERSEKUTUAN</t>
  </si>
  <si>
    <t>0172752503</t>
  </si>
  <si>
    <t>SM-0270</t>
  </si>
  <si>
    <t>3001/387</t>
  </si>
  <si>
    <t>LOT 3430 BINTULU TOWN DISTRICT</t>
  </si>
  <si>
    <t>SUBLOT144,PARKCITYCOMMERCIALSQ</t>
  </si>
  <si>
    <t>JALAN TUN AHMAD ZAIDI,</t>
  </si>
  <si>
    <t>SARAWAK</t>
  </si>
  <si>
    <t>0128961922</t>
  </si>
  <si>
    <t>CF-0042</t>
  </si>
  <si>
    <t>3001/388</t>
  </si>
  <si>
    <t>CALTEX RANTAU PANJANG</t>
  </si>
  <si>
    <t>Lot 140, Jalan Lebuh Raya</t>
  </si>
  <si>
    <t>Rantau</t>
  </si>
  <si>
    <t xml:space="preserve">IG 11462792040 </t>
  </si>
  <si>
    <t>PM-0159</t>
  </si>
  <si>
    <t>3001/389</t>
  </si>
  <si>
    <t>MAKMAL STRUKTUR BERAT</t>
  </si>
  <si>
    <t>KOLEJ KEJURUTERAAN AWAM</t>
  </si>
  <si>
    <t>UITM SHAH ALAM SHAH ALAM</t>
  </si>
  <si>
    <t>0193106010</t>
  </si>
  <si>
    <t>SM-0309</t>
  </si>
  <si>
    <t>3001/390</t>
  </si>
  <si>
    <t>MM PAHANG</t>
  </si>
  <si>
    <t>LOT 3 KAWASAN PERINDUTRIAN</t>
  </si>
  <si>
    <t>MARAN</t>
  </si>
  <si>
    <t xml:space="preserve">shafenaz.ventures@gmail.com   </t>
  </si>
  <si>
    <t>094771202</t>
  </si>
  <si>
    <t>PM-0802</t>
  </si>
  <si>
    <t>3001/391</t>
  </si>
  <si>
    <t>PT 731B, KG PINTU GERBANG,</t>
  </si>
  <si>
    <t xml:space="preserve"> TAWANG,</t>
  </si>
  <si>
    <t xml:space="preserve"> BACHOK, </t>
  </si>
  <si>
    <t>01120690877</t>
  </si>
  <si>
    <t>SM-0167</t>
  </si>
  <si>
    <t>3001/392</t>
  </si>
  <si>
    <t>NO 4, JALAN 2/1 J,</t>
  </si>
  <si>
    <t xml:space="preserve"> MUTIARA BANGI</t>
  </si>
  <si>
    <t>0192345794</t>
  </si>
  <si>
    <t>SM-0080</t>
  </si>
  <si>
    <t>3001/393</t>
  </si>
  <si>
    <t>NO 22, JALAN BM 1/1, SEKSYEN 1</t>
  </si>
  <si>
    <t xml:space="preserve">BANGI, KAJANG, </t>
  </si>
  <si>
    <t>0122281274</t>
  </si>
  <si>
    <t>SM-0191</t>
  </si>
  <si>
    <t>3001/394</t>
  </si>
  <si>
    <t>LOT 49622, JALAN OTHMAN LAMA,</t>
  </si>
  <si>
    <t>RANTAU PANJANG, 42100 KLANG,</t>
  </si>
  <si>
    <t>01123606756</t>
  </si>
  <si>
    <t>SM-0492</t>
  </si>
  <si>
    <t>3001/395</t>
  </si>
  <si>
    <t>KOMPLEKS YAYASAN PAHANG JALAN</t>
  </si>
  <si>
    <t xml:space="preserve">TANJUNG LUMPUR </t>
  </si>
  <si>
    <t>0126823817</t>
  </si>
  <si>
    <t>SM-0508</t>
  </si>
  <si>
    <t>3001/396</t>
  </si>
  <si>
    <t xml:space="preserve">PLAZA MARA, </t>
  </si>
  <si>
    <t xml:space="preserve"> KANGAR </t>
  </si>
  <si>
    <t>0194776241</t>
  </si>
  <si>
    <t>CM-0077</t>
  </si>
  <si>
    <t>3001/397</t>
  </si>
  <si>
    <t>NO 15 PERSIARAN</t>
  </si>
  <si>
    <t xml:space="preserve"> JEJAWI UTARA,KOMPLEKS </t>
  </si>
  <si>
    <t>PERNIAGAAN UTARA JEJAWI,</t>
  </si>
  <si>
    <t>0169457872</t>
  </si>
  <si>
    <t>SM-0450</t>
  </si>
  <si>
    <t>3001/398</t>
  </si>
  <si>
    <t>7-G, MEDAN BUKIT INDAH 2,</t>
  </si>
  <si>
    <t>TAMAN BUKIT INDAH</t>
  </si>
  <si>
    <t>003442078-T</t>
  </si>
  <si>
    <t>IG 26147077090</t>
  </si>
  <si>
    <t>tawakalindahtrading@gmail.com</t>
  </si>
  <si>
    <t>0342885544</t>
  </si>
  <si>
    <t>CM-0094</t>
  </si>
  <si>
    <t>3001/399</t>
  </si>
  <si>
    <t>17-G, JALAN PRIMA UTAMA 1A,</t>
  </si>
  <si>
    <t>TAMAN PUCHONG PRIMA,</t>
  </si>
  <si>
    <t>PUCHONG</t>
  </si>
  <si>
    <t>0103703473</t>
  </si>
  <si>
    <t>PH-0039</t>
  </si>
  <si>
    <t>3001/400</t>
  </si>
  <si>
    <t>LE TOUR DE LANGKAWI -BKT JALIL</t>
  </si>
  <si>
    <t>NATIONAL SPORTS COMPLEX,</t>
  </si>
  <si>
    <t>0176326975</t>
  </si>
  <si>
    <t>CO-0019</t>
  </si>
  <si>
    <t>3001/401</t>
  </si>
  <si>
    <t>0127222206</t>
  </si>
  <si>
    <t>SM-0299</t>
  </si>
  <si>
    <t>3001/402</t>
  </si>
  <si>
    <t>NO. 18, JALAN SUAKASIH 1/3</t>
  </si>
  <si>
    <t>BANDAR TUN HUSSEIN ONN,</t>
  </si>
  <si>
    <t>0193190117</t>
  </si>
  <si>
    <t>SM-0098</t>
  </si>
  <si>
    <t>3001/403</t>
  </si>
  <si>
    <t>NO.8, PERSIARAN</t>
  </si>
  <si>
    <t>PINGGIRAN PUTRA 4A,</t>
  </si>
  <si>
    <t>DESA PINGGIRAN PUTRA,</t>
  </si>
  <si>
    <t>C2656130403</t>
  </si>
  <si>
    <t>cerrmart.finance@gmail.com</t>
  </si>
  <si>
    <t>0126920046</t>
  </si>
  <si>
    <t>SM-0066</t>
  </si>
  <si>
    <t>3001/404</t>
  </si>
  <si>
    <t>B22 PUSAT PERKHIDMATAN BALOK,</t>
  </si>
  <si>
    <t>26100 KUANTAN,PAHANG</t>
  </si>
  <si>
    <t>0194095304</t>
  </si>
  <si>
    <t>PH-0044</t>
  </si>
  <si>
    <t>3001/405</t>
  </si>
  <si>
    <t>LOT 605-1, BILLION DUTY-FREE</t>
  </si>
  <si>
    <t xml:space="preserve"> (LANGKAWI) SDN.BHD,</t>
  </si>
  <si>
    <t>KG BOHOR DARAT, MUKIM KEDAWANG</t>
  </si>
  <si>
    <t>0124302996</t>
  </si>
  <si>
    <t>HM-0005</t>
  </si>
  <si>
    <t>3001/406</t>
  </si>
  <si>
    <t>JALAN BUKIT JALIL INDAH 2,</t>
  </si>
  <si>
    <t>0173819976</t>
  </si>
  <si>
    <t>SM-0297</t>
  </si>
  <si>
    <t>3001/407</t>
  </si>
  <si>
    <t>18300 GUA MUSANG</t>
  </si>
  <si>
    <t xml:space="preserve">  PT 3922 JALAN GUA MUS</t>
  </si>
  <si>
    <t>099120555</t>
  </si>
  <si>
    <t>PM-0310</t>
  </si>
  <si>
    <t>3001/408</t>
  </si>
  <si>
    <t>LEVEL3A, MENARA PERNAS, TOWER7</t>
  </si>
  <si>
    <t>AVENUE 7, BANGSAR SOUTH CITY,</t>
  </si>
  <si>
    <t>NO 8, JALAN KERINCHI,</t>
  </si>
  <si>
    <t>zuhairi.nadzrin@pernas.my</t>
  </si>
  <si>
    <t>0104313043</t>
  </si>
  <si>
    <t>CO-0026</t>
  </si>
  <si>
    <t>3001/409</t>
  </si>
  <si>
    <t>Km 34.5 KESAS Highway</t>
  </si>
  <si>
    <t>(Shah Alam Bound)</t>
  </si>
  <si>
    <t>Petaling</t>
  </si>
  <si>
    <t xml:space="preserve">pssmofa@yahoo.com.my  </t>
  </si>
  <si>
    <t>0351928488</t>
  </si>
  <si>
    <t>PM-0544</t>
  </si>
  <si>
    <t>3001/410</t>
  </si>
  <si>
    <t>NO. 1831, KAMPUNG SEMPAM,</t>
  </si>
  <si>
    <t xml:space="preserve">JALAN CHEROH, </t>
  </si>
  <si>
    <t>RAUB</t>
  </si>
  <si>
    <t>0125169769</t>
  </si>
  <si>
    <t>SM-0015</t>
  </si>
  <si>
    <t>3001/411</t>
  </si>
  <si>
    <t>NO. 51, JALAN 1 KRUBONG,</t>
  </si>
  <si>
    <t>TAMAN 1 KRUBONG,</t>
  </si>
  <si>
    <t>0176999087</t>
  </si>
  <si>
    <t>SM-0152</t>
  </si>
  <si>
    <t>3001/412</t>
  </si>
  <si>
    <t>GROUND FLOOR, MENARA PERKESO</t>
  </si>
  <si>
    <t>281 JALAN AMPANG</t>
  </si>
  <si>
    <t xml:space="preserve">jsrniaga@gmail.com </t>
  </si>
  <si>
    <t>0126674272</t>
  </si>
  <si>
    <t>CF-0074</t>
  </si>
  <si>
    <t>3001/413</t>
  </si>
  <si>
    <t>NO 32 JALAN TP 1 TROPIKA PUTRA</t>
  </si>
  <si>
    <t xml:space="preserve">BRP, SUNGAI BULOH </t>
  </si>
  <si>
    <t xml:space="preserve">fariz@mra-sb.com  </t>
  </si>
  <si>
    <t>0192519274</t>
  </si>
  <si>
    <t>SM-0130</t>
  </si>
  <si>
    <t>3001/414</t>
  </si>
  <si>
    <t>L5, JALAN SUNSURIA 3B/3A MONET</t>
  </si>
  <si>
    <t xml:space="preserve"> SPRINGTIME, SUNSURIA CITY</t>
  </si>
  <si>
    <t>0192620674</t>
  </si>
  <si>
    <t>SM-0449</t>
  </si>
  <si>
    <t>3001/415</t>
  </si>
  <si>
    <t>CALTEX SEBERANG PERAK</t>
  </si>
  <si>
    <t>LOT 588, FELCRA SEBERANG PERAK</t>
  </si>
  <si>
    <t>TELUK INTAN</t>
  </si>
  <si>
    <t>0125048191</t>
  </si>
  <si>
    <t>PM-0298</t>
  </si>
  <si>
    <t>3001/416</t>
  </si>
  <si>
    <t>NINI HARDWARE NO 19 JALAN</t>
  </si>
  <si>
    <t xml:space="preserve"> SIMPANG FELDA KEPAYANG</t>
  </si>
  <si>
    <t>0192686972</t>
  </si>
  <si>
    <t>SM-0493</t>
  </si>
  <si>
    <t>3001/417</t>
  </si>
  <si>
    <t>LOT 3, KOMPLEKS PERNIAGAAN,</t>
  </si>
  <si>
    <t>PASAR BORONG SELANGOR,</t>
  </si>
  <si>
    <t>KM 10 JALAN SERI KEMBANGAN,</t>
  </si>
  <si>
    <t>0689453888</t>
  </si>
  <si>
    <t>HM-0021</t>
  </si>
  <si>
    <t>3001/418</t>
  </si>
  <si>
    <t xml:space="preserve">PT12947, </t>
  </si>
  <si>
    <t>JALAN BBN 1/7D PUTRA INDAH,</t>
  </si>
  <si>
    <t xml:space="preserve">PUTRA NILAI, </t>
  </si>
  <si>
    <t>066570248</t>
  </si>
  <si>
    <t>SM-0212</t>
  </si>
  <si>
    <t>3001/419</t>
  </si>
  <si>
    <t>Taman Teknologi MRANTI</t>
  </si>
  <si>
    <t xml:space="preserve">Bukit Jalil, 57000 </t>
  </si>
  <si>
    <t>Wilayah</t>
  </si>
  <si>
    <t>PM-0147</t>
  </si>
  <si>
    <t>3001/420</t>
  </si>
  <si>
    <t xml:space="preserve">LHDNM BLOCK 11, </t>
  </si>
  <si>
    <t>KOMPLEKS KERAJAAN</t>
  </si>
  <si>
    <t>JALAN TUANKU ABDUL HALIM,</t>
  </si>
  <si>
    <t>nuruljannah.z@hasil.gov.my</t>
  </si>
  <si>
    <t>0148087194</t>
  </si>
  <si>
    <t>SM-0359</t>
  </si>
  <si>
    <t>3001/421</t>
  </si>
  <si>
    <t>720, JALAN MELATI 17,</t>
  </si>
  <si>
    <t>TAMAN DUSUN SETIA SEREMBAN</t>
  </si>
  <si>
    <t>0176960348</t>
  </si>
  <si>
    <t>SM-0459</t>
  </si>
  <si>
    <t>3001/422</t>
  </si>
  <si>
    <t>LOT G30/31 MEDAN USAHAWAN,</t>
  </si>
  <si>
    <t>JALAN MAHMOOD,</t>
  </si>
  <si>
    <t>KOTA BHARU</t>
  </si>
  <si>
    <t>0199800133</t>
  </si>
  <si>
    <t>SM-0162</t>
  </si>
  <si>
    <t>3001/423</t>
  </si>
  <si>
    <t>NO 99 LOT 6A, JALAN MRR2</t>
  </si>
  <si>
    <t>ARAH KARAK SRI GOMBAK,</t>
  </si>
  <si>
    <t xml:space="preserve">C26740200070  </t>
  </si>
  <si>
    <t>0186255836</t>
  </si>
  <si>
    <t>CM-0049</t>
  </si>
  <si>
    <t>3001/424</t>
  </si>
  <si>
    <t>ARENA IRC, PERSIARAN 1,</t>
  </si>
  <si>
    <t>SENDAYAN BAYU, 71950</t>
  </si>
  <si>
    <t xml:space="preserve">BANDAR BARU SENDAYAN, </t>
  </si>
  <si>
    <t>0129071855</t>
  </si>
  <si>
    <t>SM-0030</t>
  </si>
  <si>
    <t>3001/425</t>
  </si>
  <si>
    <t>RUMAH SAHAR @ CYBERJAYA</t>
  </si>
  <si>
    <t>NO 1, JALAN SRI TASIK TIMUR 8C</t>
  </si>
  <si>
    <t>PERDANA LAKEVIEW EAST</t>
  </si>
  <si>
    <t>0192164144</t>
  </si>
  <si>
    <t>SM-0092</t>
  </si>
  <si>
    <t>3001/426</t>
  </si>
  <si>
    <t xml:space="preserve">CALTEX SIMPANG No. 87, Jalan </t>
  </si>
  <si>
    <t>Kuala Kangsar, Batu 6,</t>
  </si>
  <si>
    <t>Simpang, Taiping.</t>
  </si>
  <si>
    <t xml:space="preserve">C26389246080 </t>
  </si>
  <si>
    <t xml:space="preserve">caltexsimpang@gmail.com  </t>
  </si>
  <si>
    <t>0103856270</t>
  </si>
  <si>
    <t>PM-0053</t>
  </si>
  <si>
    <t>3001/427</t>
  </si>
  <si>
    <t>PETRON KERTEH</t>
  </si>
  <si>
    <t>817, KG BARU KERTEH</t>
  </si>
  <si>
    <t>0172626174</t>
  </si>
  <si>
    <t>PM-1016</t>
  </si>
  <si>
    <t>3001/428</t>
  </si>
  <si>
    <t xml:space="preserve">KOMPLEKS BELIA DAN </t>
  </si>
  <si>
    <t>SUKAN NEGERI SEMBILAN</t>
  </si>
  <si>
    <t>01113001702</t>
  </si>
  <si>
    <t>CO-0015</t>
  </si>
  <si>
    <t>3001/429</t>
  </si>
  <si>
    <t>25, JALAN BESAR, 83100 RENGIT,</t>
  </si>
  <si>
    <t xml:space="preserve">C29911377090                                 </t>
  </si>
  <si>
    <t xml:space="preserve">rengitpharmacyhq@gmail.com    </t>
  </si>
  <si>
    <t>0174736141</t>
  </si>
  <si>
    <t>SM-0412</t>
  </si>
  <si>
    <t>3001/430</t>
  </si>
  <si>
    <t>13, JALAN EMAS 10,</t>
  </si>
  <si>
    <t>TAMAN EMAS 2, 83400 SRI MEDAN,</t>
  </si>
  <si>
    <t>SM-0413</t>
  </si>
  <si>
    <t>3001/431</t>
  </si>
  <si>
    <t>NO 2A, JALAN BUKIT IMPIANA 5A,</t>
  </si>
  <si>
    <t>TAMAN BUKIT IMPIANA,</t>
  </si>
  <si>
    <t>COUNTRY HEIGHT KAJANG</t>
  </si>
  <si>
    <t xml:space="preserve">muhdilyas164@gmail.com  </t>
  </si>
  <si>
    <t>0136802652</t>
  </si>
  <si>
    <t>SM-0305</t>
  </si>
  <si>
    <t>3001/432</t>
  </si>
  <si>
    <t>NO.18, JALAN 7/3,</t>
  </si>
  <si>
    <t>TAMAN INDUSTRI SELESA JAYA,</t>
  </si>
  <si>
    <t xml:space="preserve">BALAKONG SERI KEMBANGAN </t>
  </si>
  <si>
    <t>01133112845</t>
  </si>
  <si>
    <t>CM-0060</t>
  </si>
  <si>
    <t>3001/433</t>
  </si>
  <si>
    <t>NO. 55 JALAN MERU BESTARI A2,</t>
  </si>
  <si>
    <t>MEDAN MERU BESTARI</t>
  </si>
  <si>
    <t>IPOH</t>
  </si>
  <si>
    <t>055261619</t>
  </si>
  <si>
    <t>CM-0089</t>
  </si>
  <si>
    <t>3001/434</t>
  </si>
  <si>
    <t>LOT G17, GROUND FLOOR ALAMANDA</t>
  </si>
  <si>
    <t>ALAMANDA P/JAYA SHOPPING CENT.</t>
  </si>
  <si>
    <t>JALAN ALAMANDA PRESINT 1,</t>
  </si>
  <si>
    <t>0199162326</t>
  </si>
  <si>
    <t>CF-0161</t>
  </si>
  <si>
    <t>3001/435</t>
  </si>
  <si>
    <t>QUIZINN BY RASA, LOT 3.14,</t>
  </si>
  <si>
    <t>LEVEL 3 NU SENTRAL,</t>
  </si>
  <si>
    <t>NO.201, JALAN TUN SAMBATHAN</t>
  </si>
  <si>
    <t>0123502412</t>
  </si>
  <si>
    <t>CF-0162</t>
  </si>
  <si>
    <t>3001/436</t>
  </si>
  <si>
    <t>RASA FOOD ARENA</t>
  </si>
  <si>
    <t>BEVERAGE STALL, L1,</t>
  </si>
  <si>
    <t>24 LEVEL 1 SETIA CITY MALL,</t>
  </si>
  <si>
    <t>NO 7 PERSIARAN SETIA DAGANG</t>
  </si>
  <si>
    <t>0182547406</t>
  </si>
  <si>
    <t>CF-0163</t>
  </si>
  <si>
    <t>3001/437</t>
  </si>
  <si>
    <t>PUSAT ALATAN REHABILITASI HOUSE PHARMACY</t>
  </si>
  <si>
    <t>NO. 29, JALAN SHAH BANDAR 2,</t>
  </si>
  <si>
    <t>BERTAM PERDANA 3,</t>
  </si>
  <si>
    <t xml:space="preserve"> KEPALA BATAS</t>
  </si>
  <si>
    <t>01170166775</t>
  </si>
  <si>
    <t>PH-0031</t>
  </si>
  <si>
    <t>3001/438</t>
  </si>
  <si>
    <t>CALTEX ASSAM JAWA</t>
  </si>
  <si>
    <t>LOT 1194 KG BHARU JLN BKT</t>
  </si>
  <si>
    <t xml:space="preserve">ROTAN ASSAM JAWA </t>
  </si>
  <si>
    <t>01124559080</t>
  </si>
  <si>
    <t>PM-0751</t>
  </si>
  <si>
    <t>3001/439</t>
  </si>
  <si>
    <t>CALTEX JALAN KLANG LAMA</t>
  </si>
  <si>
    <t>LOT 147-149, TAMAN</t>
  </si>
  <si>
    <t>KANAGAPURAM JAYA, JALAN KLANG</t>
  </si>
  <si>
    <t xml:space="preserve">serimutiara147@gmail.com </t>
  </si>
  <si>
    <t>0173819504</t>
  </si>
  <si>
    <t>PM-0793</t>
  </si>
  <si>
    <t>3001/440</t>
  </si>
  <si>
    <t>CALTEX TAMAN PARAMOUNT XP</t>
  </si>
  <si>
    <t>131, Jalan 20/7 Paramount</t>
  </si>
  <si>
    <t>Garden, Petaling Jaya,</t>
  </si>
  <si>
    <t xml:space="preserve">D25508976070                                 </t>
  </si>
  <si>
    <t>0126367451</t>
  </si>
  <si>
    <t>PM-0634</t>
  </si>
  <si>
    <t>3001/441</t>
  </si>
  <si>
    <t xml:space="preserve">Lot PT 41354, </t>
  </si>
  <si>
    <t xml:space="preserve"> Taman Bayu Perdana, Klang, </t>
  </si>
  <si>
    <t>0186604512</t>
  </si>
  <si>
    <t>PM-0152</t>
  </si>
  <si>
    <t>3001/442</t>
  </si>
  <si>
    <t>CALTEX TAMAN PELANGI INDAH</t>
  </si>
  <si>
    <t>STESYENG MINYAK CALTEX OT</t>
  </si>
  <si>
    <t>PERSIARAN UTM,TMN PELANGIINDAH</t>
  </si>
  <si>
    <t>0163692229</t>
  </si>
  <si>
    <t>PM-0725</t>
  </si>
  <si>
    <t>3001/443</t>
  </si>
  <si>
    <t>CALTEX BUKIT BUNGA XP</t>
  </si>
  <si>
    <t>Lot 748, Kampung Chedok</t>
  </si>
  <si>
    <t>Tanah Merah</t>
  </si>
  <si>
    <t xml:space="preserve">budifillingstation@yahoo.com      </t>
  </si>
  <si>
    <t>0139386933</t>
  </si>
  <si>
    <t>PM-0135</t>
  </si>
  <si>
    <t>3001/444</t>
  </si>
  <si>
    <t>CALTEX JALAN MERGONG XP</t>
  </si>
  <si>
    <t>PT Lot 2118, MK Ujong Mergong,</t>
  </si>
  <si>
    <t>Ujong Mergong</t>
  </si>
  <si>
    <t xml:space="preserve">zehra_sarfaraz@yahoo.com     </t>
  </si>
  <si>
    <t>0125957436</t>
  </si>
  <si>
    <t>PM-0908</t>
  </si>
  <si>
    <t>3001/445</t>
  </si>
  <si>
    <t xml:space="preserve"> Wisma LanSaidin Jalan</t>
  </si>
  <si>
    <t>permatang Langsat,</t>
  </si>
  <si>
    <t xml:space="preserve"> Pinang  Tunggal</t>
  </si>
  <si>
    <t xml:space="preserve">pensutera.wls@gmail.com   </t>
  </si>
  <si>
    <t>0125981802</t>
  </si>
  <si>
    <t>PM-0640</t>
  </si>
  <si>
    <t>3001/446</t>
  </si>
  <si>
    <t>NO.6 JALAN INDUSTRI TANGKAS 2</t>
  </si>
  <si>
    <t>KAMPUNG SEKOLAH, JURU,</t>
  </si>
  <si>
    <t>01128908407</t>
  </si>
  <si>
    <t>CF-0106</t>
  </si>
  <si>
    <t>3001/447</t>
  </si>
  <si>
    <t>0122956800</t>
  </si>
  <si>
    <t>SM-0088</t>
  </si>
  <si>
    <t>3001/448</t>
  </si>
  <si>
    <t>C-5-2 AMPERSAND</t>
  </si>
  <si>
    <t>JALAN KIA PENG</t>
  </si>
  <si>
    <t>0123082408</t>
  </si>
  <si>
    <t>SM-0474</t>
  </si>
  <si>
    <t>3001/449</t>
  </si>
  <si>
    <t>PT 4144, KAWASAN PERINDUSTRIAN</t>
  </si>
  <si>
    <t>PENGKALAN CHEPA FASA II,</t>
  </si>
  <si>
    <t xml:space="preserve">C26793477070                                 </t>
  </si>
  <si>
    <t>sales.teanseng@gmail.com</t>
  </si>
  <si>
    <t>0145306700</t>
  </si>
  <si>
    <t>CM-0095</t>
  </si>
  <si>
    <t>3001/450</t>
  </si>
  <si>
    <t>PASAR MODEN TAMAN EHSAN,</t>
  </si>
  <si>
    <t>JALAN E3/6A, TAMAN EHSAN,</t>
  </si>
  <si>
    <t>0168872307</t>
  </si>
  <si>
    <t>HM-0025</t>
  </si>
  <si>
    <t>3001/451</t>
  </si>
  <si>
    <t>LOT 2 TINGKAT 1, POS MALAYSIA</t>
  </si>
  <si>
    <t xml:space="preserve"> KUALA LUMPUR, KOMPLEKS </t>
  </si>
  <si>
    <t>DAYABUMI,KL CITY CENTER</t>
  </si>
  <si>
    <t>01164866458</t>
  </si>
  <si>
    <t>CM-0083</t>
  </si>
  <si>
    <t>3001/452</t>
  </si>
  <si>
    <t>NO.11 JALAN BUNGA KERTAS 1A,</t>
  </si>
  <si>
    <t>SEKSYEN BS 1, BUKIT SENTOSA,</t>
  </si>
  <si>
    <t>C21594193040</t>
  </si>
  <si>
    <t>01155800710</t>
  </si>
  <si>
    <t>CF-0117</t>
  </si>
  <si>
    <t>3001/453</t>
  </si>
  <si>
    <t>NO 2, JALAN CENDANA P14/12,</t>
  </si>
  <si>
    <t>PRESINT 14</t>
  </si>
  <si>
    <t>SM-0119</t>
  </si>
  <si>
    <t>3001/454</t>
  </si>
  <si>
    <t>PS KAMPUNG GAJAH</t>
  </si>
  <si>
    <t>Lot 3032, KG Bendang Besar</t>
  </si>
  <si>
    <t>Kampung Gajah</t>
  </si>
  <si>
    <t xml:space="preserve">IG12130769079                                </t>
  </si>
  <si>
    <t>0125069174</t>
  </si>
  <si>
    <t>PM-0829</t>
  </si>
  <si>
    <t>3001/455</t>
  </si>
  <si>
    <t>LOT 7, PERSIARAN SELANGOR,</t>
  </si>
  <si>
    <t>SECTION 15, 40000 SHAH ALAM</t>
  </si>
  <si>
    <t>0355112255</t>
  </si>
  <si>
    <t>HM-0006</t>
  </si>
  <si>
    <t>3001/456</t>
  </si>
  <si>
    <t>SM ST ANTHONY</t>
  </si>
  <si>
    <t>PETI SURAT 81395</t>
  </si>
  <si>
    <t>WILAYAH PERSEKUTUAN LABUAN</t>
  </si>
  <si>
    <t>0176117485</t>
  </si>
  <si>
    <t>KO-0011</t>
  </si>
  <si>
    <t>3001/457</t>
  </si>
  <si>
    <t>NO.2, JALAN INDUSTRI TANGKAS 2</t>
  </si>
  <si>
    <t>TAMAN INDUSTRI TANGKAS</t>
  </si>
  <si>
    <t>cakraduniasb@gmail.com</t>
  </si>
  <si>
    <t>CM-0025</t>
  </si>
  <si>
    <t>3001/458</t>
  </si>
  <si>
    <t xml:space="preserve">NO 10,JLN PUSAT PERNIAGAAN </t>
  </si>
  <si>
    <t>DESA KOLEJ 1, TAMAN DESA KOLEJ</t>
  </si>
  <si>
    <t xml:space="preserve"> NILAI </t>
  </si>
  <si>
    <t>0133500169</t>
  </si>
  <si>
    <t>CF-0039</t>
  </si>
  <si>
    <t>3001/459</t>
  </si>
  <si>
    <t>PS TANAH PUTIH</t>
  </si>
  <si>
    <t>LOT 10693 KM 4,</t>
  </si>
  <si>
    <t>JALAN GAMBANG TANAH PUTIH BARU</t>
  </si>
  <si>
    <t xml:space="preserve">timur_sejati76@yahoo.com.my  </t>
  </si>
  <si>
    <t>0139802620</t>
  </si>
  <si>
    <t>PM-0900</t>
  </si>
  <si>
    <t>3001/460</t>
  </si>
  <si>
    <t xml:space="preserve">PS BANDAR SPRINGHILL PT 2361, </t>
  </si>
  <si>
    <t>7 AVENUE, PERSIARAN SPRINGHILL</t>
  </si>
  <si>
    <t xml:space="preserve">manager.happyfuel@gmail.com   </t>
  </si>
  <si>
    <t>0126104104</t>
  </si>
  <si>
    <t>PM-0301</t>
  </si>
  <si>
    <t>3001/461</t>
  </si>
  <si>
    <t>LOT 2460 JALAN KG JENDERAM</t>
  </si>
  <si>
    <t>HILIR DENGKIL</t>
  </si>
  <si>
    <t>IG2184402101</t>
  </si>
  <si>
    <t xml:space="preserve">shahrizat57@gmail.com       </t>
  </si>
  <si>
    <t>0123316087</t>
  </si>
  <si>
    <t>AG-0023</t>
  </si>
  <si>
    <t>3001/462</t>
  </si>
  <si>
    <t>WAREHOUSE KAJANG</t>
  </si>
  <si>
    <t>WI-0061</t>
  </si>
  <si>
    <t>3001/463</t>
  </si>
  <si>
    <t xml:space="preserve">17, JLN PJU 1A/33, </t>
  </si>
  <si>
    <t>ARA DAMANSARA,</t>
  </si>
  <si>
    <t xml:space="preserve"> SELANGOR</t>
  </si>
  <si>
    <t>0193223424</t>
  </si>
  <si>
    <t>SM-0094</t>
  </si>
  <si>
    <t>3001/464</t>
  </si>
  <si>
    <t>UNIT G03, BLOK L,</t>
  </si>
  <si>
    <t>RIANA GREEN CONDOMINIUM, NO 1,</t>
  </si>
  <si>
    <t>JALAN TROPICANA UTARA</t>
  </si>
  <si>
    <t>0129899158</t>
  </si>
  <si>
    <t>SM-0007</t>
  </si>
  <si>
    <t>3001/465</t>
  </si>
  <si>
    <t>LOT 5061, BATU 40</t>
  </si>
  <si>
    <t>SABAK BERNAM</t>
  </si>
  <si>
    <t>0173069796</t>
  </si>
  <si>
    <t>SM-0238</t>
  </si>
  <si>
    <t>3001/466</t>
  </si>
  <si>
    <t>NO.15, KWSN R&amp;R DENGKIL</t>
  </si>
  <si>
    <t>ARAH UTARA, KM 23 ELITE</t>
  </si>
  <si>
    <t>0123021372</t>
  </si>
  <si>
    <t>CF-0140</t>
  </si>
  <si>
    <t>3001/467</t>
  </si>
  <si>
    <t>PS KECHAU</t>
  </si>
  <si>
    <t xml:space="preserve">petronaskechau@gmail.com     </t>
  </si>
  <si>
    <t>0199503813</t>
  </si>
  <si>
    <t>PM-0439</t>
  </si>
  <si>
    <t>3001/468</t>
  </si>
  <si>
    <t xml:space="preserve">LOT 4494,4495,4498,4499,KWSN </t>
  </si>
  <si>
    <t>PERINDUSTRIAN HALAL MIEL,</t>
  </si>
  <si>
    <t>KAMPUNG MERBAU SEMBILAN,</t>
  </si>
  <si>
    <t xml:space="preserve">Marketing@bubbleso2.com   </t>
  </si>
  <si>
    <t>0126840575</t>
  </si>
  <si>
    <t>WI-0003</t>
  </si>
  <si>
    <t>3001/469</t>
  </si>
  <si>
    <t>SM-0471</t>
  </si>
  <si>
    <t>3001/470</t>
  </si>
  <si>
    <t>(PELANGI CARE TRADING)</t>
  </si>
  <si>
    <t xml:space="preserve">NO 4, JALAN CEMPAKA 1/1, </t>
  </si>
  <si>
    <t>PERSIARAN CEMPAKA BANDAR</t>
  </si>
  <si>
    <t>01115792119</t>
  </si>
  <si>
    <t>SM-0375</t>
  </si>
  <si>
    <t>3001/471</t>
  </si>
  <si>
    <t>PERSATUAN RAUDHAH AUTISME</t>
  </si>
  <si>
    <t>0193141303</t>
  </si>
  <si>
    <t>SM-0002</t>
  </si>
  <si>
    <t>3001/472</t>
  </si>
  <si>
    <t>0163737550</t>
  </si>
  <si>
    <t>CM-0029</t>
  </si>
  <si>
    <t>3001/473</t>
  </si>
  <si>
    <t>purch@thbglobal.com.my</t>
  </si>
  <si>
    <t>CM-0105</t>
  </si>
  <si>
    <t>3001/474</t>
  </si>
  <si>
    <t>PETRON KESAS</t>
  </si>
  <si>
    <t>PETRON KESAS EASTBOUND</t>
  </si>
  <si>
    <t>LEBUHRAYA KESAS ARAH TIMUR</t>
  </si>
  <si>
    <t>0133768545</t>
  </si>
  <si>
    <t>PM-0175</t>
  </si>
  <si>
    <t>3001/475</t>
  </si>
  <si>
    <t>9150 JALAN BANDAR 4,</t>
  </si>
  <si>
    <t>TAMAN MELAWATI 53100</t>
  </si>
  <si>
    <t>01156520598</t>
  </si>
  <si>
    <t>PH-0051</t>
  </si>
  <si>
    <t>3001/476</t>
  </si>
  <si>
    <t>NO 10 JALAN 2/1G MUTIARA BANGI</t>
  </si>
  <si>
    <t>0122141954</t>
  </si>
  <si>
    <t>SM-0089</t>
  </si>
  <si>
    <t>3001/477</t>
  </si>
  <si>
    <t xml:space="preserve">RMH NO 6, </t>
  </si>
  <si>
    <t>JLN 2/1L, MUTIARA BANGI</t>
  </si>
  <si>
    <t>0122089064</t>
  </si>
  <si>
    <t>SM-0091</t>
  </si>
  <si>
    <t>3001/478</t>
  </si>
  <si>
    <t>A45, JALAN INDERA MAHKOTA 7/1,</t>
  </si>
  <si>
    <t>25200 KUANTAN, PAHANG</t>
  </si>
  <si>
    <t>0179888374</t>
  </si>
  <si>
    <t>SM-0099</t>
  </si>
  <si>
    <t>3001/479</t>
  </si>
  <si>
    <t>FARMASI RAUDHAH</t>
  </si>
  <si>
    <t>NO D5 SIMPANG PEKAN AWAH</t>
  </si>
  <si>
    <t>0139950661</t>
  </si>
  <si>
    <t>SM-0400</t>
  </si>
  <si>
    <t>3001/480</t>
  </si>
  <si>
    <t>YAQQIN TAWAQQAL ENTERPRISE</t>
  </si>
  <si>
    <t>F7 TINGKAT ATAS,</t>
  </si>
  <si>
    <t>BANGUNAN ARKED SRI KENDONG,</t>
  </si>
  <si>
    <t>0189889000</t>
  </si>
  <si>
    <t>SM-0039</t>
  </si>
  <si>
    <t>3001/481</t>
  </si>
  <si>
    <t>NO 14 KAWASAN REHAT &amp;</t>
  </si>
  <si>
    <t>RAWAT MACHAP UTARA</t>
  </si>
  <si>
    <t>01129975650</t>
  </si>
  <si>
    <t>CF-0027</t>
  </si>
  <si>
    <t>3001/482</t>
  </si>
  <si>
    <t>NO 4 KM209 S/B,</t>
  </si>
  <si>
    <t>KAWASAN REHAT DAN RAWAT</t>
  </si>
  <si>
    <t xml:space="preserve">AYER KEROH ARAH SELATAN </t>
  </si>
  <si>
    <t xml:space="preserve">eidadaud76@gmail.com         </t>
  </si>
  <si>
    <t>0126335727</t>
  </si>
  <si>
    <t>CF-0101</t>
  </si>
  <si>
    <t>3001/483</t>
  </si>
  <si>
    <t xml:space="preserve">GERAI NO 10 </t>
  </si>
  <si>
    <t>KAWASAN R&amp;R G. SEMANGGOL</t>
  </si>
  <si>
    <t xml:space="preserve">ARAH UTARA  </t>
  </si>
  <si>
    <t>03440</t>
  </si>
  <si>
    <t>0125471113</t>
  </si>
  <si>
    <t>CF-0103</t>
  </si>
  <si>
    <t>3001/484</t>
  </si>
  <si>
    <t>KEDAI NO 07 HENTIAN NILAI</t>
  </si>
  <si>
    <t>ARAH UTARA R&amp;R NILAI NORTH</t>
  </si>
  <si>
    <t>BOUND NILAI</t>
  </si>
  <si>
    <t>01130192749</t>
  </si>
  <si>
    <t>CF-0105</t>
  </si>
  <si>
    <t>3001/485</t>
  </si>
  <si>
    <t>NO 6 KAWASAN REHAT</t>
  </si>
  <si>
    <t>MACHAP SELATAN SIMPANG RENGGAM</t>
  </si>
  <si>
    <t>01117657541</t>
  </si>
  <si>
    <t>CF-0111</t>
  </si>
  <si>
    <t>3001/486</t>
  </si>
  <si>
    <t>STALL 10 L/RAYA ELITE</t>
  </si>
  <si>
    <t>KWSN R&amp;R DENGKIL UTARA</t>
  </si>
  <si>
    <t xml:space="preserve"> DENGKIL </t>
  </si>
  <si>
    <t>0122342885</t>
  </si>
  <si>
    <t>CF-0096</t>
  </si>
  <si>
    <t>3001/487</t>
  </si>
  <si>
    <t>NO 7 KAWASAN REHAT &amp; RAWAT</t>
  </si>
  <si>
    <t>MACHAP ARAH UTARA</t>
  </si>
  <si>
    <t>0167115654</t>
  </si>
  <si>
    <t>CF-0115</t>
  </si>
  <si>
    <t>3001/488</t>
  </si>
  <si>
    <t>KAWASAN REHAT DAN</t>
  </si>
  <si>
    <t>RAWAT GELANG PTH ARAH SELATAN,</t>
  </si>
  <si>
    <t>BUKIT KUCHING</t>
  </si>
  <si>
    <t>0197916674</t>
  </si>
  <si>
    <t>CF-0130</t>
  </si>
  <si>
    <t>3001/489</t>
  </si>
  <si>
    <t>S09, KAWASAN REHAT &amp;</t>
  </si>
  <si>
    <t>RAWAT DENGKIL ARAH</t>
  </si>
  <si>
    <t>SELATAN,</t>
  </si>
  <si>
    <t>01127110115</t>
  </si>
  <si>
    <t>CF-0136</t>
  </si>
  <si>
    <t>3001/490</t>
  </si>
  <si>
    <t>LOT S10-NB &amp; S12-NB,</t>
  </si>
  <si>
    <t>ARAH UTARA, RESTORAN</t>
  </si>
  <si>
    <t>JEJANTAS SUNGAI BULOH</t>
  </si>
  <si>
    <t>0172898500</t>
  </si>
  <si>
    <t>CF-0142</t>
  </si>
  <si>
    <t>3001/491</t>
  </si>
  <si>
    <t>NO 11 JALAN PUTRA PERDANA 1/2,</t>
  </si>
  <si>
    <t>TAMAN PUTRA PERDANA</t>
  </si>
  <si>
    <t xml:space="preserve">sehakarim@gmail.com </t>
  </si>
  <si>
    <t>0122231528</t>
  </si>
  <si>
    <t>SM-0396</t>
  </si>
  <si>
    <t>3001/492</t>
  </si>
  <si>
    <t>GERAI NO.2,</t>
  </si>
  <si>
    <t>KWSN R&amp;R AYER KEROH ARAH UTARA</t>
  </si>
  <si>
    <t xml:space="preserve">ALOR GAJAH </t>
  </si>
  <si>
    <t>0126318512</t>
  </si>
  <si>
    <t>CF-0144</t>
  </si>
  <si>
    <t>3001/493</t>
  </si>
  <si>
    <t>GERAI NO 1, KM 74,</t>
  </si>
  <si>
    <t>MACHAP ARAH SELATAN,</t>
  </si>
  <si>
    <t xml:space="preserve"> SIMPANG RENGGAM KLUANG </t>
  </si>
  <si>
    <t>0167070967</t>
  </si>
  <si>
    <t>CF-0146</t>
  </si>
  <si>
    <t>3001/494</t>
  </si>
  <si>
    <t>KIOSK NO 4,R&amp;R ULU</t>
  </si>
  <si>
    <t>BERNAM,ARAH SELATAN,</t>
  </si>
  <si>
    <t>0167436743</t>
  </si>
  <si>
    <t>CF-0149</t>
  </si>
  <si>
    <t>3001/495</t>
  </si>
  <si>
    <t>NO.9, KAWASAN REHAT</t>
  </si>
  <si>
    <t>DAN RAWAT MAMBAU</t>
  </si>
  <si>
    <t>ARAH UTARA,  SEREMBAN</t>
  </si>
  <si>
    <t>01165654984</t>
  </si>
  <si>
    <t>CF-0160</t>
  </si>
  <si>
    <t>3001/496</t>
  </si>
  <si>
    <t>LOT 10 CAFE (PLUS)</t>
  </si>
  <si>
    <t>NO.10, KM205, LEBUHRAYA</t>
  </si>
  <si>
    <t>AYER KEROH,ALOR GAJAH</t>
  </si>
  <si>
    <t>0176763010</t>
  </si>
  <si>
    <t>CF-0003</t>
  </si>
  <si>
    <t>3001/497</t>
  </si>
  <si>
    <t xml:space="preserve">GERAI NO 4, KM 74, </t>
  </si>
  <si>
    <t>RSA MACHAP SELATAN,</t>
  </si>
  <si>
    <t>SIMPANG RENGGAM,</t>
  </si>
  <si>
    <t>matisabinselamat@gmail.com</t>
  </si>
  <si>
    <t>CF-0092</t>
  </si>
  <si>
    <t>3001/498</t>
  </si>
  <si>
    <t>GERAI NO 9</t>
  </si>
  <si>
    <t>HENTIANSERDANG ARH SELATAN</t>
  </si>
  <si>
    <t xml:space="preserve"> SRI KEMBANGAN </t>
  </si>
  <si>
    <t>01139236855</t>
  </si>
  <si>
    <t>CF-0014</t>
  </si>
  <si>
    <t>3001/499</t>
  </si>
  <si>
    <t>NO 4 R&amp;R SEREMBAN ARAH UTARA</t>
  </si>
  <si>
    <t>LEBUHRAYA UTARA SELATAN (PLUS)</t>
  </si>
  <si>
    <t>LABU</t>
  </si>
  <si>
    <t>0123687967</t>
  </si>
  <si>
    <t>CF-0020</t>
  </si>
  <si>
    <t>3001/500</t>
  </si>
  <si>
    <t>NO 8 GURUN ARAH SELATAN</t>
  </si>
  <si>
    <t>08300 GURUN KEDAH</t>
  </si>
  <si>
    <t>0194749400</t>
  </si>
  <si>
    <t>CF-0036</t>
  </si>
  <si>
    <t>3001/501</t>
  </si>
  <si>
    <t>NO. 7 KAWASAN REHAT DAN RAWAT</t>
  </si>
  <si>
    <t xml:space="preserve"> HULU BERNAM, TJ MALIM</t>
  </si>
  <si>
    <t>0123706534</t>
  </si>
  <si>
    <t>CF-0034</t>
  </si>
  <si>
    <t>3001/502</t>
  </si>
  <si>
    <t>NO 6 RNR GURUN SB 08700 GURUN</t>
  </si>
  <si>
    <t>08700</t>
  </si>
  <si>
    <t>0135415082</t>
  </si>
  <si>
    <t>CF-0048</t>
  </si>
  <si>
    <t>3001/503</t>
  </si>
  <si>
    <t>NO 4, RNR GURUN ARAH UTARA,</t>
  </si>
  <si>
    <t>08300 GURUN, KEDAH.</t>
  </si>
  <si>
    <t>0149493075</t>
  </si>
  <si>
    <t>CF-0053</t>
  </si>
  <si>
    <t>3001/504</t>
  </si>
  <si>
    <t>GERAI NO 8</t>
  </si>
  <si>
    <t>GELANG PATAH</t>
  </si>
  <si>
    <t>CF-0059</t>
  </si>
  <si>
    <t>3001/505</t>
  </si>
  <si>
    <t>S-10-5B, RESTORAN JEJANTAS</t>
  </si>
  <si>
    <t>SG BULOH ARAH SELATAN,</t>
  </si>
  <si>
    <t>JALAN LEBUHRAYA UTARA SELATAN,</t>
  </si>
  <si>
    <t>0122157743</t>
  </si>
  <si>
    <t>CF-0067</t>
  </si>
  <si>
    <t>3001/506</t>
  </si>
  <si>
    <t>GERAI NO 11,</t>
  </si>
  <si>
    <t>HENTIAN NILAI ARAH SELATAN,</t>
  </si>
  <si>
    <t>0103033387</t>
  </si>
  <si>
    <t>CF-0073</t>
  </si>
  <si>
    <t>3001/507</t>
  </si>
  <si>
    <t xml:space="preserve">NO.10, JALAN NILAM 2, TMN </t>
  </si>
  <si>
    <t xml:space="preserve"> PERINDUSTRAN TEKNOLOGI SUBANG</t>
  </si>
  <si>
    <t>SUBANG HI-TECH(BATU 3)</t>
  </si>
  <si>
    <t xml:space="preserve">info@anfort.com / anfort.corporation@gmail.com    </t>
  </si>
  <si>
    <t>0356380846</t>
  </si>
  <si>
    <t>CO-0004</t>
  </si>
  <si>
    <t>3001/508</t>
  </si>
  <si>
    <t>66 JALAN 2/1, TAMAN TAR</t>
  </si>
  <si>
    <t>0122816768</t>
  </si>
  <si>
    <t>SM-0282</t>
  </si>
  <si>
    <t>3001/509</t>
  </si>
  <si>
    <t>NO 3, JALAN BUNGA RAYA 11,</t>
  </si>
  <si>
    <t xml:space="preserve">TAMAN TASIK JAYA, </t>
  </si>
  <si>
    <t>0126125488</t>
  </si>
  <si>
    <t>SM-0072</t>
  </si>
  <si>
    <t>3001/510</t>
  </si>
  <si>
    <t>AL-AMMAR COMPLEX,</t>
  </si>
  <si>
    <t>KAMPUNG TANJUNG, KANCHONG,</t>
  </si>
  <si>
    <t xml:space="preserve">IG56869222050 </t>
  </si>
  <si>
    <t>0122523865</t>
  </si>
  <si>
    <t>AG-0024</t>
  </si>
  <si>
    <t>3001/511</t>
  </si>
  <si>
    <t>NO 290 JALAN BSS 2/1</t>
  </si>
  <si>
    <t xml:space="preserve">TAMAN BUKIT SRI SENAWANG </t>
  </si>
  <si>
    <t>0197721786</t>
  </si>
  <si>
    <t>SM-0333</t>
  </si>
  <si>
    <t>3001/512</t>
  </si>
  <si>
    <t>NO.5, HENTIAN NILAI UTARA,</t>
  </si>
  <si>
    <t>LEBUHRAYA KL-SEREMBAN,</t>
  </si>
  <si>
    <t>0162131451</t>
  </si>
  <si>
    <t>CF-0094</t>
  </si>
  <si>
    <t>3001/513</t>
  </si>
  <si>
    <t>G-05</t>
  </si>
  <si>
    <t>SENTUL VILLAGE</t>
  </si>
  <si>
    <t>SENTULVILLAGE</t>
  </si>
  <si>
    <t>0196607712</t>
  </si>
  <si>
    <t>CF-0098</t>
  </si>
  <si>
    <t>3001/514</t>
  </si>
  <si>
    <t>DS 9-1, ARKED PERBADANAN,</t>
  </si>
  <si>
    <t>JLN TENGKU PETRA SEMERAK,</t>
  </si>
  <si>
    <t>0139626050</t>
  </si>
  <si>
    <t>WI-0014</t>
  </si>
  <si>
    <t>3001/515</t>
  </si>
  <si>
    <t>NO. 71, JALAN PALMA KIPAS,</t>
  </si>
  <si>
    <t xml:space="preserve">TAMAN PALMA 4,  </t>
  </si>
  <si>
    <t>0125906121</t>
  </si>
  <si>
    <t>SM-0455</t>
  </si>
  <si>
    <t>3001/516</t>
  </si>
  <si>
    <t>LOT 38284</t>
  </si>
  <si>
    <t>JALAN CHERAS UTAMA 15</t>
  </si>
  <si>
    <t>TMN CHERAS UTAMA</t>
  </si>
  <si>
    <t>0391075151</t>
  </si>
  <si>
    <t>HM-0007</t>
  </si>
  <si>
    <t>3001/517</t>
  </si>
  <si>
    <t>LOT 2942 &amp; 2945</t>
  </si>
  <si>
    <t>JLN SERI SENTOSA 8</t>
  </si>
  <si>
    <t>JLN KLANG LAMA</t>
  </si>
  <si>
    <t>0392128186</t>
  </si>
  <si>
    <t>HM-0008</t>
  </si>
  <si>
    <t>3001/518</t>
  </si>
  <si>
    <t>NO.51, JALAN NILAM B 1/2,</t>
  </si>
  <si>
    <t xml:space="preserve">TAMAN PERINDUSTRIAN </t>
  </si>
  <si>
    <t xml:space="preserve"> TEKNOLOGI TINGGI, SUBANG JAYA</t>
  </si>
  <si>
    <t>KO-0015</t>
  </si>
  <si>
    <t>3001/519</t>
  </si>
  <si>
    <t>NO 50, JLN ACASIA 11,</t>
  </si>
  <si>
    <t>TMN BUKIT NIBONG SIKAMAT</t>
  </si>
  <si>
    <t>0196508589</t>
  </si>
  <si>
    <t>SM-0041</t>
  </si>
  <si>
    <t>3001/520</t>
  </si>
  <si>
    <t>NO 4A</t>
  </si>
  <si>
    <t>JLN 4/11</t>
  </si>
  <si>
    <t>SEKSYEN 4 TAMBAHAN</t>
  </si>
  <si>
    <t>mazieana.muzabir@eurekahealth.com.my</t>
  </si>
  <si>
    <t>0189804881</t>
  </si>
  <si>
    <t>PH-0012</t>
  </si>
  <si>
    <t>3001/521</t>
  </si>
  <si>
    <t>ARAS 1 SETIA PERDNA 1  KOMPLEK</t>
  </si>
  <si>
    <t xml:space="preserve"> SETIA PERDNA PUST PENTDBIRN</t>
  </si>
  <si>
    <t xml:space="preserve"> KERAJAAN PERSEKUTUAN</t>
  </si>
  <si>
    <t>0186666864</t>
  </si>
  <si>
    <t>SM-0050</t>
  </si>
  <si>
    <t>3001/531</t>
  </si>
  <si>
    <t>No 10-11 Kampung Baru</t>
  </si>
  <si>
    <t>Simpang Ijok 45600 Bestari</t>
  </si>
  <si>
    <t>Jaya Selangor</t>
  </si>
  <si>
    <t>PM-0001</t>
  </si>
  <si>
    <t>3001/532</t>
  </si>
  <si>
    <t>LEVEL 23, MENARA EXCHANGE 106,</t>
  </si>
  <si>
    <t xml:space="preserve">LINGKARAN TRX, TUN </t>
  </si>
  <si>
    <t>RAZAK EXCHANGE,</t>
  </si>
  <si>
    <t xml:space="preserve">adib@falcoon.com.my  </t>
  </si>
  <si>
    <t>0145090982</t>
  </si>
  <si>
    <t>CF-0049</t>
  </si>
  <si>
    <t>3001/533</t>
  </si>
  <si>
    <t>NO.5, 7 &amp; 9</t>
  </si>
  <si>
    <t>JLN ECO GRANDUER1/3C</t>
  </si>
  <si>
    <t>BANDAR PUNCAK ALAM</t>
  </si>
  <si>
    <t>mmservices@yahoo.com</t>
  </si>
  <si>
    <t>0348203818</t>
  </si>
  <si>
    <t>CM-0062</t>
  </si>
  <si>
    <t>3001/534</t>
  </si>
  <si>
    <t>TINGKAT 7,10-11 WISMA PKPS,</t>
  </si>
  <si>
    <t xml:space="preserve"> PERSIARAN PERBANDARAN,</t>
  </si>
  <si>
    <t>SEKSYEN 14, SHAH ALAM</t>
  </si>
  <si>
    <t xml:space="preserve">amar.muslim@pkps.gov.my  </t>
  </si>
  <si>
    <t>0147260460</t>
  </si>
  <si>
    <t>KO-0016</t>
  </si>
  <si>
    <t>3001/535</t>
  </si>
  <si>
    <t>NO 3, LORONG TSR 3,</t>
  </si>
  <si>
    <t>TAMAN SERAYA REMBAU, 71300</t>
  </si>
  <si>
    <t>0139646280</t>
  </si>
  <si>
    <t>SM-0457</t>
  </si>
  <si>
    <t>3001/536</t>
  </si>
  <si>
    <t>ZON A, MUTIARA BANGI</t>
  </si>
  <si>
    <t>0193119353</t>
  </si>
  <si>
    <t>SM-0204</t>
  </si>
  <si>
    <t>3001/537</t>
  </si>
  <si>
    <t>NO. 5</t>
  </si>
  <si>
    <t>JLN 1/3Q ZON D</t>
  </si>
  <si>
    <t>0192839396</t>
  </si>
  <si>
    <t>SM-0201</t>
  </si>
  <si>
    <t>3001/538</t>
  </si>
  <si>
    <t>NO 31, JALAN 12,</t>
  </si>
  <si>
    <t>TAMAN TUN ABDUL RAZAK (TAR)</t>
  </si>
  <si>
    <t>IG6164818030</t>
  </si>
  <si>
    <t xml:space="preserve">azaidiml@gmail.com   </t>
  </si>
  <si>
    <t>0193388666</t>
  </si>
  <si>
    <t>SM-0038</t>
  </si>
  <si>
    <t>3001/539</t>
  </si>
  <si>
    <t>BLOK E4/5</t>
  </si>
  <si>
    <t>KOMPLEKS KERAJAAN PARCEL E</t>
  </si>
  <si>
    <t xml:space="preserve">P. PENTADBIRAN KERAJAAN </t>
  </si>
  <si>
    <t>koperasikuscoop@kuskop.gov.my</t>
  </si>
  <si>
    <t>0125130950</t>
  </si>
  <si>
    <t>SM-0253</t>
  </si>
  <si>
    <t>3001/540</t>
  </si>
  <si>
    <t>SM-0229</t>
  </si>
  <si>
    <t>3001/541</t>
  </si>
  <si>
    <t>SM-0085</t>
  </si>
  <si>
    <t>3001/542</t>
  </si>
  <si>
    <t>SM-0034</t>
  </si>
  <si>
    <t>3001/543</t>
  </si>
  <si>
    <t>230-1A JALAN HARUAN</t>
  </si>
  <si>
    <t>5/6 PUSAT KOMERSIAL OAKLAND II</t>
  </si>
  <si>
    <t xml:space="preserve">numiraresources19@gmail.com  </t>
  </si>
  <si>
    <t>0126320948</t>
  </si>
  <si>
    <t>SM-0347</t>
  </si>
  <si>
    <t>3001/544</t>
  </si>
  <si>
    <t>CIMB BANK JALAN DUTA, BLOCK 8,</t>
  </si>
  <si>
    <t xml:space="preserve"> KOMPLEK PEJABAT KERAJAAN, JLN</t>
  </si>
  <si>
    <t>TUANKU ABDUL HALIM, KOMPLEKS</t>
  </si>
  <si>
    <t>0122614565</t>
  </si>
  <si>
    <t>SM-0113</t>
  </si>
  <si>
    <t>3001/545</t>
  </si>
  <si>
    <t>2A, JLN SERI REJANG 5,</t>
  </si>
  <si>
    <t>SM-0473</t>
  </si>
  <si>
    <t>3001/546</t>
  </si>
  <si>
    <t>SHELL TMN MEGAH RIA</t>
  </si>
  <si>
    <t>PTD 25231, JALAN BAYAN 31,</t>
  </si>
  <si>
    <t>TMN MEGAH RIA, MUKIM PLENTONG,</t>
  </si>
  <si>
    <t>0177859771</t>
  </si>
  <si>
    <t>SM-0283</t>
  </si>
  <si>
    <t>3001/547</t>
  </si>
  <si>
    <t>NO 102A, JALAN PJU 10/17,</t>
  </si>
  <si>
    <t>SUTERA DAMANSARA</t>
  </si>
  <si>
    <t>SM-0405</t>
  </si>
  <si>
    <t>3001/548</t>
  </si>
  <si>
    <t>NO 22, KAWASAN REHAT &amp; RAWAT,</t>
  </si>
  <si>
    <t xml:space="preserve">PAGOH UTARA, PANCHOR </t>
  </si>
  <si>
    <t>MUAR</t>
  </si>
  <si>
    <t>SM-0390</t>
  </si>
  <si>
    <t>3001/549</t>
  </si>
  <si>
    <t>604, JALAN NUSA INTAN 5/2</t>
  </si>
  <si>
    <t>TAMAN NUSA INTAN 70400</t>
  </si>
  <si>
    <t>01126834175</t>
  </si>
  <si>
    <t>SM-0009</t>
  </si>
  <si>
    <t>3001/550</t>
  </si>
  <si>
    <t>ARAS 3, BLOK E 8, PARCEL E,</t>
  </si>
  <si>
    <t>KOMPLEKS KERAJAAN PUTRAJAYA.</t>
  </si>
  <si>
    <t>0122323017</t>
  </si>
  <si>
    <t>SM-0265</t>
  </si>
  <si>
    <t>3001/551</t>
  </si>
  <si>
    <t>SMK PEKAN</t>
  </si>
  <si>
    <t>JLN PEKAN - NENASI</t>
  </si>
  <si>
    <t>0193454963</t>
  </si>
  <si>
    <t>SM-0257</t>
  </si>
  <si>
    <t>3001/552</t>
  </si>
  <si>
    <t>PETRON TG BUNGAH 2-A, J</t>
  </si>
  <si>
    <t>JLN SG KELIAN (TIGER POWER)</t>
  </si>
  <si>
    <t>TANJUNG BUNGAH</t>
  </si>
  <si>
    <t>01114468364</t>
  </si>
  <si>
    <t>PM-0972</t>
  </si>
  <si>
    <t>3001/553</t>
  </si>
  <si>
    <t>3544, JALAN RJ 5/23</t>
  </si>
  <si>
    <t>TAMAN RASAH JAYA</t>
  </si>
  <si>
    <t>0132386536</t>
  </si>
  <si>
    <t>SM-0328</t>
  </si>
  <si>
    <t>3001/554</t>
  </si>
  <si>
    <t>LULU GROUP RETAIL.SDN BHD</t>
  </si>
  <si>
    <t>CAPITAL SQUARE,LOT 159,</t>
  </si>
  <si>
    <t>PERSIARAN CAP SQUARE,</t>
  </si>
  <si>
    <t>0326160160</t>
  </si>
  <si>
    <t>HM-0012</t>
  </si>
  <si>
    <t>3001/555</t>
  </si>
  <si>
    <t>AG-0025</t>
  </si>
  <si>
    <t>3001/556</t>
  </si>
  <si>
    <t>SEKOLAH MENENGAH</t>
  </si>
  <si>
    <t>KEBANGSAAN PERNU</t>
  </si>
  <si>
    <t>JLN TELOK MAS</t>
  </si>
  <si>
    <t>g-56123035@moe-dl.edu.my</t>
  </si>
  <si>
    <t>0136247258</t>
  </si>
  <si>
    <t>SM-0258</t>
  </si>
  <si>
    <t>3001/557</t>
  </si>
  <si>
    <t>363-Y, JALAN PEMANCAR GELUGOR,</t>
  </si>
  <si>
    <t>11700 PULAU PINANG</t>
  </si>
  <si>
    <t>0195685548</t>
  </si>
  <si>
    <t>SM-0082</t>
  </si>
  <si>
    <t>3001/558</t>
  </si>
  <si>
    <t>GERAI NO.9, R&amp;R LESTARI,</t>
  </si>
  <si>
    <t>HENTIAN SEREMBAN ARAH SELATAN,</t>
  </si>
  <si>
    <t>0122446772</t>
  </si>
  <si>
    <t>CF-0155</t>
  </si>
  <si>
    <t>3001/559</t>
  </si>
  <si>
    <t>PT 610, PERSIARAN</t>
  </si>
  <si>
    <t xml:space="preserve"> SERIEMAS PERDANA,</t>
  </si>
  <si>
    <t>KOTA SERI EMAS PERDANA</t>
  </si>
  <si>
    <t xml:space="preserve">petronaspks@gmail.com    </t>
  </si>
  <si>
    <t>0174650221</t>
  </si>
  <si>
    <t>PM-0214</t>
  </si>
  <si>
    <t>3001/560</t>
  </si>
  <si>
    <t>S/57, PT 993</t>
  </si>
  <si>
    <t xml:space="preserve">NO 1992 &amp; 723 KAMPUNG CHICA </t>
  </si>
  <si>
    <t xml:space="preserve"> JALAN PASIR PUTEH, KOTA</t>
  </si>
  <si>
    <t xml:space="preserve">petronaschica@gmail.com    </t>
  </si>
  <si>
    <t>PM-1029</t>
  </si>
  <si>
    <t>3001/561</t>
  </si>
  <si>
    <t>OPUS HOSPITALITY SDN BHD</t>
  </si>
  <si>
    <t>G1 OPUS KUALA LUMPUR, 82</t>
  </si>
  <si>
    <t xml:space="preserve"> JALAN TALLALA KAMPUNG ATTAP</t>
  </si>
  <si>
    <t xml:space="preserve">usiah@opus.com.my     </t>
  </si>
  <si>
    <t>0102866108</t>
  </si>
  <si>
    <t>SM-0363</t>
  </si>
  <si>
    <t>3001/562</t>
  </si>
  <si>
    <t>BATARAS HQ OFFICE, BATARAS</t>
  </si>
  <si>
    <t xml:space="preserve"> HYPERMRKET KOLOMBONG, MILE 5 </t>
  </si>
  <si>
    <t>1/2,JLN TUARAN,TMN KOLOMBONG</t>
  </si>
  <si>
    <t xml:space="preserve">btr_hqkk@bataras.com.my  </t>
  </si>
  <si>
    <t>088433233</t>
  </si>
  <si>
    <t>HM-0004</t>
  </si>
  <si>
    <t>1/2 - BUKAN POSTCODE</t>
  </si>
  <si>
    <t>3001/563</t>
  </si>
  <si>
    <t xml:space="preserve">NO 11 JALAN 2, </t>
  </si>
  <si>
    <t>PUSAT PERNIAGAAN PAUH</t>
  </si>
  <si>
    <t>ARAU</t>
  </si>
  <si>
    <t>0199587294</t>
  </si>
  <si>
    <t>SM-0139</t>
  </si>
  <si>
    <t>3001/564</t>
  </si>
  <si>
    <t xml:space="preserve">THE 3 TOWER (MENARA 3), UNIT </t>
  </si>
  <si>
    <t>T03-08-09, 296 JALAN AMPANG,</t>
  </si>
  <si>
    <t>0143131225</t>
  </si>
  <si>
    <t>HO-0006</t>
  </si>
  <si>
    <t>3001/565</t>
  </si>
  <si>
    <t>KEDAI WAWA, NO 3 JLN KESTURI,</t>
  </si>
  <si>
    <t>TMN BUNGA RAYA</t>
  </si>
  <si>
    <t>TONGKANG PECAH,BATU PAHAT</t>
  </si>
  <si>
    <t>0197062204</t>
  </si>
  <si>
    <t>SM-0308</t>
  </si>
  <si>
    <t>3001/566</t>
  </si>
  <si>
    <t>NO 2A, KEDAI MAKAN CIKNO,</t>
  </si>
  <si>
    <t xml:space="preserve">FELDA CHIKU 02, 18300 </t>
  </si>
  <si>
    <t>GUA MUSANG,</t>
  </si>
  <si>
    <t>NO</t>
  </si>
  <si>
    <t>meknon703@gmail.com</t>
  </si>
  <si>
    <t>0163096930</t>
  </si>
  <si>
    <t>SM-0266</t>
  </si>
  <si>
    <t>3001/567</t>
  </si>
  <si>
    <t>0193224432</t>
  </si>
  <si>
    <t>SM-0111</t>
  </si>
  <si>
    <t>3001/568</t>
  </si>
  <si>
    <t>GF-10, 163 RETAIL PARK,</t>
  </si>
  <si>
    <t>NO. 8, JALAN KIARA</t>
  </si>
  <si>
    <t>MONT KIARA,</t>
  </si>
  <si>
    <t>389364-A</t>
  </si>
  <si>
    <t xml:space="preserve">C 2020033906	</t>
  </si>
  <si>
    <t xml:space="preserve">B16-1808-31019438	</t>
  </si>
  <si>
    <t xml:space="preserve">finance.whisk@gmail.com		</t>
  </si>
  <si>
    <t>0123773750</t>
  </si>
  <si>
    <t>CF-0164</t>
  </si>
  <si>
    <t>3001/569</t>
  </si>
  <si>
    <t xml:space="preserve">NO 77, PUSAT BANDAR </t>
  </si>
  <si>
    <t>SERI MANJUNG</t>
  </si>
  <si>
    <t xml:space="preserve">pmgpharmacymanjungsri2024@gmail.com   </t>
  </si>
  <si>
    <t>0163627966</t>
  </si>
  <si>
    <t>SM-0387</t>
  </si>
  <si>
    <t>3001/570</t>
  </si>
  <si>
    <t>UC MART, NO A16 GROUND FLOOR,</t>
  </si>
  <si>
    <t>LORONG HAJI ABDUL RAHMAN 1</t>
  </si>
  <si>
    <t>ucdailymart@gmail.com</t>
  </si>
  <si>
    <t>0145158015</t>
  </si>
  <si>
    <t>SM-0485</t>
  </si>
  <si>
    <t>3001/571</t>
  </si>
  <si>
    <t>HUCARE PHARMACY</t>
  </si>
  <si>
    <t>189A, PEKAN JITRA 2, JITRA</t>
  </si>
  <si>
    <t>KEDAH DARUL AMAN</t>
  </si>
  <si>
    <t>0126034135</t>
  </si>
  <si>
    <t>SM-0211</t>
  </si>
  <si>
    <t>3001/572</t>
  </si>
  <si>
    <t>SMK RANTAU</t>
  </si>
  <si>
    <t>JALAN LINSUM 71200 RANTAU, NS</t>
  </si>
  <si>
    <t>0189785330</t>
  </si>
  <si>
    <t>SM-0273</t>
  </si>
  <si>
    <t>3001/573</t>
  </si>
  <si>
    <t>NO 2, JLN 2/1F, MUTIARA BANGI</t>
  </si>
  <si>
    <t>0192211900</t>
  </si>
  <si>
    <t>SM-0117</t>
  </si>
  <si>
    <t>3001/574</t>
  </si>
  <si>
    <t xml:space="preserve">NO 36, </t>
  </si>
  <si>
    <t>JLN PRIMA SAUJANA 5/3</t>
  </si>
  <si>
    <t>SAUJANA VILLA</t>
  </si>
  <si>
    <t>0192862399</t>
  </si>
  <si>
    <t>SM-0509</t>
  </si>
  <si>
    <t>3001/575</t>
  </si>
  <si>
    <t>P1 MENARA 3 KLCC LOADING BAY</t>
  </si>
  <si>
    <t>(MARINI'S GROUP STORE)</t>
  </si>
  <si>
    <t xml:space="preserve">procurement@marinisgroup.com  </t>
  </si>
  <si>
    <t>0179617466</t>
  </si>
  <si>
    <t>CM-0058</t>
  </si>
  <si>
    <t>3001/576</t>
  </si>
  <si>
    <t>LOT 697 MUKIM 15</t>
  </si>
  <si>
    <t>KG KIJANG, JLN ROZHAN ALMA</t>
  </si>
  <si>
    <t>0194883944</t>
  </si>
  <si>
    <t>SM-0379</t>
  </si>
  <si>
    <t>3001/577</t>
  </si>
  <si>
    <t>NO 39, BATU 1/2,</t>
  </si>
  <si>
    <t>DEPAN KILANG JALAN PAUH,</t>
  </si>
  <si>
    <t xml:space="preserve">nfsamg9930@gmail.com   </t>
  </si>
  <si>
    <t>0175899551</t>
  </si>
  <si>
    <t>CM-0070</t>
  </si>
  <si>
    <t>3001/578</t>
  </si>
  <si>
    <t>LOT 5&amp;6, VILLAGE @ ENSTEK,</t>
  </si>
  <si>
    <t>BANDAR ENSTEK, 71760 NILAI,</t>
  </si>
  <si>
    <t>0122438863</t>
  </si>
  <si>
    <t>SM-0436</t>
  </si>
  <si>
    <t>3001/579</t>
  </si>
  <si>
    <t>2 JLN 1/3P MUTIARA BANGI 43650</t>
  </si>
  <si>
    <t>0192110140</t>
  </si>
  <si>
    <t>SM-0407</t>
  </si>
  <si>
    <t>3001/580</t>
  </si>
  <si>
    <t>NO.58-G &amp; NO.58-1, JALAN 7/7B</t>
  </si>
  <si>
    <t>SEKSYEN 7,43650</t>
  </si>
  <si>
    <t>0126670170</t>
  </si>
  <si>
    <t>CM-0055</t>
  </si>
  <si>
    <t>3001/581</t>
  </si>
  <si>
    <t>CALTEX TAMAN TEJA LOT 3911,</t>
  </si>
  <si>
    <t xml:space="preserve"> LEBUHRAYA UTARA/ SELATAN,</t>
  </si>
  <si>
    <t>TAMAN TEJA, CHANGLOON,</t>
  </si>
  <si>
    <t xml:space="preserve">mpetroleum@hotmail.com      </t>
  </si>
  <si>
    <t>0164592132</t>
  </si>
  <si>
    <t>PM-0537</t>
  </si>
  <si>
    <t>3001/582</t>
  </si>
  <si>
    <t>LOT 7, PERSIARANG INSTITUSI,</t>
  </si>
  <si>
    <t>KAWASAN INSTITUSI BANGI,</t>
  </si>
  <si>
    <t>0137116421</t>
  </si>
  <si>
    <t>SM-0352</t>
  </si>
  <si>
    <t>3001/583</t>
  </si>
  <si>
    <t>TINGKAT 21</t>
  </si>
  <si>
    <t>MENARA KORPORAT RISDA</t>
  </si>
  <si>
    <t>JLN AMPANG ULU 3</t>
  </si>
  <si>
    <t>azizisobri@gmail.com</t>
  </si>
  <si>
    <t>0123680710</t>
  </si>
  <si>
    <t>CM-0082</t>
  </si>
  <si>
    <t>3001/584</t>
  </si>
  <si>
    <t>GERAI 1</t>
  </si>
  <si>
    <t>RNR JURU ARH SELATAN</t>
  </si>
  <si>
    <t>0197696695</t>
  </si>
  <si>
    <t>CF-0061</t>
  </si>
  <si>
    <t>3001/585</t>
  </si>
  <si>
    <t xml:space="preserve"> Lot PT 23517 </t>
  </si>
  <si>
    <t>Kawasan Industri 3 Bandar</t>
  </si>
  <si>
    <t>Aman Jaya Mukim Sg Petani</t>
  </si>
  <si>
    <t>08100</t>
  </si>
  <si>
    <t>IG 11770865080</t>
  </si>
  <si>
    <t>mutiarapermata02@gmail.com</t>
  </si>
  <si>
    <t>0124219921</t>
  </si>
  <si>
    <t>PM-0564</t>
  </si>
  <si>
    <t>3001/586</t>
  </si>
  <si>
    <t>91, JALAN KOTA,</t>
  </si>
  <si>
    <t>34000 TAIPING PERAK</t>
  </si>
  <si>
    <t xml:space="preserve">ymayyin28@gmail.com   </t>
  </si>
  <si>
    <t>058063769</t>
  </si>
  <si>
    <t>CM-0104</t>
  </si>
  <si>
    <t>3001/587</t>
  </si>
  <si>
    <t>NO 173,1ST &amp; 2ND FLOOR</t>
  </si>
  <si>
    <t>JLN PPMP 3/3</t>
  </si>
  <si>
    <t>PPMP, SERI MANJUNG</t>
  </si>
  <si>
    <t>d.ireland@imar.my</t>
  </si>
  <si>
    <t>0194773927</t>
  </si>
  <si>
    <t>CM-0045</t>
  </si>
  <si>
    <t>3001/588</t>
  </si>
  <si>
    <t>BANDARAYA KL SUITENGO 4,LVL UG</t>
  </si>
  <si>
    <t>URBAN TRANSFORMATION CENTER</t>
  </si>
  <si>
    <t>(UTC) KERAMAT MALL,</t>
  </si>
  <si>
    <t>klccfoodtruck@gmail.com</t>
  </si>
  <si>
    <t>0122459870</t>
  </si>
  <si>
    <t>CF-0086</t>
  </si>
  <si>
    <t>3001/589</t>
  </si>
  <si>
    <t>PEJABAT SETIAUSAHA KERAJAAN,</t>
  </si>
  <si>
    <t>NEGERI SEMBILAN TINGKAT 5,</t>
  </si>
  <si>
    <t>BLOK D, WISMA NEGERI,SEREMBAN</t>
  </si>
  <si>
    <t>nathasya@ns.gov.my</t>
  </si>
  <si>
    <t>0126431812</t>
  </si>
  <si>
    <t>SM-0490</t>
  </si>
  <si>
    <t>3001/590</t>
  </si>
  <si>
    <t>MT 2898 JALAN TBBMT UTAMA,</t>
  </si>
  <si>
    <t>TAMAN BANDAR BARU UTAMA,</t>
  </si>
  <si>
    <t>MASJID TANAH</t>
  </si>
  <si>
    <t>0136198317</t>
  </si>
  <si>
    <t>KO-0012</t>
  </si>
  <si>
    <t>3001/591</t>
  </si>
  <si>
    <t>PETRON BUKIT PAYONG</t>
  </si>
  <si>
    <t>LOT 62480, PADANG MENGKUANG</t>
  </si>
  <si>
    <t>PM-0784</t>
  </si>
  <si>
    <t>3001/592</t>
  </si>
  <si>
    <t>1125, JALAN BUKIT KECIL,</t>
  </si>
  <si>
    <t>21100 KUALA TERENGGANU</t>
  </si>
  <si>
    <t>0143029837</t>
  </si>
  <si>
    <t>HM-0018</t>
  </si>
  <si>
    <t>3001/593</t>
  </si>
  <si>
    <t>NO.6, JALAN UB 1,</t>
  </si>
  <si>
    <t>TAMAN PERINDUSTRIAN UB RAWANG,</t>
  </si>
  <si>
    <t xml:space="preserve">accexecrc@gmail.com  </t>
  </si>
  <si>
    <t>0189197010</t>
  </si>
  <si>
    <t>CF-0119</t>
  </si>
  <si>
    <t>3001/594</t>
  </si>
  <si>
    <t xml:space="preserve">PUSAT DGNGAN NSK, LOT 4674 &amp; </t>
  </si>
  <si>
    <t>4675, WISMA YAP TIEH,</t>
  </si>
  <si>
    <t>SELAYANG BATU 8,JALAN IPOH,</t>
  </si>
  <si>
    <t>0361207481</t>
  </si>
  <si>
    <t>HM-0016</t>
  </si>
  <si>
    <t>3001/595</t>
  </si>
  <si>
    <t>46,47,48, JALAN SEROJA 1/1,</t>
  </si>
  <si>
    <t>TAMAN SEROJA BANDAR AMANJAYA,</t>
  </si>
  <si>
    <t>CM-0066</t>
  </si>
  <si>
    <t>3001/596</t>
  </si>
  <si>
    <t>NO 8A-4 KAMPUNG KUALA JEMPOL,</t>
  </si>
  <si>
    <t>JEMPOL</t>
  </si>
  <si>
    <t>0138513263</t>
  </si>
  <si>
    <t>SM-0281</t>
  </si>
  <si>
    <t>3001/597</t>
  </si>
  <si>
    <t>CALTEX BUKIT GANTANG</t>
  </si>
  <si>
    <t>KM225(SOUTH BOUND)</t>
  </si>
  <si>
    <t>LEBUHRAYA UTARA- SELATAN</t>
  </si>
  <si>
    <t xml:space="preserve">muliajayapng@yahoo.com  </t>
  </si>
  <si>
    <t>01161514215</t>
  </si>
  <si>
    <t>PM-0559</t>
  </si>
  <si>
    <t>3001/598</t>
  </si>
  <si>
    <t>368-B JLN SEMANGKA,</t>
  </si>
  <si>
    <t>BT 6 1/2 KG SRI JAYA,</t>
  </si>
  <si>
    <t>0179021413</t>
  </si>
  <si>
    <t>SM-0294</t>
  </si>
  <si>
    <t>3001/599</t>
  </si>
  <si>
    <t>NO 18, JALAN ZIRKON E 7/E,</t>
  </si>
  <si>
    <t>SEKSYEN 7,  40000 SHAH ALAM</t>
  </si>
  <si>
    <t>0102474710</t>
  </si>
  <si>
    <t>SM-0488</t>
  </si>
  <si>
    <t>3001/600</t>
  </si>
  <si>
    <t>CM-0065</t>
  </si>
  <si>
    <t>3001/601</t>
  </si>
  <si>
    <t>BLOCK B: B16-04</t>
  </si>
  <si>
    <t>IDAMAN RESIDENCE,JLN IDAMAN 9</t>
  </si>
  <si>
    <t>NUSA IDAMAN ISKANDAR PUTERI</t>
  </si>
  <si>
    <t>0193676594</t>
  </si>
  <si>
    <t>SM-0021</t>
  </si>
  <si>
    <t>3001/602</t>
  </si>
  <si>
    <t>NO.23, JLN SETIA TROPIKA,4/13,</t>
  </si>
  <si>
    <t xml:space="preserve">MN SETIA TROPIKA, </t>
  </si>
  <si>
    <t>0122520945</t>
  </si>
  <si>
    <t>SM-0225</t>
  </si>
  <si>
    <t>3001/603</t>
  </si>
  <si>
    <t>PT765,TNGKT BAWAH</t>
  </si>
  <si>
    <t xml:space="preserve">PERKEDAIAN KEMASIK </t>
  </si>
  <si>
    <t>LALUAN PERSEKUTUAN 3</t>
  </si>
  <si>
    <t xml:space="preserve">IG25624867020                                </t>
  </si>
  <si>
    <t>nurviacare.ent@gmail.com</t>
  </si>
  <si>
    <t>01743015066</t>
  </si>
  <si>
    <t>SM-0481</t>
  </si>
  <si>
    <t>3001/604</t>
  </si>
  <si>
    <t>NO 10G, JALAN AMAN TIARA 8,</t>
  </si>
  <si>
    <t>BANDARA TROPICANA AMAN, 42500</t>
  </si>
  <si>
    <t>0104237520</t>
  </si>
  <si>
    <t>SM-0484</t>
  </si>
  <si>
    <t>3001/605</t>
  </si>
  <si>
    <t>BILIK TB-0-001</t>
  </si>
  <si>
    <t>UNITEN KAMPUS PUTRAJAYA</t>
  </si>
  <si>
    <t>JLN IKRAM UNITEN</t>
  </si>
  <si>
    <t>PM-0529</t>
  </si>
  <si>
    <t>3001/606</t>
  </si>
  <si>
    <t>NO. 3, JLN TMN KINTA</t>
  </si>
  <si>
    <t>TAMAN CHATEAU</t>
  </si>
  <si>
    <t>WI-0330</t>
  </si>
  <si>
    <t>3001/607</t>
  </si>
  <si>
    <t>366, TAMAN TUNKU SARINA,</t>
  </si>
  <si>
    <t>JALAN SARINA 1,</t>
  </si>
  <si>
    <t>JITRA,KEDAH DARUL AMAN</t>
  </si>
  <si>
    <t>0189184098</t>
  </si>
  <si>
    <t>SM-0110</t>
  </si>
  <si>
    <t>3001/608</t>
  </si>
  <si>
    <t>HOSPITAL ENCHE BESAR,</t>
  </si>
  <si>
    <t>HAJJAH KHALSOM KM5,</t>
  </si>
  <si>
    <t xml:space="preserve">JALAN KOTA TINGGI KLUANG </t>
  </si>
  <si>
    <t>0197119544</t>
  </si>
  <si>
    <t>CM-0061</t>
  </si>
  <si>
    <t>3001/609</t>
  </si>
  <si>
    <t>PS POKOK SENA, KEDAH (NORTH 1)</t>
  </si>
  <si>
    <t>Lot 1247, Mukim Jabi, Pokok</t>
  </si>
  <si>
    <t>Sena, Kedah,Pokok</t>
  </si>
  <si>
    <t xml:space="preserve">IG4336640060 </t>
  </si>
  <si>
    <t>0174124353</t>
  </si>
  <si>
    <t>PM-0475</t>
  </si>
  <si>
    <t>3001/610</t>
  </si>
  <si>
    <t>C310, TINGKAT 2, GLOMAC</t>
  </si>
  <si>
    <t>BUSINESS CENTRE JLN SS6/1,</t>
  </si>
  <si>
    <t>KELANA JAYA, PETALING JAYA</t>
  </si>
  <si>
    <t>myar7777@gmail.com</t>
  </si>
  <si>
    <t>0193056154</t>
  </si>
  <si>
    <t>KO-0002</t>
  </si>
  <si>
    <t>3001/611</t>
  </si>
  <si>
    <t>CALTEX JALAN PEKAKA</t>
  </si>
  <si>
    <t>CO. NO 872813T</t>
  </si>
  <si>
    <t>PMT2381, JALAN PEKAKA</t>
  </si>
  <si>
    <t>0189661288</t>
  </si>
  <si>
    <t>PM-0729</t>
  </si>
  <si>
    <t>3001/612</t>
  </si>
  <si>
    <t>PT 13004 GROUND FLOOR, JLN BBN</t>
  </si>
  <si>
    <t>1/7 B, PUTRA NILAI, 71800</t>
  </si>
  <si>
    <t>0122459477</t>
  </si>
  <si>
    <t>SM-0441</t>
  </si>
  <si>
    <t>3001/613</t>
  </si>
  <si>
    <t>NO 10</t>
  </si>
  <si>
    <t>JLN NAGASARI 736/E</t>
  </si>
  <si>
    <t>DESA LATANIA</t>
  </si>
  <si>
    <t>0333111763</t>
  </si>
  <si>
    <t>SM-0148</t>
  </si>
  <si>
    <t>3001/614</t>
  </si>
  <si>
    <t>K200 TAMAN BAIDURI 24000</t>
  </si>
  <si>
    <t>KEMAMAN TERENGGANU</t>
  </si>
  <si>
    <t>0133987868</t>
  </si>
  <si>
    <t>SM-0462</t>
  </si>
  <si>
    <t>3001/615</t>
  </si>
  <si>
    <t>14-2 JALAN BESAR PAGOH</t>
  </si>
  <si>
    <t>84600 PAGOH, MUAR, JOHOR</t>
  </si>
  <si>
    <t>069741724</t>
  </si>
  <si>
    <t>SM-0171</t>
  </si>
  <si>
    <t>3001/616</t>
  </si>
  <si>
    <t>396 , LORONG DESA IXORA 2/4,</t>
  </si>
  <si>
    <t>TAMAN DESA IXORA 2 SENAWANG,</t>
  </si>
  <si>
    <t>0197553070</t>
  </si>
  <si>
    <t>SM-0332</t>
  </si>
  <si>
    <t>3001/617</t>
  </si>
  <si>
    <t>LOT 6, JALAN UB1,</t>
  </si>
  <si>
    <t>TAMAN PERINDUSTRIAN UB,</t>
  </si>
  <si>
    <t>01139398787</t>
  </si>
  <si>
    <t>CF-0122</t>
  </si>
  <si>
    <t>3001/618</t>
  </si>
  <si>
    <t>SM-0104</t>
  </si>
  <si>
    <t>3001/619</t>
  </si>
  <si>
    <t>LOT 791</t>
  </si>
  <si>
    <t>MUKIM JELI</t>
  </si>
  <si>
    <t>bhpetrol.jeli@gmail.com</t>
  </si>
  <si>
    <t>0199992696</t>
  </si>
  <si>
    <t>PM-0121</t>
  </si>
  <si>
    <t>3001/620</t>
  </si>
  <si>
    <t>NO6 R&amp;R SG PERAK ARAH UTARA</t>
  </si>
  <si>
    <t>0175053005</t>
  </si>
  <si>
    <t>CF-0066</t>
  </si>
  <si>
    <t>3001/621</t>
  </si>
  <si>
    <t>NO 2, R&amp;R TAPAH ARAH UTARA</t>
  </si>
  <si>
    <t>0175930272</t>
  </si>
  <si>
    <t>CF-0022</t>
  </si>
  <si>
    <t>3001/622</t>
  </si>
  <si>
    <t>CALTEX SMEDAN TAIPING</t>
  </si>
  <si>
    <t>NO 62, JALAN SIMPANG</t>
  </si>
  <si>
    <t>0125791108</t>
  </si>
  <si>
    <t>PM-0052</t>
  </si>
  <si>
    <t>3001/623</t>
  </si>
  <si>
    <t>NO. 2, JALAN SUNGKAI,</t>
  </si>
  <si>
    <t>TAMAN OKID JAYA, 35600</t>
  </si>
  <si>
    <t>SUNGKAI</t>
  </si>
  <si>
    <t>0189604415</t>
  </si>
  <si>
    <t>SM-0154</t>
  </si>
  <si>
    <t>3001/624</t>
  </si>
  <si>
    <t>PS MARAN</t>
  </si>
  <si>
    <t>LOT 3, KAWASAN PERINDUSTRIAN</t>
  </si>
  <si>
    <t>PM-0801</t>
  </si>
  <si>
    <t>3001/625</t>
  </si>
  <si>
    <t>NO 51 KM9</t>
  </si>
  <si>
    <t>0135868248</t>
  </si>
  <si>
    <t>SM-0032</t>
  </si>
  <si>
    <t>3001/626</t>
  </si>
  <si>
    <t>NO.4 JLN WUSHU 13/49,BLOK 2</t>
  </si>
  <si>
    <t>WORLDWIDE BUSINESS PARK</t>
  </si>
  <si>
    <t>SEKSYEN 13, SHAH ALAM</t>
  </si>
  <si>
    <t>ahmadsfriedchicken@outlook.com</t>
  </si>
  <si>
    <t>01137777000</t>
  </si>
  <si>
    <t>CF-0009</t>
  </si>
  <si>
    <t>3001/627</t>
  </si>
  <si>
    <t>PS LEMAL</t>
  </si>
  <si>
    <t>LOT 985 JALAN JEMAL</t>
  </si>
  <si>
    <t>012955878</t>
  </si>
  <si>
    <t>PM-0871</t>
  </si>
  <si>
    <t>3001/628</t>
  </si>
  <si>
    <t>PS KUALA PILAH JALAN MELANG</t>
  </si>
  <si>
    <t>LOT 324, JALAN MELANG</t>
  </si>
  <si>
    <t>0133331201</t>
  </si>
  <si>
    <t>PM-0622</t>
  </si>
  <si>
    <t>3001/629</t>
  </si>
  <si>
    <t>4062-LEVEL 4, UNIMART,</t>
  </si>
  <si>
    <t>UNIKL-BUSINESS,QUILL CITYMALL,</t>
  </si>
  <si>
    <t>JLN SULTAN ISMAIL,BNDR WAWASAN</t>
  </si>
  <si>
    <t>salman23halim@gmail.com</t>
  </si>
  <si>
    <t>01111818859</t>
  </si>
  <si>
    <t>SM-0189</t>
  </si>
  <si>
    <t>3001/630</t>
  </si>
  <si>
    <t>AGROBANK COMMERCIAL CENTRE,</t>
  </si>
  <si>
    <t>BLOCK 13-5, SEREMBAN CITY</t>
  </si>
  <si>
    <t xml:space="preserve"> CENTRE, JALAN PASAR, SEREMBAN</t>
  </si>
  <si>
    <t>0132219937</t>
  </si>
  <si>
    <t>SM-0354</t>
  </si>
  <si>
    <t>3001/631</t>
  </si>
  <si>
    <t>AG-0026</t>
  </si>
  <si>
    <t>3001/632</t>
  </si>
  <si>
    <t>158, JALAN YAM TUAN,</t>
  </si>
  <si>
    <t>SEREMBAN 70710 SEREMBAN,</t>
  </si>
  <si>
    <t xml:space="preserve">daruis@pknns.gov.my  </t>
  </si>
  <si>
    <t>0182443885</t>
  </si>
  <si>
    <t>CO-0025</t>
  </si>
  <si>
    <t>3001/633</t>
  </si>
  <si>
    <t>JALAN BUKIT KERAJAAN 33000</t>
  </si>
  <si>
    <t>KUALA KANGSAR, PERAK</t>
  </si>
  <si>
    <t xml:space="preserve">C870821050    </t>
  </si>
  <si>
    <t>0146734064</t>
  </si>
  <si>
    <t>SM-0259</t>
  </si>
  <si>
    <t>3001/634</t>
  </si>
  <si>
    <t>UNIT 46A-4, MENTARI</t>
  </si>
  <si>
    <t>BUSINESS PARK,JLN PJS 8/2</t>
  </si>
  <si>
    <t>DATARAN MENTARI,PETALING JAYA</t>
  </si>
  <si>
    <t>admin@koopsantun.yapeim.my</t>
  </si>
  <si>
    <t>01111264599</t>
  </si>
  <si>
    <t>KO-0010</t>
  </si>
  <si>
    <t>3001/635</t>
  </si>
  <si>
    <t>NO 46, JALAN BUNGA MELATI 2,</t>
  </si>
  <si>
    <t>TAMAN MAJU JAYA, CHERAS 56100</t>
  </si>
  <si>
    <t xml:space="preserve">carloznazri@radenembun.my   </t>
  </si>
  <si>
    <t>SM-0406</t>
  </si>
  <si>
    <t>3001/636</t>
  </si>
  <si>
    <t>NO 19, LORONG SEPAKAT,</t>
  </si>
  <si>
    <t>KAMPUNG PARIT SENTANG BATU,</t>
  </si>
  <si>
    <t xml:space="preserve"> PARIT SULONG, BATU PAHAT,</t>
  </si>
  <si>
    <t>01111346420</t>
  </si>
  <si>
    <t>SM-0350</t>
  </si>
  <si>
    <t>3001/637</t>
  </si>
  <si>
    <t>25, JALAN BUKIT BALDWIN,</t>
  </si>
  <si>
    <t>PUSAT PERNIAGAAN BUKIT BALDWIN</t>
  </si>
  <si>
    <t>TAPAH</t>
  </si>
  <si>
    <t>0134362887</t>
  </si>
  <si>
    <t>SM-0301</t>
  </si>
  <si>
    <t>3001/638</t>
  </si>
  <si>
    <t>PERSIARAN TUN KHALIL YAAKO,</t>
  </si>
  <si>
    <t>26300 GAMBANG, KUANTAN,</t>
  </si>
  <si>
    <t>PAHANG DARUL MAKMUR</t>
  </si>
  <si>
    <t>0199457786</t>
  </si>
  <si>
    <t>PM-0678</t>
  </si>
  <si>
    <t>3001/639</t>
  </si>
  <si>
    <t>PS KM 10 JALAN KARAK</t>
  </si>
  <si>
    <t>KM 10, JALAN KARAK,</t>
  </si>
  <si>
    <t>MENTAKAB</t>
  </si>
  <si>
    <t>triazpetrol@yahoo.com</t>
  </si>
  <si>
    <t>PM-0956</t>
  </si>
  <si>
    <t>3001/640</t>
  </si>
  <si>
    <t>26, JALAN DAFODIL 1, LUCENT</t>
  </si>
  <si>
    <t>LRESIDENCE GAMUDA  KEMUNING</t>
  </si>
  <si>
    <t xml:space="preserve"> 25.7 TELOK PANGLIMA GARANG</t>
  </si>
  <si>
    <t>0123730100</t>
  </si>
  <si>
    <t>SM-0061</t>
  </si>
  <si>
    <t>3001/641</t>
  </si>
  <si>
    <t>NO 2 JALAN TEMERLOH,</t>
  </si>
  <si>
    <t>OFF JALAN TUN RAZAK 53200 KL</t>
  </si>
  <si>
    <t xml:space="preserve">marfuah@artgallery.gov.my         </t>
  </si>
  <si>
    <t>SM-0267</t>
  </si>
  <si>
    <t>3001/642</t>
  </si>
  <si>
    <t>NO.5-G, MUTIARA AVENUE,</t>
  </si>
  <si>
    <t xml:space="preserve">JALAN MUTIARA 1,MUTIARA </t>
  </si>
  <si>
    <t xml:space="preserve"> HEIGHT,KAJANG</t>
  </si>
  <si>
    <t xml:space="preserve">nextage.mutiaraheights@gmail.com   </t>
  </si>
  <si>
    <t>0164448768</t>
  </si>
  <si>
    <t>PH-0049</t>
  </si>
  <si>
    <t>3001/643</t>
  </si>
  <si>
    <t>NO 21, JALAN TEMBUSU 1,</t>
  </si>
  <si>
    <t xml:space="preserve">TAMAN RINTING 81750 </t>
  </si>
  <si>
    <t>SM-0019</t>
  </si>
  <si>
    <t>3001/644</t>
  </si>
  <si>
    <t>TN76, JALAN BBSE 3,</t>
  </si>
  <si>
    <t>TAMAN BANDAR BARU SIMPANG 4,</t>
  </si>
  <si>
    <t>0134604553</t>
  </si>
  <si>
    <t>SM-0053</t>
  </si>
  <si>
    <t>3001/645</t>
  </si>
  <si>
    <t>LOT 4615-A, KG PALOH</t>
  </si>
  <si>
    <t>16040 WAKAF BHARU, KELANTAN</t>
  </si>
  <si>
    <t>0145198912</t>
  </si>
  <si>
    <t>SM-0160</t>
  </si>
  <si>
    <t>3001/646</t>
  </si>
  <si>
    <t>KIOSK NO 1A,</t>
  </si>
  <si>
    <t>R&amp;R SEREMBAN ARH SELATAN</t>
  </si>
  <si>
    <t>CF-0137</t>
  </si>
  <si>
    <t>3001/647</t>
  </si>
  <si>
    <t>PEKAN LABU, BATU 10 LABU,</t>
  </si>
  <si>
    <t>71900 LABU,SEREMBAN,</t>
  </si>
  <si>
    <t>0182442575</t>
  </si>
  <si>
    <t>CF-0100</t>
  </si>
  <si>
    <t>3001/648</t>
  </si>
  <si>
    <t>PETRON JALAN BATU PAHAT</t>
  </si>
  <si>
    <t>NO 1, JALAN SAHABAT 1</t>
  </si>
  <si>
    <t>TAMAN EMAS,KLUANG</t>
  </si>
  <si>
    <t>077739305</t>
  </si>
  <si>
    <t>PM-0070</t>
  </si>
  <si>
    <t>3001/649</t>
  </si>
  <si>
    <t>NO.11 KM135 R&amp;R PAGOH SELATAN</t>
  </si>
  <si>
    <t>84600 PAGOH MUAR,JOHOR</t>
  </si>
  <si>
    <t>CF-0055</t>
  </si>
  <si>
    <t>3001/650</t>
  </si>
  <si>
    <t>RSA 153 R&amp;R PAGOH SELATAN</t>
  </si>
  <si>
    <t>0177737309</t>
  </si>
  <si>
    <t>CF-0068</t>
  </si>
  <si>
    <t>3001/651</t>
  </si>
  <si>
    <t>NO.8, KAWASAN REHAT &amp; RAWAT</t>
  </si>
  <si>
    <t>MACHAP ARAH SELATAN</t>
  </si>
  <si>
    <t>SIMPANG RENGGAM</t>
  </si>
  <si>
    <t>0127593012</t>
  </si>
  <si>
    <t>CF-0129</t>
  </si>
  <si>
    <t>3001/652</t>
  </si>
  <si>
    <t>NO 7, KAWASAN REHAT DAN RAWAT</t>
  </si>
  <si>
    <t xml:space="preserve">ARAH SELATAN, </t>
  </si>
  <si>
    <t>0187736500</t>
  </si>
  <si>
    <t>CF-0081</t>
  </si>
  <si>
    <t>3001/653</t>
  </si>
  <si>
    <t>NO. 8, KAWASAN</t>
  </si>
  <si>
    <t>R&amp;R DENGKIL ARH UTARA KM23</t>
  </si>
  <si>
    <t>01116761475</t>
  </si>
  <si>
    <t>CF-0076</t>
  </si>
  <si>
    <t>3001/654</t>
  </si>
  <si>
    <t>NO 4, RSA 205</t>
  </si>
  <si>
    <t>AYER KEROH ARH UTARA</t>
  </si>
  <si>
    <t>gofurtherandbeyond@gmail.com</t>
  </si>
  <si>
    <t>CF-0044</t>
  </si>
  <si>
    <t>3001/655</t>
  </si>
  <si>
    <t>PETRON PAGOH HIGHWAY</t>
  </si>
  <si>
    <t>KM 135 KAWASAN REHAT DAN RAWAT</t>
  </si>
  <si>
    <t>069747128</t>
  </si>
  <si>
    <t>PM-0312</t>
  </si>
  <si>
    <t>3001/656</t>
  </si>
  <si>
    <t>LOT NO.G11, S'MART BUILDING,</t>
  </si>
  <si>
    <t>PTD 154409, BATU 7 1/2,</t>
  </si>
  <si>
    <t>JALAN KOTA TINGGI,</t>
  </si>
  <si>
    <t xml:space="preserve">noor.azma.abd.razak@midas.com.my </t>
  </si>
  <si>
    <t>073528206</t>
  </si>
  <si>
    <t>CM-0059</t>
  </si>
  <si>
    <t>3001/657</t>
  </si>
  <si>
    <t>LOT 1605 MEDAN SUNGAI BESAR</t>
  </si>
  <si>
    <t>SUNGAI BESAR</t>
  </si>
  <si>
    <t>0122975602</t>
  </si>
  <si>
    <t>SM-0374</t>
  </si>
  <si>
    <t>3001/658</t>
  </si>
  <si>
    <t>NO.10 KAWASAN REHAT &amp; RAWAT</t>
  </si>
  <si>
    <t>ARAH UTARA GELANG PATAH,</t>
  </si>
  <si>
    <t>0135334757</t>
  </si>
  <si>
    <t>CF-0109</t>
  </si>
  <si>
    <t>3001/659</t>
  </si>
  <si>
    <t>NO.14 KAWASAN RAWAT &amp; REHAT</t>
  </si>
  <si>
    <t xml:space="preserve">ARAH UTARA </t>
  </si>
  <si>
    <t xml:space="preserve">GELANG PATAH </t>
  </si>
  <si>
    <t>0177846314</t>
  </si>
  <si>
    <t>CF-0141</t>
  </si>
  <si>
    <t>3001/660</t>
  </si>
  <si>
    <t>FOODTRUCK</t>
  </si>
  <si>
    <t>R&amp;R KULAI</t>
  </si>
  <si>
    <t>0163741853</t>
  </si>
  <si>
    <t>CF-0057</t>
  </si>
  <si>
    <t>3001/661</t>
  </si>
  <si>
    <t>HENTIAN SPG RENGGAM ARH UTARA</t>
  </si>
  <si>
    <t>SPG RENGGAM</t>
  </si>
  <si>
    <t>01131849010</t>
  </si>
  <si>
    <t>CF-0064</t>
  </si>
  <si>
    <t>3001/662</t>
  </si>
  <si>
    <t>0193419261</t>
  </si>
  <si>
    <t>CM-0088</t>
  </si>
  <si>
    <t>3001/663</t>
  </si>
  <si>
    <t>GERAI NO 23, R&amp;R PAGOH,</t>
  </si>
  <si>
    <t>01133536293</t>
  </si>
  <si>
    <t>CF-0069</t>
  </si>
  <si>
    <t>3001/664</t>
  </si>
  <si>
    <t>GERAI NO.14,</t>
  </si>
  <si>
    <t>PAGOH, ARH UTARA</t>
  </si>
  <si>
    <t>0149512702</t>
  </si>
  <si>
    <t>CF-0097</t>
  </si>
  <si>
    <t>3001/665</t>
  </si>
  <si>
    <t>NO.4, KM 146, ARAH UTARA,</t>
  </si>
  <si>
    <t xml:space="preserve">DATARAN PAGOH LEBUHRAYA, </t>
  </si>
  <si>
    <t>PAGOH,MUAR</t>
  </si>
  <si>
    <t>0126614377</t>
  </si>
  <si>
    <t>CF-0152</t>
  </si>
  <si>
    <t>3001/666</t>
  </si>
  <si>
    <t>NO.6 JALAN SEHARUM 5,</t>
  </si>
  <si>
    <t>TAMAN BUKIT DAHLIA,</t>
  </si>
  <si>
    <t>0137109234</t>
  </si>
  <si>
    <t>CF-0132</t>
  </si>
  <si>
    <t>3001/667</t>
  </si>
  <si>
    <t>MEDAN SELERA</t>
  </si>
  <si>
    <t>R&amp;R AYER KEROH UTARA</t>
  </si>
  <si>
    <t>0132676770</t>
  </si>
  <si>
    <t>CF-0046</t>
  </si>
  <si>
    <t>3001/668</t>
  </si>
  <si>
    <t>NO 10, ARAH UTARA</t>
  </si>
  <si>
    <t>RESTORAN JEJANTAS AYER KEROH,</t>
  </si>
  <si>
    <t>0104200467</t>
  </si>
  <si>
    <t>CF-0058</t>
  </si>
  <si>
    <t>3001/669</t>
  </si>
  <si>
    <t>584, DINAWAN 4,</t>
  </si>
  <si>
    <t>TMN PANTAI LOKKAWI</t>
  </si>
  <si>
    <t>KINARUT</t>
  </si>
  <si>
    <t>0163521327</t>
  </si>
  <si>
    <t>SM-0129</t>
  </si>
  <si>
    <t>3001/670</t>
  </si>
  <si>
    <t>CALTEX STESEN ALOR BINTANG</t>
  </si>
  <si>
    <t>NO 228 JALAN KAMUNTING</t>
  </si>
  <si>
    <t>IG 11510112080</t>
  </si>
  <si>
    <t>PM-0841</t>
  </si>
  <si>
    <t>3001/671</t>
  </si>
  <si>
    <t>NO 16 JEJANTAS AIR KEROH</t>
  </si>
  <si>
    <t>0193697242</t>
  </si>
  <si>
    <t>CF-0102</t>
  </si>
  <si>
    <t>3001/672</t>
  </si>
  <si>
    <t>PS JELI</t>
  </si>
  <si>
    <t>LOT PT 2736</t>
  </si>
  <si>
    <t>MUKIM JELI TEPI SUNGAI,</t>
  </si>
  <si>
    <t xml:space="preserve">petronasjeli.bms@gmail.com </t>
  </si>
  <si>
    <t>0199804399</t>
  </si>
  <si>
    <t>PM-0106</t>
  </si>
  <si>
    <t>3001/673</t>
  </si>
  <si>
    <t>20, PUSAT KOMERSIAL</t>
  </si>
  <si>
    <t>CABANG TIGA</t>
  </si>
  <si>
    <t>invoice.farmasilautan@gmail.com</t>
  </si>
  <si>
    <t>01172567250</t>
  </si>
  <si>
    <t>PH-0045</t>
  </si>
  <si>
    <t>3001/674</t>
  </si>
  <si>
    <t>NO.1, KAWASAN R&amp;R DENGKIL</t>
  </si>
  <si>
    <t>HUBUNGAN TENGAH,DENGKIL</t>
  </si>
  <si>
    <t>0199933999</t>
  </si>
  <si>
    <t>CF-0033</t>
  </si>
  <si>
    <t>3001/675</t>
  </si>
  <si>
    <t>C-G-03, COAST KEMAMAN 24000</t>
  </si>
  <si>
    <t>KEMAMAN, TERENGGANU</t>
  </si>
  <si>
    <t xml:space="preserve">kemaman@idealnauticare.com </t>
  </si>
  <si>
    <t>098587190</t>
  </si>
  <si>
    <t>SM-0149</t>
  </si>
  <si>
    <t>3001/676</t>
  </si>
  <si>
    <t>G-07, PV15 PLATINUM</t>
  </si>
  <si>
    <t>LAKE CONDOMINIUM,NO.2A</t>
  </si>
  <si>
    <t>JLN DANAU SAUJANA</t>
  </si>
  <si>
    <t>C22086785020</t>
  </si>
  <si>
    <t>357-02158326</t>
  </si>
  <si>
    <t>mutama.ent@gmail.com</t>
  </si>
  <si>
    <t>0341497000</t>
  </si>
  <si>
    <t>SM-0313</t>
  </si>
  <si>
    <t>3001/677</t>
  </si>
  <si>
    <t>LOT 41730-A, BATU 14,</t>
  </si>
  <si>
    <t>JALAN PUCHONG UTAMA 2,</t>
  </si>
  <si>
    <t>accounts-ap@jayagrocer.com</t>
  </si>
  <si>
    <t>0380600432</t>
  </si>
  <si>
    <t>HM-0036</t>
  </si>
  <si>
    <t>3001/678</t>
  </si>
  <si>
    <t>18, JALAN ZIKRON E 7/E</t>
  </si>
  <si>
    <t>C29966064080</t>
  </si>
  <si>
    <t>46421u 47721 46421</t>
  </si>
  <si>
    <t>nurnasmedicare@gmail.com</t>
  </si>
  <si>
    <t>0129624710</t>
  </si>
  <si>
    <t>SM-0358</t>
  </si>
  <si>
    <t>3001/679</t>
  </si>
  <si>
    <t>COFFEE PLATINUM ACADEMY</t>
  </si>
  <si>
    <t>G-01, MAIN LOBBY, MENARA KPJ,</t>
  </si>
  <si>
    <t>238 JLN TUN RAZAK</t>
  </si>
  <si>
    <t>0199795151</t>
  </si>
  <si>
    <t>SM-0065</t>
  </si>
  <si>
    <t>238 - BUKAN POSTCODE</t>
  </si>
  <si>
    <t>3001/680</t>
  </si>
  <si>
    <t>NO 233,</t>
  </si>
  <si>
    <t>PUSAT PERNIAGAAN JEMPOL</t>
  </si>
  <si>
    <t>BANDAR SERI JEMPOL</t>
  </si>
  <si>
    <t>0193521144</t>
  </si>
  <si>
    <t>SM-0025</t>
  </si>
  <si>
    <t>3001/681</t>
  </si>
  <si>
    <t>LOT 2637, KG PADANG LUAS</t>
  </si>
  <si>
    <t>22000 JERTEH, TERENGGANU</t>
  </si>
  <si>
    <t>01139991854</t>
  </si>
  <si>
    <t>SM-0179</t>
  </si>
  <si>
    <t>3001/682</t>
  </si>
  <si>
    <t>PT 78465&amp;78466(GROUND FLOOR)</t>
  </si>
  <si>
    <t>PERSIARAN BANGI AVENUE</t>
  </si>
  <si>
    <t>BANGI AVENUE</t>
  </si>
  <si>
    <t>acc.stargrocer@gmail.com</t>
  </si>
  <si>
    <t>0391747717</t>
  </si>
  <si>
    <t>HM-0031</t>
  </si>
  <si>
    <t>3001/683</t>
  </si>
  <si>
    <t>U.N.I FARMASI,BG12</t>
  </si>
  <si>
    <t>JLN CHERAS PRIMA 3,</t>
  </si>
  <si>
    <t>TMN CHERAS PRIMA,  KAJANG,</t>
  </si>
  <si>
    <t>01169206933</t>
  </si>
  <si>
    <t>SM-0316</t>
  </si>
  <si>
    <t>3001/684</t>
  </si>
  <si>
    <t>NO.8 R&amp;R RAWANG ARAH UTARA,</t>
  </si>
  <si>
    <t xml:space="preserve">yikmun@gmail.com </t>
  </si>
  <si>
    <t>0123982677</t>
  </si>
  <si>
    <t>CF-0166</t>
  </si>
  <si>
    <t>3001/685</t>
  </si>
  <si>
    <t>NO.12 R&amp;R RAWANG UTARA,</t>
  </si>
  <si>
    <t>LENUHRAYA PLUS</t>
  </si>
  <si>
    <t>CF-0088</t>
  </si>
  <si>
    <t>3001/686</t>
  </si>
  <si>
    <t>GERAI NO 6,</t>
  </si>
  <si>
    <t>KAWASAN REHAT&amp;RAWAT RAWANG</t>
  </si>
  <si>
    <t>yikmun@gmail.com</t>
  </si>
  <si>
    <t>0129605184</t>
  </si>
  <si>
    <t>CF-0135</t>
  </si>
  <si>
    <t>3001/687</t>
  </si>
  <si>
    <t>NO.1,RSA 205</t>
  </si>
  <si>
    <t>0126821331</t>
  </si>
  <si>
    <t>CF-0084</t>
  </si>
  <si>
    <t>3001/688</t>
  </si>
  <si>
    <t>NO.11U</t>
  </si>
  <si>
    <t>CHANGKAT JERING</t>
  </si>
  <si>
    <t>0175993916</t>
  </si>
  <si>
    <t>CF-0031</t>
  </si>
  <si>
    <t>3001/689</t>
  </si>
  <si>
    <t>LOT 149 JALAN TUN RAZAK,</t>
  </si>
  <si>
    <t>kop_pusrwai@yahoo.com</t>
  </si>
  <si>
    <t>0326810942</t>
  </si>
  <si>
    <t>KO-0007</t>
  </si>
  <si>
    <t>3001/690</t>
  </si>
  <si>
    <t>PUSAT BANDAR BARAT</t>
  </si>
  <si>
    <t>TMN MAHSURI</t>
  </si>
  <si>
    <t>JITRA KEDAH</t>
  </si>
  <si>
    <t>0164282726</t>
  </si>
  <si>
    <t>SM-0235</t>
  </si>
  <si>
    <t>3001/691</t>
  </si>
  <si>
    <t>JLN ARA JAYA</t>
  </si>
  <si>
    <t>TAMAN ARA JAYA</t>
  </si>
  <si>
    <t>01126627294</t>
  </si>
  <si>
    <t>SM-0138</t>
  </si>
  <si>
    <t>3001/692</t>
  </si>
  <si>
    <t>GURUN REST AND SERVICE</t>
  </si>
  <si>
    <t>PLUS 2KM,NORTH OD GURUN</t>
  </si>
  <si>
    <t>INTERCHANGE,GURUN</t>
  </si>
  <si>
    <t>0134224433</t>
  </si>
  <si>
    <t>PM-0732</t>
  </si>
  <si>
    <t>3001/693</t>
  </si>
  <si>
    <t>GRNNB-K4,R&amp;R GURUN ARAH UTARA,</t>
  </si>
  <si>
    <t>0104508526</t>
  </si>
  <si>
    <t>CF-0158</t>
  </si>
  <si>
    <t>3001/694</t>
  </si>
  <si>
    <t>PETRON BUKIT MERAH PERAK</t>
  </si>
  <si>
    <t>KM 194.8 KAWASAN R&amp;R,</t>
  </si>
  <si>
    <t>L/RAYA UTARA SELATAN,BKT MERAH</t>
  </si>
  <si>
    <t>058901573</t>
  </si>
  <si>
    <t>PM-0211</t>
  </si>
  <si>
    <t>3001/695</t>
  </si>
  <si>
    <t>PETRON BUKIT GANTANG LAY-BY</t>
  </si>
  <si>
    <t>PT6856 HENTIAN BKT GANTANG (S)</t>
  </si>
  <si>
    <t>KM225.1, L/RAYA UTARA SELATAN</t>
  </si>
  <si>
    <t>0174972240</t>
  </si>
  <si>
    <t>PM-0555</t>
  </si>
  <si>
    <t>3001/696</t>
  </si>
  <si>
    <t>NO.10 LORONG 24,</t>
  </si>
  <si>
    <t>TMN GURUN JAYA,</t>
  </si>
  <si>
    <t>GURUN</t>
  </si>
  <si>
    <t>0194588103</t>
  </si>
  <si>
    <t>CF-0013</t>
  </si>
  <si>
    <t>3001/697</t>
  </si>
  <si>
    <t>KHEMAH NO 6,</t>
  </si>
  <si>
    <t>R&amp;R GURUN ARAH SELATAN</t>
  </si>
  <si>
    <t>0137407763</t>
  </si>
  <si>
    <t>CF-0065</t>
  </si>
  <si>
    <t>3001/698</t>
  </si>
  <si>
    <t>R&amp;R TAPAH UTARA</t>
  </si>
  <si>
    <t>01171188186</t>
  </si>
  <si>
    <t>CF-0085</t>
  </si>
  <si>
    <t>3001/699</t>
  </si>
  <si>
    <t>GERAI NO 10,HENTIAN L/RAYA,</t>
  </si>
  <si>
    <t xml:space="preserve"> GUNUNG SEMANGGOL,</t>
  </si>
  <si>
    <t>0125657191</t>
  </si>
  <si>
    <t>CF-0150</t>
  </si>
  <si>
    <t>3001/700</t>
  </si>
  <si>
    <t>NO.8</t>
  </si>
  <si>
    <t>HENTIAN R&amp;R AJIL ARH UTARA</t>
  </si>
  <si>
    <t>AJIL</t>
  </si>
  <si>
    <t>0139263171</t>
  </si>
  <si>
    <t>CF-0126</t>
  </si>
  <si>
    <t>3001/701</t>
  </si>
  <si>
    <t xml:space="preserve">NO 4 HENTIAN,R&amp;R </t>
  </si>
  <si>
    <t>GUNUNG SEMANGGOL ARAH SELATAN</t>
  </si>
  <si>
    <t>SEMANGGOL</t>
  </si>
  <si>
    <t>0195554698</t>
  </si>
  <si>
    <t>CF-0157</t>
  </si>
  <si>
    <t>3001/702</t>
  </si>
  <si>
    <t>NO.11, KAMPONG EHYA SEMANGGOL</t>
  </si>
  <si>
    <t>34400 SEMANGGOL PERAK</t>
  </si>
  <si>
    <t>0134852251</t>
  </si>
  <si>
    <t>CF-0040</t>
  </si>
  <si>
    <t>3001/703</t>
  </si>
  <si>
    <t>NO.26</t>
  </si>
  <si>
    <t>KAWASAN REHAT&amp;RAWAT SG PERAK</t>
  </si>
  <si>
    <t>0175601617</t>
  </si>
  <si>
    <t>CF-0167</t>
  </si>
  <si>
    <t>3001/704</t>
  </si>
  <si>
    <t>NO.6, R&amp;R SG PERAK SELATAN</t>
  </si>
  <si>
    <t>0194659141</t>
  </si>
  <si>
    <t>CF-0004</t>
  </si>
  <si>
    <t>3001/705</t>
  </si>
  <si>
    <t>NO.4 R&amp;R GURUN ARAH UTARA</t>
  </si>
  <si>
    <t>CF-0015</t>
  </si>
  <si>
    <t>3001/706</t>
  </si>
  <si>
    <t>25TH FLOOR, MENARA KH,</t>
  </si>
  <si>
    <t>JALAN SULTAN ISMAIL,</t>
  </si>
  <si>
    <t>WILAYAH KL</t>
  </si>
  <si>
    <t>rahizam.rahim@tdmberhad.com.my</t>
  </si>
  <si>
    <t>0132007751</t>
  </si>
  <si>
    <t>PH-0041</t>
  </si>
  <si>
    <t>3001/707</t>
  </si>
  <si>
    <t>KOPI &amp; DOBI, 52 GF,JLN</t>
  </si>
  <si>
    <t>PEKAKA 8/3, KOTA DAMANSARA,</t>
  </si>
  <si>
    <t>0133887119</t>
  </si>
  <si>
    <t>SM-0026</t>
  </si>
  <si>
    <t>3001/708</t>
  </si>
  <si>
    <t>PERSIARAN TUN KHALIL YAAKO</t>
  </si>
  <si>
    <t>26300 GAMBANG, KUANTAN</t>
  </si>
  <si>
    <t>PM-0679</t>
  </si>
  <si>
    <t>3001/709</t>
  </si>
  <si>
    <t>strm-account@sriternak.com</t>
  </si>
  <si>
    <t>HM-0029</t>
  </si>
  <si>
    <t>3001/710</t>
  </si>
  <si>
    <t>NO 10, KG GERAI MUDA,</t>
  </si>
  <si>
    <t>22000 JERTEH,</t>
  </si>
  <si>
    <t xml:space="preserve">fathiahsaidi@yahoo.com </t>
  </si>
  <si>
    <t>0177068270</t>
  </si>
  <si>
    <t>WI-0132</t>
  </si>
  <si>
    <t>3001/711</t>
  </si>
  <si>
    <t>LOT 8621, JALAN ISMAIL PETRA,</t>
  </si>
  <si>
    <t>17500 TANAH MERAH,</t>
  </si>
  <si>
    <t>IG 11706633081</t>
  </si>
  <si>
    <t>fmuammaracc@gmail.com</t>
  </si>
  <si>
    <t>099556311</t>
  </si>
  <si>
    <t>WI-0088</t>
  </si>
  <si>
    <t>3001/712</t>
  </si>
  <si>
    <t>MERCEARIA NEIGHBOURHOOD GROSER</t>
  </si>
  <si>
    <t>LG BLOCK A,JALAN ILMU</t>
  </si>
  <si>
    <t>037965255</t>
  </si>
  <si>
    <t>HM-0014</t>
  </si>
  <si>
    <t>3001/713</t>
  </si>
  <si>
    <t>NO.9 JALAN BJ/6A</t>
  </si>
  <si>
    <t>TAMAN BUKIT JAYA</t>
  </si>
  <si>
    <t>BUKIT ANTARABANGSA</t>
  </si>
  <si>
    <t>0128875076</t>
  </si>
  <si>
    <t>SM-0181</t>
  </si>
  <si>
    <t>3001/714</t>
  </si>
  <si>
    <t>PT 535/A, TAMAN MURNI,</t>
  </si>
  <si>
    <t>JALAN PENGKALAN CHEPA,</t>
  </si>
  <si>
    <t>0199589405</t>
  </si>
  <si>
    <t>WI-0328</t>
  </si>
  <si>
    <t>3001/715</t>
  </si>
  <si>
    <t>NO.9 &amp; 10, JALAN KP 1/2,</t>
  </si>
  <si>
    <t>0192276995</t>
  </si>
  <si>
    <t>CO-0035</t>
  </si>
  <si>
    <t>3001/716</t>
  </si>
  <si>
    <t>NO. 15, PUSAT PERNIAGAAN SENA,</t>
  </si>
  <si>
    <t>PERSIARAN DATO' ALI 01000,</t>
  </si>
  <si>
    <t>KANGAR</t>
  </si>
  <si>
    <t xml:space="preserve">IG21101146000 </t>
  </si>
  <si>
    <t>0175830979</t>
  </si>
  <si>
    <t>SM-0315</t>
  </si>
  <si>
    <t>3001/717</t>
  </si>
  <si>
    <t>PT 11991</t>
  </si>
  <si>
    <t>KAMPUNG BANGGOL PERADONG</t>
  </si>
  <si>
    <t>MANIR</t>
  </si>
  <si>
    <t>sm.bukititam@yahoo.com</t>
  </si>
  <si>
    <t>0145256833</t>
  </si>
  <si>
    <t>SM-0465</t>
  </si>
  <si>
    <t>3001/718</t>
  </si>
  <si>
    <t>(AA2) K-32 GROUND FLOOR</t>
  </si>
  <si>
    <t>BLOCK C,YELLOW TOWN</t>
  </si>
  <si>
    <t>JLN LEBAI SARAS, KEMAMAN</t>
  </si>
  <si>
    <t>0145323606</t>
  </si>
  <si>
    <t>SM-0012</t>
  </si>
  <si>
    <t>3001/719</t>
  </si>
  <si>
    <t>NO 193, JALAN TUN SABAN,</t>
  </si>
  <si>
    <t>33300 GERIK, PERAK.</t>
  </si>
  <si>
    <t>0134890673</t>
  </si>
  <si>
    <t>SM-0166</t>
  </si>
  <si>
    <t>3001/720</t>
  </si>
  <si>
    <t>AFHA GROUP SDN BHD</t>
  </si>
  <si>
    <t>NO 12,(GROUND FLOOR)</t>
  </si>
  <si>
    <t>JLN USJ 9/5Q,SUBANG JAYA</t>
  </si>
  <si>
    <t>0199357243</t>
  </si>
  <si>
    <t>SM-0479</t>
  </si>
  <si>
    <t>3001/721</t>
  </si>
  <si>
    <t>DIANA PHARMA ENTERPRISE</t>
  </si>
  <si>
    <t>89 JLN PEMIMPIN KG MANJOI BARU</t>
  </si>
  <si>
    <t>TAMBAHAN, IPOH</t>
  </si>
  <si>
    <t>01115952908</t>
  </si>
  <si>
    <t>SM-0132</t>
  </si>
  <si>
    <t>3001/722</t>
  </si>
  <si>
    <t>NO 8,</t>
  </si>
  <si>
    <t>JLN KENANGA 1/1</t>
  </si>
  <si>
    <t>TMN SATRIA, SEREMBAN</t>
  </si>
  <si>
    <t>0126110399</t>
  </si>
  <si>
    <t>SM-0242</t>
  </si>
  <si>
    <t>3001/723</t>
  </si>
  <si>
    <t>LOT 3921</t>
  </si>
  <si>
    <t>BELAKANG TMN MAIDAM</t>
  </si>
  <si>
    <t>KG TOK JEMBAL,KUALA NERUS</t>
  </si>
  <si>
    <t>0185980298</t>
  </si>
  <si>
    <t>SM-0272</t>
  </si>
  <si>
    <t>3001/724</t>
  </si>
  <si>
    <t>D-G-13A JALAN BG 3B/6,</t>
  </si>
  <si>
    <t>BANGI GATEWAY 3B, SEKSYEN 15,</t>
  </si>
  <si>
    <t>BDR BARU BANGI</t>
  </si>
  <si>
    <t>SM-0263</t>
  </si>
  <si>
    <t>3001/725</t>
  </si>
  <si>
    <t>PMG PHARMACY (PJS) SDN BHD,</t>
  </si>
  <si>
    <t>NO.10, TAMAN SITIAWAN MAJU,</t>
  </si>
  <si>
    <t>SITIAWAN</t>
  </si>
  <si>
    <t>C26762930030</t>
  </si>
  <si>
    <t>pmgpharmacysitiawan@gmail.com</t>
  </si>
  <si>
    <t>0102027966</t>
  </si>
  <si>
    <t>SM-0388</t>
  </si>
  <si>
    <t>3001/726</t>
  </si>
  <si>
    <t>PS MANONG</t>
  </si>
  <si>
    <t>LOT 2056 JALAN BESAR MANONG</t>
  </si>
  <si>
    <t>MANONG</t>
  </si>
  <si>
    <t>azriagil@gmail.com</t>
  </si>
  <si>
    <t>0193521124</t>
  </si>
  <si>
    <t>PM-0891</t>
  </si>
  <si>
    <t>3001/727</t>
  </si>
  <si>
    <t>PS BANDAR JERTEH</t>
  </si>
  <si>
    <t>LOT 2247, CABANG TIGA</t>
  </si>
  <si>
    <t>JERTEH</t>
  </si>
  <si>
    <t xml:space="preserve">IG 27280172000 </t>
  </si>
  <si>
    <t>hafizamrilah@gmail.com</t>
  </si>
  <si>
    <t>0136870902</t>
  </si>
  <si>
    <t>PM-0532</t>
  </si>
  <si>
    <t>3001/728</t>
  </si>
  <si>
    <t>142 JALAN PECAH ROTAN</t>
  </si>
  <si>
    <t>BATU RAKIT</t>
  </si>
  <si>
    <t>0182806065</t>
  </si>
  <si>
    <t>SM-0224</t>
  </si>
  <si>
    <t>3001/729</t>
  </si>
  <si>
    <t>SORLINAZ MART</t>
  </si>
  <si>
    <t>PARIT RAJA,</t>
  </si>
  <si>
    <t>0187688826</t>
  </si>
  <si>
    <t>SM-0463</t>
  </si>
  <si>
    <t>3001/730</t>
  </si>
  <si>
    <t>NO 4</t>
  </si>
  <si>
    <t>TMN SRI PERAK SIMPANG EMPAT</t>
  </si>
  <si>
    <t>HUTAN MELINTANG</t>
  </si>
  <si>
    <t>013 5233159</t>
  </si>
  <si>
    <t>SM-0146</t>
  </si>
  <si>
    <t>3001/731</t>
  </si>
  <si>
    <t>PT 6647  &amp; 6648 KG KULIM</t>
  </si>
  <si>
    <t xml:space="preserve">KG BUKIT LAKOTA  JELI, </t>
  </si>
  <si>
    <t>0139656164</t>
  </si>
  <si>
    <t>SM-0135</t>
  </si>
  <si>
    <t>3001/732</t>
  </si>
  <si>
    <t>LOT 366</t>
  </si>
  <si>
    <t>0195272645</t>
  </si>
  <si>
    <t>SM-0169</t>
  </si>
  <si>
    <t>3001/733</t>
  </si>
  <si>
    <t>MAGNIFICENT DIAMONDS RESOURCES</t>
  </si>
  <si>
    <t>122, JALAN SUSUR PEMUDA 1,</t>
  </si>
  <si>
    <t>079332260</t>
  </si>
  <si>
    <t>SM-0178</t>
  </si>
  <si>
    <t>3001/734</t>
  </si>
  <si>
    <t>NO 14, TAMAN BANDAR BARU,</t>
  </si>
  <si>
    <t xml:space="preserve">POKOK SENA ,ALOR SETAR, </t>
  </si>
  <si>
    <t>mzpharmacy@gmail.com</t>
  </si>
  <si>
    <t>047824959</t>
  </si>
  <si>
    <t>SM-0157</t>
  </si>
  <si>
    <t>3001/735</t>
  </si>
  <si>
    <t>NO. 18</t>
  </si>
  <si>
    <t>TMN ISKANDAR BISTARI</t>
  </si>
  <si>
    <t>BANDAR SERI ISKANDAR,BOTA</t>
  </si>
  <si>
    <t>0168589613</t>
  </si>
  <si>
    <t>SM-0284</t>
  </si>
  <si>
    <t>3001/736</t>
  </si>
  <si>
    <t>CALTEX BINTANG CERIA TRADING</t>
  </si>
  <si>
    <t>LOT 6878, JALAN PERUSAHAAN</t>
  </si>
  <si>
    <t>PUSAT BDR PARIT BUNTAR</t>
  </si>
  <si>
    <t xml:space="preserve">IG 11510112080 </t>
  </si>
  <si>
    <t>096978839</t>
  </si>
  <si>
    <t>PM-0129</t>
  </si>
  <si>
    <t>3001/737</t>
  </si>
  <si>
    <t>LOT 15749 &amp; LOT 15750,</t>
  </si>
  <si>
    <t>BATU 3 1/2 JALAN KEBUN,</t>
  </si>
  <si>
    <t>KLANG BANDAR DIRAJA,</t>
  </si>
  <si>
    <t>HM-0022</t>
  </si>
  <si>
    <t>3001/738</t>
  </si>
  <si>
    <t>LOT 2069, MUKIM GERSIK</t>
  </si>
  <si>
    <t>84400 TANGKAK, JOHOR</t>
  </si>
  <si>
    <t>01131966367</t>
  </si>
  <si>
    <t>PM-0680</t>
  </si>
  <si>
    <t>3001/739</t>
  </si>
  <si>
    <t>STESEN MINYAK SHELL,PT 4586,</t>
  </si>
  <si>
    <t xml:space="preserve"> KWSN R&amp;R PAKA(ARAH SELATAN),</t>
  </si>
  <si>
    <t>LEBUHRAYA PANTAI TIMUR</t>
  </si>
  <si>
    <t>IG 24523139000</t>
  </si>
  <si>
    <t>rrpakapoint@gmail.com</t>
  </si>
  <si>
    <t>0139974714</t>
  </si>
  <si>
    <t>SM-0426</t>
  </si>
  <si>
    <t>3001/740</t>
  </si>
  <si>
    <t>NO. 3, LRG BERTAM INDAH 1,</t>
  </si>
  <si>
    <t>TMN BERTAM INDAH KEPALA BATAS,</t>
  </si>
  <si>
    <t>0124139113</t>
  </si>
  <si>
    <t>SM-0142</t>
  </si>
  <si>
    <t>3001/741</t>
  </si>
  <si>
    <t>LOT 1261-C</t>
  </si>
  <si>
    <t>KAMPUNG GONG TOK NASEK</t>
  </si>
  <si>
    <t xml:space="preserve">asmprim@gmail.com </t>
  </si>
  <si>
    <t>0129564699</t>
  </si>
  <si>
    <t>SM-0014</t>
  </si>
  <si>
    <t>3001/742</t>
  </si>
  <si>
    <t>PETRON JENIANG</t>
  </si>
  <si>
    <t>31, JALAN RAYA JENIANG</t>
  </si>
  <si>
    <t>JENIANG</t>
  </si>
  <si>
    <t>nafizipjng@gmail.com</t>
  </si>
  <si>
    <t>0134739640</t>
  </si>
  <si>
    <t>PM-0938</t>
  </si>
  <si>
    <t>3001/743</t>
  </si>
  <si>
    <t>LEVEL 2, MENARA TM SEMARAK,</t>
  </si>
  <si>
    <t xml:space="preserve">JALAN RAJA MUDA ABDUL AZIZ, </t>
  </si>
  <si>
    <t>0179392030</t>
  </si>
  <si>
    <t>SM-0124</t>
  </si>
  <si>
    <t>3001/744</t>
  </si>
  <si>
    <t>SHELL MATA AYER</t>
  </si>
  <si>
    <t>LOT 1502, MUKIM NGULANG</t>
  </si>
  <si>
    <t>PEKAN MATA AYER</t>
  </si>
  <si>
    <t>02500</t>
  </si>
  <si>
    <t>shellmataayer@gmail.com</t>
  </si>
  <si>
    <t>0137202412</t>
  </si>
  <si>
    <t>PM-0009</t>
  </si>
  <si>
    <t>3001/745</t>
  </si>
  <si>
    <t>JALAN GUNUNG NUANG U11/3,</t>
  </si>
  <si>
    <t>SEKSYEN U11 BUKIT BANDARAYA,</t>
  </si>
  <si>
    <t>IG11115146050</t>
  </si>
  <si>
    <t>norfaezal@gmail.com</t>
  </si>
  <si>
    <t>0193887126</t>
  </si>
  <si>
    <t>SM-0467</t>
  </si>
  <si>
    <t>3001/746</t>
  </si>
  <si>
    <t>KG MENGKAN</t>
  </si>
  <si>
    <t>KUALA KLAWANG</t>
  </si>
  <si>
    <t>JELEBU</t>
  </si>
  <si>
    <t>0196943884</t>
  </si>
  <si>
    <t>SM-0476</t>
  </si>
  <si>
    <t>3001/747</t>
  </si>
  <si>
    <t>416, BANDAR BARU MERGONG,</t>
  </si>
  <si>
    <t>C11928301080</t>
  </si>
  <si>
    <t>khimfook@gmail.com</t>
  </si>
  <si>
    <t>047307411</t>
  </si>
  <si>
    <t>SM-0246</t>
  </si>
  <si>
    <t>3001/748</t>
  </si>
  <si>
    <t>PS LANGKAP</t>
  </si>
  <si>
    <t>LOT PT 790 &amp; PT 791,</t>
  </si>
  <si>
    <t>MUKIM CHANGKAT JONG,</t>
  </si>
  <si>
    <t>agbafent37@gmail.com</t>
  </si>
  <si>
    <t>0134033619</t>
  </si>
  <si>
    <t>PM-0020</t>
  </si>
  <si>
    <t>3001/749</t>
  </si>
  <si>
    <t>NO 31, JALAN SENTOSA 1,</t>
  </si>
  <si>
    <t>BUKIT SENTOSA RAWANG</t>
  </si>
  <si>
    <t>0105133319</t>
  </si>
  <si>
    <t>SM-0442</t>
  </si>
  <si>
    <t>3001/750</t>
  </si>
  <si>
    <t>SHELL PETROL STATION</t>
  </si>
  <si>
    <t>BATU 2 1/2</t>
  </si>
  <si>
    <t>JLN SIMPANG,TAPING</t>
  </si>
  <si>
    <t>058472007</t>
  </si>
  <si>
    <t>SM-0501</t>
  </si>
  <si>
    <t>3001/751</t>
  </si>
  <si>
    <t>1, JALAN GENDANG 11/5D</t>
  </si>
  <si>
    <t>SEKSYEN 11</t>
  </si>
  <si>
    <t>0192612788</t>
  </si>
  <si>
    <t>KO-0014</t>
  </si>
  <si>
    <t>3001/752</t>
  </si>
  <si>
    <t>NO 916D, KEDAI LINTASAN RELAU</t>
  </si>
  <si>
    <t>JALAN MENTERI, SELAMA, PERAK</t>
  </si>
  <si>
    <t>IG23212470010</t>
  </si>
  <si>
    <t>nellykosmetik21@gmail.com</t>
  </si>
  <si>
    <t>0132328728</t>
  </si>
  <si>
    <t>SM-0057</t>
  </si>
  <si>
    <t>3001/753</t>
  </si>
  <si>
    <t>122, JALAN SUSUR PERSIARAN</t>
  </si>
  <si>
    <t>MASJID SULTAN SELATAN, KS13</t>
  </si>
  <si>
    <t>KG SG PINANG,PULAU INDAH</t>
  </si>
  <si>
    <t>0179354234</t>
  </si>
  <si>
    <t>SM-0434</t>
  </si>
  <si>
    <t>3001/754</t>
  </si>
  <si>
    <t>MDLD 4614, LOT 13,</t>
  </si>
  <si>
    <t>JALAN TERATAI,</t>
  </si>
  <si>
    <t>LAHAD DATU</t>
  </si>
  <si>
    <t>panika_Id@yahoo.com.my</t>
  </si>
  <si>
    <t>0168248211</t>
  </si>
  <si>
    <t>CM-0073</t>
  </si>
  <si>
    <t>3001/755</t>
  </si>
  <si>
    <t>137, JALAN LU 2/2</t>
  </si>
  <si>
    <t>TMN LANGAT UTAMA</t>
  </si>
  <si>
    <t>SM-0182</t>
  </si>
  <si>
    <t>3001/756</t>
  </si>
  <si>
    <t>PENOLONG PENGARAH KANAN, BPK,</t>
  </si>
  <si>
    <t>PUSAT DAKWAH ISLAMIAH, PAROI,</t>
  </si>
  <si>
    <t>JALAN PAROI-SENAWANG</t>
  </si>
  <si>
    <t>0176129075</t>
  </si>
  <si>
    <t>SM-0100</t>
  </si>
  <si>
    <t>3001/757</t>
  </si>
  <si>
    <t>41-G, JALAN WANGSA SETIA 1,</t>
  </si>
  <si>
    <t>WANGSA MELAWATI 53300 KL</t>
  </si>
  <si>
    <t>0193185870</t>
  </si>
  <si>
    <t>SM-0497</t>
  </si>
  <si>
    <t>3001/758</t>
  </si>
  <si>
    <t>JBTN HAL EHWAL AGAMA ISLAM</t>
  </si>
  <si>
    <t>BANGUNAN MPS LAMA</t>
  </si>
  <si>
    <t>JLN YAMTUAN, SEREMBAN</t>
  </si>
  <si>
    <t>syaharin820903.msi@gmail.com</t>
  </si>
  <si>
    <t>0126961475</t>
  </si>
  <si>
    <t>SM-0296</t>
  </si>
  <si>
    <t>3001/759</t>
  </si>
  <si>
    <t>0126744745</t>
  </si>
  <si>
    <t>CM-0057</t>
  </si>
  <si>
    <t>3001/760</t>
  </si>
  <si>
    <t>SM-0489</t>
  </si>
  <si>
    <t>3001/761</t>
  </si>
  <si>
    <t>KEDAI SERBANEKA,</t>
  </si>
  <si>
    <t>RESIDENSI PRIMA PULAU SEBANG,</t>
  </si>
  <si>
    <t>JALAN PRIMA UTAMA,</t>
  </si>
  <si>
    <t>0148133848</t>
  </si>
  <si>
    <t>SM-0355</t>
  </si>
  <si>
    <t>3001/762</t>
  </si>
  <si>
    <t>JLN DATO SIAMANG GAGAP</t>
  </si>
  <si>
    <t>0187700315</t>
  </si>
  <si>
    <t>SM-0325</t>
  </si>
  <si>
    <t>3001/763</t>
  </si>
  <si>
    <t>28A JALAN SULTAN MAHMUD</t>
  </si>
  <si>
    <t>20400 KUALA TERENGGANU,</t>
  </si>
  <si>
    <t>0139277880</t>
  </si>
  <si>
    <t>SM-0141</t>
  </si>
  <si>
    <t>3001/764</t>
  </si>
  <si>
    <t>NO. 26 (GROUND FLOOR),</t>
  </si>
  <si>
    <t>JLN PERDA SELATAN, BDR PERDA,</t>
  </si>
  <si>
    <t xml:space="preserve"> BUKIT MERTAJAM</t>
  </si>
  <si>
    <t>C 26065668020</t>
  </si>
  <si>
    <t>ezriverempire@gmail.com</t>
  </si>
  <si>
    <t>0143006850</t>
  </si>
  <si>
    <t>SM-0498</t>
  </si>
  <si>
    <t>3001/765</t>
  </si>
  <si>
    <t>NO. 11 BANGUNAN KEDAI PKNP,</t>
  </si>
  <si>
    <t>JALAN BESAR, BOTA KANAN,</t>
  </si>
  <si>
    <t>BOTA</t>
  </si>
  <si>
    <t>0126644459</t>
  </si>
  <si>
    <t>SM-0219</t>
  </si>
  <si>
    <t>3001/766</t>
  </si>
  <si>
    <t>NO. 30, JALAN SETIA JASA 1,</t>
  </si>
  <si>
    <t>28000 TEMERLOH,</t>
  </si>
  <si>
    <t>0196239209</t>
  </si>
  <si>
    <t>SM-0174</t>
  </si>
  <si>
    <t>3001/767</t>
  </si>
  <si>
    <t>NO 4 JALAN EMAS PUTIH 5,</t>
  </si>
  <si>
    <t>TAMAN SRI SKUDAI,</t>
  </si>
  <si>
    <t>SKUDAI</t>
  </si>
  <si>
    <t>0127591885</t>
  </si>
  <si>
    <t>SM-0059</t>
  </si>
  <si>
    <t>3001/768</t>
  </si>
  <si>
    <t>HOSPIMART SHOPPE,</t>
  </si>
  <si>
    <t>HOSPITAL BESAR MELAKA,</t>
  </si>
  <si>
    <t xml:space="preserve">JALAN MUFTI HAJI KHALIL, </t>
  </si>
  <si>
    <t>013943 8377</t>
  </si>
  <si>
    <t>SM-0445</t>
  </si>
  <si>
    <t>3001/769</t>
  </si>
  <si>
    <t>LOT 1890-B, PEKAN MEGAT DEWA,</t>
  </si>
  <si>
    <t>JLN MEGAT DEWA,</t>
  </si>
  <si>
    <t>KODIANG</t>
  </si>
  <si>
    <t>0173778751</t>
  </si>
  <si>
    <t>SM-0250</t>
  </si>
  <si>
    <t>3001/770</t>
  </si>
  <si>
    <t>PT 2909 TKT BAWAH,</t>
  </si>
  <si>
    <t>TAMAN DESA SBJ PUTRA,</t>
  </si>
  <si>
    <t>PASIR PEKAN,</t>
  </si>
  <si>
    <t>farmasi_ctimur@yahoo.com.my</t>
  </si>
  <si>
    <t>0104502181</t>
  </si>
  <si>
    <t>SM-0143</t>
  </si>
  <si>
    <t>3001/780</t>
  </si>
  <si>
    <t>SHELL KEPALA BATAS</t>
  </si>
  <si>
    <t>2012, JALAN BERTAM,</t>
  </si>
  <si>
    <t>KEPALA BATAS</t>
  </si>
  <si>
    <t>Shellkepalabatas@yahoo.com</t>
  </si>
  <si>
    <t>0124191465</t>
  </si>
  <si>
    <t>PM-0830</t>
  </si>
  <si>
    <t>3001/781</t>
  </si>
  <si>
    <t>NO 27, JALAN PULAI JAYA 2/3,</t>
  </si>
  <si>
    <t>BDR PULAI JAYA JOHOR BAHRU</t>
  </si>
  <si>
    <t>0174190084</t>
  </si>
  <si>
    <t>SM-0126</t>
  </si>
  <si>
    <t>3001/782</t>
  </si>
  <si>
    <t>PS JELAPANG</t>
  </si>
  <si>
    <t>LOT 149415, BATU 4</t>
  </si>
  <si>
    <t>JALAN JELAPANG</t>
  </si>
  <si>
    <t>055263580</t>
  </si>
  <si>
    <t>PM-1011</t>
  </si>
  <si>
    <t>3001/783</t>
  </si>
  <si>
    <t>JALAN RAJA</t>
  </si>
  <si>
    <t>ASHMAN SHAH</t>
  </si>
  <si>
    <t>0125086936</t>
  </si>
  <si>
    <t>SM-0275</t>
  </si>
  <si>
    <t>3001/784</t>
  </si>
  <si>
    <t>OLD CARGO COMPLEX,</t>
  </si>
  <si>
    <t>HANGER 3,</t>
  </si>
  <si>
    <t>SAAS INTERNATIONAL AIRPORT</t>
  </si>
  <si>
    <t>C22717378030</t>
  </si>
  <si>
    <t>iman.jazid@sapura-aero.com</t>
  </si>
  <si>
    <t>0135074145</t>
  </si>
  <si>
    <t>CO-0034</t>
  </si>
  <si>
    <t>3001/785</t>
  </si>
  <si>
    <t>NO 9 LORONG RAJA NONG 18A OFF</t>
  </si>
  <si>
    <t>JLN PENGHULU ABU BAKAR</t>
  </si>
  <si>
    <t>SM-0511</t>
  </si>
  <si>
    <t>3001/786</t>
  </si>
  <si>
    <t>A-2-2A, TEMASYA KASIH</t>
  </si>
  <si>
    <t>CONDOMINIUM, JALAN KERJAYA</t>
  </si>
  <si>
    <t>SEKSYEN U1,GLENMARIE,SHAH ALAM</t>
  </si>
  <si>
    <t>0192661430</t>
  </si>
  <si>
    <t>SM-0392</t>
  </si>
  <si>
    <t>3001/787</t>
  </si>
  <si>
    <t>IKHTIAR KIRANA</t>
  </si>
  <si>
    <t>PT 10599, KAMPUNG BUKIT KUANG,</t>
  </si>
  <si>
    <t>0199813517</t>
  </si>
  <si>
    <t>SM-0330</t>
  </si>
  <si>
    <t>3001/788</t>
  </si>
  <si>
    <t>STESEN MINYAK SHELL RU RENDANG</t>
  </si>
  <si>
    <t>LOT 5975 RU RENDANG</t>
  </si>
  <si>
    <t>SM-0427</t>
  </si>
  <si>
    <t>3001/789</t>
  </si>
  <si>
    <t>PS JALAN GOPENG 1</t>
  </si>
  <si>
    <t>PT 77344</t>
  </si>
  <si>
    <t>JALAN RAJA MUSA MAHADI</t>
  </si>
  <si>
    <t>jln_gopeng1@yahoo.com ; usma2u@gmail.com</t>
  </si>
  <si>
    <t>0109601032</t>
  </si>
  <si>
    <t>PM-0962</t>
  </si>
  <si>
    <t>3001/790</t>
  </si>
  <si>
    <t>NO 97 ATAS, JALAN KOTA, 34000</t>
  </si>
  <si>
    <t>TAIPING, PERAK</t>
  </si>
  <si>
    <t>0138804431</t>
  </si>
  <si>
    <t>SM-0466</t>
  </si>
  <si>
    <t>3001/791</t>
  </si>
  <si>
    <t>PS BUKIT PELINDUNG,LOT 27,</t>
  </si>
  <si>
    <t>SEKSYEN 36, BANDAR KUANTAN</t>
  </si>
  <si>
    <t>(LT.LAMA PART OF LOT PT105104)</t>
  </si>
  <si>
    <t>0129812773</t>
  </si>
  <si>
    <t>PM-0471</t>
  </si>
  <si>
    <t>3001/792</t>
  </si>
  <si>
    <t>NO 616, JLN FOREST HEIGHT 4/3</t>
  </si>
  <si>
    <t>TAMAN FOREST HEIGHT</t>
  </si>
  <si>
    <t>0102205894</t>
  </si>
  <si>
    <t>SM-0395</t>
  </si>
  <si>
    <t>3001/793</t>
  </si>
  <si>
    <t>PEJABAT MALAYSIA AIRPORT NIAGA</t>
  </si>
  <si>
    <t>01128884605</t>
  </si>
  <si>
    <t>SM-0401</t>
  </si>
  <si>
    <t>3001/794</t>
  </si>
  <si>
    <t>HENTIAN REHAT &amp; RAWAT</t>
  </si>
  <si>
    <t>TAPAH ARAH SELATAN</t>
  </si>
  <si>
    <t>0123920244</t>
  </si>
  <si>
    <t>CF-0037</t>
  </si>
  <si>
    <t>3001/795</t>
  </si>
  <si>
    <t>LOT 9</t>
  </si>
  <si>
    <t>JALAN 8/1</t>
  </si>
  <si>
    <t>KAMPUNG MELAYU FRIM</t>
  </si>
  <si>
    <t>0122091734</t>
  </si>
  <si>
    <t>SM-0472</t>
  </si>
  <si>
    <t>3001/796</t>
  </si>
  <si>
    <t>PS TAMAN TAMPOI UTAMA,NO 1,</t>
  </si>
  <si>
    <t>JLN SRI PERKASA UTAMA, TMN</t>
  </si>
  <si>
    <t>TAMPOI UTAMA,JOHOR BAHRU</t>
  </si>
  <si>
    <t>nasjja83_enterprise@yahoo.com</t>
  </si>
  <si>
    <t>0177060183</t>
  </si>
  <si>
    <t>PM-0586</t>
  </si>
  <si>
    <t>3001/797</t>
  </si>
  <si>
    <t>CALTEX STESYEN PENDANG</t>
  </si>
  <si>
    <t>PT9782, MUKIM AIR PUTEH</t>
  </si>
  <si>
    <t>JALAN KOBAH PENDAGN</t>
  </si>
  <si>
    <t>0124903609</t>
  </si>
  <si>
    <t>PM-0168</t>
  </si>
  <si>
    <t>3001/798</t>
  </si>
  <si>
    <t>PS JALAN MUAR- PAGOH</t>
  </si>
  <si>
    <t>PM 25, LOT 7240 MUKIM JORAK</t>
  </si>
  <si>
    <t>DAERAH MUAR</t>
  </si>
  <si>
    <t>C 26020463030</t>
  </si>
  <si>
    <t>pagohsynergy@gmail.com</t>
  </si>
  <si>
    <t>PM-0633</t>
  </si>
  <si>
    <t>3001/799</t>
  </si>
  <si>
    <t>PS KAMPUNG RAJA</t>
  </si>
  <si>
    <t>LOT 343/344, KAMPUNG RAJA</t>
  </si>
  <si>
    <t>BESUT</t>
  </si>
  <si>
    <t>dzoe66@yahoo.com</t>
  </si>
  <si>
    <t>0129463766</t>
  </si>
  <si>
    <t>PM-0317</t>
  </si>
  <si>
    <t>3001/800</t>
  </si>
  <si>
    <t>NO 11 R&amp;R PAGOH ARAH SELATAN</t>
  </si>
  <si>
    <t>CF-0056</t>
  </si>
  <si>
    <t>3001/801</t>
  </si>
  <si>
    <t>PS NILAI PAJAM</t>
  </si>
  <si>
    <t>Lot PT 12874 &amp; 12875</t>
  </si>
  <si>
    <t>JLN NILAI-PAJAM,TMN SEMARAK II</t>
  </si>
  <si>
    <t>gemilangcnt@gmail.com</t>
  </si>
  <si>
    <t>0176884689</t>
  </si>
  <si>
    <t>PM-0727</t>
  </si>
  <si>
    <t>3001/802</t>
  </si>
  <si>
    <t>PETRONAS SOUTHERN,</t>
  </si>
  <si>
    <t>LEVEL 4, PETRONAS BUILDING,</t>
  </si>
  <si>
    <t>BDR BARU UDA, KM 7 JLN SKUDAI,</t>
  </si>
  <si>
    <t>nurainnisa.sukari@petronas.com</t>
  </si>
  <si>
    <t>0177697071</t>
  </si>
  <si>
    <t>CO-0029</t>
  </si>
  <si>
    <t>3001/803</t>
  </si>
  <si>
    <t>NO 7 JALAN 2/1 F</t>
  </si>
  <si>
    <t>0133693505</t>
  </si>
  <si>
    <t>SM-0010</t>
  </si>
  <si>
    <t>3001/804</t>
  </si>
  <si>
    <t>NO 94A JALAN MENTERI</t>
  </si>
  <si>
    <t>01133037543</t>
  </si>
  <si>
    <t>SM-0168</t>
  </si>
  <si>
    <t>3001/805</t>
  </si>
  <si>
    <t>LOT 70164(PTD14294)</t>
  </si>
  <si>
    <t xml:space="preserve"> JALAN INDUSTRI 8</t>
  </si>
  <si>
    <t>TMN PERINDUSTRIAN PEKAN NANAS</t>
  </si>
  <si>
    <t>C 58517342000</t>
  </si>
  <si>
    <t>profitvelo@gmail.com</t>
  </si>
  <si>
    <t>0175352051</t>
  </si>
  <si>
    <t>PM-0701</t>
  </si>
  <si>
    <t>3001/806</t>
  </si>
  <si>
    <t>NO. 19, JLN KARYAWAN BESTARI</t>
  </si>
  <si>
    <t>PUNCAK BESTARI,</t>
  </si>
  <si>
    <t>0132048520</t>
  </si>
  <si>
    <t>SM-0322</t>
  </si>
  <si>
    <t>3001/807</t>
  </si>
  <si>
    <t>PS SALAK JAYA NORTH BOUND</t>
  </si>
  <si>
    <t>NO 833, PETRONAS SALAK JAYA NB</t>
  </si>
  <si>
    <t>LEBUHRAYA SUNGAI BESI</t>
  </si>
  <si>
    <t>seenergyv@gmail.com</t>
  </si>
  <si>
    <t>0103994305</t>
  </si>
  <si>
    <t>PM-0786</t>
  </si>
  <si>
    <t>3001/808</t>
  </si>
  <si>
    <t>LOT 3202</t>
  </si>
  <si>
    <t>JLN UNIVERISTI, BATU 7</t>
  </si>
  <si>
    <t>0177924698</t>
  </si>
  <si>
    <t>SM-0232</t>
  </si>
  <si>
    <t>3001/809</t>
  </si>
  <si>
    <t>NO 982, JLN S2 D26,</t>
  </si>
  <si>
    <t>GARDEN CITY HOMES,</t>
  </si>
  <si>
    <t>0126178590</t>
  </si>
  <si>
    <t>CO-0046</t>
  </si>
  <si>
    <t>3001/810</t>
  </si>
  <si>
    <t>K-028(A)</t>
  </si>
  <si>
    <t>JLN BESAR KETENGAH JAYA</t>
  </si>
  <si>
    <t>0145296394</t>
  </si>
  <si>
    <t>SM-0144</t>
  </si>
  <si>
    <t>3001/811</t>
  </si>
  <si>
    <t>NO 164 JALAN AMAN,</t>
  </si>
  <si>
    <t>TMN DATO' SHAHBANDAR, AMPANGAN</t>
  </si>
  <si>
    <t>0122581911</t>
  </si>
  <si>
    <t>SM-0190</t>
  </si>
  <si>
    <t>3001/812</t>
  </si>
  <si>
    <t>KM46.60 KESAS HIGHWAY</t>
  </si>
  <si>
    <t>KAWASAN R&amp;R KINRARA</t>
  </si>
  <si>
    <t>dziyaliteresources@yahoo.com</t>
  </si>
  <si>
    <t>01112435208</t>
  </si>
  <si>
    <t>PM-0805</t>
  </si>
  <si>
    <t>3001/813</t>
  </si>
  <si>
    <t>NO 7, LORONG PK 7</t>
  </si>
  <si>
    <t>KAWASAN PERUSAHAAN KAMUNTING</t>
  </si>
  <si>
    <t>01154044142</t>
  </si>
  <si>
    <t>SM-0172</t>
  </si>
  <si>
    <t>3001/814</t>
  </si>
  <si>
    <t>PT2676</t>
  </si>
  <si>
    <t>TMN BARU, JLN KAMPAR</t>
  </si>
  <si>
    <t>0148435218</t>
  </si>
  <si>
    <t>SM-0153</t>
  </si>
  <si>
    <t>3001/815</t>
  </si>
  <si>
    <t>C GERAI JKKR LEPAR HILIR 1,</t>
  </si>
  <si>
    <t>26300 GAMBANG, PAHANG</t>
  </si>
  <si>
    <t>0179583378</t>
  </si>
  <si>
    <t>SM-0243</t>
  </si>
  <si>
    <t>3001/816</t>
  </si>
  <si>
    <t>FARMASI ALDE, NO.30</t>
  </si>
  <si>
    <t>JLN SRI QASEH PERMAI</t>
  </si>
  <si>
    <t>DESA SRI QASEH,SEPANG</t>
  </si>
  <si>
    <t>0172140488</t>
  </si>
  <si>
    <t>SM-0018</t>
  </si>
  <si>
    <t>3001/817</t>
  </si>
  <si>
    <t>GENKI PHARMA SDN BHD</t>
  </si>
  <si>
    <t>306,G FLOOR, JLN JALAI JAYA</t>
  </si>
  <si>
    <t>1/6/1,TMN JALAI JAYA</t>
  </si>
  <si>
    <t>047144386</t>
  </si>
  <si>
    <t>SM-0351</t>
  </si>
  <si>
    <t>1/6/1 - BUKAN POSTCODE</t>
  </si>
  <si>
    <t>3001/818</t>
  </si>
  <si>
    <t>NO 6, 6A,JLN PESERAI INDAH 1</t>
  </si>
  <si>
    <t>TAMAN PESERAI INDAH 1</t>
  </si>
  <si>
    <t>01163355172</t>
  </si>
  <si>
    <t>SM-0443</t>
  </si>
  <si>
    <t>3001/819</t>
  </si>
  <si>
    <t>PS TOK RANDOK</t>
  </si>
  <si>
    <t>LOT PT 6036 KG TOK RANDOK,</t>
  </si>
  <si>
    <t>AJIL KUALA BERANG</t>
  </si>
  <si>
    <t>fadnimie_26@yahoo.com.my</t>
  </si>
  <si>
    <t>0139962750</t>
  </si>
  <si>
    <t>PM-0628</t>
  </si>
  <si>
    <t>3001/820</t>
  </si>
  <si>
    <t>NO4,JLN CEMPAKA 1/1,PERSIARAN</t>
  </si>
  <si>
    <t>CEMPAKA BDR AMAN JAYA,</t>
  </si>
  <si>
    <t>0139046711</t>
  </si>
  <si>
    <t>SM-0185</t>
  </si>
  <si>
    <t>3001/821</t>
  </si>
  <si>
    <t>SMK IBRAHIM FIKRI</t>
  </si>
  <si>
    <t>IBRAHIM FIKRI</t>
  </si>
  <si>
    <t>0199142208</t>
  </si>
  <si>
    <t>SM-0430</t>
  </si>
  <si>
    <t>3001/822</t>
  </si>
  <si>
    <t>92, KAMPUNG PELANDANG</t>
  </si>
  <si>
    <t>PULAU SERAI</t>
  </si>
  <si>
    <t>0145305671</t>
  </si>
  <si>
    <t>SM-0054</t>
  </si>
  <si>
    <t>3001/823</t>
  </si>
  <si>
    <t>NO. 26A, JALAN BUJANG INDAH,</t>
  </si>
  <si>
    <t xml:space="preserve">TMN LEMBAH BUJANG INDAH </t>
  </si>
  <si>
    <t>BEDONG</t>
  </si>
  <si>
    <t>0195055740</t>
  </si>
  <si>
    <t>SM-0155</t>
  </si>
  <si>
    <t>3001/824</t>
  </si>
  <si>
    <t>D/A SMK SERI BERANG</t>
  </si>
  <si>
    <t>KUALA BERANG</t>
  </si>
  <si>
    <t>HULU TERENGGANU</t>
  </si>
  <si>
    <t>0133944011</t>
  </si>
  <si>
    <t>SM-0260</t>
  </si>
  <si>
    <t>3001/825</t>
  </si>
  <si>
    <t>NO 1,TINGKAT BAWAH</t>
  </si>
  <si>
    <t>BATU 1 JLN SEREMBAN</t>
  </si>
  <si>
    <t>TMN JASMIN, PORT DICKSON</t>
  </si>
  <si>
    <t>0182283387</t>
  </si>
  <si>
    <t>SM-0414</t>
  </si>
  <si>
    <t>3001/826</t>
  </si>
  <si>
    <t>FARMASI MYINDAH SDN. BHD</t>
  </si>
  <si>
    <t>NO. 13, JALAN MUTIARA BIRU,</t>
  </si>
  <si>
    <t>TAMAN MUTIARA KARANGAN, KULIM,</t>
  </si>
  <si>
    <t>09700</t>
  </si>
  <si>
    <t>C26566217060</t>
  </si>
  <si>
    <t>farmasimyindahacc@gmail.com</t>
  </si>
  <si>
    <t>0174010796</t>
  </si>
  <si>
    <t>SM-0453</t>
  </si>
  <si>
    <t>3001/827</t>
  </si>
  <si>
    <t>NO.12 JALAN BENDAHARA</t>
  </si>
  <si>
    <t>PST BANDAR,PARIT BUNTAR,</t>
  </si>
  <si>
    <t>farmasinajwarx@gmail.com</t>
  </si>
  <si>
    <t>0175197707</t>
  </si>
  <si>
    <t>SM-0158</t>
  </si>
  <si>
    <t>3001/828</t>
  </si>
  <si>
    <t>NO 144, JALAN PPMP 9,PUSAT</t>
  </si>
  <si>
    <t>PERNIAGAAN MANJUNG POINT 1,</t>
  </si>
  <si>
    <t>056889905</t>
  </si>
  <si>
    <t>SM-0150</t>
  </si>
  <si>
    <t>3001/829</t>
  </si>
  <si>
    <t>148, TINGKAT BAWAH</t>
  </si>
  <si>
    <t>BANGUNAN PKNP</t>
  </si>
  <si>
    <t>JLN BESAR,BAGAN SERAI</t>
  </si>
  <si>
    <t>0166679600</t>
  </si>
  <si>
    <t>SM-0176</t>
  </si>
  <si>
    <t>3001/830</t>
  </si>
  <si>
    <t>LOT 3</t>
  </si>
  <si>
    <t>PUSAT DAGANGAN UMNO SHAH ALAM</t>
  </si>
  <si>
    <t>PERSIARAN DAMAI,SEKSYEN 11</t>
  </si>
  <si>
    <t>0134618798</t>
  </si>
  <si>
    <t>SM-0029</t>
  </si>
  <si>
    <t>3001/831</t>
  </si>
  <si>
    <t>PS PAK SABAH</t>
  </si>
  <si>
    <t>Lot 4167, Kg Pak Sabah</t>
  </si>
  <si>
    <t>Dungun</t>
  </si>
  <si>
    <t>IG2590799</t>
  </si>
  <si>
    <t>tetraenergy24@gmail.com</t>
  </si>
  <si>
    <t>0199114041</t>
  </si>
  <si>
    <t>PM-0948</t>
  </si>
  <si>
    <t>3001/832</t>
  </si>
  <si>
    <t>1671, JLN TASEK,BDR TASEK</t>
  </si>
  <si>
    <t>MUTIARA,SIMPANG AMPAT, PULAU</t>
  </si>
  <si>
    <t>PM-0934</t>
  </si>
  <si>
    <t>3001/833</t>
  </si>
  <si>
    <t>5 JALAN KRISTAL TIGA 7/76C,</t>
  </si>
  <si>
    <t xml:space="preserve">SEKSYEN 7 SHAH ALAM, </t>
  </si>
  <si>
    <t>0124390000</t>
  </si>
  <si>
    <t>SM-0321</t>
  </si>
  <si>
    <t>3001/834</t>
  </si>
  <si>
    <t>LOT 1836 NO.1</t>
  </si>
  <si>
    <t>KPG ATAS MUKIM</t>
  </si>
  <si>
    <t>PADANG MATSIRAT, LANGKAWI</t>
  </si>
  <si>
    <t>01114609679</t>
  </si>
  <si>
    <t>SM-0003</t>
  </si>
  <si>
    <t>3001/835</t>
  </si>
  <si>
    <t>PS TERSANG 3</t>
  </si>
  <si>
    <t>FELDA TERSANG 03</t>
  </si>
  <si>
    <t>petronastersang3@gmail.com</t>
  </si>
  <si>
    <t>01137584337</t>
  </si>
  <si>
    <t>PM-0446</t>
  </si>
  <si>
    <t>3001/836</t>
  </si>
  <si>
    <t>CALTEX KUBANG PASU</t>
  </si>
  <si>
    <t>LOT 2254 MUKIM PERING</t>
  </si>
  <si>
    <t>DAERAH KUBANG PASU</t>
  </si>
  <si>
    <t>hazasinar@gmail.com</t>
  </si>
  <si>
    <t>01162636393</t>
  </si>
  <si>
    <t>PM-0304</t>
  </si>
  <si>
    <t>3001/837</t>
  </si>
  <si>
    <t>PEJABAT CABANG SETIAWANGSA</t>
  </si>
  <si>
    <t>3-3 JALAN SERI REJANG 1,</t>
  </si>
  <si>
    <t>TAMAN SRI RAMPAI</t>
  </si>
  <si>
    <t>01123193842</t>
  </si>
  <si>
    <t>SM-0506</t>
  </si>
  <si>
    <t>3001/838</t>
  </si>
  <si>
    <t>PEJABAT UNIT 7,</t>
  </si>
  <si>
    <t>PASUKAN SIMPANAN PERSEKUTUAN,</t>
  </si>
  <si>
    <t>JALAN CAMPBELL,SEREMBAN,</t>
  </si>
  <si>
    <t>0127863471</t>
  </si>
  <si>
    <t>WI-0096</t>
  </si>
  <si>
    <t>3001/839</t>
  </si>
  <si>
    <t>Bilik TB-0-001, BANGUNAN</t>
  </si>
  <si>
    <t>PUSAT PELAJAR, UNITEN</t>
  </si>
  <si>
    <t>KAMPUS PUTRAJAYA,JLN IKRAM</t>
  </si>
  <si>
    <t>PM-0146</t>
  </si>
  <si>
    <t>3001/840</t>
  </si>
  <si>
    <t>D-1-03 JALAN PELANGI 1</t>
  </si>
  <si>
    <t>TAMAN PELANGI</t>
  </si>
  <si>
    <t>SM-0161</t>
  </si>
  <si>
    <t>3001/841</t>
  </si>
  <si>
    <t>JALAN KELULI 2B/KU2,</t>
  </si>
  <si>
    <t>OMEGA 1 BUKIT RAJA, 2,</t>
  </si>
  <si>
    <t>TMN PERINDUSTRIAN BUKIT RAJA</t>
  </si>
  <si>
    <t>CM-0004</t>
  </si>
  <si>
    <t>3001/842</t>
  </si>
  <si>
    <t>KG MELAYU AL-JENDERAMI,</t>
  </si>
  <si>
    <t>LOT 27719, LORONG AL-BAKRI,</t>
  </si>
  <si>
    <t>KAMPUNG JENDERAM HILIR,</t>
  </si>
  <si>
    <t>0136448691</t>
  </si>
  <si>
    <t>SM-0210</t>
  </si>
  <si>
    <t>3001/843</t>
  </si>
  <si>
    <t>104-G, JALAN BARU</t>
  </si>
  <si>
    <t>PAK SABAH</t>
  </si>
  <si>
    <t>01113000759</t>
  </si>
  <si>
    <t>SM-0438</t>
  </si>
  <si>
    <t>3001/844</t>
  </si>
  <si>
    <t>NO 31, JLN PUTRA</t>
  </si>
  <si>
    <t>TMN TANJUNG PUTERI</t>
  </si>
  <si>
    <t>KUALA KETIL</t>
  </si>
  <si>
    <t>0195930300</t>
  </si>
  <si>
    <t>SM-0173</t>
  </si>
  <si>
    <t>3001/845</t>
  </si>
  <si>
    <t>drfaizdaud@gmail.com</t>
  </si>
  <si>
    <t>0192712008</t>
  </si>
  <si>
    <t>SM-0101</t>
  </si>
  <si>
    <t>3001/846</t>
  </si>
  <si>
    <t>LOT 4711</t>
  </si>
  <si>
    <t>KG BERIS LALANG JLN BERIS</t>
  </si>
  <si>
    <t>LALANG JELAWAT, BACHOK</t>
  </si>
  <si>
    <t>0146618336</t>
  </si>
  <si>
    <t>SM-0064</t>
  </si>
  <si>
    <t>3001/848</t>
  </si>
  <si>
    <t>A29-GF</t>
  </si>
  <si>
    <t>LORONG BALOK PERDANA 3/1</t>
  </si>
  <si>
    <t>TMN BALOK PERDANA, KUANTAN</t>
  </si>
  <si>
    <t>0129671467</t>
  </si>
  <si>
    <t>SM-0249</t>
  </si>
  <si>
    <t>3001/849</t>
  </si>
  <si>
    <t>NO. 33, JALAN ELEKTRON</t>
  </si>
  <si>
    <t>U16/94 DENAI ALAM</t>
  </si>
  <si>
    <t>0189080649</t>
  </si>
  <si>
    <t>SM-0361</t>
  </si>
  <si>
    <t>3001/850</t>
  </si>
  <si>
    <t>LOT NO 31</t>
  </si>
  <si>
    <t>PETRON HUTAN MELINTANG</t>
  </si>
  <si>
    <t>0126706452</t>
  </si>
  <si>
    <t>SM-0402</t>
  </si>
  <si>
    <t>3001/851</t>
  </si>
  <si>
    <t>TNGKT 5,BLOK B,KOMPLEKS</t>
  </si>
  <si>
    <t>KEMENTERIAN KERJA RAYA</t>
  </si>
  <si>
    <t>0136666436</t>
  </si>
  <si>
    <t>SM-0377</t>
  </si>
  <si>
    <t>3001/852</t>
  </si>
  <si>
    <t>NO 1, JALAN ARA SENDAYAN 1/1,</t>
  </si>
  <si>
    <t>ARA SENDAYAN, 70300 SEREMBAN</t>
  </si>
  <si>
    <t>IG3760825080</t>
  </si>
  <si>
    <t>razalimalik@gmail.com</t>
  </si>
  <si>
    <t>0127743774</t>
  </si>
  <si>
    <t>SM-0090</t>
  </si>
  <si>
    <t>3001/853</t>
  </si>
  <si>
    <t>SM-0076</t>
  </si>
  <si>
    <t>3001/854</t>
  </si>
  <si>
    <t>LEBOH PASAR BESAR,</t>
  </si>
  <si>
    <t>CITY CENTRE,</t>
  </si>
  <si>
    <t>,WILAYAH PERSEKUTUAN,</t>
  </si>
  <si>
    <t>0123303187</t>
  </si>
  <si>
    <t>SM-0278</t>
  </si>
  <si>
    <t>3001/855</t>
  </si>
  <si>
    <t>LOT 19797</t>
  </si>
  <si>
    <t>GM 2038</t>
  </si>
  <si>
    <t>MUKIM TANJUNG KARANG</t>
  </si>
  <si>
    <t>IG 11776952051</t>
  </si>
  <si>
    <t>0332692557</t>
  </si>
  <si>
    <t>PM-0625</t>
  </si>
  <si>
    <t>3001/856</t>
  </si>
  <si>
    <t>FARMASI SEMUT GAGAH,NO 65,</t>
  </si>
  <si>
    <t>PUSAT PERNIAGAAN KOTA JAYA,</t>
  </si>
  <si>
    <t>KOTA SARANG SEMUT</t>
  </si>
  <si>
    <t>06800</t>
  </si>
  <si>
    <t>IG22531031070</t>
  </si>
  <si>
    <t>Tak tahu</t>
  </si>
  <si>
    <t>farmasikotasarangsemut@gmail.com</t>
  </si>
  <si>
    <t>019570021</t>
  </si>
  <si>
    <t>SM-0151</t>
  </si>
  <si>
    <t>3001/857</t>
  </si>
  <si>
    <t>NO 120B,LOT KOMERSIL TMN</t>
  </si>
  <si>
    <t>DESARU UTAMA, JALAN KEMPAS 2</t>
  </si>
  <si>
    <t>BANDAR PENAWAR</t>
  </si>
  <si>
    <t>0164462809</t>
  </si>
  <si>
    <t>SM-0147</t>
  </si>
  <si>
    <t>3001/858</t>
  </si>
  <si>
    <t>14, JALAN MERU SURIA 6</t>
  </si>
  <si>
    <t>CHEMOR</t>
  </si>
  <si>
    <t>TMN MERU SURIA,IPOH</t>
  </si>
  <si>
    <t>0195654461</t>
  </si>
  <si>
    <t>SM-0505</t>
  </si>
  <si>
    <t>3001/859</t>
  </si>
  <si>
    <t>10 JALAN 3/18  BANGI PERDANA</t>
  </si>
  <si>
    <t>SEKSYEN 3 43650,</t>
  </si>
  <si>
    <t>0192750981</t>
  </si>
  <si>
    <t>SM-0209</t>
  </si>
  <si>
    <t>3001/860</t>
  </si>
  <si>
    <t>NO 24 JALAN TIMUR 2/1B</t>
  </si>
  <si>
    <t>TIMUR@ENSTEK</t>
  </si>
  <si>
    <t>BANDAR BARU ENSTEK</t>
  </si>
  <si>
    <t xml:space="preserve">alifrahim96@gmail.com </t>
  </si>
  <si>
    <t>0149347484</t>
  </si>
  <si>
    <t>SM-0122</t>
  </si>
  <si>
    <t>3001/861</t>
  </si>
  <si>
    <t>HOSPITAL</t>
  </si>
  <si>
    <t>0199168430</t>
  </si>
  <si>
    <t>SM-0069</t>
  </si>
  <si>
    <t>3001/862</t>
  </si>
  <si>
    <t>NO. 627, JALAN WARISAN</t>
  </si>
  <si>
    <t>PUTERI A23,TMN VILA SURIA</t>
  </si>
  <si>
    <t>BANDAR WARISAN PUTERI,SEREMBAN</t>
  </si>
  <si>
    <t>norazlinshams@gmail.com</t>
  </si>
  <si>
    <t>0172874210</t>
  </si>
  <si>
    <t>SM-0334</t>
  </si>
  <si>
    <t>3001/863</t>
  </si>
  <si>
    <t>37, JALAN L.O. 2/6</t>
  </si>
  <si>
    <t>LAMAN OAKLEAF</t>
  </si>
  <si>
    <t>BUKIT ANTARABANGSA,AMPANG</t>
  </si>
  <si>
    <t>0199301443</t>
  </si>
  <si>
    <t>SM-0118</t>
  </si>
  <si>
    <t>3001/864</t>
  </si>
  <si>
    <t>(SHELL SEBELAH GIANT PLENTONG)</t>
  </si>
  <si>
    <t>NO 2, JALAN JOHOR JAYA,</t>
  </si>
  <si>
    <t>TAMAN PERINDUSTRIAN PLENTONG,</t>
  </si>
  <si>
    <t>IG25444701050</t>
  </si>
  <si>
    <t>jbright.trade@gmail.com</t>
  </si>
  <si>
    <t>SM-0234</t>
  </si>
  <si>
    <t>3001/865</t>
  </si>
  <si>
    <t>E1-04-03</t>
  </si>
  <si>
    <t>PANTAI HILLPARK</t>
  </si>
  <si>
    <t>PHASE 1</t>
  </si>
  <si>
    <t>0125193500</t>
  </si>
  <si>
    <t>SM-0079</t>
  </si>
  <si>
    <t>3001/866</t>
  </si>
  <si>
    <t>0192316000</t>
  </si>
  <si>
    <t>SM-0087</t>
  </si>
  <si>
    <t>3001/867</t>
  </si>
  <si>
    <t>23-C LOT 52</t>
  </si>
  <si>
    <t>TINGKAT BAWAH</t>
  </si>
  <si>
    <t>JLN RAYA SERDANG</t>
  </si>
  <si>
    <t>09800</t>
  </si>
  <si>
    <t>cc.phrm@yahoo.com</t>
  </si>
  <si>
    <t>01115383879</t>
  </si>
  <si>
    <t>SM-0060</t>
  </si>
  <si>
    <t>3001/868</t>
  </si>
  <si>
    <t>151-UNIT 2.</t>
  </si>
  <si>
    <t>KG MENGKUANG SEMARAK,</t>
  </si>
  <si>
    <t>0195474326</t>
  </si>
  <si>
    <t>SM-0016</t>
  </si>
  <si>
    <t>3001/869</t>
  </si>
  <si>
    <t>NO 7, JALAN LITER DU 19/D,</t>
  </si>
  <si>
    <t>SEKSYEN U19,</t>
  </si>
  <si>
    <t>SG BULOH</t>
  </si>
  <si>
    <t>01113270726</t>
  </si>
  <si>
    <t>PH-0015</t>
  </si>
  <si>
    <t>3001/870</t>
  </si>
  <si>
    <t>SHELL DURIAN TUNGGAL, LOT</t>
  </si>
  <si>
    <t>23(DT30),PKN DURIAN TUNGGAL</t>
  </si>
  <si>
    <t>DURIAN TUNGGAL</t>
  </si>
  <si>
    <t>IG4237365041</t>
  </si>
  <si>
    <t>jannafirdaustrade@gmail.com</t>
  </si>
  <si>
    <t>0136180271</t>
  </si>
  <si>
    <t>SM-0231</t>
  </si>
  <si>
    <t>3001/871</t>
  </si>
  <si>
    <t>LOT 4494,4495,4498,4499</t>
  </si>
  <si>
    <t>KWSN PERINDUSTRIAN HALAL MIEL,</t>
  </si>
  <si>
    <t>AG-0027</t>
  </si>
  <si>
    <t>3001/872</t>
  </si>
  <si>
    <t>Lbh Persiaran</t>
  </si>
  <si>
    <t>TUN KHALIL YAAKOB BANDAR</t>
  </si>
  <si>
    <t>GAMBANG PERDANA,GAMBANG</t>
  </si>
  <si>
    <t>0379811905</t>
  </si>
  <si>
    <t>PM-0681</t>
  </si>
  <si>
    <t>3001/873</t>
  </si>
  <si>
    <t>TAHFIZ AL QURAN DARUL TUBA,</t>
  </si>
  <si>
    <t>NO. 1660 JALAN BIDARA 5</t>
  </si>
  <si>
    <t>TAMAN TANGKAK JAYA, TANGKAK</t>
  </si>
  <si>
    <t xml:space="preserve">tubamart19@gmail.com </t>
  </si>
  <si>
    <t>0126218207</t>
  </si>
  <si>
    <t>SM-0478</t>
  </si>
  <si>
    <t>3001/874</t>
  </si>
  <si>
    <t>482, JALAN SENDAYAN INDAH 12,</t>
  </si>
  <si>
    <t>TMN SENDAYAN INDAH,LABU,</t>
  </si>
  <si>
    <t>nazuwa_subakir05@yahoo.com</t>
  </si>
  <si>
    <t>0172075123</t>
  </si>
  <si>
    <t>SM-0324</t>
  </si>
  <si>
    <t>3001/875</t>
  </si>
  <si>
    <t>10, JALAN MAKYONG 6C/KU5,</t>
  </si>
  <si>
    <t>BANDAR BUKIT RAJA,KLANG</t>
  </si>
  <si>
    <t>0194740899</t>
  </si>
  <si>
    <t>SM-0432</t>
  </si>
  <si>
    <t>3001/876</t>
  </si>
  <si>
    <t>NO. 25 JALAN RP 7/11</t>
  </si>
  <si>
    <t>PRIME VILLE</t>
  </si>
  <si>
    <t>TMN RAWANG PERDANA,RAWANG</t>
  </si>
  <si>
    <t>0123777164</t>
  </si>
  <si>
    <t>SM-0311</t>
  </si>
  <si>
    <t>3001/877</t>
  </si>
  <si>
    <t>PS SUNGAI MAS</t>
  </si>
  <si>
    <t>PEJABAT KOPERASI PENEROKA</t>
  </si>
  <si>
    <t>FELDA SG MAS KOTA TINGGI</t>
  </si>
  <si>
    <t>psgmas@yahoo.com</t>
  </si>
  <si>
    <t>01127746955</t>
  </si>
  <si>
    <t>PM-0429</t>
  </si>
  <si>
    <t>3001/878</t>
  </si>
  <si>
    <t>NO. 7A JALAN PERDANA 7</t>
  </si>
  <si>
    <t>PUSAT PERNIAGAAN SLIM PERDANA</t>
  </si>
  <si>
    <t>SLIM RIVER</t>
  </si>
  <si>
    <t>IG20988745010</t>
  </si>
  <si>
    <t>farmasi.utama.sr@gmail.com</t>
  </si>
  <si>
    <t>0195503231</t>
  </si>
  <si>
    <t>SM-0177</t>
  </si>
  <si>
    <t>3001/879</t>
  </si>
  <si>
    <t>JDT HQ,</t>
  </si>
  <si>
    <t>STADIUM SULTAN IBRAHIM,</t>
  </si>
  <si>
    <t>JALAN GELANG PATAH</t>
  </si>
  <si>
    <t>0123097249</t>
  </si>
  <si>
    <t>CO-0018</t>
  </si>
  <si>
    <t>3001/880</t>
  </si>
  <si>
    <t>NO 2 JALAN MUHIBBAH 1,</t>
  </si>
  <si>
    <t>TAMAN MUHIBBAH, 28000</t>
  </si>
  <si>
    <t>TEMERLOH, PAHANG DARUL MAKMUR</t>
  </si>
  <si>
    <t>0137195030</t>
  </si>
  <si>
    <t>CM-0042</t>
  </si>
  <si>
    <t>3001/881</t>
  </si>
  <si>
    <t>TINGKAT 2, KOMPLEKS PKNS</t>
  </si>
  <si>
    <t>JALAN PERSIARAN S2 B2,</t>
  </si>
  <si>
    <t>0176272265</t>
  </si>
  <si>
    <t>CO-0042</t>
  </si>
  <si>
    <t>3001/882</t>
  </si>
  <si>
    <t>GERAI NO 12</t>
  </si>
  <si>
    <t>RSA GUNUNG SEMANGGOL</t>
  </si>
  <si>
    <t>dianasallehds5@gmail.com</t>
  </si>
  <si>
    <t>0194510083</t>
  </si>
  <si>
    <t>CF-0113</t>
  </si>
  <si>
    <t>3001/883</t>
  </si>
  <si>
    <t>NO. 7-1-2, JLN SETIA PRIMA A,</t>
  </si>
  <si>
    <t>U13/A, SETIA ALAM,SHAH ALAM,</t>
  </si>
  <si>
    <t>edenpharmacy@hotmail.com</t>
  </si>
  <si>
    <t>0122748366</t>
  </si>
  <si>
    <t>SM-0106</t>
  </si>
  <si>
    <t>3001/884</t>
  </si>
  <si>
    <t>JALAN ISMAIL</t>
  </si>
  <si>
    <t>SENGGARANG</t>
  </si>
  <si>
    <t>farmasiwellmart@gmail.com</t>
  </si>
  <si>
    <t>0177713783</t>
  </si>
  <si>
    <t>SM-0502</t>
  </si>
  <si>
    <t>3001/885</t>
  </si>
  <si>
    <t>NO 22 JALAN 3/70, SEKSYEN 3,</t>
  </si>
  <si>
    <t>IG4305123050</t>
  </si>
  <si>
    <t>aripinahmad@hotmail.com</t>
  </si>
  <si>
    <t>0163281601</t>
  </si>
  <si>
    <t>SM-0031</t>
  </si>
  <si>
    <t>3001/886</t>
  </si>
  <si>
    <t>PT273</t>
  </si>
  <si>
    <t>BANGUNAN JALAN KLINIK</t>
  </si>
  <si>
    <t>aqnniaga@gmail.com</t>
  </si>
  <si>
    <t>0139808155</t>
  </si>
  <si>
    <t>SM-0444</t>
  </si>
  <si>
    <t>3001/887</t>
  </si>
  <si>
    <t>CALTEX TAMAN SEJATI INDAH</t>
  </si>
  <si>
    <t>A-1, JALAN PERMATANG GEDONG,</t>
  </si>
  <si>
    <t>TAMAN SEJATI INDAH,</t>
  </si>
  <si>
    <t>0164111696</t>
  </si>
  <si>
    <t>PM-0606</t>
  </si>
  <si>
    <t>3001/888</t>
  </si>
  <si>
    <t>C335GL,LORONG TEMERLOH MALL,</t>
  </si>
  <si>
    <t>JLN TENGKU ISMAIL,TEMERLOH,</t>
  </si>
  <si>
    <t>0105149196</t>
  </si>
  <si>
    <t>SM-0108</t>
  </si>
  <si>
    <t>3001/889</t>
  </si>
  <si>
    <t>NO. 80 BAWAH</t>
  </si>
  <si>
    <t>JALAN MUAR,JEMENTAH</t>
  </si>
  <si>
    <t>farmasiucare@gmail.com</t>
  </si>
  <si>
    <t>0199765449</t>
  </si>
  <si>
    <t>SM-0175</t>
  </si>
  <si>
    <t>3001/890</t>
  </si>
  <si>
    <t>3282 JALAN MAK KEMAS, KAMPUNG</t>
  </si>
  <si>
    <t>SURAU HAJI YAAKOB, BUKIT</t>
  </si>
  <si>
    <t>PAYONG, KUALA TERENGGANU</t>
  </si>
  <si>
    <t>nhamimiazira89@gmail.com</t>
  </si>
  <si>
    <t>0139513911</t>
  </si>
  <si>
    <t>SM-0286</t>
  </si>
  <si>
    <t>3001/891</t>
  </si>
  <si>
    <t>PS TAMAN SELESA JAYA</t>
  </si>
  <si>
    <t>LOT 22983, JALAN SELASA JAYA</t>
  </si>
  <si>
    <t>BANDAR SELASA JAYA</t>
  </si>
  <si>
    <t>01373244402</t>
  </si>
  <si>
    <t>PM-0209</t>
  </si>
  <si>
    <t>3001/892</t>
  </si>
  <si>
    <t>NO 16C, TMN EMAS JAYA</t>
  </si>
  <si>
    <t>JLN RAJA SYED SAFFI</t>
  </si>
  <si>
    <t>metrobintongenterprise@gmail.com</t>
  </si>
  <si>
    <t>01139275978</t>
  </si>
  <si>
    <t>SM-0156</t>
  </si>
  <si>
    <t>3001/893</t>
  </si>
  <si>
    <t xml:space="preserve">PS KEDAWANG, LOT 290 </t>
  </si>
  <si>
    <t>STESYEN MINYAK PETRONAS,</t>
  </si>
  <si>
    <t>nadrikasim@yahoo.com</t>
  </si>
  <si>
    <t>0124712236</t>
  </si>
  <si>
    <t>PM-0271</t>
  </si>
  <si>
    <t>3001/894</t>
  </si>
  <si>
    <t>JUPNS,TINGKAT 8</t>
  </si>
  <si>
    <t>WISMA PERSEKUTUAN</t>
  </si>
  <si>
    <t>JLN DATO' ABD KADIR,SRMBN</t>
  </si>
  <si>
    <t>0197744220</t>
  </si>
  <si>
    <t>SM-0244</t>
  </si>
  <si>
    <t>3001/895</t>
  </si>
  <si>
    <t>SM-0120</t>
  </si>
  <si>
    <t>3001/896</t>
  </si>
  <si>
    <t>SOLAR ALERT, B1-4</t>
  </si>
  <si>
    <t>MENARA MUTIARA</t>
  </si>
  <si>
    <t>TMN TAR</t>
  </si>
  <si>
    <t xml:space="preserve">zulidrus@gmail.com </t>
  </si>
  <si>
    <t>0122957500</t>
  </si>
  <si>
    <t>SM-0513</t>
  </si>
  <si>
    <t>3001/897</t>
  </si>
  <si>
    <t>LOT 70738 TMN PELANDANG</t>
  </si>
  <si>
    <t>NUR HIDAYAH,JALAN BESAR</t>
  </si>
  <si>
    <t>PULAU SERAI,DUNGUN</t>
  </si>
  <si>
    <t>098441353</t>
  </si>
  <si>
    <t>SM-0482</t>
  </si>
  <si>
    <t>3001/898</t>
  </si>
  <si>
    <t>21 JALAN KRISTAL L 7/L</t>
  </si>
  <si>
    <t>SEKSYEN 7 SHAH ALAM</t>
  </si>
  <si>
    <t>Ahmed16ibu@gmail.com</t>
  </si>
  <si>
    <t>0163847432</t>
  </si>
  <si>
    <t>SM-0052</t>
  </si>
  <si>
    <t>3001/899</t>
  </si>
  <si>
    <t>KOPERASI PASAR MELAYU BALING</t>
  </si>
  <si>
    <t>LOT 2407 POKOK SENA,</t>
  </si>
  <si>
    <t>MK PULAI, BALING</t>
  </si>
  <si>
    <t>09100</t>
  </si>
  <si>
    <t>petronasbaling@yahoo.com</t>
  </si>
  <si>
    <t>044702214</t>
  </si>
  <si>
    <t>PM-0415</t>
  </si>
  <si>
    <t>3001/900</t>
  </si>
  <si>
    <t>NO 2, JALAN NIAGA 2, 81900</t>
  </si>
  <si>
    <t>KOTA TINGGI, JOHOR</t>
  </si>
  <si>
    <t>C10276972090</t>
  </si>
  <si>
    <t>acc.caremart@yahoo.com</t>
  </si>
  <si>
    <t>0177005844</t>
  </si>
  <si>
    <t>SM-0063</t>
  </si>
  <si>
    <t>3001/901</t>
  </si>
  <si>
    <t>PS BANDAR KUALA KETIL</t>
  </si>
  <si>
    <t>BANDAR KUALA KETIL</t>
  </si>
  <si>
    <t>DAERAH BALING</t>
  </si>
  <si>
    <t>synergy.kkcc@jesin.com.my</t>
  </si>
  <si>
    <t>0162128126</t>
  </si>
  <si>
    <t>PM-0361</t>
  </si>
  <si>
    <t>3001/902</t>
  </si>
  <si>
    <t>NO.10, BLOK 4,</t>
  </si>
  <si>
    <t>FLAT TAMAN SERI SERDANG,</t>
  </si>
  <si>
    <t>bindawoodtrading786@gmail</t>
  </si>
  <si>
    <t>0172099786</t>
  </si>
  <si>
    <t>CM-0022</t>
  </si>
  <si>
    <t>3001/903</t>
  </si>
  <si>
    <t>SA1-10-18,BLOCK SA1,TINGKAT 10</t>
  </si>
  <si>
    <t>VISTA ALAM,JLN IKHTISAS 14/1</t>
  </si>
  <si>
    <t>SEKSYEN 14,SHAH ALAM</t>
  </si>
  <si>
    <t>0122401957</t>
  </si>
  <si>
    <t>SM-0335</t>
  </si>
  <si>
    <t>3001/904</t>
  </si>
  <si>
    <t>NO 24 LORONG 6</t>
  </si>
  <si>
    <t>TMN SINGGAHSANA</t>
  </si>
  <si>
    <t>PADANG BESAR</t>
  </si>
  <si>
    <t xml:space="preserve">budimanter444@gmail.com </t>
  </si>
  <si>
    <t>0194618356</t>
  </si>
  <si>
    <t>SM-0056</t>
  </si>
  <si>
    <t>3001/905</t>
  </si>
  <si>
    <t>SHELL ELITE HIGHWAY</t>
  </si>
  <si>
    <t>No 22 Jalan 3/70,</t>
  </si>
  <si>
    <t>seksyen 3,</t>
  </si>
  <si>
    <t>IG 4305123050</t>
  </si>
  <si>
    <t>alafsalaktinggi@hotmail.com</t>
  </si>
  <si>
    <t>01172254273</t>
  </si>
  <si>
    <t>PM-0044</t>
  </si>
  <si>
    <t>3001/906</t>
  </si>
  <si>
    <t>6 JALAN 1/3R, VILLA SUTERA,</t>
  </si>
  <si>
    <t>(DEKAT DENGAN RUMAH PUAN NOLI)</t>
  </si>
  <si>
    <t>SM-0343</t>
  </si>
  <si>
    <t>3001/907</t>
  </si>
  <si>
    <t>SK SEKSYEN 18</t>
  </si>
  <si>
    <t>JLN CUCUR 28/13</t>
  </si>
  <si>
    <t>SEKSYEN 18,SHAH ALAM</t>
  </si>
  <si>
    <t>0122742458</t>
  </si>
  <si>
    <t>SM-0068</t>
  </si>
  <si>
    <t>3001/908</t>
  </si>
  <si>
    <t>MRA INTERNATIONAL SDN BHD</t>
  </si>
  <si>
    <t>UNIT 4806-3-11 JLN PERDANA,</t>
  </si>
  <si>
    <t>CBD 2,CYBERJAYA</t>
  </si>
  <si>
    <t>hazim@mra-sb.com</t>
  </si>
  <si>
    <t>0162220974</t>
  </si>
  <si>
    <t>SM-0293</t>
  </si>
  <si>
    <t>3001/909</t>
  </si>
  <si>
    <t>PS PENGKALAN HULU</t>
  </si>
  <si>
    <t>LOT 2047, JALA KLIAN INTAN</t>
  </si>
  <si>
    <t>PENGKALAN HULU</t>
  </si>
  <si>
    <t>pssphulu@yahoo.com</t>
  </si>
  <si>
    <t>044778343</t>
  </si>
  <si>
    <t>PM-0971</t>
  </si>
  <si>
    <t>3001/910</t>
  </si>
  <si>
    <t>NO 40 JALAN 7/7B, SEKSYEN 7,</t>
  </si>
  <si>
    <t>0127289373</t>
  </si>
  <si>
    <t>SM-0241</t>
  </si>
  <si>
    <t>3001/911</t>
  </si>
  <si>
    <t>PS JENJARUM</t>
  </si>
  <si>
    <t>PETRONAS JENJARUM, LOT 2465</t>
  </si>
  <si>
    <t>KAMPUNG SUNGAI RAMBAI</t>
  </si>
  <si>
    <t>IG372176606</t>
  </si>
  <si>
    <t>jmzsemantan@yahoo.com</t>
  </si>
  <si>
    <t>0192236543</t>
  </si>
  <si>
    <t>PM-0364</t>
  </si>
  <si>
    <t>3001/912</t>
  </si>
  <si>
    <t>4945, JALAN MERBAU 1</t>
  </si>
  <si>
    <t>BANDAR PUTRA</t>
  </si>
  <si>
    <t xml:space="preserve">rx.wellness.pharmacy@gmail.com </t>
  </si>
  <si>
    <t>0102862116</t>
  </si>
  <si>
    <t>SM-0431</t>
  </si>
  <si>
    <t>3001/913</t>
  </si>
  <si>
    <t>SM-0077</t>
  </si>
  <si>
    <t>3001/914</t>
  </si>
  <si>
    <t>LOT 3-TINGKAT 4,</t>
  </si>
  <si>
    <t>PUSAT DAGANGAN UMNO S. ALAM,</t>
  </si>
  <si>
    <t>PERSIARAN DAMAI,SEKSYEN 11,</t>
  </si>
  <si>
    <t>naliha.mz@agrobank.com.my</t>
  </si>
  <si>
    <t>0355124667</t>
  </si>
  <si>
    <t>CO-0003</t>
  </si>
  <si>
    <t>3001/915</t>
  </si>
  <si>
    <t>NO.14</t>
  </si>
  <si>
    <t>JALAN 4/88</t>
  </si>
  <si>
    <t>0173333000</t>
  </si>
  <si>
    <t>SM-0027</t>
  </si>
  <si>
    <t>3001/916</t>
  </si>
  <si>
    <t>PS BANDAR AINSDALE</t>
  </si>
  <si>
    <t>HSD 230999 PT 36340, Mukim</t>
  </si>
  <si>
    <t>Labu, Daerah Seremban</t>
  </si>
  <si>
    <t xml:space="preserve">petronas168@gmail.com </t>
  </si>
  <si>
    <t>0122202614</t>
  </si>
  <si>
    <t>PM-0995</t>
  </si>
  <si>
    <t>3001/917</t>
  </si>
  <si>
    <t>NO 16, JALAN SUTERA 3/2,</t>
  </si>
  <si>
    <t>TAMAN SUTERA FASA 3,</t>
  </si>
  <si>
    <t>0102966769</t>
  </si>
  <si>
    <t>SM-0391</t>
  </si>
  <si>
    <t>3001/918</t>
  </si>
  <si>
    <t>TINGKAT 13</t>
  </si>
  <si>
    <t>MENARA PERKESO,281</t>
  </si>
  <si>
    <t>JALAN AMPANG</t>
  </si>
  <si>
    <t>01114579266</t>
  </si>
  <si>
    <t>SM-0022</t>
  </si>
  <si>
    <t>3001/919</t>
  </si>
  <si>
    <t>NO 2, JLN 1/3S VILLA SUTERA,</t>
  </si>
  <si>
    <t xml:space="preserve">SEKSYEN 1, </t>
  </si>
  <si>
    <t>IG2328179000</t>
  </si>
  <si>
    <t>0122233253</t>
  </si>
  <si>
    <t>SM-0289</t>
  </si>
  <si>
    <t>3001/920</t>
  </si>
  <si>
    <t>PS TAMAN UDA MURNI</t>
  </si>
  <si>
    <t>LOT 745 MUKIM BETING JLN</t>
  </si>
  <si>
    <t xml:space="preserve">PENGKALAN CHEPA ,KOTA BHARU </t>
  </si>
  <si>
    <t>prima_millenium14@yahoo.com.my</t>
  </si>
  <si>
    <t>097739149</t>
  </si>
  <si>
    <t>PM-0699</t>
  </si>
  <si>
    <t>3001/921</t>
  </si>
  <si>
    <t>PS BUKIT PASIR</t>
  </si>
  <si>
    <t>LOT PTD 770&amp;700,</t>
  </si>
  <si>
    <t xml:space="preserve">MUKIM SG RAYA,BKT PASIR,MUAR </t>
  </si>
  <si>
    <t xml:space="preserve">pss_bukit_pasir@hotmail.com </t>
  </si>
  <si>
    <t>069850216</t>
  </si>
  <si>
    <t>PM-0190</t>
  </si>
  <si>
    <t>3001/922</t>
  </si>
  <si>
    <t>A-GF-01 TO A-GF-10,</t>
  </si>
  <si>
    <t>GARDEN SQUARE,</t>
  </si>
  <si>
    <t>BANDAR GAMUDA GARDENS</t>
  </si>
  <si>
    <t>HM-0033</t>
  </si>
  <si>
    <t>3001/923</t>
  </si>
  <si>
    <t>NO. 222, LOT 152</t>
  </si>
  <si>
    <t>LORONG BAHAGIA 1</t>
  </si>
  <si>
    <t>JLN BESAR TANJUNG KARANG</t>
  </si>
  <si>
    <t>0136284550</t>
  </si>
  <si>
    <t>SM-0140</t>
  </si>
  <si>
    <t>3001/924</t>
  </si>
  <si>
    <t>JALAN 2/1L</t>
  </si>
  <si>
    <t>0183782655</t>
  </si>
  <si>
    <t>SM-0433</t>
  </si>
  <si>
    <t>3001/925</t>
  </si>
  <si>
    <t>PEJABAT MARA NEGERI</t>
  </si>
  <si>
    <t>ARAS 4 BANGUNAN SRMBN PLAZA</t>
  </si>
  <si>
    <t>JLN DATO' MUDA LINGGI,SRMBN</t>
  </si>
  <si>
    <t>067622429</t>
  </si>
  <si>
    <t>CO-0016</t>
  </si>
  <si>
    <t>3001/926</t>
  </si>
  <si>
    <t>ARAS 1,BLOK F8</t>
  </si>
  <si>
    <t>KOMPLEKS KERAJAAN,PARCEL F</t>
  </si>
  <si>
    <t>LEBUH PERDANA TIMUR,PRESINT 1</t>
  </si>
  <si>
    <t>01136278752</t>
  </si>
  <si>
    <t>PM-0164</t>
  </si>
  <si>
    <t>3001/927</t>
  </si>
  <si>
    <t>CLIENT ASSESSMENT</t>
  </si>
  <si>
    <t>CENTRE (CAC)</t>
  </si>
  <si>
    <t>IG54357753080</t>
  </si>
  <si>
    <t xml:space="preserve">leendeen1980@gmail.com </t>
  </si>
  <si>
    <t>SM-0302</t>
  </si>
  <si>
    <t>3001/928</t>
  </si>
  <si>
    <t>PETRONAS LEKIR</t>
  </si>
  <si>
    <t>LOT 45,BATU 10 LEKIR</t>
  </si>
  <si>
    <t>0125448624</t>
  </si>
  <si>
    <t>SM-0055</t>
  </si>
  <si>
    <t>3001/929</t>
  </si>
  <si>
    <t>TINGKAT 25,</t>
  </si>
  <si>
    <t>IBU PEJABAT MARA,</t>
  </si>
  <si>
    <t>NO.21, JALAN MARA,</t>
  </si>
  <si>
    <t>0199407107</t>
  </si>
  <si>
    <t>CO-0044</t>
  </si>
  <si>
    <t>3001/930</t>
  </si>
  <si>
    <t>PS BDR SRI COALFIELDS,LT 37128</t>
  </si>
  <si>
    <t>PERSIARAN LIMAU KASTURI</t>
  </si>
  <si>
    <t>BANDAR SERI COALFIELDS,</t>
  </si>
  <si>
    <t>C26546146040</t>
  </si>
  <si>
    <t xml:space="preserve">renergymesrabsc@gmail.com </t>
  </si>
  <si>
    <t>0133931238</t>
  </si>
  <si>
    <t>PM-0731</t>
  </si>
  <si>
    <t>3001/931</t>
  </si>
  <si>
    <t>ARAS BAWAH,BLOK UTARA</t>
  </si>
  <si>
    <t>BANGUNAN PERBENDA,KOMPLEKS</t>
  </si>
  <si>
    <t>KEMENTERIAN KEWANGAN,PPKP</t>
  </si>
  <si>
    <t>0182019565</t>
  </si>
  <si>
    <t>SM-0048</t>
  </si>
  <si>
    <t>3001/932</t>
  </si>
  <si>
    <t>NO. 84, JALAN 3/8,</t>
  </si>
  <si>
    <t>SG GADUT</t>
  </si>
  <si>
    <t>IG56464634020</t>
  </si>
  <si>
    <t>farhanafieqa@gmail.com</t>
  </si>
  <si>
    <t>WI-0084</t>
  </si>
  <si>
    <t>3001/933</t>
  </si>
  <si>
    <t>NO 70 JALAN EKAR</t>
  </si>
  <si>
    <t>1/2 BANDAR EKAR</t>
  </si>
  <si>
    <t>IG51021971030</t>
  </si>
  <si>
    <t>alifhaiqal54321@gmail.com</t>
  </si>
  <si>
    <t>0176786419</t>
  </si>
  <si>
    <t>WI-0034</t>
  </si>
  <si>
    <t>3001/934</t>
  </si>
  <si>
    <t>NO 212 JALAN TME 8</t>
  </si>
  <si>
    <t>TMN MAWAR EHSAN</t>
  </si>
  <si>
    <t>IG40101360100</t>
  </si>
  <si>
    <t>yazadyusof5@gmail.com</t>
  </si>
  <si>
    <t>0179012492</t>
  </si>
  <si>
    <t>WI-0188</t>
  </si>
  <si>
    <t>3001/935</t>
  </si>
  <si>
    <t>NO. 1262, JALAN SEMARAK 32,</t>
  </si>
  <si>
    <t>TAMAN PANCHOR JAYA,</t>
  </si>
  <si>
    <t xml:space="preserve">IG56950557070 </t>
  </si>
  <si>
    <t>rainaauni20@gmail.com</t>
  </si>
  <si>
    <t>0176171871</t>
  </si>
  <si>
    <t>WI-0341</t>
  </si>
  <si>
    <t>3001/936</t>
  </si>
  <si>
    <t>NO 44, JALAN TDC 1</t>
  </si>
  <si>
    <t>TMN DESA CHEMBONG</t>
  </si>
  <si>
    <t>IG27019304090</t>
  </si>
  <si>
    <t>norazlin2941@gmail.com</t>
  </si>
  <si>
    <t>0196017602</t>
  </si>
  <si>
    <t>WI-0273</t>
  </si>
  <si>
    <t>3001/937</t>
  </si>
  <si>
    <t>NO 12</t>
  </si>
  <si>
    <t>RUMAH RAKYAT LINSUM</t>
  </si>
  <si>
    <t>IG59564565080</t>
  </si>
  <si>
    <t xml:space="preserve">afiqsafwanafiqsafwan@gmail.com </t>
  </si>
  <si>
    <t>0167014037</t>
  </si>
  <si>
    <t>WI-0234</t>
  </si>
  <si>
    <t>3001/938</t>
  </si>
  <si>
    <t>NO. 4, LORONG 1, JAAN BM5,</t>
  </si>
  <si>
    <t>TAMAN BERTAM MURNI,</t>
  </si>
  <si>
    <t>IG12074222051</t>
  </si>
  <si>
    <t>shazlinmuhd@gmail.com</t>
  </si>
  <si>
    <t>0197913008</t>
  </si>
  <si>
    <t>WI-0372</t>
  </si>
  <si>
    <t>3001/939</t>
  </si>
  <si>
    <t>NO.6, JALAN 1</t>
  </si>
  <si>
    <t>RUMAH RAKYAT PEDAS</t>
  </si>
  <si>
    <t xml:space="preserve">IG28032440050 </t>
  </si>
  <si>
    <t xml:space="preserve">akasyahshamsuri@gmail.com </t>
  </si>
  <si>
    <t>0124914941</t>
  </si>
  <si>
    <t>WI-0201</t>
  </si>
  <si>
    <t>3001/940</t>
  </si>
  <si>
    <t>IPD REMBAU</t>
  </si>
  <si>
    <t>KG ANAK AYER KUNDOR</t>
  </si>
  <si>
    <t>rosliecah5017@icloud.com</t>
  </si>
  <si>
    <t>0134747500</t>
  </si>
  <si>
    <t>WI-0409</t>
  </si>
  <si>
    <t>3001/941</t>
  </si>
  <si>
    <t>NO 34, LORONG SRI</t>
  </si>
  <si>
    <t>ANGGERIK 2/5</t>
  </si>
  <si>
    <t>TMN SRI ANGGERIK,RANTAU</t>
  </si>
  <si>
    <t>IG28519677040</t>
  </si>
  <si>
    <t xml:space="preserve">fazleeshah08@gmail.com </t>
  </si>
  <si>
    <t>0198818077</t>
  </si>
  <si>
    <t>WI-0276</t>
  </si>
  <si>
    <t>3001/942</t>
  </si>
  <si>
    <t>LOT 511</t>
  </si>
  <si>
    <t>KG PASIR TENGAH BATU 12</t>
  </si>
  <si>
    <t>JLN SILIAU,RANTAU</t>
  </si>
  <si>
    <t>IG50280233020</t>
  </si>
  <si>
    <t>muhdhafizzudinafiq@gmail.com</t>
  </si>
  <si>
    <t>0183640019</t>
  </si>
  <si>
    <t>WI-0239</t>
  </si>
  <si>
    <t>3001/943</t>
  </si>
  <si>
    <t>KG BONGEK ACHEH, 71300 REMBAU,</t>
  </si>
  <si>
    <t>IG59141991020</t>
  </si>
  <si>
    <t>mdpezal75@gmail.com</t>
  </si>
  <si>
    <t>01156532573</t>
  </si>
  <si>
    <t>WI-0171</t>
  </si>
  <si>
    <t>3001/944</t>
  </si>
  <si>
    <t>KG MASJID 71200 RANTAU,</t>
  </si>
  <si>
    <t>IG4125143010</t>
  </si>
  <si>
    <t>zaffarin@bubbleso2.com</t>
  </si>
  <si>
    <t>0197581686</t>
  </si>
  <si>
    <t>WI-0189</t>
  </si>
  <si>
    <t>3001/945</t>
  </si>
  <si>
    <t>LOT 1034, EMR 2613</t>
  </si>
  <si>
    <t>JLN UTAMA 2,KG SEGA HULU</t>
  </si>
  <si>
    <t>KUALA SAWAH,RANTAU</t>
  </si>
  <si>
    <t>ismaaidilrahmat0297@gmail.com</t>
  </si>
  <si>
    <t>0136079626</t>
  </si>
  <si>
    <t>WI-0128</t>
  </si>
  <si>
    <t>3001/946</t>
  </si>
  <si>
    <t>NO. 42</t>
  </si>
  <si>
    <t>KG SEGA TENGAH</t>
  </si>
  <si>
    <t>aimilqayyum99@gmail.com</t>
  </si>
  <si>
    <t>0166343909</t>
  </si>
  <si>
    <t>WI-0030</t>
  </si>
  <si>
    <t>3001/947</t>
  </si>
  <si>
    <t>BRAINYBUNCH, JALAN SP 10/1,</t>
  </si>
  <si>
    <t>SELANGOR CYBER VALLEY,</t>
  </si>
  <si>
    <t>CYBERJAYA</t>
  </si>
  <si>
    <t xml:space="preserve">IG56311173090 </t>
  </si>
  <si>
    <t xml:space="preserve">muhammaduwaisalfawwaz@gmail.com </t>
  </si>
  <si>
    <t>0109661447</t>
  </si>
  <si>
    <t>SM-0310</t>
  </si>
  <si>
    <t>3001/948</t>
  </si>
  <si>
    <t>CWGN UTAMA SELANGOR,RETAIL</t>
  </si>
  <si>
    <t>BANKING, 11,PT 54,PRESINT 2</t>
  </si>
  <si>
    <t>PERSIARAN DATO MENTERI,SEK 14,</t>
  </si>
  <si>
    <t>farhan_mrazi@bsn.com.my</t>
  </si>
  <si>
    <t>0175782576</t>
  </si>
  <si>
    <t>SM-0047</t>
  </si>
  <si>
    <t>3001/949</t>
  </si>
  <si>
    <t>30-TKT G JALAN OREN HARTAMAS,</t>
  </si>
  <si>
    <t>TAMAN OREN HARTAMAS,</t>
  </si>
  <si>
    <t>KUBANG SEMANG</t>
  </si>
  <si>
    <t>farmasiharmonishifapenanti@gmail.com</t>
  </si>
  <si>
    <t>PH-0021</t>
  </si>
  <si>
    <t>3001/950</t>
  </si>
  <si>
    <t>NO.5, PUSAT PERUSAHAAN</t>
  </si>
  <si>
    <t>POKOK SENA</t>
  </si>
  <si>
    <t>farmasiharmonikamunting@gmail.com</t>
  </si>
  <si>
    <t>0174874760</t>
  </si>
  <si>
    <t>PH-0019</t>
  </si>
  <si>
    <t>3001/951</t>
  </si>
  <si>
    <t>NO.19</t>
  </si>
  <si>
    <t>JLN MEDAN KAMUNTING TAIPING</t>
  </si>
  <si>
    <t>PH-0018</t>
  </si>
  <si>
    <t>3001/952</t>
  </si>
  <si>
    <t>NO. 19, JLN TANJUNG SEMUT,</t>
  </si>
  <si>
    <t>KG KUNDUR TENGAH, 71400 PEDAS,</t>
  </si>
  <si>
    <t>IG29409495040</t>
  </si>
  <si>
    <t>ahlulquran26@gmail.com</t>
  </si>
  <si>
    <t>0132968639</t>
  </si>
  <si>
    <t>WI-0119</t>
  </si>
  <si>
    <t>3001/953</t>
  </si>
  <si>
    <t>NO 118, JALAN MUTIARA 7,</t>
  </si>
  <si>
    <t>TAMAN MUTIARA RANTAU</t>
  </si>
  <si>
    <t>IG26453943050</t>
  </si>
  <si>
    <t>rsymaini11@gmail.com</t>
  </si>
  <si>
    <t>0182784219</t>
  </si>
  <si>
    <t>WI-0350</t>
  </si>
  <si>
    <t>3001/954</t>
  </si>
  <si>
    <t>NO 67</t>
  </si>
  <si>
    <t>KAMPUNG DINGKI INAS</t>
  </si>
  <si>
    <t>JOHOL</t>
  </si>
  <si>
    <t>IG51753058090</t>
  </si>
  <si>
    <t>muhdhasnul2210@gmail.com</t>
  </si>
  <si>
    <t>0178785209</t>
  </si>
  <si>
    <t>WI-0223</t>
  </si>
  <si>
    <t>3001/955</t>
  </si>
  <si>
    <t>KAMPUNG SEGA</t>
  </si>
  <si>
    <t>TENGAH</t>
  </si>
  <si>
    <t>IG27890713100</t>
  </si>
  <si>
    <t>taufiq.jadu@gmail.com</t>
  </si>
  <si>
    <t>0173717028</t>
  </si>
  <si>
    <t>WI-0186</t>
  </si>
  <si>
    <t>3001/956</t>
  </si>
  <si>
    <t>122, JALAN MUTIARA 6</t>
  </si>
  <si>
    <t>TAMAN MUTIARA</t>
  </si>
  <si>
    <t>IG50540354040</t>
  </si>
  <si>
    <t>i.ffhyn7@gmail.com</t>
  </si>
  <si>
    <t>WI-0122</t>
  </si>
  <si>
    <t>3001/957</t>
  </si>
  <si>
    <t>NO. 89, RUMAH RAKYAT</t>
  </si>
  <si>
    <t>IG50882178090</t>
  </si>
  <si>
    <t>ahmadidham1502@gmail.com</t>
  </si>
  <si>
    <t>01172825359</t>
  </si>
  <si>
    <t>WI-0020</t>
  </si>
  <si>
    <t>3001/958</t>
  </si>
  <si>
    <t>NO 575 LORONG EKAR  2/4,</t>
  </si>
  <si>
    <t>TMN BANDAR EKAR RANTAU,NS</t>
  </si>
  <si>
    <t>IG28666380050</t>
  </si>
  <si>
    <t>nurshahadilahnoorsin@gmail.com</t>
  </si>
  <si>
    <t>0198725702</t>
  </si>
  <si>
    <t>WI-0315</t>
  </si>
  <si>
    <t>3001/959</t>
  </si>
  <si>
    <t>NO 5, 2/6 LORONG TAMAN</t>
  </si>
  <si>
    <t>SRI ANGGERIK</t>
  </si>
  <si>
    <t>IG59642080030</t>
  </si>
  <si>
    <t>fasiihajamari@gmail.com</t>
  </si>
  <si>
    <t>0173845695</t>
  </si>
  <si>
    <t>WI-0308</t>
  </si>
  <si>
    <t>3001/960</t>
  </si>
  <si>
    <t>KAMPUNG</t>
  </si>
  <si>
    <t>TANJUNG 1</t>
  </si>
  <si>
    <t>IG58183553000</t>
  </si>
  <si>
    <t xml:space="preserve">nabilla1438@gmail.com </t>
  </si>
  <si>
    <t>01130011438</t>
  </si>
  <si>
    <t>WI-0382</t>
  </si>
  <si>
    <t>3001/961</t>
  </si>
  <si>
    <t>PS PAGOH</t>
  </si>
  <si>
    <t>LOT 1936, HSD 5161,</t>
  </si>
  <si>
    <t>MUKIM JORAK, PAGOH</t>
  </si>
  <si>
    <t xml:space="preserve">C891406000 </t>
  </si>
  <si>
    <t>hazrol@risdaventures.com.my</t>
  </si>
  <si>
    <t>0193919129</t>
  </si>
  <si>
    <t>PM-0741</t>
  </si>
  <si>
    <t>3001/962</t>
  </si>
  <si>
    <t>PETRONAS SOUTHERN, LEVEL 4,</t>
  </si>
  <si>
    <t>PETRONAS BUILDING,</t>
  </si>
  <si>
    <t>BDR BARU UDA,KM7 JLN SKUDAI,JB</t>
  </si>
  <si>
    <t>CO-0030</t>
  </si>
  <si>
    <t>3001/963</t>
  </si>
  <si>
    <t>NO.19, GROUND FLOOR,</t>
  </si>
  <si>
    <t>KUBAH RIA COMPLEX,</t>
  </si>
  <si>
    <t>PETRA JAYA,</t>
  </si>
  <si>
    <t>082513944</t>
  </si>
  <si>
    <t>PH-0056</t>
  </si>
  <si>
    <t>3001/964</t>
  </si>
  <si>
    <t>PT 447 (GROUND FLOOR),</t>
  </si>
  <si>
    <t>JALAN JAMBATAN NO. 12L</t>
  </si>
  <si>
    <t>KAMPUNG SIREH, BAWAH LEMBAH,</t>
  </si>
  <si>
    <t>C59718047010</t>
  </si>
  <si>
    <t>tuahrayasb@gmail.com</t>
  </si>
  <si>
    <t>0145022150</t>
  </si>
  <si>
    <t>WI-0404</t>
  </si>
  <si>
    <t>3001/965</t>
  </si>
  <si>
    <t>NO 1050 JALAN JASMIN 16</t>
  </si>
  <si>
    <t>TAMAN JASMIN</t>
  </si>
  <si>
    <t>IG10926605060</t>
  </si>
  <si>
    <t>ahmadrizaldisulaiman@gmail.com</t>
  </si>
  <si>
    <t>0182574720</t>
  </si>
  <si>
    <t>WI-0024</t>
  </si>
  <si>
    <t>3001/966</t>
  </si>
  <si>
    <t>NO 2, JALAN WARISAN BESTARI 3,</t>
  </si>
  <si>
    <t>TAMAN WARISAN BESTARI,</t>
  </si>
  <si>
    <t>KOTA WARISAN,SEPANG</t>
  </si>
  <si>
    <t xml:space="preserve">IG56052769010 </t>
  </si>
  <si>
    <t xml:space="preserve">sitinuraisyahr@yahoo.com.my </t>
  </si>
  <si>
    <t>0126948305</t>
  </si>
  <si>
    <t>WI-0383</t>
  </si>
  <si>
    <t>3001/967</t>
  </si>
  <si>
    <t xml:space="preserve">IG6117796020  </t>
  </si>
  <si>
    <t>0127008533</t>
  </si>
  <si>
    <t>SM-0112</t>
  </si>
  <si>
    <t>3001/968</t>
  </si>
  <si>
    <t>303 JLN IDAMAN</t>
  </si>
  <si>
    <t>VILLA 10,BANDAR</t>
  </si>
  <si>
    <t>SERI SENDAYAN,SEREMBAN</t>
  </si>
  <si>
    <t xml:space="preserve">IG4296410050 </t>
  </si>
  <si>
    <t>0137405759</t>
  </si>
  <si>
    <t>WI-0347</t>
  </si>
  <si>
    <t>3001/969</t>
  </si>
  <si>
    <t>740, LINGKUNGAN ANGGERIK 2,</t>
  </si>
  <si>
    <t>BANDAR BARU SUNGGALA,</t>
  </si>
  <si>
    <t>SI RUSA</t>
  </si>
  <si>
    <t>01116658229</t>
  </si>
  <si>
    <t>WI-0367</t>
  </si>
  <si>
    <t>3001/970</t>
  </si>
  <si>
    <t>NO 9, JALAN 2/1</t>
  </si>
  <si>
    <t>TAMAN SRI ANGGERIK</t>
  </si>
  <si>
    <t>IG29043585040</t>
  </si>
  <si>
    <t>fayu8519@gmail.com</t>
  </si>
  <si>
    <t>0138172125</t>
  </si>
  <si>
    <t>WI-0260</t>
  </si>
  <si>
    <t>3001/971</t>
  </si>
  <si>
    <t>KAMPUNG PULAU PISANG BADANG,</t>
  </si>
  <si>
    <t>15350 KOTA BHARU,</t>
  </si>
  <si>
    <t>IG40110637030</t>
  </si>
  <si>
    <t>iffahamirah@hotmail.com</t>
  </si>
  <si>
    <t>WI-0123</t>
  </si>
  <si>
    <t>3001/972</t>
  </si>
  <si>
    <t>NO 79 LORONG DESA MELOR 5,</t>
  </si>
  <si>
    <t xml:space="preserve">TAMAN DESA MELOR </t>
  </si>
  <si>
    <t>IG55196181030</t>
  </si>
  <si>
    <t>tkahzee@gmail.com</t>
  </si>
  <si>
    <t>0173094992</t>
  </si>
  <si>
    <t>WI-0047</t>
  </si>
  <si>
    <t>3001/973</t>
  </si>
  <si>
    <t>NO 8</t>
  </si>
  <si>
    <t>LADANG ULU KANCHONG</t>
  </si>
  <si>
    <t>IG50724772080</t>
  </si>
  <si>
    <t xml:space="preserve">nurasyiqin625@gmail.com </t>
  </si>
  <si>
    <t>0196729350</t>
  </si>
  <si>
    <t>WI-0292</t>
  </si>
  <si>
    <t>3001/974</t>
  </si>
  <si>
    <t>MENARA SME BANK</t>
  </si>
  <si>
    <t>JALAN SULTAN</t>
  </si>
  <si>
    <t>ISMAIL</t>
  </si>
  <si>
    <t>IG20653400000</t>
  </si>
  <si>
    <t>0133752050</t>
  </si>
  <si>
    <t>WI-0274</t>
  </si>
  <si>
    <t>3001/975</t>
  </si>
  <si>
    <t>PS KM 13,STESEN PETRONAS,</t>
  </si>
  <si>
    <t>KM 13, JLN SKUDAI PTD 135891,</t>
  </si>
  <si>
    <t>BATU 8 LEBUHRAYA SKUDAI,</t>
  </si>
  <si>
    <t>01139336788</t>
  </si>
  <si>
    <t>PM-0224</t>
  </si>
  <si>
    <t>3001/976</t>
  </si>
  <si>
    <t>BLOCK 1B, PLAZA SENTRAL</t>
  </si>
  <si>
    <t>JALAN STESEN SENTRAL 5</t>
  </si>
  <si>
    <t>KUALA LUMPUR SENTRAL</t>
  </si>
  <si>
    <t>0327851515</t>
  </si>
  <si>
    <t>CO-0027</t>
  </si>
  <si>
    <t>3001/977</t>
  </si>
  <si>
    <t>SME CORP. MALAYSIA</t>
  </si>
  <si>
    <t>LEVEL 7,BLOCK B,SME 1</t>
  </si>
  <si>
    <t>JALAN STESEN SENTRAL 2</t>
  </si>
  <si>
    <t>n.aishah63@gmail.com</t>
  </si>
  <si>
    <t>0124460508</t>
  </si>
  <si>
    <t>CO-0020</t>
  </si>
  <si>
    <t>3001/978</t>
  </si>
  <si>
    <t>NO 119, JALAN DESA MELOR 6,</t>
  </si>
  <si>
    <t>TAMAN DESA MELOR,</t>
  </si>
  <si>
    <t>IG50948647090</t>
  </si>
  <si>
    <t>zairol13@icloud.com</t>
  </si>
  <si>
    <t>01161983702</t>
  </si>
  <si>
    <t>WI-0162</t>
  </si>
  <si>
    <t>3001/979</t>
  </si>
  <si>
    <t>PS JALAN JUASSEH</t>
  </si>
  <si>
    <t>LOT 489, MUKIM SERTING ULU</t>
  </si>
  <si>
    <t>JLN JUASSEH,BAHAU</t>
  </si>
  <si>
    <t>madeyat34@gmail.com</t>
  </si>
  <si>
    <t>0126782112</t>
  </si>
  <si>
    <t>PM-0482</t>
  </si>
  <si>
    <t>3001/980</t>
  </si>
  <si>
    <t>LOT 7954 BATU 5 1/2</t>
  </si>
  <si>
    <t>DESA PUTRA</t>
  </si>
  <si>
    <t>IG4436336020</t>
  </si>
  <si>
    <t>syedabdulrazak74@gmail.com</t>
  </si>
  <si>
    <t>0176487750</t>
  </si>
  <si>
    <t>WI-0399</t>
  </si>
  <si>
    <t>3001/981</t>
  </si>
  <si>
    <t>NO 192 FASA II</t>
  </si>
  <si>
    <t>LUBOK CHINA</t>
  </si>
  <si>
    <t>LINGGI</t>
  </si>
  <si>
    <t xml:space="preserve">IG50519765000 </t>
  </si>
  <si>
    <t>jfayazid@gmail.com</t>
  </si>
  <si>
    <t>0164796124</t>
  </si>
  <si>
    <t>WI-0191</t>
  </si>
  <si>
    <t>3001/982</t>
  </si>
  <si>
    <t>35B</t>
  </si>
  <si>
    <t>KG TANJUNG JATI</t>
  </si>
  <si>
    <t>IG28384048100</t>
  </si>
  <si>
    <t xml:space="preserve">afiqahamizah108@gmail.com </t>
  </si>
  <si>
    <t>0132198817</t>
  </si>
  <si>
    <t>WI-0016</t>
  </si>
  <si>
    <t>3001/983</t>
  </si>
  <si>
    <t>PU SENDAYAN</t>
  </si>
  <si>
    <t xml:space="preserve">IG24995884080 </t>
  </si>
  <si>
    <t>muhamadfirdaus.yahya@gmail.com</t>
  </si>
  <si>
    <t>0124141601</t>
  </si>
  <si>
    <t>WI-0220</t>
  </si>
  <si>
    <t>3001/984</t>
  </si>
  <si>
    <t>BATU 4, SURAU 2</t>
  </si>
  <si>
    <t>KAMPUNG SUNGAI YU</t>
  </si>
  <si>
    <t>TANJUNG KARANG</t>
  </si>
  <si>
    <t>IG3181010010</t>
  </si>
  <si>
    <t>ojohari616@gmail.com</t>
  </si>
  <si>
    <t>0123862573</t>
  </si>
  <si>
    <t>WI-0136</t>
  </si>
  <si>
    <t>3001/985</t>
  </si>
  <si>
    <t>NO 6, LORONG 2/3</t>
  </si>
  <si>
    <t>IG28885288050</t>
  </si>
  <si>
    <t xml:space="preserve">ieramyra62@gmail.com </t>
  </si>
  <si>
    <t>0182770093</t>
  </si>
  <si>
    <t>WI-0253</t>
  </si>
  <si>
    <t>3001/986</t>
  </si>
  <si>
    <t>SEKSYEN 20, SHAH ALAM</t>
  </si>
  <si>
    <t>IG40262116060</t>
  </si>
  <si>
    <t>farhahsahrom@gmail.com</t>
  </si>
  <si>
    <t>WI-0255</t>
  </si>
  <si>
    <t>3001/987</t>
  </si>
  <si>
    <t>NO. 17 &amp; 18</t>
  </si>
  <si>
    <t>PUSAT PERDAGANGAN PAROI</t>
  </si>
  <si>
    <t>IG24995884080</t>
  </si>
  <si>
    <t>ahfadhil@ns.gov.my</t>
  </si>
  <si>
    <t>0126420449</t>
  </si>
  <si>
    <t>WI-0055</t>
  </si>
  <si>
    <t>3001/988</t>
  </si>
  <si>
    <t>PEJABAT MENTERI BESAR</t>
  </si>
  <si>
    <t xml:space="preserve"> NEGERI SEMBILAN, TINGKAT 5,</t>
  </si>
  <si>
    <t>BLOK B,WISMA NEGERI, SEREMBAN</t>
  </si>
  <si>
    <t xml:space="preserve">IG6086009100 </t>
  </si>
  <si>
    <t>mohdfirdaus@ns.gov.my</t>
  </si>
  <si>
    <t>0123935340</t>
  </si>
  <si>
    <t>WI-0174</t>
  </si>
  <si>
    <t>3001/989</t>
  </si>
  <si>
    <t>TINGKAT 3A BANGUNAN BAKTI</t>
  </si>
  <si>
    <t>SITI HASMAH NO 6 CANGKAT,ABG</t>
  </si>
  <si>
    <t>HJ OPENG TMN TUN DR ISMAIL</t>
  </si>
  <si>
    <t>bakti_bbsh@yahoo.com</t>
  </si>
  <si>
    <t>0139719638</t>
  </si>
  <si>
    <t>CO-0005</t>
  </si>
  <si>
    <t>3001/990</t>
  </si>
  <si>
    <t>BANGUNAN PENTADBIRAN,GERMAN</t>
  </si>
  <si>
    <t>MALAYSIAN INSTITUTE(GMI),JLN</t>
  </si>
  <si>
    <t>ILMIAH TMN UNIVERSITI,KAJANG</t>
  </si>
  <si>
    <t>C10144226020</t>
  </si>
  <si>
    <t xml:space="preserve">nordiana@gmi.edu.my </t>
  </si>
  <si>
    <t>01123769003</t>
  </si>
  <si>
    <t>CO-0007</t>
  </si>
  <si>
    <t>3001/991</t>
  </si>
  <si>
    <t>NO 112, RUMAH RAKYAT</t>
  </si>
  <si>
    <t>KG TENGAH GEDOK</t>
  </si>
  <si>
    <t>GEMENCHEH</t>
  </si>
  <si>
    <t>IG55199641020</t>
  </si>
  <si>
    <t>fatinsyakirah3295@gmail.com</t>
  </si>
  <si>
    <t>01113136774</t>
  </si>
  <si>
    <t>WI-0092</t>
  </si>
  <si>
    <t>3001/992</t>
  </si>
  <si>
    <t>NO 523, LORONG SEMARAK 8/2,</t>
  </si>
  <si>
    <t>TAMAN PANCHOR JAYA</t>
  </si>
  <si>
    <t>IG55815994100</t>
  </si>
  <si>
    <t>salianasamsuddin@gmail.com</t>
  </si>
  <si>
    <t>0126663149</t>
  </si>
  <si>
    <t>WI-0357</t>
  </si>
  <si>
    <t>3001/993</t>
  </si>
  <si>
    <t>93, JALAN MANTAU INDAH 2/2,</t>
  </si>
  <si>
    <t>TAMAN MANTAU INDAH 2,</t>
  </si>
  <si>
    <t>IG29418449100</t>
  </si>
  <si>
    <t>nurfarahsyazwani@gmail.com</t>
  </si>
  <si>
    <t>0196040084</t>
  </si>
  <si>
    <t>WI-0305</t>
  </si>
  <si>
    <t>3001/994</t>
  </si>
  <si>
    <t>475 JLN NUSARI BAYU 5/2,</t>
  </si>
  <si>
    <t>TAMAN NUSARI BAYU 2,</t>
  </si>
  <si>
    <t xml:space="preserve"> BANDAR SRI SENDAYAN SEREMBAN</t>
  </si>
  <si>
    <t>IG40200151060</t>
  </si>
  <si>
    <t>norazilawatizila75@gmail.com</t>
  </si>
  <si>
    <t>01139847552</t>
  </si>
  <si>
    <t>WI-0270</t>
  </si>
  <si>
    <t>3001/995</t>
  </si>
  <si>
    <t>A 13-8 PD SANTUARY</t>
  </si>
  <si>
    <t>IXORA PERMAI,KG TG AGAS</t>
  </si>
  <si>
    <t>PASIR PANJANG, PORT DICKSON</t>
  </si>
  <si>
    <t xml:space="preserve">IG27659607020 </t>
  </si>
  <si>
    <t>azlan8ramd@gmail.com</t>
  </si>
  <si>
    <t>0139130946</t>
  </si>
  <si>
    <t>WI-0259</t>
  </si>
  <si>
    <t>3001/996</t>
  </si>
  <si>
    <t>NO 21 JALAN PRIMA 12</t>
  </si>
  <si>
    <t>RESIDENSI PRIMA</t>
  </si>
  <si>
    <t>PULAU SEBANG,ALOR GAJAH</t>
  </si>
  <si>
    <t>IG21437179040</t>
  </si>
  <si>
    <t>e.edayu@icloud.com</t>
  </si>
  <si>
    <t>0196241753</t>
  </si>
  <si>
    <t>WI-0094</t>
  </si>
  <si>
    <t>3001/997</t>
  </si>
  <si>
    <t>NO. 7, JLN UTAMA</t>
  </si>
  <si>
    <t>IG29255625100</t>
  </si>
  <si>
    <t>amirulniezam97@gmail.com</t>
  </si>
  <si>
    <t>0132845967</t>
  </si>
  <si>
    <t>WI-0040</t>
  </si>
  <si>
    <t>3001/998</t>
  </si>
  <si>
    <t>NO 273 JLN MIEL 9</t>
  </si>
  <si>
    <t>TAMAN PEDAS PERDANA</t>
  </si>
  <si>
    <t>IG25146092040</t>
  </si>
  <si>
    <t>azlinhakim09@gmail.com</t>
  </si>
  <si>
    <t>01155014780</t>
  </si>
  <si>
    <t>WI-0050</t>
  </si>
  <si>
    <t>3001/999</t>
  </si>
  <si>
    <t>260, JALAN KENANGA</t>
  </si>
  <si>
    <t>IG6094312020</t>
  </si>
  <si>
    <t>busroniyusof@gmail.com</t>
  </si>
  <si>
    <t>0193532067</t>
  </si>
  <si>
    <t>WI-0058</t>
  </si>
  <si>
    <t>3002/001</t>
  </si>
  <si>
    <t>168, JALAN PI 5</t>
  </si>
  <si>
    <t>TAMAN PEDAS INDAH</t>
  </si>
  <si>
    <t>IG27880713050</t>
  </si>
  <si>
    <t>diyanarosli98@gmail.com</t>
  </si>
  <si>
    <t>0176310644</t>
  </si>
  <si>
    <t>WI-0069</t>
  </si>
  <si>
    <t>3002/002</t>
  </si>
  <si>
    <t>PEDAS, NEGERI SEMBILAN</t>
  </si>
  <si>
    <t>IG6117796020</t>
  </si>
  <si>
    <t>SM-0083</t>
  </si>
  <si>
    <t>3002/003</t>
  </si>
  <si>
    <t>NO 122, JALAN MUTIARA 6</t>
  </si>
  <si>
    <t>01119904985</t>
  </si>
  <si>
    <t>WI-0296</t>
  </si>
  <si>
    <t>3002/004</t>
  </si>
  <si>
    <t>JALAN ORKID , BATU 7</t>
  </si>
  <si>
    <t>KG KUNDUR</t>
  </si>
  <si>
    <t>IG26155822060</t>
  </si>
  <si>
    <t>nazatulnabilah0202@gmail.com</t>
  </si>
  <si>
    <t>0194332360</t>
  </si>
  <si>
    <t>WI-0246</t>
  </si>
  <si>
    <t>3002/005</t>
  </si>
  <si>
    <t>NO. 157</t>
  </si>
  <si>
    <t>TAMAN BAHAGIA DELIMA</t>
  </si>
  <si>
    <t>IG54540749040</t>
  </si>
  <si>
    <t xml:space="preserve">syahkurnia82@gmail.com </t>
  </si>
  <si>
    <t>014142336</t>
  </si>
  <si>
    <t>WI-0184</t>
  </si>
  <si>
    <t>3002/006</t>
  </si>
  <si>
    <t>NO 2</t>
  </si>
  <si>
    <t>JALAN 1/3T,SEKSYEN 1</t>
  </si>
  <si>
    <t>IG3347969000</t>
  </si>
  <si>
    <t>hamzahabdaziz3@gmail.com</t>
  </si>
  <si>
    <t>0193511255</t>
  </si>
  <si>
    <t>SM-0193</t>
  </si>
  <si>
    <t>3002/007</t>
  </si>
  <si>
    <t>WISMA CITY-LINK, 3A JALAN</t>
  </si>
  <si>
    <t>ARKITEK,U1/22,HICOM-GLENMARIE</t>
  </si>
  <si>
    <t>INDUSTRIAL PARK,SHAH ALAM</t>
  </si>
  <si>
    <t>IG26097139010</t>
  </si>
  <si>
    <t>farhana.citylinkexpress@gmail.com</t>
  </si>
  <si>
    <t>0162316582</t>
  </si>
  <si>
    <t>WI-0307</t>
  </si>
  <si>
    <t>3002/008</t>
  </si>
  <si>
    <t>PEJABAT YB DATO RASHIDI ZINOL,</t>
  </si>
  <si>
    <t xml:space="preserve">TINGKAT 31, KOMTAR </t>
  </si>
  <si>
    <t xml:space="preserve">IG50277578050 </t>
  </si>
  <si>
    <t>aishahzamri@penang.gov.my</t>
  </si>
  <si>
    <t>01112707989</t>
  </si>
  <si>
    <t>WI-0376</t>
  </si>
  <si>
    <t>3002/009</t>
  </si>
  <si>
    <t>TAMAN</t>
  </si>
  <si>
    <t>SEPAKAT</t>
  </si>
  <si>
    <t>IG55102281070</t>
  </si>
  <si>
    <t xml:space="preserve">syahrizalt814@gmail.com </t>
  </si>
  <si>
    <t>0137613005</t>
  </si>
  <si>
    <t>WI-0401</t>
  </si>
  <si>
    <t>3002/010</t>
  </si>
  <si>
    <t>NO. 43 &amp; 43A,</t>
  </si>
  <si>
    <t>PERDANA AVENUE,</t>
  </si>
  <si>
    <t>JALAN KAJANG PERDANA 3A,</t>
  </si>
  <si>
    <t xml:space="preserve">IG51272993100  </t>
  </si>
  <si>
    <t>0133526986</t>
  </si>
  <si>
    <t>CO-0047</t>
  </si>
  <si>
    <t>3002/011</t>
  </si>
  <si>
    <t>812, JLN SEREMBAN TIGA</t>
  </si>
  <si>
    <t>28/1,SEREMBAN 3,</t>
  </si>
  <si>
    <t>IG51272993100</t>
  </si>
  <si>
    <t>anasdister08897@gmial.com</t>
  </si>
  <si>
    <t>0187705433</t>
  </si>
  <si>
    <t>WI-0206</t>
  </si>
  <si>
    <t>3002/012</t>
  </si>
  <si>
    <t>NO 320, TAMAN DESA MELATI,</t>
  </si>
  <si>
    <t>JALAN MELATI 11, 71800,</t>
  </si>
  <si>
    <t xml:space="preserve">IG56496158020 </t>
  </si>
  <si>
    <t>nadhirahfisul@gmail.com</t>
  </si>
  <si>
    <t>0135818239</t>
  </si>
  <si>
    <t>WI-0124</t>
  </si>
  <si>
    <t>3002/013</t>
  </si>
  <si>
    <t>NO 1</t>
  </si>
  <si>
    <t xml:space="preserve">IG51291294070 </t>
  </si>
  <si>
    <t>alifsyazwan157@gmail.com</t>
  </si>
  <si>
    <t>01160860350</t>
  </si>
  <si>
    <t>WI-0035</t>
  </si>
  <si>
    <t>3002/014</t>
  </si>
  <si>
    <t>LOT 963 BATU LAPAN</t>
  </si>
  <si>
    <t>TELOK KEMANG</t>
  </si>
  <si>
    <t>IG50133610090</t>
  </si>
  <si>
    <t xml:space="preserve">shukrinoor07@gmail.com </t>
  </si>
  <si>
    <t>01036222178</t>
  </si>
  <si>
    <t>WI-0236</t>
  </si>
  <si>
    <t>3002/015</t>
  </si>
  <si>
    <t>NO 1121, JALAN GUNUNG</t>
  </si>
  <si>
    <t>DATO 29,TMN ANGSAMAS</t>
  </si>
  <si>
    <t>IG29546947010</t>
  </si>
  <si>
    <t>nurulasnitamazlan@gmail.com</t>
  </si>
  <si>
    <t>0134285606</t>
  </si>
  <si>
    <t>WI-0320</t>
  </si>
  <si>
    <t>3002/016</t>
  </si>
  <si>
    <t>TAIBA ALHUSNA HALALMART,</t>
  </si>
  <si>
    <t>10, JALAN TANJONG UTAMA,</t>
  </si>
  <si>
    <t>TAMAN SRI TANJONG,</t>
  </si>
  <si>
    <t xml:space="preserve">IG3432676061 </t>
  </si>
  <si>
    <t xml:space="preserve">halijahjohari@gmail.com </t>
  </si>
  <si>
    <t>0184644560</t>
  </si>
  <si>
    <t>WI-0104</t>
  </si>
  <si>
    <t>3002/017</t>
  </si>
  <si>
    <t>IG28492241020</t>
  </si>
  <si>
    <t>L&amp;W</t>
  </si>
  <si>
    <t>SPONSORSHIP</t>
  </si>
  <si>
    <t>SS-0001</t>
  </si>
  <si>
    <t>3002/018</t>
  </si>
  <si>
    <t>NO 64 JALAN GUNUNG DATOK 2/2,</t>
  </si>
  <si>
    <t>TAMAN ANGSAMAS FASA 1,</t>
  </si>
  <si>
    <t>norfazmishafiq77@gmail.com</t>
  </si>
  <si>
    <t>0104563677</t>
  </si>
  <si>
    <t>WI-0277</t>
  </si>
  <si>
    <t>3002/019</t>
  </si>
  <si>
    <t>KAMPUNG KANCHONG</t>
  </si>
  <si>
    <t>IG59797544020</t>
  </si>
  <si>
    <t xml:space="preserve">afqsyabil07011@gmail.com </t>
  </si>
  <si>
    <t>0183505171</t>
  </si>
  <si>
    <t>WI-0200</t>
  </si>
  <si>
    <t>3002/020</t>
  </si>
  <si>
    <t>BATU 4 1/4</t>
  </si>
  <si>
    <t>KLEBANG</t>
  </si>
  <si>
    <t>BESAR</t>
  </si>
  <si>
    <t>IG56296521010</t>
  </si>
  <si>
    <t>khairulhafiszi99@gmail.com</t>
  </si>
  <si>
    <t>0167359391</t>
  </si>
  <si>
    <t>WI-0141</t>
  </si>
  <si>
    <t>3002/021</t>
  </si>
  <si>
    <t>TAMAN MAWAR EHSAN</t>
  </si>
  <si>
    <t>WI-0240</t>
  </si>
  <si>
    <t>3002/022</t>
  </si>
  <si>
    <t>30, JALAN INDAH 2/13</t>
  </si>
  <si>
    <t>TMN UNIVERSITI INDAH</t>
  </si>
  <si>
    <t xml:space="preserve">IG40273726010 </t>
  </si>
  <si>
    <t>asma.bubbleso2@gmail.com</t>
  </si>
  <si>
    <t>0123028244</t>
  </si>
  <si>
    <t>WI-0043</t>
  </si>
  <si>
    <t>3002/023</t>
  </si>
  <si>
    <t>SS18/1</t>
  </si>
  <si>
    <t>SUBANG</t>
  </si>
  <si>
    <t>JAYA</t>
  </si>
  <si>
    <t>IG27344877030</t>
  </si>
  <si>
    <t>farahidayuhalim@gmail.com</t>
  </si>
  <si>
    <t>0184721931</t>
  </si>
  <si>
    <t>WI-0081</t>
  </si>
  <si>
    <t>3002/024</t>
  </si>
  <si>
    <t>NO 13, KAMPUNG BKT PERAH,</t>
  </si>
  <si>
    <t>TANJONG IPOH, KUALA PILAH,</t>
  </si>
  <si>
    <t>01110977651</t>
  </si>
  <si>
    <t>SM-0440</t>
  </si>
  <si>
    <t>3002/025</t>
  </si>
  <si>
    <t>NO 13, KG BKT PERAH</t>
  </si>
  <si>
    <t>TANJONG IPOH</t>
  </si>
  <si>
    <t>01165658193</t>
  </si>
  <si>
    <t>SM-0344</t>
  </si>
  <si>
    <t>3002/026</t>
  </si>
  <si>
    <t>8A, JALAN 1/3P, MUTIARA BANGI,</t>
  </si>
  <si>
    <t>SEKSYEN 1, 43650</t>
  </si>
  <si>
    <t>IG435203031</t>
  </si>
  <si>
    <t>esah9923@gmail.com</t>
  </si>
  <si>
    <t>0197607364</t>
  </si>
  <si>
    <t>SM-0123</t>
  </si>
  <si>
    <t>3002/027</t>
  </si>
  <si>
    <t>BB181 JALAN VISTA BELIMBING</t>
  </si>
  <si>
    <t>10,TMN VISTA BELIMBING</t>
  </si>
  <si>
    <t>IG28279003090</t>
  </si>
  <si>
    <t>syukrimian94@gmail.com</t>
  </si>
  <si>
    <t>0136260318</t>
  </si>
  <si>
    <t>WI-0023</t>
  </si>
  <si>
    <t>3002/028</t>
  </si>
  <si>
    <t>PS MEX HIGHWAY (NORTHBOUND)</t>
  </si>
  <si>
    <t>STESEN MINYAK PS PT 83549</t>
  </si>
  <si>
    <t>SEBHGN REST&amp;SERVICE, L/RAYA,</t>
  </si>
  <si>
    <t xml:space="preserve">sydmuhammadadam@gmail.com </t>
  </si>
  <si>
    <t>0122449181</t>
  </si>
  <si>
    <t>PM-0737</t>
  </si>
  <si>
    <t>3002/029</t>
  </si>
  <si>
    <t>PS MEX HIGHWAY (SOUTHBOUND)</t>
  </si>
  <si>
    <t>STESEN MINYAK PS PT 83458</t>
  </si>
  <si>
    <t>SEBHGN REST &amp; SERVICE AREA’</t>
  </si>
  <si>
    <t>rashdan51@gmail.com</t>
  </si>
  <si>
    <t>0122346066</t>
  </si>
  <si>
    <t>PM-0738</t>
  </si>
  <si>
    <t>3002/030</t>
  </si>
  <si>
    <t>0172472851</t>
  </si>
  <si>
    <t>WI-0085</t>
  </si>
  <si>
    <t>3002/031</t>
  </si>
  <si>
    <t xml:space="preserve">NO 286 </t>
  </si>
  <si>
    <t>TMN WIDURI INDAH 8,SENAWANG</t>
  </si>
  <si>
    <t xml:space="preserve">Msfadilhamsan@gmail.com </t>
  </si>
  <si>
    <t>01153579010</t>
  </si>
  <si>
    <t>WI-0161</t>
  </si>
  <si>
    <t>3002/032</t>
  </si>
  <si>
    <t>NO. 64, JALAN 2/2A</t>
  </si>
  <si>
    <t>BANDAR RICHING</t>
  </si>
  <si>
    <t>SEMENYIH</t>
  </si>
  <si>
    <t>Saniah0758@gmail.com</t>
  </si>
  <si>
    <t>01132511157</t>
  </si>
  <si>
    <t>WI-0359</t>
  </si>
  <si>
    <t>3002/033</t>
  </si>
  <si>
    <t>NO 25, JLN CEMPAKA B1</t>
  </si>
  <si>
    <t>F,M,1</t>
  </si>
  <si>
    <t>LABIS</t>
  </si>
  <si>
    <t xml:space="preserve">muhdjauhari94@gmail.com </t>
  </si>
  <si>
    <t>0169787616</t>
  </si>
  <si>
    <t>WI-0229</t>
  </si>
  <si>
    <t>3002/034</t>
  </si>
  <si>
    <t>NO 23 JALAN ECO MAJESTIC</t>
  </si>
  <si>
    <t>2/3D ECO MAJESTIC</t>
  </si>
  <si>
    <t xml:space="preserve">dfiya313@gmail.com </t>
  </si>
  <si>
    <t>0186693409</t>
  </si>
  <si>
    <t>SM-0487</t>
  </si>
  <si>
    <t>3002/035</t>
  </si>
  <si>
    <t>NO34, KAMPUNG</t>
  </si>
  <si>
    <t>SRI LALANG</t>
  </si>
  <si>
    <t xml:space="preserve">jailanialhaj0607@gmail.com  </t>
  </si>
  <si>
    <t>0162340760</t>
  </si>
  <si>
    <t>WI-0029</t>
  </si>
  <si>
    <t>3002/036</t>
  </si>
  <si>
    <t>PS TAMAN ALAM MEGA (ACTIVE)</t>
  </si>
  <si>
    <t>PT 5052 1, JALAN 28/37</t>
  </si>
  <si>
    <t>SEKSYEN 28,SHAH</t>
  </si>
  <si>
    <t>0136862919</t>
  </si>
  <si>
    <t>PM-0992</t>
  </si>
  <si>
    <t>3002/037</t>
  </si>
  <si>
    <t>LOT 677,MUKIM 16</t>
  </si>
  <si>
    <t>TMN BAGAN LALANG</t>
  </si>
  <si>
    <t>BUTTERWORTH</t>
  </si>
  <si>
    <t>0175504249</t>
  </si>
  <si>
    <t>PM-0160</t>
  </si>
  <si>
    <t>3002/038</t>
  </si>
  <si>
    <t>NO. 14</t>
  </si>
  <si>
    <t>JLN P11C/17</t>
  </si>
  <si>
    <t>PRESINT 11</t>
  </si>
  <si>
    <t xml:space="preserve">qariff2000@gmail.com </t>
  </si>
  <si>
    <t>0193878687</t>
  </si>
  <si>
    <t>SM-0216</t>
  </si>
  <si>
    <t>3002/039</t>
  </si>
  <si>
    <t>5, LORONG BURHANUDDIN HELMI 1,</t>
  </si>
  <si>
    <t xml:space="preserve">TAMAN TUN DR. ISMAIL </t>
  </si>
  <si>
    <t xml:space="preserve">nadiahalina@gmail.com </t>
  </si>
  <si>
    <t>0126201871</t>
  </si>
  <si>
    <t>SM-0318</t>
  </si>
  <si>
    <t>3002/040</t>
  </si>
  <si>
    <t>NO 24 JALAN UTAMA</t>
  </si>
  <si>
    <t xml:space="preserve">Pikashafika66@gmail.com </t>
  </si>
  <si>
    <t>0198414933</t>
  </si>
  <si>
    <t>WI-0264</t>
  </si>
  <si>
    <t>3002/041</t>
  </si>
  <si>
    <t>No11,LORONG SRI ANGGERIK 2/2,</t>
  </si>
  <si>
    <t>TAMAN SRI ANGGERIK,</t>
  </si>
  <si>
    <t xml:space="preserve">hilmiedanial8@gmail.com </t>
  </si>
  <si>
    <t>01135240040</t>
  </si>
  <si>
    <t>WI-0213</t>
  </si>
  <si>
    <t>3002/042</t>
  </si>
  <si>
    <t>NO 55, KAMPUNG SELIAU RANTAU</t>
  </si>
  <si>
    <t xml:space="preserve">muhammadasyrafmdisa@gmail.com  </t>
  </si>
  <si>
    <t>0162414981</t>
  </si>
  <si>
    <t>WI-0208</t>
  </si>
  <si>
    <t>3002/043</t>
  </si>
  <si>
    <t>NO. 7, JALAN 5C/6, SEKSYEN 5,</t>
  </si>
  <si>
    <t>ramli0135000307@gmail.com</t>
  </si>
  <si>
    <t>0135000307</t>
  </si>
  <si>
    <t>SM-0410</t>
  </si>
  <si>
    <t>3002/044</t>
  </si>
  <si>
    <t>PS BATU GAJAH</t>
  </si>
  <si>
    <t>LOT 43881, JALAN GOPENG</t>
  </si>
  <si>
    <t>BATU GAJAH</t>
  </si>
  <si>
    <t>IG11071337000</t>
  </si>
  <si>
    <t xml:space="preserve">assalikin74@gmail.com </t>
  </si>
  <si>
    <t>0195738027</t>
  </si>
  <si>
    <t>PM-0083</t>
  </si>
  <si>
    <t>3002/045</t>
  </si>
  <si>
    <t>NO.149,JALAN PI 4</t>
  </si>
  <si>
    <t>TMN PEDAS INDAH</t>
  </si>
  <si>
    <t xml:space="preserve">angahfariskp@gmail.com </t>
  </si>
  <si>
    <t>01110310789</t>
  </si>
  <si>
    <t>WI-0217</t>
  </si>
  <si>
    <t>3002/046</t>
  </si>
  <si>
    <t>SM-0264</t>
  </si>
  <si>
    <t>3002/047</t>
  </si>
  <si>
    <t>1-20-3 LANAI KIARA CONDO</t>
  </si>
  <si>
    <t>JLN KIARA 3</t>
  </si>
  <si>
    <t>MONTH KIARA</t>
  </si>
  <si>
    <t xml:space="preserve">ihsan.radziah@gmail.com </t>
  </si>
  <si>
    <t>0125258004</t>
  </si>
  <si>
    <t>SM-0093</t>
  </si>
  <si>
    <t>3002/048</t>
  </si>
  <si>
    <t>NO. 3,</t>
  </si>
  <si>
    <t>JALAN P10/7</t>
  </si>
  <si>
    <t>PRESINT 10</t>
  </si>
  <si>
    <t>ihsan.radziah@gmail.com</t>
  </si>
  <si>
    <t>0132547389</t>
  </si>
  <si>
    <t>SM-0496</t>
  </si>
  <si>
    <t>3002/049</t>
  </si>
  <si>
    <t>NO. 16, LORONG 2/1B</t>
  </si>
  <si>
    <t>shilahisyam44@icloud.com</t>
  </si>
  <si>
    <t>0138553176</t>
  </si>
  <si>
    <t>WI-0316</t>
  </si>
  <si>
    <t>3002/050</t>
  </si>
  <si>
    <t>NO 132</t>
  </si>
  <si>
    <t xml:space="preserve">irdinatasya3010@gmail.com  </t>
  </si>
  <si>
    <t>01030141598</t>
  </si>
  <si>
    <t>WI-0297</t>
  </si>
  <si>
    <t>3002/051</t>
  </si>
  <si>
    <t>WANGSA MAJU, KL</t>
  </si>
  <si>
    <t>qarin@bubbleso2.com</t>
  </si>
  <si>
    <t>0137405943</t>
  </si>
  <si>
    <t>WI-0195</t>
  </si>
  <si>
    <t>3002/052</t>
  </si>
  <si>
    <t>PKS JKKP MYS CAW. PUTRAJAYA</t>
  </si>
  <si>
    <t>ARAS 5,BLOK SETIA PERKASA 4</t>
  </si>
  <si>
    <t>KPLEKS SETIA PERKASA,PRESINT 1</t>
  </si>
  <si>
    <t xml:space="preserve">ikhwani@mohr.gov.my </t>
  </si>
  <si>
    <t>0196693747</t>
  </si>
  <si>
    <t>SM-0217</t>
  </si>
  <si>
    <t>3002/053</t>
  </si>
  <si>
    <t>SUITE 11.06, 11TH FLOOR,</t>
  </si>
  <si>
    <t>566 JALAN IPOH,</t>
  </si>
  <si>
    <t xml:space="preserve">eja@eeworld.com.my  </t>
  </si>
  <si>
    <t>0193101434</t>
  </si>
  <si>
    <t>CM-0036</t>
  </si>
  <si>
    <t>3002/054</t>
  </si>
  <si>
    <t>KAMPUNG SELIAU</t>
  </si>
  <si>
    <t>HILIR</t>
  </si>
  <si>
    <t xml:space="preserve">snzura.myy@gmail.com </t>
  </si>
  <si>
    <t>0192828017</t>
  </si>
  <si>
    <t>WI-0381</t>
  </si>
  <si>
    <t>3002/055</t>
  </si>
  <si>
    <t>120, JALAN KOTA PERMAI,</t>
  </si>
  <si>
    <t>TAMAN KOTA PERMAI,</t>
  </si>
  <si>
    <t>mshafiqali007@gmail.com</t>
  </si>
  <si>
    <t>0189408486</t>
  </si>
  <si>
    <t>WI-0160</t>
  </si>
  <si>
    <t>3002/056</t>
  </si>
  <si>
    <t>NO 261, JALAN PERSIARAN</t>
  </si>
  <si>
    <t xml:space="preserve">TAMAN PEDAS INDAH, </t>
  </si>
  <si>
    <t>abdulsalam87meng@gmail.com</t>
  </si>
  <si>
    <t>01121146965</t>
  </si>
  <si>
    <t>WI-0326</t>
  </si>
  <si>
    <t>3002/057</t>
  </si>
  <si>
    <t>NO 59, LORONG TSR 2, FASA 1,</t>
  </si>
  <si>
    <t xml:space="preserve">TAMAN SERI REMBAU </t>
  </si>
  <si>
    <t>nnyzrd97@gmail.com</t>
  </si>
  <si>
    <t>0136208037</t>
  </si>
  <si>
    <t>WI-0310</t>
  </si>
  <si>
    <t>3002/058</t>
  </si>
  <si>
    <t>A-6-12 RESIDENSI</t>
  </si>
  <si>
    <t>SG UDANG,NO.8</t>
  </si>
  <si>
    <t>PINTASAN SSEGAMBUT</t>
  </si>
  <si>
    <t>maziah@matrade.gov.my</t>
  </si>
  <si>
    <t>0177263601</t>
  </si>
  <si>
    <t>SM-0045</t>
  </si>
  <si>
    <t>3002/059</t>
  </si>
  <si>
    <t>NO 271 JLN TITIWANGSA 4</t>
  </si>
  <si>
    <t>TMN BUKTI AMPANGAN</t>
  </si>
  <si>
    <t xml:space="preserve">aiyuanuar@yahoo.com </t>
  </si>
  <si>
    <t>0129172256</t>
  </si>
  <si>
    <t>WI-0348</t>
  </si>
  <si>
    <t>3002/060</t>
  </si>
  <si>
    <t>NO.60 JLN 5/11</t>
  </si>
  <si>
    <t>TMN PINGGIRAN SENAWANG</t>
  </si>
  <si>
    <t xml:space="preserve">dilailazahari27@gmail.com  </t>
  </si>
  <si>
    <t>WI-0068</t>
  </si>
  <si>
    <t>3002/061</t>
  </si>
  <si>
    <t>TINGKAT 13, BLOK A</t>
  </si>
  <si>
    <t>SUASANA PJH,JLN TUN</t>
  </si>
  <si>
    <t>ABDUL RAZAK,PRESINT 2</t>
  </si>
  <si>
    <t>F21395892090</t>
  </si>
  <si>
    <t>finance@teraju.gov.my</t>
  </si>
  <si>
    <t>0193709189</t>
  </si>
  <si>
    <t>CO-0043</t>
  </si>
  <si>
    <t>3002/062</t>
  </si>
  <si>
    <t>76, JALAN LAMAN BAKAWALI C/5,</t>
  </si>
  <si>
    <t xml:space="preserve">LAMAN BAKAWALI, </t>
  </si>
  <si>
    <t>KOTA SERIEMAS, NILAI,</t>
  </si>
  <si>
    <t>aidiazuri@gmail.com</t>
  </si>
  <si>
    <t>0193348991</t>
  </si>
  <si>
    <t>SM-0013</t>
  </si>
  <si>
    <t>3002/063</t>
  </si>
  <si>
    <t>C335GL, LORONG TEMERLOH MALL,</t>
  </si>
  <si>
    <t xml:space="preserve">JALAN TENGKU ISMAIL, </t>
  </si>
  <si>
    <t>SM-0317</t>
  </si>
  <si>
    <t>3002/064</t>
  </si>
  <si>
    <t>LORONG TSR 3</t>
  </si>
  <si>
    <t>TAMAN SRI REMBAU</t>
  </si>
  <si>
    <t xml:space="preserve">aminfaisalla@gmail.com </t>
  </si>
  <si>
    <t>0173668724</t>
  </si>
  <si>
    <t>WI-0037</t>
  </si>
  <si>
    <t>3002/065</t>
  </si>
  <si>
    <t>NO.28, JALAN SRI QASEH PERMAI,</t>
  </si>
  <si>
    <t>DESA SRI QASEH,</t>
  </si>
  <si>
    <t>0139997912</t>
  </si>
  <si>
    <t>SM-0483</t>
  </si>
  <si>
    <t>3002/066</t>
  </si>
  <si>
    <t>NO 2, LORONG SRI ANGGERIK 2/6,</t>
  </si>
  <si>
    <t xml:space="preserve">TAMAN SRI ANGGERIK, </t>
  </si>
  <si>
    <t xml:space="preserve"> RANTAU</t>
  </si>
  <si>
    <t>eiyfazzieyla@gmail.com</t>
  </si>
  <si>
    <t>01129957560</t>
  </si>
  <si>
    <t>WI-0309</t>
  </si>
  <si>
    <t>3002/067</t>
  </si>
  <si>
    <t>LOT 866-C</t>
  </si>
  <si>
    <t>KAMPUNG GENTING</t>
  </si>
  <si>
    <t>TUMPAT</t>
  </si>
  <si>
    <t>0105164005</t>
  </si>
  <si>
    <t>SM-0159</t>
  </si>
  <si>
    <t>3002/068</t>
  </si>
  <si>
    <t>B-20 JALAN TG LUMPUR 7</t>
  </si>
  <si>
    <t xml:space="preserve">dgkuantan@gmail.com </t>
  </si>
  <si>
    <t>SM-0125</t>
  </si>
  <si>
    <t>3002/069</t>
  </si>
  <si>
    <t>LOT 6289, LORONG MAWAR,</t>
  </si>
  <si>
    <t>KG BUKIT TOK BAT,</t>
  </si>
  <si>
    <t>KUALA BERANG,</t>
  </si>
  <si>
    <t>0196768735</t>
  </si>
  <si>
    <t>SM-0415</t>
  </si>
  <si>
    <t>3002/070</t>
  </si>
  <si>
    <t>TINGKAT 5, BLOK D,</t>
  </si>
  <si>
    <t>WISMA NEGERI SEMBILAN</t>
  </si>
  <si>
    <t>ninidiana@ns.gov.my</t>
  </si>
  <si>
    <t>CO-0012</t>
  </si>
  <si>
    <t>3002/071</t>
  </si>
  <si>
    <t>172 TAMAN</t>
  </si>
  <si>
    <t>SERI REMBAU</t>
  </si>
  <si>
    <t>amirulasyraf@bubbleso2.com</t>
  </si>
  <si>
    <t>0132899590</t>
  </si>
  <si>
    <t>WI-0039</t>
  </si>
  <si>
    <t>3002/072</t>
  </si>
  <si>
    <t>PT 1129, KAMPUNG PULAU PISANG,</t>
  </si>
  <si>
    <t>IG11654111030</t>
  </si>
  <si>
    <t xml:space="preserve">chezaharudincheibrahim@gmail.com </t>
  </si>
  <si>
    <t>0179484948</t>
  </si>
  <si>
    <t>WI-0059</t>
  </si>
  <si>
    <t>3002/073</t>
  </si>
  <si>
    <t>178 JALAN CHEMARA 4</t>
  </si>
  <si>
    <t>CHEMARA HILLS</t>
  </si>
  <si>
    <t>idanorwani178@yahoo.com</t>
  </si>
  <si>
    <t>0122356391</t>
  </si>
  <si>
    <t>WI-0120</t>
  </si>
  <si>
    <t>3002/074</t>
  </si>
  <si>
    <t>A-10-14 PANGSAPURI</t>
  </si>
  <si>
    <t>DESA TENAGA,BATU 3 1/2</t>
  </si>
  <si>
    <t>JLN KELANG LAMA</t>
  </si>
  <si>
    <t xml:space="preserve">ccc_canter@yahoo.com </t>
  </si>
  <si>
    <t>0192873288</t>
  </si>
  <si>
    <t>WI-0169</t>
  </si>
  <si>
    <t>3002/075</t>
  </si>
  <si>
    <t>558, TAMAN JUJUR KIRI</t>
  </si>
  <si>
    <t>JALAN SIKAMAT</t>
  </si>
  <si>
    <t>faridsubki@gmail.com</t>
  </si>
  <si>
    <t>0177200767</t>
  </si>
  <si>
    <t>WI-0018</t>
  </si>
  <si>
    <t>3002/076</t>
  </si>
  <si>
    <t>424-A KAMPUNG KUBANG TUMAN,</t>
  </si>
  <si>
    <t>IG29118414060</t>
  </si>
  <si>
    <t xml:space="preserve">S.shafiraazahari@gmail.com  </t>
  </si>
  <si>
    <t>0179348119</t>
  </si>
  <si>
    <t>WI-0388</t>
  </si>
  <si>
    <t>3002/077</t>
  </si>
  <si>
    <t>NO 62</t>
  </si>
  <si>
    <t>JLN TAN 1/10</t>
  </si>
  <si>
    <t>TMN TUANKU AMPUAN NAJIHAH</t>
  </si>
  <si>
    <t>shidaman84@gmail.com</t>
  </si>
  <si>
    <t>0124767976</t>
  </si>
  <si>
    <t>WI-0241</t>
  </si>
  <si>
    <t>3002/078</t>
  </si>
  <si>
    <t>RESIDENSI TASIKMAS</t>
  </si>
  <si>
    <t>JALAN 9/118B</t>
  </si>
  <si>
    <t>DESA TUN RAZAK</t>
  </si>
  <si>
    <t>azlinazman.bubbleso2@gmail.com</t>
  </si>
  <si>
    <t>0197239858</t>
  </si>
  <si>
    <t>WI-0272</t>
  </si>
  <si>
    <t>3002/079</t>
  </si>
  <si>
    <t>88A, KAMPUNG SOURABAYA HILIR,</t>
  </si>
  <si>
    <t>PETRAJAYA,</t>
  </si>
  <si>
    <t>KUCHING,</t>
  </si>
  <si>
    <t xml:space="preserve">hidayah116@gmail.com </t>
  </si>
  <si>
    <t>0138222700</t>
  </si>
  <si>
    <t>WI-0113</t>
  </si>
  <si>
    <t>3002/080</t>
  </si>
  <si>
    <t>NO. 407 LORONG 9,</t>
  </si>
  <si>
    <t>TAMAN MATAHARI INDAH,</t>
  </si>
  <si>
    <t>khadijahmahmudin6363@gmail.com</t>
  </si>
  <si>
    <t>0193878949</t>
  </si>
  <si>
    <t>WI-0138</t>
  </si>
  <si>
    <t>3002/081</t>
  </si>
  <si>
    <t>SAUJANA IMPIAN 43000 KAJANG,</t>
  </si>
  <si>
    <t>izzudinazahari@gmail.com</t>
  </si>
  <si>
    <t>0192772592</t>
  </si>
  <si>
    <t>WI-0193</t>
  </si>
  <si>
    <t>3002/082</t>
  </si>
  <si>
    <t>NO 185 BLOK 3 FELDA</t>
  </si>
  <si>
    <t>SERTING HILIR 7</t>
  </si>
  <si>
    <t>BANDAR SRI JEMPOL</t>
  </si>
  <si>
    <t xml:space="preserve">nurbaiti9308@gmail.com </t>
  </si>
  <si>
    <t>0147219308</t>
  </si>
  <si>
    <t>WI-0385</t>
  </si>
  <si>
    <t>3002/083</t>
  </si>
  <si>
    <t>74E, KG LOSONG HAJI SU 21000</t>
  </si>
  <si>
    <t>KUALA TERENGGANU, TERENGGANU</t>
  </si>
  <si>
    <t xml:space="preserve">warisanlosong@gmail.com </t>
  </si>
  <si>
    <t>0127711038</t>
  </si>
  <si>
    <t>SM-0499</t>
  </si>
  <si>
    <t>3002/084</t>
  </si>
  <si>
    <t>FINANCE</t>
  </si>
  <si>
    <t>KAMPUNG PASIR TENGAH,</t>
  </si>
  <si>
    <t>BATU 12 1/2 JALAN SILIAU,</t>
  </si>
  <si>
    <t>IG28829442040</t>
  </si>
  <si>
    <t xml:space="preserve">adibahtermizi99@gmail.com </t>
  </si>
  <si>
    <t>0172534296</t>
  </si>
  <si>
    <t>WI-0288</t>
  </si>
  <si>
    <t>3002/085</t>
  </si>
  <si>
    <t>NO 5 JALAN 1/3M</t>
  </si>
  <si>
    <t>0193170444</t>
  </si>
  <si>
    <t>SM-0339</t>
  </si>
  <si>
    <t>3002/086</t>
  </si>
  <si>
    <t>28-3 JALAN PJU 8/5B DAMANSARA</t>
  </si>
  <si>
    <t>PERDANA, 47820 PETALING JAYA,</t>
  </si>
  <si>
    <t>0123259035</t>
  </si>
  <si>
    <t>SM-0515</t>
  </si>
  <si>
    <t>3002/087</t>
  </si>
  <si>
    <t>NO 48, TAMAN SUNGAI</t>
  </si>
  <si>
    <t>PINANG 12B/KS13,JLN DATO</t>
  </si>
  <si>
    <t>AHMAD RAZALI.PULAU INDAH</t>
  </si>
  <si>
    <t>saifulbahrim5172@gmail.com</t>
  </si>
  <si>
    <t>01153505383</t>
  </si>
  <si>
    <t>WI-0197</t>
  </si>
  <si>
    <t>3002/088</t>
  </si>
  <si>
    <t>BLOK H-G-7</t>
  </si>
  <si>
    <t>PUCHONG UTAMA COURT 1</t>
  </si>
  <si>
    <t>PUCHONG UTAMA</t>
  </si>
  <si>
    <t xml:space="preserve">noraosman5569@gmail.com  </t>
  </si>
  <si>
    <t>0192405569</t>
  </si>
  <si>
    <t>WI-0269</t>
  </si>
  <si>
    <t>3002/089</t>
  </si>
  <si>
    <t>K02 09 13A</t>
  </si>
  <si>
    <t>JALAN 1/2 ECOHILL</t>
  </si>
  <si>
    <t xml:space="preserve">mohdrizuan489@gmail.com  </t>
  </si>
  <si>
    <t>0182015840</t>
  </si>
  <si>
    <t>WI-0180</t>
  </si>
  <si>
    <t>3002/090</t>
  </si>
  <si>
    <t>NO.5 JALAN 2/1J</t>
  </si>
  <si>
    <t>SM-0127</t>
  </si>
  <si>
    <t>3002/091</t>
  </si>
  <si>
    <t>TMN BUKIT MEWAH FASA 9</t>
  </si>
  <si>
    <t xml:space="preserve">khairilanwarkhairudin@gmail.com </t>
  </si>
  <si>
    <t>SM-0245</t>
  </si>
  <si>
    <t>3002/092</t>
  </si>
  <si>
    <t>KAMPUNG TANJUNG RANTAU</t>
  </si>
  <si>
    <t>muhdimran952@gmail.com</t>
  </si>
  <si>
    <t>0188722640</t>
  </si>
  <si>
    <t>WI-0227</t>
  </si>
  <si>
    <t>3002/093</t>
  </si>
  <si>
    <t>128 TME 6, TAMAN MAWAR EHSAN,</t>
  </si>
  <si>
    <t>khayrarichenterprise@gmail.com</t>
  </si>
  <si>
    <t>0135484912</t>
  </si>
  <si>
    <t>WI-0413</t>
  </si>
  <si>
    <t>3002/094</t>
  </si>
  <si>
    <t>NO 8, LORONG ZAITON INDAH 1/1,</t>
  </si>
  <si>
    <t>TAMAN ZAITON INDAH,</t>
  </si>
  <si>
    <t xml:space="preserve">saukatali151263@gmail.com </t>
  </si>
  <si>
    <t>0197065460</t>
  </si>
  <si>
    <t>WI-0362</t>
  </si>
  <si>
    <t>3002/095</t>
  </si>
  <si>
    <t>SEK 44 KAWASAN PERINDUSTRIAN</t>
  </si>
  <si>
    <t>PENGKALAN CHEPA II</t>
  </si>
  <si>
    <t>PADANG TEMBAK,KB</t>
  </si>
  <si>
    <t>C58212279010</t>
  </si>
  <si>
    <t xml:space="preserve">kstmsdnbhd@yahoo.com </t>
  </si>
  <si>
    <t>097730999</t>
  </si>
  <si>
    <t>WI-0144</t>
  </si>
  <si>
    <t>3002/096</t>
  </si>
  <si>
    <t>SHELL AYER HITAM</t>
  </si>
  <si>
    <t>LOT PTD 4099, KM 1-5,</t>
  </si>
  <si>
    <t>JLN KLUANG,AYER HITAM,</t>
  </si>
  <si>
    <t>D25507290020</t>
  </si>
  <si>
    <t>asmmarketing@ymail.com</t>
  </si>
  <si>
    <t>0197773564</t>
  </si>
  <si>
    <t>PM-0081</t>
  </si>
  <si>
    <t>3002/097</t>
  </si>
  <si>
    <t>NO. 4, LORONG 1, JALAN BM5,</t>
  </si>
  <si>
    <t>WI-0373</t>
  </si>
  <si>
    <t>3002/098</t>
  </si>
  <si>
    <t>NO 1214, JLN KALOI 19,</t>
  </si>
  <si>
    <t>TAMAN PERMAI 2,</t>
  </si>
  <si>
    <t>0136430412</t>
  </si>
  <si>
    <t>WI-0209</t>
  </si>
  <si>
    <t>3002/099</t>
  </si>
  <si>
    <t>SAWADDIMART BUKIT PAYONG,</t>
  </si>
  <si>
    <t xml:space="preserve">LOT 12659 (3592-D) KG </t>
  </si>
  <si>
    <t>PADANG LEBAM, BUKIT PAYONG</t>
  </si>
  <si>
    <t>adlina_sara@yahoo.com</t>
  </si>
  <si>
    <t>0129099603</t>
  </si>
  <si>
    <t>SM-0036</t>
  </si>
  <si>
    <t>3002/100</t>
  </si>
  <si>
    <t>PT 7324 BLOK KEDAI</t>
  </si>
  <si>
    <t>TAMAN RAKYAT JAYA</t>
  </si>
  <si>
    <t>dlazsbeautycare@yahoo.com</t>
  </si>
  <si>
    <t>0145373931</t>
  </si>
  <si>
    <t>SM-0107</t>
  </si>
  <si>
    <t>3002/101</t>
  </si>
  <si>
    <t>NO.26, JALAN HARMONI 18,</t>
  </si>
  <si>
    <t xml:space="preserve">TAMAN HARMONI KAJANG, </t>
  </si>
  <si>
    <t>ielawyr@gmail.com</t>
  </si>
  <si>
    <t>0122950257</t>
  </si>
  <si>
    <t>SM-0336</t>
  </si>
  <si>
    <t>3002/102</t>
  </si>
  <si>
    <t>PASAR TELUK BAHANG BR-1, JALAN</t>
  </si>
  <si>
    <t xml:space="preserve">HASSAN ABBAS, TELUK BAHANG, </t>
  </si>
  <si>
    <t>cocolate92@gmail.com</t>
  </si>
  <si>
    <t>0124792978</t>
  </si>
  <si>
    <t>SM-0004</t>
  </si>
  <si>
    <t>3002/103</t>
  </si>
  <si>
    <t>KAMPUNG KANCHONG RANTAU</t>
  </si>
  <si>
    <t>rasedazie@gmail.com</t>
  </si>
  <si>
    <t>0142065684</t>
  </si>
  <si>
    <t>WI-0345</t>
  </si>
  <si>
    <t>3002/104</t>
  </si>
  <si>
    <t>KG SELIAU TENGAH</t>
  </si>
  <si>
    <t>LORONG KERAMAT</t>
  </si>
  <si>
    <t>bleach437@gmail.com</t>
  </si>
  <si>
    <t>01114783413</t>
  </si>
  <si>
    <t>WI-0422</t>
  </si>
  <si>
    <t>3002/105</t>
  </si>
  <si>
    <t>PT 15544 TAMAN TAJIN SEJAHTERA</t>
  </si>
  <si>
    <t>21700 KUALA BERANG, TERENGGANU</t>
  </si>
  <si>
    <t xml:space="preserve">anirsuy23@gmail.com </t>
  </si>
  <si>
    <t>0199191281</t>
  </si>
  <si>
    <t>WI-0414</t>
  </si>
  <si>
    <t>3002/109</t>
  </si>
  <si>
    <t>NO.54, JAlAN TME4</t>
  </si>
  <si>
    <t>IG23273338040</t>
  </si>
  <si>
    <t>nurnashitah@gmail.com</t>
  </si>
  <si>
    <t>0139150640</t>
  </si>
  <si>
    <t>WI-0299</t>
  </si>
  <si>
    <t>3002/110</t>
  </si>
  <si>
    <t>A-01-08 SURIA JELUTONG 1,</t>
  </si>
  <si>
    <t>JALAN BAZAR U8/99,</t>
  </si>
  <si>
    <t>BUKIT JELUTONG, SHAH ALAM,</t>
  </si>
  <si>
    <t>hafiz860606@gmail.com</t>
  </si>
  <si>
    <t>0177621668</t>
  </si>
  <si>
    <t>WI-0019</t>
  </si>
  <si>
    <t>3002/111</t>
  </si>
  <si>
    <t>NO 10 TAMAN BANDAR BARU,</t>
  </si>
  <si>
    <t>0134300122</t>
  </si>
  <si>
    <t>SM-0165</t>
  </si>
  <si>
    <t>3002/112</t>
  </si>
  <si>
    <t>4A JLN AROWANA TMN AROWANA</t>
  </si>
  <si>
    <t>06150 AIR HITAM, KEDAH</t>
  </si>
  <si>
    <t>047949075</t>
  </si>
  <si>
    <t>SM-0287</t>
  </si>
  <si>
    <t>3002/113</t>
  </si>
  <si>
    <t>NO 16,JALAN SUTERA 3/2,FASA 3,</t>
  </si>
  <si>
    <t xml:space="preserve">TAMAN SUTERA, </t>
  </si>
  <si>
    <t>chefdamiacomel@gmail.com</t>
  </si>
  <si>
    <t>01136110157</t>
  </si>
  <si>
    <t>SM-0228</t>
  </si>
  <si>
    <t>3002/114</t>
  </si>
  <si>
    <t>NO 94 JALAN MERANTI,</t>
  </si>
  <si>
    <t>KUNDUR HILIR,71400 PEDAS,</t>
  </si>
  <si>
    <t>norazierah5284@gmail.com</t>
  </si>
  <si>
    <t>0136561223</t>
  </si>
  <si>
    <t>WI-0380</t>
  </si>
  <si>
    <t>3002/115</t>
  </si>
  <si>
    <t>WISMA</t>
  </si>
  <si>
    <t>CONSPLANT 1</t>
  </si>
  <si>
    <t>syarifuddien.shah@gmail.com</t>
  </si>
  <si>
    <t>0135989497</t>
  </si>
  <si>
    <t>WI-0026</t>
  </si>
  <si>
    <t>3002/116</t>
  </si>
  <si>
    <t>BATU 4, KAMPUNG PEDAS HILIR</t>
  </si>
  <si>
    <t>SEBELAH TMN PINGGIRAN</t>
  </si>
  <si>
    <t>dianasyafira1710@gmail.com</t>
  </si>
  <si>
    <t>01140165731</t>
  </si>
  <si>
    <t>WI-0306</t>
  </si>
  <si>
    <t>3002/117</t>
  </si>
  <si>
    <t>NO.5, BLOK 1 JALAN AU3/1,</t>
  </si>
  <si>
    <t>TAMAN DESA KERAMAT, 54200 KL</t>
  </si>
  <si>
    <t>muhammad.bubbleso2@gmail.com</t>
  </si>
  <si>
    <t>WI-0212</t>
  </si>
  <si>
    <t>3002/118</t>
  </si>
  <si>
    <t>NO.93 JALAN PERINDUSTRIAN</t>
  </si>
  <si>
    <t>4/KU8,KAWASAN</t>
  </si>
  <si>
    <t>PERINDUSTRIAN MERU SELATAN</t>
  </si>
  <si>
    <t>0167775507</t>
  </si>
  <si>
    <t>BODG</t>
  </si>
  <si>
    <t>BD-0012</t>
  </si>
  <si>
    <t>3002/119</t>
  </si>
  <si>
    <t>JLN SEREMBAN-TAMPIN</t>
  </si>
  <si>
    <t xml:space="preserve">hifzuddin.radzi@gmail.com </t>
  </si>
  <si>
    <t>0122223625</t>
  </si>
  <si>
    <t>WI-0114</t>
  </si>
  <si>
    <t>3002/120</t>
  </si>
  <si>
    <t>2,8-1,3, JALAN RK 5</t>
  </si>
  <si>
    <t>RASAH KEMAYAN</t>
  </si>
  <si>
    <t>0196069627</t>
  </si>
  <si>
    <t>BD-0013</t>
  </si>
  <si>
    <t>3002/121</t>
  </si>
  <si>
    <t>LOT 6, JALAN UB1</t>
  </si>
  <si>
    <t>TMN PERINDUSTRIAN UB</t>
  </si>
  <si>
    <t>accexecrc@gmail.com</t>
  </si>
  <si>
    <t>0192370997</t>
  </si>
  <si>
    <t>BD-0019</t>
  </si>
  <si>
    <t>3002/122</t>
  </si>
  <si>
    <t>LOT 4. 10A, LEVEL 5,</t>
  </si>
  <si>
    <t>WISMA SABERKAS,</t>
  </si>
  <si>
    <t>JALAN TUN ABANG HAJI OPENG,</t>
  </si>
  <si>
    <t>C 58715787090</t>
  </si>
  <si>
    <t>fit2shape.my@gmail.com</t>
  </si>
  <si>
    <t>0168507347</t>
  </si>
  <si>
    <t>PH-0058</t>
  </si>
  <si>
    <t>3002/123</t>
  </si>
  <si>
    <t>NO.51,G&amp;51-1</t>
  </si>
  <si>
    <t>JLN BAZAR P U8/P,SEKSYEN U8</t>
  </si>
  <si>
    <t>0166200059</t>
  </si>
  <si>
    <t>BD-0025</t>
  </si>
  <si>
    <t>3002/125</t>
  </si>
  <si>
    <t>BATU ARANG, SELANGOR</t>
  </si>
  <si>
    <t>01123280037</t>
  </si>
  <si>
    <t>BD-0004</t>
  </si>
  <si>
    <t>3002/126</t>
  </si>
  <si>
    <t>FRESCA MART</t>
  </si>
  <si>
    <t>01121117522</t>
  </si>
  <si>
    <t>BD-0006</t>
  </si>
  <si>
    <t>3002/127</t>
  </si>
  <si>
    <t>SUITE 11.08, 11TH FLOOR</t>
  </si>
  <si>
    <t>PLAZA MWE 8</t>
  </si>
  <si>
    <t>LEBUHRAYA FARQUHAR</t>
  </si>
  <si>
    <t>0124986786</t>
  </si>
  <si>
    <t>BD-0024</t>
  </si>
  <si>
    <t>3002/128</t>
  </si>
  <si>
    <t>LOT 3,KOMPLEKS PERNIAGAAN PSR</t>
  </si>
  <si>
    <t>BORONG,KM10,JLN PUSAT BNDR</t>
  </si>
  <si>
    <t>PUTRA PERMAI,SERI KEMBANGAN</t>
  </si>
  <si>
    <t>0192777855</t>
  </si>
  <si>
    <t>BD-0020</t>
  </si>
  <si>
    <t>3002/129</t>
  </si>
  <si>
    <t>TINGKAT 1</t>
  </si>
  <si>
    <t>DAYABUMI</t>
  </si>
  <si>
    <t>KUALA LUMPUR CITY CENTRE</t>
  </si>
  <si>
    <t>0123839675</t>
  </si>
  <si>
    <t>BD-0016</t>
  </si>
  <si>
    <t>3002/130</t>
  </si>
  <si>
    <t>LOT 371-4</t>
  </si>
  <si>
    <t>JALAN LEDANG</t>
  </si>
  <si>
    <t>OFF JALAN DUTA</t>
  </si>
  <si>
    <t>0173466791</t>
  </si>
  <si>
    <t>BD-0023</t>
  </si>
  <si>
    <t>3002/131</t>
  </si>
  <si>
    <t>23,25 JALAN DESA RAKYAT 2,</t>
  </si>
  <si>
    <t>TAMAN DESA RAKYAT,</t>
  </si>
  <si>
    <t xml:space="preserve"> PASIR GUDANG</t>
  </si>
  <si>
    <t>0197742514</t>
  </si>
  <si>
    <t>BD-0017</t>
  </si>
  <si>
    <t>3002/132</t>
  </si>
  <si>
    <t>B3-B5 KOMPLEKS PREMIS USAHAWAN</t>
  </si>
  <si>
    <t>SME BANK (KB 1),KAW.</t>
  </si>
  <si>
    <t>PERINDUSTRIAN PENGKALAN CHEPA,</t>
  </si>
  <si>
    <t>0162646363</t>
  </si>
  <si>
    <t>BD-0018</t>
  </si>
  <si>
    <t>3002/133</t>
  </si>
  <si>
    <t>C4,C5,C6 KEDAH HALAL PARK</t>
  </si>
  <si>
    <t>KAW.PERINDUSTRIAN SG PETANI</t>
  </si>
  <si>
    <t>0176537927</t>
  </si>
  <si>
    <t>BD-0011</t>
  </si>
  <si>
    <t>3002/134</t>
  </si>
  <si>
    <t>15TH FLOOR, 566 JALAN IPOH,</t>
  </si>
  <si>
    <t>0178208666</t>
  </si>
  <si>
    <t>BD-0001</t>
  </si>
  <si>
    <t>3002/135</t>
  </si>
  <si>
    <t>NO 610 JALAN NILAI 3/15,</t>
  </si>
  <si>
    <t>KAWASAN PERINDUSTRIAN NILAI 3,</t>
  </si>
  <si>
    <t>0136610150</t>
  </si>
  <si>
    <t>BD-0002</t>
  </si>
  <si>
    <t>3002/136</t>
  </si>
  <si>
    <t>NO.71, JALAN ECO 1, ZON</t>
  </si>
  <si>
    <t>INDUSTRI AYER KEROH BARU</t>
  </si>
  <si>
    <t>HANG TUAH JAYA,AYER KEROH</t>
  </si>
  <si>
    <t>0197786906</t>
  </si>
  <si>
    <t>BD-0008</t>
  </si>
  <si>
    <t>3002/137</t>
  </si>
  <si>
    <t>NO.21 JALAN KPTU 3,KAWASAN</t>
  </si>
  <si>
    <t>PERINDUSTRIAN TASIK UTAMA</t>
  </si>
  <si>
    <t>DURIAN TUNGGAL,HANG TUAH JAYA</t>
  </si>
  <si>
    <t>0196873624</t>
  </si>
  <si>
    <t>BD-0014</t>
  </si>
  <si>
    <t>3002/138</t>
  </si>
  <si>
    <t>CO-0002</t>
  </si>
  <si>
    <t>3002/139</t>
  </si>
  <si>
    <t>74E KG LOSONG HAJI SU 21000</t>
  </si>
  <si>
    <t xml:space="preserve">natashazamiley@gmail.com  </t>
  </si>
  <si>
    <t>SM-0248</t>
  </si>
  <si>
    <t>3002/140</t>
  </si>
  <si>
    <t>FARMASI IDAMAN, NO 3</t>
  </si>
  <si>
    <t>JLN CENDANA 5/1</t>
  </si>
  <si>
    <t>TMN CENDANA,PASIR GUDANG</t>
  </si>
  <si>
    <t>C25069621050</t>
  </si>
  <si>
    <t>farmasiidaman@gmail.com</t>
  </si>
  <si>
    <t>0182234497</t>
  </si>
  <si>
    <t>SM-0214</t>
  </si>
  <si>
    <t>3002/141</t>
  </si>
  <si>
    <t>NO 37 JLN 1/3P, MUTIARA BANGI,</t>
  </si>
  <si>
    <t>fauziarahman2606@gmail.com</t>
  </si>
  <si>
    <t>0123566565</t>
  </si>
  <si>
    <t>SM-0180</t>
  </si>
  <si>
    <t>3002/142</t>
  </si>
  <si>
    <t>CSR</t>
  </si>
  <si>
    <t>SR-0001</t>
  </si>
  <si>
    <t>3002/143</t>
  </si>
  <si>
    <t>TFC DIRECT, TINGKAT</t>
  </si>
  <si>
    <t>BAWAH PINTU UTAMA STADIUM</t>
  </si>
  <si>
    <t>SULTAN MIZAN ABIDIN</t>
  </si>
  <si>
    <t>khairilhadi098@gmail.com</t>
  </si>
  <si>
    <t>0139766678</t>
  </si>
  <si>
    <t>CO-0040</t>
  </si>
  <si>
    <t>3002/144</t>
  </si>
  <si>
    <t>9M JALAN PERMATA 2,</t>
  </si>
  <si>
    <t>TAMAN HARTA PERTAMA BUKIT BARU</t>
  </si>
  <si>
    <t>ely.zainuddin@gmail.com</t>
  </si>
  <si>
    <t>0179807977</t>
  </si>
  <si>
    <t>WI-0072</t>
  </si>
  <si>
    <t>3002/145</t>
  </si>
  <si>
    <t>SAUJANA IMPIAN 43000 KAJANG</t>
  </si>
  <si>
    <t xml:space="preserve">izzudinazahari@gmail.com </t>
  </si>
  <si>
    <t>WI-0192</t>
  </si>
  <si>
    <t>3002/146</t>
  </si>
  <si>
    <t>NO 43, JALAN PALADIUM 7/33,</t>
  </si>
  <si>
    <t>SEKSYEN 7, 40000 SHAH ALAM</t>
  </si>
  <si>
    <t xml:space="preserve">kanyo71@gmail.com </t>
  </si>
  <si>
    <t>SM-0040</t>
  </si>
  <si>
    <t>3002/147</t>
  </si>
  <si>
    <t>26 JLN 6, TAMAN DESA MEWAH</t>
  </si>
  <si>
    <t>43500 SEMENYIH</t>
  </si>
  <si>
    <t>nixora2002@gmail.com</t>
  </si>
  <si>
    <t>0193686761</t>
  </si>
  <si>
    <t>WI-0252</t>
  </si>
  <si>
    <t>3002/148</t>
  </si>
  <si>
    <t>ARAS 3, BANGUNAN</t>
  </si>
  <si>
    <t>SEREMBAN PLAZA,JLN</t>
  </si>
  <si>
    <t>DATO' MUDA LINGGI,SEREMBAN</t>
  </si>
  <si>
    <t>hafizan@mara.gov.my</t>
  </si>
  <si>
    <t>0196757068</t>
  </si>
  <si>
    <t>SM-0115</t>
  </si>
  <si>
    <t>3002/149</t>
  </si>
  <si>
    <t>NO.11, JALAN SERI 13,</t>
  </si>
  <si>
    <t>SAUJANA UTAMA,</t>
  </si>
  <si>
    <t xml:space="preserve">fita.madekan@gmail.com </t>
  </si>
  <si>
    <t>0142387327</t>
  </si>
  <si>
    <t>SM-0184</t>
  </si>
  <si>
    <t>3002/150</t>
  </si>
  <si>
    <t>IBU PEJABAT MARITIM N.MELAKA&amp;</t>
  </si>
  <si>
    <t>N.9,AGENSI PENGUATKUASAAN</t>
  </si>
  <si>
    <t>LOT 1113,MKM K.LINGGI</t>
  </si>
  <si>
    <t>mohamadfitriaziziyosri@gmail.com</t>
  </si>
  <si>
    <t>0197743716</t>
  </si>
  <si>
    <t>WI-0157</t>
  </si>
  <si>
    <t>3002/151</t>
  </si>
  <si>
    <t>IKTBN CHEMBONG REMBAU,</t>
  </si>
  <si>
    <t xml:space="preserve">nishanwar0710@gmail.com </t>
  </si>
  <si>
    <t>0172254744</t>
  </si>
  <si>
    <t>WI-0243</t>
  </si>
  <si>
    <t>3002/152</t>
  </si>
  <si>
    <t>K3-06 JLN 5/6 SEKSYEN 5</t>
  </si>
  <si>
    <t>BDR TEKNOLOGI KAJANG</t>
  </si>
  <si>
    <t>mahadimamat77@yahoo.com</t>
  </si>
  <si>
    <t>0189823858</t>
  </si>
  <si>
    <t>WI-0146</t>
  </si>
  <si>
    <t>3002/153</t>
  </si>
  <si>
    <t>NO 15 JALAN WARIS TEBAT</t>
  </si>
  <si>
    <t>KG CHEMBONG KECIL</t>
  </si>
  <si>
    <t xml:space="preserve">razaliajmal12@gmail.com </t>
  </si>
  <si>
    <t>0136568280</t>
  </si>
  <si>
    <t>WI-0346</t>
  </si>
  <si>
    <t>3002/154</t>
  </si>
  <si>
    <t>NO.19 JALAN NEKMAT</t>
  </si>
  <si>
    <t>JALAN NEKMAT</t>
  </si>
  <si>
    <t>DURIAN DAUN DALAM</t>
  </si>
  <si>
    <t xml:space="preserve">aahmad_88@yahoo.com </t>
  </si>
  <si>
    <t>0122865863</t>
  </si>
  <si>
    <t>WI-0009</t>
  </si>
  <si>
    <t>3002/155</t>
  </si>
  <si>
    <t>62 JLN HARMONI 14</t>
  </si>
  <si>
    <t>TMN HARMONI 43500 SEMENYIH</t>
  </si>
  <si>
    <t>khairulzamanmansor@gmail.com</t>
  </si>
  <si>
    <t>0192223030</t>
  </si>
  <si>
    <t>WI-0142</t>
  </si>
  <si>
    <t>3002/156</t>
  </si>
  <si>
    <t>SEKOLAH MENENGAH KEBANGSAAN</t>
  </si>
  <si>
    <t>CONVENT BUKIT NANAS</t>
  </si>
  <si>
    <t>JLN BUKIT NANAS</t>
  </si>
  <si>
    <t>nasreenhelmi@gmail.com</t>
  </si>
  <si>
    <t>0137443835</t>
  </si>
  <si>
    <t>SM-0319</t>
  </si>
  <si>
    <t>3002/157</t>
  </si>
  <si>
    <t>PT 726 PERUMAHAN</t>
  </si>
  <si>
    <t>DATO SYAHBANDAR</t>
  </si>
  <si>
    <t xml:space="preserve">ar@prokhas.com.my </t>
  </si>
  <si>
    <t>0163494474</t>
  </si>
  <si>
    <t>WI-0011</t>
  </si>
  <si>
    <t>3002/158</t>
  </si>
  <si>
    <t>NO 8 KAMPUNG BERAMBAI,</t>
  </si>
  <si>
    <t>73100 JOHOL</t>
  </si>
  <si>
    <t>naqiyahkassim33@gmail.com</t>
  </si>
  <si>
    <t>01110305358</t>
  </si>
  <si>
    <t>WI-0379</t>
  </si>
  <si>
    <t>3002/159</t>
  </si>
  <si>
    <t>BATU GAJAH, MELAKA</t>
  </si>
  <si>
    <t>0194217319</t>
  </si>
  <si>
    <t>WI-0108</t>
  </si>
  <si>
    <t>3002/160</t>
  </si>
  <si>
    <t>NO.32</t>
  </si>
  <si>
    <t>JLN KJ 27</t>
  </si>
  <si>
    <t>TMN KRUBONG JAYA</t>
  </si>
  <si>
    <t>0126395961</t>
  </si>
  <si>
    <t>WI-0117</t>
  </si>
  <si>
    <t>3002/161</t>
  </si>
  <si>
    <t>LOT 3128 KG KANCHONG 71200</t>
  </si>
  <si>
    <t>RANTAU N.SEMBILAN</t>
  </si>
  <si>
    <t>shasha121200@gmail.com</t>
  </si>
  <si>
    <t>0145133186</t>
  </si>
  <si>
    <t>WI-0371</t>
  </si>
  <si>
    <t>3002/162</t>
  </si>
  <si>
    <t>NO.28 JALAN UTARID U5/D</t>
  </si>
  <si>
    <t>SUBANG MUTIARA</t>
  </si>
  <si>
    <t>0179111088</t>
  </si>
  <si>
    <t>BD-0005</t>
  </si>
  <si>
    <t>3002/163</t>
  </si>
  <si>
    <t>NO.26 (GROUND FLOOR)</t>
  </si>
  <si>
    <t>JALAN TIARA 5, BDR BARU KLANG</t>
  </si>
  <si>
    <t>0132337075</t>
  </si>
  <si>
    <t>BD-0003</t>
  </si>
  <si>
    <t>3002/164</t>
  </si>
  <si>
    <t>PT8266 KAMPUNG BENTING LINTANG</t>
  </si>
  <si>
    <t>MUKIM TEMBILA,</t>
  </si>
  <si>
    <t>BESUT,</t>
  </si>
  <si>
    <t>wanridhuan.pgold@gmail.com</t>
  </si>
  <si>
    <t>0199954545</t>
  </si>
  <si>
    <t>SM-0383</t>
  </si>
  <si>
    <t>3002/165</t>
  </si>
  <si>
    <t>SMS TUANKU MUNAWIR, SIKAMAT,</t>
  </si>
  <si>
    <t xml:space="preserve">4omarzahra@gmail.com  </t>
  </si>
  <si>
    <t>0193557092</t>
  </si>
  <si>
    <t>SM-0043</t>
  </si>
  <si>
    <t>3002/166</t>
  </si>
  <si>
    <t>NO 423, JALAN 21,</t>
  </si>
  <si>
    <t xml:space="preserve">TAMAN INTAN DUYUNG, </t>
  </si>
  <si>
    <t>PORT DICKSON,</t>
  </si>
  <si>
    <t>zamri1308@yahoo.com.my</t>
  </si>
  <si>
    <t>0192488897</t>
  </si>
  <si>
    <t>WI-0354</t>
  </si>
  <si>
    <t>3002/167</t>
  </si>
  <si>
    <t>NO 1122 JLN GUNUNG DATOK 29,</t>
  </si>
  <si>
    <t>TMN ANGSAMAS 70300 SEREMBAN</t>
  </si>
  <si>
    <t>ikaar85@yahoo.com</t>
  </si>
  <si>
    <t>0176918964</t>
  </si>
  <si>
    <t>WI-0391</t>
  </si>
  <si>
    <t>3002/168</t>
  </si>
  <si>
    <t>KG SOGO ULU</t>
  </si>
  <si>
    <t>shafiesmks3@gmail. com</t>
  </si>
  <si>
    <t>0196552515</t>
  </si>
  <si>
    <t>SM-0208</t>
  </si>
  <si>
    <t>3002/169</t>
  </si>
  <si>
    <t>NO.15</t>
  </si>
  <si>
    <t>JALAN AU2A/20</t>
  </si>
  <si>
    <t>TMN SRI KERAMAT</t>
  </si>
  <si>
    <t>iefwat@bubbleso2.com</t>
  </si>
  <si>
    <t>0134868630</t>
  </si>
  <si>
    <t>WI-0028</t>
  </si>
  <si>
    <t>3002/170</t>
  </si>
  <si>
    <t>33,JALAN KAJANG IMPIAN 2/1</t>
  </si>
  <si>
    <t>TAMAN KAJANG IMPIAN</t>
  </si>
  <si>
    <t>0122490500</t>
  </si>
  <si>
    <t>BD-0007</t>
  </si>
  <si>
    <t>3002/171</t>
  </si>
  <si>
    <t>JALAN TERENGGANU,</t>
  </si>
  <si>
    <t>PUSAT LATIHAN POLIS (PULAPOL),</t>
  </si>
  <si>
    <t>0127315523</t>
  </si>
  <si>
    <t>SM-0199</t>
  </si>
  <si>
    <t>3002/172</t>
  </si>
  <si>
    <t>NO 99 LORONG KAMPUNG</t>
  </si>
  <si>
    <t>KANCHONG 2</t>
  </si>
  <si>
    <t>IG29532153090</t>
  </si>
  <si>
    <t>nurzahirahzakaria21@gmail.com</t>
  </si>
  <si>
    <t>0136527955</t>
  </si>
  <si>
    <t>WI-0302</t>
  </si>
  <si>
    <t>3002/173</t>
  </si>
  <si>
    <t>NO 2045, JALAN EKAR 4/19,</t>
  </si>
  <si>
    <t>BANDAR EKAR, RANTAU, 71200</t>
  </si>
  <si>
    <t xml:space="preserve">nurulainnnazam05@icloud.com </t>
  </si>
  <si>
    <t>0196072510</t>
  </si>
  <si>
    <t>WI-0319</t>
  </si>
  <si>
    <t>3002/174</t>
  </si>
  <si>
    <t>537, JALAN CENDERAWASIH 2</t>
  </si>
  <si>
    <t>TAMAN PAROI JAYA</t>
  </si>
  <si>
    <t>IG51680025060</t>
  </si>
  <si>
    <t xml:space="preserve">yaalianurdina@gmail.com </t>
  </si>
  <si>
    <t>01133167305</t>
  </si>
  <si>
    <t>WI-0411</t>
  </si>
  <si>
    <t>3002/175</t>
  </si>
  <si>
    <t>0127146115</t>
  </si>
  <si>
    <t>WI-0392</t>
  </si>
  <si>
    <t>3002/176</t>
  </si>
  <si>
    <t>26, MUTIARA 6</t>
  </si>
  <si>
    <t>TAMAN SRI NANDING</t>
  </si>
  <si>
    <t>HULU LANGAT</t>
  </si>
  <si>
    <t>IG56401838040</t>
  </si>
  <si>
    <t xml:space="preserve">dillayana970812@gmail.com </t>
  </si>
  <si>
    <t>0192389810</t>
  </si>
  <si>
    <t>WI-0076</t>
  </si>
  <si>
    <t>3002/177</t>
  </si>
  <si>
    <t>KUARTERS LOJI</t>
  </si>
  <si>
    <t>RAWATAN AIR</t>
  </si>
  <si>
    <t>SAWAH RAJA</t>
  </si>
  <si>
    <t>IG25496749030</t>
  </si>
  <si>
    <t>01128368289</t>
  </si>
  <si>
    <t>WI-0178</t>
  </si>
  <si>
    <t>3002/178</t>
  </si>
  <si>
    <t>878 LORONG MAJU, JALAN SNS</t>
  </si>
  <si>
    <t>ALOR LINTANG,</t>
  </si>
  <si>
    <t>IG11444176060</t>
  </si>
  <si>
    <t>persadakisana@yahoo.com</t>
  </si>
  <si>
    <t>0199818478</t>
  </si>
  <si>
    <t>WI-0155</t>
  </si>
  <si>
    <t>3002/179</t>
  </si>
  <si>
    <t>NO 38 JALAN IDAMAN VILLA 1</t>
  </si>
  <si>
    <t>IDAMAN VILLA</t>
  </si>
  <si>
    <t>BNDR SRI SENDAYAN,SEREMBAN</t>
  </si>
  <si>
    <t>IG11143299050</t>
  </si>
  <si>
    <t>dinmohdhelmy@gmail.com</t>
  </si>
  <si>
    <t>0196610707</t>
  </si>
  <si>
    <t>WI-0175</t>
  </si>
  <si>
    <t>3002/180</t>
  </si>
  <si>
    <t>NO 476,LRNG LAVENDER HEIGHTS</t>
  </si>
  <si>
    <t>15/1,TMN LAVENDER HEIGHTS</t>
  </si>
  <si>
    <t>SENAWANG,SEREMBAN</t>
  </si>
  <si>
    <t xml:space="preserve">holics_haya@yahoo.com.my </t>
  </si>
  <si>
    <t>0126612842</t>
  </si>
  <si>
    <t>WI-0046</t>
  </si>
  <si>
    <t>3002/181</t>
  </si>
  <si>
    <t>NO 389, JLN DESA RUSA 5,</t>
  </si>
  <si>
    <t>TMN DESA RUSA, 71050 PD, NS</t>
  </si>
  <si>
    <t xml:space="preserve">bazilahothman@gmail.com </t>
  </si>
  <si>
    <t>0132118755</t>
  </si>
  <si>
    <t>WI-0321</t>
  </si>
  <si>
    <t>3002/182</t>
  </si>
  <si>
    <t>NO 43, JALAN UP3/2,</t>
  </si>
  <si>
    <t>UKAY PERDANA,</t>
  </si>
  <si>
    <t xml:space="preserve">azlinal@petronas.com </t>
  </si>
  <si>
    <t>0193807878</t>
  </si>
  <si>
    <t>SM-0452</t>
  </si>
  <si>
    <t>3002/183</t>
  </si>
  <si>
    <t>C1-2,JALAN SELAMAN 1,</t>
  </si>
  <si>
    <t>DATARAN PALMA, 68000 AMPANG</t>
  </si>
  <si>
    <t>0123180270</t>
  </si>
  <si>
    <t>BD-0015</t>
  </si>
  <si>
    <t>3002/184</t>
  </si>
  <si>
    <t>NO 364, JALAN PI 7</t>
  </si>
  <si>
    <t>IG56532070100</t>
  </si>
  <si>
    <t>mhdiqrmm1@gmail.com</t>
  </si>
  <si>
    <t>0196191785</t>
  </si>
  <si>
    <t>WI-0176</t>
  </si>
  <si>
    <t>3002/185</t>
  </si>
  <si>
    <t>CO-0036</t>
  </si>
  <si>
    <t>3002/186</t>
  </si>
  <si>
    <t>NO.49, LORONG PP1</t>
  </si>
  <si>
    <t>TAMAN PINGGIRAN PEDAS</t>
  </si>
  <si>
    <t>IG29417437000</t>
  </si>
  <si>
    <t xml:space="preserve">wanridz.mrmr@gmail.com  </t>
  </si>
  <si>
    <t>0182905088</t>
  </si>
  <si>
    <t>WI-0196</t>
  </si>
  <si>
    <t>3002/187</t>
  </si>
  <si>
    <t>NO 2228, JALAN EKAR 4/26,</t>
  </si>
  <si>
    <t>TAMAN BANDAR EKAR,71200 RANTAU</t>
  </si>
  <si>
    <t>IG26953494060</t>
  </si>
  <si>
    <t xml:space="preserve">mfaqrul76@gmail.com </t>
  </si>
  <si>
    <t>01115059734</t>
  </si>
  <si>
    <t>SM-0304</t>
  </si>
  <si>
    <t>3002/188</t>
  </si>
  <si>
    <t>RUMAH RAKYAT</t>
  </si>
  <si>
    <t>TMN RANTAU</t>
  </si>
  <si>
    <t xml:space="preserve">norashidmdnor37@gmail.com </t>
  </si>
  <si>
    <t>0182052197</t>
  </si>
  <si>
    <t>WI-0268</t>
  </si>
  <si>
    <t>3002/189</t>
  </si>
  <si>
    <t>PLO 829T, KOMPLEKS USAHAWAN</t>
  </si>
  <si>
    <t>BUMIPUTERA,JLN SUSUR BESAR 1,</t>
  </si>
  <si>
    <t>KAW.P'INDUSTRIAN PASIR GUDANG,</t>
  </si>
  <si>
    <t>IG56997501080</t>
  </si>
  <si>
    <t>whglobalsolution@gmail.com</t>
  </si>
  <si>
    <t>0124047442</t>
  </si>
  <si>
    <t>SM-0495</t>
  </si>
  <si>
    <t>3002/190</t>
  </si>
  <si>
    <t>KV 04-11 KRISTAL VILLA,</t>
  </si>
  <si>
    <t>TMN KAJANG VILLA, JLN KAJANG</t>
  </si>
  <si>
    <t>VILLA, KAJANG,</t>
  </si>
  <si>
    <t>IG50654425070</t>
  </si>
  <si>
    <t>putrarahidi2@gmail.com</t>
  </si>
  <si>
    <t>0132177152</t>
  </si>
  <si>
    <t>WI-0235</t>
  </si>
  <si>
    <t>3002/192</t>
  </si>
  <si>
    <t>NO 49, LORONG 6</t>
  </si>
  <si>
    <t>TMN NUSA PUTERI</t>
  </si>
  <si>
    <t>KUALA ROMPIN</t>
  </si>
  <si>
    <t>IG55487705080</t>
  </si>
  <si>
    <t>sitinoorazizai89@gmail.com</t>
  </si>
  <si>
    <t>0176446171</t>
  </si>
  <si>
    <t>SM-0458</t>
  </si>
  <si>
    <t>3002/193</t>
  </si>
  <si>
    <t>A-11-7 PLATINUM HILL</t>
  </si>
  <si>
    <t>CONDOMINIUM PV6,JLN MELATI</t>
  </si>
  <si>
    <t>UTAMA 1,MELATI UTAMA</t>
  </si>
  <si>
    <t>0127425860</t>
  </si>
  <si>
    <t>WI-0402</t>
  </si>
  <si>
    <t>3002/194</t>
  </si>
  <si>
    <t>NO 22, LORONG 7</t>
  </si>
  <si>
    <t>TMN SERAYA REMBAU</t>
  </si>
  <si>
    <t xml:space="preserve">ilamohar@yahoo.com </t>
  </si>
  <si>
    <t>01123449014</t>
  </si>
  <si>
    <t>WI-0300</t>
  </si>
  <si>
    <t>3002/195</t>
  </si>
  <si>
    <t>272,FELDA TENGGAROH 1,</t>
  </si>
  <si>
    <t>JEMALUANG 86810 MERSING JOHOR</t>
  </si>
  <si>
    <t>IG54851129020</t>
  </si>
  <si>
    <t xml:space="preserve">sitieddy1985@gmail.com </t>
  </si>
  <si>
    <t>0166906461</t>
  </si>
  <si>
    <t>SM-0451</t>
  </si>
  <si>
    <t>3002/196</t>
  </si>
  <si>
    <t>NO.10A, TINGKAT ATAS,</t>
  </si>
  <si>
    <t>JALAN LAMAN DELFINA 1/1,</t>
  </si>
  <si>
    <t>NILAI IMPIAN, NILAI,</t>
  </si>
  <si>
    <t>najco.nilai@gmail.com</t>
  </si>
  <si>
    <t>0175648839</t>
  </si>
  <si>
    <t>WI-0152</t>
  </si>
  <si>
    <t>3002/197</t>
  </si>
  <si>
    <t>25 JALAN KACIP 11/8A,</t>
  </si>
  <si>
    <t xml:space="preserve">hayah@hyraxoil.com </t>
  </si>
  <si>
    <t>0192129844</t>
  </si>
  <si>
    <t>SM-0360</t>
  </si>
  <si>
    <t>3002/198</t>
  </si>
  <si>
    <t>SP25, JLN SG. PETAI PERMAI 2</t>
  </si>
  <si>
    <t>UTAMA,TMN SUNGAI PETAI</t>
  </si>
  <si>
    <t>PERMAI FASA 2,ALOR GAJAH</t>
  </si>
  <si>
    <t>01111761990</t>
  </si>
  <si>
    <t>WI-0004</t>
  </si>
  <si>
    <t>3002/199</t>
  </si>
  <si>
    <t>ADTEC JTM KAMPUS KEPALA BATAS,</t>
  </si>
  <si>
    <t>JALAN TUN HAMDAN SHEIKH TAHIR</t>
  </si>
  <si>
    <t>KEPALA BATAS,</t>
  </si>
  <si>
    <t>khairuddinsaad77@gmail.com</t>
  </si>
  <si>
    <t>0134884117</t>
  </si>
  <si>
    <t>WI-0139</t>
  </si>
  <si>
    <t>3002/200</t>
  </si>
  <si>
    <t>7757, JLN BBN 5/3B</t>
  </si>
  <si>
    <t>TMN DESA JASMIN</t>
  </si>
  <si>
    <t>ganesanvadivellu@gmail.com</t>
  </si>
  <si>
    <t>0123694245</t>
  </si>
  <si>
    <t>WI-0097</t>
  </si>
  <si>
    <t>3002/201</t>
  </si>
  <si>
    <t>GMI</t>
  </si>
  <si>
    <t>0122160944</t>
  </si>
  <si>
    <t>WI-0366</t>
  </si>
  <si>
    <t>3002/202</t>
  </si>
  <si>
    <t>NO 2279 LORONG 5/A,</t>
  </si>
  <si>
    <t>TAMAN BANDAR EKAR, SEREMBAN</t>
  </si>
  <si>
    <t>akimrazni@gmail.com</t>
  </si>
  <si>
    <t>0107191729</t>
  </si>
  <si>
    <t>WI-0194</t>
  </si>
  <si>
    <t>3002/203</t>
  </si>
  <si>
    <t>NO 13 LORONG SRI ANGGERIK 2/6</t>
  </si>
  <si>
    <t>aleepemran@gmail.com</t>
  </si>
  <si>
    <t>0186614008</t>
  </si>
  <si>
    <t>WI-0204</t>
  </si>
  <si>
    <t>3002/204</t>
  </si>
  <si>
    <t>NO 399, JLN SP 14, TAMAN</t>
  </si>
  <si>
    <t>SENAWANG PERDANA,</t>
  </si>
  <si>
    <t>nrlynsh@gmail.com</t>
  </si>
  <si>
    <t>0136789382</t>
  </si>
  <si>
    <t>WI-0298</t>
  </si>
  <si>
    <t>3002/205</t>
  </si>
  <si>
    <t>LEVEL RG, TOWER BLOCK</t>
  </si>
  <si>
    <t>PERTAMA COMPLEX,</t>
  </si>
  <si>
    <t>JLN TUANKU ABDUL RAHMAN</t>
  </si>
  <si>
    <t>0132545008</t>
  </si>
  <si>
    <t>BD-0022</t>
  </si>
  <si>
    <t>3002/206</t>
  </si>
  <si>
    <t>NO.203, JALAN EKAR 1/5</t>
  </si>
  <si>
    <t>BANDAR EKAR</t>
  </si>
  <si>
    <t>zulaikha.mahmod@gmail.com</t>
  </si>
  <si>
    <t>0133702537</t>
  </si>
  <si>
    <t>WI-0303</t>
  </si>
  <si>
    <t>3002/207</t>
  </si>
  <si>
    <t>138 JALAN DESA MELOR 4,</t>
  </si>
  <si>
    <t>TAMAN DESA MELOR SENAWANG,</t>
  </si>
  <si>
    <t>gumballsafwan@gmail.com</t>
  </si>
  <si>
    <t>0189870256</t>
  </si>
  <si>
    <t>WI-0289</t>
  </si>
  <si>
    <t>3002/208</t>
  </si>
  <si>
    <t>KOMPLEKS KERJA RAYA</t>
  </si>
  <si>
    <t xml:space="preserve">wahidah@kkr.gov.my </t>
  </si>
  <si>
    <t>0138931778</t>
  </si>
  <si>
    <t>WI-0407</t>
  </si>
  <si>
    <t>3002/209</t>
  </si>
  <si>
    <t>86, TAMAN SRI INTAN, RANTAU</t>
  </si>
  <si>
    <t xml:space="preserve">irfanadanan06gmail@.com  </t>
  </si>
  <si>
    <t>0178477041</t>
  </si>
  <si>
    <t>WI-0228</t>
  </si>
  <si>
    <t>3002/210</t>
  </si>
  <si>
    <t>LOT 2263, KG SUNGAI BERINGIN,</t>
  </si>
  <si>
    <t>AIR PANAS PEDAS, 71400 PEDAS,</t>
  </si>
  <si>
    <t>firlynn8687@yahoo.com</t>
  </si>
  <si>
    <t>0176329954</t>
  </si>
  <si>
    <t>WI-0095</t>
  </si>
  <si>
    <t>3002/211</t>
  </si>
  <si>
    <t>KAMPUNG MERBAU SEMBILAN</t>
  </si>
  <si>
    <t>azizanazri297@gmail.com</t>
  </si>
  <si>
    <t>0182624297</t>
  </si>
  <si>
    <t>WI-0210</t>
  </si>
  <si>
    <t>3002/212</t>
  </si>
  <si>
    <t>NO 26, TAMAN SRI NANDING</t>
  </si>
  <si>
    <t>0178868021</t>
  </si>
  <si>
    <t>WI-0135</t>
  </si>
  <si>
    <t>3002/213</t>
  </si>
  <si>
    <t>KG GAMIN HILIR</t>
  </si>
  <si>
    <t>SERI MENANTI</t>
  </si>
  <si>
    <t>hilmi@bubbleso2.com</t>
  </si>
  <si>
    <t>0102110775</t>
  </si>
  <si>
    <t>WI-0225</t>
  </si>
  <si>
    <t>3002/214</t>
  </si>
  <si>
    <t>TAMAN SRI REMBAU 71300 REMBAU</t>
  </si>
  <si>
    <t>ramlitsr@gmail.com</t>
  </si>
  <si>
    <t>0196604781</t>
  </si>
  <si>
    <t>WI-0344</t>
  </si>
  <si>
    <t>3002/215</t>
  </si>
  <si>
    <t>FZI FROZEN &amp; MART</t>
  </si>
  <si>
    <t>TMN GUNUNG MAS</t>
  </si>
  <si>
    <t xml:space="preserve">zaa6675@gmail.com </t>
  </si>
  <si>
    <t>0136219597</t>
  </si>
  <si>
    <t>WI-0416</t>
  </si>
  <si>
    <t>3002/216</t>
  </si>
  <si>
    <t>TAMAN FATIMAH</t>
  </si>
  <si>
    <t>liyanaazeman@gmail.com</t>
  </si>
  <si>
    <t>01131828321</t>
  </si>
  <si>
    <t>WI-0263</t>
  </si>
  <si>
    <t>3002/217</t>
  </si>
  <si>
    <t>NO 390 JALAN 9</t>
  </si>
  <si>
    <t>TMN WIDURI INDAH</t>
  </si>
  <si>
    <t xml:space="preserve">farzana@bubbleso2.com </t>
  </si>
  <si>
    <t>0183631641</t>
  </si>
  <si>
    <t>WI-0293</t>
  </si>
  <si>
    <t>3002/218</t>
  </si>
  <si>
    <t>NO 26, JALAN RU 2</t>
  </si>
  <si>
    <t xml:space="preserve">kunayoy14@gmail.com </t>
  </si>
  <si>
    <t>0176181659</t>
  </si>
  <si>
    <t>WI-0164</t>
  </si>
  <si>
    <t>3002/219</t>
  </si>
  <si>
    <t>NO 66, FELDA LUI MUDA</t>
  </si>
  <si>
    <t>72120 BANDAR SERI JEMPOL</t>
  </si>
  <si>
    <t>0149669175</t>
  </si>
  <si>
    <t>HO-0005</t>
  </si>
  <si>
    <t>3002/220</t>
  </si>
  <si>
    <t>LOT 895</t>
  </si>
  <si>
    <t>KG SELIAU HILIR</t>
  </si>
  <si>
    <t>harithfaiz3@gmail.com</t>
  </si>
  <si>
    <t>0198619169</t>
  </si>
  <si>
    <t>WI-0214</t>
  </si>
  <si>
    <t>3002/221</t>
  </si>
  <si>
    <t>PT 4195 (BLOK H) KAWASAN</t>
  </si>
  <si>
    <t>PERINDUSTRIAN PENGKALAN CHEPA</t>
  </si>
  <si>
    <t>terangtrading@gmail.com</t>
  </si>
  <si>
    <t>0129286020</t>
  </si>
  <si>
    <t>CM-0096</t>
  </si>
  <si>
    <t>3002/222</t>
  </si>
  <si>
    <t>A801,PANGSAPURI SRI HIJAUAN,</t>
  </si>
  <si>
    <t>JLN UP 2/1,TMN.UKAY PERDANA,</t>
  </si>
  <si>
    <t>AMPANG,</t>
  </si>
  <si>
    <t>shukujang@gmail.com</t>
  </si>
  <si>
    <t>0133964262</t>
  </si>
  <si>
    <t>WI-0165</t>
  </si>
  <si>
    <t>3002/223</t>
  </si>
  <si>
    <t>SK PANGLIMA ADNAN</t>
  </si>
  <si>
    <t>penangshams@gmail.com</t>
  </si>
  <si>
    <t>0194800610</t>
  </si>
  <si>
    <t>WI-0131</t>
  </si>
  <si>
    <t>3002/224</t>
  </si>
  <si>
    <t>NO.258, JALAN 5/4</t>
  </si>
  <si>
    <t>TMN GADONG JAYA</t>
  </si>
  <si>
    <t xml:space="preserve">imanlisa21@gmail.com </t>
  </si>
  <si>
    <t>01131055336</t>
  </si>
  <si>
    <t>WI-0125</t>
  </si>
  <si>
    <t>3002/225</t>
  </si>
  <si>
    <t>B8-8 IDAMAN PUTERA KONDO,</t>
  </si>
  <si>
    <t>MEDAN IDAMAN JALAN JERNAI</t>
  </si>
  <si>
    <t>jabalaulia@hotmail.com</t>
  </si>
  <si>
    <t>0126743513</t>
  </si>
  <si>
    <t>WI-0343</t>
  </si>
  <si>
    <t>3002/226</t>
  </si>
  <si>
    <t>NO 2189, JALAN SJ 9/4,</t>
  </si>
  <si>
    <t xml:space="preserve">ariffinhalim@gmail.com </t>
  </si>
  <si>
    <t>0176617678</t>
  </si>
  <si>
    <t>WI-0207</t>
  </si>
  <si>
    <t>3002/227</t>
  </si>
  <si>
    <t>11 JLN 2/2C</t>
  </si>
  <si>
    <t>k.adzwa@gmail.com</t>
  </si>
  <si>
    <t>0133807821</t>
  </si>
  <si>
    <t>WI-0140</t>
  </si>
  <si>
    <t>3002/228</t>
  </si>
  <si>
    <t>PERTAMA COMPLEX</t>
  </si>
  <si>
    <t>0126669045</t>
  </si>
  <si>
    <t>CM-0098</t>
  </si>
  <si>
    <t>3002/229</t>
  </si>
  <si>
    <t>WI-0363</t>
  </si>
  <si>
    <t>3002/230</t>
  </si>
  <si>
    <t>NO 59, KG BUYAU KIRI,</t>
  </si>
  <si>
    <t>SERI MENANTI,</t>
  </si>
  <si>
    <t>KUALA PILAH,</t>
  </si>
  <si>
    <t>zai5712@yahoo.com</t>
  </si>
  <si>
    <t>0195718181</t>
  </si>
  <si>
    <t>WI-0418</t>
  </si>
  <si>
    <t>3002/231</t>
  </si>
  <si>
    <t>C-4249</t>
  </si>
  <si>
    <t>KG PAYA IKAN</t>
  </si>
  <si>
    <t>BUKIT BARU</t>
  </si>
  <si>
    <t xml:space="preserve">nurul.mardhiah22@gmail.com </t>
  </si>
  <si>
    <t>0122540559</t>
  </si>
  <si>
    <t>WI-0324</t>
  </si>
  <si>
    <t>3002/232</t>
  </si>
  <si>
    <t>NO 56, KG BUYAU KIRI,</t>
  </si>
  <si>
    <t xml:space="preserve">sitizai678@yahoo.com </t>
  </si>
  <si>
    <t>0195715712</t>
  </si>
  <si>
    <t>WI-0389</t>
  </si>
  <si>
    <t>3002/233</t>
  </si>
  <si>
    <t>NO.10, JALAN 1/3P MUTIARA</t>
  </si>
  <si>
    <t>BANGI,SEKSYEN 1 TAMBAHAN</t>
  </si>
  <si>
    <t xml:space="preserve">amirzmri@gmail.com </t>
  </si>
  <si>
    <t>0197555341</t>
  </si>
  <si>
    <t>WI-0038</t>
  </si>
  <si>
    <t>3002/234</t>
  </si>
  <si>
    <t>405, JALAN</t>
  </si>
  <si>
    <t>NUSA INTAN</t>
  </si>
  <si>
    <t>raihan.fitti@gmail.com</t>
  </si>
  <si>
    <t>0122730584</t>
  </si>
  <si>
    <t>WI-0340</t>
  </si>
  <si>
    <t>3002/235</t>
  </si>
  <si>
    <t>NO.157, TAMAN BAHAGIA DELIMA,</t>
  </si>
  <si>
    <t>syahkurnia82@gmail.com</t>
  </si>
  <si>
    <t>0104142336</t>
  </si>
  <si>
    <t>WI-0185</t>
  </si>
  <si>
    <t>3002/236</t>
  </si>
  <si>
    <t>NO. 2, LORONG BUDI 1,</t>
  </si>
  <si>
    <t xml:space="preserve">KAMPUNG SEGA HULU, </t>
  </si>
  <si>
    <t>KUALA SAWAH, RANTAU,</t>
  </si>
  <si>
    <t>mzstarvil1296@gmail.com</t>
  </si>
  <si>
    <t>01119960797</t>
  </si>
  <si>
    <t>WI-0232</t>
  </si>
  <si>
    <t>3002/237</t>
  </si>
  <si>
    <t>NO 31 JALAN 6A/5 SEKSYEN 16,</t>
  </si>
  <si>
    <t xml:space="preserve">zulhelmy.shamshudin@gmail.com </t>
  </si>
  <si>
    <t>0126327779</t>
  </si>
  <si>
    <t>WI-0421</t>
  </si>
  <si>
    <t>3002/238</t>
  </si>
  <si>
    <t>D-12-8 PANGSAPURI PUTRA,</t>
  </si>
  <si>
    <t>TAMAN PUTRA IMPIAN,</t>
  </si>
  <si>
    <t>najmiah@bubbleso2.com</t>
  </si>
  <si>
    <t>0172545320</t>
  </si>
  <si>
    <t>WI-0285</t>
  </si>
  <si>
    <t>3002/239</t>
  </si>
  <si>
    <t>NO 399, JALAN SP 14,</t>
  </si>
  <si>
    <t>TAMAN SENAWANG PERDANA, 71450</t>
  </si>
  <si>
    <t>shaharullah@bubbleso2.com</t>
  </si>
  <si>
    <t>0197902902</t>
  </si>
  <si>
    <t>WI-0365</t>
  </si>
  <si>
    <t>3002/240</t>
  </si>
  <si>
    <t>LOT 1007, JALAN KUALA LINGGI,</t>
  </si>
  <si>
    <t>78200 KUALA SG BARU, MELAKA</t>
  </si>
  <si>
    <t>yobparis@gmail.com</t>
  </si>
  <si>
    <t>0183555822</t>
  </si>
  <si>
    <t>WI-0147</t>
  </si>
  <si>
    <t>3002/241</t>
  </si>
  <si>
    <t>5, JALAN IMPIAN MAKMUR 3/B,</t>
  </si>
  <si>
    <t>SAUJANA IMPIAN,</t>
  </si>
  <si>
    <t>nadizzmart@gmail.com</t>
  </si>
  <si>
    <t>SM-0356</t>
  </si>
  <si>
    <t>3002/242</t>
  </si>
  <si>
    <t>3491 KG.BARISAN</t>
  </si>
  <si>
    <t>JLN SUA GRESING</t>
  </si>
  <si>
    <t>qylaazarif@gmail.com</t>
  </si>
  <si>
    <t>0103093499</t>
  </si>
  <si>
    <t>WI-0290</t>
  </si>
  <si>
    <t>3002/243</t>
  </si>
  <si>
    <t>NO 35</t>
  </si>
  <si>
    <t>JLN 2/2C</t>
  </si>
  <si>
    <t xml:space="preserve">shukri.upg@gmail.com </t>
  </si>
  <si>
    <t>WI-0183</t>
  </si>
  <si>
    <t>3002/244</t>
  </si>
  <si>
    <t>NO.307,BLOK 10,PANGSAPURI</t>
  </si>
  <si>
    <t>JUBLI PERAK,JLN 4/2 SEKSYEN 4</t>
  </si>
  <si>
    <t>wancharade@gmail.com</t>
  </si>
  <si>
    <t>01115072577</t>
  </si>
  <si>
    <t>WI-0179</t>
  </si>
  <si>
    <t>3002/245</t>
  </si>
  <si>
    <t>RESIDENTSI UTMKL, TOWER 2,</t>
  </si>
  <si>
    <t>LEVEL 16, JALAN MENTAKAB</t>
  </si>
  <si>
    <t>0123050793</t>
  </si>
  <si>
    <t>WI-0405</t>
  </si>
  <si>
    <t>3002/246</t>
  </si>
  <si>
    <t>WISMA NEGERI</t>
  </si>
  <si>
    <t>JALAN DATO' ABDUL MALEK</t>
  </si>
  <si>
    <t>mohamadsyafiq@ns.gov.my</t>
  </si>
  <si>
    <t>0172594952</t>
  </si>
  <si>
    <t>CO-0023</t>
  </si>
  <si>
    <t>3002/247</t>
  </si>
  <si>
    <t>ST 2432 JALAN BIDARA PALMA 7,</t>
  </si>
  <si>
    <t>TAMAN BIDARA PALMA,</t>
  </si>
  <si>
    <t>MASJID TANAH,</t>
  </si>
  <si>
    <t>sitinurshafiqa301@gmail.com</t>
  </si>
  <si>
    <t>0175176701</t>
  </si>
  <si>
    <t>WI-0384</t>
  </si>
  <si>
    <t>3002/248</t>
  </si>
  <si>
    <t>E-6 RUMAH PANGSA FASA 2,</t>
  </si>
  <si>
    <t>TAMAN SRI MAWAR SENAWANG</t>
  </si>
  <si>
    <t>0166550415</t>
  </si>
  <si>
    <t>WI-0078</t>
  </si>
  <si>
    <t>3002/249</t>
  </si>
  <si>
    <t>NO. 97 TMN GEMILANG, 32610</t>
  </si>
  <si>
    <t>SERI ISKANDAR</t>
  </si>
  <si>
    <t xml:space="preserve">sitiaminahmatesa@gmail.com </t>
  </si>
  <si>
    <t>0125750068</t>
  </si>
  <si>
    <t>WI-0377</t>
  </si>
  <si>
    <t>3002/250</t>
  </si>
  <si>
    <t>LOT 102422 JALAN KELANTAN</t>
  </si>
  <si>
    <t>KG GEMUROH 21060 KUALA NERUS,</t>
  </si>
  <si>
    <t>gemurohgroup@gmail.com</t>
  </si>
  <si>
    <t>01161153588</t>
  </si>
  <si>
    <t>SM-0186</t>
  </si>
  <si>
    <t>3002/251</t>
  </si>
  <si>
    <t>15,JALAN KAYUMANIS 1,KAYUMANIS</t>
  </si>
  <si>
    <t>GARDEN VILLAS,SEKSYEN 5, 43650</t>
  </si>
  <si>
    <t xml:space="preserve">iskandar27etc@hotmail.com </t>
  </si>
  <si>
    <t>0196733692</t>
  </si>
  <si>
    <t>SM-0226</t>
  </si>
  <si>
    <t>3002/252</t>
  </si>
  <si>
    <t>SM-0307</t>
  </si>
  <si>
    <t>3002/253</t>
  </si>
  <si>
    <t>NO.817, JALAN KEDIDI 1,</t>
  </si>
  <si>
    <t>TAMAN PAROI JAYA,</t>
  </si>
  <si>
    <t xml:space="preserve">familyiffah@gmail.com </t>
  </si>
  <si>
    <t>01163750503</t>
  </si>
  <si>
    <t>WI-0295</t>
  </si>
  <si>
    <t>3002/254</t>
  </si>
  <si>
    <t>BLK 155 MEI LING STREET</t>
  </si>
  <si>
    <t># 01-275 S(140155)</t>
  </si>
  <si>
    <t>SINGAPORE</t>
  </si>
  <si>
    <t>06593909518</t>
  </si>
  <si>
    <t>WI-0153</t>
  </si>
  <si>
    <t>3002/255</t>
  </si>
  <si>
    <t>LOT 1116, KAMPUNG SEGA ULU,</t>
  </si>
  <si>
    <t>KUALA SAWAH 71200 RANTAU,</t>
  </si>
  <si>
    <t>ahmadmukhreez346@gmail.com</t>
  </si>
  <si>
    <t>0197140729</t>
  </si>
  <si>
    <t>WI-0022</t>
  </si>
  <si>
    <t>3002/256</t>
  </si>
  <si>
    <t>PLO 829T,KOMPLEKS USAHAWAN</t>
  </si>
  <si>
    <t>BUMIPUTERA,JLN SUSUR BESAR1</t>
  </si>
  <si>
    <t>KWSN PERINDUSTRIAN P.GUDANG</t>
  </si>
  <si>
    <t>0127227442</t>
  </si>
  <si>
    <t>HUB</t>
  </si>
  <si>
    <t>HB-0002</t>
  </si>
  <si>
    <t>3002/257</t>
  </si>
  <si>
    <t>NO.450 JALAN NUSA INTAN 5/4</t>
  </si>
  <si>
    <t>TAMAN NUSA 70450 SEREMBAN</t>
  </si>
  <si>
    <t>0108307093</t>
  </si>
  <si>
    <t>WI-0110</t>
  </si>
  <si>
    <t>3002/258</t>
  </si>
  <si>
    <t>BATU 7, KAMPUNG KUNDUR TENGAH,</t>
  </si>
  <si>
    <t>WI-0247</t>
  </si>
  <si>
    <t>3002/259</t>
  </si>
  <si>
    <t xml:space="preserve">nazatulnadhirahhh17@gmail.com </t>
  </si>
  <si>
    <t>0135392649</t>
  </si>
  <si>
    <t>WI-0248</t>
  </si>
  <si>
    <t>3002/260</t>
  </si>
  <si>
    <t>30 JALAN PINGGIRAN 3/12,</t>
  </si>
  <si>
    <t>TAMAN PINGGIRAN BATU CAVES,</t>
  </si>
  <si>
    <t>BATU CAVES,</t>
  </si>
  <si>
    <t>mohdrodzisuntaupawira75@gmail.com</t>
  </si>
  <si>
    <t>0193647095</t>
  </si>
  <si>
    <t>WI-0112</t>
  </si>
  <si>
    <t>3002/261</t>
  </si>
  <si>
    <t>JALAN WAK MUSA</t>
  </si>
  <si>
    <t>KG SEROM 5 HULU</t>
  </si>
  <si>
    <t>SG MATI,TANGKAK</t>
  </si>
  <si>
    <t>0172001595</t>
  </si>
  <si>
    <t>WI-0181</t>
  </si>
  <si>
    <t>3002/262</t>
  </si>
  <si>
    <t>Z5-UG &amp;Z5-L2 10 STAR CINEMAS</t>
  </si>
  <si>
    <t xml:space="preserve">EMPIRE CITY, </t>
  </si>
  <si>
    <t>NO.8 JLN DAMANSARA,JALAN PJU 8</t>
  </si>
  <si>
    <t>0147013018</t>
  </si>
  <si>
    <t>WI-0005</t>
  </si>
  <si>
    <t>3002/263</t>
  </si>
  <si>
    <t>TAMAN SRI MAWAR</t>
  </si>
  <si>
    <t>ainie.s@yahoo.com</t>
  </si>
  <si>
    <t>0129772749</t>
  </si>
  <si>
    <t>WI-0033</t>
  </si>
  <si>
    <t>3002/264</t>
  </si>
  <si>
    <t>SM-0460</t>
  </si>
  <si>
    <t>3002/265</t>
  </si>
  <si>
    <t>NO.20</t>
  </si>
  <si>
    <t>RUMAH RAKYAT NYATOH</t>
  </si>
  <si>
    <t>burn68920@gmail.com</t>
  </si>
  <si>
    <t>0105960847</t>
  </si>
  <si>
    <t>WI-0127</t>
  </si>
  <si>
    <t>3002/266</t>
  </si>
  <si>
    <t>SHELL MR SERDANG JAYA</t>
  </si>
  <si>
    <t>LOT 25035 JALAN TENGKU MIZAN</t>
  </si>
  <si>
    <t>SEBERANG TOK KU TUAN TENGAH</t>
  </si>
  <si>
    <t xml:space="preserve">mrserdangjaya@gmail.com </t>
  </si>
  <si>
    <t>01155050696</t>
  </si>
  <si>
    <t>PM-0551</t>
  </si>
  <si>
    <t>3002/267</t>
  </si>
  <si>
    <t>NO 8, TINGKAT 4</t>
  </si>
  <si>
    <t>KUARTERS POLIS, BALAI POLIS</t>
  </si>
  <si>
    <t>hakeemnasir06032020@gmail.com</t>
  </si>
  <si>
    <t>0102553261</t>
  </si>
  <si>
    <t>WI-0163</t>
  </si>
  <si>
    <t>3002/268</t>
  </si>
  <si>
    <t>NO 5 TMN SRI PUCHONG JLN KULAI</t>
  </si>
  <si>
    <t>KG BARU BATU 14, PUCHONG</t>
  </si>
  <si>
    <t>01121295569</t>
  </si>
  <si>
    <t>WI-0118</t>
  </si>
  <si>
    <t>3002/269</t>
  </si>
  <si>
    <t>LOT 30032 JLN BESAR</t>
  </si>
  <si>
    <t>PEKAN MALIM MAWAR</t>
  </si>
  <si>
    <t>mohdhafiez339@yahoo.com</t>
  </si>
  <si>
    <t>0149008964</t>
  </si>
  <si>
    <t>PM-0177</t>
  </si>
  <si>
    <t>3002/270</t>
  </si>
  <si>
    <t>NO 46 JLN 2/12</t>
  </si>
  <si>
    <t>JALAN MUTIARA INDAH,</t>
  </si>
  <si>
    <t>TAMAN MUTIARA INDAH,</t>
  </si>
  <si>
    <t xml:space="preserve">salmah_ali@yahoo.com </t>
  </si>
  <si>
    <t>0194527551</t>
  </si>
  <si>
    <t>WI-0358</t>
  </si>
  <si>
    <t>3002/271</t>
  </si>
  <si>
    <t>LOT 700 BATU 7</t>
  </si>
  <si>
    <t>JALAN TRONG,</t>
  </si>
  <si>
    <t>CHANGKAT JERING,TAIPING,</t>
  </si>
  <si>
    <t xml:space="preserve">fatin.syuhaid@gmail.com </t>
  </si>
  <si>
    <t>01116873511</t>
  </si>
  <si>
    <t>WI-0294</t>
  </si>
  <si>
    <t>3002/272</t>
  </si>
  <si>
    <t>NO 817 JALAN KEDIDI 1</t>
  </si>
  <si>
    <t>TAMAN PAROI JAYA ,</t>
  </si>
  <si>
    <t>Muqri27000@gmail.com</t>
  </si>
  <si>
    <t>01128010674</t>
  </si>
  <si>
    <t>WI-0317</t>
  </si>
  <si>
    <t>3002/273</t>
  </si>
  <si>
    <t>LOT 413 KG MENTAUS</t>
  </si>
  <si>
    <t>SEBERANG DURIAN, JELEBU,</t>
  </si>
  <si>
    <t>0132593006</t>
  </si>
  <si>
    <t>WI-0021</t>
  </si>
  <si>
    <t>3002/274</t>
  </si>
  <si>
    <t>BLOK A-T09-U03A,</t>
  </si>
  <si>
    <t>FASA 4B, PRESINT 8</t>
  </si>
  <si>
    <t xml:space="preserve">farizzian@kln.gov.my </t>
  </si>
  <si>
    <t>0136638083</t>
  </si>
  <si>
    <t>WI-0086</t>
  </si>
  <si>
    <t>3002/275</t>
  </si>
  <si>
    <t>6-10 KOI LEGIAN TAMAN KINRARA</t>
  </si>
  <si>
    <t>SEKSYEN 5 47100</t>
  </si>
  <si>
    <t xml:space="preserve">hasanjassa@gmail.com </t>
  </si>
  <si>
    <t>0193795486</t>
  </si>
  <si>
    <t>SM-0198</t>
  </si>
  <si>
    <t>3002/276</t>
  </si>
  <si>
    <t>SM-0081</t>
  </si>
  <si>
    <t>3002/277</t>
  </si>
  <si>
    <t>1239, JALAN SURIAMAN 3/16,</t>
  </si>
  <si>
    <t>TAMAN SURIAMAN 3,</t>
  </si>
  <si>
    <t>guna_1029@yahoo.com</t>
  </si>
  <si>
    <t>0129324149</t>
  </si>
  <si>
    <t>WI-0098</t>
  </si>
  <si>
    <t>3002/278</t>
  </si>
  <si>
    <t>NO 42 JALAN PERDANA 3,</t>
  </si>
  <si>
    <t>TAMAN REMBAU PERDANA</t>
  </si>
  <si>
    <t>didyzaty01@gmail.com</t>
  </si>
  <si>
    <t>0122828045</t>
  </si>
  <si>
    <t>WI-0267</t>
  </si>
  <si>
    <t>3002/279</t>
  </si>
  <si>
    <t>CALTEX JELUTONG</t>
  </si>
  <si>
    <t>590, Jalan Jelutong,</t>
  </si>
  <si>
    <t>jelutongstar@gmail.com</t>
  </si>
  <si>
    <t>0124936630</t>
  </si>
  <si>
    <t>PM-0360</t>
  </si>
  <si>
    <t>3002/280</t>
  </si>
  <si>
    <t>NO 4165 JLN PINANG 8A,</t>
  </si>
  <si>
    <t>TAMAN DATO HJ ABDUL SAMAD</t>
  </si>
  <si>
    <t>tiezie95@gmail.com</t>
  </si>
  <si>
    <t>0123560488</t>
  </si>
  <si>
    <t>WI-0374</t>
  </si>
  <si>
    <t>3002/281</t>
  </si>
  <si>
    <t>PT 28129,JLN SEREMBAN</t>
  </si>
  <si>
    <t>BNDR BARU ENSTEK</t>
  </si>
  <si>
    <t xml:space="preserve">pssseremban.bbenstek@gmail.com </t>
  </si>
  <si>
    <t>0196610454</t>
  </si>
  <si>
    <t>PM-1012</t>
  </si>
  <si>
    <t>3002/282</t>
  </si>
  <si>
    <t>CM TM Cyberjaya CVS</t>
  </si>
  <si>
    <t>LOBBY TM IT COMPLEX CYBERJAYA,</t>
  </si>
  <si>
    <t>LINGKARAN USAHAWAN 1 TIMUR,</t>
  </si>
  <si>
    <t>cmc103.tmcyberjayacvs@gmail.com</t>
  </si>
  <si>
    <t>01139208731</t>
  </si>
  <si>
    <t>PM-0523</t>
  </si>
  <si>
    <t>3002/283</t>
  </si>
  <si>
    <t>NO 52 JLN SB 25</t>
  </si>
  <si>
    <t>TMN SERI</t>
  </si>
  <si>
    <t>BERTAM</t>
  </si>
  <si>
    <t>ustyus@gmail.com</t>
  </si>
  <si>
    <t>01110125501</t>
  </si>
  <si>
    <t>WI-0338</t>
  </si>
  <si>
    <t>3002/284</t>
  </si>
  <si>
    <t>123,JLN RU 10,</t>
  </si>
  <si>
    <t>TAMAN REMBAU UTAMA</t>
  </si>
  <si>
    <t>0199759925</t>
  </si>
  <si>
    <t>WI-0126</t>
  </si>
  <si>
    <t>3002/285</t>
  </si>
  <si>
    <t>SM-0086</t>
  </si>
  <si>
    <t>3002/286</t>
  </si>
  <si>
    <t>SM-0205</t>
  </si>
  <si>
    <t>3002/287</t>
  </si>
  <si>
    <t>NO 4 LORONG IM 5/14</t>
  </si>
  <si>
    <t>BANDAR INDERA MAHKOTA</t>
  </si>
  <si>
    <t>drroslimas@yahoo.com</t>
  </si>
  <si>
    <t>0172354232</t>
  </si>
  <si>
    <t>SM-0424</t>
  </si>
  <si>
    <t>3002/288</t>
  </si>
  <si>
    <t>304B, KONDOMINIUM PANGSA,</t>
  </si>
  <si>
    <t>MURNI,JLN 6/27A,SEKSYEN 6C</t>
  </si>
  <si>
    <t>SEKSYEN 6C,WANGSA MAJU</t>
  </si>
  <si>
    <t>iwansafwansaidi@gmail.com</t>
  </si>
  <si>
    <t>0179705051</t>
  </si>
  <si>
    <t>SM-0011</t>
  </si>
  <si>
    <t>3002/289</t>
  </si>
  <si>
    <t>EXECUTIVE OFFICERS UNION,ARAS</t>
  </si>
  <si>
    <t>BAWAH,KUATERS KERAJAAN FASA12</t>
  </si>
  <si>
    <t>BLOK 12,E2 JLN P9C,PRESINT 9</t>
  </si>
  <si>
    <t>faezal_alg@yahoo.com</t>
  </si>
  <si>
    <t>0122322800</t>
  </si>
  <si>
    <t>SM-0291</t>
  </si>
  <si>
    <t>3002/290</t>
  </si>
  <si>
    <t>B-G-01,B-G-02,B-G-03,B-G-04</t>
  </si>
  <si>
    <t>B-G-05,CYBERSQUARE FIESTA,</t>
  </si>
  <si>
    <t>JALAN TECKNOKRAT 6, CYBER 5,</t>
  </si>
  <si>
    <t>stargrocer.cbj@gmail.com</t>
  </si>
  <si>
    <t>0128891596</t>
  </si>
  <si>
    <t>HM-0032</t>
  </si>
  <si>
    <t>3002/291</t>
  </si>
  <si>
    <t>LOT 571 KAMPUNG PEGOH</t>
  </si>
  <si>
    <t>78000 ALOR GAJAH</t>
  </si>
  <si>
    <t>hottuih123@gmail.com</t>
  </si>
  <si>
    <t>0132494237</t>
  </si>
  <si>
    <t>WI-0036</t>
  </si>
  <si>
    <t>3002/292</t>
  </si>
  <si>
    <t>6-2-16 BLOK 16 KOTA DAMANSARA</t>
  </si>
  <si>
    <t>echaeya@gmail.com</t>
  </si>
  <si>
    <t>0129198696</t>
  </si>
  <si>
    <t>WI-0049</t>
  </si>
  <si>
    <t>3002/293</t>
  </si>
  <si>
    <t>35,JLN PINGGIRAN PUTRA 1/17</t>
  </si>
  <si>
    <t>DESA PINGGIRAN PUTRA</t>
  </si>
  <si>
    <t>hazmimokhtar@gmail.com</t>
  </si>
  <si>
    <t>0132833420</t>
  </si>
  <si>
    <t>WI-0224</t>
  </si>
  <si>
    <t>3002/294</t>
  </si>
  <si>
    <t>NO17 JLN TCJ 2</t>
  </si>
  <si>
    <t>TMN CHEMBONG JAYA</t>
  </si>
  <si>
    <t>ptengku8@gmail.com</t>
  </si>
  <si>
    <t>0182611451</t>
  </si>
  <si>
    <t>WI-0334</t>
  </si>
  <si>
    <t>3002/295</t>
  </si>
  <si>
    <t>NO 12, JALAN SAUJANA 2/9</t>
  </si>
  <si>
    <t>TMN DESA SAUJANA,SG MERAB</t>
  </si>
  <si>
    <t xml:space="preserve">xidosx@yahoo.com </t>
  </si>
  <si>
    <t>0192647080</t>
  </si>
  <si>
    <t>SM-0183</t>
  </si>
  <si>
    <t>3002/296</t>
  </si>
  <si>
    <t>LOT 441, JLN DPP 1/3 A1,</t>
  </si>
  <si>
    <t>TAMAN DESA PERMAI PEDAS,</t>
  </si>
  <si>
    <t>junanor636@gmail.com</t>
  </si>
  <si>
    <t>0192484454</t>
  </si>
  <si>
    <t>WI-0262</t>
  </si>
  <si>
    <t>3002/297</t>
  </si>
  <si>
    <t>TINGKAT 6, BANGUNAN MCED</t>
  </si>
  <si>
    <t>EDC PERSIARAN PERBANDARAN</t>
  </si>
  <si>
    <t>SEKSYEN 14</t>
  </si>
  <si>
    <t>0172133834</t>
  </si>
  <si>
    <t>SM-0279</t>
  </si>
  <si>
    <t>3002/298</t>
  </si>
  <si>
    <t>NO.17, JLN 5D/2, SEKSYEN 5,</t>
  </si>
  <si>
    <t>wanarifsabri@gmail.com</t>
  </si>
  <si>
    <t>0149656460</t>
  </si>
  <si>
    <t>SM-0494</t>
  </si>
  <si>
    <t>3002/299</t>
  </si>
  <si>
    <t>3A,BANGUNAN BAKTI SITI HASMAH</t>
  </si>
  <si>
    <t>NO.6 CHANGKAT ABANG HJ OPENG</t>
  </si>
  <si>
    <t>TMN TUN DR ISMAIL</t>
  </si>
  <si>
    <t>rabaatunbinzamin@gmail.com</t>
  </si>
  <si>
    <t>SM-0403</t>
  </si>
  <si>
    <t>3002/300</t>
  </si>
  <si>
    <t>KG ULU LALANG</t>
  </si>
  <si>
    <t xml:space="preserve">pejai0211@gmail.com </t>
  </si>
  <si>
    <t>01116810331</t>
  </si>
  <si>
    <t>WI-0170</t>
  </si>
  <si>
    <t>3002/301</t>
  </si>
  <si>
    <t>30-1, JALAN KF 1</t>
  </si>
  <si>
    <t>KOTA FESYEN MITC</t>
  </si>
  <si>
    <t>HANG TUAH JAYA</t>
  </si>
  <si>
    <t>ariffaizzainudin@gmail.com</t>
  </si>
  <si>
    <t>0163790366</t>
  </si>
  <si>
    <t>WI-0042</t>
  </si>
  <si>
    <t>3002/302</t>
  </si>
  <si>
    <t>LOT 511 KAMPUNG PASIR TENGAH</t>
  </si>
  <si>
    <t>BATU 12 1/2 JALAN SILIAU</t>
  </si>
  <si>
    <t>WI-0222</t>
  </si>
  <si>
    <t>3002/303</t>
  </si>
  <si>
    <t>PS SUNGAI MAS MACHANG</t>
  </si>
  <si>
    <t>Lot 14670, Kampung Sungai Mas,</t>
  </si>
  <si>
    <t>Machang</t>
  </si>
  <si>
    <t>petronassgmasmachang@gmail.com</t>
  </si>
  <si>
    <t>0199833267</t>
  </si>
  <si>
    <t>PM-0411</t>
  </si>
  <si>
    <t>3002/304</t>
  </si>
  <si>
    <t>NO 4 JALAN JED SHAH ALAM</t>
  </si>
  <si>
    <t>hafizsalleh@bubbleso2.com</t>
  </si>
  <si>
    <t>0167270701</t>
  </si>
  <si>
    <t>WI-0166</t>
  </si>
  <si>
    <t>3002/305</t>
  </si>
  <si>
    <t>LOT NO.01-03,</t>
  </si>
  <si>
    <t xml:space="preserve">ARAS 1 BUSANA </t>
  </si>
  <si>
    <t>@ MENARA MARA 232,JALAN TAR,</t>
  </si>
  <si>
    <t xml:space="preserve">suhailyhamzah11@gmail.com </t>
  </si>
  <si>
    <t>0142209897</t>
  </si>
  <si>
    <t>SM-0314</t>
  </si>
  <si>
    <t>3002/306</t>
  </si>
  <si>
    <t>KAMPUNG SEGA HULU,</t>
  </si>
  <si>
    <t>LORONG BUDI 1 KUALA SAWAH</t>
  </si>
  <si>
    <t>haikalfirdaus314@gmail.com</t>
  </si>
  <si>
    <t>0198915316</t>
  </si>
  <si>
    <t>WI-0219</t>
  </si>
  <si>
    <t>3002/307</t>
  </si>
  <si>
    <t>16 JLN TEATER U2 36</t>
  </si>
  <si>
    <t>TTDI JAYA SHAH ALAM</t>
  </si>
  <si>
    <t>rosliram1636@gmail.com</t>
  </si>
  <si>
    <t>0192810069</t>
  </si>
  <si>
    <t>WI-0116</t>
  </si>
  <si>
    <t>3002/308</t>
  </si>
  <si>
    <t>KOPERASI LLM BERHAD, KM6</t>
  </si>
  <si>
    <t>JALAN SERDANG-KAJANG,</t>
  </si>
  <si>
    <t>adilahcoop303020@gmail.com</t>
  </si>
  <si>
    <t>0132570098</t>
  </si>
  <si>
    <t>SM-0337</t>
  </si>
  <si>
    <t>3002/309</t>
  </si>
  <si>
    <t>151-UNIT 2</t>
  </si>
  <si>
    <t>KG MENGKUANG SEMARAK</t>
  </si>
  <si>
    <t>qistinairfandzarfan@gmail.com</t>
  </si>
  <si>
    <t>WI-0375</t>
  </si>
  <si>
    <t>3002/310</t>
  </si>
  <si>
    <t>NO. 10, JALAN WIRAWATI 5,</t>
  </si>
  <si>
    <t xml:space="preserve">TAMAN MALURI, </t>
  </si>
  <si>
    <t>syednoah77@gmail.com</t>
  </si>
  <si>
    <t>0105571377</t>
  </si>
  <si>
    <t>WI-0400</t>
  </si>
  <si>
    <t>3002/311</t>
  </si>
  <si>
    <t>LEVEL 14, WISMA CONSPLANT 1,</t>
  </si>
  <si>
    <t>JALAN KEMAJUAN SUBANG,SS16,</t>
  </si>
  <si>
    <t>my-finance-billing@ninjavan.co</t>
  </si>
  <si>
    <t>0165375749</t>
  </si>
  <si>
    <t>WI-0251</t>
  </si>
  <si>
    <t>3002/312</t>
  </si>
  <si>
    <t>BATU 6 1/2, JALAN TIGA NENEK,</t>
  </si>
  <si>
    <t>ZULFEKARHARIS@GMAIL.COM</t>
  </si>
  <si>
    <t>01140107830</t>
  </si>
  <si>
    <t>WI-0107</t>
  </si>
  <si>
    <t>3002/313</t>
  </si>
  <si>
    <t>NO.32A, JALAN SARI</t>
  </si>
  <si>
    <t>ILTIZAM 1/3,ILTIZAM 1</t>
  </si>
  <si>
    <t>ALAM SARI KAJANG</t>
  </si>
  <si>
    <t>ahmadtarmiziujang@gmail.com</t>
  </si>
  <si>
    <t>0123892461</t>
  </si>
  <si>
    <t>WI-0027</t>
  </si>
  <si>
    <t>3002/314</t>
  </si>
  <si>
    <t>TINGKAT 12, BANGUNAN SETIA 1</t>
  </si>
  <si>
    <t>15 LORONG DUNGUN,</t>
  </si>
  <si>
    <t xml:space="preserve">nmt@prokhas.com.my </t>
  </si>
  <si>
    <t>0123017128</t>
  </si>
  <si>
    <t>CO-0039</t>
  </si>
  <si>
    <t>3002/315</t>
  </si>
  <si>
    <t>NO 11, JALAN SRI GADING 4,</t>
  </si>
  <si>
    <t>TMN SRI GADING,TANJUNG AGAS</t>
  </si>
  <si>
    <t>hadizulhilmi@gmail.com</t>
  </si>
  <si>
    <t>0173272467</t>
  </si>
  <si>
    <t>WI-0099</t>
  </si>
  <si>
    <t>3002/316</t>
  </si>
  <si>
    <t>NO 11</t>
  </si>
  <si>
    <t>JLN CEMPAKA 14</t>
  </si>
  <si>
    <t>TMN CEMPAKA,AMPANG</t>
  </si>
  <si>
    <t xml:space="preserve">nordinaj@gmail.com </t>
  </si>
  <si>
    <t>0122059297</t>
  </si>
  <si>
    <t>WI-0275</t>
  </si>
  <si>
    <t>3002/317</t>
  </si>
  <si>
    <t>NO.30 JALAN USJ 3A/10</t>
  </si>
  <si>
    <t>murtadza373@gmail.com</t>
  </si>
  <si>
    <t>0123739798</t>
  </si>
  <si>
    <t>SM-0312</t>
  </si>
  <si>
    <t>3002/318</t>
  </si>
  <si>
    <t>LOT 85B,JALAN INDUSTRI 3/1,</t>
  </si>
  <si>
    <t>RAWANG INTEGRATED PARK,</t>
  </si>
  <si>
    <t>HM-0034</t>
  </si>
  <si>
    <t>3002/319</t>
  </si>
  <si>
    <t>HOTEL RASAH</t>
  </si>
  <si>
    <t>cikkidaa90@gmail.com</t>
  </si>
  <si>
    <t>0146232660</t>
  </si>
  <si>
    <t>WI-0368</t>
  </si>
  <si>
    <t>3002/320</t>
  </si>
  <si>
    <t>TINGKAT 8,KOMPLEKS SOGO, 190</t>
  </si>
  <si>
    <t>JALAN TUANKU ABDUL RAHMAN</t>
  </si>
  <si>
    <t>C4872263040</t>
  </si>
  <si>
    <t>fa.ap@sogo.com.my</t>
  </si>
  <si>
    <t>0129747258</t>
  </si>
  <si>
    <t>CM-0087</t>
  </si>
  <si>
    <t>3002/321</t>
  </si>
  <si>
    <t>CM KOMPLEKS KERAJAAN PARCEL F</t>
  </si>
  <si>
    <t>1,Blok F8, Kompleks Kerajaan</t>
  </si>
  <si>
    <t>PARCEL F, LEBUH PERDANA TIMUR,</t>
  </si>
  <si>
    <t xml:space="preserve">cmc139.kompleksparcelF@gmail.com </t>
  </si>
  <si>
    <t>PM-0524</t>
  </si>
  <si>
    <t>3002/322</t>
  </si>
  <si>
    <t>PENGKALAN CHEPA FASA II</t>
  </si>
  <si>
    <t>syuhadah055@gmail.com</t>
  </si>
  <si>
    <t>BD-0021</t>
  </si>
  <si>
    <t>3002/323</t>
  </si>
  <si>
    <t>KAMPUNG SUNGAI BATU,</t>
  </si>
  <si>
    <t xml:space="preserve">syuhadah055@gmail.com </t>
  </si>
  <si>
    <t>0196970308</t>
  </si>
  <si>
    <t>WI-0301</t>
  </si>
  <si>
    <t>3002/324</t>
  </si>
  <si>
    <t>NO 14, JALAN SEROJA INDAH 3,</t>
  </si>
  <si>
    <t>TAMAN SEROJA INDAH 83000 BATU</t>
  </si>
  <si>
    <t>beedesigns1@gmail.com</t>
  </si>
  <si>
    <t>0197737808</t>
  </si>
  <si>
    <t>WI-0156</t>
  </si>
  <si>
    <t>3002/325</t>
  </si>
  <si>
    <t>IBU PEJABAT LEMBAGA L/RAYA</t>
  </si>
  <si>
    <t>MALAYSIA,KM 6,</t>
  </si>
  <si>
    <t>JLN SERDANG-KAJANG,KAJANG,</t>
  </si>
  <si>
    <t>Jun@llm.gov.my</t>
  </si>
  <si>
    <t>0182376106</t>
  </si>
  <si>
    <t>SM-0236</t>
  </si>
  <si>
    <t>3002/326</t>
  </si>
  <si>
    <t>NO 12, JALAN RT 8A,</t>
  </si>
  <si>
    <t>TAMAN RAMBAI TENGAH,</t>
  </si>
  <si>
    <t>biggy_man84@yahoo.com</t>
  </si>
  <si>
    <t>0172775508</t>
  </si>
  <si>
    <t>WI-0015</t>
  </si>
  <si>
    <t>3002/327</t>
  </si>
  <si>
    <t>LOT 1575, KG. CHUAI HILIR,</t>
  </si>
  <si>
    <t>zafaredzuan@gmail.com</t>
  </si>
  <si>
    <t>0136315387</t>
  </si>
  <si>
    <t>WI-0390</t>
  </si>
  <si>
    <t>3002/328</t>
  </si>
  <si>
    <t>NO 117 JALAN SENDAYAN 3,</t>
  </si>
  <si>
    <t>TAMAN BUKIT SENDAYAN 71950</t>
  </si>
  <si>
    <t>norizanjamal9@gmail.com</t>
  </si>
  <si>
    <t>01123192916</t>
  </si>
  <si>
    <t>WI-0280</t>
  </si>
  <si>
    <t>3002/329</t>
  </si>
  <si>
    <t>KAMPUNG PULAU BESAR</t>
  </si>
  <si>
    <t>faqrulredhaaa@gmail.com</t>
  </si>
  <si>
    <t>0172320576</t>
  </si>
  <si>
    <t>WI-0216</t>
  </si>
  <si>
    <t>3002/330</t>
  </si>
  <si>
    <t>NO. 14 JALAN HELANG SIPUT 3,</t>
  </si>
  <si>
    <t>TMN PANTAI SEPANG PUTRA,</t>
  </si>
  <si>
    <t>SG. PELEK</t>
  </si>
  <si>
    <t>sitihazairah@gmail.com</t>
  </si>
  <si>
    <t>0133951916</t>
  </si>
  <si>
    <t>WI-0378</t>
  </si>
  <si>
    <t>3002/331</t>
  </si>
  <si>
    <t>NO 28,PERSIARAN ISKANDAR</t>
  </si>
  <si>
    <t>PERDANA 8,TMN ISKANDAR</t>
  </si>
  <si>
    <t>PERDANA,SERI ISKANDAR</t>
  </si>
  <si>
    <t>rajaharith111@gmail.com</t>
  </si>
  <si>
    <t>0175466889</t>
  </si>
  <si>
    <t>WI-0342</t>
  </si>
  <si>
    <t>3002/332</t>
  </si>
  <si>
    <t>148 TMN SRI REMBAU,</t>
  </si>
  <si>
    <t>JLN 4, FASA 1, 71300 REMBAU</t>
  </si>
  <si>
    <t>suhaidamustafa43@gmail.com</t>
  </si>
  <si>
    <t>0176498916</t>
  </si>
  <si>
    <t>WI-0397</t>
  </si>
  <si>
    <t>3002/333</t>
  </si>
  <si>
    <t>LOT 229,KG TIROI,BT 7,LABU,</t>
  </si>
  <si>
    <t>71900, SEREMBAN,</t>
  </si>
  <si>
    <t>srikandi.syurga@gmail.com</t>
  </si>
  <si>
    <t>01121354241</t>
  </si>
  <si>
    <t>WI-0245</t>
  </si>
  <si>
    <t>3002/334</t>
  </si>
  <si>
    <t>LOT 1723</t>
  </si>
  <si>
    <t>imissyou123489@gmail.com</t>
  </si>
  <si>
    <t>0128006974</t>
  </si>
  <si>
    <t>WI-0199</t>
  </si>
  <si>
    <t>3002/335</t>
  </si>
  <si>
    <t>NO 6 JALAN TTS 3/10,</t>
  </si>
  <si>
    <t>TAMAN TASIK SEMENYIH</t>
  </si>
  <si>
    <t>katheshvarma18@gmail.com</t>
  </si>
  <si>
    <t>01121125739</t>
  </si>
  <si>
    <t>WI-0137</t>
  </si>
  <si>
    <t>3002/336</t>
  </si>
  <si>
    <t>NO 214 QUARTERS</t>
  </si>
  <si>
    <t>IPD PERAK TENGAH</t>
  </si>
  <si>
    <t>rohayashuib. rmp.gov.my</t>
  </si>
  <si>
    <t>WI-0349</t>
  </si>
  <si>
    <t>3002/337</t>
  </si>
  <si>
    <t>11 JLN BIDARA</t>
  </si>
  <si>
    <t>BANDAR SRI PERANI</t>
  </si>
  <si>
    <t>shfksyfq@gmail.com</t>
  </si>
  <si>
    <t>0177115677</t>
  </si>
  <si>
    <t>WI-0364</t>
  </si>
  <si>
    <t>3002/338</t>
  </si>
  <si>
    <t>NO 49 TAMAN MAWAR EHSAN,</t>
  </si>
  <si>
    <t>BATU 4 PEDAS</t>
  </si>
  <si>
    <t>army5166@yahoo.com.my</t>
  </si>
  <si>
    <t>0129459721</t>
  </si>
  <si>
    <t>WI-0006</t>
  </si>
  <si>
    <t>3002/339</t>
  </si>
  <si>
    <t>LOBBY OF TM IT</t>
  </si>
  <si>
    <t>Complex Cyberjaya</t>
  </si>
  <si>
    <t>Lingkaran Usahawan 1 Timur,</t>
  </si>
  <si>
    <t>PM-0525</t>
  </si>
  <si>
    <t>3002/340</t>
  </si>
  <si>
    <t>BAHAGIAN PENGURUSAN ASET DAN</t>
  </si>
  <si>
    <t>PEROLEHAN,TINGKAT 17,</t>
  </si>
  <si>
    <t>IBU PEJABAT MARA,21 JLN MARA,</t>
  </si>
  <si>
    <t xml:space="preserve">sreezam@mara.gov.my </t>
  </si>
  <si>
    <t>0175191505</t>
  </si>
  <si>
    <t>SM-0470</t>
  </si>
  <si>
    <t>3002/341</t>
  </si>
  <si>
    <t>KAMPUNG PELEGONG BATU 8</t>
  </si>
  <si>
    <t>shakienasyamirarahmat@gmail.com</t>
  </si>
  <si>
    <t>01117950056</t>
  </si>
  <si>
    <t>WI-0286</t>
  </si>
  <si>
    <t>3002/342</t>
  </si>
  <si>
    <t>NO 650 LORONG SEJATI 5</t>
  </si>
  <si>
    <t>SITIAWAN PERAK</t>
  </si>
  <si>
    <t>hamidijuhari@yahooo.com</t>
  </si>
  <si>
    <t>0123938058</t>
  </si>
  <si>
    <t>WI-0106</t>
  </si>
  <si>
    <t>3002/343</t>
  </si>
  <si>
    <t>FARMASI BARAKAH,NO.30</t>
  </si>
  <si>
    <t>JLN BISTARI 1/1</t>
  </si>
  <si>
    <t>TMN YAYASAN1,SEGAMAT</t>
  </si>
  <si>
    <t>farmasibarakah@yahoo.com.my</t>
  </si>
  <si>
    <t>0127298578</t>
  </si>
  <si>
    <t>WI-0249</t>
  </si>
  <si>
    <t>3002/344</t>
  </si>
  <si>
    <t>NO 128,PERUMAHAN</t>
  </si>
  <si>
    <t>POLIS IDP REMBAU</t>
  </si>
  <si>
    <t>nizam.sahlan@yahoo.com</t>
  </si>
  <si>
    <t>0143939498</t>
  </si>
  <si>
    <t>WI-0177</t>
  </si>
  <si>
    <t>3002/345</t>
  </si>
  <si>
    <t>11A, JALAN 1/7C,</t>
  </si>
  <si>
    <t xml:space="preserve">BANDAR BARU BANGI, </t>
  </si>
  <si>
    <t>abubakar130157@gmail.com</t>
  </si>
  <si>
    <t>01163045411</t>
  </si>
  <si>
    <t>WI-0013</t>
  </si>
  <si>
    <t>3002/346</t>
  </si>
  <si>
    <t>16-01,RESIDENSI KERINCHI</t>
  </si>
  <si>
    <t>JLN KERINCHI</t>
  </si>
  <si>
    <t>KIRI 1,KL GATEWAY</t>
  </si>
  <si>
    <t xml:space="preserve">lindamuhammad01@gmail.com </t>
  </si>
  <si>
    <t>0193444884</t>
  </si>
  <si>
    <t>WI-0052</t>
  </si>
  <si>
    <t>3002/347</t>
  </si>
  <si>
    <t>20 JALAN ZAITON INDAH 2,</t>
  </si>
  <si>
    <t>abunursitihajar@gmail.com</t>
  </si>
  <si>
    <t>0136094754</t>
  </si>
  <si>
    <t>WI-0025</t>
  </si>
  <si>
    <t>3002/348</t>
  </si>
  <si>
    <t>NO 596 JALAN SO 26, TAMAN</t>
  </si>
  <si>
    <t>SUNGAI GADUT,</t>
  </si>
  <si>
    <t>muhdakmalkhir@gmail.com</t>
  </si>
  <si>
    <t>0196084816</t>
  </si>
  <si>
    <t>WI-0202</t>
  </si>
  <si>
    <t>3002/349</t>
  </si>
  <si>
    <t>NO 21</t>
  </si>
  <si>
    <t>JLN 3/3</t>
  </si>
  <si>
    <t>jariahmasud@gmail.com</t>
  </si>
  <si>
    <t>0122776566</t>
  </si>
  <si>
    <t>WI-0134</t>
  </si>
  <si>
    <t>3002/350</t>
  </si>
  <si>
    <t>NO.3,PERSIARAN KERAPU</t>
  </si>
  <si>
    <t>TAMAN KERAPU</t>
  </si>
  <si>
    <t>0177680868</t>
  </si>
  <si>
    <t>BD-0009</t>
  </si>
  <si>
    <t>3002/352</t>
  </si>
  <si>
    <t>NO.3, JALAN INDUSTRI</t>
  </si>
  <si>
    <t>GANGSA JAYA 2,PUSAT KOMERSIAL</t>
  </si>
  <si>
    <t>DAN PERINDUSTRIAN GANGSA JAYA</t>
  </si>
  <si>
    <t>0128134468</t>
  </si>
  <si>
    <t>BD-0010</t>
  </si>
  <si>
    <t>3002/353</t>
  </si>
  <si>
    <t>NO.520,JALAN NUSARI BAYU 2/4,</t>
  </si>
  <si>
    <t>TAMAN NUSARI BAYU 1,</t>
  </si>
  <si>
    <t>BANDAR SRI SENDAYAN,</t>
  </si>
  <si>
    <t xml:space="preserve">nice_erma21@yahoo.com </t>
  </si>
  <si>
    <t>0189010210</t>
  </si>
  <si>
    <t>WI-0254</t>
  </si>
  <si>
    <t>3002/354</t>
  </si>
  <si>
    <t>LOT 2091, JALAN BENTENG</t>
  </si>
  <si>
    <t>SG AYER BALOI</t>
  </si>
  <si>
    <t>AYER BALOI,PONTIAN</t>
  </si>
  <si>
    <t>wahab5559@gmail.com</t>
  </si>
  <si>
    <t>01136319962</t>
  </si>
  <si>
    <t>WI-0007</t>
  </si>
  <si>
    <t>3002/355</t>
  </si>
  <si>
    <t>SK TAMAN MIDAH, JALAN CHERAS,</t>
  </si>
  <si>
    <t>rosnizahmarwan@ gmail.com</t>
  </si>
  <si>
    <t>0192653148</t>
  </si>
  <si>
    <t>SM-0491</t>
  </si>
  <si>
    <t>3002/356</t>
  </si>
  <si>
    <t>0193339440</t>
  </si>
  <si>
    <t>SM-0207</t>
  </si>
  <si>
    <t>3002/357</t>
  </si>
  <si>
    <t>NO 13,JALAN 1/3L</t>
  </si>
  <si>
    <t>ain.azizah@bubbleso2.com</t>
  </si>
  <si>
    <t>0162322461</t>
  </si>
  <si>
    <t>WI-0031</t>
  </si>
  <si>
    <t>3002/358</t>
  </si>
  <si>
    <t>28-G TAMAN TROPIKA 2</t>
  </si>
  <si>
    <t>JLN TROPIKA 2/2</t>
  </si>
  <si>
    <t xml:space="preserve">syazwani.bubbleso2@gmail.com </t>
  </si>
  <si>
    <t>0136716722</t>
  </si>
  <si>
    <t>WI-0257</t>
  </si>
  <si>
    <t>3002/359</t>
  </si>
  <si>
    <t>NO 1 BLOK I PONDOK WARGAMAS</t>
  </si>
  <si>
    <t>NOOR QASEH LOT 2178 JALAN HAJI</t>
  </si>
  <si>
    <t>HASHIM, KG BUKIT BELIMBING</t>
  </si>
  <si>
    <t>ramlah1965@gmail.com</t>
  </si>
  <si>
    <t>01118853735</t>
  </si>
  <si>
    <t>SM-0409</t>
  </si>
  <si>
    <t>3002/360</t>
  </si>
  <si>
    <t>NO 19, JALAN CEMARA 2</t>
  </si>
  <si>
    <t>TMN CEMARA</t>
  </si>
  <si>
    <t>qarweenauni@gmail.com</t>
  </si>
  <si>
    <t>01154096420</t>
  </si>
  <si>
    <t>WI-0261</t>
  </si>
  <si>
    <t>3002/361</t>
  </si>
  <si>
    <t>KG TAMPIN LINGGI</t>
  </si>
  <si>
    <t xml:space="preserve"> LINGGI</t>
  </si>
  <si>
    <t>manza0603@gmail.com</t>
  </si>
  <si>
    <t>0192190164</t>
  </si>
  <si>
    <t>WI-0010</t>
  </si>
  <si>
    <t>3002/362</t>
  </si>
  <si>
    <t>BATU 18 1/12, SUNGAI KEPONG,</t>
  </si>
  <si>
    <t>JALAN SEREMBAN, KUALA KLAWANG,</t>
  </si>
  <si>
    <t>0122530506</t>
  </si>
  <si>
    <t>WI-0002</t>
  </si>
  <si>
    <t>3002/363</t>
  </si>
  <si>
    <t>1764, PERSIARAN SRU PUTRI</t>
  </si>
  <si>
    <t>TAMAN PUTRI 81000 KULAI JOHOR</t>
  </si>
  <si>
    <t>izzahsyafiqah95@gmail.com</t>
  </si>
  <si>
    <t>0108270454</t>
  </si>
  <si>
    <t>WI-0133</t>
  </si>
  <si>
    <t>3002/364</t>
  </si>
  <si>
    <t>LOT 70985A, JALAN PANTAU SURA,</t>
  </si>
  <si>
    <t>KAMPUNG SURA HUJUNG,</t>
  </si>
  <si>
    <t>norida.aqilah21@gmail.com</t>
  </si>
  <si>
    <t>0148408023</t>
  </si>
  <si>
    <t>CM-0017</t>
  </si>
  <si>
    <t>3002/365</t>
  </si>
  <si>
    <t>38 JALAN SRI BAYU INDAH,</t>
  </si>
  <si>
    <t>TAMAN SRI BAYU, BAGAN LALANG</t>
  </si>
  <si>
    <t>SUNGAI PELEK</t>
  </si>
  <si>
    <t>zanariahazli@gmail.com</t>
  </si>
  <si>
    <t>0122672445</t>
  </si>
  <si>
    <t>SM-0042</t>
  </si>
  <si>
    <t>3002/366</t>
  </si>
  <si>
    <t>309, JLN S2 K9, VISION HOMES</t>
  </si>
  <si>
    <t>SEREMBAN 2, 70300 SEREMBAN.</t>
  </si>
  <si>
    <t>naris1974@gmail.com</t>
  </si>
  <si>
    <t>0182985505</t>
  </si>
  <si>
    <t>WI-0287</t>
  </si>
  <si>
    <t>3002/367</t>
  </si>
  <si>
    <t>NO 6, JALAN 11/2</t>
  </si>
  <si>
    <t>TMN DESA RHU,SIKAMAT</t>
  </si>
  <si>
    <t>izzuedinnik@gmail.com</t>
  </si>
  <si>
    <t>0196492346</t>
  </si>
  <si>
    <t>WI-0250</t>
  </si>
  <si>
    <t>3002/368</t>
  </si>
  <si>
    <t>LOT 266, KG BATU DUA,</t>
  </si>
  <si>
    <t xml:space="preserve"> SEPANG</t>
  </si>
  <si>
    <t>rosmawatimarzuki77@gmail.com</t>
  </si>
  <si>
    <t>WI-0352</t>
  </si>
  <si>
    <t>3002/369</t>
  </si>
  <si>
    <t>BHP GEMURUH</t>
  </si>
  <si>
    <t>NO PT 10098, KAMPUNG PETALING,</t>
  </si>
  <si>
    <t>JALAN KELANTAN</t>
  </si>
  <si>
    <t>TR0107615-U</t>
  </si>
  <si>
    <t>D59951309080</t>
  </si>
  <si>
    <t>bhpgemuruh@gmail.com</t>
  </si>
  <si>
    <t>0145188125</t>
  </si>
  <si>
    <t>PM-0355</t>
  </si>
  <si>
    <t>3002/370</t>
  </si>
  <si>
    <t>7, JALAN DAHLIA 6,</t>
  </si>
  <si>
    <t>BUKIT DAHLIA,</t>
  </si>
  <si>
    <t>PASIR GUDANG,</t>
  </si>
  <si>
    <t xml:space="preserve">zulaikhaa202@gmail.com </t>
  </si>
  <si>
    <t>01116190653</t>
  </si>
  <si>
    <t>WI-0041</t>
  </si>
  <si>
    <t>3002/371</t>
  </si>
  <si>
    <t>32, JLN SUNGAI SAMA GAGAH 20,</t>
  </si>
  <si>
    <t>TAMAN TELUK GEDUNG INDAH,</t>
  </si>
  <si>
    <t xml:space="preserve">PORT KLANG, </t>
  </si>
  <si>
    <t>0126504531</t>
  </si>
  <si>
    <t>SM-0230</t>
  </si>
  <si>
    <t>3002/372</t>
  </si>
  <si>
    <t>NO 35 TAMAN BELIDA</t>
  </si>
  <si>
    <t>roslanishak5905@gmail.com</t>
  </si>
  <si>
    <t>01153348117</t>
  </si>
  <si>
    <t>WI-0351</t>
  </si>
  <si>
    <t>3002/373</t>
  </si>
  <si>
    <t>FEDERAL TERRITORY</t>
  </si>
  <si>
    <t>OF KUALA LUMPUR</t>
  </si>
  <si>
    <t>0176545764</t>
  </si>
  <si>
    <t>CO-0006</t>
  </si>
  <si>
    <t>3002/374</t>
  </si>
  <si>
    <t>KOMPLEKS PENTADBIRAN KERAJAAN</t>
  </si>
  <si>
    <t>NEGERI PAHANG</t>
  </si>
  <si>
    <t>095126829</t>
  </si>
  <si>
    <t>CO-0021</t>
  </si>
  <si>
    <t>3002/375</t>
  </si>
  <si>
    <t>NO 7, JALAN 1</t>
  </si>
  <si>
    <t>TMN MANTAU INDAH</t>
  </si>
  <si>
    <t>ranibinadnan6159@gmail.com</t>
  </si>
  <si>
    <t>0196454201</t>
  </si>
  <si>
    <t>WI-0337</t>
  </si>
  <si>
    <t>3002/376</t>
  </si>
  <si>
    <t>C2-1-01, AYER@8 JALAN P8G</t>
  </si>
  <si>
    <t>PRECINT 8 (8C1)</t>
  </si>
  <si>
    <t>akaun.kwsg@yahoo.com</t>
  </si>
  <si>
    <t>0173698798</t>
  </si>
  <si>
    <t>CO-0049</t>
  </si>
  <si>
    <t>3002/377</t>
  </si>
  <si>
    <t>JALAN HAJI SIDEK</t>
  </si>
  <si>
    <t>KAMPUNG JIJAN TENGAH</t>
  </si>
  <si>
    <t>baddrolhisham@gmail.com</t>
  </si>
  <si>
    <t>0176118557</t>
  </si>
  <si>
    <t>CM-0015</t>
  </si>
  <si>
    <t>3002/378</t>
  </si>
  <si>
    <t>13426 TAMAN DESA SOLEHAH,</t>
  </si>
  <si>
    <t>MAK CHILI,</t>
  </si>
  <si>
    <t>CHUKAI,</t>
  </si>
  <si>
    <t>abdulsardar45@gmail.com</t>
  </si>
  <si>
    <t>0136394016</t>
  </si>
  <si>
    <t>HB-0001</t>
  </si>
  <si>
    <t>3002/379</t>
  </si>
  <si>
    <t>NO.31 JALAN PRI 24,</t>
  </si>
  <si>
    <t>TAMAN PAYA RUMPUT INDAH</t>
  </si>
  <si>
    <t>saifulnajwa1920@gmail.com</t>
  </si>
  <si>
    <t>0136284021</t>
  </si>
  <si>
    <t>WI-0182</t>
  </si>
  <si>
    <t>3002/380</t>
  </si>
  <si>
    <t>NO 9, JALAN NURI INDAH 18,</t>
  </si>
  <si>
    <t>TAMAN NURI INDAH,</t>
  </si>
  <si>
    <t>fiqashafiqah18@hotmail.com</t>
  </si>
  <si>
    <t>0142133640</t>
  </si>
  <si>
    <t>WI-0387</t>
  </si>
  <si>
    <t>3002/381</t>
  </si>
  <si>
    <t>LOT 3120, BUKIT HANTU,</t>
  </si>
  <si>
    <t>JALAN LUBUK SEMILANG,</t>
  </si>
  <si>
    <t xml:space="preserve">boonkeetrading@gmail.com </t>
  </si>
  <si>
    <t>0110600129</t>
  </si>
  <si>
    <t>CM-0024</t>
  </si>
  <si>
    <t>3002/382</t>
  </si>
  <si>
    <t>LOT 3211, KG. ULU LALANG,</t>
  </si>
  <si>
    <t>Snurhairin@gmail.com</t>
  </si>
  <si>
    <t>0166280449</t>
  </si>
  <si>
    <t>WI-0198</t>
  </si>
  <si>
    <t>3002/383</t>
  </si>
  <si>
    <t>MUKIM SIRUSA</t>
  </si>
  <si>
    <t>0133538655</t>
  </si>
  <si>
    <t>PM-0573</t>
  </si>
  <si>
    <t>3002/384</t>
  </si>
  <si>
    <t>6 JALAN 1/3 MUTIARA BANGI</t>
  </si>
  <si>
    <t>SM-0074</t>
  </si>
  <si>
    <t>3002/385</t>
  </si>
  <si>
    <t>NO 32, JALAN KOTAMAS 3,</t>
  </si>
  <si>
    <t>TAMAN KOTAMAS 83700 YONG PENG</t>
  </si>
  <si>
    <t>mirulafiq296@gmail.com</t>
  </si>
  <si>
    <t>0108229095</t>
  </si>
  <si>
    <t>WI-0205</t>
  </si>
  <si>
    <t>3002/386</t>
  </si>
  <si>
    <t>10, JLN 1/3, MUTIARA BANGI</t>
  </si>
  <si>
    <t>0123823821</t>
  </si>
  <si>
    <t>SM-0203</t>
  </si>
  <si>
    <t>3002/387</t>
  </si>
  <si>
    <t>NO.6, JALAN 1/3R, SEKSYEN 1,</t>
  </si>
  <si>
    <t>rasszvivi@gmail.com</t>
  </si>
  <si>
    <t>0122062511</t>
  </si>
  <si>
    <t>SM-0411</t>
  </si>
  <si>
    <t>3002/388</t>
  </si>
  <si>
    <t>GROUND FLOOR,MENARA</t>
  </si>
  <si>
    <t>PJH, Jalan</t>
  </si>
  <si>
    <t xml:space="preserve">Tun Abdul Razak </t>
  </si>
  <si>
    <t>cmc136.menarapjh@gmail.com</t>
  </si>
  <si>
    <t>PM-0526</t>
  </si>
  <si>
    <t>3002/389</t>
  </si>
  <si>
    <t>LADANG RISDA PALONG 1, KM 20</t>
  </si>
  <si>
    <t>HIGHWAY-BAHAU KERATONG,</t>
  </si>
  <si>
    <t>BANDAR SERI JEMPOL,</t>
  </si>
  <si>
    <t>fadzilah_za71@yahoo.com</t>
  </si>
  <si>
    <t>0136816442</t>
  </si>
  <si>
    <t>WI-0077</t>
  </si>
  <si>
    <t>3002/390</t>
  </si>
  <si>
    <t>JABATAN HAL EHWAL</t>
  </si>
  <si>
    <t>AGAMA ISLAM N.SEMBILAN</t>
  </si>
  <si>
    <t>JHEAINS HQ</t>
  </si>
  <si>
    <t>ihsan.nsdk@gmail.com</t>
  </si>
  <si>
    <t>0196781954</t>
  </si>
  <si>
    <t>SM-0376</t>
  </si>
  <si>
    <t>3002/391</t>
  </si>
  <si>
    <t>NO 81, JALAN CERDIK 5,</t>
  </si>
  <si>
    <t>TAMAN UNIVERSITI,</t>
  </si>
  <si>
    <t>mohamadaidilakmal@gmail.com</t>
  </si>
  <si>
    <t>01188884077</t>
  </si>
  <si>
    <t>WI-0154</t>
  </si>
  <si>
    <t>3002/392</t>
  </si>
  <si>
    <t>ANGKASAMART KELANA JAYA,</t>
  </si>
  <si>
    <t>C-111, GLOMAC BUSINESS CENTRE,</t>
  </si>
  <si>
    <t>JALAN SS 6/1, KELANA JAYA,</t>
  </si>
  <si>
    <t>CM-0009</t>
  </si>
  <si>
    <t>3002/393</t>
  </si>
  <si>
    <t>15TH FLOOR, 566 JALAN IPOH</t>
  </si>
  <si>
    <t>MSJ@MELEWAR-MIG.COM</t>
  </si>
  <si>
    <t>CM-0002</t>
  </si>
  <si>
    <t>3002/394</t>
  </si>
  <si>
    <t>549, JLN BUKIT 23,</t>
  </si>
  <si>
    <t>KG TERSUSUN BUKIT JANA,</t>
  </si>
  <si>
    <t>rrsresources08@gmail.com</t>
  </si>
  <si>
    <t>0137096615</t>
  </si>
  <si>
    <t>CM-0084</t>
  </si>
  <si>
    <t>3002/395</t>
  </si>
  <si>
    <t>NO 61, KG LOSONG DATO' AMAR,</t>
  </si>
  <si>
    <t>JALAN LOSONG FERI,</t>
  </si>
  <si>
    <t>alaminbarokaheinvoice@gmail.com</t>
  </si>
  <si>
    <t>0106561290</t>
  </si>
  <si>
    <t>CM-0008</t>
  </si>
  <si>
    <t>3002/396</t>
  </si>
  <si>
    <t>PERDANA HALL,LVL 10</t>
  </si>
  <si>
    <t>MIDA SENTRAL,JLN STESEN</t>
  </si>
  <si>
    <t>SENTRAL 5,KL SENTRAL</t>
  </si>
  <si>
    <t>isyraqakram@yp.org.my</t>
  </si>
  <si>
    <t>0126844215</t>
  </si>
  <si>
    <t>CO-0050</t>
  </si>
  <si>
    <t>3002/397</t>
  </si>
  <si>
    <t>NO.43, RUMAH RAKYAT</t>
  </si>
  <si>
    <t>PENGKALAN DURIAN</t>
  </si>
  <si>
    <t>ainazizam@yahoo.com</t>
  </si>
  <si>
    <t>0193907322</t>
  </si>
  <si>
    <t>WI-0318</t>
  </si>
  <si>
    <t>3002/398</t>
  </si>
  <si>
    <t>NO.466 JALAN SERI PAGI 12,</t>
  </si>
  <si>
    <t>TAMAN SERI PAGI , SENAWANG</t>
  </si>
  <si>
    <t>01126833539</t>
  </si>
  <si>
    <t>WI-0100</t>
  </si>
  <si>
    <t>3002/399</t>
  </si>
  <si>
    <t>NO. 3491 KG BARISAN, JALAN SUA</t>
  </si>
  <si>
    <t>GRESING,RANTAU</t>
  </si>
  <si>
    <t>WI-0291</t>
  </si>
  <si>
    <t>3002/400</t>
  </si>
  <si>
    <t>CM  KOMPLEKS KERAJAAN PARCEL F</t>
  </si>
  <si>
    <t>1, BLOK F8, KOMPLEKS KERAJAAN,</t>
  </si>
  <si>
    <t>PARCEL F, LEBUH PERDANA TIMUR</t>
  </si>
  <si>
    <t>cmc139.kompleksparcelF@gmail.com</t>
  </si>
  <si>
    <t>PM-0527</t>
  </si>
  <si>
    <t>3002/401</t>
  </si>
  <si>
    <t>PS JALAN SULTAN IBRAHIM</t>
  </si>
  <si>
    <t>NO 35 (5289-G),</t>
  </si>
  <si>
    <t>JLN SULTAN IBRAHIM,KOTA BAHRU,</t>
  </si>
  <si>
    <t>IG10438227090</t>
  </si>
  <si>
    <t>esynergy.pss@gmail.com</t>
  </si>
  <si>
    <t>097470996</t>
  </si>
  <si>
    <t>PM-0230</t>
  </si>
  <si>
    <t>3002/402</t>
  </si>
  <si>
    <t>SMK SERI SEPANG, BANDAR BARU</t>
  </si>
  <si>
    <t>SALAK TINGGI, 43900 SEPANG,</t>
  </si>
  <si>
    <t>alizanoor1219@gmail.com</t>
  </si>
  <si>
    <t>0198475453</t>
  </si>
  <si>
    <t>SM-0261</t>
  </si>
  <si>
    <t>3002/403</t>
  </si>
  <si>
    <t>PULAU BESAR</t>
  </si>
  <si>
    <t>sdtlnjhh266@gmail.com</t>
  </si>
  <si>
    <t>01129165951</t>
  </si>
  <si>
    <t>WI-0356</t>
  </si>
  <si>
    <t>3002/404</t>
  </si>
  <si>
    <t>AMATEUR FOOTBALL LEAGUE (AFL),</t>
  </si>
  <si>
    <t>WISMA FAM, JALAN SS 5A/9, SS5,</t>
  </si>
  <si>
    <t>subkhi.sudarji@the-afl.my</t>
  </si>
  <si>
    <t>0193825009</t>
  </si>
  <si>
    <t>WI-0396</t>
  </si>
  <si>
    <t>3002/405</t>
  </si>
  <si>
    <t>NO.863, JALAN TTJ 2/13,</t>
  </si>
  <si>
    <t>TAMAN TUANKU JAAFAR,</t>
  </si>
  <si>
    <t>aizereeni175@gmail.com</t>
  </si>
  <si>
    <t>0196356100</t>
  </si>
  <si>
    <t>WI-0258</t>
  </si>
  <si>
    <t>3002/406</t>
  </si>
  <si>
    <t>NO. 138 JALAN MANGGA 13,</t>
  </si>
  <si>
    <t>TAMAN KOTA MASAI,</t>
  </si>
  <si>
    <t>mohdamirabdulrahim@gmail.com</t>
  </si>
  <si>
    <t>0197707309</t>
  </si>
  <si>
    <t>WI-0167</t>
  </si>
  <si>
    <t>3002/407</t>
  </si>
  <si>
    <t>NO 14, JALAN WAU KIKIR 14,</t>
  </si>
  <si>
    <t>BANDAR LAYANGKASA</t>
  </si>
  <si>
    <t>ezdwan80@gmail.com</t>
  </si>
  <si>
    <t>01164973112</t>
  </si>
  <si>
    <t>WI-0279</t>
  </si>
  <si>
    <t>3002/409</t>
  </si>
  <si>
    <t>IBU PEJABAT POLIS KONTINJEN</t>
  </si>
  <si>
    <t>JALAN YAZID AHMAD,SEREMBAN,</t>
  </si>
  <si>
    <t>faliquefaizul77@gmail.com</t>
  </si>
  <si>
    <t>0127454163</t>
  </si>
  <si>
    <t>WI-0173</t>
  </si>
  <si>
    <t>3002/410</t>
  </si>
  <si>
    <t>LOT 6280 LAY OUT JABI JERTIH,</t>
  </si>
  <si>
    <t>suaibah@gmail.com</t>
  </si>
  <si>
    <t>0139137842</t>
  </si>
  <si>
    <t>WI-0395</t>
  </si>
  <si>
    <t>3002/411</t>
  </si>
  <si>
    <t>BATU 1 1/2</t>
  </si>
  <si>
    <t>0163811762</t>
  </si>
  <si>
    <t>CM-0016</t>
  </si>
  <si>
    <t>3002/412</t>
  </si>
  <si>
    <t>MENARA KUMPULAN RISDA</t>
  </si>
  <si>
    <t>0132124570</t>
  </si>
  <si>
    <t>CM-0081</t>
  </si>
  <si>
    <t>3002/413</t>
  </si>
  <si>
    <t>30, JALAN AKASIA 2,</t>
  </si>
  <si>
    <t>TAMAN AKASIA KUNDUR,</t>
  </si>
  <si>
    <t>cikincikon@gmail.com</t>
  </si>
  <si>
    <t>0196905426</t>
  </si>
  <si>
    <t>WI-0304</t>
  </si>
  <si>
    <t>3002/414</t>
  </si>
  <si>
    <t>413, LORONG MUTIARA GALLA</t>
  </si>
  <si>
    <t>10/9,TMN MUTIARA GALLA</t>
  </si>
  <si>
    <t>harlindai@gmail.com</t>
  </si>
  <si>
    <t>0172676863</t>
  </si>
  <si>
    <t>WI-0109</t>
  </si>
  <si>
    <t>3002/415</t>
  </si>
  <si>
    <t>7, JALAN 2/3B, SEKSYEN 2,</t>
  </si>
  <si>
    <t>farisemran03@gmail.com</t>
  </si>
  <si>
    <t>01137905033</t>
  </si>
  <si>
    <t>WI-0218</t>
  </si>
  <si>
    <t>3002/416</t>
  </si>
  <si>
    <t>NO 417, JLN 2/B</t>
  </si>
  <si>
    <t>TMN BANDAR EKAR</t>
  </si>
  <si>
    <t>ilhamnadziff@gmail.com</t>
  </si>
  <si>
    <t>0182756481</t>
  </si>
  <si>
    <t>WI-0226</t>
  </si>
  <si>
    <t>3002/417</t>
  </si>
  <si>
    <t>WISMA WANIJA, 124 A,</t>
  </si>
  <si>
    <t>JALAN PERINDUSTRIAN SENAWANG,</t>
  </si>
  <si>
    <t>hudawanija@gmail.com</t>
  </si>
  <si>
    <t>0147163386</t>
  </si>
  <si>
    <t>WI-0408</t>
  </si>
  <si>
    <t>3002/418</t>
  </si>
  <si>
    <t>PT 14352 KAMPUNG PASIR TENGAH</t>
  </si>
  <si>
    <t>JALAN LINSOM RANTAU 71200</t>
  </si>
  <si>
    <t>Dzulkarnaindarlis97@gmail.com</t>
  </si>
  <si>
    <t>0198493259</t>
  </si>
  <si>
    <t>WI-0070</t>
  </si>
  <si>
    <t>3002/419</t>
  </si>
  <si>
    <t>LOT 5418,JLN DATO SYED</t>
  </si>
  <si>
    <t xml:space="preserve">mmafdal@gmail.com </t>
  </si>
  <si>
    <t>0194408134</t>
  </si>
  <si>
    <t>PM-0651</t>
  </si>
  <si>
    <t>3002/420</t>
  </si>
  <si>
    <t>ARAS 8,MENARA PRISMA,NO.26,</t>
  </si>
  <si>
    <t>PERSIARAN PERDANA,PRESINT3,PST</t>
  </si>
  <si>
    <t>PENT. KERAJAAN PERSEKUTUAN,</t>
  </si>
  <si>
    <t>samudamalaysia@gmail.com</t>
  </si>
  <si>
    <t>0147310573</t>
  </si>
  <si>
    <t>CO-0022</t>
  </si>
  <si>
    <t>3002/421</t>
  </si>
  <si>
    <t>1676 KUARTERS BALAI POLIS</t>
  </si>
  <si>
    <t xml:space="preserve">nurnazatulazma22@gmail.com </t>
  </si>
  <si>
    <t>0103677340</t>
  </si>
  <si>
    <t>WI-0314</t>
  </si>
  <si>
    <t>3002/422</t>
  </si>
  <si>
    <t>14, JALAN SUBANG PERMAI U6/6,</t>
  </si>
  <si>
    <t>DESA SUBANG PERMAI U6, 40150</t>
  </si>
  <si>
    <t>samakamz@gmail.com</t>
  </si>
  <si>
    <t>0192220565</t>
  </si>
  <si>
    <t>SM-0239</t>
  </si>
  <si>
    <t>3002/423</t>
  </si>
  <si>
    <t>NO 5,JALAN PROGRESIF 1</t>
  </si>
  <si>
    <t>TMN PROGRESIF</t>
  </si>
  <si>
    <t>najihahhazizan@gmail.com</t>
  </si>
  <si>
    <t>CM-0069</t>
  </si>
  <si>
    <t>3002/424</t>
  </si>
  <si>
    <t>ISTANA MESTIKA</t>
  </si>
  <si>
    <t>rmsteam90@gmail.com</t>
  </si>
  <si>
    <t>0196762602</t>
  </si>
  <si>
    <t>SM-0290</t>
  </si>
  <si>
    <t>3002/425</t>
  </si>
  <si>
    <t>576 KM 8 SIMPANG 3,</t>
  </si>
  <si>
    <t>JALAN BATAS PAIP,</t>
  </si>
  <si>
    <t>KUALA KEDAH,</t>
  </si>
  <si>
    <t>mohduwaissukri@gmail.com</t>
  </si>
  <si>
    <t>0168834460</t>
  </si>
  <si>
    <t>WI-0187</t>
  </si>
  <si>
    <t>3002/426</t>
  </si>
  <si>
    <t>LOT 9396, TAMAN GURU MELAYU</t>
  </si>
  <si>
    <t>JLN PAROI-SENAWANG</t>
  </si>
  <si>
    <t>fara.fsmr29@gmail.com</t>
  </si>
  <si>
    <t>01110940974</t>
  </si>
  <si>
    <t>WI-0082</t>
  </si>
  <si>
    <t>3002/430</t>
  </si>
  <si>
    <t>NO 75, JALAN BUNGA TANJUNG</t>
  </si>
  <si>
    <t>KAMPUNG BARU AIR HITAM</t>
  </si>
  <si>
    <t xml:space="preserve">ridzuaan123@gmail.com </t>
  </si>
  <si>
    <t>01162069914</t>
  </si>
  <si>
    <t>WI-0211</t>
  </si>
  <si>
    <t>3002/431</t>
  </si>
  <si>
    <t xml:space="preserve">3,5,7 &amp; 9 </t>
  </si>
  <si>
    <t>JLN KANGAR-ALOR SETAR,SERIAB</t>
  </si>
  <si>
    <t>kceriakangarseriab@gmail.com</t>
  </si>
  <si>
    <t>0164065488</t>
  </si>
  <si>
    <t>HM-0017</t>
  </si>
  <si>
    <t>3002/432</t>
  </si>
  <si>
    <t>LOT 1128 BATU 8</t>
  </si>
  <si>
    <t>KAMPUNG KUNDUR HILIR</t>
  </si>
  <si>
    <t>syafiqami1404@gmail.com</t>
  </si>
  <si>
    <t>0139641168</t>
  </si>
  <si>
    <t>WI-0237</t>
  </si>
  <si>
    <t>3002/433</t>
  </si>
  <si>
    <t>221,JLN. COLLEGE HEIGHT 4,</t>
  </si>
  <si>
    <t>TMN COLLEGE HEIGHT,</t>
  </si>
  <si>
    <t>izahsulaiman3694@gmail.com</t>
  </si>
  <si>
    <t>0192543694</t>
  </si>
  <si>
    <t>WI-0130</t>
  </si>
  <si>
    <t>3002/434</t>
  </si>
  <si>
    <t>UNIT 18-19&amp;18-20,FATEH GROUP</t>
  </si>
  <si>
    <t>PLAZA AZALEA,PERSIARAN</t>
  </si>
  <si>
    <t>BANDARAYA S.14,SHAH ALAM</t>
  </si>
  <si>
    <t>0148600955</t>
  </si>
  <si>
    <t>WI-0073</t>
  </si>
  <si>
    <t>3002/435</t>
  </si>
  <si>
    <t>KM 3797 JALAN KEBAYA 10</t>
  </si>
  <si>
    <t>TAMAN KEBAYA</t>
  </si>
  <si>
    <t>ainau824@gmail.com</t>
  </si>
  <si>
    <t>0135001969</t>
  </si>
  <si>
    <t>WI-0032</t>
  </si>
  <si>
    <t>3002/436</t>
  </si>
  <si>
    <t>PS MANOI</t>
  </si>
  <si>
    <t>LOT PT117716</t>
  </si>
  <si>
    <t>JALAN RAJA, KAMPUNG MANJOI</t>
  </si>
  <si>
    <t>petronasmanjoi@yahoo.com</t>
  </si>
  <si>
    <t>0125062952</t>
  </si>
  <si>
    <t>PM-0294</t>
  </si>
  <si>
    <t>3002/437</t>
  </si>
  <si>
    <t>CALTEX SIMPANG EMPAT, PERLIS</t>
  </si>
  <si>
    <t>LOT 8008 SIMPANG EMPAT</t>
  </si>
  <si>
    <t>02700</t>
  </si>
  <si>
    <t>hazizanhafifah@yahoo.com</t>
  </si>
  <si>
    <t>PM-0330</t>
  </si>
  <si>
    <t>3002/438</t>
  </si>
  <si>
    <t>469, JALAN SAMAGAGAH,</t>
  </si>
  <si>
    <t>13500 PERMATANG PAUH,</t>
  </si>
  <si>
    <t>ctwellkp@yahoo.com</t>
  </si>
  <si>
    <t>0194527448</t>
  </si>
  <si>
    <t>CM-0028</t>
  </si>
  <si>
    <t>3002/439</t>
  </si>
  <si>
    <t>1-B JALAN KENANGAN</t>
  </si>
  <si>
    <t>KG MELAYU MAJIDI</t>
  </si>
  <si>
    <t xml:space="preserve">lintwp@gmail.com </t>
  </si>
  <si>
    <t>0127671522</t>
  </si>
  <si>
    <t>WI-0149</t>
  </si>
  <si>
    <t>3002/440</t>
  </si>
  <si>
    <t>KV DATO' UNDANG</t>
  </si>
  <si>
    <t>HJ MUHAMAD SHARIP</t>
  </si>
  <si>
    <t>nurizatyyy98@gmail.com</t>
  </si>
  <si>
    <t>0102906296</t>
  </si>
  <si>
    <t>WI-0386</t>
  </si>
  <si>
    <t>3002/441</t>
  </si>
  <si>
    <t>AGROBAZAAR CHENDERING,LOT 2965</t>
  </si>
  <si>
    <t>(PM8),KAWASAN PERINDUSTRIAN</t>
  </si>
  <si>
    <t>CHENDERING,K.TERENGGANU</t>
  </si>
  <si>
    <t>azizie@famaco.com.my</t>
  </si>
  <si>
    <t>0179783599</t>
  </si>
  <si>
    <t>CO-0009</t>
  </si>
  <si>
    <t>3002/442</t>
  </si>
  <si>
    <t>TAMAN REMBAU UTAMA, REMBAU</t>
  </si>
  <si>
    <t xml:space="preserve">769yana@gmail.com </t>
  </si>
  <si>
    <t>01110999769</t>
  </si>
  <si>
    <t>WI-0283</t>
  </si>
  <si>
    <t>3002/443</t>
  </si>
  <si>
    <t xml:space="preserve">405 BLOCK 3, JALAN 2/1 </t>
  </si>
  <si>
    <t>haslindaabdullah19@gmail.com</t>
  </si>
  <si>
    <t>01136836687</t>
  </si>
  <si>
    <t>WI-0111</t>
  </si>
  <si>
    <t>3002/444</t>
  </si>
  <si>
    <t>2ND FLOOR EAST WING</t>
  </si>
  <si>
    <t>MENARA MATRADE</t>
  </si>
  <si>
    <t>JLN SULTAN HAJI AHMAD SHAH</t>
  </si>
  <si>
    <t>SM-0280</t>
  </si>
  <si>
    <t>3002/445</t>
  </si>
  <si>
    <t>NO.1-A,STESEN MINYAK PETRON</t>
  </si>
  <si>
    <t>TMN TUNKU INTAN SAFINAZ</t>
  </si>
  <si>
    <t>petrontamantunkuintansafinaz@gmail.com</t>
  </si>
  <si>
    <t>01110048784</t>
  </si>
  <si>
    <t>PM-0215</t>
  </si>
  <si>
    <t>3002/446</t>
  </si>
  <si>
    <t>CALTEX TIKAM BATU</t>
  </si>
  <si>
    <t>LOT 334, MUKIM PEKULA</t>
  </si>
  <si>
    <t>TIKAM BATU, SG PETANI,</t>
  </si>
  <si>
    <t>syarikatyamin@gmail.com</t>
  </si>
  <si>
    <t>0174814343</t>
  </si>
  <si>
    <t>PM-0926</t>
  </si>
  <si>
    <t>3002/447</t>
  </si>
  <si>
    <t>NO 7, JALAN AMAN SERENIA 2/5,</t>
  </si>
  <si>
    <t>BANDAR SERENIA, SEPANG</t>
  </si>
  <si>
    <t>aza_5345@yahoo.com</t>
  </si>
  <si>
    <t>0132152211</t>
  </si>
  <si>
    <t>WI-0278</t>
  </si>
  <si>
    <t>3002/448</t>
  </si>
  <si>
    <t>831 JLN MELATI 18</t>
  </si>
  <si>
    <t>TMN DUSUN SETIA</t>
  </si>
  <si>
    <t xml:space="preserve">rozaiman4014@gmail.com </t>
  </si>
  <si>
    <t>01128939554</t>
  </si>
  <si>
    <t>WI-0353</t>
  </si>
  <si>
    <t>3002/449</t>
  </si>
  <si>
    <t>PETRON NAPOH</t>
  </si>
  <si>
    <t>PT1127 STESEN MINYAK PETRON</t>
  </si>
  <si>
    <t>JALAN CHANGLUN, PEKAN NAPOH</t>
  </si>
  <si>
    <t>yenlelong@yahoo.com</t>
  </si>
  <si>
    <t>0123879228</t>
  </si>
  <si>
    <t>PM-0810</t>
  </si>
  <si>
    <t>3002/450</t>
  </si>
  <si>
    <t>NO 5 JALAN IRINGAN BAYU 19</t>
  </si>
  <si>
    <t>TAMAN IRINGAN BAYU</t>
  </si>
  <si>
    <t>0127820608</t>
  </si>
  <si>
    <t>WI-0017</t>
  </si>
  <si>
    <t>3002/451</t>
  </si>
  <si>
    <t>JALAN PAROI/SENAWANG,</t>
  </si>
  <si>
    <t>70450 SEREMBAN,</t>
  </si>
  <si>
    <t>amirasahak@lpp.gov.my</t>
  </si>
  <si>
    <t>0183905412</t>
  </si>
  <si>
    <t>CO-0028</t>
  </si>
  <si>
    <t>3002/452</t>
  </si>
  <si>
    <t>BAZAR RAKYAT PENDANG</t>
  </si>
  <si>
    <t>JALAN BANGUNAN BERINGIN</t>
  </si>
  <si>
    <t>PENDANG</t>
  </si>
  <si>
    <t>outletba100kedah@gmail.com</t>
  </si>
  <si>
    <t>0164745998</t>
  </si>
  <si>
    <t>CM-0010</t>
  </si>
  <si>
    <t>3002/453</t>
  </si>
  <si>
    <t>19 SIMPANG KEPAYANG</t>
  </si>
  <si>
    <t>JLN UTAMA BERA(F)</t>
  </si>
  <si>
    <t>SEBERTAK,TRIANG</t>
  </si>
  <si>
    <t>CM-0071</t>
  </si>
  <si>
    <t>3002/454</t>
  </si>
  <si>
    <t>BAHAGIAN SIASATAN JENAYAH</t>
  </si>
  <si>
    <t>IPD SEREMBAN</t>
  </si>
  <si>
    <t>muhadisuliamanrmp@gmail.com</t>
  </si>
  <si>
    <t>0137502250</t>
  </si>
  <si>
    <t>WI-0190</t>
  </si>
  <si>
    <t>3002/455</t>
  </si>
  <si>
    <t>TINGKAT 3A, BANGUNAN</t>
  </si>
  <si>
    <t>KOPERASI POLIS,N0.1</t>
  </si>
  <si>
    <t>JLN SULTAN SULAIMAN</t>
  </si>
  <si>
    <t>azyyati@koptradtech.com</t>
  </si>
  <si>
    <t>0195735279</t>
  </si>
  <si>
    <t>CO-0014</t>
  </si>
  <si>
    <t>3002/456</t>
  </si>
  <si>
    <t>NO 1, JALAN KAJANG RAYA 10,</t>
  </si>
  <si>
    <t xml:space="preserve">TAMAN KAJANG RAYA, </t>
  </si>
  <si>
    <t>lizzamy80@gmail.com</t>
  </si>
  <si>
    <t>0139319766</t>
  </si>
  <si>
    <t>SM-0327</t>
  </si>
  <si>
    <t>3002/457</t>
  </si>
  <si>
    <t>KANTIN HOSPITAL</t>
  </si>
  <si>
    <t>SULTANAH MALIHA</t>
  </si>
  <si>
    <t>BUKIT TEKOH,LANGKAWI</t>
  </si>
  <si>
    <t>naimahc77@gmail.com</t>
  </si>
  <si>
    <t>0194726511</t>
  </si>
  <si>
    <t>SM-0340</t>
  </si>
  <si>
    <t>3002/458</t>
  </si>
  <si>
    <t>PT 282,JLN SUKA MENANTI</t>
  </si>
  <si>
    <t>KG PUMPONG</t>
  </si>
  <si>
    <t>petronpsm@gmail.com</t>
  </si>
  <si>
    <t>01128860012</t>
  </si>
  <si>
    <t>PM-0217</t>
  </si>
  <si>
    <t>3002/459</t>
  </si>
  <si>
    <t>TAMAN ANGSANA, JALAN SIKAMAT,</t>
  </si>
  <si>
    <t>70400 SEREMBAN, N.S</t>
  </si>
  <si>
    <t>azrilazmi07@gmail.com</t>
  </si>
  <si>
    <t>0104040037</t>
  </si>
  <si>
    <t>WI-0054</t>
  </si>
  <si>
    <t>3002/460</t>
  </si>
  <si>
    <t>NO 1474 JALAN 2/3C,</t>
  </si>
  <si>
    <t>BANDAR SEREMBAN SELATAN 71450</t>
  </si>
  <si>
    <t>SENAWANG N.S</t>
  </si>
  <si>
    <t>1989qayyumafi@gmail.com</t>
  </si>
  <si>
    <t>0172933886</t>
  </si>
  <si>
    <t>WI-0336</t>
  </si>
  <si>
    <t>3002/461</t>
  </si>
  <si>
    <t>LOT 218 &amp; 219, JLN BANTING</t>
  </si>
  <si>
    <t>KS/05,TMN PERINDUSTRIAN SOBENA</t>
  </si>
  <si>
    <t>JAYA,PELABUHAN KLANG</t>
  </si>
  <si>
    <t>g6@econsave.com</t>
  </si>
  <si>
    <t>0193391575</t>
  </si>
  <si>
    <t>CM-0107</t>
  </si>
  <si>
    <t>3002/462</t>
  </si>
  <si>
    <t>CM MENARA PJH</t>
  </si>
  <si>
    <t>GROUND FLOOR, MENARA PJH,</t>
  </si>
  <si>
    <t>JALAN TUN ABDUL RAZAK,</t>
  </si>
  <si>
    <t xml:space="preserve">cmc136.menarapjh@gmail.com </t>
  </si>
  <si>
    <t>PM-0528</t>
  </si>
  <si>
    <t>3002/463</t>
  </si>
  <si>
    <t>KEMENTERIAN PENDIDIKAN TINGGI,</t>
  </si>
  <si>
    <t>ARAS 12, PRESINT 5</t>
  </si>
  <si>
    <t>azrinaannif@gmail.com</t>
  </si>
  <si>
    <t>0122602400</t>
  </si>
  <si>
    <t>SM-0044</t>
  </si>
  <si>
    <t>3002/464</t>
  </si>
  <si>
    <t>1621/16/2 BLOK E</t>
  </si>
  <si>
    <t>PERUMAHAN POLIS</t>
  </si>
  <si>
    <t>JLN YAZID AHMAD,SEREMBAN</t>
  </si>
  <si>
    <t>fathiabdrahim93@gmail.com</t>
  </si>
  <si>
    <t>0177605917</t>
  </si>
  <si>
    <t>WI-0091</t>
  </si>
  <si>
    <t>3002/465</t>
  </si>
  <si>
    <t>PS JALAN SIMPANG</t>
  </si>
  <si>
    <t>LOT PT6, JALAN SIMPANG</t>
  </si>
  <si>
    <t>frzglobal2025@gmail.com</t>
  </si>
  <si>
    <t>0175729689</t>
  </si>
  <si>
    <t>PM-0260</t>
  </si>
  <si>
    <t>3002/466</t>
  </si>
  <si>
    <t>PS JITRA</t>
  </si>
  <si>
    <t>LOT 160 KUBANG LEMBU</t>
  </si>
  <si>
    <t>mhafizyadin@gmail.com</t>
  </si>
  <si>
    <t>0134618328</t>
  </si>
  <si>
    <t>PM-0316</t>
  </si>
  <si>
    <t>3002/467</t>
  </si>
  <si>
    <t>SERENE HEIGHTS,</t>
  </si>
  <si>
    <t>wanyssnacks14@gmail.com</t>
  </si>
  <si>
    <t>0196836356</t>
  </si>
  <si>
    <t>WI-0150</t>
  </si>
  <si>
    <t>3002/468</t>
  </si>
  <si>
    <t>PETRON MAMBAU NORTHBOUND</t>
  </si>
  <si>
    <t>PT 27595 JALAN RASAH</t>
  </si>
  <si>
    <t>forzamni@gmail.com</t>
  </si>
  <si>
    <t>0199273158</t>
  </si>
  <si>
    <t>PM-0259</t>
  </si>
  <si>
    <t>3002/469</t>
  </si>
  <si>
    <t>23,RUMAH RAKYAT TAMAN RANTAU,</t>
  </si>
  <si>
    <t>ZULFIQRYHISHAM62@GMAIL.COM</t>
  </si>
  <si>
    <t>0194687579</t>
  </si>
  <si>
    <t>WI-0238</t>
  </si>
  <si>
    <t>3002/470</t>
  </si>
  <si>
    <t>46, JALAN KEMACAHAYA 10,</t>
  </si>
  <si>
    <t>TAMAN KEMACAHAYA,</t>
  </si>
  <si>
    <t>HULU LANGAT,</t>
  </si>
  <si>
    <t xml:space="preserve">faizizzul11@gmail.com </t>
  </si>
  <si>
    <t>0183187828</t>
  </si>
  <si>
    <t>WI-0215</t>
  </si>
  <si>
    <t>3002/471</t>
  </si>
  <si>
    <t>MESRA RETAIL &amp; CAFE SDN BHD</t>
  </si>
  <si>
    <t>Unit 1-01, Level 1, NORTHERN</t>
  </si>
  <si>
    <t>HEART HOSPITAL PENANG, No</t>
  </si>
  <si>
    <t>cmn118.nhh@gmail.com</t>
  </si>
  <si>
    <t>0107884007</t>
  </si>
  <si>
    <t>PM-0165</t>
  </si>
  <si>
    <t>3002/472</t>
  </si>
  <si>
    <t>NO 12, NO 14,JALAN KAYAMAN 1,</t>
  </si>
  <si>
    <t>TAMAN TOK KAYAMAN,</t>
  </si>
  <si>
    <t>BUKIT KETERI</t>
  </si>
  <si>
    <t>02450</t>
  </si>
  <si>
    <t>hasnulintanberkat95@gmail.com</t>
  </si>
  <si>
    <t>0145267802</t>
  </si>
  <si>
    <t>CM-0078</t>
  </si>
  <si>
    <t>3002/473</t>
  </si>
  <si>
    <t>NO 13,JALAN MERANTI 2,</t>
  </si>
  <si>
    <t>DATARAN SHAHAB,</t>
  </si>
  <si>
    <t>healthpath99@gmail.com</t>
  </si>
  <si>
    <t>0194785076</t>
  </si>
  <si>
    <t>PH-0059</t>
  </si>
  <si>
    <t>3002/474</t>
  </si>
  <si>
    <t>NO 5, JALAN KOMPLEKS</t>
  </si>
  <si>
    <t>PERNIAGAAN JELATEK</t>
  </si>
  <si>
    <t>JLN LANGGAR,ALOR SETAR</t>
  </si>
  <si>
    <t>PH-0060</t>
  </si>
  <si>
    <t>3002/475</t>
  </si>
  <si>
    <t>NO87,LORONG DESA RHU 10,</t>
  </si>
  <si>
    <t>TAMAN DESA RHU,70400 SIKAMAT,</t>
  </si>
  <si>
    <t>syamasnurqaseh@gmail.com</t>
  </si>
  <si>
    <t>0183784295</t>
  </si>
  <si>
    <t>WI-0398</t>
  </si>
  <si>
    <t>3002/476</t>
  </si>
  <si>
    <t>NO 3,RUMAH SPKR,TAMAN INDAH,</t>
  </si>
  <si>
    <t>hafizmuqri735@gmail.com</t>
  </si>
  <si>
    <t>01155550933</t>
  </si>
  <si>
    <t>WI-0221</t>
  </si>
  <si>
    <t>3002/477</t>
  </si>
  <si>
    <t>274 A, JALAN MASID</t>
  </si>
  <si>
    <t>(KEDAI MAN NASI AIR KOPEH)</t>
  </si>
  <si>
    <t>KUALA BESUT</t>
  </si>
  <si>
    <t>normalina_husin@yahoo.com</t>
  </si>
  <si>
    <t>0148070951</t>
  </si>
  <si>
    <t>SM-0419</t>
  </si>
  <si>
    <t>3002/478</t>
  </si>
  <si>
    <t>PS PARIT PANJANG</t>
  </si>
  <si>
    <t>LOT 2856, JALAN BATU LIMA,</t>
  </si>
  <si>
    <t>PEKAN PARIT PANJANG,BALING,</t>
  </si>
  <si>
    <t>09120</t>
  </si>
  <si>
    <t xml:space="preserve">hijjaz.kamal@gmail.com </t>
  </si>
  <si>
    <t>PM-0748</t>
  </si>
  <si>
    <t>3002/479</t>
  </si>
  <si>
    <t>NO. 247, JALAN 1/5</t>
  </si>
  <si>
    <t>nsyamimi580@gmail.com</t>
  </si>
  <si>
    <t>01172449561</t>
  </si>
  <si>
    <t>WI-0325</t>
  </si>
  <si>
    <t>3002/480</t>
  </si>
  <si>
    <t>C-5-8 FLAT DANAU KOTA,OFF</t>
  </si>
  <si>
    <t>SETAPAK</t>
  </si>
  <si>
    <t>0122916991</t>
  </si>
  <si>
    <t>SM-0331</t>
  </si>
  <si>
    <t>3002/481</t>
  </si>
  <si>
    <t>NO 10, 2/1L MUTIARA BANGI</t>
  </si>
  <si>
    <t>SM-0437</t>
  </si>
  <si>
    <t>3002/482</t>
  </si>
  <si>
    <t>NO 9, JALAN ANJUNG MELATI 2,</t>
  </si>
  <si>
    <t>TAMAN ANJUNG MELATI 2,</t>
  </si>
  <si>
    <t>rozaide71@gmail.com</t>
  </si>
  <si>
    <t>0125199078</t>
  </si>
  <si>
    <t>SM-0425</t>
  </si>
  <si>
    <t>3002/483</t>
  </si>
  <si>
    <t>PETRON BUKIT TENGAH</t>
  </si>
  <si>
    <t>LOT 1079, JALAN BARU,</t>
  </si>
  <si>
    <t>TAMAN BUNGA RAYA</t>
  </si>
  <si>
    <t>Nstwoservice@gmail.com</t>
  </si>
  <si>
    <t>0194989064</t>
  </si>
  <si>
    <t>PM-0611</t>
  </si>
  <si>
    <t>3002/484</t>
  </si>
  <si>
    <t>NO 9, JALAN 1/3U, SEKSYEN 1,</t>
  </si>
  <si>
    <t>VILLA SUTERA</t>
  </si>
  <si>
    <t>0122060252</t>
  </si>
  <si>
    <t>SM-0346</t>
  </si>
  <si>
    <t>3002/485</t>
  </si>
  <si>
    <t>NO 2305 A,</t>
  </si>
  <si>
    <t>LORONG KELOMPANG,</t>
  </si>
  <si>
    <t>BAKAR BATA,</t>
  </si>
  <si>
    <t xml:space="preserve">taichooindustry@yahoo.com </t>
  </si>
  <si>
    <t>0125644018</t>
  </si>
  <si>
    <t>CM-0093</t>
  </si>
  <si>
    <t>3002/486</t>
  </si>
  <si>
    <t>CALTEX PONDOK CHEGAR</t>
  </si>
  <si>
    <t>LOT 731, KG CHEGAR,</t>
  </si>
  <si>
    <t>MK PADANG PUSING,PENDANG,</t>
  </si>
  <si>
    <t xml:space="preserve">Es4hzali@gmail.com </t>
  </si>
  <si>
    <t>0174433004</t>
  </si>
  <si>
    <t>PM-0287</t>
  </si>
  <si>
    <t>3002/487</t>
  </si>
  <si>
    <t>LOBBY OF TM IT COMPLEX</t>
  </si>
  <si>
    <t>CYBERJAYA LINGKARAN</t>
  </si>
  <si>
    <t>USHAWAN1 TIMUR, CYBERJAYA</t>
  </si>
  <si>
    <t>PM-0166</t>
  </si>
  <si>
    <t>3002/488</t>
  </si>
  <si>
    <t>NO 19,JALAN 15/5G,GARDEN HOME,</t>
  </si>
  <si>
    <t xml:space="preserve">SEKSYEN 15, </t>
  </si>
  <si>
    <t>emmahaqeem@gmail.com</t>
  </si>
  <si>
    <t>0189841054</t>
  </si>
  <si>
    <t>SM-0439</t>
  </si>
  <si>
    <t>3002/489</t>
  </si>
  <si>
    <t xml:space="preserve">3 JLN 1/3N MUTIARA BANGI </t>
  </si>
  <si>
    <t>skarimin@yahoo.com</t>
  </si>
  <si>
    <t>0123023101</t>
  </si>
  <si>
    <t>SM-0446</t>
  </si>
  <si>
    <t>3002/490</t>
  </si>
  <si>
    <t>98, JALAN S2 H4, PARK AVENUE,</t>
  </si>
  <si>
    <t>SEREMBAN 2</t>
  </si>
  <si>
    <t>hamdanosman49@com.my</t>
  </si>
  <si>
    <t>0192611720</t>
  </si>
  <si>
    <t>WI-0105</t>
  </si>
  <si>
    <t>3002/491</t>
  </si>
  <si>
    <t>GROUND FLOOR</t>
  </si>
  <si>
    <t>MENARA YAYASAN TUN RAZAK</t>
  </si>
  <si>
    <t>JLN BUKIT BINTANG</t>
  </si>
  <si>
    <t>abdul.hafiz@mtdc.com.my</t>
  </si>
  <si>
    <t>0122353170</t>
  </si>
  <si>
    <t>CO-0017</t>
  </si>
  <si>
    <t>3002/492</t>
  </si>
  <si>
    <t>NO.1-G, JALAN 9/9C, SEKSYEN 9,</t>
  </si>
  <si>
    <t>umiyusra80@gmail.com</t>
  </si>
  <si>
    <t>0162324189</t>
  </si>
  <si>
    <t>SM-0486</t>
  </si>
  <si>
    <t>3002/493</t>
  </si>
  <si>
    <t>PS KASA</t>
  </si>
  <si>
    <t>LOT 1700 MUKIM KASA</t>
  </si>
  <si>
    <t>pb.servicestation@gmail.com</t>
  </si>
  <si>
    <t>097030537</t>
  </si>
  <si>
    <t>PM-0642</t>
  </si>
  <si>
    <t>3002/494</t>
  </si>
  <si>
    <t>NO.16, LORONG 26/2</t>
  </si>
  <si>
    <t>TMN TASIK JAYA,SENAWANG</t>
  </si>
  <si>
    <t>abdul.hafidz@aadk.gov.my</t>
  </si>
  <si>
    <t>0178700807</t>
  </si>
  <si>
    <t>WI-0008</t>
  </si>
  <si>
    <t>3002/495</t>
  </si>
  <si>
    <t>NO.1, JALAN BAYU 1, TAMAN SRI</t>
  </si>
  <si>
    <t>TANJONG 71000 PORT DICKSON,</t>
  </si>
  <si>
    <t>mohdhamdan9801@gmail.com</t>
  </si>
  <si>
    <t>0129805439</t>
  </si>
  <si>
    <t>WI-0158</t>
  </si>
  <si>
    <t>3002/496</t>
  </si>
  <si>
    <t>NO.96, JALAN RU 7,</t>
  </si>
  <si>
    <t>TAMAN REMBAU UTAMA,</t>
  </si>
  <si>
    <t>REMBAU,</t>
  </si>
  <si>
    <t>najihanazi1234@gmail.com</t>
  </si>
  <si>
    <t>0196333679</t>
  </si>
  <si>
    <t>WI-0313</t>
  </si>
  <si>
    <t>3002/497</t>
  </si>
  <si>
    <t>NO 391 JALAN 1/3F</t>
  </si>
  <si>
    <t>BANDAR SEREMBAN SELATAN</t>
  </si>
  <si>
    <t>mohdjamil1908@gmail.com</t>
  </si>
  <si>
    <t>0173903593</t>
  </si>
  <si>
    <t>WI-0159</t>
  </si>
  <si>
    <t>3002/498</t>
  </si>
  <si>
    <t>BHP KUALA KANGSAR</t>
  </si>
  <si>
    <t>STESEN MINYAK BHPETROL,LOT5808</t>
  </si>
  <si>
    <t>JALAN PUNCAK BOUGAINVILLEA,</t>
  </si>
  <si>
    <t>vincentywt1128@gmail.com</t>
  </si>
  <si>
    <t>0125151128</t>
  </si>
  <si>
    <t>PM-0398</t>
  </si>
  <si>
    <t>3002/499</t>
  </si>
  <si>
    <t>CNA-27-03A, CONEZION</t>
  </si>
  <si>
    <t>RESIDENCES PERSIARAN IRC 3,IOI</t>
  </si>
  <si>
    <t>RESORT CITY,PUTRAJAYA SEPANG</t>
  </si>
  <si>
    <t>khalifahglobaltrademalaysia@gmail.com</t>
  </si>
  <si>
    <t>0192831877</t>
  </si>
  <si>
    <t>CO-0013</t>
  </si>
  <si>
    <t>3002/500</t>
  </si>
  <si>
    <t>NO 19,JLN 7/5,SEKSYEN 7,</t>
  </si>
  <si>
    <t>fathirahman02@gmail.com</t>
  </si>
  <si>
    <t>0129088748</t>
  </si>
  <si>
    <t>SM-0292</t>
  </si>
  <si>
    <t>3002/501</t>
  </si>
  <si>
    <t>PS BAGAN SAMAK</t>
  </si>
  <si>
    <t>LOT 6609, KG BAGAN SAMAK</t>
  </si>
  <si>
    <t>BAGAN SAMAK</t>
  </si>
  <si>
    <t>0195719315</t>
  </si>
  <si>
    <t>PM-0043</t>
  </si>
  <si>
    <t>3002/502</t>
  </si>
  <si>
    <t>NO.2 JALAN IM 8/7</t>
  </si>
  <si>
    <t>TAMAN MAHKOTA PUTRA</t>
  </si>
  <si>
    <t>fakhrulislam@yasa.org.my</t>
  </si>
  <si>
    <t>0195202991</t>
  </si>
  <si>
    <t>CO-0048</t>
  </si>
  <si>
    <t>3002/503</t>
  </si>
  <si>
    <t>NO. 38-40, JALAN</t>
  </si>
  <si>
    <t>PULAU LUMUT QU10/Q</t>
  </si>
  <si>
    <t>SEKSYEN U10,ALAM BUDIMAN</t>
  </si>
  <si>
    <t xml:space="preserve">FARIDAH@FJAEROPARTS.COM </t>
  </si>
  <si>
    <t>0133514440</t>
  </si>
  <si>
    <t>KO-0003</t>
  </si>
  <si>
    <t>3002/504</t>
  </si>
  <si>
    <t>2227, JALAN EKAR 4/26</t>
  </si>
  <si>
    <t xml:space="preserve">noorfaiz918@gmail.com </t>
  </si>
  <si>
    <t>0139002974</t>
  </si>
  <si>
    <t>WI-0233</t>
  </si>
  <si>
    <t>3002/505</t>
  </si>
  <si>
    <t>TIERRA CREST, JALAN SS6/3,</t>
  </si>
  <si>
    <t>47301 KELANA JAYA,</t>
  </si>
  <si>
    <t>procurement@unitar.my</t>
  </si>
  <si>
    <t>0376277420</t>
  </si>
  <si>
    <t>CO-0045</t>
  </si>
  <si>
    <t>3002/506</t>
  </si>
  <si>
    <t>NO.7 JLN 1/3R VILLA</t>
  </si>
  <si>
    <t>SUTERA SEK 1</t>
  </si>
  <si>
    <t>kokonattsu1601@gmail.com</t>
  </si>
  <si>
    <t>0199151601</t>
  </si>
  <si>
    <t>SM-0329</t>
  </si>
  <si>
    <t>3002/507</t>
  </si>
  <si>
    <t>19,JALAN MERU BESTARI A14,</t>
  </si>
  <si>
    <t>MEDAN MERU BESTARI,</t>
  </si>
  <si>
    <t>bubbleso2ipoh@gmail.com</t>
  </si>
  <si>
    <t>01162547389</t>
  </si>
  <si>
    <t>IP-0001</t>
  </si>
  <si>
    <t>3002/508</t>
  </si>
  <si>
    <t>PS JALAN BERUAS-AYER TAWAR</t>
  </si>
  <si>
    <t>PT 32578, Batu 15 1/2, Jalan</t>
  </si>
  <si>
    <t>Bruas,Ayer Tawar,</t>
  </si>
  <si>
    <t>kelipanmekar@gmail.com</t>
  </si>
  <si>
    <t>0125155915</t>
  </si>
  <si>
    <t>PM-0381</t>
  </si>
  <si>
    <t>3002/509</t>
  </si>
  <si>
    <t>KM 8,</t>
  </si>
  <si>
    <t>JLN BSR ALOR SETAR- SG PETANI</t>
  </si>
  <si>
    <t>petrola.trading @gmail.com</t>
  </si>
  <si>
    <t>047642200</t>
  </si>
  <si>
    <t>PM-0673</t>
  </si>
  <si>
    <t>3002/510</t>
  </si>
  <si>
    <t>CO-0001</t>
  </si>
  <si>
    <t>3002/511</t>
  </si>
  <si>
    <t>NO 63 JALAN DPK 9</t>
  </si>
  <si>
    <t>TAMAN DESA PERMAI KUNDUR</t>
  </si>
  <si>
    <t>pnurlaiqqa@gmail.com</t>
  </si>
  <si>
    <t>01111900102</t>
  </si>
  <si>
    <t>WI-0335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</si>
</sst>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6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62"/>
      <name val="Aptos Narrow"/>
      <family val="2"/>
      <scheme val="minor"/>
    </font>
    <font>
      <sz val="11"/>
      <color rgb="FFFF0062"/>
      <name val="Calibri"/>
      <family val="2"/>
    </font>
    <font>
      <u/>
      <sz val="11"/>
      <color rgb="FFFF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Verdana"/>
      <family val="2"/>
    </font>
    <font>
      <sz val="11"/>
      <color rgb="FF000000"/>
      <name val="Calibri"/>
      <charset val="1"/>
    </font>
    <font>
      <sz val="9"/>
      <color rgb="FF000000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</cellStyleXfs>
  <cellXfs count="14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0" fillId="0" borderId="4" xfId="0" applyNumberFormat="1" applyBorder="1"/>
    <xf numFmtId="0" fontId="0" fillId="0" borderId="5" xfId="0" applyBorder="1"/>
    <xf numFmtId="0" fontId="0" fillId="2" borderId="5" xfId="0" applyFill="1" applyBorder="1"/>
    <xf numFmtId="1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0" borderId="6" xfId="0" applyBorder="1"/>
    <xf numFmtId="0" fontId="3" fillId="2" borderId="5" xfId="1" applyFill="1" applyBorder="1" applyAlignment="1">
      <alignment horizontal="center"/>
    </xf>
    <xf numFmtId="49" fontId="0" fillId="2" borderId="5" xfId="0" applyNumberFormat="1" applyFill="1" applyBorder="1" applyAlignment="1">
      <alignment horizontal="right"/>
    </xf>
    <xf numFmtId="0" fontId="4" fillId="2" borderId="5" xfId="1" applyFont="1" applyFill="1" applyBorder="1" applyAlignment="1">
      <alignment horizontal="center"/>
    </xf>
    <xf numFmtId="0" fontId="0" fillId="5" borderId="5" xfId="0" applyFill="1" applyBorder="1"/>
    <xf numFmtId="0" fontId="0" fillId="2" borderId="5" xfId="0" applyFill="1" applyBorder="1" applyAlignment="1">
      <alignment horizontal="left"/>
    </xf>
    <xf numFmtId="0" fontId="0" fillId="3" borderId="5" xfId="0" applyFill="1" applyBorder="1"/>
    <xf numFmtId="49" fontId="0" fillId="2" borderId="5" xfId="0" applyNumberFormat="1" applyFill="1" applyBorder="1" applyAlignment="1">
      <alignment horizontal="center" wrapText="1"/>
    </xf>
    <xf numFmtId="0" fontId="0" fillId="2" borderId="5" xfId="0" quotePrefix="1" applyFill="1" applyBorder="1" applyAlignment="1">
      <alignment horizontal="center"/>
    </xf>
    <xf numFmtId="49" fontId="5" fillId="0" borderId="4" xfId="0" applyNumberFormat="1" applyFont="1" applyBorder="1"/>
    <xf numFmtId="0" fontId="5" fillId="0" borderId="5" xfId="0" applyFont="1" applyBorder="1"/>
    <xf numFmtId="0" fontId="5" fillId="2" borderId="5" xfId="0" applyFont="1" applyFill="1" applyBorder="1"/>
    <xf numFmtId="49" fontId="5" fillId="2" borderId="5" xfId="0" applyNumberFormat="1" applyFont="1" applyFill="1" applyBorder="1" applyAlignment="1">
      <alignment horizontal="right"/>
    </xf>
    <xf numFmtId="1" fontId="5" fillId="2" borderId="5" xfId="0" applyNumberFormat="1" applyFont="1" applyFill="1" applyBorder="1" applyAlignment="1">
      <alignment horizontal="center"/>
    </xf>
    <xf numFmtId="0" fontId="0" fillId="6" borderId="5" xfId="0" applyFill="1" applyBorder="1"/>
    <xf numFmtId="0" fontId="6" fillId="2" borderId="5" xfId="0" applyFont="1" applyFill="1" applyBorder="1" applyAlignment="1">
      <alignment horizontal="center"/>
    </xf>
    <xf numFmtId="0" fontId="3" fillId="2" borderId="5" xfId="1" applyNumberForma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49" fontId="0" fillId="7" borderId="4" xfId="0" applyNumberFormat="1" applyFill="1" applyBorder="1"/>
    <xf numFmtId="0" fontId="0" fillId="7" borderId="5" xfId="0" applyFill="1" applyBorder="1"/>
    <xf numFmtId="49" fontId="0" fillId="8" borderId="4" xfId="0" applyNumberFormat="1" applyFill="1" applyBorder="1"/>
    <xf numFmtId="0" fontId="0" fillId="8" borderId="5" xfId="0" applyFill="1" applyBorder="1"/>
    <xf numFmtId="0" fontId="7" fillId="2" borderId="0" xfId="0" applyFont="1" applyFill="1"/>
    <xf numFmtId="0" fontId="0" fillId="2" borderId="5" xfId="0" quotePrefix="1" applyFill="1" applyBorder="1"/>
    <xf numFmtId="49" fontId="5" fillId="7" borderId="4" xfId="0" applyNumberFormat="1" applyFont="1" applyFill="1" applyBorder="1"/>
    <xf numFmtId="0" fontId="5" fillId="7" borderId="5" xfId="0" applyFont="1" applyFill="1" applyBorder="1"/>
    <xf numFmtId="49" fontId="0" fillId="6" borderId="4" xfId="0" applyNumberFormat="1" applyFill="1" applyBorder="1"/>
    <xf numFmtId="49" fontId="0" fillId="3" borderId="4" xfId="0" applyNumberFormat="1" applyFill="1" applyBorder="1"/>
    <xf numFmtId="0" fontId="0" fillId="3" borderId="5" xfId="0" quotePrefix="1" applyFill="1" applyBorder="1"/>
    <xf numFmtId="49" fontId="8" fillId="0" borderId="4" xfId="0" applyNumberFormat="1" applyFont="1" applyBorder="1"/>
    <xf numFmtId="0" fontId="8" fillId="0" borderId="5" xfId="0" applyFont="1" applyBorder="1"/>
    <xf numFmtId="0" fontId="8" fillId="7" borderId="5" xfId="0" applyFont="1" applyFill="1" applyBorder="1"/>
    <xf numFmtId="49" fontId="8" fillId="2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0" fontId="8" fillId="0" borderId="6" xfId="0" applyFont="1" applyBorder="1"/>
    <xf numFmtId="0" fontId="8" fillId="0" borderId="0" xfId="0" applyFont="1"/>
    <xf numFmtId="49" fontId="8" fillId="7" borderId="4" xfId="0" applyNumberFormat="1" applyFont="1" applyFill="1" applyBorder="1"/>
    <xf numFmtId="0" fontId="8" fillId="2" borderId="5" xfId="0" applyFont="1" applyFill="1" applyBorder="1"/>
    <xf numFmtId="1" fontId="8" fillId="2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right"/>
    </xf>
    <xf numFmtId="49" fontId="8" fillId="2" borderId="5" xfId="0" applyNumberFormat="1" applyFont="1" applyFill="1" applyBorder="1" applyAlignment="1">
      <alignment horizontal="right"/>
    </xf>
    <xf numFmtId="0" fontId="1" fillId="7" borderId="5" xfId="0" applyFont="1" applyFill="1" applyBorder="1"/>
    <xf numFmtId="0" fontId="1" fillId="2" borderId="5" xfId="0" applyFont="1" applyFill="1" applyBorder="1"/>
    <xf numFmtId="0" fontId="1" fillId="3" borderId="5" xfId="0" applyFont="1" applyFill="1" applyBorder="1"/>
    <xf numFmtId="1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0" fontId="1" fillId="0" borderId="5" xfId="0" applyFont="1" applyBorder="1"/>
    <xf numFmtId="0" fontId="1" fillId="4" borderId="5" xfId="0" applyFont="1" applyFill="1" applyBorder="1" applyAlignment="1">
      <alignment horizontal="center"/>
    </xf>
    <xf numFmtId="0" fontId="1" fillId="0" borderId="6" xfId="0" applyFont="1" applyBorder="1"/>
    <xf numFmtId="0" fontId="1" fillId="0" borderId="0" xfId="0" applyFont="1"/>
    <xf numFmtId="49" fontId="1" fillId="0" borderId="4" xfId="0" applyNumberFormat="1" applyFont="1" applyBorder="1"/>
    <xf numFmtId="49" fontId="1" fillId="7" borderId="4" xfId="0" applyNumberFormat="1" applyFont="1" applyFill="1" applyBorder="1"/>
    <xf numFmtId="0" fontId="9" fillId="2" borderId="0" xfId="0" applyFont="1" applyFill="1"/>
    <xf numFmtId="49" fontId="1" fillId="2" borderId="5" xfId="0" applyNumberFormat="1" applyFont="1" applyFill="1" applyBorder="1" applyAlignment="1">
      <alignment horizontal="right"/>
    </xf>
    <xf numFmtId="0" fontId="1" fillId="2" borderId="5" xfId="0" applyFont="1" applyFill="1" applyBorder="1" applyAlignment="1">
      <alignment horizontal="center" vertical="center"/>
    </xf>
    <xf numFmtId="49" fontId="8" fillId="3" borderId="4" xfId="0" applyNumberFormat="1" applyFont="1" applyFill="1" applyBorder="1"/>
    <xf numFmtId="0" fontId="8" fillId="3" borderId="5" xfId="0" applyFont="1" applyFill="1" applyBorder="1"/>
    <xf numFmtId="0" fontId="5" fillId="3" borderId="5" xfId="0" applyFont="1" applyFill="1" applyBorder="1"/>
    <xf numFmtId="49" fontId="5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5" fillId="0" borderId="6" xfId="0" applyFont="1" applyBorder="1"/>
    <xf numFmtId="0" fontId="5" fillId="0" borderId="0" xfId="0" applyFont="1"/>
    <xf numFmtId="0" fontId="5" fillId="2" borderId="5" xfId="0" quotePrefix="1" applyFont="1" applyFill="1" applyBorder="1"/>
    <xf numFmtId="0" fontId="7" fillId="3" borderId="0" xfId="0" applyFont="1" applyFill="1"/>
    <xf numFmtId="49" fontId="8" fillId="6" borderId="4" xfId="0" applyNumberFormat="1" applyFont="1" applyFill="1" applyBorder="1"/>
    <xf numFmtId="0" fontId="8" fillId="6" borderId="5" xfId="0" applyFont="1" applyFill="1" applyBorder="1"/>
    <xf numFmtId="0" fontId="10" fillId="2" borderId="5" xfId="1" applyFont="1" applyFill="1" applyBorder="1" applyAlignment="1">
      <alignment horizontal="center"/>
    </xf>
    <xf numFmtId="0" fontId="0" fillId="2" borderId="7" xfId="0" applyFill="1" applyBorder="1"/>
    <xf numFmtId="0" fontId="0" fillId="2" borderId="6" xfId="0" applyFill="1" applyBorder="1"/>
    <xf numFmtId="0" fontId="0" fillId="2" borderId="8" xfId="0" applyFill="1" applyBorder="1"/>
    <xf numFmtId="0" fontId="7" fillId="2" borderId="8" xfId="0" applyFont="1" applyFill="1" applyBorder="1"/>
    <xf numFmtId="0" fontId="0" fillId="2" borderId="2" xfId="0" applyFill="1" applyBorder="1"/>
    <xf numFmtId="0" fontId="5" fillId="6" borderId="5" xfId="0" applyFont="1" applyFill="1" applyBorder="1"/>
    <xf numFmtId="0" fontId="0" fillId="9" borderId="5" xfId="0" applyFill="1" applyBorder="1"/>
    <xf numFmtId="49" fontId="1" fillId="6" borderId="4" xfId="0" applyNumberFormat="1" applyFont="1" applyFill="1" applyBorder="1"/>
    <xf numFmtId="0" fontId="1" fillId="6" borderId="5" xfId="0" applyFont="1" applyFill="1" applyBorder="1"/>
    <xf numFmtId="0" fontId="0" fillId="2" borderId="0" xfId="0" applyFill="1"/>
    <xf numFmtId="0" fontId="7" fillId="6" borderId="0" xfId="0" applyFont="1" applyFill="1"/>
    <xf numFmtId="49" fontId="1" fillId="8" borderId="4" xfId="0" applyNumberFormat="1" applyFont="1" applyFill="1" applyBorder="1"/>
    <xf numFmtId="0" fontId="1" fillId="8" borderId="5" xfId="0" applyFont="1" applyFill="1" applyBorder="1"/>
    <xf numFmtId="1" fontId="0" fillId="2" borderId="5" xfId="0" applyNumberFormat="1" applyFill="1" applyBorder="1" applyAlignment="1">
      <alignment horizontal="center" indent="1"/>
    </xf>
    <xf numFmtId="0" fontId="11" fillId="3" borderId="0" xfId="0" applyFont="1" applyFill="1"/>
    <xf numFmtId="0" fontId="7" fillId="9" borderId="0" xfId="0" applyFont="1" applyFill="1"/>
    <xf numFmtId="0" fontId="7" fillId="3" borderId="8" xfId="0" applyFont="1" applyFill="1" applyBorder="1"/>
    <xf numFmtId="0" fontId="0" fillId="10" borderId="5" xfId="0" applyFill="1" applyBorder="1"/>
    <xf numFmtId="0" fontId="0" fillId="7" borderId="6" xfId="0" applyFill="1" applyBorder="1"/>
    <xf numFmtId="0" fontId="7" fillId="0" borderId="0" xfId="0" applyFont="1"/>
    <xf numFmtId="0" fontId="12" fillId="2" borderId="5" xfId="1" applyFont="1" applyFill="1" applyBorder="1" applyAlignment="1">
      <alignment horizontal="center"/>
    </xf>
    <xf numFmtId="0" fontId="13" fillId="2" borderId="5" xfId="1" applyFont="1" applyFill="1" applyBorder="1" applyAlignment="1">
      <alignment horizontal="center"/>
    </xf>
    <xf numFmtId="49" fontId="0" fillId="6" borderId="5" xfId="0" applyNumberFormat="1" applyFill="1" applyBorder="1" applyAlignment="1">
      <alignment horizontal="right"/>
    </xf>
    <xf numFmtId="49" fontId="6" fillId="2" borderId="5" xfId="0" applyNumberFormat="1" applyFont="1" applyFill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/>
    <xf numFmtId="0" fontId="0" fillId="6" borderId="0" xfId="0" applyFill="1"/>
    <xf numFmtId="0" fontId="14" fillId="2" borderId="0" xfId="0" applyFont="1" applyFill="1"/>
    <xf numFmtId="0" fontId="3" fillId="2" borderId="0" xfId="1" applyFill="1"/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9" fontId="15" fillId="0" borderId="4" xfId="2" applyNumberFormat="1" applyBorder="1"/>
    <xf numFmtId="49" fontId="15" fillId="0" borderId="4" xfId="3" applyNumberFormat="1" applyBorder="1"/>
    <xf numFmtId="0" fontId="0" fillId="0" borderId="4" xfId="0" applyBorder="1"/>
    <xf numFmtId="0" fontId="5" fillId="0" borderId="4" xfId="0" applyFont="1" applyBorder="1"/>
    <xf numFmtId="0" fontId="16" fillId="6" borderId="0" xfId="0" applyFont="1" applyFill="1"/>
    <xf numFmtId="49" fontId="0" fillId="11" borderId="4" xfId="0" applyNumberFormat="1" applyFill="1" applyBorder="1"/>
    <xf numFmtId="0" fontId="0" fillId="11" borderId="5" xfId="0" applyFill="1" applyBorder="1"/>
    <xf numFmtId="0" fontId="8" fillId="0" borderId="4" xfId="0" applyFont="1" applyBorder="1"/>
    <xf numFmtId="0" fontId="17" fillId="0" borderId="4" xfId="0" applyFont="1" applyBorder="1"/>
    <xf numFmtId="0" fontId="15" fillId="0" borderId="4" xfId="0" applyFont="1" applyBorder="1"/>
    <xf numFmtId="0" fontId="17" fillId="3" borderId="4" xfId="0" applyFont="1" applyFill="1" applyBorder="1"/>
    <xf numFmtId="0" fontId="17" fillId="11" borderId="9" xfId="0" applyFont="1" applyFill="1" applyBorder="1"/>
    <xf numFmtId="0" fontId="0" fillId="11" borderId="7" xfId="0" applyFill="1" applyBorder="1"/>
    <xf numFmtId="0" fontId="0" fillId="0" borderId="7" xfId="0" applyBorder="1"/>
    <xf numFmtId="0" fontId="0" fillId="2" borderId="7" xfId="0" applyFill="1" applyBorder="1" applyAlignment="1">
      <alignment horizontal="center"/>
    </xf>
    <xf numFmtId="49" fontId="0" fillId="2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10" xfId="0" applyBorder="1"/>
  </cellXfs>
  <cellStyles count="4">
    <cellStyle name="Hyperlink" xfId="1" builtinId="8"/>
    <cellStyle name="Normal" xfId="0" builtinId="0"/>
    <cellStyle name="Normal 29" xfId="2" xr:uid="{4A967643-7FEB-49BB-8CBC-9774882EB445}"/>
    <cellStyle name="Normal 30" xfId="3" xr:uid="{ACBBD7E1-11A0-4DC5-8B5E-CA3C2F57C3BA}"/>
  </cellStyles>
  <dxfs count="35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9" tint="0.59999389629810485"/>
        </patternFill>
      </fill>
      <alignment horizont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Sage%20X3%20-%20Customer%20Code_To%20Update%202026-07-31.xlsx" TargetMode="External"/><Relationship Id="rId2" Type="http://schemas.openxmlformats.org/officeDocument/2006/relationships/externalLinkPath" Target="file:///C:\Users\user\Downloads\Sage%20X3%20-%20Customer%20Code_To%20Update%202026-07-31.xlsx" TargetMode="External"/><Relationship Id="rId1" Type="http://schemas.openxmlformats.org/officeDocument/2006/relationships/externalLinkPath" Target="/Users/user/Downloads/Sage%20X3%20-%20Customer%20Code_To%20Update%202026-07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Upload"/>
      <sheetName val="Key"/>
      <sheetName val="Sheet1"/>
      <sheetName val="Master"/>
      <sheetName val="Name"/>
      <sheetName val="Addres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84A85-1B2F-4F60-AC91-44CA18342F4F}" name="Customer" displayName="Customer" ref="A1:AD2480" totalsRowShown="0" headerRowDxfId="32" headerRowBorderDxfId="30" tableBorderDxfId="31" totalsRowBorderDxfId="29">
  <autoFilter ref="A1:AD2480" xr:uid="{C9884A85-1B2F-4F60-AC91-44CA18342F4F}"/>
  <sortState xmlns:xlrd2="http://schemas.microsoft.com/office/spreadsheetml/2017/richdata2" ref="A2:AD796">
    <sortCondition ref="T3:T2482"/>
  </sortState>
  <tableColumns count="30">
    <tableColumn id="1" xr3:uid="{D78E9B67-C17D-4435-B0CD-CEFCEB469D42}" name="Customer ID" dataDxfId="28"/>
    <tableColumn id="2" xr3:uid="{90B8E4D4-1058-4BED-8147-A0F837A27389}" name="Description(1)" dataDxfId="27">
      <calculatedColumnFormula>_xlfn.XLOOKUP(Customer[[#This Row],[Customer ID]],[1]!Name[ID],[1]!Name[Description(1)])</calculatedColumnFormula>
    </tableColumn>
    <tableColumn id="3" xr3:uid="{4FF9E730-0DC4-4BE7-B371-40BDE2D16A4D}" name="Description(2)" dataDxfId="26">
      <calculatedColumnFormula>_xlfn.XLOOKUP(Customer[[#This Row],[Customer ID]],[1]!Name[ID],[1]!Name[Description(2)])</calculatedColumnFormula>
    </tableColumn>
    <tableColumn id="4" xr3:uid="{3903D076-9B8B-463C-A50E-FF3326561A92}" name="PIC" dataDxfId="25">
      <calculatedColumnFormula>_xlfn.XLOOKUP(Customer[[#This Row],[Customer ID]],[1]!Address[ID],[1]!Address[PIC])</calculatedColumnFormula>
    </tableColumn>
    <tableColumn id="5" xr3:uid="{BF6FF2AF-257C-431B-8CCD-0D301D2B788A}" name="Full Address" dataDxfId="24">
      <calculatedColumnFormula>_xlfn.XLOOKUP(Customer[[#This Row],[Customer ID]],[1]!Address[ID],[1]!Address[Full Address])</calculatedColumnFormula>
    </tableColumn>
    <tableColumn id="13" xr3:uid="{CC25BB3A-4D7E-4E16-808F-D777FEC196FC}" name="Address Line 1 (30 char)" dataDxfId="23"/>
    <tableColumn id="17" xr3:uid="{2972FF7C-D294-4080-B4CA-61369B55BE53}" name="Address Line 2 (30 char)" dataDxfId="22"/>
    <tableColumn id="18" xr3:uid="{EAB22C04-F22A-4E42-9D8F-E18C4E5B8680}" name="Address Line 3 (30 char)" dataDxfId="21"/>
    <tableColumn id="28" xr3:uid="{BF713C4A-7B7F-4ED3-8AF6-A7804CF5CACF}" name="IF CONTAINS POSTCODE" dataDxfId="20">
      <calculatedColumnFormula>ISNUMBER(VALUE(LEFT(Customer[[#This Row],[Address Line 3 (30 char)]],1)))</calculatedColumnFormula>
    </tableColumn>
    <tableColumn id="19" xr3:uid="{FBD9311D-1CB3-4195-A30E-9061E10FC08B}" name="City" dataDxfId="19"/>
    <tableColumn id="20" xr3:uid="{3431A90B-0B2C-43D1-B61D-7668B92F81C0}" name="Postal Code" dataDxfId="18"/>
    <tableColumn id="25" xr3:uid="{20298764-CFA1-4B76-9CA6-33D523023A1C}" name="Country" dataDxfId="17"/>
    <tableColumn id="21" xr3:uid="{FE49B139-A40A-43E4-8F3D-D51E2AEAAAED}" name="Company Registration No (New)/NRIC/Passport/Army No" dataDxfId="16"/>
    <tableColumn id="22" xr3:uid="{D8D228F9-BB8E-4035-B952-0D388E66B9D0}" name="TIN Number" dataDxfId="15"/>
    <tableColumn id="23" xr3:uid="{C7F7A260-0421-4DA9-94E8-52101EA5C47C}" name="SST Number (If applicable)" dataDxfId="14"/>
    <tableColumn id="24" xr3:uid="{F8585961-D3F6-4AE5-B091-4D55E47E4159}" name="Customer Misc Code" dataDxfId="13"/>
    <tableColumn id="26" xr3:uid="{11232265-091D-43D9-AB1D-2AE448B40187}" name="Email Address (only 1 is required for eInvoice)" dataDxfId="12"/>
    <tableColumn id="6" xr3:uid="{3865C9E3-71CD-468C-A9BA-B7984C6A7D71}" name="Phone No.(1) - required format -no dash, no spacing,no extension code or text (example '017396624)" dataDxfId="11"/>
    <tableColumn id="29" xr3:uid="{A505874C-999F-4F0D-9A72-82B5DA3BCFF6}" name="SALES REP 1" dataDxfId="10"/>
    <tableColumn id="30" xr3:uid="{E5FEFE1F-1826-4BD1-9D80-F8D9D7F35EC9}" name="SALES REP 2" dataDxfId="9"/>
    <tableColumn id="7" xr3:uid="{3489FB27-019C-48D2-9D5C-C3918F2D9E8E}" name="Phone No.(2)" dataDxfId="8">
      <calculatedColumnFormula>_xlfn.XLOOKUP(Customer[[#This Row],[Customer ID]],[1]!Address[ID],[1]!Address[Phone No.(2)])</calculatedColumnFormula>
    </tableColumn>
    <tableColumn id="8" xr3:uid="{1FD5CA76-375A-4C8D-879A-EA6CF944A7BA}" name="Type" dataDxfId="7">
      <calculatedColumnFormula>_xlfn.XLOOKUP(Customer[[#This Row],[Customer ID]],[1]!Address[ID],[1]!Address[Type])</calculatedColumnFormula>
    </tableColumn>
    <tableColumn id="10" xr3:uid="{7CBB6A36-4412-4FFA-896E-03E4470245B4}" name="CT" dataDxfId="6">
      <calculatedColumnFormula>_xlfn.XLOOKUP(Customer[[#This Row],[Customer ID]],[1]!Address[ID],[1]!Address[CT])</calculatedColumnFormula>
    </tableColumn>
    <tableColumn id="12" xr3:uid="{15EC7561-F34B-4DDA-B1F5-A91FDD62DC61}" name="Category Code" dataDxfId="5"/>
    <tableColumn id="14" xr3:uid="{5C54806E-1CCD-4AD0-846D-5426B9FCF823}" name="NewType" dataDxfId="4"/>
    <tableColumn id="15" xr3:uid="{E64462E6-E4DA-435C-BEAB-BE97FBD07505}" name="CodeID" dataDxfId="3">
      <calculatedColumnFormula>_xlfn.XLOOKUP(Customer[[#This Row],[NewType]],$AF$36:$AF$54,$AG$36:$AG$54)</calculatedColumnFormula>
    </tableColumn>
    <tableColumn id="16" xr3:uid="{EAE3547B-E6E8-4B74-9DDD-5858CF991C91}" name="SageID" dataDxfId="2"/>
    <tableColumn id="9" xr3:uid="{5B0E44AC-B857-47E7-A483-8A7EDD4A869F}" name="Subtype" dataDxfId="1">
      <calculatedColumnFormula>_xlfn.XLOOKUP(Customer[[#This Row],[Customer ID]],[1]!Address[ID],[1]!Address[Subtype])</calculatedColumnFormula>
    </tableColumn>
    <tableColumn id="11" xr3:uid="{EB26342A-E1BB-4EE7-BCF2-A3DCA0DAEA37}" name="Region" dataDxfId="0">
      <calculatedColumnFormula>_xlfn.XLOOKUP(Customer[[#This Row],[Customer ID]],[1]!Address[ID],[1]!Address[Zone])</calculatedColumnFormula>
    </tableColumn>
    <tableColumn id="27" xr3:uid="{5BB05ED8-5AF3-498A-AA2E-CF30C01C5C72}" name="REMAR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mshafiqali007@gmail.com" TargetMode="External"/><Relationship Id="rId170" Type="http://schemas.openxmlformats.org/officeDocument/2006/relationships/hyperlink" Target="mailto:gemilangcnt@gmail.com" TargetMode="External"/><Relationship Id="rId268" Type="http://schemas.openxmlformats.org/officeDocument/2006/relationships/hyperlink" Target="mailto:suhailyhamzah11@gmail.com" TargetMode="External"/><Relationship Id="rId475" Type="http://schemas.openxmlformats.org/officeDocument/2006/relationships/hyperlink" Target="mailto:sridamai.rohani@gmail.com" TargetMode="External"/><Relationship Id="rId682" Type="http://schemas.openxmlformats.org/officeDocument/2006/relationships/hyperlink" Target="mailto:iffahamirah@hotmail.com" TargetMode="External"/><Relationship Id="rId128" Type="http://schemas.openxmlformats.org/officeDocument/2006/relationships/hyperlink" Target="mailto:dillayana970812@gmail.com" TargetMode="External"/><Relationship Id="rId335" Type="http://schemas.openxmlformats.org/officeDocument/2006/relationships/hyperlink" Target="mailto:fiqashafiqah18@hotmail.com" TargetMode="External"/><Relationship Id="rId542" Type="http://schemas.openxmlformats.org/officeDocument/2006/relationships/hyperlink" Target="mailto:roswajaent@gmail.com" TargetMode="External"/><Relationship Id="rId987" Type="http://schemas.openxmlformats.org/officeDocument/2006/relationships/hyperlink" Target="mailto:koopmpg3@gmail.com" TargetMode="External"/><Relationship Id="rId1172" Type="http://schemas.openxmlformats.org/officeDocument/2006/relationships/hyperlink" Target="mailto:adeliamesraph@yahoo.com" TargetMode="External"/><Relationship Id="rId402" Type="http://schemas.openxmlformats.org/officeDocument/2006/relationships/hyperlink" Target="mailto:azrilazmi07@gmail.com" TargetMode="External"/><Relationship Id="rId847" Type="http://schemas.openxmlformats.org/officeDocument/2006/relationships/hyperlink" Target="mailto:hradagangventure@gmail.com" TargetMode="External"/><Relationship Id="rId1032" Type="http://schemas.openxmlformats.org/officeDocument/2006/relationships/hyperlink" Target="mailto:jabal.heqma@gmail.com" TargetMode="External"/><Relationship Id="rId1477" Type="http://schemas.openxmlformats.org/officeDocument/2006/relationships/hyperlink" Target="mailto:pensutera.wls@gmail.com" TargetMode="External"/><Relationship Id="rId707" Type="http://schemas.openxmlformats.org/officeDocument/2006/relationships/hyperlink" Target="mailto:maza_indah@yahoo.com" TargetMode="External"/><Relationship Id="rId914" Type="http://schemas.openxmlformats.org/officeDocument/2006/relationships/hyperlink" Target="mailto:yussaad@yahoo.com.my" TargetMode="External"/><Relationship Id="rId1337" Type="http://schemas.openxmlformats.org/officeDocument/2006/relationships/hyperlink" Target="mailto:pssmerantijaya@gmail.com" TargetMode="External"/><Relationship Id="rId43" Type="http://schemas.openxmlformats.org/officeDocument/2006/relationships/hyperlink" Target="mailto:saifulbahrim5172@gmail.com" TargetMode="External"/><Relationship Id="rId1404" Type="http://schemas.openxmlformats.org/officeDocument/2006/relationships/hyperlink" Target="mailto:psstanahliat@gmail.com" TargetMode="External"/><Relationship Id="rId192" Type="http://schemas.openxmlformats.org/officeDocument/2006/relationships/hyperlink" Target="mailto:farzana@bubbleso2.com" TargetMode="External"/><Relationship Id="rId497" Type="http://schemas.openxmlformats.org/officeDocument/2006/relationships/hyperlink" Target="mailto:ieramyra62@gmail.com" TargetMode="External"/><Relationship Id="rId357" Type="http://schemas.openxmlformats.org/officeDocument/2006/relationships/hyperlink" Target="mailto:aizereeni175@gmail.com" TargetMode="External"/><Relationship Id="rId1194" Type="http://schemas.openxmlformats.org/officeDocument/2006/relationships/hyperlink" Target="mailto:pesonasynergy@gmail.com" TargetMode="External"/><Relationship Id="rId217" Type="http://schemas.openxmlformats.org/officeDocument/2006/relationships/hyperlink" Target="mailto:shukri.upg@gmail.com" TargetMode="External"/><Relationship Id="rId564" Type="http://schemas.openxmlformats.org/officeDocument/2006/relationships/hyperlink" Target="mailto:hazim@mra-sb.com" TargetMode="External"/><Relationship Id="rId771" Type="http://schemas.openxmlformats.org/officeDocument/2006/relationships/hyperlink" Target="mailto:petronas.nadi.oasis.gurun@gmail.com" TargetMode="External"/><Relationship Id="rId869" Type="http://schemas.openxmlformats.org/officeDocument/2006/relationships/hyperlink" Target="mailto:norshima18@gmail.com" TargetMode="External"/><Relationship Id="rId1499" Type="http://schemas.openxmlformats.org/officeDocument/2006/relationships/hyperlink" Target="mailto:accexecrc@gmail.com" TargetMode="External"/><Relationship Id="rId424" Type="http://schemas.openxmlformats.org/officeDocument/2006/relationships/hyperlink" Target="mailto:Nstwoservice@gmail.com" TargetMode="External"/><Relationship Id="rId631" Type="http://schemas.openxmlformats.org/officeDocument/2006/relationships/hyperlink" Target="mailto:megaprima.pss@gmail.com" TargetMode="External"/><Relationship Id="rId729" Type="http://schemas.openxmlformats.org/officeDocument/2006/relationships/hyperlink" Target="mailto:rbkbertam@yahoo.com" TargetMode="External"/><Relationship Id="rId1054" Type="http://schemas.openxmlformats.org/officeDocument/2006/relationships/hyperlink" Target="mailto:petromelor@yahoo.com" TargetMode="External"/><Relationship Id="rId1261" Type="http://schemas.openxmlformats.org/officeDocument/2006/relationships/hyperlink" Target="mailto:imanzme@gmail.com" TargetMode="External"/><Relationship Id="rId1359" Type="http://schemas.openxmlformats.org/officeDocument/2006/relationships/hyperlink" Target="mailto:fadzilahyacob@gmail.com" TargetMode="External"/><Relationship Id="rId936" Type="http://schemas.openxmlformats.org/officeDocument/2006/relationships/hyperlink" Target="mailto:cmnazleennoor@gmail.com" TargetMode="External"/><Relationship Id="rId1121" Type="http://schemas.openxmlformats.org/officeDocument/2006/relationships/hyperlink" Target="mailto:pspekankapar@gmail.com" TargetMode="External"/><Relationship Id="rId1219" Type="http://schemas.openxmlformats.org/officeDocument/2006/relationships/hyperlink" Target="mailto:senalingpss@yahoo.com" TargetMode="External"/><Relationship Id="rId65" Type="http://schemas.openxmlformats.org/officeDocument/2006/relationships/hyperlink" Target="mailto:syarifuddien.shah@gmail.com" TargetMode="External"/><Relationship Id="rId1426" Type="http://schemas.openxmlformats.org/officeDocument/2006/relationships/hyperlink" Target="mailto:psstkenali@yahoo.com" TargetMode="External"/><Relationship Id="rId281" Type="http://schemas.openxmlformats.org/officeDocument/2006/relationships/hyperlink" Target="mailto:fa.ap@sogo.com.my" TargetMode="External"/><Relationship Id="rId141" Type="http://schemas.openxmlformats.org/officeDocument/2006/relationships/hyperlink" Target="mailto:ilamohar@yahoo.com" TargetMode="External"/><Relationship Id="rId379" Type="http://schemas.openxmlformats.org/officeDocument/2006/relationships/hyperlink" Target="mailto:izahsulaiman3694@gmail.com" TargetMode="External"/><Relationship Id="rId586" Type="http://schemas.openxmlformats.org/officeDocument/2006/relationships/hyperlink" Target="mailto:tubamart19@gmail.com" TargetMode="External"/><Relationship Id="rId793" Type="http://schemas.openxmlformats.org/officeDocument/2006/relationships/hyperlink" Target="mailto:ismadmar@gmail.com" TargetMode="External"/><Relationship Id="rId7" Type="http://schemas.openxmlformats.org/officeDocument/2006/relationships/hyperlink" Target="mailto:Pikashafika66@gmail.com" TargetMode="External"/><Relationship Id="rId239" Type="http://schemas.openxmlformats.org/officeDocument/2006/relationships/hyperlink" Target="mailto:farizzian@kln.gov.my" TargetMode="External"/><Relationship Id="rId446" Type="http://schemas.openxmlformats.org/officeDocument/2006/relationships/hyperlink" Target="mailto:bubbleso2ipoh@gmail.com" TargetMode="External"/><Relationship Id="rId653" Type="http://schemas.openxmlformats.org/officeDocument/2006/relationships/hyperlink" Target="mailto:alfatehpss@gmail.com" TargetMode="External"/><Relationship Id="rId1076" Type="http://schemas.openxmlformats.org/officeDocument/2006/relationships/hyperlink" Target="mailto:hasbonlah@kopetro.com.my" TargetMode="External"/><Relationship Id="rId1283" Type="http://schemas.openxmlformats.org/officeDocument/2006/relationships/hyperlink" Target="mailto:ismailsedik@yahoo.com" TargetMode="External"/><Relationship Id="rId1490" Type="http://schemas.openxmlformats.org/officeDocument/2006/relationships/hyperlink" Target="mailto:petronaspks@gmail.com" TargetMode="External"/><Relationship Id="rId306" Type="http://schemas.openxmlformats.org/officeDocument/2006/relationships/hyperlink" Target="mailto:farmasibarakah@yahoo.com.my" TargetMode="External"/><Relationship Id="rId860" Type="http://schemas.openxmlformats.org/officeDocument/2006/relationships/hyperlink" Target="mailto:mohd.basharuddin@gmail.com" TargetMode="External"/><Relationship Id="rId958" Type="http://schemas.openxmlformats.org/officeDocument/2006/relationships/hyperlink" Target="mailto:puppaluppa@yahoo.com" TargetMode="External"/><Relationship Id="rId1143" Type="http://schemas.openxmlformats.org/officeDocument/2006/relationships/hyperlink" Target="mailto:ayusari_6969@yahoo.com" TargetMode="External"/><Relationship Id="rId87" Type="http://schemas.openxmlformats.org/officeDocument/2006/relationships/hyperlink" Target="mailto:g-56123035@moe-dl.edu.my" TargetMode="External"/><Relationship Id="rId513" Type="http://schemas.openxmlformats.org/officeDocument/2006/relationships/hyperlink" Target="mailto:fayu8519@gmail.com" TargetMode="External"/><Relationship Id="rId720" Type="http://schemas.openxmlformats.org/officeDocument/2006/relationships/hyperlink" Target="mailto:bayusenibung01@gmail.com" TargetMode="External"/><Relationship Id="rId818" Type="http://schemas.openxmlformats.org/officeDocument/2006/relationships/hyperlink" Target="mailto:rhamidr53@gmail.com" TargetMode="External"/><Relationship Id="rId1350" Type="http://schemas.openxmlformats.org/officeDocument/2006/relationships/hyperlink" Target="mailto:farhanahadi82@gmail.com" TargetMode="External"/><Relationship Id="rId1448" Type="http://schemas.openxmlformats.org/officeDocument/2006/relationships/hyperlink" Target="mailto:nazxumie_ent@yahoo.com" TargetMode="External"/><Relationship Id="rId1003" Type="http://schemas.openxmlformats.org/officeDocument/2006/relationships/hyperlink" Target="mailto:nazmillenium@gmail.com" TargetMode="External"/><Relationship Id="rId1210" Type="http://schemas.openxmlformats.org/officeDocument/2006/relationships/hyperlink" Target="mailto:pssbangitujuh@gmail.com" TargetMode="External"/><Relationship Id="rId1308" Type="http://schemas.openxmlformats.org/officeDocument/2006/relationships/hyperlink" Target="mailto:psscempaka@yahoo.com.mu" TargetMode="External"/><Relationship Id="rId14" Type="http://schemas.openxmlformats.org/officeDocument/2006/relationships/hyperlink" Target="mailto:ihsan.radziah@gmail.com" TargetMode="External"/><Relationship Id="rId163" Type="http://schemas.openxmlformats.org/officeDocument/2006/relationships/hyperlink" Target="mailto:jln_gopeng1@yahoo.com%20;%20usma2u@gmail.com" TargetMode="External"/><Relationship Id="rId370" Type="http://schemas.openxmlformats.org/officeDocument/2006/relationships/hyperlink" Target="mailto:nurnazatulazma22@gmail.com" TargetMode="External"/><Relationship Id="rId230" Type="http://schemas.openxmlformats.org/officeDocument/2006/relationships/hyperlink" Target="mailto:mohdrodzisuntaupawira75@gmail.com" TargetMode="External"/><Relationship Id="rId468" Type="http://schemas.openxmlformats.org/officeDocument/2006/relationships/hyperlink" Target="mailto:nurulasnitamazlan@gmail.com" TargetMode="External"/><Relationship Id="rId675" Type="http://schemas.openxmlformats.org/officeDocument/2006/relationships/hyperlink" Target="mailto:tamma_tradisional@hotmail.com%20/%20m.iftehussain@gmam" TargetMode="External"/><Relationship Id="rId882" Type="http://schemas.openxmlformats.org/officeDocument/2006/relationships/hyperlink" Target="mailto:noh.noraziah@yahoo.com" TargetMode="External"/><Relationship Id="rId1098" Type="http://schemas.openxmlformats.org/officeDocument/2006/relationships/hyperlink" Target="mailto:budgent1805@yahoo.com.my" TargetMode="External"/><Relationship Id="rId328" Type="http://schemas.openxmlformats.org/officeDocument/2006/relationships/hyperlink" Target="mailto:roslanishak5905@gmail.com" TargetMode="External"/><Relationship Id="rId535" Type="http://schemas.openxmlformats.org/officeDocument/2006/relationships/hyperlink" Target="mailto:farmasiharmonikamunting@gmail.com" TargetMode="External"/><Relationship Id="rId742" Type="http://schemas.openxmlformats.org/officeDocument/2006/relationships/hyperlink" Target="mailto:alsira77@yahoo.com" TargetMode="External"/><Relationship Id="rId1165" Type="http://schemas.openxmlformats.org/officeDocument/2006/relationships/hyperlink" Target="mailto:petronaspulausebang@yahoo.com" TargetMode="External"/><Relationship Id="rId1372" Type="http://schemas.openxmlformats.org/officeDocument/2006/relationships/hyperlink" Target="mailto:zaikamaenterprise@gmail.com" TargetMode="External"/><Relationship Id="rId602" Type="http://schemas.openxmlformats.org/officeDocument/2006/relationships/hyperlink" Target="mailto:pssbakri2@yahoo.com" TargetMode="External"/><Relationship Id="rId1025" Type="http://schemas.openxmlformats.org/officeDocument/2006/relationships/hyperlink" Target="mailto:ghpeinvoice@gmail.com" TargetMode="External"/><Relationship Id="rId1232" Type="http://schemas.openxmlformats.org/officeDocument/2006/relationships/hyperlink" Target="mailto:syafa_on7@yahoo.co.uk" TargetMode="External"/><Relationship Id="rId907" Type="http://schemas.openxmlformats.org/officeDocument/2006/relationships/hyperlink" Target="mailto:pssetapak@gmail.com" TargetMode="External"/><Relationship Id="rId36" Type="http://schemas.openxmlformats.org/officeDocument/2006/relationships/hyperlink" Target="mailto:azlinazman.bubbleso2@gmail.com" TargetMode="External"/><Relationship Id="rId185" Type="http://schemas.openxmlformats.org/officeDocument/2006/relationships/hyperlink" Target="mailto:firlynn8687@yahoo.com" TargetMode="External"/><Relationship Id="rId392" Type="http://schemas.openxmlformats.org/officeDocument/2006/relationships/hyperlink" Target="mailto:aza_5345@yahoo.com" TargetMode="External"/><Relationship Id="rId697" Type="http://schemas.openxmlformats.org/officeDocument/2006/relationships/hyperlink" Target="mailto:zamzarina@unikeb.com" TargetMode="External"/><Relationship Id="rId252" Type="http://schemas.openxmlformats.org/officeDocument/2006/relationships/hyperlink" Target="mailto:stargrocer.cbj@gmail.com" TargetMode="External"/><Relationship Id="rId1187" Type="http://schemas.openxmlformats.org/officeDocument/2006/relationships/hyperlink" Target="mailto:jalalenje@yahoo.com.my" TargetMode="External"/><Relationship Id="rId112" Type="http://schemas.openxmlformats.org/officeDocument/2006/relationships/hyperlink" Target="mailto:razaliajmal12@gmail.com" TargetMode="External"/><Relationship Id="rId557" Type="http://schemas.openxmlformats.org/officeDocument/2006/relationships/hyperlink" Target="mailto:pss_bukit_pasir@hotmail.com" TargetMode="External"/><Relationship Id="rId764" Type="http://schemas.openxmlformats.org/officeDocument/2006/relationships/hyperlink" Target="mailto:petronas_zam@yahoo.com" TargetMode="External"/><Relationship Id="rId971" Type="http://schemas.openxmlformats.org/officeDocument/2006/relationships/hyperlink" Target="mailto:azhaghani@yahoo.com" TargetMode="External"/><Relationship Id="rId1394" Type="http://schemas.openxmlformats.org/officeDocument/2006/relationships/hyperlink" Target="mailto:nasjja_enterprise@yahoo.com.my" TargetMode="External"/><Relationship Id="rId417" Type="http://schemas.openxmlformats.org/officeDocument/2006/relationships/hyperlink" Target="mailto:healthpath99@gmail.com" TargetMode="External"/><Relationship Id="rId624" Type="http://schemas.openxmlformats.org/officeDocument/2006/relationships/hyperlink" Target="mailto:pssbbt2@gmail.com" TargetMode="External"/><Relationship Id="rId831" Type="http://schemas.openxmlformats.org/officeDocument/2006/relationships/hyperlink" Target="mailto:lyndkzent@gmail.com" TargetMode="External"/><Relationship Id="rId1047" Type="http://schemas.openxmlformats.org/officeDocument/2006/relationships/hyperlink" Target="mailto:zaceriaventures@gmail.com" TargetMode="External"/><Relationship Id="rId1254" Type="http://schemas.openxmlformats.org/officeDocument/2006/relationships/hyperlink" Target="mailto:pssprima@gmail.com" TargetMode="External"/><Relationship Id="rId1461" Type="http://schemas.openxmlformats.org/officeDocument/2006/relationships/hyperlink" Target="mailto:pmgpharmacytapah@gmail.com" TargetMode="External"/><Relationship Id="rId929" Type="http://schemas.openxmlformats.org/officeDocument/2006/relationships/hyperlink" Target="mailto:zkamilan@yahoo.com" TargetMode="External"/><Relationship Id="rId1114" Type="http://schemas.openxmlformats.org/officeDocument/2006/relationships/hyperlink" Target="mailto:waheed1786@yahoo.com" TargetMode="External"/><Relationship Id="rId1321" Type="http://schemas.openxmlformats.org/officeDocument/2006/relationships/hyperlink" Target="mailto:psstmnkeladi@gmail.com" TargetMode="External"/><Relationship Id="rId58" Type="http://schemas.openxmlformats.org/officeDocument/2006/relationships/hyperlink" Target="mailto:rasedazie@gmail.com" TargetMode="External"/><Relationship Id="rId1419" Type="http://schemas.openxmlformats.org/officeDocument/2006/relationships/hyperlink" Target="mailto:caristra_rz@yahoo.com.my" TargetMode="External"/><Relationship Id="rId274" Type="http://schemas.openxmlformats.org/officeDocument/2006/relationships/hyperlink" Target="mailto:my-finance-billing@ninjavan.co" TargetMode="External"/><Relationship Id="rId481" Type="http://schemas.openxmlformats.org/officeDocument/2006/relationships/hyperlink" Target="mailto:i.ffhyn7@gmail.com" TargetMode="External"/><Relationship Id="rId134" Type="http://schemas.openxmlformats.org/officeDocument/2006/relationships/hyperlink" Target="mailto:mhdiqrmm1@gmail.com" TargetMode="External"/><Relationship Id="rId579" Type="http://schemas.openxmlformats.org/officeDocument/2006/relationships/hyperlink" Target="mailto:aripinahmad@hotmail.com" TargetMode="External"/><Relationship Id="rId786" Type="http://schemas.openxmlformats.org/officeDocument/2006/relationships/hyperlink" Target="mailto:enolils@hotmail.com" TargetMode="External"/><Relationship Id="rId993" Type="http://schemas.openxmlformats.org/officeDocument/2006/relationships/hyperlink" Target="mailto:afiqah.synergy@gmail.com" TargetMode="External"/><Relationship Id="rId341" Type="http://schemas.openxmlformats.org/officeDocument/2006/relationships/hyperlink" Target="mailto:cmc136.menarapjh@gmail.com" TargetMode="External"/><Relationship Id="rId439" Type="http://schemas.openxmlformats.org/officeDocument/2006/relationships/hyperlink" Target="mailto:khalifahglobaltrademalaysia@gmail.com" TargetMode="External"/><Relationship Id="rId646" Type="http://schemas.openxmlformats.org/officeDocument/2006/relationships/hyperlink" Target="mailto:jtgemilang@yahoo.com" TargetMode="External"/><Relationship Id="rId1069" Type="http://schemas.openxmlformats.org/officeDocument/2006/relationships/hyperlink" Target="mailto:pssmukimbangau@yahoo.com" TargetMode="External"/><Relationship Id="rId1276" Type="http://schemas.openxmlformats.org/officeDocument/2006/relationships/hyperlink" Target="mailto:nyonan21@yahoo.com" TargetMode="External"/><Relationship Id="rId1483" Type="http://schemas.openxmlformats.org/officeDocument/2006/relationships/hyperlink" Target="mailto:eidadaud76@gmail.com" TargetMode="External"/><Relationship Id="rId201" Type="http://schemas.openxmlformats.org/officeDocument/2006/relationships/hyperlink" Target="mailto:ariffinhalim@gmail.com" TargetMode="External"/><Relationship Id="rId506" Type="http://schemas.openxmlformats.org/officeDocument/2006/relationships/hyperlink" Target="mailto:n.aishah63@gmail.com" TargetMode="External"/><Relationship Id="rId853" Type="http://schemas.openxmlformats.org/officeDocument/2006/relationships/hyperlink" Target="mailto:ismadmar@gmail.com" TargetMode="External"/><Relationship Id="rId1136" Type="http://schemas.openxmlformats.org/officeDocument/2006/relationships/hyperlink" Target="mailto:w_wanmuda@yahoo.com" TargetMode="External"/><Relationship Id="rId713" Type="http://schemas.openxmlformats.org/officeDocument/2006/relationships/hyperlink" Target="mailto:ctansar@yahoo.com" TargetMode="External"/><Relationship Id="rId920" Type="http://schemas.openxmlformats.org/officeDocument/2006/relationships/hyperlink" Target="mailto:berrynicepetro@gmail.com" TargetMode="External"/><Relationship Id="rId1343" Type="http://schemas.openxmlformats.org/officeDocument/2006/relationships/hyperlink" Target="mailto:ayahkey1959@gmail.com" TargetMode="External"/><Relationship Id="rId1203" Type="http://schemas.openxmlformats.org/officeDocument/2006/relationships/hyperlink" Target="mailto:hanz1402@gmail.com" TargetMode="External"/><Relationship Id="rId1410" Type="http://schemas.openxmlformats.org/officeDocument/2006/relationships/hyperlink" Target="mailto:onecity07@gmail.com" TargetMode="External"/><Relationship Id="rId1508" Type="http://schemas.openxmlformats.org/officeDocument/2006/relationships/hyperlink" Target="mailto:acc.stargrocer@gmail.com" TargetMode="External"/><Relationship Id="rId296" Type="http://schemas.openxmlformats.org/officeDocument/2006/relationships/hyperlink" Target="mailto:suhaidamustafa43@gmail.com" TargetMode="External"/><Relationship Id="rId156" Type="http://schemas.openxmlformats.org/officeDocument/2006/relationships/hyperlink" Target="mailto:syaharin820903.msi@gmail.com" TargetMode="External"/><Relationship Id="rId363" Type="http://schemas.openxmlformats.org/officeDocument/2006/relationships/hyperlink" Target="mailto:harlindai@gmail.com" TargetMode="External"/><Relationship Id="rId570" Type="http://schemas.openxmlformats.org/officeDocument/2006/relationships/hyperlink" Target="mailto:acc.caremart@yahoo.com" TargetMode="External"/><Relationship Id="rId223" Type="http://schemas.openxmlformats.org/officeDocument/2006/relationships/hyperlink" Target="mailto:gemurohgroup@gmail.com" TargetMode="External"/><Relationship Id="rId430" Type="http://schemas.openxmlformats.org/officeDocument/2006/relationships/hyperlink" Target="mailto:hamdanosman49@com.my" TargetMode="External"/><Relationship Id="rId668" Type="http://schemas.openxmlformats.org/officeDocument/2006/relationships/hyperlink" Target="mailto:travel@unikeb.com" TargetMode="External"/><Relationship Id="rId875" Type="http://schemas.openxmlformats.org/officeDocument/2006/relationships/hyperlink" Target="mailto:smwahyubtkinv@yahoo.com" TargetMode="External"/><Relationship Id="rId1060" Type="http://schemas.openxmlformats.org/officeDocument/2006/relationships/hyperlink" Target="mailto:ptrns.mersing@felda.net.my" TargetMode="External"/><Relationship Id="rId1298" Type="http://schemas.openxmlformats.org/officeDocument/2006/relationships/hyperlink" Target="mailto:caltexkoop@yahoo.com" TargetMode="External"/><Relationship Id="rId528" Type="http://schemas.openxmlformats.org/officeDocument/2006/relationships/hyperlink" Target="mailto:muhdhasnul2210@gmail.com" TargetMode="External"/><Relationship Id="rId735" Type="http://schemas.openxmlformats.org/officeDocument/2006/relationships/hyperlink" Target="mailto:hasfazurai@kopetro.com.my" TargetMode="External"/><Relationship Id="rId942" Type="http://schemas.openxmlformats.org/officeDocument/2006/relationships/hyperlink" Target="mailto:mohd909faizal@gmail.com" TargetMode="External"/><Relationship Id="rId1158" Type="http://schemas.openxmlformats.org/officeDocument/2006/relationships/hyperlink" Target="mailto:azmanyeop58@yahoo.com" TargetMode="External"/><Relationship Id="rId1365" Type="http://schemas.openxmlformats.org/officeDocument/2006/relationships/hyperlink" Target="mailto:ainurainyusra@gmail.com" TargetMode="External"/><Relationship Id="rId1018" Type="http://schemas.openxmlformats.org/officeDocument/2006/relationships/hyperlink" Target="mailto:psgoldrush@gmail.com" TargetMode="External"/><Relationship Id="rId1225" Type="http://schemas.openxmlformats.org/officeDocument/2006/relationships/hyperlink" Target="mailto:mszmesra@hotmail.com" TargetMode="External"/><Relationship Id="rId1432" Type="http://schemas.openxmlformats.org/officeDocument/2006/relationships/hyperlink" Target="mailto:niasagemilangsdnbhd@gmail.com" TargetMode="External"/><Relationship Id="rId71" Type="http://schemas.openxmlformats.org/officeDocument/2006/relationships/hyperlink" Target="mailto:NORASIKIN.JAMAT@7ELEVEN.COM.MY" TargetMode="External"/><Relationship Id="rId802" Type="http://schemas.openxmlformats.org/officeDocument/2006/relationships/hyperlink" Target="mailto:pdt292@gmail.com" TargetMode="External"/><Relationship Id="rId29" Type="http://schemas.openxmlformats.org/officeDocument/2006/relationships/hyperlink" Target="mailto:amirulasyraf@bubbleso2.com" TargetMode="External"/><Relationship Id="rId178" Type="http://schemas.openxmlformats.org/officeDocument/2006/relationships/hyperlink" Target="mailto:tetraenergy24@gmail.com" TargetMode="External"/><Relationship Id="rId385" Type="http://schemas.openxmlformats.org/officeDocument/2006/relationships/hyperlink" Target="mailto:nurizatyyy98@gmail.com" TargetMode="External"/><Relationship Id="rId592" Type="http://schemas.openxmlformats.org/officeDocument/2006/relationships/hyperlink" Target="mailto:nurizaazani@yahoo.com" TargetMode="External"/><Relationship Id="rId245" Type="http://schemas.openxmlformats.org/officeDocument/2006/relationships/hyperlink" Target="mailto:pssseremban.bbenstek@gmail.com" TargetMode="External"/><Relationship Id="rId452" Type="http://schemas.openxmlformats.org/officeDocument/2006/relationships/hyperlink" Target="mailto:pssayerkeroh3@yahoo.com" TargetMode="External"/><Relationship Id="rId897" Type="http://schemas.openxmlformats.org/officeDocument/2006/relationships/hyperlink" Target="mailto:wanie.petronassaujana@gmail.com" TargetMode="External"/><Relationship Id="rId1082" Type="http://schemas.openxmlformats.org/officeDocument/2006/relationships/hyperlink" Target="mailto:mohamadameer@yahoo.com" TargetMode="External"/><Relationship Id="rId105" Type="http://schemas.openxmlformats.org/officeDocument/2006/relationships/hyperlink" Target="mailto:kanyo71@gmail.com" TargetMode="External"/><Relationship Id="rId312" Type="http://schemas.openxmlformats.org/officeDocument/2006/relationships/hyperlink" Target="mailto:jariahmasud@gmail.com" TargetMode="External"/><Relationship Id="rId757" Type="http://schemas.openxmlformats.org/officeDocument/2006/relationships/hyperlink" Target="mailto:zahraelliyana74@gmail.com" TargetMode="External"/><Relationship Id="rId964" Type="http://schemas.openxmlformats.org/officeDocument/2006/relationships/hyperlink" Target="mailto:sjberhad@yahoo.com" TargetMode="External"/><Relationship Id="rId1387" Type="http://schemas.openxmlformats.org/officeDocument/2006/relationships/hyperlink" Target="mailto:mmarzuki8@yahoo.com" TargetMode="External"/><Relationship Id="rId93" Type="http://schemas.openxmlformats.org/officeDocument/2006/relationships/hyperlink" Target="mailto:bhpetrol.jeli@gmail.com" TargetMode="External"/><Relationship Id="rId617" Type="http://schemas.openxmlformats.org/officeDocument/2006/relationships/hyperlink" Target="mailto:bukitqurnia@gmail.com" TargetMode="External"/><Relationship Id="rId824" Type="http://schemas.openxmlformats.org/officeDocument/2006/relationships/hyperlink" Target="mailto:stanapetrol@yahoo.com" TargetMode="External"/><Relationship Id="rId1247" Type="http://schemas.openxmlformats.org/officeDocument/2006/relationships/hyperlink" Target="mailto:MDSB_STWN@YAHOO.COM" TargetMode="External"/><Relationship Id="rId1454" Type="http://schemas.openxmlformats.org/officeDocument/2006/relationships/hyperlink" Target="mailto:gm@kelabshahalam.com" TargetMode="External"/><Relationship Id="rId1107" Type="http://schemas.openxmlformats.org/officeDocument/2006/relationships/hyperlink" Target="mailto:rumpun01@gmail.com" TargetMode="External"/><Relationship Id="rId1314" Type="http://schemas.openxmlformats.org/officeDocument/2006/relationships/hyperlink" Target="mailto:fasmesra.sdnbhd@gmail.com" TargetMode="External"/><Relationship Id="rId20" Type="http://schemas.openxmlformats.org/officeDocument/2006/relationships/hyperlink" Target="mailto:snzura.myy@gmail.com" TargetMode="External"/><Relationship Id="rId267" Type="http://schemas.openxmlformats.org/officeDocument/2006/relationships/hyperlink" Target="mailto:hafizsalleh@bubbleso2.com" TargetMode="External"/><Relationship Id="rId474" Type="http://schemas.openxmlformats.org/officeDocument/2006/relationships/hyperlink" Target="mailto:aishahzamri@penang.gov.my" TargetMode="External"/><Relationship Id="rId127" Type="http://schemas.openxmlformats.org/officeDocument/2006/relationships/hyperlink" Target="mailto:yaalianurdina@gmail.com" TargetMode="External"/><Relationship Id="rId681" Type="http://schemas.openxmlformats.org/officeDocument/2006/relationships/hyperlink" Target="mailto:lailatulmufaizah00@gmail.com" TargetMode="External"/><Relationship Id="rId779" Type="http://schemas.openxmlformats.org/officeDocument/2006/relationships/hyperlink" Target="mailto:psscherating@gmail.com" TargetMode="External"/><Relationship Id="rId986" Type="http://schemas.openxmlformats.org/officeDocument/2006/relationships/hyperlink" Target="mailto:tspark74@gmail.com" TargetMode="External"/><Relationship Id="rId334" Type="http://schemas.openxmlformats.org/officeDocument/2006/relationships/hyperlink" Target="mailto:zamfuelnmart@gmail.com" TargetMode="External"/><Relationship Id="rId541" Type="http://schemas.openxmlformats.org/officeDocument/2006/relationships/hyperlink" Target="mailto:mdpezal75@gmail.com" TargetMode="External"/><Relationship Id="rId639" Type="http://schemas.openxmlformats.org/officeDocument/2006/relationships/hyperlink" Target="mailto:smmdonn@gmail.com" TargetMode="External"/><Relationship Id="rId1171" Type="http://schemas.openxmlformats.org/officeDocument/2006/relationships/hyperlink" Target="mailto:mawaddahbaaenterprise@gmail.com" TargetMode="External"/><Relationship Id="rId1269" Type="http://schemas.openxmlformats.org/officeDocument/2006/relationships/hyperlink" Target="mailto:azmazaoil_enterprise@yahoo.com" TargetMode="External"/><Relationship Id="rId1476" Type="http://schemas.openxmlformats.org/officeDocument/2006/relationships/hyperlink" Target="mailto:zehra_sarfaraz@yahoo.com" TargetMode="External"/><Relationship Id="rId401" Type="http://schemas.openxmlformats.org/officeDocument/2006/relationships/hyperlink" Target="mailto:petronpsm@gmail.com" TargetMode="External"/><Relationship Id="rId846" Type="http://schemas.openxmlformats.org/officeDocument/2006/relationships/hyperlink" Target="mailto:psmanjoservices@gmail.com" TargetMode="External"/><Relationship Id="rId1031" Type="http://schemas.openxmlformats.org/officeDocument/2006/relationships/hyperlink" Target="mailto:mrsazali@gmail.com" TargetMode="External"/><Relationship Id="rId1129" Type="http://schemas.openxmlformats.org/officeDocument/2006/relationships/hyperlink" Target="mailto:starmartpetroleum@gmail.com" TargetMode="External"/><Relationship Id="rId706" Type="http://schemas.openxmlformats.org/officeDocument/2006/relationships/hyperlink" Target="mailto:tdjbpetro@gmail.com" TargetMode="External"/><Relationship Id="rId913" Type="http://schemas.openxmlformats.org/officeDocument/2006/relationships/hyperlink" Target="mailto:wanismail67@gmail.com" TargetMode="External"/><Relationship Id="rId1336" Type="http://schemas.openxmlformats.org/officeDocument/2006/relationships/hyperlink" Target="mailto:cemerlangpetroservis@gmail.com" TargetMode="External"/><Relationship Id="rId42" Type="http://schemas.openxmlformats.org/officeDocument/2006/relationships/hyperlink" Target="mailto:adibahtermizi99@gmail.com" TargetMode="External"/><Relationship Id="rId1403" Type="http://schemas.openxmlformats.org/officeDocument/2006/relationships/hyperlink" Target="mailto:hayati_km11@hotmail.com" TargetMode="External"/><Relationship Id="rId191" Type="http://schemas.openxmlformats.org/officeDocument/2006/relationships/hyperlink" Target="mailto:liyanaazeman@gmail.com" TargetMode="External"/><Relationship Id="rId289" Type="http://schemas.openxmlformats.org/officeDocument/2006/relationships/hyperlink" Target="mailto:Jun@llm.gov.my" TargetMode="External"/><Relationship Id="rId496" Type="http://schemas.openxmlformats.org/officeDocument/2006/relationships/hyperlink" Target="mailto:farhahsahrom@gmail.com" TargetMode="External"/><Relationship Id="rId149" Type="http://schemas.openxmlformats.org/officeDocument/2006/relationships/hyperlink" Target="mailto:mzpharmacy@gmail.com" TargetMode="External"/><Relationship Id="rId356" Type="http://schemas.openxmlformats.org/officeDocument/2006/relationships/hyperlink" Target="mailto:subkhi.sudarji@the-afl.my" TargetMode="External"/><Relationship Id="rId563" Type="http://schemas.openxmlformats.org/officeDocument/2006/relationships/hyperlink" Target="mailto:pssphulu@yahoo.com" TargetMode="External"/><Relationship Id="rId770" Type="http://schemas.openxmlformats.org/officeDocument/2006/relationships/hyperlink" Target="mailto:renergyenterprise@gmail.com" TargetMode="External"/><Relationship Id="rId1193" Type="http://schemas.openxmlformats.org/officeDocument/2006/relationships/hyperlink" Target="mailto:sjberhad@yahoo.com" TargetMode="External"/><Relationship Id="rId216" Type="http://schemas.openxmlformats.org/officeDocument/2006/relationships/hyperlink" Target="mailto:qylaazarif@gmail.com" TargetMode="External"/><Relationship Id="rId423" Type="http://schemas.openxmlformats.org/officeDocument/2006/relationships/hyperlink" Target="mailto:rozaide71@gmail.com" TargetMode="External"/><Relationship Id="rId868" Type="http://schemas.openxmlformats.org/officeDocument/2006/relationships/hyperlink" Target="mailto:majumakmurbarakath@yahoo.com" TargetMode="External"/><Relationship Id="rId1053" Type="http://schemas.openxmlformats.org/officeDocument/2006/relationships/hyperlink" Target="mailto:ida.pssmatahari@yahoo.com" TargetMode="External"/><Relationship Id="rId1260" Type="http://schemas.openxmlformats.org/officeDocument/2006/relationships/hyperlink" Target="mailto:mesragas@gmail.com" TargetMode="External"/><Relationship Id="rId1498" Type="http://schemas.openxmlformats.org/officeDocument/2006/relationships/hyperlink" Target="mailto:ymayyin28@gmail.com" TargetMode="External"/><Relationship Id="rId630" Type="http://schemas.openxmlformats.org/officeDocument/2006/relationships/hyperlink" Target="mailto:tautankasih21@yahoo.com" TargetMode="External"/><Relationship Id="rId728" Type="http://schemas.openxmlformats.org/officeDocument/2006/relationships/hyperlink" Target="mailto:affandihillside@yahoo.com" TargetMode="External"/><Relationship Id="rId935" Type="http://schemas.openxmlformats.org/officeDocument/2006/relationships/hyperlink" Target="mailto:faidaent@gmail.com" TargetMode="External"/><Relationship Id="rId1358" Type="http://schemas.openxmlformats.org/officeDocument/2006/relationships/hyperlink" Target="mailto:leekeong83@yahoo.com" TargetMode="External"/><Relationship Id="rId64" Type="http://schemas.openxmlformats.org/officeDocument/2006/relationships/hyperlink" Target="mailto:norazierah5284@gmail.com" TargetMode="External"/><Relationship Id="rId1120" Type="http://schemas.openxmlformats.org/officeDocument/2006/relationships/hyperlink" Target="mailto:diana10469@yahoo.com" TargetMode="External"/><Relationship Id="rId1218" Type="http://schemas.openxmlformats.org/officeDocument/2006/relationships/hyperlink" Target="mailto:najah_enterprise@yahoo.com" TargetMode="External"/><Relationship Id="rId1425" Type="http://schemas.openxmlformats.org/officeDocument/2006/relationships/hyperlink" Target="mailto:alamdamaiteguh@gmail.com" TargetMode="External"/><Relationship Id="rId280" Type="http://schemas.openxmlformats.org/officeDocument/2006/relationships/hyperlink" Target="mailto:murtadza373@gmail.com" TargetMode="External"/><Relationship Id="rId140" Type="http://schemas.openxmlformats.org/officeDocument/2006/relationships/hyperlink" Target="mailto:sitinoorazizai89@gmail.com" TargetMode="External"/><Relationship Id="rId378" Type="http://schemas.openxmlformats.org/officeDocument/2006/relationships/hyperlink" Target="mailto:syafiqami1404@gmail.com" TargetMode="External"/><Relationship Id="rId585" Type="http://schemas.openxmlformats.org/officeDocument/2006/relationships/hyperlink" Target="mailto:nazuwa_subakir05@yahoo.com" TargetMode="External"/><Relationship Id="rId792" Type="http://schemas.openxmlformats.org/officeDocument/2006/relationships/hyperlink" Target="mailto:dasbadatarankkb@gmail.com" TargetMode="External"/><Relationship Id="rId6" Type="http://schemas.openxmlformats.org/officeDocument/2006/relationships/hyperlink" Target="mailto:nadiahalina@gmail.com" TargetMode="External"/><Relationship Id="rId238" Type="http://schemas.openxmlformats.org/officeDocument/2006/relationships/hyperlink" Target="mailto:Muqri27000@gmail.com" TargetMode="External"/><Relationship Id="rId445" Type="http://schemas.openxmlformats.org/officeDocument/2006/relationships/hyperlink" Target="mailto:kokonattsu1601@gmail.com" TargetMode="External"/><Relationship Id="rId652" Type="http://schemas.openxmlformats.org/officeDocument/2006/relationships/hyperlink" Target="mailto:azamegask@yahoo.com" TargetMode="External"/><Relationship Id="rId1075" Type="http://schemas.openxmlformats.org/officeDocument/2006/relationships/hyperlink" Target="mailto:energysonic.my@gmail.com" TargetMode="External"/><Relationship Id="rId1282" Type="http://schemas.openxmlformats.org/officeDocument/2006/relationships/hyperlink" Target="mailto:smar2212@gmail.com" TargetMode="External"/><Relationship Id="rId305" Type="http://schemas.openxmlformats.org/officeDocument/2006/relationships/hyperlink" Target="mailto:hamidijuhari@yahooo.com" TargetMode="External"/><Relationship Id="rId512" Type="http://schemas.openxmlformats.org/officeDocument/2006/relationships/hyperlink" Target="mailto:iffahamirah@hotmail.com" TargetMode="External"/><Relationship Id="rId957" Type="http://schemas.openxmlformats.org/officeDocument/2006/relationships/hyperlink" Target="mailto:ps_gaung@yahoo.com.my" TargetMode="External"/><Relationship Id="rId1142" Type="http://schemas.openxmlformats.org/officeDocument/2006/relationships/hyperlink" Target="mailto:ismadura@yahoo.com" TargetMode="External"/><Relationship Id="rId86" Type="http://schemas.openxmlformats.org/officeDocument/2006/relationships/hyperlink" Target="mailto:koperasikuscoop@kuskop.gov.my" TargetMode="External"/><Relationship Id="rId817" Type="http://schemas.openxmlformats.org/officeDocument/2006/relationships/hyperlink" Target="mailto:lpttimur.enterprise@gmail.com" TargetMode="External"/><Relationship Id="rId1002" Type="http://schemas.openxmlformats.org/officeDocument/2006/relationships/hyperlink" Target="mailto:shimazuniaga@gmail.com" TargetMode="External"/><Relationship Id="rId1447" Type="http://schemas.openxmlformats.org/officeDocument/2006/relationships/hyperlink" Target="mailto:psutp.kp@gmail.com" TargetMode="External"/><Relationship Id="rId1307" Type="http://schemas.openxmlformats.org/officeDocument/2006/relationships/hyperlink" Target="mailto:cahayamesra2017@gmail.com" TargetMode="External"/><Relationship Id="rId13" Type="http://schemas.openxmlformats.org/officeDocument/2006/relationships/hyperlink" Target="mailto:ihsan.radziah@gmail.com" TargetMode="External"/><Relationship Id="rId162" Type="http://schemas.openxmlformats.org/officeDocument/2006/relationships/hyperlink" Target="mailto:rrpakapoint@gmail.com" TargetMode="External"/><Relationship Id="rId467" Type="http://schemas.openxmlformats.org/officeDocument/2006/relationships/hyperlink" Target="mailto:seltrostation@yahoo.com" TargetMode="External"/><Relationship Id="rId1097" Type="http://schemas.openxmlformats.org/officeDocument/2006/relationships/hyperlink" Target="mailto:s3.petrol@gmail.com" TargetMode="External"/><Relationship Id="rId674" Type="http://schemas.openxmlformats.org/officeDocument/2006/relationships/hyperlink" Target="mailto:stargrocer.btp@gmail.com" TargetMode="External"/><Relationship Id="rId881" Type="http://schemas.openxmlformats.org/officeDocument/2006/relationships/hyperlink" Target="mailto:sarinani.pssgl@yahoo.com" TargetMode="External"/><Relationship Id="rId979" Type="http://schemas.openxmlformats.org/officeDocument/2006/relationships/hyperlink" Target="mailto:anugerah_elmu@hotmail.com" TargetMode="External"/><Relationship Id="rId327" Type="http://schemas.openxmlformats.org/officeDocument/2006/relationships/hyperlink" Target="mailto:zulaikhaa202@gmail.com" TargetMode="External"/><Relationship Id="rId534" Type="http://schemas.openxmlformats.org/officeDocument/2006/relationships/hyperlink" Target="mailto:jasatuah2007@yahoo.com" TargetMode="External"/><Relationship Id="rId741" Type="http://schemas.openxmlformats.org/officeDocument/2006/relationships/hyperlink" Target="mailto:badarisnz@yahoo.com" TargetMode="External"/><Relationship Id="rId839" Type="http://schemas.openxmlformats.org/officeDocument/2006/relationships/hyperlink" Target="mailto:amledar@yahoo.com" TargetMode="External"/><Relationship Id="rId1164" Type="http://schemas.openxmlformats.org/officeDocument/2006/relationships/hyperlink" Target="mailto:merali.petronas@gmail.com" TargetMode="External"/><Relationship Id="rId1371" Type="http://schemas.openxmlformats.org/officeDocument/2006/relationships/hyperlink" Target="mailto:binjaafartrading@yahoo.com.my" TargetMode="External"/><Relationship Id="rId1469" Type="http://schemas.openxmlformats.org/officeDocument/2006/relationships/hyperlink" Target="mailto:jsrniaga@gmail.com" TargetMode="External"/><Relationship Id="rId601" Type="http://schemas.openxmlformats.org/officeDocument/2006/relationships/hyperlink" Target="mailto:kemaman@idealnauticare.com" TargetMode="External"/><Relationship Id="rId1024" Type="http://schemas.openxmlformats.org/officeDocument/2006/relationships/hyperlink" Target="mailto:snacahayamesra@yahoo.com" TargetMode="External"/><Relationship Id="rId1231" Type="http://schemas.openxmlformats.org/officeDocument/2006/relationships/hyperlink" Target="mailto:sri_angrik@yahoo.com" TargetMode="External"/><Relationship Id="rId906" Type="http://schemas.openxmlformats.org/officeDocument/2006/relationships/hyperlink" Target="mailto:smteras@yahoo.com" TargetMode="External"/><Relationship Id="rId1329" Type="http://schemas.openxmlformats.org/officeDocument/2006/relationships/hyperlink" Target="mailto:abadantku@gmail.com" TargetMode="External"/><Relationship Id="rId35" Type="http://schemas.openxmlformats.org/officeDocument/2006/relationships/hyperlink" Target="mailto:shidaman84@gmail.com" TargetMode="External"/><Relationship Id="rId184" Type="http://schemas.openxmlformats.org/officeDocument/2006/relationships/hyperlink" Target="mailto:wahidah@kkr.gov.my" TargetMode="External"/><Relationship Id="rId391" Type="http://schemas.openxmlformats.org/officeDocument/2006/relationships/hyperlink" Target="mailto:syarikatyamin@gmail.com" TargetMode="External"/><Relationship Id="rId251" Type="http://schemas.openxmlformats.org/officeDocument/2006/relationships/hyperlink" Target="mailto:anass.zulkefli@cafemesra.my" TargetMode="External"/><Relationship Id="rId489" Type="http://schemas.openxmlformats.org/officeDocument/2006/relationships/hyperlink" Target="mailto:nurfarahsyazwani@gmail.com" TargetMode="External"/><Relationship Id="rId696" Type="http://schemas.openxmlformats.org/officeDocument/2006/relationships/hyperlink" Target="mailto:Caltextst@gmail.com;" TargetMode="External"/><Relationship Id="rId349" Type="http://schemas.openxmlformats.org/officeDocument/2006/relationships/hyperlink" Target="mailto:isyraqakram@yp.org.my" TargetMode="External"/><Relationship Id="rId556" Type="http://schemas.openxmlformats.org/officeDocument/2006/relationships/hyperlink" Target="mailto:leendeen1980@gmail.com" TargetMode="External"/><Relationship Id="rId763" Type="http://schemas.openxmlformats.org/officeDocument/2006/relationships/hyperlink" Target="mailto:ptrns.chailengpark@felda.net.my" TargetMode="External"/><Relationship Id="rId1186" Type="http://schemas.openxmlformats.org/officeDocument/2006/relationships/hyperlink" Target="mailto:tpetrol09@yahoo.com" TargetMode="External"/><Relationship Id="rId1393" Type="http://schemas.openxmlformats.org/officeDocument/2006/relationships/hyperlink" Target="mailto:psskaparcity@gmail.com" TargetMode="External"/><Relationship Id="rId111" Type="http://schemas.openxmlformats.org/officeDocument/2006/relationships/hyperlink" Target="mailto:mahadimamat77@yahoo.com" TargetMode="External"/><Relationship Id="rId209" Type="http://schemas.openxmlformats.org/officeDocument/2006/relationships/hyperlink" Target="mailto:syahkurnia82@gmail.com" TargetMode="External"/><Relationship Id="rId416" Type="http://schemas.openxmlformats.org/officeDocument/2006/relationships/hyperlink" Target="mailto:healthpath99@gmail.com" TargetMode="External"/><Relationship Id="rId970" Type="http://schemas.openxmlformats.org/officeDocument/2006/relationships/hyperlink" Target="mailto:pskm16.sv@gmail.com" TargetMode="External"/><Relationship Id="rId1046" Type="http://schemas.openxmlformats.org/officeDocument/2006/relationships/hyperlink" Target="mailto:pss_mambau@yahoo.com" TargetMode="External"/><Relationship Id="rId1253" Type="http://schemas.openxmlformats.org/officeDocument/2006/relationships/hyperlink" Target="mailto:ita_nxt6590@yahoo.com" TargetMode="External"/><Relationship Id="rId623" Type="http://schemas.openxmlformats.org/officeDocument/2006/relationships/hyperlink" Target="mailto:aazhara@yahoo.com" TargetMode="External"/><Relationship Id="rId830" Type="http://schemas.openxmlformats.org/officeDocument/2006/relationships/hyperlink" Target="mailto:savv000@yahoo.com" TargetMode="External"/><Relationship Id="rId928" Type="http://schemas.openxmlformats.org/officeDocument/2006/relationships/hyperlink" Target="mailto:pssjelapang2@gmail.com" TargetMode="External"/><Relationship Id="rId1460" Type="http://schemas.openxmlformats.org/officeDocument/2006/relationships/hyperlink" Target="mailto:roslee7777@gmail.com" TargetMode="External"/><Relationship Id="rId57" Type="http://schemas.openxmlformats.org/officeDocument/2006/relationships/hyperlink" Target="mailto:cocolate92@gmail.com" TargetMode="External"/><Relationship Id="rId1113" Type="http://schemas.openxmlformats.org/officeDocument/2006/relationships/hyperlink" Target="mailto:neostationsdnbhd@gmail.com" TargetMode="External"/><Relationship Id="rId1320" Type="http://schemas.openxmlformats.org/officeDocument/2006/relationships/hyperlink" Target="mailto:marizqent@gmail.com" TargetMode="External"/><Relationship Id="rId1418" Type="http://schemas.openxmlformats.org/officeDocument/2006/relationships/hyperlink" Target="mailto:mnurafiq.shafie@cafemesra.my" TargetMode="External"/><Relationship Id="rId273" Type="http://schemas.openxmlformats.org/officeDocument/2006/relationships/hyperlink" Target="mailto:syednoah77@gmail.com" TargetMode="External"/><Relationship Id="rId480" Type="http://schemas.openxmlformats.org/officeDocument/2006/relationships/hyperlink" Target="mailto:hasbonlah@kopetro.com.my" TargetMode="External"/><Relationship Id="rId133" Type="http://schemas.openxmlformats.org/officeDocument/2006/relationships/hyperlink" Target="mailto:azlinal@petronas.com" TargetMode="External"/><Relationship Id="rId340" Type="http://schemas.openxmlformats.org/officeDocument/2006/relationships/hyperlink" Target="mailto:rasszvivi@gmail.com" TargetMode="External"/><Relationship Id="rId578" Type="http://schemas.openxmlformats.org/officeDocument/2006/relationships/hyperlink" Target="mailto:aqnniaga@gmail.com" TargetMode="External"/><Relationship Id="rId785" Type="http://schemas.openxmlformats.org/officeDocument/2006/relationships/hyperlink" Target="mailto:osmanlukut62@yahoo.com" TargetMode="External"/><Relationship Id="rId992" Type="http://schemas.openxmlformats.org/officeDocument/2006/relationships/hyperlink" Target="mailto:permatawahidarabypass@gmail.com" TargetMode="External"/><Relationship Id="rId200" Type="http://schemas.openxmlformats.org/officeDocument/2006/relationships/hyperlink" Target="mailto:jabalaulia@hotmail.com" TargetMode="External"/><Relationship Id="rId438" Type="http://schemas.openxmlformats.org/officeDocument/2006/relationships/hyperlink" Target="mailto:vincentywt1128@gmail.com" TargetMode="External"/><Relationship Id="rId645" Type="http://schemas.openxmlformats.org/officeDocument/2006/relationships/hyperlink" Target="mailto:hamidr53@gmail.com" TargetMode="External"/><Relationship Id="rId852" Type="http://schemas.openxmlformats.org/officeDocument/2006/relationships/hyperlink" Target="mailto:naim@tunasmuda.com.my" TargetMode="External"/><Relationship Id="rId1068" Type="http://schemas.openxmlformats.org/officeDocument/2006/relationships/hyperlink" Target="mailto:mbps60@yahoo.com" TargetMode="External"/><Relationship Id="rId1275" Type="http://schemas.openxmlformats.org/officeDocument/2006/relationships/hyperlink" Target="mailto:psskm2ldp@gmail.com" TargetMode="External"/><Relationship Id="rId1482" Type="http://schemas.openxmlformats.org/officeDocument/2006/relationships/hyperlink" Target="mailto:Marketing@bubbleso2.com" TargetMode="External"/><Relationship Id="rId505" Type="http://schemas.openxmlformats.org/officeDocument/2006/relationships/hyperlink" Target="mailto:zairol13@icloud.com" TargetMode="External"/><Relationship Id="rId712" Type="http://schemas.openxmlformats.org/officeDocument/2006/relationships/hyperlink" Target="mailto:dasba.sdnbhd@gmail.com" TargetMode="External"/><Relationship Id="rId1135" Type="http://schemas.openxmlformats.org/officeDocument/2006/relationships/hyperlink" Target="mailto:psstandop@yahoo.com" TargetMode="External"/><Relationship Id="rId1342" Type="http://schemas.openxmlformats.org/officeDocument/2006/relationships/hyperlink" Target="mailto:imantaqwa80@gmail.com" TargetMode="External"/><Relationship Id="rId79" Type="http://schemas.openxmlformats.org/officeDocument/2006/relationships/hyperlink" Target="mailto:ecoexpert2u@gmail.com" TargetMode="External"/><Relationship Id="rId1202" Type="http://schemas.openxmlformats.org/officeDocument/2006/relationships/hyperlink" Target="mailto:fsheritage@gmail.com" TargetMode="External"/><Relationship Id="rId1507" Type="http://schemas.openxmlformats.org/officeDocument/2006/relationships/hyperlink" Target="mailto:nathasya@ns.gov.my" TargetMode="External"/><Relationship Id="rId295" Type="http://schemas.openxmlformats.org/officeDocument/2006/relationships/hyperlink" Target="mailto:rajaharith111@gmail.com" TargetMode="External"/><Relationship Id="rId155" Type="http://schemas.openxmlformats.org/officeDocument/2006/relationships/hyperlink" Target="mailto:panika_Id@yahoo.com.my" TargetMode="External"/><Relationship Id="rId362" Type="http://schemas.openxmlformats.org/officeDocument/2006/relationships/hyperlink" Target="mailto:cikincikon@gmail.com" TargetMode="External"/><Relationship Id="rId1297" Type="http://schemas.openxmlformats.org/officeDocument/2006/relationships/hyperlink" Target="mailto:mynews.accountspayable@mynews.com.my" TargetMode="External"/><Relationship Id="rId222" Type="http://schemas.openxmlformats.org/officeDocument/2006/relationships/hyperlink" Target="mailto:sitiaminahmatesa@gmail.com" TargetMode="External"/><Relationship Id="rId667" Type="http://schemas.openxmlformats.org/officeDocument/2006/relationships/hyperlink" Target="mailto:rodong.my@gmail.com" TargetMode="External"/><Relationship Id="rId874" Type="http://schemas.openxmlformats.org/officeDocument/2006/relationships/hyperlink" Target="mailto:pssjalanlahat@gmail.com" TargetMode="External"/><Relationship Id="rId527" Type="http://schemas.openxmlformats.org/officeDocument/2006/relationships/hyperlink" Target="mailto:taufiq.jadu@gmail.com" TargetMode="External"/><Relationship Id="rId734" Type="http://schemas.openxmlformats.org/officeDocument/2006/relationships/hyperlink" Target="mailto:nazatulnura@yahoo.com" TargetMode="External"/><Relationship Id="rId941" Type="http://schemas.openxmlformats.org/officeDocument/2006/relationships/hyperlink" Target="mailto:mohd909faizal@gmail.com" TargetMode="External"/><Relationship Id="rId1157" Type="http://schemas.openxmlformats.org/officeDocument/2006/relationships/hyperlink" Target="mailto:mahat.kimrima@gmail.com" TargetMode="External"/><Relationship Id="rId1364" Type="http://schemas.openxmlformats.org/officeDocument/2006/relationships/hyperlink" Target="mailto:yazidmaz@yahoo.com" TargetMode="External"/><Relationship Id="rId70" Type="http://schemas.openxmlformats.org/officeDocument/2006/relationships/hyperlink" Target="mailto:fit2shape.my@gmail.com" TargetMode="External"/><Relationship Id="rId801" Type="http://schemas.openxmlformats.org/officeDocument/2006/relationships/hyperlink" Target="mailto:zack1968@live.com" TargetMode="External"/><Relationship Id="rId1017" Type="http://schemas.openxmlformats.org/officeDocument/2006/relationships/hyperlink" Target="mailto:moliza_ent@yahoo.com" TargetMode="External"/><Relationship Id="rId1224" Type="http://schemas.openxmlformats.org/officeDocument/2006/relationships/hyperlink" Target="mailto:richenergy.trading@gmail.com" TargetMode="External"/><Relationship Id="rId1431" Type="http://schemas.openxmlformats.org/officeDocument/2006/relationships/hyperlink" Target="mailto:stnmttdi@gmail.com" TargetMode="External"/><Relationship Id="rId28" Type="http://schemas.openxmlformats.org/officeDocument/2006/relationships/hyperlink" Target="mailto:ninidiana@ns.gov.my" TargetMode="External"/><Relationship Id="rId177" Type="http://schemas.openxmlformats.org/officeDocument/2006/relationships/hyperlink" Target="mailto:farmasinajwarx@gmail.com" TargetMode="External"/><Relationship Id="rId384" Type="http://schemas.openxmlformats.org/officeDocument/2006/relationships/hyperlink" Target="mailto:lintwp@gmail.com" TargetMode="External"/><Relationship Id="rId591" Type="http://schemas.openxmlformats.org/officeDocument/2006/relationships/hyperlink" Target="mailto:farmasikotasarangsemut@gmail.com" TargetMode="External"/><Relationship Id="rId244" Type="http://schemas.openxmlformats.org/officeDocument/2006/relationships/hyperlink" Target="mailto:tiezie95@gmail.com" TargetMode="External"/><Relationship Id="rId689" Type="http://schemas.openxmlformats.org/officeDocument/2006/relationships/hyperlink" Target="mailto:accounts@darussalam.com" TargetMode="External"/><Relationship Id="rId896" Type="http://schemas.openxmlformats.org/officeDocument/2006/relationships/hyperlink" Target="mailto:gemilangcg@gmail.com" TargetMode="External"/><Relationship Id="rId1081" Type="http://schemas.openxmlformats.org/officeDocument/2006/relationships/hyperlink" Target="mailto:nnfajarenterprise@gmail.com" TargetMode="External"/><Relationship Id="rId451" Type="http://schemas.openxmlformats.org/officeDocument/2006/relationships/hyperlink" Target="mailto:ashrafyusof89@gmail.com" TargetMode="External"/><Relationship Id="rId549" Type="http://schemas.openxmlformats.org/officeDocument/2006/relationships/hyperlink" Target="mailto:norazlin2941@gmail.com" TargetMode="External"/><Relationship Id="rId756" Type="http://schemas.openxmlformats.org/officeDocument/2006/relationships/hyperlink" Target="mailto:nasmaharaenterprise@gmail.com" TargetMode="External"/><Relationship Id="rId1179" Type="http://schemas.openxmlformats.org/officeDocument/2006/relationships/hyperlink" Target="mailto:nhanisah1106@gmail.com" TargetMode="External"/><Relationship Id="rId1386" Type="http://schemas.openxmlformats.org/officeDocument/2006/relationships/hyperlink" Target="mailto:zairulhisham_73@yahoo.com" TargetMode="External"/><Relationship Id="rId104" Type="http://schemas.openxmlformats.org/officeDocument/2006/relationships/hyperlink" Target="mailto:ely.zainuddin@gmail.com" TargetMode="External"/><Relationship Id="rId311" Type="http://schemas.openxmlformats.org/officeDocument/2006/relationships/hyperlink" Target="mailto:muhdakmalkhir@gmail.com" TargetMode="External"/><Relationship Id="rId409" Type="http://schemas.openxmlformats.org/officeDocument/2006/relationships/hyperlink" Target="mailto:mhafizyadin@gmail.com" TargetMode="External"/><Relationship Id="rId963" Type="http://schemas.openxmlformats.org/officeDocument/2006/relationships/hyperlink" Target="mailto:emiroventure@gmail.com" TargetMode="External"/><Relationship Id="rId1039" Type="http://schemas.openxmlformats.org/officeDocument/2006/relationships/hyperlink" Target="mailto:puteramer_ent@yahoo.com.my" TargetMode="External"/><Relationship Id="rId1246" Type="http://schemas.openxmlformats.org/officeDocument/2006/relationships/hyperlink" Target="mailto:kinizam888@gmail.com" TargetMode="External"/><Relationship Id="rId92" Type="http://schemas.openxmlformats.org/officeDocument/2006/relationships/hyperlink" Target="mailto:myar7777@gmail.com" TargetMode="External"/><Relationship Id="rId616" Type="http://schemas.openxmlformats.org/officeDocument/2006/relationships/hyperlink" Target="mailto:saujana_erat@msn.com" TargetMode="External"/><Relationship Id="rId823" Type="http://schemas.openxmlformats.org/officeDocument/2006/relationships/hyperlink" Target="mailto:stanapetrol@yahoo.com" TargetMode="External"/><Relationship Id="rId1453" Type="http://schemas.openxmlformats.org/officeDocument/2006/relationships/hyperlink" Target="mailto:fhmhealthcaresb@gmail.com" TargetMode="External"/><Relationship Id="rId1106" Type="http://schemas.openxmlformats.org/officeDocument/2006/relationships/hyperlink" Target="mailto:pssparitsulong@gmail.com" TargetMode="External"/><Relationship Id="rId1313" Type="http://schemas.openxmlformats.org/officeDocument/2006/relationships/hyperlink" Target="mailto:solehahrazali123@gmail.com" TargetMode="External"/><Relationship Id="rId199" Type="http://schemas.openxmlformats.org/officeDocument/2006/relationships/hyperlink" Target="mailto:imanlisa21@gmail.com" TargetMode="External"/><Relationship Id="rId266" Type="http://schemas.openxmlformats.org/officeDocument/2006/relationships/hyperlink" Target="mailto:petronassgmasmachang@gmail.com" TargetMode="External"/><Relationship Id="rId473" Type="http://schemas.openxmlformats.org/officeDocument/2006/relationships/hyperlink" Target="mailto:syahrizalt814@gmail.com" TargetMode="External"/><Relationship Id="rId680" Type="http://schemas.openxmlformats.org/officeDocument/2006/relationships/hyperlink" Target="mailto:zaharin_pbmf@yahoo.co.uk" TargetMode="External"/><Relationship Id="rId126" Type="http://schemas.openxmlformats.org/officeDocument/2006/relationships/hyperlink" Target="mailto:nurulainnnazam05@icloud.com" TargetMode="External"/><Relationship Id="rId333" Type="http://schemas.openxmlformats.org/officeDocument/2006/relationships/hyperlink" Target="mailto:saifulnajwa1920@gmail.com" TargetMode="External"/><Relationship Id="rId540" Type="http://schemas.openxmlformats.org/officeDocument/2006/relationships/hyperlink" Target="mailto:zaffarin@bubbleso2.com" TargetMode="External"/><Relationship Id="rId778" Type="http://schemas.openxmlformats.org/officeDocument/2006/relationships/hyperlink" Target="mailto:iskandar.afian@gmail.com" TargetMode="External"/><Relationship Id="rId985" Type="http://schemas.openxmlformats.org/officeDocument/2006/relationships/hyperlink" Target="mailto:pss.kualakedah@gmail.com.my" TargetMode="External"/><Relationship Id="rId1170" Type="http://schemas.openxmlformats.org/officeDocument/2006/relationships/hyperlink" Target="mailto:sv.aylatrading@gmail.com" TargetMode="External"/><Relationship Id="rId638" Type="http://schemas.openxmlformats.org/officeDocument/2006/relationships/hyperlink" Target="mailto:slrksdkm78@gmail.com" TargetMode="External"/><Relationship Id="rId845" Type="http://schemas.openxmlformats.org/officeDocument/2006/relationships/hyperlink" Target="mailto:ylafquadrant@yahoo.com" TargetMode="External"/><Relationship Id="rId1030" Type="http://schemas.openxmlformats.org/officeDocument/2006/relationships/hyperlink" Target="mailto:designabu@yahoo.com" TargetMode="External"/><Relationship Id="rId1268" Type="http://schemas.openxmlformats.org/officeDocument/2006/relationships/hyperlink" Target="mailto:zolkeflemdraji@gmail.com" TargetMode="External"/><Relationship Id="rId1475" Type="http://schemas.openxmlformats.org/officeDocument/2006/relationships/hyperlink" Target="mailto:budifillingstation@yahoo.com" TargetMode="External"/><Relationship Id="rId400" Type="http://schemas.openxmlformats.org/officeDocument/2006/relationships/hyperlink" Target="mailto:naimahc77@gmail.com" TargetMode="External"/><Relationship Id="rId705" Type="http://schemas.openxmlformats.org/officeDocument/2006/relationships/hyperlink" Target="mailto:sitinorhayatimohdnor@yahoo.com" TargetMode="External"/><Relationship Id="rId1128" Type="http://schemas.openxmlformats.org/officeDocument/2006/relationships/hyperlink" Target="mailto:pspsemenyih@gmail.com" TargetMode="External"/><Relationship Id="rId1335" Type="http://schemas.openxmlformats.org/officeDocument/2006/relationships/hyperlink" Target="mailto:dz_lampard08@yahoo.com" TargetMode="External"/><Relationship Id="rId137" Type="http://schemas.openxmlformats.org/officeDocument/2006/relationships/hyperlink" Target="mailto:mfaqrul76@gmail.com" TargetMode="External"/><Relationship Id="rId344" Type="http://schemas.openxmlformats.org/officeDocument/2006/relationships/hyperlink" Target="mailto:mohamadaidilakmal@gmail.com" TargetMode="External"/><Relationship Id="rId691" Type="http://schemas.openxmlformats.org/officeDocument/2006/relationships/hyperlink" Target="mailto:coopsericheeding@gmail.com%20/%20coopmart.sericheedinm" TargetMode="External"/><Relationship Id="rId789" Type="http://schemas.openxmlformats.org/officeDocument/2006/relationships/hyperlink" Target="mailto:mohzani1973@yahoo.com" TargetMode="External"/><Relationship Id="rId912" Type="http://schemas.openxmlformats.org/officeDocument/2006/relationships/hyperlink" Target="mailto:yanituah@gmail.com" TargetMode="External"/><Relationship Id="rId996" Type="http://schemas.openxmlformats.org/officeDocument/2006/relationships/hyperlink" Target="mailto:psskualaketil@gmail.com" TargetMode="External"/><Relationship Id="rId41" Type="http://schemas.openxmlformats.org/officeDocument/2006/relationships/hyperlink" Target="mailto:warisanlosong@gmail.com" TargetMode="External"/><Relationship Id="rId551" Type="http://schemas.openxmlformats.org/officeDocument/2006/relationships/hyperlink" Target="mailto:yazadyusof5@gmail.com" TargetMode="External"/><Relationship Id="rId649" Type="http://schemas.openxmlformats.org/officeDocument/2006/relationships/hyperlink" Target="mailto:jmeijaz@yahoo.com" TargetMode="External"/><Relationship Id="rId856" Type="http://schemas.openxmlformats.org/officeDocument/2006/relationships/hyperlink" Target="mailto:setapakmesra@yahoo.com" TargetMode="External"/><Relationship Id="rId1181" Type="http://schemas.openxmlformats.org/officeDocument/2006/relationships/hyperlink" Target="mailto:wra1212@live.com" TargetMode="External"/><Relationship Id="rId1279" Type="http://schemas.openxmlformats.org/officeDocument/2006/relationships/hyperlink" Target="mailto:kazumi.global@gmail.com" TargetMode="External"/><Relationship Id="rId1402" Type="http://schemas.openxmlformats.org/officeDocument/2006/relationships/hyperlink" Target="mailto:psstampin@yahoo.com.my" TargetMode="External"/><Relationship Id="rId1486" Type="http://schemas.openxmlformats.org/officeDocument/2006/relationships/hyperlink" Target="mailto:adib@falcoon.com.my" TargetMode="External"/><Relationship Id="rId190" Type="http://schemas.openxmlformats.org/officeDocument/2006/relationships/hyperlink" Target="mailto:zaa6675@gmail.com" TargetMode="External"/><Relationship Id="rId204" Type="http://schemas.openxmlformats.org/officeDocument/2006/relationships/hyperlink" Target="mailto:zai5712@yahoo.com" TargetMode="External"/><Relationship Id="rId288" Type="http://schemas.openxmlformats.org/officeDocument/2006/relationships/hyperlink" Target="mailto:syuhadah055@gmail.com" TargetMode="External"/><Relationship Id="rId411" Type="http://schemas.openxmlformats.org/officeDocument/2006/relationships/hyperlink" Target="mailto:forzamni@gmail.com" TargetMode="External"/><Relationship Id="rId509" Type="http://schemas.openxmlformats.org/officeDocument/2006/relationships/hyperlink" Target="mailto:nurasyiqin625@gmail.com" TargetMode="External"/><Relationship Id="rId1041" Type="http://schemas.openxmlformats.org/officeDocument/2006/relationships/hyperlink" Target="mailto:musbieha65@gmail.com" TargetMode="External"/><Relationship Id="rId1139" Type="http://schemas.openxmlformats.org/officeDocument/2006/relationships/hyperlink" Target="mailto:psspmtgbdk@gmail.com" TargetMode="External"/><Relationship Id="rId1346" Type="http://schemas.openxmlformats.org/officeDocument/2006/relationships/hyperlink" Target="mailto:masbukti@gmail.com" TargetMode="External"/><Relationship Id="rId495" Type="http://schemas.openxmlformats.org/officeDocument/2006/relationships/hyperlink" Target="mailto:ahfadhil@ns.gov.my" TargetMode="External"/><Relationship Id="rId716" Type="http://schemas.openxmlformats.org/officeDocument/2006/relationships/hyperlink" Target="mailto:ahmadzulhaimi@gmail.com" TargetMode="External"/><Relationship Id="rId923" Type="http://schemas.openxmlformats.org/officeDocument/2006/relationships/hyperlink" Target="mailto:mn.trading242@gmail.com" TargetMode="External"/><Relationship Id="rId52" Type="http://schemas.openxmlformats.org/officeDocument/2006/relationships/hyperlink" Target="mailto:asmmarketing@ymail.com" TargetMode="External"/><Relationship Id="rId148" Type="http://schemas.openxmlformats.org/officeDocument/2006/relationships/hyperlink" Target="mailto:hafizamrilah@gmail.com" TargetMode="External"/><Relationship Id="rId355" Type="http://schemas.openxmlformats.org/officeDocument/2006/relationships/hyperlink" Target="mailto:sdtlnjhh266@gmail.com" TargetMode="External"/><Relationship Id="rId562" Type="http://schemas.openxmlformats.org/officeDocument/2006/relationships/hyperlink" Target="mailto:jmzsemantan@yahoo.com" TargetMode="External"/><Relationship Id="rId1192" Type="http://schemas.openxmlformats.org/officeDocument/2006/relationships/hyperlink" Target="mailto:zafar.station@gmail.com" TargetMode="External"/><Relationship Id="rId1206" Type="http://schemas.openxmlformats.org/officeDocument/2006/relationships/hyperlink" Target="mailto:zue_kristal@yahoo.com" TargetMode="External"/><Relationship Id="rId1413" Type="http://schemas.openxmlformats.org/officeDocument/2006/relationships/hyperlink" Target="mailto:aramacao52@hotmail.com" TargetMode="External"/><Relationship Id="rId215" Type="http://schemas.openxmlformats.org/officeDocument/2006/relationships/hyperlink" Target="mailto:nadizzmart@gmail.com" TargetMode="External"/><Relationship Id="rId422" Type="http://schemas.openxmlformats.org/officeDocument/2006/relationships/hyperlink" Target="mailto:nsyamimi580@gmail.com" TargetMode="External"/><Relationship Id="rId867" Type="http://schemas.openxmlformats.org/officeDocument/2006/relationships/hyperlink" Target="mailto:mafazniaga.sp@gmail.com" TargetMode="External"/><Relationship Id="rId1052" Type="http://schemas.openxmlformats.org/officeDocument/2006/relationships/hyperlink" Target="mailto:umatenbiz@gmail.com" TargetMode="External"/><Relationship Id="rId1497" Type="http://schemas.openxmlformats.org/officeDocument/2006/relationships/hyperlink" Target="mailto:mpetroleum@hotmail.com" TargetMode="External"/><Relationship Id="rId299" Type="http://schemas.openxmlformats.org/officeDocument/2006/relationships/hyperlink" Target="mailto:katheshvarma18@gmail.com" TargetMode="External"/><Relationship Id="rId727" Type="http://schemas.openxmlformats.org/officeDocument/2006/relationships/hyperlink" Target="mailto:inurulhanim40@gmail.com" TargetMode="External"/><Relationship Id="rId934" Type="http://schemas.openxmlformats.org/officeDocument/2006/relationships/hyperlink" Target="mailto:petronasjinjang23@gmail.com" TargetMode="External"/><Relationship Id="rId1357" Type="http://schemas.openxmlformats.org/officeDocument/2006/relationships/hyperlink" Target="mailto:arhdagangventure@gmail.com" TargetMode="External"/><Relationship Id="rId63" Type="http://schemas.openxmlformats.org/officeDocument/2006/relationships/hyperlink" Target="mailto:chefdamiacomel@gmail.com" TargetMode="External"/><Relationship Id="rId159" Type="http://schemas.openxmlformats.org/officeDocument/2006/relationships/hyperlink" Target="mailto:Shellkepalabatas@yahoo.com" TargetMode="External"/><Relationship Id="rId366" Type="http://schemas.openxmlformats.org/officeDocument/2006/relationships/hyperlink" Target="mailto:hudawanija@gmail.com" TargetMode="External"/><Relationship Id="rId573" Type="http://schemas.openxmlformats.org/officeDocument/2006/relationships/hyperlink" Target="mailto:zulidrus@gmail.com" TargetMode="External"/><Relationship Id="rId780" Type="http://schemas.openxmlformats.org/officeDocument/2006/relationships/hyperlink" Target="mailto:styservice@yahoo.com" TargetMode="External"/><Relationship Id="rId1217" Type="http://schemas.openxmlformats.org/officeDocument/2006/relationships/hyperlink" Target="mailto:acezeksni.synergy@gmail.com" TargetMode="External"/><Relationship Id="rId1424" Type="http://schemas.openxmlformats.org/officeDocument/2006/relationships/hyperlink" Target="mailto:psjalantokadis@gmail.com" TargetMode="External"/><Relationship Id="rId226" Type="http://schemas.openxmlformats.org/officeDocument/2006/relationships/hyperlink" Target="mailto:ahmadmukhreez346@gmail.com" TargetMode="External"/><Relationship Id="rId433" Type="http://schemas.openxmlformats.org/officeDocument/2006/relationships/hyperlink" Target="mailto:pb.servicestation@gmail.com" TargetMode="External"/><Relationship Id="rId878" Type="http://schemas.openxmlformats.org/officeDocument/2006/relationships/hyperlink" Target="mailto:zamros37@gmail.com" TargetMode="External"/><Relationship Id="rId1063" Type="http://schemas.openxmlformats.org/officeDocument/2006/relationships/hyperlink" Target="mailto:shanisa4@yahoo.com" TargetMode="External"/><Relationship Id="rId1270" Type="http://schemas.openxmlformats.org/officeDocument/2006/relationships/hyperlink" Target="mailto:knh1977@gmail.com" TargetMode="External"/><Relationship Id="rId640" Type="http://schemas.openxmlformats.org/officeDocument/2006/relationships/hyperlink" Target="mailto:csdgolden@gmail.com" TargetMode="External"/><Relationship Id="rId738" Type="http://schemas.openxmlformats.org/officeDocument/2006/relationships/hyperlink" Target="mailto:tgapetrol@yahoo.com" TargetMode="External"/><Relationship Id="rId945" Type="http://schemas.openxmlformats.org/officeDocument/2006/relationships/hyperlink" Target="mailto:ampetro_doc@yahoo.com" TargetMode="External"/><Relationship Id="rId1368" Type="http://schemas.openxmlformats.org/officeDocument/2006/relationships/hyperlink" Target="mailto:azharahmad2510@gmail.com" TargetMode="External"/><Relationship Id="rId74" Type="http://schemas.openxmlformats.org/officeDocument/2006/relationships/hyperlink" Target="mailto:einvoice-aptrade@aeonretail.com.my" TargetMode="External"/><Relationship Id="rId377" Type="http://schemas.openxmlformats.org/officeDocument/2006/relationships/hyperlink" Target="mailto:kceriakangarseriab@gmail.com" TargetMode="External"/><Relationship Id="rId500" Type="http://schemas.openxmlformats.org/officeDocument/2006/relationships/hyperlink" Target="mailto:afiqahamizah108@gmail.com" TargetMode="External"/><Relationship Id="rId584" Type="http://schemas.openxmlformats.org/officeDocument/2006/relationships/hyperlink" Target="mailto:psgmas@yahoo.com" TargetMode="External"/><Relationship Id="rId805" Type="http://schemas.openxmlformats.org/officeDocument/2006/relationships/hyperlink" Target="mailto:warisanelite@gmail.com" TargetMode="External"/><Relationship Id="rId1130" Type="http://schemas.openxmlformats.org/officeDocument/2006/relationships/hyperlink" Target="mailto:sobirrin@gmail.com" TargetMode="External"/><Relationship Id="rId1228" Type="http://schemas.openxmlformats.org/officeDocument/2006/relationships/hyperlink" Target="mailto:mhaamoh@gmail.com" TargetMode="External"/><Relationship Id="rId1435" Type="http://schemas.openxmlformats.org/officeDocument/2006/relationships/hyperlink" Target="mailto:anh.mart@gmail.com" TargetMode="External"/><Relationship Id="rId5" Type="http://schemas.openxmlformats.org/officeDocument/2006/relationships/hyperlink" Target="mailto:qariff2000@gmail.com" TargetMode="External"/><Relationship Id="rId237" Type="http://schemas.openxmlformats.org/officeDocument/2006/relationships/hyperlink" Target="mailto:fatin.syuhaid@gmail.com" TargetMode="External"/><Relationship Id="rId791" Type="http://schemas.openxmlformats.org/officeDocument/2006/relationships/hyperlink" Target="mailto:asmarzainal@yahoo.com" TargetMode="External"/><Relationship Id="rId889" Type="http://schemas.openxmlformats.org/officeDocument/2006/relationships/hyperlink" Target="mailto:hmomaide@yahoo.com" TargetMode="External"/><Relationship Id="rId1074" Type="http://schemas.openxmlformats.org/officeDocument/2006/relationships/hyperlink" Target="mailto:ahsanenterprise0@gmail.com" TargetMode="External"/><Relationship Id="rId444" Type="http://schemas.openxmlformats.org/officeDocument/2006/relationships/hyperlink" Target="mailto:procurement@unitar.my" TargetMode="External"/><Relationship Id="rId651" Type="http://schemas.openxmlformats.org/officeDocument/2006/relationships/hyperlink" Target="mailto:pmgpharmacysamudera@gmail.com" TargetMode="External"/><Relationship Id="rId749" Type="http://schemas.openxmlformats.org/officeDocument/2006/relationships/hyperlink" Target="mailto:muhammadrzulhilmi@gmail.com" TargetMode="External"/><Relationship Id="rId1281" Type="http://schemas.openxmlformats.org/officeDocument/2006/relationships/hyperlink" Target="mailto:nazpssb@gmail.com" TargetMode="External"/><Relationship Id="rId1379" Type="http://schemas.openxmlformats.org/officeDocument/2006/relationships/hyperlink" Target="mailto:info.bknfbp@gmail.com" TargetMode="External"/><Relationship Id="rId1502" Type="http://schemas.openxmlformats.org/officeDocument/2006/relationships/hyperlink" Target="mailto:carloznazri@radenembun.my" TargetMode="External"/><Relationship Id="rId290" Type="http://schemas.openxmlformats.org/officeDocument/2006/relationships/hyperlink" Target="mailto:biggy_man84@yahoo.com" TargetMode="External"/><Relationship Id="rId304" Type="http://schemas.openxmlformats.org/officeDocument/2006/relationships/hyperlink" Target="mailto:shakienasyamirarahmat@gmail.com" TargetMode="External"/><Relationship Id="rId388" Type="http://schemas.openxmlformats.org/officeDocument/2006/relationships/hyperlink" Target="mailto:haslindaabdullah19@gmail.com" TargetMode="External"/><Relationship Id="rId511" Type="http://schemas.openxmlformats.org/officeDocument/2006/relationships/hyperlink" Target="mailto:tuah.permaihijrah@gmail.com" TargetMode="External"/><Relationship Id="rId609" Type="http://schemas.openxmlformats.org/officeDocument/2006/relationships/hyperlink" Target="mailto:pss.anakbukit@yahoo.com" TargetMode="External"/><Relationship Id="rId956" Type="http://schemas.openxmlformats.org/officeDocument/2006/relationships/hyperlink" Target="mailto:pssmofa@gmail.com" TargetMode="External"/><Relationship Id="rId1141" Type="http://schemas.openxmlformats.org/officeDocument/2006/relationships/hyperlink" Target="mailto:petronaspgedong@gmail.com" TargetMode="External"/><Relationship Id="rId1239" Type="http://schemas.openxmlformats.org/officeDocument/2006/relationships/hyperlink" Target="mailto:rafidimohdzin@yahoo.com" TargetMode="External"/><Relationship Id="rId85" Type="http://schemas.openxmlformats.org/officeDocument/2006/relationships/hyperlink" Target="mailto:mmservices@yahoo.com" TargetMode="External"/><Relationship Id="rId150" Type="http://schemas.openxmlformats.org/officeDocument/2006/relationships/hyperlink" Target="mailto:nafizipjng@gmail.com" TargetMode="External"/><Relationship Id="rId595" Type="http://schemas.openxmlformats.org/officeDocument/2006/relationships/hyperlink" Target="mailto:rahizam.rahim@tdmberhad.com.my" TargetMode="External"/><Relationship Id="rId816" Type="http://schemas.openxmlformats.org/officeDocument/2006/relationships/hyperlink" Target="mailto:naufal95@hotmail.com" TargetMode="External"/><Relationship Id="rId1001" Type="http://schemas.openxmlformats.org/officeDocument/2006/relationships/hyperlink" Target="mailto:zuldahalan@gmail.com" TargetMode="External"/><Relationship Id="rId1446" Type="http://schemas.openxmlformats.org/officeDocument/2006/relationships/hyperlink" Target="mailto:sabdulhisham@yahoo.com" TargetMode="External"/><Relationship Id="rId248" Type="http://schemas.openxmlformats.org/officeDocument/2006/relationships/hyperlink" Target="mailto:drroslimas@yahoo.com" TargetMode="External"/><Relationship Id="rId455" Type="http://schemas.openxmlformats.org/officeDocument/2006/relationships/hyperlink" Target="mailto:sydmuhammadadam@gmail.com" TargetMode="External"/><Relationship Id="rId662" Type="http://schemas.openxmlformats.org/officeDocument/2006/relationships/hyperlink" Target="mailto:kbh88.solution@gmail.com" TargetMode="External"/><Relationship Id="rId1085" Type="http://schemas.openxmlformats.org/officeDocument/2006/relationships/hyperlink" Target="mailto:dellkiosk@yahoo.com" TargetMode="External"/><Relationship Id="rId1292" Type="http://schemas.openxmlformats.org/officeDocument/2006/relationships/hyperlink" Target="mailto:pstamananda@gmail.com" TargetMode="External"/><Relationship Id="rId1306" Type="http://schemas.openxmlformats.org/officeDocument/2006/relationships/hyperlink" Target="mailto:petronasdahlia@yahoo.com" TargetMode="External"/><Relationship Id="rId12" Type="http://schemas.openxmlformats.org/officeDocument/2006/relationships/hyperlink" Target="mailto:angahfariskp@gmail.com" TargetMode="External"/><Relationship Id="rId108" Type="http://schemas.openxmlformats.org/officeDocument/2006/relationships/hyperlink" Target="mailto:fita.madekan@gmail.com" TargetMode="External"/><Relationship Id="rId315" Type="http://schemas.openxmlformats.org/officeDocument/2006/relationships/hyperlink" Target="mailto:ain.azizah@bubbleso2.com" TargetMode="External"/><Relationship Id="rId522" Type="http://schemas.openxmlformats.org/officeDocument/2006/relationships/hyperlink" Target="mailto:fasiihajamari@gmail.com" TargetMode="External"/><Relationship Id="rId967" Type="http://schemas.openxmlformats.org/officeDocument/2006/relationships/hyperlink" Target="mailto:faizul365@gmail.com" TargetMode="External"/><Relationship Id="rId1152" Type="http://schemas.openxmlformats.org/officeDocument/2006/relationships/hyperlink" Target="mailto:razancre@gmail.com" TargetMode="External"/><Relationship Id="rId96" Type="http://schemas.openxmlformats.org/officeDocument/2006/relationships/hyperlink" Target="mailto:admin@koopsantun.yapeim.my" TargetMode="External"/><Relationship Id="rId161" Type="http://schemas.openxmlformats.org/officeDocument/2006/relationships/hyperlink" Target="mailto:iman.jazid@sapura-aero.com" TargetMode="External"/><Relationship Id="rId399" Type="http://schemas.openxmlformats.org/officeDocument/2006/relationships/hyperlink" Target="mailto:lizzamy80@gmail.com" TargetMode="External"/><Relationship Id="rId827" Type="http://schemas.openxmlformats.org/officeDocument/2006/relationships/hyperlink" Target="mailto:rniz686@gmail.com" TargetMode="External"/><Relationship Id="rId1012" Type="http://schemas.openxmlformats.org/officeDocument/2006/relationships/hyperlink" Target="mailto:supplier_aie@yahoo.com" TargetMode="External"/><Relationship Id="rId1457" Type="http://schemas.openxmlformats.org/officeDocument/2006/relationships/hyperlink" Target="mailto:bp.pasirbesar@felda.net.my" TargetMode="External"/><Relationship Id="rId259" Type="http://schemas.openxmlformats.org/officeDocument/2006/relationships/hyperlink" Target="mailto:xidosx@yahoo.com" TargetMode="External"/><Relationship Id="rId466" Type="http://schemas.openxmlformats.org/officeDocument/2006/relationships/hyperlink" Target="mailto:halijahjohari@gmail.com" TargetMode="External"/><Relationship Id="rId673" Type="http://schemas.openxmlformats.org/officeDocument/2006/relationships/hyperlink" Target="mailto:aknh.kamalia@gmail.com" TargetMode="External"/><Relationship Id="rId880" Type="http://schemas.openxmlformats.org/officeDocument/2006/relationships/hyperlink" Target="mailto:szshamsuddin@gmail.com" TargetMode="External"/><Relationship Id="rId1096" Type="http://schemas.openxmlformats.org/officeDocument/2006/relationships/hyperlink" Target="mailto:fh_intech@yahoo.com" TargetMode="External"/><Relationship Id="rId1317" Type="http://schemas.openxmlformats.org/officeDocument/2006/relationships/hyperlink" Target="mailto:azuraalim@gmail.com" TargetMode="External"/><Relationship Id="rId23" Type="http://schemas.openxmlformats.org/officeDocument/2006/relationships/hyperlink" Target="mailto:finance@teraju.gov.my" TargetMode="External"/><Relationship Id="rId119" Type="http://schemas.openxmlformats.org/officeDocument/2006/relationships/hyperlink" Target="mailto:wanridhuan.pgold@gmail.com" TargetMode="External"/><Relationship Id="rId326" Type="http://schemas.openxmlformats.org/officeDocument/2006/relationships/hyperlink" Target="mailto:bhpgemuruh@gmail.com" TargetMode="External"/><Relationship Id="rId533" Type="http://schemas.openxmlformats.org/officeDocument/2006/relationships/hyperlink" Target="mailto:farmasiharmonishifapenanti@gmail.com" TargetMode="External"/><Relationship Id="rId978" Type="http://schemas.openxmlformats.org/officeDocument/2006/relationships/hyperlink" Target="mailto:petroemas_klanas@yahoo.com" TargetMode="External"/><Relationship Id="rId1163" Type="http://schemas.openxmlformats.org/officeDocument/2006/relationships/hyperlink" Target="mailto:nuraminresources66@hotmail.com" TargetMode="External"/><Relationship Id="rId1370" Type="http://schemas.openxmlformats.org/officeDocument/2006/relationships/hyperlink" Target="mailto:azkotatinggi@gmail.com" TargetMode="External"/><Relationship Id="rId740" Type="http://schemas.openxmlformats.org/officeDocument/2006/relationships/hyperlink" Target="mailto:yusrazahir@gmail.com" TargetMode="External"/><Relationship Id="rId838" Type="http://schemas.openxmlformats.org/officeDocument/2006/relationships/hyperlink" Target="mailto:innerring@wavelet.com.my" TargetMode="External"/><Relationship Id="rId1023" Type="http://schemas.openxmlformats.org/officeDocument/2006/relationships/hyperlink" Target="mailto:pskrubong@gmail.com" TargetMode="External"/><Relationship Id="rId1468" Type="http://schemas.openxmlformats.org/officeDocument/2006/relationships/hyperlink" Target="mailto:pssmofa@yahoo.com.my" TargetMode="External"/><Relationship Id="rId172" Type="http://schemas.openxmlformats.org/officeDocument/2006/relationships/hyperlink" Target="mailto:profitvelo@gmail.com" TargetMode="External"/><Relationship Id="rId477" Type="http://schemas.openxmlformats.org/officeDocument/2006/relationships/hyperlink" Target="mailto:hamzahabdaziz3@gmail.com" TargetMode="External"/><Relationship Id="rId600" Type="http://schemas.openxmlformats.org/officeDocument/2006/relationships/hyperlink" Target="mailto:accounts-ap@jayagrocer.com" TargetMode="External"/><Relationship Id="rId684" Type="http://schemas.openxmlformats.org/officeDocument/2006/relationships/hyperlink" Target="mailto:masbukti@gmail.com" TargetMode="External"/><Relationship Id="rId1230" Type="http://schemas.openxmlformats.org/officeDocument/2006/relationships/hyperlink" Target="mailto:amir.zahid@gmail.com" TargetMode="External"/><Relationship Id="rId1328" Type="http://schemas.openxmlformats.org/officeDocument/2006/relationships/hyperlink" Target="mailto:psstmnkeladi@gmail.com" TargetMode="External"/><Relationship Id="rId337" Type="http://schemas.openxmlformats.org/officeDocument/2006/relationships/hyperlink" Target="mailto:Snurhairin@gmail.com" TargetMode="External"/><Relationship Id="rId891" Type="http://schemas.openxmlformats.org/officeDocument/2006/relationships/hyperlink" Target="mailto:zamri_trading@hotmail.com" TargetMode="External"/><Relationship Id="rId905" Type="http://schemas.openxmlformats.org/officeDocument/2006/relationships/hyperlink" Target="mailto:amranjalan@yahoo.com" TargetMode="External"/><Relationship Id="rId989" Type="http://schemas.openxmlformats.org/officeDocument/2006/relationships/hyperlink" Target="mailto:seetpuayleng@gmail.com" TargetMode="External"/><Relationship Id="rId34" Type="http://schemas.openxmlformats.org/officeDocument/2006/relationships/hyperlink" Target="mailto:S.shafiraazahari@gmail.com" TargetMode="External"/><Relationship Id="rId544" Type="http://schemas.openxmlformats.org/officeDocument/2006/relationships/hyperlink" Target="mailto:fazleeshah08@gmail.com" TargetMode="External"/><Relationship Id="rId751" Type="http://schemas.openxmlformats.org/officeDocument/2006/relationships/hyperlink" Target="mailto:pssbukitkayuhitam@gmail.com" TargetMode="External"/><Relationship Id="rId849" Type="http://schemas.openxmlformats.org/officeDocument/2006/relationships/hyperlink" Target="mailto:petronasjlnbayam@gmail.com" TargetMode="External"/><Relationship Id="rId1174" Type="http://schemas.openxmlformats.org/officeDocument/2006/relationships/hyperlink" Target="mailto:amirah.rahmann@gmail.com" TargetMode="External"/><Relationship Id="rId1381" Type="http://schemas.openxmlformats.org/officeDocument/2006/relationships/hyperlink" Target="mailto:mstipetron@gmail.com" TargetMode="External"/><Relationship Id="rId1479" Type="http://schemas.openxmlformats.org/officeDocument/2006/relationships/hyperlink" Target="mailto:manager.happyfuel@gmail.com" TargetMode="External"/><Relationship Id="rId183" Type="http://schemas.openxmlformats.org/officeDocument/2006/relationships/hyperlink" Target="mailto:gumballsafwan@gmail.com" TargetMode="External"/><Relationship Id="rId390" Type="http://schemas.openxmlformats.org/officeDocument/2006/relationships/hyperlink" Target="mailto:petrontamantunkuintansafinaz@gmail.com" TargetMode="External"/><Relationship Id="rId404" Type="http://schemas.openxmlformats.org/officeDocument/2006/relationships/hyperlink" Target="mailto:g6@econsave.com" TargetMode="External"/><Relationship Id="rId611" Type="http://schemas.openxmlformats.org/officeDocument/2006/relationships/hyperlink" Target="mailto:fazlimservicestation2014@yahoo.com" TargetMode="External"/><Relationship Id="rId1034" Type="http://schemas.openxmlformats.org/officeDocument/2006/relationships/hyperlink" Target="mailto:arjen_syafiq83@yahoo.com" TargetMode="External"/><Relationship Id="rId1241" Type="http://schemas.openxmlformats.org/officeDocument/2006/relationships/hyperlink" Target="mailto:zainahhassan@yahoo.com.my" TargetMode="External"/><Relationship Id="rId1339" Type="http://schemas.openxmlformats.org/officeDocument/2006/relationships/hyperlink" Target="mailto:azah_amin@yahoo.com" TargetMode="External"/><Relationship Id="rId250" Type="http://schemas.openxmlformats.org/officeDocument/2006/relationships/hyperlink" Target="mailto:faezal_alg@yahoo.com" TargetMode="External"/><Relationship Id="rId488" Type="http://schemas.openxmlformats.org/officeDocument/2006/relationships/hyperlink" Target="mailto:norazilawatizila75@gmail.com" TargetMode="External"/><Relationship Id="rId695" Type="http://schemas.openxmlformats.org/officeDocument/2006/relationships/hyperlink" Target="mailto:farmasisritengah@gmail.com" TargetMode="External"/><Relationship Id="rId709" Type="http://schemas.openxmlformats.org/officeDocument/2006/relationships/hyperlink" Target="mailto:linaoilrig@gmail.com" TargetMode="External"/><Relationship Id="rId916" Type="http://schemas.openxmlformats.org/officeDocument/2006/relationships/hyperlink" Target="mailto:latimai@yahoo.com" TargetMode="External"/><Relationship Id="rId1101" Type="http://schemas.openxmlformats.org/officeDocument/2006/relationships/hyperlink" Target="mailto:hatta2884@gmail.com" TargetMode="External"/><Relationship Id="rId45" Type="http://schemas.openxmlformats.org/officeDocument/2006/relationships/hyperlink" Target="mailto:mohdrizuan489@gmail.com" TargetMode="External"/><Relationship Id="rId110" Type="http://schemas.openxmlformats.org/officeDocument/2006/relationships/hyperlink" Target="mailto:nishanwar0710@gmail.com" TargetMode="External"/><Relationship Id="rId348" Type="http://schemas.openxmlformats.org/officeDocument/2006/relationships/hyperlink" Target="mailto:alaminbarokaheinvoice@gmail.com" TargetMode="External"/><Relationship Id="rId555" Type="http://schemas.openxmlformats.org/officeDocument/2006/relationships/hyperlink" Target="mailto:nst.mesra@gmail.com" TargetMode="External"/><Relationship Id="rId762" Type="http://schemas.openxmlformats.org/officeDocument/2006/relationships/hyperlink" Target="mailto:ptrns.chah@felda.net.my" TargetMode="External"/><Relationship Id="rId1185" Type="http://schemas.openxmlformats.org/officeDocument/2006/relationships/hyperlink" Target="mailto:fardzha.energy@gmail.com" TargetMode="External"/><Relationship Id="rId1392" Type="http://schemas.openxmlformats.org/officeDocument/2006/relationships/hyperlink" Target="mailto:multazamenterprise@yahoo.com" TargetMode="External"/><Relationship Id="rId1406" Type="http://schemas.openxmlformats.org/officeDocument/2006/relationships/hyperlink" Target="mailto:amir.azlina@yahoo.com" TargetMode="External"/><Relationship Id="rId194" Type="http://schemas.openxmlformats.org/officeDocument/2006/relationships/hyperlink" Target="mailto:harithfaiz3@gmail.com" TargetMode="External"/><Relationship Id="rId208" Type="http://schemas.openxmlformats.org/officeDocument/2006/relationships/hyperlink" Target="mailto:raihan.fitti@gmail.com" TargetMode="External"/><Relationship Id="rId415" Type="http://schemas.openxmlformats.org/officeDocument/2006/relationships/hyperlink" Target="mailto:hasnulintanberkat95@gmail.com" TargetMode="External"/><Relationship Id="rId622" Type="http://schemas.openxmlformats.org/officeDocument/2006/relationships/hyperlink" Target="mailto:iltizam101@gmail.com" TargetMode="External"/><Relationship Id="rId1045" Type="http://schemas.openxmlformats.org/officeDocument/2006/relationships/hyperlink" Target="mailto:esu.pssmaka@gmail.com" TargetMode="External"/><Relationship Id="rId1252" Type="http://schemas.openxmlformats.org/officeDocument/2006/relationships/hyperlink" Target="mailto:mohdshukeri@gmail.com" TargetMode="External"/><Relationship Id="rId261" Type="http://schemas.openxmlformats.org/officeDocument/2006/relationships/hyperlink" Target="mailto:wanarifsabri@gmail.com" TargetMode="External"/><Relationship Id="rId499" Type="http://schemas.openxmlformats.org/officeDocument/2006/relationships/hyperlink" Target="mailto:muhamadfirdaus.yahya@gmail.com" TargetMode="External"/><Relationship Id="rId927" Type="http://schemas.openxmlformats.org/officeDocument/2006/relationships/hyperlink" Target="mailto:halamajuenterprise@gmail.com" TargetMode="External"/><Relationship Id="rId1112" Type="http://schemas.openxmlformats.org/officeDocument/2006/relationships/hyperlink" Target="mailto:petronasppth2@gmail.com" TargetMode="External"/><Relationship Id="rId56" Type="http://schemas.openxmlformats.org/officeDocument/2006/relationships/hyperlink" Target="mailto:ielawyr@gmail.com" TargetMode="External"/><Relationship Id="rId359" Type="http://schemas.openxmlformats.org/officeDocument/2006/relationships/hyperlink" Target="mailto:ezdwan80@gmail.com" TargetMode="External"/><Relationship Id="rId566" Type="http://schemas.openxmlformats.org/officeDocument/2006/relationships/hyperlink" Target="mailto:wisdommerchantenterprise@gmail.com" TargetMode="External"/><Relationship Id="rId773" Type="http://schemas.openxmlformats.org/officeDocument/2006/relationships/hyperlink" Target="mailto:pkk_pb3793@yahoo.com.my" TargetMode="External"/><Relationship Id="rId1196" Type="http://schemas.openxmlformats.org/officeDocument/2006/relationships/hyperlink" Target="mailto:memenizar@yahoo.com" TargetMode="External"/><Relationship Id="rId1417" Type="http://schemas.openxmlformats.org/officeDocument/2006/relationships/hyperlink" Target="mailto:bkfslegacy@gmail.com" TargetMode="External"/><Relationship Id="rId121" Type="http://schemas.openxmlformats.org/officeDocument/2006/relationships/hyperlink" Target="mailto:zamri1308@yahoo.com.my" TargetMode="External"/><Relationship Id="rId219" Type="http://schemas.openxmlformats.org/officeDocument/2006/relationships/hyperlink" Target="mailto:mohamadsyafiq@ns.gov.my" TargetMode="External"/><Relationship Id="rId426" Type="http://schemas.openxmlformats.org/officeDocument/2006/relationships/hyperlink" Target="mailto:Es4hzali@gmail.com" TargetMode="External"/><Relationship Id="rId633" Type="http://schemas.openxmlformats.org/officeDocument/2006/relationships/hyperlink" Target="mailto:bakarkin@yahoo.com" TargetMode="External"/><Relationship Id="rId980" Type="http://schemas.openxmlformats.org/officeDocument/2006/relationships/hyperlink" Target="mailto:psskotadamansara1@gmail.com" TargetMode="External"/><Relationship Id="rId1056" Type="http://schemas.openxmlformats.org/officeDocument/2006/relationships/hyperlink" Target="mailto:ariza_ahmad04@yahoo.com" TargetMode="External"/><Relationship Id="rId1263" Type="http://schemas.openxmlformats.org/officeDocument/2006/relationships/hyperlink" Target="mailto:pssbakri@gmail.com" TargetMode="External"/><Relationship Id="rId840" Type="http://schemas.openxmlformats.org/officeDocument/2006/relationships/hyperlink" Target="mailto:rahmawati_pssjakar@hotmail.com" TargetMode="External"/><Relationship Id="rId938" Type="http://schemas.openxmlformats.org/officeDocument/2006/relationships/hyperlink" Target="mailto:avatarsoni1@yahoo.com" TargetMode="External"/><Relationship Id="rId1470" Type="http://schemas.openxmlformats.org/officeDocument/2006/relationships/hyperlink" Target="mailto:fariz@mra-sb.com" TargetMode="External"/><Relationship Id="rId67" Type="http://schemas.openxmlformats.org/officeDocument/2006/relationships/hyperlink" Target="mailto:muhammad.bubbleso2@gmail.com" TargetMode="External"/><Relationship Id="rId272" Type="http://schemas.openxmlformats.org/officeDocument/2006/relationships/hyperlink" Target="mailto:qistinairfandzarfan@gmail.com" TargetMode="External"/><Relationship Id="rId577" Type="http://schemas.openxmlformats.org/officeDocument/2006/relationships/hyperlink" Target="mailto:farmasiucare@gmail.com" TargetMode="External"/><Relationship Id="rId700" Type="http://schemas.openxmlformats.org/officeDocument/2006/relationships/hyperlink" Target="mailto:dilla_100886@yahoo.com" TargetMode="External"/><Relationship Id="rId1123" Type="http://schemas.openxmlformats.org/officeDocument/2006/relationships/hyperlink" Target="mailto:afknuramanis@gmail.com" TargetMode="External"/><Relationship Id="rId1330" Type="http://schemas.openxmlformats.org/officeDocument/2006/relationships/hyperlink" Target="mailto:roselynkm2@gmail.com" TargetMode="External"/><Relationship Id="rId1428" Type="http://schemas.openxmlformats.org/officeDocument/2006/relationships/hyperlink" Target="mailto:rafizalrizuwan@gmail.com" TargetMode="External"/><Relationship Id="rId132" Type="http://schemas.openxmlformats.org/officeDocument/2006/relationships/hyperlink" Target="mailto:bazilahothman@gmail.com" TargetMode="External"/><Relationship Id="rId784" Type="http://schemas.openxmlformats.org/officeDocument/2006/relationships/hyperlink" Target="mailto:arafoil2017@gmail.com" TargetMode="External"/><Relationship Id="rId991" Type="http://schemas.openxmlformats.org/officeDocument/2006/relationships/hyperlink" Target="mailto:pss.sri.saujana@gmail.com" TargetMode="External"/><Relationship Id="rId1067" Type="http://schemas.openxmlformats.org/officeDocument/2006/relationships/hyperlink" Target="mailto:slrksdkm78@gmail.com" TargetMode="External"/><Relationship Id="rId437" Type="http://schemas.openxmlformats.org/officeDocument/2006/relationships/hyperlink" Target="mailto:mohdjamil1908@gmail.com" TargetMode="External"/><Relationship Id="rId644" Type="http://schemas.openxmlformats.org/officeDocument/2006/relationships/hyperlink" Target="mailto:psbdrputeri.sv@gmail.com" TargetMode="External"/><Relationship Id="rId851" Type="http://schemas.openxmlformats.org/officeDocument/2006/relationships/hyperlink" Target="mailto:synergysaz@gmail.com" TargetMode="External"/><Relationship Id="rId1274" Type="http://schemas.openxmlformats.org/officeDocument/2006/relationships/hyperlink" Target="mailto:cintakuasapetro@gmail.com" TargetMode="External"/><Relationship Id="rId1481" Type="http://schemas.openxmlformats.org/officeDocument/2006/relationships/hyperlink" Target="mailto:petronaskechau@gmail.com" TargetMode="External"/><Relationship Id="rId283" Type="http://schemas.openxmlformats.org/officeDocument/2006/relationships/hyperlink" Target="mailto:acc.stargrocer@gmail.com" TargetMode="External"/><Relationship Id="rId490" Type="http://schemas.openxmlformats.org/officeDocument/2006/relationships/hyperlink" Target="mailto:salianasamsuddin@gmail.com" TargetMode="External"/><Relationship Id="rId504" Type="http://schemas.openxmlformats.org/officeDocument/2006/relationships/hyperlink" Target="mailto:madeyat34@gmail.com" TargetMode="External"/><Relationship Id="rId711" Type="http://schemas.openxmlformats.org/officeDocument/2006/relationships/hyperlink" Target="mailto:mrhussin@gmail.com" TargetMode="External"/><Relationship Id="rId949" Type="http://schemas.openxmlformats.org/officeDocument/2006/relationships/hyperlink" Target="mailto:yusoff_rry@yahoo.com.my" TargetMode="External"/><Relationship Id="rId1134" Type="http://schemas.openxmlformats.org/officeDocument/2006/relationships/hyperlink" Target="mailto:snacahayamesra@yahoo.com" TargetMode="External"/><Relationship Id="rId1341" Type="http://schemas.openxmlformats.org/officeDocument/2006/relationships/hyperlink" Target="mailto:iqramfara007@gmail.com" TargetMode="External"/><Relationship Id="rId78" Type="http://schemas.openxmlformats.org/officeDocument/2006/relationships/hyperlink" Target="mailto:khairulhilmi78@gmail.com" TargetMode="External"/><Relationship Id="rId143" Type="http://schemas.openxmlformats.org/officeDocument/2006/relationships/hyperlink" Target="mailto:najco.nilai@gmail.com" TargetMode="External"/><Relationship Id="rId350" Type="http://schemas.openxmlformats.org/officeDocument/2006/relationships/hyperlink" Target="mailto:ainazizam@yahoo.com" TargetMode="External"/><Relationship Id="rId588" Type="http://schemas.openxmlformats.org/officeDocument/2006/relationships/hyperlink" Target="mailto:cc.phrm@yahoo.com" TargetMode="External"/><Relationship Id="rId795" Type="http://schemas.openxmlformats.org/officeDocument/2006/relationships/hyperlink" Target="mailto:mafaz_petro@yahoo.com" TargetMode="External"/><Relationship Id="rId809" Type="http://schemas.openxmlformats.org/officeDocument/2006/relationships/hyperlink" Target="mailto:rafidah.chini1@gmail.com" TargetMode="External"/><Relationship Id="rId1201" Type="http://schemas.openxmlformats.org/officeDocument/2006/relationships/hyperlink" Target="mailto:pss_sek16bangi@yahoo.com" TargetMode="External"/><Relationship Id="rId1439" Type="http://schemas.openxmlformats.org/officeDocument/2006/relationships/hyperlink" Target="mailto:norazliza@unikeb.com" TargetMode="External"/><Relationship Id="rId9" Type="http://schemas.openxmlformats.org/officeDocument/2006/relationships/hyperlink" Target="mailto:muhammadasyrafmdisa@gmail.com" TargetMode="External"/><Relationship Id="rId210" Type="http://schemas.openxmlformats.org/officeDocument/2006/relationships/hyperlink" Target="mailto:mzstarvil1296@gmail.com" TargetMode="External"/><Relationship Id="rId448" Type="http://schemas.openxmlformats.org/officeDocument/2006/relationships/hyperlink" Target="mailto:pnurlaiqqa@gmail.com" TargetMode="External"/><Relationship Id="rId655" Type="http://schemas.openxmlformats.org/officeDocument/2006/relationships/hyperlink" Target="mailto:rmrroha@gmail.com" TargetMode="External"/><Relationship Id="rId862" Type="http://schemas.openxmlformats.org/officeDocument/2006/relationships/hyperlink" Target="mailto:ezpetrocare@gmail.com" TargetMode="External"/><Relationship Id="rId1078" Type="http://schemas.openxmlformats.org/officeDocument/2006/relationships/hyperlink" Target="mailto:rezamsulong@hotmail.com" TargetMode="External"/><Relationship Id="rId1285" Type="http://schemas.openxmlformats.org/officeDocument/2006/relationships/hyperlink" Target="mailto:mruzzi@yahoo.com" TargetMode="External"/><Relationship Id="rId1492" Type="http://schemas.openxmlformats.org/officeDocument/2006/relationships/hyperlink" Target="mailto:usiah@opus.com.my" TargetMode="External"/><Relationship Id="rId1506" Type="http://schemas.openxmlformats.org/officeDocument/2006/relationships/hyperlink" Target="mailto:petronasjalanbayam2@gmail.com" TargetMode="External"/><Relationship Id="rId294" Type="http://schemas.openxmlformats.org/officeDocument/2006/relationships/hyperlink" Target="mailto:sitihazairah@gmail.com" TargetMode="External"/><Relationship Id="rId308" Type="http://schemas.openxmlformats.org/officeDocument/2006/relationships/hyperlink" Target="mailto:abubakar130157@gmail.com" TargetMode="External"/><Relationship Id="rId515" Type="http://schemas.openxmlformats.org/officeDocument/2006/relationships/hyperlink" Target="mailto:eskayts@gmail.com" TargetMode="External"/><Relationship Id="rId722" Type="http://schemas.openxmlformats.org/officeDocument/2006/relationships/hyperlink" Target="mailto:petro.mesra@gmail.com" TargetMode="External"/><Relationship Id="rId1145" Type="http://schemas.openxmlformats.org/officeDocument/2006/relationships/hyperlink" Target="mailto:scsprimaent@yahoo.com" TargetMode="External"/><Relationship Id="rId1352" Type="http://schemas.openxmlformats.org/officeDocument/2006/relationships/hyperlink" Target="mailto:ptpj2020@gmail.com" TargetMode="External"/><Relationship Id="rId89" Type="http://schemas.openxmlformats.org/officeDocument/2006/relationships/hyperlink" Target="mailto:d.ireland@imar.my" TargetMode="External"/><Relationship Id="rId154" Type="http://schemas.openxmlformats.org/officeDocument/2006/relationships/hyperlink" Target="mailto:nellykosmetik21@gmail.com" TargetMode="External"/><Relationship Id="rId361" Type="http://schemas.openxmlformats.org/officeDocument/2006/relationships/hyperlink" Target="mailto:suaibah@gmail.com" TargetMode="External"/><Relationship Id="rId599" Type="http://schemas.openxmlformats.org/officeDocument/2006/relationships/hyperlink" Target="mailto:ayubentp@yahoo.com" TargetMode="External"/><Relationship Id="rId1005" Type="http://schemas.openxmlformats.org/officeDocument/2006/relationships/hyperlink" Target="mailto:sasutera@ymail.com" TargetMode="External"/><Relationship Id="rId1212" Type="http://schemas.openxmlformats.org/officeDocument/2006/relationships/hyperlink" Target="mailto:zaiton7171@yahoo.com" TargetMode="External"/><Relationship Id="rId459" Type="http://schemas.openxmlformats.org/officeDocument/2006/relationships/hyperlink" Target="mailto:farahidayuhalim@gmail.com" TargetMode="External"/><Relationship Id="rId666" Type="http://schemas.openxmlformats.org/officeDocument/2006/relationships/hyperlink" Target="mailto:rrcafe7788@gmail.com" TargetMode="External"/><Relationship Id="rId873" Type="http://schemas.openxmlformats.org/officeDocument/2006/relationships/hyperlink" Target="mailto:petromart_ent@yahoo.com" TargetMode="External"/><Relationship Id="rId1089" Type="http://schemas.openxmlformats.org/officeDocument/2006/relationships/hyperlink" Target="mailto:azraazman@gmail.com" TargetMode="External"/><Relationship Id="rId1296" Type="http://schemas.openxmlformats.org/officeDocument/2006/relationships/hyperlink" Target="mailto:b.putri2010@gmail.com" TargetMode="External"/><Relationship Id="rId16" Type="http://schemas.openxmlformats.org/officeDocument/2006/relationships/hyperlink" Target="mailto:irdinatasya3010@gmail.com" TargetMode="External"/><Relationship Id="rId221" Type="http://schemas.openxmlformats.org/officeDocument/2006/relationships/hyperlink" Target="mailto:sitinurshafiqa301@gmail.com" TargetMode="External"/><Relationship Id="rId319" Type="http://schemas.openxmlformats.org/officeDocument/2006/relationships/hyperlink" Target="mailto:manza0603@gmail.com" TargetMode="External"/><Relationship Id="rId526" Type="http://schemas.openxmlformats.org/officeDocument/2006/relationships/hyperlink" Target="mailto:hasfazurai@kopetro.com.my" TargetMode="External"/><Relationship Id="rId1156" Type="http://schemas.openxmlformats.org/officeDocument/2006/relationships/hyperlink" Target="mailto:petronaspd2@gmail.com" TargetMode="External"/><Relationship Id="rId1363" Type="http://schemas.openxmlformats.org/officeDocument/2006/relationships/hyperlink" Target="mailto:chailengparkpharmacy@hotmail.com" TargetMode="External"/><Relationship Id="rId733" Type="http://schemas.openxmlformats.org/officeDocument/2006/relationships/hyperlink" Target="mailto:faizdato@gmail.com" TargetMode="External"/><Relationship Id="rId940" Type="http://schemas.openxmlformats.org/officeDocument/2006/relationships/hyperlink" Target="mailto:nkmajupetromart@gmail.com" TargetMode="External"/><Relationship Id="rId1016" Type="http://schemas.openxmlformats.org/officeDocument/2006/relationships/hyperlink" Target="mailto:akidmaju.lavender@gmail.com" TargetMode="External"/><Relationship Id="rId165" Type="http://schemas.openxmlformats.org/officeDocument/2006/relationships/hyperlink" Target="mailto:ganesanvadivellu@gmail.com" TargetMode="External"/><Relationship Id="rId372" Type="http://schemas.openxmlformats.org/officeDocument/2006/relationships/hyperlink" Target="mailto:najihahhazizan@gmail.com" TargetMode="External"/><Relationship Id="rId677" Type="http://schemas.openxmlformats.org/officeDocument/2006/relationships/hyperlink" Target="mailto:sharifahbdru@gmail.com" TargetMode="External"/><Relationship Id="rId800" Type="http://schemas.openxmlformats.org/officeDocument/2006/relationships/hyperlink" Target="mailto:pdt292@gmail.com" TargetMode="External"/><Relationship Id="rId1223" Type="http://schemas.openxmlformats.org/officeDocument/2006/relationships/hyperlink" Target="mailto:zuraini_b@yahoo.com" TargetMode="External"/><Relationship Id="rId1430" Type="http://schemas.openxmlformats.org/officeDocument/2006/relationships/hyperlink" Target="mailto:psstpm2@gmail.com" TargetMode="External"/><Relationship Id="rId232" Type="http://schemas.openxmlformats.org/officeDocument/2006/relationships/hyperlink" Target="mailto:burn68920@gmail.com" TargetMode="External"/><Relationship Id="rId884" Type="http://schemas.openxmlformats.org/officeDocument/2006/relationships/hyperlink" Target="mailto:snorzihan@gmail.com" TargetMode="External"/><Relationship Id="rId27" Type="http://schemas.openxmlformats.org/officeDocument/2006/relationships/hyperlink" Target="mailto:dgkuantan@gmail.com" TargetMode="External"/><Relationship Id="rId537" Type="http://schemas.openxmlformats.org/officeDocument/2006/relationships/hyperlink" Target="mailto:muhammaduwaisalfawwaz@gmail.com" TargetMode="External"/><Relationship Id="rId744" Type="http://schemas.openxmlformats.org/officeDocument/2006/relationships/hyperlink" Target="mailto:actgreen.stn@gmail.com" TargetMode="External"/><Relationship Id="rId951" Type="http://schemas.openxmlformats.org/officeDocument/2006/relationships/hyperlink" Target="mailto:norlia3297@gmail.com" TargetMode="External"/><Relationship Id="rId1167" Type="http://schemas.openxmlformats.org/officeDocument/2006/relationships/hyperlink" Target="mailto:nc@permatagroup.com.my" TargetMode="External"/><Relationship Id="rId1374" Type="http://schemas.openxmlformats.org/officeDocument/2006/relationships/hyperlink" Target="mailto:norhayatew@gmail.com" TargetMode="External"/><Relationship Id="rId80" Type="http://schemas.openxmlformats.org/officeDocument/2006/relationships/hyperlink" Target="mailto:fasb.bukitmahkota@gmail.com" TargetMode="External"/><Relationship Id="rId176" Type="http://schemas.openxmlformats.org/officeDocument/2006/relationships/hyperlink" Target="mailto:farmasimyindahacc@gmail.com" TargetMode="External"/><Relationship Id="rId383" Type="http://schemas.openxmlformats.org/officeDocument/2006/relationships/hyperlink" Target="mailto:ctwellkp@yahoo.com" TargetMode="External"/><Relationship Id="rId590" Type="http://schemas.openxmlformats.org/officeDocument/2006/relationships/hyperlink" Target="mailto:alifrahim96@gmail.com" TargetMode="External"/><Relationship Id="rId604" Type="http://schemas.openxmlformats.org/officeDocument/2006/relationships/hyperlink" Target="mailto:rivermoxieenergy@gmail.com" TargetMode="External"/><Relationship Id="rId811" Type="http://schemas.openxmlformats.org/officeDocument/2006/relationships/hyperlink" Target="mailto:smkopfk1@yahoo.com" TargetMode="External"/><Relationship Id="rId1027" Type="http://schemas.openxmlformats.org/officeDocument/2006/relationships/hyperlink" Target="mailto:lauce65@yahoo.com" TargetMode="External"/><Relationship Id="rId1234" Type="http://schemas.openxmlformats.org/officeDocument/2006/relationships/hyperlink" Target="mailto:petronas.silk@gmail.com" TargetMode="External"/><Relationship Id="rId1441" Type="http://schemas.openxmlformats.org/officeDocument/2006/relationships/hyperlink" Target="mailto:petronasusj14@gmail.com" TargetMode="External"/><Relationship Id="rId243" Type="http://schemas.openxmlformats.org/officeDocument/2006/relationships/hyperlink" Target="mailto:jelutongstar@gmail.com" TargetMode="External"/><Relationship Id="rId450" Type="http://schemas.openxmlformats.org/officeDocument/2006/relationships/hyperlink" Target="mailto:riverfaithstrong@gmail.com" TargetMode="External"/><Relationship Id="rId688" Type="http://schemas.openxmlformats.org/officeDocument/2006/relationships/hyperlink" Target="mailto:finance@oceanwide.com.my" TargetMode="External"/><Relationship Id="rId895" Type="http://schemas.openxmlformats.org/officeDocument/2006/relationships/hyperlink" Target="mailto:Ibzisynergy01@gmail.com" TargetMode="External"/><Relationship Id="rId909" Type="http://schemas.openxmlformats.org/officeDocument/2006/relationships/hyperlink" Target="mailto:zahil888@gmail.com" TargetMode="External"/><Relationship Id="rId1080" Type="http://schemas.openxmlformats.org/officeDocument/2006/relationships/hyperlink" Target="mailto:dszainahent@gmail.com" TargetMode="External"/><Relationship Id="rId1301" Type="http://schemas.openxmlformats.org/officeDocument/2006/relationships/hyperlink" Target="mailto:mylifepharmacyhq@gmail.com" TargetMode="External"/><Relationship Id="rId38" Type="http://schemas.openxmlformats.org/officeDocument/2006/relationships/hyperlink" Target="mailto:khadijahmahmudin6363@gmail.com" TargetMode="External"/><Relationship Id="rId103" Type="http://schemas.openxmlformats.org/officeDocument/2006/relationships/hyperlink" Target="mailto:izzudinazahari@gmail.com" TargetMode="External"/><Relationship Id="rId310" Type="http://schemas.openxmlformats.org/officeDocument/2006/relationships/hyperlink" Target="mailto:abunursitihajar@gmail.com" TargetMode="External"/><Relationship Id="rId548" Type="http://schemas.openxmlformats.org/officeDocument/2006/relationships/hyperlink" Target="mailto:afiqsafwanafiqsafwan@gmail.com" TargetMode="External"/><Relationship Id="rId755" Type="http://schemas.openxmlformats.org/officeDocument/2006/relationships/hyperlink" Target="mailto:lemyra13@gmail.com" TargetMode="External"/><Relationship Id="rId962" Type="http://schemas.openxmlformats.org/officeDocument/2006/relationships/hyperlink" Target="mailto:psklebangbesar@gmail.com" TargetMode="External"/><Relationship Id="rId1178" Type="http://schemas.openxmlformats.org/officeDocument/2006/relationships/hyperlink" Target="mailto:zamanitambichek@yahoo.com" TargetMode="External"/><Relationship Id="rId1385" Type="http://schemas.openxmlformats.org/officeDocument/2006/relationships/hyperlink" Target="mailto:petrosetia05@gmail.com" TargetMode="External"/><Relationship Id="rId91" Type="http://schemas.openxmlformats.org/officeDocument/2006/relationships/hyperlink" Target="mailto:nurviacare.ent@gmail.com" TargetMode="External"/><Relationship Id="rId187" Type="http://schemas.openxmlformats.org/officeDocument/2006/relationships/hyperlink" Target="mailto:dillayana970812@gmail.com" TargetMode="External"/><Relationship Id="rId394" Type="http://schemas.openxmlformats.org/officeDocument/2006/relationships/hyperlink" Target="mailto:yenlelong@yahoo.com" TargetMode="External"/><Relationship Id="rId408" Type="http://schemas.openxmlformats.org/officeDocument/2006/relationships/hyperlink" Target="mailto:frzglobal2025@gmail.com" TargetMode="External"/><Relationship Id="rId615" Type="http://schemas.openxmlformats.org/officeDocument/2006/relationships/hyperlink" Target="mailto:rahimiidealflow@gmail.com" TargetMode="External"/><Relationship Id="rId822" Type="http://schemas.openxmlformats.org/officeDocument/2006/relationships/hyperlink" Target="mailto:petronasgemereh@gmail.com" TargetMode="External"/><Relationship Id="rId1038" Type="http://schemas.openxmlformats.org/officeDocument/2006/relationships/hyperlink" Target="mailto:emeliasuaib812@gmail.com" TargetMode="External"/><Relationship Id="rId1245" Type="http://schemas.openxmlformats.org/officeDocument/2006/relationships/hyperlink" Target="mailto:fastrich.malaysia@gmail.com" TargetMode="External"/><Relationship Id="rId1452" Type="http://schemas.openxmlformats.org/officeDocument/2006/relationships/hyperlink" Target="mailto:kham_caltex@yahoo.com" TargetMode="External"/><Relationship Id="rId254" Type="http://schemas.openxmlformats.org/officeDocument/2006/relationships/hyperlink" Target="mailto:stngemini1@gmail.com" TargetMode="External"/><Relationship Id="rId699" Type="http://schemas.openxmlformats.org/officeDocument/2006/relationships/hyperlink" Target="mailto:zaimnowshera.s939@gmail.com" TargetMode="External"/><Relationship Id="rId1091" Type="http://schemas.openxmlformats.org/officeDocument/2006/relationships/hyperlink" Target="mailto:pssdayainsan@gmail.com" TargetMode="External"/><Relationship Id="rId1105" Type="http://schemas.openxmlformats.org/officeDocument/2006/relationships/hyperlink" Target="mailto:samsuddinhjselamat@yahoo.com" TargetMode="External"/><Relationship Id="rId1312" Type="http://schemas.openxmlformats.org/officeDocument/2006/relationships/hyperlink" Target="mailto:sungaisetarenterprise@gmail.com" TargetMode="External"/><Relationship Id="rId49" Type="http://schemas.openxmlformats.org/officeDocument/2006/relationships/hyperlink" Target="mailto:khayrarichenterprise@gmail.com" TargetMode="External"/><Relationship Id="rId114" Type="http://schemas.openxmlformats.org/officeDocument/2006/relationships/hyperlink" Target="mailto:khairulzamanmansor@gmail.com" TargetMode="External"/><Relationship Id="rId461" Type="http://schemas.openxmlformats.org/officeDocument/2006/relationships/hyperlink" Target="mailto:kp_petromiles@hotmail.com" TargetMode="External"/><Relationship Id="rId559" Type="http://schemas.openxmlformats.org/officeDocument/2006/relationships/hyperlink" Target="mailto:petronas168@gmail.com" TargetMode="External"/><Relationship Id="rId766" Type="http://schemas.openxmlformats.org/officeDocument/2006/relationships/hyperlink" Target="mailto:psschanglun@gmail.com" TargetMode="External"/><Relationship Id="rId1189" Type="http://schemas.openxmlformats.org/officeDocument/2006/relationships/hyperlink" Target="mailto:rawangrsa@hotmail.com" TargetMode="External"/><Relationship Id="rId1396" Type="http://schemas.openxmlformats.org/officeDocument/2006/relationships/hyperlink" Target="mailto:era_tualang@yahoo.com" TargetMode="External"/><Relationship Id="rId198" Type="http://schemas.openxmlformats.org/officeDocument/2006/relationships/hyperlink" Target="mailto:penangshams@gmail.com" TargetMode="External"/><Relationship Id="rId321" Type="http://schemas.openxmlformats.org/officeDocument/2006/relationships/hyperlink" Target="mailto:norida.aqilah21@gmail.com" TargetMode="External"/><Relationship Id="rId419" Type="http://schemas.openxmlformats.org/officeDocument/2006/relationships/hyperlink" Target="mailto:hafizmuqri735@gmail.com" TargetMode="External"/><Relationship Id="rId626" Type="http://schemas.openxmlformats.org/officeDocument/2006/relationships/hyperlink" Target="mailto:myqaira2u@gmail.com" TargetMode="External"/><Relationship Id="rId973" Type="http://schemas.openxmlformats.org/officeDocument/2006/relationships/hyperlink" Target="mailto:dziyafauzi@hotmail.com" TargetMode="External"/><Relationship Id="rId1049" Type="http://schemas.openxmlformats.org/officeDocument/2006/relationships/hyperlink" Target="mailto:ida.pssmatahari@yahoo.com" TargetMode="External"/><Relationship Id="rId1256" Type="http://schemas.openxmlformats.org/officeDocument/2006/relationships/hyperlink" Target="mailto:norazah1609@gmail.com" TargetMode="External"/><Relationship Id="rId833" Type="http://schemas.openxmlformats.org/officeDocument/2006/relationships/hyperlink" Target="mailto:ezzatiamran17@gmail.com" TargetMode="External"/><Relationship Id="rId1116" Type="http://schemas.openxmlformats.org/officeDocument/2006/relationships/hyperlink" Target="mailto:nzbmesra@gmail.com" TargetMode="External"/><Relationship Id="rId1463" Type="http://schemas.openxmlformats.org/officeDocument/2006/relationships/hyperlink" Target="mailto:ppputamaenterprise@gmail.com," TargetMode="External"/><Relationship Id="rId265" Type="http://schemas.openxmlformats.org/officeDocument/2006/relationships/hyperlink" Target="mailto:muhdhafizzudinafiq@gmail.com" TargetMode="External"/><Relationship Id="rId472" Type="http://schemas.openxmlformats.org/officeDocument/2006/relationships/hyperlink" Target="mailto:anasdister08897@gmial.com" TargetMode="External"/><Relationship Id="rId900" Type="http://schemas.openxmlformats.org/officeDocument/2006/relationships/hyperlink" Target="mailto:kasirul@hotmail.com" TargetMode="External"/><Relationship Id="rId1323" Type="http://schemas.openxmlformats.org/officeDocument/2006/relationships/hyperlink" Target="mailto:dzainahent@gmail.com" TargetMode="External"/><Relationship Id="rId125" Type="http://schemas.openxmlformats.org/officeDocument/2006/relationships/hyperlink" Target="mailto:nurzahirahzakaria21@gmail.com" TargetMode="External"/><Relationship Id="rId332" Type="http://schemas.openxmlformats.org/officeDocument/2006/relationships/hyperlink" Target="mailto:abdulsardar45@gmail.com" TargetMode="External"/><Relationship Id="rId777" Type="http://schemas.openxmlformats.org/officeDocument/2006/relationships/hyperlink" Target="mailto:wawasankd@gmail.com" TargetMode="External"/><Relationship Id="rId984" Type="http://schemas.openxmlformats.org/officeDocument/2006/relationships/hyperlink" Target="mailto:psskuah@gmail.com" TargetMode="External"/><Relationship Id="rId637" Type="http://schemas.openxmlformats.org/officeDocument/2006/relationships/hyperlink" Target="mailto:pssmeruraya@gmail.com/%20pss_meruraya@yahoo.com" TargetMode="External"/><Relationship Id="rId844" Type="http://schemas.openxmlformats.org/officeDocument/2006/relationships/hyperlink" Target="mailto:mohd.basharuddin@gmail.com" TargetMode="External"/><Relationship Id="rId1267" Type="http://schemas.openxmlformats.org/officeDocument/2006/relationships/hyperlink" Target="mailto:ptrns.sungaigurap@felda.net.my" TargetMode="External"/><Relationship Id="rId1474" Type="http://schemas.openxmlformats.org/officeDocument/2006/relationships/hyperlink" Target="mailto:serimutiara147@gmail.com" TargetMode="External"/><Relationship Id="rId276" Type="http://schemas.openxmlformats.org/officeDocument/2006/relationships/hyperlink" Target="mailto:ahmadtarmiziujang@gmail.com" TargetMode="External"/><Relationship Id="rId483" Type="http://schemas.openxmlformats.org/officeDocument/2006/relationships/hyperlink" Target="mailto:busroniyusof@gmail.com" TargetMode="External"/><Relationship Id="rId690" Type="http://schemas.openxmlformats.org/officeDocument/2006/relationships/hyperlink" Target="mailto:szarinawatie@malaysiaairports.com.my" TargetMode="External"/><Relationship Id="rId704" Type="http://schemas.openxmlformats.org/officeDocument/2006/relationships/hyperlink" Target="mailto:sitinorhayatimohdnor@yahoo.com" TargetMode="External"/><Relationship Id="rId911" Type="http://schemas.openxmlformats.org/officeDocument/2006/relationships/hyperlink" Target="mailto:psssgjati@gmail.com" TargetMode="External"/><Relationship Id="rId1127" Type="http://schemas.openxmlformats.org/officeDocument/2006/relationships/hyperlink" Target="mailto:fizrai.strongwell@gmail.com" TargetMode="External"/><Relationship Id="rId1334" Type="http://schemas.openxmlformats.org/officeDocument/2006/relationships/hyperlink" Target="mailto:nida846@yahoo.com" TargetMode="External"/><Relationship Id="rId40" Type="http://schemas.openxmlformats.org/officeDocument/2006/relationships/hyperlink" Target="mailto:nurbaiti9308@gmail.com" TargetMode="External"/><Relationship Id="rId136" Type="http://schemas.openxmlformats.org/officeDocument/2006/relationships/hyperlink" Target="mailto:norashidmdnor37@gmail.com" TargetMode="External"/><Relationship Id="rId343" Type="http://schemas.openxmlformats.org/officeDocument/2006/relationships/hyperlink" Target="mailto:ihsan.nsdk@gmail.com" TargetMode="External"/><Relationship Id="rId550" Type="http://schemas.openxmlformats.org/officeDocument/2006/relationships/hyperlink" Target="mailto:rainaauni20@gmail.com" TargetMode="External"/><Relationship Id="rId788" Type="http://schemas.openxmlformats.org/officeDocument/2006/relationships/hyperlink" Target="mailto:ptrns.damansaraalif@felda.net.my" TargetMode="External"/><Relationship Id="rId995" Type="http://schemas.openxmlformats.org/officeDocument/2006/relationships/hyperlink" Target="mailto:intan2dy1@gmail.com" TargetMode="External"/><Relationship Id="rId1180" Type="http://schemas.openxmlformats.org/officeDocument/2006/relationships/hyperlink" Target="mailto:arzeck14@gmail.com" TargetMode="External"/><Relationship Id="rId1401" Type="http://schemas.openxmlformats.org/officeDocument/2006/relationships/hyperlink" Target="mailto:petronas_pj@yahoo.com" TargetMode="External"/><Relationship Id="rId203" Type="http://schemas.openxmlformats.org/officeDocument/2006/relationships/hyperlink" Target="mailto:saukatali151263@gmail.com" TargetMode="External"/><Relationship Id="rId648" Type="http://schemas.openxmlformats.org/officeDocument/2006/relationships/hyperlink" Target="mailto:mohd.izuan@bidaisariresort.com.my" TargetMode="External"/><Relationship Id="rId855" Type="http://schemas.openxmlformats.org/officeDocument/2006/relationships/hyperlink" Target="mailto:petronasgenuang@gmail.com" TargetMode="External"/><Relationship Id="rId1040" Type="http://schemas.openxmlformats.org/officeDocument/2006/relationships/hyperlink" Target="mailto:nuridenterprise@gmail.com" TargetMode="External"/><Relationship Id="rId1278" Type="http://schemas.openxmlformats.org/officeDocument/2006/relationships/hyperlink" Target="mailto:azah_kamardin@yahoo.com" TargetMode="External"/><Relationship Id="rId1485" Type="http://schemas.openxmlformats.org/officeDocument/2006/relationships/hyperlink" Target="mailto:info@anfort.com%20/%20anfort.corporation@gmail.com" TargetMode="External"/><Relationship Id="rId287" Type="http://schemas.openxmlformats.org/officeDocument/2006/relationships/hyperlink" Target="mailto:beedesigns1@gmail.com" TargetMode="External"/><Relationship Id="rId410" Type="http://schemas.openxmlformats.org/officeDocument/2006/relationships/hyperlink" Target="mailto:wanyssnacks14@gmail.com" TargetMode="External"/><Relationship Id="rId494" Type="http://schemas.openxmlformats.org/officeDocument/2006/relationships/hyperlink" Target="mailto:mohdfirdaus@ns.gov.my" TargetMode="External"/><Relationship Id="rId508" Type="http://schemas.openxmlformats.org/officeDocument/2006/relationships/hyperlink" Target="mailto:energysonic.my@gmail.com" TargetMode="External"/><Relationship Id="rId715" Type="http://schemas.openxmlformats.org/officeDocument/2006/relationships/hyperlink" Target="mailto:zhastationlegacy@gmail.com" TargetMode="External"/><Relationship Id="rId922" Type="http://schemas.openxmlformats.org/officeDocument/2006/relationships/hyperlink" Target="mailto:telokblangah_jb@yahoo.com" TargetMode="External"/><Relationship Id="rId1138" Type="http://schemas.openxmlformats.org/officeDocument/2006/relationships/hyperlink" Target="mailto:2petpro@gmail.com" TargetMode="External"/><Relationship Id="rId1345" Type="http://schemas.openxmlformats.org/officeDocument/2006/relationships/hyperlink" Target="mailto:norashidahasrin@yahoo.com" TargetMode="External"/><Relationship Id="rId147" Type="http://schemas.openxmlformats.org/officeDocument/2006/relationships/hyperlink" Target="mailto:azriagil@gmail.com" TargetMode="External"/><Relationship Id="rId354" Type="http://schemas.openxmlformats.org/officeDocument/2006/relationships/hyperlink" Target="mailto:alizanoor1219@gmail.com" TargetMode="External"/><Relationship Id="rId799" Type="http://schemas.openxmlformats.org/officeDocument/2006/relationships/hyperlink" Target="mailto:pssdesaru@gmail.com" TargetMode="External"/><Relationship Id="rId1191" Type="http://schemas.openxmlformats.org/officeDocument/2006/relationships/hyperlink" Target="mailto:hifzuddin.radzi@gmail.com" TargetMode="External"/><Relationship Id="rId1205" Type="http://schemas.openxmlformats.org/officeDocument/2006/relationships/hyperlink" Target="mailto:UMIZSS@GMAIL.COM" TargetMode="External"/><Relationship Id="rId51" Type="http://schemas.openxmlformats.org/officeDocument/2006/relationships/hyperlink" Target="mailto:kstmsdnbhd@yahoo.com" TargetMode="External"/><Relationship Id="rId561" Type="http://schemas.openxmlformats.org/officeDocument/2006/relationships/hyperlink" Target="mailto:rx.wellness.pharmacy@gmail.com" TargetMode="External"/><Relationship Id="rId659" Type="http://schemas.openxmlformats.org/officeDocument/2006/relationships/hyperlink" Target="mailto:mr_roscorn@yahoo.com.my" TargetMode="External"/><Relationship Id="rId866" Type="http://schemas.openxmlformats.org/officeDocument/2006/relationships/hyperlink" Target="mailto:zulkarnain.hf@gmail.com" TargetMode="External"/><Relationship Id="rId1289" Type="http://schemas.openxmlformats.org/officeDocument/2006/relationships/hyperlink" Target="mailto:sairampetro@yahoo.com" TargetMode="External"/><Relationship Id="rId1412" Type="http://schemas.openxmlformats.org/officeDocument/2006/relationships/hyperlink" Target="mailto:salisyateam@gmail.com" TargetMode="External"/><Relationship Id="rId1496" Type="http://schemas.openxmlformats.org/officeDocument/2006/relationships/hyperlink" Target="mailto:nfsamg9930@gmail.com" TargetMode="External"/><Relationship Id="rId214" Type="http://schemas.openxmlformats.org/officeDocument/2006/relationships/hyperlink" Target="mailto:yobparis@gmail.com" TargetMode="External"/><Relationship Id="rId298" Type="http://schemas.openxmlformats.org/officeDocument/2006/relationships/hyperlink" Target="mailto:imissyou123489@gmail.com" TargetMode="External"/><Relationship Id="rId421" Type="http://schemas.openxmlformats.org/officeDocument/2006/relationships/hyperlink" Target="mailto:hijjaz.kamal@gmail.com" TargetMode="External"/><Relationship Id="rId519" Type="http://schemas.openxmlformats.org/officeDocument/2006/relationships/hyperlink" Target="mailto:hazrol@risdaventures.com.my" TargetMode="External"/><Relationship Id="rId1051" Type="http://schemas.openxmlformats.org/officeDocument/2006/relationships/hyperlink" Target="mailto:marinastation2020@gmail.com" TargetMode="External"/><Relationship Id="rId1149" Type="http://schemas.openxmlformats.org/officeDocument/2006/relationships/hyperlink" Target="mailto:azraazman@gmail.com" TargetMode="External"/><Relationship Id="rId1356" Type="http://schemas.openxmlformats.org/officeDocument/2006/relationships/hyperlink" Target="mailto:telaga90036728@gmail.com" TargetMode="External"/><Relationship Id="rId158" Type="http://schemas.openxmlformats.org/officeDocument/2006/relationships/hyperlink" Target="mailto:farmasi_ctimur@yahoo.com.my" TargetMode="External"/><Relationship Id="rId726" Type="http://schemas.openxmlformats.org/officeDocument/2006/relationships/hyperlink" Target="mailto:zamripakiri@yahoo.com" TargetMode="External"/><Relationship Id="rId933" Type="http://schemas.openxmlformats.org/officeDocument/2006/relationships/hyperlink" Target="mailto:faranasrudin@gmail.com" TargetMode="External"/><Relationship Id="rId1009" Type="http://schemas.openxmlformats.org/officeDocument/2006/relationships/hyperlink" Target="mailto:ps.lb@shyg.com.my" TargetMode="External"/><Relationship Id="rId62" Type="http://schemas.openxmlformats.org/officeDocument/2006/relationships/hyperlink" Target="mailto:hafiz860606@gmail.com" TargetMode="External"/><Relationship Id="rId365" Type="http://schemas.openxmlformats.org/officeDocument/2006/relationships/hyperlink" Target="mailto:ilhamnadziff@gmail.com" TargetMode="External"/><Relationship Id="rId572" Type="http://schemas.openxmlformats.org/officeDocument/2006/relationships/hyperlink" Target="mailto:Ahmed16ibu@gmail.com" TargetMode="External"/><Relationship Id="rId1216" Type="http://schemas.openxmlformats.org/officeDocument/2006/relationships/hyperlink" Target="mailto:selayang_bypass@yahoo.com.my" TargetMode="External"/><Relationship Id="rId1423" Type="http://schemas.openxmlformats.org/officeDocument/2006/relationships/hyperlink" Target="mailto:nurizaazani@yahoo.com" TargetMode="External"/><Relationship Id="rId225" Type="http://schemas.openxmlformats.org/officeDocument/2006/relationships/hyperlink" Target="mailto:familyiffah@gmail.com" TargetMode="External"/><Relationship Id="rId432" Type="http://schemas.openxmlformats.org/officeDocument/2006/relationships/hyperlink" Target="mailto:umiyusra80@gmail.com" TargetMode="External"/><Relationship Id="rId877" Type="http://schemas.openxmlformats.org/officeDocument/2006/relationships/hyperlink" Target="mailto:mnokiosk@gmail.com" TargetMode="External"/><Relationship Id="rId1062" Type="http://schemas.openxmlformats.org/officeDocument/2006/relationships/hyperlink" Target="mailto:samsenafi@yahoo.com" TargetMode="External"/><Relationship Id="rId737" Type="http://schemas.openxmlformats.org/officeDocument/2006/relationships/hyperlink" Target="mailto:mayutrading@yahoo.com" TargetMode="External"/><Relationship Id="rId944" Type="http://schemas.openxmlformats.org/officeDocument/2006/relationships/hyperlink" Target="mailto:ziqpetro@gmail.com" TargetMode="External"/><Relationship Id="rId1367" Type="http://schemas.openxmlformats.org/officeDocument/2006/relationships/hyperlink" Target="mailto:ainurainyusra@gmail.com" TargetMode="External"/><Relationship Id="rId73" Type="http://schemas.openxmlformats.org/officeDocument/2006/relationships/hyperlink" Target="mailto:einvoicing_AB@aeonretail.com.my" TargetMode="External"/><Relationship Id="rId169" Type="http://schemas.openxmlformats.org/officeDocument/2006/relationships/hyperlink" Target="mailto:dzoe66@yahoo.com" TargetMode="External"/><Relationship Id="rId376" Type="http://schemas.openxmlformats.org/officeDocument/2006/relationships/hyperlink" Target="mailto:ridzuaan123@gmail.com" TargetMode="External"/><Relationship Id="rId583" Type="http://schemas.openxmlformats.org/officeDocument/2006/relationships/hyperlink" Target="mailto:farmasi.utama.sr@gmail.com" TargetMode="External"/><Relationship Id="rId790" Type="http://schemas.openxmlformats.org/officeDocument/2006/relationships/hyperlink" Target="mailto:enolils@hotmail.com" TargetMode="External"/><Relationship Id="rId804" Type="http://schemas.openxmlformats.org/officeDocument/2006/relationships/hyperlink" Target="mailto:emavenue@platform.com.my" TargetMode="External"/><Relationship Id="rId1227" Type="http://schemas.openxmlformats.org/officeDocument/2006/relationships/hyperlink" Target="mailto:nina_stn@yahoo.com.uk" TargetMode="External"/><Relationship Id="rId1434" Type="http://schemas.openxmlformats.org/officeDocument/2006/relationships/hyperlink" Target="mailto:amzass@gmail.com" TargetMode="External"/><Relationship Id="rId4" Type="http://schemas.openxmlformats.org/officeDocument/2006/relationships/hyperlink" Target="mailto:jailanialhaj0607@gmail.com" TargetMode="External"/><Relationship Id="rId236" Type="http://schemas.openxmlformats.org/officeDocument/2006/relationships/hyperlink" Target="mailto:salmah_ali@yahoo.com" TargetMode="External"/><Relationship Id="rId443" Type="http://schemas.openxmlformats.org/officeDocument/2006/relationships/hyperlink" Target="mailto:noorfaiz918@gmail.com" TargetMode="External"/><Relationship Id="rId650" Type="http://schemas.openxmlformats.org/officeDocument/2006/relationships/hyperlink" Target="mailto:eidaman@hotmail.com" TargetMode="External"/><Relationship Id="rId888" Type="http://schemas.openxmlformats.org/officeDocument/2006/relationships/hyperlink" Target="mailto:aikhalman@gmail.com" TargetMode="External"/><Relationship Id="rId1073" Type="http://schemas.openxmlformats.org/officeDocument/2006/relationships/hyperlink" Target="mailto:yati_psspaka1@yahoo.com.my" TargetMode="External"/><Relationship Id="rId1280" Type="http://schemas.openxmlformats.org/officeDocument/2006/relationships/hyperlink" Target="mailto:suriatibteramli@yahoo.com.my" TargetMode="External"/><Relationship Id="rId1501" Type="http://schemas.openxmlformats.org/officeDocument/2006/relationships/hyperlink" Target="mailto:daruis@pknns.gov.my" TargetMode="External"/><Relationship Id="rId303" Type="http://schemas.openxmlformats.org/officeDocument/2006/relationships/hyperlink" Target="mailto:sreezam@mara.gov.my" TargetMode="External"/><Relationship Id="rId748" Type="http://schemas.openxmlformats.org/officeDocument/2006/relationships/hyperlink" Target="mailto:sisindah@yahoo.co.uk" TargetMode="External"/><Relationship Id="rId955" Type="http://schemas.openxmlformats.org/officeDocument/2006/relationships/hyperlink" Target="mailto:mesrakesastimur@gmail.com" TargetMode="External"/><Relationship Id="rId1140" Type="http://schemas.openxmlformats.org/officeDocument/2006/relationships/hyperlink" Target="mailto:mohdnazrimansor1974@gmail.com" TargetMode="External"/><Relationship Id="rId1378" Type="http://schemas.openxmlformats.org/officeDocument/2006/relationships/hyperlink" Target="mailto:boeykk@yahoo.com" TargetMode="External"/><Relationship Id="rId84" Type="http://schemas.openxmlformats.org/officeDocument/2006/relationships/hyperlink" Target="mailto:mazieana.muzabir@eurekahealth.com.my" TargetMode="External"/><Relationship Id="rId387" Type="http://schemas.openxmlformats.org/officeDocument/2006/relationships/hyperlink" Target="mailto:769yana@gmail.com" TargetMode="External"/><Relationship Id="rId510" Type="http://schemas.openxmlformats.org/officeDocument/2006/relationships/hyperlink" Target="mailto:tkahzee@gmail.com" TargetMode="External"/><Relationship Id="rId594" Type="http://schemas.openxmlformats.org/officeDocument/2006/relationships/hyperlink" Target="mailto:fathiahsaidi@yahoo.com" TargetMode="External"/><Relationship Id="rId608" Type="http://schemas.openxmlformats.org/officeDocument/2006/relationships/hyperlink" Target="mailto:zuraidamn@gmail.com" TargetMode="External"/><Relationship Id="rId815" Type="http://schemas.openxmlformats.org/officeDocument/2006/relationships/hyperlink" Target="mailto:ptrns.palongtimur@gmail.com" TargetMode="External"/><Relationship Id="rId1238" Type="http://schemas.openxmlformats.org/officeDocument/2006/relationships/hyperlink" Target="mailto:norlintee@yahoo.com" TargetMode="External"/><Relationship Id="rId1445" Type="http://schemas.openxmlformats.org/officeDocument/2006/relationships/hyperlink" Target="mailto:fazausj6@gmail.com" TargetMode="External"/><Relationship Id="rId247" Type="http://schemas.openxmlformats.org/officeDocument/2006/relationships/hyperlink" Target="mailto:ustyus@gmail.com" TargetMode="External"/><Relationship Id="rId899" Type="http://schemas.openxmlformats.org/officeDocument/2006/relationships/hyperlink" Target="mailto:khalijahy@yahoo.com" TargetMode="External"/><Relationship Id="rId1000" Type="http://schemas.openxmlformats.org/officeDocument/2006/relationships/hyperlink" Target="mailto:psskualaselangor@gmail.com" TargetMode="External"/><Relationship Id="rId1084" Type="http://schemas.openxmlformats.org/officeDocument/2006/relationships/hyperlink" Target="mailto:einvoice_pssnkve@yahoo.com" TargetMode="External"/><Relationship Id="rId1305" Type="http://schemas.openxmlformats.org/officeDocument/2006/relationships/hyperlink" Target="mailto:aidanurin11@gmail.com" TargetMode="External"/><Relationship Id="rId107" Type="http://schemas.openxmlformats.org/officeDocument/2006/relationships/hyperlink" Target="mailto:hafizan@mara.gov.my" TargetMode="External"/><Relationship Id="rId454" Type="http://schemas.openxmlformats.org/officeDocument/2006/relationships/hyperlink" Target="mailto:rashdan51@gmail.com" TargetMode="External"/><Relationship Id="rId661" Type="http://schemas.openxmlformats.org/officeDocument/2006/relationships/hyperlink" Target="mailto:mazlanjpb@gmail.com" TargetMode="External"/><Relationship Id="rId759" Type="http://schemas.openxmlformats.org/officeDocument/2006/relationships/hyperlink" Target="mailto:mrwarikh@yahoo.com" TargetMode="External"/><Relationship Id="rId966" Type="http://schemas.openxmlformats.org/officeDocument/2006/relationships/hyperlink" Target="mailto:pssklia1@yahoo.com" TargetMode="External"/><Relationship Id="rId1291" Type="http://schemas.openxmlformats.org/officeDocument/2006/relationships/hyperlink" Target="mailto:jabal.barqa@gmail.com" TargetMode="External"/><Relationship Id="rId1389" Type="http://schemas.openxmlformats.org/officeDocument/2006/relationships/hyperlink" Target="mailto:aza_msia@yahoo.com" TargetMode="External"/><Relationship Id="rId11" Type="http://schemas.openxmlformats.org/officeDocument/2006/relationships/hyperlink" Target="mailto:assalikin74@gmail.com" TargetMode="External"/><Relationship Id="rId314" Type="http://schemas.openxmlformats.org/officeDocument/2006/relationships/hyperlink" Target="mailto:wahab5559@gmail.com" TargetMode="External"/><Relationship Id="rId398" Type="http://schemas.openxmlformats.org/officeDocument/2006/relationships/hyperlink" Target="mailto:azyyati@koptradtech.com" TargetMode="External"/><Relationship Id="rId521" Type="http://schemas.openxmlformats.org/officeDocument/2006/relationships/hyperlink" Target="mailto:ps.ampartenang@yahoo.com;%20najwa.wawasanperdu@gmail.com" TargetMode="External"/><Relationship Id="rId619" Type="http://schemas.openxmlformats.org/officeDocument/2006/relationships/hyperlink" Target="mailto:sitiham_bbu@yahoo.com.my" TargetMode="External"/><Relationship Id="rId1151" Type="http://schemas.openxmlformats.org/officeDocument/2006/relationships/hyperlink" Target="mailto:fikrahjitu@gmail.com" TargetMode="External"/><Relationship Id="rId1249" Type="http://schemas.openxmlformats.org/officeDocument/2006/relationships/hyperlink" Target="mailto:visituah@gmail.com" TargetMode="External"/><Relationship Id="rId95" Type="http://schemas.openxmlformats.org/officeDocument/2006/relationships/hyperlink" Target="mailto:salman23halim@gmail.com" TargetMode="External"/><Relationship Id="rId160" Type="http://schemas.openxmlformats.org/officeDocument/2006/relationships/hyperlink" Target="mailto:petronas_zam@yahoo.com" TargetMode="External"/><Relationship Id="rId826" Type="http://schemas.openxmlformats.org/officeDocument/2006/relationships/hyperlink" Target="mailto:pssgrand_saga2002@yahoo.com" TargetMode="External"/><Relationship Id="rId1011" Type="http://schemas.openxmlformats.org/officeDocument/2006/relationships/hyperlink" Target="mailto:mohdrohaya@yahoo.com.my" TargetMode="External"/><Relationship Id="rId1109" Type="http://schemas.openxmlformats.org/officeDocument/2006/relationships/hyperlink" Target="mailto:koperasi_niksalleh@yahoo.com.my" TargetMode="External"/><Relationship Id="rId1456" Type="http://schemas.openxmlformats.org/officeDocument/2006/relationships/hyperlink" Target="mailto:oramlan56@gmail.com" TargetMode="External"/><Relationship Id="rId258" Type="http://schemas.openxmlformats.org/officeDocument/2006/relationships/hyperlink" Target="mailto:ptengku8@gmail.com" TargetMode="External"/><Relationship Id="rId465" Type="http://schemas.openxmlformats.org/officeDocument/2006/relationships/hyperlink" Target="mailto:norfazmishafiq77@gmail.com" TargetMode="External"/><Relationship Id="rId672" Type="http://schemas.openxmlformats.org/officeDocument/2006/relationships/hyperlink" Target="mailto:derispardi@hotmail.com" TargetMode="External"/><Relationship Id="rId1095" Type="http://schemas.openxmlformats.org/officeDocument/2006/relationships/hyperlink" Target="mailto:zielasyifa@gmail.com" TargetMode="External"/><Relationship Id="rId1316" Type="http://schemas.openxmlformats.org/officeDocument/2006/relationships/hyperlink" Target="mailto:zulhilmi.izazu@perodua.com.my" TargetMode="External"/><Relationship Id="rId22" Type="http://schemas.openxmlformats.org/officeDocument/2006/relationships/hyperlink" Target="mailto:dilailazahari27@gmail.com" TargetMode="External"/><Relationship Id="rId118" Type="http://schemas.openxmlformats.org/officeDocument/2006/relationships/hyperlink" Target="mailto:shasha121200@gmail.com" TargetMode="External"/><Relationship Id="rId325" Type="http://schemas.openxmlformats.org/officeDocument/2006/relationships/hyperlink" Target="mailto:rosmawatimarzuki77@gmail.com" TargetMode="External"/><Relationship Id="rId532" Type="http://schemas.openxmlformats.org/officeDocument/2006/relationships/hyperlink" Target="mailto:mampetroservice75@gmail.com" TargetMode="External"/><Relationship Id="rId977" Type="http://schemas.openxmlformats.org/officeDocument/2006/relationships/hyperlink" Target="mailto:psspenchalalink@gmail.com" TargetMode="External"/><Relationship Id="rId1162" Type="http://schemas.openxmlformats.org/officeDocument/2006/relationships/hyperlink" Target="mailto:naimsamori@yahoo.com" TargetMode="External"/><Relationship Id="rId171" Type="http://schemas.openxmlformats.org/officeDocument/2006/relationships/hyperlink" Target="mailto:nurainnisa.sukari@petronas.com" TargetMode="External"/><Relationship Id="rId837" Type="http://schemas.openxmlformats.org/officeDocument/2006/relationships/hyperlink" Target="mailto:petronasijok21@gmail.com" TargetMode="External"/><Relationship Id="rId1022" Type="http://schemas.openxmlformats.org/officeDocument/2006/relationships/hyperlink" Target="mailto:znrberkatservices@gmail.com" TargetMode="External"/><Relationship Id="rId1467" Type="http://schemas.openxmlformats.org/officeDocument/2006/relationships/hyperlink" Target="mailto:zuhairi.nadzrin@pernas.my" TargetMode="External"/><Relationship Id="rId269" Type="http://schemas.openxmlformats.org/officeDocument/2006/relationships/hyperlink" Target="mailto:haikalfirdaus314@gmail.com" TargetMode="External"/><Relationship Id="rId476" Type="http://schemas.openxmlformats.org/officeDocument/2006/relationships/hyperlink" Target="mailto:farhana.citylinkexpress@gmail.com" TargetMode="External"/><Relationship Id="rId683" Type="http://schemas.openxmlformats.org/officeDocument/2006/relationships/hyperlink" Target="mailto:mawarniza77@gmail.com" TargetMode="External"/><Relationship Id="rId890" Type="http://schemas.openxmlformats.org/officeDocument/2006/relationships/hyperlink" Target="mailto:fhrh.my@gmail.com" TargetMode="External"/><Relationship Id="rId904" Type="http://schemas.openxmlformats.org/officeDocument/2006/relationships/hyperlink" Target="mailto:yusriyusuf72@gmail.com" TargetMode="External"/><Relationship Id="rId1327" Type="http://schemas.openxmlformats.org/officeDocument/2006/relationships/hyperlink" Target="mailto:s.ideal11@yahoo.com" TargetMode="External"/><Relationship Id="rId33" Type="http://schemas.openxmlformats.org/officeDocument/2006/relationships/hyperlink" Target="mailto:faridsubki@gmail.com" TargetMode="External"/><Relationship Id="rId129" Type="http://schemas.openxmlformats.org/officeDocument/2006/relationships/hyperlink" Target="mailto:persadakisana@yahoo.com" TargetMode="External"/><Relationship Id="rId336" Type="http://schemas.openxmlformats.org/officeDocument/2006/relationships/hyperlink" Target="mailto:boonkeetrading@gmail.com" TargetMode="External"/><Relationship Id="rId543" Type="http://schemas.openxmlformats.org/officeDocument/2006/relationships/hyperlink" Target="mailto:muhdhafizzudinafiq@gmail.com" TargetMode="External"/><Relationship Id="rId988" Type="http://schemas.openxmlformats.org/officeDocument/2006/relationships/hyperlink" Target="mailto:potnas_71@yahoo.com" TargetMode="External"/><Relationship Id="rId1173" Type="http://schemas.openxmlformats.org/officeDocument/2006/relationships/hyperlink" Target="mailto:alyadiyana@gmail.com" TargetMode="External"/><Relationship Id="rId1380" Type="http://schemas.openxmlformats.org/officeDocument/2006/relationships/hyperlink" Target="mailto:mynpstop@gmail.com" TargetMode="External"/><Relationship Id="rId182" Type="http://schemas.openxmlformats.org/officeDocument/2006/relationships/hyperlink" Target="mailto:zulaikha.mahmod@gmail.com" TargetMode="External"/><Relationship Id="rId403" Type="http://schemas.openxmlformats.org/officeDocument/2006/relationships/hyperlink" Target="mailto:1989qayyumafi@gmail.com" TargetMode="External"/><Relationship Id="rId750" Type="http://schemas.openxmlformats.org/officeDocument/2006/relationships/hyperlink" Target="mailto:pssbukitkatil@gmail.com" TargetMode="External"/><Relationship Id="rId848" Type="http://schemas.openxmlformats.org/officeDocument/2006/relationships/hyperlink" Target="mailto:FAHMIIDRIS1990@GMAIL.COM" TargetMode="External"/><Relationship Id="rId1033" Type="http://schemas.openxmlformats.org/officeDocument/2006/relationships/hyperlink" Target="mailto:airaz.legacy@gamil.com" TargetMode="External"/><Relationship Id="rId1478" Type="http://schemas.openxmlformats.org/officeDocument/2006/relationships/hyperlink" Target="mailto:timur_sejati76@yahoo.com.my" TargetMode="External"/><Relationship Id="rId487" Type="http://schemas.openxmlformats.org/officeDocument/2006/relationships/hyperlink" Target="mailto:azlan8ramd@gmail.com" TargetMode="External"/><Relationship Id="rId610" Type="http://schemas.openxmlformats.org/officeDocument/2006/relationships/hyperlink" Target="mailto:sitteenmerchandise@gmail.com" TargetMode="External"/><Relationship Id="rId694" Type="http://schemas.openxmlformats.org/officeDocument/2006/relationships/hyperlink" Target="mailto:matsriaman_amy@hotmail.com" TargetMode="External"/><Relationship Id="rId708" Type="http://schemas.openxmlformats.org/officeDocument/2006/relationships/hyperlink" Target="mailto:norikhshan@yahoo.com" TargetMode="External"/><Relationship Id="rId915" Type="http://schemas.openxmlformats.org/officeDocument/2006/relationships/hyperlink" Target="mailto:dynamicsunray186@gmail.com" TargetMode="External"/><Relationship Id="rId1240" Type="http://schemas.openxmlformats.org/officeDocument/2006/relationships/hyperlink" Target="mailto:smz_zeksni@yahoo.com" TargetMode="External"/><Relationship Id="rId1338" Type="http://schemas.openxmlformats.org/officeDocument/2006/relationships/hyperlink" Target="mailto:wanfizilina@gmail.com" TargetMode="External"/><Relationship Id="rId347" Type="http://schemas.openxmlformats.org/officeDocument/2006/relationships/hyperlink" Target="mailto:rrsresources08@gmail.com" TargetMode="External"/><Relationship Id="rId999" Type="http://schemas.openxmlformats.org/officeDocument/2006/relationships/hyperlink" Target="mailto:dalilahawaludin@gmail.com" TargetMode="External"/><Relationship Id="rId1100" Type="http://schemas.openxmlformats.org/officeDocument/2006/relationships/hyperlink" Target="mailto:hidayanis.ent@gmail.com" TargetMode="External"/><Relationship Id="rId1184" Type="http://schemas.openxmlformats.org/officeDocument/2006/relationships/hyperlink" Target="mailto:hmomaide@yahoo.com" TargetMode="External"/><Relationship Id="rId1405" Type="http://schemas.openxmlformats.org/officeDocument/2006/relationships/hyperlink" Target="mailto:petronas.tanggabatu@gmail.com" TargetMode="External"/><Relationship Id="rId44" Type="http://schemas.openxmlformats.org/officeDocument/2006/relationships/hyperlink" Target="mailto:noraosman5569@gmail.com" TargetMode="External"/><Relationship Id="rId554" Type="http://schemas.openxmlformats.org/officeDocument/2006/relationships/hyperlink" Target="mailto:renergymesrabsc@gmail.com" TargetMode="External"/><Relationship Id="rId761" Type="http://schemas.openxmlformats.org/officeDocument/2006/relationships/hyperlink" Target="mailto:linorizq@gmail.com" TargetMode="External"/><Relationship Id="rId859" Type="http://schemas.openxmlformats.org/officeDocument/2006/relationships/hyperlink" Target="mailto:hkkzq2@gmail.com" TargetMode="External"/><Relationship Id="rId1391" Type="http://schemas.openxmlformats.org/officeDocument/2006/relationships/hyperlink" Target="mailto:petronassentosa@gmail.com/%20apai87@gmail.com" TargetMode="External"/><Relationship Id="rId1489" Type="http://schemas.openxmlformats.org/officeDocument/2006/relationships/hyperlink" Target="mailto:numiraresources19@gmail.com" TargetMode="External"/><Relationship Id="rId193" Type="http://schemas.openxmlformats.org/officeDocument/2006/relationships/hyperlink" Target="mailto:kunayoy14@gmail.com" TargetMode="External"/><Relationship Id="rId207" Type="http://schemas.openxmlformats.org/officeDocument/2006/relationships/hyperlink" Target="mailto:amirzmri@gmail.com" TargetMode="External"/><Relationship Id="rId414" Type="http://schemas.openxmlformats.org/officeDocument/2006/relationships/hyperlink" Target="mailto:cmn118.nhh@gmail.com" TargetMode="External"/><Relationship Id="rId498" Type="http://schemas.openxmlformats.org/officeDocument/2006/relationships/hyperlink" Target="mailto:ojohari616@gmail.com" TargetMode="External"/><Relationship Id="rId621" Type="http://schemas.openxmlformats.org/officeDocument/2006/relationships/hyperlink" Target="mailto:suetunjong@gmail.com" TargetMode="External"/><Relationship Id="rId1044" Type="http://schemas.openxmlformats.org/officeDocument/2006/relationships/hyperlink" Target="mailto:petronasmsb@jtmgroups.com" TargetMode="External"/><Relationship Id="rId1251" Type="http://schemas.openxmlformats.org/officeDocument/2006/relationships/hyperlink" Target="mailto:nunoji@yahoo.com" TargetMode="External"/><Relationship Id="rId1349" Type="http://schemas.openxmlformats.org/officeDocument/2006/relationships/hyperlink" Target="mailto:5petrolijok2@gmail.com" TargetMode="External"/><Relationship Id="rId260" Type="http://schemas.openxmlformats.org/officeDocument/2006/relationships/hyperlink" Target="mailto:junanor636@gmail.com" TargetMode="External"/><Relationship Id="rId719" Type="http://schemas.openxmlformats.org/officeDocument/2006/relationships/hyperlink" Target="mailto:petroniaga_mesra@yahoo.com" TargetMode="External"/><Relationship Id="rId926" Type="http://schemas.openxmlformats.org/officeDocument/2006/relationships/hyperlink" Target="mailto:suhaizankayat@gmail.com" TargetMode="External"/><Relationship Id="rId1111" Type="http://schemas.openxmlformats.org/officeDocument/2006/relationships/hyperlink" Target="mailto:hasnol.esa@gmail.com" TargetMode="External"/><Relationship Id="rId55" Type="http://schemas.openxmlformats.org/officeDocument/2006/relationships/hyperlink" Target="mailto:dlazsbeautycare@yahoo.com" TargetMode="External"/><Relationship Id="rId120" Type="http://schemas.openxmlformats.org/officeDocument/2006/relationships/hyperlink" Target="mailto:4omarzahra@gmail.com" TargetMode="External"/><Relationship Id="rId358" Type="http://schemas.openxmlformats.org/officeDocument/2006/relationships/hyperlink" Target="mailto:mohdamirabdulrahim@gmail.com" TargetMode="External"/><Relationship Id="rId565" Type="http://schemas.openxmlformats.org/officeDocument/2006/relationships/hyperlink" Target="mailto:alafsalaktinggi@hotmail.com" TargetMode="External"/><Relationship Id="rId772" Type="http://schemas.openxmlformats.org/officeDocument/2006/relationships/hyperlink" Target="mailto:nikharis@hotmail.com" TargetMode="External"/><Relationship Id="rId1195" Type="http://schemas.openxmlformats.org/officeDocument/2006/relationships/hyperlink" Target="mailto:faizi.zin@smartskills.com.my" TargetMode="External"/><Relationship Id="rId1209" Type="http://schemas.openxmlformats.org/officeDocument/2006/relationships/hyperlink" Target="mailto:alya.umaruddin@gmail.com" TargetMode="External"/><Relationship Id="rId1416" Type="http://schemas.openxmlformats.org/officeDocument/2006/relationships/hyperlink" Target="mailto:akrabpadu@yahoo.com" TargetMode="External"/><Relationship Id="rId218" Type="http://schemas.openxmlformats.org/officeDocument/2006/relationships/hyperlink" Target="mailto:wancharade@gmail.com" TargetMode="External"/><Relationship Id="rId425" Type="http://schemas.openxmlformats.org/officeDocument/2006/relationships/hyperlink" Target="mailto:taichooindustry@yahoo.com" TargetMode="External"/><Relationship Id="rId632" Type="http://schemas.openxmlformats.org/officeDocument/2006/relationships/hyperlink" Target="mailto:petronasbandarkinrara@gmail.com" TargetMode="External"/><Relationship Id="rId1055" Type="http://schemas.openxmlformats.org/officeDocument/2006/relationships/hyperlink" Target="mailto:azlinaibrahim5366@gmail.com" TargetMode="External"/><Relationship Id="rId1262" Type="http://schemas.openxmlformats.org/officeDocument/2006/relationships/hyperlink" Target="mailto:psbsmsj@gmail.com" TargetMode="External"/><Relationship Id="rId271" Type="http://schemas.openxmlformats.org/officeDocument/2006/relationships/hyperlink" Target="mailto:adilahcoop303020@gmail.com" TargetMode="External"/><Relationship Id="rId937" Type="http://schemas.openxmlformats.org/officeDocument/2006/relationships/hyperlink" Target="mailto:petronas.ru@yahoo.com" TargetMode="External"/><Relationship Id="rId1122" Type="http://schemas.openxmlformats.org/officeDocument/2006/relationships/hyperlink" Target="mailto:arecofuel@gmail.com" TargetMode="External"/><Relationship Id="rId66" Type="http://schemas.openxmlformats.org/officeDocument/2006/relationships/hyperlink" Target="mailto:dianasyafira1710@gmail.com" TargetMode="External"/><Relationship Id="rId131" Type="http://schemas.openxmlformats.org/officeDocument/2006/relationships/hyperlink" Target="mailto:holics_haya@yahoo.com.my" TargetMode="External"/><Relationship Id="rId369" Type="http://schemas.openxmlformats.org/officeDocument/2006/relationships/hyperlink" Target="mailto:samudamalaysia@gmail.com" TargetMode="External"/><Relationship Id="rId576" Type="http://schemas.openxmlformats.org/officeDocument/2006/relationships/hyperlink" Target="mailto:nhamimiazira89@gmail.com" TargetMode="External"/><Relationship Id="rId783" Type="http://schemas.openxmlformats.org/officeDocument/2006/relationships/hyperlink" Target="mailto:diasentiasa@gmail.com" TargetMode="External"/><Relationship Id="rId990" Type="http://schemas.openxmlformats.org/officeDocument/2006/relationships/hyperlink" Target="mailto:baida_enterprise@yahoo.com" TargetMode="External"/><Relationship Id="rId1427" Type="http://schemas.openxmlformats.org/officeDocument/2006/relationships/hyperlink" Target="mailto:nursuhadaidris5854@gmail.com" TargetMode="External"/><Relationship Id="rId229" Type="http://schemas.openxmlformats.org/officeDocument/2006/relationships/hyperlink" Target="mailto:nazatulnadhirahhh17@gmail.com" TargetMode="External"/><Relationship Id="rId436" Type="http://schemas.openxmlformats.org/officeDocument/2006/relationships/hyperlink" Target="mailto:najihanazi1234@gmail.com" TargetMode="External"/><Relationship Id="rId643" Type="http://schemas.openxmlformats.org/officeDocument/2006/relationships/hyperlink" Target="mailto:iltizam1104@yahoo.com.my" TargetMode="External"/><Relationship Id="rId1066" Type="http://schemas.openxmlformats.org/officeDocument/2006/relationships/hyperlink" Target="mailto:muslehprohealth@gmail.com" TargetMode="External"/><Relationship Id="rId1273" Type="http://schemas.openxmlformats.org/officeDocument/2006/relationships/hyperlink" Target="mailto:fizrai.berkatperkasa@gmail.com" TargetMode="External"/><Relationship Id="rId1480" Type="http://schemas.openxmlformats.org/officeDocument/2006/relationships/hyperlink" Target="mailto:shahrizat57@gmail.com" TargetMode="External"/><Relationship Id="rId850" Type="http://schemas.openxmlformats.org/officeDocument/2006/relationships/hyperlink" Target="mailto:azam.karim@kopetro.com.my" TargetMode="External"/><Relationship Id="rId948" Type="http://schemas.openxmlformats.org/officeDocument/2006/relationships/hyperlink" Target="mailto:yusri_segb@yahoo.com" TargetMode="External"/><Relationship Id="rId1133" Type="http://schemas.openxmlformats.org/officeDocument/2006/relationships/hyperlink" Target="mailto:rofaie72@yahoo.com" TargetMode="External"/><Relationship Id="rId77" Type="http://schemas.openxmlformats.org/officeDocument/2006/relationships/hyperlink" Target="mailto:purch@thbglobal.com.my" TargetMode="External"/><Relationship Id="rId282" Type="http://schemas.openxmlformats.org/officeDocument/2006/relationships/hyperlink" Target="mailto:cikkidaa90@gmail.com" TargetMode="External"/><Relationship Id="rId503" Type="http://schemas.openxmlformats.org/officeDocument/2006/relationships/hyperlink" Target="mailto:syedabdulrazak74@gmail.com" TargetMode="External"/><Relationship Id="rId587" Type="http://schemas.openxmlformats.org/officeDocument/2006/relationships/hyperlink" Target="mailto:jannafirdaustrade@gmail.com" TargetMode="External"/><Relationship Id="rId710" Type="http://schemas.openxmlformats.org/officeDocument/2006/relationships/hyperlink" Target="mailto:sitizuraidahhajisurani@yahoo.com" TargetMode="External"/><Relationship Id="rId808" Type="http://schemas.openxmlformats.org/officeDocument/2006/relationships/hyperlink" Target="mailto:dziyafauzi@hotmail.com" TargetMode="External"/><Relationship Id="rId1340" Type="http://schemas.openxmlformats.org/officeDocument/2006/relationships/hyperlink" Target="mailto:kulisbistari@yahoo.com" TargetMode="External"/><Relationship Id="rId1438" Type="http://schemas.openxmlformats.org/officeDocument/2006/relationships/hyperlink" Target="mailto:kumajuss2.0@gmail.com" TargetMode="External"/><Relationship Id="rId8" Type="http://schemas.openxmlformats.org/officeDocument/2006/relationships/hyperlink" Target="mailto:hilmiedanial8@gmail.com" TargetMode="External"/><Relationship Id="rId142" Type="http://schemas.openxmlformats.org/officeDocument/2006/relationships/hyperlink" Target="mailto:sitieddy1985@gmail.com" TargetMode="External"/><Relationship Id="rId447" Type="http://schemas.openxmlformats.org/officeDocument/2006/relationships/hyperlink" Target="mailto:kelipanmekar@gmail.com" TargetMode="External"/><Relationship Id="rId794" Type="http://schemas.openxmlformats.org/officeDocument/2006/relationships/hyperlink" Target="mailto:petronasdengkil@gmail.com" TargetMode="External"/><Relationship Id="rId1077" Type="http://schemas.openxmlformats.org/officeDocument/2006/relationships/hyperlink" Target="mailto:tejabest2@yahoo.com.my" TargetMode="External"/><Relationship Id="rId1200" Type="http://schemas.openxmlformats.org/officeDocument/2006/relationships/hyperlink" Target="mailto:pssfizzili@yahoo.com" TargetMode="External"/><Relationship Id="rId654" Type="http://schemas.openxmlformats.org/officeDocument/2006/relationships/hyperlink" Target="mailto:invoice.samusimdua@gmail.com" TargetMode="External"/><Relationship Id="rId861" Type="http://schemas.openxmlformats.org/officeDocument/2006/relationships/hyperlink" Target="mailto:detronas_station@yahoo.com.my" TargetMode="External"/><Relationship Id="rId959" Type="http://schemas.openxmlformats.org/officeDocument/2006/relationships/hyperlink" Target="mailto:petronas.kgpulaumelaka@gmail.com" TargetMode="External"/><Relationship Id="rId1284" Type="http://schemas.openxmlformats.org/officeDocument/2006/relationships/hyperlink" Target="mailto:petronas_zam@yahoo.com" TargetMode="External"/><Relationship Id="rId1491" Type="http://schemas.openxmlformats.org/officeDocument/2006/relationships/hyperlink" Target="mailto:petronaschica@gmail.com" TargetMode="External"/><Relationship Id="rId1505" Type="http://schemas.openxmlformats.org/officeDocument/2006/relationships/hyperlink" Target="mailto:noor.azma.abd.razak@midas.com.my" TargetMode="External"/><Relationship Id="rId293" Type="http://schemas.openxmlformats.org/officeDocument/2006/relationships/hyperlink" Target="mailto:faqrulredhaaa@gmail.com" TargetMode="External"/><Relationship Id="rId307" Type="http://schemas.openxmlformats.org/officeDocument/2006/relationships/hyperlink" Target="mailto:nizam.sahlan@yahoo.com" TargetMode="External"/><Relationship Id="rId514" Type="http://schemas.openxmlformats.org/officeDocument/2006/relationships/hyperlink" Target="mailto:sitinuraisyahr@yahoo.com.my" TargetMode="External"/><Relationship Id="rId721" Type="http://schemas.openxmlformats.org/officeDocument/2006/relationships/hyperlink" Target="mailto:manis_bbn@yahoo.com" TargetMode="External"/><Relationship Id="rId1144" Type="http://schemas.openxmlformats.org/officeDocument/2006/relationships/hyperlink" Target="mailto:syuzianamultalib@gmail.com" TargetMode="External"/><Relationship Id="rId1351" Type="http://schemas.openxmlformats.org/officeDocument/2006/relationships/hyperlink" Target="mailto:polysage.trading@gmail.com" TargetMode="External"/><Relationship Id="rId1449" Type="http://schemas.openxmlformats.org/officeDocument/2006/relationships/hyperlink" Target="mailto:smnpetroservice@gmail.com" TargetMode="External"/><Relationship Id="rId88" Type="http://schemas.openxmlformats.org/officeDocument/2006/relationships/hyperlink" Target="mailto:azizisobri@gmail.com" TargetMode="External"/><Relationship Id="rId153" Type="http://schemas.openxmlformats.org/officeDocument/2006/relationships/hyperlink" Target="mailto:agbafent37@gmail.com" TargetMode="External"/><Relationship Id="rId360" Type="http://schemas.openxmlformats.org/officeDocument/2006/relationships/hyperlink" Target="mailto:faliquefaizul77@gmail.com" TargetMode="External"/><Relationship Id="rId598" Type="http://schemas.openxmlformats.org/officeDocument/2006/relationships/hyperlink" Target="mailto:yikmun@gmail.com" TargetMode="External"/><Relationship Id="rId819" Type="http://schemas.openxmlformats.org/officeDocument/2006/relationships/hyperlink" Target="mailto:adheerafm@gmail.com" TargetMode="External"/><Relationship Id="rId1004" Type="http://schemas.openxmlformats.org/officeDocument/2006/relationships/hyperlink" Target="mailto:pskuartersklia@yahoo.com" TargetMode="External"/><Relationship Id="rId1211" Type="http://schemas.openxmlformats.org/officeDocument/2006/relationships/hyperlink" Target="mailto:Warnaalamniaga@gmail.com" TargetMode="External"/><Relationship Id="rId220" Type="http://schemas.openxmlformats.org/officeDocument/2006/relationships/hyperlink" Target="mailto:razalimalik@gmail.com" TargetMode="External"/><Relationship Id="rId458" Type="http://schemas.openxmlformats.org/officeDocument/2006/relationships/hyperlink" Target="mailto:intandy1@yahoo.com" TargetMode="External"/><Relationship Id="rId665" Type="http://schemas.openxmlformats.org/officeDocument/2006/relationships/hyperlink" Target="mailto:scm.supply@mydin.com" TargetMode="External"/><Relationship Id="rId872" Type="http://schemas.openxmlformats.org/officeDocument/2006/relationships/hyperlink" Target="mailto:anm_primax@yahoo.com.my" TargetMode="External"/><Relationship Id="rId1088" Type="http://schemas.openxmlformats.org/officeDocument/2006/relationships/hyperlink" Target="mailto:ffwcenterprise@gmail.com" TargetMode="External"/><Relationship Id="rId1295" Type="http://schemas.openxmlformats.org/officeDocument/2006/relationships/hyperlink" Target="mailto:petronaskimibaba@gmail.com" TargetMode="External"/><Relationship Id="rId1309" Type="http://schemas.openxmlformats.org/officeDocument/2006/relationships/hyperlink" Target="mailto:zaharahtulrumai@gmail.com" TargetMode="External"/><Relationship Id="rId15" Type="http://schemas.openxmlformats.org/officeDocument/2006/relationships/hyperlink" Target="mailto:shilahisyam44@icloud.com" TargetMode="External"/><Relationship Id="rId318" Type="http://schemas.openxmlformats.org/officeDocument/2006/relationships/hyperlink" Target="mailto:qarweenauni@gmail.com" TargetMode="External"/><Relationship Id="rId525" Type="http://schemas.openxmlformats.org/officeDocument/2006/relationships/hyperlink" Target="mailto:i.ffhyn7@gmail.com" TargetMode="External"/><Relationship Id="rId732" Type="http://schemas.openxmlformats.org/officeDocument/2006/relationships/hyperlink" Target="mailto:psbinjai@yahoo.com" TargetMode="External"/><Relationship Id="rId1155" Type="http://schemas.openxmlformats.org/officeDocument/2006/relationships/hyperlink" Target="mailto:psspd1@yahoo.com.my" TargetMode="External"/><Relationship Id="rId1362" Type="http://schemas.openxmlformats.org/officeDocument/2006/relationships/hyperlink" Target="mailto:rumutiara@yahoo.com.my" TargetMode="External"/><Relationship Id="rId99" Type="http://schemas.openxmlformats.org/officeDocument/2006/relationships/hyperlink" Target="mailto:natashazamiley@gmail.com" TargetMode="External"/><Relationship Id="rId164" Type="http://schemas.openxmlformats.org/officeDocument/2006/relationships/hyperlink" Target="mailto:nasjja83_enterprise@yahoo.com" TargetMode="External"/><Relationship Id="rId371" Type="http://schemas.openxmlformats.org/officeDocument/2006/relationships/hyperlink" Target="mailto:samakamz@gmail.com" TargetMode="External"/><Relationship Id="rId1015" Type="http://schemas.openxmlformats.org/officeDocument/2006/relationships/hyperlink" Target="mailto:nadlinhazalina@gmail.com" TargetMode="External"/><Relationship Id="rId1222" Type="http://schemas.openxmlformats.org/officeDocument/2006/relationships/hyperlink" Target="mailto:norlintee@yahoo.com" TargetMode="External"/><Relationship Id="rId469" Type="http://schemas.openxmlformats.org/officeDocument/2006/relationships/hyperlink" Target="mailto:shukrinoor07@gmail.com" TargetMode="External"/><Relationship Id="rId676" Type="http://schemas.openxmlformats.org/officeDocument/2006/relationships/hyperlink" Target="mailto:horizon.gemilang@gmail.com" TargetMode="External"/><Relationship Id="rId883" Type="http://schemas.openxmlformats.org/officeDocument/2006/relationships/hyperlink" Target="mailto:zaidifuelstation@gmail.com" TargetMode="External"/><Relationship Id="rId1099" Type="http://schemas.openxmlformats.org/officeDocument/2006/relationships/hyperlink" Target="mailto:ismail_5456@yahoo.com" TargetMode="External"/><Relationship Id="rId26" Type="http://schemas.openxmlformats.org/officeDocument/2006/relationships/hyperlink" Target="mailto:eiyfazzieyla@gmail.com" TargetMode="External"/><Relationship Id="rId231" Type="http://schemas.openxmlformats.org/officeDocument/2006/relationships/hyperlink" Target="mailto:ainie.s@yahoo.com" TargetMode="External"/><Relationship Id="rId329" Type="http://schemas.openxmlformats.org/officeDocument/2006/relationships/hyperlink" Target="mailto:ranibinadnan6159@gmail.com" TargetMode="External"/><Relationship Id="rId536" Type="http://schemas.openxmlformats.org/officeDocument/2006/relationships/hyperlink" Target="mailto:farhan_mrazi@bsn.com.my" TargetMode="External"/><Relationship Id="rId1166" Type="http://schemas.openxmlformats.org/officeDocument/2006/relationships/hyperlink" Target="mailto:fzniaga.enterprise@gmail.com" TargetMode="External"/><Relationship Id="rId1373" Type="http://schemas.openxmlformats.org/officeDocument/2006/relationships/hyperlink" Target="mailto:gemilangsamudra@yahoo.com" TargetMode="External"/><Relationship Id="rId175" Type="http://schemas.openxmlformats.org/officeDocument/2006/relationships/hyperlink" Target="mailto:fadnimie_26@yahoo.com.my" TargetMode="External"/><Relationship Id="rId743" Type="http://schemas.openxmlformats.org/officeDocument/2006/relationships/hyperlink" Target="mailto:halimajj@yahoo.com" TargetMode="External"/><Relationship Id="rId950" Type="http://schemas.openxmlformats.org/officeDocument/2006/relationships/hyperlink" Target="mailto:karina_elwasiq@hotmail.com" TargetMode="External"/><Relationship Id="rId1026" Type="http://schemas.openxmlformats.org/officeDocument/2006/relationships/hyperlink" Target="mailto:stesenminyakzaidi@yahoo.com" TargetMode="External"/><Relationship Id="rId382" Type="http://schemas.openxmlformats.org/officeDocument/2006/relationships/hyperlink" Target="mailto:hazizanhafifah@yahoo.com" TargetMode="External"/><Relationship Id="rId603" Type="http://schemas.openxmlformats.org/officeDocument/2006/relationships/hyperlink" Target="mailto:petronasjeli.bms@gmail.com" TargetMode="External"/><Relationship Id="rId687" Type="http://schemas.openxmlformats.org/officeDocument/2006/relationships/hyperlink" Target="mailto:hikmatcempakaxp@gmail.com" TargetMode="External"/><Relationship Id="rId810" Type="http://schemas.openxmlformats.org/officeDocument/2006/relationships/hyperlink" Target="mailto:petronaskechau@gmail.com" TargetMode="External"/><Relationship Id="rId908" Type="http://schemas.openxmlformats.org/officeDocument/2006/relationships/hyperlink" Target="mailto:pss_jln_sulaiman@yahoo.com" TargetMode="External"/><Relationship Id="rId1233" Type="http://schemas.openxmlformats.org/officeDocument/2006/relationships/hyperlink" Target="mailto:petronassgpelek2@gmail.com" TargetMode="External"/><Relationship Id="rId1440" Type="http://schemas.openxmlformats.org/officeDocument/2006/relationships/hyperlink" Target="mailto:upmpetronas@yahoo.com" TargetMode="External"/><Relationship Id="rId242" Type="http://schemas.openxmlformats.org/officeDocument/2006/relationships/hyperlink" Target="mailto:didyzaty01@gmail.com" TargetMode="External"/><Relationship Id="rId894" Type="http://schemas.openxmlformats.org/officeDocument/2006/relationships/hyperlink" Target="mailto:psjalansetia3@gmail.com" TargetMode="External"/><Relationship Id="rId1177" Type="http://schemas.openxmlformats.org/officeDocument/2006/relationships/hyperlink" Target="mailto:idzwanpetroservice1@yahoo.com" TargetMode="External"/><Relationship Id="rId1300" Type="http://schemas.openxmlformats.org/officeDocument/2006/relationships/hyperlink" Target="mailto:inflowtrading@yahoo.com%20/%20inflowabdul67@yahoo.com" TargetMode="External"/><Relationship Id="rId37" Type="http://schemas.openxmlformats.org/officeDocument/2006/relationships/hyperlink" Target="mailto:hidayah116@gmail.com" TargetMode="External"/><Relationship Id="rId102" Type="http://schemas.openxmlformats.org/officeDocument/2006/relationships/hyperlink" Target="mailto:khairilhadi098@gmail.com" TargetMode="External"/><Relationship Id="rId547" Type="http://schemas.openxmlformats.org/officeDocument/2006/relationships/hyperlink" Target="mailto:shazlinmuhd@gmail.com" TargetMode="External"/><Relationship Id="rId754" Type="http://schemas.openxmlformats.org/officeDocument/2006/relationships/hyperlink" Target="mailto:rbas91@yahoo.com" TargetMode="External"/><Relationship Id="rId961" Type="http://schemas.openxmlformats.org/officeDocument/2006/relationships/hyperlink" Target="mailto:w_wanmuda@yahoo.com" TargetMode="External"/><Relationship Id="rId1384" Type="http://schemas.openxmlformats.org/officeDocument/2006/relationships/hyperlink" Target="mailto:annas_mustafa@yahoo.com" TargetMode="External"/><Relationship Id="rId90" Type="http://schemas.openxmlformats.org/officeDocument/2006/relationships/hyperlink" Target="mailto:klccfoodtruck@gmail.com" TargetMode="External"/><Relationship Id="rId186" Type="http://schemas.openxmlformats.org/officeDocument/2006/relationships/hyperlink" Target="mailto:azizanazri297@gmail.com" TargetMode="External"/><Relationship Id="rId393" Type="http://schemas.openxmlformats.org/officeDocument/2006/relationships/hyperlink" Target="mailto:rozaiman4014@gmail.com" TargetMode="External"/><Relationship Id="rId407" Type="http://schemas.openxmlformats.org/officeDocument/2006/relationships/hyperlink" Target="mailto:fathiabdrahim93@gmail.com" TargetMode="External"/><Relationship Id="rId614" Type="http://schemas.openxmlformats.org/officeDocument/2006/relationships/hyperlink" Target="mailto:petronasbbkp@gmail.com" TargetMode="External"/><Relationship Id="rId821" Type="http://schemas.openxmlformats.org/officeDocument/2006/relationships/hyperlink" Target="mailto:pssgemencheh@gmail.com" TargetMode="External"/><Relationship Id="rId1037" Type="http://schemas.openxmlformats.org/officeDocument/2006/relationships/hyperlink" Target="mailto:ojlee1@hotmail.com" TargetMode="External"/><Relationship Id="rId1244" Type="http://schemas.openxmlformats.org/officeDocument/2006/relationships/hyperlink" Target="mailto:andamasniaga@gmail.com" TargetMode="External"/><Relationship Id="rId1451" Type="http://schemas.openxmlformats.org/officeDocument/2006/relationships/hyperlink" Target="mailto:ps.yp@shyg.com.my" TargetMode="External"/><Relationship Id="rId253" Type="http://schemas.openxmlformats.org/officeDocument/2006/relationships/hyperlink" Target="mailto:hottuih123@gmail.com" TargetMode="External"/><Relationship Id="rId460" Type="http://schemas.openxmlformats.org/officeDocument/2006/relationships/hyperlink" Target="mailto:asma.bubbleso2@gmail.com" TargetMode="External"/><Relationship Id="rId698" Type="http://schemas.openxmlformats.org/officeDocument/2006/relationships/hyperlink" Target="mailto:petromaxs17@gmail.om" TargetMode="External"/><Relationship Id="rId919" Type="http://schemas.openxmlformats.org/officeDocument/2006/relationships/hyperlink" Target="mailto:noraini.narglobal@gmail.com" TargetMode="External"/><Relationship Id="rId1090" Type="http://schemas.openxmlformats.org/officeDocument/2006/relationships/hyperlink" Target="mailto:smperintis@yahoo.com" TargetMode="External"/><Relationship Id="rId1104" Type="http://schemas.openxmlformats.org/officeDocument/2006/relationships/hyperlink" Target="mailto:smcenderawasih@gmail.com" TargetMode="External"/><Relationship Id="rId1311" Type="http://schemas.openxmlformats.org/officeDocument/2006/relationships/hyperlink" Target="mailto:legasi.ms@yahoo.com" TargetMode="External"/><Relationship Id="rId48" Type="http://schemas.openxmlformats.org/officeDocument/2006/relationships/hyperlink" Target="mailto:muhdimran952@gmail.com" TargetMode="External"/><Relationship Id="rId113" Type="http://schemas.openxmlformats.org/officeDocument/2006/relationships/hyperlink" Target="mailto:aahmad_88@yahoo.com" TargetMode="External"/><Relationship Id="rId320" Type="http://schemas.openxmlformats.org/officeDocument/2006/relationships/hyperlink" Target="mailto:izzahsyafiqah95@gmail.com" TargetMode="External"/><Relationship Id="rId558" Type="http://schemas.openxmlformats.org/officeDocument/2006/relationships/hyperlink" Target="mailto:prima_millenium14@yahoo.com.my" TargetMode="External"/><Relationship Id="rId765" Type="http://schemas.openxmlformats.org/officeDocument/2006/relationships/hyperlink" Target="mailto:ganpopular@yahoo.com" TargetMode="External"/><Relationship Id="rId972" Type="http://schemas.openxmlformats.org/officeDocument/2006/relationships/hyperlink" Target="mailto:amir260882@gmail.com" TargetMode="External"/><Relationship Id="rId1188" Type="http://schemas.openxmlformats.org/officeDocument/2006/relationships/hyperlink" Target="mailto:profixmarketing@yahoo.com" TargetMode="External"/><Relationship Id="rId1395" Type="http://schemas.openxmlformats.org/officeDocument/2006/relationships/hyperlink" Target="mailto:zaros51@yahoo.com.my" TargetMode="External"/><Relationship Id="rId1409" Type="http://schemas.openxmlformats.org/officeDocument/2006/relationships/hyperlink" Target="mailto:sidi736@yahoo.com" TargetMode="External"/><Relationship Id="rId197" Type="http://schemas.openxmlformats.org/officeDocument/2006/relationships/hyperlink" Target="mailto:shukujang@gmail.com" TargetMode="External"/><Relationship Id="rId418" Type="http://schemas.openxmlformats.org/officeDocument/2006/relationships/hyperlink" Target="mailto:syamasnurqaseh@gmail.com" TargetMode="External"/><Relationship Id="rId625" Type="http://schemas.openxmlformats.org/officeDocument/2006/relationships/hyperlink" Target="mailto:zrmesrastation@gmail.com" TargetMode="External"/><Relationship Id="rId832" Type="http://schemas.openxmlformats.org/officeDocument/2006/relationships/hyperlink" Target="mailto:laila_lela@yahoo.com" TargetMode="External"/><Relationship Id="rId1048" Type="http://schemas.openxmlformats.org/officeDocument/2006/relationships/hyperlink" Target="mailto:psmanjung@gmail.com" TargetMode="External"/><Relationship Id="rId1255" Type="http://schemas.openxmlformats.org/officeDocument/2006/relationships/hyperlink" Target="mailto:sprinthway@gmail.com" TargetMode="External"/><Relationship Id="rId1462" Type="http://schemas.openxmlformats.org/officeDocument/2006/relationships/hyperlink" Target="mailto:yunsinar2025@gmail.com" TargetMode="External"/><Relationship Id="rId264" Type="http://schemas.openxmlformats.org/officeDocument/2006/relationships/hyperlink" Target="mailto:ariffaizzainudin@gmail.com" TargetMode="External"/><Relationship Id="rId471" Type="http://schemas.openxmlformats.org/officeDocument/2006/relationships/hyperlink" Target="mailto:nadhirahfisul@gmail.com" TargetMode="External"/><Relationship Id="rId1115" Type="http://schemas.openxmlformats.org/officeDocument/2006/relationships/hyperlink" Target="mailto:zhzsdnbhd@gmail.com" TargetMode="External"/><Relationship Id="rId1322" Type="http://schemas.openxmlformats.org/officeDocument/2006/relationships/hyperlink" Target="mailto:pstamandesajaya@gmail.com" TargetMode="External"/><Relationship Id="rId59" Type="http://schemas.openxmlformats.org/officeDocument/2006/relationships/hyperlink" Target="mailto:bleach437@gmail.com" TargetMode="External"/><Relationship Id="rId124" Type="http://schemas.openxmlformats.org/officeDocument/2006/relationships/hyperlink" Target="mailto:sm.bukititam@yahoo.com" TargetMode="External"/><Relationship Id="rId569" Type="http://schemas.openxmlformats.org/officeDocument/2006/relationships/hyperlink" Target="mailto:synergy.kkcc@jesin.com.my" TargetMode="External"/><Relationship Id="rId776" Type="http://schemas.openxmlformats.org/officeDocument/2006/relationships/hyperlink" Target="mailto:aanazizenterprise@gmail.com" TargetMode="External"/><Relationship Id="rId983" Type="http://schemas.openxmlformats.org/officeDocument/2006/relationships/hyperlink" Target="mailto:asfida28675@yahoo.com.my" TargetMode="External"/><Relationship Id="rId1199" Type="http://schemas.openxmlformats.org/officeDocument/2006/relationships/hyperlink" Target="mailto:citione2003@gmail.com" TargetMode="External"/><Relationship Id="rId331" Type="http://schemas.openxmlformats.org/officeDocument/2006/relationships/hyperlink" Target="mailto:baddrolhisham@gmail.com" TargetMode="External"/><Relationship Id="rId429" Type="http://schemas.openxmlformats.org/officeDocument/2006/relationships/hyperlink" Target="mailto:skarimin@yahoo.com" TargetMode="External"/><Relationship Id="rId636" Type="http://schemas.openxmlformats.org/officeDocument/2006/relationships/hyperlink" Target="mailto:azhaghani@yahoo.com" TargetMode="External"/><Relationship Id="rId1059" Type="http://schemas.openxmlformats.org/officeDocument/2006/relationships/hyperlink" Target="mailto:pitis.merlimau@yahoo.com" TargetMode="External"/><Relationship Id="rId1266" Type="http://schemas.openxmlformats.org/officeDocument/2006/relationships/hyperlink" Target="mailto:taipanmegah_pg@yahoo.com" TargetMode="External"/><Relationship Id="rId1473" Type="http://schemas.openxmlformats.org/officeDocument/2006/relationships/hyperlink" Target="mailto:muhdilyas164@gmail.com" TargetMode="External"/><Relationship Id="rId843" Type="http://schemas.openxmlformats.org/officeDocument/2006/relationships/hyperlink" Target="mailto:psjalanbandar@gmail.com" TargetMode="External"/><Relationship Id="rId1126" Type="http://schemas.openxmlformats.org/officeDocument/2006/relationships/hyperlink" Target="mailto:srigadingservices.petronas@gmail.com" TargetMode="External"/><Relationship Id="rId275" Type="http://schemas.openxmlformats.org/officeDocument/2006/relationships/hyperlink" Target="mailto:ZULFEKARHARIS@GMAIL.COM" TargetMode="External"/><Relationship Id="rId482" Type="http://schemas.openxmlformats.org/officeDocument/2006/relationships/hyperlink" Target="mailto:diyanarosli98@gmail.com" TargetMode="External"/><Relationship Id="rId703" Type="http://schemas.openxmlformats.org/officeDocument/2006/relationships/hyperlink" Target="mailto:nadimesah@gmail.com" TargetMode="External"/><Relationship Id="rId910" Type="http://schemas.openxmlformats.org/officeDocument/2006/relationships/hyperlink" Target="mailto:petronassultanahzainab@gmail.com" TargetMode="External"/><Relationship Id="rId1333" Type="http://schemas.openxmlformats.org/officeDocument/2006/relationships/hyperlink" Target="mailto:pss_maluri@yahoo.com" TargetMode="External"/><Relationship Id="rId135" Type="http://schemas.openxmlformats.org/officeDocument/2006/relationships/hyperlink" Target="mailto:wanridz.mrmr@gmail.com" TargetMode="External"/><Relationship Id="rId342" Type="http://schemas.openxmlformats.org/officeDocument/2006/relationships/hyperlink" Target="mailto:fadzilah_za71@yahoo.com" TargetMode="External"/><Relationship Id="rId787" Type="http://schemas.openxmlformats.org/officeDocument/2006/relationships/hyperlink" Target="mailto:ptrns.damansaraalif@felda.net.my" TargetMode="External"/><Relationship Id="rId994" Type="http://schemas.openxmlformats.org/officeDocument/2006/relationships/hyperlink" Target="mailto:petronaskualaberang@gmail.com" TargetMode="External"/><Relationship Id="rId1400" Type="http://schemas.openxmlformats.org/officeDocument/2006/relationships/hyperlink" Target="mailto:n.azianwati@yahoo.com" TargetMode="External"/><Relationship Id="rId202" Type="http://schemas.openxmlformats.org/officeDocument/2006/relationships/hyperlink" Target="mailto:k.adzwa@gmail.com" TargetMode="External"/><Relationship Id="rId647" Type="http://schemas.openxmlformats.org/officeDocument/2006/relationships/hyperlink" Target="mailto:snw.zemart@gmail.com" TargetMode="External"/><Relationship Id="rId854" Type="http://schemas.openxmlformats.org/officeDocument/2006/relationships/hyperlink" Target="mailto:petroniaga.mesra@gmail.com" TargetMode="External"/><Relationship Id="rId1277" Type="http://schemas.openxmlformats.org/officeDocument/2006/relationships/hyperlink" Target="mailto:nizamsgperak@yahoo.com" TargetMode="External"/><Relationship Id="rId1484" Type="http://schemas.openxmlformats.org/officeDocument/2006/relationships/hyperlink" Target="mailto:sehakarim@gmail.com" TargetMode="External"/><Relationship Id="rId286" Type="http://schemas.openxmlformats.org/officeDocument/2006/relationships/hyperlink" Target="mailto:syuhadah055@gmail.com" TargetMode="External"/><Relationship Id="rId493" Type="http://schemas.openxmlformats.org/officeDocument/2006/relationships/hyperlink" Target="mailto:bakti_bbsh@yahoo.com" TargetMode="External"/><Relationship Id="rId507" Type="http://schemas.openxmlformats.org/officeDocument/2006/relationships/hyperlink" Target="mailto:moderninventionsdnbhd@gmail.com" TargetMode="External"/><Relationship Id="rId714" Type="http://schemas.openxmlformats.org/officeDocument/2006/relationships/hyperlink" Target="mailto:zamfuelnmart@gmail.com" TargetMode="External"/><Relationship Id="rId921" Type="http://schemas.openxmlformats.org/officeDocument/2006/relationships/hyperlink" Target="mailto:aliffitriahmad@gmail.com" TargetMode="External"/><Relationship Id="rId1137" Type="http://schemas.openxmlformats.org/officeDocument/2006/relationships/hyperlink" Target="mailto:eidaman@hotmail.com" TargetMode="External"/><Relationship Id="rId1344" Type="http://schemas.openxmlformats.org/officeDocument/2006/relationships/hyperlink" Target="mailto:nskpengkalanjaya@gmail.com" TargetMode="External"/><Relationship Id="rId50" Type="http://schemas.openxmlformats.org/officeDocument/2006/relationships/hyperlink" Target="mailto:saukatali151263@gmail.com" TargetMode="External"/><Relationship Id="rId146" Type="http://schemas.openxmlformats.org/officeDocument/2006/relationships/hyperlink" Target="mailto:pmgpharmacysitiawan@gmail.com" TargetMode="External"/><Relationship Id="rId353" Type="http://schemas.openxmlformats.org/officeDocument/2006/relationships/hyperlink" Target="mailto:esynergy.pss@gmail.com" TargetMode="External"/><Relationship Id="rId560" Type="http://schemas.openxmlformats.org/officeDocument/2006/relationships/hyperlink" Target="mailto:naliha.mz@agrobank.com.my" TargetMode="External"/><Relationship Id="rId798" Type="http://schemas.openxmlformats.org/officeDocument/2006/relationships/hyperlink" Target="mailto:samsenafi@yahoo.com" TargetMode="External"/><Relationship Id="rId1190" Type="http://schemas.openxmlformats.org/officeDocument/2006/relationships/hyperlink" Target="mailto:smrembia@gmail.com" TargetMode="External"/><Relationship Id="rId1204" Type="http://schemas.openxmlformats.org/officeDocument/2006/relationships/hyperlink" Target="mailto:tuah.silkroute10@gmail.com" TargetMode="External"/><Relationship Id="rId1411" Type="http://schemas.openxmlformats.org/officeDocument/2006/relationships/hyperlink" Target="mailto:berkatabadan@gmail.com" TargetMode="External"/><Relationship Id="rId213" Type="http://schemas.openxmlformats.org/officeDocument/2006/relationships/hyperlink" Target="mailto:shaharullah@bubbleso2.com" TargetMode="External"/><Relationship Id="rId420" Type="http://schemas.openxmlformats.org/officeDocument/2006/relationships/hyperlink" Target="mailto:normalina_husin@yahoo.com" TargetMode="External"/><Relationship Id="rId658" Type="http://schemas.openxmlformats.org/officeDocument/2006/relationships/hyperlink" Target="mailto:pss.sri.saujana@gmail.com" TargetMode="External"/><Relationship Id="rId865" Type="http://schemas.openxmlformats.org/officeDocument/2006/relationships/hyperlink" Target="mailto:pssjalankakibukit@gmail.com" TargetMode="External"/><Relationship Id="rId1050" Type="http://schemas.openxmlformats.org/officeDocument/2006/relationships/hyperlink" Target="mailto:shafini2019@gmail.com" TargetMode="External"/><Relationship Id="rId1288" Type="http://schemas.openxmlformats.org/officeDocument/2006/relationships/hyperlink" Target="mailto:smartwayss.einvoice@gmail.com" TargetMode="External"/><Relationship Id="rId1495" Type="http://schemas.openxmlformats.org/officeDocument/2006/relationships/hyperlink" Target="mailto:procurement@marinisgroup.com" TargetMode="External"/><Relationship Id="rId1509" Type="http://schemas.openxmlformats.org/officeDocument/2006/relationships/hyperlink" Target="mailto:purch@thbglobal.com.my" TargetMode="External"/><Relationship Id="rId297" Type="http://schemas.openxmlformats.org/officeDocument/2006/relationships/hyperlink" Target="mailto:srikandi.syurga@gmail.com" TargetMode="External"/><Relationship Id="rId518" Type="http://schemas.openxmlformats.org/officeDocument/2006/relationships/hyperlink" Target="mailto:tuahrayasb@gmail.com" TargetMode="External"/><Relationship Id="rId725" Type="http://schemas.openxmlformats.org/officeDocument/2006/relationships/hyperlink" Target="mailto:salim96@yahoo.com" TargetMode="External"/><Relationship Id="rId932" Type="http://schemas.openxmlformats.org/officeDocument/2006/relationships/hyperlink" Target="mailto:faranasrudin@gmail.com" TargetMode="External"/><Relationship Id="rId1148" Type="http://schemas.openxmlformats.org/officeDocument/2006/relationships/hyperlink" Target="mailto:mdjimat@yahoo.com" TargetMode="External"/><Relationship Id="rId1355" Type="http://schemas.openxmlformats.org/officeDocument/2006/relationships/hyperlink" Target="mailto:estmmy@gmail.com" TargetMode="External"/><Relationship Id="rId157" Type="http://schemas.openxmlformats.org/officeDocument/2006/relationships/hyperlink" Target="mailto:ezriverempire@gmail.com" TargetMode="External"/><Relationship Id="rId364" Type="http://schemas.openxmlformats.org/officeDocument/2006/relationships/hyperlink" Target="mailto:farisemran03@gmail.com" TargetMode="External"/><Relationship Id="rId1008" Type="http://schemas.openxmlformats.org/officeDocument/2006/relationships/hyperlink" Target="mailto:rahimiidealflow@gmail.com" TargetMode="External"/><Relationship Id="rId1215" Type="http://schemas.openxmlformats.org/officeDocument/2006/relationships/hyperlink" Target="mailto:selayang_bharu@yahoo.com.my" TargetMode="External"/><Relationship Id="rId1422" Type="http://schemas.openxmlformats.org/officeDocument/2006/relationships/hyperlink" Target="mailto:binsalimsendayan@gmail.com" TargetMode="External"/><Relationship Id="rId61" Type="http://schemas.openxmlformats.org/officeDocument/2006/relationships/hyperlink" Target="mailto:nurnashitah@gmail.com" TargetMode="External"/><Relationship Id="rId571" Type="http://schemas.openxmlformats.org/officeDocument/2006/relationships/hyperlink" Target="mailto:petronasbaling@yahoo.com" TargetMode="External"/><Relationship Id="rId669" Type="http://schemas.openxmlformats.org/officeDocument/2006/relationships/hyperlink" Target="mailto:wannajib@richismocoffee.com" TargetMode="External"/><Relationship Id="rId876" Type="http://schemas.openxmlformats.org/officeDocument/2006/relationships/hyperlink" Target="mailto:kazazpetroservis@yahoo.com" TargetMode="External"/><Relationship Id="rId1299" Type="http://schemas.openxmlformats.org/officeDocument/2006/relationships/hyperlink" Target="mailto:msbz53@yahoo.com.sg" TargetMode="External"/><Relationship Id="rId19" Type="http://schemas.openxmlformats.org/officeDocument/2006/relationships/hyperlink" Target="mailto:eja@eeworld.com.my" TargetMode="External"/><Relationship Id="rId224" Type="http://schemas.openxmlformats.org/officeDocument/2006/relationships/hyperlink" Target="mailto:iskandar27etc@hotmail.com" TargetMode="External"/><Relationship Id="rId431" Type="http://schemas.openxmlformats.org/officeDocument/2006/relationships/hyperlink" Target="mailto:abdul.hafiz@mtdc.com.my" TargetMode="External"/><Relationship Id="rId529" Type="http://schemas.openxmlformats.org/officeDocument/2006/relationships/hyperlink" Target="mailto:rsymaini11@gmail.com" TargetMode="External"/><Relationship Id="rId736" Type="http://schemas.openxmlformats.org/officeDocument/2006/relationships/hyperlink" Target="mailto:mayutrading@yahoo.com" TargetMode="External"/><Relationship Id="rId1061" Type="http://schemas.openxmlformats.org/officeDocument/2006/relationships/hyperlink" Target="mailto:mmazharo@yahoo.com" TargetMode="External"/><Relationship Id="rId1159" Type="http://schemas.openxmlformats.org/officeDocument/2006/relationships/hyperlink" Target="mailto:empayarprima@gmail.com" TargetMode="External"/><Relationship Id="rId1366" Type="http://schemas.openxmlformats.org/officeDocument/2006/relationships/hyperlink" Target="mailto:rohanaana5090@gmail.com" TargetMode="External"/><Relationship Id="rId168" Type="http://schemas.openxmlformats.org/officeDocument/2006/relationships/hyperlink" Target="mailto:pagohsynergy@gmail.com" TargetMode="External"/><Relationship Id="rId943" Type="http://schemas.openxmlformats.org/officeDocument/2006/relationships/hyperlink" Target="mailto:hkkzg2@gmail.com" TargetMode="External"/><Relationship Id="rId1019" Type="http://schemas.openxmlformats.org/officeDocument/2006/relationships/hyperlink" Target="mailto:nndnent@gmail.com" TargetMode="External"/><Relationship Id="rId72" Type="http://schemas.openxmlformats.org/officeDocument/2006/relationships/hyperlink" Target="mailto:einvoice@7eleven.com.my" TargetMode="External"/><Relationship Id="rId375" Type="http://schemas.openxmlformats.org/officeDocument/2006/relationships/hyperlink" Target="mailto:fara.fsmr29@gmail.com" TargetMode="External"/><Relationship Id="rId582" Type="http://schemas.openxmlformats.org/officeDocument/2006/relationships/hyperlink" Target="mailto:dianasallehds5@gmail.com" TargetMode="External"/><Relationship Id="rId803" Type="http://schemas.openxmlformats.org/officeDocument/2006/relationships/hyperlink" Target="mailto:samsulsaim@gmail.com" TargetMode="External"/><Relationship Id="rId1226" Type="http://schemas.openxmlformats.org/officeDocument/2006/relationships/hyperlink" Target="mailto:bepetrolstation@gmail.com" TargetMode="External"/><Relationship Id="rId1433" Type="http://schemas.openxmlformats.org/officeDocument/2006/relationships/hyperlink" Target="mailto:jun75.jy@gmail.com" TargetMode="External"/><Relationship Id="rId3" Type="http://schemas.openxmlformats.org/officeDocument/2006/relationships/hyperlink" Target="mailto:dfiya313@gmail.com" TargetMode="External"/><Relationship Id="rId235" Type="http://schemas.openxmlformats.org/officeDocument/2006/relationships/hyperlink" Target="mailto:mohdhafiez339@yahoo.com" TargetMode="External"/><Relationship Id="rId442" Type="http://schemas.openxmlformats.org/officeDocument/2006/relationships/hyperlink" Target="mailto:FARIDAH@FJAEROPARTS.COM" TargetMode="External"/><Relationship Id="rId887" Type="http://schemas.openxmlformats.org/officeDocument/2006/relationships/hyperlink" Target="mailto:cheetat.keng@outlook.com" TargetMode="External"/><Relationship Id="rId1072" Type="http://schemas.openxmlformats.org/officeDocument/2006/relationships/hyperlink" Target="mailto:ahbb.petromart@gmail.com" TargetMode="External"/><Relationship Id="rId1500" Type="http://schemas.openxmlformats.org/officeDocument/2006/relationships/hyperlink" Target="mailto:muliajayapng@yahoo.com" TargetMode="External"/><Relationship Id="rId302" Type="http://schemas.openxmlformats.org/officeDocument/2006/relationships/hyperlink" Target="mailto:cmc103.tmcyberjayacvs@gmail.com" TargetMode="External"/><Relationship Id="rId747" Type="http://schemas.openxmlformats.org/officeDocument/2006/relationships/hyperlink" Target="mailto:norliana_rosli84@yahoo.com" TargetMode="External"/><Relationship Id="rId954" Type="http://schemas.openxmlformats.org/officeDocument/2006/relationships/hyperlink" Target="mailto:ciksue8112@gmail.com" TargetMode="External"/><Relationship Id="rId1377" Type="http://schemas.openxmlformats.org/officeDocument/2006/relationships/hyperlink" Target="mailto:info@kulitas.com.my" TargetMode="External"/><Relationship Id="rId83" Type="http://schemas.openxmlformats.org/officeDocument/2006/relationships/hyperlink" Target="mailto:cakraduniasb@gmail.com" TargetMode="External"/><Relationship Id="rId179" Type="http://schemas.openxmlformats.org/officeDocument/2006/relationships/hyperlink" Target="mailto:petronastersang3@gmail.com" TargetMode="External"/><Relationship Id="rId386" Type="http://schemas.openxmlformats.org/officeDocument/2006/relationships/hyperlink" Target="mailto:azizie@famaco.com.my" TargetMode="External"/><Relationship Id="rId593" Type="http://schemas.openxmlformats.org/officeDocument/2006/relationships/hyperlink" Target="mailto:petronasbaganserai1@gmail.com;%20yazid3838@gmail.com" TargetMode="External"/><Relationship Id="rId607" Type="http://schemas.openxmlformats.org/officeDocument/2006/relationships/hyperlink" Target="mailto:psbalokhabriana@gmail.com" TargetMode="External"/><Relationship Id="rId814" Type="http://schemas.openxmlformats.org/officeDocument/2006/relationships/hyperlink" Target="mailto:psmempaga3.bhd@yahoo.com" TargetMode="External"/><Relationship Id="rId1237" Type="http://schemas.openxmlformats.org/officeDocument/2006/relationships/hyperlink" Target="mailto:psa.emdynamic2022@gmail.com" TargetMode="External"/><Relationship Id="rId1444" Type="http://schemas.openxmlformats.org/officeDocument/2006/relationships/hyperlink" Target="mailto:amirruddin_yahya@yahoo.com" TargetMode="External"/><Relationship Id="rId246" Type="http://schemas.openxmlformats.org/officeDocument/2006/relationships/hyperlink" Target="mailto:cmc103.tmcyberjayacvs@gmail.com" TargetMode="External"/><Relationship Id="rId453" Type="http://schemas.openxmlformats.org/officeDocument/2006/relationships/hyperlink" Target="mailto:Msfadilhamsan@gmail.com" TargetMode="External"/><Relationship Id="rId660" Type="http://schemas.openxmlformats.org/officeDocument/2006/relationships/hyperlink" Target="mailto:SH_MY-Einvoice.Supplier@lotuss.com" TargetMode="External"/><Relationship Id="rId898" Type="http://schemas.openxmlformats.org/officeDocument/2006/relationships/hyperlink" Target="mailto:khairul@pesamp.org" TargetMode="External"/><Relationship Id="rId1083" Type="http://schemas.openxmlformats.org/officeDocument/2006/relationships/hyperlink" Target="mailto:gemilangvnt@g,ail.com" TargetMode="External"/><Relationship Id="rId1290" Type="http://schemas.openxmlformats.org/officeDocument/2006/relationships/hyperlink" Target="mailto:sura2triplea@yahoo.com.my" TargetMode="External"/><Relationship Id="rId1304" Type="http://schemas.openxmlformats.org/officeDocument/2006/relationships/hyperlink" Target="mailto:zaharin_pbmf@yahoo.co.uk" TargetMode="External"/><Relationship Id="rId106" Type="http://schemas.openxmlformats.org/officeDocument/2006/relationships/hyperlink" Target="mailto:nixora2002@gmail.com" TargetMode="External"/><Relationship Id="rId313" Type="http://schemas.openxmlformats.org/officeDocument/2006/relationships/hyperlink" Target="mailto:nice_erma21@yahoo.com" TargetMode="External"/><Relationship Id="rId758" Type="http://schemas.openxmlformats.org/officeDocument/2006/relationships/hyperlink" Target="mailto:luckypetrol@gmail.com" TargetMode="External"/><Relationship Id="rId965" Type="http://schemas.openxmlformats.org/officeDocument/2006/relationships/hyperlink" Target="mailto:marga.vista@gmail.com" TargetMode="External"/><Relationship Id="rId1150" Type="http://schemas.openxmlformats.org/officeDocument/2006/relationships/hyperlink" Target="mailto:psperupok@gmail.com" TargetMode="External"/><Relationship Id="rId1388" Type="http://schemas.openxmlformats.org/officeDocument/2006/relationships/hyperlink" Target="mailto:smadilabadiawesome@gmail.com" TargetMode="External"/><Relationship Id="rId10" Type="http://schemas.openxmlformats.org/officeDocument/2006/relationships/hyperlink" Target="mailto:ramli0135000307@gmail.com" TargetMode="External"/><Relationship Id="rId94" Type="http://schemas.openxmlformats.org/officeDocument/2006/relationships/hyperlink" Target="mailto:ahmadsfriedchicken@outlook.com" TargetMode="External"/><Relationship Id="rId397" Type="http://schemas.openxmlformats.org/officeDocument/2006/relationships/hyperlink" Target="mailto:muhadisuliamanrmp@gmail.com" TargetMode="External"/><Relationship Id="rId520" Type="http://schemas.openxmlformats.org/officeDocument/2006/relationships/hyperlink" Target="mailto:nabilla1438@gmail.com" TargetMode="External"/><Relationship Id="rId618" Type="http://schemas.openxmlformats.org/officeDocument/2006/relationships/hyperlink" Target="mailto:cikguleha7278@yahoo.com" TargetMode="External"/><Relationship Id="rId825" Type="http://schemas.openxmlformats.org/officeDocument/2006/relationships/hyperlink" Target="mailto:novaleica@yahoo.com" TargetMode="External"/><Relationship Id="rId1248" Type="http://schemas.openxmlformats.org/officeDocument/2006/relationships/hyperlink" Target="mailto:pentaoil02@gmail.com" TargetMode="External"/><Relationship Id="rId1455" Type="http://schemas.openxmlformats.org/officeDocument/2006/relationships/hyperlink" Target="mailto:koopkpkb@yahoo.com" TargetMode="External"/><Relationship Id="rId257" Type="http://schemas.openxmlformats.org/officeDocument/2006/relationships/hyperlink" Target="mailto:berkatpj@gmail.com" TargetMode="External"/><Relationship Id="rId464" Type="http://schemas.openxmlformats.org/officeDocument/2006/relationships/hyperlink" Target="mailto:afqsyabil07011@gmail.com" TargetMode="External"/><Relationship Id="rId1010" Type="http://schemas.openxmlformats.org/officeDocument/2006/relationships/hyperlink" Target="mailto:maslera@hotmail.com" TargetMode="External"/><Relationship Id="rId1094" Type="http://schemas.openxmlformats.org/officeDocument/2006/relationships/hyperlink" Target="mailto:psswangi@gmail.com" TargetMode="External"/><Relationship Id="rId1108" Type="http://schemas.openxmlformats.org/officeDocument/2006/relationships/hyperlink" Target="mailto:anishqaisara2@gmail.com" TargetMode="External"/><Relationship Id="rId1315" Type="http://schemas.openxmlformats.org/officeDocument/2006/relationships/hyperlink" Target="mailto:tdjbpetro@gmail.com" TargetMode="External"/><Relationship Id="rId117" Type="http://schemas.openxmlformats.org/officeDocument/2006/relationships/hyperlink" Target="mailto:naqiyahkassim33@gmail.com" TargetMode="External"/><Relationship Id="rId671" Type="http://schemas.openxmlformats.org/officeDocument/2006/relationships/hyperlink" Target="mailto:derispardi@hotmail.com" TargetMode="External"/><Relationship Id="rId769" Type="http://schemas.openxmlformats.org/officeDocument/2006/relationships/hyperlink" Target="mailto:anfal.psscp@gmail.com" TargetMode="External"/><Relationship Id="rId976" Type="http://schemas.openxmlformats.org/officeDocument/2006/relationships/hyperlink" Target="mailto:mokhtajaya@yahoo.com" TargetMode="External"/><Relationship Id="rId1399" Type="http://schemas.openxmlformats.org/officeDocument/2006/relationships/hyperlink" Target="mailto:ptrns.tmnwawasan@felda.net.my" TargetMode="External"/><Relationship Id="rId324" Type="http://schemas.openxmlformats.org/officeDocument/2006/relationships/hyperlink" Target="mailto:izzuedinnik@gmail.com" TargetMode="External"/><Relationship Id="rId531" Type="http://schemas.openxmlformats.org/officeDocument/2006/relationships/hyperlink" Target="mailto:farmasiharmonikamunting@gmail.com" TargetMode="External"/><Relationship Id="rId629" Type="http://schemas.openxmlformats.org/officeDocument/2006/relationships/hyperlink" Target="mailto:roslin.alias@yahoo.com" TargetMode="External"/><Relationship Id="rId1161" Type="http://schemas.openxmlformats.org/officeDocument/2006/relationships/hyperlink" Target="mailto:pss_batu14_puchong@yahoo.com.my" TargetMode="External"/><Relationship Id="rId1259" Type="http://schemas.openxmlformats.org/officeDocument/2006/relationships/hyperlink" Target="mailto:polysageengineeringpulai@gmail.com" TargetMode="External"/><Relationship Id="rId1466" Type="http://schemas.openxmlformats.org/officeDocument/2006/relationships/hyperlink" Target="mailto:shafenaz.ventures@gmail.com" TargetMode="External"/><Relationship Id="rId836" Type="http://schemas.openxmlformats.org/officeDocument/2006/relationships/hyperlink" Target="mailto:psshmelintang@gmail.com" TargetMode="External"/><Relationship Id="rId1021" Type="http://schemas.openxmlformats.org/officeDocument/2006/relationships/hyperlink" Target="mailto:pslmr.koperak@gmail.com" TargetMode="External"/><Relationship Id="rId1119" Type="http://schemas.openxmlformats.org/officeDocument/2006/relationships/hyperlink" Target="mailto:mohdrafy@hotmail.com" TargetMode="External"/><Relationship Id="rId903" Type="http://schemas.openxmlformats.org/officeDocument/2006/relationships/hyperlink" Target="mailto:trillionempire@yahoo.com" TargetMode="External"/><Relationship Id="rId1326" Type="http://schemas.openxmlformats.org/officeDocument/2006/relationships/hyperlink" Target="mailto:pss.attawhid@gmail.com" TargetMode="External"/><Relationship Id="rId32" Type="http://schemas.openxmlformats.org/officeDocument/2006/relationships/hyperlink" Target="mailto:ccc_canter@yahoo.com" TargetMode="External"/><Relationship Id="rId181" Type="http://schemas.openxmlformats.org/officeDocument/2006/relationships/hyperlink" Target="mailto:nrlynsh@gmail.com" TargetMode="External"/><Relationship Id="rId279" Type="http://schemas.openxmlformats.org/officeDocument/2006/relationships/hyperlink" Target="mailto:nordinaj@gmail.com" TargetMode="External"/><Relationship Id="rId486" Type="http://schemas.openxmlformats.org/officeDocument/2006/relationships/hyperlink" Target="mailto:e.edayu@icloud.com" TargetMode="External"/><Relationship Id="rId693" Type="http://schemas.openxmlformats.org/officeDocument/2006/relationships/hyperlink" Target="mailto:jointech5@hotmail.com" TargetMode="External"/><Relationship Id="rId139" Type="http://schemas.openxmlformats.org/officeDocument/2006/relationships/hyperlink" Target="mailto:putrarahidi2@gmail.com" TargetMode="External"/><Relationship Id="rId346" Type="http://schemas.openxmlformats.org/officeDocument/2006/relationships/hyperlink" Target="mailto:MSJ@MELEWAR-MIG.COM" TargetMode="External"/><Relationship Id="rId553" Type="http://schemas.openxmlformats.org/officeDocument/2006/relationships/hyperlink" Target="mailto:farhanafieqa@gmail.com" TargetMode="External"/><Relationship Id="rId760" Type="http://schemas.openxmlformats.org/officeDocument/2006/relationships/hyperlink" Target="mailto:mazafresources@yahoo.com" TargetMode="External"/><Relationship Id="rId998" Type="http://schemas.openxmlformats.org/officeDocument/2006/relationships/hyperlink" Target="mailto:psknerus@gmail.com" TargetMode="External"/><Relationship Id="rId1183" Type="http://schemas.openxmlformats.org/officeDocument/2006/relationships/hyperlink" Target="mailto:petronasrasah@gmail.com" TargetMode="External"/><Relationship Id="rId1390" Type="http://schemas.openxmlformats.org/officeDocument/2006/relationships/hyperlink" Target="mailto:pss_pulaiperdana@yahoo.com" TargetMode="External"/><Relationship Id="rId206" Type="http://schemas.openxmlformats.org/officeDocument/2006/relationships/hyperlink" Target="mailto:sitizai678@yahoo.com" TargetMode="External"/><Relationship Id="rId413" Type="http://schemas.openxmlformats.org/officeDocument/2006/relationships/hyperlink" Target="mailto:faizizzul11@gmail.com" TargetMode="External"/><Relationship Id="rId858" Type="http://schemas.openxmlformats.org/officeDocument/2006/relationships/hyperlink" Target="mailto:pshamzahalang@gmail.com" TargetMode="External"/><Relationship Id="rId1043" Type="http://schemas.openxmlformats.org/officeDocument/2006/relationships/hyperlink" Target="mailto:BINTANGMESRA20@GMAIL.COM" TargetMode="External"/><Relationship Id="rId1488" Type="http://schemas.openxmlformats.org/officeDocument/2006/relationships/hyperlink" Target="mailto:azaidiml@gmail.com" TargetMode="External"/><Relationship Id="rId620" Type="http://schemas.openxmlformats.org/officeDocument/2006/relationships/hyperlink" Target="mailto:ptrns.kecau@felda.net.my" TargetMode="External"/><Relationship Id="rId718" Type="http://schemas.openxmlformats.org/officeDocument/2006/relationships/hyperlink" Target="mailto:gongdatoenterprise@yahoo.com.my" TargetMode="External"/><Relationship Id="rId925" Type="http://schemas.openxmlformats.org/officeDocument/2006/relationships/hyperlink" Target="mailto:shumulwarisan@gmail.com" TargetMode="External"/><Relationship Id="rId1250" Type="http://schemas.openxmlformats.org/officeDocument/2006/relationships/hyperlink" Target="mailto:aidilrashdan@yahoo.com" TargetMode="External"/><Relationship Id="rId1348" Type="http://schemas.openxmlformats.org/officeDocument/2006/relationships/hyperlink" Target="mailto:sriastana_petroleum@yahoo.com.my" TargetMode="External"/><Relationship Id="rId1110" Type="http://schemas.openxmlformats.org/officeDocument/2006/relationships/hyperlink" Target="mailto:mssb.petrolstation18@gmail.com" TargetMode="External"/><Relationship Id="rId1208" Type="http://schemas.openxmlformats.org/officeDocument/2006/relationships/hyperlink" Target="mailto:basukiyusof@yahoo.com.my" TargetMode="External"/><Relationship Id="rId1415" Type="http://schemas.openxmlformats.org/officeDocument/2006/relationships/hyperlink" Target="mailto:psstpm1@gmail.com" TargetMode="External"/><Relationship Id="rId54" Type="http://schemas.openxmlformats.org/officeDocument/2006/relationships/hyperlink" Target="mailto:adlina_sara@yahoo.com" TargetMode="External"/><Relationship Id="rId270" Type="http://schemas.openxmlformats.org/officeDocument/2006/relationships/hyperlink" Target="mailto:rosliram1636@gmail.com" TargetMode="External"/><Relationship Id="rId130" Type="http://schemas.openxmlformats.org/officeDocument/2006/relationships/hyperlink" Target="mailto:dinmohdhelmy@gmail.com" TargetMode="External"/><Relationship Id="rId368" Type="http://schemas.openxmlformats.org/officeDocument/2006/relationships/hyperlink" Target="mailto:mmafdal@gmail.com" TargetMode="External"/><Relationship Id="rId575" Type="http://schemas.openxmlformats.org/officeDocument/2006/relationships/hyperlink" Target="mailto:metrobintongenterprise@gmail.com" TargetMode="External"/><Relationship Id="rId782" Type="http://schemas.openxmlformats.org/officeDocument/2006/relationships/hyperlink" Target="mailto:nazfieza72232@gmail.com" TargetMode="External"/><Relationship Id="rId228" Type="http://schemas.openxmlformats.org/officeDocument/2006/relationships/hyperlink" Target="mailto:nazatulnabilah0202@gmail.com" TargetMode="External"/><Relationship Id="rId435" Type="http://schemas.openxmlformats.org/officeDocument/2006/relationships/hyperlink" Target="mailto:mohdhamdan9801@gmail.com" TargetMode="External"/><Relationship Id="rId642" Type="http://schemas.openxmlformats.org/officeDocument/2006/relationships/hyperlink" Target="mailto:legasipuncak@yahoo.com" TargetMode="External"/><Relationship Id="rId1065" Type="http://schemas.openxmlformats.org/officeDocument/2006/relationships/hyperlink" Target="mailto:Warithiman@gmail.com" TargetMode="External"/><Relationship Id="rId1272" Type="http://schemas.openxmlformats.org/officeDocument/2006/relationships/hyperlink" Target="mailto:servisria@gmail.com" TargetMode="External"/><Relationship Id="rId502" Type="http://schemas.openxmlformats.org/officeDocument/2006/relationships/hyperlink" Target="mailto:anz_sempoi@yahoo.com" TargetMode="External"/><Relationship Id="rId947" Type="http://schemas.openxmlformats.org/officeDocument/2006/relationships/hyperlink" Target="mailto:safura_ali@hotmail.com" TargetMode="External"/><Relationship Id="rId1132" Type="http://schemas.openxmlformats.org/officeDocument/2006/relationships/hyperlink" Target="mailto:manickam.pichai@gmail.com" TargetMode="External"/><Relationship Id="rId76" Type="http://schemas.openxmlformats.org/officeDocument/2006/relationships/hyperlink" Target="mailto:CAREPHARMLDU@GMAIL.COM" TargetMode="External"/><Relationship Id="rId807" Type="http://schemas.openxmlformats.org/officeDocument/2006/relationships/hyperlink" Target="mailto:mohdsukor_sumarjan@yahoo.com" TargetMode="External"/><Relationship Id="rId1437" Type="http://schemas.openxmlformats.org/officeDocument/2006/relationships/hyperlink" Target="mailto:basukiyusof@yahoo.com.my" TargetMode="External"/><Relationship Id="rId1504" Type="http://schemas.openxmlformats.org/officeDocument/2006/relationships/hyperlink" Target="mailto:nextage.mutiaraheights@gmail.com" TargetMode="External"/><Relationship Id="rId292" Type="http://schemas.openxmlformats.org/officeDocument/2006/relationships/hyperlink" Target="mailto:norizanjamal9@gmail.com" TargetMode="External"/><Relationship Id="rId597" Type="http://schemas.openxmlformats.org/officeDocument/2006/relationships/hyperlink" Target="mailto:sarafja@yahoo.com" TargetMode="External"/><Relationship Id="rId152" Type="http://schemas.openxmlformats.org/officeDocument/2006/relationships/hyperlink" Target="mailto:norfaezal@gmail.com" TargetMode="External"/><Relationship Id="rId457" Type="http://schemas.openxmlformats.org/officeDocument/2006/relationships/hyperlink" Target="mailto:esah9923@gmail.com" TargetMode="External"/><Relationship Id="rId1087" Type="http://schemas.openxmlformats.org/officeDocument/2006/relationships/hyperlink" Target="mailto:ilani.hafiz@gmai.com" TargetMode="External"/><Relationship Id="rId1294" Type="http://schemas.openxmlformats.org/officeDocument/2006/relationships/hyperlink" Target="mailto:stmakmur.smsm5@gmail.com" TargetMode="External"/><Relationship Id="rId664" Type="http://schemas.openxmlformats.org/officeDocument/2006/relationships/hyperlink" Target="mailto:dayat8587@gmail.com" TargetMode="External"/><Relationship Id="rId871" Type="http://schemas.openxmlformats.org/officeDocument/2006/relationships/hyperlink" Target="mailto:asmah.assobirin02@gmail.com" TargetMode="External"/><Relationship Id="rId969" Type="http://schemas.openxmlformats.org/officeDocument/2006/relationships/hyperlink" Target="mailto:hayati_km11@hotmail.com" TargetMode="External"/><Relationship Id="rId317" Type="http://schemas.openxmlformats.org/officeDocument/2006/relationships/hyperlink" Target="mailto:ramlah1965@gmail.com" TargetMode="External"/><Relationship Id="rId524" Type="http://schemas.openxmlformats.org/officeDocument/2006/relationships/hyperlink" Target="mailto:ahmadidham1502@gmail.com" TargetMode="External"/><Relationship Id="rId731" Type="http://schemas.openxmlformats.org/officeDocument/2006/relationships/hyperlink" Target="mailto:aiykaizensynergy@yahoo.com" TargetMode="External"/><Relationship Id="rId1154" Type="http://schemas.openxmlformats.org/officeDocument/2006/relationships/hyperlink" Target="mailto:mdnazrio@gmail.com" TargetMode="External"/><Relationship Id="rId1361" Type="http://schemas.openxmlformats.org/officeDocument/2006/relationships/hyperlink" Target="mailto:popular_niches@kimyuhuat.com;" TargetMode="External"/><Relationship Id="rId1459" Type="http://schemas.openxmlformats.org/officeDocument/2006/relationships/hyperlink" Target="mailto:fatinatiqah18@gmail.com" TargetMode="External"/><Relationship Id="rId98" Type="http://schemas.openxmlformats.org/officeDocument/2006/relationships/hyperlink" Target="mailto:invoice.farmasilautan@gmail.com" TargetMode="External"/><Relationship Id="rId829" Type="http://schemas.openxmlformats.org/officeDocument/2006/relationships/hyperlink" Target="mailto:biemus63@gmail.com" TargetMode="External"/><Relationship Id="rId1014" Type="http://schemas.openxmlformats.org/officeDocument/2006/relationships/hyperlink" Target="mailto:salmisamoon@yahoo.com" TargetMode="External"/><Relationship Id="rId1221" Type="http://schemas.openxmlformats.org/officeDocument/2006/relationships/hyperlink" Target="mailto:sahar_petronas@yahoo.com" TargetMode="External"/><Relationship Id="rId1319" Type="http://schemas.openxmlformats.org/officeDocument/2006/relationships/hyperlink" Target="mailto:carloznazri@radenembun.my" TargetMode="External"/><Relationship Id="rId25" Type="http://schemas.openxmlformats.org/officeDocument/2006/relationships/hyperlink" Target="mailto:aminfaisalla@gmail.com" TargetMode="External"/><Relationship Id="rId174" Type="http://schemas.openxmlformats.org/officeDocument/2006/relationships/hyperlink" Target="mailto:dziyaliteresources@yahoo.com" TargetMode="External"/><Relationship Id="rId381" Type="http://schemas.openxmlformats.org/officeDocument/2006/relationships/hyperlink" Target="mailto:petronasmanjoi@yahoo.com" TargetMode="External"/><Relationship Id="rId241" Type="http://schemas.openxmlformats.org/officeDocument/2006/relationships/hyperlink" Target="mailto:guna_1029@yahoo.com" TargetMode="External"/><Relationship Id="rId479" Type="http://schemas.openxmlformats.org/officeDocument/2006/relationships/hyperlink" Target="mailto:nazatulnabilah0202@gmail.com" TargetMode="External"/><Relationship Id="rId686" Type="http://schemas.openxmlformats.org/officeDocument/2006/relationships/hyperlink" Target="mailto:classic@cyl.com.my%20;%20sohlt@cyl.com.my" TargetMode="External"/><Relationship Id="rId893" Type="http://schemas.openxmlformats.org/officeDocument/2006/relationships/hyperlink" Target="mailto:pssjalansemenyih@gmail.com" TargetMode="External"/><Relationship Id="rId339" Type="http://schemas.openxmlformats.org/officeDocument/2006/relationships/hyperlink" Target="mailto:mirulafiq296@gmail.com" TargetMode="External"/><Relationship Id="rId546" Type="http://schemas.openxmlformats.org/officeDocument/2006/relationships/hyperlink" Target="mailto:akasyahshamsuri@gmail.com" TargetMode="External"/><Relationship Id="rId753" Type="http://schemas.openxmlformats.org/officeDocument/2006/relationships/hyperlink" Target="mailto:sramaju@yahoo.com.my" TargetMode="External"/><Relationship Id="rId1176" Type="http://schemas.openxmlformats.org/officeDocument/2006/relationships/hyperlink" Target="mailto:petronasfadhlyn@gmail.com" TargetMode="External"/><Relationship Id="rId1383" Type="http://schemas.openxmlformats.org/officeDocument/2006/relationships/hyperlink" Target="mailto:accounts@darussalam.com" TargetMode="External"/><Relationship Id="rId101" Type="http://schemas.openxmlformats.org/officeDocument/2006/relationships/hyperlink" Target="mailto:yikmun@gmail.com" TargetMode="External"/><Relationship Id="rId406" Type="http://schemas.openxmlformats.org/officeDocument/2006/relationships/hyperlink" Target="mailto:azrinaannif@gmail.com" TargetMode="External"/><Relationship Id="rId960" Type="http://schemas.openxmlformats.org/officeDocument/2006/relationships/hyperlink" Target="mailto:bmekar65@yahoo.com" TargetMode="External"/><Relationship Id="rId1036" Type="http://schemas.openxmlformats.org/officeDocument/2006/relationships/hyperlink" Target="mailto:zanrai@yahoo.com" TargetMode="External"/><Relationship Id="rId1243" Type="http://schemas.openxmlformats.org/officeDocument/2006/relationships/hyperlink" Target="mailto:mdaxfar@gmail.com" TargetMode="External"/><Relationship Id="rId613" Type="http://schemas.openxmlformats.org/officeDocument/2006/relationships/hyperlink" Target="mailto:excelgasolenepetronas@yahoo.com" TargetMode="External"/><Relationship Id="rId820" Type="http://schemas.openxmlformats.org/officeDocument/2006/relationships/hyperlink" Target="mailto:v6gen@yahoo.com" TargetMode="External"/><Relationship Id="rId918" Type="http://schemas.openxmlformats.org/officeDocument/2006/relationships/hyperlink" Target="mailto:arl_petroleum@yahoo.com.my" TargetMode="External"/><Relationship Id="rId1450" Type="http://schemas.openxmlformats.org/officeDocument/2006/relationships/hyperlink" Target="mailto:finance.marmin@gmail.com" TargetMode="External"/><Relationship Id="rId1103" Type="http://schemas.openxmlformats.org/officeDocument/2006/relationships/hyperlink" Target="mailto:pcs_btpahat@yahoo.com" TargetMode="External"/><Relationship Id="rId1310" Type="http://schemas.openxmlformats.org/officeDocument/2006/relationships/hyperlink" Target="mailto:pssbatubelah@gmail.com" TargetMode="External"/><Relationship Id="rId1408" Type="http://schemas.openxmlformats.org/officeDocument/2006/relationships/hyperlink" Target="mailto:idnurniaga@gmail.com" TargetMode="External"/><Relationship Id="rId47" Type="http://schemas.openxmlformats.org/officeDocument/2006/relationships/hyperlink" Target="mailto:khairilanwarkhairudin@gmail.com" TargetMode="External"/><Relationship Id="rId196" Type="http://schemas.openxmlformats.org/officeDocument/2006/relationships/hyperlink" Target="mailto:drfaizdaud@gmail.com" TargetMode="External"/><Relationship Id="rId263" Type="http://schemas.openxmlformats.org/officeDocument/2006/relationships/hyperlink" Target="mailto:pejai0211@gmail.com" TargetMode="External"/><Relationship Id="rId470" Type="http://schemas.openxmlformats.org/officeDocument/2006/relationships/hyperlink" Target="mailto:alifsyazwan157@gmail.com" TargetMode="External"/><Relationship Id="rId123" Type="http://schemas.openxmlformats.org/officeDocument/2006/relationships/hyperlink" Target="mailto:iefwat@bubbleso2.com" TargetMode="External"/><Relationship Id="rId330" Type="http://schemas.openxmlformats.org/officeDocument/2006/relationships/hyperlink" Target="mailto:akaun.kwsg@yahoo.com" TargetMode="External"/><Relationship Id="rId568" Type="http://schemas.openxmlformats.org/officeDocument/2006/relationships/hyperlink" Target="mailto:redzuan_petronas@yahoo.com" TargetMode="External"/><Relationship Id="rId775" Type="http://schemas.openxmlformats.org/officeDocument/2006/relationships/hyperlink" Target="mailto:nplpetroleumtrading@gmail.com" TargetMode="External"/><Relationship Id="rId982" Type="http://schemas.openxmlformats.org/officeDocument/2006/relationships/hyperlink" Target="mailto:zettyjml@gmail.com" TargetMode="External"/><Relationship Id="rId1198" Type="http://schemas.openxmlformats.org/officeDocument/2006/relationships/hyperlink" Target="mailto:zolkeflemdraji@gmail.com" TargetMode="External"/><Relationship Id="rId428" Type="http://schemas.openxmlformats.org/officeDocument/2006/relationships/hyperlink" Target="mailto:emmahaqeem@gmail.com" TargetMode="External"/><Relationship Id="rId635" Type="http://schemas.openxmlformats.org/officeDocument/2006/relationships/hyperlink" Target="mailto:emizaf7@hotmail.com" TargetMode="External"/><Relationship Id="rId842" Type="http://schemas.openxmlformats.org/officeDocument/2006/relationships/hyperlink" Target="mailto:sab_indah@yahoo.com" TargetMode="External"/><Relationship Id="rId1058" Type="http://schemas.openxmlformats.org/officeDocument/2006/relationships/hyperlink" Target="mailto:mbmpet@yahoo.com" TargetMode="External"/><Relationship Id="rId1265" Type="http://schemas.openxmlformats.org/officeDocument/2006/relationships/hyperlink" Target="mailto:kbezy63@yahoo.com" TargetMode="External"/><Relationship Id="rId1472" Type="http://schemas.openxmlformats.org/officeDocument/2006/relationships/hyperlink" Target="mailto:rengitpharmacyhq@gmail.com" TargetMode="External"/><Relationship Id="rId702" Type="http://schemas.openxmlformats.org/officeDocument/2006/relationships/hyperlink" Target="mailto:mohammadzairizulkapli@yahoo.com.sg" TargetMode="External"/><Relationship Id="rId1125" Type="http://schemas.openxmlformats.org/officeDocument/2006/relationships/hyperlink" Target="mailto:zamanitambichek@yahoo.com" TargetMode="External"/><Relationship Id="rId1332" Type="http://schemas.openxmlformats.org/officeDocument/2006/relationships/hyperlink" Target="mailto:tommyshirley@hotmail.com" TargetMode="External"/><Relationship Id="rId69" Type="http://schemas.openxmlformats.org/officeDocument/2006/relationships/hyperlink" Target="mailto:accexecrc@gmail.com" TargetMode="External"/><Relationship Id="rId285" Type="http://schemas.openxmlformats.org/officeDocument/2006/relationships/hyperlink" Target="mailto:shiyong8383@gmail.com" TargetMode="External"/><Relationship Id="rId492" Type="http://schemas.openxmlformats.org/officeDocument/2006/relationships/hyperlink" Target="mailto:nordiana@gmi.edu.my" TargetMode="External"/><Relationship Id="rId797" Type="http://schemas.openxmlformats.org/officeDocument/2006/relationships/hyperlink" Target="mailto:desamentari@yahoo.com" TargetMode="External"/><Relationship Id="rId145" Type="http://schemas.openxmlformats.org/officeDocument/2006/relationships/hyperlink" Target="mailto:khairuddinsaad77@gmail.com" TargetMode="External"/><Relationship Id="rId352" Type="http://schemas.openxmlformats.org/officeDocument/2006/relationships/hyperlink" Target="mailto:cmc139.kompleksparcelF@gmail.com" TargetMode="External"/><Relationship Id="rId1287" Type="http://schemas.openxmlformats.org/officeDocument/2006/relationships/hyperlink" Target="mailto:luqmanulhakimashari@gmail.com" TargetMode="External"/><Relationship Id="rId212" Type="http://schemas.openxmlformats.org/officeDocument/2006/relationships/hyperlink" Target="mailto:najmiah@bubbleso2.com" TargetMode="External"/><Relationship Id="rId657" Type="http://schemas.openxmlformats.org/officeDocument/2006/relationships/hyperlink" Target="mailto:kkdagangan04@gmail.com" TargetMode="External"/><Relationship Id="rId864" Type="http://schemas.openxmlformats.org/officeDocument/2006/relationships/hyperlink" Target="mailto:lyndkzent@gmail.com" TargetMode="External"/><Relationship Id="rId1494" Type="http://schemas.openxmlformats.org/officeDocument/2006/relationships/hyperlink" Target="mailto:pmgpharmacymanjungsri2024@gmail.com" TargetMode="External"/><Relationship Id="rId517" Type="http://schemas.openxmlformats.org/officeDocument/2006/relationships/hyperlink" Target="mailto:kfspetromart@gmail.com" TargetMode="External"/><Relationship Id="rId724" Type="http://schemas.openxmlformats.org/officeDocument/2006/relationships/hyperlink" Target="mailto:kfjniaga@gmail.com" TargetMode="External"/><Relationship Id="rId931" Type="http://schemas.openxmlformats.org/officeDocument/2006/relationships/hyperlink" Target="mailto:pssjeram87@gmail.com" TargetMode="External"/><Relationship Id="rId1147" Type="http://schemas.openxmlformats.org/officeDocument/2006/relationships/hyperlink" Target="mailto:petronaspersiaranraya@gmail.com" TargetMode="External"/><Relationship Id="rId1354" Type="http://schemas.openxmlformats.org/officeDocument/2006/relationships/hyperlink" Target="mailto:ahmadkhir@icloud.com" TargetMode="External"/><Relationship Id="rId60" Type="http://schemas.openxmlformats.org/officeDocument/2006/relationships/hyperlink" Target="mailto:anirsuy23@gmail.com" TargetMode="External"/><Relationship Id="rId1007" Type="http://schemas.openxmlformats.org/officeDocument/2006/relationships/hyperlink" Target="mailto:waheed1786@gmail.com" TargetMode="External"/><Relationship Id="rId1214" Type="http://schemas.openxmlformats.org/officeDocument/2006/relationships/hyperlink" Target="mailto:aperjelah@yahoo.com" TargetMode="External"/><Relationship Id="rId1421" Type="http://schemas.openxmlformats.org/officeDocument/2006/relationships/hyperlink" Target="mailto:nek.shift@gmail.com" TargetMode="External"/><Relationship Id="rId18" Type="http://schemas.openxmlformats.org/officeDocument/2006/relationships/hyperlink" Target="mailto:ikhwani@mohr.gov.my" TargetMode="External"/><Relationship Id="rId167" Type="http://schemas.openxmlformats.org/officeDocument/2006/relationships/hyperlink" Target="mailto:aleepemran@gmail.com" TargetMode="External"/><Relationship Id="rId374" Type="http://schemas.openxmlformats.org/officeDocument/2006/relationships/hyperlink" Target="mailto:mohduwaissukri@gmail.com" TargetMode="External"/><Relationship Id="rId581" Type="http://schemas.openxmlformats.org/officeDocument/2006/relationships/hyperlink" Target="mailto:edenpharmacy@hotmail.com" TargetMode="External"/><Relationship Id="rId234" Type="http://schemas.openxmlformats.org/officeDocument/2006/relationships/hyperlink" Target="mailto:hakeemnasir06032020@gmail.com" TargetMode="External"/><Relationship Id="rId679" Type="http://schemas.openxmlformats.org/officeDocument/2006/relationships/hyperlink" Target="mailto:ksl.niaga@gmail.com" TargetMode="External"/><Relationship Id="rId886" Type="http://schemas.openxmlformats.org/officeDocument/2006/relationships/hyperlink" Target="mailto:petrelau1475@yahoo.com" TargetMode="External"/><Relationship Id="rId2" Type="http://schemas.openxmlformats.org/officeDocument/2006/relationships/hyperlink" Target="mailto:muhdjauhari94@gmail.com" TargetMode="External"/><Relationship Id="rId441" Type="http://schemas.openxmlformats.org/officeDocument/2006/relationships/hyperlink" Target="mailto:fakhrulislam@yasa.org.my" TargetMode="External"/><Relationship Id="rId539" Type="http://schemas.openxmlformats.org/officeDocument/2006/relationships/hyperlink" Target="mailto:ismaaidilrahmat0297@gmail.com" TargetMode="External"/><Relationship Id="rId746" Type="http://schemas.openxmlformats.org/officeDocument/2006/relationships/hyperlink" Target="mailto:elitelayby@gmail.com" TargetMode="External"/><Relationship Id="rId1071" Type="http://schemas.openxmlformats.org/officeDocument/2006/relationships/hyperlink" Target="mailto:psspeladang@yahoo.com" TargetMode="External"/><Relationship Id="rId1169" Type="http://schemas.openxmlformats.org/officeDocument/2006/relationships/hyperlink" Target="mailto:ungkubalqis@gmail.com" TargetMode="External"/><Relationship Id="rId1376" Type="http://schemas.openxmlformats.org/officeDocument/2006/relationships/hyperlink" Target="mailto:stesennorenterprise@gmail.com" TargetMode="External"/><Relationship Id="rId301" Type="http://schemas.openxmlformats.org/officeDocument/2006/relationships/hyperlink" Target="mailto:army5166@yahoo.com.my" TargetMode="External"/><Relationship Id="rId953" Type="http://schemas.openxmlformats.org/officeDocument/2006/relationships/hyperlink" Target="mailto:mdefm25@gmail.com" TargetMode="External"/><Relationship Id="rId1029" Type="http://schemas.openxmlformats.org/officeDocument/2006/relationships/hyperlink" Target="mailto:pskotasetar@antar.my" TargetMode="External"/><Relationship Id="rId1236" Type="http://schemas.openxmlformats.org/officeDocument/2006/relationships/hyperlink" Target="mailto:rrazsynergy@gmail.com" TargetMode="External"/><Relationship Id="rId82" Type="http://schemas.openxmlformats.org/officeDocument/2006/relationships/hyperlink" Target="mailto:sales.teanseng@gmail.com" TargetMode="External"/><Relationship Id="rId606" Type="http://schemas.openxmlformats.org/officeDocument/2006/relationships/hyperlink" Target="mailto:maza_indah@yahoo.com" TargetMode="External"/><Relationship Id="rId813" Type="http://schemas.openxmlformats.org/officeDocument/2006/relationships/hyperlink" Target="mailto:ptrns.leparutara03@gmail.com" TargetMode="External"/><Relationship Id="rId1443" Type="http://schemas.openxmlformats.org/officeDocument/2006/relationships/hyperlink" Target="mailto:adeliamesra2ent@yahoo.com.my" TargetMode="External"/><Relationship Id="rId1303" Type="http://schemas.openxmlformats.org/officeDocument/2006/relationships/hyperlink" Target="mailto:leeping_9295@hotmail.com" TargetMode="External"/><Relationship Id="rId1510" Type="http://schemas.openxmlformats.org/officeDocument/2006/relationships/table" Target="../tables/table1.xml"/><Relationship Id="rId189" Type="http://schemas.openxmlformats.org/officeDocument/2006/relationships/hyperlink" Target="mailto:ramlitsr@gmail.com" TargetMode="External"/><Relationship Id="rId396" Type="http://schemas.openxmlformats.org/officeDocument/2006/relationships/hyperlink" Target="mailto:outletba100kedah@gmail.com" TargetMode="External"/><Relationship Id="rId256" Type="http://schemas.openxmlformats.org/officeDocument/2006/relationships/hyperlink" Target="mailto:hazmimokhtar@gmail.com" TargetMode="External"/><Relationship Id="rId463" Type="http://schemas.openxmlformats.org/officeDocument/2006/relationships/hyperlink" Target="mailto:khairulhafiszi99@gmail.com" TargetMode="External"/><Relationship Id="rId670" Type="http://schemas.openxmlformats.org/officeDocument/2006/relationships/hyperlink" Target="mailto:mohdsukri@msuk.com.my" TargetMode="External"/><Relationship Id="rId1093" Type="http://schemas.openxmlformats.org/officeDocument/2006/relationships/hyperlink" Target="mailto:mesrautara1@gmail.com" TargetMode="External"/><Relationship Id="rId116" Type="http://schemas.openxmlformats.org/officeDocument/2006/relationships/hyperlink" Target="mailto:ar@prokhas.com.my" TargetMode="External"/><Relationship Id="rId323" Type="http://schemas.openxmlformats.org/officeDocument/2006/relationships/hyperlink" Target="mailto:naris1974@gmail.com" TargetMode="External"/><Relationship Id="rId530" Type="http://schemas.openxmlformats.org/officeDocument/2006/relationships/hyperlink" Target="mailto:ahlulquran26@gmail.com" TargetMode="External"/><Relationship Id="rId768" Type="http://schemas.openxmlformats.org/officeDocument/2006/relationships/hyperlink" Target="mailto:petromex84@gmail.com" TargetMode="External"/><Relationship Id="rId975" Type="http://schemas.openxmlformats.org/officeDocument/2006/relationships/hyperlink" Target="mailto:psslangkasuka@hotmail.com" TargetMode="External"/><Relationship Id="rId1160" Type="http://schemas.openxmlformats.org/officeDocument/2006/relationships/hyperlink" Target="mailto:ashikin@permatagroup.com.my" TargetMode="External"/><Relationship Id="rId1398" Type="http://schemas.openxmlformats.org/officeDocument/2006/relationships/hyperlink" Target="mailto:kulisaminduk@yahoo.com" TargetMode="External"/><Relationship Id="rId628" Type="http://schemas.openxmlformats.org/officeDocument/2006/relationships/hyperlink" Target="mailto:jar_indahpura@yahoo.com" TargetMode="External"/><Relationship Id="rId835" Type="http://schemas.openxmlformats.org/officeDocument/2006/relationships/hyperlink" Target="mailto:mrtwoservices@gmail.com" TargetMode="External"/><Relationship Id="rId1258" Type="http://schemas.openxmlformats.org/officeDocument/2006/relationships/hyperlink" Target="mailto:dhazira@yahoo.com" TargetMode="External"/><Relationship Id="rId1465" Type="http://schemas.openxmlformats.org/officeDocument/2006/relationships/hyperlink" Target="mailto:fullshengsb@gmail.com" TargetMode="External"/><Relationship Id="rId1020" Type="http://schemas.openxmlformats.org/officeDocument/2006/relationships/hyperlink" Target="mailto:mmazharo@yahoo.com" TargetMode="External"/><Relationship Id="rId1118" Type="http://schemas.openxmlformats.org/officeDocument/2006/relationships/hyperlink" Target="mailto:petronaspekan@yahoo.com" TargetMode="External"/><Relationship Id="rId1325" Type="http://schemas.openxmlformats.org/officeDocument/2006/relationships/hyperlink" Target="mailto:potnasmaju_1013@yahoo.com" TargetMode="External"/><Relationship Id="rId902" Type="http://schemas.openxmlformats.org/officeDocument/2006/relationships/hyperlink" Target="mailto:syarikat_insha@hotmail.com" TargetMode="External"/><Relationship Id="rId31" Type="http://schemas.openxmlformats.org/officeDocument/2006/relationships/hyperlink" Target="mailto:idanorwani178@yahoo.com" TargetMode="External"/><Relationship Id="rId180" Type="http://schemas.openxmlformats.org/officeDocument/2006/relationships/hyperlink" Target="mailto:hazasinar@gmail.com" TargetMode="External"/><Relationship Id="rId278" Type="http://schemas.openxmlformats.org/officeDocument/2006/relationships/hyperlink" Target="mailto:hadizulhilmi@gmail.com" TargetMode="External"/><Relationship Id="rId485" Type="http://schemas.openxmlformats.org/officeDocument/2006/relationships/hyperlink" Target="mailto:amirulniezam97@gmail.com" TargetMode="External"/><Relationship Id="rId692" Type="http://schemas.openxmlformats.org/officeDocument/2006/relationships/hyperlink" Target="mailto:Koopmartusj9@gmail.com" TargetMode="External"/><Relationship Id="rId138" Type="http://schemas.openxmlformats.org/officeDocument/2006/relationships/hyperlink" Target="mailto:whglobalsolution@gmail.com" TargetMode="External"/><Relationship Id="rId345" Type="http://schemas.openxmlformats.org/officeDocument/2006/relationships/hyperlink" Target="mailto:myar7777@gmail.com" TargetMode="External"/><Relationship Id="rId552" Type="http://schemas.openxmlformats.org/officeDocument/2006/relationships/hyperlink" Target="mailto:alifhaiqal54321@gmail.com" TargetMode="External"/><Relationship Id="rId997" Type="http://schemas.openxmlformats.org/officeDocument/2006/relationships/hyperlink" Target="mailto:fnaventures91@gmail.com" TargetMode="External"/><Relationship Id="rId1182" Type="http://schemas.openxmlformats.org/officeDocument/2006/relationships/hyperlink" Target="mailto:rpkonesynergy@gmail.com" TargetMode="External"/><Relationship Id="rId205" Type="http://schemas.openxmlformats.org/officeDocument/2006/relationships/hyperlink" Target="mailto:nurul.mardhiah22@gmail.com" TargetMode="External"/><Relationship Id="rId412" Type="http://schemas.openxmlformats.org/officeDocument/2006/relationships/hyperlink" Target="mailto:ZULFIQRYHISHAM62@GMAIL.COM" TargetMode="External"/><Relationship Id="rId857" Type="http://schemas.openxmlformats.org/officeDocument/2006/relationships/hyperlink" Target="mailto:mercuniaga_elmu@hotmail.com" TargetMode="External"/><Relationship Id="rId1042" Type="http://schemas.openxmlformats.org/officeDocument/2006/relationships/hyperlink" Target="mailto:razanpetrol@gmail.com" TargetMode="External"/><Relationship Id="rId1487" Type="http://schemas.openxmlformats.org/officeDocument/2006/relationships/hyperlink" Target="mailto:amar.muslim@pkps.gov.my" TargetMode="External"/><Relationship Id="rId717" Type="http://schemas.openxmlformats.org/officeDocument/2006/relationships/hyperlink" Target="mailto:arianaservicestation@gmail.com" TargetMode="External"/><Relationship Id="rId924" Type="http://schemas.openxmlformats.org/officeDocument/2006/relationships/hyperlink" Target="mailto:ayu_jasin@yahoo.com" TargetMode="External"/><Relationship Id="rId1347" Type="http://schemas.openxmlformats.org/officeDocument/2006/relationships/hyperlink" Target="mailto:shaidisms@yahoo.com.my" TargetMode="External"/><Relationship Id="rId53" Type="http://schemas.openxmlformats.org/officeDocument/2006/relationships/hyperlink" Target="mailto:shazlinmuhd@gmail.com" TargetMode="External"/><Relationship Id="rId1207" Type="http://schemas.openxmlformats.org/officeDocument/2006/relationships/hyperlink" Target="mailto:psssek27@yahoo.com" TargetMode="External"/><Relationship Id="rId1414" Type="http://schemas.openxmlformats.org/officeDocument/2006/relationships/hyperlink" Target="mailto:sitiham_enterprise@hotmail.com" TargetMode="External"/><Relationship Id="rId367" Type="http://schemas.openxmlformats.org/officeDocument/2006/relationships/hyperlink" Target="mailto:Dzulkarnaindarlis97@gmail.com" TargetMode="External"/><Relationship Id="rId574" Type="http://schemas.openxmlformats.org/officeDocument/2006/relationships/hyperlink" Target="mailto:nadrikasim@yahoo.com" TargetMode="External"/><Relationship Id="rId227" Type="http://schemas.openxmlformats.org/officeDocument/2006/relationships/hyperlink" Target="mailto:whglobalsolution@gmail.com" TargetMode="External"/><Relationship Id="rId781" Type="http://schemas.openxmlformats.org/officeDocument/2006/relationships/hyperlink" Target="mailto:petronaschetok@gmail.com" TargetMode="External"/><Relationship Id="rId879" Type="http://schemas.openxmlformats.org/officeDocument/2006/relationships/hyperlink" Target="mailto:dwen712003@gmail.com" TargetMode="External"/><Relationship Id="rId434" Type="http://schemas.openxmlformats.org/officeDocument/2006/relationships/hyperlink" Target="mailto:abdul.hafidz@aadk.gov.my" TargetMode="External"/><Relationship Id="rId641" Type="http://schemas.openxmlformats.org/officeDocument/2006/relationships/hyperlink" Target="mailto:antaraqent@yahoo.com" TargetMode="External"/><Relationship Id="rId739" Type="http://schemas.openxmlformats.org/officeDocument/2006/relationships/hyperlink" Target="mailto:jneantara@yahoo.com" TargetMode="External"/><Relationship Id="rId1064" Type="http://schemas.openxmlformats.org/officeDocument/2006/relationships/hyperlink" Target="mailto:lindacdz4935@gmail.com" TargetMode="External"/><Relationship Id="rId1271" Type="http://schemas.openxmlformats.org/officeDocument/2006/relationships/hyperlink" Target="mailto:psgkoyan@gmail.com" TargetMode="External"/><Relationship Id="rId1369" Type="http://schemas.openxmlformats.org/officeDocument/2006/relationships/hyperlink" Target="mailto:pskgpandan@gmail.com" TargetMode="External"/><Relationship Id="rId501" Type="http://schemas.openxmlformats.org/officeDocument/2006/relationships/hyperlink" Target="mailto:jfayazid@gmail.com" TargetMode="External"/><Relationship Id="rId946" Type="http://schemas.openxmlformats.org/officeDocument/2006/relationships/hyperlink" Target="mailto:&#194;&#160;salomasiru@yahoo.com" TargetMode="External"/><Relationship Id="rId1131" Type="http://schemas.openxmlformats.org/officeDocument/2006/relationships/hyperlink" Target="mailto:ashiha68@yahoo.com" TargetMode="External"/><Relationship Id="rId1229" Type="http://schemas.openxmlformats.org/officeDocument/2006/relationships/hyperlink" Target="mailto:khautharenterprise60@gmail.com" TargetMode="External"/><Relationship Id="rId75" Type="http://schemas.openxmlformats.org/officeDocument/2006/relationships/hyperlink" Target="mailto:HR@AMVERTONCOVE.COM" TargetMode="External"/><Relationship Id="rId806" Type="http://schemas.openxmlformats.org/officeDocument/2006/relationships/hyperlink" Target="mailto:kejayaanteguh58@gmail.com" TargetMode="External"/><Relationship Id="rId1436" Type="http://schemas.openxmlformats.org/officeDocument/2006/relationships/hyperlink" Target="mailto:normahalias5806@gmail.com" TargetMode="External"/><Relationship Id="rId1503" Type="http://schemas.openxmlformats.org/officeDocument/2006/relationships/hyperlink" Target="mailto:marfuah@artgallery.gov.my" TargetMode="External"/><Relationship Id="rId291" Type="http://schemas.openxmlformats.org/officeDocument/2006/relationships/hyperlink" Target="mailto:zafaredzuan@gmail.com" TargetMode="External"/><Relationship Id="rId151" Type="http://schemas.openxmlformats.org/officeDocument/2006/relationships/hyperlink" Target="mailto:shellmataayer@gmail.com" TargetMode="External"/><Relationship Id="rId389" Type="http://schemas.openxmlformats.org/officeDocument/2006/relationships/hyperlink" Target="mailto:maziah@matrade.gov.my" TargetMode="External"/><Relationship Id="rId596" Type="http://schemas.openxmlformats.org/officeDocument/2006/relationships/hyperlink" Target="mailto:kop_pusrwai@yahoo.com" TargetMode="External"/><Relationship Id="rId249" Type="http://schemas.openxmlformats.org/officeDocument/2006/relationships/hyperlink" Target="mailto:iwansafwansaidi@gmail.com" TargetMode="External"/><Relationship Id="rId456" Type="http://schemas.openxmlformats.org/officeDocument/2006/relationships/hyperlink" Target="mailto:syukrimian94@gmail.com" TargetMode="External"/><Relationship Id="rId663" Type="http://schemas.openxmlformats.org/officeDocument/2006/relationships/hyperlink" Target="mailto:cahayaimanstation@gmail.com" TargetMode="External"/><Relationship Id="rId870" Type="http://schemas.openxmlformats.org/officeDocument/2006/relationships/hyperlink" Target="mailto:kuantansglembing77@gmail.com" TargetMode="External"/><Relationship Id="rId1086" Type="http://schemas.openxmlformats.org/officeDocument/2006/relationships/hyperlink" Target="mailto:mhglobal.shift@gmail.com" TargetMode="External"/><Relationship Id="rId1293" Type="http://schemas.openxmlformats.org/officeDocument/2006/relationships/hyperlink" Target="mailto:petronas.austinperdana@gmail.com" TargetMode="External"/><Relationship Id="rId109" Type="http://schemas.openxmlformats.org/officeDocument/2006/relationships/hyperlink" Target="mailto:mohamadfitriaziziyosri@gmail.com" TargetMode="External"/><Relationship Id="rId316" Type="http://schemas.openxmlformats.org/officeDocument/2006/relationships/hyperlink" Target="mailto:syazwani.bubbleso2@gmail.com" TargetMode="External"/><Relationship Id="rId523" Type="http://schemas.openxmlformats.org/officeDocument/2006/relationships/hyperlink" Target="mailto:nurshahadilahnoorsin@gmail.com" TargetMode="External"/><Relationship Id="rId968" Type="http://schemas.openxmlformats.org/officeDocument/2006/relationships/hyperlink" Target="mailto:pojieshima@gmail.com" TargetMode="External"/><Relationship Id="rId1153" Type="http://schemas.openxmlformats.org/officeDocument/2006/relationships/hyperlink" Target="mailto:sabri_psspknk@yahoo.com" TargetMode="External"/><Relationship Id="rId97" Type="http://schemas.openxmlformats.org/officeDocument/2006/relationships/hyperlink" Target="mailto:gofurtherandbeyond@gmail.com" TargetMode="External"/><Relationship Id="rId730" Type="http://schemas.openxmlformats.org/officeDocument/2006/relationships/hyperlink" Target="mailto:aznirul_84@yahoo.com" TargetMode="External"/><Relationship Id="rId828" Type="http://schemas.openxmlformats.org/officeDocument/2006/relationships/hyperlink" Target="mailto:sittif.hashim@gmail.com" TargetMode="External"/><Relationship Id="rId1013" Type="http://schemas.openxmlformats.org/officeDocument/2006/relationships/hyperlink" Target="mailto:latimai@yahoo.com" TargetMode="External"/><Relationship Id="rId1360" Type="http://schemas.openxmlformats.org/officeDocument/2006/relationships/hyperlink" Target="mailto:zulaziad_aziz@yahoo.com" TargetMode="External"/><Relationship Id="rId1458" Type="http://schemas.openxmlformats.org/officeDocument/2006/relationships/hyperlink" Target="mailto:shafiqahsafiee@gmail.com" TargetMode="External"/><Relationship Id="rId1220" Type="http://schemas.openxmlformats.org/officeDocument/2006/relationships/hyperlink" Target="mailto:sahar_petronas@yahoo.com" TargetMode="External"/><Relationship Id="rId1318" Type="http://schemas.openxmlformats.org/officeDocument/2006/relationships/hyperlink" Target="mailto:ellyramlan@yahoo.com" TargetMode="External"/><Relationship Id="rId24" Type="http://schemas.openxmlformats.org/officeDocument/2006/relationships/hyperlink" Target="mailto:aidiazuri@gmail.com" TargetMode="External"/><Relationship Id="rId173" Type="http://schemas.openxmlformats.org/officeDocument/2006/relationships/hyperlink" Target="mailto:seenergyv@gmail.com" TargetMode="External"/><Relationship Id="rId380" Type="http://schemas.openxmlformats.org/officeDocument/2006/relationships/hyperlink" Target="mailto:ainau824@gmail.com" TargetMode="External"/><Relationship Id="rId240" Type="http://schemas.openxmlformats.org/officeDocument/2006/relationships/hyperlink" Target="mailto:hasanjassa@gmail.com" TargetMode="External"/><Relationship Id="rId478" Type="http://schemas.openxmlformats.org/officeDocument/2006/relationships/hyperlink" Target="mailto:syahkurnia82@gmail.com" TargetMode="External"/><Relationship Id="rId685" Type="http://schemas.openxmlformats.org/officeDocument/2006/relationships/hyperlink" Target="mailto:alammarbrunei@gmail.com" TargetMode="External"/><Relationship Id="rId892" Type="http://schemas.openxmlformats.org/officeDocument/2006/relationships/hyperlink" Target="mailto:pssrosmerah@gmail.com" TargetMode="External"/><Relationship Id="rId100" Type="http://schemas.openxmlformats.org/officeDocument/2006/relationships/hyperlink" Target="mailto:fauziarahman2606@gmail.com" TargetMode="External"/><Relationship Id="rId338" Type="http://schemas.openxmlformats.org/officeDocument/2006/relationships/hyperlink" Target="mailto:kpcsdnbhd@gmail.com" TargetMode="External"/><Relationship Id="rId545" Type="http://schemas.openxmlformats.org/officeDocument/2006/relationships/hyperlink" Target="mailto:rosliecah5017@icloud.com" TargetMode="External"/><Relationship Id="rId752" Type="http://schemas.openxmlformats.org/officeDocument/2006/relationships/hyperlink" Target="mailto:pss_bukitkempas@yahoo.com" TargetMode="External"/><Relationship Id="rId1175" Type="http://schemas.openxmlformats.org/officeDocument/2006/relationships/hyperlink" Target="mailto:nmn_ent@yahoo.com" TargetMode="External"/><Relationship Id="rId1382" Type="http://schemas.openxmlformats.org/officeDocument/2006/relationships/hyperlink" Target="mailto:wbha77@gmail.com" TargetMode="External"/><Relationship Id="rId405" Type="http://schemas.openxmlformats.org/officeDocument/2006/relationships/hyperlink" Target="mailto:cmc136.menarapjh@gmail.com" TargetMode="External"/><Relationship Id="rId612" Type="http://schemas.openxmlformats.org/officeDocument/2006/relationships/hyperlink" Target="mailto:ezamhzr@gmail.com" TargetMode="External"/><Relationship Id="rId1035" Type="http://schemas.openxmlformats.org/officeDocument/2006/relationships/hyperlink" Target="mailto:saadiah_gme@yahoo.com" TargetMode="External"/><Relationship Id="rId1242" Type="http://schemas.openxmlformats.org/officeDocument/2006/relationships/hyperlink" Target="mailto:petronasjbp@jtmgroups.com" TargetMode="External"/><Relationship Id="rId917" Type="http://schemas.openxmlformats.org/officeDocument/2006/relationships/hyperlink" Target="mailto:teluksisek77@gmail.com" TargetMode="External"/><Relationship Id="rId1102" Type="http://schemas.openxmlformats.org/officeDocument/2006/relationships/hyperlink" Target="mailto:ppr.emplatinum@gmail.com" TargetMode="External"/><Relationship Id="rId46" Type="http://schemas.openxmlformats.org/officeDocument/2006/relationships/hyperlink" Target="mailto:drfaizdaud@gmail.com" TargetMode="External"/><Relationship Id="rId1407" Type="http://schemas.openxmlformats.org/officeDocument/2006/relationships/hyperlink" Target="mailto:shadulkhairi@gmail.com" TargetMode="External"/><Relationship Id="rId195" Type="http://schemas.openxmlformats.org/officeDocument/2006/relationships/hyperlink" Target="mailto:terangtrading@gmail.com" TargetMode="External"/><Relationship Id="rId262" Type="http://schemas.openxmlformats.org/officeDocument/2006/relationships/hyperlink" Target="mailto:rabaatunbinzamin@gmail.com" TargetMode="External"/><Relationship Id="rId567" Type="http://schemas.openxmlformats.org/officeDocument/2006/relationships/hyperlink" Target="mailto:budimanter444@gmail.com" TargetMode="External"/><Relationship Id="rId1197" Type="http://schemas.openxmlformats.org/officeDocument/2006/relationships/hyperlink" Target="mailto:saanetworkoil@gmail.com" TargetMode="External"/><Relationship Id="rId122" Type="http://schemas.openxmlformats.org/officeDocument/2006/relationships/hyperlink" Target="mailto:ikaar85@yahoo.com" TargetMode="External"/><Relationship Id="rId774" Type="http://schemas.openxmlformats.org/officeDocument/2006/relationships/hyperlink" Target="mailto:johannasser25@gmail.com" TargetMode="External"/><Relationship Id="rId981" Type="http://schemas.openxmlformats.org/officeDocument/2006/relationships/hyperlink" Target="mailto:sabazpsskd2@gmail.com" TargetMode="External"/><Relationship Id="rId1057" Type="http://schemas.openxmlformats.org/officeDocument/2006/relationships/hyperlink" Target="mailto:tankuenwei@gmail.com" TargetMode="External"/><Relationship Id="rId427" Type="http://schemas.openxmlformats.org/officeDocument/2006/relationships/hyperlink" Target="mailto:cmc103.tmcyberjayacvs@gmail.com" TargetMode="External"/><Relationship Id="rId634" Type="http://schemas.openxmlformats.org/officeDocument/2006/relationships/hyperlink" Target="mailto:mazbt9@gmail.com" TargetMode="External"/><Relationship Id="rId841" Type="http://schemas.openxmlformats.org/officeDocument/2006/relationships/hyperlink" Target="mailto:pssjalan222@gmail.com" TargetMode="External"/><Relationship Id="rId1264" Type="http://schemas.openxmlformats.org/officeDocument/2006/relationships/hyperlink" Target="mailto:tjsc28@yahoo.com" TargetMode="External"/><Relationship Id="rId1471" Type="http://schemas.openxmlformats.org/officeDocument/2006/relationships/hyperlink" Target="mailto:caltexsimpang@gmail.com" TargetMode="External"/><Relationship Id="rId701" Type="http://schemas.openxmlformats.org/officeDocument/2006/relationships/hyperlink" Target="mailto:adim_cme@yahoo.com.my" TargetMode="External"/><Relationship Id="rId939" Type="http://schemas.openxmlformats.org/officeDocument/2006/relationships/hyperlink" Target="mailto:kbh88.solution@gmail.com" TargetMode="External"/><Relationship Id="rId1124" Type="http://schemas.openxmlformats.org/officeDocument/2006/relationships/hyperlink" Target="mailto:psspknnenas@yahoo.com.my" TargetMode="External"/><Relationship Id="rId1331" Type="http://schemas.openxmlformats.org/officeDocument/2006/relationships/hyperlink" Target="mailto:psstkpendamar@gmail.com" TargetMode="External"/><Relationship Id="rId68" Type="http://schemas.openxmlformats.org/officeDocument/2006/relationships/hyperlink" Target="mailto:hifzuddin.radzi@gmail.com" TargetMode="External"/><Relationship Id="rId1429" Type="http://schemas.openxmlformats.org/officeDocument/2006/relationships/hyperlink" Target="mailto:khairul@tpm.com.my" TargetMode="External"/><Relationship Id="rId284" Type="http://schemas.openxmlformats.org/officeDocument/2006/relationships/hyperlink" Target="mailto:cmc139.kompleksparcelF@gmail.com" TargetMode="External"/><Relationship Id="rId491" Type="http://schemas.openxmlformats.org/officeDocument/2006/relationships/hyperlink" Target="mailto:fatinsyakirah3295@gmail.com" TargetMode="External"/><Relationship Id="rId144" Type="http://schemas.openxmlformats.org/officeDocument/2006/relationships/hyperlink" Target="mailto:hayah@hyraxoil.com" TargetMode="External"/><Relationship Id="rId589" Type="http://schemas.openxmlformats.org/officeDocument/2006/relationships/hyperlink" Target="mailto:norazlinshams@gmail.com" TargetMode="External"/><Relationship Id="rId796" Type="http://schemas.openxmlformats.org/officeDocument/2006/relationships/hyperlink" Target="mailto:marizqent@gmail.com" TargetMode="External"/><Relationship Id="rId351" Type="http://schemas.openxmlformats.org/officeDocument/2006/relationships/hyperlink" Target="mailto:qylaazarif@gmail.com" TargetMode="External"/><Relationship Id="rId449" Type="http://schemas.openxmlformats.org/officeDocument/2006/relationships/hyperlink" Target="mailto:erien.a22@gmail.com" TargetMode="External"/><Relationship Id="rId656" Type="http://schemas.openxmlformats.org/officeDocument/2006/relationships/hyperlink" Target="mailto:nzoilenterprise@yahoo.com" TargetMode="External"/><Relationship Id="rId863" Type="http://schemas.openxmlformats.org/officeDocument/2006/relationships/hyperlink" Target="mailto:a_prisma@yahoo.com" TargetMode="External"/><Relationship Id="rId1079" Type="http://schemas.openxmlformats.org/officeDocument/2006/relationships/hyperlink" Target="mailto:fiza_r@hotmail.com" TargetMode="External"/><Relationship Id="rId1286" Type="http://schemas.openxmlformats.org/officeDocument/2006/relationships/hyperlink" Target="mailto:lizaafm@yahoo.com" TargetMode="External"/><Relationship Id="rId1493" Type="http://schemas.openxmlformats.org/officeDocument/2006/relationships/hyperlink" Target="mailto:btr_hqkk@bataras.com.my" TargetMode="External"/><Relationship Id="rId211" Type="http://schemas.openxmlformats.org/officeDocument/2006/relationships/hyperlink" Target="mailto:zulhelmy.shamshudin@gmail.com" TargetMode="External"/><Relationship Id="rId309" Type="http://schemas.openxmlformats.org/officeDocument/2006/relationships/hyperlink" Target="mailto:lindamuhammad01@gmail.com" TargetMode="External"/><Relationship Id="rId516" Type="http://schemas.openxmlformats.org/officeDocument/2006/relationships/hyperlink" Target="mailto:ahmadrizaldisulaiman@gmail.com" TargetMode="External"/><Relationship Id="rId1146" Type="http://schemas.openxmlformats.org/officeDocument/2006/relationships/hyperlink" Target="mailto:snorzihan@gmail.com" TargetMode="External"/><Relationship Id="rId723" Type="http://schemas.openxmlformats.org/officeDocument/2006/relationships/hyperlink" Target="mailto:petpro.enterprise@gmail.com" TargetMode="External"/><Relationship Id="rId930" Type="http://schemas.openxmlformats.org/officeDocument/2006/relationships/hyperlink" Target="mailto:idnurservices@gmail.com" TargetMode="External"/><Relationship Id="rId1006" Type="http://schemas.openxmlformats.org/officeDocument/2006/relationships/hyperlink" Target="mailto:pet_demit@yahoo.com" TargetMode="External"/><Relationship Id="rId1353" Type="http://schemas.openxmlformats.org/officeDocument/2006/relationships/hyperlink" Target="mailto:kim.maarop@gmail.com" TargetMode="External"/><Relationship Id="rId1213" Type="http://schemas.openxmlformats.org/officeDocument/2006/relationships/hyperlink" Target="mailto:sofian_eradagang@rocketmail.com" TargetMode="External"/><Relationship Id="rId1420" Type="http://schemas.openxmlformats.org/officeDocument/2006/relationships/hyperlink" Target="mailto:petrolghaz@gmail.com" TargetMode="External"/><Relationship Id="rId17" Type="http://schemas.openxmlformats.org/officeDocument/2006/relationships/hyperlink" Target="mailto:qarin@bubbleso2.com" TargetMode="External"/><Relationship Id="rId166" Type="http://schemas.openxmlformats.org/officeDocument/2006/relationships/hyperlink" Target="mailto:akimrazni@gmail.com" TargetMode="External"/><Relationship Id="rId373" Type="http://schemas.openxmlformats.org/officeDocument/2006/relationships/hyperlink" Target="mailto:rmsteam90@gmail.com" TargetMode="External"/><Relationship Id="rId580" Type="http://schemas.openxmlformats.org/officeDocument/2006/relationships/hyperlink" Target="mailto:farmasiwellmart@gmail.com" TargetMode="External"/><Relationship Id="rId1" Type="http://schemas.openxmlformats.org/officeDocument/2006/relationships/hyperlink" Target="mailto:Saniah0758@gmail.com" TargetMode="External"/><Relationship Id="rId233" Type="http://schemas.openxmlformats.org/officeDocument/2006/relationships/hyperlink" Target="mailto:mrserdangjaya@gmail.com" TargetMode="External"/><Relationship Id="rId440" Type="http://schemas.openxmlformats.org/officeDocument/2006/relationships/hyperlink" Target="mailto:fathirahman02@gmail.com" TargetMode="External"/><Relationship Id="rId678" Type="http://schemas.openxmlformats.org/officeDocument/2006/relationships/hyperlink" Target="mailto:qanaahpetroservis@yahoo.com" TargetMode="External"/><Relationship Id="rId885" Type="http://schemas.openxmlformats.org/officeDocument/2006/relationships/hyperlink" Target="mailto:norma.nnent@gmail.com" TargetMode="External"/><Relationship Id="rId1070" Type="http://schemas.openxmlformats.org/officeDocument/2006/relationships/hyperlink" Target="mailto:kulisdagang@gmail.com" TargetMode="External"/><Relationship Id="rId300" Type="http://schemas.openxmlformats.org/officeDocument/2006/relationships/hyperlink" Target="mailto:shfksyfq@gmail.com" TargetMode="External"/><Relationship Id="rId538" Type="http://schemas.openxmlformats.org/officeDocument/2006/relationships/hyperlink" Target="mailto:aimilqayyum99@gmail.com" TargetMode="External"/><Relationship Id="rId745" Type="http://schemas.openxmlformats.org/officeDocument/2006/relationships/hyperlink" Target="mailto:petrocityii@gmail.com" TargetMode="External"/><Relationship Id="rId952" Type="http://schemas.openxmlformats.org/officeDocument/2006/relationships/hyperlink" Target="mailto:jhhiew@hotmail.com" TargetMode="External"/><Relationship Id="rId1168" Type="http://schemas.openxmlformats.org/officeDocument/2006/relationships/hyperlink" Target="mailto:ptrns.puspakencana@felda.net.my" TargetMode="External"/><Relationship Id="rId1375" Type="http://schemas.openxmlformats.org/officeDocument/2006/relationships/hyperlink" Target="mailto:wanmdk@gmail.com" TargetMode="External"/><Relationship Id="rId81" Type="http://schemas.openxmlformats.org/officeDocument/2006/relationships/hyperlink" Target="mailto:nuruljannah.z@hasil.gov.my" TargetMode="External"/><Relationship Id="rId605" Type="http://schemas.openxmlformats.org/officeDocument/2006/relationships/hyperlink" Target="mailto:azis_52@hotmail.com" TargetMode="External"/><Relationship Id="rId812" Type="http://schemas.openxmlformats.org/officeDocument/2006/relationships/hyperlink" Target="mailto:ptrns.leparutara02@gmail.com" TargetMode="External"/><Relationship Id="rId1028" Type="http://schemas.openxmlformats.org/officeDocument/2006/relationships/hyperlink" Target="mailto:acc.utsbpetronas@gmail.com" TargetMode="External"/><Relationship Id="rId1235" Type="http://schemas.openxmlformats.org/officeDocument/2006/relationships/hyperlink" Target="mailto:rahilah88@gmail.com" TargetMode="External"/><Relationship Id="rId1442" Type="http://schemas.openxmlformats.org/officeDocument/2006/relationships/hyperlink" Target="mailto:alialeesenterprise@gmail.com" TargetMode="External"/><Relationship Id="rId1302" Type="http://schemas.openxmlformats.org/officeDocument/2006/relationships/hyperlink" Target="mailto:peladangmart@gmail.com" TargetMode="External"/><Relationship Id="rId39" Type="http://schemas.openxmlformats.org/officeDocument/2006/relationships/hyperlink" Target="mailto:izzudinazahari@gmail.com" TargetMode="External"/><Relationship Id="rId188" Type="http://schemas.openxmlformats.org/officeDocument/2006/relationships/hyperlink" Target="mailto:hilmi@bubbleso2.com" TargetMode="External"/><Relationship Id="rId395" Type="http://schemas.openxmlformats.org/officeDocument/2006/relationships/hyperlink" Target="mailto:amirasahak@lpp.gov.my" TargetMode="External"/><Relationship Id="rId255" Type="http://schemas.openxmlformats.org/officeDocument/2006/relationships/hyperlink" Target="mailto:echaeya@gmail.com" TargetMode="External"/><Relationship Id="rId462" Type="http://schemas.openxmlformats.org/officeDocument/2006/relationships/hyperlink" Target="mailto:yazadyusof5@gmail.com" TargetMode="External"/><Relationship Id="rId1092" Type="http://schemas.openxmlformats.org/officeDocument/2006/relationships/hyperlink" Target="mailto:psskota@gmail.com" TargetMode="External"/><Relationship Id="rId1397" Type="http://schemas.openxmlformats.org/officeDocument/2006/relationships/hyperlink" Target="mailto:alabie5475@yahoo.com.my" TargetMode="External"/><Relationship Id="rId115" Type="http://schemas.openxmlformats.org/officeDocument/2006/relationships/hyperlink" Target="mailto:nasreenhelmi@gmail.com" TargetMode="External"/><Relationship Id="rId322" Type="http://schemas.openxmlformats.org/officeDocument/2006/relationships/hyperlink" Target="mailto:zanariahazli@gmail.com" TargetMode="External"/><Relationship Id="rId767" Type="http://schemas.openxmlformats.org/officeDocument/2006/relationships/hyperlink" Target="mailto:tgzamzuri1001@yahoo.com.my" TargetMode="External"/><Relationship Id="rId974" Type="http://schemas.openxmlformats.org/officeDocument/2006/relationships/hyperlink" Target="mailto:altizpetrotrade@gmail.com" TargetMode="External"/><Relationship Id="rId627" Type="http://schemas.openxmlformats.org/officeDocument/2006/relationships/hyperlink" Target="mailto:aisyahyazid@gmail.com" TargetMode="External"/><Relationship Id="rId834" Type="http://schemas.openxmlformats.org/officeDocument/2006/relationships/hyperlink" Target="mailto:hpparkone@yahoo.com" TargetMode="External"/><Relationship Id="rId1257" Type="http://schemas.openxmlformats.org/officeDocument/2006/relationships/hyperlink" Target="mailto:nzoilenterprise@yahoo.com" TargetMode="External"/><Relationship Id="rId1464" Type="http://schemas.openxmlformats.org/officeDocument/2006/relationships/hyperlink" Target="mailto:caltexteratunas@gmail.com" TargetMode="External"/><Relationship Id="rId901" Type="http://schemas.openxmlformats.org/officeDocument/2006/relationships/hyperlink" Target="mailto:zhzniaga@gmail.com" TargetMode="External"/><Relationship Id="rId1117" Type="http://schemas.openxmlformats.org/officeDocument/2006/relationships/hyperlink" Target="mailto:jelatek@gmail.com" TargetMode="External"/><Relationship Id="rId1324" Type="http://schemas.openxmlformats.org/officeDocument/2006/relationships/hyperlink" Target="mailto:mnkraudhah@gmail.com" TargetMode="External"/><Relationship Id="rId30" Type="http://schemas.openxmlformats.org/officeDocument/2006/relationships/hyperlink" Target="mailto:chezaharudincheibrahim@gmail.com" TargetMode="External"/><Relationship Id="rId277" Type="http://schemas.openxmlformats.org/officeDocument/2006/relationships/hyperlink" Target="mailto:nmt@prokhas.com.my" TargetMode="External"/><Relationship Id="rId484" Type="http://schemas.openxmlformats.org/officeDocument/2006/relationships/hyperlink" Target="mailto:azlinhakim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11E2-F5BE-49F1-AEB4-D97D9EF18728}">
  <dimension ref="A1:AD2480"/>
  <sheetViews>
    <sheetView tabSelected="1" workbookViewId="0">
      <selection sqref="A1:AD2480"/>
    </sheetView>
  </sheetViews>
  <sheetFormatPr defaultRowHeight="14.4" x14ac:dyDescent="0.3"/>
  <sheetData>
    <row r="1" spans="1:30" ht="58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8" t="s">
        <v>24</v>
      </c>
      <c r="Z1" s="8" t="s">
        <v>25</v>
      </c>
      <c r="AA1" s="8" t="s">
        <v>26</v>
      </c>
      <c r="AB1" s="2" t="s">
        <v>27</v>
      </c>
      <c r="AC1" s="9" t="s">
        <v>28</v>
      </c>
      <c r="AD1" s="2" t="s">
        <v>29</v>
      </c>
    </row>
    <row r="2" spans="1:30" x14ac:dyDescent="0.3">
      <c r="A2" s="10" t="s">
        <v>30</v>
      </c>
      <c r="B2" s="11" t="str">
        <f>_xlfn.XLOOKUP(Customer[[#This Row],[Customer ID]],[1]!Name[ID],[1]!Name[Description(1)])</f>
        <v>CAFE MESRA @MENARA AMBANK</v>
      </c>
      <c r="C2" s="11" t="str">
        <f>_xlfn.XLOOKUP(Customer[[#This Row],[Customer ID]],[1]!Name[ID],[1]!Name[Description(2)])</f>
        <v/>
      </c>
      <c r="D2" s="11" t="str">
        <f>_xlfn.XLOOKUP(Customer[[#This Row],[Customer ID]],[1]!Address[ID],[1]!Address[PIC])</f>
        <v/>
      </c>
      <c r="E2" s="11" t="str">
        <f>_xlfn.XLOOKUP(Customer[[#This Row],[Customer ID]],[1]!Address[ID],[1]!Address[Full Address])</f>
        <v>1.02B, GROUND FLOOR MENARA AMBANK,JALAN YAP KWAN SENG,KAMPUNG BARU,50450 KUALA LUMPUR</v>
      </c>
      <c r="F2" s="12" t="s">
        <v>31</v>
      </c>
      <c r="G2" s="12" t="s">
        <v>32</v>
      </c>
      <c r="H2" s="12" t="s">
        <v>33</v>
      </c>
      <c r="I2" s="12" t="b">
        <f>ISNUMBER(VALUE(LEFT(Customer[[#This Row],[Address Line 3 (30 char)]],1)))</f>
        <v>0</v>
      </c>
      <c r="J2" s="12" t="s">
        <v>34</v>
      </c>
      <c r="K2" s="12">
        <v>50450</v>
      </c>
      <c r="L2" s="12" t="s">
        <v>35</v>
      </c>
      <c r="M2" s="13" t="e">
        <v>#N/A</v>
      </c>
      <c r="N2" s="14" t="e">
        <v>#N/A</v>
      </c>
      <c r="O2" s="14" t="e">
        <v>#N/A</v>
      </c>
      <c r="P2" s="14" t="e">
        <v>#N/A</v>
      </c>
      <c r="Q2" s="14" t="e">
        <v>#N/A</v>
      </c>
      <c r="R2" s="15" t="s">
        <v>36</v>
      </c>
      <c r="S2" s="15" t="s">
        <v>37</v>
      </c>
      <c r="T2" s="16" t="s">
        <v>38</v>
      </c>
      <c r="U2" s="11" t="str">
        <f>_xlfn.XLOOKUP(Customer[[#This Row],[Customer ID]],[1]!Address[ID],[1]!Address[Phone No.(2)])</f>
        <v/>
      </c>
      <c r="V2" s="11" t="str">
        <f>_xlfn.XLOOKUP(Customer[[#This Row],[Customer ID]],[1]!Address[ID],[1]!Address[Type])</f>
        <v>PETROMART</v>
      </c>
      <c r="W2" s="11" t="str">
        <f>_xlfn.XLOOKUP(Customer[[#This Row],[Customer ID]],[1]!Address[ID],[1]!Address[CT])</f>
        <v>30 DAYS</v>
      </c>
      <c r="X2" s="11" t="s">
        <v>39</v>
      </c>
      <c r="Y2" s="17" t="s">
        <v>40</v>
      </c>
      <c r="Z2" s="17" t="e">
        <f>_xlfn.XLOOKUP(Customer[[#This Row],[NewType]],$AF$36:$AF$54,$AG$36:$AG$54)</f>
        <v>#N/A</v>
      </c>
      <c r="AA2" s="17" t="s">
        <v>41</v>
      </c>
      <c r="AB2" s="11" t="str">
        <f>_xlfn.XLOOKUP(Customer[[#This Row],[Customer ID]],[1]!Address[ID],[1]!Address[Subtype])</f>
        <v>PETRONAS</v>
      </c>
      <c r="AC2" s="18" t="str">
        <f>_xlfn.XLOOKUP(Customer[[#This Row],[Customer ID]],[1]!Address[ID],[1]!Address[Zone])</f>
        <v>CENTRAL</v>
      </c>
    </row>
    <row r="3" spans="1:30" x14ac:dyDescent="0.3">
      <c r="A3" s="10" t="s">
        <v>42</v>
      </c>
      <c r="B3" s="11" t="str">
        <f>_xlfn.XLOOKUP(Customer[[#This Row],[Customer ID]],[1]!Name[ID],[1]!Name[Description(1)])</f>
        <v>CAFE MESRA @ MRANTI TECHNOLOGY PARK</v>
      </c>
      <c r="C3" s="11" t="str">
        <f>_xlfn.XLOOKUP(Customer[[#This Row],[Customer ID]],[1]!Name[ID],[1]!Name[Description(2)])</f>
        <v/>
      </c>
      <c r="D3" s="11" t="str">
        <f>_xlfn.XLOOKUP(Customer[[#This Row],[Customer ID]],[1]!Address[ID],[1]!Address[PIC])</f>
        <v/>
      </c>
      <c r="E3" s="11" t="str">
        <f>_xlfn.XLOOKUP(Customer[[#This Row],[Customer ID]],[1]!Address[ID],[1]!Address[Full Address])</f>
        <v>KL1550 BUS STOP, BULATAN INOVASI,MRANTI TECHNOLOGY PARK,43300 KUALA LUMPUR,WILAYAH PERSEKUTUAN KUALA LUMPUR</v>
      </c>
      <c r="F3" s="12" t="s">
        <v>43</v>
      </c>
      <c r="G3" s="12" t="s">
        <v>44</v>
      </c>
      <c r="H3" s="12" t="s">
        <v>45</v>
      </c>
      <c r="I3" s="12" t="b">
        <f>ISNUMBER(VALUE(LEFT(Customer[[#This Row],[Address Line 3 (30 char)]],1)))</f>
        <v>0</v>
      </c>
      <c r="J3" s="12" t="s">
        <v>34</v>
      </c>
      <c r="K3" s="12">
        <v>43300</v>
      </c>
      <c r="L3" s="12" t="s">
        <v>35</v>
      </c>
      <c r="M3" s="13" t="e">
        <v>#N/A</v>
      </c>
      <c r="N3" s="14" t="e">
        <v>#N/A</v>
      </c>
      <c r="O3" s="14" t="e">
        <v>#N/A</v>
      </c>
      <c r="P3" s="14" t="e">
        <v>#N/A</v>
      </c>
      <c r="Q3" s="19" t="s">
        <v>46</v>
      </c>
      <c r="R3" s="15" t="s">
        <v>47</v>
      </c>
      <c r="S3" s="15" t="s">
        <v>37</v>
      </c>
      <c r="T3" s="16" t="s">
        <v>38</v>
      </c>
      <c r="U3" s="11" t="str">
        <f>_xlfn.XLOOKUP(Customer[[#This Row],[Customer ID]],[1]!Address[ID],[1]!Address[Phone No.(2)])</f>
        <v/>
      </c>
      <c r="V3" s="11" t="str">
        <f>_xlfn.XLOOKUP(Customer[[#This Row],[Customer ID]],[1]!Address[ID],[1]!Address[Type])</f>
        <v>PETROMART</v>
      </c>
      <c r="W3" s="11" t="str">
        <f>_xlfn.XLOOKUP(Customer[[#This Row],[Customer ID]],[1]!Address[ID],[1]!Address[CT])</f>
        <v>30 DAYS</v>
      </c>
      <c r="X3" s="11" t="s">
        <v>39</v>
      </c>
      <c r="Y3" s="17" t="s">
        <v>40</v>
      </c>
      <c r="Z3" s="17" t="e">
        <f>_xlfn.XLOOKUP(Customer[[#This Row],[NewType]],$AF$36:$AF$54,$AG$36:$AG$54)</f>
        <v>#N/A</v>
      </c>
      <c r="AA3" s="17" t="s">
        <v>48</v>
      </c>
      <c r="AB3" s="11" t="str">
        <f>_xlfn.XLOOKUP(Customer[[#This Row],[Customer ID]],[1]!Address[ID],[1]!Address[Subtype])</f>
        <v>PETRONAS</v>
      </c>
      <c r="AC3" s="18" t="str">
        <f>_xlfn.XLOOKUP(Customer[[#This Row],[Customer ID]],[1]!Address[ID],[1]!Address[Zone])</f>
        <v>CENTRAL</v>
      </c>
    </row>
    <row r="4" spans="1:30" x14ac:dyDescent="0.3">
      <c r="A4" s="10" t="s">
        <v>49</v>
      </c>
      <c r="B4" s="11" t="str">
        <f>_xlfn.XLOOKUP(Customer[[#This Row],[Customer ID]],[1]!Name[ID],[1]!Name[Description(1)])</f>
        <v>STESEN MINYAK GEMINI SATU</v>
      </c>
      <c r="C4" s="11" t="str">
        <f>_xlfn.XLOOKUP(Customer[[#This Row],[Customer ID]],[1]!Name[ID],[1]!Name[Description(2)])</f>
        <v>MM BUKIT KANGKAR MUAR</v>
      </c>
      <c r="D4" s="11" t="str">
        <f>_xlfn.XLOOKUP(Customer[[#This Row],[Customer ID]],[1]!Address[ID],[1]!Address[PIC])</f>
        <v/>
      </c>
      <c r="E4" s="11" t="str">
        <f>_xlfn.XLOOKUP(Customer[[#This Row],[Customer ID]],[1]!Address[ID],[1]!Address[Full Address])</f>
        <v>MM BUKIT KANGKAR MUARLOT PTD 7605,PEKAN BUKIT KANGKAR, 84400 SUNGAI MATI,</v>
      </c>
      <c r="F4" s="12" t="s">
        <v>50</v>
      </c>
      <c r="G4" s="12" t="s">
        <v>36</v>
      </c>
      <c r="H4" s="12" t="s">
        <v>51</v>
      </c>
      <c r="I4" s="12" t="b">
        <f>ISNUMBER(VALUE(LEFT(Customer[[#This Row],[Address Line 3 (30 char)]],1)))</f>
        <v>0</v>
      </c>
      <c r="J4" s="12" t="s">
        <v>52</v>
      </c>
      <c r="K4" s="12">
        <v>84400</v>
      </c>
      <c r="L4" s="12" t="s">
        <v>35</v>
      </c>
      <c r="M4" s="13">
        <v>201803420285</v>
      </c>
      <c r="N4" s="14" t="s">
        <v>53</v>
      </c>
      <c r="O4" s="14" t="s">
        <v>54</v>
      </c>
      <c r="P4" s="14">
        <v>47300</v>
      </c>
      <c r="Q4" s="19" t="s">
        <v>55</v>
      </c>
      <c r="R4" s="15" t="s">
        <v>56</v>
      </c>
      <c r="S4" s="15" t="s">
        <v>37</v>
      </c>
      <c r="T4" s="16" t="s">
        <v>38</v>
      </c>
      <c r="U4" s="11" t="str">
        <f>_xlfn.XLOOKUP(Customer[[#This Row],[Customer ID]],[1]!Address[ID],[1]!Address[Phone No.(2)])</f>
        <v/>
      </c>
      <c r="V4" s="11" t="str">
        <f>_xlfn.XLOOKUP(Customer[[#This Row],[Customer ID]],[1]!Address[ID],[1]!Address[Type])</f>
        <v>PETROMART</v>
      </c>
      <c r="W4" s="11" t="str">
        <f>_xlfn.XLOOKUP(Customer[[#This Row],[Customer ID]],[1]!Address[ID],[1]!Address[CT])</f>
        <v>30 DAYS</v>
      </c>
      <c r="X4" s="11" t="s">
        <v>39</v>
      </c>
      <c r="Y4" s="17" t="s">
        <v>40</v>
      </c>
      <c r="Z4" s="17" t="e">
        <f>_xlfn.XLOOKUP(Customer[[#This Row],[NewType]],$AF$36:$AF$54,$AG$36:$AG$54)</f>
        <v>#N/A</v>
      </c>
      <c r="AA4" s="17" t="s">
        <v>57</v>
      </c>
      <c r="AB4" s="11" t="str">
        <f>_xlfn.XLOOKUP(Customer[[#This Row],[Customer ID]],[1]!Address[ID],[1]!Address[Subtype])</f>
        <v>PETRONAS</v>
      </c>
      <c r="AC4" s="18" t="str">
        <f>_xlfn.XLOOKUP(Customer[[#This Row],[Customer ID]],[1]!Address[ID],[1]!Address[Zone])</f>
        <v xml:space="preserve">SOUTH </v>
      </c>
    </row>
    <row r="5" spans="1:30" x14ac:dyDescent="0.3">
      <c r="A5" s="10" t="s">
        <v>58</v>
      </c>
      <c r="B5" s="11" t="str">
        <f>_xlfn.XLOOKUP(Customer[[#This Row],[Customer ID]],[1]!Name[ID],[1]!Name[Description(1)])</f>
        <v>BERKAT PJ STATION</v>
      </c>
      <c r="C5" s="11" t="str">
        <f>_xlfn.XLOOKUP(Customer[[#This Row],[Customer ID]],[1]!Name[ID],[1]!Name[Description(2)])</f>
        <v>MM BUKIT BARU 1</v>
      </c>
      <c r="D5" s="11" t="str">
        <f>_xlfn.XLOOKUP(Customer[[#This Row],[Customer ID]],[1]!Address[ID],[1]!Address[PIC])</f>
        <v/>
      </c>
      <c r="E5" s="11" t="str">
        <f>_xlfn.XLOOKUP(Customer[[#This Row],[Customer ID]],[1]!Address[ID],[1]!Address[Full Address])</f>
        <v>MM BUKIT BARU 1LOT 311, JALAN PERINGGIT,MUKIM BUKIT BARU,75150 MELAKA TENGAH,</v>
      </c>
      <c r="F5" s="12" t="s">
        <v>59</v>
      </c>
      <c r="G5" s="12" t="s">
        <v>36</v>
      </c>
      <c r="H5" s="12" t="s">
        <v>60</v>
      </c>
      <c r="I5" s="12" t="b">
        <f>ISNUMBER(VALUE(LEFT(Customer[[#This Row],[Address Line 3 (30 char)]],1)))</f>
        <v>0</v>
      </c>
      <c r="J5" s="12" t="s">
        <v>61</v>
      </c>
      <c r="K5" s="12">
        <v>75150</v>
      </c>
      <c r="L5" s="12" t="s">
        <v>35</v>
      </c>
      <c r="M5" s="13">
        <v>201203241263</v>
      </c>
      <c r="N5" s="14" t="s">
        <v>62</v>
      </c>
      <c r="O5" s="14" t="s">
        <v>54</v>
      </c>
      <c r="P5" s="14">
        <v>47300</v>
      </c>
      <c r="Q5" s="19" t="s">
        <v>63</v>
      </c>
      <c r="R5" s="15" t="s">
        <v>64</v>
      </c>
      <c r="S5" s="15" t="s">
        <v>65</v>
      </c>
      <c r="T5" s="16" t="s">
        <v>38</v>
      </c>
      <c r="U5" s="11" t="str">
        <f>_xlfn.XLOOKUP(Customer[[#This Row],[Customer ID]],[1]!Address[ID],[1]!Address[Phone No.(2)])</f>
        <v/>
      </c>
      <c r="V5" s="11" t="str">
        <f>_xlfn.XLOOKUP(Customer[[#This Row],[Customer ID]],[1]!Address[ID],[1]!Address[Type])</f>
        <v>PETROMART</v>
      </c>
      <c r="W5" s="11" t="str">
        <f>_xlfn.XLOOKUP(Customer[[#This Row],[Customer ID]],[1]!Address[ID],[1]!Address[CT])</f>
        <v>30 DAYS</v>
      </c>
      <c r="X5" s="11" t="s">
        <v>39</v>
      </c>
      <c r="Y5" s="17" t="s">
        <v>40</v>
      </c>
      <c r="Z5" s="17" t="e">
        <f>_xlfn.XLOOKUP(Customer[[#This Row],[NewType]],$AF$36:$AF$54,$AG$36:$AG$54)</f>
        <v>#N/A</v>
      </c>
      <c r="AA5" s="17" t="s">
        <v>66</v>
      </c>
      <c r="AB5" s="11" t="str">
        <f>_xlfn.XLOOKUP(Customer[[#This Row],[Customer ID]],[1]!Address[ID],[1]!Address[Subtype])</f>
        <v>PETRONAS</v>
      </c>
      <c r="AC5" s="18" t="str">
        <f>_xlfn.XLOOKUP(Customer[[#This Row],[Customer ID]],[1]!Address[ID],[1]!Address[Zone])</f>
        <v>SOUTH</v>
      </c>
    </row>
    <row r="6" spans="1:30" x14ac:dyDescent="0.3">
      <c r="A6" s="10" t="s">
        <v>67</v>
      </c>
      <c r="B6" s="11" t="str">
        <f>_xlfn.XLOOKUP(Customer[[#This Row],[Customer ID]],[1]!Name[ID],[1]!Name[Description(1)])</f>
        <v>KKH PETRO ENTERPRISE</v>
      </c>
      <c r="C6" s="11" t="str">
        <f>_xlfn.XLOOKUP(Customer[[#This Row],[Customer ID]],[1]!Name[ID],[1]!Name[Description(2)])</f>
        <v>PS JALAN ROZHAN, ALMA</v>
      </c>
      <c r="D6" s="11" t="str">
        <f>_xlfn.XLOOKUP(Customer[[#This Row],[Customer ID]],[1]!Address[ID],[1]!Address[PIC])</f>
        <v/>
      </c>
      <c r="E6" s="11" t="str">
        <f>_xlfn.XLOOKUP(Customer[[#This Row],[Customer ID]],[1]!Address[ID],[1]!Address[Full Address])</f>
        <v>PS JALAN ROZHAN, ALMALOT 10885, JALAN ROZHAN,MUKIM 15 ,BUKIT MERTAJAM14000,  PULAU PINANG</v>
      </c>
      <c r="F6" s="12" t="s">
        <v>68</v>
      </c>
      <c r="G6" s="12" t="s">
        <v>69</v>
      </c>
      <c r="H6" s="12" t="s">
        <v>70</v>
      </c>
      <c r="I6" s="12" t="b">
        <f>ISNUMBER(VALUE(LEFT(Customer[[#This Row],[Address Line 3 (30 char)]],1)))</f>
        <v>0</v>
      </c>
      <c r="J6" s="12" t="s">
        <v>71</v>
      </c>
      <c r="K6" s="12">
        <v>14000</v>
      </c>
      <c r="L6" s="12" t="s">
        <v>35</v>
      </c>
      <c r="M6" s="13" t="e">
        <v>#N/A</v>
      </c>
      <c r="N6" s="14" t="e">
        <v>#N/A</v>
      </c>
      <c r="O6" s="14" t="e">
        <v>#N/A</v>
      </c>
      <c r="P6" s="14" t="e">
        <v>#N/A</v>
      </c>
      <c r="Q6" s="19" t="s">
        <v>72</v>
      </c>
      <c r="R6" s="15" t="s">
        <v>73</v>
      </c>
      <c r="S6" s="15" t="s">
        <v>74</v>
      </c>
      <c r="T6" s="16" t="s">
        <v>38</v>
      </c>
      <c r="U6" s="11" t="str">
        <f>_xlfn.XLOOKUP(Customer[[#This Row],[Customer ID]],[1]!Address[ID],[1]!Address[Phone No.(2)])</f>
        <v/>
      </c>
      <c r="V6" s="11" t="str">
        <f>_xlfn.XLOOKUP(Customer[[#This Row],[Customer ID]],[1]!Address[ID],[1]!Address[Type])</f>
        <v>PETROMART</v>
      </c>
      <c r="W6" s="11" t="str">
        <f>_xlfn.XLOOKUP(Customer[[#This Row],[Customer ID]],[1]!Address[ID],[1]!Address[CT])</f>
        <v>30 DAYS</v>
      </c>
      <c r="X6" s="11" t="s">
        <v>39</v>
      </c>
      <c r="Y6" s="17" t="s">
        <v>40</v>
      </c>
      <c r="Z6" s="17" t="e">
        <f>_xlfn.XLOOKUP(Customer[[#This Row],[NewType]],$AF$36:$AF$54,$AG$36:$AG$54)</f>
        <v>#N/A</v>
      </c>
      <c r="AA6" s="17" t="s">
        <v>75</v>
      </c>
      <c r="AB6" s="11" t="str">
        <f>_xlfn.XLOOKUP(Customer[[#This Row],[Customer ID]],[1]!Address[ID],[1]!Address[Subtype])</f>
        <v>PETRONAS</v>
      </c>
      <c r="AC6" s="18" t="str">
        <f>_xlfn.XLOOKUP(Customer[[#This Row],[Customer ID]],[1]!Address[ID],[1]!Address[Zone])</f>
        <v>NORTH</v>
      </c>
    </row>
    <row r="7" spans="1:30" x14ac:dyDescent="0.3">
      <c r="A7" s="10" t="s">
        <v>76</v>
      </c>
      <c r="B7" s="11" t="str">
        <f>_xlfn.XLOOKUP(Customer[[#This Row],[Customer ID]],[1]!Name[ID],[1]!Name[Description(1)])</f>
        <v>MBM STESYEN MINYAK</v>
      </c>
      <c r="C7" s="11" t="str">
        <f>_xlfn.XLOOKUP(Customer[[#This Row],[Customer ID]],[1]!Name[ID],[1]!Name[Description(2)])</f>
        <v>MM PETRONAS AIR HITAM</v>
      </c>
      <c r="D7" s="11" t="str">
        <f>_xlfn.XLOOKUP(Customer[[#This Row],[Customer ID]],[1]!Address[ID],[1]!Address[PIC])</f>
        <v/>
      </c>
      <c r="E7" s="11" t="str">
        <f>_xlfn.XLOOKUP(Customer[[#This Row],[Customer ID]],[1]!Address[ID],[1]!Address[Full Address])</f>
        <v>MM PETRONAS AIR HITAMPEKAN AIR HITAM,06150 ALOR SETAR,KEDAH</v>
      </c>
      <c r="F7" s="12" t="s">
        <v>77</v>
      </c>
      <c r="G7" s="12" t="s">
        <v>36</v>
      </c>
      <c r="H7" s="12" t="s">
        <v>78</v>
      </c>
      <c r="I7" s="12" t="b">
        <f>ISNUMBER(VALUE(LEFT(Customer[[#This Row],[Address Line 3 (30 char)]],1)))</f>
        <v>0</v>
      </c>
      <c r="J7" s="12" t="s">
        <v>79</v>
      </c>
      <c r="K7" s="20" t="s">
        <v>80</v>
      </c>
      <c r="L7" s="12" t="s">
        <v>35</v>
      </c>
      <c r="M7" s="13" t="e">
        <v>#N/A</v>
      </c>
      <c r="N7" s="14" t="e">
        <v>#N/A</v>
      </c>
      <c r="O7" s="14" t="e">
        <v>#N/A</v>
      </c>
      <c r="P7" s="14" t="e">
        <v>#N/A</v>
      </c>
      <c r="Q7" s="14" t="e">
        <v>#N/A</v>
      </c>
      <c r="R7" s="15" t="s">
        <v>81</v>
      </c>
      <c r="S7" s="15" t="s">
        <v>74</v>
      </c>
      <c r="T7" s="16" t="s">
        <v>38</v>
      </c>
      <c r="U7" s="11" t="str">
        <f>_xlfn.XLOOKUP(Customer[[#This Row],[Customer ID]],[1]!Address[ID],[1]!Address[Phone No.(2)])</f>
        <v/>
      </c>
      <c r="V7" s="11" t="str">
        <f>_xlfn.XLOOKUP(Customer[[#This Row],[Customer ID]],[1]!Address[ID],[1]!Address[Type])</f>
        <v>PETROMART</v>
      </c>
      <c r="W7" s="11" t="str">
        <f>_xlfn.XLOOKUP(Customer[[#This Row],[Customer ID]],[1]!Address[ID],[1]!Address[CT])</f>
        <v>30 DAYS</v>
      </c>
      <c r="X7" s="11" t="s">
        <v>39</v>
      </c>
      <c r="Y7" s="17" t="s">
        <v>40</v>
      </c>
      <c r="Z7" s="17" t="e">
        <f>_xlfn.XLOOKUP(Customer[[#This Row],[NewType]],$AF$36:$AF$54,$AG$36:$AG$54)</f>
        <v>#N/A</v>
      </c>
      <c r="AA7" s="17" t="s">
        <v>82</v>
      </c>
      <c r="AB7" s="11" t="str">
        <f>_xlfn.XLOOKUP(Customer[[#This Row],[Customer ID]],[1]!Address[ID],[1]!Address[Subtype])</f>
        <v>PETRONAS</v>
      </c>
      <c r="AC7" s="18" t="str">
        <f>_xlfn.XLOOKUP(Customer[[#This Row],[Customer ID]],[1]!Address[ID],[1]!Address[Zone])</f>
        <v>NORTH</v>
      </c>
    </row>
    <row r="8" spans="1:30" x14ac:dyDescent="0.3">
      <c r="A8" s="10" t="s">
        <v>83</v>
      </c>
      <c r="B8" s="11" t="str">
        <f>_xlfn.XLOOKUP(Customer[[#This Row],[Customer ID]],[1]!Name[ID],[1]!Name[Description(1)])</f>
        <v>DAUN HIJAU FOOD HOUSE</v>
      </c>
      <c r="C8" s="11" t="str">
        <f>_xlfn.XLOOKUP(Customer[[#This Row],[Customer ID]],[1]!Name[ID],[1]!Name[Description(2)])</f>
        <v/>
      </c>
      <c r="D8" s="11" t="str">
        <f>_xlfn.XLOOKUP(Customer[[#This Row],[Customer ID]],[1]!Address[ID],[1]!Address[PIC])</f>
        <v/>
      </c>
      <c r="E8" s="11" t="str">
        <f>_xlfn.XLOOKUP(Customer[[#This Row],[Customer ID]],[1]!Address[ID],[1]!Address[Full Address])</f>
        <v>NO 58, JALAN ALIFF 5, TAMAN DAMANSARAALIFF, 81200 JOHOR BAHRU, JOHOR</v>
      </c>
      <c r="F8" s="12" t="s">
        <v>84</v>
      </c>
      <c r="G8" s="12" t="s">
        <v>85</v>
      </c>
      <c r="H8" s="12" t="s">
        <v>86</v>
      </c>
      <c r="I8" s="12" t="b">
        <f>ISNUMBER(VALUE(LEFT(Customer[[#This Row],[Address Line 3 (30 char)]],1)))</f>
        <v>0</v>
      </c>
      <c r="J8" s="12" t="s">
        <v>52</v>
      </c>
      <c r="K8" s="12">
        <v>81200</v>
      </c>
      <c r="L8" s="12" t="s">
        <v>35</v>
      </c>
      <c r="M8" s="13" t="e">
        <v>#N/A</v>
      </c>
      <c r="N8" s="14" t="e">
        <v>#N/A</v>
      </c>
      <c r="O8" s="14" t="e">
        <v>#N/A</v>
      </c>
      <c r="P8" s="14" t="e">
        <v>#N/A</v>
      </c>
      <c r="Q8" s="14" t="e">
        <v>#N/A</v>
      </c>
      <c r="R8" s="15" t="s">
        <v>87</v>
      </c>
      <c r="S8" s="15" t="s">
        <v>88</v>
      </c>
      <c r="T8" s="16" t="s">
        <v>89</v>
      </c>
      <c r="U8" s="11" t="str">
        <f>_xlfn.XLOOKUP(Customer[[#This Row],[Customer ID]],[1]!Address[ID],[1]!Address[Phone No.(2)])</f>
        <v/>
      </c>
      <c r="V8" s="11" t="str">
        <f>_xlfn.XLOOKUP(Customer[[#This Row],[Customer ID]],[1]!Address[ID],[1]!Address[Type])</f>
        <v>SOCMED</v>
      </c>
      <c r="W8" s="11"/>
      <c r="X8" s="11"/>
      <c r="Y8" s="17" t="s">
        <v>90</v>
      </c>
      <c r="Z8" s="17" t="e">
        <f>_xlfn.XLOOKUP(Customer[[#This Row],[NewType]],$AF$36:$AF$54,$AG$36:$AG$54)</f>
        <v>#N/A</v>
      </c>
      <c r="AA8" s="17" t="s">
        <v>91</v>
      </c>
      <c r="AB8" s="11" t="str">
        <f>_xlfn.XLOOKUP(Customer[[#This Row],[Customer ID]],[1]!Address[ID],[1]!Address[Subtype])</f>
        <v>ONLINE ROS</v>
      </c>
      <c r="AC8" s="18" t="str">
        <f>_xlfn.XLOOKUP(Customer[[#This Row],[Customer ID]],[1]!Address[ID],[1]!Address[Zone])</f>
        <v>SOUTH</v>
      </c>
    </row>
    <row r="9" spans="1:30" x14ac:dyDescent="0.3">
      <c r="A9" s="10" t="s">
        <v>92</v>
      </c>
      <c r="B9" s="11" t="str">
        <f>_xlfn.XLOOKUP(Customer[[#This Row],[Customer ID]],[1]!Name[ID],[1]!Name[Description(1)])</f>
        <v>ZAM FUEL &amp; MART</v>
      </c>
      <c r="C9" s="11" t="str">
        <f>_xlfn.XLOOKUP(Customer[[#This Row],[Customer ID]],[1]!Name[ID],[1]!Name[Description(2)])</f>
        <v>MM BATU BERENDAM</v>
      </c>
      <c r="D9" s="11" t="str">
        <f>_xlfn.XLOOKUP(Customer[[#This Row],[Customer ID]],[1]!Address[ID],[1]!Address[PIC])</f>
        <v/>
      </c>
      <c r="E9" s="11" t="str">
        <f>_xlfn.XLOOKUP(Customer[[#This Row],[Customer ID]],[1]!Address[ID],[1]!Address[Full Address])</f>
        <v>MM BATU BERENDAMBATU 5, HANG TUAH JAYA,JALAN BATU BERENDAM,MUKIM BATU BERENDAM, 75350 MELAKA TENGAH</v>
      </c>
      <c r="F9" s="12" t="s">
        <v>93</v>
      </c>
      <c r="G9" s="12" t="s">
        <v>94</v>
      </c>
      <c r="H9" s="12" t="s">
        <v>95</v>
      </c>
      <c r="I9" s="12" t="b">
        <f>ISNUMBER(VALUE(LEFT(Customer[[#This Row],[Address Line 3 (30 char)]],1)))</f>
        <v>0</v>
      </c>
      <c r="J9" s="12" t="s">
        <v>61</v>
      </c>
      <c r="K9" s="12">
        <v>75350</v>
      </c>
      <c r="L9" s="12" t="s">
        <v>35</v>
      </c>
      <c r="M9" s="13" t="e">
        <v>#N/A</v>
      </c>
      <c r="N9" s="14" t="e">
        <v>#N/A</v>
      </c>
      <c r="O9" s="14" t="e">
        <v>#N/A</v>
      </c>
      <c r="P9" s="14" t="e">
        <v>#N/A</v>
      </c>
      <c r="Q9" s="21" t="s">
        <v>96</v>
      </c>
      <c r="R9" s="15" t="s">
        <v>97</v>
      </c>
      <c r="S9" s="15" t="s">
        <v>37</v>
      </c>
      <c r="T9" s="16" t="s">
        <v>38</v>
      </c>
      <c r="U9" s="11" t="str">
        <f>_xlfn.XLOOKUP(Customer[[#This Row],[Customer ID]],[1]!Address[ID],[1]!Address[Phone No.(2)])</f>
        <v/>
      </c>
      <c r="V9" s="11" t="str">
        <f>_xlfn.XLOOKUP(Customer[[#This Row],[Customer ID]],[1]!Address[ID],[1]!Address[Type])</f>
        <v>PETROMART</v>
      </c>
      <c r="W9" s="11" t="str">
        <f>_xlfn.XLOOKUP(Customer[[#This Row],[Customer ID]],[1]!Address[ID],[1]!Address[CT])</f>
        <v>30 DAYS</v>
      </c>
      <c r="X9" s="11" t="s">
        <v>39</v>
      </c>
      <c r="Y9" s="17" t="s">
        <v>40</v>
      </c>
      <c r="Z9" s="17" t="e">
        <f>_xlfn.XLOOKUP(Customer[[#This Row],[NewType]],$AF$36:$AF$54,$AG$36:$AG$54)</f>
        <v>#N/A</v>
      </c>
      <c r="AA9" s="17" t="s">
        <v>98</v>
      </c>
      <c r="AB9" s="11" t="str">
        <f>_xlfn.XLOOKUP(Customer[[#This Row],[Customer ID]],[1]!Address[ID],[1]!Address[Subtype])</f>
        <v>PETRONAS</v>
      </c>
      <c r="AC9" s="18" t="str">
        <f>_xlfn.XLOOKUP(Customer[[#This Row],[Customer ID]],[1]!Address[ID],[1]!Address[Zone])</f>
        <v>SOUTH</v>
      </c>
    </row>
    <row r="10" spans="1:30" x14ac:dyDescent="0.3">
      <c r="A10" s="10" t="s">
        <v>99</v>
      </c>
      <c r="B10" s="11" t="str">
        <f>_xlfn.XLOOKUP(Customer[[#This Row],[Customer ID]],[1]!Name[ID],[1]!Name[Description(1)])</f>
        <v>K PRIMA CENTRE SDN BHD</v>
      </c>
      <c r="C10" s="11" t="str">
        <f>_xlfn.XLOOKUP(Customer[[#This Row],[Customer ID]],[1]!Name[ID],[1]!Name[Description(2)])</f>
        <v>PS SEMABOK PERDANA</v>
      </c>
      <c r="D10" s="11" t="str">
        <f>_xlfn.XLOOKUP(Customer[[#This Row],[Customer ID]],[1]!Address[ID],[1]!Address[PIC])</f>
        <v/>
      </c>
      <c r="E10" s="11" t="str">
        <f>_xlfn.XLOOKUP(Customer[[#This Row],[Customer ID]],[1]!Address[ID],[1]!Address[Full Address])</f>
        <v>PS SEMABOK PERDANAH.M.(M) 279, PT 2157, MUKIM SEMABOK,75400 MELAKA TENGAH,MELAKA</v>
      </c>
      <c r="F10" s="12" t="s">
        <v>100</v>
      </c>
      <c r="G10" s="12" t="s">
        <v>101</v>
      </c>
      <c r="H10" s="12" t="s">
        <v>102</v>
      </c>
      <c r="I10" s="12" t="b">
        <f>ISNUMBER(VALUE(LEFT(Customer[[#This Row],[Address Line 3 (30 char)]],1)))</f>
        <v>0</v>
      </c>
      <c r="J10" s="12" t="s">
        <v>61</v>
      </c>
      <c r="K10" s="12">
        <v>75400</v>
      </c>
      <c r="L10" s="12" t="s">
        <v>35</v>
      </c>
      <c r="M10" s="13">
        <v>201701010939</v>
      </c>
      <c r="N10" s="14" t="s">
        <v>103</v>
      </c>
      <c r="O10" s="14" t="s">
        <v>54</v>
      </c>
      <c r="P10" s="14" t="s">
        <v>54</v>
      </c>
      <c r="Q10" s="21" t="s">
        <v>104</v>
      </c>
      <c r="R10" s="15" t="s">
        <v>105</v>
      </c>
      <c r="S10" s="15" t="s">
        <v>37</v>
      </c>
      <c r="T10" s="16" t="s">
        <v>38</v>
      </c>
      <c r="U10" s="11" t="str">
        <f>_xlfn.XLOOKUP(Customer[[#This Row],[Customer ID]],[1]!Address[ID],[1]!Address[Phone No.(2)])</f>
        <v/>
      </c>
      <c r="V10" s="11" t="str">
        <f>_xlfn.XLOOKUP(Customer[[#This Row],[Customer ID]],[1]!Address[ID],[1]!Address[Type])</f>
        <v>PETROMART</v>
      </c>
      <c r="W10" s="11" t="str">
        <f>_xlfn.XLOOKUP(Customer[[#This Row],[Customer ID]],[1]!Address[ID],[1]!Address[CT])</f>
        <v>30 DAYS</v>
      </c>
      <c r="X10" s="11" t="s">
        <v>39</v>
      </c>
      <c r="Y10" s="17" t="s">
        <v>40</v>
      </c>
      <c r="Z10" s="17" t="e">
        <f>_xlfn.XLOOKUP(Customer[[#This Row],[NewType]],$AF$36:$AF$54,$AG$36:$AG$54)</f>
        <v>#N/A</v>
      </c>
      <c r="AA10" s="17" t="s">
        <v>106</v>
      </c>
      <c r="AB10" s="11" t="str">
        <f>_xlfn.XLOOKUP(Customer[[#This Row],[Customer ID]],[1]!Address[ID],[1]!Address[Subtype])</f>
        <v>PETRONAS</v>
      </c>
      <c r="AC10" s="18" t="str">
        <f>_xlfn.XLOOKUP(Customer[[#This Row],[Customer ID]],[1]!Address[ID],[1]!Address[Zone])</f>
        <v>SOUTH</v>
      </c>
    </row>
    <row r="11" spans="1:30" x14ac:dyDescent="0.3">
      <c r="A11" s="10" t="s">
        <v>107</v>
      </c>
      <c r="B11" s="11" t="str">
        <f>_xlfn.XLOOKUP(Customer[[#This Row],[Customer ID]],[1]!Name[ID],[1]!Name[Description(1)])</f>
        <v>STESEN MINYAK GEMINI V</v>
      </c>
      <c r="C11" s="11" t="str">
        <f>_xlfn.XLOOKUP(Customer[[#This Row],[Customer ID]],[1]!Name[ID],[1]!Name[Description(2)])</f>
        <v>PS AIR HITAM, JOHOR</v>
      </c>
      <c r="D11" s="11" t="str">
        <f>_xlfn.XLOOKUP(Customer[[#This Row],[Customer ID]],[1]!Address[ID],[1]!Address[PIC])</f>
        <v>Dr Sabrina AMIR</v>
      </c>
      <c r="E11" s="11" t="str">
        <f>_xlfn.XLOOKUP(Customer[[#This Row],[Customer ID]],[1]!Address[ID],[1]!Address[Full Address])</f>
        <v>PS AIR HITAM, JOHORLOT 5932, KM 1,JALAN BATU PAHAT,86100 AIR HITAM,  JOHOR</v>
      </c>
      <c r="F11" s="12" t="s">
        <v>108</v>
      </c>
      <c r="G11" s="12" t="s">
        <v>109</v>
      </c>
      <c r="H11" s="12" t="s">
        <v>110</v>
      </c>
      <c r="I11" s="12" t="b">
        <f>ISNUMBER(VALUE(LEFT(Customer[[#This Row],[Address Line 3 (30 char)]],1)))</f>
        <v>0</v>
      </c>
      <c r="J11" s="12" t="s">
        <v>52</v>
      </c>
      <c r="K11" s="12">
        <v>86100</v>
      </c>
      <c r="L11" s="12" t="s">
        <v>35</v>
      </c>
      <c r="M11" s="13">
        <v>202103107605</v>
      </c>
      <c r="N11" s="14" t="s">
        <v>111</v>
      </c>
      <c r="O11" s="14" t="s">
        <v>54</v>
      </c>
      <c r="P11" s="14" t="e">
        <v>#N/A</v>
      </c>
      <c r="Q11" s="21" t="s">
        <v>112</v>
      </c>
      <c r="R11" s="15" t="s">
        <v>113</v>
      </c>
      <c r="S11" s="15" t="s">
        <v>37</v>
      </c>
      <c r="T11" s="16" t="s">
        <v>38</v>
      </c>
      <c r="U11" s="11" t="str">
        <f>_xlfn.XLOOKUP(Customer[[#This Row],[Customer ID]],[1]!Address[ID],[1]!Address[Phone No.(2)])</f>
        <v/>
      </c>
      <c r="V11" s="11" t="str">
        <f>_xlfn.XLOOKUP(Customer[[#This Row],[Customer ID]],[1]!Address[ID],[1]!Address[Type])</f>
        <v>PETROMART</v>
      </c>
      <c r="W11" s="11" t="str">
        <f>_xlfn.XLOOKUP(Customer[[#This Row],[Customer ID]],[1]!Address[ID],[1]!Address[CT])</f>
        <v>30 DAYS</v>
      </c>
      <c r="X11" s="11" t="s">
        <v>39</v>
      </c>
      <c r="Y11" s="17" t="s">
        <v>40</v>
      </c>
      <c r="Z11" s="17" t="e">
        <f>_xlfn.XLOOKUP(Customer[[#This Row],[NewType]],$AF$36:$AF$54,$AG$36:$AG$54)</f>
        <v>#N/A</v>
      </c>
      <c r="AA11" s="17" t="s">
        <v>114</v>
      </c>
      <c r="AB11" s="11" t="str">
        <f>_xlfn.XLOOKUP(Customer[[#This Row],[Customer ID]],[1]!Address[ID],[1]!Address[Subtype])</f>
        <v>PETRONAS</v>
      </c>
      <c r="AC11" s="18" t="str">
        <f>_xlfn.XLOOKUP(Customer[[#This Row],[Customer ID]],[1]!Address[ID],[1]!Address[Zone])</f>
        <v>SOUTH</v>
      </c>
    </row>
    <row r="12" spans="1:30" x14ac:dyDescent="0.3">
      <c r="A12" s="10" t="s">
        <v>115</v>
      </c>
      <c r="B12" s="11" t="str">
        <f>_xlfn.XLOOKUP(Customer[[#This Row],[Customer ID]],[1]!Name[ID],[1]!Name[Description(1)])</f>
        <v>HME PETRONAS SERVICE STATION</v>
      </c>
      <c r="C12" s="11" t="str">
        <f>_xlfn.XLOOKUP(Customer[[#This Row],[Customer ID]],[1]!Name[ID],[1]!Name[Description(2)])</f>
        <v>PS AIR KEROH 1</v>
      </c>
      <c r="D12" s="11" t="str">
        <f>_xlfn.XLOOKUP(Customer[[#This Row],[Customer ID]],[1]!Address[ID],[1]!Address[PIC])</f>
        <v>NORASHIKIN</v>
      </c>
      <c r="E12" s="11" t="str">
        <f>_xlfn.XLOOKUP(Customer[[#This Row],[Customer ID]],[1]!Address[ID],[1]!Address[Full Address])</f>
        <v>PS AIR KEROH 1LOT 4351, MUKIM BUKIT KATIL,TAMAN AIR KEROH,AIR KEROH HEIGHTS,75450 MELAKA</v>
      </c>
      <c r="F12" s="12" t="s">
        <v>116</v>
      </c>
      <c r="G12" s="12" t="s">
        <v>117</v>
      </c>
      <c r="H12" s="12" t="s">
        <v>118</v>
      </c>
      <c r="I12" s="12" t="b">
        <f>ISNUMBER(VALUE(LEFT(Customer[[#This Row],[Address Line 3 (30 char)]],1)))</f>
        <v>0</v>
      </c>
      <c r="J12" s="12" t="s">
        <v>61</v>
      </c>
      <c r="K12" s="12">
        <v>75450</v>
      </c>
      <c r="L12" s="12" t="s">
        <v>35</v>
      </c>
      <c r="M12" s="13">
        <v>199003005010</v>
      </c>
      <c r="N12" s="14" t="s">
        <v>119</v>
      </c>
      <c r="O12" s="14" t="e">
        <v>#N/A</v>
      </c>
      <c r="P12" s="14" t="e">
        <v>#N/A</v>
      </c>
      <c r="Q12" s="21" t="s">
        <v>120</v>
      </c>
      <c r="R12" s="15" t="s">
        <v>121</v>
      </c>
      <c r="S12" s="15" t="s">
        <v>37</v>
      </c>
      <c r="T12" s="16" t="s">
        <v>38</v>
      </c>
      <c r="U12" s="11" t="str">
        <f>_xlfn.XLOOKUP(Customer[[#This Row],[Customer ID]],[1]!Address[ID],[1]!Address[Phone No.(2)])</f>
        <v/>
      </c>
      <c r="V12" s="11" t="str">
        <f>_xlfn.XLOOKUP(Customer[[#This Row],[Customer ID]],[1]!Address[ID],[1]!Address[Type])</f>
        <v>PETROMART</v>
      </c>
      <c r="W12" s="11" t="str">
        <f>_xlfn.XLOOKUP(Customer[[#This Row],[Customer ID]],[1]!Address[ID],[1]!Address[CT])</f>
        <v>30 DAYS</v>
      </c>
      <c r="X12" s="11" t="s">
        <v>39</v>
      </c>
      <c r="Y12" s="17" t="s">
        <v>40</v>
      </c>
      <c r="Z12" s="17" t="e">
        <f>_xlfn.XLOOKUP(Customer[[#This Row],[NewType]],$AF$36:$AF$54,$AG$36:$AG$54)</f>
        <v>#N/A</v>
      </c>
      <c r="AA12" s="17" t="s">
        <v>122</v>
      </c>
      <c r="AB12" s="11" t="str">
        <f>_xlfn.XLOOKUP(Customer[[#This Row],[Customer ID]],[1]!Address[ID],[1]!Address[Subtype])</f>
        <v>PETRONAS</v>
      </c>
      <c r="AC12" s="18" t="str">
        <f>_xlfn.XLOOKUP(Customer[[#This Row],[Customer ID]],[1]!Address[ID],[1]!Address[Zone])</f>
        <v>SOUTH</v>
      </c>
    </row>
    <row r="13" spans="1:30" x14ac:dyDescent="0.3">
      <c r="A13" s="10" t="s">
        <v>123</v>
      </c>
      <c r="B13" s="11" t="str">
        <f>_xlfn.XLOOKUP(Customer[[#This Row],[Customer ID]],[1]!Name[ID],[1]!Name[Description(1)])</f>
        <v>MYH PETROMART</v>
      </c>
      <c r="C13" s="11" t="str">
        <f>_xlfn.XLOOKUP(Customer[[#This Row],[Customer ID]],[1]!Name[ID],[1]!Name[Description(2)])</f>
        <v>PS AIR KEROH 2</v>
      </c>
      <c r="D13" s="11" t="str">
        <f>_xlfn.XLOOKUP(Customer[[#This Row],[Customer ID]],[1]!Address[ID],[1]!Address[PIC])</f>
        <v/>
      </c>
      <c r="E13" s="11" t="str">
        <f>_xlfn.XLOOKUP(Customer[[#This Row],[Customer ID]],[1]!Address[ID],[1]!Address[Full Address])</f>
        <v>PS AIR KEROH 2LOT 2432, MUKIM BUKIT BARU,JALAN AIR KEROH,75450 AYER KEROH, MELAKA</v>
      </c>
      <c r="F13" s="12" t="s">
        <v>124</v>
      </c>
      <c r="G13" s="12" t="s">
        <v>125</v>
      </c>
      <c r="H13" s="12" t="s">
        <v>126</v>
      </c>
      <c r="I13" s="12" t="b">
        <f>ISNUMBER(VALUE(LEFT(Customer[[#This Row],[Address Line 3 (30 char)]],1)))</f>
        <v>0</v>
      </c>
      <c r="J13" s="12" t="s">
        <v>61</v>
      </c>
      <c r="K13" s="12">
        <v>75450</v>
      </c>
      <c r="L13" s="12" t="s">
        <v>35</v>
      </c>
      <c r="M13" s="13" t="e">
        <v>#N/A</v>
      </c>
      <c r="N13" s="14" t="e">
        <v>#N/A</v>
      </c>
      <c r="O13" s="14" t="e">
        <v>#N/A</v>
      </c>
      <c r="P13" s="14" t="e">
        <v>#N/A</v>
      </c>
      <c r="Q13" s="21" t="s">
        <v>127</v>
      </c>
      <c r="R13" s="15" t="s">
        <v>128</v>
      </c>
      <c r="S13" s="15" t="s">
        <v>37</v>
      </c>
      <c r="T13" s="16" t="s">
        <v>38</v>
      </c>
      <c r="U13" s="11" t="str">
        <f>_xlfn.XLOOKUP(Customer[[#This Row],[Customer ID]],[1]!Address[ID],[1]!Address[Phone No.(2)])</f>
        <v/>
      </c>
      <c r="V13" s="11" t="str">
        <f>_xlfn.XLOOKUP(Customer[[#This Row],[Customer ID]],[1]!Address[ID],[1]!Address[Type])</f>
        <v>PETROMART</v>
      </c>
      <c r="W13" s="11" t="str">
        <f>_xlfn.XLOOKUP(Customer[[#This Row],[Customer ID]],[1]!Address[ID],[1]!Address[CT])</f>
        <v>30 DAYS</v>
      </c>
      <c r="X13" s="11" t="s">
        <v>39</v>
      </c>
      <c r="Y13" s="17" t="s">
        <v>40</v>
      </c>
      <c r="Z13" s="17" t="e">
        <f>_xlfn.XLOOKUP(Customer[[#This Row],[NewType]],$AF$36:$AF$54,$AG$36:$AG$54)</f>
        <v>#N/A</v>
      </c>
      <c r="AA13" s="17" t="s">
        <v>129</v>
      </c>
      <c r="AB13" s="11" t="str">
        <f>_xlfn.XLOOKUP(Customer[[#This Row],[Customer ID]],[1]!Address[ID],[1]!Address[Subtype])</f>
        <v>PETRONAS</v>
      </c>
      <c r="AC13" s="18" t="str">
        <f>_xlfn.XLOOKUP(Customer[[#This Row],[Customer ID]],[1]!Address[ID],[1]!Address[Zone])</f>
        <v>SOUTH</v>
      </c>
    </row>
    <row r="14" spans="1:30" x14ac:dyDescent="0.3">
      <c r="A14" s="10" t="s">
        <v>130</v>
      </c>
      <c r="B14" s="11" t="str">
        <f>_xlfn.XLOOKUP(Customer[[#This Row],[Customer ID]],[1]!Name[ID],[1]!Name[Description(1)])</f>
        <v>TITIAN SINAR ENTERPRISE</v>
      </c>
      <c r="C14" s="11" t="str">
        <f>_xlfn.XLOOKUP(Customer[[#This Row],[Customer ID]],[1]!Name[ID],[1]!Name[Description(2)])</f>
        <v>PS AIR KEROH 3</v>
      </c>
      <c r="D14" s="11" t="str">
        <f>_xlfn.XLOOKUP(Customer[[#This Row],[Customer ID]],[1]!Address[ID],[1]!Address[PIC])</f>
        <v/>
      </c>
      <c r="E14" s="11" t="str">
        <f>_xlfn.XLOOKUP(Customer[[#This Row],[Customer ID]],[1]!Address[ID],[1]!Address[Full Address])</f>
        <v>PS AIR KEROH 3LOT 2854 JLN AYER KEROH,75450 MELAKA TENGAH,  MELAKA</v>
      </c>
      <c r="F14" s="12" t="s">
        <v>131</v>
      </c>
      <c r="G14" s="12" t="s">
        <v>36</v>
      </c>
      <c r="H14" s="12" t="s">
        <v>132</v>
      </c>
      <c r="I14" s="12" t="b">
        <f>ISNUMBER(VALUE(LEFT(Customer[[#This Row],[Address Line 3 (30 char)]],1)))</f>
        <v>0</v>
      </c>
      <c r="J14" s="12" t="s">
        <v>61</v>
      </c>
      <c r="K14" s="12">
        <v>75450</v>
      </c>
      <c r="L14" s="12" t="s">
        <v>35</v>
      </c>
      <c r="M14" s="13" t="e">
        <v>#N/A</v>
      </c>
      <c r="N14" s="14" t="e">
        <v>#N/A</v>
      </c>
      <c r="O14" s="14" t="e">
        <v>#N/A</v>
      </c>
      <c r="P14" s="14" t="e">
        <v>#N/A</v>
      </c>
      <c r="Q14" s="21" t="s">
        <v>133</v>
      </c>
      <c r="R14" s="15" t="s">
        <v>134</v>
      </c>
      <c r="S14" s="15" t="s">
        <v>37</v>
      </c>
      <c r="T14" s="16" t="s">
        <v>38</v>
      </c>
      <c r="U14" s="11" t="str">
        <f>_xlfn.XLOOKUP(Customer[[#This Row],[Customer ID]],[1]!Address[ID],[1]!Address[Phone No.(2)])</f>
        <v/>
      </c>
      <c r="V14" s="11" t="str">
        <f>_xlfn.XLOOKUP(Customer[[#This Row],[Customer ID]],[1]!Address[ID],[1]!Address[Type])</f>
        <v>PETROMART</v>
      </c>
      <c r="W14" s="11" t="str">
        <f>_xlfn.XLOOKUP(Customer[[#This Row],[Customer ID]],[1]!Address[ID],[1]!Address[CT])</f>
        <v>30 DAYS</v>
      </c>
      <c r="X14" s="11" t="s">
        <v>39</v>
      </c>
      <c r="Y14" s="17" t="s">
        <v>40</v>
      </c>
      <c r="Z14" s="17" t="e">
        <f>_xlfn.XLOOKUP(Customer[[#This Row],[NewType]],$AF$36:$AF$54,$AG$36:$AG$54)</f>
        <v>#N/A</v>
      </c>
      <c r="AA14" s="17" t="s">
        <v>135</v>
      </c>
      <c r="AB14" s="11" t="str">
        <f>_xlfn.XLOOKUP(Customer[[#This Row],[Customer ID]],[1]!Address[ID],[1]!Address[Subtype])</f>
        <v>PETRONAS</v>
      </c>
      <c r="AC14" s="18" t="str">
        <f>_xlfn.XLOOKUP(Customer[[#This Row],[Customer ID]],[1]!Address[ID],[1]!Address[Zone])</f>
        <v>SOUTH</v>
      </c>
    </row>
    <row r="15" spans="1:30" x14ac:dyDescent="0.3">
      <c r="A15" s="10" t="s">
        <v>136</v>
      </c>
      <c r="B15" s="11" t="str">
        <f>_xlfn.XLOOKUP(Customer[[#This Row],[Customer ID]],[1]!Name[ID],[1]!Name[Description(1)])</f>
        <v>STESEN MINYAK INTAN</v>
      </c>
      <c r="C15" s="11" t="str">
        <f>_xlfn.XLOOKUP(Customer[[#This Row],[Customer ID]],[1]!Name[ID],[1]!Name[Description(2)])</f>
        <v>PS AYER KEROH ARAH UTARA</v>
      </c>
      <c r="D15" s="11" t="str">
        <f>_xlfn.XLOOKUP(Customer[[#This Row],[Customer ID]],[1]!Address[ID],[1]!Address[PIC])</f>
        <v/>
      </c>
      <c r="E15" s="11" t="str">
        <f>_xlfn.XLOOKUP(Customer[[#This Row],[Customer ID]],[1]!Address[ID],[1]!Address[Full Address])</f>
        <v>PS AYER KEROH ARAH UTARALOT 565, LEBUHRAYA SENAWANG - AIRKEROH (NORTH BOUND),75700 ALOR GAJAH, MELAKA</v>
      </c>
      <c r="F15" s="12" t="s">
        <v>137</v>
      </c>
      <c r="G15" s="12" t="s">
        <v>138</v>
      </c>
      <c r="H15" s="12" t="s">
        <v>139</v>
      </c>
      <c r="I15" s="12" t="b">
        <f>ISNUMBER(VALUE(LEFT(Customer[[#This Row],[Address Line 3 (30 char)]],1)))</f>
        <v>0</v>
      </c>
      <c r="J15" s="12" t="s">
        <v>61</v>
      </c>
      <c r="K15" s="12">
        <v>75700</v>
      </c>
      <c r="L15" s="12" t="s">
        <v>35</v>
      </c>
      <c r="M15" s="13" t="e">
        <v>#N/A</v>
      </c>
      <c r="N15" s="14" t="e">
        <v>#N/A</v>
      </c>
      <c r="O15" s="14" t="e">
        <v>#N/A</v>
      </c>
      <c r="P15" s="14" t="e">
        <v>#N/A</v>
      </c>
      <c r="Q15" s="21" t="s">
        <v>140</v>
      </c>
      <c r="R15" s="15" t="s">
        <v>141</v>
      </c>
      <c r="S15" s="15" t="s">
        <v>37</v>
      </c>
      <c r="T15" s="16" t="s">
        <v>38</v>
      </c>
      <c r="U15" s="11" t="str">
        <f>_xlfn.XLOOKUP(Customer[[#This Row],[Customer ID]],[1]!Address[ID],[1]!Address[Phone No.(2)])</f>
        <v/>
      </c>
      <c r="V15" s="11" t="str">
        <f>_xlfn.XLOOKUP(Customer[[#This Row],[Customer ID]],[1]!Address[ID],[1]!Address[Type])</f>
        <v>PETROMART</v>
      </c>
      <c r="W15" s="11" t="str">
        <f>_xlfn.XLOOKUP(Customer[[#This Row],[Customer ID]],[1]!Address[ID],[1]!Address[CT])</f>
        <v>30 DAYS</v>
      </c>
      <c r="X15" s="11" t="s">
        <v>39</v>
      </c>
      <c r="Y15" s="17" t="s">
        <v>40</v>
      </c>
      <c r="Z15" s="17" t="e">
        <f>_xlfn.XLOOKUP(Customer[[#This Row],[NewType]],$AF$36:$AF$54,$AG$36:$AG$54)</f>
        <v>#N/A</v>
      </c>
      <c r="AA15" s="17" t="s">
        <v>142</v>
      </c>
      <c r="AB15" s="11" t="str">
        <f>_xlfn.XLOOKUP(Customer[[#This Row],[Customer ID]],[1]!Address[ID],[1]!Address[Subtype])</f>
        <v>PETRONAS</v>
      </c>
      <c r="AC15" s="18" t="str">
        <f>_xlfn.XLOOKUP(Customer[[#This Row],[Customer ID]],[1]!Address[ID],[1]!Address[Zone])</f>
        <v>SOUTH</v>
      </c>
    </row>
    <row r="16" spans="1:30" x14ac:dyDescent="0.3">
      <c r="A16" s="10" t="s">
        <v>143</v>
      </c>
      <c r="B16" s="11" t="str">
        <f>_xlfn.XLOOKUP(Customer[[#This Row],[Customer ID]],[1]!Name[ID],[1]!Name[Description(1)])</f>
        <v>PETROMILES ENTERPRISE</v>
      </c>
      <c r="C16" s="11" t="str">
        <f>_xlfn.XLOOKUP(Customer[[#This Row],[Customer ID]],[1]!Name[ID],[1]!Name[Description(2)])</f>
        <v>PS AIR KEROH RSA SOUTH BOUND</v>
      </c>
      <c r="D16" s="11" t="str">
        <f>_xlfn.XLOOKUP(Customer[[#This Row],[Customer ID]],[1]!Address[ID],[1]!Address[PIC])</f>
        <v/>
      </c>
      <c r="E16" s="11" t="str">
        <f>_xlfn.XLOOKUP(Customer[[#This Row],[Customer ID]],[1]!Address[ID],[1]!Address[Full Address])</f>
        <v>PS AIR KEROH RSA SOUTH BOUNDLOT 596, PG 10, LEBUHRAYASENAWANG-AIR KEROH(SOUTH BOUND)78000 ALOR GAJAH, MELAKA</v>
      </c>
      <c r="F16" s="12" t="s">
        <v>144</v>
      </c>
      <c r="G16" s="12" t="s">
        <v>145</v>
      </c>
      <c r="H16" s="12" t="s">
        <v>146</v>
      </c>
      <c r="I16" s="12" t="b">
        <f>ISNUMBER(VALUE(LEFT(Customer[[#This Row],[Address Line 3 (30 char)]],1)))</f>
        <v>0</v>
      </c>
      <c r="J16" s="12" t="s">
        <v>61</v>
      </c>
      <c r="K16" s="12">
        <v>78000</v>
      </c>
      <c r="L16" s="12" t="s">
        <v>35</v>
      </c>
      <c r="M16" s="13" t="e">
        <v>#N/A</v>
      </c>
      <c r="N16" s="14" t="e">
        <v>#N/A</v>
      </c>
      <c r="O16" s="14" t="e">
        <v>#N/A</v>
      </c>
      <c r="P16" s="14" t="e">
        <v>#N/A</v>
      </c>
      <c r="Q16" s="21" t="s">
        <v>147</v>
      </c>
      <c r="R16" s="15" t="s">
        <v>148</v>
      </c>
      <c r="S16" s="15" t="s">
        <v>37</v>
      </c>
      <c r="T16" s="16" t="s">
        <v>38</v>
      </c>
      <c r="U16" s="11" t="str">
        <f>_xlfn.XLOOKUP(Customer[[#This Row],[Customer ID]],[1]!Address[ID],[1]!Address[Phone No.(2)])</f>
        <v/>
      </c>
      <c r="V16" s="11" t="str">
        <f>_xlfn.XLOOKUP(Customer[[#This Row],[Customer ID]],[1]!Address[ID],[1]!Address[Type])</f>
        <v>PETROMART</v>
      </c>
      <c r="W16" s="11" t="str">
        <f>_xlfn.XLOOKUP(Customer[[#This Row],[Customer ID]],[1]!Address[ID],[1]!Address[CT])</f>
        <v>30 DAYS</v>
      </c>
      <c r="X16" s="11" t="s">
        <v>39</v>
      </c>
      <c r="Y16" s="17" t="s">
        <v>40</v>
      </c>
      <c r="Z16" s="17" t="e">
        <f>_xlfn.XLOOKUP(Customer[[#This Row],[NewType]],$AF$36:$AF$54,$AG$36:$AG$54)</f>
        <v>#N/A</v>
      </c>
      <c r="AA16" s="17" t="s">
        <v>149</v>
      </c>
      <c r="AB16" s="11" t="str">
        <f>_xlfn.XLOOKUP(Customer[[#This Row],[Customer ID]],[1]!Address[ID],[1]!Address[Subtype])</f>
        <v>PETRONAS</v>
      </c>
      <c r="AC16" s="18" t="str">
        <f>_xlfn.XLOOKUP(Customer[[#This Row],[Customer ID]],[1]!Address[ID],[1]!Address[Zone])</f>
        <v>SOUTH</v>
      </c>
    </row>
    <row r="17" spans="1:29" x14ac:dyDescent="0.3">
      <c r="A17" s="10" t="s">
        <v>150</v>
      </c>
      <c r="B17" s="11" t="str">
        <f>_xlfn.XLOOKUP(Customer[[#This Row],[Customer ID]],[1]!Name[ID],[1]!Name[Description(1)])</f>
        <v>SELTRO STATION</v>
      </c>
      <c r="C17" s="11" t="str">
        <f>_xlfn.XLOOKUP(Customer[[#This Row],[Customer ID]],[1]!Name[ID],[1]!Name[Description(2)])</f>
        <v>PS AJIL</v>
      </c>
      <c r="D17" s="11" t="str">
        <f>_xlfn.XLOOKUP(Customer[[#This Row],[Customer ID]],[1]!Address[ID],[1]!Address[PIC])</f>
        <v/>
      </c>
      <c r="E17" s="11" t="str">
        <f>_xlfn.XLOOKUP(Customer[[#This Row],[Customer ID]],[1]!Address[ID],[1]!Address[Full Address])</f>
        <v>PS AJILLOT 1303, JALAN KUALA BERANGAJIL, TERENGGANU,21800 HULU TERENGGANU,TERENGGANU</v>
      </c>
      <c r="F17" s="12" t="s">
        <v>151</v>
      </c>
      <c r="G17" s="12" t="s">
        <v>152</v>
      </c>
      <c r="H17" s="12" t="s">
        <v>153</v>
      </c>
      <c r="I17" s="12" t="b">
        <f>ISNUMBER(VALUE(LEFT(Customer[[#This Row],[Address Line 3 (30 char)]],1)))</f>
        <v>0</v>
      </c>
      <c r="J17" s="12" t="s">
        <v>154</v>
      </c>
      <c r="K17" s="12">
        <v>21800</v>
      </c>
      <c r="L17" s="12" t="s">
        <v>35</v>
      </c>
      <c r="M17" s="13">
        <v>199103005842</v>
      </c>
      <c r="N17" s="14" t="s">
        <v>155</v>
      </c>
      <c r="O17" s="14" t="s">
        <v>156</v>
      </c>
      <c r="P17" s="14">
        <v>47300</v>
      </c>
      <c r="Q17" s="21" t="s">
        <v>157</v>
      </c>
      <c r="R17" s="15" t="s">
        <v>158</v>
      </c>
      <c r="S17" s="15" t="s">
        <v>37</v>
      </c>
      <c r="T17" s="16" t="s">
        <v>38</v>
      </c>
      <c r="U17" s="11" t="str">
        <f>_xlfn.XLOOKUP(Customer[[#This Row],[Customer ID]],[1]!Address[ID],[1]!Address[Phone No.(2)])</f>
        <v/>
      </c>
      <c r="V17" s="11" t="str">
        <f>_xlfn.XLOOKUP(Customer[[#This Row],[Customer ID]],[1]!Address[ID],[1]!Address[Type])</f>
        <v>PETROMART</v>
      </c>
      <c r="W17" s="11" t="str">
        <f>_xlfn.XLOOKUP(Customer[[#This Row],[Customer ID]],[1]!Address[ID],[1]!Address[CT])</f>
        <v>30 DAYS</v>
      </c>
      <c r="X17" s="11" t="s">
        <v>39</v>
      </c>
      <c r="Y17" s="17" t="s">
        <v>40</v>
      </c>
      <c r="Z17" s="17" t="e">
        <f>_xlfn.XLOOKUP(Customer[[#This Row],[NewType]],$AF$36:$AF$54,$AG$36:$AG$54)</f>
        <v>#N/A</v>
      </c>
      <c r="AA17" s="17" t="s">
        <v>159</v>
      </c>
      <c r="AB17" s="11" t="str">
        <f>_xlfn.XLOOKUP(Customer[[#This Row],[Customer ID]],[1]!Address[ID],[1]!Address[Subtype])</f>
        <v>PETRONAS</v>
      </c>
      <c r="AC17" s="18" t="str">
        <f>_xlfn.XLOOKUP(Customer[[#This Row],[Customer ID]],[1]!Address[ID],[1]!Address[Zone])</f>
        <v>EAST COAST</v>
      </c>
    </row>
    <row r="18" spans="1:29" x14ac:dyDescent="0.3">
      <c r="A18" s="10" t="s">
        <v>160</v>
      </c>
      <c r="B18" s="11" t="str">
        <f>_xlfn.XLOOKUP(Customer[[#This Row],[Customer ID]],[1]!Name[ID],[1]!Name[Description(1)])</f>
        <v>STESEN SERVIS SRI DAMAI</v>
      </c>
      <c r="C18" s="11" t="str">
        <f>_xlfn.XLOOKUP(Customer[[#This Row],[Customer ID]],[1]!Name[ID],[1]!Name[Description(2)])</f>
        <v>PS ALAM DAMAI</v>
      </c>
      <c r="D18" s="11" t="str">
        <f>_xlfn.XLOOKUP(Customer[[#This Row],[Customer ID]],[1]!Address[ID],[1]!Address[PIC])</f>
        <v>Rohani Binti Ch</v>
      </c>
      <c r="E18" s="11" t="str">
        <f>_xlfn.XLOOKUP(Customer[[#This Row],[Customer ID]],[1]!Address[ID],[1]!Address[Full Address])</f>
        <v>PS ALAM DAMAILOT 899 (SPPR SUNGAI MIDAH),MUKIM CHERAS, KUALA LUMPUR,56000 ULU LANGAT,WILAYAH PERSEKUTUAN</v>
      </c>
      <c r="F18" s="12" t="s">
        <v>161</v>
      </c>
      <c r="G18" s="12" t="s">
        <v>162</v>
      </c>
      <c r="H18" s="22" t="s">
        <v>163</v>
      </c>
      <c r="I18" s="12" t="b">
        <f>ISNUMBER(VALUE(LEFT(Customer[[#This Row],[Address Line 3 (30 char)]],1)))</f>
        <v>0</v>
      </c>
      <c r="J18" s="22" t="s">
        <v>34</v>
      </c>
      <c r="K18" s="12">
        <v>56000</v>
      </c>
      <c r="L18" s="12" t="s">
        <v>35</v>
      </c>
      <c r="M18" s="13">
        <v>200203073423</v>
      </c>
      <c r="N18" s="14" t="s">
        <v>164</v>
      </c>
      <c r="O18" s="14" t="s">
        <v>54</v>
      </c>
      <c r="P18" s="14">
        <v>47300</v>
      </c>
      <c r="Q18" s="21" t="s">
        <v>165</v>
      </c>
      <c r="R18" s="15" t="s">
        <v>166</v>
      </c>
      <c r="S18" s="15" t="s">
        <v>37</v>
      </c>
      <c r="T18" s="16" t="s">
        <v>38</v>
      </c>
      <c r="U18" s="11" t="str">
        <f>_xlfn.XLOOKUP(Customer[[#This Row],[Customer ID]],[1]!Address[ID],[1]!Address[Phone No.(2)])</f>
        <v/>
      </c>
      <c r="V18" s="11" t="str">
        <f>_xlfn.XLOOKUP(Customer[[#This Row],[Customer ID]],[1]!Address[ID],[1]!Address[Type])</f>
        <v>PETROMART</v>
      </c>
      <c r="W18" s="11" t="str">
        <f>_xlfn.XLOOKUP(Customer[[#This Row],[Customer ID]],[1]!Address[ID],[1]!Address[CT])</f>
        <v>30 DAYS</v>
      </c>
      <c r="X18" s="11" t="s">
        <v>39</v>
      </c>
      <c r="Y18" s="17" t="s">
        <v>40</v>
      </c>
      <c r="Z18" s="17" t="e">
        <f>_xlfn.XLOOKUP(Customer[[#This Row],[NewType]],$AF$36:$AF$54,$AG$36:$AG$54)</f>
        <v>#N/A</v>
      </c>
      <c r="AA18" s="17" t="s">
        <v>167</v>
      </c>
      <c r="AB18" s="11" t="str">
        <f>_xlfn.XLOOKUP(Customer[[#This Row],[Customer ID]],[1]!Address[ID],[1]!Address[Subtype])</f>
        <v>PETRONAS</v>
      </c>
      <c r="AC18" s="18" t="str">
        <f>_xlfn.XLOOKUP(Customer[[#This Row],[Customer ID]],[1]!Address[ID],[1]!Address[Zone])</f>
        <v>CENTRAL</v>
      </c>
    </row>
    <row r="19" spans="1:29" x14ac:dyDescent="0.3">
      <c r="A19" s="10" t="s">
        <v>168</v>
      </c>
      <c r="B19" s="11" t="str">
        <f>_xlfn.XLOOKUP(Customer[[#This Row],[Customer ID]],[1]!Name[ID],[1]!Name[Description(1)])</f>
        <v>KOPERASI K/TANGAN PETRONAS BHD(KOPETRO)</v>
      </c>
      <c r="C19" s="11" t="str">
        <f>_xlfn.XLOOKUP(Customer[[#This Row],[Customer ID]],[1]!Name[ID],[1]!Name[Description(2)])</f>
        <v>PS ALAM SUTERA</v>
      </c>
      <c r="D19" s="11" t="str">
        <f>_xlfn.XLOOKUP(Customer[[#This Row],[Customer ID]],[1]!Address[ID],[1]!Address[PIC])</f>
        <v/>
      </c>
      <c r="E19" s="11" t="str">
        <f>_xlfn.XLOOKUP(Customer[[#This Row],[Customer ID]],[1]!Address[ID],[1]!Address[Full Address])</f>
        <v>PS ALAM SUTERALOT PT 4550,LEBUHRAYA BUKIT JALIL,BANDAR KINRARA, PUCHONG,47100 PETALING,SELANGOR</v>
      </c>
      <c r="F19" s="12" t="s">
        <v>169</v>
      </c>
      <c r="G19" s="12" t="s">
        <v>170</v>
      </c>
      <c r="H19" s="12" t="s">
        <v>171</v>
      </c>
      <c r="I19" s="12" t="b">
        <f>ISNUMBER(VALUE(LEFT(Customer[[#This Row],[Address Line 3 (30 char)]],1)))</f>
        <v>0</v>
      </c>
      <c r="J19" s="12" t="s">
        <v>172</v>
      </c>
      <c r="K19" s="12">
        <v>47100</v>
      </c>
      <c r="L19" s="12" t="s">
        <v>35</v>
      </c>
      <c r="M19" s="13" t="e">
        <v>#N/A</v>
      </c>
      <c r="N19" s="14" t="e">
        <v>#N/A</v>
      </c>
      <c r="O19" s="14" t="e">
        <v>#N/A</v>
      </c>
      <c r="P19" s="14" t="e">
        <v>#N/A</v>
      </c>
      <c r="Q19" s="21" t="s">
        <v>173</v>
      </c>
      <c r="R19" s="15" t="s">
        <v>174</v>
      </c>
      <c r="S19" s="15" t="s">
        <v>37</v>
      </c>
      <c r="T19" s="16" t="s">
        <v>38</v>
      </c>
      <c r="U19" s="11" t="str">
        <f>_xlfn.XLOOKUP(Customer[[#This Row],[Customer ID]],[1]!Address[ID],[1]!Address[Phone No.(2)])</f>
        <v/>
      </c>
      <c r="V19" s="11" t="str">
        <f>_xlfn.XLOOKUP(Customer[[#This Row],[Customer ID]],[1]!Address[ID],[1]!Address[Type])</f>
        <v>PETROMART</v>
      </c>
      <c r="W19" s="11" t="str">
        <f>_xlfn.XLOOKUP(Customer[[#This Row],[Customer ID]],[1]!Address[ID],[1]!Address[CT])</f>
        <v>30 DAYS</v>
      </c>
      <c r="X19" s="11" t="s">
        <v>39</v>
      </c>
      <c r="Y19" s="17" t="s">
        <v>40</v>
      </c>
      <c r="Z19" s="17" t="e">
        <f>_xlfn.XLOOKUP(Customer[[#This Row],[NewType]],$AF$36:$AF$54,$AG$36:$AG$54)</f>
        <v>#N/A</v>
      </c>
      <c r="AA19" s="17" t="s">
        <v>175</v>
      </c>
      <c r="AB19" s="11" t="str">
        <f>_xlfn.XLOOKUP(Customer[[#This Row],[Customer ID]],[1]!Address[ID],[1]!Address[Subtype])</f>
        <v>PETRONAS</v>
      </c>
      <c r="AC19" s="18" t="str">
        <f>_xlfn.XLOOKUP(Customer[[#This Row],[Customer ID]],[1]!Address[ID],[1]!Address[Zone])</f>
        <v>CENTRAL</v>
      </c>
    </row>
    <row r="20" spans="1:29" x14ac:dyDescent="0.3">
      <c r="A20" s="10" t="s">
        <v>176</v>
      </c>
      <c r="B20" s="11" t="str">
        <f>_xlfn.XLOOKUP(Customer[[#This Row],[Customer ID]],[1]!Name[ID],[1]!Name[Description(1)])</f>
        <v>BUKIT TENGAH SERVICE STATION SDN BHD</v>
      </c>
      <c r="C20" s="11" t="str">
        <f>_xlfn.XLOOKUP(Customer[[#This Row],[Customer ID]],[1]!Name[ID],[1]!Name[Description(2)])</f>
        <v>MM BUKIT TENGAH</v>
      </c>
      <c r="D20" s="11" t="str">
        <f>_xlfn.XLOOKUP(Customer[[#This Row],[Customer ID]],[1]!Address[ID],[1]!Address[PIC])</f>
        <v/>
      </c>
      <c r="E20" s="11" t="str">
        <f>_xlfn.XLOOKUP(Customer[[#This Row],[Customer ID]],[1]!Address[ID],[1]!Address[Full Address])</f>
        <v>MM BUKIT TENGAH1502, MAIN ROAD, BUKIT TENGAH,14000 BUKIT MERTAJAM,PULAU PINANG</v>
      </c>
      <c r="F20" s="12" t="s">
        <v>177</v>
      </c>
      <c r="G20" s="23">
        <v>1502</v>
      </c>
      <c r="H20" s="24" t="s">
        <v>178</v>
      </c>
      <c r="I20" s="24" t="b">
        <f>ISNUMBER(VALUE(LEFT(Customer[[#This Row],[Address Line 3 (30 char)]],1)))</f>
        <v>0</v>
      </c>
      <c r="J20" s="12" t="s">
        <v>179</v>
      </c>
      <c r="K20" s="12">
        <v>14000</v>
      </c>
      <c r="L20" s="12" t="s">
        <v>35</v>
      </c>
      <c r="M20" s="13" t="e">
        <v>#N/A</v>
      </c>
      <c r="N20" s="14" t="e">
        <v>#N/A</v>
      </c>
      <c r="O20" s="14" t="e">
        <v>#N/A</v>
      </c>
      <c r="P20" s="14" t="e">
        <v>#N/A</v>
      </c>
      <c r="Q20" s="21" t="s">
        <v>180</v>
      </c>
      <c r="R20" s="15" t="s">
        <v>181</v>
      </c>
      <c r="S20" s="15" t="s">
        <v>74</v>
      </c>
      <c r="T20" s="16" t="s">
        <v>38</v>
      </c>
      <c r="U20" s="11" t="str">
        <f>_xlfn.XLOOKUP(Customer[[#This Row],[Customer ID]],[1]!Address[ID],[1]!Address[Phone No.(2)])</f>
        <v/>
      </c>
      <c r="V20" s="11" t="str">
        <f>_xlfn.XLOOKUP(Customer[[#This Row],[Customer ID]],[1]!Address[ID],[1]!Address[Type])</f>
        <v>PETROMART</v>
      </c>
      <c r="W20" s="11" t="str">
        <f>_xlfn.XLOOKUP(Customer[[#This Row],[Customer ID]],[1]!Address[ID],[1]!Address[CT])</f>
        <v>30 DAYS</v>
      </c>
      <c r="X20" s="11" t="s">
        <v>39</v>
      </c>
      <c r="Y20" s="17" t="s">
        <v>40</v>
      </c>
      <c r="Z20" s="17" t="e">
        <f>_xlfn.XLOOKUP(Customer[[#This Row],[NewType]],$AF$36:$AF$54,$AG$36:$AG$54)</f>
        <v>#N/A</v>
      </c>
      <c r="AA20" s="17" t="s">
        <v>182</v>
      </c>
      <c r="AB20" s="11" t="str">
        <f>_xlfn.XLOOKUP(Customer[[#This Row],[Customer ID]],[1]!Address[ID],[1]!Address[Subtype])</f>
        <v>PETRONAS</v>
      </c>
      <c r="AC20" s="18" t="str">
        <f>_xlfn.XLOOKUP(Customer[[#This Row],[Customer ID]],[1]!Address[ID],[1]!Address[Zone])</f>
        <v>NORTH</v>
      </c>
    </row>
    <row r="21" spans="1:29" x14ac:dyDescent="0.3">
      <c r="A21" s="10" t="s">
        <v>183</v>
      </c>
      <c r="B21" s="11" t="str">
        <f>_xlfn.XLOOKUP(Customer[[#This Row],[Customer ID]],[1]!Name[ID],[1]!Name[Description(1)])</f>
        <v>MODERN INVENTION SDN BHD</v>
      </c>
      <c r="C21" s="11" t="str">
        <f>_xlfn.XLOOKUP(Customer[[#This Row],[Customer ID]],[1]!Name[ID],[1]!Name[Description(2)])</f>
        <v>PS ALOR MERAH</v>
      </c>
      <c r="D21" s="11" t="str">
        <f>_xlfn.XLOOKUP(Customer[[#This Row],[Customer ID]],[1]!Address[ID],[1]!Address[PIC])</f>
        <v/>
      </c>
      <c r="E21" s="11" t="str">
        <f>_xlfn.XLOOKUP(Customer[[#This Row],[Customer ID]],[1]!Address[ID],[1]!Address[Full Address])</f>
        <v>PS ALOR MERAHLOT 1537 MUKIM ALOR MERAH,ALOR SETAR, KEDAH,05250, KOTA SETAR,  KEDAH</v>
      </c>
      <c r="F21" s="12" t="s">
        <v>184</v>
      </c>
      <c r="G21" s="12" t="s">
        <v>185</v>
      </c>
      <c r="H21" s="12" t="s">
        <v>186</v>
      </c>
      <c r="I21" s="12" t="b">
        <f>ISNUMBER(VALUE(LEFT(Customer[[#This Row],[Address Line 3 (30 char)]],1)))</f>
        <v>0</v>
      </c>
      <c r="J21" s="12" t="s">
        <v>79</v>
      </c>
      <c r="K21" s="20" t="s">
        <v>187</v>
      </c>
      <c r="L21" s="12" t="s">
        <v>35</v>
      </c>
      <c r="M21" s="13" t="e">
        <v>#N/A</v>
      </c>
      <c r="N21" s="14" t="e">
        <v>#N/A</v>
      </c>
      <c r="O21" s="14" t="e">
        <v>#N/A</v>
      </c>
      <c r="P21" s="14" t="e">
        <v>#N/A</v>
      </c>
      <c r="Q21" s="21" t="s">
        <v>188</v>
      </c>
      <c r="R21" s="15" t="s">
        <v>189</v>
      </c>
      <c r="S21" s="15" t="s">
        <v>74</v>
      </c>
      <c r="T21" s="16" t="s">
        <v>38</v>
      </c>
      <c r="U21" s="11" t="str">
        <f>_xlfn.XLOOKUP(Customer[[#This Row],[Customer ID]],[1]!Address[ID],[1]!Address[Phone No.(2)])</f>
        <v/>
      </c>
      <c r="V21" s="11" t="str">
        <f>_xlfn.XLOOKUP(Customer[[#This Row],[Customer ID]],[1]!Address[ID],[1]!Address[Type])</f>
        <v>PETROMART</v>
      </c>
      <c r="W21" s="11" t="str">
        <f>_xlfn.XLOOKUP(Customer[[#This Row],[Customer ID]],[1]!Address[ID],[1]!Address[CT])</f>
        <v>30 DAYS</v>
      </c>
      <c r="X21" s="11" t="s">
        <v>39</v>
      </c>
      <c r="Y21" s="17" t="s">
        <v>40</v>
      </c>
      <c r="Z21" s="17" t="e">
        <f>_xlfn.XLOOKUP(Customer[[#This Row],[NewType]],$AF$36:$AF$54,$AG$36:$AG$54)</f>
        <v>#N/A</v>
      </c>
      <c r="AA21" s="17" t="s">
        <v>190</v>
      </c>
      <c r="AB21" s="11" t="str">
        <f>_xlfn.XLOOKUP(Customer[[#This Row],[Customer ID]],[1]!Address[ID],[1]!Address[Subtype])</f>
        <v>PETRONAS</v>
      </c>
      <c r="AC21" s="18" t="str">
        <f>_xlfn.XLOOKUP(Customer[[#This Row],[Customer ID]],[1]!Address[ID],[1]!Address[Zone])</f>
        <v>NORTH</v>
      </c>
    </row>
    <row r="22" spans="1:29" x14ac:dyDescent="0.3">
      <c r="A22" s="10" t="s">
        <v>191</v>
      </c>
      <c r="B22" s="11" t="str">
        <f>_xlfn.XLOOKUP(Customer[[#This Row],[Customer ID]],[1]!Name[ID],[1]!Name[Description(1)])</f>
        <v>PERMAI NURKASIH SDN BHD</v>
      </c>
      <c r="C22" s="11" t="str">
        <f>_xlfn.XLOOKUP(Customer[[#This Row],[Customer ID]],[1]!Name[ID],[1]!Name[Description(2)])</f>
        <v>PS AMPANG PERMAI</v>
      </c>
      <c r="D22" s="11" t="str">
        <f>_xlfn.XLOOKUP(Customer[[#This Row],[Customer ID]],[1]!Address[ID],[1]!Address[PIC])</f>
        <v/>
      </c>
      <c r="E22" s="11" t="str">
        <f>_xlfn.XLOOKUP(Customer[[#This Row],[Customer ID]],[1]!Address[ID],[1]!Address[Full Address])</f>
        <v>PS AMPANG PERMAILOT PT 32710, HSM 32875,TAMAN PERMAI JAYA,68000 AMPANG,  SELANGOR</v>
      </c>
      <c r="F22" s="12" t="s">
        <v>192</v>
      </c>
      <c r="G22" s="12" t="s">
        <v>193</v>
      </c>
      <c r="H22" s="12" t="s">
        <v>194</v>
      </c>
      <c r="I22" s="12" t="b">
        <f>ISNUMBER(VALUE(LEFT(Customer[[#This Row],[Address Line 3 (30 char)]],1)))</f>
        <v>0</v>
      </c>
      <c r="J22" s="12" t="s">
        <v>172</v>
      </c>
      <c r="K22" s="12">
        <v>68000</v>
      </c>
      <c r="L22" s="12" t="s">
        <v>35</v>
      </c>
      <c r="M22" s="13">
        <v>202001024663</v>
      </c>
      <c r="N22" s="14" t="s">
        <v>195</v>
      </c>
      <c r="O22" s="14" t="e">
        <v>#N/A</v>
      </c>
      <c r="P22" s="14" t="e">
        <v>#N/A</v>
      </c>
      <c r="Q22" s="21" t="s">
        <v>196</v>
      </c>
      <c r="R22" s="15" t="s">
        <v>197</v>
      </c>
      <c r="S22" s="15" t="s">
        <v>37</v>
      </c>
      <c r="T22" s="16" t="s">
        <v>38</v>
      </c>
      <c r="U22" s="11" t="str">
        <f>_xlfn.XLOOKUP(Customer[[#This Row],[Customer ID]],[1]!Address[ID],[1]!Address[Phone No.(2)])</f>
        <v/>
      </c>
      <c r="V22" s="11" t="str">
        <f>_xlfn.XLOOKUP(Customer[[#This Row],[Customer ID]],[1]!Address[ID],[1]!Address[Type])</f>
        <v>PETROMART</v>
      </c>
      <c r="W22" s="11" t="str">
        <f>_xlfn.XLOOKUP(Customer[[#This Row],[Customer ID]],[1]!Address[ID],[1]!Address[CT])</f>
        <v>30 DAYS</v>
      </c>
      <c r="X22" s="11" t="s">
        <v>39</v>
      </c>
      <c r="Y22" s="17" t="s">
        <v>40</v>
      </c>
      <c r="Z22" s="17" t="e">
        <f>_xlfn.XLOOKUP(Customer[[#This Row],[NewType]],$AF$36:$AF$54,$AG$36:$AG$54)</f>
        <v>#N/A</v>
      </c>
      <c r="AA22" s="17" t="s">
        <v>198</v>
      </c>
      <c r="AB22" s="11" t="str">
        <f>_xlfn.XLOOKUP(Customer[[#This Row],[Customer ID]],[1]!Address[ID],[1]!Address[Subtype])</f>
        <v>PETRONAS</v>
      </c>
      <c r="AC22" s="18" t="str">
        <f>_xlfn.XLOOKUP(Customer[[#This Row],[Customer ID]],[1]!Address[ID],[1]!Address[Zone])</f>
        <v>CENTRAL</v>
      </c>
    </row>
    <row r="23" spans="1:29" x14ac:dyDescent="0.3">
      <c r="A23" s="10" t="s">
        <v>199</v>
      </c>
      <c r="B23" s="11" t="str">
        <f>_xlfn.XLOOKUP(Customer[[#This Row],[Customer ID]],[1]!Name[ID],[1]!Name[Description(1)])</f>
        <v>ESKAY TRADING SDN BHD</v>
      </c>
      <c r="C23" s="11" t="str">
        <f>_xlfn.XLOOKUP(Customer[[#This Row],[Customer ID]],[1]!Name[ID],[1]!Name[Description(2)])</f>
        <v>PS AMPANGAN 2</v>
      </c>
      <c r="D23" s="11" t="str">
        <f>_xlfn.XLOOKUP(Customer[[#This Row],[Customer ID]],[1]!Address[ID],[1]!Address[PIC])</f>
        <v>PUAN SURAYA BT</v>
      </c>
      <c r="E23" s="11" t="str">
        <f>_xlfn.XLOOKUP(Customer[[#This Row],[Customer ID]],[1]!Address[ID],[1]!Address[Full Address])</f>
        <v>PS AMPANGAN 2LOT 726 &amp; 727 MUKIM AMPANGAN,JALAN SEREMBAN KUALA PILAH (KUALA PILAHSEREMBAN 70400 NEGERI SEMBILAN</v>
      </c>
      <c r="F23" s="12" t="s">
        <v>200</v>
      </c>
      <c r="G23" s="12" t="s">
        <v>201</v>
      </c>
      <c r="H23" s="12" t="s">
        <v>202</v>
      </c>
      <c r="I23" s="12" t="b">
        <f>ISNUMBER(VALUE(LEFT(Customer[[#This Row],[Address Line 3 (30 char)]],1)))</f>
        <v>0</v>
      </c>
      <c r="J23" s="12" t="s">
        <v>203</v>
      </c>
      <c r="K23" s="12">
        <v>70400</v>
      </c>
      <c r="L23" s="12" t="s">
        <v>35</v>
      </c>
      <c r="M23" s="13">
        <v>202401035288</v>
      </c>
      <c r="N23" s="14" t="s">
        <v>204</v>
      </c>
      <c r="O23" s="14" t="s">
        <v>54</v>
      </c>
      <c r="P23" s="14" t="s">
        <v>205</v>
      </c>
      <c r="Q23" s="21" t="s">
        <v>206</v>
      </c>
      <c r="R23" s="15" t="s">
        <v>207</v>
      </c>
      <c r="S23" s="15" t="s">
        <v>37</v>
      </c>
      <c r="T23" s="16" t="s">
        <v>38</v>
      </c>
      <c r="U23" s="11" t="str">
        <f>_xlfn.XLOOKUP(Customer[[#This Row],[Customer ID]],[1]!Address[ID],[1]!Address[Phone No.(2)])</f>
        <v/>
      </c>
      <c r="V23" s="11" t="str">
        <f>_xlfn.XLOOKUP(Customer[[#This Row],[Customer ID]],[1]!Address[ID],[1]!Address[Type])</f>
        <v>PETROMART</v>
      </c>
      <c r="W23" s="11" t="str">
        <f>_xlfn.XLOOKUP(Customer[[#This Row],[Customer ID]],[1]!Address[ID],[1]!Address[CT])</f>
        <v>30 DAYS</v>
      </c>
      <c r="X23" s="11" t="s">
        <v>39</v>
      </c>
      <c r="Y23" s="17" t="s">
        <v>40</v>
      </c>
      <c r="Z23" s="17" t="e">
        <f>_xlfn.XLOOKUP(Customer[[#This Row],[NewType]],$AF$36:$AF$54,$AG$36:$AG$54)</f>
        <v>#N/A</v>
      </c>
      <c r="AA23" s="17" t="s">
        <v>208</v>
      </c>
      <c r="AB23" s="11" t="str">
        <f>_xlfn.XLOOKUP(Customer[[#This Row],[Customer ID]],[1]!Address[ID],[1]!Address[Subtype])</f>
        <v>PETRONAS</v>
      </c>
      <c r="AC23" s="18" t="str">
        <f>_xlfn.XLOOKUP(Customer[[#This Row],[Customer ID]],[1]!Address[ID],[1]!Address[Zone])</f>
        <v>CENTRAL</v>
      </c>
    </row>
    <row r="24" spans="1:29" x14ac:dyDescent="0.3">
      <c r="A24" s="10" t="s">
        <v>209</v>
      </c>
      <c r="B24" s="11" t="str">
        <f>_xlfn.XLOOKUP(Customer[[#This Row],[Customer ID]],[1]!Name[ID],[1]!Name[Description(1)])</f>
        <v>KFS PETROMART</v>
      </c>
      <c r="C24" s="11" t="str">
        <f>_xlfn.XLOOKUP(Customer[[#This Row],[Customer ID]],[1]!Name[ID],[1]!Name[Description(2)])</f>
        <v>PS ARA DAMANSARA</v>
      </c>
      <c r="D24" s="11" t="str">
        <f>_xlfn.XLOOKUP(Customer[[#This Row],[Customer ID]],[1]!Address[ID],[1]!Address[PIC])</f>
        <v/>
      </c>
      <c r="E24" s="11" t="str">
        <f>_xlfn.XLOOKUP(Customer[[#This Row],[Customer ID]],[1]!Address[ID],[1]!Address[Full Address])</f>
        <v>PS ARA DAMANSARALOT 1423, MUKIM DAMANSARA,JLN PJU 1A/20 ARA DAMANSARA47301 PETALING,  SELANGOR</v>
      </c>
      <c r="F24" s="12" t="s">
        <v>210</v>
      </c>
      <c r="G24" s="12" t="s">
        <v>211</v>
      </c>
      <c r="H24" s="12" t="s">
        <v>212</v>
      </c>
      <c r="I24" s="12" t="b">
        <f>ISNUMBER(VALUE(LEFT(Customer[[#This Row],[Address Line 3 (30 char)]],1)))</f>
        <v>0</v>
      </c>
      <c r="J24" s="12" t="s">
        <v>172</v>
      </c>
      <c r="K24" s="12">
        <v>47301</v>
      </c>
      <c r="L24" s="12" t="s">
        <v>35</v>
      </c>
      <c r="M24" s="13" t="e">
        <v>#N/A</v>
      </c>
      <c r="N24" s="14" t="e">
        <v>#N/A</v>
      </c>
      <c r="O24" s="14" t="e">
        <v>#N/A</v>
      </c>
      <c r="P24" s="14" t="e">
        <v>#N/A</v>
      </c>
      <c r="Q24" s="21" t="s">
        <v>213</v>
      </c>
      <c r="R24" s="15" t="s">
        <v>214</v>
      </c>
      <c r="S24" s="15" t="s">
        <v>37</v>
      </c>
      <c r="T24" s="16" t="s">
        <v>38</v>
      </c>
      <c r="U24" s="11" t="str">
        <f>_xlfn.XLOOKUP(Customer[[#This Row],[Customer ID]],[1]!Address[ID],[1]!Address[Phone No.(2)])</f>
        <v/>
      </c>
      <c r="V24" s="11" t="str">
        <f>_xlfn.XLOOKUP(Customer[[#This Row],[Customer ID]],[1]!Address[ID],[1]!Address[Type])</f>
        <v>PETROMART</v>
      </c>
      <c r="W24" s="11" t="str">
        <f>_xlfn.XLOOKUP(Customer[[#This Row],[Customer ID]],[1]!Address[ID],[1]!Address[CT])</f>
        <v>30 DAYS</v>
      </c>
      <c r="X24" s="11" t="s">
        <v>39</v>
      </c>
      <c r="Y24" s="17" t="s">
        <v>40</v>
      </c>
      <c r="Z24" s="17" t="e">
        <f>_xlfn.XLOOKUP(Customer[[#This Row],[NewType]],$AF$36:$AF$54,$AG$36:$AG$54)</f>
        <v>#N/A</v>
      </c>
      <c r="AA24" s="17" t="s">
        <v>215</v>
      </c>
      <c r="AB24" s="11" t="str">
        <f>_xlfn.XLOOKUP(Customer[[#This Row],[Customer ID]],[1]!Address[ID],[1]!Address[Subtype])</f>
        <v>PETRONAS</v>
      </c>
      <c r="AC24" s="18" t="str">
        <f>_xlfn.XLOOKUP(Customer[[#This Row],[Customer ID]],[1]!Address[ID],[1]!Address[Zone])</f>
        <v>CENTRAL</v>
      </c>
    </row>
    <row r="25" spans="1:29" x14ac:dyDescent="0.3">
      <c r="A25" s="10" t="s">
        <v>216</v>
      </c>
      <c r="B25" s="11" t="str">
        <f>_xlfn.XLOOKUP(Customer[[#This Row],[Customer ID]],[1]!Name[ID],[1]!Name[Description(1)])</f>
        <v>WAWASAN PERDU SDN BHD</v>
      </c>
      <c r="C25" s="11" t="str">
        <f>_xlfn.XLOOKUP(Customer[[#This Row],[Customer ID]],[1]!Name[ID],[1]!Name[Description(2)])</f>
        <v>PS AMPAR TENANG</v>
      </c>
      <c r="D25" s="11" t="str">
        <f>_xlfn.XLOOKUP(Customer[[#This Row],[Customer ID]],[1]!Address[ID],[1]!Address[PIC])</f>
        <v/>
      </c>
      <c r="E25" s="11" t="str">
        <f>_xlfn.XLOOKUP(Customer[[#This Row],[Customer ID]],[1]!Address[ID],[1]!Address[Full Address])</f>
        <v>PS AMPAR TENANGLOT 36400, JALAN PINTASAN DENGKIL -PUTRAJAYA (FT29) ARAH UTARA,43800 DENGKIL,  SELANGOR</v>
      </c>
      <c r="F25" s="12" t="s">
        <v>217</v>
      </c>
      <c r="G25" s="12" t="s">
        <v>218</v>
      </c>
      <c r="H25" s="12" t="s">
        <v>219</v>
      </c>
      <c r="I25" s="12" t="b">
        <f>ISNUMBER(VALUE(LEFT(Customer[[#This Row],[Address Line 3 (30 char)]],1)))</f>
        <v>0</v>
      </c>
      <c r="J25" s="12" t="s">
        <v>172</v>
      </c>
      <c r="K25" s="12">
        <v>43800</v>
      </c>
      <c r="L25" s="12" t="s">
        <v>35</v>
      </c>
      <c r="M25" s="13">
        <v>201401048124</v>
      </c>
      <c r="N25" s="14" t="s">
        <v>220</v>
      </c>
      <c r="O25" s="14" t="s">
        <v>54</v>
      </c>
      <c r="P25" s="14">
        <v>47300</v>
      </c>
      <c r="Q25" s="21" t="s">
        <v>221</v>
      </c>
      <c r="R25" s="15" t="s">
        <v>222</v>
      </c>
      <c r="S25" s="15" t="s">
        <v>65</v>
      </c>
      <c r="T25" s="16" t="s">
        <v>38</v>
      </c>
      <c r="U25" s="11" t="str">
        <f>_xlfn.XLOOKUP(Customer[[#This Row],[Customer ID]],[1]!Address[ID],[1]!Address[Phone No.(2)])</f>
        <v>123939767</v>
      </c>
      <c r="V25" s="11" t="str">
        <f>_xlfn.XLOOKUP(Customer[[#This Row],[Customer ID]],[1]!Address[ID],[1]!Address[Type])</f>
        <v>PETROMART</v>
      </c>
      <c r="W25" s="11" t="str">
        <f>_xlfn.XLOOKUP(Customer[[#This Row],[Customer ID]],[1]!Address[ID],[1]!Address[CT])</f>
        <v>30 DAYS</v>
      </c>
      <c r="X25" s="11" t="s">
        <v>39</v>
      </c>
      <c r="Y25" s="17" t="s">
        <v>40</v>
      </c>
      <c r="Z25" s="17" t="e">
        <f>_xlfn.XLOOKUP(Customer[[#This Row],[NewType]],$AF$36:$AF$54,$AG$36:$AG$54)</f>
        <v>#N/A</v>
      </c>
      <c r="AA25" s="17" t="s">
        <v>223</v>
      </c>
      <c r="AB25" s="11" t="str">
        <f>_xlfn.XLOOKUP(Customer[[#This Row],[Customer ID]],[1]!Address[ID],[1]!Address[Subtype])</f>
        <v>PETRONAS</v>
      </c>
      <c r="AC25" s="18" t="str">
        <f>_xlfn.XLOOKUP(Customer[[#This Row],[Customer ID]],[1]!Address[ID],[1]!Address[Zone])</f>
        <v>CENTRAL</v>
      </c>
    </row>
    <row r="26" spans="1:29" x14ac:dyDescent="0.3">
      <c r="A26" s="10" t="s">
        <v>224</v>
      </c>
      <c r="B26" s="11" t="str">
        <f>_xlfn.XLOOKUP(Customer[[#This Row],[Customer ID]],[1]!Name[ID],[1]!Name[Description(1)])</f>
        <v>KOPERASI K/T PETRONAS BHD</v>
      </c>
      <c r="C26" s="11" t="str">
        <f>_xlfn.XLOOKUP(Customer[[#This Row],[Customer ID]],[1]!Name[ID],[1]!Name[Description(2)])</f>
        <v>PS AU 2, TAMAN KERAMAT</v>
      </c>
      <c r="D26" s="11" t="str">
        <f>_xlfn.XLOOKUP(Customer[[#This Row],[Customer ID]],[1]!Address[ID],[1]!Address[PIC])</f>
        <v/>
      </c>
      <c r="E26" s="11" t="str">
        <f>_xlfn.XLOOKUP(Customer[[#This Row],[Customer ID]],[1]!Address[ID],[1]!Address[Full Address])</f>
        <v>PS AU 2, TAMAN KERAMATLOT 2, JALAN AU 2A/16,TAMAN KERAMAT,54200 ULU LANGAT,SELANGOR</v>
      </c>
      <c r="F26" s="12" t="s">
        <v>225</v>
      </c>
      <c r="G26" s="12" t="s">
        <v>226</v>
      </c>
      <c r="H26" s="12" t="s">
        <v>227</v>
      </c>
      <c r="I26" s="12" t="b">
        <f>ISNUMBER(VALUE(LEFT(Customer[[#This Row],[Address Line 3 (30 char)]],1)))</f>
        <v>0</v>
      </c>
      <c r="J26" s="12" t="s">
        <v>172</v>
      </c>
      <c r="K26" s="12">
        <v>54200</v>
      </c>
      <c r="L26" s="12" t="s">
        <v>35</v>
      </c>
      <c r="M26" s="13" t="e">
        <v>#N/A</v>
      </c>
      <c r="N26" s="14" t="e">
        <v>#N/A</v>
      </c>
      <c r="O26" s="14" t="e">
        <v>#N/A</v>
      </c>
      <c r="P26" s="14" t="e">
        <v>#N/A</v>
      </c>
      <c r="Q26" s="21" t="s">
        <v>228</v>
      </c>
      <c r="R26" s="15" t="s">
        <v>229</v>
      </c>
      <c r="S26" s="15" t="s">
        <v>37</v>
      </c>
      <c r="T26" s="16" t="s">
        <v>38</v>
      </c>
      <c r="U26" s="11" t="str">
        <f>_xlfn.XLOOKUP(Customer[[#This Row],[Customer ID]],[1]!Address[ID],[1]!Address[Phone No.(2)])</f>
        <v/>
      </c>
      <c r="V26" s="11" t="str">
        <f>_xlfn.XLOOKUP(Customer[[#This Row],[Customer ID]],[1]!Address[ID],[1]!Address[Type])</f>
        <v>PETROMART</v>
      </c>
      <c r="W26" s="11" t="str">
        <f>_xlfn.XLOOKUP(Customer[[#This Row],[Customer ID]],[1]!Address[ID],[1]!Address[CT])</f>
        <v>30 DAYS</v>
      </c>
      <c r="X26" s="11" t="s">
        <v>39</v>
      </c>
      <c r="Y26" s="17" t="s">
        <v>40</v>
      </c>
      <c r="Z26" s="17" t="e">
        <f>_xlfn.XLOOKUP(Customer[[#This Row],[NewType]],$AF$36:$AF$54,$AG$36:$AG$54)</f>
        <v>#N/A</v>
      </c>
      <c r="AA26" s="17" t="s">
        <v>230</v>
      </c>
      <c r="AB26" s="11" t="str">
        <f>_xlfn.XLOOKUP(Customer[[#This Row],[Customer ID]],[1]!Address[ID],[1]!Address[Subtype])</f>
        <v>PETRONAS</v>
      </c>
      <c r="AC26" s="18" t="str">
        <f>_xlfn.XLOOKUP(Customer[[#This Row],[Customer ID]],[1]!Address[ID],[1]!Address[Zone])</f>
        <v>CENTRAL</v>
      </c>
    </row>
    <row r="27" spans="1:29" x14ac:dyDescent="0.3">
      <c r="A27" s="10" t="s">
        <v>231</v>
      </c>
      <c r="B27" s="11" t="str">
        <f>_xlfn.XLOOKUP(Customer[[#This Row],[Customer ID]],[1]!Name[ID],[1]!Name[Description(1)])</f>
        <v>MAM PETRO SERVICE</v>
      </c>
      <c r="C27" s="11" t="str">
        <f>_xlfn.XLOOKUP(Customer[[#This Row],[Customer ID]],[1]!Name[ID],[1]!Name[Description(2)])</f>
        <v>PS AU5 LEMBAH KERAMAT</v>
      </c>
      <c r="D27" s="11" t="str">
        <f>_xlfn.XLOOKUP(Customer[[#This Row],[Customer ID]],[1]!Address[ID],[1]!Address[PIC])</f>
        <v>Amin</v>
      </c>
      <c r="E27" s="11" t="str">
        <f>_xlfn.XLOOKUP(Customer[[#This Row],[Customer ID]],[1]!Address[ID],[1]!Address[Full Address])</f>
        <v>PS AU5 LEMBAH KERAMATLOT 10, JALAN AU 5,TAMAN KERAMAT,54200 ULU KELANG, SELANGOR</v>
      </c>
      <c r="F27" s="12" t="s">
        <v>232</v>
      </c>
      <c r="G27" s="12" t="s">
        <v>233</v>
      </c>
      <c r="H27" s="12" t="s">
        <v>227</v>
      </c>
      <c r="I27" s="12" t="b">
        <f>ISNUMBER(VALUE(LEFT(Customer[[#This Row],[Address Line 3 (30 char)]],1)))</f>
        <v>0</v>
      </c>
      <c r="J27" s="12" t="s">
        <v>172</v>
      </c>
      <c r="K27" s="12">
        <v>54200</v>
      </c>
      <c r="L27" s="12" t="s">
        <v>35</v>
      </c>
      <c r="M27" s="13">
        <v>201903140743</v>
      </c>
      <c r="N27" s="14" t="s">
        <v>234</v>
      </c>
      <c r="O27" s="14" t="s">
        <v>54</v>
      </c>
      <c r="P27" s="14">
        <v>47300</v>
      </c>
      <c r="Q27" s="21" t="s">
        <v>235</v>
      </c>
      <c r="R27" s="15" t="s">
        <v>236</v>
      </c>
      <c r="S27" s="15" t="s">
        <v>37</v>
      </c>
      <c r="T27" s="16" t="s">
        <v>38</v>
      </c>
      <c r="U27" s="11" t="str">
        <f>_xlfn.XLOOKUP(Customer[[#This Row],[Customer ID]],[1]!Address[ID],[1]!Address[Phone No.(2)])</f>
        <v/>
      </c>
      <c r="V27" s="11" t="str">
        <f>_xlfn.XLOOKUP(Customer[[#This Row],[Customer ID]],[1]!Address[ID],[1]!Address[Type])</f>
        <v>PETROMART</v>
      </c>
      <c r="W27" s="11" t="str">
        <f>_xlfn.XLOOKUP(Customer[[#This Row],[Customer ID]],[1]!Address[ID],[1]!Address[CT])</f>
        <v>30 DAYS</v>
      </c>
      <c r="X27" s="11" t="s">
        <v>39</v>
      </c>
      <c r="Y27" s="17" t="s">
        <v>40</v>
      </c>
      <c r="Z27" s="17" t="e">
        <f>_xlfn.XLOOKUP(Customer[[#This Row],[NewType]],$AF$36:$AF$54,$AG$36:$AG$54)</f>
        <v>#N/A</v>
      </c>
      <c r="AA27" s="17" t="s">
        <v>237</v>
      </c>
      <c r="AB27" s="11" t="str">
        <f>_xlfn.XLOOKUP(Customer[[#This Row],[Customer ID]],[1]!Address[ID],[1]!Address[Subtype])</f>
        <v>PETRONAS</v>
      </c>
      <c r="AC27" s="18" t="str">
        <f>_xlfn.XLOOKUP(Customer[[#This Row],[Customer ID]],[1]!Address[ID],[1]!Address[Zone])</f>
        <v>CENTRAL</v>
      </c>
    </row>
    <row r="28" spans="1:29" x14ac:dyDescent="0.3">
      <c r="A28" s="10" t="s">
        <v>238</v>
      </c>
      <c r="B28" s="11" t="str">
        <f>_xlfn.XLOOKUP(Customer[[#This Row],[Customer ID]],[1]!Name[ID],[1]!Name[Description(1)])</f>
        <v>STESEN MINYAK JASA TUAH</v>
      </c>
      <c r="C28" s="11" t="str">
        <f>_xlfn.XLOOKUP(Customer[[#This Row],[Customer ID]],[1]!Name[ID],[1]!Name[Description(2)])</f>
        <v>PS AULONG</v>
      </c>
      <c r="D28" s="11" t="str">
        <f>_xlfn.XLOOKUP(Customer[[#This Row],[Customer ID]],[1]!Address[ID],[1]!Address[PIC])</f>
        <v/>
      </c>
      <c r="E28" s="11" t="str">
        <f>_xlfn.XLOOKUP(Customer[[#This Row],[Customer ID]],[1]!Address[ID],[1]!Address[Full Address])</f>
        <v>PS AULONGLOT PT 12616 JALAN IZUDDIN SHAH,MUKIM ASAM KUMBANG, TAIPING,34000, LARUT &amp; MATANG,PERAK</v>
      </c>
      <c r="F28" s="12" t="s">
        <v>239</v>
      </c>
      <c r="G28" s="12" t="s">
        <v>240</v>
      </c>
      <c r="H28" s="12" t="s">
        <v>241</v>
      </c>
      <c r="I28" s="12" t="b">
        <f>ISNUMBER(VALUE(LEFT(Customer[[#This Row],[Address Line 3 (30 char)]],1)))</f>
        <v>0</v>
      </c>
      <c r="J28" s="12" t="s">
        <v>242</v>
      </c>
      <c r="K28" s="12">
        <v>34000</v>
      </c>
      <c r="L28" s="12" t="s">
        <v>35</v>
      </c>
      <c r="M28" s="13">
        <v>200203074617</v>
      </c>
      <c r="N28" s="14" t="s">
        <v>243</v>
      </c>
      <c r="O28" s="14" t="e">
        <v>#N/A</v>
      </c>
      <c r="P28" s="14" t="e">
        <v>#N/A</v>
      </c>
      <c r="Q28" s="21" t="s">
        <v>244</v>
      </c>
      <c r="R28" s="15" t="s">
        <v>245</v>
      </c>
      <c r="S28" s="15" t="s">
        <v>37</v>
      </c>
      <c r="T28" s="16" t="s">
        <v>38</v>
      </c>
      <c r="U28" s="11" t="str">
        <f>_xlfn.XLOOKUP(Customer[[#This Row],[Customer ID]],[1]!Address[ID],[1]!Address[Phone No.(2)])</f>
        <v/>
      </c>
      <c r="V28" s="11" t="str">
        <f>_xlfn.XLOOKUP(Customer[[#This Row],[Customer ID]],[1]!Address[ID],[1]!Address[Type])</f>
        <v>PETROMART</v>
      </c>
      <c r="W28" s="11" t="str">
        <f>_xlfn.XLOOKUP(Customer[[#This Row],[Customer ID]],[1]!Address[ID],[1]!Address[CT])</f>
        <v>30 DAYS</v>
      </c>
      <c r="X28" s="11" t="s">
        <v>39</v>
      </c>
      <c r="Y28" s="17" t="s">
        <v>40</v>
      </c>
      <c r="Z28" s="17" t="e">
        <f>_xlfn.XLOOKUP(Customer[[#This Row],[NewType]],$AF$36:$AF$54,$AG$36:$AG$54)</f>
        <v>#N/A</v>
      </c>
      <c r="AA28" s="17" t="s">
        <v>246</v>
      </c>
      <c r="AB28" s="11" t="str">
        <f>_xlfn.XLOOKUP(Customer[[#This Row],[Customer ID]],[1]!Address[ID],[1]!Address[Subtype])</f>
        <v>PETRONAS</v>
      </c>
      <c r="AC28" s="18" t="str">
        <f>_xlfn.XLOOKUP(Customer[[#This Row],[Customer ID]],[1]!Address[ID],[1]!Address[Zone])</f>
        <v>NORTH</v>
      </c>
    </row>
    <row r="29" spans="1:29" ht="28.8" x14ac:dyDescent="0.3">
      <c r="A29" s="10" t="s">
        <v>247</v>
      </c>
      <c r="B29" s="11" t="str">
        <f>_xlfn.XLOOKUP(Customer[[#This Row],[Customer ID]],[1]!Name[ID],[1]!Name[Description(1)])</f>
        <v>ROS WAJA ENTERPRISE</v>
      </c>
      <c r="C29" s="11" t="str">
        <f>_xlfn.XLOOKUP(Customer[[#This Row],[Customer ID]],[1]!Name[ID],[1]!Name[Description(2)])</f>
        <v>PS AWANA KIJAL</v>
      </c>
      <c r="D29" s="11" t="str">
        <f>_xlfn.XLOOKUP(Customer[[#This Row],[Customer ID]],[1]!Address[ID],[1]!Address[PIC])</f>
        <v/>
      </c>
      <c r="E29" s="11" t="str">
        <f>_xlfn.XLOOKUP(Customer[[#This Row],[Customer ID]],[1]!Address[ID],[1]!Address[Full Address])</f>
        <v>PS AWANA KIJALLOT PT 4799 HS(D) 3562MUKIM KIJAL24100 KIJAL,TERENGGANU</v>
      </c>
      <c r="F29" s="12" t="s">
        <v>248</v>
      </c>
      <c r="G29" s="12" t="s">
        <v>249</v>
      </c>
      <c r="H29" s="12" t="s">
        <v>250</v>
      </c>
      <c r="I29" s="12" t="b">
        <f>ISNUMBER(VALUE(LEFT(Customer[[#This Row],[Address Line 3 (30 char)]],1)))</f>
        <v>0</v>
      </c>
      <c r="J29" s="12" t="s">
        <v>154</v>
      </c>
      <c r="K29" s="12">
        <v>24100</v>
      </c>
      <c r="L29" s="12" t="s">
        <v>35</v>
      </c>
      <c r="M29" s="13">
        <v>200303177266</v>
      </c>
      <c r="N29" s="14" t="s">
        <v>251</v>
      </c>
      <c r="O29" s="14" t="e">
        <v>#N/A</v>
      </c>
      <c r="P29" s="14" t="e">
        <v>#N/A</v>
      </c>
      <c r="Q29" s="21" t="s">
        <v>252</v>
      </c>
      <c r="R29" s="25" t="s">
        <v>253</v>
      </c>
      <c r="S29" s="15" t="s">
        <v>37</v>
      </c>
      <c r="T29" s="16" t="s">
        <v>38</v>
      </c>
      <c r="U29" s="11" t="str">
        <f>_xlfn.XLOOKUP(Customer[[#This Row],[Customer ID]],[1]!Address[ID],[1]!Address[Phone No.(2)])</f>
        <v/>
      </c>
      <c r="V29" s="11" t="str">
        <f>_xlfn.XLOOKUP(Customer[[#This Row],[Customer ID]],[1]!Address[ID],[1]!Address[Type])</f>
        <v>PETROMART</v>
      </c>
      <c r="W29" s="11" t="str">
        <f>_xlfn.XLOOKUP(Customer[[#This Row],[Customer ID]],[1]!Address[ID],[1]!Address[CT])</f>
        <v>30 DAYS</v>
      </c>
      <c r="X29" s="11" t="s">
        <v>39</v>
      </c>
      <c r="Y29" s="17" t="s">
        <v>40</v>
      </c>
      <c r="Z29" s="17" t="e">
        <f>_xlfn.XLOOKUP(Customer[[#This Row],[NewType]],$AF$36:$AF$54,$AG$36:$AG$54)</f>
        <v>#N/A</v>
      </c>
      <c r="AA29" s="17" t="s">
        <v>254</v>
      </c>
      <c r="AB29" s="11" t="str">
        <f>_xlfn.XLOOKUP(Customer[[#This Row],[Customer ID]],[1]!Address[ID],[1]!Address[Subtype])</f>
        <v>PETRONAS</v>
      </c>
      <c r="AC29" s="18" t="str">
        <f>_xlfn.XLOOKUP(Customer[[#This Row],[Customer ID]],[1]!Address[ID],[1]!Address[Zone])</f>
        <v>EAST COAST</v>
      </c>
    </row>
    <row r="30" spans="1:29" x14ac:dyDescent="0.3">
      <c r="A30" s="10" t="s">
        <v>255</v>
      </c>
      <c r="B30" s="11" t="str">
        <f>_xlfn.XLOOKUP(Customer[[#This Row],[Customer ID]],[1]!Name[ID],[1]!Name[Description(1)])</f>
        <v>NST AXIS SDN. BHD.</v>
      </c>
      <c r="C30" s="11" t="str">
        <f>_xlfn.XLOOKUP(Customer[[#This Row],[Customer ID]],[1]!Name[ID],[1]!Name[Description(2)])</f>
        <v>PS AXIS SHAH ALAM</v>
      </c>
      <c r="D30" s="11" t="str">
        <f>_xlfn.XLOOKUP(Customer[[#This Row],[Customer ID]],[1]!Address[ID],[1]!Address[PIC])</f>
        <v/>
      </c>
      <c r="E30" s="11" t="str">
        <f>_xlfn.XLOOKUP(Customer[[#This Row],[Customer ID]],[1]!Address[ID],[1]!Address[Full Address])</f>
        <v>PS AXIS SHAH ALAMNO. 2, JALAN SEPADU 25/123,TAMAN PERINDUSTRIAN AXISSEKSYEN 25, SHAH ALAM,40460 PETALING,</v>
      </c>
      <c r="F30" s="12" t="s">
        <v>256</v>
      </c>
      <c r="G30" s="12" t="s">
        <v>257</v>
      </c>
      <c r="H30" s="12" t="s">
        <v>258</v>
      </c>
      <c r="I30" s="12" t="b">
        <f>ISNUMBER(VALUE(LEFT(Customer[[#This Row],[Address Line 3 (30 char)]],1)))</f>
        <v>0</v>
      </c>
      <c r="J30" s="12" t="s">
        <v>172</v>
      </c>
      <c r="K30" s="12">
        <v>40460</v>
      </c>
      <c r="L30" s="12" t="s">
        <v>35</v>
      </c>
      <c r="M30" s="13">
        <v>201901026070</v>
      </c>
      <c r="N30" s="14" t="s">
        <v>259</v>
      </c>
      <c r="O30" s="14" t="s">
        <v>54</v>
      </c>
      <c r="P30" s="14" t="e">
        <v>#N/A</v>
      </c>
      <c r="Q30" s="21" t="s">
        <v>260</v>
      </c>
      <c r="R30" s="15" t="s">
        <v>261</v>
      </c>
      <c r="S30" s="15" t="s">
        <v>37</v>
      </c>
      <c r="T30" s="16" t="s">
        <v>38</v>
      </c>
      <c r="U30" s="11" t="str">
        <f>_xlfn.XLOOKUP(Customer[[#This Row],[Customer ID]],[1]!Address[ID],[1]!Address[Phone No.(2)])</f>
        <v/>
      </c>
      <c r="V30" s="11" t="str">
        <f>_xlfn.XLOOKUP(Customer[[#This Row],[Customer ID]],[1]!Address[ID],[1]!Address[Type])</f>
        <v>PETROMART</v>
      </c>
      <c r="W30" s="11" t="str">
        <f>_xlfn.XLOOKUP(Customer[[#This Row],[Customer ID]],[1]!Address[ID],[1]!Address[CT])</f>
        <v>30 DAYS</v>
      </c>
      <c r="X30" s="11" t="s">
        <v>39</v>
      </c>
      <c r="Y30" s="17" t="s">
        <v>40</v>
      </c>
      <c r="Z30" s="17" t="e">
        <f>_xlfn.XLOOKUP(Customer[[#This Row],[NewType]],$AF$36:$AF$54,$AG$36:$AG$54)</f>
        <v>#N/A</v>
      </c>
      <c r="AA30" s="17" t="s">
        <v>262</v>
      </c>
      <c r="AB30" s="11" t="str">
        <f>_xlfn.XLOOKUP(Customer[[#This Row],[Customer ID]],[1]!Address[ID],[1]!Address[Subtype])</f>
        <v>PETRONAS</v>
      </c>
      <c r="AC30" s="18" t="str">
        <f>_xlfn.XLOOKUP(Customer[[#This Row],[Customer ID]],[1]!Address[ID],[1]!Address[Zone])</f>
        <v>CENTRAL</v>
      </c>
    </row>
    <row r="31" spans="1:29" x14ac:dyDescent="0.3">
      <c r="A31" s="10" t="s">
        <v>263</v>
      </c>
      <c r="B31" s="11" t="str">
        <f>_xlfn.XLOOKUP(Customer[[#This Row],[Customer ID]],[1]!Name[ID],[1]!Name[Description(1)])</f>
        <v>WISDOM MERCHANT ENTERPRISE</v>
      </c>
      <c r="C31" s="11" t="str">
        <f>_xlfn.XLOOKUP(Customer[[#This Row],[Customer ID]],[1]!Name[ID],[1]!Name[Description(2)])</f>
        <v>PS BACHANG</v>
      </c>
      <c r="D31" s="11" t="str">
        <f>_xlfn.XLOOKUP(Customer[[#This Row],[Customer ID]],[1]!Address[ID],[1]!Address[PIC])</f>
        <v/>
      </c>
      <c r="E31" s="11" t="str">
        <f>_xlfn.XLOOKUP(Customer[[#This Row],[Customer ID]],[1]!Address[ID],[1]!Address[Full Address])</f>
        <v>PS BACHANGLOT PT 4683 MUKIM BACHANG,75350 MELAKA TENGAH,MELAKA</v>
      </c>
      <c r="F31" s="12" t="s">
        <v>264</v>
      </c>
      <c r="G31" s="12" t="s">
        <v>265</v>
      </c>
      <c r="H31" s="24" t="s">
        <v>266</v>
      </c>
      <c r="I31" s="24" t="b">
        <f>ISNUMBER(VALUE(LEFT(Customer[[#This Row],[Address Line 3 (30 char)]],1)))</f>
        <v>0</v>
      </c>
      <c r="J31" s="12" t="s">
        <v>61</v>
      </c>
      <c r="K31" s="12">
        <v>75350</v>
      </c>
      <c r="L31" s="12" t="s">
        <v>35</v>
      </c>
      <c r="M31" s="13" t="e">
        <v>#N/A</v>
      </c>
      <c r="N31" s="14" t="e">
        <v>#N/A</v>
      </c>
      <c r="O31" s="14" t="e">
        <v>#N/A</v>
      </c>
      <c r="P31" s="14" t="e">
        <v>#N/A</v>
      </c>
      <c r="Q31" s="21" t="s">
        <v>267</v>
      </c>
      <c r="R31" s="15" t="s">
        <v>268</v>
      </c>
      <c r="S31" s="15" t="s">
        <v>37</v>
      </c>
      <c r="T31" s="16" t="s">
        <v>38</v>
      </c>
      <c r="U31" s="11" t="str">
        <f>_xlfn.XLOOKUP(Customer[[#This Row],[Customer ID]],[1]!Address[ID],[1]!Address[Phone No.(2)])</f>
        <v/>
      </c>
      <c r="V31" s="11" t="str">
        <f>_xlfn.XLOOKUP(Customer[[#This Row],[Customer ID]],[1]!Address[ID],[1]!Address[Type])</f>
        <v>PETROMART</v>
      </c>
      <c r="W31" s="11" t="str">
        <f>_xlfn.XLOOKUP(Customer[[#This Row],[Customer ID]],[1]!Address[ID],[1]!Address[CT])</f>
        <v>30 DAYS</v>
      </c>
      <c r="X31" s="11" t="s">
        <v>39</v>
      </c>
      <c r="Y31" s="17" t="s">
        <v>40</v>
      </c>
      <c r="Z31" s="17" t="e">
        <f>_xlfn.XLOOKUP(Customer[[#This Row],[NewType]],$AF$36:$AF$54,$AG$36:$AG$54)</f>
        <v>#N/A</v>
      </c>
      <c r="AA31" s="17" t="s">
        <v>269</v>
      </c>
      <c r="AB31" s="11" t="str">
        <f>_xlfn.XLOOKUP(Customer[[#This Row],[Customer ID]],[1]!Address[ID],[1]!Address[Subtype])</f>
        <v>PETRONAS</v>
      </c>
      <c r="AC31" s="18" t="str">
        <f>_xlfn.XLOOKUP(Customer[[#This Row],[Customer ID]],[1]!Address[ID],[1]!Address[Zone])</f>
        <v>SOUTH</v>
      </c>
    </row>
    <row r="32" spans="1:29" x14ac:dyDescent="0.3">
      <c r="A32" s="10" t="s">
        <v>270</v>
      </c>
      <c r="B32" s="11" t="str">
        <f>_xlfn.XLOOKUP(Customer[[#This Row],[Customer ID]],[1]!Name[ID],[1]!Name[Description(1)])</f>
        <v>PERNIAGAAN WARISAN AZ</v>
      </c>
      <c r="C32" s="11" t="str">
        <f>_xlfn.XLOOKUP(Customer[[#This Row],[Customer ID]],[1]!Name[ID],[1]!Name[Description(2)])</f>
        <v>PS ALMA</v>
      </c>
      <c r="D32" s="11" t="str">
        <f>_xlfn.XLOOKUP(Customer[[#This Row],[Customer ID]],[1]!Address[ID],[1]!Address[PIC])</f>
        <v/>
      </c>
      <c r="E32" s="11" t="str">
        <f>_xlfn.XLOOKUP(Customer[[#This Row],[Customer ID]],[1]!Address[ID],[1]!Address[Full Address])</f>
        <v>PS ALMALOT 697, MK 15,JALAN ROZHAN ALMA, BUKIT MERTAJAM,14000 SEBERANG PERAI TENGAH,PULAU PINANG</v>
      </c>
      <c r="F32" s="12" t="s">
        <v>271</v>
      </c>
      <c r="G32" s="12" t="s">
        <v>272</v>
      </c>
      <c r="H32" s="12" t="s">
        <v>273</v>
      </c>
      <c r="I32" s="12" t="b">
        <f>ISNUMBER(VALUE(LEFT(Customer[[#This Row],[Address Line 3 (30 char)]],1)))</f>
        <v>0</v>
      </c>
      <c r="J32" s="12" t="s">
        <v>179</v>
      </c>
      <c r="K32" s="12">
        <v>14000</v>
      </c>
      <c r="L32" s="12" t="s">
        <v>35</v>
      </c>
      <c r="M32" s="13">
        <v>200303035608</v>
      </c>
      <c r="N32" s="14" t="s">
        <v>274</v>
      </c>
      <c r="O32" s="14" t="s">
        <v>156</v>
      </c>
      <c r="P32" s="14" t="s">
        <v>156</v>
      </c>
      <c r="Q32" s="21" t="s">
        <v>275</v>
      </c>
      <c r="R32" s="15" t="s">
        <v>174</v>
      </c>
      <c r="S32" s="15" t="s">
        <v>74</v>
      </c>
      <c r="T32" s="16" t="s">
        <v>38</v>
      </c>
      <c r="U32" s="11" t="str">
        <f>_xlfn.XLOOKUP(Customer[[#This Row],[Customer ID]],[1]!Address[ID],[1]!Address[Phone No.(2)])</f>
        <v/>
      </c>
      <c r="V32" s="11" t="str">
        <f>_xlfn.XLOOKUP(Customer[[#This Row],[Customer ID]],[1]!Address[ID],[1]!Address[Type])</f>
        <v>PETROMART</v>
      </c>
      <c r="W32" s="11" t="str">
        <f>_xlfn.XLOOKUP(Customer[[#This Row],[Customer ID]],[1]!Address[ID],[1]!Address[CT])</f>
        <v>30 DAYS</v>
      </c>
      <c r="X32" s="11" t="s">
        <v>39</v>
      </c>
      <c r="Y32" s="17" t="s">
        <v>40</v>
      </c>
      <c r="Z32" s="17" t="e">
        <f>_xlfn.XLOOKUP(Customer[[#This Row],[NewType]],$AF$36:$AF$54,$AG$36:$AG$54)</f>
        <v>#N/A</v>
      </c>
      <c r="AA32" s="17" t="s">
        <v>276</v>
      </c>
      <c r="AB32" s="11" t="str">
        <f>_xlfn.XLOOKUP(Customer[[#This Row],[Customer ID]],[1]!Address[ID],[1]!Address[Subtype])</f>
        <v>PETRONAS</v>
      </c>
      <c r="AC32" s="18" t="str">
        <f>_xlfn.XLOOKUP(Customer[[#This Row],[Customer ID]],[1]!Address[ID],[1]!Address[Zone])</f>
        <v>NORTH</v>
      </c>
    </row>
    <row r="33" spans="1:29" x14ac:dyDescent="0.3">
      <c r="A33" s="10" t="s">
        <v>277</v>
      </c>
      <c r="B33" s="11" t="str">
        <f>_xlfn.XLOOKUP(Customer[[#This Row],[Customer ID]],[1]!Name[ID],[1]!Name[Description(1)])</f>
        <v>HAJJI ENTERPRISE</v>
      </c>
      <c r="C33" s="11" t="str">
        <f>_xlfn.XLOOKUP(Customer[[#This Row],[Customer ID]],[1]!Name[ID],[1]!Name[Description(2)])</f>
        <v>PS BAGAN AJAM</v>
      </c>
      <c r="D33" s="11" t="str">
        <f>_xlfn.XLOOKUP(Customer[[#This Row],[Customer ID]],[1]!Address[ID],[1]!Address[PIC])</f>
        <v/>
      </c>
      <c r="E33" s="11" t="str">
        <f>_xlfn.XLOOKUP(Customer[[#This Row],[Customer ID]],[1]!Address[ID],[1]!Address[Full Address])</f>
        <v>PS BAGAN AJAMLOT 1444, JALAN BAGAN AJAM,TAMAN MOLEK, BUTTERWORTH,13050 SEBERANG PERAI TENGAH,PULAU PINANG</v>
      </c>
      <c r="F33" s="12" t="s">
        <v>278</v>
      </c>
      <c r="G33" s="12" t="s">
        <v>279</v>
      </c>
      <c r="H33" s="12" t="s">
        <v>280</v>
      </c>
      <c r="I33" s="12" t="b">
        <f>ISNUMBER(VALUE(LEFT(Customer[[#This Row],[Address Line 3 (30 char)]],1)))</f>
        <v>0</v>
      </c>
      <c r="J33" s="12" t="s">
        <v>179</v>
      </c>
      <c r="K33" s="12">
        <v>13050</v>
      </c>
      <c r="L33" s="12" t="s">
        <v>35</v>
      </c>
      <c r="M33" s="13" t="e">
        <v>#N/A</v>
      </c>
      <c r="N33" s="14" t="e">
        <v>#N/A</v>
      </c>
      <c r="O33" s="14" t="e">
        <v>#N/A</v>
      </c>
      <c r="P33" s="14" t="e">
        <v>#N/A</v>
      </c>
      <c r="Q33" s="21" t="s">
        <v>281</v>
      </c>
      <c r="R33" s="15" t="s">
        <v>282</v>
      </c>
      <c r="S33" s="15" t="s">
        <v>74</v>
      </c>
      <c r="T33" s="16" t="s">
        <v>38</v>
      </c>
      <c r="U33" s="11" t="str">
        <f>_xlfn.XLOOKUP(Customer[[#This Row],[Customer ID]],[1]!Address[ID],[1]!Address[Phone No.(2)])</f>
        <v/>
      </c>
      <c r="V33" s="11" t="str">
        <f>_xlfn.XLOOKUP(Customer[[#This Row],[Customer ID]],[1]!Address[ID],[1]!Address[Type])</f>
        <v>PETROMART</v>
      </c>
      <c r="W33" s="11" t="str">
        <f>_xlfn.XLOOKUP(Customer[[#This Row],[Customer ID]],[1]!Address[ID],[1]!Address[CT])</f>
        <v>30 DAYS</v>
      </c>
      <c r="X33" s="11" t="s">
        <v>39</v>
      </c>
      <c r="Y33" s="17" t="s">
        <v>40</v>
      </c>
      <c r="Z33" s="17" t="e">
        <f>_xlfn.XLOOKUP(Customer[[#This Row],[NewType]],$AF$36:$AF$54,$AG$36:$AG$54)</f>
        <v>#N/A</v>
      </c>
      <c r="AA33" s="17" t="s">
        <v>283</v>
      </c>
      <c r="AB33" s="11" t="str">
        <f>_xlfn.XLOOKUP(Customer[[#This Row],[Customer ID]],[1]!Address[ID],[1]!Address[Subtype])</f>
        <v>PETRONAS</v>
      </c>
      <c r="AC33" s="18" t="str">
        <f>_xlfn.XLOOKUP(Customer[[#This Row],[Customer ID]],[1]!Address[ID],[1]!Address[Zone])</f>
        <v>NORTH</v>
      </c>
    </row>
    <row r="34" spans="1:29" x14ac:dyDescent="0.3">
      <c r="A34" s="10" t="s">
        <v>284</v>
      </c>
      <c r="B34" s="11" t="str">
        <f>_xlfn.XLOOKUP(Customer[[#This Row],[Customer ID]],[1]!Name[ID],[1]!Name[Description(1)])</f>
        <v>SYARIKAT PERNIAGAAN IKHWAN</v>
      </c>
      <c r="C34" s="11" t="str">
        <f>_xlfn.XLOOKUP(Customer[[#This Row],[Customer ID]],[1]!Name[ID],[1]!Name[Description(2)])</f>
        <v>PS BAGAN SERAI 1</v>
      </c>
      <c r="D34" s="11" t="str">
        <f>_xlfn.XLOOKUP(Customer[[#This Row],[Customer ID]],[1]!Address[ID],[1]!Address[PIC])</f>
        <v/>
      </c>
      <c r="E34" s="11" t="str">
        <f>_xlfn.XLOOKUP(Customer[[#This Row],[Customer ID]],[1]!Address[ID],[1]!Address[Full Address])</f>
        <v>PS BAGAN SERAI 1LOT 7376 BATU 10, JALAN TAIPING,34300 BAGAN SERAI,PERAK</v>
      </c>
      <c r="F34" s="12" t="s">
        <v>285</v>
      </c>
      <c r="G34" s="12" t="s">
        <v>286</v>
      </c>
      <c r="H34" s="12" t="s">
        <v>287</v>
      </c>
      <c r="I34" s="12" t="b">
        <f>ISNUMBER(VALUE(LEFT(Customer[[#This Row],[Address Line 3 (30 char)]],1)))</f>
        <v>0</v>
      </c>
      <c r="J34" s="12" t="s">
        <v>242</v>
      </c>
      <c r="K34" s="12">
        <v>34300</v>
      </c>
      <c r="L34" s="12" t="s">
        <v>35</v>
      </c>
      <c r="M34" s="13">
        <v>198703055301</v>
      </c>
      <c r="N34" s="14" t="s">
        <v>288</v>
      </c>
      <c r="O34" s="14" t="s">
        <v>54</v>
      </c>
      <c r="P34" s="14">
        <v>47300</v>
      </c>
      <c r="Q34" s="21" t="s">
        <v>289</v>
      </c>
      <c r="R34" s="15" t="s">
        <v>290</v>
      </c>
      <c r="S34" s="15" t="s">
        <v>37</v>
      </c>
      <c r="T34" s="16" t="s">
        <v>38</v>
      </c>
      <c r="U34" s="11" t="str">
        <f>_xlfn.XLOOKUP(Customer[[#This Row],[Customer ID]],[1]!Address[ID],[1]!Address[Phone No.(2)])</f>
        <v/>
      </c>
      <c r="V34" s="11" t="str">
        <f>_xlfn.XLOOKUP(Customer[[#This Row],[Customer ID]],[1]!Address[ID],[1]!Address[Type])</f>
        <v>PETROMART</v>
      </c>
      <c r="W34" s="11" t="str">
        <f>_xlfn.XLOOKUP(Customer[[#This Row],[Customer ID]],[1]!Address[ID],[1]!Address[CT])</f>
        <v>30 DAYS</v>
      </c>
      <c r="X34" s="11" t="s">
        <v>39</v>
      </c>
      <c r="Y34" s="17" t="s">
        <v>40</v>
      </c>
      <c r="Z34" s="17" t="e">
        <f>_xlfn.XLOOKUP(Customer[[#This Row],[NewType]],$AF$36:$AF$54,$AG$36:$AG$54)</f>
        <v>#N/A</v>
      </c>
      <c r="AA34" s="17" t="s">
        <v>291</v>
      </c>
      <c r="AB34" s="11" t="str">
        <f>_xlfn.XLOOKUP(Customer[[#This Row],[Customer ID]],[1]!Address[ID],[1]!Address[Subtype])</f>
        <v>PETRONAS</v>
      </c>
      <c r="AC34" s="18" t="str">
        <f>_xlfn.XLOOKUP(Customer[[#This Row],[Customer ID]],[1]!Address[ID],[1]!Address[Zone])</f>
        <v>NORTH</v>
      </c>
    </row>
    <row r="35" spans="1:29" x14ac:dyDescent="0.3">
      <c r="A35" s="10" t="s">
        <v>292</v>
      </c>
      <c r="B35" s="11" t="str">
        <f>_xlfn.XLOOKUP(Customer[[#This Row],[Customer ID]],[1]!Name[ID],[1]!Name[Description(1)])</f>
        <v>KERJASA PETROSERVIS</v>
      </c>
      <c r="C35" s="11" t="str">
        <f>_xlfn.XLOOKUP(Customer[[#This Row],[Customer ID]],[1]!Name[ID],[1]!Name[Description(2)])</f>
        <v>PS BAKAR ARANG, SG PETANI</v>
      </c>
      <c r="D35" s="11" t="str">
        <f>_xlfn.XLOOKUP(Customer[[#This Row],[Customer ID]],[1]!Address[ID],[1]!Address[PIC])</f>
        <v/>
      </c>
      <c r="E35" s="11" t="str">
        <f>_xlfn.XLOOKUP(Customer[[#This Row],[Customer ID]],[1]!Address[ID],[1]!Address[Full Address])</f>
        <v>PS BAKAR ARANG, SG PETANILOT 1224, MUKIM SG PASIRSUNGAI PETANI,08000 KUALA MUDA,  KEDAH</v>
      </c>
      <c r="F35" s="12" t="s">
        <v>293</v>
      </c>
      <c r="G35" s="12" t="s">
        <v>294</v>
      </c>
      <c r="H35" s="12" t="s">
        <v>295</v>
      </c>
      <c r="I35" s="12" t="b">
        <f>ISNUMBER(VALUE(LEFT(Customer[[#This Row],[Address Line 3 (30 char)]],1)))</f>
        <v>0</v>
      </c>
      <c r="J35" s="12" t="s">
        <v>79</v>
      </c>
      <c r="K35" s="20" t="s">
        <v>296</v>
      </c>
      <c r="L35" s="12" t="s">
        <v>35</v>
      </c>
      <c r="M35" s="13" t="e">
        <v>#N/A</v>
      </c>
      <c r="N35" s="14" t="e">
        <v>#N/A</v>
      </c>
      <c r="O35" s="14" t="e">
        <v>#N/A</v>
      </c>
      <c r="P35" s="14" t="e">
        <v>#N/A</v>
      </c>
      <c r="Q35" s="21" t="s">
        <v>297</v>
      </c>
      <c r="R35" s="15" t="s">
        <v>298</v>
      </c>
      <c r="S35" s="15" t="s">
        <v>74</v>
      </c>
      <c r="T35" s="16" t="s">
        <v>38</v>
      </c>
      <c r="U35" s="11" t="str">
        <f>_xlfn.XLOOKUP(Customer[[#This Row],[Customer ID]],[1]!Address[ID],[1]!Address[Phone No.(2)])</f>
        <v/>
      </c>
      <c r="V35" s="11" t="str">
        <f>_xlfn.XLOOKUP(Customer[[#This Row],[Customer ID]],[1]!Address[ID],[1]!Address[Type])</f>
        <v>PETROMART</v>
      </c>
      <c r="W35" s="11" t="str">
        <f>_xlfn.XLOOKUP(Customer[[#This Row],[Customer ID]],[1]!Address[ID],[1]!Address[CT])</f>
        <v>30 DAYS</v>
      </c>
      <c r="X35" s="11" t="s">
        <v>39</v>
      </c>
      <c r="Y35" s="17" t="s">
        <v>40</v>
      </c>
      <c r="Z35" s="17" t="e">
        <f>_xlfn.XLOOKUP(Customer[[#This Row],[NewType]],$AF$36:$AF$54,$AG$36:$AG$54)</f>
        <v>#N/A</v>
      </c>
      <c r="AA35" s="17" t="s">
        <v>299</v>
      </c>
      <c r="AB35" s="11" t="str">
        <f>_xlfn.XLOOKUP(Customer[[#This Row],[Customer ID]],[1]!Address[ID],[1]!Address[Subtype])</f>
        <v>PETRONAS</v>
      </c>
      <c r="AC35" s="18" t="str">
        <f>_xlfn.XLOOKUP(Customer[[#This Row],[Customer ID]],[1]!Address[ID],[1]!Address[Zone])</f>
        <v>NORTH</v>
      </c>
    </row>
    <row r="36" spans="1:29" x14ac:dyDescent="0.3">
      <c r="A36" s="10" t="s">
        <v>300</v>
      </c>
      <c r="B36" s="11" t="str">
        <f>_xlfn.XLOOKUP(Customer[[#This Row],[Customer ID]],[1]!Name[ID],[1]!Name[Description(1)])</f>
        <v>AYUB HUSSEIN ENTERPRISE</v>
      </c>
      <c r="C36" s="11" t="str">
        <f>_xlfn.XLOOKUP(Customer[[#This Row],[Customer ID]],[1]!Name[ID],[1]!Name[Description(2)])</f>
        <v>PS BAKRI 1, MUAR</v>
      </c>
      <c r="D36" s="11" t="str">
        <f>_xlfn.XLOOKUP(Customer[[#This Row],[Customer ID]],[1]!Address[ID],[1]!Address[PIC])</f>
        <v/>
      </c>
      <c r="E36" s="11" t="str">
        <f>_xlfn.XLOOKUP(Customer[[#This Row],[Customer ID]],[1]!Address[ID],[1]!Address[Full Address])</f>
        <v>PS BAKRI 1, MUARLOT 5339, BATU 6, JALAN BAKRI,84200 MUAR,JOHOR</v>
      </c>
      <c r="F36" s="12" t="s">
        <v>301</v>
      </c>
      <c r="G36" s="12" t="s">
        <v>302</v>
      </c>
      <c r="H36" s="24" t="s">
        <v>303</v>
      </c>
      <c r="I36" s="24" t="b">
        <f>ISNUMBER(VALUE(LEFT(Customer[[#This Row],[Address Line 3 (30 char)]],1)))</f>
        <v>0</v>
      </c>
      <c r="J36" s="12" t="s">
        <v>52</v>
      </c>
      <c r="K36" s="12">
        <v>84200</v>
      </c>
      <c r="L36" s="12" t="s">
        <v>35</v>
      </c>
      <c r="M36" s="13" t="e">
        <v>#N/A</v>
      </c>
      <c r="N36" s="14" t="e">
        <v>#N/A</v>
      </c>
      <c r="O36" s="14" t="e">
        <v>#N/A</v>
      </c>
      <c r="P36" s="14" t="e">
        <v>#N/A</v>
      </c>
      <c r="Q36" s="21" t="s">
        <v>304</v>
      </c>
      <c r="R36" s="15" t="s">
        <v>305</v>
      </c>
      <c r="S36" s="15" t="s">
        <v>37</v>
      </c>
      <c r="T36" s="16" t="s">
        <v>38</v>
      </c>
      <c r="U36" s="11" t="str">
        <f>_xlfn.XLOOKUP(Customer[[#This Row],[Customer ID]],[1]!Address[ID],[1]!Address[Phone No.(2)])</f>
        <v/>
      </c>
      <c r="V36" s="11" t="str">
        <f>_xlfn.XLOOKUP(Customer[[#This Row],[Customer ID]],[1]!Address[ID],[1]!Address[Type])</f>
        <v>PETROMART</v>
      </c>
      <c r="W36" s="11" t="str">
        <f>_xlfn.XLOOKUP(Customer[[#This Row],[Customer ID]],[1]!Address[ID],[1]!Address[CT])</f>
        <v>30 DAYS</v>
      </c>
      <c r="X36" s="11" t="s">
        <v>39</v>
      </c>
      <c r="Y36" s="17" t="s">
        <v>40</v>
      </c>
      <c r="Z36" s="17" t="e">
        <f>_xlfn.XLOOKUP(Customer[[#This Row],[NewType]],$AF$36:$AF$54,$AG$36:$AG$54)</f>
        <v>#N/A</v>
      </c>
      <c r="AA36" s="17" t="s">
        <v>306</v>
      </c>
      <c r="AB36" s="11" t="str">
        <f>_xlfn.XLOOKUP(Customer[[#This Row],[Customer ID]],[1]!Address[ID],[1]!Address[Subtype])</f>
        <v>PETRONAS</v>
      </c>
      <c r="AC36" s="18" t="str">
        <f>_xlfn.XLOOKUP(Customer[[#This Row],[Customer ID]],[1]!Address[ID],[1]!Address[Zone])</f>
        <v>SOUTH</v>
      </c>
    </row>
    <row r="37" spans="1:29" x14ac:dyDescent="0.3">
      <c r="A37" s="10" t="s">
        <v>307</v>
      </c>
      <c r="B37" s="11" t="str">
        <f>_xlfn.XLOOKUP(Customer[[#This Row],[Customer ID]],[1]!Name[ID],[1]!Name[Description(1)])</f>
        <v>HMZ TIJARATUNA LEGACY</v>
      </c>
      <c r="C37" s="11" t="str">
        <f>_xlfn.XLOOKUP(Customer[[#This Row],[Customer ID]],[1]!Name[ID],[1]!Name[Description(2)])</f>
        <v>PS BAKRI 2</v>
      </c>
      <c r="D37" s="11" t="str">
        <f>_xlfn.XLOOKUP(Customer[[#This Row],[Customer ID]],[1]!Address[ID],[1]!Address[PIC])</f>
        <v/>
      </c>
      <c r="E37" s="11" t="str">
        <f>_xlfn.XLOOKUP(Customer[[#This Row],[Customer ID]],[1]!Address[ID],[1]!Address[Full Address])</f>
        <v>PS BAKRI 2LOT 3116, BATU 2 1/2,   3000JALAN BAKRI 1,84800 MUAR,JOHOR</v>
      </c>
      <c r="F37" s="12" t="s">
        <v>308</v>
      </c>
      <c r="G37" s="12" t="s">
        <v>309</v>
      </c>
      <c r="H37" s="12" t="s">
        <v>310</v>
      </c>
      <c r="I37" s="12" t="b">
        <f>ISNUMBER(VALUE(LEFT(Customer[[#This Row],[Address Line 3 (30 char)]],1)))</f>
        <v>0</v>
      </c>
      <c r="J37" s="12" t="s">
        <v>52</v>
      </c>
      <c r="K37" s="12">
        <v>84200</v>
      </c>
      <c r="L37" s="12" t="s">
        <v>35</v>
      </c>
      <c r="M37" s="13">
        <v>202303067504</v>
      </c>
      <c r="N37" s="14" t="s">
        <v>311</v>
      </c>
      <c r="O37" s="14" t="s">
        <v>54</v>
      </c>
      <c r="P37" s="14">
        <v>47300</v>
      </c>
      <c r="Q37" s="21" t="s">
        <v>312</v>
      </c>
      <c r="R37" s="15" t="s">
        <v>313</v>
      </c>
      <c r="S37" s="15" t="s">
        <v>37</v>
      </c>
      <c r="T37" s="16" t="s">
        <v>38</v>
      </c>
      <c r="U37" s="11" t="str">
        <f>_xlfn.XLOOKUP(Customer[[#This Row],[Customer ID]],[1]!Address[ID],[1]!Address[Phone No.(2)])</f>
        <v/>
      </c>
      <c r="V37" s="11" t="str">
        <f>_xlfn.XLOOKUP(Customer[[#This Row],[Customer ID]],[1]!Address[ID],[1]!Address[Type])</f>
        <v>PETROMART</v>
      </c>
      <c r="W37" s="11" t="str">
        <f>_xlfn.XLOOKUP(Customer[[#This Row],[Customer ID]],[1]!Address[ID],[1]!Address[CT])</f>
        <v>30 DAYS</v>
      </c>
      <c r="X37" s="11" t="s">
        <v>39</v>
      </c>
      <c r="Y37" s="17" t="s">
        <v>40</v>
      </c>
      <c r="Z37" s="17" t="e">
        <f>_xlfn.XLOOKUP(Customer[[#This Row],[NewType]],$AF$36:$AF$54,$AG$36:$AG$54)</f>
        <v>#N/A</v>
      </c>
      <c r="AA37" s="17" t="s">
        <v>314</v>
      </c>
      <c r="AB37" s="11" t="str">
        <f>_xlfn.XLOOKUP(Customer[[#This Row],[Customer ID]],[1]!Address[ID],[1]!Address[Subtype])</f>
        <v>PETRONAS</v>
      </c>
      <c r="AC37" s="18" t="str">
        <f>_xlfn.XLOOKUP(Customer[[#This Row],[Customer ID]],[1]!Address[ID],[1]!Address[Zone])</f>
        <v>SOUTH</v>
      </c>
    </row>
    <row r="38" spans="1:29" x14ac:dyDescent="0.3">
      <c r="A38" s="10" t="s">
        <v>315</v>
      </c>
      <c r="B38" s="11" t="str">
        <f>_xlfn.XLOOKUP(Customer[[#This Row],[Customer ID]],[1]!Name[ID],[1]!Name[Description(1)])</f>
        <v>RIVER MOXIE ENERGY</v>
      </c>
      <c r="C38" s="11" t="str">
        <f>_xlfn.XLOOKUP(Customer[[#This Row],[Customer ID]],[1]!Name[ID],[1]!Name[Description(2)])</f>
        <v>PS BALAI PANJANG</v>
      </c>
      <c r="D38" s="11" t="str">
        <f>_xlfn.XLOOKUP(Customer[[#This Row],[Customer ID]],[1]!Address[ID],[1]!Address[PIC])</f>
        <v/>
      </c>
      <c r="E38" s="11" t="str">
        <f>_xlfn.XLOOKUP(Customer[[#This Row],[Customer ID]],[1]!Address[ID],[1]!Address[Full Address])</f>
        <v>PS BALAI PANJANGLOT PT 2315, MUKIM BALAI PANJANG,75600 MELAKA TENGAH,MELAKA</v>
      </c>
      <c r="F38" s="12" t="s">
        <v>316</v>
      </c>
      <c r="G38" s="12" t="s">
        <v>317</v>
      </c>
      <c r="H38" s="12" t="s">
        <v>266</v>
      </c>
      <c r="I38" s="12" t="b">
        <f>ISNUMBER(VALUE(LEFT(Customer[[#This Row],[Address Line 3 (30 char)]],1)))</f>
        <v>0</v>
      </c>
      <c r="J38" s="12" t="s">
        <v>61</v>
      </c>
      <c r="K38" s="12">
        <v>75600</v>
      </c>
      <c r="L38" s="12" t="s">
        <v>35</v>
      </c>
      <c r="M38" s="13">
        <v>201703054518</v>
      </c>
      <c r="N38" s="14" t="s">
        <v>119</v>
      </c>
      <c r="O38" s="14" t="e">
        <v>#N/A</v>
      </c>
      <c r="P38" s="14" t="e">
        <v>#N/A</v>
      </c>
      <c r="Q38" s="21" t="s">
        <v>318</v>
      </c>
      <c r="R38" s="15" t="s">
        <v>319</v>
      </c>
      <c r="S38" s="15" t="s">
        <v>37</v>
      </c>
      <c r="T38" s="16" t="s">
        <v>38</v>
      </c>
      <c r="U38" s="11" t="str">
        <f>_xlfn.XLOOKUP(Customer[[#This Row],[Customer ID]],[1]!Address[ID],[1]!Address[Phone No.(2)])</f>
        <v/>
      </c>
      <c r="V38" s="11" t="str">
        <f>_xlfn.XLOOKUP(Customer[[#This Row],[Customer ID]],[1]!Address[ID],[1]!Address[Type])</f>
        <v>PETROMART</v>
      </c>
      <c r="W38" s="11" t="str">
        <f>_xlfn.XLOOKUP(Customer[[#This Row],[Customer ID]],[1]!Address[ID],[1]!Address[CT])</f>
        <v>30 DAYS</v>
      </c>
      <c r="X38" s="11" t="s">
        <v>39</v>
      </c>
      <c r="Y38" s="17" t="s">
        <v>40</v>
      </c>
      <c r="Z38" s="17" t="e">
        <f>_xlfn.XLOOKUP(Customer[[#This Row],[NewType]],$AF$36:$AF$54,$AG$36:$AG$54)</f>
        <v>#N/A</v>
      </c>
      <c r="AA38" s="17" t="s">
        <v>320</v>
      </c>
      <c r="AB38" s="11" t="str">
        <f>_xlfn.XLOOKUP(Customer[[#This Row],[Customer ID]],[1]!Address[ID],[1]!Address[Subtype])</f>
        <v>PETRONAS</v>
      </c>
      <c r="AC38" s="18" t="str">
        <f>_xlfn.XLOOKUP(Customer[[#This Row],[Customer ID]],[1]!Address[ID],[1]!Address[Zone])</f>
        <v>SOUTH</v>
      </c>
    </row>
    <row r="39" spans="1:29" x14ac:dyDescent="0.3">
      <c r="A39" s="10" t="s">
        <v>321</v>
      </c>
      <c r="B39" s="11" t="str">
        <f>_xlfn.XLOOKUP(Customer[[#This Row],[Customer ID]],[1]!Name[ID],[1]!Name[Description(1)])</f>
        <v>STESEN SERVIS USMAJAYA</v>
      </c>
      <c r="C39" s="11" t="str">
        <f>_xlfn.XLOOKUP(Customer[[#This Row],[Customer ID]],[1]!Name[ID],[1]!Name[Description(2)])</f>
        <v>PS BALAKONG 1</v>
      </c>
      <c r="D39" s="11" t="str">
        <f>_xlfn.XLOOKUP(Customer[[#This Row],[Customer ID]],[1]!Address[ID],[1]!Address[PIC])</f>
        <v/>
      </c>
      <c r="E39" s="11" t="str">
        <f>_xlfn.XLOOKUP(Customer[[#This Row],[Customer ID]],[1]!Address[ID],[1]!Address[Full Address])</f>
        <v>PS BALAKONG 1PT 12842 TAMAN TAMING JAYA, BALAKONG,43300 ULU LANGAT,SELANGOR</v>
      </c>
      <c r="F39" s="12" t="s">
        <v>322</v>
      </c>
      <c r="G39" s="12" t="s">
        <v>323</v>
      </c>
      <c r="H39" s="12" t="s">
        <v>324</v>
      </c>
      <c r="I39" s="12" t="b">
        <f>ISNUMBER(VALUE(LEFT(Customer[[#This Row],[Address Line 3 (30 char)]],1)))</f>
        <v>0</v>
      </c>
      <c r="J39" s="12" t="s">
        <v>172</v>
      </c>
      <c r="K39" s="12">
        <v>43300</v>
      </c>
      <c r="L39" s="12" t="s">
        <v>35</v>
      </c>
      <c r="M39" s="13">
        <v>199303029117</v>
      </c>
      <c r="N39" s="14" t="s">
        <v>325</v>
      </c>
      <c r="O39" s="14" t="s">
        <v>54</v>
      </c>
      <c r="P39" s="14">
        <v>47300</v>
      </c>
      <c r="Q39" s="21" t="s">
        <v>326</v>
      </c>
      <c r="R39" s="15" t="s">
        <v>327</v>
      </c>
      <c r="S39" s="15" t="s">
        <v>37</v>
      </c>
      <c r="T39" s="16" t="s">
        <v>38</v>
      </c>
      <c r="U39" s="11" t="str">
        <f>_xlfn.XLOOKUP(Customer[[#This Row],[Customer ID]],[1]!Address[ID],[1]!Address[Phone No.(2)])</f>
        <v/>
      </c>
      <c r="V39" s="11" t="str">
        <f>_xlfn.XLOOKUP(Customer[[#This Row],[Customer ID]],[1]!Address[ID],[1]!Address[Type])</f>
        <v>PETROMART</v>
      </c>
      <c r="W39" s="11" t="str">
        <f>_xlfn.XLOOKUP(Customer[[#This Row],[Customer ID]],[1]!Address[ID],[1]!Address[CT])</f>
        <v>30 DAYS</v>
      </c>
      <c r="X39" s="11" t="s">
        <v>39</v>
      </c>
      <c r="Y39" s="17" t="s">
        <v>40</v>
      </c>
      <c r="Z39" s="17" t="e">
        <f>_xlfn.XLOOKUP(Customer[[#This Row],[NewType]],$AF$36:$AF$54,$AG$36:$AG$54)</f>
        <v>#N/A</v>
      </c>
      <c r="AA39" s="17" t="s">
        <v>328</v>
      </c>
      <c r="AB39" s="11" t="str">
        <f>_xlfn.XLOOKUP(Customer[[#This Row],[Customer ID]],[1]!Address[ID],[1]!Address[Subtype])</f>
        <v>PETRONAS</v>
      </c>
      <c r="AC39" s="18" t="str">
        <f>_xlfn.XLOOKUP(Customer[[#This Row],[Customer ID]],[1]!Address[ID],[1]!Address[Zone])</f>
        <v>CENTRAL</v>
      </c>
    </row>
    <row r="40" spans="1:29" x14ac:dyDescent="0.3">
      <c r="A40" s="10" t="s">
        <v>329</v>
      </c>
      <c r="B40" s="11" t="str">
        <f>_xlfn.XLOOKUP(Customer[[#This Row],[Customer ID]],[1]!Name[ID],[1]!Name[Description(1)])</f>
        <v>MAZA INDAH ENTERPRISE</v>
      </c>
      <c r="C40" s="11" t="str">
        <f>_xlfn.XLOOKUP(Customer[[#This Row],[Customer ID]],[1]!Name[ID],[1]!Name[Description(2)])</f>
        <v>PS BALAKONG 2</v>
      </c>
      <c r="D40" s="11" t="str">
        <f>_xlfn.XLOOKUP(Customer[[#This Row],[Customer ID]],[1]!Address[ID],[1]!Address[PIC])</f>
        <v/>
      </c>
      <c r="E40" s="11" t="str">
        <f>_xlfn.XLOOKUP(Customer[[#This Row],[Customer ID]],[1]!Address[ID],[1]!Address[Full Address])</f>
        <v>PS BALAKONG 2LOT 7906, JALAN BALAKONG,TAMAN SG BESI INDAH,43300 ULU LANGAT, SELANGOR</v>
      </c>
      <c r="F40" s="12" t="s">
        <v>330</v>
      </c>
      <c r="G40" s="12" t="s">
        <v>331</v>
      </c>
      <c r="H40" s="12" t="s">
        <v>332</v>
      </c>
      <c r="I40" s="12" t="b">
        <f>ISNUMBER(VALUE(LEFT(Customer[[#This Row],[Address Line 3 (30 char)]],1)))</f>
        <v>0</v>
      </c>
      <c r="J40" s="12" t="s">
        <v>172</v>
      </c>
      <c r="K40" s="12">
        <v>43300</v>
      </c>
      <c r="L40" s="12" t="s">
        <v>35</v>
      </c>
      <c r="M40" s="13" t="e">
        <v>#N/A</v>
      </c>
      <c r="N40" s="14" t="e">
        <v>#N/A</v>
      </c>
      <c r="O40" s="14" t="e">
        <v>#N/A</v>
      </c>
      <c r="P40" s="14" t="e">
        <v>#N/A</v>
      </c>
      <c r="Q40" s="21" t="s">
        <v>333</v>
      </c>
      <c r="R40" s="15" t="s">
        <v>334</v>
      </c>
      <c r="S40" s="15" t="s">
        <v>37</v>
      </c>
      <c r="T40" s="16" t="s">
        <v>38</v>
      </c>
      <c r="U40" s="11" t="str">
        <f>_xlfn.XLOOKUP(Customer[[#This Row],[Customer ID]],[1]!Address[ID],[1]!Address[Phone No.(2)])</f>
        <v/>
      </c>
      <c r="V40" s="11" t="str">
        <f>_xlfn.XLOOKUP(Customer[[#This Row],[Customer ID]],[1]!Address[ID],[1]!Address[Type])</f>
        <v>PETROMART</v>
      </c>
      <c r="W40" s="11" t="str">
        <f>_xlfn.XLOOKUP(Customer[[#This Row],[Customer ID]],[1]!Address[ID],[1]!Address[CT])</f>
        <v>30 DAYS</v>
      </c>
      <c r="X40" s="11" t="s">
        <v>39</v>
      </c>
      <c r="Y40" s="17" t="s">
        <v>40</v>
      </c>
      <c r="Z40" s="17" t="e">
        <f>_xlfn.XLOOKUP(Customer[[#This Row],[NewType]],$AF$36:$AF$54,$AG$36:$AG$54)</f>
        <v>#N/A</v>
      </c>
      <c r="AA40" s="17" t="s">
        <v>335</v>
      </c>
      <c r="AB40" s="11" t="str">
        <f>_xlfn.XLOOKUP(Customer[[#This Row],[Customer ID]],[1]!Address[ID],[1]!Address[Subtype])</f>
        <v>PETRONAS</v>
      </c>
      <c r="AC40" s="18" t="str">
        <f>_xlfn.XLOOKUP(Customer[[#This Row],[Customer ID]],[1]!Address[ID],[1]!Address[Zone])</f>
        <v>CENTRAL</v>
      </c>
    </row>
    <row r="41" spans="1:29" x14ac:dyDescent="0.3">
      <c r="A41" s="10" t="s">
        <v>336</v>
      </c>
      <c r="B41" s="11" t="str">
        <f>_xlfn.XLOOKUP(Customer[[#This Row],[Customer ID]],[1]!Name[ID],[1]!Name[Description(1)])</f>
        <v>HAB RIANA RESOURCES</v>
      </c>
      <c r="C41" s="11" t="str">
        <f>_xlfn.XLOOKUP(Customer[[#This Row],[Customer ID]],[1]!Name[ID],[1]!Name[Description(2)])</f>
        <v>PS BALOK</v>
      </c>
      <c r="D41" s="11" t="str">
        <f>_xlfn.XLOOKUP(Customer[[#This Row],[Customer ID]],[1]!Address[ID],[1]!Address[PIC])</f>
        <v/>
      </c>
      <c r="E41" s="11" t="str">
        <f>_xlfn.XLOOKUP(Customer[[#This Row],[Customer ID]],[1]!Address[ID],[1]!Address[Full Address])</f>
        <v>PS BALOKLOT 4207, BANDAR BARU BALOK,26100 KUANTAN, PAHANG</v>
      </c>
      <c r="F41" s="12" t="s">
        <v>337</v>
      </c>
      <c r="G41" s="12" t="s">
        <v>36</v>
      </c>
      <c r="H41" s="12" t="s">
        <v>338</v>
      </c>
      <c r="I41" s="12" t="b">
        <f>ISNUMBER(VALUE(LEFT(Customer[[#This Row],[Address Line 3 (30 char)]],1)))</f>
        <v>0</v>
      </c>
      <c r="J41" s="12" t="s">
        <v>339</v>
      </c>
      <c r="K41" s="12">
        <v>26100</v>
      </c>
      <c r="L41" s="12" t="s">
        <v>35</v>
      </c>
      <c r="M41" s="13">
        <v>202003357713</v>
      </c>
      <c r="N41" s="14" t="s">
        <v>340</v>
      </c>
      <c r="O41" s="14" t="e">
        <v>#N/A</v>
      </c>
      <c r="P41" s="14" t="e">
        <v>#N/A</v>
      </c>
      <c r="Q41" s="21" t="s">
        <v>341</v>
      </c>
      <c r="R41" s="15" t="s">
        <v>342</v>
      </c>
      <c r="S41" s="15" t="s">
        <v>37</v>
      </c>
      <c r="T41" s="16" t="s">
        <v>38</v>
      </c>
      <c r="U41" s="11" t="str">
        <f>_xlfn.XLOOKUP(Customer[[#This Row],[Customer ID]],[1]!Address[ID],[1]!Address[Phone No.(2)])</f>
        <v/>
      </c>
      <c r="V41" s="11" t="str">
        <f>_xlfn.XLOOKUP(Customer[[#This Row],[Customer ID]],[1]!Address[ID],[1]!Address[Type])</f>
        <v>PETROMART</v>
      </c>
      <c r="W41" s="11" t="str">
        <f>_xlfn.XLOOKUP(Customer[[#This Row],[Customer ID]],[1]!Address[ID],[1]!Address[CT])</f>
        <v>30 DAYS</v>
      </c>
      <c r="X41" s="11" t="s">
        <v>39</v>
      </c>
      <c r="Y41" s="17" t="s">
        <v>40</v>
      </c>
      <c r="Z41" s="17" t="e">
        <f>_xlfn.XLOOKUP(Customer[[#This Row],[NewType]],$AF$36:$AF$54,$AG$36:$AG$54)</f>
        <v>#N/A</v>
      </c>
      <c r="AA41" s="17" t="s">
        <v>343</v>
      </c>
      <c r="AB41" s="11" t="str">
        <f>_xlfn.XLOOKUP(Customer[[#This Row],[Customer ID]],[1]!Address[ID],[1]!Address[Subtype])</f>
        <v>PETRONAS</v>
      </c>
      <c r="AC41" s="18" t="str">
        <f>_xlfn.XLOOKUP(Customer[[#This Row],[Customer ID]],[1]!Address[ID],[1]!Address[Zone])</f>
        <v>EAST COAST</v>
      </c>
    </row>
    <row r="42" spans="1:29" x14ac:dyDescent="0.3">
      <c r="A42" s="10" t="s">
        <v>344</v>
      </c>
      <c r="B42" s="11" t="str">
        <f>_xlfn.XLOOKUP(Customer[[#This Row],[Customer ID]],[1]!Name[ID],[1]!Name[Description(1)])</f>
        <v>ZMN ALAM DAMAI ENTERPRISE</v>
      </c>
      <c r="C42" s="11" t="str">
        <f>_xlfn.XLOOKUP(Customer[[#This Row],[Customer ID]],[1]!Name[ID],[1]!Name[Description(2)])</f>
        <v>PS BANDAR ALAM DAMAI</v>
      </c>
      <c r="D42" s="11" t="str">
        <f>_xlfn.XLOOKUP(Customer[[#This Row],[Customer ID]],[1]!Address[ID],[1]!Address[PIC])</f>
        <v/>
      </c>
      <c r="E42" s="11" t="str">
        <f>_xlfn.XLOOKUP(Customer[[#This Row],[Customer ID]],[1]!Address[ID],[1]!Address[Full Address])</f>
        <v>PS BANDAR ALAM DAMAIHS(D) 107859, PT 9886 ALAM DAMAI,CHERAS, MUKIM PETALING,56000 KUALA LUMPUR WILAYAH PERSEKUTUAN</v>
      </c>
      <c r="F42" s="12" t="s">
        <v>345</v>
      </c>
      <c r="G42" s="12" t="s">
        <v>346</v>
      </c>
      <c r="H42" s="12" t="s">
        <v>347</v>
      </c>
      <c r="I42" s="12" t="b">
        <f>ISNUMBER(VALUE(LEFT(Customer[[#This Row],[Address Line 3 (30 char)]],1)))</f>
        <v>0</v>
      </c>
      <c r="J42" s="12" t="s">
        <v>34</v>
      </c>
      <c r="K42" s="12">
        <v>56000</v>
      </c>
      <c r="L42" s="12" t="s">
        <v>35</v>
      </c>
      <c r="M42" s="13" t="e">
        <v>#N/A</v>
      </c>
      <c r="N42" s="14" t="e">
        <v>#N/A</v>
      </c>
      <c r="O42" s="14" t="e">
        <v>#N/A</v>
      </c>
      <c r="P42" s="14" t="e">
        <v>#N/A</v>
      </c>
      <c r="Q42" s="21" t="s">
        <v>348</v>
      </c>
      <c r="R42" s="15" t="s">
        <v>349</v>
      </c>
      <c r="S42" s="15" t="s">
        <v>37</v>
      </c>
      <c r="T42" s="16" t="s">
        <v>38</v>
      </c>
      <c r="U42" s="11" t="str">
        <f>_xlfn.XLOOKUP(Customer[[#This Row],[Customer ID]],[1]!Address[ID],[1]!Address[Phone No.(2)])</f>
        <v/>
      </c>
      <c r="V42" s="11" t="str">
        <f>_xlfn.XLOOKUP(Customer[[#This Row],[Customer ID]],[1]!Address[ID],[1]!Address[Type])</f>
        <v>PETROMART</v>
      </c>
      <c r="W42" s="11" t="str">
        <f>_xlfn.XLOOKUP(Customer[[#This Row],[Customer ID]],[1]!Address[ID],[1]!Address[CT])</f>
        <v>30 DAYS</v>
      </c>
      <c r="X42" s="11" t="s">
        <v>39</v>
      </c>
      <c r="Y42" s="17" t="s">
        <v>40</v>
      </c>
      <c r="Z42" s="17" t="e">
        <f>_xlfn.XLOOKUP(Customer[[#This Row],[NewType]],$AF$36:$AF$54,$AG$36:$AG$54)</f>
        <v>#N/A</v>
      </c>
      <c r="AA42" s="17" t="s">
        <v>350</v>
      </c>
      <c r="AB42" s="11" t="str">
        <f>_xlfn.XLOOKUP(Customer[[#This Row],[Customer ID]],[1]!Address[ID],[1]!Address[Subtype])</f>
        <v>PETRONAS</v>
      </c>
      <c r="AC42" s="18" t="str">
        <f>_xlfn.XLOOKUP(Customer[[#This Row],[Customer ID]],[1]!Address[ID],[1]!Address[Zone])</f>
        <v>CENTRAL</v>
      </c>
    </row>
    <row r="43" spans="1:29" x14ac:dyDescent="0.3">
      <c r="A43" s="10" t="s">
        <v>351</v>
      </c>
      <c r="B43" s="11" t="str">
        <f>_xlfn.XLOOKUP(Customer[[#This Row],[Customer ID]],[1]!Name[ID],[1]!Name[Description(1)])</f>
        <v>SKZ TRADING</v>
      </c>
      <c r="C43" s="11" t="str">
        <f>_xlfn.XLOOKUP(Customer[[#This Row],[Customer ID]],[1]!Name[ID],[1]!Name[Description(2)])</f>
        <v>PS BANDAR ANAK BUKIT</v>
      </c>
      <c r="D43" s="11" t="str">
        <f>_xlfn.XLOOKUP(Customer[[#This Row],[Customer ID]],[1]!Address[ID],[1]!Address[PIC])</f>
        <v/>
      </c>
      <c r="E43" s="11" t="str">
        <f>_xlfn.XLOOKUP(Customer[[#This Row],[Customer ID]],[1]!Address[ID],[1]!Address[Full Address])</f>
        <v>PS BANDAR ANAK BUKITLOT 965 GM 2127, BANDAR ANAK BUKIT,05250 KOTA SETAR,KEDAH</v>
      </c>
      <c r="F43" s="12" t="s">
        <v>352</v>
      </c>
      <c r="G43" s="12" t="s">
        <v>353</v>
      </c>
      <c r="H43" s="12" t="s">
        <v>354</v>
      </c>
      <c r="I43" s="12" t="b">
        <f>ISNUMBER(VALUE(LEFT(Customer[[#This Row],[Address Line 3 (30 char)]],1)))</f>
        <v>0</v>
      </c>
      <c r="J43" s="12" t="s">
        <v>355</v>
      </c>
      <c r="K43" s="20" t="s">
        <v>187</v>
      </c>
      <c r="L43" s="12" t="s">
        <v>35</v>
      </c>
      <c r="M43" s="13">
        <v>200903201747</v>
      </c>
      <c r="N43" s="14" t="s">
        <v>356</v>
      </c>
      <c r="O43" s="14" t="s">
        <v>54</v>
      </c>
      <c r="P43" s="26"/>
      <c r="Q43" s="19" t="s">
        <v>357</v>
      </c>
      <c r="R43" s="15" t="s">
        <v>358</v>
      </c>
      <c r="S43" s="15" t="s">
        <v>74</v>
      </c>
      <c r="T43" s="16" t="s">
        <v>38</v>
      </c>
      <c r="U43" s="11" t="str">
        <f>_xlfn.XLOOKUP(Customer[[#This Row],[Customer ID]],[1]!Address[ID],[1]!Address[Phone No.(2)])</f>
        <v/>
      </c>
      <c r="V43" s="11" t="str">
        <f>_xlfn.XLOOKUP(Customer[[#This Row],[Customer ID]],[1]!Address[ID],[1]!Address[Type])</f>
        <v>PETROMART</v>
      </c>
      <c r="W43" s="11" t="str">
        <f>_xlfn.XLOOKUP(Customer[[#This Row],[Customer ID]],[1]!Address[ID],[1]!Address[CT])</f>
        <v>30 DAYS</v>
      </c>
      <c r="X43" s="11" t="s">
        <v>39</v>
      </c>
      <c r="Y43" s="17" t="s">
        <v>40</v>
      </c>
      <c r="Z43" s="17" t="e">
        <f>_xlfn.XLOOKUP(Customer[[#This Row],[NewType]],$AF$36:$AF$54,$AG$36:$AG$54)</f>
        <v>#N/A</v>
      </c>
      <c r="AA43" s="17" t="s">
        <v>359</v>
      </c>
      <c r="AB43" s="11" t="str">
        <f>_xlfn.XLOOKUP(Customer[[#This Row],[Customer ID]],[1]!Address[ID],[1]!Address[Subtype])</f>
        <v>PETRONAS</v>
      </c>
      <c r="AC43" s="18" t="str">
        <f>_xlfn.XLOOKUP(Customer[[#This Row],[Customer ID]],[1]!Address[ID],[1]!Address[Zone])</f>
        <v>NORTH</v>
      </c>
    </row>
    <row r="44" spans="1:29" x14ac:dyDescent="0.3">
      <c r="A44" s="10" t="s">
        <v>360</v>
      </c>
      <c r="B44" s="11" t="str">
        <f>_xlfn.XLOOKUP(Customer[[#This Row],[Customer ID]],[1]!Name[ID],[1]!Name[Description(1)])</f>
        <v>HEIZA ENTERPRISE</v>
      </c>
      <c r="C44" s="11" t="str">
        <f>_xlfn.XLOOKUP(Customer[[#This Row],[Customer ID]],[1]!Name[ID],[1]!Name[Description(2)])</f>
        <v>PS BAGAN JERMAL</v>
      </c>
      <c r="D44" s="11" t="str">
        <f>_xlfn.XLOOKUP(Customer[[#This Row],[Customer ID]],[1]!Address[ID],[1]!Address[PIC])</f>
        <v/>
      </c>
      <c r="E44" s="11" t="str">
        <f>_xlfn.XLOOKUP(Customer[[#This Row],[Customer ID]],[1]!Address[ID],[1]!Address[Full Address])</f>
        <v>PS BAGAN JERMALLOT 60 &amp; 66 BAGAN JERMAL,PART LOT 60 &amp; 66 SEK 1,BNDR BUTTERWORTH12300 SEBERANG PERAI UTARA, PENANG</v>
      </c>
      <c r="F44" s="12" t="s">
        <v>361</v>
      </c>
      <c r="G44" s="12" t="s">
        <v>362</v>
      </c>
      <c r="H44" s="12" t="s">
        <v>363</v>
      </c>
      <c r="I44" s="12" t="b">
        <f>ISNUMBER(VALUE(LEFT(Customer[[#This Row],[Address Line 3 (30 char)]],1)))</f>
        <v>0</v>
      </c>
      <c r="J44" s="12" t="s">
        <v>179</v>
      </c>
      <c r="K44" s="12">
        <v>12300</v>
      </c>
      <c r="L44" s="12" t="s">
        <v>35</v>
      </c>
      <c r="M44" s="13" t="e">
        <v>#N/A</v>
      </c>
      <c r="N44" s="14" t="e">
        <v>#N/A</v>
      </c>
      <c r="O44" s="14" t="e">
        <v>#N/A</v>
      </c>
      <c r="P44" s="14" t="e">
        <v>#N/A</v>
      </c>
      <c r="Q44" s="19" t="s">
        <v>364</v>
      </c>
      <c r="R44" s="15" t="s">
        <v>365</v>
      </c>
      <c r="S44" s="15" t="s">
        <v>74</v>
      </c>
      <c r="T44" s="16" t="s">
        <v>38</v>
      </c>
      <c r="U44" s="11" t="str">
        <f>_xlfn.XLOOKUP(Customer[[#This Row],[Customer ID]],[1]!Address[ID],[1]!Address[Phone No.(2)])</f>
        <v/>
      </c>
      <c r="V44" s="11" t="str">
        <f>_xlfn.XLOOKUP(Customer[[#This Row],[Customer ID]],[1]!Address[ID],[1]!Address[Type])</f>
        <v>PETROMART</v>
      </c>
      <c r="W44" s="11" t="str">
        <f>_xlfn.XLOOKUP(Customer[[#This Row],[Customer ID]],[1]!Address[ID],[1]!Address[CT])</f>
        <v>30 DAYS</v>
      </c>
      <c r="X44" s="11" t="s">
        <v>39</v>
      </c>
      <c r="Y44" s="17" t="s">
        <v>40</v>
      </c>
      <c r="Z44" s="17" t="e">
        <f>_xlfn.XLOOKUP(Customer[[#This Row],[NewType]],$AF$36:$AF$54,$AG$36:$AG$54)</f>
        <v>#N/A</v>
      </c>
      <c r="AA44" s="17" t="s">
        <v>366</v>
      </c>
      <c r="AB44" s="11" t="str">
        <f>_xlfn.XLOOKUP(Customer[[#This Row],[Customer ID]],[1]!Address[ID],[1]!Address[Subtype])</f>
        <v>PETRONAS</v>
      </c>
      <c r="AC44" s="18" t="str">
        <f>_xlfn.XLOOKUP(Customer[[#This Row],[Customer ID]],[1]!Address[ID],[1]!Address[Zone])</f>
        <v>NORTH</v>
      </c>
    </row>
    <row r="45" spans="1:29" x14ac:dyDescent="0.3">
      <c r="A45" s="10" t="s">
        <v>367</v>
      </c>
      <c r="B45" s="11" t="str">
        <f>_xlfn.XLOOKUP(Customer[[#This Row],[Customer ID]],[1]!Name[ID],[1]!Name[Description(1)])</f>
        <v>FAZLIM SERVICE STATION</v>
      </c>
      <c r="C45" s="11" t="str">
        <f>_xlfn.XLOOKUP(Customer[[#This Row],[Customer ID]],[1]!Name[ID],[1]!Name[Description(2)])</f>
        <v>PS BANDAR BAHAU</v>
      </c>
      <c r="D45" s="11" t="str">
        <f>_xlfn.XLOOKUP(Customer[[#This Row],[Customer ID]],[1]!Address[ID],[1]!Address[PIC])</f>
        <v/>
      </c>
      <c r="E45" s="11" t="str">
        <f>_xlfn.XLOOKUP(Customer[[#This Row],[Customer ID]],[1]!Address[ID],[1]!Address[Full Address])</f>
        <v>PS BANDAR BAHAULOT 815, JALAN ROMPIN, BAHAU,72100 JEMPOL,NEGERI SEMBILAN</v>
      </c>
      <c r="F45" s="12" t="s">
        <v>368</v>
      </c>
      <c r="G45" s="12" t="s">
        <v>369</v>
      </c>
      <c r="H45" s="24" t="s">
        <v>370</v>
      </c>
      <c r="I45" s="24" t="b">
        <f>ISNUMBER(VALUE(LEFT(Customer[[#This Row],[Address Line 3 (30 char)]],1)))</f>
        <v>0</v>
      </c>
      <c r="J45" s="12" t="s">
        <v>203</v>
      </c>
      <c r="K45" s="12">
        <v>72100</v>
      </c>
      <c r="L45" s="12" t="s">
        <v>35</v>
      </c>
      <c r="M45" s="13">
        <v>199503000492</v>
      </c>
      <c r="N45" s="14" t="s">
        <v>371</v>
      </c>
      <c r="O45" s="14" t="s">
        <v>54</v>
      </c>
      <c r="P45" s="14" t="s">
        <v>54</v>
      </c>
      <c r="Q45" s="19" t="s">
        <v>372</v>
      </c>
      <c r="R45" s="15" t="s">
        <v>373</v>
      </c>
      <c r="S45" s="15" t="s">
        <v>37</v>
      </c>
      <c r="T45" s="16" t="s">
        <v>38</v>
      </c>
      <c r="U45" s="11" t="str">
        <f>_xlfn.XLOOKUP(Customer[[#This Row],[Customer ID]],[1]!Address[ID],[1]!Address[Phone No.(2)])</f>
        <v>126060117</v>
      </c>
      <c r="V45" s="11" t="str">
        <f>_xlfn.XLOOKUP(Customer[[#This Row],[Customer ID]],[1]!Address[ID],[1]!Address[Type])</f>
        <v>PETROMART</v>
      </c>
      <c r="W45" s="11" t="str">
        <f>_xlfn.XLOOKUP(Customer[[#This Row],[Customer ID]],[1]!Address[ID],[1]!Address[CT])</f>
        <v>30 DAYS</v>
      </c>
      <c r="X45" s="11" t="s">
        <v>39</v>
      </c>
      <c r="Y45" s="17" t="s">
        <v>40</v>
      </c>
      <c r="Z45" s="17" t="e">
        <f>_xlfn.XLOOKUP(Customer[[#This Row],[NewType]],$AF$36:$AF$54,$AG$36:$AG$54)</f>
        <v>#N/A</v>
      </c>
      <c r="AA45" s="17" t="s">
        <v>374</v>
      </c>
      <c r="AB45" s="11" t="str">
        <f>_xlfn.XLOOKUP(Customer[[#This Row],[Customer ID]],[1]!Address[ID],[1]!Address[Subtype])</f>
        <v>PETRONAS</v>
      </c>
      <c r="AC45" s="18" t="str">
        <f>_xlfn.XLOOKUP(Customer[[#This Row],[Customer ID]],[1]!Address[ID],[1]!Address[Zone])</f>
        <v>CENTRAL</v>
      </c>
    </row>
    <row r="46" spans="1:29" x14ac:dyDescent="0.3">
      <c r="A46" s="10" t="s">
        <v>375</v>
      </c>
      <c r="B46" s="11" t="str">
        <f>_xlfn.XLOOKUP(Customer[[#This Row],[Customer ID]],[1]!Name[ID],[1]!Name[Description(1)])</f>
        <v>EIDAMAN BERKAT</v>
      </c>
      <c r="C46" s="11" t="str">
        <f>_xlfn.XLOOKUP(Customer[[#This Row],[Customer ID]],[1]!Name[ID],[1]!Name[Description(2)])</f>
        <v>PS BANDAR BARU AIR HITAM</v>
      </c>
      <c r="D46" s="11" t="str">
        <f>_xlfn.XLOOKUP(Customer[[#This Row],[Customer ID]],[1]!Address[ID],[1]!Address[PIC])</f>
        <v/>
      </c>
      <c r="E46" s="11" t="str">
        <f>_xlfn.XLOOKUP(Customer[[#This Row],[Customer ID]],[1]!Address[ID],[1]!Address[Full Address])</f>
        <v>PS BANDAR BARU AIR HITAMLOT PTD 53091 HS(D) 44103 &amp; 53092 HS(D)44109, BANDAR BARU AIR HITAM,86000 KLUANG, JOHOR</v>
      </c>
      <c r="F46" s="12" t="s">
        <v>376</v>
      </c>
      <c r="G46" s="12" t="s">
        <v>377</v>
      </c>
      <c r="H46" s="12" t="s">
        <v>378</v>
      </c>
      <c r="I46" s="12" t="b">
        <f>ISNUMBER(VALUE(LEFT(Customer[[#This Row],[Address Line 3 (30 char)]],1)))</f>
        <v>0</v>
      </c>
      <c r="J46" s="12" t="s">
        <v>52</v>
      </c>
      <c r="K46" s="12">
        <v>86000</v>
      </c>
      <c r="L46" s="12" t="s">
        <v>35</v>
      </c>
      <c r="M46" s="13">
        <v>201403027305</v>
      </c>
      <c r="N46" s="14" t="s">
        <v>379</v>
      </c>
      <c r="O46" s="14" t="e">
        <v>#N/A</v>
      </c>
      <c r="P46" s="14" t="e">
        <v>#N/A</v>
      </c>
      <c r="Q46" s="19" t="s">
        <v>380</v>
      </c>
      <c r="R46" s="15" t="s">
        <v>381</v>
      </c>
      <c r="S46" s="15" t="s">
        <v>37</v>
      </c>
      <c r="T46" s="16" t="s">
        <v>38</v>
      </c>
      <c r="U46" s="11" t="str">
        <f>_xlfn.XLOOKUP(Customer[[#This Row],[Customer ID]],[1]!Address[ID],[1]!Address[Phone No.(2)])</f>
        <v/>
      </c>
      <c r="V46" s="11" t="str">
        <f>_xlfn.XLOOKUP(Customer[[#This Row],[Customer ID]],[1]!Address[ID],[1]!Address[Type])</f>
        <v>PETROMART</v>
      </c>
      <c r="W46" s="11" t="str">
        <f>_xlfn.XLOOKUP(Customer[[#This Row],[Customer ID]],[1]!Address[ID],[1]!Address[CT])</f>
        <v>30 DAYS</v>
      </c>
      <c r="X46" s="11" t="s">
        <v>39</v>
      </c>
      <c r="Y46" s="17" t="s">
        <v>40</v>
      </c>
      <c r="Z46" s="17" t="e">
        <f>_xlfn.XLOOKUP(Customer[[#This Row],[NewType]],$AF$36:$AF$54,$AG$36:$AG$54)</f>
        <v>#N/A</v>
      </c>
      <c r="AA46" s="17" t="s">
        <v>382</v>
      </c>
      <c r="AB46" s="11" t="str">
        <f>_xlfn.XLOOKUP(Customer[[#This Row],[Customer ID]],[1]!Address[ID],[1]!Address[Subtype])</f>
        <v>PETRONAS</v>
      </c>
      <c r="AC46" s="18" t="str">
        <f>_xlfn.XLOOKUP(Customer[[#This Row],[Customer ID]],[1]!Address[ID],[1]!Address[Zone])</f>
        <v>SOUTH</v>
      </c>
    </row>
    <row r="47" spans="1:29" x14ac:dyDescent="0.3">
      <c r="A47" s="10" t="s">
        <v>383</v>
      </c>
      <c r="B47" s="11" t="str">
        <f>_xlfn.XLOOKUP(Customer[[#This Row],[Customer ID]],[1]!Name[ID],[1]!Name[Description(1)])</f>
        <v>EXCEL GASOLENE TRADING</v>
      </c>
      <c r="C47" s="11" t="str">
        <f>_xlfn.XLOOKUP(Customer[[#This Row],[Customer ID]],[1]!Name[ID],[1]!Name[Description(2)])</f>
        <v>PS BANDAR BARU BERCHAM</v>
      </c>
      <c r="D47" s="11" t="str">
        <f>_xlfn.XLOOKUP(Customer[[#This Row],[Customer ID]],[1]!Address[ID],[1]!Address[PIC])</f>
        <v/>
      </c>
      <c r="E47" s="11" t="str">
        <f>_xlfn.XLOOKUP(Customer[[#This Row],[Customer ID]],[1]!Address[ID],[1]!Address[Full Address])</f>
        <v>PS BANDAR BARU BERCHAMPT 190562 HS(D) 176833,BANDAR BARU BERCHAM, MUKIM HULU KINTA,31400, IPOH, PERAK</v>
      </c>
      <c r="F47" s="12" t="s">
        <v>384</v>
      </c>
      <c r="G47" s="12" t="s">
        <v>385</v>
      </c>
      <c r="H47" s="12" t="s">
        <v>386</v>
      </c>
      <c r="I47" s="12" t="b">
        <f>ISNUMBER(VALUE(LEFT(Customer[[#This Row],[Address Line 3 (30 char)]],1)))</f>
        <v>0</v>
      </c>
      <c r="J47" s="12" t="s">
        <v>387</v>
      </c>
      <c r="K47" s="12">
        <v>31400</v>
      </c>
      <c r="L47" s="12" t="s">
        <v>35</v>
      </c>
      <c r="M47" s="13" t="e">
        <v>#N/A</v>
      </c>
      <c r="N47" s="14" t="e">
        <v>#N/A</v>
      </c>
      <c r="O47" s="14" t="e">
        <v>#N/A</v>
      </c>
      <c r="P47" s="14" t="e">
        <v>#N/A</v>
      </c>
      <c r="Q47" s="19" t="s">
        <v>388</v>
      </c>
      <c r="R47" s="15" t="s">
        <v>389</v>
      </c>
      <c r="S47" s="15" t="s">
        <v>37</v>
      </c>
      <c r="T47" s="16" t="s">
        <v>38</v>
      </c>
      <c r="U47" s="11" t="str">
        <f>_xlfn.XLOOKUP(Customer[[#This Row],[Customer ID]],[1]!Address[ID],[1]!Address[Phone No.(2)])</f>
        <v/>
      </c>
      <c r="V47" s="11" t="str">
        <f>_xlfn.XLOOKUP(Customer[[#This Row],[Customer ID]],[1]!Address[ID],[1]!Address[Type])</f>
        <v>PETROMART</v>
      </c>
      <c r="W47" s="11" t="str">
        <f>_xlfn.XLOOKUP(Customer[[#This Row],[Customer ID]],[1]!Address[ID],[1]!Address[CT])</f>
        <v>30 DAYS</v>
      </c>
      <c r="X47" s="11" t="s">
        <v>39</v>
      </c>
      <c r="Y47" s="17" t="s">
        <v>40</v>
      </c>
      <c r="Z47" s="17" t="e">
        <f>_xlfn.XLOOKUP(Customer[[#This Row],[NewType]],$AF$36:$AF$54,$AG$36:$AG$54)</f>
        <v>#N/A</v>
      </c>
      <c r="AA47" s="17" t="s">
        <v>390</v>
      </c>
      <c r="AB47" s="11" t="str">
        <f>_xlfn.XLOOKUP(Customer[[#This Row],[Customer ID]],[1]!Address[ID],[1]!Address[Subtype])</f>
        <v>PETRONAS</v>
      </c>
      <c r="AC47" s="18" t="str">
        <f>_xlfn.XLOOKUP(Customer[[#This Row],[Customer ID]],[1]!Address[ID],[1]!Address[Zone])</f>
        <v>NORTH</v>
      </c>
    </row>
    <row r="48" spans="1:29" x14ac:dyDescent="0.3">
      <c r="A48" s="10" t="s">
        <v>391</v>
      </c>
      <c r="B48" s="11" t="str">
        <f>_xlfn.XLOOKUP(Customer[[#This Row],[Customer ID]],[1]!Name[ID],[1]!Name[Description(1)])</f>
        <v>JN TAWAKAL ENT(M)SDN BHD</v>
      </c>
      <c r="C48" s="11" t="str">
        <f>_xlfn.XLOOKUP(Customer[[#This Row],[Customer ID]],[1]!Name[ID],[1]!Name[Description(2)])</f>
        <v>PS BANDAR BARU KAMPAR</v>
      </c>
      <c r="D48" s="11" t="str">
        <f>_xlfn.XLOOKUP(Customer[[#This Row],[Customer ID]],[1]!Address[ID],[1]!Address[PIC])</f>
        <v/>
      </c>
      <c r="E48" s="11" t="str">
        <f>_xlfn.XLOOKUP(Customer[[#This Row],[Customer ID]],[1]!Address[ID],[1]!Address[Full Address])</f>
        <v>PS BANDAR BARU KAMPARLOT 126025, JLN BATU SINAR,TAMAN BANDAR BARU KAMPAR,P31900 KAMPAR,  ERAK</v>
      </c>
      <c r="F48" s="12" t="s">
        <v>392</v>
      </c>
      <c r="G48" s="12" t="s">
        <v>393</v>
      </c>
      <c r="H48" s="12" t="s">
        <v>394</v>
      </c>
      <c r="I48" s="12" t="b">
        <f>ISNUMBER(VALUE(LEFT(Customer[[#This Row],[Address Line 3 (30 char)]],1)))</f>
        <v>0</v>
      </c>
      <c r="J48" s="12" t="s">
        <v>387</v>
      </c>
      <c r="K48" s="12">
        <v>31900</v>
      </c>
      <c r="L48" s="12" t="s">
        <v>35</v>
      </c>
      <c r="M48" s="13">
        <v>202401028937</v>
      </c>
      <c r="N48" s="14" t="s">
        <v>395</v>
      </c>
      <c r="O48" s="14" t="s">
        <v>54</v>
      </c>
      <c r="P48" s="14" t="e">
        <v>#N/A</v>
      </c>
      <c r="Q48" s="21" t="s">
        <v>396</v>
      </c>
      <c r="R48" s="15" t="s">
        <v>397</v>
      </c>
      <c r="S48" s="15" t="s">
        <v>74</v>
      </c>
      <c r="T48" s="16" t="s">
        <v>38</v>
      </c>
      <c r="U48" s="11" t="str">
        <f>_xlfn.XLOOKUP(Customer[[#This Row],[Customer ID]],[1]!Address[ID],[1]!Address[Phone No.(2)])</f>
        <v/>
      </c>
      <c r="V48" s="11" t="str">
        <f>_xlfn.XLOOKUP(Customer[[#This Row],[Customer ID]],[1]!Address[ID],[1]!Address[Type])</f>
        <v>PETROMART</v>
      </c>
      <c r="W48" s="11" t="str">
        <f>_xlfn.XLOOKUP(Customer[[#This Row],[Customer ID]],[1]!Address[ID],[1]!Address[CT])</f>
        <v>30 DAYS</v>
      </c>
      <c r="X48" s="11" t="s">
        <v>39</v>
      </c>
      <c r="Y48" s="17" t="s">
        <v>40</v>
      </c>
      <c r="Z48" s="17" t="e">
        <f>_xlfn.XLOOKUP(Customer[[#This Row],[NewType]],$AF$36:$AF$54,$AG$36:$AG$54)</f>
        <v>#N/A</v>
      </c>
      <c r="AA48" s="17" t="s">
        <v>398</v>
      </c>
      <c r="AB48" s="11" t="str">
        <f>_xlfn.XLOOKUP(Customer[[#This Row],[Customer ID]],[1]!Address[ID],[1]!Address[Subtype])</f>
        <v>PETRONAS</v>
      </c>
      <c r="AC48" s="18" t="str">
        <f>_xlfn.XLOOKUP(Customer[[#This Row],[Customer ID]],[1]!Address[ID],[1]!Address[Zone])</f>
        <v>NORTH</v>
      </c>
    </row>
    <row r="49" spans="1:29" x14ac:dyDescent="0.3">
      <c r="A49" s="10" t="s">
        <v>399</v>
      </c>
      <c r="B49" s="11" t="str">
        <f>_xlfn.XLOOKUP(Customer[[#This Row],[Customer ID]],[1]!Name[ID],[1]!Name[Description(1)])</f>
        <v>SITTEEN ENTERPRISE</v>
      </c>
      <c r="C49" s="11" t="str">
        <f>_xlfn.XLOOKUP(Customer[[#This Row],[Customer ID]],[1]!Name[ID],[1]!Name[Description(2)])</f>
        <v>PS BANDAR AYER ITAM (FARLIM)</v>
      </c>
      <c r="D49" s="11" t="str">
        <f>_xlfn.XLOOKUP(Customer[[#This Row],[Customer ID]],[1]!Address[ID],[1]!Address[PIC])</f>
        <v>SHAMSIAH BINTI</v>
      </c>
      <c r="E49" s="11" t="str">
        <f>_xlfn.XLOOKUP(Customer[[#This Row],[Customer ID]],[1]!Address[ID],[1]!Address[Full Address])</f>
        <v>PS BANDAR AYER ITAM (FARLIM)LOT 7750,7751,7753, JALAN ANGSANA,MUKIM 13, BANDAR BARU AIR HITAM,11500 AYER ITAM,PULAU PINANG</v>
      </c>
      <c r="F49" s="12" t="s">
        <v>400</v>
      </c>
      <c r="G49" s="12" t="s">
        <v>401</v>
      </c>
      <c r="H49" s="12" t="s">
        <v>378</v>
      </c>
      <c r="I49" s="12" t="b">
        <f>ISNUMBER(VALUE(LEFT(Customer[[#This Row],[Address Line 3 (30 char)]],1)))</f>
        <v>0</v>
      </c>
      <c r="J49" s="12" t="s">
        <v>179</v>
      </c>
      <c r="K49" s="12">
        <v>11500</v>
      </c>
      <c r="L49" s="12" t="s">
        <v>35</v>
      </c>
      <c r="M49" s="13">
        <v>201903164869</v>
      </c>
      <c r="N49" s="14" t="s">
        <v>402</v>
      </c>
      <c r="O49" s="14" t="e">
        <v>#N/A</v>
      </c>
      <c r="P49" s="14" t="e">
        <v>#N/A</v>
      </c>
      <c r="Q49" s="19" t="s">
        <v>403</v>
      </c>
      <c r="R49" s="15" t="s">
        <v>404</v>
      </c>
      <c r="S49" s="15" t="s">
        <v>37</v>
      </c>
      <c r="T49" s="16" t="s">
        <v>38</v>
      </c>
      <c r="U49" s="11" t="str">
        <f>_xlfn.XLOOKUP(Customer[[#This Row],[Customer ID]],[1]!Address[ID],[1]!Address[Phone No.(2)])</f>
        <v>019-4700699</v>
      </c>
      <c r="V49" s="11" t="str">
        <f>_xlfn.XLOOKUP(Customer[[#This Row],[Customer ID]],[1]!Address[ID],[1]!Address[Type])</f>
        <v>PETROMART</v>
      </c>
      <c r="W49" s="11" t="str">
        <f>_xlfn.XLOOKUP(Customer[[#This Row],[Customer ID]],[1]!Address[ID],[1]!Address[CT])</f>
        <v>30 DAYS</v>
      </c>
      <c r="X49" s="11" t="s">
        <v>39</v>
      </c>
      <c r="Y49" s="17" t="s">
        <v>40</v>
      </c>
      <c r="Z49" s="17" t="e">
        <f>_xlfn.XLOOKUP(Customer[[#This Row],[NewType]],$AF$36:$AF$54,$AG$36:$AG$54)</f>
        <v>#N/A</v>
      </c>
      <c r="AA49" s="17" t="s">
        <v>405</v>
      </c>
      <c r="AB49" s="11" t="str">
        <f>_xlfn.XLOOKUP(Customer[[#This Row],[Customer ID]],[1]!Address[ID],[1]!Address[Subtype])</f>
        <v>PETRONAS</v>
      </c>
      <c r="AC49" s="18" t="str">
        <f>_xlfn.XLOOKUP(Customer[[#This Row],[Customer ID]],[1]!Address[ID],[1]!Address[Zone])</f>
        <v>NORTH</v>
      </c>
    </row>
    <row r="50" spans="1:29" x14ac:dyDescent="0.3">
      <c r="A50" s="10" t="s">
        <v>406</v>
      </c>
      <c r="B50" s="11" t="str">
        <f>_xlfn.XLOOKUP(Customer[[#This Row],[Customer ID]],[1]!Name[ID],[1]!Name[Description(1)])</f>
        <v>SAUJANA RAWANG ENTERPRISE</v>
      </c>
      <c r="C50" s="11" t="str">
        <f>_xlfn.XLOOKUP(Customer[[#This Row],[Customer ID]],[1]!Name[ID],[1]!Name[Description(2)])</f>
        <v>PS BANDAR BARU RAWANG</v>
      </c>
      <c r="D50" s="11" t="str">
        <f>_xlfn.XLOOKUP(Customer[[#This Row],[Customer ID]],[1]!Address[ID],[1]!Address[PIC])</f>
        <v/>
      </c>
      <c r="E50" s="11" t="str">
        <f>_xlfn.XLOOKUP(Customer[[#This Row],[Customer ID]],[1]!Address[ID],[1]!Address[Full Address])</f>
        <v>PS BANDAR BARU RAWANGPLOT C BANDAR BARU RAWANG,48300 GOMBAK,SELANGOR</v>
      </c>
      <c r="F50" s="12" t="s">
        <v>407</v>
      </c>
      <c r="G50" s="12" t="s">
        <v>408</v>
      </c>
      <c r="H50" s="24" t="s">
        <v>409</v>
      </c>
      <c r="I50" s="24" t="b">
        <f>ISNUMBER(VALUE(LEFT(Customer[[#This Row],[Address Line 3 (30 char)]],1)))</f>
        <v>0</v>
      </c>
      <c r="J50" s="12" t="s">
        <v>172</v>
      </c>
      <c r="K50" s="12">
        <v>48300</v>
      </c>
      <c r="L50" s="12" t="s">
        <v>35</v>
      </c>
      <c r="M50" s="13" t="e">
        <v>#N/A</v>
      </c>
      <c r="N50" s="14" t="e">
        <v>#N/A</v>
      </c>
      <c r="O50" s="14" t="e">
        <v>#N/A</v>
      </c>
      <c r="P50" s="14" t="e">
        <v>#N/A</v>
      </c>
      <c r="Q50" s="19" t="s">
        <v>410</v>
      </c>
      <c r="R50" s="15" t="s">
        <v>411</v>
      </c>
      <c r="S50" s="15" t="s">
        <v>37</v>
      </c>
      <c r="T50" s="16" t="s">
        <v>38</v>
      </c>
      <c r="U50" s="11" t="str">
        <f>_xlfn.XLOOKUP(Customer[[#This Row],[Customer ID]],[1]!Address[ID],[1]!Address[Phone No.(2)])</f>
        <v/>
      </c>
      <c r="V50" s="11" t="str">
        <f>_xlfn.XLOOKUP(Customer[[#This Row],[Customer ID]],[1]!Address[ID],[1]!Address[Type])</f>
        <v>PETROMART</v>
      </c>
      <c r="W50" s="11" t="str">
        <f>_xlfn.XLOOKUP(Customer[[#This Row],[Customer ID]],[1]!Address[ID],[1]!Address[CT])</f>
        <v>30 DAYS</v>
      </c>
      <c r="X50" s="11" t="s">
        <v>39</v>
      </c>
      <c r="Y50" s="17" t="s">
        <v>40</v>
      </c>
      <c r="Z50" s="17" t="e">
        <f>_xlfn.XLOOKUP(Customer[[#This Row],[NewType]],$AF$36:$AF$54,$AG$36:$AG$54)</f>
        <v>#N/A</v>
      </c>
      <c r="AA50" s="17" t="s">
        <v>412</v>
      </c>
      <c r="AB50" s="11" t="str">
        <f>_xlfn.XLOOKUP(Customer[[#This Row],[Customer ID]],[1]!Address[ID],[1]!Address[Subtype])</f>
        <v>PETRONAS</v>
      </c>
      <c r="AC50" s="18" t="str">
        <f>_xlfn.XLOOKUP(Customer[[#This Row],[Customer ID]],[1]!Address[ID],[1]!Address[Zone])</f>
        <v>CENTRAL</v>
      </c>
    </row>
    <row r="51" spans="1:29" x14ac:dyDescent="0.3">
      <c r="A51" s="10" t="s">
        <v>413</v>
      </c>
      <c r="B51" s="11" t="str">
        <f>_xlfn.XLOOKUP(Customer[[#This Row],[Customer ID]],[1]!Name[ID],[1]!Name[Description(1)])</f>
        <v>BUKIT QURNIA ENTERPRISE</v>
      </c>
      <c r="C51" s="11" t="str">
        <f>_xlfn.XLOOKUP(Customer[[#This Row],[Customer ID]],[1]!Name[ID],[1]!Name[Description(2)])</f>
        <v>PS BANDAR BARU SALAK TINGGI</v>
      </c>
      <c r="D51" s="11" t="str">
        <f>_xlfn.XLOOKUP(Customer[[#This Row],[Customer ID]],[1]!Address[ID],[1]!Address[PIC])</f>
        <v>ZAINON BINTI MD</v>
      </c>
      <c r="E51" s="11" t="str">
        <f>_xlfn.XLOOKUP(Customer[[#This Row],[Customer ID]],[1]!Address[ID],[1]!Address[Full Address])</f>
        <v>PS BANDAR BARU SALAK TINGGILOT PT10621,HS(D) 4429, TAMAN BUNGA RAYABANDAR BARU SALAK TINGGI,43900 SEPANG, SELANGOR</v>
      </c>
      <c r="F51" s="12" t="s">
        <v>414</v>
      </c>
      <c r="G51" s="12" t="s">
        <v>415</v>
      </c>
      <c r="H51" s="12" t="s">
        <v>416</v>
      </c>
      <c r="I51" s="12" t="b">
        <f>ISNUMBER(VALUE(LEFT(Customer[[#This Row],[Address Line 3 (30 char)]],1)))</f>
        <v>0</v>
      </c>
      <c r="J51" s="12" t="s">
        <v>172</v>
      </c>
      <c r="K51" s="12">
        <v>43900</v>
      </c>
      <c r="L51" s="12" t="s">
        <v>35</v>
      </c>
      <c r="M51" s="13">
        <v>201503323350</v>
      </c>
      <c r="N51" s="14" t="s">
        <v>417</v>
      </c>
      <c r="O51" s="14" t="s">
        <v>54</v>
      </c>
      <c r="P51" s="14" t="s">
        <v>54</v>
      </c>
      <c r="Q51" s="19" t="s">
        <v>418</v>
      </c>
      <c r="R51" s="15" t="s">
        <v>419</v>
      </c>
      <c r="S51" s="15" t="s">
        <v>37</v>
      </c>
      <c r="T51" s="16" t="s">
        <v>38</v>
      </c>
      <c r="U51" s="11" t="str">
        <f>_xlfn.XLOOKUP(Customer[[#This Row],[Customer ID]],[1]!Address[ID],[1]!Address[Phone No.(2)])</f>
        <v/>
      </c>
      <c r="V51" s="11" t="str">
        <f>_xlfn.XLOOKUP(Customer[[#This Row],[Customer ID]],[1]!Address[ID],[1]!Address[Type])</f>
        <v>PETROMART</v>
      </c>
      <c r="W51" s="11" t="str">
        <f>_xlfn.XLOOKUP(Customer[[#This Row],[Customer ID]],[1]!Address[ID],[1]!Address[CT])</f>
        <v>30 DAYS</v>
      </c>
      <c r="X51" s="11" t="s">
        <v>39</v>
      </c>
      <c r="Y51" s="17" t="s">
        <v>40</v>
      </c>
      <c r="Z51" s="17" t="e">
        <f>_xlfn.XLOOKUP(Customer[[#This Row],[NewType]],$AF$36:$AF$54,$AG$36:$AG$54)</f>
        <v>#N/A</v>
      </c>
      <c r="AA51" s="17" t="s">
        <v>420</v>
      </c>
      <c r="AB51" s="11" t="str">
        <f>_xlfn.XLOOKUP(Customer[[#This Row],[Customer ID]],[1]!Address[ID],[1]!Address[Subtype])</f>
        <v>PETRONAS</v>
      </c>
      <c r="AC51" s="18" t="str">
        <f>_xlfn.XLOOKUP(Customer[[#This Row],[Customer ID]],[1]!Address[ID],[1]!Address[Zone])</f>
        <v>CENTRAL</v>
      </c>
    </row>
    <row r="52" spans="1:29" x14ac:dyDescent="0.3">
      <c r="A52" s="10" t="s">
        <v>421</v>
      </c>
      <c r="B52" s="11" t="str">
        <f>_xlfn.XLOOKUP(Customer[[#This Row],[Customer ID]],[1]!Name[ID],[1]!Name[Description(1)])</f>
        <v>Z TWO H ENTERPRISE</v>
      </c>
      <c r="C52" s="11" t="str">
        <f>_xlfn.XLOOKUP(Customer[[#This Row],[Customer ID]],[1]!Name[ID],[1]!Name[Description(2)])</f>
        <v>PS BANDAR BARU SELAYANG</v>
      </c>
      <c r="D52" s="11" t="str">
        <f>_xlfn.XLOOKUP(Customer[[#This Row],[Customer ID]],[1]!Address[ID],[1]!Address[PIC])</f>
        <v/>
      </c>
      <c r="E52" s="11" t="str">
        <f>_xlfn.XLOOKUP(Customer[[#This Row],[Customer ID]],[1]!Address[ID],[1]!Address[Full Address])</f>
        <v>PS BANDAR BARU SELAYANGLOT 60349, BANDAR BARU SELAYANG, ,FASA 2A, JALAN SUNGAI TUA BATU,68100 GOMBAK, SELANGOR</v>
      </c>
      <c r="F52" s="12" t="s">
        <v>422</v>
      </c>
      <c r="G52" s="12" t="s">
        <v>423</v>
      </c>
      <c r="H52" s="12" t="s">
        <v>424</v>
      </c>
      <c r="I52" s="12" t="b">
        <f>ISNUMBER(VALUE(LEFT(Customer[[#This Row],[Address Line 3 (30 char)]],1)))</f>
        <v>0</v>
      </c>
      <c r="J52" s="12" t="s">
        <v>172</v>
      </c>
      <c r="K52" s="12">
        <v>68100</v>
      </c>
      <c r="L52" s="12" t="s">
        <v>35</v>
      </c>
      <c r="M52" s="13" t="e">
        <v>#N/A</v>
      </c>
      <c r="N52" s="14" t="e">
        <v>#N/A</v>
      </c>
      <c r="O52" s="14" t="e">
        <v>#N/A</v>
      </c>
      <c r="P52" s="14" t="e">
        <v>#N/A</v>
      </c>
      <c r="Q52" s="19" t="s">
        <v>425</v>
      </c>
      <c r="R52" s="15" t="s">
        <v>426</v>
      </c>
      <c r="S52" s="15" t="s">
        <v>37</v>
      </c>
      <c r="T52" s="16" t="s">
        <v>38</v>
      </c>
      <c r="U52" s="11" t="str">
        <f>_xlfn.XLOOKUP(Customer[[#This Row],[Customer ID]],[1]!Address[ID],[1]!Address[Phone No.(2)])</f>
        <v/>
      </c>
      <c r="V52" s="11" t="str">
        <f>_xlfn.XLOOKUP(Customer[[#This Row],[Customer ID]],[1]!Address[ID],[1]!Address[Type])</f>
        <v>PETROMART</v>
      </c>
      <c r="W52" s="11" t="str">
        <f>_xlfn.XLOOKUP(Customer[[#This Row],[Customer ID]],[1]!Address[ID],[1]!Address[CT])</f>
        <v>30 DAYS</v>
      </c>
      <c r="X52" s="11" t="s">
        <v>39</v>
      </c>
      <c r="Y52" s="17" t="s">
        <v>40</v>
      </c>
      <c r="Z52" s="17" t="e">
        <f>_xlfn.XLOOKUP(Customer[[#This Row],[NewType]],$AF$36:$AF$54,$AG$36:$AG$54)</f>
        <v>#N/A</v>
      </c>
      <c r="AA52" s="17" t="s">
        <v>427</v>
      </c>
      <c r="AB52" s="11" t="str">
        <f>_xlfn.XLOOKUP(Customer[[#This Row],[Customer ID]],[1]!Address[ID],[1]!Address[Subtype])</f>
        <v>PETRONAS</v>
      </c>
      <c r="AC52" s="18" t="str">
        <f>_xlfn.XLOOKUP(Customer[[#This Row],[Customer ID]],[1]!Address[ID],[1]!Address[Zone])</f>
        <v>CENTRAL</v>
      </c>
    </row>
    <row r="53" spans="1:29" x14ac:dyDescent="0.3">
      <c r="A53" s="10" t="s">
        <v>428</v>
      </c>
      <c r="B53" s="11" t="str">
        <f>_xlfn.XLOOKUP(Customer[[#This Row],[Customer ID]],[1]!Name[ID],[1]!Name[Description(1)])</f>
        <v>KPF NIAGA SDN BHD</v>
      </c>
      <c r="C53" s="11" t="str">
        <f>_xlfn.XLOOKUP(Customer[[#This Row],[Customer ID]],[1]!Name[ID],[1]!Name[Description(2)])</f>
        <v>PS BANDAR BARU SERTING</v>
      </c>
      <c r="D53" s="11" t="str">
        <f>_xlfn.XLOOKUP(Customer[[#This Row],[Customer ID]],[1]!Address[ID],[1]!Address[PIC])</f>
        <v/>
      </c>
      <c r="E53" s="11" t="str">
        <f>_xlfn.XLOOKUP(Customer[[#This Row],[Customer ID]],[1]!Address[ID],[1]!Address[Full Address])</f>
        <v>PS BANDAR BARU SERTINGLOT 489, MUKIM SERTING ULU,JALAN JUASEH72100 BAHAU, NEGERI SEMBILAN</v>
      </c>
      <c r="F53" s="12" t="s">
        <v>429</v>
      </c>
      <c r="G53" s="12" t="s">
        <v>430</v>
      </c>
      <c r="H53" s="12" t="s">
        <v>431</v>
      </c>
      <c r="I53" s="12" t="b">
        <f>ISNUMBER(VALUE(LEFT(Customer[[#This Row],[Address Line 3 (30 char)]],1)))</f>
        <v>0</v>
      </c>
      <c r="J53" s="12" t="s">
        <v>203</v>
      </c>
      <c r="K53" s="12">
        <v>72100</v>
      </c>
      <c r="L53" s="12" t="s">
        <v>35</v>
      </c>
      <c r="M53" s="13">
        <v>201701047216</v>
      </c>
      <c r="N53" s="14" t="s">
        <v>432</v>
      </c>
      <c r="O53" s="14" t="s">
        <v>433</v>
      </c>
      <c r="P53" s="14">
        <v>46909</v>
      </c>
      <c r="Q53" s="19" t="s">
        <v>434</v>
      </c>
      <c r="R53" s="15" t="s">
        <v>435</v>
      </c>
      <c r="S53" s="15" t="s">
        <v>65</v>
      </c>
      <c r="T53" s="16" t="s">
        <v>38</v>
      </c>
      <c r="U53" s="11" t="str">
        <f>_xlfn.XLOOKUP(Customer[[#This Row],[Customer ID]],[1]!Address[ID],[1]!Address[Phone No.(2)])</f>
        <v/>
      </c>
      <c r="V53" s="11" t="str">
        <f>_xlfn.XLOOKUP(Customer[[#This Row],[Customer ID]],[1]!Address[ID],[1]!Address[Type])</f>
        <v>PETROMART</v>
      </c>
      <c r="W53" s="11" t="str">
        <f>_xlfn.XLOOKUP(Customer[[#This Row],[Customer ID]],[1]!Address[ID],[1]!Address[CT])</f>
        <v>30 DAYS</v>
      </c>
      <c r="X53" s="11" t="s">
        <v>39</v>
      </c>
      <c r="Y53" s="17" t="s">
        <v>40</v>
      </c>
      <c r="Z53" s="17" t="e">
        <f>_xlfn.XLOOKUP(Customer[[#This Row],[NewType]],$AF$36:$AF$54,$AG$36:$AG$54)</f>
        <v>#N/A</v>
      </c>
      <c r="AA53" s="17" t="s">
        <v>436</v>
      </c>
      <c r="AB53" s="11" t="str">
        <f>_xlfn.XLOOKUP(Customer[[#This Row],[Customer ID]],[1]!Address[ID],[1]!Address[Subtype])</f>
        <v>PETRONAS</v>
      </c>
      <c r="AC53" s="18" t="str">
        <f>_xlfn.XLOOKUP(Customer[[#This Row],[Customer ID]],[1]!Address[ID],[1]!Address[Zone])</f>
        <v>CENTRAL</v>
      </c>
    </row>
    <row r="54" spans="1:29" x14ac:dyDescent="0.3">
      <c r="A54" s="10" t="s">
        <v>437</v>
      </c>
      <c r="B54" s="11" t="str">
        <f>_xlfn.XLOOKUP(Customer[[#This Row],[Customer ID]],[1]!Name[ID],[1]!Name[Description(1)])</f>
        <v>STESEN UMMAH ENTERPRISE</v>
      </c>
      <c r="C54" s="11" t="str">
        <f>_xlfn.XLOOKUP(Customer[[#This Row],[Customer ID]],[1]!Name[ID],[1]!Name[Description(2)])</f>
        <v>PS BANDAR BARU TUNJONG</v>
      </c>
      <c r="D54" s="11" t="str">
        <f>_xlfn.XLOOKUP(Customer[[#This Row],[Customer ID]],[1]!Address[ID],[1]!Address[PIC])</f>
        <v/>
      </c>
      <c r="E54" s="11" t="str">
        <f>_xlfn.XLOOKUP(Customer[[#This Row],[Customer ID]],[1]!Address[ID],[1]!Address[Full Address])</f>
        <v>PS BANDAR BARU TUNJONGS/65, LOT 662, LEBUHRAYA JALANPASIR MAS-SALOR,15100, KOTA BHARU,KELANTAN</v>
      </c>
      <c r="F54" s="12" t="s">
        <v>438</v>
      </c>
      <c r="G54" s="12" t="s">
        <v>439</v>
      </c>
      <c r="H54" s="12" t="s">
        <v>440</v>
      </c>
      <c r="I54" s="12" t="b">
        <f>ISNUMBER(VALUE(LEFT(Customer[[#This Row],[Address Line 3 (30 char)]],1)))</f>
        <v>0</v>
      </c>
      <c r="J54" s="12" t="s">
        <v>441</v>
      </c>
      <c r="K54" s="12">
        <v>15100</v>
      </c>
      <c r="L54" s="12" t="s">
        <v>35</v>
      </c>
      <c r="M54" s="13">
        <v>201103229783</v>
      </c>
      <c r="N54" s="14" t="s">
        <v>442</v>
      </c>
      <c r="O54" s="14" t="s">
        <v>54</v>
      </c>
      <c r="P54" s="14">
        <v>47300</v>
      </c>
      <c r="Q54" s="19" t="s">
        <v>443</v>
      </c>
      <c r="R54" s="15" t="s">
        <v>444</v>
      </c>
      <c r="S54" s="15" t="s">
        <v>37</v>
      </c>
      <c r="T54" s="16" t="s">
        <v>38</v>
      </c>
      <c r="U54" s="11" t="str">
        <f>_xlfn.XLOOKUP(Customer[[#This Row],[Customer ID]],[1]!Address[ID],[1]!Address[Phone No.(2)])</f>
        <v/>
      </c>
      <c r="V54" s="11" t="str">
        <f>_xlfn.XLOOKUP(Customer[[#This Row],[Customer ID]],[1]!Address[ID],[1]!Address[Type])</f>
        <v>PETROMART</v>
      </c>
      <c r="W54" s="11" t="str">
        <f>_xlfn.XLOOKUP(Customer[[#This Row],[Customer ID]],[1]!Address[ID],[1]!Address[CT])</f>
        <v>30 DAYS</v>
      </c>
      <c r="X54" s="11" t="s">
        <v>39</v>
      </c>
      <c r="Y54" s="17" t="s">
        <v>40</v>
      </c>
      <c r="Z54" s="17" t="e">
        <f>_xlfn.XLOOKUP(Customer[[#This Row],[NewType]],$AF$36:$AF$54,$AG$36:$AG$54)</f>
        <v>#N/A</v>
      </c>
      <c r="AA54" s="17" t="s">
        <v>445</v>
      </c>
      <c r="AB54" s="11" t="str">
        <f>_xlfn.XLOOKUP(Customer[[#This Row],[Customer ID]],[1]!Address[ID],[1]!Address[Subtype])</f>
        <v>PETRONAS</v>
      </c>
      <c r="AC54" s="18" t="str">
        <f>_xlfn.XLOOKUP(Customer[[#This Row],[Customer ID]],[1]!Address[ID],[1]!Address[Zone])</f>
        <v>EAST COAST</v>
      </c>
    </row>
    <row r="55" spans="1:29" x14ac:dyDescent="0.3">
      <c r="A55" s="10" t="s">
        <v>446</v>
      </c>
      <c r="B55" s="11" t="str">
        <f>_xlfn.XLOOKUP(Customer[[#This Row],[Customer ID]],[1]!Name[ID],[1]!Name[Description(1)])</f>
        <v>ILTIZAM MAFZA PETROMART</v>
      </c>
      <c r="C55" s="11" t="str">
        <f>_xlfn.XLOOKUP(Customer[[#This Row],[Customer ID]],[1]!Name[ID],[1]!Name[Description(2)])</f>
        <v>PS BANDAR BARU UDA 1</v>
      </c>
      <c r="D55" s="11" t="str">
        <f>_xlfn.XLOOKUP(Customer[[#This Row],[Customer ID]],[1]!Address[ID],[1]!Address[PIC])</f>
        <v/>
      </c>
      <c r="E55" s="11" t="str">
        <f>_xlfn.XLOOKUP(Customer[[#This Row],[Customer ID]],[1]!Address[ID],[1]!Address[Full Address])</f>
        <v>PS BANDAR BARU UDA 1LOT 12105, BANDAR BARU UDA,BATU 4 1/2, JLN SKUDAI,81200, JOHOR BAHRU,</v>
      </c>
      <c r="F55" s="12" t="s">
        <v>447</v>
      </c>
      <c r="G55" s="12" t="s">
        <v>448</v>
      </c>
      <c r="H55" s="12" t="s">
        <v>449</v>
      </c>
      <c r="I55" s="12" t="b">
        <f>ISNUMBER(VALUE(LEFT(Customer[[#This Row],[Address Line 3 (30 char)]],1)))</f>
        <v>0</v>
      </c>
      <c r="J55" s="12" t="s">
        <v>52</v>
      </c>
      <c r="K55" s="12">
        <v>81200</v>
      </c>
      <c r="L55" s="12" t="s">
        <v>35</v>
      </c>
      <c r="M55" s="13">
        <v>200103097717</v>
      </c>
      <c r="N55" s="14" t="e">
        <v>#N/A</v>
      </c>
      <c r="O55" s="14" t="s">
        <v>54</v>
      </c>
      <c r="P55" s="14">
        <v>47300</v>
      </c>
      <c r="Q55" s="21" t="s">
        <v>450</v>
      </c>
      <c r="R55" s="15" t="s">
        <v>451</v>
      </c>
      <c r="S55" s="15" t="s">
        <v>37</v>
      </c>
      <c r="T55" s="16" t="s">
        <v>38</v>
      </c>
      <c r="U55" s="11" t="str">
        <f>_xlfn.XLOOKUP(Customer[[#This Row],[Customer ID]],[1]!Address[ID],[1]!Address[Phone No.(2)])</f>
        <v/>
      </c>
      <c r="V55" s="11" t="str">
        <f>_xlfn.XLOOKUP(Customer[[#This Row],[Customer ID]],[1]!Address[ID],[1]!Address[Type])</f>
        <v>PETROMART</v>
      </c>
      <c r="W55" s="11" t="str">
        <f>_xlfn.XLOOKUP(Customer[[#This Row],[Customer ID]],[1]!Address[ID],[1]!Address[CT])</f>
        <v>30 DAYS</v>
      </c>
      <c r="X55" s="11" t="s">
        <v>39</v>
      </c>
      <c r="Y55" s="17" t="s">
        <v>40</v>
      </c>
      <c r="Z55" s="17" t="e">
        <f>_xlfn.XLOOKUP(Customer[[#This Row],[NewType]],$AF$36:$AF$54,$AG$36:$AG$54)</f>
        <v>#N/A</v>
      </c>
      <c r="AA55" s="17" t="s">
        <v>452</v>
      </c>
      <c r="AB55" s="11" t="str">
        <f>_xlfn.XLOOKUP(Customer[[#This Row],[Customer ID]],[1]!Address[ID],[1]!Address[Subtype])</f>
        <v>PETRONAS</v>
      </c>
      <c r="AC55" s="18" t="str">
        <f>_xlfn.XLOOKUP(Customer[[#This Row],[Customer ID]],[1]!Address[ID],[1]!Address[Zone])</f>
        <v>SOUTH</v>
      </c>
    </row>
    <row r="56" spans="1:29" x14ac:dyDescent="0.3">
      <c r="A56" s="10" t="s">
        <v>453</v>
      </c>
      <c r="B56" s="11" t="str">
        <f>_xlfn.XLOOKUP(Customer[[#This Row],[Customer ID]],[1]!Name[ID],[1]!Name[Description(1)])</f>
        <v>SITIHAM BBU ENTERPRISE</v>
      </c>
      <c r="C56" s="11" t="str">
        <f>_xlfn.XLOOKUP(Customer[[#This Row],[Customer ID]],[1]!Name[ID],[1]!Name[Description(2)])</f>
        <v>PS BANDAR BARU UDA 2</v>
      </c>
      <c r="D56" s="11" t="str">
        <f>_xlfn.XLOOKUP(Customer[[#This Row],[Customer ID]],[1]!Address[ID],[1]!Address[PIC])</f>
        <v/>
      </c>
      <c r="E56" s="11" t="str">
        <f>_xlfn.XLOOKUP(Customer[[#This Row],[Customer ID]],[1]!Address[ID],[1]!Address[Full Address])</f>
        <v>PS BANDAR BARU UDA 2LOT PTB 16964, JALAN PADI MALINJA 3,BANDAR BARU UDA, JOHOR81200 JOHOR BAHRU, JOHOR</v>
      </c>
      <c r="F56" s="12" t="s">
        <v>454</v>
      </c>
      <c r="G56" s="12" t="s">
        <v>455</v>
      </c>
      <c r="H56" s="12" t="s">
        <v>456</v>
      </c>
      <c r="I56" s="12" t="b">
        <f>ISNUMBER(VALUE(LEFT(Customer[[#This Row],[Address Line 3 (30 char)]],1)))</f>
        <v>0</v>
      </c>
      <c r="J56" s="12" t="s">
        <v>52</v>
      </c>
      <c r="K56" s="12">
        <v>81200</v>
      </c>
      <c r="L56" s="12" t="s">
        <v>35</v>
      </c>
      <c r="M56" s="13" t="e">
        <v>#N/A</v>
      </c>
      <c r="N56" s="14" t="e">
        <v>#N/A</v>
      </c>
      <c r="O56" s="14" t="e">
        <v>#N/A</v>
      </c>
      <c r="P56" s="14" t="e">
        <v>#N/A</v>
      </c>
      <c r="Q56" s="19" t="s">
        <v>457</v>
      </c>
      <c r="R56" s="15" t="s">
        <v>458</v>
      </c>
      <c r="S56" s="15" t="s">
        <v>37</v>
      </c>
      <c r="T56" s="16" t="s">
        <v>38</v>
      </c>
      <c r="U56" s="11" t="str">
        <f>_xlfn.XLOOKUP(Customer[[#This Row],[Customer ID]],[1]!Address[ID],[1]!Address[Phone No.(2)])</f>
        <v/>
      </c>
      <c r="V56" s="11" t="str">
        <f>_xlfn.XLOOKUP(Customer[[#This Row],[Customer ID]],[1]!Address[ID],[1]!Address[Type])</f>
        <v>PETROMART</v>
      </c>
      <c r="W56" s="11" t="str">
        <f>_xlfn.XLOOKUP(Customer[[#This Row],[Customer ID]],[1]!Address[ID],[1]!Address[CT])</f>
        <v>30 DAYS</v>
      </c>
      <c r="X56" s="11" t="s">
        <v>39</v>
      </c>
      <c r="Y56" s="17" t="s">
        <v>40</v>
      </c>
      <c r="Z56" s="17" t="e">
        <f>_xlfn.XLOOKUP(Customer[[#This Row],[NewType]],$AF$36:$AF$54,$AG$36:$AG$54)</f>
        <v>#N/A</v>
      </c>
      <c r="AA56" s="17" t="s">
        <v>459</v>
      </c>
      <c r="AB56" s="11" t="str">
        <f>_xlfn.XLOOKUP(Customer[[#This Row],[Customer ID]],[1]!Address[ID],[1]!Address[Subtype])</f>
        <v>PETRONAS</v>
      </c>
      <c r="AC56" s="18" t="str">
        <f>_xlfn.XLOOKUP(Customer[[#This Row],[Customer ID]],[1]!Address[ID],[1]!Address[Zone])</f>
        <v>SOUTH</v>
      </c>
    </row>
    <row r="57" spans="1:29" x14ac:dyDescent="0.3">
      <c r="A57" s="10" t="s">
        <v>460</v>
      </c>
      <c r="B57" s="11" t="str">
        <f>_xlfn.XLOOKUP(Customer[[#This Row],[Customer ID]],[1]!Name[ID],[1]!Name[Description(1)])</f>
        <v>BUKIT TINGGI PRIMAX ENTERPRISE</v>
      </c>
      <c r="C57" s="11" t="str">
        <f>_xlfn.XLOOKUP(Customer[[#This Row],[Customer ID]],[1]!Name[ID],[1]!Name[Description(2)])</f>
        <v>PS BANDAR BUKIT TINGGI 1</v>
      </c>
      <c r="D57" s="11" t="str">
        <f>_xlfn.XLOOKUP(Customer[[#This Row],[Customer ID]],[1]!Address[ID],[1]!Address[PIC])</f>
        <v/>
      </c>
      <c r="E57" s="11" t="str">
        <f>_xlfn.XLOOKUP(Customer[[#This Row],[Customer ID]],[1]!Address[ID],[1]!Address[Full Address])</f>
        <v>PS BANDAR BUKIT TINGGI 1PART OF LOT 7725BANDAR BUKIT TINGGI41200 KLANG, SELANGOR</v>
      </c>
      <c r="F57" s="12" t="s">
        <v>461</v>
      </c>
      <c r="G57" s="12" t="s">
        <v>462</v>
      </c>
      <c r="H57" s="12" t="s">
        <v>463</v>
      </c>
      <c r="I57" s="12" t="b">
        <f>ISNUMBER(VALUE(LEFT(Customer[[#This Row],[Address Line 3 (30 char)]],1)))</f>
        <v>0</v>
      </c>
      <c r="J57" s="12" t="s">
        <v>172</v>
      </c>
      <c r="K57" s="12">
        <v>41200</v>
      </c>
      <c r="L57" s="12" t="s">
        <v>35</v>
      </c>
      <c r="M57" s="13">
        <v>200203105829</v>
      </c>
      <c r="N57" s="14" t="s">
        <v>464</v>
      </c>
      <c r="O57" s="14" t="s">
        <v>54</v>
      </c>
      <c r="P57" s="14">
        <v>47300</v>
      </c>
      <c r="Q57" s="19" t="s">
        <v>465</v>
      </c>
      <c r="R57" s="15" t="s">
        <v>466</v>
      </c>
      <c r="S57" s="15" t="s">
        <v>37</v>
      </c>
      <c r="T57" s="16" t="s">
        <v>38</v>
      </c>
      <c r="U57" s="11" t="str">
        <f>_xlfn.XLOOKUP(Customer[[#This Row],[Customer ID]],[1]!Address[ID],[1]!Address[Phone No.(2)])</f>
        <v/>
      </c>
      <c r="V57" s="11" t="str">
        <f>_xlfn.XLOOKUP(Customer[[#This Row],[Customer ID]],[1]!Address[ID],[1]!Address[Type])</f>
        <v>PETROMART</v>
      </c>
      <c r="W57" s="11" t="str">
        <f>_xlfn.XLOOKUP(Customer[[#This Row],[Customer ID]],[1]!Address[ID],[1]!Address[CT])</f>
        <v>30 DAYS</v>
      </c>
      <c r="X57" s="11" t="s">
        <v>39</v>
      </c>
      <c r="Y57" s="17" t="s">
        <v>40</v>
      </c>
      <c r="Z57" s="17" t="e">
        <f>_xlfn.XLOOKUP(Customer[[#This Row],[NewType]],$AF$36:$AF$54,$AG$36:$AG$54)</f>
        <v>#N/A</v>
      </c>
      <c r="AA57" s="17" t="s">
        <v>467</v>
      </c>
      <c r="AB57" s="11" t="str">
        <f>_xlfn.XLOOKUP(Customer[[#This Row],[Customer ID]],[1]!Address[ID],[1]!Address[Subtype])</f>
        <v>PETRONAS</v>
      </c>
      <c r="AC57" s="18" t="str">
        <f>_xlfn.XLOOKUP(Customer[[#This Row],[Customer ID]],[1]!Address[ID],[1]!Address[Zone])</f>
        <v>CENTRAL</v>
      </c>
    </row>
    <row r="58" spans="1:29" x14ac:dyDescent="0.3">
      <c r="A58" s="10" t="s">
        <v>468</v>
      </c>
      <c r="B58" s="11" t="str">
        <f>_xlfn.XLOOKUP(Customer[[#This Row],[Customer ID]],[1]!Name[ID],[1]!Name[Description(1)])</f>
        <v>STESYEN SRI LARIS</v>
      </c>
      <c r="C58" s="11" t="str">
        <f>_xlfn.XLOOKUP(Customer[[#This Row],[Customer ID]],[1]!Name[ID],[1]!Name[Description(2)])</f>
        <v>PS BANDAR BUKIT TINGGI 2</v>
      </c>
      <c r="D58" s="11" t="str">
        <f>_xlfn.XLOOKUP(Customer[[#This Row],[Customer ID]],[1]!Address[ID],[1]!Address[PIC])</f>
        <v/>
      </c>
      <c r="E58" s="11" t="str">
        <f>_xlfn.XLOOKUP(Customer[[#This Row],[Customer ID]],[1]!Address[ID],[1]!Address[Full Address])</f>
        <v>PS BANDAR BUKIT TINGGI 2LOT 1 BANDAR BUKIT TINGGI,41200 KLANG,SELANGOR</v>
      </c>
      <c r="F58" s="12" t="s">
        <v>469</v>
      </c>
      <c r="G58" s="12" t="s">
        <v>470</v>
      </c>
      <c r="H58" s="24" t="s">
        <v>471</v>
      </c>
      <c r="I58" s="24" t="b">
        <f>ISNUMBER(VALUE(LEFT(Customer[[#This Row],[Address Line 3 (30 char)]],1)))</f>
        <v>0</v>
      </c>
      <c r="J58" s="12" t="s">
        <v>172</v>
      </c>
      <c r="K58" s="12">
        <v>41200</v>
      </c>
      <c r="L58" s="12" t="s">
        <v>35</v>
      </c>
      <c r="M58" s="13" t="e">
        <v>#N/A</v>
      </c>
      <c r="N58" s="14" t="e">
        <v>#N/A</v>
      </c>
      <c r="O58" s="14" t="e">
        <v>#N/A</v>
      </c>
      <c r="P58" s="14" t="e">
        <v>#N/A</v>
      </c>
      <c r="Q58" s="19" t="s">
        <v>472</v>
      </c>
      <c r="R58" s="15" t="s">
        <v>473</v>
      </c>
      <c r="S58" s="15" t="s">
        <v>37</v>
      </c>
      <c r="T58" s="16" t="s">
        <v>38</v>
      </c>
      <c r="U58" s="11" t="str">
        <f>_xlfn.XLOOKUP(Customer[[#This Row],[Customer ID]],[1]!Address[ID],[1]!Address[Phone No.(2)])</f>
        <v/>
      </c>
      <c r="V58" s="11" t="str">
        <f>_xlfn.XLOOKUP(Customer[[#This Row],[Customer ID]],[1]!Address[ID],[1]!Address[Type])</f>
        <v>PETROMART</v>
      </c>
      <c r="W58" s="11" t="str">
        <f>_xlfn.XLOOKUP(Customer[[#This Row],[Customer ID]],[1]!Address[ID],[1]!Address[CT])</f>
        <v>30 DAYS</v>
      </c>
      <c r="X58" s="11" t="s">
        <v>39</v>
      </c>
      <c r="Y58" s="17" t="s">
        <v>40</v>
      </c>
      <c r="Z58" s="17" t="e">
        <f>_xlfn.XLOOKUP(Customer[[#This Row],[NewType]],$AF$36:$AF$54,$AG$36:$AG$54)</f>
        <v>#N/A</v>
      </c>
      <c r="AA58" s="17" t="s">
        <v>474</v>
      </c>
      <c r="AB58" s="11" t="str">
        <f>_xlfn.XLOOKUP(Customer[[#This Row],[Customer ID]],[1]!Address[ID],[1]!Address[Subtype])</f>
        <v>PETRONAS</v>
      </c>
      <c r="AC58" s="18" t="str">
        <f>_xlfn.XLOOKUP(Customer[[#This Row],[Customer ID]],[1]!Address[ID],[1]!Address[Zone])</f>
        <v>CENTRAL</v>
      </c>
    </row>
    <row r="59" spans="1:29" x14ac:dyDescent="0.3">
      <c r="A59" s="10" t="s">
        <v>475</v>
      </c>
      <c r="B59" s="11" t="str">
        <f>_xlfn.XLOOKUP(Customer[[#This Row],[Customer ID]],[1]!Name[ID],[1]!Name[Description(1)])</f>
        <v>ZR MESRA STATION</v>
      </c>
      <c r="C59" s="11" t="str">
        <f>_xlfn.XLOOKUP(Customer[[#This Row],[Customer ID]],[1]!Name[ID],[1]!Name[Description(2)])</f>
        <v>PS BANDAR DARULAMAN</v>
      </c>
      <c r="D59" s="11" t="str">
        <f>_xlfn.XLOOKUP(Customer[[#This Row],[Customer ID]],[1]!Address[ID],[1]!Address[PIC])</f>
        <v/>
      </c>
      <c r="E59" s="11" t="str">
        <f>_xlfn.XLOOKUP(Customer[[#This Row],[Customer ID]],[1]!Address[ID],[1]!Address[Full Address])</f>
        <v>PS BANDAR DARULAMANLOT 78,BANDAR DARULAMAN,06600 KUBANG PASU,KEDAH</v>
      </c>
      <c r="F59" s="12" t="s">
        <v>476</v>
      </c>
      <c r="G59" s="12" t="s">
        <v>477</v>
      </c>
      <c r="H59" s="24" t="s">
        <v>478</v>
      </c>
      <c r="I59" s="24" t="b">
        <f>ISNUMBER(VALUE(LEFT(Customer[[#This Row],[Address Line 3 (30 char)]],1)))</f>
        <v>0</v>
      </c>
      <c r="J59" s="12" t="s">
        <v>79</v>
      </c>
      <c r="K59" s="20" t="s">
        <v>479</v>
      </c>
      <c r="L59" s="12" t="s">
        <v>35</v>
      </c>
      <c r="M59" s="13">
        <v>202103175663</v>
      </c>
      <c r="N59" s="14" t="s">
        <v>480</v>
      </c>
      <c r="O59" s="14" t="s">
        <v>54</v>
      </c>
      <c r="P59" s="14">
        <v>47300</v>
      </c>
      <c r="Q59" s="21" t="s">
        <v>481</v>
      </c>
      <c r="R59" s="15" t="s">
        <v>482</v>
      </c>
      <c r="S59" s="15" t="s">
        <v>74</v>
      </c>
      <c r="T59" s="16" t="s">
        <v>38</v>
      </c>
      <c r="U59" s="11" t="str">
        <f>_xlfn.XLOOKUP(Customer[[#This Row],[Customer ID]],[1]!Address[ID],[1]!Address[Phone No.(2)])</f>
        <v/>
      </c>
      <c r="V59" s="11" t="str">
        <f>_xlfn.XLOOKUP(Customer[[#This Row],[Customer ID]],[1]!Address[ID],[1]!Address[Type])</f>
        <v>PETROMART</v>
      </c>
      <c r="W59" s="11" t="str">
        <f>_xlfn.XLOOKUP(Customer[[#This Row],[Customer ID]],[1]!Address[ID],[1]!Address[CT])</f>
        <v>30 DAYS</v>
      </c>
      <c r="X59" s="11" t="s">
        <v>39</v>
      </c>
      <c r="Y59" s="17" t="s">
        <v>40</v>
      </c>
      <c r="Z59" s="17" t="e">
        <f>_xlfn.XLOOKUP(Customer[[#This Row],[NewType]],$AF$36:$AF$54,$AG$36:$AG$54)</f>
        <v>#N/A</v>
      </c>
      <c r="AA59" s="17" t="s">
        <v>483</v>
      </c>
      <c r="AB59" s="11" t="str">
        <f>_xlfn.XLOOKUP(Customer[[#This Row],[Customer ID]],[1]!Address[ID],[1]!Address[Subtype])</f>
        <v>PETRONAS</v>
      </c>
      <c r="AC59" s="18" t="str">
        <f>_xlfn.XLOOKUP(Customer[[#This Row],[Customer ID]],[1]!Address[ID],[1]!Address[Zone])</f>
        <v>NORTH</v>
      </c>
    </row>
    <row r="60" spans="1:29" x14ac:dyDescent="0.3">
      <c r="A60" s="10" t="s">
        <v>484</v>
      </c>
      <c r="B60" s="11" t="str">
        <f>_xlfn.XLOOKUP(Customer[[#This Row],[Customer ID]],[1]!Name[ID],[1]!Name[Description(1)])</f>
        <v>MY QAIRA ENTERPRISE</v>
      </c>
      <c r="C60" s="11" t="str">
        <f>_xlfn.XLOOKUP(Customer[[#This Row],[Customer ID]],[1]!Name[ID],[1]!Name[Description(2)])</f>
        <v>PS BANDAR DATO ONN</v>
      </c>
      <c r="D60" s="11" t="str">
        <f>_xlfn.XLOOKUP(Customer[[#This Row],[Customer ID]],[1]!Address[ID],[1]!Address[PIC])</f>
        <v/>
      </c>
      <c r="E60" s="11" t="str">
        <f>_xlfn.XLOOKUP(Customer[[#This Row],[Customer ID]],[1]!Address[ID],[1]!Address[Full Address])</f>
        <v>PS BANDAR DATO ONNHS(D) 584415, PTD 19807,JALAN DATO ONN UTAMA,MUKIM TEBRAU, 81100 JOHOR BAHRU, JOHOR</v>
      </c>
      <c r="F60" s="12" t="s">
        <v>485</v>
      </c>
      <c r="G60" s="12" t="s">
        <v>486</v>
      </c>
      <c r="H60" s="12" t="s">
        <v>487</v>
      </c>
      <c r="I60" s="12" t="b">
        <f>ISNUMBER(VALUE(LEFT(Customer[[#This Row],[Address Line 3 (30 char)]],1)))</f>
        <v>0</v>
      </c>
      <c r="J60" s="12" t="s">
        <v>52</v>
      </c>
      <c r="K60" s="12">
        <v>81100</v>
      </c>
      <c r="L60" s="12" t="s">
        <v>35</v>
      </c>
      <c r="M60" s="13" t="e">
        <v>#N/A</v>
      </c>
      <c r="N60" s="14" t="e">
        <v>#N/A</v>
      </c>
      <c r="O60" s="14" t="e">
        <v>#N/A</v>
      </c>
      <c r="P60" s="14" t="e">
        <v>#N/A</v>
      </c>
      <c r="Q60" s="19" t="s">
        <v>488</v>
      </c>
      <c r="R60" s="15" t="s">
        <v>489</v>
      </c>
      <c r="S60" s="15" t="s">
        <v>37</v>
      </c>
      <c r="T60" s="16" t="s">
        <v>38</v>
      </c>
      <c r="U60" s="11" t="str">
        <f>_xlfn.XLOOKUP(Customer[[#This Row],[Customer ID]],[1]!Address[ID],[1]!Address[Phone No.(2)])</f>
        <v/>
      </c>
      <c r="V60" s="11" t="str">
        <f>_xlfn.XLOOKUP(Customer[[#This Row],[Customer ID]],[1]!Address[ID],[1]!Address[Type])</f>
        <v>PETROMART</v>
      </c>
      <c r="W60" s="11" t="str">
        <f>_xlfn.XLOOKUP(Customer[[#This Row],[Customer ID]],[1]!Address[ID],[1]!Address[CT])</f>
        <v>30 DAYS</v>
      </c>
      <c r="X60" s="11" t="s">
        <v>39</v>
      </c>
      <c r="Y60" s="17" t="s">
        <v>40</v>
      </c>
      <c r="Z60" s="17" t="e">
        <f>_xlfn.XLOOKUP(Customer[[#This Row],[NewType]],$AF$36:$AF$54,$AG$36:$AG$54)</f>
        <v>#N/A</v>
      </c>
      <c r="AA60" s="17" t="s">
        <v>490</v>
      </c>
      <c r="AB60" s="11" t="str">
        <f>_xlfn.XLOOKUP(Customer[[#This Row],[Customer ID]],[1]!Address[ID],[1]!Address[Subtype])</f>
        <v>PETRONAS</v>
      </c>
      <c r="AC60" s="18" t="str">
        <f>_xlfn.XLOOKUP(Customer[[#This Row],[Customer ID]],[1]!Address[ID],[1]!Address[Zone])</f>
        <v>SOUTH</v>
      </c>
    </row>
    <row r="61" spans="1:29" x14ac:dyDescent="0.3">
      <c r="A61" s="10" t="s">
        <v>491</v>
      </c>
      <c r="B61" s="11" t="str">
        <f>_xlfn.XLOOKUP(Customer[[#This Row],[Customer ID]],[1]!Name[ID],[1]!Name[Description(1)])</f>
        <v>NAJAH SERVICES</v>
      </c>
      <c r="C61" s="11" t="str">
        <f>_xlfn.XLOOKUP(Customer[[#This Row],[Customer ID]],[1]!Name[ID],[1]!Name[Description(2)])</f>
        <v>PS BANDAR GLENMARIE</v>
      </c>
      <c r="D61" s="11" t="str">
        <f>_xlfn.XLOOKUP(Customer[[#This Row],[Customer ID]],[1]!Address[ID],[1]!Address[PIC])</f>
        <v>Siti Nuruljanna</v>
      </c>
      <c r="E61" s="11" t="str">
        <f>_xlfn.XLOOKUP(Customer[[#This Row],[Customer ID]],[1]!Address[ID],[1]!Address[Full Address])</f>
        <v>PS BANDAR GLENMARIELOT PT 4, BANDAR GLENMARIE,40000 SHAH ALAM, SELANGOR</v>
      </c>
      <c r="F61" s="12" t="s">
        <v>492</v>
      </c>
      <c r="G61" s="12" t="s">
        <v>493</v>
      </c>
      <c r="H61" s="24" t="s">
        <v>494</v>
      </c>
      <c r="I61" s="24" t="b">
        <f>ISNUMBER(VALUE(LEFT(Customer[[#This Row],[Address Line 3 (30 char)]],1)))</f>
        <v>0</v>
      </c>
      <c r="J61" s="12" t="s">
        <v>172</v>
      </c>
      <c r="K61" s="12">
        <v>40000</v>
      </c>
      <c r="L61" s="12" t="s">
        <v>35</v>
      </c>
      <c r="M61" s="13">
        <v>201903168551</v>
      </c>
      <c r="N61" s="14" t="s">
        <v>495</v>
      </c>
      <c r="O61" s="14" t="e">
        <v>#N/A</v>
      </c>
      <c r="P61" s="14" t="e">
        <v>#N/A</v>
      </c>
      <c r="Q61" s="19" t="s">
        <v>496</v>
      </c>
      <c r="R61" s="15" t="s">
        <v>497</v>
      </c>
      <c r="S61" s="15" t="s">
        <v>37</v>
      </c>
      <c r="T61" s="16" t="s">
        <v>38</v>
      </c>
      <c r="U61" s="11" t="str">
        <f>_xlfn.XLOOKUP(Customer[[#This Row],[Customer ID]],[1]!Address[ID],[1]!Address[Phone No.(2)])</f>
        <v>122010386</v>
      </c>
      <c r="V61" s="11" t="str">
        <f>_xlfn.XLOOKUP(Customer[[#This Row],[Customer ID]],[1]!Address[ID],[1]!Address[Type])</f>
        <v>PETROMART</v>
      </c>
      <c r="W61" s="11" t="str">
        <f>_xlfn.XLOOKUP(Customer[[#This Row],[Customer ID]],[1]!Address[ID],[1]!Address[CT])</f>
        <v>30 DAYS</v>
      </c>
      <c r="X61" s="11" t="s">
        <v>39</v>
      </c>
      <c r="Y61" s="17" t="s">
        <v>40</v>
      </c>
      <c r="Z61" s="17" t="e">
        <f>_xlfn.XLOOKUP(Customer[[#This Row],[NewType]],$AF$36:$AF$54,$AG$36:$AG$54)</f>
        <v>#N/A</v>
      </c>
      <c r="AA61" s="17" t="s">
        <v>498</v>
      </c>
      <c r="AB61" s="11" t="str">
        <f>_xlfn.XLOOKUP(Customer[[#This Row],[Customer ID]],[1]!Address[ID],[1]!Address[Subtype])</f>
        <v>PETRONAS</v>
      </c>
      <c r="AC61" s="18" t="str">
        <f>_xlfn.XLOOKUP(Customer[[#This Row],[Customer ID]],[1]!Address[ID],[1]!Address[Zone])</f>
        <v>CENTRAL</v>
      </c>
    </row>
    <row r="62" spans="1:29" x14ac:dyDescent="0.3">
      <c r="A62" s="10" t="s">
        <v>499</v>
      </c>
      <c r="B62" s="11" t="str">
        <f>_xlfn.XLOOKUP(Customer[[#This Row],[Customer ID]],[1]!Name[ID],[1]!Name[Description(1)])</f>
        <v>JAR ENTERPRISE</v>
      </c>
      <c r="C62" s="11" t="str">
        <f>_xlfn.XLOOKUP(Customer[[#This Row],[Customer ID]],[1]!Name[ID],[1]!Name[Description(2)])</f>
        <v>PS BANDAR INDAHPURA</v>
      </c>
      <c r="D62" s="11" t="str">
        <f>_xlfn.XLOOKUP(Customer[[#This Row],[Customer ID]],[1]!Address[ID],[1]!Address[PIC])</f>
        <v>Ira Syahirah</v>
      </c>
      <c r="E62" s="11" t="str">
        <f>_xlfn.XLOOKUP(Customer[[#This Row],[Customer ID]],[1]!Address[ID],[1]!Address[Full Address])</f>
        <v>PS BANDAR INDAHPURALOT PTD 51002 HS(D) 342551,MUKIM SENAI - KULAI, BANDAR INDAHPURA,81000, KULAI JOHOR</v>
      </c>
      <c r="F62" s="12" t="s">
        <v>500</v>
      </c>
      <c r="G62" s="12" t="s">
        <v>501</v>
      </c>
      <c r="H62" s="12" t="s">
        <v>502</v>
      </c>
      <c r="I62" s="12" t="b">
        <f>ISNUMBER(VALUE(LEFT(Customer[[#This Row],[Address Line 3 (30 char)]],1)))</f>
        <v>0</v>
      </c>
      <c r="J62" s="12" t="s">
        <v>52</v>
      </c>
      <c r="K62" s="12">
        <v>81000</v>
      </c>
      <c r="L62" s="12" t="s">
        <v>35</v>
      </c>
      <c r="M62" s="13">
        <v>200703194023</v>
      </c>
      <c r="N62" s="14" t="s">
        <v>503</v>
      </c>
      <c r="O62" s="14" t="e">
        <v>#N/A</v>
      </c>
      <c r="P62" s="14" t="e">
        <v>#N/A</v>
      </c>
      <c r="Q62" s="19" t="s">
        <v>504</v>
      </c>
      <c r="R62" s="15" t="s">
        <v>505</v>
      </c>
      <c r="S62" s="15" t="s">
        <v>37</v>
      </c>
      <c r="T62" s="16" t="s">
        <v>38</v>
      </c>
      <c r="U62" s="11" t="str">
        <f>_xlfn.XLOOKUP(Customer[[#This Row],[Customer ID]],[1]!Address[ID],[1]!Address[Phone No.(2)])</f>
        <v/>
      </c>
      <c r="V62" s="11" t="str">
        <f>_xlfn.XLOOKUP(Customer[[#This Row],[Customer ID]],[1]!Address[ID],[1]!Address[Type])</f>
        <v>PETROMART</v>
      </c>
      <c r="W62" s="11" t="str">
        <f>_xlfn.XLOOKUP(Customer[[#This Row],[Customer ID]],[1]!Address[ID],[1]!Address[CT])</f>
        <v>30 DAYS</v>
      </c>
      <c r="X62" s="11" t="s">
        <v>39</v>
      </c>
      <c r="Y62" s="17" t="s">
        <v>40</v>
      </c>
      <c r="Z62" s="17" t="e">
        <f>_xlfn.XLOOKUP(Customer[[#This Row],[NewType]],$AF$36:$AF$54,$AG$36:$AG$54)</f>
        <v>#N/A</v>
      </c>
      <c r="AA62" s="17" t="s">
        <v>506</v>
      </c>
      <c r="AB62" s="11" t="str">
        <f>_xlfn.XLOOKUP(Customer[[#This Row],[Customer ID]],[1]!Address[ID],[1]!Address[Subtype])</f>
        <v>PETRONAS</v>
      </c>
      <c r="AC62" s="18" t="str">
        <f>_xlfn.XLOOKUP(Customer[[#This Row],[Customer ID]],[1]!Address[ID],[1]!Address[Zone])</f>
        <v>SOUTH</v>
      </c>
    </row>
    <row r="63" spans="1:29" x14ac:dyDescent="0.3">
      <c r="A63" s="10" t="s">
        <v>507</v>
      </c>
      <c r="B63" s="11" t="str">
        <f>_xlfn.XLOOKUP(Customer[[#This Row],[Customer ID]],[1]!Name[ID],[1]!Name[Description(1)])</f>
        <v>NORLIN PETROL &amp; SERVICES</v>
      </c>
      <c r="C63" s="11" t="str">
        <f>_xlfn.XLOOKUP(Customer[[#This Row],[Customer ID]],[1]!Name[ID],[1]!Name[Description(2)])</f>
        <v>PS BANDAR INDERA MAHKOTA</v>
      </c>
      <c r="D63" s="11" t="str">
        <f>_xlfn.XLOOKUP(Customer[[#This Row],[Customer ID]],[1]!Address[ID],[1]!Address[PIC])</f>
        <v/>
      </c>
      <c r="E63" s="11" t="str">
        <f>_xlfn.XLOOKUP(Customer[[#This Row],[Customer ID]],[1]!Address[ID],[1]!Address[Full Address])</f>
        <v>PS BANDAR INDERA MAHKOTALOT PT 33423 SEKTOR 1,BANDAR INDERA MAHKOTA,25000, KUANTAN, PAHANG</v>
      </c>
      <c r="F63" s="12" t="s">
        <v>508</v>
      </c>
      <c r="G63" s="12" t="s">
        <v>509</v>
      </c>
      <c r="H63" s="12" t="s">
        <v>510</v>
      </c>
      <c r="I63" s="12" t="b">
        <f>ISNUMBER(VALUE(LEFT(Customer[[#This Row],[Address Line 3 (30 char)]],1)))</f>
        <v>0</v>
      </c>
      <c r="J63" s="12" t="s">
        <v>339</v>
      </c>
      <c r="K63" s="12">
        <v>25000</v>
      </c>
      <c r="L63" s="12" t="s">
        <v>35</v>
      </c>
      <c r="M63" s="13" t="e">
        <v>#N/A</v>
      </c>
      <c r="N63" s="14" t="e">
        <v>#N/A</v>
      </c>
      <c r="O63" s="14" t="e">
        <v>#N/A</v>
      </c>
      <c r="P63" s="14" t="e">
        <v>#N/A</v>
      </c>
      <c r="Q63" s="19" t="s">
        <v>511</v>
      </c>
      <c r="R63" s="15" t="s">
        <v>512</v>
      </c>
      <c r="S63" s="15" t="s">
        <v>37</v>
      </c>
      <c r="T63" s="16" t="s">
        <v>38</v>
      </c>
      <c r="U63" s="11" t="str">
        <f>_xlfn.XLOOKUP(Customer[[#This Row],[Customer ID]],[1]!Address[ID],[1]!Address[Phone No.(2)])</f>
        <v/>
      </c>
      <c r="V63" s="11" t="str">
        <f>_xlfn.XLOOKUP(Customer[[#This Row],[Customer ID]],[1]!Address[ID],[1]!Address[Type])</f>
        <v>PETROMART</v>
      </c>
      <c r="W63" s="11" t="str">
        <f>_xlfn.XLOOKUP(Customer[[#This Row],[Customer ID]],[1]!Address[ID],[1]!Address[CT])</f>
        <v>30 DAYS</v>
      </c>
      <c r="X63" s="11" t="s">
        <v>39</v>
      </c>
      <c r="Y63" s="17" t="s">
        <v>40</v>
      </c>
      <c r="Z63" s="17" t="e">
        <f>_xlfn.XLOOKUP(Customer[[#This Row],[NewType]],$AF$36:$AF$54,$AG$36:$AG$54)</f>
        <v>#N/A</v>
      </c>
      <c r="AA63" s="17" t="s">
        <v>513</v>
      </c>
      <c r="AB63" s="11" t="str">
        <f>_xlfn.XLOOKUP(Customer[[#This Row],[Customer ID]],[1]!Address[ID],[1]!Address[Subtype])</f>
        <v>PETRONAS</v>
      </c>
      <c r="AC63" s="18" t="str">
        <f>_xlfn.XLOOKUP(Customer[[#This Row],[Customer ID]],[1]!Address[ID],[1]!Address[Zone])</f>
        <v>EAST COAST</v>
      </c>
    </row>
    <row r="64" spans="1:29" x14ac:dyDescent="0.3">
      <c r="A64" s="10" t="s">
        <v>514</v>
      </c>
      <c r="B64" s="11" t="str">
        <f>_xlfn.XLOOKUP(Customer[[#This Row],[Customer ID]],[1]!Name[ID],[1]!Name[Description(1)])</f>
        <v>TAUTAN KASIH SDN BHD</v>
      </c>
      <c r="C64" s="11" t="str">
        <f>_xlfn.XLOOKUP(Customer[[#This Row],[Customer ID]],[1]!Name[ID],[1]!Name[Description(2)])</f>
        <v>PS BANDAR JASIN BESTARI</v>
      </c>
      <c r="D64" s="11" t="str">
        <f>_xlfn.XLOOKUP(Customer[[#This Row],[Customer ID]],[1]!Address[ID],[1]!Address[PIC])</f>
        <v/>
      </c>
      <c r="E64" s="11" t="str">
        <f>_xlfn.XLOOKUP(Customer[[#This Row],[Customer ID]],[1]!Address[ID],[1]!Address[Full Address])</f>
        <v>PS BANDAR JASIN BESTARILOT PT 8532 HSD 9283, MUKIM AIR PANAS,BANDAR JASIN,77200, JASIN, MELAKA</v>
      </c>
      <c r="F64" s="12" t="s">
        <v>515</v>
      </c>
      <c r="G64" s="12" t="s">
        <v>516</v>
      </c>
      <c r="H64" s="12" t="s">
        <v>517</v>
      </c>
      <c r="I64" s="12" t="b">
        <f>ISNUMBER(VALUE(LEFT(Customer[[#This Row],[Address Line 3 (30 char)]],1)))</f>
        <v>0</v>
      </c>
      <c r="J64" s="12" t="s">
        <v>61</v>
      </c>
      <c r="K64" s="12">
        <v>77200</v>
      </c>
      <c r="L64" s="12" t="s">
        <v>35</v>
      </c>
      <c r="M64" s="13">
        <v>202101003007</v>
      </c>
      <c r="N64" s="14" t="s">
        <v>518</v>
      </c>
      <c r="O64" s="14" t="e">
        <v>#N/A</v>
      </c>
      <c r="P64" s="14" t="e">
        <v>#N/A</v>
      </c>
      <c r="Q64" s="19" t="s">
        <v>519</v>
      </c>
      <c r="R64" s="15" t="s">
        <v>520</v>
      </c>
      <c r="S64" s="15" t="s">
        <v>37</v>
      </c>
      <c r="T64" s="16" t="s">
        <v>38</v>
      </c>
      <c r="U64" s="11" t="str">
        <f>_xlfn.XLOOKUP(Customer[[#This Row],[Customer ID]],[1]!Address[ID],[1]!Address[Phone No.(2)])</f>
        <v/>
      </c>
      <c r="V64" s="11" t="str">
        <f>_xlfn.XLOOKUP(Customer[[#This Row],[Customer ID]],[1]!Address[ID],[1]!Address[Type])</f>
        <v>PETROMART</v>
      </c>
      <c r="W64" s="11" t="str">
        <f>_xlfn.XLOOKUP(Customer[[#This Row],[Customer ID]],[1]!Address[ID],[1]!Address[CT])</f>
        <v>30 DAYS</v>
      </c>
      <c r="X64" s="11" t="s">
        <v>39</v>
      </c>
      <c r="Y64" s="17" t="s">
        <v>40</v>
      </c>
      <c r="Z64" s="17" t="e">
        <f>_xlfn.XLOOKUP(Customer[[#This Row],[NewType]],$AF$36:$AF$54,$AG$36:$AG$54)</f>
        <v>#N/A</v>
      </c>
      <c r="AA64" s="17" t="s">
        <v>521</v>
      </c>
      <c r="AB64" s="11" t="str">
        <f>_xlfn.XLOOKUP(Customer[[#This Row],[Customer ID]],[1]!Address[ID],[1]!Address[Subtype])</f>
        <v>PETRONAS</v>
      </c>
      <c r="AC64" s="18" t="str">
        <f>_xlfn.XLOOKUP(Customer[[#This Row],[Customer ID]],[1]!Address[ID],[1]!Address[Zone])</f>
        <v>SOUTH</v>
      </c>
    </row>
    <row r="65" spans="1:29" x14ac:dyDescent="0.3">
      <c r="A65" s="10" t="s">
        <v>522</v>
      </c>
      <c r="B65" s="11" t="str">
        <f>_xlfn.XLOOKUP(Customer[[#This Row],[Customer ID]],[1]!Name[ID],[1]!Name[Description(1)])</f>
        <v>MEGA PRIMA RESOURCES</v>
      </c>
      <c r="C65" s="11" t="str">
        <f>_xlfn.XLOOKUP(Customer[[#This Row],[Customer ID]],[1]!Name[ID],[1]!Name[Description(2)])</f>
        <v>PS BANDAR JENGKA</v>
      </c>
      <c r="D65" s="11" t="str">
        <f>_xlfn.XLOOKUP(Customer[[#This Row],[Customer ID]],[1]!Address[ID],[1]!Address[PIC])</f>
        <v/>
      </c>
      <c r="E65" s="11" t="str">
        <f>_xlfn.XLOOKUP(Customer[[#This Row],[Customer ID]],[1]!Address[ID],[1]!Address[Full Address])</f>
        <v>PS BANDAR JENGKALOT PT 2552, HS(D) 1, MUKIM CHENOR,BANDAR PUSAT JENGKA,26500, MARAN, PAHANG</v>
      </c>
      <c r="F65" s="12" t="s">
        <v>523</v>
      </c>
      <c r="G65" s="12" t="s">
        <v>524</v>
      </c>
      <c r="H65" s="12" t="s">
        <v>525</v>
      </c>
      <c r="I65" s="12" t="b">
        <f>ISNUMBER(VALUE(LEFT(Customer[[#This Row],[Address Line 3 (30 char)]],1)))</f>
        <v>0</v>
      </c>
      <c r="J65" s="12" t="s">
        <v>339</v>
      </c>
      <c r="K65" s="12">
        <v>26500</v>
      </c>
      <c r="L65" s="12" t="s">
        <v>35</v>
      </c>
      <c r="M65" s="13">
        <v>200103015850</v>
      </c>
      <c r="N65" s="14" t="s">
        <v>526</v>
      </c>
      <c r="O65" s="14" t="s">
        <v>54</v>
      </c>
      <c r="P65" s="14">
        <v>47300</v>
      </c>
      <c r="Q65" s="19" t="s">
        <v>527</v>
      </c>
      <c r="R65" s="15" t="s">
        <v>528</v>
      </c>
      <c r="S65" s="15" t="s">
        <v>37</v>
      </c>
      <c r="T65" s="16" t="s">
        <v>38</v>
      </c>
      <c r="U65" s="11" t="str">
        <f>_xlfn.XLOOKUP(Customer[[#This Row],[Customer ID]],[1]!Address[ID],[1]!Address[Phone No.(2)])</f>
        <v>94677888</v>
      </c>
      <c r="V65" s="11" t="str">
        <f>_xlfn.XLOOKUP(Customer[[#This Row],[Customer ID]],[1]!Address[ID],[1]!Address[Type])</f>
        <v>PETROMART</v>
      </c>
      <c r="W65" s="11" t="str">
        <f>_xlfn.XLOOKUP(Customer[[#This Row],[Customer ID]],[1]!Address[ID],[1]!Address[CT])</f>
        <v>30 DAYS</v>
      </c>
      <c r="X65" s="11" t="s">
        <v>39</v>
      </c>
      <c r="Y65" s="17" t="s">
        <v>40</v>
      </c>
      <c r="Z65" s="17" t="e">
        <f>_xlfn.XLOOKUP(Customer[[#This Row],[NewType]],$AF$36:$AF$54,$AG$36:$AG$54)</f>
        <v>#N/A</v>
      </c>
      <c r="AA65" s="17" t="s">
        <v>529</v>
      </c>
      <c r="AB65" s="11" t="str">
        <f>_xlfn.XLOOKUP(Customer[[#This Row],[Customer ID]],[1]!Address[ID],[1]!Address[Subtype])</f>
        <v>PETRONAS</v>
      </c>
      <c r="AC65" s="18" t="str">
        <f>_xlfn.XLOOKUP(Customer[[#This Row],[Customer ID]],[1]!Address[ID],[1]!Address[Zone])</f>
        <v>EAST COAST</v>
      </c>
    </row>
    <row r="66" spans="1:29" x14ac:dyDescent="0.3">
      <c r="A66" s="10" t="s">
        <v>530</v>
      </c>
      <c r="B66" s="11" t="str">
        <f>_xlfn.XLOOKUP(Customer[[#This Row],[Customer ID]],[1]!Name[ID],[1]!Name[Description(1)])</f>
        <v>STESEN MINYAK ZAZ</v>
      </c>
      <c r="C66" s="11" t="str">
        <f>_xlfn.XLOOKUP(Customer[[#This Row],[Customer ID]],[1]!Name[ID],[1]!Name[Description(2)])</f>
        <v>PS BANDAR KINRARA</v>
      </c>
      <c r="D66" s="11" t="str">
        <f>_xlfn.XLOOKUP(Customer[[#This Row],[Customer ID]],[1]!Address[ID],[1]!Address[PIC])</f>
        <v/>
      </c>
      <c r="E66" s="11" t="str">
        <f>_xlfn.XLOOKUP(Customer[[#This Row],[Customer ID]],[1]!Address[ID],[1]!Address[Full Address])</f>
        <v>PS BANDAR KINRARALOT 37331 JALAN KINRARA 5,SEKSYEN 5 BANDAR KINRARA, PUCHONG47100 PETALING, SELANGOR</v>
      </c>
      <c r="F66" s="12" t="s">
        <v>531</v>
      </c>
      <c r="G66" s="12" t="s">
        <v>532</v>
      </c>
      <c r="H66" s="12" t="s">
        <v>533</v>
      </c>
      <c r="I66" s="12" t="b">
        <f>ISNUMBER(VALUE(LEFT(Customer[[#This Row],[Address Line 3 (30 char)]],1)))</f>
        <v>0</v>
      </c>
      <c r="J66" s="12" t="s">
        <v>172</v>
      </c>
      <c r="K66" s="12">
        <v>47100</v>
      </c>
      <c r="L66" s="12" t="s">
        <v>35</v>
      </c>
      <c r="M66" s="13" t="e">
        <v>#N/A</v>
      </c>
      <c r="N66" s="14" t="e">
        <v>#N/A</v>
      </c>
      <c r="O66" s="14" t="e">
        <v>#N/A</v>
      </c>
      <c r="P66" s="14" t="e">
        <v>#N/A</v>
      </c>
      <c r="Q66" s="19" t="s">
        <v>534</v>
      </c>
      <c r="R66" s="15" t="s">
        <v>535</v>
      </c>
      <c r="S66" s="15" t="s">
        <v>37</v>
      </c>
      <c r="T66" s="16" t="s">
        <v>38</v>
      </c>
      <c r="U66" s="11" t="str">
        <f>_xlfn.XLOOKUP(Customer[[#This Row],[Customer ID]],[1]!Address[ID],[1]!Address[Phone No.(2)])</f>
        <v/>
      </c>
      <c r="V66" s="11" t="str">
        <f>_xlfn.XLOOKUP(Customer[[#This Row],[Customer ID]],[1]!Address[ID],[1]!Address[Type])</f>
        <v>PETROMART</v>
      </c>
      <c r="W66" s="11" t="str">
        <f>_xlfn.XLOOKUP(Customer[[#This Row],[Customer ID]],[1]!Address[ID],[1]!Address[CT])</f>
        <v>30 DAYS</v>
      </c>
      <c r="X66" s="11" t="s">
        <v>39</v>
      </c>
      <c r="Y66" s="17" t="s">
        <v>40</v>
      </c>
      <c r="Z66" s="17" t="e">
        <f>_xlfn.XLOOKUP(Customer[[#This Row],[NewType]],$AF$36:$AF$54,$AG$36:$AG$54)</f>
        <v>#N/A</v>
      </c>
      <c r="AA66" s="17" t="s">
        <v>536</v>
      </c>
      <c r="AB66" s="11" t="str">
        <f>_xlfn.XLOOKUP(Customer[[#This Row],[Customer ID]],[1]!Address[ID],[1]!Address[Subtype])</f>
        <v>PETRONAS</v>
      </c>
      <c r="AC66" s="18" t="str">
        <f>_xlfn.XLOOKUP(Customer[[#This Row],[Customer ID]],[1]!Address[ID],[1]!Address[Zone])</f>
        <v>CENTRAL</v>
      </c>
    </row>
    <row r="67" spans="1:29" x14ac:dyDescent="0.3">
      <c r="A67" s="10" t="s">
        <v>537</v>
      </c>
      <c r="B67" s="11" t="str">
        <f>_xlfn.XLOOKUP(Customer[[#This Row],[Customer ID]],[1]!Name[ID],[1]!Name[Description(1)])</f>
        <v>MASNADI ENTERPRISE</v>
      </c>
      <c r="C67" s="11" t="str">
        <f>_xlfn.XLOOKUP(Customer[[#This Row],[Customer ID]],[1]!Name[ID],[1]!Name[Description(2)])</f>
        <v>PS BANDAR KINRARA 2</v>
      </c>
      <c r="D67" s="11" t="str">
        <f>_xlfn.XLOOKUP(Customer[[#This Row],[Customer ID]],[1]!Address[ID],[1]!Address[PIC])</f>
        <v/>
      </c>
      <c r="E67" s="11" t="str">
        <f>_xlfn.XLOOKUP(Customer[[#This Row],[Customer ID]],[1]!Address[ID],[1]!Address[Full Address])</f>
        <v>PS BANDAR KINRARA 2LOT 4054, PHASE 5A, JALAN KINRARA 6,BANDAR KINRARA, PUCHONG,47100, PETALING, SELANGOR</v>
      </c>
      <c r="F67" s="12" t="s">
        <v>538</v>
      </c>
      <c r="G67" s="12" t="s">
        <v>539</v>
      </c>
      <c r="H67" s="12" t="s">
        <v>171</v>
      </c>
      <c r="I67" s="12" t="b">
        <f>ISNUMBER(VALUE(LEFT(Customer[[#This Row],[Address Line 3 (30 char)]],1)))</f>
        <v>0</v>
      </c>
      <c r="J67" s="12" t="s">
        <v>172</v>
      </c>
      <c r="K67" s="12">
        <v>47100</v>
      </c>
      <c r="L67" s="12" t="s">
        <v>35</v>
      </c>
      <c r="M67" s="13" t="e">
        <v>#N/A</v>
      </c>
      <c r="N67" s="14" t="e">
        <v>#N/A</v>
      </c>
      <c r="O67" s="14" t="e">
        <v>#N/A</v>
      </c>
      <c r="P67" s="14" t="e">
        <v>#N/A</v>
      </c>
      <c r="Q67" s="19" t="s">
        <v>540</v>
      </c>
      <c r="R67" s="15" t="s">
        <v>541</v>
      </c>
      <c r="S67" s="15" t="s">
        <v>37</v>
      </c>
      <c r="T67" s="16" t="s">
        <v>38</v>
      </c>
      <c r="U67" s="11" t="str">
        <f>_xlfn.XLOOKUP(Customer[[#This Row],[Customer ID]],[1]!Address[ID],[1]!Address[Phone No.(2)])</f>
        <v/>
      </c>
      <c r="V67" s="11" t="str">
        <f>_xlfn.XLOOKUP(Customer[[#This Row],[Customer ID]],[1]!Address[ID],[1]!Address[Type])</f>
        <v>PETROMART</v>
      </c>
      <c r="W67" s="11" t="str">
        <f>_xlfn.XLOOKUP(Customer[[#This Row],[Customer ID]],[1]!Address[ID],[1]!Address[CT])</f>
        <v>30 DAYS</v>
      </c>
      <c r="X67" s="11" t="s">
        <v>39</v>
      </c>
      <c r="Y67" s="17" t="s">
        <v>40</v>
      </c>
      <c r="Z67" s="17" t="e">
        <f>_xlfn.XLOOKUP(Customer[[#This Row],[NewType]],$AF$36:$AF$54,$AG$36:$AG$54)</f>
        <v>#N/A</v>
      </c>
      <c r="AA67" s="17" t="s">
        <v>542</v>
      </c>
      <c r="AB67" s="11" t="str">
        <f>_xlfn.XLOOKUP(Customer[[#This Row],[Customer ID]],[1]!Address[ID],[1]!Address[Subtype])</f>
        <v>PETRONAS</v>
      </c>
      <c r="AC67" s="18" t="str">
        <f>_xlfn.XLOOKUP(Customer[[#This Row],[Customer ID]],[1]!Address[ID],[1]!Address[Zone])</f>
        <v>CENTRAL</v>
      </c>
    </row>
    <row r="68" spans="1:29" x14ac:dyDescent="0.3">
      <c r="A68" s="10" t="s">
        <v>543</v>
      </c>
      <c r="B68" s="11" t="str">
        <f>_xlfn.XLOOKUP(Customer[[#This Row],[Customer ID]],[1]!Name[ID],[1]!Name[Description(1)])</f>
        <v>MZ STESEN NIAGA</v>
      </c>
      <c r="C68" s="11" t="str">
        <f>_xlfn.XLOOKUP(Customer[[#This Row],[Customer ID]],[1]!Name[ID],[1]!Name[Description(2)])</f>
        <v>PS BANDAR KLANG</v>
      </c>
      <c r="D68" s="11" t="str">
        <f>_xlfn.XLOOKUP(Customer[[#This Row],[Customer ID]],[1]!Address[ID],[1]!Address[PIC])</f>
        <v/>
      </c>
      <c r="E68" s="11" t="str">
        <f>_xlfn.XLOOKUP(Customer[[#This Row],[Customer ID]],[1]!Address[ID],[1]!Address[Full Address])</f>
        <v>PS BANDAR KLANGLOT 95-97, JALAN BATU 3 LAMA,BANDAR KELANG,41300 KLANG,   SELANGOR</v>
      </c>
      <c r="F68" s="12" t="s">
        <v>544</v>
      </c>
      <c r="G68" s="12" t="s">
        <v>545</v>
      </c>
      <c r="H68" s="12" t="s">
        <v>546</v>
      </c>
      <c r="I68" s="12" t="b">
        <f>ISNUMBER(VALUE(LEFT(Customer[[#This Row],[Address Line 3 (30 char)]],1)))</f>
        <v>0</v>
      </c>
      <c r="J68" s="12" t="s">
        <v>172</v>
      </c>
      <c r="K68" s="12">
        <v>41300</v>
      </c>
      <c r="L68" s="12" t="s">
        <v>35</v>
      </c>
      <c r="M68" s="13" t="e">
        <v>#N/A</v>
      </c>
      <c r="N68" s="14" t="e">
        <v>#N/A</v>
      </c>
      <c r="O68" s="14" t="e">
        <v>#N/A</v>
      </c>
      <c r="P68" s="14" t="e">
        <v>#N/A</v>
      </c>
      <c r="Q68" s="19" t="s">
        <v>547</v>
      </c>
      <c r="R68" s="15" t="s">
        <v>548</v>
      </c>
      <c r="S68" s="15" t="s">
        <v>37</v>
      </c>
      <c r="T68" s="16" t="s">
        <v>38</v>
      </c>
      <c r="U68" s="11" t="str">
        <f>_xlfn.XLOOKUP(Customer[[#This Row],[Customer ID]],[1]!Address[ID],[1]!Address[Phone No.(2)])</f>
        <v/>
      </c>
      <c r="V68" s="11" t="str">
        <f>_xlfn.XLOOKUP(Customer[[#This Row],[Customer ID]],[1]!Address[ID],[1]!Address[Type])</f>
        <v>PETROMART</v>
      </c>
      <c r="W68" s="11" t="str">
        <f>_xlfn.XLOOKUP(Customer[[#This Row],[Customer ID]],[1]!Address[ID],[1]!Address[CT])</f>
        <v>30 DAYS</v>
      </c>
      <c r="X68" s="11" t="s">
        <v>39</v>
      </c>
      <c r="Y68" s="17" t="s">
        <v>40</v>
      </c>
      <c r="Z68" s="17" t="e">
        <f>_xlfn.XLOOKUP(Customer[[#This Row],[NewType]],$AF$36:$AF$54,$AG$36:$AG$54)</f>
        <v>#N/A</v>
      </c>
      <c r="AA68" s="17" t="s">
        <v>549</v>
      </c>
      <c r="AB68" s="11" t="str">
        <f>_xlfn.XLOOKUP(Customer[[#This Row],[Customer ID]],[1]!Address[ID],[1]!Address[Subtype])</f>
        <v>PETRONAS</v>
      </c>
      <c r="AC68" s="18" t="str">
        <f>_xlfn.XLOOKUP(Customer[[#This Row],[Customer ID]],[1]!Address[ID],[1]!Address[Zone])</f>
        <v>CENTRAL</v>
      </c>
    </row>
    <row r="69" spans="1:29" x14ac:dyDescent="0.3">
      <c r="A69" s="10" t="s">
        <v>550</v>
      </c>
      <c r="B69" s="11" t="str">
        <f>_xlfn.XLOOKUP(Customer[[#This Row],[Customer ID]],[1]!Name[ID],[1]!Name[Description(1)])</f>
        <v>EMIZAF JAYA ENTERPRISE</v>
      </c>
      <c r="C69" s="11" t="str">
        <f>_xlfn.XLOOKUP(Customer[[#This Row],[Customer ID]],[1]!Name[ID],[1]!Name[Description(2)])</f>
        <v>PS BANDAR MAHKOTA CHERAS</v>
      </c>
      <c r="D69" s="11" t="str">
        <f>_xlfn.XLOOKUP(Customer[[#This Row],[Customer ID]],[1]!Address[ID],[1]!Address[PIC])</f>
        <v/>
      </c>
      <c r="E69" s="11" t="str">
        <f>_xlfn.XLOOKUP(Customer[[#This Row],[Customer ID]],[1]!Address[ID],[1]!Address[Full Address])</f>
        <v>PS BANDAR MAHKOTA CHERASLOT 33121, PERSIARAN MAHKOTA 2,BANDAR MAHKOTA CHERAS,43200 ULU LANGAT,   SELANGOR</v>
      </c>
      <c r="F69" s="12" t="s">
        <v>551</v>
      </c>
      <c r="G69" s="12" t="s">
        <v>552</v>
      </c>
      <c r="H69" s="12" t="s">
        <v>553</v>
      </c>
      <c r="I69" s="12" t="b">
        <f>ISNUMBER(VALUE(LEFT(Customer[[#This Row],[Address Line 3 (30 char)]],1)))</f>
        <v>0</v>
      </c>
      <c r="J69" s="12" t="s">
        <v>172</v>
      </c>
      <c r="K69" s="12">
        <v>43200</v>
      </c>
      <c r="L69" s="12" t="s">
        <v>35</v>
      </c>
      <c r="M69" s="13">
        <v>200803131924</v>
      </c>
      <c r="N69" s="14" t="s">
        <v>554</v>
      </c>
      <c r="O69" s="14"/>
      <c r="P69" s="14">
        <v>4711</v>
      </c>
      <c r="Q69" s="19" t="s">
        <v>555</v>
      </c>
      <c r="R69" s="15" t="s">
        <v>556</v>
      </c>
      <c r="S69" s="15" t="s">
        <v>37</v>
      </c>
      <c r="T69" s="16" t="s">
        <v>38</v>
      </c>
      <c r="U69" s="11" t="str">
        <f>_xlfn.XLOOKUP(Customer[[#This Row],[Customer ID]],[1]!Address[ID],[1]!Address[Phone No.(2)])</f>
        <v/>
      </c>
      <c r="V69" s="11" t="str">
        <f>_xlfn.XLOOKUP(Customer[[#This Row],[Customer ID]],[1]!Address[ID],[1]!Address[Type])</f>
        <v>PETROMART</v>
      </c>
      <c r="W69" s="11" t="str">
        <f>_xlfn.XLOOKUP(Customer[[#This Row],[Customer ID]],[1]!Address[ID],[1]!Address[CT])</f>
        <v>30 DAYS</v>
      </c>
      <c r="X69" s="11" t="s">
        <v>39</v>
      </c>
      <c r="Y69" s="17" t="s">
        <v>40</v>
      </c>
      <c r="Z69" s="17" t="e">
        <f>_xlfn.XLOOKUP(Customer[[#This Row],[NewType]],$AF$36:$AF$54,$AG$36:$AG$54)</f>
        <v>#N/A</v>
      </c>
      <c r="AA69" s="17" t="s">
        <v>557</v>
      </c>
      <c r="AB69" s="11" t="str">
        <f>_xlfn.XLOOKUP(Customer[[#This Row],[Customer ID]],[1]!Address[ID],[1]!Address[Subtype])</f>
        <v>PETRONAS</v>
      </c>
      <c r="AC69" s="18" t="str">
        <f>_xlfn.XLOOKUP(Customer[[#This Row],[Customer ID]],[1]!Address[ID],[1]!Address[Zone])</f>
        <v>CENTRAL</v>
      </c>
    </row>
    <row r="70" spans="1:29" x14ac:dyDescent="0.3">
      <c r="A70" s="10" t="s">
        <v>558</v>
      </c>
      <c r="B70" s="11" t="str">
        <f>_xlfn.XLOOKUP(Customer[[#This Row],[Customer ID]],[1]!Name[ID],[1]!Name[Description(1)])</f>
        <v>ROHAZ SERVICE STATION</v>
      </c>
      <c r="C70" s="11" t="str">
        <f>_xlfn.XLOOKUP(Customer[[#This Row],[Customer ID]],[1]!Name[ID],[1]!Name[Description(2)])</f>
        <v>PS BANDAR MENTAKAB</v>
      </c>
      <c r="D70" s="11" t="str">
        <f>_xlfn.XLOOKUP(Customer[[#This Row],[Customer ID]],[1]!Address[ID],[1]!Address[PIC])</f>
        <v/>
      </c>
      <c r="E70" s="11" t="str">
        <f>_xlfn.XLOOKUP(Customer[[#This Row],[Customer ID]],[1]!Address[ID],[1]!Address[Full Address])</f>
        <v>PS BANDAR MENTAKABLOT 678 HS (D) 1471 KM 2JALAN MENTAKAB - KARAK,28400 TEMERLOH, PAHANG</v>
      </c>
      <c r="F70" s="12" t="s">
        <v>559</v>
      </c>
      <c r="G70" s="12" t="s">
        <v>560</v>
      </c>
      <c r="H70" s="12" t="s">
        <v>561</v>
      </c>
      <c r="I70" s="12" t="b">
        <f>ISNUMBER(VALUE(LEFT(Customer[[#This Row],[Address Line 3 (30 char)]],1)))</f>
        <v>0</v>
      </c>
      <c r="J70" s="12" t="s">
        <v>339</v>
      </c>
      <c r="K70" s="12">
        <v>28400</v>
      </c>
      <c r="L70" s="12" t="s">
        <v>35</v>
      </c>
      <c r="M70" s="13" t="e">
        <v>#N/A</v>
      </c>
      <c r="N70" s="14" t="e">
        <v>#N/A</v>
      </c>
      <c r="O70" s="14" t="e">
        <v>#N/A</v>
      </c>
      <c r="P70" s="14" t="e">
        <v>#N/A</v>
      </c>
      <c r="Q70" s="19" t="s">
        <v>562</v>
      </c>
      <c r="R70" s="15" t="s">
        <v>563</v>
      </c>
      <c r="S70" s="15" t="s">
        <v>37</v>
      </c>
      <c r="T70" s="16" t="s">
        <v>38</v>
      </c>
      <c r="U70" s="11" t="str">
        <f>_xlfn.XLOOKUP(Customer[[#This Row],[Customer ID]],[1]!Address[ID],[1]!Address[Phone No.(2)])</f>
        <v/>
      </c>
      <c r="V70" s="11" t="str">
        <f>_xlfn.XLOOKUP(Customer[[#This Row],[Customer ID]],[1]!Address[ID],[1]!Address[Type])</f>
        <v>PETROMART</v>
      </c>
      <c r="W70" s="11" t="str">
        <f>_xlfn.XLOOKUP(Customer[[#This Row],[Customer ID]],[1]!Address[ID],[1]!Address[CT])</f>
        <v>30 DAYS</v>
      </c>
      <c r="X70" s="11" t="s">
        <v>39</v>
      </c>
      <c r="Y70" s="17" t="s">
        <v>40</v>
      </c>
      <c r="Z70" s="17" t="e">
        <f>_xlfn.XLOOKUP(Customer[[#This Row],[NewType]],$AF$36:$AF$54,$AG$36:$AG$54)</f>
        <v>#N/A</v>
      </c>
      <c r="AA70" s="17" t="s">
        <v>564</v>
      </c>
      <c r="AB70" s="11" t="str">
        <f>_xlfn.XLOOKUP(Customer[[#This Row],[Customer ID]],[1]!Address[ID],[1]!Address[Subtype])</f>
        <v>PETRONAS</v>
      </c>
      <c r="AC70" s="18" t="str">
        <f>_xlfn.XLOOKUP(Customer[[#This Row],[Customer ID]],[1]!Address[ID],[1]!Address[Zone])</f>
        <v>EAST COAST</v>
      </c>
    </row>
    <row r="71" spans="1:29" x14ac:dyDescent="0.3">
      <c r="A71" s="10" t="s">
        <v>565</v>
      </c>
      <c r="B71" s="11" t="str">
        <f>_xlfn.XLOOKUP(Customer[[#This Row],[Customer ID]],[1]!Name[ID],[1]!Name[Description(1)])</f>
        <v>KOPERASI PERBADANAN PERAK BERHAD</v>
      </c>
      <c r="C71" s="11" t="str">
        <f>_xlfn.XLOOKUP(Customer[[#This Row],[Customer ID]],[1]!Name[ID],[1]!Name[Description(2)])</f>
        <v>PS BANDAR MERU RAYA ,</v>
      </c>
      <c r="D71" s="11" t="str">
        <f>_xlfn.XLOOKUP(Customer[[#This Row],[Customer ID]],[1]!Address[ID],[1]!Address[PIC])</f>
        <v/>
      </c>
      <c r="E71" s="11" t="str">
        <f>_xlfn.XLOOKUP(Customer[[#This Row],[Customer ID]],[1]!Address[ID],[1]!Address[Full Address])</f>
        <v>PS BANDAR MERU RAYA ,LOT PT 204047 HS(D) 141862,MUKIM HULU KINTA, JALAN JELAPANG-CHEMOR,30000 IPOH, PERAK</v>
      </c>
      <c r="F71" s="12" t="s">
        <v>566</v>
      </c>
      <c r="G71" s="12" t="s">
        <v>567</v>
      </c>
      <c r="H71" s="12" t="s">
        <v>568</v>
      </c>
      <c r="I71" s="12" t="b">
        <f>ISNUMBER(VALUE(LEFT(Customer[[#This Row],[Address Line 3 (30 char)]],1)))</f>
        <v>0</v>
      </c>
      <c r="J71" s="12" t="s">
        <v>387</v>
      </c>
      <c r="K71" s="12">
        <v>30000</v>
      </c>
      <c r="L71" s="12" t="s">
        <v>35</v>
      </c>
      <c r="M71" s="13" t="e">
        <v>#N/A</v>
      </c>
      <c r="N71" s="14" t="e">
        <v>#N/A</v>
      </c>
      <c r="O71" s="14" t="e">
        <v>#N/A</v>
      </c>
      <c r="P71" s="14" t="e">
        <v>#N/A</v>
      </c>
      <c r="Q71" s="19" t="s">
        <v>569</v>
      </c>
      <c r="R71" s="15" t="s">
        <v>570</v>
      </c>
      <c r="S71" s="15" t="s">
        <v>74</v>
      </c>
      <c r="T71" s="16" t="s">
        <v>38</v>
      </c>
      <c r="U71" s="11" t="str">
        <f>_xlfn.XLOOKUP(Customer[[#This Row],[Customer ID]],[1]!Address[ID],[1]!Address[Phone No.(2)])</f>
        <v/>
      </c>
      <c r="V71" s="11" t="str">
        <f>_xlfn.XLOOKUP(Customer[[#This Row],[Customer ID]],[1]!Address[ID],[1]!Address[Type])</f>
        <v>PETROMART</v>
      </c>
      <c r="W71" s="11" t="str">
        <f>_xlfn.XLOOKUP(Customer[[#This Row],[Customer ID]],[1]!Address[ID],[1]!Address[CT])</f>
        <v>30 DAYS</v>
      </c>
      <c r="X71" s="11" t="s">
        <v>39</v>
      </c>
      <c r="Y71" s="17" t="s">
        <v>40</v>
      </c>
      <c r="Z71" s="17" t="e">
        <f>_xlfn.XLOOKUP(Customer[[#This Row],[NewType]],$AF$36:$AF$54,$AG$36:$AG$54)</f>
        <v>#N/A</v>
      </c>
      <c r="AA71" s="17" t="s">
        <v>571</v>
      </c>
      <c r="AB71" s="11" t="str">
        <f>_xlfn.XLOOKUP(Customer[[#This Row],[Customer ID]],[1]!Address[ID],[1]!Address[Subtype])</f>
        <v>PETRONAS</v>
      </c>
      <c r="AC71" s="18" t="str">
        <f>_xlfn.XLOOKUP(Customer[[#This Row],[Customer ID]],[1]!Address[ID],[1]!Address[Zone])</f>
        <v>NORTH</v>
      </c>
    </row>
    <row r="72" spans="1:29" x14ac:dyDescent="0.3">
      <c r="A72" s="10" t="s">
        <v>572</v>
      </c>
      <c r="B72" s="11" t="str">
        <f>_xlfn.XLOOKUP(Customer[[#This Row],[Customer ID]],[1]!Name[ID],[1]!Name[Description(1)])</f>
        <v>KOPERASI SERBAGUNA DARA BERHAD</v>
      </c>
      <c r="C72" s="11" t="str">
        <f>_xlfn.XLOOKUP(Customer[[#This Row],[Customer ID]],[1]!Name[ID],[1]!Name[Description(2)])</f>
        <v>PS BANDAR MUADZAM</v>
      </c>
      <c r="D72" s="11" t="str">
        <f>_xlfn.XLOOKUP(Customer[[#This Row],[Customer ID]],[1]!Address[ID],[1]!Address[PIC])</f>
        <v/>
      </c>
      <c r="E72" s="11" t="str">
        <f>_xlfn.XLOOKUP(Customer[[#This Row],[Customer ID]],[1]!Address[ID],[1]!Address[Full Address])</f>
        <v>PS BANDAR MUADZAMLOT PT 1198, BANDAR BARU MUADZAM SHAH,26700 PEKAN,PAHANG</v>
      </c>
      <c r="F72" s="12" t="s">
        <v>573</v>
      </c>
      <c r="G72" s="12" t="s">
        <v>574</v>
      </c>
      <c r="H72" s="12" t="s">
        <v>575</v>
      </c>
      <c r="I72" s="12" t="b">
        <f>ISNUMBER(VALUE(LEFT(Customer[[#This Row],[Address Line 3 (30 char)]],1)))</f>
        <v>0</v>
      </c>
      <c r="J72" s="12" t="s">
        <v>339</v>
      </c>
      <c r="K72" s="12">
        <v>26700</v>
      </c>
      <c r="L72" s="12" t="s">
        <v>35</v>
      </c>
      <c r="M72" s="13" t="e">
        <v>#N/A</v>
      </c>
      <c r="N72" s="14" t="s">
        <v>576</v>
      </c>
      <c r="O72" s="14" t="s">
        <v>54</v>
      </c>
      <c r="P72" s="14" t="s">
        <v>577</v>
      </c>
      <c r="Q72" s="21" t="s">
        <v>578</v>
      </c>
      <c r="R72" s="15" t="s">
        <v>579</v>
      </c>
      <c r="S72" s="15" t="s">
        <v>37</v>
      </c>
      <c r="T72" s="16" t="s">
        <v>38</v>
      </c>
      <c r="U72" s="11" t="str">
        <f>_xlfn.XLOOKUP(Customer[[#This Row],[Customer ID]],[1]!Address[ID],[1]!Address[Phone No.(2)])</f>
        <v/>
      </c>
      <c r="V72" s="11" t="str">
        <f>_xlfn.XLOOKUP(Customer[[#This Row],[Customer ID]],[1]!Address[ID],[1]!Address[Type])</f>
        <v>PETROMART</v>
      </c>
      <c r="W72" s="11" t="str">
        <f>_xlfn.XLOOKUP(Customer[[#This Row],[Customer ID]],[1]!Address[ID],[1]!Address[CT])</f>
        <v>30 DAYS</v>
      </c>
      <c r="X72" s="11" t="s">
        <v>39</v>
      </c>
      <c r="Y72" s="17" t="s">
        <v>40</v>
      </c>
      <c r="Z72" s="17" t="e">
        <f>_xlfn.XLOOKUP(Customer[[#This Row],[NewType]],$AF$36:$AF$54,$AG$36:$AG$54)</f>
        <v>#N/A</v>
      </c>
      <c r="AA72" s="17" t="s">
        <v>580</v>
      </c>
      <c r="AB72" s="11" t="str">
        <f>_xlfn.XLOOKUP(Customer[[#This Row],[Customer ID]],[1]!Address[ID],[1]!Address[Subtype])</f>
        <v>PETRONAS</v>
      </c>
      <c r="AC72" s="18" t="str">
        <f>_xlfn.XLOOKUP(Customer[[#This Row],[Customer ID]],[1]!Address[ID],[1]!Address[Zone])</f>
        <v>EAST COAST</v>
      </c>
    </row>
    <row r="73" spans="1:29" x14ac:dyDescent="0.3">
      <c r="A73" s="10" t="s">
        <v>581</v>
      </c>
      <c r="B73" s="11" t="str">
        <f>_xlfn.XLOOKUP(Customer[[#This Row],[Customer ID]],[1]!Name[ID],[1]!Name[Description(1)])</f>
        <v>STESEN MINYAK MUTIARA</v>
      </c>
      <c r="C73" s="11" t="str">
        <f>_xlfn.XLOOKUP(Customer[[#This Row],[Customer ID]],[1]!Name[ID],[1]!Name[Description(2)])</f>
        <v>PS BANDAR MUTIARA</v>
      </c>
      <c r="D73" s="11" t="str">
        <f>_xlfn.XLOOKUP(Customer[[#This Row],[Customer ID]],[1]!Address[ID],[1]!Address[PIC])</f>
        <v/>
      </c>
      <c r="E73" s="11" t="str">
        <f>_xlfn.XLOOKUP(Customer[[#This Row],[Customer ID]],[1]!Address[ID],[1]!Address[Full Address])</f>
        <v>PS BANDAR MUTIARAPT 49753 HSD 773/97, BANDAR MUTIARA,JALAN LENCONGAN TIMUR, SUNGAI PETANI,08000 KUALA MUDA,KEDAH</v>
      </c>
      <c r="F73" s="12" t="s">
        <v>582</v>
      </c>
      <c r="G73" s="12" t="s">
        <v>583</v>
      </c>
      <c r="H73" s="12" t="s">
        <v>584</v>
      </c>
      <c r="I73" s="12" t="b">
        <f>ISNUMBER(VALUE(LEFT(Customer[[#This Row],[Address Line 3 (30 char)]],1)))</f>
        <v>0</v>
      </c>
      <c r="J73" s="12" t="s">
        <v>355</v>
      </c>
      <c r="K73" s="20" t="s">
        <v>296</v>
      </c>
      <c r="L73" s="12" t="s">
        <v>35</v>
      </c>
      <c r="M73" s="13" t="e">
        <v>#N/A</v>
      </c>
      <c r="N73" s="14" t="e">
        <v>#N/A</v>
      </c>
      <c r="O73" s="14" t="e">
        <v>#N/A</v>
      </c>
      <c r="P73" s="14" t="e">
        <v>#N/A</v>
      </c>
      <c r="Q73" s="19" t="s">
        <v>585</v>
      </c>
      <c r="R73" s="15" t="s">
        <v>586</v>
      </c>
      <c r="S73" s="15" t="s">
        <v>37</v>
      </c>
      <c r="T73" s="16" t="s">
        <v>38</v>
      </c>
      <c r="U73" s="11" t="str">
        <f>_xlfn.XLOOKUP(Customer[[#This Row],[Customer ID]],[1]!Address[ID],[1]!Address[Phone No.(2)])</f>
        <v/>
      </c>
      <c r="V73" s="11" t="str">
        <f>_xlfn.XLOOKUP(Customer[[#This Row],[Customer ID]],[1]!Address[ID],[1]!Address[Type])</f>
        <v>PETROMART</v>
      </c>
      <c r="W73" s="11" t="str">
        <f>_xlfn.XLOOKUP(Customer[[#This Row],[Customer ID]],[1]!Address[ID],[1]!Address[CT])</f>
        <v>30 DAYS</v>
      </c>
      <c r="X73" s="11" t="s">
        <v>39</v>
      </c>
      <c r="Y73" s="17" t="s">
        <v>40</v>
      </c>
      <c r="Z73" s="17" t="e">
        <f>_xlfn.XLOOKUP(Customer[[#This Row],[NewType]],$AF$36:$AF$54,$AG$36:$AG$54)</f>
        <v>#N/A</v>
      </c>
      <c r="AA73" s="17" t="s">
        <v>587</v>
      </c>
      <c r="AB73" s="11" t="str">
        <f>_xlfn.XLOOKUP(Customer[[#This Row],[Customer ID]],[1]!Address[ID],[1]!Address[Subtype])</f>
        <v>PETRONAS</v>
      </c>
      <c r="AC73" s="18" t="str">
        <f>_xlfn.XLOOKUP(Customer[[#This Row],[Customer ID]],[1]!Address[ID],[1]!Address[Zone])</f>
        <v>NORTH</v>
      </c>
    </row>
    <row r="74" spans="1:29" x14ac:dyDescent="0.3">
      <c r="A74" s="10" t="s">
        <v>588</v>
      </c>
      <c r="B74" s="11" t="str">
        <f>_xlfn.XLOOKUP(Customer[[#This Row],[Customer ID]],[1]!Name[ID],[1]!Name[Description(1)])</f>
        <v>STESEN MINYAK &amp; SERVIS C.S.D</v>
      </c>
      <c r="C74" s="11" t="str">
        <f>_xlfn.XLOOKUP(Customer[[#This Row],[Customer ID]],[1]!Name[ID],[1]!Name[Description(2)])</f>
        <v>PS BANDAR PERMAISURI</v>
      </c>
      <c r="D74" s="11" t="str">
        <f>_xlfn.XLOOKUP(Customer[[#This Row],[Customer ID]],[1]!Address[ID],[1]!Address[PIC])</f>
        <v/>
      </c>
      <c r="E74" s="11" t="str">
        <f>_xlfn.XLOOKUP(Customer[[#This Row],[Customer ID]],[1]!Address[ID],[1]!Address[Full Address])</f>
        <v>PS BANDAR PERMAISURILOT 2112 KAMPUNG BALIK BUKIT,JALAN SETIU - JERTEH, SETIU,21450 SETIU TERENGGANU</v>
      </c>
      <c r="F74" s="12" t="s">
        <v>589</v>
      </c>
      <c r="G74" s="12" t="s">
        <v>590</v>
      </c>
      <c r="H74" s="12" t="s">
        <v>591</v>
      </c>
      <c r="I74" s="12" t="b">
        <f>ISNUMBER(VALUE(LEFT(Customer[[#This Row],[Address Line 3 (30 char)]],1)))</f>
        <v>0</v>
      </c>
      <c r="J74" s="12" t="s">
        <v>154</v>
      </c>
      <c r="K74" s="12">
        <v>21450</v>
      </c>
      <c r="L74" s="12" t="s">
        <v>35</v>
      </c>
      <c r="M74" s="13" t="e">
        <v>#N/A</v>
      </c>
      <c r="N74" s="14" t="s">
        <v>592</v>
      </c>
      <c r="O74" s="14" t="e">
        <v>#N/A</v>
      </c>
      <c r="P74" s="14" t="e">
        <v>#N/A</v>
      </c>
      <c r="Q74" s="19" t="s">
        <v>593</v>
      </c>
      <c r="R74" s="15" t="s">
        <v>594</v>
      </c>
      <c r="S74" s="15" t="s">
        <v>37</v>
      </c>
      <c r="T74" s="16" t="s">
        <v>38</v>
      </c>
      <c r="U74" s="11" t="str">
        <f>_xlfn.XLOOKUP(Customer[[#This Row],[Customer ID]],[1]!Address[ID],[1]!Address[Phone No.(2)])</f>
        <v/>
      </c>
      <c r="V74" s="11" t="str">
        <f>_xlfn.XLOOKUP(Customer[[#This Row],[Customer ID]],[1]!Address[ID],[1]!Address[Type])</f>
        <v>PETROMART</v>
      </c>
      <c r="W74" s="11" t="str">
        <f>_xlfn.XLOOKUP(Customer[[#This Row],[Customer ID]],[1]!Address[ID],[1]!Address[CT])</f>
        <v>30 DAYS</v>
      </c>
      <c r="X74" s="11" t="s">
        <v>39</v>
      </c>
      <c r="Y74" s="17" t="s">
        <v>40</v>
      </c>
      <c r="Z74" s="17" t="e">
        <f>_xlfn.XLOOKUP(Customer[[#This Row],[NewType]],$AF$36:$AF$54,$AG$36:$AG$54)</f>
        <v>#N/A</v>
      </c>
      <c r="AA74" s="17" t="s">
        <v>595</v>
      </c>
      <c r="AB74" s="11" t="str">
        <f>_xlfn.XLOOKUP(Customer[[#This Row],[Customer ID]],[1]!Address[ID],[1]!Address[Subtype])</f>
        <v>PETRONAS</v>
      </c>
      <c r="AC74" s="18" t="str">
        <f>_xlfn.XLOOKUP(Customer[[#This Row],[Customer ID]],[1]!Address[ID],[1]!Address[Zone])</f>
        <v>EAST COAST</v>
      </c>
    </row>
    <row r="75" spans="1:29" x14ac:dyDescent="0.3">
      <c r="A75" s="10" t="s">
        <v>596</v>
      </c>
      <c r="B75" s="11" t="str">
        <f>_xlfn.XLOOKUP(Customer[[#This Row],[Customer ID]],[1]!Name[ID],[1]!Name[Description(1)])</f>
        <v>ANTARA QDUA ENTERPRISE</v>
      </c>
      <c r="C75" s="11" t="str">
        <f>_xlfn.XLOOKUP(Customer[[#This Row],[Customer ID]],[1]!Name[ID],[1]!Name[Description(2)])</f>
        <v>PS BANDAR PUNCAK ALAM 2</v>
      </c>
      <c r="D75" s="11" t="str">
        <f>_xlfn.XLOOKUP(Customer[[#This Row],[Customer ID]],[1]!Address[ID],[1]!Address[PIC])</f>
        <v/>
      </c>
      <c r="E75" s="11" t="str">
        <f>_xlfn.XLOOKUP(Customer[[#This Row],[Customer ID]],[1]!Address[ID],[1]!Address[Full Address])</f>
        <v>PS BANDAR PUNCAK ALAM 2LOT PT 1937, MUKIM IJOK,BANDAR PUNCAK ALAM,45000 KUALA SELANGOR,SELANGOR</v>
      </c>
      <c r="F75" s="12" t="s">
        <v>597</v>
      </c>
      <c r="G75" s="12" t="s">
        <v>598</v>
      </c>
      <c r="H75" s="12" t="s">
        <v>599</v>
      </c>
      <c r="I75" s="12" t="b">
        <f>ISNUMBER(VALUE(LEFT(Customer[[#This Row],[Address Line 3 (30 char)]],1)))</f>
        <v>0</v>
      </c>
      <c r="J75" s="12" t="s">
        <v>172</v>
      </c>
      <c r="K75" s="12">
        <v>45000</v>
      </c>
      <c r="L75" s="12" t="s">
        <v>35</v>
      </c>
      <c r="M75" s="13" t="e">
        <v>#N/A</v>
      </c>
      <c r="N75" s="14" t="e">
        <v>#N/A</v>
      </c>
      <c r="O75" s="14" t="e">
        <v>#N/A</v>
      </c>
      <c r="P75" s="14" t="e">
        <v>#N/A</v>
      </c>
      <c r="Q75" s="19" t="s">
        <v>600</v>
      </c>
      <c r="R75" s="15" t="s">
        <v>601</v>
      </c>
      <c r="S75" s="15" t="s">
        <v>37</v>
      </c>
      <c r="T75" s="16" t="s">
        <v>38</v>
      </c>
      <c r="U75" s="11" t="str">
        <f>_xlfn.XLOOKUP(Customer[[#This Row],[Customer ID]],[1]!Address[ID],[1]!Address[Phone No.(2)])</f>
        <v/>
      </c>
      <c r="V75" s="11" t="str">
        <f>_xlfn.XLOOKUP(Customer[[#This Row],[Customer ID]],[1]!Address[ID],[1]!Address[Type])</f>
        <v>PETROMART</v>
      </c>
      <c r="W75" s="11" t="str">
        <f>_xlfn.XLOOKUP(Customer[[#This Row],[Customer ID]],[1]!Address[ID],[1]!Address[CT])</f>
        <v>30 DAYS</v>
      </c>
      <c r="X75" s="11" t="s">
        <v>39</v>
      </c>
      <c r="Y75" s="17" t="s">
        <v>40</v>
      </c>
      <c r="Z75" s="17" t="e">
        <f>_xlfn.XLOOKUP(Customer[[#This Row],[NewType]],$AF$36:$AF$54,$AG$36:$AG$54)</f>
        <v>#N/A</v>
      </c>
      <c r="AA75" s="17" t="s">
        <v>602</v>
      </c>
      <c r="AB75" s="11" t="str">
        <f>_xlfn.XLOOKUP(Customer[[#This Row],[Customer ID]],[1]!Address[ID],[1]!Address[Subtype])</f>
        <v>PETRONAS</v>
      </c>
      <c r="AC75" s="18" t="str">
        <f>_xlfn.XLOOKUP(Customer[[#This Row],[Customer ID]],[1]!Address[ID],[1]!Address[Zone])</f>
        <v>CENTRAL</v>
      </c>
    </row>
    <row r="76" spans="1:29" x14ac:dyDescent="0.3">
      <c r="A76" s="10" t="s">
        <v>603</v>
      </c>
      <c r="B76" s="11" t="str">
        <f>_xlfn.XLOOKUP(Customer[[#This Row],[Customer ID]],[1]!Name[ID],[1]!Name[Description(1)])</f>
        <v>LEGASI PUNCAK</v>
      </c>
      <c r="C76" s="11" t="str">
        <f>_xlfn.XLOOKUP(Customer[[#This Row],[Customer ID]],[1]!Name[ID],[1]!Name[Description(2)])</f>
        <v>PS BANDAR PUNCAK JALIL</v>
      </c>
      <c r="D76" s="11" t="str">
        <f>_xlfn.XLOOKUP(Customer[[#This Row],[Customer ID]],[1]!Address[ID],[1]!Address[PIC])</f>
        <v/>
      </c>
      <c r="E76" s="11" t="str">
        <f>_xlfn.XLOOKUP(Customer[[#This Row],[Customer ID]],[1]!Address[ID],[1]!Address[Full Address])</f>
        <v>PS BANDAR PUNCAK JALILBANDAR PUNCAK JALIL,PERSIARAN PUNCAK JALIL 2,43300 SERI KEMBANGAN, SELANGOR.</v>
      </c>
      <c r="F76" s="12" t="s">
        <v>604</v>
      </c>
      <c r="G76" s="12" t="s">
        <v>605</v>
      </c>
      <c r="H76" s="12" t="s">
        <v>606</v>
      </c>
      <c r="I76" s="12" t="b">
        <f>ISNUMBER(VALUE(LEFT(Customer[[#This Row],[Address Line 3 (30 char)]],1)))</f>
        <v>0</v>
      </c>
      <c r="J76" s="12" t="s">
        <v>172</v>
      </c>
      <c r="K76" s="12">
        <v>43300</v>
      </c>
      <c r="L76" s="12" t="s">
        <v>35</v>
      </c>
      <c r="M76" s="13" t="e">
        <v>#N/A</v>
      </c>
      <c r="N76" s="14" t="e">
        <v>#N/A</v>
      </c>
      <c r="O76" s="14" t="e">
        <v>#N/A</v>
      </c>
      <c r="P76" s="14" t="e">
        <v>#N/A</v>
      </c>
      <c r="Q76" s="19" t="s">
        <v>607</v>
      </c>
      <c r="R76" s="15" t="s">
        <v>608</v>
      </c>
      <c r="S76" s="15" t="s">
        <v>609</v>
      </c>
      <c r="T76" s="16" t="s">
        <v>38</v>
      </c>
      <c r="U76" s="11" t="str">
        <f>_xlfn.XLOOKUP(Customer[[#This Row],[Customer ID]],[1]!Address[ID],[1]!Address[Phone No.(2)])</f>
        <v/>
      </c>
      <c r="V76" s="11" t="str">
        <f>_xlfn.XLOOKUP(Customer[[#This Row],[Customer ID]],[1]!Address[ID],[1]!Address[Type])</f>
        <v>PETROMART</v>
      </c>
      <c r="W76" s="11" t="str">
        <f>_xlfn.XLOOKUP(Customer[[#This Row],[Customer ID]],[1]!Address[ID],[1]!Address[CT])</f>
        <v>30 DAYS</v>
      </c>
      <c r="X76" s="11" t="s">
        <v>39</v>
      </c>
      <c r="Y76" s="17" t="s">
        <v>40</v>
      </c>
      <c r="Z76" s="17" t="e">
        <f>_xlfn.XLOOKUP(Customer[[#This Row],[NewType]],$AF$36:$AF$54,$AG$36:$AG$54)</f>
        <v>#N/A</v>
      </c>
      <c r="AA76" s="17" t="s">
        <v>610</v>
      </c>
      <c r="AB76" s="11" t="str">
        <f>_xlfn.XLOOKUP(Customer[[#This Row],[Customer ID]],[1]!Address[ID],[1]!Address[Subtype])</f>
        <v>PETRONAS</v>
      </c>
      <c r="AC76" s="18" t="str">
        <f>_xlfn.XLOOKUP(Customer[[#This Row],[Customer ID]],[1]!Address[ID],[1]!Address[Zone])</f>
        <v>CENTRAL</v>
      </c>
    </row>
    <row r="77" spans="1:29" x14ac:dyDescent="0.3">
      <c r="A77" s="10" t="s">
        <v>611</v>
      </c>
      <c r="B77" s="11" t="str">
        <f>_xlfn.XLOOKUP(Customer[[#This Row],[Customer ID]],[1]!Name[ID],[1]!Name[Description(1)])</f>
        <v>ILTIZAM MESRA ENTERPRISE</v>
      </c>
      <c r="C77" s="11" t="str">
        <f>_xlfn.XLOOKUP(Customer[[#This Row],[Customer ID]],[1]!Name[ID],[1]!Name[Description(2)])</f>
        <v>PS BANDAR PUTERI JAYA</v>
      </c>
      <c r="D77" s="11" t="str">
        <f>_xlfn.XLOOKUP(Customer[[#This Row],[Customer ID]],[1]!Address[ID],[1]!Address[PIC])</f>
        <v/>
      </c>
      <c r="E77" s="11" t="str">
        <f>_xlfn.XLOOKUP(Customer[[#This Row],[Customer ID]],[1]!Address[ID],[1]!Address[Full Address])</f>
        <v>PS BANDAR PUTERI JAYAPART OF LOT 47457 HS(D) 18435,BANDAR PUTERI JAYA, MUKIM KUALA MUDA,SUNGAI PETANI, 08000 KUALA MUDA, KEDAH</v>
      </c>
      <c r="F77" s="12" t="s">
        <v>612</v>
      </c>
      <c r="G77" s="12" t="s">
        <v>613</v>
      </c>
      <c r="H77" s="12" t="s">
        <v>614</v>
      </c>
      <c r="I77" s="12" t="b">
        <f>ISNUMBER(VALUE(LEFT(Customer[[#This Row],[Address Line 3 (30 char)]],1)))</f>
        <v>0</v>
      </c>
      <c r="J77" s="12" t="s">
        <v>79</v>
      </c>
      <c r="K77" s="20" t="s">
        <v>296</v>
      </c>
      <c r="L77" s="12" t="s">
        <v>35</v>
      </c>
      <c r="M77" s="13">
        <v>200703121499</v>
      </c>
      <c r="N77" s="14" t="s">
        <v>615</v>
      </c>
      <c r="O77" s="14" t="s">
        <v>54</v>
      </c>
      <c r="P77" s="14" t="s">
        <v>54</v>
      </c>
      <c r="Q77" s="21" t="s">
        <v>616</v>
      </c>
      <c r="R77" s="15" t="s">
        <v>617</v>
      </c>
      <c r="S77" s="15" t="s">
        <v>74</v>
      </c>
      <c r="T77" s="16" t="s">
        <v>38</v>
      </c>
      <c r="U77" s="11" t="str">
        <f>_xlfn.XLOOKUP(Customer[[#This Row],[Customer ID]],[1]!Address[ID],[1]!Address[Phone No.(2)])</f>
        <v/>
      </c>
      <c r="V77" s="11" t="str">
        <f>_xlfn.XLOOKUP(Customer[[#This Row],[Customer ID]],[1]!Address[ID],[1]!Address[Type])</f>
        <v>PETROMART</v>
      </c>
      <c r="W77" s="11" t="str">
        <f>_xlfn.XLOOKUP(Customer[[#This Row],[Customer ID]],[1]!Address[ID],[1]!Address[CT])</f>
        <v>30 DAYS</v>
      </c>
      <c r="X77" s="11" t="s">
        <v>39</v>
      </c>
      <c r="Y77" s="17" t="s">
        <v>40</v>
      </c>
      <c r="Z77" s="17" t="e">
        <f>_xlfn.XLOOKUP(Customer[[#This Row],[NewType]],$AF$36:$AF$54,$AG$36:$AG$54)</f>
        <v>#N/A</v>
      </c>
      <c r="AA77" s="17" t="s">
        <v>618</v>
      </c>
      <c r="AB77" s="11" t="str">
        <f>_xlfn.XLOOKUP(Customer[[#This Row],[Customer ID]],[1]!Address[ID],[1]!Address[Subtype])</f>
        <v>PETRONAS</v>
      </c>
      <c r="AC77" s="18" t="str">
        <f>_xlfn.XLOOKUP(Customer[[#This Row],[Customer ID]],[1]!Address[ID],[1]!Address[Zone])</f>
        <v>NORTH</v>
      </c>
    </row>
    <row r="78" spans="1:29" x14ac:dyDescent="0.3">
      <c r="A78" s="10" t="s">
        <v>619</v>
      </c>
      <c r="B78" s="11" t="str">
        <f>_xlfn.XLOOKUP(Customer[[#This Row],[Customer ID]],[1]!Name[ID],[1]!Name[Description(1)])</f>
        <v>MICKEY PUCHONG PETROL STATION</v>
      </c>
      <c r="C78" s="11" t="str">
        <f>_xlfn.XLOOKUP(Customer[[#This Row],[Customer ID]],[1]!Name[ID],[1]!Name[Description(2)])</f>
        <v>PS BANDAR PUTERI PUCHONG</v>
      </c>
      <c r="D78" s="11" t="str">
        <f>_xlfn.XLOOKUP(Customer[[#This Row],[Customer ID]],[1]!Address[ID],[1]!Address[PIC])</f>
        <v/>
      </c>
      <c r="E78" s="11" t="str">
        <f>_xlfn.XLOOKUP(Customer[[#This Row],[Customer ID]],[1]!Address[ID],[1]!Address[Full Address])</f>
        <v>PS BANDAR PUTERI PUCHONGLOT 5471 &amp; 5473, LEBUH PUTERI,BANDAR PUTERI PUCHONG,47100 PETALING,  SELANGOR</v>
      </c>
      <c r="F78" s="12" t="s">
        <v>620</v>
      </c>
      <c r="G78" s="12" t="s">
        <v>621</v>
      </c>
      <c r="H78" s="12" t="s">
        <v>622</v>
      </c>
      <c r="I78" s="12" t="b">
        <f>ISNUMBER(VALUE(LEFT(Customer[[#This Row],[Address Line 3 (30 char)]],1)))</f>
        <v>0</v>
      </c>
      <c r="J78" s="12" t="s">
        <v>172</v>
      </c>
      <c r="K78" s="12">
        <v>47100</v>
      </c>
      <c r="L78" s="12" t="s">
        <v>35</v>
      </c>
      <c r="M78" s="13">
        <v>200803001993</v>
      </c>
      <c r="N78" s="14"/>
      <c r="O78" s="14"/>
      <c r="P78" s="14">
        <v>47300</v>
      </c>
      <c r="Q78" s="21" t="s">
        <v>623</v>
      </c>
      <c r="R78" s="15" t="s">
        <v>624</v>
      </c>
      <c r="S78" s="15" t="s">
        <v>37</v>
      </c>
      <c r="T78" s="16" t="s">
        <v>38</v>
      </c>
      <c r="U78" s="11" t="str">
        <f>_xlfn.XLOOKUP(Customer[[#This Row],[Customer ID]],[1]!Address[ID],[1]!Address[Phone No.(2)])</f>
        <v/>
      </c>
      <c r="V78" s="11" t="str">
        <f>_xlfn.XLOOKUP(Customer[[#This Row],[Customer ID]],[1]!Address[ID],[1]!Address[Type])</f>
        <v>PETROMART</v>
      </c>
      <c r="W78" s="11" t="str">
        <f>_xlfn.XLOOKUP(Customer[[#This Row],[Customer ID]],[1]!Address[ID],[1]!Address[CT])</f>
        <v>30 DAYS</v>
      </c>
      <c r="X78" s="11" t="s">
        <v>39</v>
      </c>
      <c r="Y78" s="17" t="s">
        <v>40</v>
      </c>
      <c r="Z78" s="17" t="e">
        <f>_xlfn.XLOOKUP(Customer[[#This Row],[NewType]],$AF$36:$AF$54,$AG$36:$AG$54)</f>
        <v>#N/A</v>
      </c>
      <c r="AA78" s="17" t="s">
        <v>625</v>
      </c>
      <c r="AB78" s="11" t="str">
        <f>_xlfn.XLOOKUP(Customer[[#This Row],[Customer ID]],[1]!Address[ID],[1]!Address[Subtype])</f>
        <v>PETRONAS</v>
      </c>
      <c r="AC78" s="18" t="str">
        <f>_xlfn.XLOOKUP(Customer[[#This Row],[Customer ID]],[1]!Address[ID],[1]!Address[Zone])</f>
        <v>CENTRAL</v>
      </c>
    </row>
    <row r="79" spans="1:29" x14ac:dyDescent="0.3">
      <c r="A79" s="10" t="s">
        <v>626</v>
      </c>
      <c r="B79" s="11" t="str">
        <f>_xlfn.XLOOKUP(Customer[[#This Row],[Customer ID]],[1]!Name[ID],[1]!Name[Description(1)])</f>
        <v>RAS PETROL ENTERPRISE</v>
      </c>
      <c r="C79" s="11" t="str">
        <f>_xlfn.XLOOKUP(Customer[[#This Row],[Customer ID]],[1]!Name[ID],[1]!Name[Description(2)])</f>
        <v>PS BANDAR PUTRA (PLOT 1)</v>
      </c>
      <c r="D79" s="11" t="str">
        <f>_xlfn.XLOOKUP(Customer[[#This Row],[Customer ID]],[1]!Address[ID],[1]!Address[PIC])</f>
        <v/>
      </c>
      <c r="E79" s="11" t="str">
        <f>_xlfn.XLOOKUP(Customer[[#This Row],[Customer ID]],[1]!Address[ID],[1]!Address[Full Address])</f>
        <v>PS BANDAR PUTRA (PLOT 1)PLOT 1, PTD 66916 BANDAR PUTRA,MUKIM SENAI-KULAI, 81100 JOHOR</v>
      </c>
      <c r="F79" s="12" t="s">
        <v>627</v>
      </c>
      <c r="G79" s="12" t="s">
        <v>628</v>
      </c>
      <c r="H79" s="12" t="s">
        <v>629</v>
      </c>
      <c r="I79" s="12" t="b">
        <f>ISNUMBER(VALUE(LEFT(Customer[[#This Row],[Address Line 3 (30 char)]],1)))</f>
        <v>0</v>
      </c>
      <c r="J79" s="12" t="s">
        <v>52</v>
      </c>
      <c r="K79" s="12">
        <v>81100</v>
      </c>
      <c r="L79" s="12" t="s">
        <v>35</v>
      </c>
      <c r="M79" s="13">
        <v>200403131428</v>
      </c>
      <c r="N79" s="14" t="s">
        <v>630</v>
      </c>
      <c r="O79" s="14" t="e">
        <v>#N/A</v>
      </c>
      <c r="P79" s="14" t="e">
        <v>#N/A</v>
      </c>
      <c r="Q79" s="21" t="s">
        <v>631</v>
      </c>
      <c r="R79" s="15" t="s">
        <v>632</v>
      </c>
      <c r="S79" s="15" t="s">
        <v>37</v>
      </c>
      <c r="T79" s="16" t="s">
        <v>38</v>
      </c>
      <c r="U79" s="11" t="str">
        <f>_xlfn.XLOOKUP(Customer[[#This Row],[Customer ID]],[1]!Address[ID],[1]!Address[Phone No.(2)])</f>
        <v/>
      </c>
      <c r="V79" s="11" t="str">
        <f>_xlfn.XLOOKUP(Customer[[#This Row],[Customer ID]],[1]!Address[ID],[1]!Address[Type])</f>
        <v>PETROMART</v>
      </c>
      <c r="W79" s="11" t="str">
        <f>_xlfn.XLOOKUP(Customer[[#This Row],[Customer ID]],[1]!Address[ID],[1]!Address[CT])</f>
        <v>30 DAYS</v>
      </c>
      <c r="X79" s="11" t="s">
        <v>39</v>
      </c>
      <c r="Y79" s="17" t="s">
        <v>40</v>
      </c>
      <c r="Z79" s="17" t="e">
        <f>_xlfn.XLOOKUP(Customer[[#This Row],[NewType]],$AF$36:$AF$54,$AG$36:$AG$54)</f>
        <v>#N/A</v>
      </c>
      <c r="AA79" s="17" t="s">
        <v>633</v>
      </c>
      <c r="AB79" s="11" t="str">
        <f>_xlfn.XLOOKUP(Customer[[#This Row],[Customer ID]],[1]!Address[ID],[1]!Address[Subtype])</f>
        <v>PETRONAS</v>
      </c>
      <c r="AC79" s="18" t="str">
        <f>_xlfn.XLOOKUP(Customer[[#This Row],[Customer ID]],[1]!Address[ID],[1]!Address[Zone])</f>
        <v>SOUTH</v>
      </c>
    </row>
    <row r="80" spans="1:29" x14ac:dyDescent="0.3">
      <c r="A80" s="10" t="s">
        <v>634</v>
      </c>
      <c r="B80" s="11" t="str">
        <f>_xlfn.XLOOKUP(Customer[[#This Row],[Customer ID]],[1]!Name[ID],[1]!Name[Description(1)])</f>
        <v>JT GEMILANG ENTERPRISE</v>
      </c>
      <c r="C80" s="11" t="str">
        <f>_xlfn.XLOOKUP(Customer[[#This Row],[Customer ID]],[1]!Name[ID],[1]!Name[Description(2)])</f>
        <v>PS BANDAR PUTRA 3</v>
      </c>
      <c r="D80" s="11" t="str">
        <f>_xlfn.XLOOKUP(Customer[[#This Row],[Customer ID]],[1]!Address[ID],[1]!Address[PIC])</f>
        <v/>
      </c>
      <c r="E80" s="11" t="str">
        <f>_xlfn.XLOOKUP(Customer[[#This Row],[Customer ID]],[1]!Address[ID],[1]!Address[Full Address])</f>
        <v>PS BANDAR PUTRA 3PLOT 3, PTD 61674 BANDAR PUTRA,MUKIM SENAI-KULAI, JOHOR,81400 JOHOR BAHRU, JOHOR</v>
      </c>
      <c r="F80" s="12" t="s">
        <v>635</v>
      </c>
      <c r="G80" s="12" t="s">
        <v>636</v>
      </c>
      <c r="H80" s="12" t="s">
        <v>637</v>
      </c>
      <c r="I80" s="12" t="b">
        <f>ISNUMBER(VALUE(LEFT(Customer[[#This Row],[Address Line 3 (30 char)]],1)))</f>
        <v>0</v>
      </c>
      <c r="J80" s="12" t="s">
        <v>52</v>
      </c>
      <c r="K80" s="12">
        <v>81400</v>
      </c>
      <c r="L80" s="12" t="s">
        <v>35</v>
      </c>
      <c r="M80" s="13" t="e">
        <v>#N/A</v>
      </c>
      <c r="N80" s="14" t="e">
        <v>#N/A</v>
      </c>
      <c r="O80" s="14" t="e">
        <v>#N/A</v>
      </c>
      <c r="P80" s="14" t="e">
        <v>#N/A</v>
      </c>
      <c r="Q80" s="21" t="s">
        <v>638</v>
      </c>
      <c r="R80" s="15" t="s">
        <v>639</v>
      </c>
      <c r="S80" s="15" t="s">
        <v>37</v>
      </c>
      <c r="T80" s="16" t="s">
        <v>38</v>
      </c>
      <c r="U80" s="11" t="str">
        <f>_xlfn.XLOOKUP(Customer[[#This Row],[Customer ID]],[1]!Address[ID],[1]!Address[Phone No.(2)])</f>
        <v/>
      </c>
      <c r="V80" s="11" t="str">
        <f>_xlfn.XLOOKUP(Customer[[#This Row],[Customer ID]],[1]!Address[ID],[1]!Address[Type])</f>
        <v>PETROMART</v>
      </c>
      <c r="W80" s="11" t="str">
        <f>_xlfn.XLOOKUP(Customer[[#This Row],[Customer ID]],[1]!Address[ID],[1]!Address[CT])</f>
        <v>30 DAYS</v>
      </c>
      <c r="X80" s="11" t="s">
        <v>39</v>
      </c>
      <c r="Y80" s="17" t="s">
        <v>40</v>
      </c>
      <c r="Z80" s="17" t="e">
        <f>_xlfn.XLOOKUP(Customer[[#This Row],[NewType]],$AF$36:$AF$54,$AG$36:$AG$54)</f>
        <v>#N/A</v>
      </c>
      <c r="AA80" s="17" t="s">
        <v>640</v>
      </c>
      <c r="AB80" s="11" t="str">
        <f>_xlfn.XLOOKUP(Customer[[#This Row],[Customer ID]],[1]!Address[ID],[1]!Address[Subtype])</f>
        <v>PETRONAS</v>
      </c>
      <c r="AC80" s="18" t="str">
        <f>_xlfn.XLOOKUP(Customer[[#This Row],[Customer ID]],[1]!Address[ID],[1]!Address[Zone])</f>
        <v>SOUTH</v>
      </c>
    </row>
    <row r="81" spans="1:29" x14ac:dyDescent="0.3">
      <c r="A81" s="10" t="s">
        <v>641</v>
      </c>
      <c r="B81" s="11" t="str">
        <f>_xlfn.XLOOKUP(Customer[[#This Row],[Customer ID]],[1]!Name[ID],[1]!Name[Description(1)])</f>
        <v>JM EIJAZ SDN BHD</v>
      </c>
      <c r="C81" s="11" t="str">
        <f>_xlfn.XLOOKUP(Customer[[#This Row],[Customer ID]],[1]!Name[ID],[1]!Name[Description(2)])</f>
        <v>PS BANDAR SAUJANA PUTRA</v>
      </c>
      <c r="D81" s="11" t="str">
        <f>_xlfn.XLOOKUP(Customer[[#This Row],[Customer ID]],[1]!Address[ID],[1]!Address[PIC])</f>
        <v/>
      </c>
      <c r="E81" s="11" t="str">
        <f>_xlfn.XLOOKUP(Customer[[#This Row],[Customer ID]],[1]!Address[ID],[1]!Address[Full Address])</f>
        <v>PS BANDAR SAUJANA PUTRALOT 26103, JALAN SP 4/31,BANDAR SAUJANA PUTRA,42610 KUALA LANGAT, SELANGOR</v>
      </c>
      <c r="F81" s="12" t="s">
        <v>642</v>
      </c>
      <c r="G81" s="12" t="s">
        <v>643</v>
      </c>
      <c r="H81" s="12" t="s">
        <v>644</v>
      </c>
      <c r="I81" s="12" t="b">
        <f>ISNUMBER(VALUE(LEFT(Customer[[#This Row],[Address Line 3 (30 char)]],1)))</f>
        <v>0</v>
      </c>
      <c r="J81" s="12" t="s">
        <v>172</v>
      </c>
      <c r="K81" s="12">
        <v>42610</v>
      </c>
      <c r="L81" s="12" t="s">
        <v>35</v>
      </c>
      <c r="M81" s="13" t="e">
        <v>#N/A</v>
      </c>
      <c r="N81" s="14" t="e">
        <v>#N/A</v>
      </c>
      <c r="O81" s="14" t="e">
        <v>#N/A</v>
      </c>
      <c r="P81" s="14" t="e">
        <v>#N/A</v>
      </c>
      <c r="Q81" s="21" t="s">
        <v>645</v>
      </c>
      <c r="R81" s="15" t="s">
        <v>646</v>
      </c>
      <c r="S81" s="15" t="s">
        <v>37</v>
      </c>
      <c r="T81" s="16" t="s">
        <v>38</v>
      </c>
      <c r="U81" s="11" t="str">
        <f>_xlfn.XLOOKUP(Customer[[#This Row],[Customer ID]],[1]!Address[ID],[1]!Address[Phone No.(2)])</f>
        <v/>
      </c>
      <c r="V81" s="11" t="str">
        <f>_xlfn.XLOOKUP(Customer[[#This Row],[Customer ID]],[1]!Address[ID],[1]!Address[Type])</f>
        <v>PETROMART</v>
      </c>
      <c r="W81" s="11" t="str">
        <f>_xlfn.XLOOKUP(Customer[[#This Row],[Customer ID]],[1]!Address[ID],[1]!Address[CT])</f>
        <v>30 DAYS</v>
      </c>
      <c r="X81" s="11" t="s">
        <v>39</v>
      </c>
      <c r="Y81" s="17" t="s">
        <v>40</v>
      </c>
      <c r="Z81" s="17" t="e">
        <f>_xlfn.XLOOKUP(Customer[[#This Row],[NewType]],$AF$36:$AF$54,$AG$36:$AG$54)</f>
        <v>#N/A</v>
      </c>
      <c r="AA81" s="17" t="s">
        <v>647</v>
      </c>
      <c r="AB81" s="11" t="str">
        <f>_xlfn.XLOOKUP(Customer[[#This Row],[Customer ID]],[1]!Address[ID],[1]!Address[Subtype])</f>
        <v>PETRONAS</v>
      </c>
      <c r="AC81" s="18" t="str">
        <f>_xlfn.XLOOKUP(Customer[[#This Row],[Customer ID]],[1]!Address[ID],[1]!Address[Zone])</f>
        <v>CENTRAL</v>
      </c>
    </row>
    <row r="82" spans="1:29" x14ac:dyDescent="0.3">
      <c r="A82" s="10" t="s">
        <v>648</v>
      </c>
      <c r="B82" s="11" t="str">
        <f>_xlfn.XLOOKUP(Customer[[#This Row],[Customer ID]],[1]!Name[ID],[1]!Name[Description(1)])</f>
        <v>EIDAMAN ENTERPRISE</v>
      </c>
      <c r="C82" s="11" t="str">
        <f>_xlfn.XLOOKUP(Customer[[#This Row],[Customer ID]],[1]!Name[ID],[1]!Name[Description(2)])</f>
        <v>PS BANDAR SERI ALAM 2</v>
      </c>
      <c r="D82" s="11" t="str">
        <f>_xlfn.XLOOKUP(Customer[[#This Row],[Customer ID]],[1]!Address[ID],[1]!Address[PIC])</f>
        <v>EIDAMAN ENTERPR</v>
      </c>
      <c r="E82" s="11" t="str">
        <f>_xlfn.XLOOKUP(Customer[[#This Row],[Customer ID]],[1]!Address[ID],[1]!Address[Full Address])</f>
        <v>PS BANDAR SERI ALAM 2LOT PTD 111519 BANDAR SERI ALAM 2MUKIM PLENTONG, JOHOR,81750 JOHOR BAHRU,   JOHOR</v>
      </c>
      <c r="F82" s="12" t="s">
        <v>649</v>
      </c>
      <c r="G82" s="12" t="s">
        <v>650</v>
      </c>
      <c r="H82" s="12" t="s">
        <v>651</v>
      </c>
      <c r="I82" s="12" t="b">
        <f>ISNUMBER(VALUE(LEFT(Customer[[#This Row],[Address Line 3 (30 char)]],1)))</f>
        <v>0</v>
      </c>
      <c r="J82" s="12" t="s">
        <v>52</v>
      </c>
      <c r="K82" s="12">
        <v>81750</v>
      </c>
      <c r="L82" s="12" t="s">
        <v>35</v>
      </c>
      <c r="M82" s="13">
        <v>200403166402</v>
      </c>
      <c r="N82" s="14" t="s">
        <v>652</v>
      </c>
      <c r="O82" s="14" t="e">
        <v>#N/A</v>
      </c>
      <c r="P82" s="14" t="e">
        <v>#N/A</v>
      </c>
      <c r="Q82" s="21" t="s">
        <v>653</v>
      </c>
      <c r="R82" s="15" t="s">
        <v>654</v>
      </c>
      <c r="S82" s="15" t="s">
        <v>37</v>
      </c>
      <c r="T82" s="16" t="s">
        <v>38</v>
      </c>
      <c r="U82" s="11" t="str">
        <f>_xlfn.XLOOKUP(Customer[[#This Row],[Customer ID]],[1]!Address[ID],[1]!Address[Phone No.(2)])</f>
        <v/>
      </c>
      <c r="V82" s="11" t="str">
        <f>_xlfn.XLOOKUP(Customer[[#This Row],[Customer ID]],[1]!Address[ID],[1]!Address[Type])</f>
        <v>PETROMART</v>
      </c>
      <c r="W82" s="11" t="str">
        <f>_xlfn.XLOOKUP(Customer[[#This Row],[Customer ID]],[1]!Address[ID],[1]!Address[CT])</f>
        <v>30 DAYS</v>
      </c>
      <c r="X82" s="11" t="s">
        <v>39</v>
      </c>
      <c r="Y82" s="17" t="s">
        <v>40</v>
      </c>
      <c r="Z82" s="17" t="e">
        <f>_xlfn.XLOOKUP(Customer[[#This Row],[NewType]],$AF$36:$AF$54,$AG$36:$AG$54)</f>
        <v>#N/A</v>
      </c>
      <c r="AA82" s="17" t="s">
        <v>655</v>
      </c>
      <c r="AB82" s="11" t="str">
        <f>_xlfn.XLOOKUP(Customer[[#This Row],[Customer ID]],[1]!Address[ID],[1]!Address[Subtype])</f>
        <v>PETRONAS</v>
      </c>
      <c r="AC82" s="18" t="str">
        <f>_xlfn.XLOOKUP(Customer[[#This Row],[Customer ID]],[1]!Address[ID],[1]!Address[Zone])</f>
        <v>SOUTH</v>
      </c>
    </row>
    <row r="83" spans="1:29" x14ac:dyDescent="0.3">
      <c r="A83" s="10" t="s">
        <v>656</v>
      </c>
      <c r="B83" s="11" t="str">
        <f>_xlfn.XLOOKUP(Customer[[#This Row],[Customer ID]],[1]!Name[ID],[1]!Name[Description(1)])</f>
        <v>AZAMEGA ENTERPRISE</v>
      </c>
      <c r="C83" s="11" t="str">
        <f>_xlfn.XLOOKUP(Customer[[#This Row],[Customer ID]],[1]!Name[ID],[1]!Name[Description(2)])</f>
        <v>PS BANDAR SERI KEMBANGAN</v>
      </c>
      <c r="D83" s="11" t="str">
        <f>_xlfn.XLOOKUP(Customer[[#This Row],[Customer ID]],[1]!Address[ID],[1]!Address[PIC])</f>
        <v/>
      </c>
      <c r="E83" s="11" t="str">
        <f>_xlfn.XLOOKUP(Customer[[#This Row],[Customer ID]],[1]!Address[ID],[1]!Address[Full Address])</f>
        <v>PS BANDAR SERI KEMBANGANLOT 1833, JALAN KOLEJ, SERI KEMBANGAN,43300 SERI KEMBANGAN,SELANGOR</v>
      </c>
      <c r="F83" s="12" t="s">
        <v>657</v>
      </c>
      <c r="G83" s="12" t="s">
        <v>658</v>
      </c>
      <c r="H83" s="12" t="s">
        <v>658</v>
      </c>
      <c r="I83" s="12" t="b">
        <f>ISNUMBER(VALUE(LEFT(Customer[[#This Row],[Address Line 3 (30 char)]],1)))</f>
        <v>0</v>
      </c>
      <c r="J83" s="12" t="s">
        <v>172</v>
      </c>
      <c r="K83" s="12">
        <v>43300</v>
      </c>
      <c r="L83" s="12" t="s">
        <v>35</v>
      </c>
      <c r="M83" s="13" t="e">
        <v>#N/A</v>
      </c>
      <c r="N83" s="14" t="e">
        <v>#N/A</v>
      </c>
      <c r="O83" s="14" t="e">
        <v>#N/A</v>
      </c>
      <c r="P83" s="14" t="e">
        <v>#N/A</v>
      </c>
      <c r="Q83" s="21" t="s">
        <v>659</v>
      </c>
      <c r="R83" s="15" t="s">
        <v>660</v>
      </c>
      <c r="S83" s="15" t="s">
        <v>37</v>
      </c>
      <c r="T83" s="16" t="s">
        <v>38</v>
      </c>
      <c r="U83" s="11" t="str">
        <f>_xlfn.XLOOKUP(Customer[[#This Row],[Customer ID]],[1]!Address[ID],[1]!Address[Phone No.(2)])</f>
        <v>192200505</v>
      </c>
      <c r="V83" s="11" t="str">
        <f>_xlfn.XLOOKUP(Customer[[#This Row],[Customer ID]],[1]!Address[ID],[1]!Address[Type])</f>
        <v>PETROMART</v>
      </c>
      <c r="W83" s="11" t="str">
        <f>_xlfn.XLOOKUP(Customer[[#This Row],[Customer ID]],[1]!Address[ID],[1]!Address[CT])</f>
        <v>30 DAYS</v>
      </c>
      <c r="X83" s="11" t="s">
        <v>39</v>
      </c>
      <c r="Y83" s="17" t="s">
        <v>40</v>
      </c>
      <c r="Z83" s="17" t="e">
        <f>_xlfn.XLOOKUP(Customer[[#This Row],[NewType]],$AF$36:$AF$54,$AG$36:$AG$54)</f>
        <v>#N/A</v>
      </c>
      <c r="AA83" s="17" t="s">
        <v>661</v>
      </c>
      <c r="AB83" s="11" t="str">
        <f>_xlfn.XLOOKUP(Customer[[#This Row],[Customer ID]],[1]!Address[ID],[1]!Address[Subtype])</f>
        <v>PETRONAS</v>
      </c>
      <c r="AC83" s="18" t="str">
        <f>_xlfn.XLOOKUP(Customer[[#This Row],[Customer ID]],[1]!Address[ID],[1]!Address[Zone])</f>
        <v>CENTRAL</v>
      </c>
    </row>
    <row r="84" spans="1:29" x14ac:dyDescent="0.3">
      <c r="A84" s="10" t="s">
        <v>662</v>
      </c>
      <c r="B84" s="11" t="str">
        <f>_xlfn.XLOOKUP(Customer[[#This Row],[Customer ID]],[1]!Name[ID],[1]!Name[Description(1)])</f>
        <v>BIN SALIM ALFATEH SERVICE STATION</v>
      </c>
      <c r="C84" s="11" t="str">
        <f>_xlfn.XLOOKUP(Customer[[#This Row],[Customer ID]],[1]!Name[ID],[1]!Name[Description(2)])</f>
        <v>PS BANDAR SERI PUTRA</v>
      </c>
      <c r="D84" s="11" t="str">
        <f>_xlfn.XLOOKUP(Customer[[#This Row],[Customer ID]],[1]!Address[ID],[1]!Address[PIC])</f>
        <v/>
      </c>
      <c r="E84" s="11" t="str">
        <f>_xlfn.XLOOKUP(Customer[[#This Row],[Customer ID]],[1]!Address[ID],[1]!Address[Full Address])</f>
        <v>PS BANDAR SERI PUTRALOT PT 39138,HSD 47005,JALAN SERI PUTRA 1/9, BANDAR SERI PUTRAKAJANG, 43000 ULU LANGAT,  SELANGOR</v>
      </c>
      <c r="F84" s="12" t="s">
        <v>663</v>
      </c>
      <c r="G84" s="12" t="s">
        <v>664</v>
      </c>
      <c r="H84" s="12" t="s">
        <v>665</v>
      </c>
      <c r="I84" s="12" t="b">
        <f>ISNUMBER(VALUE(LEFT(Customer[[#This Row],[Address Line 3 (30 char)]],1)))</f>
        <v>0</v>
      </c>
      <c r="J84" s="12" t="s">
        <v>172</v>
      </c>
      <c r="K84" s="12">
        <v>43000</v>
      </c>
      <c r="L84" s="12" t="s">
        <v>35</v>
      </c>
      <c r="M84" s="13" t="s">
        <v>666</v>
      </c>
      <c r="N84" s="14" t="s">
        <v>667</v>
      </c>
      <c r="O84" s="14" t="s">
        <v>54</v>
      </c>
      <c r="P84" s="14">
        <v>46611</v>
      </c>
      <c r="Q84" s="21" t="s">
        <v>668</v>
      </c>
      <c r="R84" s="15" t="s">
        <v>373</v>
      </c>
      <c r="S84" s="15" t="s">
        <v>37</v>
      </c>
      <c r="T84" s="16" t="s">
        <v>38</v>
      </c>
      <c r="U84" s="11" t="str">
        <f>_xlfn.XLOOKUP(Customer[[#This Row],[Customer ID]],[1]!Address[ID],[1]!Address[Phone No.(2)])</f>
        <v/>
      </c>
      <c r="V84" s="11" t="str">
        <f>_xlfn.XLOOKUP(Customer[[#This Row],[Customer ID]],[1]!Address[ID],[1]!Address[Type])</f>
        <v>PETROMART</v>
      </c>
      <c r="W84" s="11" t="str">
        <f>_xlfn.XLOOKUP(Customer[[#This Row],[Customer ID]],[1]!Address[ID],[1]!Address[CT])</f>
        <v>30 DAYS</v>
      </c>
      <c r="X84" s="11" t="s">
        <v>39</v>
      </c>
      <c r="Y84" s="17" t="s">
        <v>40</v>
      </c>
      <c r="Z84" s="17" t="e">
        <f>_xlfn.XLOOKUP(Customer[[#This Row],[NewType]],$AF$36:$AF$54,$AG$36:$AG$54)</f>
        <v>#N/A</v>
      </c>
      <c r="AA84" s="17" t="s">
        <v>669</v>
      </c>
      <c r="AB84" s="11" t="str">
        <f>_xlfn.XLOOKUP(Customer[[#This Row],[Customer ID]],[1]!Address[ID],[1]!Address[Subtype])</f>
        <v>PETRONAS</v>
      </c>
      <c r="AC84" s="18" t="str">
        <f>_xlfn.XLOOKUP(Customer[[#This Row],[Customer ID]],[1]!Address[ID],[1]!Address[Zone])</f>
        <v>CENTRAL</v>
      </c>
    </row>
    <row r="85" spans="1:29" x14ac:dyDescent="0.3">
      <c r="A85" s="10" t="s">
        <v>670</v>
      </c>
      <c r="B85" s="11" t="str">
        <f>_xlfn.XLOOKUP(Customer[[#This Row],[Customer ID]],[1]!Name[ID],[1]!Name[Description(1)])</f>
        <v>SAMUSIM DUA ENTERPRISE</v>
      </c>
      <c r="C85" s="11" t="str">
        <f>_xlfn.XLOOKUP(Customer[[#This Row],[Customer ID]],[1]!Name[ID],[1]!Name[Description(2)])</f>
        <v>PS BANDAR SETIA ALAM</v>
      </c>
      <c r="D85" s="11" t="str">
        <f>_xlfn.XLOOKUP(Customer[[#This Row],[Customer ID]],[1]!Address[ID],[1]!Address[PIC])</f>
        <v>MERCHANDISER</v>
      </c>
      <c r="E85" s="11" t="str">
        <f>_xlfn.XLOOKUP(Customer[[#This Row],[Customer ID]],[1]!Address[ID],[1]!Address[Full Address])</f>
        <v>PS BANDAR SETIA ALAMNO.1, JALAN SETIA MURNI U13/50,SEKSYEN U13, BANDAR SETIA ALAM,40170 PETALING,SELANGOR</v>
      </c>
      <c r="F85" s="12" t="s">
        <v>671</v>
      </c>
      <c r="G85" s="12" t="s">
        <v>672</v>
      </c>
      <c r="H85" s="12" t="s">
        <v>673</v>
      </c>
      <c r="I85" s="12" t="b">
        <f>ISNUMBER(VALUE(LEFT(Customer[[#This Row],[Address Line 3 (30 char)]],1)))</f>
        <v>0</v>
      </c>
      <c r="J85" s="12" t="s">
        <v>172</v>
      </c>
      <c r="K85" s="12">
        <v>40170</v>
      </c>
      <c r="L85" s="12" t="s">
        <v>35</v>
      </c>
      <c r="M85" s="13">
        <v>200803070950</v>
      </c>
      <c r="N85" s="14" t="s">
        <v>674</v>
      </c>
      <c r="O85" s="14" t="s">
        <v>156</v>
      </c>
      <c r="P85" s="14">
        <v>47114</v>
      </c>
      <c r="Q85" s="21" t="s">
        <v>675</v>
      </c>
      <c r="R85" s="15" t="s">
        <v>676</v>
      </c>
      <c r="S85" s="15" t="s">
        <v>37</v>
      </c>
      <c r="T85" s="16" t="s">
        <v>38</v>
      </c>
      <c r="U85" s="11" t="str">
        <f>_xlfn.XLOOKUP(Customer[[#This Row],[Customer ID]],[1]!Address[ID],[1]!Address[Phone No.(2)])</f>
        <v/>
      </c>
      <c r="V85" s="11" t="str">
        <f>_xlfn.XLOOKUP(Customer[[#This Row],[Customer ID]],[1]!Address[ID],[1]!Address[Type])</f>
        <v>PETROMART</v>
      </c>
      <c r="W85" s="11" t="str">
        <f>_xlfn.XLOOKUP(Customer[[#This Row],[Customer ID]],[1]!Address[ID],[1]!Address[CT])</f>
        <v>30 DAYS</v>
      </c>
      <c r="X85" s="11" t="s">
        <v>39</v>
      </c>
      <c r="Y85" s="17" t="s">
        <v>40</v>
      </c>
      <c r="Z85" s="17" t="e">
        <f>_xlfn.XLOOKUP(Customer[[#This Row],[NewType]],$AF$36:$AF$54,$AG$36:$AG$54)</f>
        <v>#N/A</v>
      </c>
      <c r="AA85" s="17" t="s">
        <v>677</v>
      </c>
      <c r="AB85" s="11" t="str">
        <f>_xlfn.XLOOKUP(Customer[[#This Row],[Customer ID]],[1]!Address[ID],[1]!Address[Subtype])</f>
        <v>PETRONAS</v>
      </c>
      <c r="AC85" s="18" t="str">
        <f>_xlfn.XLOOKUP(Customer[[#This Row],[Customer ID]],[1]!Address[ID],[1]!Address[Zone])</f>
        <v>CENTRAL</v>
      </c>
    </row>
    <row r="86" spans="1:29" x14ac:dyDescent="0.3">
      <c r="A86" s="10" t="s">
        <v>678</v>
      </c>
      <c r="B86" s="11" t="str">
        <f>_xlfn.XLOOKUP(Customer[[#This Row],[Customer ID]],[1]!Name[ID],[1]!Name[Description(1)])</f>
        <v>SEMBAYU FLEET SERVICES</v>
      </c>
      <c r="C86" s="11" t="str">
        <f>_xlfn.XLOOKUP(Customer[[#This Row],[Customer ID]],[1]!Name[ID],[1]!Name[Description(2)])</f>
        <v>PS BANDAR SRI DAMANSARA</v>
      </c>
      <c r="D86" s="11" t="str">
        <f>_xlfn.XLOOKUP(Customer[[#This Row],[Customer ID]],[1]!Address[ID],[1]!Address[PIC])</f>
        <v/>
      </c>
      <c r="E86" s="11" t="str">
        <f>_xlfn.XLOOKUP(Customer[[#This Row],[Customer ID]],[1]!Address[ID],[1]!Address[Full Address])</f>
        <v>PS BANDAR SRI DAMANSARALOT 37196 &amp; 37197, PERSIARAN PERDANA,BANDAR SRI DAMANSARA,ENCIK ROHAIZAD B MD RADZI</v>
      </c>
      <c r="F86" s="12" t="s">
        <v>679</v>
      </c>
      <c r="G86" s="12" t="s">
        <v>680</v>
      </c>
      <c r="H86" s="12" t="s">
        <v>681</v>
      </c>
      <c r="I86" s="12" t="b">
        <f>ISNUMBER(VALUE(LEFT(Customer[[#This Row],[Address Line 3 (30 char)]],1)))</f>
        <v>0</v>
      </c>
      <c r="J86" s="12" t="s">
        <v>172</v>
      </c>
      <c r="K86" s="12">
        <v>52200</v>
      </c>
      <c r="L86" s="12" t="s">
        <v>35</v>
      </c>
      <c r="M86" s="13" t="e">
        <v>#N/A</v>
      </c>
      <c r="N86" s="14" t="e">
        <v>#N/A</v>
      </c>
      <c r="O86" s="14" t="e">
        <v>#N/A</v>
      </c>
      <c r="P86" s="14" t="e">
        <v>#N/A</v>
      </c>
      <c r="Q86" s="21" t="s">
        <v>682</v>
      </c>
      <c r="R86" s="15" t="s">
        <v>683</v>
      </c>
      <c r="S86" s="15" t="s">
        <v>37</v>
      </c>
      <c r="T86" s="16" t="s">
        <v>38</v>
      </c>
      <c r="U86" s="11" t="str">
        <f>_xlfn.XLOOKUP(Customer[[#This Row],[Customer ID]],[1]!Address[ID],[1]!Address[Phone No.(2)])</f>
        <v/>
      </c>
      <c r="V86" s="11" t="str">
        <f>_xlfn.XLOOKUP(Customer[[#This Row],[Customer ID]],[1]!Address[ID],[1]!Address[Type])</f>
        <v>PETROMART</v>
      </c>
      <c r="W86" s="11" t="str">
        <f>_xlfn.XLOOKUP(Customer[[#This Row],[Customer ID]],[1]!Address[ID],[1]!Address[CT])</f>
        <v>30 DAYS</v>
      </c>
      <c r="X86" s="11" t="s">
        <v>39</v>
      </c>
      <c r="Y86" s="17" t="s">
        <v>40</v>
      </c>
      <c r="Z86" s="17" t="e">
        <f>_xlfn.XLOOKUP(Customer[[#This Row],[NewType]],$AF$36:$AF$54,$AG$36:$AG$54)</f>
        <v>#N/A</v>
      </c>
      <c r="AA86" s="17" t="s">
        <v>684</v>
      </c>
      <c r="AB86" s="11" t="str">
        <f>_xlfn.XLOOKUP(Customer[[#This Row],[Customer ID]],[1]!Address[ID],[1]!Address[Subtype])</f>
        <v>PETRONAS</v>
      </c>
      <c r="AC86" s="18" t="str">
        <f>_xlfn.XLOOKUP(Customer[[#This Row],[Customer ID]],[1]!Address[ID],[1]!Address[Zone])</f>
        <v>CENTRAL</v>
      </c>
    </row>
    <row r="87" spans="1:29" x14ac:dyDescent="0.3">
      <c r="A87" s="10" t="s">
        <v>685</v>
      </c>
      <c r="B87" s="11" t="str">
        <f>_xlfn.XLOOKUP(Customer[[#This Row],[Customer ID]],[1]!Name[ID],[1]!Name[Description(1)])</f>
        <v>NZ OIL ENTERPRISE</v>
      </c>
      <c r="C87" s="11" t="str">
        <f>_xlfn.XLOOKUP(Customer[[#This Row],[Customer ID]],[1]!Name[ID],[1]!Name[Description(2)])</f>
        <v>PS BANDAR SRI MANJUNG 2</v>
      </c>
      <c r="D87" s="11" t="str">
        <f>_xlfn.XLOOKUP(Customer[[#This Row],[Customer ID]],[1]!Address[ID],[1]!Address[PIC])</f>
        <v/>
      </c>
      <c r="E87" s="11" t="str">
        <f>_xlfn.XLOOKUP(Customer[[#This Row],[Customer ID]],[1]!Address[ID],[1]!Address[Full Address])</f>
        <v>PS BANDAR SRI MANJUNG 2PLOT 2 PT 862, MUKIM LUMUT,32040 SRI MANJUNG,PERAK</v>
      </c>
      <c r="F87" s="12" t="s">
        <v>686</v>
      </c>
      <c r="G87" s="12" t="s">
        <v>687</v>
      </c>
      <c r="H87" s="24" t="s">
        <v>688</v>
      </c>
      <c r="I87" s="24" t="b">
        <f>ISNUMBER(VALUE(LEFT(Customer[[#This Row],[Address Line 3 (30 char)]],1)))</f>
        <v>0</v>
      </c>
      <c r="J87" s="12" t="s">
        <v>387</v>
      </c>
      <c r="K87" s="12">
        <v>32040</v>
      </c>
      <c r="L87" s="12" t="s">
        <v>35</v>
      </c>
      <c r="M87" s="13" t="e">
        <v>#N/A</v>
      </c>
      <c r="N87" s="14" t="e">
        <v>#N/A</v>
      </c>
      <c r="O87" s="14" t="e">
        <v>#N/A</v>
      </c>
      <c r="P87" s="14" t="e">
        <v>#N/A</v>
      </c>
      <c r="Q87" s="21" t="s">
        <v>689</v>
      </c>
      <c r="R87" s="15" t="s">
        <v>690</v>
      </c>
      <c r="S87" s="15" t="s">
        <v>74</v>
      </c>
      <c r="T87" s="16" t="s">
        <v>38</v>
      </c>
      <c r="U87" s="11" t="str">
        <f>_xlfn.XLOOKUP(Customer[[#This Row],[Customer ID]],[1]!Address[ID],[1]!Address[Phone No.(2)])</f>
        <v/>
      </c>
      <c r="V87" s="11" t="str">
        <f>_xlfn.XLOOKUP(Customer[[#This Row],[Customer ID]],[1]!Address[ID],[1]!Address[Type])</f>
        <v>PETROMART</v>
      </c>
      <c r="W87" s="11" t="str">
        <f>_xlfn.XLOOKUP(Customer[[#This Row],[Customer ID]],[1]!Address[ID],[1]!Address[CT])</f>
        <v>30 DAYS</v>
      </c>
      <c r="X87" s="11" t="s">
        <v>39</v>
      </c>
      <c r="Y87" s="17" t="s">
        <v>40</v>
      </c>
      <c r="Z87" s="17" t="e">
        <f>_xlfn.XLOOKUP(Customer[[#This Row],[NewType]],$AF$36:$AF$54,$AG$36:$AG$54)</f>
        <v>#N/A</v>
      </c>
      <c r="AA87" s="17" t="s">
        <v>691</v>
      </c>
      <c r="AB87" s="11" t="str">
        <f>_xlfn.XLOOKUP(Customer[[#This Row],[Customer ID]],[1]!Address[ID],[1]!Address[Subtype])</f>
        <v>PETRONAS</v>
      </c>
      <c r="AC87" s="18" t="str">
        <f>_xlfn.XLOOKUP(Customer[[#This Row],[Customer ID]],[1]!Address[ID],[1]!Address[Zone])</f>
        <v>NORTH</v>
      </c>
    </row>
    <row r="88" spans="1:29" x14ac:dyDescent="0.3">
      <c r="A88" s="10" t="s">
        <v>692</v>
      </c>
      <c r="B88" s="11" t="str">
        <f>_xlfn.XLOOKUP(Customer[[#This Row],[Customer ID]],[1]!Name[ID],[1]!Name[Description(1)])</f>
        <v>KK DAGANG ENTERPRISE</v>
      </c>
      <c r="C88" s="11" t="str">
        <f>_xlfn.XLOOKUP(Customer[[#This Row],[Customer ID]],[1]!Name[ID],[1]!Name[Description(2)])</f>
        <v>PS BANDAR SRI PERMAISURI</v>
      </c>
      <c r="D88" s="11" t="str">
        <f>_xlfn.XLOOKUP(Customer[[#This Row],[Customer ID]],[1]!Address[ID],[1]!Address[PIC])</f>
        <v/>
      </c>
      <c r="E88" s="11" t="str">
        <f>_xlfn.XLOOKUP(Customer[[#This Row],[Customer ID]],[1]!Address[ID],[1]!Address[Full Address])</f>
        <v>PS BANDAR SRI PERMAISURILOT PT4282 JLN 5/105,BNDR SRI PERMAISURI56100, WILAYAH PERSEKUTUAN KUALA LUMPUR,WILAYAH PERSEKUTUAN</v>
      </c>
      <c r="F88" s="12" t="s">
        <v>693</v>
      </c>
      <c r="G88" s="12" t="s">
        <v>694</v>
      </c>
      <c r="H88" s="12"/>
      <c r="I88" s="12" t="b">
        <f>ISNUMBER(VALUE(LEFT(Customer[[#This Row],[Address Line 3 (30 char)]],1)))</f>
        <v>0</v>
      </c>
      <c r="J88" s="12" t="s">
        <v>34</v>
      </c>
      <c r="K88" s="12">
        <v>56100</v>
      </c>
      <c r="L88" s="12" t="s">
        <v>35</v>
      </c>
      <c r="M88" s="13" t="e">
        <v>#N/A</v>
      </c>
      <c r="N88" s="14" t="e">
        <v>#N/A</v>
      </c>
      <c r="O88" s="14" t="e">
        <v>#N/A</v>
      </c>
      <c r="P88" s="14" t="e">
        <v>#N/A</v>
      </c>
      <c r="Q88" s="21" t="s">
        <v>695</v>
      </c>
      <c r="R88" s="15" t="s">
        <v>696</v>
      </c>
      <c r="S88" s="15" t="s">
        <v>37</v>
      </c>
      <c r="T88" s="16" t="s">
        <v>38</v>
      </c>
      <c r="U88" s="11" t="str">
        <f>_xlfn.XLOOKUP(Customer[[#This Row],[Customer ID]],[1]!Address[ID],[1]!Address[Phone No.(2)])</f>
        <v/>
      </c>
      <c r="V88" s="11" t="str">
        <f>_xlfn.XLOOKUP(Customer[[#This Row],[Customer ID]],[1]!Address[ID],[1]!Address[Type])</f>
        <v>PETROMART</v>
      </c>
      <c r="W88" s="11" t="str">
        <f>_xlfn.XLOOKUP(Customer[[#This Row],[Customer ID]],[1]!Address[ID],[1]!Address[CT])</f>
        <v>30 DAYS</v>
      </c>
      <c r="X88" s="11" t="s">
        <v>39</v>
      </c>
      <c r="Y88" s="17" t="s">
        <v>40</v>
      </c>
      <c r="Z88" s="17" t="e">
        <f>_xlfn.XLOOKUP(Customer[[#This Row],[NewType]],$AF$36:$AF$54,$AG$36:$AG$54)</f>
        <v>#N/A</v>
      </c>
      <c r="AA88" s="17" t="s">
        <v>697</v>
      </c>
      <c r="AB88" s="11" t="str">
        <f>_xlfn.XLOOKUP(Customer[[#This Row],[Customer ID]],[1]!Address[ID],[1]!Address[Subtype])</f>
        <v>PETRONAS</v>
      </c>
      <c r="AC88" s="18" t="str">
        <f>_xlfn.XLOOKUP(Customer[[#This Row],[Customer ID]],[1]!Address[ID],[1]!Address[Zone])</f>
        <v>CENTRAL</v>
      </c>
    </row>
    <row r="89" spans="1:29" x14ac:dyDescent="0.3">
      <c r="A89" s="10" t="s">
        <v>698</v>
      </c>
      <c r="B89" s="11" t="str">
        <f>_xlfn.XLOOKUP(Customer[[#This Row],[Customer ID]],[1]!Name[ID],[1]!Name[Description(1)])</f>
        <v>AZ SAUJANA</v>
      </c>
      <c r="C89" s="11" t="str">
        <f>_xlfn.XLOOKUP(Customer[[#This Row],[Customer ID]],[1]!Name[ID],[1]!Name[Description(2)])</f>
        <v>PS BANDAR SRI SAUJANA</v>
      </c>
      <c r="D89" s="11" t="str">
        <f>_xlfn.XLOOKUP(Customer[[#This Row],[Customer ID]],[1]!Address[ID],[1]!Address[PIC])</f>
        <v>Nurhaslinda Bin</v>
      </c>
      <c r="E89" s="11" t="str">
        <f>_xlfn.XLOOKUP(Customer[[#This Row],[Customer ID]],[1]!Address[ID],[1]!Address[Full Address])</f>
        <v>PS BANDAR SRI SAUJANALOT PTD 12345, BANDAR SRI SAUJANA,MUKIM KOTA TINGGI, 81900 JOHOR</v>
      </c>
      <c r="F89" s="12" t="s">
        <v>699</v>
      </c>
      <c r="G89" s="12" t="s">
        <v>700</v>
      </c>
      <c r="H89" s="12" t="s">
        <v>701</v>
      </c>
      <c r="I89" s="12" t="b">
        <f>ISNUMBER(VALUE(LEFT(Customer[[#This Row],[Address Line 3 (30 char)]],1)))</f>
        <v>0</v>
      </c>
      <c r="J89" s="12" t="s">
        <v>52</v>
      </c>
      <c r="K89" s="12">
        <v>81900</v>
      </c>
      <c r="L89" s="12" t="s">
        <v>35</v>
      </c>
      <c r="M89" s="13">
        <v>200503058939</v>
      </c>
      <c r="N89" s="14" t="s">
        <v>702</v>
      </c>
      <c r="O89" s="14" t="s">
        <v>54</v>
      </c>
      <c r="P89" s="14" t="e">
        <v>#N/A</v>
      </c>
      <c r="Q89" s="21" t="s">
        <v>703</v>
      </c>
      <c r="R89" s="15" t="s">
        <v>704</v>
      </c>
      <c r="S89" s="15" t="s">
        <v>37</v>
      </c>
      <c r="T89" s="16" t="s">
        <v>38</v>
      </c>
      <c r="U89" s="11" t="str">
        <f>_xlfn.XLOOKUP(Customer[[#This Row],[Customer ID]],[1]!Address[ID],[1]!Address[Phone No.(2)])</f>
        <v/>
      </c>
      <c r="V89" s="11" t="str">
        <f>_xlfn.XLOOKUP(Customer[[#This Row],[Customer ID]],[1]!Address[ID],[1]!Address[Type])</f>
        <v>PETROMART</v>
      </c>
      <c r="W89" s="11" t="str">
        <f>_xlfn.XLOOKUP(Customer[[#This Row],[Customer ID]],[1]!Address[ID],[1]!Address[CT])</f>
        <v>30 DAYS</v>
      </c>
      <c r="X89" s="11" t="s">
        <v>39</v>
      </c>
      <c r="Y89" s="17" t="s">
        <v>40</v>
      </c>
      <c r="Z89" s="17" t="e">
        <f>_xlfn.XLOOKUP(Customer[[#This Row],[NewType]],$AF$36:$AF$54,$AG$36:$AG$54)</f>
        <v>#N/A</v>
      </c>
      <c r="AA89" s="17" t="s">
        <v>705</v>
      </c>
      <c r="AB89" s="11" t="str">
        <f>_xlfn.XLOOKUP(Customer[[#This Row],[Customer ID]],[1]!Address[ID],[1]!Address[Subtype])</f>
        <v>PETRONAS</v>
      </c>
      <c r="AC89" s="18" t="str">
        <f>_xlfn.XLOOKUP(Customer[[#This Row],[Customer ID]],[1]!Address[ID],[1]!Address[Zone])</f>
        <v>SOUTH</v>
      </c>
    </row>
    <row r="90" spans="1:29" x14ac:dyDescent="0.3">
      <c r="A90" s="10" t="s">
        <v>706</v>
      </c>
      <c r="B90" s="11" t="str">
        <f>_xlfn.XLOOKUP(Customer[[#This Row],[Customer ID]],[1]!Name[ID],[1]!Name[Description(1)])</f>
        <v>MNR SYNERGY</v>
      </c>
      <c r="C90" s="11" t="str">
        <f>_xlfn.XLOOKUP(Customer[[#This Row],[Customer ID]],[1]!Name[ID],[1]!Name[Description(2)])</f>
        <v>PS BANDAR SRI SENDAYAN</v>
      </c>
      <c r="D90" s="11" t="str">
        <f>_xlfn.XLOOKUP(Customer[[#This Row],[Customer ID]],[1]!Address[ID],[1]!Address[PIC])</f>
        <v/>
      </c>
      <c r="E90" s="11" t="str">
        <f>_xlfn.XLOOKUP(Customer[[#This Row],[Customer ID]],[1]!Address[ID],[1]!Address[Full Address])</f>
        <v>PS BANDAR SRI SENDAYANPT 12695, PERSIARAN SENDAYAN BARU,BANDAR SRI SENDAYAN71950, SEREMBAN,NEGERI SEMBILAN</v>
      </c>
      <c r="F90" s="12" t="s">
        <v>707</v>
      </c>
      <c r="G90" s="12" t="s">
        <v>708</v>
      </c>
      <c r="H90" s="12" t="s">
        <v>709</v>
      </c>
      <c r="I90" s="12" t="b">
        <f>ISNUMBER(VALUE(LEFT(Customer[[#This Row],[Address Line 3 (30 char)]],1)))</f>
        <v>0</v>
      </c>
      <c r="J90" s="12" t="s">
        <v>203</v>
      </c>
      <c r="K90" s="12">
        <v>71950</v>
      </c>
      <c r="L90" s="12" t="s">
        <v>35</v>
      </c>
      <c r="M90" s="13" t="e">
        <v>#N/A</v>
      </c>
      <c r="N90" s="14" t="e">
        <v>#N/A</v>
      </c>
      <c r="O90" s="14" t="e">
        <v>#N/A</v>
      </c>
      <c r="P90" s="14" t="e">
        <v>#N/A</v>
      </c>
      <c r="Q90" s="19" t="s">
        <v>710</v>
      </c>
      <c r="R90" s="15" t="s">
        <v>711</v>
      </c>
      <c r="S90" s="15" t="s">
        <v>37</v>
      </c>
      <c r="T90" s="16" t="s">
        <v>38</v>
      </c>
      <c r="U90" s="11" t="str">
        <f>_xlfn.XLOOKUP(Customer[[#This Row],[Customer ID]],[1]!Address[ID],[1]!Address[Phone No.(2)])</f>
        <v/>
      </c>
      <c r="V90" s="11" t="str">
        <f>_xlfn.XLOOKUP(Customer[[#This Row],[Customer ID]],[1]!Address[ID],[1]!Address[Type])</f>
        <v>PETROMART</v>
      </c>
      <c r="W90" s="11" t="str">
        <f>_xlfn.XLOOKUP(Customer[[#This Row],[Customer ID]],[1]!Address[ID],[1]!Address[CT])</f>
        <v>30 DAYS</v>
      </c>
      <c r="X90" s="11" t="s">
        <v>39</v>
      </c>
      <c r="Y90" s="17" t="s">
        <v>40</v>
      </c>
      <c r="Z90" s="17" t="e">
        <f>_xlfn.XLOOKUP(Customer[[#This Row],[NewType]],$AF$36:$AF$54,$AG$36:$AG$54)</f>
        <v>#N/A</v>
      </c>
      <c r="AA90" s="17" t="s">
        <v>712</v>
      </c>
      <c r="AB90" s="11" t="str">
        <f>_xlfn.XLOOKUP(Customer[[#This Row],[Customer ID]],[1]!Address[ID],[1]!Address[Subtype])</f>
        <v>PETRONAS</v>
      </c>
      <c r="AC90" s="18" t="str">
        <f>_xlfn.XLOOKUP(Customer[[#This Row],[Customer ID]],[1]!Address[ID],[1]!Address[Zone])</f>
        <v>CENTRAL</v>
      </c>
    </row>
    <row r="91" spans="1:29" x14ac:dyDescent="0.3">
      <c r="A91" s="10" t="s">
        <v>713</v>
      </c>
      <c r="B91" s="11" t="str">
        <f>_xlfn.XLOOKUP(Customer[[#This Row],[Customer ID]],[1]!Name[ID],[1]!Name[Description(1)])</f>
        <v>KHOR BOON HONG</v>
      </c>
      <c r="C91" s="11" t="str">
        <f>_xlfn.XLOOKUP(Customer[[#This Row],[Customer ID]],[1]!Name[ID],[1]!Name[Description(2)])</f>
        <v>PS JALAN SULTAN AZLAN SHAH</v>
      </c>
      <c r="D91" s="11" t="str">
        <f>_xlfn.XLOOKUP(Customer[[#This Row],[Customer ID]],[1]!Address[ID],[1]!Address[PIC])</f>
        <v/>
      </c>
      <c r="E91" s="11" t="str">
        <f>_xlfn.XLOOKUP(Customer[[#This Row],[Customer ID]],[1]!Address[ID],[1]!Address[Full Address])</f>
        <v>PS JALAN SULTAN AZLAN SHAHLOT PT 197129, JALAN SULTAN AZLAN SHAH,MUKIM HULU KINTA,31400 KINTA, PERAK</v>
      </c>
      <c r="F91" s="12" t="s">
        <v>714</v>
      </c>
      <c r="G91" s="12" t="s">
        <v>715</v>
      </c>
      <c r="H91" s="12" t="s">
        <v>716</v>
      </c>
      <c r="I91" s="12" t="b">
        <f>ISNUMBER(VALUE(LEFT(Customer[[#This Row],[Address Line 3 (30 char)]],1)))</f>
        <v>0</v>
      </c>
      <c r="J91" s="12" t="s">
        <v>242</v>
      </c>
      <c r="K91" s="12">
        <v>31400</v>
      </c>
      <c r="L91" s="12" t="s">
        <v>35</v>
      </c>
      <c r="M91" s="13">
        <v>201201012312</v>
      </c>
      <c r="N91" s="14" t="s">
        <v>717</v>
      </c>
      <c r="O91" s="14" t="e">
        <v>#N/A</v>
      </c>
      <c r="P91" s="14" t="e">
        <v>#N/A</v>
      </c>
      <c r="Q91" s="19" t="s">
        <v>718</v>
      </c>
      <c r="R91" s="15" t="s">
        <v>719</v>
      </c>
      <c r="S91" s="15" t="s">
        <v>74</v>
      </c>
      <c r="T91" s="16" t="s">
        <v>38</v>
      </c>
      <c r="U91" s="11" t="str">
        <f>_xlfn.XLOOKUP(Customer[[#This Row],[Customer ID]],[1]!Address[ID],[1]!Address[Phone No.(2)])</f>
        <v/>
      </c>
      <c r="V91" s="11" t="str">
        <f>_xlfn.XLOOKUP(Customer[[#This Row],[Customer ID]],[1]!Address[ID],[1]!Address[Type])</f>
        <v>PETROMART</v>
      </c>
      <c r="W91" s="11" t="str">
        <f>_xlfn.XLOOKUP(Customer[[#This Row],[Customer ID]],[1]!Address[ID],[1]!Address[CT])</f>
        <v>30</v>
      </c>
      <c r="X91" s="11" t="s">
        <v>39</v>
      </c>
      <c r="Y91" s="17" t="s">
        <v>40</v>
      </c>
      <c r="Z91" s="17" t="e">
        <f>_xlfn.XLOOKUP(Customer[[#This Row],[NewType]],$AF$36:$AF$54,$AG$36:$AG$54)</f>
        <v>#N/A</v>
      </c>
      <c r="AA91" s="17" t="s">
        <v>720</v>
      </c>
      <c r="AB91" s="11" t="str">
        <f>_xlfn.XLOOKUP(Customer[[#This Row],[Customer ID]],[1]!Address[ID],[1]!Address[Subtype])</f>
        <v>PETRONAS</v>
      </c>
      <c r="AC91" s="18" t="str">
        <f>_xlfn.XLOOKUP(Customer[[#This Row],[Customer ID]],[1]!Address[ID],[1]!Address[Zone])</f>
        <v>NORTH</v>
      </c>
    </row>
    <row r="92" spans="1:29" x14ac:dyDescent="0.3">
      <c r="A92" s="10" t="s">
        <v>721</v>
      </c>
      <c r="B92" s="11" t="str">
        <f>_xlfn.XLOOKUP(Customer[[#This Row],[Customer ID]],[1]!Name[ID],[1]!Name[Description(1)])</f>
        <v>WAFEEQAH PETROL STATION</v>
      </c>
      <c r="C92" s="11" t="str">
        <f>_xlfn.XLOOKUP(Customer[[#This Row],[Customer ID]],[1]!Name[ID],[1]!Name[Description(2)])</f>
        <v>PS BANDAR PERDA, BUKIT MERTAJAM</v>
      </c>
      <c r="D92" s="11" t="str">
        <f>_xlfn.XLOOKUP(Customer[[#This Row],[Customer ID]],[1]!Address[ID],[1]!Address[PIC])</f>
        <v/>
      </c>
      <c r="E92" s="11" t="str">
        <f>_xlfn.XLOOKUP(Customer[[#This Row],[Customer ID]],[1]!Address[ID],[1]!Address[Full Address])</f>
        <v>PS BANDAR PERDA, BUKIT MERTAJAMLOT PT 859, MUKIM 6,BANDAR BARU PERDA, BUKIT MERTAJAM,14000 SEBERANG PERAI TENGAH,PULAU PINANG</v>
      </c>
      <c r="F92" s="12" t="s">
        <v>722</v>
      </c>
      <c r="G92" s="12" t="s">
        <v>723</v>
      </c>
      <c r="H92" s="12" t="s">
        <v>724</v>
      </c>
      <c r="I92" s="12" t="b">
        <f>ISNUMBER(VALUE(LEFT(Customer[[#This Row],[Address Line 3 (30 char)]],1)))</f>
        <v>0</v>
      </c>
      <c r="J92" s="12" t="s">
        <v>179</v>
      </c>
      <c r="K92" s="12">
        <v>14000</v>
      </c>
      <c r="L92" s="12" t="s">
        <v>35</v>
      </c>
      <c r="M92" s="13">
        <v>201703467054</v>
      </c>
      <c r="N92" s="14" t="s">
        <v>725</v>
      </c>
      <c r="O92" s="14" t="e">
        <v>#N/A</v>
      </c>
      <c r="P92" s="14" t="e">
        <v>#N/A</v>
      </c>
      <c r="Q92" s="19" t="s">
        <v>726</v>
      </c>
      <c r="R92" s="15" t="s">
        <v>727</v>
      </c>
      <c r="S92" s="15" t="s">
        <v>74</v>
      </c>
      <c r="T92" s="16" t="s">
        <v>38</v>
      </c>
      <c r="U92" s="11" t="str">
        <f>_xlfn.XLOOKUP(Customer[[#This Row],[Customer ID]],[1]!Address[ID],[1]!Address[Phone No.(2)])</f>
        <v/>
      </c>
      <c r="V92" s="11" t="str">
        <f>_xlfn.XLOOKUP(Customer[[#This Row],[Customer ID]],[1]!Address[ID],[1]!Address[Type])</f>
        <v>PETROMART</v>
      </c>
      <c r="W92" s="11" t="str">
        <f>_xlfn.XLOOKUP(Customer[[#This Row],[Customer ID]],[1]!Address[ID],[1]!Address[CT])</f>
        <v>30 DAYS</v>
      </c>
      <c r="X92" s="11" t="s">
        <v>39</v>
      </c>
      <c r="Y92" s="17" t="s">
        <v>40</v>
      </c>
      <c r="Z92" s="17" t="e">
        <f>_xlfn.XLOOKUP(Customer[[#This Row],[NewType]],$AF$36:$AF$54,$AG$36:$AG$54)</f>
        <v>#N/A</v>
      </c>
      <c r="AA92" s="17" t="s">
        <v>728</v>
      </c>
      <c r="AB92" s="11" t="str">
        <f>_xlfn.XLOOKUP(Customer[[#This Row],[Customer ID]],[1]!Address[ID],[1]!Address[Subtype])</f>
        <v>PETRONAS</v>
      </c>
      <c r="AC92" s="18" t="str">
        <f>_xlfn.XLOOKUP(Customer[[#This Row],[Customer ID]],[1]!Address[ID],[1]!Address[Zone])</f>
        <v>NORTH</v>
      </c>
    </row>
    <row r="93" spans="1:29" x14ac:dyDescent="0.3">
      <c r="A93" s="10" t="s">
        <v>729</v>
      </c>
      <c r="B93" s="11" t="str">
        <f>_xlfn.XLOOKUP(Customer[[#This Row],[Customer ID]],[1]!Name[ID],[1]!Name[Description(1)])</f>
        <v>STESEN MINYAK HIDAYAT IDRIS</v>
      </c>
      <c r="C93" s="11" t="str">
        <f>_xlfn.XLOOKUP(Customer[[#This Row],[Customer ID]],[1]!Name[ID],[1]!Name[Description(2)])</f>
        <v>PS BANDAR TASEK PUTRI</v>
      </c>
      <c r="D93" s="11" t="str">
        <f>_xlfn.XLOOKUP(Customer[[#This Row],[Customer ID]],[1]!Address[ID],[1]!Address[PIC])</f>
        <v>NURUL QARMELLYA</v>
      </c>
      <c r="E93" s="11" t="str">
        <f>_xlfn.XLOOKUP(Customer[[#This Row],[Customer ID]],[1]!Address[ID],[1]!Address[Full Address])</f>
        <v>PS BANDAR TASEK PUTRILOT PT 31681, HSM 12849, PERSIARAN TANSRI LOW YOW CHUAN,BANDAR TASIKPUTERI, RAWANG, 48000 GOMBAK, SELANGOR</v>
      </c>
      <c r="F93" s="12" t="s">
        <v>730</v>
      </c>
      <c r="G93" s="12" t="s">
        <v>731</v>
      </c>
      <c r="H93" s="12" t="s">
        <v>732</v>
      </c>
      <c r="I93" s="12" t="b">
        <f>ISNUMBER(VALUE(LEFT(Customer[[#This Row],[Address Line 3 (30 char)]],1)))</f>
        <v>0</v>
      </c>
      <c r="J93" s="12" t="s">
        <v>172</v>
      </c>
      <c r="K93" s="12">
        <v>48000</v>
      </c>
      <c r="L93" s="12" t="s">
        <v>35</v>
      </c>
      <c r="M93" s="13">
        <v>201303290743</v>
      </c>
      <c r="N93" s="14" t="s">
        <v>733</v>
      </c>
      <c r="O93" s="14" t="s">
        <v>54</v>
      </c>
      <c r="P93" s="14">
        <v>47111</v>
      </c>
      <c r="Q93" s="19" t="s">
        <v>734</v>
      </c>
      <c r="R93" s="15" t="s">
        <v>735</v>
      </c>
      <c r="S93" s="15" t="s">
        <v>37</v>
      </c>
      <c r="T93" s="16" t="s">
        <v>38</v>
      </c>
      <c r="U93" s="11" t="str">
        <f>_xlfn.XLOOKUP(Customer[[#This Row],[Customer ID]],[1]!Address[ID],[1]!Address[Phone No.(2)])</f>
        <v/>
      </c>
      <c r="V93" s="11" t="str">
        <f>_xlfn.XLOOKUP(Customer[[#This Row],[Customer ID]],[1]!Address[ID],[1]!Address[Type])</f>
        <v>PETROMART</v>
      </c>
      <c r="W93" s="11" t="str">
        <f>_xlfn.XLOOKUP(Customer[[#This Row],[Customer ID]],[1]!Address[ID],[1]!Address[CT])</f>
        <v>30 DAYS</v>
      </c>
      <c r="X93" s="11" t="s">
        <v>39</v>
      </c>
      <c r="Y93" s="17" t="s">
        <v>40</v>
      </c>
      <c r="Z93" s="17" t="e">
        <f>_xlfn.XLOOKUP(Customer[[#This Row],[NewType]],$AF$36:$AF$54,$AG$36:$AG$54)</f>
        <v>#N/A</v>
      </c>
      <c r="AA93" s="17" t="s">
        <v>736</v>
      </c>
      <c r="AB93" s="11" t="str">
        <f>_xlfn.XLOOKUP(Customer[[#This Row],[Customer ID]],[1]!Address[ID],[1]!Address[Subtype])</f>
        <v>PETRONAS</v>
      </c>
      <c r="AC93" s="18" t="str">
        <f>_xlfn.XLOOKUP(Customer[[#This Row],[Customer ID]],[1]!Address[ID],[1]!Address[Zone])</f>
        <v>CENTRAL</v>
      </c>
    </row>
    <row r="94" spans="1:29" x14ac:dyDescent="0.3">
      <c r="A94" s="10" t="s">
        <v>737</v>
      </c>
      <c r="B94" s="11" t="str">
        <f>_xlfn.XLOOKUP(Customer[[#This Row],[Customer ID]],[1]!Name[ID],[1]!Name[Description(1)])</f>
        <v>STESEN SERVIS IDRIS PARDI</v>
      </c>
      <c r="C94" s="11" t="str">
        <f>_xlfn.XLOOKUP(Customer[[#This Row],[Customer ID]],[1]!Name[ID],[1]!Name[Description(2)])</f>
        <v>PS BANDAR TENGGARA</v>
      </c>
      <c r="D94" s="11" t="str">
        <f>_xlfn.XLOOKUP(Customer[[#This Row],[Customer ID]],[1]!Address[ID],[1]!Address[PIC])</f>
        <v/>
      </c>
      <c r="E94" s="11" t="str">
        <f>_xlfn.XLOOKUP(Customer[[#This Row],[Customer ID]],[1]!Address[ID],[1]!Address[Full Address])</f>
        <v>PS BANDAR TENGGARALOT JTI 59, BANDAR TENGGARA,81400 KULAI, JOHOR</v>
      </c>
      <c r="F94" s="12" t="s">
        <v>738</v>
      </c>
      <c r="G94" s="12" t="s">
        <v>739</v>
      </c>
      <c r="H94" s="24" t="s">
        <v>740</v>
      </c>
      <c r="I94" s="24" t="b">
        <f>ISNUMBER(VALUE(LEFT(Customer[[#This Row],[Address Line 3 (30 char)]],1)))</f>
        <v>0</v>
      </c>
      <c r="J94" s="12" t="s">
        <v>52</v>
      </c>
      <c r="K94" s="12">
        <v>81400</v>
      </c>
      <c r="L94" s="12" t="s">
        <v>35</v>
      </c>
      <c r="M94" s="13">
        <v>199003051758</v>
      </c>
      <c r="N94" s="14" t="s">
        <v>741</v>
      </c>
      <c r="O94" s="14" t="e">
        <v>#N/A</v>
      </c>
      <c r="P94" s="14" t="e">
        <v>#N/A</v>
      </c>
      <c r="Q94" s="19" t="s">
        <v>742</v>
      </c>
      <c r="R94" s="15" t="s">
        <v>743</v>
      </c>
      <c r="S94" s="15" t="s">
        <v>37</v>
      </c>
      <c r="T94" s="16" t="s">
        <v>38</v>
      </c>
      <c r="U94" s="11" t="str">
        <f>_xlfn.XLOOKUP(Customer[[#This Row],[Customer ID]],[1]!Address[ID],[1]!Address[Phone No.(2)])</f>
        <v/>
      </c>
      <c r="V94" s="11" t="str">
        <f>_xlfn.XLOOKUP(Customer[[#This Row],[Customer ID]],[1]!Address[ID],[1]!Address[Type])</f>
        <v>PETROMART</v>
      </c>
      <c r="W94" s="11" t="str">
        <f>_xlfn.XLOOKUP(Customer[[#This Row],[Customer ID]],[1]!Address[ID],[1]!Address[CT])</f>
        <v>30 DAYS</v>
      </c>
      <c r="X94" s="11" t="s">
        <v>39</v>
      </c>
      <c r="Y94" s="17" t="s">
        <v>40</v>
      </c>
      <c r="Z94" s="17" t="e">
        <f>_xlfn.XLOOKUP(Customer[[#This Row],[NewType]],$AF$36:$AF$54,$AG$36:$AG$54)</f>
        <v>#N/A</v>
      </c>
      <c r="AA94" s="17" t="s">
        <v>744</v>
      </c>
      <c r="AB94" s="11" t="str">
        <f>_xlfn.XLOOKUP(Customer[[#This Row],[Customer ID]],[1]!Address[ID],[1]!Address[Subtype])</f>
        <v>PETRONAS</v>
      </c>
      <c r="AC94" s="18" t="str">
        <f>_xlfn.XLOOKUP(Customer[[#This Row],[Customer ID]],[1]!Address[ID],[1]!Address[Zone])</f>
        <v>SOUTH</v>
      </c>
    </row>
    <row r="95" spans="1:29" x14ac:dyDescent="0.3">
      <c r="A95" s="10" t="s">
        <v>745</v>
      </c>
      <c r="B95" s="11" t="str">
        <f>_xlfn.XLOOKUP(Customer[[#This Row],[Customer ID]],[1]!Name[ID],[1]!Name[Description(1)])</f>
        <v>ALAM KASTURI STATION</v>
      </c>
      <c r="C95" s="11" t="str">
        <f>_xlfn.XLOOKUP(Customer[[#This Row],[Customer ID]],[1]!Name[ID],[1]!Name[Description(2)])</f>
        <v>PS BANDAR TIRAM</v>
      </c>
      <c r="D95" s="11" t="str">
        <f>_xlfn.XLOOKUP(Customer[[#This Row],[Customer ID]],[1]!Address[ID],[1]!Address[PIC])</f>
        <v/>
      </c>
      <c r="E95" s="11" t="str">
        <f>_xlfn.XLOOKUP(Customer[[#This Row],[Customer ID]],[1]!Address[ID],[1]!Address[Full Address])</f>
        <v>PS BANDAR TIRAMLOT 55248 (GERAN 43115),JALAN KOTA TINGGI-JOHOR BAHRU,BANDAR TIRAM,  81800 JOHOR BAHRU,</v>
      </c>
      <c r="F95" s="12" t="s">
        <v>746</v>
      </c>
      <c r="G95" s="12" t="s">
        <v>747</v>
      </c>
      <c r="H95" s="12" t="s">
        <v>748</v>
      </c>
      <c r="I95" s="12" t="b">
        <f>ISNUMBER(VALUE(LEFT(Customer[[#This Row],[Address Line 3 (30 char)]],1)))</f>
        <v>0</v>
      </c>
      <c r="J95" s="12" t="s">
        <v>52</v>
      </c>
      <c r="K95" s="12">
        <v>81800</v>
      </c>
      <c r="L95" s="12" t="s">
        <v>35</v>
      </c>
      <c r="M95" s="13">
        <v>201903295701</v>
      </c>
      <c r="N95" s="14" t="s">
        <v>749</v>
      </c>
      <c r="O95" s="14" t="e">
        <v>#N/A</v>
      </c>
      <c r="P95" s="14" t="e">
        <v>#N/A</v>
      </c>
      <c r="Q95" s="19" t="s">
        <v>742</v>
      </c>
      <c r="R95" s="15" t="s">
        <v>750</v>
      </c>
      <c r="S95" s="15" t="s">
        <v>37</v>
      </c>
      <c r="T95" s="16" t="s">
        <v>38</v>
      </c>
      <c r="U95" s="11" t="str">
        <f>_xlfn.XLOOKUP(Customer[[#This Row],[Customer ID]],[1]!Address[ID],[1]!Address[Phone No.(2)])</f>
        <v/>
      </c>
      <c r="V95" s="11" t="str">
        <f>_xlfn.XLOOKUP(Customer[[#This Row],[Customer ID]],[1]!Address[ID],[1]!Address[Type])</f>
        <v>PETROMART</v>
      </c>
      <c r="W95" s="11" t="str">
        <f>_xlfn.XLOOKUP(Customer[[#This Row],[Customer ID]],[1]!Address[ID],[1]!Address[CT])</f>
        <v>30 DAYS</v>
      </c>
      <c r="X95" s="11" t="s">
        <v>39</v>
      </c>
      <c r="Y95" s="17" t="s">
        <v>40</v>
      </c>
      <c r="Z95" s="17" t="e">
        <f>_xlfn.XLOOKUP(Customer[[#This Row],[NewType]],$AF$36:$AF$54,$AG$36:$AG$54)</f>
        <v>#N/A</v>
      </c>
      <c r="AA95" s="17" t="s">
        <v>751</v>
      </c>
      <c r="AB95" s="11" t="str">
        <f>_xlfn.XLOOKUP(Customer[[#This Row],[Customer ID]],[1]!Address[ID],[1]!Address[Subtype])</f>
        <v>PETRONAS</v>
      </c>
      <c r="AC95" s="18" t="str">
        <f>_xlfn.XLOOKUP(Customer[[#This Row],[Customer ID]],[1]!Address[ID],[1]!Address[Zone])</f>
        <v>SOUTH</v>
      </c>
    </row>
    <row r="96" spans="1:29" x14ac:dyDescent="0.3">
      <c r="A96" s="10" t="s">
        <v>752</v>
      </c>
      <c r="B96" s="11" t="str">
        <f>_xlfn.XLOOKUP(Customer[[#This Row],[Customer ID]],[1]!Name[ID],[1]!Name[Description(1)])</f>
        <v>AKNH KAMALIA (M) SDN BHD</v>
      </c>
      <c r="C96" s="11" t="str">
        <f>_xlfn.XLOOKUP(Customer[[#This Row],[Customer ID]],[1]!Name[ID],[1]!Name[Description(2)])</f>
        <v>PS BANDAR TUN HUSSEIN ONN 1</v>
      </c>
      <c r="D96" s="11" t="str">
        <f>_xlfn.XLOOKUP(Customer[[#This Row],[Customer ID]],[1]!Address[ID],[1]!Address[PIC])</f>
        <v/>
      </c>
      <c r="E96" s="11" t="str">
        <f>_xlfn.XLOOKUP(Customer[[#This Row],[Customer ID]],[1]!Address[ID],[1]!Address[Full Address])</f>
        <v>PS BANDAR TUN HUSSEIN ONN 1LOT PT 19298 MUKIM CHERAS,BANDAR TUN HUSSEIN ONN, CHERAS,43200 ULU LANGAT,  SELANGOR</v>
      </c>
      <c r="F96" s="12" t="s">
        <v>753</v>
      </c>
      <c r="G96" s="12" t="s">
        <v>754</v>
      </c>
      <c r="H96" s="12" t="s">
        <v>755</v>
      </c>
      <c r="I96" s="12" t="b">
        <f>ISNUMBER(VALUE(LEFT(Customer[[#This Row],[Address Line 3 (30 char)]],1)))</f>
        <v>0</v>
      </c>
      <c r="J96" s="12" t="s">
        <v>172</v>
      </c>
      <c r="K96" s="12">
        <v>43200</v>
      </c>
      <c r="L96" s="12" t="s">
        <v>35</v>
      </c>
      <c r="M96" s="13" t="e">
        <v>#N/A</v>
      </c>
      <c r="N96" s="14" t="e">
        <v>#N/A</v>
      </c>
      <c r="O96" s="14" t="e">
        <v>#N/A</v>
      </c>
      <c r="P96" s="14" t="e">
        <v>#N/A</v>
      </c>
      <c r="Q96" s="19" t="s">
        <v>756</v>
      </c>
      <c r="R96" s="15" t="s">
        <v>757</v>
      </c>
      <c r="S96" s="15" t="s">
        <v>37</v>
      </c>
      <c r="T96" s="16" t="s">
        <v>38</v>
      </c>
      <c r="U96" s="11" t="str">
        <f>_xlfn.XLOOKUP(Customer[[#This Row],[Customer ID]],[1]!Address[ID],[1]!Address[Phone No.(2)])</f>
        <v/>
      </c>
      <c r="V96" s="11" t="str">
        <f>_xlfn.XLOOKUP(Customer[[#This Row],[Customer ID]],[1]!Address[ID],[1]!Address[Type])</f>
        <v>PETROMART</v>
      </c>
      <c r="W96" s="11" t="str">
        <f>_xlfn.XLOOKUP(Customer[[#This Row],[Customer ID]],[1]!Address[ID],[1]!Address[CT])</f>
        <v>30 DAYS</v>
      </c>
      <c r="X96" s="11" t="s">
        <v>39</v>
      </c>
      <c r="Y96" s="17" t="s">
        <v>40</v>
      </c>
      <c r="Z96" s="17" t="e">
        <f>_xlfn.XLOOKUP(Customer[[#This Row],[NewType]],$AF$36:$AF$54,$AG$36:$AG$54)</f>
        <v>#N/A</v>
      </c>
      <c r="AA96" s="17" t="s">
        <v>758</v>
      </c>
      <c r="AB96" s="11" t="str">
        <f>_xlfn.XLOOKUP(Customer[[#This Row],[Customer ID]],[1]!Address[ID],[1]!Address[Subtype])</f>
        <v>PETRONAS</v>
      </c>
      <c r="AC96" s="18" t="str">
        <f>_xlfn.XLOOKUP(Customer[[#This Row],[Customer ID]],[1]!Address[ID],[1]!Address[Zone])</f>
        <v>CENTRAL</v>
      </c>
    </row>
    <row r="97" spans="1:29" x14ac:dyDescent="0.3">
      <c r="A97" s="10" t="s">
        <v>759</v>
      </c>
      <c r="B97" s="11" t="str">
        <f>_xlfn.XLOOKUP(Customer[[#This Row],[Customer ID]],[1]!Name[ID],[1]!Name[Description(1)])</f>
        <v>HORIZON GEMILANG SDN BHD</v>
      </c>
      <c r="C97" s="11" t="str">
        <f>_xlfn.XLOOKUP(Customer[[#This Row],[Customer ID]],[1]!Name[ID],[1]!Name[Description(2)])</f>
        <v>PS BANDAR TUN HUSSEIN ONN 2</v>
      </c>
      <c r="D97" s="11" t="str">
        <f>_xlfn.XLOOKUP(Customer[[#This Row],[Customer ID]],[1]!Address[ID],[1]!Address[PIC])</f>
        <v>KAIDAL ABDUL RA</v>
      </c>
      <c r="E97" s="11" t="str">
        <f>_xlfn.XLOOKUP(Customer[[#This Row],[Customer ID]],[1]!Address[ID],[1]!Address[Full Address])</f>
        <v>PS BANDAR TUN HUSSEIN ONN 2LOT PT 25433 MUKIM CHERAS,BANDAR TUN HUSSEIN ONN, CHERAS,43200 HULU LANGAT,SELANGOR</v>
      </c>
      <c r="F97" s="12" t="s">
        <v>760</v>
      </c>
      <c r="G97" s="12" t="s">
        <v>754</v>
      </c>
      <c r="H97" s="12" t="s">
        <v>755</v>
      </c>
      <c r="I97" s="12" t="b">
        <f>ISNUMBER(VALUE(LEFT(Customer[[#This Row],[Address Line 3 (30 char)]],1)))</f>
        <v>0</v>
      </c>
      <c r="J97" s="12" t="s">
        <v>172</v>
      </c>
      <c r="K97" s="12">
        <v>43200</v>
      </c>
      <c r="L97" s="12" t="s">
        <v>35</v>
      </c>
      <c r="M97" s="13">
        <v>200801032521</v>
      </c>
      <c r="N97" s="14" t="s">
        <v>761</v>
      </c>
      <c r="O97" s="14" t="s">
        <v>54</v>
      </c>
      <c r="P97" s="14" t="e">
        <v>#N/A</v>
      </c>
      <c r="Q97" s="21" t="s">
        <v>762</v>
      </c>
      <c r="R97" s="15" t="s">
        <v>763</v>
      </c>
      <c r="S97" s="15" t="s">
        <v>37</v>
      </c>
      <c r="T97" s="16" t="s">
        <v>38</v>
      </c>
      <c r="U97" s="11" t="str">
        <f>_xlfn.XLOOKUP(Customer[[#This Row],[Customer ID]],[1]!Address[ID],[1]!Address[Phone No.(2)])</f>
        <v/>
      </c>
      <c r="V97" s="11" t="str">
        <f>_xlfn.XLOOKUP(Customer[[#This Row],[Customer ID]],[1]!Address[ID],[1]!Address[Type])</f>
        <v>PETROMART</v>
      </c>
      <c r="W97" s="11" t="str">
        <f>_xlfn.XLOOKUP(Customer[[#This Row],[Customer ID]],[1]!Address[ID],[1]!Address[CT])</f>
        <v>30 DAYS</v>
      </c>
      <c r="X97" s="11" t="s">
        <v>39</v>
      </c>
      <c r="Y97" s="17" t="s">
        <v>40</v>
      </c>
      <c r="Z97" s="17" t="e">
        <f>_xlfn.XLOOKUP(Customer[[#This Row],[NewType]],$AF$36:$AF$54,$AG$36:$AG$54)</f>
        <v>#N/A</v>
      </c>
      <c r="AA97" s="17" t="s">
        <v>764</v>
      </c>
      <c r="AB97" s="11" t="str">
        <f>_xlfn.XLOOKUP(Customer[[#This Row],[Customer ID]],[1]!Address[ID],[1]!Address[Subtype])</f>
        <v>PETRONAS</v>
      </c>
      <c r="AC97" s="18" t="str">
        <f>_xlfn.XLOOKUP(Customer[[#This Row],[Customer ID]],[1]!Address[ID],[1]!Address[Zone])</f>
        <v>CENTRAL</v>
      </c>
    </row>
    <row r="98" spans="1:29" x14ac:dyDescent="0.3">
      <c r="A98" s="10" t="s">
        <v>765</v>
      </c>
      <c r="B98" s="11" t="str">
        <f>_xlfn.XLOOKUP(Customer[[#This Row],[Customer ID]],[1]!Name[ID],[1]!Name[Description(1)])</f>
        <v>STESEN MINYAK SERI ISKANDAR</v>
      </c>
      <c r="C98" s="11" t="str">
        <f>_xlfn.XLOOKUP(Customer[[#This Row],[Customer ID]],[1]!Name[ID],[1]!Name[Description(2)])</f>
        <v>PS BANDAR UNIVERSITI</v>
      </c>
      <c r="D98" s="11" t="str">
        <f>_xlfn.XLOOKUP(Customer[[#This Row],[Customer ID]],[1]!Address[ID],[1]!Address[PIC])</f>
        <v/>
      </c>
      <c r="E98" s="11" t="str">
        <f>_xlfn.XLOOKUP(Customer[[#This Row],[Customer ID]],[1]!Address[ID],[1]!Address[Full Address])</f>
        <v>PS BANDAR UNIVERSITILOT PTD 307 &amp; 308, TRONOH, MUKIM BOTA,31750 PERAK TENGAH,PERAK</v>
      </c>
      <c r="F98" s="12" t="s">
        <v>766</v>
      </c>
      <c r="G98" s="12" t="s">
        <v>767</v>
      </c>
      <c r="H98" s="12" t="s">
        <v>768</v>
      </c>
      <c r="I98" s="12" t="b">
        <f>ISNUMBER(VALUE(LEFT(Customer[[#This Row],[Address Line 3 (30 char)]],1)))</f>
        <v>0</v>
      </c>
      <c r="J98" s="12" t="s">
        <v>242</v>
      </c>
      <c r="K98" s="12">
        <v>31750</v>
      </c>
      <c r="L98" s="12" t="s">
        <v>35</v>
      </c>
      <c r="M98" s="13" t="e">
        <v>#N/A</v>
      </c>
      <c r="N98" s="14" t="e">
        <v>#N/A</v>
      </c>
      <c r="O98" s="14" t="e">
        <v>#N/A</v>
      </c>
      <c r="P98" s="14" t="e">
        <v>#N/A</v>
      </c>
      <c r="Q98" s="21" t="s">
        <v>769</v>
      </c>
      <c r="R98" s="15" t="s">
        <v>770</v>
      </c>
      <c r="S98" s="15" t="s">
        <v>74</v>
      </c>
      <c r="T98" s="16" t="s">
        <v>38</v>
      </c>
      <c r="U98" s="11" t="str">
        <f>_xlfn.XLOOKUP(Customer[[#This Row],[Customer ID]],[1]!Address[ID],[1]!Address[Phone No.(2)])</f>
        <v/>
      </c>
      <c r="V98" s="11" t="str">
        <f>_xlfn.XLOOKUP(Customer[[#This Row],[Customer ID]],[1]!Address[ID],[1]!Address[Type])</f>
        <v>PETROMART</v>
      </c>
      <c r="W98" s="11" t="str">
        <f>_xlfn.XLOOKUP(Customer[[#This Row],[Customer ID]],[1]!Address[ID],[1]!Address[CT])</f>
        <v>30 DAYS</v>
      </c>
      <c r="X98" s="11" t="s">
        <v>39</v>
      </c>
      <c r="Y98" s="17" t="s">
        <v>40</v>
      </c>
      <c r="Z98" s="17" t="e">
        <f>_xlfn.XLOOKUP(Customer[[#This Row],[NewType]],$AF$36:$AF$54,$AG$36:$AG$54)</f>
        <v>#N/A</v>
      </c>
      <c r="AA98" s="17" t="s">
        <v>771</v>
      </c>
      <c r="AB98" s="11" t="str">
        <f>_xlfn.XLOOKUP(Customer[[#This Row],[Customer ID]],[1]!Address[ID],[1]!Address[Subtype])</f>
        <v>PETRONAS</v>
      </c>
      <c r="AC98" s="18" t="str">
        <f>_xlfn.XLOOKUP(Customer[[#This Row],[Customer ID]],[1]!Address[ID],[1]!Address[Zone])</f>
        <v>NORTH</v>
      </c>
    </row>
    <row r="99" spans="1:29" x14ac:dyDescent="0.3">
      <c r="A99" s="10" t="s">
        <v>772</v>
      </c>
      <c r="B99" s="11" t="str">
        <f>_xlfn.XLOOKUP(Customer[[#This Row],[Customer ID]],[1]!Name[ID],[1]!Name[Description(1)])</f>
        <v>QANAAH PETRO SERVIS</v>
      </c>
      <c r="C99" s="11" t="str">
        <f>_xlfn.XLOOKUP(Customer[[#This Row],[Customer ID]],[1]!Name[ID],[1]!Name[Description(2)])</f>
        <v>PS BANGSAR</v>
      </c>
      <c r="D99" s="11" t="str">
        <f>_xlfn.XLOOKUP(Customer[[#This Row],[Customer ID]],[1]!Address[ID],[1]!Address[PIC])</f>
        <v>MUHAMAD ZAINI B</v>
      </c>
      <c r="E99" s="11" t="str">
        <f>_xlfn.XLOOKUP(Customer[[#This Row],[Customer ID]],[1]!Address[ID],[1]!Address[Full Address])</f>
        <v>PS BANGSARLOT 100, SEKSYEN 96-A, JLN BANGSAR59200, WILAYAH PERSEKUTUAN KUALA LUMPUR,W PERSEKUTUAN</v>
      </c>
      <c r="F99" s="12" t="s">
        <v>773</v>
      </c>
      <c r="G99" s="12" t="s">
        <v>774</v>
      </c>
      <c r="H99" s="12" t="s">
        <v>775</v>
      </c>
      <c r="I99" s="12" t="b">
        <f>ISNUMBER(VALUE(LEFT(Customer[[#This Row],[Address Line 3 (30 char)]],1)))</f>
        <v>0</v>
      </c>
      <c r="J99" s="12" t="s">
        <v>34</v>
      </c>
      <c r="K99" s="12">
        <v>59200</v>
      </c>
      <c r="L99" s="12" t="s">
        <v>35</v>
      </c>
      <c r="M99" s="13">
        <v>201703329533</v>
      </c>
      <c r="N99" s="14" t="s">
        <v>776</v>
      </c>
      <c r="O99" s="14" t="s">
        <v>54</v>
      </c>
      <c r="P99" s="14" t="e">
        <v>#N/A</v>
      </c>
      <c r="Q99" s="21" t="s">
        <v>777</v>
      </c>
      <c r="R99" s="15" t="s">
        <v>778</v>
      </c>
      <c r="S99" s="15" t="s">
        <v>37</v>
      </c>
      <c r="T99" s="16" t="s">
        <v>38</v>
      </c>
      <c r="U99" s="11" t="str">
        <f>_xlfn.XLOOKUP(Customer[[#This Row],[Customer ID]],[1]!Address[ID],[1]!Address[Phone No.(2)])</f>
        <v/>
      </c>
      <c r="V99" s="11" t="str">
        <f>_xlfn.XLOOKUP(Customer[[#This Row],[Customer ID]],[1]!Address[ID],[1]!Address[Type])</f>
        <v>PETROMART</v>
      </c>
      <c r="W99" s="11" t="str">
        <f>_xlfn.XLOOKUP(Customer[[#This Row],[Customer ID]],[1]!Address[ID],[1]!Address[CT])</f>
        <v>30 DAYS</v>
      </c>
      <c r="X99" s="11" t="s">
        <v>39</v>
      </c>
      <c r="Y99" s="17" t="s">
        <v>40</v>
      </c>
      <c r="Z99" s="17" t="e">
        <f>_xlfn.XLOOKUP(Customer[[#This Row],[NewType]],$AF$36:$AF$54,$AG$36:$AG$54)</f>
        <v>#N/A</v>
      </c>
      <c r="AA99" s="17" t="s">
        <v>779</v>
      </c>
      <c r="AB99" s="11" t="str">
        <f>_xlfn.XLOOKUP(Customer[[#This Row],[Customer ID]],[1]!Address[ID],[1]!Address[Subtype])</f>
        <v>PETRONAS</v>
      </c>
      <c r="AC99" s="18" t="str">
        <f>_xlfn.XLOOKUP(Customer[[#This Row],[Customer ID]],[1]!Address[ID],[1]!Address[Zone])</f>
        <v>CENTRAL</v>
      </c>
    </row>
    <row r="100" spans="1:29" x14ac:dyDescent="0.3">
      <c r="A100" s="10" t="s">
        <v>780</v>
      </c>
      <c r="B100" s="11" t="str">
        <f>_xlfn.XLOOKUP(Customer[[#This Row],[Customer ID]],[1]!Name[ID],[1]!Name[Description(1)])</f>
        <v>KSL NIAGA</v>
      </c>
      <c r="C100" s="11" t="str">
        <f>_xlfn.XLOOKUP(Customer[[#This Row],[Customer ID]],[1]!Name[ID],[1]!Name[Description(2)])</f>
        <v>PS BANTING</v>
      </c>
      <c r="D100" s="11" t="str">
        <f>_xlfn.XLOOKUP(Customer[[#This Row],[Customer ID]],[1]!Address[ID],[1]!Address[PIC])</f>
        <v/>
      </c>
      <c r="E100" s="11" t="str">
        <f>_xlfn.XLOOKUP(Customer[[#This Row],[Customer ID]],[1]!Address[ID],[1]!Address[Full Address])</f>
        <v>PS BANTINGLOT 2883, JALAN MORIB, BANTING,42700 KUALA LANGAT, SELANGOR</v>
      </c>
      <c r="F100" s="12" t="s">
        <v>781</v>
      </c>
      <c r="G100" s="12" t="s">
        <v>782</v>
      </c>
      <c r="H100" s="12" t="s">
        <v>783</v>
      </c>
      <c r="I100" s="12" t="b">
        <f>ISNUMBER(VALUE(LEFT(Customer[[#This Row],[Address Line 3 (30 char)]],1)))</f>
        <v>0</v>
      </c>
      <c r="J100" s="12" t="s">
        <v>172</v>
      </c>
      <c r="K100" s="12">
        <v>42700</v>
      </c>
      <c r="L100" s="12" t="s">
        <v>35</v>
      </c>
      <c r="M100" s="13">
        <v>202203102728</v>
      </c>
      <c r="N100" s="14" t="s">
        <v>784</v>
      </c>
      <c r="O100" s="14" t="s">
        <v>54</v>
      </c>
      <c r="P100" s="14">
        <v>46611</v>
      </c>
      <c r="Q100" s="21" t="s">
        <v>785</v>
      </c>
      <c r="R100" s="15" t="s">
        <v>786</v>
      </c>
      <c r="S100" s="15" t="s">
        <v>37</v>
      </c>
      <c r="T100" s="16" t="s">
        <v>38</v>
      </c>
      <c r="U100" s="11" t="str">
        <f>_xlfn.XLOOKUP(Customer[[#This Row],[Customer ID]],[1]!Address[ID],[1]!Address[Phone No.(2)])</f>
        <v/>
      </c>
      <c r="V100" s="11" t="str">
        <f>_xlfn.XLOOKUP(Customer[[#This Row],[Customer ID]],[1]!Address[ID],[1]!Address[Type])</f>
        <v>PETROMART</v>
      </c>
      <c r="W100" s="11" t="str">
        <f>_xlfn.XLOOKUP(Customer[[#This Row],[Customer ID]],[1]!Address[ID],[1]!Address[CT])</f>
        <v>30 DAYS</v>
      </c>
      <c r="X100" s="11" t="s">
        <v>39</v>
      </c>
      <c r="Y100" s="17" t="s">
        <v>40</v>
      </c>
      <c r="Z100" s="17" t="e">
        <f>_xlfn.XLOOKUP(Customer[[#This Row],[NewType]],$AF$36:$AF$54,$AG$36:$AG$54)</f>
        <v>#N/A</v>
      </c>
      <c r="AA100" s="17" t="s">
        <v>787</v>
      </c>
      <c r="AB100" s="11" t="str">
        <f>_xlfn.XLOOKUP(Customer[[#This Row],[Customer ID]],[1]!Address[ID],[1]!Address[Subtype])</f>
        <v>PETRONAS</v>
      </c>
      <c r="AC100" s="18" t="str">
        <f>_xlfn.XLOOKUP(Customer[[#This Row],[Customer ID]],[1]!Address[ID],[1]!Address[Zone])</f>
        <v>CENTRAL</v>
      </c>
    </row>
    <row r="101" spans="1:29" x14ac:dyDescent="0.3">
      <c r="A101" s="10" t="s">
        <v>788</v>
      </c>
      <c r="B101" s="11" t="str">
        <f>_xlfn.XLOOKUP(Customer[[#This Row],[Customer ID]],[1]!Name[ID],[1]!Name[Description(1)])</f>
        <v>ZAHARIN MUTIARA ENTERPRISE</v>
      </c>
      <c r="C101" s="11" t="str">
        <f>_xlfn.XLOOKUP(Customer[[#This Row],[Customer ID]],[1]!Name[ID],[1]!Name[Description(2)])</f>
        <v>PS BATANG KALI</v>
      </c>
      <c r="D101" s="11" t="str">
        <f>_xlfn.XLOOKUP(Customer[[#This Row],[Customer ID]],[1]!Address[ID],[1]!Address[PIC])</f>
        <v/>
      </c>
      <c r="E101" s="11" t="str">
        <f>_xlfn.XLOOKUP(Customer[[#This Row],[Customer ID]],[1]!Address[ID],[1]!Address[Full Address])</f>
        <v>PS BATANG KALILOT 916, BT 31, PEKAN BATANG KALI,44300 ULU SELANGOR, SELANGOR</v>
      </c>
      <c r="F101" s="12" t="s">
        <v>789</v>
      </c>
      <c r="G101" s="12" t="s">
        <v>790</v>
      </c>
      <c r="H101" s="12" t="s">
        <v>791</v>
      </c>
      <c r="I101" s="12" t="b">
        <f>ISNUMBER(VALUE(LEFT(Customer[[#This Row],[Address Line 3 (30 char)]],1)))</f>
        <v>0</v>
      </c>
      <c r="J101" s="12" t="s">
        <v>172</v>
      </c>
      <c r="K101" s="12">
        <v>44300</v>
      </c>
      <c r="L101" s="12" t="s">
        <v>35</v>
      </c>
      <c r="M101" s="13" t="e">
        <v>#N/A</v>
      </c>
      <c r="N101" s="14" t="e">
        <v>#N/A</v>
      </c>
      <c r="O101" s="14" t="e">
        <v>#N/A</v>
      </c>
      <c r="P101" s="14" t="e">
        <v>#N/A</v>
      </c>
      <c r="Q101" s="21" t="s">
        <v>792</v>
      </c>
      <c r="R101" s="15" t="s">
        <v>793</v>
      </c>
      <c r="S101" s="15" t="s">
        <v>37</v>
      </c>
      <c r="T101" s="16" t="s">
        <v>38</v>
      </c>
      <c r="U101" s="11" t="str">
        <f>_xlfn.XLOOKUP(Customer[[#This Row],[Customer ID]],[1]!Address[ID],[1]!Address[Phone No.(2)])</f>
        <v/>
      </c>
      <c r="V101" s="11" t="str">
        <f>_xlfn.XLOOKUP(Customer[[#This Row],[Customer ID]],[1]!Address[ID],[1]!Address[Type])</f>
        <v>PETROMART</v>
      </c>
      <c r="W101" s="11" t="str">
        <f>_xlfn.XLOOKUP(Customer[[#This Row],[Customer ID]],[1]!Address[ID],[1]!Address[CT])</f>
        <v>30 DAYS</v>
      </c>
      <c r="X101" s="11" t="s">
        <v>39</v>
      </c>
      <c r="Y101" s="17" t="s">
        <v>40</v>
      </c>
      <c r="Z101" s="17" t="e">
        <f>_xlfn.XLOOKUP(Customer[[#This Row],[NewType]],$AF$36:$AF$54,$AG$36:$AG$54)</f>
        <v>#N/A</v>
      </c>
      <c r="AA101" s="17" t="s">
        <v>794</v>
      </c>
      <c r="AB101" s="11" t="str">
        <f>_xlfn.XLOOKUP(Customer[[#This Row],[Customer ID]],[1]!Address[ID],[1]!Address[Subtype])</f>
        <v>PETRONAS</v>
      </c>
      <c r="AC101" s="18" t="str">
        <f>_xlfn.XLOOKUP(Customer[[#This Row],[Customer ID]],[1]!Address[ID],[1]!Address[Zone])</f>
        <v>CENTRAL</v>
      </c>
    </row>
    <row r="102" spans="1:29" x14ac:dyDescent="0.3">
      <c r="A102" s="10" t="s">
        <v>795</v>
      </c>
      <c r="B102" s="11" t="str">
        <f>_xlfn.XLOOKUP(Customer[[#This Row],[Customer ID]],[1]!Name[ID],[1]!Name[Description(1)])</f>
        <v>PETROMAXS SERVICES</v>
      </c>
      <c r="C102" s="11" t="str">
        <f>_xlfn.XLOOKUP(Customer[[#This Row],[Customer ID]],[1]!Name[ID],[1]!Name[Description(2)])</f>
        <v>PS BATANG KALI 2</v>
      </c>
      <c r="D102" s="11" t="str">
        <f>_xlfn.XLOOKUP(Customer[[#This Row],[Customer ID]],[1]!Address[ID],[1]!Address[PIC])</f>
        <v/>
      </c>
      <c r="E102" s="11" t="str">
        <f>_xlfn.XLOOKUP(Customer[[#This Row],[Customer ID]],[1]!Address[ID],[1]!Address[Full Address])</f>
        <v>PS BATANG KALI 2NO 79 JALAN MERANTI 1A,  SEKSYEN 3,BANDAR UTAMA BATANG KALI,44300 ULU SELANGOR,  SELANGOR</v>
      </c>
      <c r="F102" s="12" t="s">
        <v>796</v>
      </c>
      <c r="G102" s="12" t="s">
        <v>797</v>
      </c>
      <c r="H102" s="12" t="s">
        <v>798</v>
      </c>
      <c r="I102" s="12" t="b">
        <f>ISNUMBER(VALUE(LEFT(Customer[[#This Row],[Address Line 3 (30 char)]],1)))</f>
        <v>0</v>
      </c>
      <c r="J102" s="12" t="s">
        <v>172</v>
      </c>
      <c r="K102" s="12">
        <v>44300</v>
      </c>
      <c r="L102" s="12" t="s">
        <v>35</v>
      </c>
      <c r="M102" s="13" t="e">
        <v>#N/A</v>
      </c>
      <c r="N102" s="14" t="e">
        <v>#N/A</v>
      </c>
      <c r="O102" s="14" t="e">
        <v>#N/A</v>
      </c>
      <c r="P102" s="14" t="e">
        <v>#N/A</v>
      </c>
      <c r="Q102" s="21" t="s">
        <v>799</v>
      </c>
      <c r="R102" s="15" t="s">
        <v>800</v>
      </c>
      <c r="S102" s="15" t="s">
        <v>37</v>
      </c>
      <c r="T102" s="16" t="s">
        <v>38</v>
      </c>
      <c r="U102" s="11" t="str">
        <f>_xlfn.XLOOKUP(Customer[[#This Row],[Customer ID]],[1]!Address[ID],[1]!Address[Phone No.(2)])</f>
        <v/>
      </c>
      <c r="V102" s="11" t="str">
        <f>_xlfn.XLOOKUP(Customer[[#This Row],[Customer ID]],[1]!Address[ID],[1]!Address[Type])</f>
        <v>PETROMART</v>
      </c>
      <c r="W102" s="11" t="str">
        <f>_xlfn.XLOOKUP(Customer[[#This Row],[Customer ID]],[1]!Address[ID],[1]!Address[CT])</f>
        <v>30 DAYS</v>
      </c>
      <c r="X102" s="11" t="s">
        <v>39</v>
      </c>
      <c r="Y102" s="17" t="s">
        <v>40</v>
      </c>
      <c r="Z102" s="17" t="e">
        <f>_xlfn.XLOOKUP(Customer[[#This Row],[NewType]],$AF$36:$AF$54,$AG$36:$AG$54)</f>
        <v>#N/A</v>
      </c>
      <c r="AA102" s="17" t="s">
        <v>801</v>
      </c>
      <c r="AB102" s="11" t="str">
        <f>_xlfn.XLOOKUP(Customer[[#This Row],[Customer ID]],[1]!Address[ID],[1]!Address[Subtype])</f>
        <v>PETRONAS</v>
      </c>
      <c r="AC102" s="18" t="str">
        <f>_xlfn.XLOOKUP(Customer[[#This Row],[Customer ID]],[1]!Address[ID],[1]!Address[Zone])</f>
        <v>CENTRAL</v>
      </c>
    </row>
    <row r="103" spans="1:29" x14ac:dyDescent="0.3">
      <c r="A103" s="10" t="s">
        <v>802</v>
      </c>
      <c r="B103" s="11" t="str">
        <f>_xlfn.XLOOKUP(Customer[[#This Row],[Customer ID]],[1]!Name[ID],[1]!Name[Description(1)])</f>
        <v>WARISAN NORCHIK STATION</v>
      </c>
      <c r="C103" s="11" t="str">
        <f>_xlfn.XLOOKUP(Customer[[#This Row],[Customer ID]],[1]!Name[ID],[1]!Name[Description(2)])</f>
        <v>PS BATAS PAIP</v>
      </c>
      <c r="D103" s="11" t="str">
        <f>_xlfn.XLOOKUP(Customer[[#This Row],[Customer ID]],[1]!Address[ID],[1]!Address[PIC])</f>
        <v/>
      </c>
      <c r="E103" s="11" t="str">
        <f>_xlfn.XLOOKUP(Customer[[#This Row],[Customer ID]],[1]!Address[ID],[1]!Address[Full Address])</f>
        <v>PS BATAS PAIPLOT 1533, JALAN BATAS PAIP,MK TELOK KECHAI, KUALA KEDAH,06600 KOTA SETAR,KEDAH</v>
      </c>
      <c r="F103" s="12" t="s">
        <v>803</v>
      </c>
      <c r="G103" s="12" t="s">
        <v>804</v>
      </c>
      <c r="H103" s="12" t="s">
        <v>805</v>
      </c>
      <c r="I103" s="12" t="b">
        <f>ISNUMBER(VALUE(LEFT(Customer[[#This Row],[Address Line 3 (30 char)]],1)))</f>
        <v>0</v>
      </c>
      <c r="J103" s="12" t="s">
        <v>79</v>
      </c>
      <c r="K103" s="20" t="s">
        <v>479</v>
      </c>
      <c r="L103" s="12" t="s">
        <v>35</v>
      </c>
      <c r="M103" s="13" t="e">
        <v>#N/A</v>
      </c>
      <c r="N103" s="14" t="e">
        <v>#N/A</v>
      </c>
      <c r="O103" s="14" t="e">
        <v>#N/A</v>
      </c>
      <c r="P103" s="14" t="e">
        <v>#N/A</v>
      </c>
      <c r="Q103" s="21" t="s">
        <v>806</v>
      </c>
      <c r="R103" s="15" t="s">
        <v>807</v>
      </c>
      <c r="S103" s="15" t="s">
        <v>74</v>
      </c>
      <c r="T103" s="16" t="s">
        <v>38</v>
      </c>
      <c r="U103" s="11" t="str">
        <f>_xlfn.XLOOKUP(Customer[[#This Row],[Customer ID]],[1]!Address[ID],[1]!Address[Phone No.(2)])</f>
        <v/>
      </c>
      <c r="V103" s="11" t="str">
        <f>_xlfn.XLOOKUP(Customer[[#This Row],[Customer ID]],[1]!Address[ID],[1]!Address[Type])</f>
        <v>PETROMART</v>
      </c>
      <c r="W103" s="11" t="str">
        <f>_xlfn.XLOOKUP(Customer[[#This Row],[Customer ID]],[1]!Address[ID],[1]!Address[CT])</f>
        <v>30 DAYS</v>
      </c>
      <c r="X103" s="11" t="s">
        <v>39</v>
      </c>
      <c r="Y103" s="17" t="s">
        <v>40</v>
      </c>
      <c r="Z103" s="17" t="e">
        <f>_xlfn.XLOOKUP(Customer[[#This Row],[NewType]],$AF$36:$AF$54,$AG$36:$AG$54)</f>
        <v>#N/A</v>
      </c>
      <c r="AA103" s="17" t="s">
        <v>808</v>
      </c>
      <c r="AB103" s="11" t="str">
        <f>_xlfn.XLOOKUP(Customer[[#This Row],[Customer ID]],[1]!Address[ID],[1]!Address[Subtype])</f>
        <v>PETRONAS</v>
      </c>
      <c r="AC103" s="18" t="str">
        <f>_xlfn.XLOOKUP(Customer[[#This Row],[Customer ID]],[1]!Address[ID],[1]!Address[Zone])</f>
        <v>NORTH</v>
      </c>
    </row>
    <row r="104" spans="1:29" x14ac:dyDescent="0.3">
      <c r="A104" s="10" t="s">
        <v>809</v>
      </c>
      <c r="B104" s="11" t="str">
        <f>_xlfn.XLOOKUP(Customer[[#This Row],[Customer ID]],[1]!Name[ID],[1]!Name[Description(1)])</f>
        <v>S&amp;S SERVICE &amp; SUPPLIERS</v>
      </c>
      <c r="C104" s="11" t="str">
        <f>_xlfn.XLOOKUP(Customer[[#This Row],[Customer ID]],[1]!Name[ID],[1]!Name[Description(2)])</f>
        <v>PS BATU 2 JALAN SEMENYIH</v>
      </c>
      <c r="D104" s="11" t="str">
        <f>_xlfn.XLOOKUP(Customer[[#This Row],[Customer ID]],[1]!Address[ID],[1]!Address[PIC])</f>
        <v/>
      </c>
      <c r="E104" s="11" t="str">
        <f>_xlfn.XLOOKUP(Customer[[#This Row],[Customer ID]],[1]!Address[ID],[1]!Address[Full Address])</f>
        <v>PS BATU 2 JALAN SEMENYIHLOT 22521, BATU 1,JALAN SEMENYIH,  KAJANG,43000 ULU LANGAT,  SELANGOR</v>
      </c>
      <c r="F104" s="12" t="s">
        <v>810</v>
      </c>
      <c r="G104" s="12" t="s">
        <v>811</v>
      </c>
      <c r="H104" s="12" t="s">
        <v>812</v>
      </c>
      <c r="I104" s="12" t="b">
        <f>ISNUMBER(VALUE(LEFT(Customer[[#This Row],[Address Line 3 (30 char)]],1)))</f>
        <v>0</v>
      </c>
      <c r="J104" s="12" t="s">
        <v>172</v>
      </c>
      <c r="K104" s="12">
        <v>43000</v>
      </c>
      <c r="L104" s="12" t="s">
        <v>35</v>
      </c>
      <c r="M104" s="13" t="e">
        <v>#N/A</v>
      </c>
      <c r="N104" s="14" t="e">
        <v>#N/A</v>
      </c>
      <c r="O104" s="14" t="e">
        <v>#N/A</v>
      </c>
      <c r="P104" s="14" t="e">
        <v>#N/A</v>
      </c>
      <c r="Q104" s="21" t="s">
        <v>813</v>
      </c>
      <c r="R104" s="15" t="s">
        <v>814</v>
      </c>
      <c r="S104" s="15" t="s">
        <v>37</v>
      </c>
      <c r="T104" s="16" t="s">
        <v>38</v>
      </c>
      <c r="U104" s="11" t="str">
        <f>_xlfn.XLOOKUP(Customer[[#This Row],[Customer ID]],[1]!Address[ID],[1]!Address[Phone No.(2)])</f>
        <v/>
      </c>
      <c r="V104" s="11" t="str">
        <f>_xlfn.XLOOKUP(Customer[[#This Row],[Customer ID]],[1]!Address[ID],[1]!Address[Type])</f>
        <v>PETROMART</v>
      </c>
      <c r="W104" s="11" t="str">
        <f>_xlfn.XLOOKUP(Customer[[#This Row],[Customer ID]],[1]!Address[ID],[1]!Address[CT])</f>
        <v>30 DAYS</v>
      </c>
      <c r="X104" s="11" t="s">
        <v>39</v>
      </c>
      <c r="Y104" s="17" t="s">
        <v>40</v>
      </c>
      <c r="Z104" s="17" t="e">
        <f>_xlfn.XLOOKUP(Customer[[#This Row],[NewType]],$AF$36:$AF$54,$AG$36:$AG$54)</f>
        <v>#N/A</v>
      </c>
      <c r="AA104" s="17" t="s">
        <v>815</v>
      </c>
      <c r="AB104" s="11" t="str">
        <f>_xlfn.XLOOKUP(Customer[[#This Row],[Customer ID]],[1]!Address[ID],[1]!Address[Subtype])</f>
        <v>PETRONAS</v>
      </c>
      <c r="AC104" s="18" t="str">
        <f>_xlfn.XLOOKUP(Customer[[#This Row],[Customer ID]],[1]!Address[ID],[1]!Address[Zone])</f>
        <v>CENTRAL</v>
      </c>
    </row>
    <row r="105" spans="1:29" x14ac:dyDescent="0.3">
      <c r="A105" s="10" t="s">
        <v>816</v>
      </c>
      <c r="B105" s="11" t="str">
        <f>_xlfn.XLOOKUP(Customer[[#This Row],[Customer ID]],[1]!Name[ID],[1]!Name[Description(1)])</f>
        <v>CERGAS MURNI ENTERPRISE</v>
      </c>
      <c r="C105" s="11" t="str">
        <f>_xlfn.XLOOKUP(Customer[[#This Row],[Customer ID]],[1]!Name[ID],[1]!Name[Description(2)])</f>
        <v>PS BATU 1, JALAN KLUANG AYER HITAM</v>
      </c>
      <c r="D105" s="11" t="str">
        <f>_xlfn.XLOOKUP(Customer[[#This Row],[Customer ID]],[1]!Address[ID],[1]!Address[PIC])</f>
        <v>Mohd Idzwan bin</v>
      </c>
      <c r="E105" s="11" t="str">
        <f>_xlfn.XLOOKUP(Customer[[#This Row],[Customer ID]],[1]!Address[ID],[1]!Address[Full Address])</f>
        <v>PS BATU 1, JALAN KLUANG AYER HITAMLOT 8379, BATU 1,JALAN KLUANG, AYER HITAM,86100 BATU PAHAT, JOHOR</v>
      </c>
      <c r="F105" s="12" t="s">
        <v>817</v>
      </c>
      <c r="G105" s="12" t="s">
        <v>818</v>
      </c>
      <c r="H105" s="12" t="s">
        <v>819</v>
      </c>
      <c r="I105" s="12" t="b">
        <f>ISNUMBER(VALUE(LEFT(Customer[[#This Row],[Address Line 3 (30 char)]],1)))</f>
        <v>0</v>
      </c>
      <c r="J105" s="12" t="s">
        <v>52</v>
      </c>
      <c r="K105" s="12">
        <v>86100</v>
      </c>
      <c r="L105" s="12" t="s">
        <v>35</v>
      </c>
      <c r="M105" s="13">
        <v>201603205611</v>
      </c>
      <c r="N105" s="14" t="s">
        <v>820</v>
      </c>
      <c r="O105" s="14" t="s">
        <v>54</v>
      </c>
      <c r="P105" s="14" t="e">
        <v>#N/A</v>
      </c>
      <c r="Q105" s="21" t="s">
        <v>821</v>
      </c>
      <c r="R105" s="15" t="s">
        <v>822</v>
      </c>
      <c r="S105" s="15" t="s">
        <v>37</v>
      </c>
      <c r="T105" s="16" t="s">
        <v>38</v>
      </c>
      <c r="U105" s="11" t="str">
        <f>_xlfn.XLOOKUP(Customer[[#This Row],[Customer ID]],[1]!Address[ID],[1]!Address[Phone No.(2)])</f>
        <v/>
      </c>
      <c r="V105" s="11" t="str">
        <f>_xlfn.XLOOKUP(Customer[[#This Row],[Customer ID]],[1]!Address[ID],[1]!Address[Type])</f>
        <v>PETROMART</v>
      </c>
      <c r="W105" s="11" t="str">
        <f>_xlfn.XLOOKUP(Customer[[#This Row],[Customer ID]],[1]!Address[ID],[1]!Address[CT])</f>
        <v>30 DAYS</v>
      </c>
      <c r="X105" s="11" t="s">
        <v>39</v>
      </c>
      <c r="Y105" s="17" t="s">
        <v>40</v>
      </c>
      <c r="Z105" s="17" t="e">
        <f>_xlfn.XLOOKUP(Customer[[#This Row],[NewType]],$AF$36:$AF$54,$AG$36:$AG$54)</f>
        <v>#N/A</v>
      </c>
      <c r="AA105" s="17" t="s">
        <v>823</v>
      </c>
      <c r="AB105" s="11" t="str">
        <f>_xlfn.XLOOKUP(Customer[[#This Row],[Customer ID]],[1]!Address[ID],[1]!Address[Subtype])</f>
        <v>PETRONAS</v>
      </c>
      <c r="AC105" s="18" t="str">
        <f>_xlfn.XLOOKUP(Customer[[#This Row],[Customer ID]],[1]!Address[ID],[1]!Address[Zone])</f>
        <v>SOUTH</v>
      </c>
    </row>
    <row r="106" spans="1:29" x14ac:dyDescent="0.3">
      <c r="A106" s="10" t="s">
        <v>824</v>
      </c>
      <c r="B106" s="11" t="str">
        <f>_xlfn.XLOOKUP(Customer[[#This Row],[Customer ID]],[1]!Name[ID],[1]!Name[Description(1)])</f>
        <v>ZIKRYZ SERVICES</v>
      </c>
      <c r="C106" s="11" t="str">
        <f>_xlfn.XLOOKUP(Customer[[#This Row],[Customer ID]],[1]!Name[ID],[1]!Name[Description(2)])</f>
        <v>PS BATU 2 1/2 JALAN KAPAR</v>
      </c>
      <c r="D106" s="11" t="str">
        <f>_xlfn.XLOOKUP(Customer[[#This Row],[Customer ID]],[1]!Address[ID],[1]!Address[PIC])</f>
        <v/>
      </c>
      <c r="E106" s="11" t="str">
        <f>_xlfn.XLOOKUP(Customer[[#This Row],[Customer ID]],[1]!Address[ID],[1]!Address[Full Address])</f>
        <v>PS BATU 2 1/2 JALAN KAPARLOT PT 23, BT 2 1/2 JALAN KAPAR,41400 KLANG, SELANGOR</v>
      </c>
      <c r="F106" s="12" t="s">
        <v>825</v>
      </c>
      <c r="G106" s="12" t="s">
        <v>826</v>
      </c>
      <c r="H106" s="24" t="s">
        <v>827</v>
      </c>
      <c r="I106" s="24" t="b">
        <f>ISNUMBER(VALUE(LEFT(Customer[[#This Row],[Address Line 3 (30 char)]],1)))</f>
        <v>0</v>
      </c>
      <c r="J106" s="12" t="s">
        <v>172</v>
      </c>
      <c r="K106" s="12">
        <v>41400</v>
      </c>
      <c r="L106" s="12" t="s">
        <v>35</v>
      </c>
      <c r="M106" s="13" t="e">
        <v>#N/A</v>
      </c>
      <c r="N106" s="14" t="e">
        <v>#N/A</v>
      </c>
      <c r="O106" s="14" t="e">
        <v>#N/A</v>
      </c>
      <c r="P106" s="14" t="e">
        <v>#N/A</v>
      </c>
      <c r="Q106" s="19" t="s">
        <v>828</v>
      </c>
      <c r="R106" s="15" t="s">
        <v>829</v>
      </c>
      <c r="S106" s="15" t="s">
        <v>37</v>
      </c>
      <c r="T106" s="16" t="s">
        <v>38</v>
      </c>
      <c r="U106" s="11" t="str">
        <f>_xlfn.XLOOKUP(Customer[[#This Row],[Customer ID]],[1]!Address[ID],[1]!Address[Phone No.(2)])</f>
        <v/>
      </c>
      <c r="V106" s="11" t="str">
        <f>_xlfn.XLOOKUP(Customer[[#This Row],[Customer ID]],[1]!Address[ID],[1]!Address[Type])</f>
        <v>PETROMART</v>
      </c>
      <c r="W106" s="11" t="str">
        <f>_xlfn.XLOOKUP(Customer[[#This Row],[Customer ID]],[1]!Address[ID],[1]!Address[CT])</f>
        <v>30 DAYS</v>
      </c>
      <c r="X106" s="11" t="s">
        <v>39</v>
      </c>
      <c r="Y106" s="17" t="s">
        <v>40</v>
      </c>
      <c r="Z106" s="17" t="e">
        <f>_xlfn.XLOOKUP(Customer[[#This Row],[NewType]],$AF$36:$AF$54,$AG$36:$AG$54)</f>
        <v>#N/A</v>
      </c>
      <c r="AA106" s="17" t="s">
        <v>830</v>
      </c>
      <c r="AB106" s="11" t="str">
        <f>_xlfn.XLOOKUP(Customer[[#This Row],[Customer ID]],[1]!Address[ID],[1]!Address[Subtype])</f>
        <v>PETRONAS</v>
      </c>
      <c r="AC106" s="18" t="str">
        <f>_xlfn.XLOOKUP(Customer[[#This Row],[Customer ID]],[1]!Address[ID],[1]!Address[Zone])</f>
        <v>CENTRAL</v>
      </c>
    </row>
    <row r="107" spans="1:29" x14ac:dyDescent="0.3">
      <c r="A107" s="10" t="s">
        <v>831</v>
      </c>
      <c r="B107" s="11" t="str">
        <f>_xlfn.XLOOKUP(Customer[[#This Row],[Customer ID]],[1]!Name[ID],[1]!Name[Description(1)])</f>
        <v>NADI MESAH ENTERPRISE</v>
      </c>
      <c r="C107" s="11" t="str">
        <f>_xlfn.XLOOKUP(Customer[[#This Row],[Customer ID]],[1]!Name[ID],[1]!Name[Description(2)])</f>
        <v>PS BATU 2 MERU</v>
      </c>
      <c r="D107" s="11" t="str">
        <f>_xlfn.XLOOKUP(Customer[[#This Row],[Customer ID]],[1]!Address[ID],[1]!Address[PIC])</f>
        <v>AJIM</v>
      </c>
      <c r="E107" s="11" t="str">
        <f>_xlfn.XLOOKUP(Customer[[#This Row],[Customer ID]],[1]!Address[ID],[1]!Address[Full Address])</f>
        <v>PS BATU 2 MERULOT 3585, KM 1, JALAN MERU,41050 KLANG, SELANGOR</v>
      </c>
      <c r="F107" s="12" t="s">
        <v>832</v>
      </c>
      <c r="G107" s="12" t="s">
        <v>833</v>
      </c>
      <c r="H107" s="24" t="s">
        <v>827</v>
      </c>
      <c r="I107" s="24" t="b">
        <f>ISNUMBER(VALUE(LEFT(Customer[[#This Row],[Address Line 3 (30 char)]],1)))</f>
        <v>0</v>
      </c>
      <c r="J107" s="12" t="s">
        <v>172</v>
      </c>
      <c r="K107" s="12">
        <v>41050</v>
      </c>
      <c r="L107" s="12" t="s">
        <v>35</v>
      </c>
      <c r="M107" s="13" t="s">
        <v>834</v>
      </c>
      <c r="N107" s="14" t="s">
        <v>835</v>
      </c>
      <c r="O107" s="14" t="e">
        <v>#N/A</v>
      </c>
      <c r="P107" s="14" t="e">
        <v>#N/A</v>
      </c>
      <c r="Q107" s="19" t="s">
        <v>836</v>
      </c>
      <c r="R107" s="15" t="s">
        <v>837</v>
      </c>
      <c r="S107" s="15" t="s">
        <v>37</v>
      </c>
      <c r="T107" s="16" t="s">
        <v>38</v>
      </c>
      <c r="U107" s="11" t="str">
        <f>_xlfn.XLOOKUP(Customer[[#This Row],[Customer ID]],[1]!Address[ID],[1]!Address[Phone No.(2)])</f>
        <v/>
      </c>
      <c r="V107" s="11" t="str">
        <f>_xlfn.XLOOKUP(Customer[[#This Row],[Customer ID]],[1]!Address[ID],[1]!Address[Type])</f>
        <v>PETROMART</v>
      </c>
      <c r="W107" s="11" t="str">
        <f>_xlfn.XLOOKUP(Customer[[#This Row],[Customer ID]],[1]!Address[ID],[1]!Address[CT])</f>
        <v>30 DAYS</v>
      </c>
      <c r="X107" s="11" t="s">
        <v>39</v>
      </c>
      <c r="Y107" s="17" t="s">
        <v>40</v>
      </c>
      <c r="Z107" s="17" t="e">
        <f>_xlfn.XLOOKUP(Customer[[#This Row],[NewType]],$AF$36:$AF$54,$AG$36:$AG$54)</f>
        <v>#N/A</v>
      </c>
      <c r="AA107" s="17" t="s">
        <v>838</v>
      </c>
      <c r="AB107" s="11" t="str">
        <f>_xlfn.XLOOKUP(Customer[[#This Row],[Customer ID]],[1]!Address[ID],[1]!Address[Subtype])</f>
        <v>PETRONAS</v>
      </c>
      <c r="AC107" s="18" t="str">
        <f>_xlfn.XLOOKUP(Customer[[#This Row],[Customer ID]],[1]!Address[ID],[1]!Address[Zone])</f>
        <v>CENTRAL</v>
      </c>
    </row>
    <row r="108" spans="1:29" x14ac:dyDescent="0.3">
      <c r="A108" s="10" t="s">
        <v>839</v>
      </c>
      <c r="B108" s="11" t="str">
        <f>_xlfn.XLOOKUP(Customer[[#This Row],[Customer ID]],[1]!Name[ID],[1]!Name[Description(1)])</f>
        <v>SINAR HAYAT SERVICES</v>
      </c>
      <c r="C108" s="11" t="str">
        <f>_xlfn.XLOOKUP(Customer[[#This Row],[Customer ID]],[1]!Name[ID],[1]!Name[Description(2)])</f>
        <v>PS BATU 3 FEDERAL HIGHWAY</v>
      </c>
      <c r="D108" s="11" t="str">
        <f>_xlfn.XLOOKUP(Customer[[#This Row],[Customer ID]],[1]!Address[ID],[1]!Address[PIC])</f>
        <v/>
      </c>
      <c r="E108" s="11" t="str">
        <f>_xlfn.XLOOKUP(Customer[[#This Row],[Customer ID]],[1]!Address[ID],[1]!Address[Full Address])</f>
        <v>PS BATU 3 FEDERAL HIGHWAYLOT PT 5, HS (D) 239246,PEKAN COUNTRY HEIGHTS, MUKIM DAMANSARA,46150 PETALING,SELANGOR</v>
      </c>
      <c r="F108" s="12" t="s">
        <v>840</v>
      </c>
      <c r="G108" s="12" t="s">
        <v>841</v>
      </c>
      <c r="H108" s="12" t="s">
        <v>842</v>
      </c>
      <c r="I108" s="12" t="b">
        <f>ISNUMBER(VALUE(LEFT(Customer[[#This Row],[Address Line 3 (30 char)]],1)))</f>
        <v>0</v>
      </c>
      <c r="J108" s="12" t="s">
        <v>172</v>
      </c>
      <c r="K108" s="12">
        <v>46150</v>
      </c>
      <c r="L108" s="12" t="s">
        <v>35</v>
      </c>
      <c r="M108" s="13" t="e">
        <v>#N/A</v>
      </c>
      <c r="N108" s="14" t="e">
        <v>#N/A</v>
      </c>
      <c r="O108" s="14" t="e">
        <v>#N/A</v>
      </c>
      <c r="P108" s="14" t="e">
        <v>#N/A</v>
      </c>
      <c r="Q108" s="19" t="s">
        <v>843</v>
      </c>
      <c r="R108" s="15" t="s">
        <v>844</v>
      </c>
      <c r="S108" s="15" t="s">
        <v>37</v>
      </c>
      <c r="T108" s="16" t="s">
        <v>38</v>
      </c>
      <c r="U108" s="11" t="str">
        <f>_xlfn.XLOOKUP(Customer[[#This Row],[Customer ID]],[1]!Address[ID],[1]!Address[Phone No.(2)])</f>
        <v/>
      </c>
      <c r="V108" s="11" t="str">
        <f>_xlfn.XLOOKUP(Customer[[#This Row],[Customer ID]],[1]!Address[ID],[1]!Address[Type])</f>
        <v>PETROMART</v>
      </c>
      <c r="W108" s="11" t="str">
        <f>_xlfn.XLOOKUP(Customer[[#This Row],[Customer ID]],[1]!Address[ID],[1]!Address[CT])</f>
        <v>30 DAYS</v>
      </c>
      <c r="X108" s="11" t="s">
        <v>39</v>
      </c>
      <c r="Y108" s="17" t="s">
        <v>40</v>
      </c>
      <c r="Z108" s="17" t="e">
        <f>_xlfn.XLOOKUP(Customer[[#This Row],[NewType]],$AF$36:$AF$54,$AG$36:$AG$54)</f>
        <v>#N/A</v>
      </c>
      <c r="AA108" s="17" t="s">
        <v>845</v>
      </c>
      <c r="AB108" s="11" t="str">
        <f>_xlfn.XLOOKUP(Customer[[#This Row],[Customer ID]],[1]!Address[ID],[1]!Address[Subtype])</f>
        <v>PETRONAS</v>
      </c>
      <c r="AC108" s="18" t="str">
        <f>_xlfn.XLOOKUP(Customer[[#This Row],[Customer ID]],[1]!Address[ID],[1]!Address[Zone])</f>
        <v>CENTRAL</v>
      </c>
    </row>
    <row r="109" spans="1:29" x14ac:dyDescent="0.3">
      <c r="A109" s="10" t="s">
        <v>846</v>
      </c>
      <c r="B109" s="11" t="str">
        <f>_xlfn.XLOOKUP(Customer[[#This Row],[Customer ID]],[1]!Name[ID],[1]!Name[Description(1)])</f>
        <v>SK DELL STATION</v>
      </c>
      <c r="C109" s="11" t="str">
        <f>_xlfn.XLOOKUP(Customer[[#This Row],[Customer ID]],[1]!Name[ID],[1]!Name[Description(2)])</f>
        <v>PS BATU 3 SHAH ALAM</v>
      </c>
      <c r="D109" s="11" t="str">
        <f>_xlfn.XLOOKUP(Customer[[#This Row],[Customer ID]],[1]!Address[ID],[1]!Address[PIC])</f>
        <v/>
      </c>
      <c r="E109" s="11" t="str">
        <f>_xlfn.XLOOKUP(Customer[[#This Row],[Customer ID]],[1]!Address[ID],[1]!Address[Full Address])</f>
        <v>PS BATU 3 SHAH ALAMLOT PT 119, JALAN GLENMARIE,BATU 3, SHAH ALAM,40150 PETALING, SELANGOR</v>
      </c>
      <c r="F109" s="12" t="s">
        <v>847</v>
      </c>
      <c r="G109" s="12" t="s">
        <v>848</v>
      </c>
      <c r="H109" s="12" t="s">
        <v>849</v>
      </c>
      <c r="I109" s="12" t="b">
        <f>ISNUMBER(VALUE(LEFT(Customer[[#This Row],[Address Line 3 (30 char)]],1)))</f>
        <v>0</v>
      </c>
      <c r="J109" s="12" t="s">
        <v>172</v>
      </c>
      <c r="K109" s="12">
        <v>40150</v>
      </c>
      <c r="L109" s="12" t="s">
        <v>35</v>
      </c>
      <c r="M109" s="13" t="e">
        <v>#N/A</v>
      </c>
      <c r="N109" s="14" t="e">
        <v>#N/A</v>
      </c>
      <c r="O109" s="14" t="e">
        <v>#N/A</v>
      </c>
      <c r="P109" s="14" t="e">
        <v>#N/A</v>
      </c>
      <c r="Q109" s="19" t="s">
        <v>843</v>
      </c>
      <c r="R109" s="15" t="s">
        <v>850</v>
      </c>
      <c r="S109" s="15" t="s">
        <v>37</v>
      </c>
      <c r="T109" s="16" t="s">
        <v>38</v>
      </c>
      <c r="U109" s="11" t="str">
        <f>_xlfn.XLOOKUP(Customer[[#This Row],[Customer ID]],[1]!Address[ID],[1]!Address[Phone No.(2)])</f>
        <v/>
      </c>
      <c r="V109" s="11" t="str">
        <f>_xlfn.XLOOKUP(Customer[[#This Row],[Customer ID]],[1]!Address[ID],[1]!Address[Type])</f>
        <v>PETROMART</v>
      </c>
      <c r="W109" s="11" t="str">
        <f>_xlfn.XLOOKUP(Customer[[#This Row],[Customer ID]],[1]!Address[ID],[1]!Address[CT])</f>
        <v>30 DAYS</v>
      </c>
      <c r="X109" s="11" t="s">
        <v>39</v>
      </c>
      <c r="Y109" s="17" t="s">
        <v>40</v>
      </c>
      <c r="Z109" s="17" t="e">
        <f>_xlfn.XLOOKUP(Customer[[#This Row],[NewType]],$AF$36:$AF$54,$AG$36:$AG$54)</f>
        <v>#N/A</v>
      </c>
      <c r="AA109" s="17" t="s">
        <v>851</v>
      </c>
      <c r="AB109" s="11" t="str">
        <f>_xlfn.XLOOKUP(Customer[[#This Row],[Customer ID]],[1]!Address[ID],[1]!Address[Subtype])</f>
        <v>PETRONAS</v>
      </c>
      <c r="AC109" s="18" t="str">
        <f>_xlfn.XLOOKUP(Customer[[#This Row],[Customer ID]],[1]!Address[ID],[1]!Address[Zone])</f>
        <v>CENTRAL</v>
      </c>
    </row>
    <row r="110" spans="1:29" x14ac:dyDescent="0.3">
      <c r="A110" s="10" t="s">
        <v>852</v>
      </c>
      <c r="B110" s="11" t="str">
        <f>_xlfn.XLOOKUP(Customer[[#This Row],[Customer ID]],[1]!Name[ID],[1]!Name[Description(1)])</f>
        <v>MIRZA TAKZIM ENTERPRISE</v>
      </c>
      <c r="C110" s="11" t="str">
        <f>_xlfn.XLOOKUP(Customer[[#This Row],[Customer ID]],[1]!Name[ID],[1]!Name[Description(2)])</f>
        <v>PS BATU 35 1/5 JALAN PONTIAN</v>
      </c>
      <c r="D110" s="11" t="str">
        <f>_xlfn.XLOOKUP(Customer[[#This Row],[Customer ID]],[1]!Address[ID],[1]!Address[PIC])</f>
        <v/>
      </c>
      <c r="E110" s="11" t="str">
        <f>_xlfn.XLOOKUP(Customer[[#This Row],[Customer ID]],[1]!Address[ID],[1]!Address[Full Address])</f>
        <v>PS BATU 35 1/5 JALAN PONTIANNO.493, BATU 35, JALAN JOHOR,MUKIM RIMBA TERJUN,82000 PONTIAN, JOHOR</v>
      </c>
      <c r="F110" s="12" t="s">
        <v>853</v>
      </c>
      <c r="G110" s="12" t="s">
        <v>854</v>
      </c>
      <c r="H110" s="12" t="s">
        <v>855</v>
      </c>
      <c r="I110" s="12" t="b">
        <f>ISNUMBER(VALUE(LEFT(Customer[[#This Row],[Address Line 3 (30 char)]],1)))</f>
        <v>0</v>
      </c>
      <c r="J110" s="12" t="s">
        <v>52</v>
      </c>
      <c r="K110" s="12">
        <v>82000</v>
      </c>
      <c r="L110" s="12" t="s">
        <v>35</v>
      </c>
      <c r="M110" s="13" t="e">
        <v>#N/A</v>
      </c>
      <c r="N110" s="14" t="e">
        <v>#N/A</v>
      </c>
      <c r="O110" s="14" t="e">
        <v>#N/A</v>
      </c>
      <c r="P110" s="14" t="e">
        <v>#N/A</v>
      </c>
      <c r="Q110" s="19" t="s">
        <v>856</v>
      </c>
      <c r="R110" s="15" t="s">
        <v>857</v>
      </c>
      <c r="S110" s="15" t="s">
        <v>37</v>
      </c>
      <c r="T110" s="16" t="s">
        <v>38</v>
      </c>
      <c r="U110" s="11" t="str">
        <f>_xlfn.XLOOKUP(Customer[[#This Row],[Customer ID]],[1]!Address[ID],[1]!Address[Phone No.(2)])</f>
        <v/>
      </c>
      <c r="V110" s="11" t="str">
        <f>_xlfn.XLOOKUP(Customer[[#This Row],[Customer ID]],[1]!Address[ID],[1]!Address[Type])</f>
        <v>PETROMART</v>
      </c>
      <c r="W110" s="11" t="str">
        <f>_xlfn.XLOOKUP(Customer[[#This Row],[Customer ID]],[1]!Address[ID],[1]!Address[CT])</f>
        <v>30 DAYS</v>
      </c>
      <c r="X110" s="11" t="s">
        <v>39</v>
      </c>
      <c r="Y110" s="17" t="s">
        <v>40</v>
      </c>
      <c r="Z110" s="17" t="e">
        <f>_xlfn.XLOOKUP(Customer[[#This Row],[NewType]],$AF$36:$AF$54,$AG$36:$AG$54)</f>
        <v>#N/A</v>
      </c>
      <c r="AA110" s="17" t="s">
        <v>858</v>
      </c>
      <c r="AB110" s="11" t="str">
        <f>_xlfn.XLOOKUP(Customer[[#This Row],[Customer ID]],[1]!Address[ID],[1]!Address[Subtype])</f>
        <v>PETRONAS</v>
      </c>
      <c r="AC110" s="18" t="str">
        <f>_xlfn.XLOOKUP(Customer[[#This Row],[Customer ID]],[1]!Address[ID],[1]!Address[Zone])</f>
        <v>SOUTH</v>
      </c>
    </row>
    <row r="111" spans="1:29" x14ac:dyDescent="0.3">
      <c r="A111" s="10" t="s">
        <v>859</v>
      </c>
      <c r="B111" s="11" t="str">
        <f>_xlfn.XLOOKUP(Customer[[#This Row],[Customer ID]],[1]!Name[ID],[1]!Name[Description(1)])</f>
        <v>ONES MART ENTERPRISE</v>
      </c>
      <c r="C111" s="11" t="str">
        <f>_xlfn.XLOOKUP(Customer[[#This Row],[Customer ID]],[1]!Name[ID],[1]!Name[Description(2)])</f>
        <v>PS BATU 5 1/2 JALAN CHERAS</v>
      </c>
      <c r="D111" s="11" t="str">
        <f>_xlfn.XLOOKUP(Customer[[#This Row],[Customer ID]],[1]!Address[ID],[1]!Address[PIC])</f>
        <v/>
      </c>
      <c r="E111" s="11" t="str">
        <f>_xlfn.XLOOKUP(Customer[[#This Row],[Customer ID]],[1]!Address[ID],[1]!Address[Full Address])</f>
        <v>PS BATU 5 1/2 JALAN CHERASLOT 16032, BATU 5 1/2, JALAN CHERAS,56100 ULU LANGAT,W PERSEKUTUAN</v>
      </c>
      <c r="F111" s="12" t="s">
        <v>860</v>
      </c>
      <c r="G111" s="12" t="s">
        <v>861</v>
      </c>
      <c r="H111" s="12" t="s">
        <v>862</v>
      </c>
      <c r="I111" s="12" t="b">
        <f>ISNUMBER(VALUE(LEFT(Customer[[#This Row],[Address Line 3 (30 char)]],1)))</f>
        <v>0</v>
      </c>
      <c r="J111" s="12" t="s">
        <v>172</v>
      </c>
      <c r="K111" s="12">
        <v>56100</v>
      </c>
      <c r="L111" s="12" t="s">
        <v>35</v>
      </c>
      <c r="M111" s="13" t="e">
        <v>#N/A</v>
      </c>
      <c r="N111" s="14" t="e">
        <v>#N/A</v>
      </c>
      <c r="O111" s="14" t="e">
        <v>#N/A</v>
      </c>
      <c r="P111" s="14" t="e">
        <v>#N/A</v>
      </c>
      <c r="Q111" s="19" t="s">
        <v>333</v>
      </c>
      <c r="R111" s="15" t="s">
        <v>863</v>
      </c>
      <c r="S111" s="15" t="s">
        <v>65</v>
      </c>
      <c r="T111" s="16" t="s">
        <v>38</v>
      </c>
      <c r="U111" s="11" t="str">
        <f>_xlfn.XLOOKUP(Customer[[#This Row],[Customer ID]],[1]!Address[ID],[1]!Address[Phone No.(2)])</f>
        <v/>
      </c>
      <c r="V111" s="11" t="str">
        <f>_xlfn.XLOOKUP(Customer[[#This Row],[Customer ID]],[1]!Address[ID],[1]!Address[Type])</f>
        <v>PETROMART</v>
      </c>
      <c r="W111" s="11" t="str">
        <f>_xlfn.XLOOKUP(Customer[[#This Row],[Customer ID]],[1]!Address[ID],[1]!Address[CT])</f>
        <v>30 DAYS</v>
      </c>
      <c r="X111" s="11" t="s">
        <v>39</v>
      </c>
      <c r="Y111" s="17" t="s">
        <v>40</v>
      </c>
      <c r="Z111" s="17" t="e">
        <f>_xlfn.XLOOKUP(Customer[[#This Row],[NewType]],$AF$36:$AF$54,$AG$36:$AG$54)</f>
        <v>#N/A</v>
      </c>
      <c r="AA111" s="17" t="s">
        <v>864</v>
      </c>
      <c r="AB111" s="11" t="str">
        <f>_xlfn.XLOOKUP(Customer[[#This Row],[Customer ID]],[1]!Address[ID],[1]!Address[Subtype])</f>
        <v>PETRONAS</v>
      </c>
      <c r="AC111" s="18" t="str">
        <f>_xlfn.XLOOKUP(Customer[[#This Row],[Customer ID]],[1]!Address[ID],[1]!Address[Zone])</f>
        <v>CENTRAL</v>
      </c>
    </row>
    <row r="112" spans="1:29" x14ac:dyDescent="0.3">
      <c r="A112" s="10" t="s">
        <v>865</v>
      </c>
      <c r="B112" s="11" t="str">
        <f>_xlfn.XLOOKUP(Customer[[#This Row],[Customer ID]],[1]!Name[ID],[1]!Name[Description(1)])</f>
        <v>MESRA IKHWAN RESOURCES</v>
      </c>
      <c r="C112" s="11" t="str">
        <f>_xlfn.XLOOKUP(Customer[[#This Row],[Customer ID]],[1]!Name[ID],[1]!Name[Description(2)])</f>
        <v>PS BATU 5 GOMBAK</v>
      </c>
      <c r="D112" s="11" t="str">
        <f>_xlfn.XLOOKUP(Customer[[#This Row],[Customer ID]],[1]!Address[ID],[1]!Address[PIC])</f>
        <v/>
      </c>
      <c r="E112" s="11" t="str">
        <f>_xlfn.XLOOKUP(Customer[[#This Row],[Customer ID]],[1]!Address[ID],[1]!Address[Full Address])</f>
        <v>PS BATU 5 GOMBAKLOT 30217 PM906, LOT 30504 GM 2291,BATU 5 JALAN GOMBAK, MUKIM SETAPAK,53000 GOMBAK,    W PERSEKUTUAN</v>
      </c>
      <c r="F112" s="12" t="s">
        <v>866</v>
      </c>
      <c r="G112" s="12" t="s">
        <v>867</v>
      </c>
      <c r="H112" s="12" t="s">
        <v>868</v>
      </c>
      <c r="I112" s="12" t="b">
        <f>ISNUMBER(VALUE(LEFT(Customer[[#This Row],[Address Line 3 (30 char)]],1)))</f>
        <v>0</v>
      </c>
      <c r="J112" s="12" t="s">
        <v>172</v>
      </c>
      <c r="K112" s="12">
        <v>53000</v>
      </c>
      <c r="L112" s="12" t="s">
        <v>35</v>
      </c>
      <c r="M112" s="13" t="e">
        <v>#N/A</v>
      </c>
      <c r="N112" s="14" t="e">
        <v>#N/A</v>
      </c>
      <c r="O112" s="14" t="e">
        <v>#N/A</v>
      </c>
      <c r="P112" s="14" t="e">
        <v>#N/A</v>
      </c>
      <c r="Q112" s="19" t="s">
        <v>869</v>
      </c>
      <c r="R112" s="15" t="s">
        <v>870</v>
      </c>
      <c r="S112" s="15" t="s">
        <v>37</v>
      </c>
      <c r="T112" s="16" t="s">
        <v>38</v>
      </c>
      <c r="U112" s="11" t="str">
        <f>_xlfn.XLOOKUP(Customer[[#This Row],[Customer ID]],[1]!Address[ID],[1]!Address[Phone No.(2)])</f>
        <v/>
      </c>
      <c r="V112" s="11" t="str">
        <f>_xlfn.XLOOKUP(Customer[[#This Row],[Customer ID]],[1]!Address[ID],[1]!Address[Type])</f>
        <v>PETROMART</v>
      </c>
      <c r="W112" s="11" t="str">
        <f>_xlfn.XLOOKUP(Customer[[#This Row],[Customer ID]],[1]!Address[ID],[1]!Address[CT])</f>
        <v>30 DAYS</v>
      </c>
      <c r="X112" s="11" t="s">
        <v>39</v>
      </c>
      <c r="Y112" s="17" t="s">
        <v>40</v>
      </c>
      <c r="Z112" s="17" t="e">
        <f>_xlfn.XLOOKUP(Customer[[#This Row],[NewType]],$AF$36:$AF$54,$AG$36:$AG$54)</f>
        <v>#N/A</v>
      </c>
      <c r="AA112" s="17" t="s">
        <v>871</v>
      </c>
      <c r="AB112" s="11" t="str">
        <f>_xlfn.XLOOKUP(Customer[[#This Row],[Customer ID]],[1]!Address[ID],[1]!Address[Subtype])</f>
        <v>PETRONAS</v>
      </c>
      <c r="AC112" s="18" t="str">
        <f>_xlfn.XLOOKUP(Customer[[#This Row],[Customer ID]],[1]!Address[ID],[1]!Address[Zone])</f>
        <v>CENTRAL</v>
      </c>
    </row>
    <row r="113" spans="1:30" x14ac:dyDescent="0.3">
      <c r="A113" s="10" t="s">
        <v>872</v>
      </c>
      <c r="B113" s="11" t="str">
        <f>_xlfn.XLOOKUP(Customer[[#This Row],[Customer ID]],[1]!Name[ID],[1]!Name[Description(1)])</f>
        <v>LINA PETROSERVIS</v>
      </c>
      <c r="C113" s="11" t="str">
        <f>_xlfn.XLOOKUP(Customer[[#This Row],[Customer ID]],[1]!Name[ID],[1]!Name[Description(2)])</f>
        <v>PS BATU 6 JALAN GOMBAK</v>
      </c>
      <c r="D113" s="11" t="str">
        <f>_xlfn.XLOOKUP(Customer[[#This Row],[Customer ID]],[1]!Address[ID],[1]!Address[PIC])</f>
        <v/>
      </c>
      <c r="E113" s="11" t="str">
        <f>_xlfn.XLOOKUP(Customer[[#This Row],[Customer ID]],[1]!Address[ID],[1]!Address[Full Address])</f>
        <v>PS BATU 6 JALAN GOMBAKLOT 4680, BATU 6, JALAN GOMBAK,53100 GOMBAK,SELANGOR</v>
      </c>
      <c r="F113" s="12" t="s">
        <v>873</v>
      </c>
      <c r="G113" s="12" t="s">
        <v>874</v>
      </c>
      <c r="H113" s="12" t="s">
        <v>875</v>
      </c>
      <c r="I113" s="12" t="b">
        <f>ISNUMBER(VALUE(LEFT(Customer[[#This Row],[Address Line 3 (30 char)]],1)))</f>
        <v>0</v>
      </c>
      <c r="J113" s="12" t="s">
        <v>172</v>
      </c>
      <c r="K113" s="12">
        <v>53100</v>
      </c>
      <c r="L113" s="12" t="s">
        <v>35</v>
      </c>
      <c r="M113" s="13" t="e">
        <v>#N/A</v>
      </c>
      <c r="N113" s="14" t="e">
        <v>#N/A</v>
      </c>
      <c r="O113" s="14" t="e">
        <v>#N/A</v>
      </c>
      <c r="P113" s="14" t="e">
        <v>#N/A</v>
      </c>
      <c r="Q113" s="19" t="s">
        <v>876</v>
      </c>
      <c r="R113" s="15" t="s">
        <v>877</v>
      </c>
      <c r="S113" s="15" t="s">
        <v>609</v>
      </c>
      <c r="T113" s="16" t="s">
        <v>38</v>
      </c>
      <c r="U113" s="11" t="str">
        <f>_xlfn.XLOOKUP(Customer[[#This Row],[Customer ID]],[1]!Address[ID],[1]!Address[Phone No.(2)])</f>
        <v/>
      </c>
      <c r="V113" s="11" t="str">
        <f>_xlfn.XLOOKUP(Customer[[#This Row],[Customer ID]],[1]!Address[ID],[1]!Address[Type])</f>
        <v>PETROMART</v>
      </c>
      <c r="W113" s="11" t="str">
        <f>_xlfn.XLOOKUP(Customer[[#This Row],[Customer ID]],[1]!Address[ID],[1]!Address[CT])</f>
        <v>30 DAYS</v>
      </c>
      <c r="X113" s="11" t="s">
        <v>39</v>
      </c>
      <c r="Y113" s="17" t="s">
        <v>40</v>
      </c>
      <c r="Z113" s="17" t="e">
        <f>_xlfn.XLOOKUP(Customer[[#This Row],[NewType]],$AF$36:$AF$54,$AG$36:$AG$54)</f>
        <v>#N/A</v>
      </c>
      <c r="AA113" s="17" t="s">
        <v>878</v>
      </c>
      <c r="AB113" s="11" t="str">
        <f>_xlfn.XLOOKUP(Customer[[#This Row],[Customer ID]],[1]!Address[ID],[1]!Address[Subtype])</f>
        <v>PETRONAS</v>
      </c>
      <c r="AC113" s="18" t="str">
        <f>_xlfn.XLOOKUP(Customer[[#This Row],[Customer ID]],[1]!Address[ID],[1]!Address[Zone])</f>
        <v>CENTRAL</v>
      </c>
    </row>
    <row r="114" spans="1:30" x14ac:dyDescent="0.3">
      <c r="A114" s="10" t="s">
        <v>879</v>
      </c>
      <c r="B114" s="11" t="str">
        <f>_xlfn.XLOOKUP(Customer[[#This Row],[Customer ID]],[1]!Name[ID],[1]!Name[Description(1)])</f>
        <v>LAPAN PULUH TUJUH ENTERPRISE</v>
      </c>
      <c r="C114" s="11" t="str">
        <f>_xlfn.XLOOKUP(Customer[[#This Row],[Customer ID]],[1]!Name[ID],[1]!Name[Description(2)])</f>
        <v>PS BATU 6 JALAN IPOH</v>
      </c>
      <c r="D114" s="11" t="str">
        <f>_xlfn.XLOOKUP(Customer[[#This Row],[Customer ID]],[1]!Address[ID],[1]!Address[PIC])</f>
        <v/>
      </c>
      <c r="E114" s="11" t="str">
        <f>_xlfn.XLOOKUP(Customer[[#This Row],[Customer ID]],[1]!Address[ID],[1]!Address[Full Address])</f>
        <v>PS BATU 6 JALAN IPOHLOT PT 17011, MUKIM BATU,BATU 6, JALAN IPOH,68100 KUALA LUMPUR</v>
      </c>
      <c r="F114" s="12" t="s">
        <v>880</v>
      </c>
      <c r="G114" s="12" t="s">
        <v>881</v>
      </c>
      <c r="H114" s="12" t="s">
        <v>882</v>
      </c>
      <c r="I114" s="12" t="b">
        <f>ISNUMBER(VALUE(LEFT(Customer[[#This Row],[Address Line 3 (30 char)]],1)))</f>
        <v>0</v>
      </c>
      <c r="J114" s="12" t="s">
        <v>34</v>
      </c>
      <c r="K114" s="12">
        <v>68100</v>
      </c>
      <c r="L114" s="12" t="s">
        <v>35</v>
      </c>
      <c r="M114" s="13" t="e">
        <v>#N/A</v>
      </c>
      <c r="N114" s="14" t="e">
        <v>#N/A</v>
      </c>
      <c r="O114" s="14" t="e">
        <v>#N/A</v>
      </c>
      <c r="P114" s="14" t="e">
        <v>#N/A</v>
      </c>
      <c r="Q114" s="19" t="s">
        <v>883</v>
      </c>
      <c r="R114" s="15" t="s">
        <v>884</v>
      </c>
      <c r="S114" s="15" t="s">
        <v>37</v>
      </c>
      <c r="T114" s="16" t="s">
        <v>38</v>
      </c>
      <c r="U114" s="11" t="str">
        <f>_xlfn.XLOOKUP(Customer[[#This Row],[Customer ID]],[1]!Address[ID],[1]!Address[Phone No.(2)])</f>
        <v/>
      </c>
      <c r="V114" s="11" t="str">
        <f>_xlfn.XLOOKUP(Customer[[#This Row],[Customer ID]],[1]!Address[ID],[1]!Address[Type])</f>
        <v>PETROMART</v>
      </c>
      <c r="W114" s="11" t="str">
        <f>_xlfn.XLOOKUP(Customer[[#This Row],[Customer ID]],[1]!Address[ID],[1]!Address[CT])</f>
        <v>30 DAYS</v>
      </c>
      <c r="X114" s="11" t="s">
        <v>39</v>
      </c>
      <c r="Y114" s="17" t="s">
        <v>40</v>
      </c>
      <c r="Z114" s="17" t="e">
        <f>_xlfn.XLOOKUP(Customer[[#This Row],[NewType]],$AF$36:$AF$54,$AG$36:$AG$54)</f>
        <v>#N/A</v>
      </c>
      <c r="AA114" s="17" t="s">
        <v>885</v>
      </c>
      <c r="AB114" s="11" t="str">
        <f>_xlfn.XLOOKUP(Customer[[#This Row],[Customer ID]],[1]!Address[ID],[1]!Address[Subtype])</f>
        <v>PETRONAS</v>
      </c>
      <c r="AC114" s="18" t="str">
        <f>_xlfn.XLOOKUP(Customer[[#This Row],[Customer ID]],[1]!Address[ID],[1]!Address[Zone])</f>
        <v>CENTRAL</v>
      </c>
    </row>
    <row r="115" spans="1:30" x14ac:dyDescent="0.3">
      <c r="A115" s="10" t="s">
        <v>886</v>
      </c>
      <c r="B115" s="11" t="str">
        <f>_xlfn.XLOOKUP(Customer[[#This Row],[Customer ID]],[1]!Name[ID],[1]!Name[Description(1)])</f>
        <v>SURANI DAN ANAK ANAK</v>
      </c>
      <c r="C115" s="11" t="str">
        <f>_xlfn.XLOOKUP(Customer[[#This Row],[Customer ID]],[1]!Name[ID],[1]!Name[Description(2)])</f>
        <v>PS BATU 6 PEKAN MERU</v>
      </c>
      <c r="D115" s="11" t="str">
        <f>_xlfn.XLOOKUP(Customer[[#This Row],[Customer ID]],[1]!Address[ID],[1]!Address[PIC])</f>
        <v/>
      </c>
      <c r="E115" s="11" t="str">
        <f>_xlfn.XLOOKUP(Customer[[#This Row],[Customer ID]],[1]!Address[ID],[1]!Address[Full Address])</f>
        <v>PS BATU 6 PEKAN MERULOT 2114, BATU 6, JALAN MERU,41050 KLANG, SELANGOR</v>
      </c>
      <c r="F115" s="12" t="s">
        <v>887</v>
      </c>
      <c r="G115" s="12" t="s">
        <v>888</v>
      </c>
      <c r="H115" s="24" t="s">
        <v>827</v>
      </c>
      <c r="I115" s="24" t="b">
        <f>ISNUMBER(VALUE(LEFT(Customer[[#This Row],[Address Line 3 (30 char)]],1)))</f>
        <v>0</v>
      </c>
      <c r="J115" s="12" t="s">
        <v>172</v>
      </c>
      <c r="K115" s="12">
        <v>41050</v>
      </c>
      <c r="L115" s="12" t="s">
        <v>35</v>
      </c>
      <c r="M115" s="13">
        <v>200503191085</v>
      </c>
      <c r="N115" s="14" t="s">
        <v>889</v>
      </c>
      <c r="O115" s="14" t="s">
        <v>54</v>
      </c>
      <c r="P115" s="14" t="s">
        <v>890</v>
      </c>
      <c r="Q115" s="19" t="s">
        <v>891</v>
      </c>
      <c r="R115" s="15" t="s">
        <v>892</v>
      </c>
      <c r="S115" s="15" t="s">
        <v>37</v>
      </c>
      <c r="T115" s="16" t="s">
        <v>38</v>
      </c>
      <c r="U115" s="11" t="str">
        <f>_xlfn.XLOOKUP(Customer[[#This Row],[Customer ID]],[1]!Address[ID],[1]!Address[Phone No.(2)])</f>
        <v/>
      </c>
      <c r="V115" s="11" t="str">
        <f>_xlfn.XLOOKUP(Customer[[#This Row],[Customer ID]],[1]!Address[ID],[1]!Address[Type])</f>
        <v>PETROMART</v>
      </c>
      <c r="W115" s="11" t="str">
        <f>_xlfn.XLOOKUP(Customer[[#This Row],[Customer ID]],[1]!Address[ID],[1]!Address[CT])</f>
        <v>30 DAYS</v>
      </c>
      <c r="X115" s="11" t="s">
        <v>39</v>
      </c>
      <c r="Y115" s="17" t="s">
        <v>40</v>
      </c>
      <c r="Z115" s="17" t="e">
        <f>_xlfn.XLOOKUP(Customer[[#This Row],[NewType]],$AF$36:$AF$54,$AG$36:$AG$54)</f>
        <v>#N/A</v>
      </c>
      <c r="AA115" s="17" t="s">
        <v>893</v>
      </c>
      <c r="AB115" s="11" t="str">
        <f>_xlfn.XLOOKUP(Customer[[#This Row],[Customer ID]],[1]!Address[ID],[1]!Address[Subtype])</f>
        <v>PETRONAS</v>
      </c>
      <c r="AC115" s="18" t="str">
        <f>_xlfn.XLOOKUP(Customer[[#This Row],[Customer ID]],[1]!Address[ID],[1]!Address[Zone])</f>
        <v>CENTRAL</v>
      </c>
    </row>
    <row r="116" spans="1:30" x14ac:dyDescent="0.3">
      <c r="A116" s="10" t="s">
        <v>894</v>
      </c>
      <c r="B116" s="11" t="str">
        <f>_xlfn.XLOOKUP(Customer[[#This Row],[Customer ID]],[1]!Name[ID],[1]!Name[Description(1)])</f>
        <v>DASBA SDN. BHD.</v>
      </c>
      <c r="C116" s="11" t="str">
        <f>_xlfn.XLOOKUP(Customer[[#This Row],[Customer ID]],[1]!Name[ID],[1]!Name[Description(2)])</f>
        <v>PS BATU 8 JALAN IPOH</v>
      </c>
      <c r="D116" s="11" t="str">
        <f>_xlfn.XLOOKUP(Customer[[#This Row],[Customer ID]],[1]!Address[ID],[1]!Address[PIC])</f>
        <v/>
      </c>
      <c r="E116" s="11" t="str">
        <f>_xlfn.XLOOKUP(Customer[[#This Row],[Customer ID]],[1]!Address[ID],[1]!Address[Full Address])</f>
        <v>PS BATU 8 JALAN IPOHLOT 6209, BATU 8, JALAN IPOH,BATU CAVES, KUALA LUMPUR,68100 GOMBAK, W PERSEKUTUAN</v>
      </c>
      <c r="F116" s="12" t="s">
        <v>895</v>
      </c>
      <c r="G116" s="12" t="s">
        <v>896</v>
      </c>
      <c r="H116" s="12" t="s">
        <v>897</v>
      </c>
      <c r="I116" s="12" t="b">
        <f>ISNUMBER(VALUE(LEFT(Customer[[#This Row],[Address Line 3 (30 char)]],1)))</f>
        <v>0</v>
      </c>
      <c r="J116" s="12" t="s">
        <v>34</v>
      </c>
      <c r="K116" s="12">
        <v>68100</v>
      </c>
      <c r="L116" s="12" t="s">
        <v>35</v>
      </c>
      <c r="M116" s="13" t="e">
        <v>#N/A</v>
      </c>
      <c r="N116" s="14" t="e">
        <v>#N/A</v>
      </c>
      <c r="O116" s="14" t="e">
        <v>#N/A</v>
      </c>
      <c r="P116" s="14" t="e">
        <v>#N/A</v>
      </c>
      <c r="Q116" s="19" t="s">
        <v>898</v>
      </c>
      <c r="R116" s="15" t="s">
        <v>899</v>
      </c>
      <c r="S116" s="15" t="s">
        <v>37</v>
      </c>
      <c r="T116" s="16" t="s">
        <v>38</v>
      </c>
      <c r="U116" s="11" t="str">
        <f>_xlfn.XLOOKUP(Customer[[#This Row],[Customer ID]],[1]!Address[ID],[1]!Address[Phone No.(2)])</f>
        <v/>
      </c>
      <c r="V116" s="11" t="str">
        <f>_xlfn.XLOOKUP(Customer[[#This Row],[Customer ID]],[1]!Address[ID],[1]!Address[Type])</f>
        <v>PETROMART</v>
      </c>
      <c r="W116" s="11" t="str">
        <f>_xlfn.XLOOKUP(Customer[[#This Row],[Customer ID]],[1]!Address[ID],[1]!Address[CT])</f>
        <v>30 DAYS</v>
      </c>
      <c r="X116" s="11" t="s">
        <v>39</v>
      </c>
      <c r="Y116" s="17" t="s">
        <v>40</v>
      </c>
      <c r="Z116" s="17" t="e">
        <f>_xlfn.XLOOKUP(Customer[[#This Row],[NewType]],$AF$36:$AF$54,$AG$36:$AG$54)</f>
        <v>#N/A</v>
      </c>
      <c r="AA116" s="17" t="s">
        <v>900</v>
      </c>
      <c r="AB116" s="11" t="str">
        <f>_xlfn.XLOOKUP(Customer[[#This Row],[Customer ID]],[1]!Address[ID],[1]!Address[Subtype])</f>
        <v>PETRONAS</v>
      </c>
      <c r="AC116" s="18" t="str">
        <f>_xlfn.XLOOKUP(Customer[[#This Row],[Customer ID]],[1]!Address[ID],[1]!Address[Zone])</f>
        <v>CENTRAL</v>
      </c>
    </row>
    <row r="117" spans="1:30" x14ac:dyDescent="0.3">
      <c r="A117" s="10" t="s">
        <v>901</v>
      </c>
      <c r="B117" s="11" t="str">
        <f>_xlfn.XLOOKUP(Customer[[#This Row],[Customer ID]],[1]!Name[ID],[1]!Name[Description(1)])</f>
        <v>STESEN MINYAK ANSAR</v>
      </c>
      <c r="C117" s="11" t="str">
        <f>_xlfn.XLOOKUP(Customer[[#This Row],[Customer ID]],[1]!Name[ID],[1]!Name[Description(2)])</f>
        <v>PS BATU ANAM</v>
      </c>
      <c r="D117" s="11" t="str">
        <f>_xlfn.XLOOKUP(Customer[[#This Row],[Customer ID]],[1]!Address[ID],[1]!Address[PIC])</f>
        <v/>
      </c>
      <c r="E117" s="11" t="str">
        <f>_xlfn.XLOOKUP(Customer[[#This Row],[Customer ID]],[1]!Address[ID],[1]!Address[Full Address])</f>
        <v>PS BATU ANAMLOT PTB 813 HS (D) 46082,BANDAR BATU ANAM, SEGAMAT,85000 SEGAMAT, JOHOR</v>
      </c>
      <c r="F117" s="12" t="s">
        <v>902</v>
      </c>
      <c r="G117" s="12" t="s">
        <v>903</v>
      </c>
      <c r="H117" s="12" t="s">
        <v>904</v>
      </c>
      <c r="I117" s="12" t="b">
        <f>ISNUMBER(VALUE(LEFT(Customer[[#This Row],[Address Line 3 (30 char)]],1)))</f>
        <v>0</v>
      </c>
      <c r="J117" s="12" t="s">
        <v>52</v>
      </c>
      <c r="K117" s="12">
        <v>85000</v>
      </c>
      <c r="L117" s="12" t="s">
        <v>35</v>
      </c>
      <c r="M117" s="13" t="e">
        <v>#N/A</v>
      </c>
      <c r="N117" s="14" t="e">
        <v>#N/A</v>
      </c>
      <c r="O117" s="14" t="e">
        <v>#N/A</v>
      </c>
      <c r="P117" s="14" t="e">
        <v>#N/A</v>
      </c>
      <c r="Q117" s="19" t="s">
        <v>905</v>
      </c>
      <c r="R117" s="15" t="s">
        <v>906</v>
      </c>
      <c r="S117" s="15" t="s">
        <v>37</v>
      </c>
      <c r="T117" s="16" t="s">
        <v>38</v>
      </c>
      <c r="U117" s="11" t="str">
        <f>_xlfn.XLOOKUP(Customer[[#This Row],[Customer ID]],[1]!Address[ID],[1]!Address[Phone No.(2)])</f>
        <v/>
      </c>
      <c r="V117" s="11" t="str">
        <f>_xlfn.XLOOKUP(Customer[[#This Row],[Customer ID]],[1]!Address[ID],[1]!Address[Type])</f>
        <v>PETROMART</v>
      </c>
      <c r="W117" s="11" t="str">
        <f>_xlfn.XLOOKUP(Customer[[#This Row],[Customer ID]],[1]!Address[ID],[1]!Address[CT])</f>
        <v>30 DAYS</v>
      </c>
      <c r="X117" s="11" t="s">
        <v>39</v>
      </c>
      <c r="Y117" s="17" t="s">
        <v>40</v>
      </c>
      <c r="Z117" s="17" t="e">
        <f>_xlfn.XLOOKUP(Customer[[#This Row],[NewType]],$AF$36:$AF$54,$AG$36:$AG$54)</f>
        <v>#N/A</v>
      </c>
      <c r="AA117" s="17" t="s">
        <v>907</v>
      </c>
      <c r="AB117" s="11" t="str">
        <f>_xlfn.XLOOKUP(Customer[[#This Row],[Customer ID]],[1]!Address[ID],[1]!Address[Subtype])</f>
        <v>PETRONAS</v>
      </c>
      <c r="AC117" s="18" t="str">
        <f>_xlfn.XLOOKUP(Customer[[#This Row],[Customer ID]],[1]!Address[ID],[1]!Address[Zone])</f>
        <v>SOUTH</v>
      </c>
    </row>
    <row r="118" spans="1:30" x14ac:dyDescent="0.3">
      <c r="A118" s="10" t="s">
        <v>908</v>
      </c>
      <c r="B118" s="11" t="str">
        <f>_xlfn.XLOOKUP(Customer[[#This Row],[Customer ID]],[1]!Name[ID],[1]!Name[Description(1)])</f>
        <v>ZAM FUEL &amp; MART</v>
      </c>
      <c r="C118" s="11" t="str">
        <f>_xlfn.XLOOKUP(Customer[[#This Row],[Customer ID]],[1]!Name[ID],[1]!Name[Description(2)])</f>
        <v>PS BATU BERENDAM</v>
      </c>
      <c r="D118" s="11" t="str">
        <f>_xlfn.XLOOKUP(Customer[[#This Row],[Customer ID]],[1]!Address[ID],[1]!Address[PIC])</f>
        <v>SURAYA</v>
      </c>
      <c r="E118" s="11" t="str">
        <f>_xlfn.XLOOKUP(Customer[[#This Row],[Customer ID]],[1]!Address[ID],[1]!Address[Full Address])</f>
        <v>PS BATU BERENDAMLOT PT1(351) BATU 5, BATU BERENDAM,75350 MELAKA TENGAH, MELAKA</v>
      </c>
      <c r="F118" s="12" t="s">
        <v>909</v>
      </c>
      <c r="G118" s="12" t="s">
        <v>910</v>
      </c>
      <c r="H118" s="12" t="s">
        <v>102</v>
      </c>
      <c r="I118" s="12" t="b">
        <f>ISNUMBER(VALUE(LEFT(Customer[[#This Row],[Address Line 3 (30 char)]],1)))</f>
        <v>0</v>
      </c>
      <c r="J118" s="12" t="s">
        <v>61</v>
      </c>
      <c r="K118" s="12">
        <v>75350</v>
      </c>
      <c r="L118" s="12" t="s">
        <v>35</v>
      </c>
      <c r="M118" s="13">
        <v>202003378285</v>
      </c>
      <c r="N118" s="14" t="s">
        <v>911</v>
      </c>
      <c r="O118" s="14" t="s">
        <v>54</v>
      </c>
      <c r="P118" s="14" t="e">
        <v>#N/A</v>
      </c>
      <c r="Q118" s="21" t="s">
        <v>96</v>
      </c>
      <c r="R118" s="15" t="s">
        <v>97</v>
      </c>
      <c r="S118" s="15" t="s">
        <v>37</v>
      </c>
      <c r="T118" s="16" t="s">
        <v>38</v>
      </c>
      <c r="U118" s="11" t="str">
        <f>_xlfn.XLOOKUP(Customer[[#This Row],[Customer ID]],[1]!Address[ID],[1]!Address[Phone No.(2)])</f>
        <v/>
      </c>
      <c r="V118" s="11" t="str">
        <f>_xlfn.XLOOKUP(Customer[[#This Row],[Customer ID]],[1]!Address[ID],[1]!Address[Type])</f>
        <v>PETROMART</v>
      </c>
      <c r="W118" s="11" t="str">
        <f>_xlfn.XLOOKUP(Customer[[#This Row],[Customer ID]],[1]!Address[ID],[1]!Address[CT])</f>
        <v>30 DAYS</v>
      </c>
      <c r="X118" s="11" t="s">
        <v>39</v>
      </c>
      <c r="Y118" s="17" t="s">
        <v>40</v>
      </c>
      <c r="Z118" s="17" t="e">
        <f>_xlfn.XLOOKUP(Customer[[#This Row],[NewType]],$AF$36:$AF$54,$AG$36:$AG$54)</f>
        <v>#N/A</v>
      </c>
      <c r="AA118" s="17" t="s">
        <v>912</v>
      </c>
      <c r="AB118" s="11" t="str">
        <f>_xlfn.XLOOKUP(Customer[[#This Row],[Customer ID]],[1]!Address[ID],[1]!Address[Subtype])</f>
        <v>PETRONAS</v>
      </c>
      <c r="AC118" s="18" t="str">
        <f>_xlfn.XLOOKUP(Customer[[#This Row],[Customer ID]],[1]!Address[ID],[1]!Address[Zone])</f>
        <v>SOUTH</v>
      </c>
    </row>
    <row r="119" spans="1:30" x14ac:dyDescent="0.3">
      <c r="A119" s="10" t="s">
        <v>913</v>
      </c>
      <c r="B119" s="11" t="str">
        <f>_xlfn.XLOOKUP(Customer[[#This Row],[Customer ID]],[1]!Name[ID],[1]!Name[Description(1)])</f>
        <v>ZHA STATION LEGACY</v>
      </c>
      <c r="C119" s="11" t="str">
        <f>_xlfn.XLOOKUP(Customer[[#This Row],[Customer ID]],[1]!Name[ID],[1]!Name[Description(2)])</f>
        <v>PS BATU BURUK</v>
      </c>
      <c r="D119" s="11" t="str">
        <f>_xlfn.XLOOKUP(Customer[[#This Row],[Customer ID]],[1]!Address[ID],[1]!Address[PIC])</f>
        <v/>
      </c>
      <c r="E119" s="11" t="str">
        <f>_xlfn.XLOOKUP(Customer[[#This Row],[Customer ID]],[1]!Address[ID],[1]!Address[Full Address])</f>
        <v>PS BATU BURUKLOT 1870, MUKIM BATU BURUK,20400 KUALA TERENGGANU, TERENGGANU</v>
      </c>
      <c r="F119" s="12" t="s">
        <v>914</v>
      </c>
      <c r="G119" s="12" t="s">
        <v>915</v>
      </c>
      <c r="H119" s="12" t="s">
        <v>916</v>
      </c>
      <c r="I119" s="12" t="b">
        <f>ISNUMBER(VALUE(LEFT(Customer[[#This Row],[Address Line 3 (30 char)]],1)))</f>
        <v>0</v>
      </c>
      <c r="J119" s="12" t="s">
        <v>154</v>
      </c>
      <c r="K119" s="12">
        <v>20400</v>
      </c>
      <c r="L119" s="12" t="s">
        <v>35</v>
      </c>
      <c r="M119" s="13">
        <v>202203117401</v>
      </c>
      <c r="N119" s="14" t="s">
        <v>917</v>
      </c>
      <c r="O119" s="14" t="s">
        <v>54</v>
      </c>
      <c r="P119" s="14">
        <v>47300</v>
      </c>
      <c r="Q119" s="19" t="s">
        <v>918</v>
      </c>
      <c r="R119" s="15" t="s">
        <v>919</v>
      </c>
      <c r="S119" s="15" t="s">
        <v>37</v>
      </c>
      <c r="T119" s="16" t="s">
        <v>38</v>
      </c>
      <c r="U119" s="11" t="str">
        <f>_xlfn.XLOOKUP(Customer[[#This Row],[Customer ID]],[1]!Address[ID],[1]!Address[Phone No.(2)])</f>
        <v/>
      </c>
      <c r="V119" s="11" t="str">
        <f>_xlfn.XLOOKUP(Customer[[#This Row],[Customer ID]],[1]!Address[ID],[1]!Address[Type])</f>
        <v>PETROMART</v>
      </c>
      <c r="W119" s="11" t="str">
        <f>_xlfn.XLOOKUP(Customer[[#This Row],[Customer ID]],[1]!Address[ID],[1]!Address[CT])</f>
        <v>30 DAYS</v>
      </c>
      <c r="X119" s="11" t="s">
        <v>39</v>
      </c>
      <c r="Y119" s="17" t="s">
        <v>40</v>
      </c>
      <c r="Z119" s="17" t="e">
        <f>_xlfn.XLOOKUP(Customer[[#This Row],[NewType]],$AF$36:$AF$54,$AG$36:$AG$54)</f>
        <v>#N/A</v>
      </c>
      <c r="AA119" s="17" t="s">
        <v>920</v>
      </c>
      <c r="AB119" s="11" t="str">
        <f>_xlfn.XLOOKUP(Customer[[#This Row],[Customer ID]],[1]!Address[ID],[1]!Address[Subtype])</f>
        <v>PETRONAS</v>
      </c>
      <c r="AC119" s="18" t="str">
        <f>_xlfn.XLOOKUP(Customer[[#This Row],[Customer ID]],[1]!Address[ID],[1]!Address[Zone])</f>
        <v>EAST COAST</v>
      </c>
    </row>
    <row r="120" spans="1:30" x14ac:dyDescent="0.3">
      <c r="A120" s="10" t="s">
        <v>921</v>
      </c>
      <c r="B120" s="11" t="str">
        <f>_xlfn.XLOOKUP(Customer[[#This Row],[Customer ID]],[1]!Name[ID],[1]!Name[Description(1)])</f>
        <v>CAHAYA IMAN GROUP SDN. BHD.</v>
      </c>
      <c r="C120" s="11" t="str">
        <f>_xlfn.XLOOKUP(Customer[[#This Row],[Customer ID]],[1]!Name[ID],[1]!Name[Description(2)])</f>
        <v>PS BANDAR TASEK MUTIARA</v>
      </c>
      <c r="D120" s="11" t="str">
        <f>_xlfn.XLOOKUP(Customer[[#This Row],[Customer ID]],[1]!Address[ID],[1]!Address[PIC])</f>
        <v/>
      </c>
      <c r="E120" s="11" t="str">
        <f>_xlfn.XLOOKUP(Customer[[#This Row],[Customer ID]],[1]!Address[ID],[1]!Address[Full Address])</f>
        <v>PS BANDAR TASEK MUTIARA1671, JALAN TASEK,BANDAR TASEK MUTIARA,14120 SIMPANG AMPAT, PULAU PINANG</v>
      </c>
      <c r="F120" s="12" t="s">
        <v>922</v>
      </c>
      <c r="G120" s="12" t="s">
        <v>923</v>
      </c>
      <c r="H120" s="12" t="s">
        <v>924</v>
      </c>
      <c r="I120" s="12" t="b">
        <f>ISNUMBER(VALUE(LEFT(Customer[[#This Row],[Address Line 3 (30 char)]],1)))</f>
        <v>0</v>
      </c>
      <c r="J120" s="12" t="s">
        <v>179</v>
      </c>
      <c r="K120" s="12">
        <v>14120</v>
      </c>
      <c r="L120" s="12" t="s">
        <v>35</v>
      </c>
      <c r="M120" s="13" t="e">
        <v>#N/A</v>
      </c>
      <c r="N120" s="14" t="e">
        <v>#N/A</v>
      </c>
      <c r="O120" s="14" t="e">
        <v>#N/A</v>
      </c>
      <c r="P120" s="14" t="e">
        <v>#N/A</v>
      </c>
      <c r="Q120" s="19" t="s">
        <v>925</v>
      </c>
      <c r="R120" s="15" t="s">
        <v>926</v>
      </c>
      <c r="S120" s="15" t="s">
        <v>74</v>
      </c>
      <c r="T120" s="16" t="s">
        <v>38</v>
      </c>
      <c r="U120" s="11" t="str">
        <f>_xlfn.XLOOKUP(Customer[[#This Row],[Customer ID]],[1]!Address[ID],[1]!Address[Phone No.(2)])</f>
        <v/>
      </c>
      <c r="V120" s="11" t="str">
        <f>_xlfn.XLOOKUP(Customer[[#This Row],[Customer ID]],[1]!Address[ID],[1]!Address[Type])</f>
        <v>PETROMART</v>
      </c>
      <c r="W120" s="11" t="str">
        <f>_xlfn.XLOOKUP(Customer[[#This Row],[Customer ID]],[1]!Address[ID],[1]!Address[CT])</f>
        <v>30 DAYS</v>
      </c>
      <c r="X120" s="11" t="s">
        <v>39</v>
      </c>
      <c r="Y120" s="17" t="s">
        <v>40</v>
      </c>
      <c r="Z120" s="17" t="e">
        <f>_xlfn.XLOOKUP(Customer[[#This Row],[NewType]],$AF$36:$AF$54,$AG$36:$AG$54)</f>
        <v>#N/A</v>
      </c>
      <c r="AA120" s="17" t="s">
        <v>927</v>
      </c>
      <c r="AB120" s="11" t="str">
        <f>_xlfn.XLOOKUP(Customer[[#This Row],[Customer ID]],[1]!Address[ID],[1]!Address[Subtype])</f>
        <v>PETRONAS</v>
      </c>
      <c r="AC120" s="18" t="str">
        <f>_xlfn.XLOOKUP(Customer[[#This Row],[Customer ID]],[1]!Address[ID],[1]!Address[Zone])</f>
        <v>NORTH</v>
      </c>
    </row>
    <row r="121" spans="1:30" x14ac:dyDescent="0.3">
      <c r="A121" s="10" t="s">
        <v>928</v>
      </c>
      <c r="B121" s="11" t="str">
        <f>_xlfn.XLOOKUP(Customer[[#This Row],[Customer ID]],[1]!Name[ID],[1]!Name[Description(1)])</f>
        <v>ARIANA SERVICE STATION</v>
      </c>
      <c r="C121" s="11" t="str">
        <f>_xlfn.XLOOKUP(Customer[[#This Row],[Customer ID]],[1]!Name[ID],[1]!Name[Description(2)])</f>
        <v>PS BATU GAJAH PERDANA</v>
      </c>
      <c r="D121" s="11" t="str">
        <f>_xlfn.XLOOKUP(Customer[[#This Row],[Customer ID]],[1]!Address[ID],[1]!Address[PIC])</f>
        <v/>
      </c>
      <c r="E121" s="11" t="str">
        <f>_xlfn.XLOOKUP(Customer[[#This Row],[Customer ID]],[1]!Address[ID],[1]!Address[Full Address])</f>
        <v>PS BATU GAJAH PERDANALOT 15613, TAMAN BATU GAJAH PERDANA,PUSING, 31550,  PERAK</v>
      </c>
      <c r="F121" s="12" t="s">
        <v>929</v>
      </c>
      <c r="G121" s="12" t="s">
        <v>930</v>
      </c>
      <c r="H121" s="12" t="s">
        <v>931</v>
      </c>
      <c r="I121" s="12" t="b">
        <f>ISNUMBER(VALUE(LEFT(Customer[[#This Row],[Address Line 3 (30 char)]],1)))</f>
        <v>0</v>
      </c>
      <c r="J121" s="12" t="s">
        <v>242</v>
      </c>
      <c r="K121" s="12">
        <v>31550</v>
      </c>
      <c r="L121" s="12" t="s">
        <v>35</v>
      </c>
      <c r="M121" s="13" t="e">
        <v>#N/A</v>
      </c>
      <c r="N121" s="14" t="e">
        <v>#N/A</v>
      </c>
      <c r="O121" s="14" t="e">
        <v>#N/A</v>
      </c>
      <c r="P121" s="14" t="e">
        <v>#N/A</v>
      </c>
      <c r="Q121" s="19" t="s">
        <v>932</v>
      </c>
      <c r="R121" s="15" t="s">
        <v>933</v>
      </c>
      <c r="S121" s="15" t="s">
        <v>37</v>
      </c>
      <c r="T121" s="16" t="s">
        <v>38</v>
      </c>
      <c r="U121" s="11" t="str">
        <f>_xlfn.XLOOKUP(Customer[[#This Row],[Customer ID]],[1]!Address[ID],[1]!Address[Phone No.(2)])</f>
        <v/>
      </c>
      <c r="V121" s="11" t="str">
        <f>_xlfn.XLOOKUP(Customer[[#This Row],[Customer ID]],[1]!Address[ID],[1]!Address[Type])</f>
        <v>PETROMART</v>
      </c>
      <c r="W121" s="11" t="str">
        <f>_xlfn.XLOOKUP(Customer[[#This Row],[Customer ID]],[1]!Address[ID],[1]!Address[CT])</f>
        <v>30 DAYS</v>
      </c>
      <c r="X121" s="11" t="s">
        <v>39</v>
      </c>
      <c r="Y121" s="17" t="s">
        <v>40</v>
      </c>
      <c r="Z121" s="17" t="e">
        <f>_xlfn.XLOOKUP(Customer[[#This Row],[NewType]],$AF$36:$AF$54,$AG$36:$AG$54)</f>
        <v>#N/A</v>
      </c>
      <c r="AA121" s="17" t="s">
        <v>934</v>
      </c>
      <c r="AB121" s="11" t="str">
        <f>_xlfn.XLOOKUP(Customer[[#This Row],[Customer ID]],[1]!Address[ID],[1]!Address[Subtype])</f>
        <v>PETRONAS</v>
      </c>
      <c r="AC121" s="18" t="str">
        <f>_xlfn.XLOOKUP(Customer[[#This Row],[Customer ID]],[1]!Address[ID],[1]!Address[Zone])</f>
        <v>NORTH</v>
      </c>
    </row>
    <row r="122" spans="1:30" x14ac:dyDescent="0.3">
      <c r="A122" s="10" t="s">
        <v>935</v>
      </c>
      <c r="B122" s="11" t="str">
        <f>_xlfn.XLOOKUP(Customer[[#This Row],[Customer ID]],[1]!Name[ID],[1]!Name[Description(1)])</f>
        <v>GONG DATO ENTERPRISE</v>
      </c>
      <c r="C122" s="11" t="str">
        <f>_xlfn.XLOOKUP(Customer[[#This Row],[Customer ID]],[1]!Name[ID],[1]!Name[Description(2)])</f>
        <v>PS BATU RAKIT</v>
      </c>
      <c r="D122" s="11" t="str">
        <f>_xlfn.XLOOKUP(Customer[[#This Row],[Customer ID]],[1]!Address[ID],[1]!Address[PIC])</f>
        <v/>
      </c>
      <c r="E122" s="11" t="str">
        <f>_xlfn.XLOOKUP(Customer[[#This Row],[Customer ID]],[1]!Address[ID],[1]!Address[Full Address])</f>
        <v>PS BATU RAKITLOT 6820, GM 89, GONG PAK JIN,MUKIM BATU RAKIT,21300 KUALA TERENGGANU, TERENGGANU</v>
      </c>
      <c r="F122" s="12" t="s">
        <v>936</v>
      </c>
      <c r="G122" s="12" t="s">
        <v>937</v>
      </c>
      <c r="H122" s="12" t="s">
        <v>938</v>
      </c>
      <c r="I122" s="12" t="b">
        <f>ISNUMBER(VALUE(LEFT(Customer[[#This Row],[Address Line 3 (30 char)]],1)))</f>
        <v>0</v>
      </c>
      <c r="J122" s="12" t="s">
        <v>154</v>
      </c>
      <c r="K122" s="12">
        <v>21300</v>
      </c>
      <c r="L122" s="12" t="s">
        <v>35</v>
      </c>
      <c r="M122" s="13" t="e">
        <v>#N/A</v>
      </c>
      <c r="N122" s="14" t="e">
        <v>#N/A</v>
      </c>
      <c r="O122" s="14" t="e">
        <v>#N/A</v>
      </c>
      <c r="P122" s="14" t="e">
        <v>#N/A</v>
      </c>
      <c r="Q122" s="19" t="s">
        <v>939</v>
      </c>
      <c r="R122" s="15" t="s">
        <v>940</v>
      </c>
      <c r="S122" s="15" t="s">
        <v>37</v>
      </c>
      <c r="T122" s="16" t="s">
        <v>38</v>
      </c>
      <c r="U122" s="11" t="str">
        <f>_xlfn.XLOOKUP(Customer[[#This Row],[Customer ID]],[1]!Address[ID],[1]!Address[Phone No.(2)])</f>
        <v/>
      </c>
      <c r="V122" s="11" t="str">
        <f>_xlfn.XLOOKUP(Customer[[#This Row],[Customer ID]],[1]!Address[ID],[1]!Address[Type])</f>
        <v>PETROMART</v>
      </c>
      <c r="W122" s="11" t="str">
        <f>_xlfn.XLOOKUP(Customer[[#This Row],[Customer ID]],[1]!Address[ID],[1]!Address[CT])</f>
        <v>30 DAYS</v>
      </c>
      <c r="X122" s="11" t="s">
        <v>39</v>
      </c>
      <c r="Y122" s="17" t="s">
        <v>40</v>
      </c>
      <c r="Z122" s="17" t="e">
        <f>_xlfn.XLOOKUP(Customer[[#This Row],[NewType]],$AF$36:$AF$54,$AG$36:$AG$54)</f>
        <v>#N/A</v>
      </c>
      <c r="AA122" s="17" t="s">
        <v>941</v>
      </c>
      <c r="AB122" s="11" t="str">
        <f>_xlfn.XLOOKUP(Customer[[#This Row],[Customer ID]],[1]!Address[ID],[1]!Address[Subtype])</f>
        <v>PETRONAS</v>
      </c>
      <c r="AC122" s="18" t="str">
        <f>_xlfn.XLOOKUP(Customer[[#This Row],[Customer ID]],[1]!Address[ID],[1]!Address[Zone])</f>
        <v>EAST COAST</v>
      </c>
    </row>
    <row r="123" spans="1:30" x14ac:dyDescent="0.3">
      <c r="A123" s="10" t="s">
        <v>942</v>
      </c>
      <c r="B123" s="11" t="str">
        <f>_xlfn.XLOOKUP(Customer[[#This Row],[Customer ID]],[1]!Name[ID],[1]!Name[Description(1)])</f>
        <v>AZW FUEL STATION</v>
      </c>
      <c r="C123" s="11" t="str">
        <f>_xlfn.XLOOKUP(Customer[[#This Row],[Customer ID]],[1]!Name[ID],[1]!Name[Description(2)])</f>
        <v>PS BATU FERINGGI</v>
      </c>
      <c r="D123" s="11" t="str">
        <f>_xlfn.XLOOKUP(Customer[[#This Row],[Customer ID]],[1]!Address[ID],[1]!Address[PIC])</f>
        <v/>
      </c>
      <c r="E123" s="11" t="str">
        <f>_xlfn.XLOOKUP(Customer[[#This Row],[Customer ID]],[1]!Address[ID],[1]!Address[Full Address])</f>
        <v>PS BATU FERINGGINO 1089 JALAN BATU FERINGGI,11100 BATU FERINGGI, PULAU PINANG</v>
      </c>
      <c r="F123" s="12" t="s">
        <v>943</v>
      </c>
      <c r="G123" s="12" t="s">
        <v>944</v>
      </c>
      <c r="H123" s="12" t="s">
        <v>945</v>
      </c>
      <c r="I123" s="12" t="b">
        <f>ISNUMBER(VALUE(LEFT(Customer[[#This Row],[Address Line 3 (30 char)]],1)))</f>
        <v>0</v>
      </c>
      <c r="J123" s="12" t="s">
        <v>179</v>
      </c>
      <c r="K123" s="12">
        <v>11100</v>
      </c>
      <c r="L123" s="12" t="s">
        <v>35</v>
      </c>
      <c r="M123" s="13">
        <v>200703121417</v>
      </c>
      <c r="N123" s="14" t="s">
        <v>946</v>
      </c>
      <c r="O123" s="14" t="s">
        <v>54</v>
      </c>
      <c r="P123" s="14">
        <v>47300</v>
      </c>
      <c r="Q123" s="19" t="s">
        <v>947</v>
      </c>
      <c r="R123" s="15" t="s">
        <v>948</v>
      </c>
      <c r="S123" s="15" t="s">
        <v>74</v>
      </c>
      <c r="T123" s="16" t="s">
        <v>38</v>
      </c>
      <c r="U123" s="11" t="str">
        <f>_xlfn.XLOOKUP(Customer[[#This Row],[Customer ID]],[1]!Address[ID],[1]!Address[Phone No.(2)])</f>
        <v/>
      </c>
      <c r="V123" s="11" t="str">
        <f>_xlfn.XLOOKUP(Customer[[#This Row],[Customer ID]],[1]!Address[ID],[1]!Address[Type])</f>
        <v>PETROMART</v>
      </c>
      <c r="W123" s="11" t="str">
        <f>_xlfn.XLOOKUP(Customer[[#This Row],[Customer ID]],[1]!Address[ID],[1]!Address[CT])</f>
        <v>30 DAYS</v>
      </c>
      <c r="X123" s="11" t="s">
        <v>39</v>
      </c>
      <c r="Y123" s="17" t="s">
        <v>40</v>
      </c>
      <c r="Z123" s="17" t="e">
        <f>_xlfn.XLOOKUP(Customer[[#This Row],[NewType]],$AF$36:$AF$54,$AG$36:$AG$54)</f>
        <v>#N/A</v>
      </c>
      <c r="AA123" s="17" t="s">
        <v>949</v>
      </c>
      <c r="AB123" s="11" t="str">
        <f>_xlfn.XLOOKUP(Customer[[#This Row],[Customer ID]],[1]!Address[ID],[1]!Address[Subtype])</f>
        <v>PETRONAS</v>
      </c>
      <c r="AC123" s="18" t="str">
        <f>_xlfn.XLOOKUP(Customer[[#This Row],[Customer ID]],[1]!Address[ID],[1]!Address[Zone])</f>
        <v>NORTH</v>
      </c>
    </row>
    <row r="124" spans="1:30" x14ac:dyDescent="0.3">
      <c r="A124" s="10" t="s">
        <v>950</v>
      </c>
      <c r="B124" s="11" t="str">
        <f>_xlfn.XLOOKUP(Customer[[#This Row],[Customer ID]],[1]!Name[ID],[1]!Name[Description(1)])</f>
        <v>PERMATA SENIBONG SDN BHD</v>
      </c>
      <c r="C124" s="11" t="str">
        <f>_xlfn.XLOOKUP(Customer[[#This Row],[Customer ID]],[1]!Name[ID],[1]!Name[Description(2)])</f>
        <v>PS BAYU SENIBONG</v>
      </c>
      <c r="D124" s="11" t="str">
        <f>_xlfn.XLOOKUP(Customer[[#This Row],[Customer ID]],[1]!Address[ID],[1]!Address[PIC])</f>
        <v/>
      </c>
      <c r="E124" s="11" t="str">
        <f>_xlfn.XLOOKUP(Customer[[#This Row],[Customer ID]],[1]!Address[ID],[1]!Address[Full Address])</f>
        <v>PS BAYU SENIBONGLOT PTD 148135 HS(D) 270889(NEW LOT NO.PTD 173047), BAYU SENIBONG,81750 JOHOR BAHRU,   JOHOR</v>
      </c>
      <c r="F124" s="12" t="s">
        <v>951</v>
      </c>
      <c r="G124" s="12" t="s">
        <v>952</v>
      </c>
      <c r="H124" s="24" t="s">
        <v>953</v>
      </c>
      <c r="I124" s="24" t="b">
        <f>ISNUMBER(VALUE(LEFT(Customer[[#This Row],[Address Line 3 (30 char)]],1)))</f>
        <v>1</v>
      </c>
      <c r="J124" s="12" t="s">
        <v>52</v>
      </c>
      <c r="K124" s="12">
        <v>81750</v>
      </c>
      <c r="L124" s="12" t="s">
        <v>35</v>
      </c>
      <c r="M124" s="13">
        <v>201901028987</v>
      </c>
      <c r="N124" s="14" t="s">
        <v>954</v>
      </c>
      <c r="O124" s="14" t="s">
        <v>54</v>
      </c>
      <c r="P124" s="14">
        <v>47300</v>
      </c>
      <c r="Q124" s="19" t="s">
        <v>955</v>
      </c>
      <c r="R124" s="15" t="s">
        <v>956</v>
      </c>
      <c r="S124" s="15" t="s">
        <v>37</v>
      </c>
      <c r="T124" s="16" t="s">
        <v>38</v>
      </c>
      <c r="U124" s="11" t="str">
        <f>_xlfn.XLOOKUP(Customer[[#This Row],[Customer ID]],[1]!Address[ID],[1]!Address[Phone No.(2)])</f>
        <v/>
      </c>
      <c r="V124" s="11" t="str">
        <f>_xlfn.XLOOKUP(Customer[[#This Row],[Customer ID]],[1]!Address[ID],[1]!Address[Type])</f>
        <v>PETROMART</v>
      </c>
      <c r="W124" s="11" t="str">
        <f>_xlfn.XLOOKUP(Customer[[#This Row],[Customer ID]],[1]!Address[ID],[1]!Address[CT])</f>
        <v>30 DAYS</v>
      </c>
      <c r="X124" s="11" t="s">
        <v>39</v>
      </c>
      <c r="Y124" s="17" t="s">
        <v>40</v>
      </c>
      <c r="Z124" s="17" t="e">
        <f>_xlfn.XLOOKUP(Customer[[#This Row],[NewType]],$AF$36:$AF$54,$AG$36:$AG$54)</f>
        <v>#N/A</v>
      </c>
      <c r="AA124" s="17" t="s">
        <v>957</v>
      </c>
      <c r="AB124" s="11" t="str">
        <f>_xlfn.XLOOKUP(Customer[[#This Row],[Customer ID]],[1]!Address[ID],[1]!Address[Subtype])</f>
        <v>PETRONAS</v>
      </c>
      <c r="AC124" s="18" t="str">
        <f>_xlfn.XLOOKUP(Customer[[#This Row],[Customer ID]],[1]!Address[ID],[1]!Address[Zone])</f>
        <v>SOUTH</v>
      </c>
      <c r="AD124" t="s">
        <v>958</v>
      </c>
    </row>
    <row r="125" spans="1:30" x14ac:dyDescent="0.3">
      <c r="A125" s="10" t="s">
        <v>959</v>
      </c>
      <c r="B125" s="11" t="str">
        <f>_xlfn.XLOOKUP(Customer[[#This Row],[Customer ID]],[1]!Name[ID],[1]!Name[Description(1)])</f>
        <v>STESEN MINYAK MYLIEIZ</v>
      </c>
      <c r="C125" s="11" t="str">
        <f>_xlfn.XLOOKUP(Customer[[#This Row],[Customer ID]],[1]!Name[ID],[1]!Name[Description(2)])</f>
        <v>PS BANDAR BARU NILAI</v>
      </c>
      <c r="D125" s="11" t="str">
        <f>_xlfn.XLOOKUP(Customer[[#This Row],[Customer ID]],[1]!Address[ID],[1]!Address[PIC])</f>
        <v/>
      </c>
      <c r="E125" s="11" t="str">
        <f>_xlfn.XLOOKUP(Customer[[#This Row],[Customer ID]],[1]!Address[ID],[1]!Address[Full Address])</f>
        <v>PS BANDAR BARU NILAILOT 9252 BANDAR BARU NILAI,MUKIM LABU, NILAI,71800 SEREMBAN, NEGERI SEMBILAN</v>
      </c>
      <c r="F125" s="12" t="s">
        <v>960</v>
      </c>
      <c r="G125" s="12" t="s">
        <v>961</v>
      </c>
      <c r="H125" s="12" t="s">
        <v>962</v>
      </c>
      <c r="I125" s="12" t="b">
        <f>ISNUMBER(VALUE(LEFT(Customer[[#This Row],[Address Line 3 (30 char)]],1)))</f>
        <v>0</v>
      </c>
      <c r="J125" s="12" t="s">
        <v>203</v>
      </c>
      <c r="K125" s="12">
        <v>71800</v>
      </c>
      <c r="L125" s="12" t="s">
        <v>35</v>
      </c>
      <c r="M125" s="13" t="e">
        <v>#N/A</v>
      </c>
      <c r="N125" s="14" t="e">
        <v>#N/A</v>
      </c>
      <c r="O125" s="14" t="e">
        <v>#N/A</v>
      </c>
      <c r="P125" s="14" t="e">
        <v>#N/A</v>
      </c>
      <c r="Q125" s="19" t="s">
        <v>963</v>
      </c>
      <c r="R125" s="15" t="s">
        <v>964</v>
      </c>
      <c r="S125" s="15" t="s">
        <v>37</v>
      </c>
      <c r="T125" s="16" t="s">
        <v>38</v>
      </c>
      <c r="U125" s="11" t="str">
        <f>_xlfn.XLOOKUP(Customer[[#This Row],[Customer ID]],[1]!Address[ID],[1]!Address[Phone No.(2)])</f>
        <v/>
      </c>
      <c r="V125" s="11" t="str">
        <f>_xlfn.XLOOKUP(Customer[[#This Row],[Customer ID]],[1]!Address[ID],[1]!Address[Type])</f>
        <v>PETROMART</v>
      </c>
      <c r="W125" s="11" t="str">
        <f>_xlfn.XLOOKUP(Customer[[#This Row],[Customer ID]],[1]!Address[ID],[1]!Address[CT])</f>
        <v>30 DAYS</v>
      </c>
      <c r="X125" s="11" t="s">
        <v>39</v>
      </c>
      <c r="Y125" s="17" t="s">
        <v>40</v>
      </c>
      <c r="Z125" s="17" t="e">
        <f>_xlfn.XLOOKUP(Customer[[#This Row],[NewType]],$AF$36:$AF$54,$AG$36:$AG$54)</f>
        <v>#N/A</v>
      </c>
      <c r="AA125" s="17" t="s">
        <v>965</v>
      </c>
      <c r="AB125" s="11" t="str">
        <f>_xlfn.XLOOKUP(Customer[[#This Row],[Customer ID]],[1]!Address[ID],[1]!Address[Subtype])</f>
        <v>PETRONAS</v>
      </c>
      <c r="AC125" s="18" t="str">
        <f>_xlfn.XLOOKUP(Customer[[#This Row],[Customer ID]],[1]!Address[ID],[1]!Address[Zone])</f>
        <v>CENTRAL</v>
      </c>
    </row>
    <row r="126" spans="1:30" x14ac:dyDescent="0.3">
      <c r="A126" s="10" t="s">
        <v>966</v>
      </c>
      <c r="B126" s="11" t="str">
        <f>_xlfn.XLOOKUP(Customer[[#This Row],[Customer ID]],[1]!Name[ID],[1]!Name[Description(1)])</f>
        <v>PETRO MESRA PITSTOP</v>
      </c>
      <c r="C126" s="11" t="str">
        <f>_xlfn.XLOOKUP(Customer[[#This Row],[Customer ID]],[1]!Name[ID],[1]!Name[Description(2)])</f>
        <v>PS BANDAR BARU SUNGAI UDANG</v>
      </c>
      <c r="D126" s="11" t="str">
        <f>_xlfn.XLOOKUP(Customer[[#This Row],[Customer ID]],[1]!Address[ID],[1]!Address[PIC])</f>
        <v/>
      </c>
      <c r="E126" s="11" t="str">
        <f>_xlfn.XLOOKUP(Customer[[#This Row],[Customer ID]],[1]!Address[ID],[1]!Address[Full Address])</f>
        <v>PS BANDAR BARU SUNGAI UDANGLOT PT 1987 HS(D) 68108, LEBUH SPA,BANDAR BARU SUNGAI UDANG,76300 MELAKA TENGAH,MELAKA</v>
      </c>
      <c r="F126" s="12" t="s">
        <v>967</v>
      </c>
      <c r="G126" s="12" t="s">
        <v>968</v>
      </c>
      <c r="H126" s="12" t="s">
        <v>969</v>
      </c>
      <c r="I126" s="12" t="b">
        <f>ISNUMBER(VALUE(LEFT(Customer[[#This Row],[Address Line 3 (30 char)]],1)))</f>
        <v>0</v>
      </c>
      <c r="J126" s="12" t="s">
        <v>61</v>
      </c>
      <c r="K126" s="12">
        <v>76300</v>
      </c>
      <c r="L126" s="12" t="s">
        <v>35</v>
      </c>
      <c r="M126" s="13" t="e">
        <v>#N/A</v>
      </c>
      <c r="N126" s="14" t="e">
        <v>#N/A</v>
      </c>
      <c r="O126" s="14" t="e">
        <v>#N/A</v>
      </c>
      <c r="P126" s="14" t="e">
        <v>#N/A</v>
      </c>
      <c r="Q126" s="19" t="s">
        <v>970</v>
      </c>
      <c r="R126" s="15" t="s">
        <v>971</v>
      </c>
      <c r="S126" s="15" t="s">
        <v>37</v>
      </c>
      <c r="T126" s="16" t="s">
        <v>38</v>
      </c>
      <c r="U126" s="11" t="str">
        <f>_xlfn.XLOOKUP(Customer[[#This Row],[Customer ID]],[1]!Address[ID],[1]!Address[Phone No.(2)])</f>
        <v/>
      </c>
      <c r="V126" s="11" t="str">
        <f>_xlfn.XLOOKUP(Customer[[#This Row],[Customer ID]],[1]!Address[ID],[1]!Address[Type])</f>
        <v>PETROMART</v>
      </c>
      <c r="W126" s="11" t="str">
        <f>_xlfn.XLOOKUP(Customer[[#This Row],[Customer ID]],[1]!Address[ID],[1]!Address[CT])</f>
        <v>30 DAYS</v>
      </c>
      <c r="X126" s="11" t="s">
        <v>39</v>
      </c>
      <c r="Y126" s="17" t="s">
        <v>40</v>
      </c>
      <c r="Z126" s="17" t="e">
        <f>_xlfn.XLOOKUP(Customer[[#This Row],[NewType]],$AF$36:$AF$54,$AG$36:$AG$54)</f>
        <v>#N/A</v>
      </c>
      <c r="AA126" s="17" t="s">
        <v>972</v>
      </c>
      <c r="AB126" s="11" t="str">
        <f>_xlfn.XLOOKUP(Customer[[#This Row],[Customer ID]],[1]!Address[ID],[1]!Address[Subtype])</f>
        <v>PETRONAS</v>
      </c>
      <c r="AC126" s="18" t="str">
        <f>_xlfn.XLOOKUP(Customer[[#This Row],[Customer ID]],[1]!Address[ID],[1]!Address[Zone])</f>
        <v>SOUTH</v>
      </c>
    </row>
    <row r="127" spans="1:30" x14ac:dyDescent="0.3">
      <c r="A127" s="10" t="s">
        <v>973</v>
      </c>
      <c r="B127" s="11" t="str">
        <f>_xlfn.XLOOKUP(Customer[[#This Row],[Customer ID]],[1]!Name[ID],[1]!Name[Description(1)])</f>
        <v>PETPRO ENTERPRISE</v>
      </c>
      <c r="C127" s="11" t="str">
        <f>_xlfn.XLOOKUP(Customer[[#This Row],[Customer ID]],[1]!Name[ID],[1]!Name[Description(2)])</f>
        <v>PS BANDAR PUTRA (PLOT 4)</v>
      </c>
      <c r="D127" s="11" t="str">
        <f>_xlfn.XLOOKUP(Customer[[#This Row],[Customer ID]],[1]!Address[ID],[1]!Address[PIC])</f>
        <v/>
      </c>
      <c r="E127" s="11" t="str">
        <f>_xlfn.XLOOKUP(Customer[[#This Row],[Customer ID]],[1]!Address[ID],[1]!Address[Full Address])</f>
        <v>PS BANDAR PUTRA (PLOT 4)PLOT 4, PTD 74299, KM 3, BANDAR PUTRA,MUKIM SENAI - KULAI,81200 KULAI,  JOHOR</v>
      </c>
      <c r="F127" s="12" t="s">
        <v>974</v>
      </c>
      <c r="G127" s="12" t="s">
        <v>975</v>
      </c>
      <c r="H127" s="12" t="s">
        <v>976</v>
      </c>
      <c r="I127" s="12" t="b">
        <f>ISNUMBER(VALUE(LEFT(Customer[[#This Row],[Address Line 3 (30 char)]],1)))</f>
        <v>0</v>
      </c>
      <c r="J127" s="12" t="s">
        <v>52</v>
      </c>
      <c r="K127" s="12">
        <v>81200</v>
      </c>
      <c r="L127" s="12" t="s">
        <v>35</v>
      </c>
      <c r="M127" s="13" t="e">
        <v>#N/A</v>
      </c>
      <c r="N127" s="14" t="e">
        <v>#N/A</v>
      </c>
      <c r="O127" s="14" t="e">
        <v>#N/A</v>
      </c>
      <c r="P127" s="14" t="e">
        <v>#N/A</v>
      </c>
      <c r="Q127" s="19" t="s">
        <v>977</v>
      </c>
      <c r="R127" s="15" t="s">
        <v>978</v>
      </c>
      <c r="S127" s="15" t="s">
        <v>37</v>
      </c>
      <c r="T127" s="16" t="s">
        <v>38</v>
      </c>
      <c r="U127" s="11" t="str">
        <f>_xlfn.XLOOKUP(Customer[[#This Row],[Customer ID]],[1]!Address[ID],[1]!Address[Phone No.(2)])</f>
        <v/>
      </c>
      <c r="V127" s="11" t="str">
        <f>_xlfn.XLOOKUP(Customer[[#This Row],[Customer ID]],[1]!Address[ID],[1]!Address[Type])</f>
        <v>PETROMART</v>
      </c>
      <c r="W127" s="11" t="str">
        <f>_xlfn.XLOOKUP(Customer[[#This Row],[Customer ID]],[1]!Address[ID],[1]!Address[CT])</f>
        <v>30 DAYS</v>
      </c>
      <c r="X127" s="11" t="s">
        <v>39</v>
      </c>
      <c r="Y127" s="17" t="s">
        <v>40</v>
      </c>
      <c r="Z127" s="17" t="e">
        <f>_xlfn.XLOOKUP(Customer[[#This Row],[NewType]],$AF$36:$AF$54,$AG$36:$AG$54)</f>
        <v>#N/A</v>
      </c>
      <c r="AA127" s="17" t="s">
        <v>979</v>
      </c>
      <c r="AB127" s="11" t="str">
        <f>_xlfn.XLOOKUP(Customer[[#This Row],[Customer ID]],[1]!Address[ID],[1]!Address[Subtype])</f>
        <v>PETRONAS</v>
      </c>
      <c r="AC127" s="18" t="str">
        <f>_xlfn.XLOOKUP(Customer[[#This Row],[Customer ID]],[1]!Address[ID],[1]!Address[Zone])</f>
        <v>SOUTH</v>
      </c>
    </row>
    <row r="128" spans="1:30" x14ac:dyDescent="0.3">
      <c r="A128" s="10" t="s">
        <v>980</v>
      </c>
      <c r="B128" s="11" t="str">
        <f>_xlfn.XLOOKUP(Customer[[#This Row],[Customer ID]],[1]!Name[ID],[1]!Name[Description(1)])</f>
        <v>KFJ NIAGA</v>
      </c>
      <c r="C128" s="11" t="str">
        <f>_xlfn.XLOOKUP(Customer[[#This Row],[Customer ID]],[1]!Name[ID],[1]!Name[Description(2)])</f>
        <v>PS BEHOR TEMAK</v>
      </c>
      <c r="D128" s="11" t="str">
        <f>_xlfn.XLOOKUP(Customer[[#This Row],[Customer ID]],[1]!Address[ID],[1]!Address[PIC])</f>
        <v/>
      </c>
      <c r="E128" s="11" t="str">
        <f>_xlfn.XLOOKUP(Customer[[#This Row],[Customer ID]],[1]!Address[ID],[1]!Address[Full Address])</f>
        <v>PS BEHOR TEMAKLOT 1051 MUKIM SERIAP,BEHOR TEMAK,01000 KANGAR, PERLIS</v>
      </c>
      <c r="F128" s="12" t="s">
        <v>981</v>
      </c>
      <c r="G128" s="12" t="s">
        <v>982</v>
      </c>
      <c r="H128" s="12" t="s">
        <v>983</v>
      </c>
      <c r="I128" s="12" t="b">
        <f>ISNUMBER(VALUE(LEFT(Customer[[#This Row],[Address Line 3 (30 char)]],1)))</f>
        <v>0</v>
      </c>
      <c r="J128" s="12" t="s">
        <v>984</v>
      </c>
      <c r="K128" s="20" t="s">
        <v>985</v>
      </c>
      <c r="L128" s="12" t="s">
        <v>35</v>
      </c>
      <c r="M128" s="13" t="e">
        <v>#N/A</v>
      </c>
      <c r="N128" s="14" t="e">
        <v>#N/A</v>
      </c>
      <c r="O128" s="14" t="e">
        <v>#N/A</v>
      </c>
      <c r="P128" s="14" t="e">
        <v>#N/A</v>
      </c>
      <c r="Q128" s="21" t="s">
        <v>986</v>
      </c>
      <c r="R128" s="15" t="s">
        <v>987</v>
      </c>
      <c r="S128" s="15" t="s">
        <v>74</v>
      </c>
      <c r="T128" s="16" t="s">
        <v>38</v>
      </c>
      <c r="U128" s="11" t="str">
        <f>_xlfn.XLOOKUP(Customer[[#This Row],[Customer ID]],[1]!Address[ID],[1]!Address[Phone No.(2)])</f>
        <v/>
      </c>
      <c r="V128" s="11" t="str">
        <f>_xlfn.XLOOKUP(Customer[[#This Row],[Customer ID]],[1]!Address[ID],[1]!Address[Type])</f>
        <v>PETROMART</v>
      </c>
      <c r="W128" s="11" t="str">
        <f>_xlfn.XLOOKUP(Customer[[#This Row],[Customer ID]],[1]!Address[ID],[1]!Address[CT])</f>
        <v>30 DAYS</v>
      </c>
      <c r="X128" s="11" t="s">
        <v>39</v>
      </c>
      <c r="Y128" s="17" t="s">
        <v>40</v>
      </c>
      <c r="Z128" s="17" t="e">
        <f>_xlfn.XLOOKUP(Customer[[#This Row],[NewType]],$AF$36:$AF$54,$AG$36:$AG$54)</f>
        <v>#N/A</v>
      </c>
      <c r="AA128" s="17" t="s">
        <v>988</v>
      </c>
      <c r="AB128" s="11" t="str">
        <f>_xlfn.XLOOKUP(Customer[[#This Row],[Customer ID]],[1]!Address[ID],[1]!Address[Subtype])</f>
        <v>PETRONAS</v>
      </c>
      <c r="AC128" s="18" t="str">
        <f>_xlfn.XLOOKUP(Customer[[#This Row],[Customer ID]],[1]!Address[ID],[1]!Address[Zone])</f>
        <v>NORTH</v>
      </c>
    </row>
    <row r="129" spans="1:29" x14ac:dyDescent="0.3">
      <c r="A129" s="10" t="s">
        <v>989</v>
      </c>
      <c r="B129" s="11" t="str">
        <f>_xlfn.XLOOKUP(Customer[[#This Row],[Customer ID]],[1]!Name[ID],[1]!Name[Description(1)])</f>
        <v>SYAF ONE ENTERPRISE</v>
      </c>
      <c r="C129" s="11" t="str">
        <f>_xlfn.XLOOKUP(Customer[[#This Row],[Customer ID]],[1]!Name[ID],[1]!Name[Description(2)])</f>
        <v>PS BEHRANG 2020</v>
      </c>
      <c r="D129" s="11" t="str">
        <f>_xlfn.XLOOKUP(Customer[[#This Row],[Customer ID]],[1]!Address[ID],[1]!Address[PIC])</f>
        <v/>
      </c>
      <c r="E129" s="11" t="str">
        <f>_xlfn.XLOOKUP(Customer[[#This Row],[Customer ID]],[1]!Address[ID],[1]!Address[Full Address])</f>
        <v>PS BEHRANG 2020LOT 4553, BANDAR BEHRANG 2020,TANJUNG MALIM,35900 MUALLIM,  PERAK</v>
      </c>
      <c r="F129" s="12" t="s">
        <v>990</v>
      </c>
      <c r="G129" s="12" t="s">
        <v>991</v>
      </c>
      <c r="H129" s="12" t="s">
        <v>992</v>
      </c>
      <c r="I129" s="12" t="b">
        <f>ISNUMBER(VALUE(LEFT(Customer[[#This Row],[Address Line 3 (30 char)]],1)))</f>
        <v>0</v>
      </c>
      <c r="J129" s="12" t="s">
        <v>387</v>
      </c>
      <c r="K129" s="12">
        <v>35900</v>
      </c>
      <c r="L129" s="12" t="s">
        <v>35</v>
      </c>
      <c r="M129" s="13" t="e">
        <v>#N/A</v>
      </c>
      <c r="N129" s="14" t="e">
        <v>#N/A</v>
      </c>
      <c r="O129" s="14" t="e">
        <v>#N/A</v>
      </c>
      <c r="P129" s="14" t="e">
        <v>#N/A</v>
      </c>
      <c r="Q129" s="19" t="s">
        <v>993</v>
      </c>
      <c r="R129" s="15" t="s">
        <v>994</v>
      </c>
      <c r="S129" s="15" t="s">
        <v>37</v>
      </c>
      <c r="T129" s="16" t="s">
        <v>38</v>
      </c>
      <c r="U129" s="11" t="str">
        <f>_xlfn.XLOOKUP(Customer[[#This Row],[Customer ID]],[1]!Address[ID],[1]!Address[Phone No.(2)])</f>
        <v/>
      </c>
      <c r="V129" s="11" t="str">
        <f>_xlfn.XLOOKUP(Customer[[#This Row],[Customer ID]],[1]!Address[ID],[1]!Address[Type])</f>
        <v>PETROMART</v>
      </c>
      <c r="W129" s="11" t="str">
        <f>_xlfn.XLOOKUP(Customer[[#This Row],[Customer ID]],[1]!Address[ID],[1]!Address[CT])</f>
        <v>30 DAYS</v>
      </c>
      <c r="X129" s="11" t="s">
        <v>39</v>
      </c>
      <c r="Y129" s="17" t="s">
        <v>40</v>
      </c>
      <c r="Z129" s="17" t="e">
        <f>_xlfn.XLOOKUP(Customer[[#This Row],[NewType]],$AF$36:$AF$54,$AG$36:$AG$54)</f>
        <v>#N/A</v>
      </c>
      <c r="AA129" s="17" t="s">
        <v>995</v>
      </c>
      <c r="AB129" s="11" t="str">
        <f>_xlfn.XLOOKUP(Customer[[#This Row],[Customer ID]],[1]!Address[ID],[1]!Address[Subtype])</f>
        <v>PETRONAS</v>
      </c>
      <c r="AC129" s="18" t="str">
        <f>_xlfn.XLOOKUP(Customer[[#This Row],[Customer ID]],[1]!Address[ID],[1]!Address[Zone])</f>
        <v>NORTH</v>
      </c>
    </row>
    <row r="130" spans="1:29" x14ac:dyDescent="0.3">
      <c r="A130" s="10" t="s">
        <v>996</v>
      </c>
      <c r="B130" s="11" t="str">
        <f>_xlfn.XLOOKUP(Customer[[#This Row],[Customer ID]],[1]!Name[ID],[1]!Name[Description(1)])</f>
        <v>AZZAFRAN SERVICE STATION</v>
      </c>
      <c r="C130" s="11" t="str">
        <f>_xlfn.XLOOKUP(Customer[[#This Row],[Customer ID]],[1]!Name[ID],[1]!Name[Description(2)])</f>
        <v>PS BEMBAN JASIN</v>
      </c>
      <c r="D130" s="11" t="str">
        <f>_xlfn.XLOOKUP(Customer[[#This Row],[Customer ID]],[1]!Address[ID],[1]!Address[PIC])</f>
        <v/>
      </c>
      <c r="E130" s="11" t="str">
        <f>_xlfn.XLOOKUP(Customer[[#This Row],[Customer ID]],[1]!Address[ID],[1]!Address[Full Address])</f>
        <v>PS BEMBAN JASINLOT PT 1620, PEKAN BEMBAN,MUKIM AIR PANAS,77200 JASIN,  MELAKA</v>
      </c>
      <c r="F130" s="12" t="s">
        <v>997</v>
      </c>
      <c r="G130" s="12" t="s">
        <v>998</v>
      </c>
      <c r="H130" s="12" t="s">
        <v>999</v>
      </c>
      <c r="I130" s="12" t="b">
        <f>ISNUMBER(VALUE(LEFT(Customer[[#This Row],[Address Line 3 (30 char)]],1)))</f>
        <v>0</v>
      </c>
      <c r="J130" s="12" t="s">
        <v>61</v>
      </c>
      <c r="K130" s="12">
        <v>77200</v>
      </c>
      <c r="L130" s="12" t="s">
        <v>35</v>
      </c>
      <c r="M130" s="13" t="e">
        <v>#N/A</v>
      </c>
      <c r="N130" s="14" t="e">
        <v>#N/A</v>
      </c>
      <c r="O130" s="14" t="e">
        <v>#N/A</v>
      </c>
      <c r="P130" s="14" t="e">
        <v>#N/A</v>
      </c>
      <c r="Q130" s="19" t="s">
        <v>1000</v>
      </c>
      <c r="R130" s="15" t="s">
        <v>1001</v>
      </c>
      <c r="S130" s="15" t="s">
        <v>37</v>
      </c>
      <c r="T130" s="16" t="s">
        <v>38</v>
      </c>
      <c r="U130" s="11" t="str">
        <f>_xlfn.XLOOKUP(Customer[[#This Row],[Customer ID]],[1]!Address[ID],[1]!Address[Phone No.(2)])</f>
        <v/>
      </c>
      <c r="V130" s="11" t="str">
        <f>_xlfn.XLOOKUP(Customer[[#This Row],[Customer ID]],[1]!Address[ID],[1]!Address[Type])</f>
        <v>PETROMART</v>
      </c>
      <c r="W130" s="11" t="str">
        <f>_xlfn.XLOOKUP(Customer[[#This Row],[Customer ID]],[1]!Address[ID],[1]!Address[CT])</f>
        <v>30 DAYS</v>
      </c>
      <c r="X130" s="11" t="s">
        <v>39</v>
      </c>
      <c r="Y130" s="17" t="s">
        <v>40</v>
      </c>
      <c r="Z130" s="17" t="e">
        <f>_xlfn.XLOOKUP(Customer[[#This Row],[NewType]],$AF$36:$AF$54,$AG$36:$AG$54)</f>
        <v>#N/A</v>
      </c>
      <c r="AA130" s="17" t="s">
        <v>1002</v>
      </c>
      <c r="AB130" s="11" t="str">
        <f>_xlfn.XLOOKUP(Customer[[#This Row],[Customer ID]],[1]!Address[ID],[1]!Address[Subtype])</f>
        <v>PETRONAS</v>
      </c>
      <c r="AC130" s="18" t="str">
        <f>_xlfn.XLOOKUP(Customer[[#This Row],[Customer ID]],[1]!Address[ID],[1]!Address[Zone])</f>
        <v>SOUTH</v>
      </c>
    </row>
    <row r="131" spans="1:29" x14ac:dyDescent="0.3">
      <c r="A131" s="10" t="s">
        <v>1003</v>
      </c>
      <c r="B131" s="11" t="str">
        <f>_xlfn.XLOOKUP(Customer[[#This Row],[Customer ID]],[1]!Name[ID],[1]!Name[Description(1)])</f>
        <v>SYNERGY HONEYBEE SDN BHD</v>
      </c>
      <c r="C131" s="11" t="str">
        <f>_xlfn.XLOOKUP(Customer[[#This Row],[Customer ID]],[1]!Name[ID],[1]!Name[Description(2)])</f>
        <v>PS BENDANG MORAK</v>
      </c>
      <c r="D131" s="11" t="str">
        <f>_xlfn.XLOOKUP(Customer[[#This Row],[Customer ID]],[1]!Address[ID],[1]!Address[PIC])</f>
        <v/>
      </c>
      <c r="E131" s="11" t="str">
        <f>_xlfn.XLOOKUP(Customer[[#This Row],[Customer ID]],[1]!Address[ID],[1]!Address[Full Address])</f>
        <v>PS BENDANG MORAKLOT 519, KG BENDANG MORAK,WAKAF KING,16040 TUMPAT,  KELANTAN</v>
      </c>
      <c r="F131" s="12" t="s">
        <v>1004</v>
      </c>
      <c r="G131" s="12" t="s">
        <v>1005</v>
      </c>
      <c r="H131" s="12" t="s">
        <v>1006</v>
      </c>
      <c r="I131" s="12" t="b">
        <f>ISNUMBER(VALUE(LEFT(Customer[[#This Row],[Address Line 3 (30 char)]],1)))</f>
        <v>0</v>
      </c>
      <c r="J131" s="12" t="s">
        <v>1007</v>
      </c>
      <c r="K131" s="12">
        <v>16040</v>
      </c>
      <c r="L131" s="12" t="s">
        <v>35</v>
      </c>
      <c r="M131" s="13" t="e">
        <v>#N/A</v>
      </c>
      <c r="N131" s="14" t="e">
        <v>#N/A</v>
      </c>
      <c r="O131" s="14" t="e">
        <v>#N/A</v>
      </c>
      <c r="P131" s="14" t="e">
        <v>#N/A</v>
      </c>
      <c r="Q131" s="19" t="s">
        <v>1008</v>
      </c>
      <c r="R131" s="15" t="s">
        <v>1009</v>
      </c>
      <c r="S131" s="15" t="s">
        <v>37</v>
      </c>
      <c r="T131" s="16" t="s">
        <v>38</v>
      </c>
      <c r="U131" s="11" t="str">
        <f>_xlfn.XLOOKUP(Customer[[#This Row],[Customer ID]],[1]!Address[ID],[1]!Address[Phone No.(2)])</f>
        <v/>
      </c>
      <c r="V131" s="11" t="str">
        <f>_xlfn.XLOOKUP(Customer[[#This Row],[Customer ID]],[1]!Address[ID],[1]!Address[Type])</f>
        <v>PETROMART</v>
      </c>
      <c r="W131" s="11" t="str">
        <f>_xlfn.XLOOKUP(Customer[[#This Row],[Customer ID]],[1]!Address[ID],[1]!Address[CT])</f>
        <v>30 DAYS</v>
      </c>
      <c r="X131" s="11" t="s">
        <v>39</v>
      </c>
      <c r="Y131" s="17" t="s">
        <v>40</v>
      </c>
      <c r="Z131" s="17" t="e">
        <f>_xlfn.XLOOKUP(Customer[[#This Row],[NewType]],$AF$36:$AF$54,$AG$36:$AG$54)</f>
        <v>#N/A</v>
      </c>
      <c r="AA131" s="17" t="s">
        <v>1010</v>
      </c>
      <c r="AB131" s="11" t="str">
        <f>_xlfn.XLOOKUP(Customer[[#This Row],[Customer ID]],[1]!Address[ID],[1]!Address[Subtype])</f>
        <v>PETRONAS</v>
      </c>
      <c r="AC131" s="18" t="str">
        <f>_xlfn.XLOOKUP(Customer[[#This Row],[Customer ID]],[1]!Address[ID],[1]!Address[Zone])</f>
        <v>EAST COAST</v>
      </c>
    </row>
    <row r="132" spans="1:29" x14ac:dyDescent="0.3">
      <c r="A132" s="10" t="s">
        <v>1011</v>
      </c>
      <c r="B132" s="11" t="str">
        <f>_xlfn.XLOOKUP(Customer[[#This Row],[Customer ID]],[1]!Name[ID],[1]!Name[Description(1)])</f>
        <v>AFFANDI HILL SIDE</v>
      </c>
      <c r="C132" s="11" t="str">
        <f>_xlfn.XLOOKUP(Customer[[#This Row],[Customer ID]],[1]!Name[ID],[1]!Name[Description(2)])</f>
        <v>PS BENTONG REST AREA</v>
      </c>
      <c r="D132" s="11" t="str">
        <f>_xlfn.XLOOKUP(Customer[[#This Row],[Customer ID]],[1]!Address[ID],[1]!Address[PIC])</f>
        <v>Senior Manager</v>
      </c>
      <c r="E132" s="11" t="str">
        <f>_xlfn.XLOOKUP(Customer[[#This Row],[Customer ID]],[1]!Address[ID],[1]!Address[Full Address])</f>
        <v>PS BENTONG REST AREALOT 8207 MUKIM BENTONG,28400 BENTONG,PAHANG</v>
      </c>
      <c r="F132" s="12" t="s">
        <v>1012</v>
      </c>
      <c r="G132" s="12" t="s">
        <v>1013</v>
      </c>
      <c r="H132" s="24" t="s">
        <v>1014</v>
      </c>
      <c r="I132" s="24" t="b">
        <f>ISNUMBER(VALUE(LEFT(Customer[[#This Row],[Address Line 3 (30 char)]],1)))</f>
        <v>0</v>
      </c>
      <c r="J132" s="12" t="s">
        <v>339</v>
      </c>
      <c r="K132" s="12">
        <v>28400</v>
      </c>
      <c r="L132" s="12" t="s">
        <v>35</v>
      </c>
      <c r="M132" s="13">
        <v>200303117448</v>
      </c>
      <c r="N132" s="14" t="s">
        <v>1015</v>
      </c>
      <c r="O132" s="14" t="e">
        <v>#N/A</v>
      </c>
      <c r="P132" s="14" t="e">
        <v>#N/A</v>
      </c>
      <c r="Q132" s="19" t="s">
        <v>1016</v>
      </c>
      <c r="R132" s="15" t="s">
        <v>1017</v>
      </c>
      <c r="S132" s="15" t="s">
        <v>37</v>
      </c>
      <c r="T132" s="16" t="s">
        <v>38</v>
      </c>
      <c r="U132" s="11" t="str">
        <f>_xlfn.XLOOKUP(Customer[[#This Row],[Customer ID]],[1]!Address[ID],[1]!Address[Phone No.(2)])</f>
        <v/>
      </c>
      <c r="V132" s="11" t="str">
        <f>_xlfn.XLOOKUP(Customer[[#This Row],[Customer ID]],[1]!Address[ID],[1]!Address[Type])</f>
        <v>PETROMART</v>
      </c>
      <c r="W132" s="11" t="str">
        <f>_xlfn.XLOOKUP(Customer[[#This Row],[Customer ID]],[1]!Address[ID],[1]!Address[CT])</f>
        <v>30 DAYS</v>
      </c>
      <c r="X132" s="11" t="s">
        <v>39</v>
      </c>
      <c r="Y132" s="17" t="s">
        <v>40</v>
      </c>
      <c r="Z132" s="17" t="e">
        <f>_xlfn.XLOOKUP(Customer[[#This Row],[NewType]],$AF$36:$AF$54,$AG$36:$AG$54)</f>
        <v>#N/A</v>
      </c>
      <c r="AA132" s="17" t="s">
        <v>1018</v>
      </c>
      <c r="AB132" s="11" t="str">
        <f>_xlfn.XLOOKUP(Customer[[#This Row],[Customer ID]],[1]!Address[ID],[1]!Address[Subtype])</f>
        <v>PETRONAS</v>
      </c>
      <c r="AC132" s="18" t="str">
        <f>_xlfn.XLOOKUP(Customer[[#This Row],[Customer ID]],[1]!Address[ID],[1]!Address[Zone])</f>
        <v>EAST COAST</v>
      </c>
    </row>
    <row r="133" spans="1:29" x14ac:dyDescent="0.3">
      <c r="A133" s="10" t="s">
        <v>1019</v>
      </c>
      <c r="B133" s="11" t="str">
        <f>_xlfn.XLOOKUP(Customer[[#This Row],[Customer ID]],[1]!Name[ID],[1]!Name[Description(1)])</f>
        <v>SYARIKAT CHAHAYA</v>
      </c>
      <c r="C133" s="11" t="str">
        <f>_xlfn.XLOOKUP(Customer[[#This Row],[Customer ID]],[1]!Name[ID],[1]!Name[Description(2)])</f>
        <v>PS BENUT</v>
      </c>
      <c r="D133" s="11" t="str">
        <f>_xlfn.XLOOKUP(Customer[[#This Row],[Customer ID]],[1]!Address[ID],[1]!Address[PIC])</f>
        <v/>
      </c>
      <c r="E133" s="11" t="str">
        <f>_xlfn.XLOOKUP(Customer[[#This Row],[Customer ID]],[1]!Address[ID],[1]!Address[Full Address])</f>
        <v>PS BENUTSTESEN SERVIS PETRONAS, LOT 237,MUKIM BENUT,82200 PONTIAN, JOHOR</v>
      </c>
      <c r="F133" s="12" t="s">
        <v>1020</v>
      </c>
      <c r="G133" s="12" t="s">
        <v>1021</v>
      </c>
      <c r="H133" s="12" t="s">
        <v>1022</v>
      </c>
      <c r="I133" s="12" t="b">
        <f>ISNUMBER(VALUE(LEFT(Customer[[#This Row],[Address Line 3 (30 char)]],1)))</f>
        <v>0</v>
      </c>
      <c r="J133" s="12" t="s">
        <v>52</v>
      </c>
      <c r="K133" s="12">
        <v>82200</v>
      </c>
      <c r="L133" s="12" t="s">
        <v>35</v>
      </c>
      <c r="M133" s="13" t="s">
        <v>1023</v>
      </c>
      <c r="N133" s="14" t="s">
        <v>1024</v>
      </c>
      <c r="O133" s="13" t="s">
        <v>1025</v>
      </c>
      <c r="P133" s="14" t="e">
        <v>#N/A</v>
      </c>
      <c r="Q133" s="14" t="e">
        <v>#N/A</v>
      </c>
      <c r="R133" s="15" t="s">
        <v>1026</v>
      </c>
      <c r="S133" s="15" t="s">
        <v>37</v>
      </c>
      <c r="T133" s="16" t="s">
        <v>38</v>
      </c>
      <c r="U133" s="11" t="str">
        <f>_xlfn.XLOOKUP(Customer[[#This Row],[Customer ID]],[1]!Address[ID],[1]!Address[Phone No.(2)])</f>
        <v/>
      </c>
      <c r="V133" s="11" t="str">
        <f>_xlfn.XLOOKUP(Customer[[#This Row],[Customer ID]],[1]!Address[ID],[1]!Address[Type])</f>
        <v>PETROMART</v>
      </c>
      <c r="W133" s="11" t="str">
        <f>_xlfn.XLOOKUP(Customer[[#This Row],[Customer ID]],[1]!Address[ID],[1]!Address[CT])</f>
        <v>30 DAYS</v>
      </c>
      <c r="X133" s="11" t="s">
        <v>39</v>
      </c>
      <c r="Y133" s="17" t="s">
        <v>40</v>
      </c>
      <c r="Z133" s="17" t="e">
        <f>_xlfn.XLOOKUP(Customer[[#This Row],[NewType]],$AF$36:$AF$54,$AG$36:$AG$54)</f>
        <v>#N/A</v>
      </c>
      <c r="AA133" s="17" t="s">
        <v>1027</v>
      </c>
      <c r="AB133" s="11" t="str">
        <f>_xlfn.XLOOKUP(Customer[[#This Row],[Customer ID]],[1]!Address[ID],[1]!Address[Subtype])</f>
        <v>PETRONAS</v>
      </c>
      <c r="AC133" s="18" t="str">
        <f>_xlfn.XLOOKUP(Customer[[#This Row],[Customer ID]],[1]!Address[ID],[1]!Address[Zone])</f>
        <v>SOUTH</v>
      </c>
    </row>
    <row r="134" spans="1:29" x14ac:dyDescent="0.3">
      <c r="A134" s="10" t="s">
        <v>1028</v>
      </c>
      <c r="B134" s="11" t="str">
        <f>_xlfn.XLOOKUP(Customer[[#This Row],[Customer ID]],[1]!Name[ID],[1]!Name[Description(1)])</f>
        <v>PETRONIAGA SERVICES</v>
      </c>
      <c r="C134" s="11" t="str">
        <f>_xlfn.XLOOKUP(Customer[[#This Row],[Customer ID]],[1]!Name[ID],[1]!Name[Description(2)])</f>
        <v>PS BAYAN BARU</v>
      </c>
      <c r="D134" s="11" t="str">
        <f>_xlfn.XLOOKUP(Customer[[#This Row],[Customer ID]],[1]!Address[ID],[1]!Address[PIC])</f>
        <v/>
      </c>
      <c r="E134" s="11" t="str">
        <f>_xlfn.XLOOKUP(Customer[[#This Row],[Customer ID]],[1]!Address[ID],[1]!Address[Full Address])</f>
        <v>PS BAYAN BARULOT 1241, JALAN SG. NIBONG,BANDAR BAYAN BARU, BAYAN LEPAS,11950 BARAT DAYA, PULAU PINANG</v>
      </c>
      <c r="F134" s="12" t="s">
        <v>1029</v>
      </c>
      <c r="G134" s="12" t="s">
        <v>1030</v>
      </c>
      <c r="H134" s="12" t="s">
        <v>1031</v>
      </c>
      <c r="I134" s="12" t="b">
        <f>ISNUMBER(VALUE(LEFT(Customer[[#This Row],[Address Line 3 (30 char)]],1)))</f>
        <v>0</v>
      </c>
      <c r="J134" s="12" t="s">
        <v>179</v>
      </c>
      <c r="K134" s="12">
        <v>11950</v>
      </c>
      <c r="L134" s="12" t="s">
        <v>35</v>
      </c>
      <c r="M134" s="13" t="e">
        <v>#N/A</v>
      </c>
      <c r="N134" s="14" t="e">
        <v>#N/A</v>
      </c>
      <c r="O134" s="14" t="e">
        <v>#N/A</v>
      </c>
      <c r="P134" s="14" t="e">
        <v>#N/A</v>
      </c>
      <c r="Q134" s="19" t="s">
        <v>1032</v>
      </c>
      <c r="R134" s="15" t="s">
        <v>1033</v>
      </c>
      <c r="S134" s="15" t="s">
        <v>74</v>
      </c>
      <c r="T134" s="16" t="s">
        <v>38</v>
      </c>
      <c r="U134" s="11" t="str">
        <f>_xlfn.XLOOKUP(Customer[[#This Row],[Customer ID]],[1]!Address[ID],[1]!Address[Phone No.(2)])</f>
        <v/>
      </c>
      <c r="V134" s="11" t="str">
        <f>_xlfn.XLOOKUP(Customer[[#This Row],[Customer ID]],[1]!Address[ID],[1]!Address[Type])</f>
        <v>PETROMART</v>
      </c>
      <c r="W134" s="11" t="str">
        <f>_xlfn.XLOOKUP(Customer[[#This Row],[Customer ID]],[1]!Address[ID],[1]!Address[CT])</f>
        <v>30 DAYS</v>
      </c>
      <c r="X134" s="11" t="s">
        <v>39</v>
      </c>
      <c r="Y134" s="17" t="s">
        <v>40</v>
      </c>
      <c r="Z134" s="17" t="e">
        <f>_xlfn.XLOOKUP(Customer[[#This Row],[NewType]],$AF$36:$AF$54,$AG$36:$AG$54)</f>
        <v>#N/A</v>
      </c>
      <c r="AA134" s="17" t="s">
        <v>1034</v>
      </c>
      <c r="AB134" s="11" t="str">
        <f>_xlfn.XLOOKUP(Customer[[#This Row],[Customer ID]],[1]!Address[ID],[1]!Address[Subtype])</f>
        <v>PETRONAS</v>
      </c>
      <c r="AC134" s="18" t="str">
        <f>_xlfn.XLOOKUP(Customer[[#This Row],[Customer ID]],[1]!Address[ID],[1]!Address[Zone])</f>
        <v>NORTH</v>
      </c>
    </row>
    <row r="135" spans="1:29" x14ac:dyDescent="0.3">
      <c r="A135" s="10" t="s">
        <v>1035</v>
      </c>
      <c r="B135" s="11" t="str">
        <f>_xlfn.XLOOKUP(Customer[[#This Row],[Customer ID]],[1]!Name[ID],[1]!Name[Description(1)])</f>
        <v>ALP SERVICE STATION</v>
      </c>
      <c r="C135" s="11" t="str">
        <f>_xlfn.XLOOKUP(Customer[[#This Row],[Customer ID]],[1]!Name[ID],[1]!Name[Description(2)])</f>
        <v>PS BESERAH</v>
      </c>
      <c r="D135" s="11" t="str">
        <f>_xlfn.XLOOKUP(Customer[[#This Row],[Customer ID]],[1]!Address[ID],[1]!Address[PIC])</f>
        <v>Aznirul Bin Azh</v>
      </c>
      <c r="E135" s="11" t="str">
        <f>_xlfn.XLOOKUP(Customer[[#This Row],[Customer ID]],[1]!Address[ID],[1]!Address[Full Address])</f>
        <v>PS BESERAHLOT 1050 BATU 4, JALAN BESERAH,26100 KUANTAN, PAHANG</v>
      </c>
      <c r="F135" s="12" t="s">
        <v>1036</v>
      </c>
      <c r="G135" s="12" t="s">
        <v>1037</v>
      </c>
      <c r="H135" s="12" t="s">
        <v>1038</v>
      </c>
      <c r="I135" s="12" t="b">
        <f>ISNUMBER(VALUE(LEFT(Customer[[#This Row],[Address Line 3 (30 char)]],1)))</f>
        <v>0</v>
      </c>
      <c r="J135" s="12" t="s">
        <v>339</v>
      </c>
      <c r="K135" s="12">
        <v>26100</v>
      </c>
      <c r="L135" s="12" t="s">
        <v>35</v>
      </c>
      <c r="M135" s="13">
        <v>201903100031</v>
      </c>
      <c r="N135" s="14" t="s">
        <v>1039</v>
      </c>
      <c r="O135" s="14" t="e">
        <v>#N/A</v>
      </c>
      <c r="P135" s="14" t="e">
        <v>#N/A</v>
      </c>
      <c r="Q135" s="19" t="s">
        <v>1040</v>
      </c>
      <c r="R135" s="15" t="s">
        <v>1041</v>
      </c>
      <c r="S135" s="15" t="s">
        <v>37</v>
      </c>
      <c r="T135" s="16" t="s">
        <v>38</v>
      </c>
      <c r="U135" s="11" t="str">
        <f>_xlfn.XLOOKUP(Customer[[#This Row],[Customer ID]],[1]!Address[ID],[1]!Address[Phone No.(2)])</f>
        <v/>
      </c>
      <c r="V135" s="11" t="str">
        <f>_xlfn.XLOOKUP(Customer[[#This Row],[Customer ID]],[1]!Address[ID],[1]!Address[Type])</f>
        <v>PETROMART</v>
      </c>
      <c r="W135" s="11" t="str">
        <f>_xlfn.XLOOKUP(Customer[[#This Row],[Customer ID]],[1]!Address[ID],[1]!Address[CT])</f>
        <v>30 DAYS</v>
      </c>
      <c r="X135" s="11" t="s">
        <v>39</v>
      </c>
      <c r="Y135" s="17" t="s">
        <v>40</v>
      </c>
      <c r="Z135" s="17" t="e">
        <f>_xlfn.XLOOKUP(Customer[[#This Row],[NewType]],$AF$36:$AF$54,$AG$36:$AG$54)</f>
        <v>#N/A</v>
      </c>
      <c r="AA135" s="17" t="s">
        <v>1042</v>
      </c>
      <c r="AB135" s="11" t="str">
        <f>_xlfn.XLOOKUP(Customer[[#This Row],[Customer ID]],[1]!Address[ID],[1]!Address[Subtype])</f>
        <v>PETRONAS</v>
      </c>
      <c r="AC135" s="18" t="str">
        <f>_xlfn.XLOOKUP(Customer[[#This Row],[Customer ID]],[1]!Address[ID],[1]!Address[Zone])</f>
        <v>EAST COAST</v>
      </c>
    </row>
    <row r="136" spans="1:29" x14ac:dyDescent="0.3">
      <c r="A136" s="10" t="s">
        <v>1043</v>
      </c>
      <c r="B136" s="11" t="str">
        <f>_xlfn.XLOOKUP(Customer[[#This Row],[Customer ID]],[1]!Name[ID],[1]!Name[Description(1)])</f>
        <v>AIY KAIZEN SYNERGY</v>
      </c>
      <c r="C136" s="11" t="str">
        <f>_xlfn.XLOOKUP(Customer[[#This Row],[Customer ID]],[1]!Name[ID],[1]!Name[Description(2)])</f>
        <v>PS BIDOR</v>
      </c>
      <c r="D136" s="11" t="str">
        <f>_xlfn.XLOOKUP(Customer[[#This Row],[Customer ID]],[1]!Address[ID],[1]!Address[PIC])</f>
        <v/>
      </c>
      <c r="E136" s="11" t="str">
        <f>_xlfn.XLOOKUP(Customer[[#This Row],[Customer ID]],[1]!Address[ID],[1]!Address[Full Address])</f>
        <v>PS BIDORLOT 945, JALAN TAPAH, PEKAN BIDOR,35500 BIDOR, PERAK</v>
      </c>
      <c r="F136" s="12" t="s">
        <v>1044</v>
      </c>
      <c r="G136" s="12" t="s">
        <v>1045</v>
      </c>
      <c r="H136" s="12" t="s">
        <v>1046</v>
      </c>
      <c r="I136" s="12" t="b">
        <f>ISNUMBER(VALUE(LEFT(Customer[[#This Row],[Address Line 3 (30 char)]],1)))</f>
        <v>0</v>
      </c>
      <c r="J136" s="12" t="s">
        <v>242</v>
      </c>
      <c r="K136" s="12">
        <v>35500</v>
      </c>
      <c r="L136" s="12" t="s">
        <v>35</v>
      </c>
      <c r="M136" s="13" t="e">
        <v>#N/A</v>
      </c>
      <c r="N136" s="14" t="s">
        <v>1047</v>
      </c>
      <c r="O136" s="14" t="e">
        <v>#N/A</v>
      </c>
      <c r="P136" s="14" t="s">
        <v>1048</v>
      </c>
      <c r="Q136" s="21" t="s">
        <v>1049</v>
      </c>
      <c r="R136" s="15" t="s">
        <v>1050</v>
      </c>
      <c r="S136" s="15" t="s">
        <v>37</v>
      </c>
      <c r="T136" s="16" t="s">
        <v>38</v>
      </c>
      <c r="U136" s="11" t="str">
        <f>_xlfn.XLOOKUP(Customer[[#This Row],[Customer ID]],[1]!Address[ID],[1]!Address[Phone No.(2)])</f>
        <v/>
      </c>
      <c r="V136" s="11" t="str">
        <f>_xlfn.XLOOKUP(Customer[[#This Row],[Customer ID]],[1]!Address[ID],[1]!Address[Type])</f>
        <v>PETROMART</v>
      </c>
      <c r="W136" s="11" t="str">
        <f>_xlfn.XLOOKUP(Customer[[#This Row],[Customer ID]],[1]!Address[ID],[1]!Address[CT])</f>
        <v>30 DAYS</v>
      </c>
      <c r="X136" s="11" t="s">
        <v>39</v>
      </c>
      <c r="Y136" s="17" t="s">
        <v>40</v>
      </c>
      <c r="Z136" s="17" t="e">
        <f>_xlfn.XLOOKUP(Customer[[#This Row],[NewType]],$AF$36:$AF$54,$AG$36:$AG$54)</f>
        <v>#N/A</v>
      </c>
      <c r="AA136" s="17" t="s">
        <v>1051</v>
      </c>
      <c r="AB136" s="11" t="str">
        <f>_xlfn.XLOOKUP(Customer[[#This Row],[Customer ID]],[1]!Address[ID],[1]!Address[Subtype])</f>
        <v>PETRONAS</v>
      </c>
      <c r="AC136" s="18" t="str">
        <f>_xlfn.XLOOKUP(Customer[[#This Row],[Customer ID]],[1]!Address[ID],[1]!Address[Zone])</f>
        <v>NORTH</v>
      </c>
    </row>
    <row r="137" spans="1:29" x14ac:dyDescent="0.3">
      <c r="A137" s="10" t="s">
        <v>1052</v>
      </c>
      <c r="B137" s="11" t="str">
        <f>_xlfn.XLOOKUP(Customer[[#This Row],[Customer ID]],[1]!Name[ID],[1]!Name[Description(1)])</f>
        <v>LEGACTWO PETROL STATION</v>
      </c>
      <c r="C137" s="11" t="str">
        <f>_xlfn.XLOOKUP(Customer[[#This Row],[Customer ID]],[1]!Name[ID],[1]!Name[Description(2)])</f>
        <v>PS BINJAI</v>
      </c>
      <c r="D137" s="11" t="str">
        <f>_xlfn.XLOOKUP(Customer[[#This Row],[Customer ID]],[1]!Address[ID],[1]!Address[PIC])</f>
        <v/>
      </c>
      <c r="E137" s="11" t="str">
        <f>_xlfn.XLOOKUP(Customer[[#This Row],[Customer ID]],[1]!Address[ID],[1]!Address[Full Address])</f>
        <v>PS BINJAILOT 257, GM 1618, BATU 4, BINJAI,24000 KEMAMAN,   TERENGGANU</v>
      </c>
      <c r="F137" s="12" t="s">
        <v>1053</v>
      </c>
      <c r="G137" s="12" t="s">
        <v>1054</v>
      </c>
      <c r="H137" s="12" t="s">
        <v>1055</v>
      </c>
      <c r="I137" s="12" t="b">
        <f>ISNUMBER(VALUE(LEFT(Customer[[#This Row],[Address Line 3 (30 char)]],1)))</f>
        <v>0</v>
      </c>
      <c r="J137" s="12" t="s">
        <v>1056</v>
      </c>
      <c r="K137" s="12">
        <v>24000</v>
      </c>
      <c r="L137" s="12" t="s">
        <v>35</v>
      </c>
      <c r="M137" s="13" t="e">
        <v>#N/A</v>
      </c>
      <c r="N137" s="14" t="e">
        <v>#N/A</v>
      </c>
      <c r="O137" s="14" t="e">
        <v>#N/A</v>
      </c>
      <c r="P137" s="14" t="e">
        <v>#N/A</v>
      </c>
      <c r="Q137" s="19" t="s">
        <v>1057</v>
      </c>
      <c r="R137" s="15" t="s">
        <v>1058</v>
      </c>
      <c r="S137" s="15" t="s">
        <v>37</v>
      </c>
      <c r="T137" s="16" t="s">
        <v>38</v>
      </c>
      <c r="U137" s="11" t="str">
        <f>_xlfn.XLOOKUP(Customer[[#This Row],[Customer ID]],[1]!Address[ID],[1]!Address[Phone No.(2)])</f>
        <v/>
      </c>
      <c r="V137" s="11" t="str">
        <f>_xlfn.XLOOKUP(Customer[[#This Row],[Customer ID]],[1]!Address[ID],[1]!Address[Type])</f>
        <v>PETROMART</v>
      </c>
      <c r="W137" s="11" t="str">
        <f>_xlfn.XLOOKUP(Customer[[#This Row],[Customer ID]],[1]!Address[ID],[1]!Address[CT])</f>
        <v>30 DAYS</v>
      </c>
      <c r="X137" s="11" t="s">
        <v>39</v>
      </c>
      <c r="Y137" s="17" t="s">
        <v>40</v>
      </c>
      <c r="Z137" s="17" t="e">
        <f>_xlfn.XLOOKUP(Customer[[#This Row],[NewType]],$AF$36:$AF$54,$AG$36:$AG$54)</f>
        <v>#N/A</v>
      </c>
      <c r="AA137" s="17" t="s">
        <v>1059</v>
      </c>
      <c r="AB137" s="11" t="str">
        <f>_xlfn.XLOOKUP(Customer[[#This Row],[Customer ID]],[1]!Address[ID],[1]!Address[Subtype])</f>
        <v>PETRONAS</v>
      </c>
      <c r="AC137" s="18" t="str">
        <f>_xlfn.XLOOKUP(Customer[[#This Row],[Customer ID]],[1]!Address[ID],[1]!Address[Zone])</f>
        <v>EAST COAST</v>
      </c>
    </row>
    <row r="138" spans="1:29" x14ac:dyDescent="0.3">
      <c r="A138" s="10" t="s">
        <v>1060</v>
      </c>
      <c r="B138" s="11" t="str">
        <f>_xlfn.XLOOKUP(Customer[[#This Row],[Customer ID]],[1]!Name[ID],[1]!Name[Description(1)])</f>
        <v>RBK SERVICE STATION</v>
      </c>
      <c r="C138" s="11" t="str">
        <f>_xlfn.XLOOKUP(Customer[[#This Row],[Customer ID]],[1]!Name[ID],[1]!Name[Description(2)])</f>
        <v>PS BERTAM PERDANA</v>
      </c>
      <c r="D138" s="11" t="str">
        <f>_xlfn.XLOOKUP(Customer[[#This Row],[Customer ID]],[1]!Address[ID],[1]!Address[PIC])</f>
        <v/>
      </c>
      <c r="E138" s="11" t="str">
        <f>_xlfn.XLOOKUP(Customer[[#This Row],[Customer ID]],[1]!Address[ID],[1]!Address[Full Address])</f>
        <v>PS BERTAM PERDANALOT 2081 &amp; 6163, MUKIM 6,BERTAM PERDANA, KEPALA BATAS,13200 SEBERANG PERAI UTARA,PULAU PINANG</v>
      </c>
      <c r="F138" s="12" t="s">
        <v>1061</v>
      </c>
      <c r="G138" s="12" t="s">
        <v>1062</v>
      </c>
      <c r="H138" s="12" t="s">
        <v>1063</v>
      </c>
      <c r="I138" s="12" t="b">
        <f>ISNUMBER(VALUE(LEFT(Customer[[#This Row],[Address Line 3 (30 char)]],1)))</f>
        <v>0</v>
      </c>
      <c r="J138" s="12" t="s">
        <v>179</v>
      </c>
      <c r="K138" s="12">
        <v>13200</v>
      </c>
      <c r="L138" s="12" t="s">
        <v>35</v>
      </c>
      <c r="M138" s="13" t="e">
        <v>#N/A</v>
      </c>
      <c r="N138" s="14" t="e">
        <v>#N/A</v>
      </c>
      <c r="O138" s="14" t="e">
        <v>#N/A</v>
      </c>
      <c r="P138" s="14" t="e">
        <v>#N/A</v>
      </c>
      <c r="Q138" s="19" t="s">
        <v>1064</v>
      </c>
      <c r="R138" s="15" t="s">
        <v>1065</v>
      </c>
      <c r="S138" s="15" t="s">
        <v>74</v>
      </c>
      <c r="T138" s="16" t="s">
        <v>38</v>
      </c>
      <c r="U138" s="11" t="str">
        <f>_xlfn.XLOOKUP(Customer[[#This Row],[Customer ID]],[1]!Address[ID],[1]!Address[Phone No.(2)])</f>
        <v/>
      </c>
      <c r="V138" s="11" t="str">
        <f>_xlfn.XLOOKUP(Customer[[#This Row],[Customer ID]],[1]!Address[ID],[1]!Address[Type])</f>
        <v>PETROMART</v>
      </c>
      <c r="W138" s="11" t="str">
        <f>_xlfn.XLOOKUP(Customer[[#This Row],[Customer ID]],[1]!Address[ID],[1]!Address[CT])</f>
        <v>30 DAYS</v>
      </c>
      <c r="X138" s="11" t="s">
        <v>39</v>
      </c>
      <c r="Y138" s="17" t="s">
        <v>40</v>
      </c>
      <c r="Z138" s="17" t="e">
        <f>_xlfn.XLOOKUP(Customer[[#This Row],[NewType]],$AF$36:$AF$54,$AG$36:$AG$54)</f>
        <v>#N/A</v>
      </c>
      <c r="AA138" s="17" t="s">
        <v>1066</v>
      </c>
      <c r="AB138" s="11" t="str">
        <f>_xlfn.XLOOKUP(Customer[[#This Row],[Customer ID]],[1]!Address[ID],[1]!Address[Subtype])</f>
        <v>PETRONAS</v>
      </c>
      <c r="AC138" s="18" t="str">
        <f>_xlfn.XLOOKUP(Customer[[#This Row],[Customer ID]],[1]!Address[ID],[1]!Address[Zone])</f>
        <v>NORTH</v>
      </c>
    </row>
    <row r="139" spans="1:29" x14ac:dyDescent="0.3">
      <c r="A139" s="27" t="s">
        <v>1067</v>
      </c>
      <c r="B139" s="28" t="str">
        <f>_xlfn.XLOOKUP(Customer[[#This Row],[Customer ID]],[1]!Name[ID],[1]!Name[Description(1)])</f>
        <v>ZIMAFF ENTERPRISE (PSS BKE 1)</v>
      </c>
      <c r="C139" s="11" t="str">
        <f>_xlfn.XLOOKUP(Customer[[#This Row],[Customer ID]],[1]!Name[ID],[1]!Name[Description(2)])</f>
        <v>PS BKE 1 (KULIM-BOUND)</v>
      </c>
      <c r="D139" s="11" t="str">
        <f>_xlfn.XLOOKUP(Customer[[#This Row],[Customer ID]],[1]!Address[ID],[1]!Address[PIC])</f>
        <v>Ahmad Faiz bin</v>
      </c>
      <c r="E139" s="11" t="str">
        <f>_xlfn.XLOOKUP(Customer[[#This Row],[Customer ID]],[1]!Address[ID],[1]!Address[Full Address])</f>
        <v>PS BKE 1 (KULIM-BOUND)LOT 119 &amp; 123 MUKIM 4,LEBUHRAYA BUTTERWORTH-KULIM,SPT BUTTERWORTH, 13700 PULAU PINANG.</v>
      </c>
      <c r="F139" s="12" t="s">
        <v>1068</v>
      </c>
      <c r="G139" s="12" t="s">
        <v>1069</v>
      </c>
      <c r="H139" s="12" t="s">
        <v>1070</v>
      </c>
      <c r="I139" s="12" t="b">
        <f>ISNUMBER(VALUE(LEFT(Customer[[#This Row],[Address Line 3 (30 char)]],1)))</f>
        <v>0</v>
      </c>
      <c r="J139" s="12" t="s">
        <v>179</v>
      </c>
      <c r="K139" s="12">
        <v>13700</v>
      </c>
      <c r="L139" s="12" t="s">
        <v>35</v>
      </c>
      <c r="M139" s="13">
        <v>200203018346</v>
      </c>
      <c r="N139" s="14" t="s">
        <v>1071</v>
      </c>
      <c r="O139" s="14" t="s">
        <v>54</v>
      </c>
      <c r="P139" s="14" t="e">
        <v>#N/A</v>
      </c>
      <c r="Q139" s="19" t="s">
        <v>1072</v>
      </c>
      <c r="R139" s="15" t="s">
        <v>1073</v>
      </c>
      <c r="S139" s="15" t="s">
        <v>74</v>
      </c>
      <c r="T139" s="16" t="s">
        <v>38</v>
      </c>
      <c r="U139" s="11" t="str">
        <f>_xlfn.XLOOKUP(Customer[[#This Row],[Customer ID]],[1]!Address[ID],[1]!Address[Phone No.(2)])</f>
        <v/>
      </c>
      <c r="V139" s="11" t="str">
        <f>_xlfn.XLOOKUP(Customer[[#This Row],[Customer ID]],[1]!Address[ID],[1]!Address[Type])</f>
        <v>PETROMART</v>
      </c>
      <c r="W139" s="11" t="str">
        <f>_xlfn.XLOOKUP(Customer[[#This Row],[Customer ID]],[1]!Address[ID],[1]!Address[CT])</f>
        <v>30 DAYS</v>
      </c>
      <c r="X139" s="11" t="s">
        <v>39</v>
      </c>
      <c r="Y139" s="17" t="s">
        <v>40</v>
      </c>
      <c r="Z139" s="17" t="e">
        <f>_xlfn.XLOOKUP(Customer[[#This Row],[NewType]],$AF$36:$AF$54,$AG$36:$AG$54)</f>
        <v>#N/A</v>
      </c>
      <c r="AA139" s="17" t="s">
        <v>1074</v>
      </c>
      <c r="AB139" s="11" t="str">
        <f>_xlfn.XLOOKUP(Customer[[#This Row],[Customer ID]],[1]!Address[ID],[1]!Address[Subtype])</f>
        <v>PETRONAS</v>
      </c>
      <c r="AC139" s="18" t="str">
        <f>_xlfn.XLOOKUP(Customer[[#This Row],[Customer ID]],[1]!Address[ID],[1]!Address[Zone])</f>
        <v>NORTH</v>
      </c>
    </row>
    <row r="140" spans="1:29" x14ac:dyDescent="0.3">
      <c r="A140" s="10" t="s">
        <v>1075</v>
      </c>
      <c r="B140" s="11" t="str">
        <f>_xlfn.XLOOKUP(Customer[[#This Row],[Customer ID]],[1]!Name[ID],[1]!Name[Description(1)])</f>
        <v>KOPERASI KAKITANGAN PETRONAS BHD</v>
      </c>
      <c r="C140" s="11" t="str">
        <f>_xlfn.XLOOKUP(Customer[[#This Row],[Customer ID]],[1]!Name[ID],[1]!Name[Description(2)])</f>
        <v>PS BRICKFIELDS</v>
      </c>
      <c r="D140" s="11" t="str">
        <f>_xlfn.XLOOKUP(Customer[[#This Row],[Customer ID]],[1]!Address[ID],[1]!Address[PIC])</f>
        <v/>
      </c>
      <c r="E140" s="11" t="str">
        <f>_xlfn.XLOOKUP(Customer[[#This Row],[Customer ID]],[1]!Address[ID],[1]!Address[Full Address])</f>
        <v>PS BRICKFIELDSLOT 545-552, JLN TUN SAMBANTHAN,BRICKFIELDS 50470 WILAYAHPERSEKUTUAN KUALA LUMPUR,</v>
      </c>
      <c r="F140" s="12" t="s">
        <v>1076</v>
      </c>
      <c r="G140" s="12" t="s">
        <v>1077</v>
      </c>
      <c r="H140" s="12" t="s">
        <v>1078</v>
      </c>
      <c r="I140" s="12" t="b">
        <f>ISNUMBER(VALUE(LEFT(Customer[[#This Row],[Address Line 3 (30 char)]],1)))</f>
        <v>0</v>
      </c>
      <c r="J140" s="12" t="s">
        <v>339</v>
      </c>
      <c r="K140" s="12">
        <v>50470</v>
      </c>
      <c r="L140" s="12" t="s">
        <v>35</v>
      </c>
      <c r="M140" s="13" t="e">
        <v>#N/A</v>
      </c>
      <c r="N140" s="14" t="e">
        <v>#N/A</v>
      </c>
      <c r="O140" s="14" t="e">
        <v>#N/A</v>
      </c>
      <c r="P140" s="14" t="e">
        <v>#N/A</v>
      </c>
      <c r="Q140" s="19" t="s">
        <v>228</v>
      </c>
      <c r="R140" s="15" t="s">
        <v>1079</v>
      </c>
      <c r="S140" s="15" t="s">
        <v>37</v>
      </c>
      <c r="T140" s="16" t="s">
        <v>38</v>
      </c>
      <c r="U140" s="11" t="str">
        <f>_xlfn.XLOOKUP(Customer[[#This Row],[Customer ID]],[1]!Address[ID],[1]!Address[Phone No.(2)])</f>
        <v/>
      </c>
      <c r="V140" s="11" t="str">
        <f>_xlfn.XLOOKUP(Customer[[#This Row],[Customer ID]],[1]!Address[ID],[1]!Address[Type])</f>
        <v>PETROMART</v>
      </c>
      <c r="W140" s="11" t="str">
        <f>_xlfn.XLOOKUP(Customer[[#This Row],[Customer ID]],[1]!Address[ID],[1]!Address[CT])</f>
        <v>30 DAYS</v>
      </c>
      <c r="X140" s="11" t="s">
        <v>39</v>
      </c>
      <c r="Y140" s="17" t="s">
        <v>40</v>
      </c>
      <c r="Z140" s="17" t="e">
        <f>_xlfn.XLOOKUP(Customer[[#This Row],[NewType]],$AF$36:$AF$54,$AG$36:$AG$54)</f>
        <v>#N/A</v>
      </c>
      <c r="AA140" s="17" t="s">
        <v>1080</v>
      </c>
      <c r="AB140" s="11" t="str">
        <f>_xlfn.XLOOKUP(Customer[[#This Row],[Customer ID]],[1]!Address[ID],[1]!Address[Subtype])</f>
        <v>PETRONAS</v>
      </c>
      <c r="AC140" s="18" t="str">
        <f>_xlfn.XLOOKUP(Customer[[#This Row],[Customer ID]],[1]!Address[ID],[1]!Address[Zone])</f>
        <v>CENTRAL</v>
      </c>
    </row>
    <row r="141" spans="1:29" x14ac:dyDescent="0.3">
      <c r="A141" s="10" t="s">
        <v>1081</v>
      </c>
      <c r="B141" s="11" t="str">
        <f>_xlfn.XLOOKUP(Customer[[#This Row],[Customer ID]],[1]!Name[ID],[1]!Name[Description(1)])</f>
        <v>MAYU TRADING</v>
      </c>
      <c r="C141" s="11" t="str">
        <f>_xlfn.XLOOKUP(Customer[[#This Row],[Customer ID]],[1]!Name[ID],[1]!Name[Description(2)])</f>
        <v>PS BRINCHANG</v>
      </c>
      <c r="D141" s="11" t="str">
        <f>_xlfn.XLOOKUP(Customer[[#This Row],[Customer ID]],[1]!Address[ID],[1]!Address[PIC])</f>
        <v/>
      </c>
      <c r="E141" s="11" t="str">
        <f>_xlfn.XLOOKUP(Customer[[#This Row],[Customer ID]],[1]!Address[ID],[1]!Address[Full Address])</f>
        <v>PS BRINCHANGLOT PT 719, JALAN BESAR, PEKAN RINGLET,39100, CAMERON HIGHLANDS, PAHANG</v>
      </c>
      <c r="F141" s="12" t="s">
        <v>1082</v>
      </c>
      <c r="G141" s="12" t="s">
        <v>1083</v>
      </c>
      <c r="H141" s="12" t="s">
        <v>1084</v>
      </c>
      <c r="I141" s="12" t="b">
        <f>ISNUMBER(VALUE(LEFT(Customer[[#This Row],[Address Line 3 (30 char)]],1)))</f>
        <v>0</v>
      </c>
      <c r="J141" s="12" t="s">
        <v>339</v>
      </c>
      <c r="K141" s="12">
        <v>39100</v>
      </c>
      <c r="L141" s="12" t="s">
        <v>35</v>
      </c>
      <c r="M141" s="13" t="e">
        <v>#N/A</v>
      </c>
      <c r="N141" s="14" t="e">
        <v>#N/A</v>
      </c>
      <c r="O141" s="14" t="e">
        <v>#N/A</v>
      </c>
      <c r="P141" s="14" t="e">
        <v>#N/A</v>
      </c>
      <c r="Q141" s="19" t="s">
        <v>1085</v>
      </c>
      <c r="R141" s="15" t="s">
        <v>1086</v>
      </c>
      <c r="S141" s="15" t="s">
        <v>37</v>
      </c>
      <c r="T141" s="16" t="s">
        <v>38</v>
      </c>
      <c r="U141" s="11" t="str">
        <f>_xlfn.XLOOKUP(Customer[[#This Row],[Customer ID]],[1]!Address[ID],[1]!Address[Phone No.(2)])</f>
        <v/>
      </c>
      <c r="V141" s="11" t="str">
        <f>_xlfn.XLOOKUP(Customer[[#This Row],[Customer ID]],[1]!Address[ID],[1]!Address[Type])</f>
        <v>PETROMART</v>
      </c>
      <c r="W141" s="11" t="str">
        <f>_xlfn.XLOOKUP(Customer[[#This Row],[Customer ID]],[1]!Address[ID],[1]!Address[CT])</f>
        <v>30 DAYS</v>
      </c>
      <c r="X141" s="11" t="s">
        <v>39</v>
      </c>
      <c r="Y141" s="17" t="s">
        <v>40</v>
      </c>
      <c r="Z141" s="17" t="e">
        <f>_xlfn.XLOOKUP(Customer[[#This Row],[NewType]],$AF$36:$AF$54,$AG$36:$AG$54)</f>
        <v>#N/A</v>
      </c>
      <c r="AA141" s="17" t="s">
        <v>1087</v>
      </c>
      <c r="AB141" s="11" t="str">
        <f>_xlfn.XLOOKUP(Customer[[#This Row],[Customer ID]],[1]!Address[ID],[1]!Address[Subtype])</f>
        <v>PETRONAS</v>
      </c>
      <c r="AC141" s="18" t="str">
        <f>_xlfn.XLOOKUP(Customer[[#This Row],[Customer ID]],[1]!Address[ID],[1]!Address[Zone])</f>
        <v>EAST COAST</v>
      </c>
    </row>
    <row r="142" spans="1:29" x14ac:dyDescent="0.3">
      <c r="A142" s="10" t="s">
        <v>1088</v>
      </c>
      <c r="B142" s="11" t="str">
        <f>_xlfn.XLOOKUP(Customer[[#This Row],[Customer ID]],[1]!Name[ID],[1]!Name[Description(1)])</f>
        <v>MAYU TRADING (USE ACC 3000/140)</v>
      </c>
      <c r="C142" s="11" t="str">
        <f>_xlfn.XLOOKUP(Customer[[#This Row],[Customer ID]],[1]!Name[ID],[1]!Name[Description(2)])</f>
        <v>PS BRINCHANG</v>
      </c>
      <c r="D142" s="11" t="str">
        <f>_xlfn.XLOOKUP(Customer[[#This Row],[Customer ID]],[1]!Address[ID],[1]!Address[PIC])</f>
        <v/>
      </c>
      <c r="E142" s="11" t="str">
        <f>_xlfn.XLOOKUP(Customer[[#This Row],[Customer ID]],[1]!Address[ID],[1]!Address[Full Address])</f>
        <v>PS BRINCHANGLOT 53, JALAN BESAR, BRINCHANG,39200 CAMERON HIGHLANDS, PAHANG</v>
      </c>
      <c r="F142" s="12" t="s">
        <v>1089</v>
      </c>
      <c r="G142" s="12" t="s">
        <v>1090</v>
      </c>
      <c r="H142" s="12" t="s">
        <v>1084</v>
      </c>
      <c r="I142" s="12" t="b">
        <f>ISNUMBER(VALUE(LEFT(Customer[[#This Row],[Address Line 3 (30 char)]],1)))</f>
        <v>0</v>
      </c>
      <c r="J142" s="12" t="s">
        <v>339</v>
      </c>
      <c r="K142" s="12">
        <v>39200</v>
      </c>
      <c r="L142" s="12" t="s">
        <v>35</v>
      </c>
      <c r="M142" s="13" t="e">
        <v>#N/A</v>
      </c>
      <c r="N142" s="14" t="e">
        <v>#N/A</v>
      </c>
      <c r="O142" s="14" t="e">
        <v>#N/A</v>
      </c>
      <c r="P142" s="14" t="e">
        <v>#N/A</v>
      </c>
      <c r="Q142" s="19" t="s">
        <v>1085</v>
      </c>
      <c r="R142" s="15" t="s">
        <v>1091</v>
      </c>
      <c r="S142" s="15" t="s">
        <v>37</v>
      </c>
      <c r="T142" s="16" t="s">
        <v>38</v>
      </c>
      <c r="U142" s="11" t="str">
        <f>_xlfn.XLOOKUP(Customer[[#This Row],[Customer ID]],[1]!Address[ID],[1]!Address[Phone No.(2)])</f>
        <v/>
      </c>
      <c r="V142" s="11" t="str">
        <f>_xlfn.XLOOKUP(Customer[[#This Row],[Customer ID]],[1]!Address[ID],[1]!Address[Type])</f>
        <v>PETROMART</v>
      </c>
      <c r="W142" s="11" t="str">
        <f>_xlfn.XLOOKUP(Customer[[#This Row],[Customer ID]],[1]!Address[ID],[1]!Address[CT])</f>
        <v>30 DAYS</v>
      </c>
      <c r="X142" s="11" t="s">
        <v>39</v>
      </c>
      <c r="Y142" s="17" t="s">
        <v>40</v>
      </c>
      <c r="Z142" s="17" t="e">
        <f>_xlfn.XLOOKUP(Customer[[#This Row],[NewType]],$AF$36:$AF$54,$AG$36:$AG$54)</f>
        <v>#N/A</v>
      </c>
      <c r="AA142" s="17" t="s">
        <v>1092</v>
      </c>
      <c r="AB142" s="11" t="str">
        <f>_xlfn.XLOOKUP(Customer[[#This Row],[Customer ID]],[1]!Address[ID],[1]!Address[Subtype])</f>
        <v>PETRONAS</v>
      </c>
      <c r="AC142" s="18" t="str">
        <f>_xlfn.XLOOKUP(Customer[[#This Row],[Customer ID]],[1]!Address[ID],[1]!Address[Zone])</f>
        <v>EAST COAST</v>
      </c>
    </row>
    <row r="143" spans="1:29" x14ac:dyDescent="0.3">
      <c r="A143" s="10" t="s">
        <v>1093</v>
      </c>
      <c r="B143" s="11" t="str">
        <f>_xlfn.XLOOKUP(Customer[[#This Row],[Customer ID]],[1]!Name[ID],[1]!Name[Description(1)])</f>
        <v>TGA PETROL ENTERPRISE</v>
      </c>
      <c r="C143" s="11" t="str">
        <f>_xlfn.XLOOKUP(Customer[[#This Row],[Customer ID]],[1]!Name[ID],[1]!Name[Description(2)])</f>
        <v>PS BATU 22 KUALA BERANG</v>
      </c>
      <c r="D143" s="11" t="str">
        <f>_xlfn.XLOOKUP(Customer[[#This Row],[Customer ID]],[1]!Address[ID],[1]!Address[PIC])</f>
        <v/>
      </c>
      <c r="E143" s="11" t="str">
        <f>_xlfn.XLOOKUP(Customer[[#This Row],[Customer ID]],[1]!Address[ID],[1]!Address[Full Address])</f>
        <v>PS BATU 22 KUALA BERANGLOT PT 10180 HS(M) 8195,BATU 22, MUKIM KUALA BERANG,21700 HULU TERENGGANU, TERENGGANU</v>
      </c>
      <c r="F143" s="12" t="s">
        <v>1094</v>
      </c>
      <c r="G143" s="12" t="s">
        <v>1095</v>
      </c>
      <c r="H143" s="12" t="s">
        <v>1096</v>
      </c>
      <c r="I143" s="12" t="b">
        <f>ISNUMBER(VALUE(LEFT(Customer[[#This Row],[Address Line 3 (30 char)]],1)))</f>
        <v>0</v>
      </c>
      <c r="J143" s="12" t="s">
        <v>154</v>
      </c>
      <c r="K143" s="12">
        <v>21700</v>
      </c>
      <c r="L143" s="12" t="s">
        <v>35</v>
      </c>
      <c r="M143" s="13" t="e">
        <v>#N/A</v>
      </c>
      <c r="N143" s="14" t="e">
        <v>#N/A</v>
      </c>
      <c r="O143" s="14" t="e">
        <v>#N/A</v>
      </c>
      <c r="P143" s="14" t="e">
        <v>#N/A</v>
      </c>
      <c r="Q143" s="19" t="s">
        <v>1097</v>
      </c>
      <c r="R143" s="15" t="s">
        <v>1098</v>
      </c>
      <c r="S143" s="15" t="s">
        <v>37</v>
      </c>
      <c r="T143" s="16" t="s">
        <v>38</v>
      </c>
      <c r="U143" s="11" t="str">
        <f>_xlfn.XLOOKUP(Customer[[#This Row],[Customer ID]],[1]!Address[ID],[1]!Address[Phone No.(2)])</f>
        <v/>
      </c>
      <c r="V143" s="11" t="str">
        <f>_xlfn.XLOOKUP(Customer[[#This Row],[Customer ID]],[1]!Address[ID],[1]!Address[Type])</f>
        <v>PETROMART</v>
      </c>
      <c r="W143" s="11" t="str">
        <f>_xlfn.XLOOKUP(Customer[[#This Row],[Customer ID]],[1]!Address[ID],[1]!Address[CT])</f>
        <v>30 DAYS</v>
      </c>
      <c r="X143" s="11" t="s">
        <v>39</v>
      </c>
      <c r="Y143" s="17" t="s">
        <v>40</v>
      </c>
      <c r="Z143" s="17" t="e">
        <f>_xlfn.XLOOKUP(Customer[[#This Row],[NewType]],$AF$36:$AF$54,$AG$36:$AG$54)</f>
        <v>#N/A</v>
      </c>
      <c r="AA143" s="17" t="s">
        <v>1099</v>
      </c>
      <c r="AB143" s="11" t="str">
        <f>_xlfn.XLOOKUP(Customer[[#This Row],[Customer ID]],[1]!Address[ID],[1]!Address[Subtype])</f>
        <v>PETRONAS</v>
      </c>
      <c r="AC143" s="18" t="str">
        <f>_xlfn.XLOOKUP(Customer[[#This Row],[Customer ID]],[1]!Address[ID],[1]!Address[Zone])</f>
        <v>EAST COAST</v>
      </c>
    </row>
    <row r="144" spans="1:29" x14ac:dyDescent="0.3">
      <c r="A144" s="10" t="s">
        <v>1100</v>
      </c>
      <c r="B144" s="11" t="str">
        <f>_xlfn.XLOOKUP(Customer[[#This Row],[Customer ID]],[1]!Name[ID],[1]!Name[Description(1)])</f>
        <v>JAMALUDDIN NORDIN ENTERPRISE</v>
      </c>
      <c r="C144" s="11" t="str">
        <f>_xlfn.XLOOKUP(Customer[[#This Row],[Customer ID]],[1]!Name[ID],[1]!Name[Description(2)])</f>
        <v>PS BUKIT ANTARABANGSA</v>
      </c>
      <c r="D144" s="11" t="str">
        <f>_xlfn.XLOOKUP(Customer[[#This Row],[Customer ID]],[1]!Address[ID],[1]!Address[PIC])</f>
        <v/>
      </c>
      <c r="E144" s="11" t="str">
        <f>_xlfn.XLOOKUP(Customer[[#This Row],[Customer ID]],[1]!Address[ID],[1]!Address[Full Address])</f>
        <v>PS BUKIT ANTARABANGSALOT PT 3429, JALAN WANGSA 2,BUKIT ANTARABANGSA,68000 AMPANG,  SELANGOR</v>
      </c>
      <c r="F144" s="12" t="s">
        <v>1101</v>
      </c>
      <c r="G144" s="12" t="s">
        <v>1102</v>
      </c>
      <c r="H144" s="12" t="s">
        <v>1103</v>
      </c>
      <c r="I144" s="12" t="b">
        <f>ISNUMBER(VALUE(LEFT(Customer[[#This Row],[Address Line 3 (30 char)]],1)))</f>
        <v>0</v>
      </c>
      <c r="J144" s="12" t="s">
        <v>172</v>
      </c>
      <c r="K144" s="12">
        <v>68000</v>
      </c>
      <c r="L144" s="12" t="s">
        <v>35</v>
      </c>
      <c r="M144" s="13">
        <v>199803022876</v>
      </c>
      <c r="N144" s="14" t="s">
        <v>1104</v>
      </c>
      <c r="O144" s="14" t="s">
        <v>54</v>
      </c>
      <c r="P144" s="14">
        <v>47300</v>
      </c>
      <c r="Q144" s="19" t="s">
        <v>1105</v>
      </c>
      <c r="R144" s="15" t="s">
        <v>1106</v>
      </c>
      <c r="S144" s="15" t="s">
        <v>37</v>
      </c>
      <c r="T144" s="16" t="s">
        <v>38</v>
      </c>
      <c r="U144" s="11" t="str">
        <f>_xlfn.XLOOKUP(Customer[[#This Row],[Customer ID]],[1]!Address[ID],[1]!Address[Phone No.(2)])</f>
        <v/>
      </c>
      <c r="V144" s="11" t="str">
        <f>_xlfn.XLOOKUP(Customer[[#This Row],[Customer ID]],[1]!Address[ID],[1]!Address[Type])</f>
        <v>PETROMART</v>
      </c>
      <c r="W144" s="11" t="str">
        <f>_xlfn.XLOOKUP(Customer[[#This Row],[Customer ID]],[1]!Address[ID],[1]!Address[CT])</f>
        <v>30 DAYS</v>
      </c>
      <c r="X144" s="11" t="s">
        <v>39</v>
      </c>
      <c r="Y144" s="17" t="s">
        <v>40</v>
      </c>
      <c r="Z144" s="17" t="e">
        <f>_xlfn.XLOOKUP(Customer[[#This Row],[NewType]],$AF$36:$AF$54,$AG$36:$AG$54)</f>
        <v>#N/A</v>
      </c>
      <c r="AA144" s="17" t="s">
        <v>1107</v>
      </c>
      <c r="AB144" s="11" t="str">
        <f>_xlfn.XLOOKUP(Customer[[#This Row],[Customer ID]],[1]!Address[ID],[1]!Address[Subtype])</f>
        <v>PETRONAS</v>
      </c>
      <c r="AC144" s="18" t="str">
        <f>_xlfn.XLOOKUP(Customer[[#This Row],[Customer ID]],[1]!Address[ID],[1]!Address[Zone])</f>
        <v>CENTRAL</v>
      </c>
    </row>
    <row r="145" spans="1:29" x14ac:dyDescent="0.3">
      <c r="A145" s="27" t="s">
        <v>1108</v>
      </c>
      <c r="B145" s="28" t="str">
        <f>_xlfn.XLOOKUP(Customer[[#This Row],[Customer ID]],[1]!Name[ID],[1]!Name[Description(1)])</f>
        <v>YUSZHA ENTERPRISE</v>
      </c>
      <c r="C145" s="11" t="str">
        <f>_xlfn.XLOOKUP(Customer[[#This Row],[Customer ID]],[1]!Name[ID],[1]!Name[Description(2)])</f>
        <v>PS BUKIT BANDARAY</v>
      </c>
      <c r="D145" s="11" t="str">
        <f>_xlfn.XLOOKUP(Customer[[#This Row],[Customer ID]],[1]!Address[ID],[1]!Address[PIC])</f>
        <v/>
      </c>
      <c r="E145" s="11" t="str">
        <f>_xlfn.XLOOKUP(Customer[[#This Row],[Customer ID]],[1]!Address[ID],[1]!Address[Full Address])</f>
        <v>PS BUKIT BANDARAYLOT PT 313, HS (D) 310, PERSIMPANGANJALAN MAAROF 5, BANGSAR,58000 WILAYAHPERSEKUTUAN KUALA LUMPUR</v>
      </c>
      <c r="F145" s="12" t="s">
        <v>1109</v>
      </c>
      <c r="G145" s="12" t="s">
        <v>1110</v>
      </c>
      <c r="H145" s="12" t="s">
        <v>1111</v>
      </c>
      <c r="I145" s="12" t="b">
        <f>ISNUMBER(VALUE(LEFT(Customer[[#This Row],[Address Line 3 (30 char)]],1)))</f>
        <v>0</v>
      </c>
      <c r="J145" s="29" t="s">
        <v>34</v>
      </c>
      <c r="K145" s="12">
        <v>58000</v>
      </c>
      <c r="L145" s="12" t="s">
        <v>35</v>
      </c>
      <c r="M145" s="13" t="e">
        <v>#N/A</v>
      </c>
      <c r="N145" s="14" t="e">
        <v>#N/A</v>
      </c>
      <c r="O145" s="14" t="e">
        <v>#N/A</v>
      </c>
      <c r="P145" s="14" t="e">
        <v>#N/A</v>
      </c>
      <c r="Q145" s="19" t="s">
        <v>1112</v>
      </c>
      <c r="R145" s="15" t="s">
        <v>1113</v>
      </c>
      <c r="S145" s="15" t="s">
        <v>65</v>
      </c>
      <c r="T145" s="16" t="s">
        <v>38</v>
      </c>
      <c r="U145" s="11" t="str">
        <f>_xlfn.XLOOKUP(Customer[[#This Row],[Customer ID]],[1]!Address[ID],[1]!Address[Phone No.(2)])</f>
        <v/>
      </c>
      <c r="V145" s="11" t="str">
        <f>_xlfn.XLOOKUP(Customer[[#This Row],[Customer ID]],[1]!Address[ID],[1]!Address[Type])</f>
        <v>PETROMART</v>
      </c>
      <c r="W145" s="11" t="str">
        <f>_xlfn.XLOOKUP(Customer[[#This Row],[Customer ID]],[1]!Address[ID],[1]!Address[CT])</f>
        <v>30 DAYS</v>
      </c>
      <c r="X145" s="11" t="s">
        <v>39</v>
      </c>
      <c r="Y145" s="17" t="s">
        <v>40</v>
      </c>
      <c r="Z145" s="17" t="e">
        <f>_xlfn.XLOOKUP(Customer[[#This Row],[NewType]],$AF$36:$AF$54,$AG$36:$AG$54)</f>
        <v>#N/A</v>
      </c>
      <c r="AA145" s="17" t="s">
        <v>1114</v>
      </c>
      <c r="AB145" s="11" t="str">
        <f>_xlfn.XLOOKUP(Customer[[#This Row],[Customer ID]],[1]!Address[ID],[1]!Address[Subtype])</f>
        <v>PETRONAS</v>
      </c>
      <c r="AC145" s="18" t="str">
        <f>_xlfn.XLOOKUP(Customer[[#This Row],[Customer ID]],[1]!Address[ID],[1]!Address[Zone])</f>
        <v>CENTRAL</v>
      </c>
    </row>
    <row r="146" spans="1:29" x14ac:dyDescent="0.3">
      <c r="A146" s="10" t="s">
        <v>1115</v>
      </c>
      <c r="B146" s="11" t="str">
        <f>_xlfn.XLOOKUP(Customer[[#This Row],[Customer ID]],[1]!Name[ID],[1]!Name[Description(1)])</f>
        <v>BADARIS NZ ENTERPRISE</v>
      </c>
      <c r="C146" s="11" t="str">
        <f>_xlfn.XLOOKUP(Customer[[#This Row],[Customer ID]],[1]!Name[ID],[1]!Name[Description(2)])</f>
        <v>PS BUKIT BARU 2</v>
      </c>
      <c r="D146" s="11" t="str">
        <f>_xlfn.XLOOKUP(Customer[[#This Row],[Customer ID]],[1]!Address[ID],[1]!Address[PIC])</f>
        <v/>
      </c>
      <c r="E146" s="11" t="str">
        <f>_xlfn.XLOOKUP(Customer[[#This Row],[Customer ID]],[1]!Address[ID],[1]!Address[Full Address])</f>
        <v>PS BUKIT BARU 2LOT 347, JALAN BUKIT BARU,SEKSYEN III, BUKIT BARU,75150 MELAKA</v>
      </c>
      <c r="F146" s="12" t="s">
        <v>1116</v>
      </c>
      <c r="G146" s="12" t="s">
        <v>1117</v>
      </c>
      <c r="H146" s="12" t="s">
        <v>1118</v>
      </c>
      <c r="I146" s="12" t="b">
        <f>ISNUMBER(VALUE(LEFT(Customer[[#This Row],[Address Line 3 (30 char)]],1)))</f>
        <v>0</v>
      </c>
      <c r="J146" s="12" t="s">
        <v>61</v>
      </c>
      <c r="K146" s="12">
        <v>75150</v>
      </c>
      <c r="L146" s="12" t="s">
        <v>35</v>
      </c>
      <c r="M146" s="13">
        <v>201203264897</v>
      </c>
      <c r="N146" s="14" t="s">
        <v>1119</v>
      </c>
      <c r="O146" s="14" t="s">
        <v>54</v>
      </c>
      <c r="P146" s="14" t="s">
        <v>1120</v>
      </c>
      <c r="Q146" s="19" t="s">
        <v>1121</v>
      </c>
      <c r="R146" s="15" t="s">
        <v>1122</v>
      </c>
      <c r="S146" s="15" t="s">
        <v>37</v>
      </c>
      <c r="T146" s="16" t="s">
        <v>38</v>
      </c>
      <c r="U146" s="11" t="str">
        <f>_xlfn.XLOOKUP(Customer[[#This Row],[Customer ID]],[1]!Address[ID],[1]!Address[Phone No.(2)])</f>
        <v/>
      </c>
      <c r="V146" s="11" t="str">
        <f>_xlfn.XLOOKUP(Customer[[#This Row],[Customer ID]],[1]!Address[ID],[1]!Address[Type])</f>
        <v>PETROMART</v>
      </c>
      <c r="W146" s="11" t="str">
        <f>_xlfn.XLOOKUP(Customer[[#This Row],[Customer ID]],[1]!Address[ID],[1]!Address[CT])</f>
        <v>30 DAYS</v>
      </c>
      <c r="X146" s="11" t="s">
        <v>39</v>
      </c>
      <c r="Y146" s="17" t="s">
        <v>40</v>
      </c>
      <c r="Z146" s="17" t="e">
        <f>_xlfn.XLOOKUP(Customer[[#This Row],[NewType]],$AF$36:$AF$54,$AG$36:$AG$54)</f>
        <v>#N/A</v>
      </c>
      <c r="AA146" s="17" t="s">
        <v>1123</v>
      </c>
      <c r="AB146" s="11" t="str">
        <f>_xlfn.XLOOKUP(Customer[[#This Row],[Customer ID]],[1]!Address[ID],[1]!Address[Subtype])</f>
        <v>PETRONAS</v>
      </c>
      <c r="AC146" s="18" t="str">
        <f>_xlfn.XLOOKUP(Customer[[#This Row],[Customer ID]],[1]!Address[ID],[1]!Address[Zone])</f>
        <v>SOUTH</v>
      </c>
    </row>
    <row r="147" spans="1:29" x14ac:dyDescent="0.3">
      <c r="A147" s="10" t="s">
        <v>1124</v>
      </c>
      <c r="B147" s="11" t="str">
        <f>_xlfn.XLOOKUP(Customer[[#This Row],[Customer ID]],[1]!Name[ID],[1]!Name[Description(1)])</f>
        <v>STESEN ALSIRA</v>
      </c>
      <c r="C147" s="11" t="str">
        <f>_xlfn.XLOOKUP(Customer[[#This Row],[Customer ID]],[1]!Name[ID],[1]!Name[Description(2)])</f>
        <v>PS BUKIT BELACHAN</v>
      </c>
      <c r="D147" s="11" t="str">
        <f>_xlfn.XLOOKUP(Customer[[#This Row],[Customer ID]],[1]!Address[ID],[1]!Address[PIC])</f>
        <v/>
      </c>
      <c r="E147" s="11" t="str">
        <f>_xlfn.XLOOKUP(Customer[[#This Row],[Customer ID]],[1]!Address[ID],[1]!Address[Full Address])</f>
        <v>PS BUKIT BELACHANLOT PT 476 - 484,JLN BUKIT BELACAN, AMPANG,68000 ULU LANGAT, SELANGOR</v>
      </c>
      <c r="F147" s="12" t="s">
        <v>1125</v>
      </c>
      <c r="G147" s="12" t="s">
        <v>1126</v>
      </c>
      <c r="H147" s="12" t="s">
        <v>1127</v>
      </c>
      <c r="I147" s="12" t="b">
        <f>ISNUMBER(VALUE(LEFT(Customer[[#This Row],[Address Line 3 (30 char)]],1)))</f>
        <v>0</v>
      </c>
      <c r="J147" s="12" t="s">
        <v>172</v>
      </c>
      <c r="K147" s="12">
        <v>68000</v>
      </c>
      <c r="L147" s="12" t="s">
        <v>35</v>
      </c>
      <c r="M147" s="13" t="e">
        <v>#N/A</v>
      </c>
      <c r="N147" s="14" t="e">
        <v>#N/A</v>
      </c>
      <c r="O147" s="14" t="e">
        <v>#N/A</v>
      </c>
      <c r="P147" s="14" t="e">
        <v>#N/A</v>
      </c>
      <c r="Q147" s="19" t="s">
        <v>1128</v>
      </c>
      <c r="R147" s="15" t="s">
        <v>1129</v>
      </c>
      <c r="S147" s="15" t="s">
        <v>609</v>
      </c>
      <c r="T147" s="16" t="s">
        <v>38</v>
      </c>
      <c r="U147" s="11" t="str">
        <f>_xlfn.XLOOKUP(Customer[[#This Row],[Customer ID]],[1]!Address[ID],[1]!Address[Phone No.(2)])</f>
        <v/>
      </c>
      <c r="V147" s="11" t="str">
        <f>_xlfn.XLOOKUP(Customer[[#This Row],[Customer ID]],[1]!Address[ID],[1]!Address[Type])</f>
        <v>PETROMART</v>
      </c>
      <c r="W147" s="11" t="str">
        <f>_xlfn.XLOOKUP(Customer[[#This Row],[Customer ID]],[1]!Address[ID],[1]!Address[CT])</f>
        <v>30 DAYS</v>
      </c>
      <c r="X147" s="11" t="s">
        <v>39</v>
      </c>
      <c r="Y147" s="17" t="s">
        <v>40</v>
      </c>
      <c r="Z147" s="17" t="e">
        <f>_xlfn.XLOOKUP(Customer[[#This Row],[NewType]],$AF$36:$AF$54,$AG$36:$AG$54)</f>
        <v>#N/A</v>
      </c>
      <c r="AA147" s="17" t="s">
        <v>1130</v>
      </c>
      <c r="AB147" s="11" t="str">
        <f>_xlfn.XLOOKUP(Customer[[#This Row],[Customer ID]],[1]!Address[ID],[1]!Address[Subtype])</f>
        <v>PETRONAS</v>
      </c>
      <c r="AC147" s="18" t="str">
        <f>_xlfn.XLOOKUP(Customer[[#This Row],[Customer ID]],[1]!Address[ID],[1]!Address[Zone])</f>
        <v>CENTRAL</v>
      </c>
    </row>
    <row r="148" spans="1:29" x14ac:dyDescent="0.3">
      <c r="A148" s="10" t="s">
        <v>1131</v>
      </c>
      <c r="B148" s="11" t="str">
        <f>_xlfn.XLOOKUP(Customer[[#This Row],[Customer ID]],[1]!Name[ID],[1]!Name[Description(1)])</f>
        <v>PUTRAJAYA ENTERPRISE</v>
      </c>
      <c r="C148" s="11" t="str">
        <f>_xlfn.XLOOKUP(Customer[[#This Row],[Customer ID]],[1]!Name[ID],[1]!Name[Description(2)])</f>
        <v>PS BUKIT BERUANG</v>
      </c>
      <c r="D148" s="11" t="str">
        <f>_xlfn.XLOOKUP(Customer[[#This Row],[Customer ID]],[1]!Address[ID],[1]!Address[PIC])</f>
        <v/>
      </c>
      <c r="E148" s="11" t="str">
        <f>_xlfn.XLOOKUP(Customer[[#This Row],[Customer ID]],[1]!Address[ID],[1]!Address[Full Address])</f>
        <v>PS BUKIT BERUANGLOT 4157, BUKIT BERUANG,75450 MELAKA TENGAH, MELAKA</v>
      </c>
      <c r="F148" s="12" t="s">
        <v>1132</v>
      </c>
      <c r="G148" s="12" t="s">
        <v>1133</v>
      </c>
      <c r="H148" s="24" t="s">
        <v>102</v>
      </c>
      <c r="I148" s="24" t="b">
        <f>ISNUMBER(VALUE(LEFT(Customer[[#This Row],[Address Line 3 (30 char)]],1)))</f>
        <v>0</v>
      </c>
      <c r="J148" s="12" t="s">
        <v>61</v>
      </c>
      <c r="K148" s="12">
        <v>75450</v>
      </c>
      <c r="L148" s="12" t="s">
        <v>35</v>
      </c>
      <c r="M148" s="13" t="e">
        <v>#N/A</v>
      </c>
      <c r="N148" s="14" t="e">
        <v>#N/A</v>
      </c>
      <c r="O148" s="14" t="e">
        <v>#N/A</v>
      </c>
      <c r="P148" s="14" t="e">
        <v>#N/A</v>
      </c>
      <c r="Q148" s="19" t="s">
        <v>1134</v>
      </c>
      <c r="R148" s="15" t="s">
        <v>1135</v>
      </c>
      <c r="S148" s="15" t="s">
        <v>37</v>
      </c>
      <c r="T148" s="16" t="s">
        <v>38</v>
      </c>
      <c r="U148" s="11" t="str">
        <f>_xlfn.XLOOKUP(Customer[[#This Row],[Customer ID]],[1]!Address[ID],[1]!Address[Phone No.(2)])</f>
        <v/>
      </c>
      <c r="V148" s="11" t="str">
        <f>_xlfn.XLOOKUP(Customer[[#This Row],[Customer ID]],[1]!Address[ID],[1]!Address[Type])</f>
        <v>PETROMART</v>
      </c>
      <c r="W148" s="11" t="str">
        <f>_xlfn.XLOOKUP(Customer[[#This Row],[Customer ID]],[1]!Address[ID],[1]!Address[CT])</f>
        <v>30 DAYS</v>
      </c>
      <c r="X148" s="11" t="s">
        <v>39</v>
      </c>
      <c r="Y148" s="17" t="s">
        <v>40</v>
      </c>
      <c r="Z148" s="17" t="e">
        <f>_xlfn.XLOOKUP(Customer[[#This Row],[NewType]],$AF$36:$AF$54,$AG$36:$AG$54)</f>
        <v>#N/A</v>
      </c>
      <c r="AA148" s="17" t="s">
        <v>1136</v>
      </c>
      <c r="AB148" s="11" t="str">
        <f>_xlfn.XLOOKUP(Customer[[#This Row],[Customer ID]],[1]!Address[ID],[1]!Address[Subtype])</f>
        <v>PETRONAS</v>
      </c>
      <c r="AC148" s="18" t="str">
        <f>_xlfn.XLOOKUP(Customer[[#This Row],[Customer ID]],[1]!Address[ID],[1]!Address[Zone])</f>
        <v>SOUTH</v>
      </c>
    </row>
    <row r="149" spans="1:29" x14ac:dyDescent="0.3">
      <c r="A149" s="10" t="s">
        <v>1137</v>
      </c>
      <c r="B149" s="11" t="str">
        <f>_xlfn.XLOOKUP(Customer[[#This Row],[Customer ID]],[1]!Name[ID],[1]!Name[Description(1)])</f>
        <v>ACTGREEN SERVICE STATION</v>
      </c>
      <c r="C149" s="11" t="str">
        <f>_xlfn.XLOOKUP(Customer[[#This Row],[Customer ID]],[1]!Name[ID],[1]!Name[Description(2)])</f>
        <v>PS BUKIT BERUNTUNG</v>
      </c>
      <c r="D149" s="11" t="str">
        <f>_xlfn.XLOOKUP(Customer[[#This Row],[Customer ID]],[1]!Address[ID],[1]!Address[PIC])</f>
        <v/>
      </c>
      <c r="E149" s="11" t="str">
        <f>_xlfn.XLOOKUP(Customer[[#This Row],[Customer ID]],[1]!Address[ID],[1]!Address[Full Address])</f>
        <v>PS BUKIT BERUNTUNGLOT 10496, JALAN KEMUNTING 1,BANDAR BUKIT BERUNTUNG, MUKIM SERENDAH,48200 ULU SELANGOR,  SELANGOR</v>
      </c>
      <c r="F149" s="12" t="s">
        <v>1138</v>
      </c>
      <c r="G149" s="12" t="s">
        <v>1139</v>
      </c>
      <c r="H149" s="12" t="s">
        <v>1140</v>
      </c>
      <c r="I149" s="12" t="b">
        <f>ISNUMBER(VALUE(LEFT(Customer[[#This Row],[Address Line 3 (30 char)]],1)))</f>
        <v>0</v>
      </c>
      <c r="J149" s="12" t="s">
        <v>172</v>
      </c>
      <c r="K149" s="12">
        <v>78200</v>
      </c>
      <c r="L149" s="12" t="s">
        <v>35</v>
      </c>
      <c r="M149" s="13">
        <v>200803047909</v>
      </c>
      <c r="N149" s="14" t="s">
        <v>1141</v>
      </c>
      <c r="O149" s="14" t="s">
        <v>54</v>
      </c>
      <c r="P149" s="14">
        <v>47114</v>
      </c>
      <c r="Q149" s="19" t="s">
        <v>1142</v>
      </c>
      <c r="R149" s="15" t="s">
        <v>1143</v>
      </c>
      <c r="S149" s="15" t="s">
        <v>37</v>
      </c>
      <c r="T149" s="16" t="s">
        <v>38</v>
      </c>
      <c r="U149" s="11" t="str">
        <f>_xlfn.XLOOKUP(Customer[[#This Row],[Customer ID]],[1]!Address[ID],[1]!Address[Phone No.(2)])</f>
        <v/>
      </c>
      <c r="V149" s="11" t="str">
        <f>_xlfn.XLOOKUP(Customer[[#This Row],[Customer ID]],[1]!Address[ID],[1]!Address[Type])</f>
        <v>PETROMART</v>
      </c>
      <c r="W149" s="11" t="str">
        <f>_xlfn.XLOOKUP(Customer[[#This Row],[Customer ID]],[1]!Address[ID],[1]!Address[CT])</f>
        <v>30 DAYS</v>
      </c>
      <c r="X149" s="11" t="s">
        <v>39</v>
      </c>
      <c r="Y149" s="17" t="s">
        <v>40</v>
      </c>
      <c r="Z149" s="17" t="e">
        <f>_xlfn.XLOOKUP(Customer[[#This Row],[NewType]],$AF$36:$AF$54,$AG$36:$AG$54)</f>
        <v>#N/A</v>
      </c>
      <c r="AA149" s="17" t="s">
        <v>1144</v>
      </c>
      <c r="AB149" s="11" t="str">
        <f>_xlfn.XLOOKUP(Customer[[#This Row],[Customer ID]],[1]!Address[ID],[1]!Address[Subtype])</f>
        <v>PETRONAS</v>
      </c>
      <c r="AC149" s="18" t="str">
        <f>_xlfn.XLOOKUP(Customer[[#This Row],[Customer ID]],[1]!Address[ID],[1]!Address[Zone])</f>
        <v>CENTRAL</v>
      </c>
    </row>
    <row r="150" spans="1:29" x14ac:dyDescent="0.3">
      <c r="A150" s="10" t="s">
        <v>1145</v>
      </c>
      <c r="B150" s="11" t="str">
        <f>_xlfn.XLOOKUP(Customer[[#This Row],[Customer ID]],[1]!Name[ID],[1]!Name[Description(1)])</f>
        <v>DFF PRIMA ENTERPRISE</v>
      </c>
      <c r="C150" s="11" t="str">
        <f>_xlfn.XLOOKUP(Customer[[#This Row],[Customer ID]],[1]!Name[ID],[1]!Name[Description(2)])</f>
        <v>PS BUKIT CHANGGANG</v>
      </c>
      <c r="D150" s="11" t="str">
        <f>_xlfn.XLOOKUP(Customer[[#This Row],[Customer ID]],[1]!Address[ID],[1]!Address[PIC])</f>
        <v/>
      </c>
      <c r="E150" s="11" t="str">
        <f>_xlfn.XLOOKUP(Customer[[#This Row],[Customer ID]],[1]!Address[ID],[1]!Address[Full Address])</f>
        <v>PS BUKIT CHANGGANGNO. PT 14588, TAMAN D'MENARA,BUKIT CHANGGANG, BANTING,42700 KUALA LANGAT, SELANGOR</v>
      </c>
      <c r="F150" s="12" t="s">
        <v>1146</v>
      </c>
      <c r="G150" s="12" t="s">
        <v>1147</v>
      </c>
      <c r="H150" s="12" t="s">
        <v>1148</v>
      </c>
      <c r="I150" s="12" t="b">
        <f>ISNUMBER(VALUE(LEFT(Customer[[#This Row],[Address Line 3 (30 char)]],1)))</f>
        <v>0</v>
      </c>
      <c r="J150" s="12" t="s">
        <v>172</v>
      </c>
      <c r="K150" s="12">
        <v>42700</v>
      </c>
      <c r="L150" s="12" t="s">
        <v>35</v>
      </c>
      <c r="M150" s="13" t="e">
        <v>#N/A</v>
      </c>
      <c r="N150" s="14" t="e">
        <v>#N/A</v>
      </c>
      <c r="O150" s="14" t="e">
        <v>#N/A</v>
      </c>
      <c r="P150" s="14" t="e">
        <v>#N/A</v>
      </c>
      <c r="Q150" s="19" t="s">
        <v>1149</v>
      </c>
      <c r="R150" s="15" t="s">
        <v>1150</v>
      </c>
      <c r="S150" s="15" t="s">
        <v>37</v>
      </c>
      <c r="T150" s="16" t="s">
        <v>38</v>
      </c>
      <c r="U150" s="11" t="str">
        <f>_xlfn.XLOOKUP(Customer[[#This Row],[Customer ID]],[1]!Address[ID],[1]!Address[Phone No.(2)])</f>
        <v/>
      </c>
      <c r="V150" s="11" t="str">
        <f>_xlfn.XLOOKUP(Customer[[#This Row],[Customer ID]],[1]!Address[ID],[1]!Address[Type])</f>
        <v>PETROMART</v>
      </c>
      <c r="W150" s="11" t="str">
        <f>_xlfn.XLOOKUP(Customer[[#This Row],[Customer ID]],[1]!Address[ID],[1]!Address[CT])</f>
        <v>30 DAYS</v>
      </c>
      <c r="X150" s="11" t="s">
        <v>39</v>
      </c>
      <c r="Y150" s="17" t="s">
        <v>40</v>
      </c>
      <c r="Z150" s="17" t="e">
        <f>_xlfn.XLOOKUP(Customer[[#This Row],[NewType]],$AF$36:$AF$54,$AG$36:$AG$54)</f>
        <v>#N/A</v>
      </c>
      <c r="AA150" s="17" t="s">
        <v>1151</v>
      </c>
      <c r="AB150" s="11" t="str">
        <f>_xlfn.XLOOKUP(Customer[[#This Row],[Customer ID]],[1]!Address[ID],[1]!Address[Subtype])</f>
        <v>PETRONAS</v>
      </c>
      <c r="AC150" s="18" t="str">
        <f>_xlfn.XLOOKUP(Customer[[#This Row],[Customer ID]],[1]!Address[ID],[1]!Address[Zone])</f>
        <v>CENTRAL</v>
      </c>
    </row>
    <row r="151" spans="1:29" x14ac:dyDescent="0.3">
      <c r="A151" s="10" t="s">
        <v>1152</v>
      </c>
      <c r="B151" s="11" t="str">
        <f>_xlfn.XLOOKUP(Customer[[#This Row],[Customer ID]],[1]!Name[ID],[1]!Name[Description(1)])</f>
        <v>PETRO CITY II</v>
      </c>
      <c r="C151" s="11" t="str">
        <f>_xlfn.XLOOKUP(Customer[[#This Row],[Customer ID]],[1]!Name[ID],[1]!Name[Description(2)])</f>
        <v>PS BUKIT GAMBIR</v>
      </c>
      <c r="D151" s="11" t="str">
        <f>_xlfn.XLOOKUP(Customer[[#This Row],[Customer ID]],[1]!Address[ID],[1]!Address[PIC])</f>
        <v>MUHAMMAD HAFIZ</v>
      </c>
      <c r="E151" s="11" t="str">
        <f>_xlfn.XLOOKUP(Customer[[#This Row],[Customer ID]],[1]!Address[ID],[1]!Address[Full Address])</f>
        <v>PS BUKIT GAMBIRLOT 2177 JALAN BESAR, BUKIT GAMBIR,84800 JOHOR BAHRU, JOHOR</v>
      </c>
      <c r="F151" s="12" t="s">
        <v>1153</v>
      </c>
      <c r="G151" s="12" t="s">
        <v>1154</v>
      </c>
      <c r="H151" s="12" t="s">
        <v>1155</v>
      </c>
      <c r="I151" s="12" t="b">
        <f>ISNUMBER(VALUE(LEFT(Customer[[#This Row],[Address Line 3 (30 char)]],1)))</f>
        <v>0</v>
      </c>
      <c r="J151" s="12" t="s">
        <v>52</v>
      </c>
      <c r="K151" s="12">
        <v>84800</v>
      </c>
      <c r="L151" s="12" t="s">
        <v>35</v>
      </c>
      <c r="M151" s="13">
        <v>201803277494</v>
      </c>
      <c r="N151" s="14" t="s">
        <v>1156</v>
      </c>
      <c r="O151" s="14" t="s">
        <v>54</v>
      </c>
      <c r="P151" s="14">
        <v>47300</v>
      </c>
      <c r="Q151" s="19" t="s">
        <v>1157</v>
      </c>
      <c r="R151" s="15" t="s">
        <v>1158</v>
      </c>
      <c r="S151" s="15" t="s">
        <v>37</v>
      </c>
      <c r="T151" s="16" t="s">
        <v>38</v>
      </c>
      <c r="U151" s="11" t="str">
        <f>_xlfn.XLOOKUP(Customer[[#This Row],[Customer ID]],[1]!Address[ID],[1]!Address[Phone No.(2)])</f>
        <v/>
      </c>
      <c r="V151" s="11" t="str">
        <f>_xlfn.XLOOKUP(Customer[[#This Row],[Customer ID]],[1]!Address[ID],[1]!Address[Type])</f>
        <v>PETROMART</v>
      </c>
      <c r="W151" s="11" t="str">
        <f>_xlfn.XLOOKUP(Customer[[#This Row],[Customer ID]],[1]!Address[ID],[1]!Address[CT])</f>
        <v>30 DAYS</v>
      </c>
      <c r="X151" s="11" t="s">
        <v>39</v>
      </c>
      <c r="Y151" s="17" t="s">
        <v>40</v>
      </c>
      <c r="Z151" s="17" t="e">
        <f>_xlfn.XLOOKUP(Customer[[#This Row],[NewType]],$AF$36:$AF$54,$AG$36:$AG$54)</f>
        <v>#N/A</v>
      </c>
      <c r="AA151" s="17" t="s">
        <v>1159</v>
      </c>
      <c r="AB151" s="11" t="str">
        <f>_xlfn.XLOOKUP(Customer[[#This Row],[Customer ID]],[1]!Address[ID],[1]!Address[Subtype])</f>
        <v>PETRONAS</v>
      </c>
      <c r="AC151" s="18" t="str">
        <f>_xlfn.XLOOKUP(Customer[[#This Row],[Customer ID]],[1]!Address[ID],[1]!Address[Zone])</f>
        <v>SOUTH</v>
      </c>
    </row>
    <row r="152" spans="1:29" x14ac:dyDescent="0.3">
      <c r="A152" s="10" t="s">
        <v>1160</v>
      </c>
      <c r="B152" s="11" t="str">
        <f>_xlfn.XLOOKUP(Customer[[#This Row],[Customer ID]],[1]!Name[ID],[1]!Name[Description(1)])</f>
        <v>SIS INDAH (M) SDN BHD</v>
      </c>
      <c r="C152" s="11" t="str">
        <f>_xlfn.XLOOKUP(Customer[[#This Row],[Customer ID]],[1]!Name[ID],[1]!Name[Description(2)])</f>
        <v>PS BUKIT INDAH 1</v>
      </c>
      <c r="D152" s="11" t="str">
        <f>_xlfn.XLOOKUP(Customer[[#This Row],[Customer ID]],[1]!Address[ID],[1]!Address[PIC])</f>
        <v/>
      </c>
      <c r="E152" s="11" t="str">
        <f>_xlfn.XLOOKUP(Customer[[#This Row],[Customer ID]],[1]!Address[ID],[1]!Address[Full Address])</f>
        <v>PS BUKIT INDAH 1LOT 2595, BUKIT INDAH 1,81200 JOHOR BAHRU,  JOHOR</v>
      </c>
      <c r="F152" s="12" t="s">
        <v>1161</v>
      </c>
      <c r="G152" s="12" t="s">
        <v>1162</v>
      </c>
      <c r="H152" s="24" t="s">
        <v>1155</v>
      </c>
      <c r="I152" s="24" t="b">
        <f>ISNUMBER(VALUE(LEFT(Customer[[#This Row],[Address Line 3 (30 char)]],1)))</f>
        <v>0</v>
      </c>
      <c r="J152" s="12" t="s">
        <v>52</v>
      </c>
      <c r="K152" s="12">
        <v>81200</v>
      </c>
      <c r="L152" s="12" t="s">
        <v>35</v>
      </c>
      <c r="M152" s="13" t="e">
        <v>#N/A</v>
      </c>
      <c r="N152" s="14" t="e">
        <v>#N/A</v>
      </c>
      <c r="O152" s="14" t="e">
        <v>#N/A</v>
      </c>
      <c r="P152" s="14" t="e">
        <v>#N/A</v>
      </c>
      <c r="Q152" s="19" t="s">
        <v>1163</v>
      </c>
      <c r="R152" s="15" t="s">
        <v>1164</v>
      </c>
      <c r="S152" s="15" t="s">
        <v>37</v>
      </c>
      <c r="T152" s="16" t="s">
        <v>38</v>
      </c>
      <c r="U152" s="11" t="str">
        <f>_xlfn.XLOOKUP(Customer[[#This Row],[Customer ID]],[1]!Address[ID],[1]!Address[Phone No.(2)])</f>
        <v/>
      </c>
      <c r="V152" s="11" t="str">
        <f>_xlfn.XLOOKUP(Customer[[#This Row],[Customer ID]],[1]!Address[ID],[1]!Address[Type])</f>
        <v>PETROMART</v>
      </c>
      <c r="W152" s="11" t="str">
        <f>_xlfn.XLOOKUP(Customer[[#This Row],[Customer ID]],[1]!Address[ID],[1]!Address[CT])</f>
        <v>30 DAYS</v>
      </c>
      <c r="X152" s="11" t="s">
        <v>39</v>
      </c>
      <c r="Y152" s="17" t="s">
        <v>40</v>
      </c>
      <c r="Z152" s="17" t="e">
        <f>_xlfn.XLOOKUP(Customer[[#This Row],[NewType]],$AF$36:$AF$54,$AG$36:$AG$54)</f>
        <v>#N/A</v>
      </c>
      <c r="AA152" s="17" t="s">
        <v>1165</v>
      </c>
      <c r="AB152" s="11" t="str">
        <f>_xlfn.XLOOKUP(Customer[[#This Row],[Customer ID]],[1]!Address[ID],[1]!Address[Subtype])</f>
        <v>PETRONAS</v>
      </c>
      <c r="AC152" s="18" t="str">
        <f>_xlfn.XLOOKUP(Customer[[#This Row],[Customer ID]],[1]!Address[ID],[1]!Address[Zone])</f>
        <v>SOUTH</v>
      </c>
    </row>
    <row r="153" spans="1:29" x14ac:dyDescent="0.3">
      <c r="A153" s="10" t="s">
        <v>1166</v>
      </c>
      <c r="B153" s="11" t="str">
        <f>_xlfn.XLOOKUP(Customer[[#This Row],[Customer ID]],[1]!Name[ID],[1]!Name[Description(1)])</f>
        <v>S&amp;N ENTERPRISE</v>
      </c>
      <c r="C153" s="11" t="str">
        <f>_xlfn.XLOOKUP(Customer[[#This Row],[Customer ID]],[1]!Name[ID],[1]!Name[Description(2)])</f>
        <v>PS BUKIT JELUTONG LAYBY - ELITE</v>
      </c>
      <c r="D153" s="11" t="str">
        <f>_xlfn.XLOOKUP(Customer[[#This Row],[Customer ID]],[1]!Address[ID],[1]!Address[PIC])</f>
        <v/>
      </c>
      <c r="E153" s="11" t="str">
        <f>_xlfn.XLOOKUP(Customer[[#This Row],[Customer ID]],[1]!Address[ID],[1]!Address[Full Address])</f>
        <v>PS BUKIT JELUTONG LAYBY - ELITEPLAZA TOL SHAH ALAM,ELITE HIGHWAY-BUKIT JELUTONG LAYBY,SEKSYEN U8, 40150 SHAH ALAM,  SELANGOR</v>
      </c>
      <c r="F153" s="12" t="s">
        <v>1167</v>
      </c>
      <c r="G153" s="12" t="s">
        <v>1168</v>
      </c>
      <c r="H153" s="12" t="s">
        <v>1169</v>
      </c>
      <c r="I153" s="12" t="b">
        <f>ISNUMBER(VALUE(LEFT(Customer[[#This Row],[Address Line 3 (30 char)]],1)))</f>
        <v>0</v>
      </c>
      <c r="J153" s="12" t="s">
        <v>172</v>
      </c>
      <c r="K153" s="12">
        <v>40150</v>
      </c>
      <c r="L153" s="12" t="s">
        <v>35</v>
      </c>
      <c r="M153" s="13">
        <v>200403168748</v>
      </c>
      <c r="N153" s="14" t="s">
        <v>1170</v>
      </c>
      <c r="O153" s="14" t="s">
        <v>54</v>
      </c>
      <c r="P153" s="14">
        <v>47114</v>
      </c>
      <c r="Q153" s="19" t="s">
        <v>1171</v>
      </c>
      <c r="R153" s="15" t="s">
        <v>1172</v>
      </c>
      <c r="S153" s="15" t="s">
        <v>37</v>
      </c>
      <c r="T153" s="16" t="s">
        <v>38</v>
      </c>
      <c r="U153" s="11" t="str">
        <f>_xlfn.XLOOKUP(Customer[[#This Row],[Customer ID]],[1]!Address[ID],[1]!Address[Phone No.(2)])</f>
        <v/>
      </c>
      <c r="V153" s="11" t="str">
        <f>_xlfn.XLOOKUP(Customer[[#This Row],[Customer ID]],[1]!Address[ID],[1]!Address[Type])</f>
        <v>PETROMART</v>
      </c>
      <c r="W153" s="11" t="str">
        <f>_xlfn.XLOOKUP(Customer[[#This Row],[Customer ID]],[1]!Address[ID],[1]!Address[CT])</f>
        <v>30 DAYS</v>
      </c>
      <c r="X153" s="11" t="s">
        <v>39</v>
      </c>
      <c r="Y153" s="17" t="s">
        <v>40</v>
      </c>
      <c r="Z153" s="17" t="e">
        <f>_xlfn.XLOOKUP(Customer[[#This Row],[NewType]],$AF$36:$AF$54,$AG$36:$AG$54)</f>
        <v>#N/A</v>
      </c>
      <c r="AA153" s="17" t="s">
        <v>1173</v>
      </c>
      <c r="AB153" s="11" t="str">
        <f>_xlfn.XLOOKUP(Customer[[#This Row],[Customer ID]],[1]!Address[ID],[1]!Address[Subtype])</f>
        <v>PETRONAS</v>
      </c>
      <c r="AC153" s="18" t="str">
        <f>_xlfn.XLOOKUP(Customer[[#This Row],[Customer ID]],[1]!Address[ID],[1]!Address[Zone])</f>
        <v>CENTRAL</v>
      </c>
    </row>
    <row r="154" spans="1:29" x14ac:dyDescent="0.3">
      <c r="A154" s="10" t="s">
        <v>1174</v>
      </c>
      <c r="B154" s="11" t="str">
        <f>_xlfn.XLOOKUP(Customer[[#This Row],[Customer ID]],[1]!Name[ID],[1]!Name[Description(1)])</f>
        <v>STESEN SERVIS DE HAS</v>
      </c>
      <c r="C154" s="11" t="str">
        <f>_xlfn.XLOOKUP(Customer[[#This Row],[Customer ID]],[1]!Name[ID],[1]!Name[Description(2)])</f>
        <v>PS BUKIT JELUTONG RESIDENTAL</v>
      </c>
      <c r="D154" s="11" t="str">
        <f>_xlfn.XLOOKUP(Customer[[#This Row],[Customer ID]],[1]!Address[ID],[1]!Address[PIC])</f>
        <v/>
      </c>
      <c r="E154" s="11" t="str">
        <f>_xlfn.XLOOKUP(Customer[[#This Row],[Customer ID]],[1]!Address[ID],[1]!Address[Full Address])</f>
        <v>PS BUKIT JELUTONG RESIDENTALLOT PT 30147 HS (D) 188900RESIDENTIAL) PARCEL K, BUKIT JELUTONG,40150 PETALING,  SELANGOR</v>
      </c>
      <c r="F154" s="12" t="s">
        <v>1175</v>
      </c>
      <c r="G154" s="12" t="s">
        <v>1176</v>
      </c>
      <c r="H154" s="12" t="s">
        <v>1177</v>
      </c>
      <c r="I154" s="12" t="b">
        <f>ISNUMBER(VALUE(LEFT(Customer[[#This Row],[Address Line 3 (30 char)]],1)))</f>
        <v>0</v>
      </c>
      <c r="J154" s="12" t="s">
        <v>172</v>
      </c>
      <c r="K154" s="12">
        <v>40150</v>
      </c>
      <c r="L154" s="12" t="s">
        <v>35</v>
      </c>
      <c r="M154" s="13" t="e">
        <v>#N/A</v>
      </c>
      <c r="N154" s="14" t="e">
        <v>#N/A</v>
      </c>
      <c r="O154" s="14" t="e">
        <v>#N/A</v>
      </c>
      <c r="P154" s="14" t="e">
        <v>#N/A</v>
      </c>
      <c r="Q154" s="19" t="s">
        <v>1178</v>
      </c>
      <c r="R154" s="15" t="s">
        <v>1179</v>
      </c>
      <c r="S154" s="15" t="s">
        <v>37</v>
      </c>
      <c r="T154" s="16" t="s">
        <v>38</v>
      </c>
      <c r="U154" s="11" t="str">
        <f>_xlfn.XLOOKUP(Customer[[#This Row],[Customer ID]],[1]!Address[ID],[1]!Address[Phone No.(2)])</f>
        <v/>
      </c>
      <c r="V154" s="11" t="str">
        <f>_xlfn.XLOOKUP(Customer[[#This Row],[Customer ID]],[1]!Address[ID],[1]!Address[Type])</f>
        <v>PETROMART</v>
      </c>
      <c r="W154" s="11" t="str">
        <f>_xlfn.XLOOKUP(Customer[[#This Row],[Customer ID]],[1]!Address[ID],[1]!Address[CT])</f>
        <v>30 DAYS</v>
      </c>
      <c r="X154" s="11" t="s">
        <v>39</v>
      </c>
      <c r="Y154" s="17" t="s">
        <v>40</v>
      </c>
      <c r="Z154" s="17" t="e">
        <f>_xlfn.XLOOKUP(Customer[[#This Row],[NewType]],$AF$36:$AF$54,$AG$36:$AG$54)</f>
        <v>#N/A</v>
      </c>
      <c r="AA154" s="17" t="s">
        <v>1180</v>
      </c>
      <c r="AB154" s="11" t="str">
        <f>_xlfn.XLOOKUP(Customer[[#This Row],[Customer ID]],[1]!Address[ID],[1]!Address[Subtype])</f>
        <v>PETRONAS</v>
      </c>
      <c r="AC154" s="18" t="str">
        <f>_xlfn.XLOOKUP(Customer[[#This Row],[Customer ID]],[1]!Address[ID],[1]!Address[Zone])</f>
        <v>CENTRAL</v>
      </c>
    </row>
    <row r="155" spans="1:29" x14ac:dyDescent="0.3">
      <c r="A155" s="10" t="s">
        <v>1181</v>
      </c>
      <c r="B155" s="11" t="str">
        <f>_xlfn.XLOOKUP(Customer[[#This Row],[Customer ID]],[1]!Name[ID],[1]!Name[Description(1)])</f>
        <v>EMSI FALAH ENTERPRISE</v>
      </c>
      <c r="C155" s="11" t="str">
        <f>_xlfn.XLOOKUP(Customer[[#This Row],[Customer ID]],[1]!Name[ID],[1]!Name[Description(2)])</f>
        <v>PS BUKIT KATIL</v>
      </c>
      <c r="D155" s="11" t="str">
        <f>_xlfn.XLOOKUP(Customer[[#This Row],[Customer ID]],[1]!Address[ID],[1]!Address[PIC])</f>
        <v/>
      </c>
      <c r="E155" s="11" t="str">
        <f>_xlfn.XLOOKUP(Customer[[#This Row],[Customer ID]],[1]!Address[ID],[1]!Address[Full Address])</f>
        <v>PS BUKIT KATILLOT 4985, JLN TUN HAMZAH,MUKIM BUKIT KATIL,75450 MELAKA TENGAH, MELAKA</v>
      </c>
      <c r="F155" s="12" t="s">
        <v>1182</v>
      </c>
      <c r="G155" s="12" t="s">
        <v>1183</v>
      </c>
      <c r="H155" s="12" t="s">
        <v>1184</v>
      </c>
      <c r="I155" s="12" t="b">
        <f>ISNUMBER(VALUE(LEFT(Customer[[#This Row],[Address Line 3 (30 char)]],1)))</f>
        <v>0</v>
      </c>
      <c r="J155" s="12" t="s">
        <v>61</v>
      </c>
      <c r="K155" s="12">
        <v>75450</v>
      </c>
      <c r="L155" s="12" t="s">
        <v>35</v>
      </c>
      <c r="M155" s="13" t="e">
        <v>#N/A</v>
      </c>
      <c r="N155" s="14" t="e">
        <v>#N/A</v>
      </c>
      <c r="O155" s="14" t="e">
        <v>#N/A</v>
      </c>
      <c r="P155" s="14" t="e">
        <v>#N/A</v>
      </c>
      <c r="Q155" s="19" t="s">
        <v>1185</v>
      </c>
      <c r="R155" s="15" t="s">
        <v>1186</v>
      </c>
      <c r="S155" s="15" t="s">
        <v>37</v>
      </c>
      <c r="T155" s="16" t="s">
        <v>38</v>
      </c>
      <c r="U155" s="11" t="str">
        <f>_xlfn.XLOOKUP(Customer[[#This Row],[Customer ID]],[1]!Address[ID],[1]!Address[Phone No.(2)])</f>
        <v/>
      </c>
      <c r="V155" s="11" t="str">
        <f>_xlfn.XLOOKUP(Customer[[#This Row],[Customer ID]],[1]!Address[ID],[1]!Address[Type])</f>
        <v>PETROMART</v>
      </c>
      <c r="W155" s="11" t="str">
        <f>_xlfn.XLOOKUP(Customer[[#This Row],[Customer ID]],[1]!Address[ID],[1]!Address[CT])</f>
        <v>30 DAYS</v>
      </c>
      <c r="X155" s="11" t="s">
        <v>39</v>
      </c>
      <c r="Y155" s="17" t="s">
        <v>40</v>
      </c>
      <c r="Z155" s="17" t="e">
        <f>_xlfn.XLOOKUP(Customer[[#This Row],[NewType]],$AF$36:$AF$54,$AG$36:$AG$54)</f>
        <v>#N/A</v>
      </c>
      <c r="AA155" s="17" t="s">
        <v>1187</v>
      </c>
      <c r="AB155" s="11" t="str">
        <f>_xlfn.XLOOKUP(Customer[[#This Row],[Customer ID]],[1]!Address[ID],[1]!Address[Subtype])</f>
        <v>PETRONAS</v>
      </c>
      <c r="AC155" s="18" t="str">
        <f>_xlfn.XLOOKUP(Customer[[#This Row],[Customer ID]],[1]!Address[ID],[1]!Address[Zone])</f>
        <v>SOUTH</v>
      </c>
    </row>
    <row r="156" spans="1:29" x14ac:dyDescent="0.3">
      <c r="A156" s="27" t="s">
        <v>1188</v>
      </c>
      <c r="B156" s="28" t="str">
        <f>_xlfn.XLOOKUP(Customer[[#This Row],[Customer ID]],[1]!Name[ID],[1]!Name[Description(1)])</f>
        <v>NAPAWI MAJU ENTERPRISE</v>
      </c>
      <c r="C156" s="11" t="str">
        <f>_xlfn.XLOOKUP(Customer[[#This Row],[Customer ID]],[1]!Name[ID],[1]!Name[Description(2)])</f>
        <v>PS BUKIT KAYU HITAM</v>
      </c>
      <c r="D156" s="11" t="str">
        <f>_xlfn.XLOOKUP(Customer[[#This Row],[Customer ID]],[1]!Address[ID],[1]!Address[PIC])</f>
        <v/>
      </c>
      <c r="E156" s="11" t="str">
        <f>_xlfn.XLOOKUP(Customer[[#This Row],[Customer ID]],[1]!Address[ID],[1]!Address[Full Address])</f>
        <v>PS BUKIT KAYU HITAMPT 2827 &amp; PT 2828,STESEN MINYAK PETRONAS,MUKIM SUNGAILAKA,06050 BUKIT KAYU HITAM, KEDAH</v>
      </c>
      <c r="F156" s="12" t="s">
        <v>1189</v>
      </c>
      <c r="G156" s="12" t="s">
        <v>1190</v>
      </c>
      <c r="H156" s="12" t="s">
        <v>1191</v>
      </c>
      <c r="I156" s="12" t="b">
        <f>ISNUMBER(VALUE(LEFT(Customer[[#This Row],[Address Line 3 (30 char)]],1)))</f>
        <v>0</v>
      </c>
      <c r="J156" s="12" t="s">
        <v>355</v>
      </c>
      <c r="K156" s="30" t="s">
        <v>1192</v>
      </c>
      <c r="L156" s="12" t="s">
        <v>35</v>
      </c>
      <c r="M156" s="13" t="e">
        <v>#N/A</v>
      </c>
      <c r="N156" s="14" t="e">
        <v>#N/A</v>
      </c>
      <c r="O156" s="14" t="e">
        <v>#N/A</v>
      </c>
      <c r="P156" s="14" t="e">
        <v>#N/A</v>
      </c>
      <c r="Q156" s="19" t="s">
        <v>1193</v>
      </c>
      <c r="R156" s="15" t="s">
        <v>1194</v>
      </c>
      <c r="S156" s="15" t="s">
        <v>74</v>
      </c>
      <c r="T156" s="16" t="s">
        <v>38</v>
      </c>
      <c r="U156" s="11" t="str">
        <f>_xlfn.XLOOKUP(Customer[[#This Row],[Customer ID]],[1]!Address[ID],[1]!Address[Phone No.(2)])</f>
        <v/>
      </c>
      <c r="V156" s="11" t="str">
        <f>_xlfn.XLOOKUP(Customer[[#This Row],[Customer ID]],[1]!Address[ID],[1]!Address[Type])</f>
        <v>PETROMART</v>
      </c>
      <c r="W156" s="11" t="str">
        <f>_xlfn.XLOOKUP(Customer[[#This Row],[Customer ID]],[1]!Address[ID],[1]!Address[CT])</f>
        <v>30 DAYS</v>
      </c>
      <c r="X156" s="11" t="s">
        <v>39</v>
      </c>
      <c r="Y156" s="17" t="s">
        <v>40</v>
      </c>
      <c r="Z156" s="17" t="e">
        <f>_xlfn.XLOOKUP(Customer[[#This Row],[NewType]],$AF$36:$AF$54,$AG$36:$AG$54)</f>
        <v>#N/A</v>
      </c>
      <c r="AA156" s="17" t="s">
        <v>1195</v>
      </c>
      <c r="AB156" s="11" t="str">
        <f>_xlfn.XLOOKUP(Customer[[#This Row],[Customer ID]],[1]!Address[ID],[1]!Address[Subtype])</f>
        <v>PETRONAS</v>
      </c>
      <c r="AC156" s="18" t="str">
        <f>_xlfn.XLOOKUP(Customer[[#This Row],[Customer ID]],[1]!Address[ID],[1]!Address[Zone])</f>
        <v>NORTH</v>
      </c>
    </row>
    <row r="157" spans="1:29" x14ac:dyDescent="0.3">
      <c r="A157" s="10" t="s">
        <v>1196</v>
      </c>
      <c r="B157" s="11" t="str">
        <f>_xlfn.XLOOKUP(Customer[[#This Row],[Customer ID]],[1]!Name[ID],[1]!Name[Description(1)])</f>
        <v>KEMPAS SMART KIOSK</v>
      </c>
      <c r="C157" s="11" t="str">
        <f>_xlfn.XLOOKUP(Customer[[#This Row],[Customer ID]],[1]!Name[ID],[1]!Name[Description(2)])</f>
        <v>PS BUKIT KEMPAS</v>
      </c>
      <c r="D157" s="11" t="str">
        <f>_xlfn.XLOOKUP(Customer[[#This Row],[Customer ID]],[1]!Address[ID],[1]!Address[PIC])</f>
        <v/>
      </c>
      <c r="E157" s="11" t="str">
        <f>_xlfn.XLOOKUP(Customer[[#This Row],[Customer ID]],[1]!Address[ID],[1]!Address[Full Address])</f>
        <v>PS BUKIT KEMPASLOT 9492, NO 2, JALAN BUKIT KEMPAS 1/5,TAMAN BUKIT KEMPAS,81200 JOHOR BAHRU,   JOHOR</v>
      </c>
      <c r="F157" s="12" t="s">
        <v>1197</v>
      </c>
      <c r="G157" s="12" t="s">
        <v>1198</v>
      </c>
      <c r="H157" s="12" t="s">
        <v>1199</v>
      </c>
      <c r="I157" s="12" t="b">
        <f>ISNUMBER(VALUE(LEFT(Customer[[#This Row],[Address Line 3 (30 char)]],1)))</f>
        <v>0</v>
      </c>
      <c r="J157" s="12" t="s">
        <v>52</v>
      </c>
      <c r="K157" s="12">
        <v>81200</v>
      </c>
      <c r="L157" s="12" t="s">
        <v>35</v>
      </c>
      <c r="M157" s="13" t="e">
        <v>#N/A</v>
      </c>
      <c r="N157" s="14" t="e">
        <v>#N/A</v>
      </c>
      <c r="O157" s="14" t="e">
        <v>#N/A</v>
      </c>
      <c r="P157" s="14" t="e">
        <v>#N/A</v>
      </c>
      <c r="Q157" s="19" t="s">
        <v>1200</v>
      </c>
      <c r="R157" s="15" t="s">
        <v>1201</v>
      </c>
      <c r="S157" s="15" t="s">
        <v>37</v>
      </c>
      <c r="T157" s="16" t="s">
        <v>38</v>
      </c>
      <c r="U157" s="11" t="str">
        <f>_xlfn.XLOOKUP(Customer[[#This Row],[Customer ID]],[1]!Address[ID],[1]!Address[Phone No.(2)])</f>
        <v/>
      </c>
      <c r="V157" s="11" t="str">
        <f>_xlfn.XLOOKUP(Customer[[#This Row],[Customer ID]],[1]!Address[ID],[1]!Address[Type])</f>
        <v>PETROMART</v>
      </c>
      <c r="W157" s="11" t="str">
        <f>_xlfn.XLOOKUP(Customer[[#This Row],[Customer ID]],[1]!Address[ID],[1]!Address[CT])</f>
        <v>30 DAYS</v>
      </c>
      <c r="X157" s="11" t="s">
        <v>39</v>
      </c>
      <c r="Y157" s="17" t="s">
        <v>40</v>
      </c>
      <c r="Z157" s="17" t="e">
        <f>_xlfn.XLOOKUP(Customer[[#This Row],[NewType]],$AF$36:$AF$54,$AG$36:$AG$54)</f>
        <v>#N/A</v>
      </c>
      <c r="AA157" s="17" t="s">
        <v>1202</v>
      </c>
      <c r="AB157" s="11" t="str">
        <f>_xlfn.XLOOKUP(Customer[[#This Row],[Customer ID]],[1]!Address[ID],[1]!Address[Subtype])</f>
        <v>PETRONAS</v>
      </c>
      <c r="AC157" s="18" t="str">
        <f>_xlfn.XLOOKUP(Customer[[#This Row],[Customer ID]],[1]!Address[ID],[1]!Address[Zone])</f>
        <v>SOUTH</v>
      </c>
    </row>
    <row r="158" spans="1:29" x14ac:dyDescent="0.3">
      <c r="A158" s="27" t="s">
        <v>1203</v>
      </c>
      <c r="B158" s="28" t="str">
        <f>_xlfn.XLOOKUP(Customer[[#This Row],[Customer ID]],[1]!Name[ID],[1]!Name[Description(1)])</f>
        <v>SRA MAJU JAYA ENTERPRISE</v>
      </c>
      <c r="C158" s="11" t="str">
        <f>_xlfn.XLOOKUP(Customer[[#This Row],[Customer ID]],[1]!Name[ID],[1]!Name[Description(2)])</f>
        <v>PS BUKIT KEMUNING 2</v>
      </c>
      <c r="D158" s="11" t="str">
        <f>_xlfn.XLOOKUP(Customer[[#This Row],[Customer ID]],[1]!Address[ID],[1]!Address[PIC])</f>
        <v>Ameera</v>
      </c>
      <c r="E158" s="11" t="str">
        <f>_xlfn.XLOOKUP(Customer[[#This Row],[Customer ID]],[1]!Address[ID],[1]!Address[Full Address])</f>
        <v>PS BUKIT KEMUNING 2LOT 4 GM 2243 JALAN BUKIT KEMUNING,40460 KLANG,SELANGOR</v>
      </c>
      <c r="F158" s="12" t="s">
        <v>1204</v>
      </c>
      <c r="G158" s="12" t="s">
        <v>1205</v>
      </c>
      <c r="H158" s="12" t="s">
        <v>827</v>
      </c>
      <c r="I158" s="12" t="b">
        <f>ISNUMBER(VALUE(LEFT(Customer[[#This Row],[Address Line 3 (30 char)]],1)))</f>
        <v>0</v>
      </c>
      <c r="J158" s="12" t="s">
        <v>172</v>
      </c>
      <c r="K158" s="12">
        <v>40460</v>
      </c>
      <c r="L158" s="12" t="s">
        <v>35</v>
      </c>
      <c r="M158" s="13">
        <v>200303037313</v>
      </c>
      <c r="N158" s="14" t="e">
        <v>#N/A</v>
      </c>
      <c r="O158" s="14" t="e">
        <v>#N/A</v>
      </c>
      <c r="P158" s="14" t="e">
        <v>#N/A</v>
      </c>
      <c r="Q158" s="19" t="s">
        <v>1206</v>
      </c>
      <c r="R158" s="15" t="s">
        <v>1207</v>
      </c>
      <c r="S158" s="15" t="s">
        <v>37</v>
      </c>
      <c r="T158" s="16" t="s">
        <v>38</v>
      </c>
      <c r="U158" s="11" t="str">
        <f>_xlfn.XLOOKUP(Customer[[#This Row],[Customer ID]],[1]!Address[ID],[1]!Address[Phone No.(2)])</f>
        <v/>
      </c>
      <c r="V158" s="11" t="str">
        <f>_xlfn.XLOOKUP(Customer[[#This Row],[Customer ID]],[1]!Address[ID],[1]!Address[Type])</f>
        <v>PETROMART</v>
      </c>
      <c r="W158" s="11" t="str">
        <f>_xlfn.XLOOKUP(Customer[[#This Row],[Customer ID]],[1]!Address[ID],[1]!Address[CT])</f>
        <v>30 DAYS</v>
      </c>
      <c r="X158" s="11" t="s">
        <v>39</v>
      </c>
      <c r="Y158" s="17" t="s">
        <v>40</v>
      </c>
      <c r="Z158" s="17" t="e">
        <f>_xlfn.XLOOKUP(Customer[[#This Row],[NewType]],$AF$36:$AF$54,$AG$36:$AG$54)</f>
        <v>#N/A</v>
      </c>
      <c r="AA158" s="17" t="s">
        <v>1208</v>
      </c>
      <c r="AB158" s="11" t="str">
        <f>_xlfn.XLOOKUP(Customer[[#This Row],[Customer ID]],[1]!Address[ID],[1]!Address[Subtype])</f>
        <v>PETRONAS</v>
      </c>
      <c r="AC158" s="18" t="str">
        <f>_xlfn.XLOOKUP(Customer[[#This Row],[Customer ID]],[1]!Address[ID],[1]!Address[Zone])</f>
        <v>CENTRAL</v>
      </c>
    </row>
    <row r="159" spans="1:29" x14ac:dyDescent="0.3">
      <c r="A159" s="10" t="s">
        <v>1209</v>
      </c>
      <c r="B159" s="11" t="str">
        <f>_xlfn.XLOOKUP(Customer[[#This Row],[Customer ID]],[1]!Name[ID],[1]!Name[Description(1)])</f>
        <v>NNC NOVA ENTERPRISE</v>
      </c>
      <c r="C159" s="11" t="str">
        <f>_xlfn.XLOOKUP(Customer[[#This Row],[Customer ID]],[1]!Name[ID],[1]!Name[Description(2)])</f>
        <v>PS BKE 2 (BUTTERWORTH BOUND)</v>
      </c>
      <c r="D159" s="11" t="str">
        <f>_xlfn.XLOOKUP(Customer[[#This Row],[Customer ID]],[1]!Address[ID],[1]!Address[PIC])</f>
        <v/>
      </c>
      <c r="E159" s="11" t="str">
        <f>_xlfn.XLOOKUP(Customer[[#This Row],[Customer ID]],[1]!Address[ID],[1]!Address[Full Address])</f>
        <v>PS BKE 2 (BUTTERWORTH BOUND)LOT NO 3167, LEBUHRAYABUTTERWORTH-KULIM, SEBERANG JAYA,13700 SEBERANG PERAI UTARA,PULAU PINANG</v>
      </c>
      <c r="F159" s="12" t="s">
        <v>1210</v>
      </c>
      <c r="G159" s="12" t="s">
        <v>1211</v>
      </c>
      <c r="H159" s="12" t="s">
        <v>1212</v>
      </c>
      <c r="I159" s="12" t="b">
        <f>ISNUMBER(VALUE(LEFT(Customer[[#This Row],[Address Line 3 (30 char)]],1)))</f>
        <v>0</v>
      </c>
      <c r="J159" s="12" t="s">
        <v>179</v>
      </c>
      <c r="K159" s="12">
        <v>13700</v>
      </c>
      <c r="L159" s="12" t="s">
        <v>35</v>
      </c>
      <c r="M159" s="13" t="e">
        <v>#N/A</v>
      </c>
      <c r="N159" s="14" t="e">
        <v>#N/A</v>
      </c>
      <c r="O159" s="14" t="e">
        <v>#N/A</v>
      </c>
      <c r="P159" s="14" t="e">
        <v>#N/A</v>
      </c>
      <c r="Q159" s="19" t="s">
        <v>1213</v>
      </c>
      <c r="R159" s="15" t="s">
        <v>1214</v>
      </c>
      <c r="S159" s="15" t="s">
        <v>74</v>
      </c>
      <c r="T159" s="16" t="s">
        <v>38</v>
      </c>
      <c r="U159" s="11" t="str">
        <f>_xlfn.XLOOKUP(Customer[[#This Row],[Customer ID]],[1]!Address[ID],[1]!Address[Phone No.(2)])</f>
        <v/>
      </c>
      <c r="V159" s="11" t="str">
        <f>_xlfn.XLOOKUP(Customer[[#This Row],[Customer ID]],[1]!Address[ID],[1]!Address[Type])</f>
        <v>PETROMART</v>
      </c>
      <c r="W159" s="11" t="str">
        <f>_xlfn.XLOOKUP(Customer[[#This Row],[Customer ID]],[1]!Address[ID],[1]!Address[CT])</f>
        <v>30 DAYS</v>
      </c>
      <c r="X159" s="11" t="s">
        <v>39</v>
      </c>
      <c r="Y159" s="17" t="s">
        <v>40</v>
      </c>
      <c r="Z159" s="17" t="e">
        <f>_xlfn.XLOOKUP(Customer[[#This Row],[NewType]],$AF$36:$AF$54,$AG$36:$AG$54)</f>
        <v>#N/A</v>
      </c>
      <c r="AA159" s="17" t="s">
        <v>1215</v>
      </c>
      <c r="AB159" s="11" t="str">
        <f>_xlfn.XLOOKUP(Customer[[#This Row],[Customer ID]],[1]!Address[ID],[1]!Address[Subtype])</f>
        <v>PETRONAS</v>
      </c>
      <c r="AC159" s="18" t="str">
        <f>_xlfn.XLOOKUP(Customer[[#This Row],[Customer ID]],[1]!Address[ID],[1]!Address[Zone])</f>
        <v>NORTH</v>
      </c>
    </row>
    <row r="160" spans="1:29" x14ac:dyDescent="0.3">
      <c r="A160" s="10" t="s">
        <v>1216</v>
      </c>
      <c r="B160" s="11" t="str">
        <f>_xlfn.XLOOKUP(Customer[[#This Row],[Customer ID]],[1]!Name[ID],[1]!Name[Description(1)])</f>
        <v>LE MYRA ENTERPRISE</v>
      </c>
      <c r="C160" s="11" t="str">
        <f>_xlfn.XLOOKUP(Customer[[#This Row],[Customer ID]],[1]!Name[ID],[1]!Name[Description(2)])</f>
        <v>PS BUKIT NANDING</v>
      </c>
      <c r="D160" s="11" t="str">
        <f>_xlfn.XLOOKUP(Customer[[#This Row],[Customer ID]],[1]!Address[ID],[1]!Address[PIC])</f>
        <v/>
      </c>
      <c r="E160" s="11" t="str">
        <f>_xlfn.XLOOKUP(Customer[[#This Row],[Customer ID]],[1]!Address[ID],[1]!Address[Full Address])</f>
        <v>PS BUKIT NANDINGBATU 121/2  BUKIT NANDING,43100 ULU LANGAT, SELANGOR</v>
      </c>
      <c r="F160" s="12" t="s">
        <v>1217</v>
      </c>
      <c r="G160" s="12" t="s">
        <v>1218</v>
      </c>
      <c r="H160" s="24" t="s">
        <v>862</v>
      </c>
      <c r="I160" s="24" t="b">
        <f>ISNUMBER(VALUE(LEFT(Customer[[#This Row],[Address Line 3 (30 char)]],1)))</f>
        <v>0</v>
      </c>
      <c r="J160" s="12" t="s">
        <v>172</v>
      </c>
      <c r="K160" s="12">
        <v>43100</v>
      </c>
      <c r="L160" s="12" t="s">
        <v>35</v>
      </c>
      <c r="M160" s="13">
        <v>200103024102</v>
      </c>
      <c r="N160" s="14" t="s">
        <v>1219</v>
      </c>
      <c r="O160" s="14" t="s">
        <v>156</v>
      </c>
      <c r="P160" s="14">
        <v>47114</v>
      </c>
      <c r="Q160" s="19" t="s">
        <v>1220</v>
      </c>
      <c r="R160" s="15" t="s">
        <v>1221</v>
      </c>
      <c r="S160" s="15" t="s">
        <v>37</v>
      </c>
      <c r="T160" s="16" t="s">
        <v>38</v>
      </c>
      <c r="U160" s="11" t="str">
        <f>_xlfn.XLOOKUP(Customer[[#This Row],[Customer ID]],[1]!Address[ID],[1]!Address[Phone No.(2)])</f>
        <v/>
      </c>
      <c r="V160" s="11" t="str">
        <f>_xlfn.XLOOKUP(Customer[[#This Row],[Customer ID]],[1]!Address[ID],[1]!Address[Type])</f>
        <v>PETROMART</v>
      </c>
      <c r="W160" s="11" t="str">
        <f>_xlfn.XLOOKUP(Customer[[#This Row],[Customer ID]],[1]!Address[ID],[1]!Address[CT])</f>
        <v>30 DAYS</v>
      </c>
      <c r="X160" s="11" t="s">
        <v>39</v>
      </c>
      <c r="Y160" s="17" t="s">
        <v>40</v>
      </c>
      <c r="Z160" s="17" t="e">
        <f>_xlfn.XLOOKUP(Customer[[#This Row],[NewType]],$AF$36:$AF$54,$AG$36:$AG$54)</f>
        <v>#N/A</v>
      </c>
      <c r="AA160" s="17" t="s">
        <v>1222</v>
      </c>
      <c r="AB160" s="11" t="str">
        <f>_xlfn.XLOOKUP(Customer[[#This Row],[Customer ID]],[1]!Address[ID],[1]!Address[Subtype])</f>
        <v>PETRONAS</v>
      </c>
      <c r="AC160" s="18" t="str">
        <f>_xlfn.XLOOKUP(Customer[[#This Row],[Customer ID]],[1]!Address[ID],[1]!Address[Zone])</f>
        <v>CENTRAL</v>
      </c>
    </row>
    <row r="161" spans="1:29" x14ac:dyDescent="0.3">
      <c r="A161" s="10" t="s">
        <v>1223</v>
      </c>
      <c r="B161" s="11" t="str">
        <f>_xlfn.XLOOKUP(Customer[[#This Row],[Customer ID]],[1]!Name[ID],[1]!Name[Description(1)])</f>
        <v>NASMAHARA ENTERPRISE</v>
      </c>
      <c r="C161" s="11" t="str">
        <f>_xlfn.XLOOKUP(Customer[[#This Row],[Customer ID]],[1]!Name[ID],[1]!Name[Description(2)])</f>
        <v>PS BUKIT PAYUNG</v>
      </c>
      <c r="D161" s="11" t="str">
        <f>_xlfn.XLOOKUP(Customer[[#This Row],[Customer ID]],[1]!Address[ID],[1]!Address[PIC])</f>
        <v/>
      </c>
      <c r="E161" s="11" t="str">
        <f>_xlfn.XLOOKUP(Customer[[#This Row],[Customer ID]],[1]!Address[ID],[1]!Address[Full Address])</f>
        <v>PS BUKIT PAYUNGLOT 52310, KG. PADANG MENKUANG,BUKIT PAYUNG,21400 MARANG,  TERENGGANU</v>
      </c>
      <c r="F161" s="12" t="s">
        <v>1224</v>
      </c>
      <c r="G161" s="12" t="s">
        <v>1225</v>
      </c>
      <c r="H161" s="12" t="s">
        <v>1226</v>
      </c>
      <c r="I161" s="12" t="b">
        <f>ISNUMBER(VALUE(LEFT(Customer[[#This Row],[Address Line 3 (30 char)]],1)))</f>
        <v>0</v>
      </c>
      <c r="J161" s="12" t="s">
        <v>1056</v>
      </c>
      <c r="K161" s="12">
        <v>21400</v>
      </c>
      <c r="L161" s="12" t="s">
        <v>35</v>
      </c>
      <c r="M161" s="13">
        <v>201903341470</v>
      </c>
      <c r="N161" s="14" t="s">
        <v>1227</v>
      </c>
      <c r="O161" s="14" t="s">
        <v>54</v>
      </c>
      <c r="P161" s="14">
        <v>47300</v>
      </c>
      <c r="Q161" s="19" t="s">
        <v>1228</v>
      </c>
      <c r="R161" s="15" t="s">
        <v>1229</v>
      </c>
      <c r="S161" s="15" t="s">
        <v>37</v>
      </c>
      <c r="T161" s="16" t="s">
        <v>38</v>
      </c>
      <c r="U161" s="11" t="str">
        <f>_xlfn.XLOOKUP(Customer[[#This Row],[Customer ID]],[1]!Address[ID],[1]!Address[Phone No.(2)])</f>
        <v/>
      </c>
      <c r="V161" s="11" t="str">
        <f>_xlfn.XLOOKUP(Customer[[#This Row],[Customer ID]],[1]!Address[ID],[1]!Address[Type])</f>
        <v>PETROMART</v>
      </c>
      <c r="W161" s="11" t="str">
        <f>_xlfn.XLOOKUP(Customer[[#This Row],[Customer ID]],[1]!Address[ID],[1]!Address[CT])</f>
        <v>30 DAYS</v>
      </c>
      <c r="X161" s="11" t="s">
        <v>39</v>
      </c>
      <c r="Y161" s="17" t="s">
        <v>40</v>
      </c>
      <c r="Z161" s="17" t="e">
        <f>_xlfn.XLOOKUP(Customer[[#This Row],[NewType]],$AF$36:$AF$54,$AG$36:$AG$54)</f>
        <v>#N/A</v>
      </c>
      <c r="AA161" s="17" t="s">
        <v>1230</v>
      </c>
      <c r="AB161" s="11" t="str">
        <f>_xlfn.XLOOKUP(Customer[[#This Row],[Customer ID]],[1]!Address[ID],[1]!Address[Subtype])</f>
        <v>PETRONAS</v>
      </c>
      <c r="AC161" s="18" t="str">
        <f>_xlfn.XLOOKUP(Customer[[#This Row],[Customer ID]],[1]!Address[ID],[1]!Address[Zone])</f>
        <v>EAST COAST</v>
      </c>
    </row>
    <row r="162" spans="1:29" x14ac:dyDescent="0.3">
      <c r="A162" s="10" t="s">
        <v>1231</v>
      </c>
      <c r="B162" s="11" t="str">
        <f>_xlfn.XLOOKUP(Customer[[#This Row],[Customer ID]],[1]!Name[ID],[1]!Name[Description(1)])</f>
        <v>IBZI POWER SDN. BHD.</v>
      </c>
      <c r="C162" s="11" t="str">
        <f>_xlfn.XLOOKUP(Customer[[#This Row],[Customer ID]],[1]!Name[ID],[1]!Name[Description(2)])</f>
        <v>PS BUKIT PELALI</v>
      </c>
      <c r="D162" s="11" t="str">
        <f>_xlfn.XLOOKUP(Customer[[#This Row],[Customer ID]],[1]!Address[ID],[1]!Address[PIC])</f>
        <v/>
      </c>
      <c r="E162" s="11" t="str">
        <f>_xlfn.XLOOKUP(Customer[[#This Row],[Customer ID]],[1]!Address[ID],[1]!Address[Full Address])</f>
        <v>PS BUKIT PELALIPT 5985, HS(D) 36895,MUKIM PENGERANG, KOTA TINGGI,J81600 PENGERANG,  OHOR</v>
      </c>
      <c r="F162" s="12" t="s">
        <v>1232</v>
      </c>
      <c r="G162" s="12" t="s">
        <v>1233</v>
      </c>
      <c r="H162" s="12" t="s">
        <v>1234</v>
      </c>
      <c r="I162" s="12" t="b">
        <f>ISNUMBER(VALUE(LEFT(Customer[[#This Row],[Address Line 3 (30 char)]],1)))</f>
        <v>0</v>
      </c>
      <c r="J162" s="12" t="s">
        <v>52</v>
      </c>
      <c r="K162" s="12">
        <v>81600</v>
      </c>
      <c r="L162" s="12" t="s">
        <v>35</v>
      </c>
      <c r="M162" s="13" t="e">
        <v>#N/A</v>
      </c>
      <c r="N162" s="14" t="e">
        <v>#N/A</v>
      </c>
      <c r="O162" s="14" t="e">
        <v>#N/A</v>
      </c>
      <c r="P162" s="14" t="e">
        <v>#N/A</v>
      </c>
      <c r="Q162" s="19" t="s">
        <v>1235</v>
      </c>
      <c r="R162" s="15" t="s">
        <v>1236</v>
      </c>
      <c r="S162" s="15" t="s">
        <v>37</v>
      </c>
      <c r="T162" s="16" t="s">
        <v>38</v>
      </c>
      <c r="U162" s="11" t="str">
        <f>_xlfn.XLOOKUP(Customer[[#This Row],[Customer ID]],[1]!Address[ID],[1]!Address[Phone No.(2)])</f>
        <v/>
      </c>
      <c r="V162" s="11" t="str">
        <f>_xlfn.XLOOKUP(Customer[[#This Row],[Customer ID]],[1]!Address[ID],[1]!Address[Type])</f>
        <v>PETROMART</v>
      </c>
      <c r="W162" s="11" t="str">
        <f>_xlfn.XLOOKUP(Customer[[#This Row],[Customer ID]],[1]!Address[ID],[1]!Address[CT])</f>
        <v>30 DAYS</v>
      </c>
      <c r="X162" s="11" t="s">
        <v>39</v>
      </c>
      <c r="Y162" s="17" t="s">
        <v>40</v>
      </c>
      <c r="Z162" s="17" t="e">
        <f>_xlfn.XLOOKUP(Customer[[#This Row],[NewType]],$AF$36:$AF$54,$AG$36:$AG$54)</f>
        <v>#N/A</v>
      </c>
      <c r="AA162" s="17" t="s">
        <v>1237</v>
      </c>
      <c r="AB162" s="11" t="str">
        <f>_xlfn.XLOOKUP(Customer[[#This Row],[Customer ID]],[1]!Address[ID],[1]!Address[Subtype])</f>
        <v>PETRONAS</v>
      </c>
      <c r="AC162" s="18" t="str">
        <f>_xlfn.XLOOKUP(Customer[[#This Row],[Customer ID]],[1]!Address[ID],[1]!Address[Zone])</f>
        <v>SOUTH</v>
      </c>
    </row>
    <row r="163" spans="1:29" x14ac:dyDescent="0.3">
      <c r="A163" s="10" t="s">
        <v>1238</v>
      </c>
      <c r="B163" s="11" t="str">
        <f>_xlfn.XLOOKUP(Customer[[#This Row],[Customer ID]],[1]!Name[ID],[1]!Name[Description(1)])</f>
        <v>FINA WARRICK PETROMART</v>
      </c>
      <c r="C163" s="11" t="str">
        <f>_xlfn.XLOOKUP(Customer[[#This Row],[Customer ID]],[1]!Name[ID],[1]!Name[Description(2)])</f>
        <v>PS BUKIT PELINDUNG</v>
      </c>
      <c r="D163" s="11" t="str">
        <f>_xlfn.XLOOKUP(Customer[[#This Row],[Customer ID]],[1]!Address[ID],[1]!Address[PIC])</f>
        <v/>
      </c>
      <c r="E163" s="11" t="str">
        <f>_xlfn.XLOOKUP(Customer[[#This Row],[Customer ID]],[1]!Address[ID],[1]!Address[Full Address])</f>
        <v>PS BUKIT PELINDUNGLOT 27, SEKSYEN 36, BANDAR KUANTAN(LOT LAMA PART OF LOT PT 105104),MUKIM BANDAR KUANTAN,25250 KUANTAN,PAHAG</v>
      </c>
      <c r="F163" s="12" t="s">
        <v>1239</v>
      </c>
      <c r="G163" s="12" t="s">
        <v>1240</v>
      </c>
      <c r="H163" s="12" t="s">
        <v>1241</v>
      </c>
      <c r="I163" s="12" t="b">
        <f>ISNUMBER(VALUE(LEFT(Customer[[#This Row],[Address Line 3 (30 char)]],1)))</f>
        <v>0</v>
      </c>
      <c r="J163" s="12" t="s">
        <v>339</v>
      </c>
      <c r="K163" s="12">
        <v>25250</v>
      </c>
      <c r="L163" s="12" t="s">
        <v>35</v>
      </c>
      <c r="M163" s="13" t="e">
        <v>#N/A</v>
      </c>
      <c r="N163" s="14" t="e">
        <v>#N/A</v>
      </c>
      <c r="O163" s="14" t="e">
        <v>#N/A</v>
      </c>
      <c r="P163" s="14" t="e">
        <v>#N/A</v>
      </c>
      <c r="Q163" s="19" t="s">
        <v>1242</v>
      </c>
      <c r="R163" s="15" t="s">
        <v>1243</v>
      </c>
      <c r="S163" s="15" t="s">
        <v>37</v>
      </c>
      <c r="T163" s="16" t="s">
        <v>38</v>
      </c>
      <c r="U163" s="11" t="str">
        <f>_xlfn.XLOOKUP(Customer[[#This Row],[Customer ID]],[1]!Address[ID],[1]!Address[Phone No.(2)])</f>
        <v/>
      </c>
      <c r="V163" s="11" t="str">
        <f>_xlfn.XLOOKUP(Customer[[#This Row],[Customer ID]],[1]!Address[ID],[1]!Address[Type])</f>
        <v>PETROMART</v>
      </c>
      <c r="W163" s="11" t="str">
        <f>_xlfn.XLOOKUP(Customer[[#This Row],[Customer ID]],[1]!Address[ID],[1]!Address[CT])</f>
        <v>30 DAYS</v>
      </c>
      <c r="X163" s="11" t="s">
        <v>39</v>
      </c>
      <c r="Y163" s="17" t="s">
        <v>40</v>
      </c>
      <c r="Z163" s="17" t="e">
        <f>_xlfn.XLOOKUP(Customer[[#This Row],[NewType]],$AF$36:$AF$54,$AG$36:$AG$54)</f>
        <v>#N/A</v>
      </c>
      <c r="AA163" s="17" t="s">
        <v>1244</v>
      </c>
      <c r="AB163" s="11" t="str">
        <f>_xlfn.XLOOKUP(Customer[[#This Row],[Customer ID]],[1]!Address[ID],[1]!Address[Subtype])</f>
        <v>PETRONAS</v>
      </c>
      <c r="AC163" s="18" t="str">
        <f>_xlfn.XLOOKUP(Customer[[#This Row],[Customer ID]],[1]!Address[ID],[1]!Address[Zone])</f>
        <v>EAST COAST</v>
      </c>
    </row>
    <row r="164" spans="1:29" x14ac:dyDescent="0.3">
      <c r="A164" s="27" t="s">
        <v>1245</v>
      </c>
      <c r="B164" s="28" t="str">
        <f>_xlfn.XLOOKUP(Customer[[#This Row],[Customer ID]],[1]!Name[ID],[1]!Name[Description(1)])</f>
        <v>MAJUBIZ TRADING</v>
      </c>
      <c r="C164" s="11" t="str">
        <f>_xlfn.XLOOKUP(Customer[[#This Row],[Customer ID]],[1]!Name[ID],[1]!Name[Description(2)])</f>
        <v>PS BUKIT RAHMAN PUTRA</v>
      </c>
      <c r="D164" s="11" t="str">
        <f>_xlfn.XLOOKUP(Customer[[#This Row],[Customer ID]],[1]!Address[ID],[1]!Address[PIC])</f>
        <v>MOHD ZAWAWI</v>
      </c>
      <c r="E164" s="11" t="str">
        <f>_xlfn.XLOOKUP(Customer[[#This Row],[Customer ID]],[1]!Address[ID],[1]!Address[Full Address])</f>
        <v>PS BUKIT RAHMAN PUTRALOT PT 33428 GRN 41170, PEKAN BARUSUNGAI BULUH, JALAN BUKIT RAHMANPUTRA,47000 SUNGAI BULOH, SELANGOR</v>
      </c>
      <c r="F164" s="12" t="s">
        <v>1246</v>
      </c>
      <c r="G164" s="12" t="s">
        <v>1247</v>
      </c>
      <c r="H164" s="12" t="s">
        <v>1248</v>
      </c>
      <c r="I164" s="12" t="b">
        <f>ISNUMBER(VALUE(LEFT(Customer[[#This Row],[Address Line 3 (30 char)]],1)))</f>
        <v>0</v>
      </c>
      <c r="J164" s="12" t="s">
        <v>172</v>
      </c>
      <c r="K164" s="12">
        <v>47000</v>
      </c>
      <c r="L164" s="12" t="s">
        <v>35</v>
      </c>
      <c r="M164" s="13">
        <v>200803047121</v>
      </c>
      <c r="N164" s="14" t="e">
        <v>#N/A</v>
      </c>
      <c r="O164" s="14" t="s">
        <v>54</v>
      </c>
      <c r="P164" s="14" t="e">
        <v>#N/A</v>
      </c>
      <c r="Q164" s="19" t="s">
        <v>1249</v>
      </c>
      <c r="R164" s="15" t="s">
        <v>1250</v>
      </c>
      <c r="S164" s="15" t="s">
        <v>37</v>
      </c>
      <c r="T164" s="16" t="s">
        <v>38</v>
      </c>
      <c r="U164" s="11" t="str">
        <f>_xlfn.XLOOKUP(Customer[[#This Row],[Customer ID]],[1]!Address[ID],[1]!Address[Phone No.(2)])</f>
        <v/>
      </c>
      <c r="V164" s="11" t="str">
        <f>_xlfn.XLOOKUP(Customer[[#This Row],[Customer ID]],[1]!Address[ID],[1]!Address[Type])</f>
        <v>PETROMART</v>
      </c>
      <c r="W164" s="11" t="str">
        <f>_xlfn.XLOOKUP(Customer[[#This Row],[Customer ID]],[1]!Address[ID],[1]!Address[CT])</f>
        <v>30 DAYS</v>
      </c>
      <c r="X164" s="11" t="s">
        <v>39</v>
      </c>
      <c r="Y164" s="17" t="s">
        <v>40</v>
      </c>
      <c r="Z164" s="17" t="e">
        <f>_xlfn.XLOOKUP(Customer[[#This Row],[NewType]],$AF$36:$AF$54,$AG$36:$AG$54)</f>
        <v>#N/A</v>
      </c>
      <c r="AA164" s="17" t="s">
        <v>1251</v>
      </c>
      <c r="AB164" s="11" t="str">
        <f>_xlfn.XLOOKUP(Customer[[#This Row],[Customer ID]],[1]!Address[ID],[1]!Address[Subtype])</f>
        <v>PETRONAS</v>
      </c>
      <c r="AC164" s="18" t="str">
        <f>_xlfn.XLOOKUP(Customer[[#This Row],[Customer ID]],[1]!Address[ID],[1]!Address[Zone])</f>
        <v>CENTRAL</v>
      </c>
    </row>
    <row r="165" spans="1:29" x14ac:dyDescent="0.3">
      <c r="A165" s="27" t="s">
        <v>1252</v>
      </c>
      <c r="B165" s="28" t="str">
        <f>_xlfn.XLOOKUP(Customer[[#This Row],[Customer ID]],[1]!Name[ID],[1]!Name[Description(1)])</f>
        <v>MAZAF RESOURCES</v>
      </c>
      <c r="C165" s="11" t="str">
        <f>_xlfn.XLOOKUP(Customer[[#This Row],[Customer ID]],[1]!Name[ID],[1]!Name[Description(2)])</f>
        <v>PS BUKIT SUBANG</v>
      </c>
      <c r="D165" s="11" t="str">
        <f>_xlfn.XLOOKUP(Customer[[#This Row],[Customer ID]],[1]!Address[ID],[1]!Address[PIC])</f>
        <v/>
      </c>
      <c r="E165" s="11" t="str">
        <f>_xlfn.XLOOKUP(Customer[[#This Row],[Customer ID]],[1]!Address[ID],[1]!Address[Full Address])</f>
        <v>PS BUKIT SUBANGLOT PT 4588 HS(D) 163079, BUKIT SUBANG,MUKIM DAMANSARA, DAERAH PETALING,40150 PETALING,  SELANGOR</v>
      </c>
      <c r="F165" s="12" t="s">
        <v>1253</v>
      </c>
      <c r="G165" s="12" t="s">
        <v>1254</v>
      </c>
      <c r="H165" s="12" t="s">
        <v>1255</v>
      </c>
      <c r="I165" s="12" t="b">
        <f>ISNUMBER(VALUE(LEFT(Customer[[#This Row],[Address Line 3 (30 char)]],1)))</f>
        <v>0</v>
      </c>
      <c r="J165" s="12" t="s">
        <v>172</v>
      </c>
      <c r="K165" s="12">
        <v>40150</v>
      </c>
      <c r="L165" s="12" t="s">
        <v>35</v>
      </c>
      <c r="M165" s="13">
        <v>201503036586</v>
      </c>
      <c r="N165" s="14" t="s">
        <v>1256</v>
      </c>
      <c r="O165" s="14" t="s">
        <v>54</v>
      </c>
      <c r="P165" s="14" t="e">
        <v>#N/A</v>
      </c>
      <c r="Q165" s="19" t="s">
        <v>1257</v>
      </c>
      <c r="R165" s="15" t="s">
        <v>1258</v>
      </c>
      <c r="S165" s="15" t="s">
        <v>37</v>
      </c>
      <c r="T165" s="16" t="s">
        <v>38</v>
      </c>
      <c r="U165" s="11" t="str">
        <f>_xlfn.XLOOKUP(Customer[[#This Row],[Customer ID]],[1]!Address[ID],[1]!Address[Phone No.(2)])</f>
        <v/>
      </c>
      <c r="V165" s="11" t="str">
        <f>_xlfn.XLOOKUP(Customer[[#This Row],[Customer ID]],[1]!Address[ID],[1]!Address[Type])</f>
        <v>PETROMART</v>
      </c>
      <c r="W165" s="11" t="str">
        <f>_xlfn.XLOOKUP(Customer[[#This Row],[Customer ID]],[1]!Address[ID],[1]!Address[CT])</f>
        <v>30 DAYS</v>
      </c>
      <c r="X165" s="11" t="s">
        <v>39</v>
      </c>
      <c r="Y165" s="17" t="s">
        <v>40</v>
      </c>
      <c r="Z165" s="17" t="e">
        <f>_xlfn.XLOOKUP(Customer[[#This Row],[NewType]],$AF$36:$AF$54,$AG$36:$AG$54)</f>
        <v>#N/A</v>
      </c>
      <c r="AA165" s="17" t="s">
        <v>1259</v>
      </c>
      <c r="AB165" s="11" t="str">
        <f>_xlfn.XLOOKUP(Customer[[#This Row],[Customer ID]],[1]!Address[ID],[1]!Address[Subtype])</f>
        <v>PETRONAS</v>
      </c>
      <c r="AC165" s="18" t="str">
        <f>_xlfn.XLOOKUP(Customer[[#This Row],[Customer ID]],[1]!Address[ID],[1]!Address[Zone])</f>
        <v>CENTRAL</v>
      </c>
    </row>
    <row r="166" spans="1:29" x14ac:dyDescent="0.3">
      <c r="A166" s="10" t="s">
        <v>1260</v>
      </c>
      <c r="B166" s="11" t="str">
        <f>_xlfn.XLOOKUP(Customer[[#This Row],[Customer ID]],[1]!Name[ID],[1]!Name[Description(1)])</f>
        <v>LINORIZQ FALAH RESOURCES</v>
      </c>
      <c r="C166" s="11" t="str">
        <f>_xlfn.XLOOKUP(Customer[[#This Row],[Customer ID]],[1]!Name[ID],[1]!Name[Description(2)])</f>
        <v>PS BUKIT UBI</v>
      </c>
      <c r="D166" s="11" t="str">
        <f>_xlfn.XLOOKUP(Customer[[#This Row],[Customer ID]],[1]!Address[ID],[1]!Address[PIC])</f>
        <v/>
      </c>
      <c r="E166" s="11" t="str">
        <f>_xlfn.XLOOKUP(Customer[[#This Row],[Customer ID]],[1]!Address[ID],[1]!Address[Full Address])</f>
        <v>PS BUKIT UBILOT PT 38976, HSD 15121,JALAN BUKIT UBI,25250 KUANTAN,  PAHANG</v>
      </c>
      <c r="F166" s="12" t="s">
        <v>1261</v>
      </c>
      <c r="G166" s="12" t="s">
        <v>1262</v>
      </c>
      <c r="H166" s="12" t="s">
        <v>1263</v>
      </c>
      <c r="I166" s="12" t="b">
        <f>ISNUMBER(VALUE(LEFT(Customer[[#This Row],[Address Line 3 (30 char)]],1)))</f>
        <v>0</v>
      </c>
      <c r="J166" s="12" t="s">
        <v>339</v>
      </c>
      <c r="K166" s="12">
        <v>25250</v>
      </c>
      <c r="L166" s="12" t="s">
        <v>35</v>
      </c>
      <c r="M166" s="13" t="e">
        <v>#N/A</v>
      </c>
      <c r="N166" s="14" t="e">
        <v>#N/A</v>
      </c>
      <c r="O166" s="14" t="e">
        <v>#N/A</v>
      </c>
      <c r="P166" s="14" t="e">
        <v>#N/A</v>
      </c>
      <c r="Q166" s="19" t="s">
        <v>1264</v>
      </c>
      <c r="R166" s="15" t="s">
        <v>1265</v>
      </c>
      <c r="S166" s="15" t="s">
        <v>37</v>
      </c>
      <c r="T166" s="16" t="s">
        <v>38</v>
      </c>
      <c r="U166" s="11" t="str">
        <f>_xlfn.XLOOKUP(Customer[[#This Row],[Customer ID]],[1]!Address[ID],[1]!Address[Phone No.(2)])</f>
        <v/>
      </c>
      <c r="V166" s="11" t="str">
        <f>_xlfn.XLOOKUP(Customer[[#This Row],[Customer ID]],[1]!Address[ID],[1]!Address[Type])</f>
        <v>PETROMART</v>
      </c>
      <c r="W166" s="11" t="str">
        <f>_xlfn.XLOOKUP(Customer[[#This Row],[Customer ID]],[1]!Address[ID],[1]!Address[CT])</f>
        <v>30 DAYS</v>
      </c>
      <c r="X166" s="11" t="s">
        <v>39</v>
      </c>
      <c r="Y166" s="17" t="s">
        <v>40</v>
      </c>
      <c r="Z166" s="17" t="e">
        <f>_xlfn.XLOOKUP(Customer[[#This Row],[NewType]],$AF$36:$AF$54,$AG$36:$AG$54)</f>
        <v>#N/A</v>
      </c>
      <c r="AA166" s="17" t="s">
        <v>1266</v>
      </c>
      <c r="AB166" s="11" t="str">
        <f>_xlfn.XLOOKUP(Customer[[#This Row],[Customer ID]],[1]!Address[ID],[1]!Address[Subtype])</f>
        <v>PETRONAS</v>
      </c>
      <c r="AC166" s="18" t="str">
        <f>_xlfn.XLOOKUP(Customer[[#This Row],[Customer ID]],[1]!Address[ID],[1]!Address[Zone])</f>
        <v>EAST COAST</v>
      </c>
    </row>
    <row r="167" spans="1:29" x14ac:dyDescent="0.3">
      <c r="A167" s="10" t="s">
        <v>1267</v>
      </c>
      <c r="B167" s="11" t="str">
        <f>_xlfn.XLOOKUP(Customer[[#This Row],[Customer ID]],[1]!Name[ID],[1]!Name[Description(1)])</f>
        <v>KPF NIAGA SDN BHD - CHAAH</v>
      </c>
      <c r="C167" s="11" t="str">
        <f>_xlfn.XLOOKUP(Customer[[#This Row],[Customer ID]],[1]!Name[ID],[1]!Name[Description(2)])</f>
        <v>PS CHAAH</v>
      </c>
      <c r="D167" s="11" t="str">
        <f>_xlfn.XLOOKUP(Customer[[#This Row],[Customer ID]],[1]!Address[ID],[1]!Address[PIC])</f>
        <v/>
      </c>
      <c r="E167" s="11" t="str">
        <f>_xlfn.XLOOKUP(Customer[[#This Row],[Customer ID]],[1]!Address[ID],[1]!Address[Full Address])</f>
        <v>PS CHAAHLOT PTD 2052, MUKIM CHAAH,85400 SEGAMAT, JOHOR</v>
      </c>
      <c r="F167" s="12" t="s">
        <v>1268</v>
      </c>
      <c r="G167" s="12" t="s">
        <v>1269</v>
      </c>
      <c r="H167" s="24" t="s">
        <v>1270</v>
      </c>
      <c r="I167" s="24" t="b">
        <f>ISNUMBER(VALUE(LEFT(Customer[[#This Row],[Address Line 3 (30 char)]],1)))</f>
        <v>0</v>
      </c>
      <c r="J167" s="12" t="s">
        <v>52</v>
      </c>
      <c r="K167" s="12">
        <v>85400</v>
      </c>
      <c r="L167" s="12" t="s">
        <v>35</v>
      </c>
      <c r="M167" s="13" t="e">
        <v>#N/A</v>
      </c>
      <c r="N167" s="14" t="e">
        <v>#N/A</v>
      </c>
      <c r="O167" s="14" t="e">
        <v>#N/A</v>
      </c>
      <c r="P167" s="14" t="e">
        <v>#N/A</v>
      </c>
      <c r="Q167" s="19" t="s">
        <v>1271</v>
      </c>
      <c r="R167" s="15" t="s">
        <v>1272</v>
      </c>
      <c r="S167" s="15" t="s">
        <v>37</v>
      </c>
      <c r="T167" s="16" t="s">
        <v>38</v>
      </c>
      <c r="U167" s="11" t="str">
        <f>_xlfn.XLOOKUP(Customer[[#This Row],[Customer ID]],[1]!Address[ID],[1]!Address[Phone No.(2)])</f>
        <v/>
      </c>
      <c r="V167" s="11" t="str">
        <f>_xlfn.XLOOKUP(Customer[[#This Row],[Customer ID]],[1]!Address[ID],[1]!Address[Type])</f>
        <v>PETROMART</v>
      </c>
      <c r="W167" s="11" t="str">
        <f>_xlfn.XLOOKUP(Customer[[#This Row],[Customer ID]],[1]!Address[ID],[1]!Address[CT])</f>
        <v>30 DAYS</v>
      </c>
      <c r="X167" s="11" t="s">
        <v>39</v>
      </c>
      <c r="Y167" s="17" t="s">
        <v>40</v>
      </c>
      <c r="Z167" s="17" t="e">
        <f>_xlfn.XLOOKUP(Customer[[#This Row],[NewType]],$AF$36:$AF$54,$AG$36:$AG$54)</f>
        <v>#N/A</v>
      </c>
      <c r="AA167" s="17" t="s">
        <v>1273</v>
      </c>
      <c r="AB167" s="11" t="str">
        <f>_xlfn.XLOOKUP(Customer[[#This Row],[Customer ID]],[1]!Address[ID],[1]!Address[Subtype])</f>
        <v>PETRONAS</v>
      </c>
      <c r="AC167" s="18" t="str">
        <f>_xlfn.XLOOKUP(Customer[[#This Row],[Customer ID]],[1]!Address[ID],[1]!Address[Zone])</f>
        <v>SOUTH</v>
      </c>
    </row>
    <row r="168" spans="1:29" x14ac:dyDescent="0.3">
      <c r="A168" s="10" t="s">
        <v>1274</v>
      </c>
      <c r="B168" s="11" t="str">
        <f>_xlfn.XLOOKUP(Customer[[#This Row],[Customer ID]],[1]!Name[ID],[1]!Name[Description(1)])</f>
        <v>LANISGAS ENTERPRISE</v>
      </c>
      <c r="C168" s="11" t="str">
        <f>_xlfn.XLOOKUP(Customer[[#This Row],[Customer ID]],[1]!Name[ID],[1]!Name[Description(2)])</f>
        <v>PS BUKIT MINYAK, SEBERANG PERAI TENGAH</v>
      </c>
      <c r="D168" s="11" t="str">
        <f>_xlfn.XLOOKUP(Customer[[#This Row],[Customer ID]],[1]!Address[ID],[1]!Address[PIC])</f>
        <v/>
      </c>
      <c r="E168" s="11" t="str">
        <f>_xlfn.XLOOKUP(Customer[[#This Row],[Customer ID]],[1]!Address[ID],[1]!Address[Full Address])</f>
        <v>PS BUKIT MINYAK, SEBERANG PERAI TENGAHLOT 227 HS(D) 3691, MUKIM 11,JALAN BUKIT TENGAH, BUKIT MERTAJAM,14000 SEBERANG PERAI TENGAH,PULAU PINANG</v>
      </c>
      <c r="F168" s="12" t="s">
        <v>1275</v>
      </c>
      <c r="G168" s="12" t="s">
        <v>1276</v>
      </c>
      <c r="H168" s="12" t="s">
        <v>1277</v>
      </c>
      <c r="I168" s="12" t="b">
        <f>ISNUMBER(VALUE(LEFT(Customer[[#This Row],[Address Line 3 (30 char)]],1)))</f>
        <v>0</v>
      </c>
      <c r="J168" s="12" t="s">
        <v>179</v>
      </c>
      <c r="K168" s="12">
        <v>14000</v>
      </c>
      <c r="L168" s="12" t="s">
        <v>35</v>
      </c>
      <c r="M168" s="13" t="e">
        <v>#N/A</v>
      </c>
      <c r="N168" s="14" t="e">
        <v>#N/A</v>
      </c>
      <c r="O168" s="14" t="e">
        <v>#N/A</v>
      </c>
      <c r="P168" s="14" t="e">
        <v>#N/A</v>
      </c>
      <c r="Q168" s="19" t="s">
        <v>1278</v>
      </c>
      <c r="R168" s="15" t="s">
        <v>1279</v>
      </c>
      <c r="S168" s="15" t="s">
        <v>74</v>
      </c>
      <c r="T168" s="16" t="s">
        <v>38</v>
      </c>
      <c r="U168" s="11" t="str">
        <f>_xlfn.XLOOKUP(Customer[[#This Row],[Customer ID]],[1]!Address[ID],[1]!Address[Phone No.(2)])</f>
        <v/>
      </c>
      <c r="V168" s="11" t="str">
        <f>_xlfn.XLOOKUP(Customer[[#This Row],[Customer ID]],[1]!Address[ID],[1]!Address[Type])</f>
        <v>PETROMART</v>
      </c>
      <c r="W168" s="11" t="str">
        <f>_xlfn.XLOOKUP(Customer[[#This Row],[Customer ID]],[1]!Address[ID],[1]!Address[CT])</f>
        <v>30 DAYS</v>
      </c>
      <c r="X168" s="11" t="s">
        <v>39</v>
      </c>
      <c r="Y168" s="17" t="s">
        <v>40</v>
      </c>
      <c r="Z168" s="17" t="e">
        <f>_xlfn.XLOOKUP(Customer[[#This Row],[NewType]],$AF$36:$AF$54,$AG$36:$AG$54)</f>
        <v>#N/A</v>
      </c>
      <c r="AA168" s="17" t="s">
        <v>1280</v>
      </c>
      <c r="AB168" s="11" t="str">
        <f>_xlfn.XLOOKUP(Customer[[#This Row],[Customer ID]],[1]!Address[ID],[1]!Address[Subtype])</f>
        <v>PETRONAS</v>
      </c>
      <c r="AC168" s="18" t="str">
        <f>_xlfn.XLOOKUP(Customer[[#This Row],[Customer ID]],[1]!Address[ID],[1]!Address[Zone])</f>
        <v>NORTH</v>
      </c>
    </row>
    <row r="169" spans="1:29" x14ac:dyDescent="0.3">
      <c r="A169" s="10" t="s">
        <v>1281</v>
      </c>
      <c r="B169" s="11" t="str">
        <f>_xlfn.XLOOKUP(Customer[[#This Row],[Customer ID]],[1]!Name[ID],[1]!Name[Description(1)])</f>
        <v>ALK EFFICIENT FUEL SDN BHD</v>
      </c>
      <c r="C169" s="11" t="str">
        <f>_xlfn.XLOOKUP(Customer[[#This Row],[Customer ID]],[1]!Name[ID],[1]!Name[Description(2)])</f>
        <v>PS CHANGKAT CERMIN</v>
      </c>
      <c r="D169" s="11" t="str">
        <f>_xlfn.XLOOKUP(Customer[[#This Row],[Customer ID]],[1]!Address[ID],[1]!Address[PIC])</f>
        <v/>
      </c>
      <c r="E169" s="11" t="str">
        <f>_xlfn.XLOOKUP(Customer[[#This Row],[Customer ID]],[1]!Address[ID],[1]!Address[Full Address])</f>
        <v>PS CHANGKAT CERMINLOT 8708 GM 2899 SUAK SEDONAN,MUKIM BOTA (TITI GANTUNG),32900 PERAK TENGAH, PERAK</v>
      </c>
      <c r="F169" s="12" t="s">
        <v>1282</v>
      </c>
      <c r="G169" s="12" t="s">
        <v>1283</v>
      </c>
      <c r="H169" s="12" t="s">
        <v>1284</v>
      </c>
      <c r="I169" s="12" t="b">
        <f>ISNUMBER(VALUE(LEFT(Customer[[#This Row],[Address Line 3 (30 char)]],1)))</f>
        <v>0</v>
      </c>
      <c r="J169" s="12" t="s">
        <v>387</v>
      </c>
      <c r="K169" s="12">
        <v>32900</v>
      </c>
      <c r="L169" s="12" t="s">
        <v>35</v>
      </c>
      <c r="M169" s="13" t="e">
        <v>#N/A</v>
      </c>
      <c r="N169" s="14" t="e">
        <v>#N/A</v>
      </c>
      <c r="O169" s="14" t="e">
        <v>#N/A</v>
      </c>
      <c r="P169" s="14" t="e">
        <v>#N/A</v>
      </c>
      <c r="Q169" s="19" t="s">
        <v>1285</v>
      </c>
      <c r="R169" s="15" t="s">
        <v>1286</v>
      </c>
      <c r="S169" s="15" t="s">
        <v>74</v>
      </c>
      <c r="T169" s="16" t="s">
        <v>38</v>
      </c>
      <c r="U169" s="11" t="str">
        <f>_xlfn.XLOOKUP(Customer[[#This Row],[Customer ID]],[1]!Address[ID],[1]!Address[Phone No.(2)])</f>
        <v/>
      </c>
      <c r="V169" s="11" t="str">
        <f>_xlfn.XLOOKUP(Customer[[#This Row],[Customer ID]],[1]!Address[ID],[1]!Address[Type])</f>
        <v>PETROMART</v>
      </c>
      <c r="W169" s="11" t="str">
        <f>_xlfn.XLOOKUP(Customer[[#This Row],[Customer ID]],[1]!Address[ID],[1]!Address[CT])</f>
        <v>30 DAYS</v>
      </c>
      <c r="X169" s="11" t="s">
        <v>39</v>
      </c>
      <c r="Y169" s="17" t="s">
        <v>40</v>
      </c>
      <c r="Z169" s="17" t="e">
        <f>_xlfn.XLOOKUP(Customer[[#This Row],[NewType]],$AF$36:$AF$54,$AG$36:$AG$54)</f>
        <v>#N/A</v>
      </c>
      <c r="AA169" s="17" t="s">
        <v>1287</v>
      </c>
      <c r="AB169" s="11" t="str">
        <f>_xlfn.XLOOKUP(Customer[[#This Row],[Customer ID]],[1]!Address[ID],[1]!Address[Subtype])</f>
        <v>PETRONAS</v>
      </c>
      <c r="AC169" s="18" t="str">
        <f>_xlfn.XLOOKUP(Customer[[#This Row],[Customer ID]],[1]!Address[ID],[1]!Address[Zone])</f>
        <v>NORTH</v>
      </c>
    </row>
    <row r="170" spans="1:29" x14ac:dyDescent="0.3">
      <c r="A170" s="10" t="s">
        <v>1288</v>
      </c>
      <c r="B170" s="11" t="str">
        <f>_xlfn.XLOOKUP(Customer[[#This Row],[Customer ID]],[1]!Name[ID],[1]!Name[Description(1)])</f>
        <v>STESEN MINYAK POPULAR (TI) SDN. BHD</v>
      </c>
      <c r="C170" s="11" t="str">
        <f>_xlfn.XLOOKUP(Customer[[#This Row],[Customer ID]],[1]!Name[ID],[1]!Name[Description(2)])</f>
        <v>PS CHANGKAT JONG</v>
      </c>
      <c r="D170" s="11" t="str">
        <f>_xlfn.XLOOKUP(Customer[[#This Row],[Customer ID]],[1]!Address[ID],[1]!Address[PIC])</f>
        <v/>
      </c>
      <c r="E170" s="11" t="str">
        <f>_xlfn.XLOOKUP(Customer[[#This Row],[Customer ID]],[1]!Address[ID],[1]!Address[Full Address])</f>
        <v>PS CHANGKAT JONGLOT 7338, GM 1237, SUNGAI NIBONG, MUKIMDURIAN SEBATANG,DAERAH HILIR PERAK,CHANGKAT JONG, 36000 TELUK INTAN, PERAK</v>
      </c>
      <c r="F170" s="12" t="s">
        <v>1289</v>
      </c>
      <c r="G170" s="12" t="s">
        <v>1290</v>
      </c>
      <c r="H170" s="12" t="s">
        <v>1291</v>
      </c>
      <c r="I170" s="12" t="b">
        <f>ISNUMBER(VALUE(LEFT(Customer[[#This Row],[Address Line 3 (30 char)]],1)))</f>
        <v>0</v>
      </c>
      <c r="J170" s="12" t="s">
        <v>242</v>
      </c>
      <c r="K170" s="12">
        <v>36000</v>
      </c>
      <c r="L170" s="12" t="s">
        <v>35</v>
      </c>
      <c r="M170" s="13" t="e">
        <v>#N/A</v>
      </c>
      <c r="N170" s="14" t="s">
        <v>1292</v>
      </c>
      <c r="O170" s="14" t="e">
        <v>#N/A</v>
      </c>
      <c r="P170" s="14" t="e">
        <v>#N/A</v>
      </c>
      <c r="Q170" s="19" t="s">
        <v>1293</v>
      </c>
      <c r="R170" s="15" t="s">
        <v>1294</v>
      </c>
      <c r="S170" s="15" t="s">
        <v>37</v>
      </c>
      <c r="T170" s="16" t="s">
        <v>38</v>
      </c>
      <c r="U170" s="11" t="str">
        <f>_xlfn.XLOOKUP(Customer[[#This Row],[Customer ID]],[1]!Address[ID],[1]!Address[Phone No.(2)])</f>
        <v/>
      </c>
      <c r="V170" s="11" t="str">
        <f>_xlfn.XLOOKUP(Customer[[#This Row],[Customer ID]],[1]!Address[ID],[1]!Address[Type])</f>
        <v>PETROMART</v>
      </c>
      <c r="W170" s="11" t="str">
        <f>_xlfn.XLOOKUP(Customer[[#This Row],[Customer ID]],[1]!Address[ID],[1]!Address[CT])</f>
        <v>30 DAYS</v>
      </c>
      <c r="X170" s="11" t="s">
        <v>39</v>
      </c>
      <c r="Y170" s="17" t="s">
        <v>40</v>
      </c>
      <c r="Z170" s="17" t="e">
        <f>_xlfn.XLOOKUP(Customer[[#This Row],[NewType]],$AF$36:$AF$54,$AG$36:$AG$54)</f>
        <v>#N/A</v>
      </c>
      <c r="AA170" s="17" t="s">
        <v>1295</v>
      </c>
      <c r="AB170" s="11" t="str">
        <f>_xlfn.XLOOKUP(Customer[[#This Row],[Customer ID]],[1]!Address[ID],[1]!Address[Subtype])</f>
        <v>PETRONAS</v>
      </c>
      <c r="AC170" s="18" t="str">
        <f>_xlfn.XLOOKUP(Customer[[#This Row],[Customer ID]],[1]!Address[ID],[1]!Address[Zone])</f>
        <v>NORTH</v>
      </c>
    </row>
    <row r="171" spans="1:29" x14ac:dyDescent="0.3">
      <c r="A171" s="10" t="s">
        <v>1296</v>
      </c>
      <c r="B171" s="11" t="str">
        <f>_xlfn.XLOOKUP(Customer[[#This Row],[Customer ID]],[1]!Name[ID],[1]!Name[Description(1)])</f>
        <v>PSS PPK CHANGLUN</v>
      </c>
      <c r="C171" s="11" t="str">
        <f>_xlfn.XLOOKUP(Customer[[#This Row],[Customer ID]],[1]!Name[ID],[1]!Name[Description(2)])</f>
        <v>PS CHANGLUN</v>
      </c>
      <c r="D171" s="11" t="str">
        <f>_xlfn.XLOOKUP(Customer[[#This Row],[Customer ID]],[1]!Address[ID],[1]!Address[PIC])</f>
        <v/>
      </c>
      <c r="E171" s="11" t="str">
        <f>_xlfn.XLOOKUP(Customer[[#This Row],[Customer ID]],[1]!Address[ID],[1]!Address[Full Address])</f>
        <v>PS CHANGLUNLOT 1993, PEKAN LAMA CHANGLOON,06010, KUBANG PASU,KEDAH</v>
      </c>
      <c r="F171" s="12" t="s">
        <v>1297</v>
      </c>
      <c r="G171" s="12" t="s">
        <v>1298</v>
      </c>
      <c r="H171" s="12" t="s">
        <v>1299</v>
      </c>
      <c r="I171" s="12" t="b">
        <f>ISNUMBER(VALUE(LEFT(Customer[[#This Row],[Address Line 3 (30 char)]],1)))</f>
        <v>0</v>
      </c>
      <c r="J171" s="12" t="s">
        <v>355</v>
      </c>
      <c r="K171" s="20" t="s">
        <v>1300</v>
      </c>
      <c r="L171" s="12" t="s">
        <v>35</v>
      </c>
      <c r="M171" s="13" t="e">
        <v>#N/A</v>
      </c>
      <c r="N171" s="14" t="e">
        <v>#N/A</v>
      </c>
      <c r="O171" s="14" t="e">
        <v>#N/A</v>
      </c>
      <c r="P171" s="14" t="e">
        <v>#N/A</v>
      </c>
      <c r="Q171" s="19" t="s">
        <v>1301</v>
      </c>
      <c r="R171" s="15" t="s">
        <v>1302</v>
      </c>
      <c r="S171" s="15" t="s">
        <v>74</v>
      </c>
      <c r="T171" s="16" t="s">
        <v>38</v>
      </c>
      <c r="U171" s="11" t="str">
        <f>_xlfn.XLOOKUP(Customer[[#This Row],[Customer ID]],[1]!Address[ID],[1]!Address[Phone No.(2)])</f>
        <v/>
      </c>
      <c r="V171" s="11" t="str">
        <f>_xlfn.XLOOKUP(Customer[[#This Row],[Customer ID]],[1]!Address[ID],[1]!Address[Type])</f>
        <v>PETROMART</v>
      </c>
      <c r="W171" s="11" t="str">
        <f>_xlfn.XLOOKUP(Customer[[#This Row],[Customer ID]],[1]!Address[ID],[1]!Address[CT])</f>
        <v>30 DAYS</v>
      </c>
      <c r="X171" s="11" t="s">
        <v>39</v>
      </c>
      <c r="Y171" s="17" t="s">
        <v>40</v>
      </c>
      <c r="Z171" s="17" t="e">
        <f>_xlfn.XLOOKUP(Customer[[#This Row],[NewType]],$AF$36:$AF$54,$AG$36:$AG$54)</f>
        <v>#N/A</v>
      </c>
      <c r="AA171" s="17" t="s">
        <v>1303</v>
      </c>
      <c r="AB171" s="11" t="str">
        <f>_xlfn.XLOOKUP(Customer[[#This Row],[Customer ID]],[1]!Address[ID],[1]!Address[Subtype])</f>
        <v>PETRONAS</v>
      </c>
      <c r="AC171" s="18" t="str">
        <f>_xlfn.XLOOKUP(Customer[[#This Row],[Customer ID]],[1]!Address[ID],[1]!Address[Zone])</f>
        <v>NORTH</v>
      </c>
    </row>
    <row r="172" spans="1:29" x14ac:dyDescent="0.3">
      <c r="A172" s="10" t="s">
        <v>1304</v>
      </c>
      <c r="B172" s="11" t="str">
        <f>_xlfn.XLOOKUP(Customer[[#This Row],[Customer ID]],[1]!Name[ID],[1]!Name[Description(1)])</f>
        <v>TGZAMZURI IOOI ENTERPRISE</v>
      </c>
      <c r="C172" s="11" t="str">
        <f>_xlfn.XLOOKUP(Customer[[#This Row],[Customer ID]],[1]!Name[ID],[1]!Name[Description(2)])</f>
        <v>PS CHENDERING</v>
      </c>
      <c r="D172" s="11" t="str">
        <f>_xlfn.XLOOKUP(Customer[[#This Row],[Customer ID]],[1]!Address[ID],[1]!Address[PIC])</f>
        <v/>
      </c>
      <c r="E172" s="11" t="str">
        <f>_xlfn.XLOOKUP(Customer[[#This Row],[Customer ID]],[1]!Address[ID],[1]!Address[Full Address])</f>
        <v>PS CHENDERINGLOT PT 3232, KAMPUNG MESJID BESAR,MUKIM CHENDERING,21080 KUALA TERENGGANU,TERENGGANU</v>
      </c>
      <c r="F172" s="12" t="s">
        <v>1305</v>
      </c>
      <c r="G172" s="12" t="s">
        <v>1306</v>
      </c>
      <c r="H172" s="12" t="s">
        <v>1307</v>
      </c>
      <c r="I172" s="12" t="b">
        <f>ISNUMBER(VALUE(LEFT(Customer[[#This Row],[Address Line 3 (30 char)]],1)))</f>
        <v>0</v>
      </c>
      <c r="J172" s="12" t="s">
        <v>1056</v>
      </c>
      <c r="K172" s="12">
        <v>21080</v>
      </c>
      <c r="L172" s="12" t="s">
        <v>35</v>
      </c>
      <c r="M172" s="13" t="e">
        <v>#N/A</v>
      </c>
      <c r="N172" s="14" t="e">
        <v>#N/A</v>
      </c>
      <c r="O172" s="14" t="e">
        <v>#N/A</v>
      </c>
      <c r="P172" s="14" t="e">
        <v>#N/A</v>
      </c>
      <c r="Q172" s="19" t="s">
        <v>1308</v>
      </c>
      <c r="R172" s="15" t="s">
        <v>1309</v>
      </c>
      <c r="S172" s="15" t="s">
        <v>37</v>
      </c>
      <c r="T172" s="16" t="s">
        <v>38</v>
      </c>
      <c r="U172" s="11" t="str">
        <f>_xlfn.XLOOKUP(Customer[[#This Row],[Customer ID]],[1]!Address[ID],[1]!Address[Phone No.(2)])</f>
        <v/>
      </c>
      <c r="V172" s="11" t="str">
        <f>_xlfn.XLOOKUP(Customer[[#This Row],[Customer ID]],[1]!Address[ID],[1]!Address[Type])</f>
        <v>PETROMART</v>
      </c>
      <c r="W172" s="11" t="str">
        <f>_xlfn.XLOOKUP(Customer[[#This Row],[Customer ID]],[1]!Address[ID],[1]!Address[CT])</f>
        <v>30 DAYS</v>
      </c>
      <c r="X172" s="11" t="s">
        <v>39</v>
      </c>
      <c r="Y172" s="17" t="s">
        <v>40</v>
      </c>
      <c r="Z172" s="17" t="e">
        <f>_xlfn.XLOOKUP(Customer[[#This Row],[NewType]],$AF$36:$AF$54,$AG$36:$AG$54)</f>
        <v>#N/A</v>
      </c>
      <c r="AA172" s="17" t="s">
        <v>1310</v>
      </c>
      <c r="AB172" s="11" t="str">
        <f>_xlfn.XLOOKUP(Customer[[#This Row],[Customer ID]],[1]!Address[ID],[1]!Address[Subtype])</f>
        <v>PETRONAS</v>
      </c>
      <c r="AC172" s="18" t="str">
        <f>_xlfn.XLOOKUP(Customer[[#This Row],[Customer ID]],[1]!Address[ID],[1]!Address[Zone])</f>
        <v>EAST COAST</v>
      </c>
    </row>
    <row r="173" spans="1:29" x14ac:dyDescent="0.3">
      <c r="A173" s="10" t="s">
        <v>1311</v>
      </c>
      <c r="B173" s="11" t="str">
        <f>_xlfn.XLOOKUP(Customer[[#This Row],[Customer ID]],[1]!Name[ID],[1]!Name[Description(1)])</f>
        <v>PETROMEX OIL MARKETING</v>
      </c>
      <c r="C173" s="11" t="str">
        <f>_xlfn.XLOOKUP(Customer[[#This Row],[Customer ID]],[1]!Name[ID],[1]!Name[Description(2)])</f>
        <v>PS CHENG</v>
      </c>
      <c r="D173" s="11" t="str">
        <f>_xlfn.XLOOKUP(Customer[[#This Row],[Customer ID]],[1]!Address[ID],[1]!Address[PIC])</f>
        <v/>
      </c>
      <c r="E173" s="11" t="str">
        <f>_xlfn.XLOOKUP(Customer[[#This Row],[Customer ID]],[1]!Address[ID],[1]!Address[Full Address])</f>
        <v>PS CHENGLOT 858, MUKIM CHENG,75250 MELAKA TENGAH,MELAKA</v>
      </c>
      <c r="F173" s="12" t="s">
        <v>1312</v>
      </c>
      <c r="G173" s="12" t="s">
        <v>1313</v>
      </c>
      <c r="H173" s="24" t="s">
        <v>102</v>
      </c>
      <c r="I173" s="24" t="b">
        <f>ISNUMBER(VALUE(LEFT(Customer[[#This Row],[Address Line 3 (30 char)]],1)))</f>
        <v>0</v>
      </c>
      <c r="J173" s="12" t="s">
        <v>61</v>
      </c>
      <c r="K173" s="12">
        <v>75250</v>
      </c>
      <c r="L173" s="12" t="s">
        <v>35</v>
      </c>
      <c r="M173" s="13">
        <v>202003381456</v>
      </c>
      <c r="N173" s="14" t="s">
        <v>1314</v>
      </c>
      <c r="O173" s="14" t="e">
        <v>#N/A</v>
      </c>
      <c r="P173" s="14" t="e">
        <v>#N/A</v>
      </c>
      <c r="Q173" s="19" t="s">
        <v>1315</v>
      </c>
      <c r="R173" s="15" t="s">
        <v>1316</v>
      </c>
      <c r="S173" s="15" t="s">
        <v>37</v>
      </c>
      <c r="T173" s="16" t="s">
        <v>38</v>
      </c>
      <c r="U173" s="11" t="str">
        <f>_xlfn.XLOOKUP(Customer[[#This Row],[Customer ID]],[1]!Address[ID],[1]!Address[Phone No.(2)])</f>
        <v/>
      </c>
      <c r="V173" s="11" t="str">
        <f>_xlfn.XLOOKUP(Customer[[#This Row],[Customer ID]],[1]!Address[ID],[1]!Address[Type])</f>
        <v>PETROMART</v>
      </c>
      <c r="W173" s="11" t="str">
        <f>_xlfn.XLOOKUP(Customer[[#This Row],[Customer ID]],[1]!Address[ID],[1]!Address[CT])</f>
        <v>30 DAYS</v>
      </c>
      <c r="X173" s="11" t="s">
        <v>39</v>
      </c>
      <c r="Y173" s="17" t="s">
        <v>40</v>
      </c>
      <c r="Z173" s="17" t="e">
        <f>_xlfn.XLOOKUP(Customer[[#This Row],[NewType]],$AF$36:$AF$54,$AG$36:$AG$54)</f>
        <v>#N/A</v>
      </c>
      <c r="AA173" s="17" t="s">
        <v>1317</v>
      </c>
      <c r="AB173" s="11" t="str">
        <f>_xlfn.XLOOKUP(Customer[[#This Row],[Customer ID]],[1]!Address[ID],[1]!Address[Subtype])</f>
        <v>PETRONAS</v>
      </c>
      <c r="AC173" s="18" t="str">
        <f>_xlfn.XLOOKUP(Customer[[#This Row],[Customer ID]],[1]!Address[ID],[1]!Address[Zone])</f>
        <v>SOUTH</v>
      </c>
    </row>
    <row r="174" spans="1:29" x14ac:dyDescent="0.3">
      <c r="A174" s="10" t="s">
        <v>1318</v>
      </c>
      <c r="B174" s="11" t="str">
        <f>_xlfn.XLOOKUP(Customer[[#This Row],[Customer ID]],[1]!Name[ID],[1]!Name[Description(1)])</f>
        <v>ANFAL ENTERPRISE</v>
      </c>
      <c r="C174" s="11" t="str">
        <f>_xlfn.XLOOKUP(Customer[[#This Row],[Customer ID]],[1]!Name[ID],[1]!Name[Description(2)])</f>
        <v>PS CHERAS PERDANA</v>
      </c>
      <c r="D174" s="11" t="str">
        <f>_xlfn.XLOOKUP(Customer[[#This Row],[Customer ID]],[1]!Address[ID],[1]!Address[PIC])</f>
        <v/>
      </c>
      <c r="E174" s="11" t="str">
        <f>_xlfn.XLOOKUP(Customer[[#This Row],[Customer ID]],[1]!Address[ID],[1]!Address[Full Address])</f>
        <v>PS CHERAS PERDANALOT 21854 (PT 16292)TAMAN CHERAS PERDANA, CHERAS,43200, ULU LANGAT,  SELANGOR</v>
      </c>
      <c r="F174" s="12" t="s">
        <v>1319</v>
      </c>
      <c r="G174" s="12" t="s">
        <v>1320</v>
      </c>
      <c r="H174" s="12" t="s">
        <v>1321</v>
      </c>
      <c r="I174" s="12" t="b">
        <f>ISNUMBER(VALUE(LEFT(Customer[[#This Row],[Address Line 3 (30 char)]],1)))</f>
        <v>0</v>
      </c>
      <c r="J174" s="12" t="s">
        <v>172</v>
      </c>
      <c r="K174" s="12">
        <v>43200</v>
      </c>
      <c r="L174" s="12" t="s">
        <v>35</v>
      </c>
      <c r="M174" s="13" t="e">
        <v>#N/A</v>
      </c>
      <c r="N174" s="14" t="e">
        <v>#N/A</v>
      </c>
      <c r="O174" s="14" t="e">
        <v>#N/A</v>
      </c>
      <c r="P174" s="14" t="e">
        <v>#N/A</v>
      </c>
      <c r="Q174" s="19" t="s">
        <v>1322</v>
      </c>
      <c r="R174" s="15" t="s">
        <v>1323</v>
      </c>
      <c r="S174" s="15" t="s">
        <v>37</v>
      </c>
      <c r="T174" s="16" t="s">
        <v>38</v>
      </c>
      <c r="U174" s="11" t="str">
        <f>_xlfn.XLOOKUP(Customer[[#This Row],[Customer ID]],[1]!Address[ID],[1]!Address[Phone No.(2)])</f>
        <v/>
      </c>
      <c r="V174" s="11" t="str">
        <f>_xlfn.XLOOKUP(Customer[[#This Row],[Customer ID]],[1]!Address[ID],[1]!Address[Type])</f>
        <v>PETROMART</v>
      </c>
      <c r="W174" s="11" t="str">
        <f>_xlfn.XLOOKUP(Customer[[#This Row],[Customer ID]],[1]!Address[ID],[1]!Address[CT])</f>
        <v>30 DAYS</v>
      </c>
      <c r="X174" s="11" t="s">
        <v>39</v>
      </c>
      <c r="Y174" s="17" t="s">
        <v>40</v>
      </c>
      <c r="Z174" s="17" t="e">
        <f>_xlfn.XLOOKUP(Customer[[#This Row],[NewType]],$AF$36:$AF$54,$AG$36:$AG$54)</f>
        <v>#N/A</v>
      </c>
      <c r="AA174" s="17" t="s">
        <v>1324</v>
      </c>
      <c r="AB174" s="11" t="str">
        <f>_xlfn.XLOOKUP(Customer[[#This Row],[Customer ID]],[1]!Address[ID],[1]!Address[Subtype])</f>
        <v>PETRONAS</v>
      </c>
      <c r="AC174" s="18" t="str">
        <f>_xlfn.XLOOKUP(Customer[[#This Row],[Customer ID]],[1]!Address[ID],[1]!Address[Zone])</f>
        <v>CENTRAL</v>
      </c>
    </row>
    <row r="175" spans="1:29" x14ac:dyDescent="0.3">
      <c r="A175" s="10" t="s">
        <v>1325</v>
      </c>
      <c r="B175" s="11" t="str">
        <f>_xlfn.XLOOKUP(Customer[[#This Row],[Customer ID]],[1]!Name[ID],[1]!Name[Description(1)])</f>
        <v>RENERGY ENTERPRISE</v>
      </c>
      <c r="C175" s="11" t="str">
        <f>_xlfn.XLOOKUP(Customer[[#This Row],[Customer ID]],[1]!Name[ID],[1]!Name[Description(2)])</f>
        <v>PS KAMPUNG BARU SUBANG</v>
      </c>
      <c r="D175" s="11" t="str">
        <f>_xlfn.XLOOKUP(Customer[[#This Row],[Customer ID]],[1]!Address[ID],[1]!Address[PIC])</f>
        <v/>
      </c>
      <c r="E175" s="11" t="str">
        <f>_xlfn.XLOOKUP(Customer[[#This Row],[Customer ID]],[1]!Address[ID],[1]!Address[Full Address])</f>
        <v>PS KAMPUNG BARU SUBANGLOT 4029, JALAN 1 D,KG BAHARU SUBANG,SEK U 6, SHAH ALAM</v>
      </c>
      <c r="F175" s="12" t="s">
        <v>1326</v>
      </c>
      <c r="G175" s="12" t="s">
        <v>1327</v>
      </c>
      <c r="H175" s="12" t="s">
        <v>1328</v>
      </c>
      <c r="I175" s="12" t="b">
        <f>ISNUMBER(VALUE(LEFT(Customer[[#This Row],[Address Line 3 (30 char)]],1)))</f>
        <v>0</v>
      </c>
      <c r="J175" s="12" t="s">
        <v>172</v>
      </c>
      <c r="K175" s="12">
        <v>40150</v>
      </c>
      <c r="L175" s="12" t="s">
        <v>35</v>
      </c>
      <c r="M175" s="13" t="e">
        <v>#N/A</v>
      </c>
      <c r="N175" s="14" t="e">
        <v>#N/A</v>
      </c>
      <c r="O175" s="14" t="e">
        <v>#N/A</v>
      </c>
      <c r="P175" s="14" t="e">
        <v>#N/A</v>
      </c>
      <c r="Q175" s="19" t="s">
        <v>1329</v>
      </c>
      <c r="R175" s="15" t="s">
        <v>1330</v>
      </c>
      <c r="S175" s="15" t="s">
        <v>37</v>
      </c>
      <c r="T175" s="16" t="s">
        <v>38</v>
      </c>
      <c r="U175" s="11" t="str">
        <f>_xlfn.XLOOKUP(Customer[[#This Row],[Customer ID]],[1]!Address[ID],[1]!Address[Phone No.(2)])</f>
        <v/>
      </c>
      <c r="V175" s="11" t="str">
        <f>_xlfn.XLOOKUP(Customer[[#This Row],[Customer ID]],[1]!Address[ID],[1]!Address[Type])</f>
        <v>PETROMART</v>
      </c>
      <c r="W175" s="11" t="str">
        <f>_xlfn.XLOOKUP(Customer[[#This Row],[Customer ID]],[1]!Address[ID],[1]!Address[CT])</f>
        <v>30 DAYS</v>
      </c>
      <c r="X175" s="11" t="s">
        <v>39</v>
      </c>
      <c r="Y175" s="17" t="s">
        <v>40</v>
      </c>
      <c r="Z175" s="17" t="e">
        <f>_xlfn.XLOOKUP(Customer[[#This Row],[NewType]],$AF$36:$AF$54,$AG$36:$AG$54)</f>
        <v>#N/A</v>
      </c>
      <c r="AA175" s="17" t="s">
        <v>1331</v>
      </c>
      <c r="AB175" s="11" t="str">
        <f>_xlfn.XLOOKUP(Customer[[#This Row],[Customer ID]],[1]!Address[ID],[1]!Address[Subtype])</f>
        <v>PETRONAS</v>
      </c>
      <c r="AC175" s="18" t="str">
        <f>_xlfn.XLOOKUP(Customer[[#This Row],[Customer ID]],[1]!Address[ID],[1]!Address[Zone])</f>
        <v>CENTRAL</v>
      </c>
    </row>
    <row r="176" spans="1:29" x14ac:dyDescent="0.3">
      <c r="A176" s="27" t="s">
        <v>1332</v>
      </c>
      <c r="B176" s="28" t="str">
        <f>_xlfn.XLOOKUP(Customer[[#This Row],[Customer ID]],[1]!Name[ID],[1]!Name[Description(1)])</f>
        <v>NADI OASIS ENTERPRISE</v>
      </c>
      <c r="C176" s="11" t="str">
        <f>_xlfn.XLOOKUP(Customer[[#This Row],[Customer ID]],[1]!Name[ID],[1]!Name[Description(2)])</f>
        <v>PS KAMPUNG BATU DUA/JALAN GURUN-JENIANG</v>
      </c>
      <c r="D176" s="11" t="str">
        <f>_xlfn.XLOOKUP(Customer[[#This Row],[Customer ID]],[1]!Address[ID],[1]!Address[PIC])</f>
        <v/>
      </c>
      <c r="E176" s="11" t="str">
        <f>_xlfn.XLOOKUP(Customer[[#This Row],[Customer ID]],[1]!Address[ID],[1]!Address[Full Address])</f>
        <v>PS KAMPUNG BATU DUA/JALAN GURUN-JENIANGPT 6726, HSM 1836, JALAN GURUN, JENIANGMUKIM PADANG LEMBUGURUN KEDAH, 08300, KEDAH</v>
      </c>
      <c r="F176" s="12" t="s">
        <v>1333</v>
      </c>
      <c r="G176" s="12" t="s">
        <v>1334</v>
      </c>
      <c r="H176" s="12" t="s">
        <v>1335</v>
      </c>
      <c r="I176" s="12" t="b">
        <f>ISNUMBER(VALUE(LEFT(Customer[[#This Row],[Address Line 3 (30 char)]],1)))</f>
        <v>0</v>
      </c>
      <c r="J176" s="12" t="s">
        <v>355</v>
      </c>
      <c r="K176" s="30" t="s">
        <v>1336</v>
      </c>
      <c r="L176" s="12" t="s">
        <v>35</v>
      </c>
      <c r="M176" s="13" t="e">
        <v>#N/A</v>
      </c>
      <c r="N176" s="14" t="e">
        <v>#N/A</v>
      </c>
      <c r="O176" s="14" t="e">
        <v>#N/A</v>
      </c>
      <c r="P176" s="14" t="e">
        <v>#N/A</v>
      </c>
      <c r="Q176" s="19" t="s">
        <v>1337</v>
      </c>
      <c r="R176" s="15" t="s">
        <v>1330</v>
      </c>
      <c r="S176" s="15" t="s">
        <v>74</v>
      </c>
      <c r="T176" s="16" t="s">
        <v>38</v>
      </c>
      <c r="U176" s="11" t="str">
        <f>_xlfn.XLOOKUP(Customer[[#This Row],[Customer ID]],[1]!Address[ID],[1]!Address[Phone No.(2)])</f>
        <v/>
      </c>
      <c r="V176" s="11" t="str">
        <f>_xlfn.XLOOKUP(Customer[[#This Row],[Customer ID]],[1]!Address[ID],[1]!Address[Type])</f>
        <v>PETROMART</v>
      </c>
      <c r="W176" s="11" t="str">
        <f>_xlfn.XLOOKUP(Customer[[#This Row],[Customer ID]],[1]!Address[ID],[1]!Address[CT])</f>
        <v>30 DAYS</v>
      </c>
      <c r="X176" s="11" t="s">
        <v>39</v>
      </c>
      <c r="Y176" s="17" t="s">
        <v>40</v>
      </c>
      <c r="Z176" s="17" t="e">
        <f>_xlfn.XLOOKUP(Customer[[#This Row],[NewType]],$AF$36:$AF$54,$AG$36:$AG$54)</f>
        <v>#N/A</v>
      </c>
      <c r="AA176" s="17" t="s">
        <v>1338</v>
      </c>
      <c r="AB176" s="11" t="str">
        <f>_xlfn.XLOOKUP(Customer[[#This Row],[Customer ID]],[1]!Address[ID],[1]!Address[Subtype])</f>
        <v>PETRONAS</v>
      </c>
      <c r="AC176" s="18" t="str">
        <f>_xlfn.XLOOKUP(Customer[[#This Row],[Customer ID]],[1]!Address[ID],[1]!Address[Zone])</f>
        <v>NORTH</v>
      </c>
    </row>
    <row r="177" spans="1:29" x14ac:dyDescent="0.3">
      <c r="A177" s="10" t="s">
        <v>1339</v>
      </c>
      <c r="B177" s="11" t="str">
        <f>_xlfn.XLOOKUP(Customer[[#This Row],[Customer ID]],[1]!Name[ID],[1]!Name[Description(1)])</f>
        <v>JELAWAT FUEL RESOURCES</v>
      </c>
      <c r="C177" s="11" t="str">
        <f>_xlfn.XLOOKUP(Customer[[#This Row],[Customer ID]],[1]!Name[ID],[1]!Name[Description(2)])</f>
        <v>PS KAMPUNG JELAWAT</v>
      </c>
      <c r="D177" s="11" t="str">
        <f>_xlfn.XLOOKUP(Customer[[#This Row],[Customer ID]],[1]!Address[ID],[1]!Address[PIC])</f>
        <v/>
      </c>
      <c r="E177" s="11" t="str">
        <f>_xlfn.XLOOKUP(Customer[[#This Row],[Customer ID]],[1]!Address[ID],[1]!Address[Full Address])</f>
        <v>PS KAMPUNG JELAWATLOT 3132 &amp; GM 197 LOT 790 KAMPONGJELAWAT, MUKIM RUSA, BACHOK,16070 KELANTAN</v>
      </c>
      <c r="F177" s="12" t="s">
        <v>1340</v>
      </c>
      <c r="G177" s="12" t="s">
        <v>1341</v>
      </c>
      <c r="H177" s="12" t="s">
        <v>1342</v>
      </c>
      <c r="I177" s="12" t="b">
        <f>ISNUMBER(VALUE(LEFT(Customer[[#This Row],[Address Line 3 (30 char)]],1)))</f>
        <v>0</v>
      </c>
      <c r="J177" s="12" t="s">
        <v>1007</v>
      </c>
      <c r="K177" s="12">
        <v>16070</v>
      </c>
      <c r="L177" s="12" t="s">
        <v>35</v>
      </c>
      <c r="M177" s="13" t="e">
        <v>#N/A</v>
      </c>
      <c r="N177" s="14" t="e">
        <v>#N/A</v>
      </c>
      <c r="O177" s="14" t="e">
        <v>#N/A</v>
      </c>
      <c r="P177" s="14" t="e">
        <v>#N/A</v>
      </c>
      <c r="Q177" s="19" t="s">
        <v>1343</v>
      </c>
      <c r="R177" s="15" t="s">
        <v>1344</v>
      </c>
      <c r="S177" s="15" t="s">
        <v>37</v>
      </c>
      <c r="T177" s="16" t="s">
        <v>38</v>
      </c>
      <c r="U177" s="11" t="str">
        <f>_xlfn.XLOOKUP(Customer[[#This Row],[Customer ID]],[1]!Address[ID],[1]!Address[Phone No.(2)])</f>
        <v/>
      </c>
      <c r="V177" s="11" t="str">
        <f>_xlfn.XLOOKUP(Customer[[#This Row],[Customer ID]],[1]!Address[ID],[1]!Address[Type])</f>
        <v>PETROMART</v>
      </c>
      <c r="W177" s="11" t="str">
        <f>_xlfn.XLOOKUP(Customer[[#This Row],[Customer ID]],[1]!Address[ID],[1]!Address[CT])</f>
        <v>30 DAYS</v>
      </c>
      <c r="X177" s="11" t="s">
        <v>39</v>
      </c>
      <c r="Y177" s="17" t="s">
        <v>40</v>
      </c>
      <c r="Z177" s="17" t="e">
        <f>_xlfn.XLOOKUP(Customer[[#This Row],[NewType]],$AF$36:$AF$54,$AG$36:$AG$54)</f>
        <v>#N/A</v>
      </c>
      <c r="AA177" s="17" t="s">
        <v>1345</v>
      </c>
      <c r="AB177" s="11" t="str">
        <f>_xlfn.XLOOKUP(Customer[[#This Row],[Customer ID]],[1]!Address[ID],[1]!Address[Subtype])</f>
        <v>PETRONAS</v>
      </c>
      <c r="AC177" s="18" t="str">
        <f>_xlfn.XLOOKUP(Customer[[#This Row],[Customer ID]],[1]!Address[ID],[1]!Address[Zone])</f>
        <v>EAST COAST</v>
      </c>
    </row>
    <row r="178" spans="1:29" x14ac:dyDescent="0.3">
      <c r="A178" s="10" t="s">
        <v>1346</v>
      </c>
      <c r="B178" s="11" t="str">
        <f>_xlfn.XLOOKUP(Customer[[#This Row],[Customer ID]],[1]!Name[ID],[1]!Name[Description(1)])</f>
        <v>EM FUELS VENTURE</v>
      </c>
      <c r="C178" s="11" t="str">
        <f>_xlfn.XLOOKUP(Customer[[#This Row],[Customer ID]],[1]!Name[ID],[1]!Name[Description(2)])</f>
        <v>PS KAMPUNG KEDAH, MUKIM PARIT BUNTAR</v>
      </c>
      <c r="D178" s="11" t="str">
        <f>_xlfn.XLOOKUP(Customer[[#This Row],[Customer ID]],[1]!Address[ID],[1]!Address[PIC])</f>
        <v/>
      </c>
      <c r="E178" s="11" t="str">
        <f>_xlfn.XLOOKUP(Customer[[#This Row],[Customer ID]],[1]!Address[ID],[1]!Address[Full Address])</f>
        <v>PS KAMPUNG KEDAH, MUKIM PARIT BUNTARLOT PT 3491 HS(M) 1307 KG KEDAH,MUKIM PARIT BUNTAR, KERIAN,34200, KERIAN, PERAK</v>
      </c>
      <c r="F178" s="12" t="s">
        <v>1347</v>
      </c>
      <c r="G178" s="12" t="s">
        <v>1348</v>
      </c>
      <c r="H178" s="12" t="s">
        <v>1349</v>
      </c>
      <c r="I178" s="12" t="b">
        <f>ISNUMBER(VALUE(LEFT(Customer[[#This Row],[Address Line 3 (30 char)]],1)))</f>
        <v>0</v>
      </c>
      <c r="J178" s="12" t="s">
        <v>242</v>
      </c>
      <c r="K178" s="12">
        <v>34200</v>
      </c>
      <c r="L178" s="12" t="s">
        <v>35</v>
      </c>
      <c r="M178" s="13">
        <v>201203316344</v>
      </c>
      <c r="N178" s="14" t="s">
        <v>1350</v>
      </c>
      <c r="O178" s="14" t="e">
        <v>#N/A</v>
      </c>
      <c r="P178" s="14" t="e">
        <v>#N/A</v>
      </c>
      <c r="Q178" s="19" t="s">
        <v>1351</v>
      </c>
      <c r="R178" s="15" t="s">
        <v>1352</v>
      </c>
      <c r="S178" s="15" t="s">
        <v>37</v>
      </c>
      <c r="T178" s="16" t="s">
        <v>38</v>
      </c>
      <c r="U178" s="11" t="str">
        <f>_xlfn.XLOOKUP(Customer[[#This Row],[Customer ID]],[1]!Address[ID],[1]!Address[Phone No.(2)])</f>
        <v/>
      </c>
      <c r="V178" s="11" t="str">
        <f>_xlfn.XLOOKUP(Customer[[#This Row],[Customer ID]],[1]!Address[ID],[1]!Address[Type])</f>
        <v>PETROMART</v>
      </c>
      <c r="W178" s="11" t="str">
        <f>_xlfn.XLOOKUP(Customer[[#This Row],[Customer ID]],[1]!Address[ID],[1]!Address[CT])</f>
        <v>30 DAYS</v>
      </c>
      <c r="X178" s="11" t="s">
        <v>39</v>
      </c>
      <c r="Y178" s="17" t="s">
        <v>40</v>
      </c>
      <c r="Z178" s="17" t="e">
        <f>_xlfn.XLOOKUP(Customer[[#This Row],[NewType]],$AF$36:$AF$54,$AG$36:$AG$54)</f>
        <v>#N/A</v>
      </c>
      <c r="AA178" s="17" t="s">
        <v>1353</v>
      </c>
      <c r="AB178" s="11" t="str">
        <f>_xlfn.XLOOKUP(Customer[[#This Row],[Customer ID]],[1]!Address[ID],[1]!Address[Subtype])</f>
        <v>PETRONAS</v>
      </c>
      <c r="AC178" s="18" t="str">
        <f>_xlfn.XLOOKUP(Customer[[#This Row],[Customer ID]],[1]!Address[ID],[1]!Address[Zone])</f>
        <v>NORTH</v>
      </c>
    </row>
    <row r="179" spans="1:29" x14ac:dyDescent="0.3">
      <c r="A179" s="10" t="s">
        <v>1354</v>
      </c>
      <c r="B179" s="11" t="str">
        <f>_xlfn.XLOOKUP(Customer[[#This Row],[Customer ID]],[1]!Name[ID],[1]!Name[Description(1)])</f>
        <v>JN MAJU EMPIRE</v>
      </c>
      <c r="C179" s="11" t="str">
        <f>_xlfn.XLOOKUP(Customer[[#This Row],[Customer ID]],[1]!Name[ID],[1]!Name[Description(2)])</f>
        <v>PS KAMPUNG KEPAYANG</v>
      </c>
      <c r="D179" s="11" t="str">
        <f>_xlfn.XLOOKUP(Customer[[#This Row],[Customer ID]],[1]!Address[ID],[1]!Address[PIC])</f>
        <v/>
      </c>
      <c r="E179" s="11" t="str">
        <f>_xlfn.XLOOKUP(Customer[[#This Row],[Customer ID]],[1]!Address[ID],[1]!Address[Full Address])</f>
        <v>PS KAMPUNG KEPAYANGLOT 305121 (PT 15978), MUKIM SUNGAIRAYA, 31300 KAMPUNG KEPAYANG, PERAK</v>
      </c>
      <c r="F179" s="12" t="s">
        <v>1355</v>
      </c>
      <c r="G179" s="12" t="s">
        <v>1356</v>
      </c>
      <c r="H179" s="12" t="s">
        <v>1357</v>
      </c>
      <c r="I179" s="12" t="b">
        <f>ISNUMBER(VALUE(LEFT(Customer[[#This Row],[Address Line 3 (30 char)]],1)))</f>
        <v>0</v>
      </c>
      <c r="J179" s="12" t="s">
        <v>242</v>
      </c>
      <c r="K179" s="12">
        <v>31300</v>
      </c>
      <c r="L179" s="12" t="s">
        <v>35</v>
      </c>
      <c r="M179" s="13" t="e">
        <v>#N/A</v>
      </c>
      <c r="N179" s="14" t="e">
        <v>#N/A</v>
      </c>
      <c r="O179" s="14" t="e">
        <v>#N/A</v>
      </c>
      <c r="P179" s="14" t="e">
        <v>#N/A</v>
      </c>
      <c r="Q179" s="19" t="s">
        <v>1358</v>
      </c>
      <c r="R179" s="15" t="s">
        <v>397</v>
      </c>
      <c r="S179" s="15" t="s">
        <v>74</v>
      </c>
      <c r="T179" s="16" t="s">
        <v>38</v>
      </c>
      <c r="U179" s="11" t="str">
        <f>_xlfn.XLOOKUP(Customer[[#This Row],[Customer ID]],[1]!Address[ID],[1]!Address[Phone No.(2)])</f>
        <v/>
      </c>
      <c r="V179" s="11" t="str">
        <f>_xlfn.XLOOKUP(Customer[[#This Row],[Customer ID]],[1]!Address[ID],[1]!Address[Type])</f>
        <v>PETROMART</v>
      </c>
      <c r="W179" s="11" t="str">
        <f>_xlfn.XLOOKUP(Customer[[#This Row],[Customer ID]],[1]!Address[ID],[1]!Address[CT])</f>
        <v>30 DAYS</v>
      </c>
      <c r="X179" s="11" t="s">
        <v>39</v>
      </c>
      <c r="Y179" s="17" t="s">
        <v>40</v>
      </c>
      <c r="Z179" s="17" t="e">
        <f>_xlfn.XLOOKUP(Customer[[#This Row],[NewType]],$AF$36:$AF$54,$AG$36:$AG$54)</f>
        <v>#N/A</v>
      </c>
      <c r="AA179" s="17" t="s">
        <v>1359</v>
      </c>
      <c r="AB179" s="11" t="str">
        <f>_xlfn.XLOOKUP(Customer[[#This Row],[Customer ID]],[1]!Address[ID],[1]!Address[Subtype])</f>
        <v>PETRONAS</v>
      </c>
      <c r="AC179" s="18" t="str">
        <f>_xlfn.XLOOKUP(Customer[[#This Row],[Customer ID]],[1]!Address[ID],[1]!Address[Zone])</f>
        <v>NORTH</v>
      </c>
    </row>
    <row r="180" spans="1:29" x14ac:dyDescent="0.3">
      <c r="A180" s="10" t="s">
        <v>1360</v>
      </c>
      <c r="B180" s="11" t="str">
        <f>_xlfn.XLOOKUP(Customer[[#This Row],[Customer ID]],[1]!Name[ID],[1]!Name[Description(1)])</f>
        <v>NPL PETROLEUM TRADING SDN BHD</v>
      </c>
      <c r="C180" s="11" t="str">
        <f>_xlfn.XLOOKUP(Customer[[#This Row],[Customer ID]],[1]!Name[ID],[1]!Name[Description(2)])</f>
        <v>PS KAMUNTING</v>
      </c>
      <c r="D180" s="11" t="str">
        <f>_xlfn.XLOOKUP(Customer[[#This Row],[Customer ID]],[1]!Address[ID],[1]!Address[PIC])</f>
        <v>Ms Teo</v>
      </c>
      <c r="E180" s="11" t="str">
        <f>_xlfn.XLOOKUP(Customer[[#This Row],[Customer ID]],[1]!Address[ID],[1]!Address[Full Address])</f>
        <v>PS KAMUNTINGNO.1, JALAN KAMUNTING,34600 KAMUNTINGTAIPING, PERAK</v>
      </c>
      <c r="F180" s="12" t="s">
        <v>1361</v>
      </c>
      <c r="G180" s="12" t="s">
        <v>1362</v>
      </c>
      <c r="H180" s="24" t="s">
        <v>1363</v>
      </c>
      <c r="I180" s="24" t="b">
        <f>ISNUMBER(VALUE(LEFT(Customer[[#This Row],[Address Line 3 (30 char)]],1)))</f>
        <v>0</v>
      </c>
      <c r="J180" s="12" t="s">
        <v>387</v>
      </c>
      <c r="K180" s="12">
        <v>34600</v>
      </c>
      <c r="L180" s="12" t="s">
        <v>35</v>
      </c>
      <c r="M180" s="13">
        <v>201801006956</v>
      </c>
      <c r="N180" s="14" t="s">
        <v>1364</v>
      </c>
      <c r="O180" s="14"/>
      <c r="P180" s="14">
        <v>47300</v>
      </c>
      <c r="Q180" s="19" t="s">
        <v>1365</v>
      </c>
      <c r="R180" s="15" t="s">
        <v>1366</v>
      </c>
      <c r="S180" s="15" t="s">
        <v>37</v>
      </c>
      <c r="T180" s="16" t="s">
        <v>38</v>
      </c>
      <c r="U180" s="11" t="str">
        <f>_xlfn.XLOOKUP(Customer[[#This Row],[Customer ID]],[1]!Address[ID],[1]!Address[Phone No.(2)])</f>
        <v/>
      </c>
      <c r="V180" s="11" t="str">
        <f>_xlfn.XLOOKUP(Customer[[#This Row],[Customer ID]],[1]!Address[ID],[1]!Address[Type])</f>
        <v>PETROMART</v>
      </c>
      <c r="W180" s="11" t="str">
        <f>_xlfn.XLOOKUP(Customer[[#This Row],[Customer ID]],[1]!Address[ID],[1]!Address[CT])</f>
        <v>30 DAYS</v>
      </c>
      <c r="X180" s="11" t="s">
        <v>39</v>
      </c>
      <c r="Y180" s="17" t="s">
        <v>40</v>
      </c>
      <c r="Z180" s="17" t="e">
        <f>_xlfn.XLOOKUP(Customer[[#This Row],[NewType]],$AF$36:$AF$54,$AG$36:$AG$54)</f>
        <v>#N/A</v>
      </c>
      <c r="AA180" s="17" t="s">
        <v>1367</v>
      </c>
      <c r="AB180" s="11" t="str">
        <f>_xlfn.XLOOKUP(Customer[[#This Row],[Customer ID]],[1]!Address[ID],[1]!Address[Subtype])</f>
        <v>PETRONAS</v>
      </c>
      <c r="AC180" s="18" t="str">
        <f>_xlfn.XLOOKUP(Customer[[#This Row],[Customer ID]],[1]!Address[ID],[1]!Address[Zone])</f>
        <v>NORTH</v>
      </c>
    </row>
    <row r="181" spans="1:29" x14ac:dyDescent="0.3">
      <c r="A181" s="10" t="s">
        <v>1368</v>
      </c>
      <c r="B181" s="11" t="str">
        <f>_xlfn.XLOOKUP(Customer[[#This Row],[Customer ID]],[1]!Name[ID],[1]!Name[Description(1)])</f>
        <v>WAWASAN KD ENTERPRISE</v>
      </c>
      <c r="C181" s="11" t="str">
        <f>_xlfn.XLOOKUP(Customer[[#This Row],[Customer ID]],[1]!Name[ID],[1]!Name[Description(2)])</f>
        <v>PS KANCHONG DARAT</v>
      </c>
      <c r="D181" s="11" t="str">
        <f>_xlfn.XLOOKUP(Customer[[#This Row],[Customer ID]],[1]!Address[ID],[1]!Address[PIC])</f>
        <v/>
      </c>
      <c r="E181" s="11" t="str">
        <f>_xlfn.XLOOKUP(Customer[[#This Row],[Customer ID]],[1]!Address[ID],[1]!Address[Full Address])</f>
        <v>PS KANCHONG DARATLOT 1145 HS(M) 2053, KM 2 JALAN BANTINGMORIB, MUKIM KLANANG, BANTING, SEANGOR42700, KUALA LANGAT SELANGOR</v>
      </c>
      <c r="F181" s="12" t="s">
        <v>1369</v>
      </c>
      <c r="G181" s="12" t="s">
        <v>1370</v>
      </c>
      <c r="H181" s="12" t="s">
        <v>1371</v>
      </c>
      <c r="I181" s="12" t="b">
        <f>ISNUMBER(VALUE(LEFT(Customer[[#This Row],[Address Line 3 (30 char)]],1)))</f>
        <v>0</v>
      </c>
      <c r="J181" s="12" t="s">
        <v>172</v>
      </c>
      <c r="K181" s="12">
        <v>42700</v>
      </c>
      <c r="L181" s="12" t="s">
        <v>35</v>
      </c>
      <c r="M181" s="13" t="e">
        <v>#N/A</v>
      </c>
      <c r="N181" s="14" t="e">
        <v>#N/A</v>
      </c>
      <c r="O181" s="14" t="e">
        <v>#N/A</v>
      </c>
      <c r="P181" s="14" t="e">
        <v>#N/A</v>
      </c>
      <c r="Q181" s="19" t="s">
        <v>1372</v>
      </c>
      <c r="R181" s="15" t="s">
        <v>1373</v>
      </c>
      <c r="S181" s="15" t="s">
        <v>37</v>
      </c>
      <c r="T181" s="16" t="s">
        <v>38</v>
      </c>
      <c r="U181" s="11" t="str">
        <f>_xlfn.XLOOKUP(Customer[[#This Row],[Customer ID]],[1]!Address[ID],[1]!Address[Phone No.(2)])</f>
        <v/>
      </c>
      <c r="V181" s="11" t="str">
        <f>_xlfn.XLOOKUP(Customer[[#This Row],[Customer ID]],[1]!Address[ID],[1]!Address[Type])</f>
        <v>PETROMART</v>
      </c>
      <c r="W181" s="11" t="str">
        <f>_xlfn.XLOOKUP(Customer[[#This Row],[Customer ID]],[1]!Address[ID],[1]!Address[CT])</f>
        <v>30 DAYS</v>
      </c>
      <c r="X181" s="11" t="s">
        <v>39</v>
      </c>
      <c r="Y181" s="17" t="s">
        <v>40</v>
      </c>
      <c r="Z181" s="17" t="e">
        <f>_xlfn.XLOOKUP(Customer[[#This Row],[NewType]],$AF$36:$AF$54,$AG$36:$AG$54)</f>
        <v>#N/A</v>
      </c>
      <c r="AA181" s="17" t="s">
        <v>1374</v>
      </c>
      <c r="AB181" s="11" t="str">
        <f>_xlfn.XLOOKUP(Customer[[#This Row],[Customer ID]],[1]!Address[ID],[1]!Address[Subtype])</f>
        <v>PETRONAS</v>
      </c>
      <c r="AC181" s="18" t="str">
        <f>_xlfn.XLOOKUP(Customer[[#This Row],[Customer ID]],[1]!Address[ID],[1]!Address[Zone])</f>
        <v>CENTRAL</v>
      </c>
    </row>
    <row r="182" spans="1:29" x14ac:dyDescent="0.3">
      <c r="A182" s="10" t="s">
        <v>1375</v>
      </c>
      <c r="B182" s="11" t="str">
        <f>_xlfn.XLOOKUP(Customer[[#This Row],[Customer ID]],[1]!Name[ID],[1]!Name[Description(1)])</f>
        <v>AAN AZIZ ENTERPRISE</v>
      </c>
      <c r="C182" s="11" t="str">
        <f>_xlfn.XLOOKUP(Customer[[#This Row],[Customer ID]],[1]!Name[ID],[1]!Name[Description(2)])</f>
        <v>PS KANGKAR PULAI</v>
      </c>
      <c r="D182" s="11" t="str">
        <f>_xlfn.XLOOKUP(Customer[[#This Row],[Customer ID]],[1]!Address[ID],[1]!Address[PIC])</f>
        <v/>
      </c>
      <c r="E182" s="11" t="str">
        <f>_xlfn.XLOOKUP(Customer[[#This Row],[Customer ID]],[1]!Address[ID],[1]!Address[Full Address])</f>
        <v>PS KANGKAR PULAILOT 57709 MUKIM PULAI, KM 25.6 JLNJOHOR- BAHRU-PONTIAN,JOHOR81300, JOHOR BAHRU, JOHOR</v>
      </c>
      <c r="F182" s="12" t="s">
        <v>1376</v>
      </c>
      <c r="G182" s="12" t="s">
        <v>1377</v>
      </c>
      <c r="H182" s="12" t="s">
        <v>1378</v>
      </c>
      <c r="I182" s="12" t="b">
        <f>ISNUMBER(VALUE(LEFT(Customer[[#This Row],[Address Line 3 (30 char)]],1)))</f>
        <v>0</v>
      </c>
      <c r="J182" s="12" t="s">
        <v>52</v>
      </c>
      <c r="K182" s="12">
        <v>81300</v>
      </c>
      <c r="L182" s="12" t="s">
        <v>35</v>
      </c>
      <c r="M182" s="13">
        <v>200203076106</v>
      </c>
      <c r="N182" s="14" t="s">
        <v>1379</v>
      </c>
      <c r="O182" s="14" t="s">
        <v>54</v>
      </c>
      <c r="P182" s="14">
        <v>47300</v>
      </c>
      <c r="Q182" s="19" t="s">
        <v>1380</v>
      </c>
      <c r="R182" s="15" t="s">
        <v>1381</v>
      </c>
      <c r="S182" s="15" t="s">
        <v>37</v>
      </c>
      <c r="T182" s="16" t="s">
        <v>38</v>
      </c>
      <c r="U182" s="11" t="str">
        <f>_xlfn.XLOOKUP(Customer[[#This Row],[Customer ID]],[1]!Address[ID],[1]!Address[Phone No.(2)])</f>
        <v/>
      </c>
      <c r="V182" s="11" t="str">
        <f>_xlfn.XLOOKUP(Customer[[#This Row],[Customer ID]],[1]!Address[ID],[1]!Address[Type])</f>
        <v>PETROMART</v>
      </c>
      <c r="W182" s="11" t="str">
        <f>_xlfn.XLOOKUP(Customer[[#This Row],[Customer ID]],[1]!Address[ID],[1]!Address[CT])</f>
        <v>30 DAYS</v>
      </c>
      <c r="X182" s="11" t="s">
        <v>39</v>
      </c>
      <c r="Y182" s="17" t="s">
        <v>40</v>
      </c>
      <c r="Z182" s="17" t="e">
        <f>_xlfn.XLOOKUP(Customer[[#This Row],[NewType]],$AF$36:$AF$54,$AG$36:$AG$54)</f>
        <v>#N/A</v>
      </c>
      <c r="AA182" s="17" t="s">
        <v>1382</v>
      </c>
      <c r="AB182" s="11" t="str">
        <f>_xlfn.XLOOKUP(Customer[[#This Row],[Customer ID]],[1]!Address[ID],[1]!Address[Subtype])</f>
        <v>PETRONAS</v>
      </c>
      <c r="AC182" s="18" t="str">
        <f>_xlfn.XLOOKUP(Customer[[#This Row],[Customer ID]],[1]!Address[ID],[1]!Address[Zone])</f>
        <v>SOUTH</v>
      </c>
    </row>
    <row r="183" spans="1:29" x14ac:dyDescent="0.3">
      <c r="A183" s="10" t="s">
        <v>1383</v>
      </c>
      <c r="B183" s="11" t="str">
        <f>_xlfn.XLOOKUP(Customer[[#This Row],[Customer ID]],[1]!Name[ID],[1]!Name[Description(1)])</f>
        <v>VC MURNI SERVICE STATION</v>
      </c>
      <c r="C183" s="11" t="str">
        <f>_xlfn.XLOOKUP(Customer[[#This Row],[Customer ID]],[1]!Name[ID],[1]!Name[Description(2)])</f>
        <v>PS KAW. PERINDUSTRIAN PENGKALAN CHEPA</v>
      </c>
      <c r="D183" s="11" t="str">
        <f>_xlfn.XLOOKUP(Customer[[#This Row],[Customer ID]],[1]!Address[ID],[1]!Address[PIC])</f>
        <v/>
      </c>
      <c r="E183" s="11" t="str">
        <f>_xlfn.XLOOKUP(Customer[[#This Row],[Customer ID]],[1]!Address[ID],[1]!Address[Full Address])</f>
        <v>PS KAW. PERINDUSTRIAN PENGKALAN CHEPALOT PT 623,KAWASAN PERINDUSTRIANPENGKALAN CHEPA, JALAN PADANG TEMBAKKOTA BAHRU, 16100, KELANTAN</v>
      </c>
      <c r="F183" s="12" t="s">
        <v>1384</v>
      </c>
      <c r="G183" s="12" t="s">
        <v>1385</v>
      </c>
      <c r="H183" s="12" t="s">
        <v>1386</v>
      </c>
      <c r="I183" s="12" t="b">
        <f>ISNUMBER(VALUE(LEFT(Customer[[#This Row],[Address Line 3 (30 char)]],1)))</f>
        <v>0</v>
      </c>
      <c r="J183" s="12" t="s">
        <v>1007</v>
      </c>
      <c r="K183" s="12">
        <v>16100</v>
      </c>
      <c r="L183" s="12" t="s">
        <v>35</v>
      </c>
      <c r="M183" s="13" t="e">
        <v>#N/A</v>
      </c>
      <c r="N183" s="14" t="e">
        <v>#N/A</v>
      </c>
      <c r="O183" s="14" t="e">
        <v>#N/A</v>
      </c>
      <c r="P183" s="14" t="e">
        <v>#N/A</v>
      </c>
      <c r="Q183" s="19" t="s">
        <v>1387</v>
      </c>
      <c r="R183" s="15" t="s">
        <v>1388</v>
      </c>
      <c r="S183" s="15" t="s">
        <v>37</v>
      </c>
      <c r="T183" s="16" t="s">
        <v>38</v>
      </c>
      <c r="U183" s="11" t="str">
        <f>_xlfn.XLOOKUP(Customer[[#This Row],[Customer ID]],[1]!Address[ID],[1]!Address[Phone No.(2)])</f>
        <v/>
      </c>
      <c r="V183" s="11" t="str">
        <f>_xlfn.XLOOKUP(Customer[[#This Row],[Customer ID]],[1]!Address[ID],[1]!Address[Type])</f>
        <v>PETROMART</v>
      </c>
      <c r="W183" s="11" t="str">
        <f>_xlfn.XLOOKUP(Customer[[#This Row],[Customer ID]],[1]!Address[ID],[1]!Address[CT])</f>
        <v>30 DAYS</v>
      </c>
      <c r="X183" s="11" t="s">
        <v>39</v>
      </c>
      <c r="Y183" s="17" t="s">
        <v>40</v>
      </c>
      <c r="Z183" s="17" t="e">
        <f>_xlfn.XLOOKUP(Customer[[#This Row],[NewType]],$AF$36:$AF$54,$AG$36:$AG$54)</f>
        <v>#N/A</v>
      </c>
      <c r="AA183" s="17" t="s">
        <v>1389</v>
      </c>
      <c r="AB183" s="11" t="str">
        <f>_xlfn.XLOOKUP(Customer[[#This Row],[Customer ID]],[1]!Address[ID],[1]!Address[Subtype])</f>
        <v>PETRONAS</v>
      </c>
      <c r="AC183" s="18" t="str">
        <f>_xlfn.XLOOKUP(Customer[[#This Row],[Customer ID]],[1]!Address[ID],[1]!Address[Zone])</f>
        <v>EAST COAST</v>
      </c>
    </row>
    <row r="184" spans="1:29" x14ac:dyDescent="0.3">
      <c r="A184" s="10" t="s">
        <v>1390</v>
      </c>
      <c r="B184" s="11" t="str">
        <f>_xlfn.XLOOKUP(Customer[[#This Row],[Customer ID]],[1]!Name[ID],[1]!Name[Description(1)])</f>
        <v>FAYAKUN RESOURCES</v>
      </c>
      <c r="C184" s="11" t="str">
        <f>_xlfn.XLOOKUP(Customer[[#This Row],[Customer ID]],[1]!Name[ID],[1]!Name[Description(2)])</f>
        <v>PS CHERATING (EAST 2)</v>
      </c>
      <c r="D184" s="11" t="str">
        <f>_xlfn.XLOOKUP(Customer[[#This Row],[Customer ID]],[1]!Address[ID],[1]!Address[PIC])</f>
        <v/>
      </c>
      <c r="E184" s="11" t="str">
        <f>_xlfn.XLOOKUP(Customer[[#This Row],[Customer ID]],[1]!Address[ID],[1]!Address[Full Address])</f>
        <v>PS CHERATING (EAST 2)LOT 1283, MUKIM SUNGAI KARANG,CHERATING, 26080 KUANTAN,PAHANG</v>
      </c>
      <c r="F184" s="12" t="s">
        <v>1391</v>
      </c>
      <c r="G184" s="12" t="s">
        <v>1392</v>
      </c>
      <c r="H184" s="12" t="s">
        <v>1393</v>
      </c>
      <c r="I184" s="12" t="b">
        <f>ISNUMBER(VALUE(LEFT(Customer[[#This Row],[Address Line 3 (30 char)]],1)))</f>
        <v>0</v>
      </c>
      <c r="J184" s="12" t="s">
        <v>339</v>
      </c>
      <c r="K184" s="12">
        <v>26080</v>
      </c>
      <c r="L184" s="12" t="s">
        <v>35</v>
      </c>
      <c r="M184" s="13" t="e">
        <v>#N/A</v>
      </c>
      <c r="N184" s="14" t="e">
        <v>#N/A</v>
      </c>
      <c r="O184" s="14" t="e">
        <v>#N/A</v>
      </c>
      <c r="P184" s="14" t="e">
        <v>#N/A</v>
      </c>
      <c r="Q184" s="19" t="s">
        <v>1394</v>
      </c>
      <c r="R184" s="15" t="s">
        <v>1395</v>
      </c>
      <c r="S184" s="15" t="s">
        <v>37</v>
      </c>
      <c r="T184" s="16" t="s">
        <v>38</v>
      </c>
      <c r="U184" s="11" t="str">
        <f>_xlfn.XLOOKUP(Customer[[#This Row],[Customer ID]],[1]!Address[ID],[1]!Address[Phone No.(2)])</f>
        <v/>
      </c>
      <c r="V184" s="11" t="str">
        <f>_xlfn.XLOOKUP(Customer[[#This Row],[Customer ID]],[1]!Address[ID],[1]!Address[Type])</f>
        <v>PETROMART</v>
      </c>
      <c r="W184" s="11" t="str">
        <f>_xlfn.XLOOKUP(Customer[[#This Row],[Customer ID]],[1]!Address[ID],[1]!Address[CT])</f>
        <v>30 DAYS</v>
      </c>
      <c r="X184" s="11" t="s">
        <v>39</v>
      </c>
      <c r="Y184" s="17" t="s">
        <v>40</v>
      </c>
      <c r="Z184" s="17" t="e">
        <f>_xlfn.XLOOKUP(Customer[[#This Row],[NewType]],$AF$36:$AF$54,$AG$36:$AG$54)</f>
        <v>#N/A</v>
      </c>
      <c r="AA184" s="17" t="s">
        <v>1396</v>
      </c>
      <c r="AB184" s="11" t="str">
        <f>_xlfn.XLOOKUP(Customer[[#This Row],[Customer ID]],[1]!Address[ID],[1]!Address[Subtype])</f>
        <v>PETRONAS</v>
      </c>
      <c r="AC184" s="18" t="str">
        <f>_xlfn.XLOOKUP(Customer[[#This Row],[Customer ID]],[1]!Address[ID],[1]!Address[Zone])</f>
        <v>EAST COAST</v>
      </c>
    </row>
    <row r="185" spans="1:29" x14ac:dyDescent="0.3">
      <c r="A185" s="10" t="s">
        <v>1397</v>
      </c>
      <c r="B185" s="11" t="str">
        <f>_xlfn.XLOOKUP(Customer[[#This Row],[Customer ID]],[1]!Name[ID],[1]!Name[Description(1)])</f>
        <v>KPF NIAGA SDN BHD -  CHAI LENG PARK</v>
      </c>
      <c r="C185" s="11" t="str">
        <f>_xlfn.XLOOKUP(Customer[[#This Row],[Customer ID]],[1]!Name[ID],[1]!Name[Description(2)])</f>
        <v>PS CHAI LENG PARK</v>
      </c>
      <c r="D185" s="11" t="str">
        <f>_xlfn.XLOOKUP(Customer[[#This Row],[Customer ID]],[1]!Address[ID],[1]!Address[PIC])</f>
        <v/>
      </c>
      <c r="E185" s="11" t="str">
        <f>_xlfn.XLOOKUP(Customer[[#This Row],[Customer ID]],[1]!Address[ID],[1]!Address[Full Address])</f>
        <v>PS CHAI LENG PARKLOT 6364 MUKIM 1, DAERAH SEBERANG PERAI,13600, SEBERANG PERAI TENGAH,PULAU PINANG</v>
      </c>
      <c r="F185" s="12" t="s">
        <v>1398</v>
      </c>
      <c r="G185" s="12" t="s">
        <v>1399</v>
      </c>
      <c r="H185" s="12" t="s">
        <v>1400</v>
      </c>
      <c r="I185" s="12" t="b">
        <f>ISNUMBER(VALUE(LEFT(Customer[[#This Row],[Address Line 3 (30 char)]],1)))</f>
        <v>0</v>
      </c>
      <c r="J185" s="12" t="s">
        <v>179</v>
      </c>
      <c r="K185" s="12">
        <v>13600</v>
      </c>
      <c r="L185" s="12" t="s">
        <v>35</v>
      </c>
      <c r="M185" s="13" t="e">
        <v>#N/A</v>
      </c>
      <c r="N185" s="14" t="e">
        <v>#N/A</v>
      </c>
      <c r="O185" s="14" t="e">
        <v>#N/A</v>
      </c>
      <c r="P185" s="14" t="e">
        <v>#N/A</v>
      </c>
      <c r="Q185" s="19" t="s">
        <v>1401</v>
      </c>
      <c r="R185" s="15" t="s">
        <v>1402</v>
      </c>
      <c r="S185" s="15" t="s">
        <v>74</v>
      </c>
      <c r="T185" s="16" t="s">
        <v>38</v>
      </c>
      <c r="U185" s="11" t="str">
        <f>_xlfn.XLOOKUP(Customer[[#This Row],[Customer ID]],[1]!Address[ID],[1]!Address[Phone No.(2)])</f>
        <v/>
      </c>
      <c r="V185" s="11" t="str">
        <f>_xlfn.XLOOKUP(Customer[[#This Row],[Customer ID]],[1]!Address[ID],[1]!Address[Type])</f>
        <v>PETROMART</v>
      </c>
      <c r="W185" s="11" t="str">
        <f>_xlfn.XLOOKUP(Customer[[#This Row],[Customer ID]],[1]!Address[ID],[1]!Address[CT])</f>
        <v>30 DAYS</v>
      </c>
      <c r="X185" s="11" t="s">
        <v>39</v>
      </c>
      <c r="Y185" s="17" t="s">
        <v>40</v>
      </c>
      <c r="Z185" s="17" t="e">
        <f>_xlfn.XLOOKUP(Customer[[#This Row],[NewType]],$AF$36:$AF$54,$AG$36:$AG$54)</f>
        <v>#N/A</v>
      </c>
      <c r="AA185" s="17" t="s">
        <v>1403</v>
      </c>
      <c r="AB185" s="11" t="str">
        <f>_xlfn.XLOOKUP(Customer[[#This Row],[Customer ID]],[1]!Address[ID],[1]!Address[Subtype])</f>
        <v>PETRONAS</v>
      </c>
      <c r="AC185" s="18" t="str">
        <f>_xlfn.XLOOKUP(Customer[[#This Row],[Customer ID]],[1]!Address[ID],[1]!Address[Zone])</f>
        <v>NORTH</v>
      </c>
    </row>
    <row r="186" spans="1:29" x14ac:dyDescent="0.3">
      <c r="A186" s="10" t="s">
        <v>1404</v>
      </c>
      <c r="B186" s="11" t="str">
        <f>_xlfn.XLOOKUP(Customer[[#This Row],[Customer ID]],[1]!Name[ID],[1]!Name[Description(1)])</f>
        <v>DDI RESOURCES</v>
      </c>
      <c r="C186" s="11" t="str">
        <f>_xlfn.XLOOKUP(Customer[[#This Row],[Customer ID]],[1]!Name[ID],[1]!Name[Description(2)])</f>
        <v>PS CHETOK (EAST 1)</v>
      </c>
      <c r="D186" s="11" t="str">
        <f>_xlfn.XLOOKUP(Customer[[#This Row],[Customer ID]],[1]!Address[ID],[1]!Address[PIC])</f>
        <v/>
      </c>
      <c r="E186" s="11" t="str">
        <f>_xlfn.XLOOKUP(Customer[[#This Row],[Customer ID]],[1]!Address[ID],[1]!Address[Full Address])</f>
        <v>PS CHETOK (EAST 1)PT 6913 HSM 4815 KG BETING CHETOK,MUKIM CHETOK, 17040 PASIR MAS,KELANTAN</v>
      </c>
      <c r="F186" s="12" t="s">
        <v>1405</v>
      </c>
      <c r="G186" s="12" t="s">
        <v>1406</v>
      </c>
      <c r="H186" s="12" t="s">
        <v>1407</v>
      </c>
      <c r="I186" s="12" t="b">
        <f>ISNUMBER(VALUE(LEFT(Customer[[#This Row],[Address Line 3 (30 char)]],1)))</f>
        <v>0</v>
      </c>
      <c r="J186" s="12" t="s">
        <v>1007</v>
      </c>
      <c r="K186" s="12">
        <v>17040</v>
      </c>
      <c r="L186" s="12" t="s">
        <v>35</v>
      </c>
      <c r="M186" s="13">
        <v>202003239909</v>
      </c>
      <c r="N186" s="14" t="s">
        <v>1408</v>
      </c>
      <c r="O186" s="14" t="e">
        <v>#N/A</v>
      </c>
      <c r="P186" s="14" t="e">
        <v>#N/A</v>
      </c>
      <c r="Q186" s="19" t="s">
        <v>1409</v>
      </c>
      <c r="R186" s="15" t="s">
        <v>1410</v>
      </c>
      <c r="S186" s="15" t="s">
        <v>37</v>
      </c>
      <c r="T186" s="16" t="s">
        <v>38</v>
      </c>
      <c r="U186" s="11" t="str">
        <f>_xlfn.XLOOKUP(Customer[[#This Row],[Customer ID]],[1]!Address[ID],[1]!Address[Phone No.(2)])</f>
        <v/>
      </c>
      <c r="V186" s="11" t="str">
        <f>_xlfn.XLOOKUP(Customer[[#This Row],[Customer ID]],[1]!Address[ID],[1]!Address[Type])</f>
        <v>PETROMART</v>
      </c>
      <c r="W186" s="11" t="str">
        <f>_xlfn.XLOOKUP(Customer[[#This Row],[Customer ID]],[1]!Address[ID],[1]!Address[CT])</f>
        <v>30 DAYS</v>
      </c>
      <c r="X186" s="11" t="s">
        <v>39</v>
      </c>
      <c r="Y186" s="17" t="s">
        <v>40</v>
      </c>
      <c r="Z186" s="17" t="e">
        <f>_xlfn.XLOOKUP(Customer[[#This Row],[NewType]],$AF$36:$AF$54,$AG$36:$AG$54)</f>
        <v>#N/A</v>
      </c>
      <c r="AA186" s="17" t="s">
        <v>1411</v>
      </c>
      <c r="AB186" s="11" t="str">
        <f>_xlfn.XLOOKUP(Customer[[#This Row],[Customer ID]],[1]!Address[ID],[1]!Address[Subtype])</f>
        <v>PETRONAS</v>
      </c>
      <c r="AC186" s="18" t="str">
        <f>_xlfn.XLOOKUP(Customer[[#This Row],[Customer ID]],[1]!Address[ID],[1]!Address[Zone])</f>
        <v>EAST COAST</v>
      </c>
    </row>
    <row r="187" spans="1:29" x14ac:dyDescent="0.3">
      <c r="A187" s="10" t="s">
        <v>1412</v>
      </c>
      <c r="B187" s="11" t="str">
        <f>_xlfn.XLOOKUP(Customer[[#This Row],[Customer ID]],[1]!Name[ID],[1]!Name[Description(1)])</f>
        <v>STESEN MINYAK CHICA</v>
      </c>
      <c r="C187" s="11" t="str">
        <f>_xlfn.XLOOKUP(Customer[[#This Row],[Customer ID]],[1]!Name[ID],[1]!Name[Description(2)])</f>
        <v>PS CHICA ARAH PASIR PUTEH</v>
      </c>
      <c r="D187" s="11" t="str">
        <f>_xlfn.XLOOKUP(Customer[[#This Row],[Customer ID]],[1]!Address[ID],[1]!Address[PIC])</f>
        <v/>
      </c>
      <c r="E187" s="11" t="str">
        <f>_xlfn.XLOOKUP(Customer[[#This Row],[Customer ID]],[1]!Address[ID],[1]!Address[Full Address])</f>
        <v>PS CHICA ARAH PASIR PUTEHLOT 1992 &amp; 723, MUKIM CHICA,KUBANG KERIAN,16150 KOTA BHARU, KELANTAN</v>
      </c>
      <c r="F187" s="12" t="s">
        <v>1413</v>
      </c>
      <c r="G187" s="12" t="s">
        <v>1414</v>
      </c>
      <c r="H187" s="12" t="s">
        <v>1415</v>
      </c>
      <c r="I187" s="12" t="b">
        <f>ISNUMBER(VALUE(LEFT(Customer[[#This Row],[Address Line 3 (30 char)]],1)))</f>
        <v>0</v>
      </c>
      <c r="J187" s="12" t="s">
        <v>1007</v>
      </c>
      <c r="K187" s="12">
        <v>16150</v>
      </c>
      <c r="L187" s="12" t="s">
        <v>35</v>
      </c>
      <c r="M187" s="13" t="e">
        <v>#N/A</v>
      </c>
      <c r="N187" s="14" t="e">
        <v>#N/A</v>
      </c>
      <c r="O187" s="14" t="e">
        <v>#N/A</v>
      </c>
      <c r="P187" s="14" t="e">
        <v>#N/A</v>
      </c>
      <c r="Q187" s="19" t="s">
        <v>1416</v>
      </c>
      <c r="R187" s="15" t="s">
        <v>1417</v>
      </c>
      <c r="S187" s="15" t="s">
        <v>37</v>
      </c>
      <c r="T187" s="16" t="s">
        <v>38</v>
      </c>
      <c r="U187" s="11" t="str">
        <f>_xlfn.XLOOKUP(Customer[[#This Row],[Customer ID]],[1]!Address[ID],[1]!Address[Phone No.(2)])</f>
        <v/>
      </c>
      <c r="V187" s="11" t="str">
        <f>_xlfn.XLOOKUP(Customer[[#This Row],[Customer ID]],[1]!Address[ID],[1]!Address[Type])</f>
        <v>PETROMART</v>
      </c>
      <c r="W187" s="11" t="str">
        <f>_xlfn.XLOOKUP(Customer[[#This Row],[Customer ID]],[1]!Address[ID],[1]!Address[CT])</f>
        <v>30 DAYS</v>
      </c>
      <c r="X187" s="11" t="s">
        <v>39</v>
      </c>
      <c r="Y187" s="17" t="s">
        <v>40</v>
      </c>
      <c r="Z187" s="17" t="e">
        <f>_xlfn.XLOOKUP(Customer[[#This Row],[NewType]],$AF$36:$AF$54,$AG$36:$AG$54)</f>
        <v>#N/A</v>
      </c>
      <c r="AA187" s="17" t="s">
        <v>1418</v>
      </c>
      <c r="AB187" s="11" t="str">
        <f>_xlfn.XLOOKUP(Customer[[#This Row],[Customer ID]],[1]!Address[ID],[1]!Address[Subtype])</f>
        <v>PETRONAS</v>
      </c>
      <c r="AC187" s="18" t="str">
        <f>_xlfn.XLOOKUP(Customer[[#This Row],[Customer ID]],[1]!Address[ID],[1]!Address[Zone])</f>
        <v>EAST COAST</v>
      </c>
    </row>
    <row r="188" spans="1:29" x14ac:dyDescent="0.3">
      <c r="A188" s="27" t="s">
        <v>1419</v>
      </c>
      <c r="B188" s="28" t="str">
        <f>_xlfn.XLOOKUP(Customer[[#This Row],[Customer ID]],[1]!Name[ID],[1]!Name[Description(1)])</f>
        <v>DIA SENTIASA ENTERPRISE</v>
      </c>
      <c r="C188" s="11" t="str">
        <f>_xlfn.XLOOKUP(Customer[[#This Row],[Customer ID]],[1]!Name[ID],[1]!Name[Description(2)])</f>
        <v>PS COCHRANE PERKASA (CENTRAL 2)</v>
      </c>
      <c r="D188" s="11" t="str">
        <f>_xlfn.XLOOKUP(Customer[[#This Row],[Customer ID]],[1]!Address[ID],[1]!Address[PIC])</f>
        <v/>
      </c>
      <c r="E188" s="11" t="str">
        <f>_xlfn.XLOOKUP(Customer[[#This Row],[Customer ID]],[1]!Address[ID],[1]!Address[Full Address])</f>
        <v>PS COCHRANE PERKASA (CENTRAL 2)LOT 1246, JALAN COCHRANE,MUKIM AMPANG, KUALA LUMPUR,55100, WILAYAH PERSEKUTUAN KUALA LUMPUR</v>
      </c>
      <c r="F188" s="12" t="s">
        <v>1420</v>
      </c>
      <c r="G188" s="12" t="s">
        <v>1421</v>
      </c>
      <c r="H188" s="12" t="s">
        <v>1422</v>
      </c>
      <c r="I188" s="12" t="b">
        <f>ISNUMBER(VALUE(LEFT(Customer[[#This Row],[Address Line 3 (30 char)]],1)))</f>
        <v>0</v>
      </c>
      <c r="J188" s="29" t="s">
        <v>34</v>
      </c>
      <c r="K188" s="12">
        <v>55100</v>
      </c>
      <c r="L188" s="12" t="s">
        <v>35</v>
      </c>
      <c r="M188" s="13">
        <v>200903303826</v>
      </c>
      <c r="N188" s="14" t="s">
        <v>1423</v>
      </c>
      <c r="O188" s="14" t="s">
        <v>54</v>
      </c>
      <c r="P188" s="14" t="s">
        <v>1048</v>
      </c>
      <c r="Q188" s="19" t="s">
        <v>1424</v>
      </c>
      <c r="R188" s="15" t="s">
        <v>1425</v>
      </c>
      <c r="S188" s="15" t="s">
        <v>37</v>
      </c>
      <c r="T188" s="16" t="s">
        <v>38</v>
      </c>
      <c r="U188" s="11" t="str">
        <f>_xlfn.XLOOKUP(Customer[[#This Row],[Customer ID]],[1]!Address[ID],[1]!Address[Phone No.(2)])</f>
        <v/>
      </c>
      <c r="V188" s="11" t="str">
        <f>_xlfn.XLOOKUP(Customer[[#This Row],[Customer ID]],[1]!Address[ID],[1]!Address[Type])</f>
        <v>PETROMART</v>
      </c>
      <c r="W188" s="11" t="str">
        <f>_xlfn.XLOOKUP(Customer[[#This Row],[Customer ID]],[1]!Address[ID],[1]!Address[CT])</f>
        <v>30 DAYS</v>
      </c>
      <c r="X188" s="11" t="s">
        <v>39</v>
      </c>
      <c r="Y188" s="17" t="s">
        <v>40</v>
      </c>
      <c r="Z188" s="17" t="e">
        <f>_xlfn.XLOOKUP(Customer[[#This Row],[NewType]],$AF$36:$AF$54,$AG$36:$AG$54)</f>
        <v>#N/A</v>
      </c>
      <c r="AA188" s="17" t="s">
        <v>1426</v>
      </c>
      <c r="AB188" s="11" t="str">
        <f>_xlfn.XLOOKUP(Customer[[#This Row],[Customer ID]],[1]!Address[ID],[1]!Address[Subtype])</f>
        <v>PETRONAS</v>
      </c>
      <c r="AC188" s="18" t="str">
        <f>_xlfn.XLOOKUP(Customer[[#This Row],[Customer ID]],[1]!Address[ID],[1]!Address[Zone])</f>
        <v>CENTRAL</v>
      </c>
    </row>
    <row r="189" spans="1:29" x14ac:dyDescent="0.3">
      <c r="A189" s="10" t="s">
        <v>1427</v>
      </c>
      <c r="B189" s="11" t="str">
        <f>_xlfn.XLOOKUP(Customer[[#This Row],[Customer ID]],[1]!Name[ID],[1]!Name[Description(1)])</f>
        <v>ARAFOIL RESOURSE</v>
      </c>
      <c r="C189" s="11" t="str">
        <f>_xlfn.XLOOKUP(Customer[[#This Row],[Customer ID]],[1]!Name[ID],[1]!Name[Description(2)])</f>
        <v>PS CYBERJAYA (CENTRAL 3)</v>
      </c>
      <c r="D189" s="11" t="str">
        <f>_xlfn.XLOOKUP(Customer[[#This Row],[Customer ID]],[1]!Address[ID],[1]!Address[PIC])</f>
        <v>Roslia Binti Sa</v>
      </c>
      <c r="E189" s="11" t="str">
        <f>_xlfn.XLOOKUP(Customer[[#This Row],[Customer ID]],[1]!Address[ID],[1]!Address[Full Address])</f>
        <v>PS CYBERJAYA (CENTRAL 3)LOT PT 12099 HS (D) 7085, SITE 1A,CYBERJAYA, DENGKIL,  63000, SELANGOR</v>
      </c>
      <c r="F189" s="12" t="s">
        <v>1428</v>
      </c>
      <c r="G189" s="12" t="s">
        <v>1429</v>
      </c>
      <c r="H189" s="12" t="s">
        <v>1430</v>
      </c>
      <c r="I189" s="12" t="b">
        <f>ISNUMBER(VALUE(LEFT(Customer[[#This Row],[Address Line 3 (30 char)]],1)))</f>
        <v>0</v>
      </c>
      <c r="J189" s="12" t="s">
        <v>172</v>
      </c>
      <c r="K189" s="12">
        <v>63000</v>
      </c>
      <c r="L189" s="12" t="s">
        <v>35</v>
      </c>
      <c r="M189" s="13">
        <v>200603032297</v>
      </c>
      <c r="N189" s="14" t="s">
        <v>1431</v>
      </c>
      <c r="O189" s="14" t="e">
        <v>#N/A</v>
      </c>
      <c r="P189" s="14" t="e">
        <v>#N/A</v>
      </c>
      <c r="Q189" s="19" t="s">
        <v>1432</v>
      </c>
      <c r="R189" s="15" t="s">
        <v>1433</v>
      </c>
      <c r="S189" s="15" t="s">
        <v>37</v>
      </c>
      <c r="T189" s="16" t="s">
        <v>38</v>
      </c>
      <c r="U189" s="11" t="str">
        <f>_xlfn.XLOOKUP(Customer[[#This Row],[Customer ID]],[1]!Address[ID],[1]!Address[Phone No.(2)])</f>
        <v/>
      </c>
      <c r="V189" s="11" t="str">
        <f>_xlfn.XLOOKUP(Customer[[#This Row],[Customer ID]],[1]!Address[ID],[1]!Address[Type])</f>
        <v>PETROMART</v>
      </c>
      <c r="W189" s="11" t="str">
        <f>_xlfn.XLOOKUP(Customer[[#This Row],[Customer ID]],[1]!Address[ID],[1]!Address[CT])</f>
        <v>30 DAYS</v>
      </c>
      <c r="X189" s="11" t="s">
        <v>39</v>
      </c>
      <c r="Y189" s="17" t="s">
        <v>40</v>
      </c>
      <c r="Z189" s="17" t="e">
        <f>_xlfn.XLOOKUP(Customer[[#This Row],[NewType]],$AF$36:$AF$54,$AG$36:$AG$54)</f>
        <v>#N/A</v>
      </c>
      <c r="AA189" s="17" t="s">
        <v>1434</v>
      </c>
      <c r="AB189" s="11" t="str">
        <f>_xlfn.XLOOKUP(Customer[[#This Row],[Customer ID]],[1]!Address[ID],[1]!Address[Subtype])</f>
        <v>PETRONAS</v>
      </c>
      <c r="AC189" s="18" t="str">
        <f>_xlfn.XLOOKUP(Customer[[#This Row],[Customer ID]],[1]!Address[ID],[1]!Address[Zone])</f>
        <v>CENTRAL</v>
      </c>
    </row>
    <row r="190" spans="1:29" x14ac:dyDescent="0.3">
      <c r="A190" s="10" t="s">
        <v>1435</v>
      </c>
      <c r="B190" s="11" t="str">
        <f>_xlfn.XLOOKUP(Customer[[#This Row],[Customer ID]],[1]!Name[ID],[1]!Name[Description(1)])</f>
        <v>TYRAOSMAN SERVICE STATION</v>
      </c>
      <c r="C190" s="11" t="str">
        <f>_xlfn.XLOOKUP(Customer[[#This Row],[Customer ID]],[1]!Name[ID],[1]!Name[Description(2)])</f>
        <v>PS D AMBANG KOTA LUKUT</v>
      </c>
      <c r="D190" s="11" t="str">
        <f>_xlfn.XLOOKUP(Customer[[#This Row],[Customer ID]],[1]!Address[ID],[1]!Address[PIC])</f>
        <v/>
      </c>
      <c r="E190" s="11" t="str">
        <f>_xlfn.XLOOKUP(Customer[[#This Row],[Customer ID]],[1]!Address[ID],[1]!Address[Full Address])</f>
        <v>PS D AMBANG KOTA LUKUTLOT PT 2277 D'AMBANG KOTA LUKUT,PORT DICKSON,NEGERI SEMBILAN</v>
      </c>
      <c r="F190" s="12" t="s">
        <v>1436</v>
      </c>
      <c r="G190" s="12" t="s">
        <v>1437</v>
      </c>
      <c r="H190" s="12" t="s">
        <v>1438</v>
      </c>
      <c r="I190" s="12" t="b">
        <f>ISNUMBER(VALUE(LEFT(Customer[[#This Row],[Address Line 3 (30 char)]],1)))</f>
        <v>0</v>
      </c>
      <c r="J190" s="12" t="s">
        <v>203</v>
      </c>
      <c r="K190" s="12">
        <v>71010</v>
      </c>
      <c r="L190" s="12" t="s">
        <v>35</v>
      </c>
      <c r="M190" s="13" t="e">
        <v>#N/A</v>
      </c>
      <c r="N190" s="14" t="e">
        <v>#N/A</v>
      </c>
      <c r="O190" s="14" t="e">
        <v>#N/A</v>
      </c>
      <c r="P190" s="14" t="e">
        <v>#N/A</v>
      </c>
      <c r="Q190" s="19" t="s">
        <v>1439</v>
      </c>
      <c r="R190" s="15" t="s">
        <v>1440</v>
      </c>
      <c r="S190" s="15" t="s">
        <v>37</v>
      </c>
      <c r="T190" s="16" t="s">
        <v>38</v>
      </c>
      <c r="U190" s="11" t="str">
        <f>_xlfn.XLOOKUP(Customer[[#This Row],[Customer ID]],[1]!Address[ID],[1]!Address[Phone No.(2)])</f>
        <v/>
      </c>
      <c r="V190" s="11" t="str">
        <f>_xlfn.XLOOKUP(Customer[[#This Row],[Customer ID]],[1]!Address[ID],[1]!Address[Type])</f>
        <v>PETROMART</v>
      </c>
      <c r="W190" s="11" t="str">
        <f>_xlfn.XLOOKUP(Customer[[#This Row],[Customer ID]],[1]!Address[ID],[1]!Address[CT])</f>
        <v>30 DAYS</v>
      </c>
      <c r="X190" s="11" t="s">
        <v>39</v>
      </c>
      <c r="Y190" s="17" t="s">
        <v>40</v>
      </c>
      <c r="Z190" s="17" t="e">
        <f>_xlfn.XLOOKUP(Customer[[#This Row],[NewType]],$AF$36:$AF$54,$AG$36:$AG$54)</f>
        <v>#N/A</v>
      </c>
      <c r="AA190" s="17" t="s">
        <v>1441</v>
      </c>
      <c r="AB190" s="11" t="str">
        <f>_xlfn.XLOOKUP(Customer[[#This Row],[Customer ID]],[1]!Address[ID],[1]!Address[Subtype])</f>
        <v>PETRONAS</v>
      </c>
      <c r="AC190" s="18" t="str">
        <f>_xlfn.XLOOKUP(Customer[[#This Row],[Customer ID]],[1]!Address[ID],[1]!Address[Zone])</f>
        <v>CENTRAL</v>
      </c>
    </row>
    <row r="191" spans="1:29" x14ac:dyDescent="0.3">
      <c r="A191" s="10" t="s">
        <v>1442</v>
      </c>
      <c r="B191" s="11" t="str">
        <f>_xlfn.XLOOKUP(Customer[[#This Row],[Customer ID]],[1]!Name[ID],[1]!Name[Description(1)])</f>
        <v>ANJUNG ENOLILS</v>
      </c>
      <c r="C191" s="11" t="str">
        <f>_xlfn.XLOOKUP(Customer[[#This Row],[Customer ID]],[1]!Name[ID],[1]!Name[Description(2)])</f>
        <v>PS DAMAI PERDANA (CENTRAL 3)</v>
      </c>
      <c r="D191" s="11" t="str">
        <f>_xlfn.XLOOKUP(Customer[[#This Row],[Customer ID]],[1]!Address[ID],[1]!Address[PIC])</f>
        <v/>
      </c>
      <c r="E191" s="11" t="str">
        <f>_xlfn.XLOOKUP(Customer[[#This Row],[Customer ID]],[1]!Address[ID],[1]!Address[Full Address])</f>
        <v>PS DAMAI PERDANA (CENTRAL 3)LOT 1557 BANDAR BARU DAMAI PERDANA,CHERAS, SELANGOR, 43200, ULU LANGAT,SELANGOR</v>
      </c>
      <c r="F191" s="12" t="s">
        <v>1443</v>
      </c>
      <c r="G191" s="12" t="s">
        <v>1444</v>
      </c>
      <c r="H191" s="12" t="s">
        <v>1445</v>
      </c>
      <c r="I191" s="12" t="b">
        <f>ISNUMBER(VALUE(LEFT(Customer[[#This Row],[Address Line 3 (30 char)]],1)))</f>
        <v>0</v>
      </c>
      <c r="J191" s="12" t="s">
        <v>172</v>
      </c>
      <c r="K191" s="12">
        <v>43200</v>
      </c>
      <c r="L191" s="12" t="s">
        <v>35</v>
      </c>
      <c r="M191" s="13" t="e">
        <v>#N/A</v>
      </c>
      <c r="N191" s="14" t="e">
        <v>#N/A</v>
      </c>
      <c r="O191" s="14" t="e">
        <v>#N/A</v>
      </c>
      <c r="P191" s="14" t="e">
        <v>#N/A</v>
      </c>
      <c r="Q191" s="19" t="s">
        <v>1446</v>
      </c>
      <c r="R191" s="15" t="s">
        <v>1447</v>
      </c>
      <c r="S191" s="15" t="s">
        <v>609</v>
      </c>
      <c r="T191" s="16" t="s">
        <v>38</v>
      </c>
      <c r="U191" s="11" t="str">
        <f>_xlfn.XLOOKUP(Customer[[#This Row],[Customer ID]],[1]!Address[ID],[1]!Address[Phone No.(2)])</f>
        <v/>
      </c>
      <c r="V191" s="11" t="str">
        <f>_xlfn.XLOOKUP(Customer[[#This Row],[Customer ID]],[1]!Address[ID],[1]!Address[Type])</f>
        <v>PETROMART</v>
      </c>
      <c r="W191" s="11" t="str">
        <f>_xlfn.XLOOKUP(Customer[[#This Row],[Customer ID]],[1]!Address[ID],[1]!Address[CT])</f>
        <v>30 DAYS</v>
      </c>
      <c r="X191" s="11" t="s">
        <v>39</v>
      </c>
      <c r="Y191" s="17" t="s">
        <v>40</v>
      </c>
      <c r="Z191" s="17" t="e">
        <f>_xlfn.XLOOKUP(Customer[[#This Row],[NewType]],$AF$36:$AF$54,$AG$36:$AG$54)</f>
        <v>#N/A</v>
      </c>
      <c r="AA191" s="17" t="s">
        <v>1448</v>
      </c>
      <c r="AB191" s="11" t="str">
        <f>_xlfn.XLOOKUP(Customer[[#This Row],[Customer ID]],[1]!Address[ID],[1]!Address[Subtype])</f>
        <v>PETRONAS</v>
      </c>
      <c r="AC191" s="18" t="str">
        <f>_xlfn.XLOOKUP(Customer[[#This Row],[Customer ID]],[1]!Address[ID],[1]!Address[Zone])</f>
        <v>CENTRAL</v>
      </c>
    </row>
    <row r="192" spans="1:29" x14ac:dyDescent="0.3">
      <c r="A192" s="10" t="s">
        <v>1449</v>
      </c>
      <c r="B192" s="11" t="str">
        <f>_xlfn.XLOOKUP(Customer[[#This Row],[Customer ID]],[1]!Name[ID],[1]!Name[Description(1)])</f>
        <v>KPF NIAGA SDN. BHD</v>
      </c>
      <c r="C192" s="11" t="str">
        <f>_xlfn.XLOOKUP(Customer[[#This Row],[Customer ID]],[1]!Name[ID],[1]!Name[Description(2)])</f>
        <v>PS DAMANSARA ALIF</v>
      </c>
      <c r="D192" s="11" t="str">
        <f>_xlfn.XLOOKUP(Customer[[#This Row],[Customer ID]],[1]!Address[ID],[1]!Address[PIC])</f>
        <v/>
      </c>
      <c r="E192" s="11" t="str">
        <f>_xlfn.XLOOKUP(Customer[[#This Row],[Customer ID]],[1]!Address[ID],[1]!Address[Full Address])</f>
        <v>PS DAMANSARA ALIFLOT PTD 104981 HS(D) 351223,TAMAN DAMANSARA ALIF, 80350 JOHOR BAHRU.</v>
      </c>
      <c r="F192" s="12" t="s">
        <v>1450</v>
      </c>
      <c r="G192" s="12" t="s">
        <v>1451</v>
      </c>
      <c r="H192" s="12" t="s">
        <v>1155</v>
      </c>
      <c r="I192" s="12" t="b">
        <f>ISNUMBER(VALUE(LEFT(Customer[[#This Row],[Address Line 3 (30 char)]],1)))</f>
        <v>0</v>
      </c>
      <c r="J192" s="12" t="s">
        <v>52</v>
      </c>
      <c r="K192" s="12">
        <v>80350</v>
      </c>
      <c r="L192" s="12" t="s">
        <v>35</v>
      </c>
      <c r="M192" s="13">
        <v>201701047216</v>
      </c>
      <c r="N192" s="14" t="s">
        <v>1452</v>
      </c>
      <c r="O192" s="14" t="e">
        <v>#N/A</v>
      </c>
      <c r="P192" s="14" t="e">
        <v>#N/A</v>
      </c>
      <c r="Q192" s="19" t="s">
        <v>1453</v>
      </c>
      <c r="R192" s="15" t="s">
        <v>1454</v>
      </c>
      <c r="S192" s="15" t="s">
        <v>37</v>
      </c>
      <c r="T192" s="16" t="s">
        <v>38</v>
      </c>
      <c r="U192" s="11" t="str">
        <f>_xlfn.XLOOKUP(Customer[[#This Row],[Customer ID]],[1]!Address[ID],[1]!Address[Phone No.(2)])</f>
        <v/>
      </c>
      <c r="V192" s="11" t="str">
        <f>_xlfn.XLOOKUP(Customer[[#This Row],[Customer ID]],[1]!Address[ID],[1]!Address[Type])</f>
        <v>PETROMART</v>
      </c>
      <c r="W192" s="11" t="str">
        <f>_xlfn.XLOOKUP(Customer[[#This Row],[Customer ID]],[1]!Address[ID],[1]!Address[CT])</f>
        <v>30 DAYS</v>
      </c>
      <c r="X192" s="11" t="s">
        <v>39</v>
      </c>
      <c r="Y192" s="17" t="s">
        <v>40</v>
      </c>
      <c r="Z192" s="17" t="e">
        <f>_xlfn.XLOOKUP(Customer[[#This Row],[NewType]],$AF$36:$AF$54,$AG$36:$AG$54)</f>
        <v>#N/A</v>
      </c>
      <c r="AA192" s="17" t="s">
        <v>1455</v>
      </c>
      <c r="AB192" s="11" t="str">
        <f>_xlfn.XLOOKUP(Customer[[#This Row],[Customer ID]],[1]!Address[ID],[1]!Address[Subtype])</f>
        <v>PETRONAS</v>
      </c>
      <c r="AC192" s="18" t="str">
        <f>_xlfn.XLOOKUP(Customer[[#This Row],[Customer ID]],[1]!Address[ID],[1]!Address[Zone])</f>
        <v>SOUTH</v>
      </c>
    </row>
    <row r="193" spans="1:29" x14ac:dyDescent="0.3">
      <c r="A193" s="10" t="s">
        <v>1456</v>
      </c>
      <c r="B193" s="11" t="str">
        <f>_xlfn.XLOOKUP(Customer[[#This Row],[Customer ID]],[1]!Name[ID],[1]!Name[Description(1)])</f>
        <v>KPF NIAGA SDN. BHD - DAMANSARA ALIF</v>
      </c>
      <c r="C193" s="11" t="str">
        <f>_xlfn.XLOOKUP(Customer[[#This Row],[Customer ID]],[1]!Name[ID],[1]!Name[Description(2)])</f>
        <v>PS DAMANSARA ALIF-CLOSE USE ACC 3000/191</v>
      </c>
      <c r="D193" s="11" t="str">
        <f>_xlfn.XLOOKUP(Customer[[#This Row],[Customer ID]],[1]!Address[ID],[1]!Address[PIC])</f>
        <v/>
      </c>
      <c r="E193" s="11" t="str">
        <f>_xlfn.XLOOKUP(Customer[[#This Row],[Customer ID]],[1]!Address[ID],[1]!Address[Full Address])</f>
        <v>PS DAMANSARA ALIF-CLOSE USE ACC 3000/191LOT PTD 104981 HS(D) 351223,TAMAN DAMANSARA ALIF, JALAN TAMPOI, JOHO81200, JOHOR BAHRU, JOHOR</v>
      </c>
      <c r="F193" s="12" t="s">
        <v>1450</v>
      </c>
      <c r="G193" s="12" t="s">
        <v>1457</v>
      </c>
      <c r="H193" s="12" t="s">
        <v>1458</v>
      </c>
      <c r="I193" s="12" t="b">
        <f>ISNUMBER(VALUE(LEFT(Customer[[#This Row],[Address Line 3 (30 char)]],1)))</f>
        <v>0</v>
      </c>
      <c r="J193" s="12" t="s">
        <v>52</v>
      </c>
      <c r="K193" s="12">
        <v>81200</v>
      </c>
      <c r="L193" s="12" t="s">
        <v>35</v>
      </c>
      <c r="M193" s="13" t="e">
        <v>#N/A</v>
      </c>
      <c r="N193" s="14" t="e">
        <v>#N/A</v>
      </c>
      <c r="O193" s="14" t="e">
        <v>#N/A</v>
      </c>
      <c r="P193" s="14" t="e">
        <v>#N/A</v>
      </c>
      <c r="Q193" s="19" t="s">
        <v>1453</v>
      </c>
      <c r="R193" s="15" t="s">
        <v>1454</v>
      </c>
      <c r="S193" s="15" t="s">
        <v>37</v>
      </c>
      <c r="T193" s="16" t="s">
        <v>38</v>
      </c>
      <c r="U193" s="11" t="str">
        <f>_xlfn.XLOOKUP(Customer[[#This Row],[Customer ID]],[1]!Address[ID],[1]!Address[Phone No.(2)])</f>
        <v/>
      </c>
      <c r="V193" s="11" t="str">
        <f>_xlfn.XLOOKUP(Customer[[#This Row],[Customer ID]],[1]!Address[ID],[1]!Address[Type])</f>
        <v>PETROMART</v>
      </c>
      <c r="W193" s="11" t="str">
        <f>_xlfn.XLOOKUP(Customer[[#This Row],[Customer ID]],[1]!Address[ID],[1]!Address[CT])</f>
        <v>30 DAYS</v>
      </c>
      <c r="X193" s="11" t="s">
        <v>39</v>
      </c>
      <c r="Y193" s="17" t="s">
        <v>40</v>
      </c>
      <c r="Z193" s="17" t="e">
        <f>_xlfn.XLOOKUP(Customer[[#This Row],[NewType]],$AF$36:$AF$54,$AG$36:$AG$54)</f>
        <v>#N/A</v>
      </c>
      <c r="AA193" s="17" t="s">
        <v>1459</v>
      </c>
      <c r="AB193" s="11" t="str">
        <f>_xlfn.XLOOKUP(Customer[[#This Row],[Customer ID]],[1]!Address[ID],[1]!Address[Subtype])</f>
        <v>PETRONAS</v>
      </c>
      <c r="AC193" s="18" t="str">
        <f>_xlfn.XLOOKUP(Customer[[#This Row],[Customer ID]],[1]!Address[ID],[1]!Address[Zone])</f>
        <v>SOUTH</v>
      </c>
    </row>
    <row r="194" spans="1:29" x14ac:dyDescent="0.3">
      <c r="A194" s="10" t="s">
        <v>1460</v>
      </c>
      <c r="B194" s="11" t="str">
        <f>_xlfn.XLOOKUP(Customer[[#This Row],[Customer ID]],[1]!Name[ID],[1]!Name[Description(1)])</f>
        <v>DAMAI CONVENIENCE PETROL MART</v>
      </c>
      <c r="C194" s="11" t="str">
        <f>_xlfn.XLOOKUP(Customer[[#This Row],[Customer ID]],[1]!Name[ID],[1]!Name[Description(2)])</f>
        <v>PS DAMANSARA DAMAI (CENTRAL 2)</v>
      </c>
      <c r="D194" s="11" t="str">
        <f>_xlfn.XLOOKUP(Customer[[#This Row],[Customer ID]],[1]!Address[ID],[1]!Address[PIC])</f>
        <v/>
      </c>
      <c r="E194" s="11" t="str">
        <f>_xlfn.XLOOKUP(Customer[[#This Row],[Customer ID]],[1]!Address[ID],[1]!Address[Full Address])</f>
        <v>PS DAMANSARA DAMAI (CENTRAL 2)LOT PT 36235 DAMANSARA DAMAI,PETALING, SELANGOR, 47000, PETALING,SELANGOR</v>
      </c>
      <c r="F194" s="12" t="s">
        <v>1461</v>
      </c>
      <c r="G194" s="12" t="s">
        <v>1462</v>
      </c>
      <c r="H194" s="12" t="s">
        <v>1463</v>
      </c>
      <c r="I194" s="12" t="b">
        <f>ISNUMBER(VALUE(LEFT(Customer[[#This Row],[Address Line 3 (30 char)]],1)))</f>
        <v>0</v>
      </c>
      <c r="J194" s="12" t="s">
        <v>172</v>
      </c>
      <c r="K194" s="12">
        <v>47000</v>
      </c>
      <c r="L194" s="12" t="s">
        <v>35</v>
      </c>
      <c r="M194" s="13" t="e">
        <v>#N/A</v>
      </c>
      <c r="N194" s="14" t="e">
        <v>#N/A</v>
      </c>
      <c r="O194" s="14" t="e">
        <v>#N/A</v>
      </c>
      <c r="P194" s="14" t="e">
        <v>#N/A</v>
      </c>
      <c r="Q194" s="19" t="s">
        <v>1464</v>
      </c>
      <c r="R194" s="15" t="s">
        <v>1465</v>
      </c>
      <c r="S194" s="15" t="s">
        <v>37</v>
      </c>
      <c r="T194" s="16" t="s">
        <v>38</v>
      </c>
      <c r="U194" s="11" t="str">
        <f>_xlfn.XLOOKUP(Customer[[#This Row],[Customer ID]],[1]!Address[ID],[1]!Address[Phone No.(2)])</f>
        <v/>
      </c>
      <c r="V194" s="11" t="str">
        <f>_xlfn.XLOOKUP(Customer[[#This Row],[Customer ID]],[1]!Address[ID],[1]!Address[Type])</f>
        <v>PETROMART</v>
      </c>
      <c r="W194" s="11" t="str">
        <f>_xlfn.XLOOKUP(Customer[[#This Row],[Customer ID]],[1]!Address[ID],[1]!Address[CT])</f>
        <v>30 DAYS</v>
      </c>
      <c r="X194" s="11" t="s">
        <v>39</v>
      </c>
      <c r="Y194" s="17" t="s">
        <v>40</v>
      </c>
      <c r="Z194" s="17" t="e">
        <f>_xlfn.XLOOKUP(Customer[[#This Row],[NewType]],$AF$36:$AF$54,$AG$36:$AG$54)</f>
        <v>#N/A</v>
      </c>
      <c r="AA194" s="17" t="s">
        <v>1466</v>
      </c>
      <c r="AB194" s="11" t="str">
        <f>_xlfn.XLOOKUP(Customer[[#This Row],[Customer ID]],[1]!Address[ID],[1]!Address[Subtype])</f>
        <v>PETRONAS</v>
      </c>
      <c r="AC194" s="18" t="str">
        <f>_xlfn.XLOOKUP(Customer[[#This Row],[Customer ID]],[1]!Address[ID],[1]!Address[Zone])</f>
        <v>CENTRAL</v>
      </c>
    </row>
    <row r="195" spans="1:29" x14ac:dyDescent="0.3">
      <c r="A195" s="10" t="s">
        <v>1467</v>
      </c>
      <c r="B195" s="11" t="str">
        <f>_xlfn.XLOOKUP(Customer[[#This Row],[Customer ID]],[1]!Name[ID],[1]!Name[Description(1)])</f>
        <v>TITIAN ENOLILS</v>
      </c>
      <c r="C195" s="11" t="str">
        <f>_xlfn.XLOOKUP(Customer[[#This Row],[Customer ID]],[1]!Name[ID],[1]!Name[Description(2)])</f>
        <v>PS DAMANSARA JAYA 1 (CENTRAL 1)</v>
      </c>
      <c r="D195" s="11" t="str">
        <f>_xlfn.XLOOKUP(Customer[[#This Row],[Customer ID]],[1]!Address[ID],[1]!Address[PIC])</f>
        <v>dzulfiqa enolil</v>
      </c>
      <c r="E195" s="11" t="str">
        <f>_xlfn.XLOOKUP(Customer[[#This Row],[Customer ID]],[1]!Address[ID],[1]!Address[Full Address])</f>
        <v>PS DAMANSARA JAYA 1 (CENTRAL 1)LOT 8629, JALAN SS 22/41,DAMANSARA JAYA, SELANGOR,47400, PETALING, SELANGOR</v>
      </c>
      <c r="F195" s="12" t="s">
        <v>1468</v>
      </c>
      <c r="G195" s="12" t="s">
        <v>1469</v>
      </c>
      <c r="H195" s="12" t="s">
        <v>1470</v>
      </c>
      <c r="I195" s="12" t="b">
        <f>ISNUMBER(VALUE(LEFT(Customer[[#This Row],[Address Line 3 (30 char)]],1)))</f>
        <v>0</v>
      </c>
      <c r="J195" s="12" t="s">
        <v>172</v>
      </c>
      <c r="K195" s="12">
        <v>47400</v>
      </c>
      <c r="L195" s="12" t="s">
        <v>35</v>
      </c>
      <c r="M195" s="13">
        <v>740714145257</v>
      </c>
      <c r="N195" s="14" t="s">
        <v>1471</v>
      </c>
      <c r="O195" s="14" t="e">
        <v>#N/A</v>
      </c>
      <c r="P195" s="14" t="e">
        <v>#N/A</v>
      </c>
      <c r="Q195" s="19" t="s">
        <v>1446</v>
      </c>
      <c r="R195" s="15" t="s">
        <v>1472</v>
      </c>
      <c r="S195" s="15" t="s">
        <v>609</v>
      </c>
      <c r="T195" s="16" t="s">
        <v>38</v>
      </c>
      <c r="U195" s="11" t="str">
        <f>_xlfn.XLOOKUP(Customer[[#This Row],[Customer ID]],[1]!Address[ID],[1]!Address[Phone No.(2)])</f>
        <v/>
      </c>
      <c r="V195" s="11" t="str">
        <f>_xlfn.XLOOKUP(Customer[[#This Row],[Customer ID]],[1]!Address[ID],[1]!Address[Type])</f>
        <v>PETROMART</v>
      </c>
      <c r="W195" s="11" t="str">
        <f>_xlfn.XLOOKUP(Customer[[#This Row],[Customer ID]],[1]!Address[ID],[1]!Address[CT])</f>
        <v>30 DAYS</v>
      </c>
      <c r="X195" s="11" t="s">
        <v>39</v>
      </c>
      <c r="Y195" s="17" t="s">
        <v>40</v>
      </c>
      <c r="Z195" s="17" t="e">
        <f>_xlfn.XLOOKUP(Customer[[#This Row],[NewType]],$AF$36:$AF$54,$AG$36:$AG$54)</f>
        <v>#N/A</v>
      </c>
      <c r="AA195" s="17" t="s">
        <v>1473</v>
      </c>
      <c r="AB195" s="11" t="str">
        <f>_xlfn.XLOOKUP(Customer[[#This Row],[Customer ID]],[1]!Address[ID],[1]!Address[Subtype])</f>
        <v>PETRONAS</v>
      </c>
      <c r="AC195" s="18" t="str">
        <f>_xlfn.XLOOKUP(Customer[[#This Row],[Customer ID]],[1]!Address[ID],[1]!Address[Zone])</f>
        <v>CENTRAL</v>
      </c>
    </row>
    <row r="196" spans="1:29" x14ac:dyDescent="0.3">
      <c r="A196" s="10" t="s">
        <v>1474</v>
      </c>
      <c r="B196" s="11" t="str">
        <f>_xlfn.XLOOKUP(Customer[[#This Row],[Customer ID]],[1]!Name[ID],[1]!Name[Description(1)])</f>
        <v>AZAM MESRA DUA ENTERPRISE</v>
      </c>
      <c r="C196" s="11" t="str">
        <f>_xlfn.XLOOKUP(Customer[[#This Row],[Customer ID]],[1]!Name[ID],[1]!Name[Description(2)])</f>
        <v>PS DAMANSARA JAYA 2 (CENTRAL 1)</v>
      </c>
      <c r="D196" s="11" t="str">
        <f>_xlfn.XLOOKUP(Customer[[#This Row],[Customer ID]],[1]!Address[ID],[1]!Address[PIC])</f>
        <v>Asmar Bin Zaina</v>
      </c>
      <c r="E196" s="11" t="str">
        <f>_xlfn.XLOOKUP(Customer[[#This Row],[Customer ID]],[1]!Address[ID],[1]!Address[Full Address])</f>
        <v>PS DAMANSARA JAYA 2 (CENTRAL 1)LOT 10068, JALAN SS 22/4DAMANSARA, PETALING JAYA, 47400, PETALINSELANGOR</v>
      </c>
      <c r="F196" s="12" t="s">
        <v>1475</v>
      </c>
      <c r="G196" s="12" t="s">
        <v>1476</v>
      </c>
      <c r="H196" s="12" t="s">
        <v>1477</v>
      </c>
      <c r="I196" s="12" t="b">
        <f>ISNUMBER(VALUE(LEFT(Customer[[#This Row],[Address Line 3 (30 char)]],1)))</f>
        <v>0</v>
      </c>
      <c r="J196" s="12" t="s">
        <v>172</v>
      </c>
      <c r="K196" s="12">
        <v>47400</v>
      </c>
      <c r="L196" s="12" t="s">
        <v>35</v>
      </c>
      <c r="M196" s="13">
        <v>200703134770</v>
      </c>
      <c r="N196" s="14" t="s">
        <v>1478</v>
      </c>
      <c r="O196" s="14" t="e">
        <v>#N/A</v>
      </c>
      <c r="P196" s="14" t="e">
        <v>#N/A</v>
      </c>
      <c r="Q196" s="19" t="s">
        <v>1479</v>
      </c>
      <c r="R196" s="15" t="s">
        <v>1480</v>
      </c>
      <c r="S196" s="15" t="s">
        <v>37</v>
      </c>
      <c r="T196" s="16" t="s">
        <v>38</v>
      </c>
      <c r="U196" s="11" t="str">
        <f>_xlfn.XLOOKUP(Customer[[#This Row],[Customer ID]],[1]!Address[ID],[1]!Address[Phone No.(2)])</f>
        <v/>
      </c>
      <c r="V196" s="11" t="str">
        <f>_xlfn.XLOOKUP(Customer[[#This Row],[Customer ID]],[1]!Address[ID],[1]!Address[Type])</f>
        <v>PETROMART</v>
      </c>
      <c r="W196" s="11" t="str">
        <f>_xlfn.XLOOKUP(Customer[[#This Row],[Customer ID]],[1]!Address[ID],[1]!Address[CT])</f>
        <v>30 DAYS</v>
      </c>
      <c r="X196" s="11" t="s">
        <v>39</v>
      </c>
      <c r="Y196" s="17" t="s">
        <v>40</v>
      </c>
      <c r="Z196" s="17" t="e">
        <f>_xlfn.XLOOKUP(Customer[[#This Row],[NewType]],$AF$36:$AF$54,$AG$36:$AG$54)</f>
        <v>#N/A</v>
      </c>
      <c r="AA196" s="17" t="s">
        <v>1481</v>
      </c>
      <c r="AB196" s="11" t="str">
        <f>_xlfn.XLOOKUP(Customer[[#This Row],[Customer ID]],[1]!Address[ID],[1]!Address[Subtype])</f>
        <v>PETRONAS</v>
      </c>
      <c r="AC196" s="18" t="str">
        <f>_xlfn.XLOOKUP(Customer[[#This Row],[Customer ID]],[1]!Address[ID],[1]!Address[Zone])</f>
        <v>CENTRAL</v>
      </c>
    </row>
    <row r="197" spans="1:29" x14ac:dyDescent="0.3">
      <c r="A197" s="10" t="s">
        <v>1482</v>
      </c>
      <c r="B197" s="11" t="str">
        <f>_xlfn.XLOOKUP(Customer[[#This Row],[Customer ID]],[1]!Name[ID],[1]!Name[Description(1)])</f>
        <v>KOPERASI BAKERI POLITEKNIK MERLIMAU</v>
      </c>
      <c r="C197" s="11" t="str">
        <f>_xlfn.XLOOKUP(Customer[[#This Row],[Customer ID]],[1]!Name[ID],[1]!Name[Description(2)])</f>
        <v/>
      </c>
      <c r="D197" s="11" t="str">
        <f>_xlfn.XLOOKUP(Customer[[#This Row],[Customer ID]],[1]!Address[ID],[1]!Address[PIC])</f>
        <v/>
      </c>
      <c r="E197" s="11" t="str">
        <f>_xlfn.XLOOKUP(Customer[[#This Row],[Customer ID]],[1]!Address[ID],[1]!Address[Full Address])</f>
        <v>D/A POLITEKNIK MERLIMAU,KM 26 JALAN JASIN,77300 MERLIMAU, MELAKA</v>
      </c>
      <c r="F197" s="12" t="s">
        <v>1483</v>
      </c>
      <c r="G197" s="12" t="s">
        <v>1484</v>
      </c>
      <c r="H197" s="24" t="s">
        <v>1485</v>
      </c>
      <c r="I197" s="24" t="b">
        <f>ISNUMBER(VALUE(LEFT(Customer[[#This Row],[Address Line 3 (30 char)]],1)))</f>
        <v>0</v>
      </c>
      <c r="J197" s="12" t="s">
        <v>61</v>
      </c>
      <c r="K197" s="12">
        <v>77300</v>
      </c>
      <c r="L197" s="12" t="s">
        <v>35</v>
      </c>
      <c r="M197" s="13" t="e">
        <v>#N/A</v>
      </c>
      <c r="N197" s="14" t="e">
        <v>#N/A</v>
      </c>
      <c r="O197" s="14" t="e">
        <v>#N/A</v>
      </c>
      <c r="P197" s="14" t="e">
        <v>#N/A</v>
      </c>
      <c r="Q197" s="14" t="e">
        <v>#N/A</v>
      </c>
      <c r="R197" s="15" t="s">
        <v>1486</v>
      </c>
      <c r="S197" s="15" t="s">
        <v>88</v>
      </c>
      <c r="T197" s="16" t="s">
        <v>89</v>
      </c>
      <c r="U197" s="11" t="str">
        <f>_xlfn.XLOOKUP(Customer[[#This Row],[Customer ID]],[1]!Address[ID],[1]!Address[Phone No.(2)])</f>
        <v/>
      </c>
      <c r="V197" s="11" t="str">
        <f>_xlfn.XLOOKUP(Customer[[#This Row],[Customer ID]],[1]!Address[ID],[1]!Address[Type])</f>
        <v>SOCMED</v>
      </c>
      <c r="W197" s="11" t="str">
        <f>_xlfn.XLOOKUP(Customer[[#This Row],[Customer ID]],[1]!Address[ID],[1]!Address[CT])</f>
        <v/>
      </c>
      <c r="X197" s="11"/>
      <c r="Y197" s="17" t="s">
        <v>90</v>
      </c>
      <c r="Z197" s="17" t="e">
        <f>_xlfn.XLOOKUP(Customer[[#This Row],[NewType]],$AF$36:$AF$54,$AG$36:$AG$54)</f>
        <v>#N/A</v>
      </c>
      <c r="AA197" s="17" t="s">
        <v>1487</v>
      </c>
      <c r="AB197" s="11" t="str">
        <f>_xlfn.XLOOKUP(Customer[[#This Row],[Customer ID]],[1]!Address[ID],[1]!Address[Subtype])</f>
        <v>ONLINE ROS</v>
      </c>
      <c r="AC197" s="18" t="str">
        <f>_xlfn.XLOOKUP(Customer[[#This Row],[Customer ID]],[1]!Address[ID],[1]!Address[Zone])</f>
        <v>SOUTH</v>
      </c>
    </row>
    <row r="198" spans="1:29" x14ac:dyDescent="0.3">
      <c r="A198" s="10" t="s">
        <v>1488</v>
      </c>
      <c r="B198" s="11" t="str">
        <f>_xlfn.XLOOKUP(Customer[[#This Row],[Customer ID]],[1]!Name[ID],[1]!Name[Description(1)])</f>
        <v>DASBA ENTERPRISE (003055483-X)</v>
      </c>
      <c r="C198" s="11" t="str">
        <f>_xlfn.XLOOKUP(Customer[[#This Row],[Customer ID]],[1]!Name[ID],[1]!Name[Description(2)])</f>
        <v>PS DATARAN KUALA KUBU BHARU (CENTRAL 2)</v>
      </c>
      <c r="D198" s="11" t="str">
        <f>_xlfn.XLOOKUP(Customer[[#This Row],[Customer ID]],[1]!Address[ID],[1]!Address[PIC])</f>
        <v/>
      </c>
      <c r="E198" s="11" t="str">
        <f>_xlfn.XLOOKUP(Customer[[#This Row],[Customer ID]],[1]!Address[ID],[1]!Address[Full Address])</f>
        <v>PS DATARAN KUALA KUBU BHARU (CENTRAL 2)PETRONAS DATARAN KUALA KUBU BHARU,JALAN KUALA KUBU BHARU,44000 KUALA KUBU BHARU, SELANGOR</v>
      </c>
      <c r="F198" s="12" t="s">
        <v>1489</v>
      </c>
      <c r="G198" s="12" t="s">
        <v>1490</v>
      </c>
      <c r="H198" s="12" t="s">
        <v>1491</v>
      </c>
      <c r="I198" s="12" t="b">
        <f>ISNUMBER(VALUE(LEFT(Customer[[#This Row],[Address Line 3 (30 char)]],1)))</f>
        <v>0</v>
      </c>
      <c r="J198" s="12" t="s">
        <v>172</v>
      </c>
      <c r="K198" s="12">
        <v>44000</v>
      </c>
      <c r="L198" s="12" t="s">
        <v>35</v>
      </c>
      <c r="M198" s="13" t="e">
        <v>#N/A</v>
      </c>
      <c r="N198" s="14" t="e">
        <v>#N/A</v>
      </c>
      <c r="O198" s="14" t="e">
        <v>#N/A</v>
      </c>
      <c r="P198" s="14" t="e">
        <v>#N/A</v>
      </c>
      <c r="Q198" s="19" t="s">
        <v>1492</v>
      </c>
      <c r="R198" s="15" t="s">
        <v>1493</v>
      </c>
      <c r="S198" s="15" t="s">
        <v>37</v>
      </c>
      <c r="T198" s="16" t="s">
        <v>38</v>
      </c>
      <c r="U198" s="11" t="str">
        <f>_xlfn.XLOOKUP(Customer[[#This Row],[Customer ID]],[1]!Address[ID],[1]!Address[Phone No.(2)])</f>
        <v/>
      </c>
      <c r="V198" s="11" t="str">
        <f>_xlfn.XLOOKUP(Customer[[#This Row],[Customer ID]],[1]!Address[ID],[1]!Address[Type])</f>
        <v>PETROMART</v>
      </c>
      <c r="W198" s="11" t="str">
        <f>_xlfn.XLOOKUP(Customer[[#This Row],[Customer ID]],[1]!Address[ID],[1]!Address[CT])</f>
        <v>30 DAYS</v>
      </c>
      <c r="X198" s="11" t="s">
        <v>39</v>
      </c>
      <c r="Y198" s="17" t="s">
        <v>40</v>
      </c>
      <c r="Z198" s="17" t="e">
        <f>_xlfn.XLOOKUP(Customer[[#This Row],[NewType]],$AF$36:$AF$54,$AG$36:$AG$54)</f>
        <v>#N/A</v>
      </c>
      <c r="AA198" s="17" t="s">
        <v>1494</v>
      </c>
      <c r="AB198" s="11" t="str">
        <f>_xlfn.XLOOKUP(Customer[[#This Row],[Customer ID]],[1]!Address[ID],[1]!Address[Subtype])</f>
        <v>PETRONAS</v>
      </c>
      <c r="AC198" s="18" t="str">
        <f>_xlfn.XLOOKUP(Customer[[#This Row],[Customer ID]],[1]!Address[ID],[1]!Address[Zone])</f>
        <v>SOUTH</v>
      </c>
    </row>
    <row r="199" spans="1:29" x14ac:dyDescent="0.3">
      <c r="A199" s="27" t="s">
        <v>1495</v>
      </c>
      <c r="B199" s="28" t="str">
        <f>_xlfn.XLOOKUP(Customer[[#This Row],[Customer ID]],[1]!Name[ID],[1]!Name[Description(1)])</f>
        <v>STESYEN MINYAK ISMAIL HANAFI</v>
      </c>
      <c r="C199" s="11" t="str">
        <f>_xlfn.XLOOKUP(Customer[[#This Row],[Customer ID]],[1]!Name[ID],[1]!Name[Description(2)])</f>
        <v>PS DATUK KUMBAR (DEACTIVE)</v>
      </c>
      <c r="D199" s="11" t="str">
        <f>_xlfn.XLOOKUP(Customer[[#This Row],[Customer ID]],[1]!Address[ID],[1]!Address[PIC])</f>
        <v/>
      </c>
      <c r="E199" s="11" t="str">
        <f>_xlfn.XLOOKUP(Customer[[#This Row],[Customer ID]],[1]!Address[ID],[1]!Address[Full Address])</f>
        <v>PS DATUK KUMBAR (NORTH 1)LOT 3169, JALAN DATO KUMBAR,ALOR SETAR, 05300, KOTA SETAR, KEDAH</v>
      </c>
      <c r="F199" s="12" t="s">
        <v>1496</v>
      </c>
      <c r="G199" s="12" t="s">
        <v>1497</v>
      </c>
      <c r="H199" s="12" t="s">
        <v>1498</v>
      </c>
      <c r="I199" s="12" t="b">
        <f>ISNUMBER(VALUE(LEFT(Customer[[#This Row],[Address Line 3 (30 char)]],1)))</f>
        <v>0</v>
      </c>
      <c r="J199" s="12" t="s">
        <v>355</v>
      </c>
      <c r="K199" s="30" t="s">
        <v>1499</v>
      </c>
      <c r="L199" s="12" t="s">
        <v>35</v>
      </c>
      <c r="M199" s="13" t="e">
        <v>#N/A</v>
      </c>
      <c r="N199" s="14" t="e">
        <v>#N/A</v>
      </c>
      <c r="O199" s="14" t="e">
        <v>#N/A</v>
      </c>
      <c r="P199" s="14" t="e">
        <v>#N/A</v>
      </c>
      <c r="Q199" s="19" t="s">
        <v>1500</v>
      </c>
      <c r="R199" s="15" t="s">
        <v>1501</v>
      </c>
      <c r="S199" s="15" t="s">
        <v>37</v>
      </c>
      <c r="T199" s="16" t="s">
        <v>38</v>
      </c>
      <c r="U199" s="11" t="str">
        <f>_xlfn.XLOOKUP(Customer[[#This Row],[Customer ID]],[1]!Address[ID],[1]!Address[Phone No.(2)])</f>
        <v/>
      </c>
      <c r="V199" s="11" t="str">
        <f>_xlfn.XLOOKUP(Customer[[#This Row],[Customer ID]],[1]!Address[ID],[1]!Address[Type])</f>
        <v>PETROMART</v>
      </c>
      <c r="W199" s="11" t="str">
        <f>_xlfn.XLOOKUP(Customer[[#This Row],[Customer ID]],[1]!Address[ID],[1]!Address[CT])</f>
        <v>30 DAYS</v>
      </c>
      <c r="X199" s="11" t="s">
        <v>39</v>
      </c>
      <c r="Y199" s="17" t="s">
        <v>40</v>
      </c>
      <c r="Z199" s="17" t="e">
        <f>_xlfn.XLOOKUP(Customer[[#This Row],[NewType]],$AF$36:$AF$54,$AG$36:$AG$54)</f>
        <v>#N/A</v>
      </c>
      <c r="AA199" s="17" t="s">
        <v>1502</v>
      </c>
      <c r="AB199" s="11" t="str">
        <f>_xlfn.XLOOKUP(Customer[[#This Row],[Customer ID]],[1]!Address[ID],[1]!Address[Subtype])</f>
        <v>PETRONAS</v>
      </c>
      <c r="AC199" s="18" t="str">
        <f>_xlfn.XLOOKUP(Customer[[#This Row],[Customer ID]],[1]!Address[ID],[1]!Address[Zone])</f>
        <v>NORTH</v>
      </c>
    </row>
    <row r="200" spans="1:29" x14ac:dyDescent="0.3">
      <c r="A200" s="10" t="s">
        <v>1503</v>
      </c>
      <c r="B200" s="11" t="str">
        <f>_xlfn.XLOOKUP(Customer[[#This Row],[Customer ID]],[1]!Name[ID],[1]!Name[Description(1)])</f>
        <v>S/S PTBH PLDG K.DENGKIL</v>
      </c>
      <c r="C200" s="11" t="str">
        <f>_xlfn.XLOOKUP(Customer[[#This Row],[Customer ID]],[1]!Name[ID],[1]!Name[Description(2)])</f>
        <v>PS DENGKIL (CENTRAL 3)</v>
      </c>
      <c r="D200" s="11" t="str">
        <f>_xlfn.XLOOKUP(Customer[[#This Row],[Customer ID]],[1]!Address[ID],[1]!Address[PIC])</f>
        <v/>
      </c>
      <c r="E200" s="11" t="str">
        <f>_xlfn.XLOOKUP(Customer[[#This Row],[Customer ID]],[1]!Address[ID],[1]!Address[Full Address])</f>
        <v>PS DENGKIL (CENTRAL 3)LOT 270, JALAN AIR HITAM,DENGKIL, SELANGOR,43800, SEPANG, SELANGOR</v>
      </c>
      <c r="F200" s="12" t="s">
        <v>1504</v>
      </c>
      <c r="G200" s="12" t="s">
        <v>1505</v>
      </c>
      <c r="H200" s="12" t="s">
        <v>1506</v>
      </c>
      <c r="I200" s="12" t="b">
        <f>ISNUMBER(VALUE(LEFT(Customer[[#This Row],[Address Line 3 (30 char)]],1)))</f>
        <v>0</v>
      </c>
      <c r="J200" s="12" t="s">
        <v>172</v>
      </c>
      <c r="K200" s="12">
        <v>43800</v>
      </c>
      <c r="L200" s="12" t="s">
        <v>35</v>
      </c>
      <c r="M200" s="13" t="e">
        <v>#N/A</v>
      </c>
      <c r="N200" s="14" t="e">
        <v>#N/A</v>
      </c>
      <c r="O200" s="14" t="e">
        <v>#N/A</v>
      </c>
      <c r="P200" s="14" t="e">
        <v>#N/A</v>
      </c>
      <c r="Q200" s="19" t="s">
        <v>1507</v>
      </c>
      <c r="R200" s="15" t="s">
        <v>1508</v>
      </c>
      <c r="S200" s="15" t="s">
        <v>37</v>
      </c>
      <c r="T200" s="16" t="s">
        <v>38</v>
      </c>
      <c r="U200" s="11" t="str">
        <f>_xlfn.XLOOKUP(Customer[[#This Row],[Customer ID]],[1]!Address[ID],[1]!Address[Phone No.(2)])</f>
        <v/>
      </c>
      <c r="V200" s="11" t="str">
        <f>_xlfn.XLOOKUP(Customer[[#This Row],[Customer ID]],[1]!Address[ID],[1]!Address[Type])</f>
        <v>PETROMART</v>
      </c>
      <c r="W200" s="11" t="str">
        <f>_xlfn.XLOOKUP(Customer[[#This Row],[Customer ID]],[1]!Address[ID],[1]!Address[CT])</f>
        <v>30 DAYS</v>
      </c>
      <c r="X200" s="11" t="s">
        <v>39</v>
      </c>
      <c r="Y200" s="17" t="s">
        <v>40</v>
      </c>
      <c r="Z200" s="17" t="e">
        <f>_xlfn.XLOOKUP(Customer[[#This Row],[NewType]],$AF$36:$AF$54,$AG$36:$AG$54)</f>
        <v>#N/A</v>
      </c>
      <c r="AA200" s="17" t="s">
        <v>1509</v>
      </c>
      <c r="AB200" s="11" t="str">
        <f>_xlfn.XLOOKUP(Customer[[#This Row],[Customer ID]],[1]!Address[ID],[1]!Address[Subtype])</f>
        <v>PETRONAS</v>
      </c>
      <c r="AC200" s="18" t="str">
        <f>_xlfn.XLOOKUP(Customer[[#This Row],[Customer ID]],[1]!Address[ID],[1]!Address[Zone])</f>
        <v>CENTRAL</v>
      </c>
    </row>
    <row r="201" spans="1:29" x14ac:dyDescent="0.3">
      <c r="A201" s="27" t="s">
        <v>1510</v>
      </c>
      <c r="B201" s="28" t="str">
        <f>_xlfn.XLOOKUP(Customer[[#This Row],[Customer ID]],[1]!Name[ID],[1]!Name[Description(1)])</f>
        <v>MAFAZ PETRO ENTERPRISE</v>
      </c>
      <c r="C201" s="11" t="str">
        <f>_xlfn.XLOOKUP(Customer[[#This Row],[Customer ID]],[1]!Name[ID],[1]!Name[Description(2)])</f>
        <v>PS DERGA</v>
      </c>
      <c r="D201" s="11" t="str">
        <f>_xlfn.XLOOKUP(Customer[[#This Row],[Customer ID]],[1]!Address[ID],[1]!Address[PIC])</f>
        <v/>
      </c>
      <c r="E201" s="11" t="str">
        <f>_xlfn.XLOOKUP(Customer[[#This Row],[Customer ID]],[1]!Address[ID],[1]!Address[Full Address])</f>
        <v>PS DERGALOT 4003/4 JALAN TANJONG BENDAHARA,MUKIM DERGA, 05300 ALOR SETAR, KEDAH</v>
      </c>
      <c r="F201" s="12" t="s">
        <v>1511</v>
      </c>
      <c r="G201" s="12" t="s">
        <v>1512</v>
      </c>
      <c r="H201" s="12" t="s">
        <v>1513</v>
      </c>
      <c r="I201" s="12" t="b">
        <f>ISNUMBER(VALUE(LEFT(Customer[[#This Row],[Address Line 3 (30 char)]],1)))</f>
        <v>0</v>
      </c>
      <c r="J201" s="12" t="s">
        <v>355</v>
      </c>
      <c r="K201" s="30" t="s">
        <v>1499</v>
      </c>
      <c r="L201" s="12" t="s">
        <v>35</v>
      </c>
      <c r="M201" s="13" t="e">
        <v>#N/A</v>
      </c>
      <c r="N201" s="14" t="e">
        <v>#N/A</v>
      </c>
      <c r="O201" s="14" t="e">
        <v>#N/A</v>
      </c>
      <c r="P201" s="14" t="e">
        <v>#N/A</v>
      </c>
      <c r="Q201" s="19" t="s">
        <v>1514</v>
      </c>
      <c r="R201" s="15" t="s">
        <v>1515</v>
      </c>
      <c r="S201" s="15" t="s">
        <v>74</v>
      </c>
      <c r="T201" s="16" t="s">
        <v>38</v>
      </c>
      <c r="U201" s="11" t="str">
        <f>_xlfn.XLOOKUP(Customer[[#This Row],[Customer ID]],[1]!Address[ID],[1]!Address[Phone No.(2)])</f>
        <v/>
      </c>
      <c r="V201" s="11" t="str">
        <f>_xlfn.XLOOKUP(Customer[[#This Row],[Customer ID]],[1]!Address[ID],[1]!Address[Type])</f>
        <v>PETROMART</v>
      </c>
      <c r="W201" s="11" t="str">
        <f>_xlfn.XLOOKUP(Customer[[#This Row],[Customer ID]],[1]!Address[ID],[1]!Address[CT])</f>
        <v>30 DAYS</v>
      </c>
      <c r="X201" s="11" t="s">
        <v>39</v>
      </c>
      <c r="Y201" s="17" t="s">
        <v>40</v>
      </c>
      <c r="Z201" s="17" t="e">
        <f>_xlfn.XLOOKUP(Customer[[#This Row],[NewType]],$AF$36:$AF$54,$AG$36:$AG$54)</f>
        <v>#N/A</v>
      </c>
      <c r="AA201" s="17" t="s">
        <v>1516</v>
      </c>
      <c r="AB201" s="11" t="str">
        <f>_xlfn.XLOOKUP(Customer[[#This Row],[Customer ID]],[1]!Address[ID],[1]!Address[Subtype])</f>
        <v>PETRONAS</v>
      </c>
      <c r="AC201" s="18" t="str">
        <f>_xlfn.XLOOKUP(Customer[[#This Row],[Customer ID]],[1]!Address[ID],[1]!Address[Zone])</f>
        <v>NORTH</v>
      </c>
    </row>
    <row r="202" spans="1:29" x14ac:dyDescent="0.3">
      <c r="A202" s="10" t="s">
        <v>1517</v>
      </c>
      <c r="B202" s="11" t="str">
        <f>_xlfn.XLOOKUP(Customer[[#This Row],[Customer ID]],[1]!Name[ID],[1]!Name[Description(1)])</f>
        <v>DAKAP TUAH RESOURCES</v>
      </c>
      <c r="C202" s="11" t="str">
        <f>_xlfn.XLOOKUP(Customer[[#This Row],[Customer ID]],[1]!Name[ID],[1]!Name[Description(2)])</f>
        <v>PS DESA CEMERLANG 2(LEBUH DESA CEMERLANG</v>
      </c>
      <c r="D202" s="11" t="str">
        <f>_xlfn.XLOOKUP(Customer[[#This Row],[Customer ID]],[1]!Address[ID],[1]!Address[PIC])</f>
        <v/>
      </c>
      <c r="E202" s="11" t="str">
        <f>_xlfn.XLOOKUP(Customer[[#This Row],[Customer ID]],[1]!Address[ID],[1]!Address[Full Address])</f>
        <v>PS DESA CEMERLANG 2 (LEBUH DESA CEMERLANLOT PTD 177201,TAMAN DESA CEMERLANG,MUKIM PLENTONG, JOHOR BAHRU,81800 ULU TIRAM, JOHOR</v>
      </c>
      <c r="F202" s="12" t="s">
        <v>1518</v>
      </c>
      <c r="G202" s="12" t="s">
        <v>1519</v>
      </c>
      <c r="H202" s="12" t="s">
        <v>1520</v>
      </c>
      <c r="I202" s="12" t="b">
        <f>ISNUMBER(VALUE(LEFT(Customer[[#This Row],[Address Line 3 (30 char)]],1)))</f>
        <v>0</v>
      </c>
      <c r="J202" s="12" t="s">
        <v>52</v>
      </c>
      <c r="K202" s="12">
        <v>81800</v>
      </c>
      <c r="L202" s="12" t="s">
        <v>35</v>
      </c>
      <c r="M202" s="13" t="e">
        <v>#N/A</v>
      </c>
      <c r="N202" s="14" t="e">
        <v>#N/A</v>
      </c>
      <c r="O202" s="14" t="e">
        <v>#N/A</v>
      </c>
      <c r="P202" s="14" t="e">
        <v>#N/A</v>
      </c>
      <c r="Q202" s="19" t="s">
        <v>1521</v>
      </c>
      <c r="R202" s="15" t="s">
        <v>1522</v>
      </c>
      <c r="S202" s="15" t="s">
        <v>37</v>
      </c>
      <c r="T202" s="16" t="s">
        <v>38</v>
      </c>
      <c r="U202" s="11" t="str">
        <f>_xlfn.XLOOKUP(Customer[[#This Row],[Customer ID]],[1]!Address[ID],[1]!Address[Phone No.(2)])</f>
        <v/>
      </c>
      <c r="V202" s="11" t="str">
        <f>_xlfn.XLOOKUP(Customer[[#This Row],[Customer ID]],[1]!Address[ID],[1]!Address[Type])</f>
        <v>PETROMART</v>
      </c>
      <c r="W202" s="11" t="str">
        <f>_xlfn.XLOOKUP(Customer[[#This Row],[Customer ID]],[1]!Address[ID],[1]!Address[CT])</f>
        <v>30 DAYS</v>
      </c>
      <c r="X202" s="11" t="s">
        <v>39</v>
      </c>
      <c r="Y202" s="17" t="s">
        <v>40</v>
      </c>
      <c r="Z202" s="17" t="e">
        <f>_xlfn.XLOOKUP(Customer[[#This Row],[NewType]],$AF$36:$AF$54,$AG$36:$AG$54)</f>
        <v>#N/A</v>
      </c>
      <c r="AA202" s="17" t="s">
        <v>1523</v>
      </c>
      <c r="AB202" s="11" t="str">
        <f>_xlfn.XLOOKUP(Customer[[#This Row],[Customer ID]],[1]!Address[ID],[1]!Address[Subtype])</f>
        <v>PETRONAS</v>
      </c>
      <c r="AC202" s="18" t="str">
        <f>_xlfn.XLOOKUP(Customer[[#This Row],[Customer ID]],[1]!Address[ID],[1]!Address[Zone])</f>
        <v>SOUTH</v>
      </c>
    </row>
    <row r="203" spans="1:29" x14ac:dyDescent="0.3">
      <c r="A203" s="10" t="s">
        <v>1524</v>
      </c>
      <c r="B203" s="11" t="str">
        <f>_xlfn.XLOOKUP(Customer[[#This Row],[Customer ID]],[1]!Name[ID],[1]!Name[Description(1)])</f>
        <v>KAIZATON ENTERPRISE</v>
      </c>
      <c r="C203" s="11" t="str">
        <f>_xlfn.XLOOKUP(Customer[[#This Row],[Customer ID]],[1]!Name[ID],[1]!Name[Description(2)])</f>
        <v>PS DESA MENTARI (CENTRAL 2)</v>
      </c>
      <c r="D203" s="11" t="str">
        <f>_xlfn.XLOOKUP(Customer[[#This Row],[Customer ID]],[1]!Address[ID],[1]!Address[PIC])</f>
        <v/>
      </c>
      <c r="E203" s="11" t="str">
        <f>_xlfn.XLOOKUP(Customer[[#This Row],[Customer ID]],[1]!Address[ID],[1]!Address[Full Address])</f>
        <v>PS DESA MENTARI (CENTRAL 2)JLOT PT 621 HS(D) 173396 DESA MENTARI,JALAN KELANG LAMA, MUKIM PETALING,46150, PETALING, SELANGOR</v>
      </c>
      <c r="F203" s="12" t="s">
        <v>1525</v>
      </c>
      <c r="G203" s="12" t="s">
        <v>1526</v>
      </c>
      <c r="H203" s="12" t="s">
        <v>1527</v>
      </c>
      <c r="I203" s="12" t="b">
        <f>ISNUMBER(VALUE(LEFT(Customer[[#This Row],[Address Line 3 (30 char)]],1)))</f>
        <v>0</v>
      </c>
      <c r="J203" s="12" t="s">
        <v>172</v>
      </c>
      <c r="K203" s="12">
        <v>46150</v>
      </c>
      <c r="L203" s="12" t="s">
        <v>35</v>
      </c>
      <c r="M203" s="13" t="e">
        <v>#N/A</v>
      </c>
      <c r="N203" s="14" t="e">
        <v>#N/A</v>
      </c>
      <c r="O203" s="14" t="e">
        <v>#N/A</v>
      </c>
      <c r="P203" s="14" t="e">
        <v>#N/A</v>
      </c>
      <c r="Q203" s="19" t="s">
        <v>1528</v>
      </c>
      <c r="R203" s="15" t="s">
        <v>1529</v>
      </c>
      <c r="S203" s="15" t="s">
        <v>37</v>
      </c>
      <c r="T203" s="16" t="s">
        <v>38</v>
      </c>
      <c r="U203" s="11" t="str">
        <f>_xlfn.XLOOKUP(Customer[[#This Row],[Customer ID]],[1]!Address[ID],[1]!Address[Phone No.(2)])</f>
        <v/>
      </c>
      <c r="V203" s="11" t="str">
        <f>_xlfn.XLOOKUP(Customer[[#This Row],[Customer ID]],[1]!Address[ID],[1]!Address[Type])</f>
        <v>PETROMART</v>
      </c>
      <c r="W203" s="11" t="str">
        <f>_xlfn.XLOOKUP(Customer[[#This Row],[Customer ID]],[1]!Address[ID],[1]!Address[CT])</f>
        <v>30 DAYS</v>
      </c>
      <c r="X203" s="11" t="s">
        <v>39</v>
      </c>
      <c r="Y203" s="17" t="s">
        <v>40</v>
      </c>
      <c r="Z203" s="17" t="e">
        <f>_xlfn.XLOOKUP(Customer[[#This Row],[NewType]],$AF$36:$AF$54,$AG$36:$AG$54)</f>
        <v>#N/A</v>
      </c>
      <c r="AA203" s="17" t="s">
        <v>1530</v>
      </c>
      <c r="AB203" s="11" t="str">
        <f>_xlfn.XLOOKUP(Customer[[#This Row],[Customer ID]],[1]!Address[ID],[1]!Address[Subtype])</f>
        <v>PETRONAS</v>
      </c>
      <c r="AC203" s="18" t="str">
        <f>_xlfn.XLOOKUP(Customer[[#This Row],[Customer ID]],[1]!Address[ID],[1]!Address[Zone])</f>
        <v>CENTRAL</v>
      </c>
    </row>
    <row r="204" spans="1:29" x14ac:dyDescent="0.3">
      <c r="A204" s="10" t="s">
        <v>1531</v>
      </c>
      <c r="B204" s="11" t="str">
        <f>_xlfn.XLOOKUP(Customer[[#This Row],[Customer ID]],[1]!Name[ID],[1]!Name[Description(1)])</f>
        <v>SARZLAN VENTURE</v>
      </c>
      <c r="C204" s="11" t="str">
        <f>_xlfn.XLOOKUP(Customer[[#This Row],[Customer ID]],[1]!Name[ID],[1]!Name[Description(2)])</f>
        <v>PS DESA PAHLAWAN (TESCO)</v>
      </c>
      <c r="D204" s="11" t="str">
        <f>_xlfn.XLOOKUP(Customer[[#This Row],[Customer ID]],[1]!Address[ID],[1]!Address[PIC])</f>
        <v/>
      </c>
      <c r="E204" s="11" t="str">
        <f>_xlfn.XLOOKUP(Customer[[#This Row],[Customer ID]],[1]!Address[ID],[1]!Address[Full Address])</f>
        <v>PS DESA PAHLAWAN (TESCO)LOT PT 21, HS(D) 4976, MUKIM AMPANG,43100 SELANGOR.</v>
      </c>
      <c r="F204" s="12" t="s">
        <v>1532</v>
      </c>
      <c r="G204" s="12" t="s">
        <v>1533</v>
      </c>
      <c r="H204" s="12" t="s">
        <v>1534</v>
      </c>
      <c r="I204" s="12" t="b">
        <f>ISNUMBER(VALUE(LEFT(Customer[[#This Row],[Address Line 3 (30 char)]],1)))</f>
        <v>0</v>
      </c>
      <c r="J204" s="12" t="s">
        <v>172</v>
      </c>
      <c r="K204" s="12">
        <v>43100</v>
      </c>
      <c r="L204" s="12" t="s">
        <v>35</v>
      </c>
      <c r="M204" s="13" t="e">
        <v>#N/A</v>
      </c>
      <c r="N204" s="14" t="e">
        <v>#N/A</v>
      </c>
      <c r="O204" s="14" t="e">
        <v>#N/A</v>
      </c>
      <c r="P204" s="14" t="e">
        <v>#N/A</v>
      </c>
      <c r="Q204" s="19" t="s">
        <v>1535</v>
      </c>
      <c r="R204" s="15" t="s">
        <v>1536</v>
      </c>
      <c r="S204" s="15" t="s">
        <v>65</v>
      </c>
      <c r="T204" s="16" t="s">
        <v>38</v>
      </c>
      <c r="U204" s="11" t="str">
        <f>_xlfn.XLOOKUP(Customer[[#This Row],[Customer ID]],[1]!Address[ID],[1]!Address[Phone No.(2)])</f>
        <v/>
      </c>
      <c r="V204" s="11" t="str">
        <f>_xlfn.XLOOKUP(Customer[[#This Row],[Customer ID]],[1]!Address[ID],[1]!Address[Type])</f>
        <v>PETROMART</v>
      </c>
      <c r="W204" s="11" t="str">
        <f>_xlfn.XLOOKUP(Customer[[#This Row],[Customer ID]],[1]!Address[ID],[1]!Address[CT])</f>
        <v>30 DAYS</v>
      </c>
      <c r="X204" s="11" t="s">
        <v>39</v>
      </c>
      <c r="Y204" s="17" t="s">
        <v>40</v>
      </c>
      <c r="Z204" s="17" t="e">
        <f>_xlfn.XLOOKUP(Customer[[#This Row],[NewType]],$AF$36:$AF$54,$AG$36:$AG$54)</f>
        <v>#N/A</v>
      </c>
      <c r="AA204" s="17" t="s">
        <v>1537</v>
      </c>
      <c r="AB204" s="11" t="str">
        <f>_xlfn.XLOOKUP(Customer[[#This Row],[Customer ID]],[1]!Address[ID],[1]!Address[Subtype])</f>
        <v>PETRONAS</v>
      </c>
      <c r="AC204" s="18" t="str">
        <f>_xlfn.XLOOKUP(Customer[[#This Row],[Customer ID]],[1]!Address[ID],[1]!Address[Zone])</f>
        <v>CENTRAL</v>
      </c>
    </row>
    <row r="205" spans="1:29" x14ac:dyDescent="0.3">
      <c r="A205" s="10" t="s">
        <v>1538</v>
      </c>
      <c r="B205" s="11" t="str">
        <f>_xlfn.XLOOKUP(Customer[[#This Row],[Customer ID]],[1]!Name[ID],[1]!Name[Description(1)])</f>
        <v>KOPERASI PELABURAN PEKERJA KEJORA BHD</v>
      </c>
      <c r="C205" s="11" t="str">
        <f>_xlfn.XLOOKUP(Customer[[#This Row],[Customer ID]],[1]!Name[ID],[1]!Name[Description(2)])</f>
        <v>PS DESARU (SOUTH 2)</v>
      </c>
      <c r="D205" s="11" t="str">
        <f>_xlfn.XLOOKUP(Customer[[#This Row],[Customer ID]],[1]!Address[ID],[1]!Address[PIC])</f>
        <v/>
      </c>
      <c r="E205" s="11" t="str">
        <f>_xlfn.XLOOKUP(Customer[[#This Row],[Customer ID]],[1]!Address[ID],[1]!Address[Full Address])</f>
        <v>PS DESARU (SOUTH 2)LOT PTB 805, BANDAR PENAWAR,DESARU, JOHOR, 81900, KOTA TINGGI, JOHOR</v>
      </c>
      <c r="F205" s="12" t="s">
        <v>1539</v>
      </c>
      <c r="G205" s="12" t="s">
        <v>1540</v>
      </c>
      <c r="H205" s="12" t="s">
        <v>1541</v>
      </c>
      <c r="I205" s="12" t="b">
        <f>ISNUMBER(VALUE(LEFT(Customer[[#This Row],[Address Line 3 (30 char)]],1)))</f>
        <v>0</v>
      </c>
      <c r="J205" s="12" t="s">
        <v>52</v>
      </c>
      <c r="K205" s="12">
        <v>81900</v>
      </c>
      <c r="L205" s="12" t="s">
        <v>35</v>
      </c>
      <c r="M205" s="13" t="e">
        <v>#N/A</v>
      </c>
      <c r="N205" s="14" t="e">
        <v>#N/A</v>
      </c>
      <c r="O205" s="14" t="e">
        <v>#N/A</v>
      </c>
      <c r="P205" s="14" t="e">
        <v>#N/A</v>
      </c>
      <c r="Q205" s="19" t="s">
        <v>1542</v>
      </c>
      <c r="R205" s="15" t="s">
        <v>1543</v>
      </c>
      <c r="S205" s="15" t="s">
        <v>37</v>
      </c>
      <c r="T205" s="16" t="s">
        <v>38</v>
      </c>
      <c r="U205" s="11" t="str">
        <f>_xlfn.XLOOKUP(Customer[[#This Row],[Customer ID]],[1]!Address[ID],[1]!Address[Phone No.(2)])</f>
        <v/>
      </c>
      <c r="V205" s="11" t="str">
        <f>_xlfn.XLOOKUP(Customer[[#This Row],[Customer ID]],[1]!Address[ID],[1]!Address[Type])</f>
        <v>PETROMART</v>
      </c>
      <c r="W205" s="11" t="str">
        <f>_xlfn.XLOOKUP(Customer[[#This Row],[Customer ID]],[1]!Address[ID],[1]!Address[CT])</f>
        <v>30 DAYS</v>
      </c>
      <c r="X205" s="11" t="s">
        <v>39</v>
      </c>
      <c r="Y205" s="17" t="s">
        <v>40</v>
      </c>
      <c r="Z205" s="17" t="e">
        <f>_xlfn.XLOOKUP(Customer[[#This Row],[NewType]],$AF$36:$AF$54,$AG$36:$AG$54)</f>
        <v>#N/A</v>
      </c>
      <c r="AA205" s="17" t="s">
        <v>1544</v>
      </c>
      <c r="AB205" s="11" t="str">
        <f>_xlfn.XLOOKUP(Customer[[#This Row],[Customer ID]],[1]!Address[ID],[1]!Address[Subtype])</f>
        <v>PETRONAS</v>
      </c>
      <c r="AC205" s="18" t="str">
        <f>_xlfn.XLOOKUP(Customer[[#This Row],[Customer ID]],[1]!Address[ID],[1]!Address[Zone])</f>
        <v>SOUTH</v>
      </c>
    </row>
    <row r="206" spans="1:29" x14ac:dyDescent="0.3">
      <c r="A206" s="27" t="s">
        <v>1545</v>
      </c>
      <c r="B206" s="28" t="str">
        <f>_xlfn.XLOOKUP(Customer[[#This Row],[Customer ID]],[1]!Name[ID],[1]!Name[Description(1)])</f>
        <v>STESEN MINYAK ISMAIL HANAFI SDN BHD</v>
      </c>
      <c r="C206" s="11" t="str">
        <f>_xlfn.XLOOKUP(Customer[[#This Row],[Customer ID]],[1]!Name[ID],[1]!Name[Description(2)])</f>
        <v>PS DATUK KUMBAR (ACTIVE)</v>
      </c>
      <c r="D206" s="11" t="str">
        <f>_xlfn.XLOOKUP(Customer[[#This Row],[Customer ID]],[1]!Address[ID],[1]!Address[PIC])</f>
        <v/>
      </c>
      <c r="E206" s="11" t="str">
        <f>_xlfn.XLOOKUP(Customer[[#This Row],[Customer ID]],[1]!Address[ID],[1]!Address[Full Address])</f>
        <v>PS DATUK KUMBARLOT 3169 JALAN DATUK KUMBAR,05300 ALOR SETAR KEDAH</v>
      </c>
      <c r="F206" s="12" t="s">
        <v>1546</v>
      </c>
      <c r="G206" s="12" t="s">
        <v>1547</v>
      </c>
      <c r="H206" s="24" t="s">
        <v>1548</v>
      </c>
      <c r="I206" s="24" t="b">
        <f>ISNUMBER(VALUE(LEFT(Customer[[#This Row],[Address Line 3 (30 char)]],1)))</f>
        <v>0</v>
      </c>
      <c r="J206" s="12" t="s">
        <v>355</v>
      </c>
      <c r="K206" s="30" t="s">
        <v>1499</v>
      </c>
      <c r="L206" s="12" t="s">
        <v>35</v>
      </c>
      <c r="M206" s="13" t="e">
        <v>#N/A</v>
      </c>
      <c r="N206" s="14" t="e">
        <v>#N/A</v>
      </c>
      <c r="O206" s="14" t="e">
        <v>#N/A</v>
      </c>
      <c r="P206" s="14" t="e">
        <v>#N/A</v>
      </c>
      <c r="Q206" s="14" t="e">
        <v>#N/A</v>
      </c>
      <c r="R206" s="15" t="s">
        <v>1501</v>
      </c>
      <c r="S206" s="15" t="s">
        <v>74</v>
      </c>
      <c r="T206" s="16" t="s">
        <v>38</v>
      </c>
      <c r="U206" s="11" t="str">
        <f>_xlfn.XLOOKUP(Customer[[#This Row],[Customer ID]],[1]!Address[ID],[1]!Address[Phone No.(2)])</f>
        <v/>
      </c>
      <c r="V206" s="11" t="str">
        <f>_xlfn.XLOOKUP(Customer[[#This Row],[Customer ID]],[1]!Address[ID],[1]!Address[Type])</f>
        <v>PETROMART</v>
      </c>
      <c r="W206" s="11" t="str">
        <f>_xlfn.XLOOKUP(Customer[[#This Row],[Customer ID]],[1]!Address[ID],[1]!Address[CT])</f>
        <v>30 DAYS</v>
      </c>
      <c r="X206" s="11" t="s">
        <v>39</v>
      </c>
      <c r="Y206" s="17" t="s">
        <v>40</v>
      </c>
      <c r="Z206" s="17" t="e">
        <f>_xlfn.XLOOKUP(Customer[[#This Row],[NewType]],$AF$36:$AF$54,$AG$36:$AG$54)</f>
        <v>#N/A</v>
      </c>
      <c r="AA206" s="17" t="s">
        <v>1549</v>
      </c>
      <c r="AB206" s="11" t="str">
        <f>_xlfn.XLOOKUP(Customer[[#This Row],[Customer ID]],[1]!Address[ID],[1]!Address[Subtype])</f>
        <v>PETRONAS</v>
      </c>
      <c r="AC206" s="18" t="str">
        <f>_xlfn.XLOOKUP(Customer[[#This Row],[Customer ID]],[1]!Address[ID],[1]!Address[Zone])</f>
        <v>NORTH</v>
      </c>
    </row>
    <row r="207" spans="1:29" x14ac:dyDescent="0.3">
      <c r="A207" s="27" t="s">
        <v>1550</v>
      </c>
      <c r="B207" s="28" t="str">
        <f>_xlfn.XLOOKUP(Customer[[#This Row],[Customer ID]],[1]!Name[ID],[1]!Name[Description(1)])</f>
        <v>KETENGAH NIAGA &amp; TOURS SDN BHD</v>
      </c>
      <c r="C207" s="11" t="str">
        <f>_xlfn.XLOOKUP(Customer[[#This Row],[Customer ID]],[1]!Name[ID],[1]!Name[Description(2)])</f>
        <v>PS DURIAN MAS, DUNGUN</v>
      </c>
      <c r="D207" s="11" t="str">
        <f>_xlfn.XLOOKUP(Customer[[#This Row],[Customer ID]],[1]!Address[ID],[1]!Address[PIC])</f>
        <v/>
      </c>
      <c r="E207" s="11" t="str">
        <f>_xlfn.XLOOKUP(Customer[[#This Row],[Customer ID]],[1]!Address[ID],[1]!Address[Full Address])</f>
        <v>PS DURIAN MAS, DUNGUNLOT PT 114, BANDAR BARU DURIAN MAS,23000, DUNGUN, TERENGGANU</v>
      </c>
      <c r="F207" s="12" t="s">
        <v>1551</v>
      </c>
      <c r="G207" s="12" t="s">
        <v>1552</v>
      </c>
      <c r="H207" s="12" t="s">
        <v>1553</v>
      </c>
      <c r="I207" s="12" t="b">
        <f>ISNUMBER(VALUE(LEFT(Customer[[#This Row],[Address Line 3 (30 char)]],1)))</f>
        <v>0</v>
      </c>
      <c r="J207" s="12" t="s">
        <v>1056</v>
      </c>
      <c r="K207" s="12">
        <v>23000</v>
      </c>
      <c r="L207" s="12" t="s">
        <v>35</v>
      </c>
      <c r="M207" s="13">
        <v>198101007239</v>
      </c>
      <c r="N207" s="14" t="s">
        <v>1554</v>
      </c>
      <c r="O207" s="14" t="s">
        <v>54</v>
      </c>
      <c r="P207" s="14" t="e">
        <v>#N/A</v>
      </c>
      <c r="Q207" s="19" t="s">
        <v>1555</v>
      </c>
      <c r="R207" s="15" t="s">
        <v>1556</v>
      </c>
      <c r="S207" s="15" t="s">
        <v>37</v>
      </c>
      <c r="T207" s="16" t="s">
        <v>38</v>
      </c>
      <c r="U207" s="11" t="str">
        <f>_xlfn.XLOOKUP(Customer[[#This Row],[Customer ID]],[1]!Address[ID],[1]!Address[Phone No.(2)])</f>
        <v/>
      </c>
      <c r="V207" s="11" t="str">
        <f>_xlfn.XLOOKUP(Customer[[#This Row],[Customer ID]],[1]!Address[ID],[1]!Address[Type])</f>
        <v>PETROMART</v>
      </c>
      <c r="W207" s="11" t="str">
        <f>_xlfn.XLOOKUP(Customer[[#This Row],[Customer ID]],[1]!Address[ID],[1]!Address[CT])</f>
        <v>30 DAYS</v>
      </c>
      <c r="X207" s="11" t="s">
        <v>39</v>
      </c>
      <c r="Y207" s="17" t="s">
        <v>40</v>
      </c>
      <c r="Z207" s="17" t="e">
        <f>_xlfn.XLOOKUP(Customer[[#This Row],[NewType]],$AF$36:$AF$54,$AG$36:$AG$54)</f>
        <v>#N/A</v>
      </c>
      <c r="AA207" s="17" t="s">
        <v>1557</v>
      </c>
      <c r="AB207" s="11" t="str">
        <f>_xlfn.XLOOKUP(Customer[[#This Row],[Customer ID]],[1]!Address[ID],[1]!Address[Subtype])</f>
        <v>PETRONAS</v>
      </c>
      <c r="AC207" s="18" t="str">
        <f>_xlfn.XLOOKUP(Customer[[#This Row],[Customer ID]],[1]!Address[ID],[1]!Address[Zone])</f>
        <v>EAST COAST</v>
      </c>
    </row>
    <row r="208" spans="1:29" x14ac:dyDescent="0.3">
      <c r="A208" s="10" t="s">
        <v>1558</v>
      </c>
      <c r="B208" s="11" t="str">
        <f>_xlfn.XLOOKUP(Customer[[#This Row],[Customer ID]],[1]!Name[ID],[1]!Name[Description(1)])</f>
        <v>PERTUBUHAN PELADANG KAW. BERA</v>
      </c>
      <c r="C208" s="11" t="str">
        <f>_xlfn.XLOOKUP(Customer[[#This Row],[Customer ID]],[1]!Name[ID],[1]!Name[Description(2)])</f>
        <v>PS DURIAN TAWAR (EAST 2)</v>
      </c>
      <c r="D208" s="11" t="str">
        <f>_xlfn.XLOOKUP(Customer[[#This Row],[Customer ID]],[1]!Address[ID],[1]!Address[PIC])</f>
        <v/>
      </c>
      <c r="E208" s="11" t="str">
        <f>_xlfn.XLOOKUP(Customer[[#This Row],[Customer ID]],[1]!Address[ID],[1]!Address[Full Address])</f>
        <v>PS DURIAN TAWAR (EAST 2)LOT 2114, MK TRIANG,28200, BERA, PAHANG</v>
      </c>
      <c r="F208" s="12" t="s">
        <v>1559</v>
      </c>
      <c r="G208" s="12" t="s">
        <v>1560</v>
      </c>
      <c r="H208" s="24" t="s">
        <v>1561</v>
      </c>
      <c r="I208" s="24" t="b">
        <f>ISNUMBER(VALUE(LEFT(Customer[[#This Row],[Address Line 3 (30 char)]],1)))</f>
        <v>0</v>
      </c>
      <c r="J208" s="12" t="s">
        <v>339</v>
      </c>
      <c r="K208" s="12">
        <v>28200</v>
      </c>
      <c r="L208" s="12" t="s">
        <v>35</v>
      </c>
      <c r="M208" s="13" t="e">
        <v>#N/A</v>
      </c>
      <c r="N208" s="14" t="e">
        <v>#N/A</v>
      </c>
      <c r="O208" s="14" t="e">
        <v>#N/A</v>
      </c>
      <c r="P208" s="14" t="e">
        <v>#N/A</v>
      </c>
      <c r="Q208" s="19" t="s">
        <v>1562</v>
      </c>
      <c r="R208" s="15" t="s">
        <v>1563</v>
      </c>
      <c r="S208" s="15" t="s">
        <v>37</v>
      </c>
      <c r="T208" s="16" t="s">
        <v>38</v>
      </c>
      <c r="U208" s="11" t="str">
        <f>_xlfn.XLOOKUP(Customer[[#This Row],[Customer ID]],[1]!Address[ID],[1]!Address[Phone No.(2)])</f>
        <v/>
      </c>
      <c r="V208" s="11" t="str">
        <f>_xlfn.XLOOKUP(Customer[[#This Row],[Customer ID]],[1]!Address[ID],[1]!Address[Type])</f>
        <v>PETROMART</v>
      </c>
      <c r="W208" s="11" t="str">
        <f>_xlfn.XLOOKUP(Customer[[#This Row],[Customer ID]],[1]!Address[ID],[1]!Address[CT])</f>
        <v>30 DAYS</v>
      </c>
      <c r="X208" s="11" t="s">
        <v>39</v>
      </c>
      <c r="Y208" s="17" t="s">
        <v>40</v>
      </c>
      <c r="Z208" s="17" t="e">
        <f>_xlfn.XLOOKUP(Customer[[#This Row],[NewType]],$AF$36:$AF$54,$AG$36:$AG$54)</f>
        <v>#N/A</v>
      </c>
      <c r="AA208" s="17" t="s">
        <v>1564</v>
      </c>
      <c r="AB208" s="11" t="str">
        <f>_xlfn.XLOOKUP(Customer[[#This Row],[Customer ID]],[1]!Address[ID],[1]!Address[Subtype])</f>
        <v>PETRONAS</v>
      </c>
      <c r="AC208" s="18" t="str">
        <f>_xlfn.XLOOKUP(Customer[[#This Row],[Customer ID]],[1]!Address[ID],[1]!Address[Zone])</f>
        <v>EAST COAST</v>
      </c>
    </row>
    <row r="209" spans="1:29" x14ac:dyDescent="0.3">
      <c r="A209" s="10" t="s">
        <v>1565</v>
      </c>
      <c r="B209" s="11" t="str">
        <f>_xlfn.XLOOKUP(Customer[[#This Row],[Customer ID]],[1]!Name[ID],[1]!Name[Description(1)])</f>
        <v>STESEN MINYAK DZULLIA KAHAR</v>
      </c>
      <c r="C209" s="11" t="str">
        <f>_xlfn.XLOOKUP(Customer[[#This Row],[Customer ID]],[1]!Name[ID],[1]!Name[Description(2)])</f>
        <v>PS DURIAN TUNGGAL</v>
      </c>
      <c r="D209" s="11" t="str">
        <f>_xlfn.XLOOKUP(Customer[[#This Row],[Customer ID]],[1]!Address[ID],[1]!Address[PIC])</f>
        <v/>
      </c>
      <c r="E209" s="11" t="str">
        <f>_xlfn.XLOOKUP(Customer[[#This Row],[Customer ID]],[1]!Address[ID],[1]!Address[Full Address])</f>
        <v>PS DURIAN TUNGGALPT 4 KM 16, PEKAN DURIAN TUNGGAL,MELAKA, 76100, ALOR GAJAH, MELAKA</v>
      </c>
      <c r="F209" s="12" t="s">
        <v>1566</v>
      </c>
      <c r="G209" s="12" t="s">
        <v>1567</v>
      </c>
      <c r="H209" s="12" t="s">
        <v>1568</v>
      </c>
      <c r="I209" s="12" t="b">
        <f>ISNUMBER(VALUE(LEFT(Customer[[#This Row],[Address Line 3 (30 char)]],1)))</f>
        <v>0</v>
      </c>
      <c r="J209" s="12" t="s">
        <v>61</v>
      </c>
      <c r="K209" s="12">
        <v>76100</v>
      </c>
      <c r="L209" s="12" t="s">
        <v>35</v>
      </c>
      <c r="M209" s="13">
        <v>201203321092</v>
      </c>
      <c r="N209" s="14" t="s">
        <v>1569</v>
      </c>
      <c r="O209" s="14" t="e">
        <v>#N/A</v>
      </c>
      <c r="P209" s="14" t="e">
        <v>#N/A</v>
      </c>
      <c r="Q209" s="19" t="s">
        <v>1555</v>
      </c>
      <c r="R209" s="15" t="s">
        <v>1570</v>
      </c>
      <c r="S209" s="15" t="s">
        <v>37</v>
      </c>
      <c r="T209" s="16" t="s">
        <v>38</v>
      </c>
      <c r="U209" s="11" t="str">
        <f>_xlfn.XLOOKUP(Customer[[#This Row],[Customer ID]],[1]!Address[ID],[1]!Address[Phone No.(2)])</f>
        <v/>
      </c>
      <c r="V209" s="11" t="str">
        <f>_xlfn.XLOOKUP(Customer[[#This Row],[Customer ID]],[1]!Address[ID],[1]!Address[Type])</f>
        <v>PETROMART</v>
      </c>
      <c r="W209" s="11" t="str">
        <f>_xlfn.XLOOKUP(Customer[[#This Row],[Customer ID]],[1]!Address[ID],[1]!Address[CT])</f>
        <v>30 DAYS</v>
      </c>
      <c r="X209" s="11" t="s">
        <v>39</v>
      </c>
      <c r="Y209" s="17" t="s">
        <v>40</v>
      </c>
      <c r="Z209" s="17" t="e">
        <f>_xlfn.XLOOKUP(Customer[[#This Row],[NewType]],$AF$36:$AF$54,$AG$36:$AG$54)</f>
        <v>#N/A</v>
      </c>
      <c r="AA209" s="17" t="s">
        <v>1571</v>
      </c>
      <c r="AB209" s="11" t="str">
        <f>_xlfn.XLOOKUP(Customer[[#This Row],[Customer ID]],[1]!Address[ID],[1]!Address[Subtype])</f>
        <v>PETRONAS</v>
      </c>
      <c r="AC209" s="18" t="str">
        <f>_xlfn.XLOOKUP(Customer[[#This Row],[Customer ID]],[1]!Address[ID],[1]!Address[Zone])</f>
        <v>SOUTH</v>
      </c>
    </row>
    <row r="210" spans="1:29" x14ac:dyDescent="0.3">
      <c r="A210" s="10" t="s">
        <v>1572</v>
      </c>
      <c r="B210" s="11" t="str">
        <f>_xlfn.XLOOKUP(Customer[[#This Row],[Customer ID]],[1]!Name[ID],[1]!Name[Description(1)])</f>
        <v>WAJAH SUTERA PETROSERVIS</v>
      </c>
      <c r="C210" s="11" t="str">
        <f>_xlfn.XLOOKUP(Customer[[#This Row],[Customer ID]],[1]!Name[ID],[1]!Name[Description(2)])</f>
        <v>PS EAST WEST LINK (CENTRAL 3)</v>
      </c>
      <c r="D210" s="11" t="str">
        <f>_xlfn.XLOOKUP(Customer[[#This Row],[Customer ID]],[1]!Address[ID],[1]!Address[PIC])</f>
        <v/>
      </c>
      <c r="E210" s="11" t="str">
        <f>_xlfn.XLOOKUP(Customer[[#This Row],[Customer ID]],[1]!Address[ID],[1]!Address[Full Address])</f>
        <v>PS EAST WEST LINK (CENTRAL 3)LOT PT 8060, L/RAYA HUBUNGAN TIMURBARAT (CONNAUGHT H/WAY), CHERAS,57100, ULU LANGAT, W PERSEKUTUAN</v>
      </c>
      <c r="F210" s="12" t="s">
        <v>1573</v>
      </c>
      <c r="G210" s="12" t="s">
        <v>1574</v>
      </c>
      <c r="H210" s="12" t="s">
        <v>1575</v>
      </c>
      <c r="I210" s="12" t="b">
        <f>ISNUMBER(VALUE(LEFT(Customer[[#This Row],[Address Line 3 (30 char)]],1)))</f>
        <v>0</v>
      </c>
      <c r="J210" s="12" t="s">
        <v>34</v>
      </c>
      <c r="K210" s="12">
        <v>57100</v>
      </c>
      <c r="L210" s="12" t="s">
        <v>35</v>
      </c>
      <c r="M210" s="13" t="e">
        <v>#N/A</v>
      </c>
      <c r="N210" s="14" t="e">
        <v>#N/A</v>
      </c>
      <c r="O210" s="14" t="e">
        <v>#N/A</v>
      </c>
      <c r="P210" s="14" t="e">
        <v>#N/A</v>
      </c>
      <c r="Q210" s="19" t="s">
        <v>1576</v>
      </c>
      <c r="R210" s="15" t="s">
        <v>1577</v>
      </c>
      <c r="S210" s="15" t="s">
        <v>65</v>
      </c>
      <c r="T210" s="16" t="s">
        <v>38</v>
      </c>
      <c r="U210" s="11" t="str">
        <f>_xlfn.XLOOKUP(Customer[[#This Row],[Customer ID]],[1]!Address[ID],[1]!Address[Phone No.(2)])</f>
        <v/>
      </c>
      <c r="V210" s="11" t="str">
        <f>_xlfn.XLOOKUP(Customer[[#This Row],[Customer ID]],[1]!Address[ID],[1]!Address[Type])</f>
        <v>PETROMART</v>
      </c>
      <c r="W210" s="11" t="str">
        <f>_xlfn.XLOOKUP(Customer[[#This Row],[Customer ID]],[1]!Address[ID],[1]!Address[CT])</f>
        <v>30 DAYS</v>
      </c>
      <c r="X210" s="11" t="s">
        <v>39</v>
      </c>
      <c r="Y210" s="17" t="s">
        <v>40</v>
      </c>
      <c r="Z210" s="17" t="e">
        <f>_xlfn.XLOOKUP(Customer[[#This Row],[NewType]],$AF$36:$AF$54,$AG$36:$AG$54)</f>
        <v>#N/A</v>
      </c>
      <c r="AA210" s="17" t="s">
        <v>1578</v>
      </c>
      <c r="AB210" s="11" t="str">
        <f>_xlfn.XLOOKUP(Customer[[#This Row],[Customer ID]],[1]!Address[ID],[1]!Address[Subtype])</f>
        <v>PETRONAS</v>
      </c>
      <c r="AC210" s="18" t="str">
        <f>_xlfn.XLOOKUP(Customer[[#This Row],[Customer ID]],[1]!Address[ID],[1]!Address[Zone])</f>
        <v>CENTRAL</v>
      </c>
    </row>
    <row r="211" spans="1:29" x14ac:dyDescent="0.3">
      <c r="A211" s="10" t="s">
        <v>1579</v>
      </c>
      <c r="B211" s="11" t="str">
        <f>_xlfn.XLOOKUP(Customer[[#This Row],[Customer ID]],[1]!Name[ID],[1]!Name[Description(1)])</f>
        <v>EM AVENUE SDN. BHD</v>
      </c>
      <c r="C211" s="11" t="str">
        <f>_xlfn.XLOOKUP(Customer[[#This Row],[Customer ID]],[1]!Name[ID],[1]!Name[Description(2)])</f>
        <v>PS ECO MAJESTIC</v>
      </c>
      <c r="D211" s="11" t="str">
        <f>_xlfn.XLOOKUP(Customer[[#This Row],[Customer ID]],[1]!Address[ID],[1]!Address[PIC])</f>
        <v/>
      </c>
      <c r="E211" s="11" t="str">
        <f>_xlfn.XLOOKUP(Customer[[#This Row],[Customer ID]],[1]!Address[ID],[1]!Address[Full Address])</f>
        <v>PS ECO MAJESTICLOT 43653, JALAN ECO MAJESTIC 9/1C,ECO MAJESTIC, 43500 SEMENYIH,SELANGOR DARUL EHSAN.</v>
      </c>
      <c r="F211" s="12" t="s">
        <v>1580</v>
      </c>
      <c r="G211" s="12" t="s">
        <v>1581</v>
      </c>
      <c r="H211" s="12" t="s">
        <v>1582</v>
      </c>
      <c r="I211" s="12" t="b">
        <f>ISNUMBER(VALUE(LEFT(Customer[[#This Row],[Address Line 3 (30 char)]],1)))</f>
        <v>0</v>
      </c>
      <c r="J211" s="12" t="s">
        <v>172</v>
      </c>
      <c r="K211" s="12">
        <v>43500</v>
      </c>
      <c r="L211" s="12" t="s">
        <v>35</v>
      </c>
      <c r="M211" s="13" t="e">
        <v>#N/A</v>
      </c>
      <c r="N211" s="14" t="e">
        <v>#N/A</v>
      </c>
      <c r="O211" s="14" t="e">
        <v>#N/A</v>
      </c>
      <c r="P211" s="14" t="e">
        <v>#N/A</v>
      </c>
      <c r="Q211" s="19" t="s">
        <v>1583</v>
      </c>
      <c r="R211" s="15" t="s">
        <v>1584</v>
      </c>
      <c r="S211" s="15" t="s">
        <v>37</v>
      </c>
      <c r="T211" s="16" t="s">
        <v>38</v>
      </c>
      <c r="U211" s="11" t="str">
        <f>_xlfn.XLOOKUP(Customer[[#This Row],[Customer ID]],[1]!Address[ID],[1]!Address[Phone No.(2)])</f>
        <v/>
      </c>
      <c r="V211" s="11" t="str">
        <f>_xlfn.XLOOKUP(Customer[[#This Row],[Customer ID]],[1]!Address[ID],[1]!Address[Type])</f>
        <v>PETROMART</v>
      </c>
      <c r="W211" s="11" t="str">
        <f>_xlfn.XLOOKUP(Customer[[#This Row],[Customer ID]],[1]!Address[ID],[1]!Address[CT])</f>
        <v>30 DAYS</v>
      </c>
      <c r="X211" s="11" t="s">
        <v>39</v>
      </c>
      <c r="Y211" s="17" t="s">
        <v>40</v>
      </c>
      <c r="Z211" s="17" t="e">
        <f>_xlfn.XLOOKUP(Customer[[#This Row],[NewType]],$AF$36:$AF$54,$AG$36:$AG$54)</f>
        <v>#N/A</v>
      </c>
      <c r="AA211" s="17" t="s">
        <v>1585</v>
      </c>
      <c r="AB211" s="11" t="str">
        <f>_xlfn.XLOOKUP(Customer[[#This Row],[Customer ID]],[1]!Address[ID],[1]!Address[Subtype])</f>
        <v>PETRONAS</v>
      </c>
      <c r="AC211" s="18" t="str">
        <f>_xlfn.XLOOKUP(Customer[[#This Row],[Customer ID]],[1]!Address[ID],[1]!Address[Zone])</f>
        <v>CENTRAL</v>
      </c>
    </row>
    <row r="212" spans="1:29" x14ac:dyDescent="0.3">
      <c r="A212" s="10" t="s">
        <v>1586</v>
      </c>
      <c r="B212" s="11" t="str">
        <f>_xlfn.XLOOKUP(Customer[[#This Row],[Customer ID]],[1]!Name[ID],[1]!Name[Description(1)])</f>
        <v>WARISAN ELITE SDN. BHD.</v>
      </c>
      <c r="C212" s="11" t="str">
        <f>_xlfn.XLOOKUP(Customer[[#This Row],[Customer ID]],[1]!Name[ID],[1]!Name[Description(2)])</f>
        <v>PS ELITE HIGHWAY (CENTRAL 3)</v>
      </c>
      <c r="D212" s="11" t="str">
        <f>_xlfn.XLOOKUP(Customer[[#This Row],[Customer ID]],[1]!Address[ID],[1]!Address[PIC])</f>
        <v/>
      </c>
      <c r="E212" s="11" t="str">
        <f>_xlfn.XLOOKUP(Customer[[#This Row],[Customer ID]],[1]!Address[ID],[1]!Address[Full Address])</f>
        <v>PS ELITE HIGHWAY (CENTRAL 3)CH 22600,KWSN REHAT &amp; RAWAT DENGKIL,L/RAYA UTARA-SELATAN, HUBUNGAN TENGAHDENGKIL, SELANGOR, 43800, SEPANG, SELANG</v>
      </c>
      <c r="F212" s="12" t="s">
        <v>1587</v>
      </c>
      <c r="G212" s="12" t="s">
        <v>1588</v>
      </c>
      <c r="H212" s="12" t="s">
        <v>1589</v>
      </c>
      <c r="I212" s="12" t="b">
        <f>ISNUMBER(VALUE(LEFT(Customer[[#This Row],[Address Line 3 (30 char)]],1)))</f>
        <v>0</v>
      </c>
      <c r="J212" s="12" t="s">
        <v>172</v>
      </c>
      <c r="K212" s="12">
        <v>43800</v>
      </c>
      <c r="L212" s="12" t="s">
        <v>35</v>
      </c>
      <c r="M212" s="13" t="e">
        <v>#N/A</v>
      </c>
      <c r="N212" s="14" t="e">
        <v>#N/A</v>
      </c>
      <c r="O212" s="14" t="e">
        <v>#N/A</v>
      </c>
      <c r="P212" s="14" t="e">
        <v>#N/A</v>
      </c>
      <c r="Q212" s="19" t="s">
        <v>1590</v>
      </c>
      <c r="R212" s="15" t="s">
        <v>1591</v>
      </c>
      <c r="S212" s="15" t="s">
        <v>37</v>
      </c>
      <c r="T212" s="16" t="s">
        <v>38</v>
      </c>
      <c r="U212" s="11" t="str">
        <f>_xlfn.XLOOKUP(Customer[[#This Row],[Customer ID]],[1]!Address[ID],[1]!Address[Phone No.(2)])</f>
        <v/>
      </c>
      <c r="V212" s="11" t="str">
        <f>_xlfn.XLOOKUP(Customer[[#This Row],[Customer ID]],[1]!Address[ID],[1]!Address[Type])</f>
        <v>PETROMART</v>
      </c>
      <c r="W212" s="11" t="str">
        <f>_xlfn.XLOOKUP(Customer[[#This Row],[Customer ID]],[1]!Address[ID],[1]!Address[CT])</f>
        <v>30 DAYS</v>
      </c>
      <c r="X212" s="11" t="s">
        <v>39</v>
      </c>
      <c r="Y212" s="17" t="s">
        <v>40</v>
      </c>
      <c r="Z212" s="17" t="e">
        <f>_xlfn.XLOOKUP(Customer[[#This Row],[NewType]],$AF$36:$AF$54,$AG$36:$AG$54)</f>
        <v>#N/A</v>
      </c>
      <c r="AA212" s="17" t="s">
        <v>1592</v>
      </c>
      <c r="AB212" s="11" t="str">
        <f>_xlfn.XLOOKUP(Customer[[#This Row],[Customer ID]],[1]!Address[ID],[1]!Address[Subtype])</f>
        <v>PETRONAS</v>
      </c>
      <c r="AC212" s="18" t="str">
        <f>_xlfn.XLOOKUP(Customer[[#This Row],[Customer ID]],[1]!Address[ID],[1]!Address[Zone])</f>
        <v>CENTRAL</v>
      </c>
    </row>
    <row r="213" spans="1:29" x14ac:dyDescent="0.3">
      <c r="A213" s="10" t="s">
        <v>1593</v>
      </c>
      <c r="B213" s="11" t="str">
        <f>_xlfn.XLOOKUP(Customer[[#This Row],[Customer ID]],[1]!Name[ID],[1]!Name[Description(1)])</f>
        <v>KEJAYAAN TEGUH ENTERPRISE</v>
      </c>
      <c r="C213" s="11" t="str">
        <f>_xlfn.XLOOKUP(Customer[[#This Row],[Customer ID]],[1]!Name[ID],[1]!Name[Description(2)])</f>
        <v>PS EQUINE 1</v>
      </c>
      <c r="D213" s="11" t="str">
        <f>_xlfn.XLOOKUP(Customer[[#This Row],[Customer ID]],[1]!Address[ID],[1]!Address[PIC])</f>
        <v/>
      </c>
      <c r="E213" s="11" t="str">
        <f>_xlfn.XLOOKUP(Customer[[#This Row],[Customer ID]],[1]!Address[ID],[1]!Address[Full Address])</f>
        <v>PS EQUINE 1LOT 53391 PN 7404 TAMAN EQUINE,MUKIM PETALING,  SELANGOR,43300, PETALING, SELANGOR</v>
      </c>
      <c r="F213" s="12" t="s">
        <v>1594</v>
      </c>
      <c r="G213" s="12" t="s">
        <v>1595</v>
      </c>
      <c r="H213" s="12" t="s">
        <v>1596</v>
      </c>
      <c r="I213" s="12" t="b">
        <f>ISNUMBER(VALUE(LEFT(Customer[[#This Row],[Address Line 3 (30 char)]],1)))</f>
        <v>0</v>
      </c>
      <c r="J213" s="12" t="s">
        <v>172</v>
      </c>
      <c r="K213" s="12">
        <v>43300</v>
      </c>
      <c r="L213" s="12" t="s">
        <v>35</v>
      </c>
      <c r="M213" s="13" t="e">
        <v>#N/A</v>
      </c>
      <c r="N213" s="14" t="e">
        <v>#N/A</v>
      </c>
      <c r="O213" s="14" t="e">
        <v>#N/A</v>
      </c>
      <c r="P213" s="14" t="e">
        <v>#N/A</v>
      </c>
      <c r="Q213" s="19" t="s">
        <v>1597</v>
      </c>
      <c r="R213" s="15" t="s">
        <v>1598</v>
      </c>
      <c r="S213" s="15" t="s">
        <v>37</v>
      </c>
      <c r="T213" s="16" t="s">
        <v>38</v>
      </c>
      <c r="U213" s="11" t="str">
        <f>_xlfn.XLOOKUP(Customer[[#This Row],[Customer ID]],[1]!Address[ID],[1]!Address[Phone No.(2)])</f>
        <v/>
      </c>
      <c r="V213" s="11" t="str">
        <f>_xlfn.XLOOKUP(Customer[[#This Row],[Customer ID]],[1]!Address[ID],[1]!Address[Type])</f>
        <v>PETROMART</v>
      </c>
      <c r="W213" s="11" t="str">
        <f>_xlfn.XLOOKUP(Customer[[#This Row],[Customer ID]],[1]!Address[ID],[1]!Address[CT])</f>
        <v>30 DAYS</v>
      </c>
      <c r="X213" s="11" t="s">
        <v>39</v>
      </c>
      <c r="Y213" s="17" t="s">
        <v>40</v>
      </c>
      <c r="Z213" s="17" t="e">
        <f>_xlfn.XLOOKUP(Customer[[#This Row],[NewType]],$AF$36:$AF$54,$AG$36:$AG$54)</f>
        <v>#N/A</v>
      </c>
      <c r="AA213" s="17" t="s">
        <v>1599</v>
      </c>
      <c r="AB213" s="11" t="str">
        <f>_xlfn.XLOOKUP(Customer[[#This Row],[Customer ID]],[1]!Address[ID],[1]!Address[Subtype])</f>
        <v>PETRONAS</v>
      </c>
      <c r="AC213" s="18" t="str">
        <f>_xlfn.XLOOKUP(Customer[[#This Row],[Customer ID]],[1]!Address[ID],[1]!Address[Zone])</f>
        <v>CENTRAL</v>
      </c>
    </row>
    <row r="214" spans="1:29" x14ac:dyDescent="0.3">
      <c r="A214" s="10" t="s">
        <v>1600</v>
      </c>
      <c r="B214" s="11" t="str">
        <f>_xlfn.XLOOKUP(Customer[[#This Row],[Customer ID]],[1]!Name[ID],[1]!Name[Description(1)])</f>
        <v>LAGENDA FAS SDN BHD</v>
      </c>
      <c r="C214" s="11" t="str">
        <f>_xlfn.XLOOKUP(Customer[[#This Row],[Customer ID]],[1]!Name[ID],[1]!Name[Description(2)])</f>
        <v>PS FEDERAL HIGHWAY (FAS) (CENTRAL 1)</v>
      </c>
      <c r="D214" s="11" t="str">
        <f>_xlfn.XLOOKUP(Customer[[#This Row],[Customer ID]],[1]!Address[ID],[1]!Address[PIC])</f>
        <v/>
      </c>
      <c r="E214" s="11" t="str">
        <f>_xlfn.XLOOKUP(Customer[[#This Row],[Customer ID]],[1]!Address[ID],[1]!Address[Full Address])</f>
        <v>PS FEDERAL HIGHWAY (FAS) (CENTRAL 1)KM 8.6 - KM 8.7, SEKSYEN 1,LEBUH RAYA PERSEKUTUAN, SHAH ALAM,SELANGOR, 40450, PETALING, SELANGOR</v>
      </c>
      <c r="F214" s="12" t="s">
        <v>1601</v>
      </c>
      <c r="G214" s="12" t="s">
        <v>1602</v>
      </c>
      <c r="H214" s="12" t="s">
        <v>1603</v>
      </c>
      <c r="I214" s="12" t="b">
        <f>ISNUMBER(VALUE(LEFT(Customer[[#This Row],[Address Line 3 (30 char)]],1)))</f>
        <v>0</v>
      </c>
      <c r="J214" s="12" t="s">
        <v>172</v>
      </c>
      <c r="K214" s="12">
        <v>40450</v>
      </c>
      <c r="L214" s="12" t="s">
        <v>35</v>
      </c>
      <c r="M214" s="13" t="e">
        <v>#N/A</v>
      </c>
      <c r="N214" s="14" t="e">
        <v>#N/A</v>
      </c>
      <c r="O214" s="14" t="e">
        <v>#N/A</v>
      </c>
      <c r="P214" s="14" t="e">
        <v>#N/A</v>
      </c>
      <c r="Q214" s="19" t="s">
        <v>1604</v>
      </c>
      <c r="R214" s="15" t="s">
        <v>1605</v>
      </c>
      <c r="S214" s="15" t="s">
        <v>37</v>
      </c>
      <c r="T214" s="16" t="s">
        <v>38</v>
      </c>
      <c r="U214" s="11" t="str">
        <f>_xlfn.XLOOKUP(Customer[[#This Row],[Customer ID]],[1]!Address[ID],[1]!Address[Phone No.(2)])</f>
        <v/>
      </c>
      <c r="V214" s="11" t="str">
        <f>_xlfn.XLOOKUP(Customer[[#This Row],[Customer ID]],[1]!Address[ID],[1]!Address[Type])</f>
        <v>PETROMART</v>
      </c>
      <c r="W214" s="11" t="str">
        <f>_xlfn.XLOOKUP(Customer[[#This Row],[Customer ID]],[1]!Address[ID],[1]!Address[CT])</f>
        <v>30 DAYS</v>
      </c>
      <c r="X214" s="11" t="s">
        <v>39</v>
      </c>
      <c r="Y214" s="17" t="s">
        <v>40</v>
      </c>
      <c r="Z214" s="17" t="e">
        <f>_xlfn.XLOOKUP(Customer[[#This Row],[NewType]],$AF$36:$AF$54,$AG$36:$AG$54)</f>
        <v>#N/A</v>
      </c>
      <c r="AA214" s="17" t="s">
        <v>1606</v>
      </c>
      <c r="AB214" s="11" t="str">
        <f>_xlfn.XLOOKUP(Customer[[#This Row],[Customer ID]],[1]!Address[ID],[1]!Address[Subtype])</f>
        <v>PETRONAS</v>
      </c>
      <c r="AC214" s="18" t="str">
        <f>_xlfn.XLOOKUP(Customer[[#This Row],[Customer ID]],[1]!Address[ID],[1]!Address[Zone])</f>
        <v>CENTRAL</v>
      </c>
    </row>
    <row r="215" spans="1:29" x14ac:dyDescent="0.3">
      <c r="A215" s="10" t="s">
        <v>1607</v>
      </c>
      <c r="B215" s="11" t="str">
        <f>_xlfn.XLOOKUP(Customer[[#This Row],[Customer ID]],[1]!Name[ID],[1]!Name[Description(1)])</f>
        <v>DZIYA ZADA SERVICES</v>
      </c>
      <c r="C215" s="11" t="str">
        <f>_xlfn.XLOOKUP(Customer[[#This Row],[Customer ID]],[1]!Name[ID],[1]!Name[Description(2)])</f>
        <v>PS FEDERAL HIGHWAY (KM 12.3) CENTRAL 1)</v>
      </c>
      <c r="D215" s="11" t="str">
        <f>_xlfn.XLOOKUP(Customer[[#This Row],[Customer ID]],[1]!Address[ID],[1]!Address[PIC])</f>
        <v/>
      </c>
      <c r="E215" s="11" t="str">
        <f>_xlfn.XLOOKUP(Customer[[#This Row],[Customer ID]],[1]!Address[ID],[1]!Address[Full Address])</f>
        <v>PS FEDERAL HIGHWAY (KM 12.3) CENTRAL 1)KM 12.3 L/RAYA PERSEKUTUAN ARAH KLANG,SEKSYEN 15, SHAH ALAM, SELANGOR,40000, PETALING, SELANGOR</v>
      </c>
      <c r="F215" s="12" t="s">
        <v>1608</v>
      </c>
      <c r="G215" s="12" t="s">
        <v>1609</v>
      </c>
      <c r="H215" s="12" t="s">
        <v>1610</v>
      </c>
      <c r="I215" s="12" t="b">
        <f>ISNUMBER(VALUE(LEFT(Customer[[#This Row],[Address Line 3 (30 char)]],1)))</f>
        <v>0</v>
      </c>
      <c r="J215" s="12" t="s">
        <v>172</v>
      </c>
      <c r="K215" s="12">
        <v>40000</v>
      </c>
      <c r="L215" s="12" t="s">
        <v>35</v>
      </c>
      <c r="M215" s="13" t="e">
        <v>#N/A</v>
      </c>
      <c r="N215" s="14" t="e">
        <v>#N/A</v>
      </c>
      <c r="O215" s="14" t="e">
        <v>#N/A</v>
      </c>
      <c r="P215" s="14" t="e">
        <v>#N/A</v>
      </c>
      <c r="Q215" s="19" t="s">
        <v>1611</v>
      </c>
      <c r="R215" s="15" t="s">
        <v>1612</v>
      </c>
      <c r="S215" s="15" t="s">
        <v>37</v>
      </c>
      <c r="T215" s="16" t="s">
        <v>38</v>
      </c>
      <c r="U215" s="11" t="str">
        <f>_xlfn.XLOOKUP(Customer[[#This Row],[Customer ID]],[1]!Address[ID],[1]!Address[Phone No.(2)])</f>
        <v/>
      </c>
      <c r="V215" s="11" t="str">
        <f>_xlfn.XLOOKUP(Customer[[#This Row],[Customer ID]],[1]!Address[ID],[1]!Address[Type])</f>
        <v>PETROMART</v>
      </c>
      <c r="W215" s="11" t="str">
        <f>_xlfn.XLOOKUP(Customer[[#This Row],[Customer ID]],[1]!Address[ID],[1]!Address[CT])</f>
        <v>30 DAYS</v>
      </c>
      <c r="X215" s="11" t="s">
        <v>39</v>
      </c>
      <c r="Y215" s="17" t="s">
        <v>40</v>
      </c>
      <c r="Z215" s="17" t="e">
        <f>_xlfn.XLOOKUP(Customer[[#This Row],[NewType]],$AF$36:$AF$54,$AG$36:$AG$54)</f>
        <v>#N/A</v>
      </c>
      <c r="AA215" s="17" t="s">
        <v>1613</v>
      </c>
      <c r="AB215" s="11" t="str">
        <f>_xlfn.XLOOKUP(Customer[[#This Row],[Customer ID]],[1]!Address[ID],[1]!Address[Subtype])</f>
        <v>PETRONAS</v>
      </c>
      <c r="AC215" s="18" t="str">
        <f>_xlfn.XLOOKUP(Customer[[#This Row],[Customer ID]],[1]!Address[ID],[1]!Address[Zone])</f>
        <v>CENTRAL</v>
      </c>
    </row>
    <row r="216" spans="1:29" x14ac:dyDescent="0.3">
      <c r="A216" s="10" t="s">
        <v>1614</v>
      </c>
      <c r="B216" s="11" t="str">
        <f>_xlfn.XLOOKUP(Customer[[#This Row],[Customer ID]],[1]!Name[ID],[1]!Name[Description(1)])</f>
        <v>KOPERASI SERBAGUNA FELDA CHINI SATU</v>
      </c>
      <c r="C216" s="11" t="str">
        <f>_xlfn.XLOOKUP(Customer[[#This Row],[Customer ID]],[1]!Name[ID],[1]!Name[Description(2)])</f>
        <v>PS FELDA CHINI 1 (EAST 2)</v>
      </c>
      <c r="D216" s="11" t="str">
        <f>_xlfn.XLOOKUP(Customer[[#This Row],[Customer ID]],[1]!Address[ID],[1]!Address[PIC])</f>
        <v/>
      </c>
      <c r="E216" s="11" t="str">
        <f>_xlfn.XLOOKUP(Customer[[#This Row],[Customer ID]],[1]!Address[ID],[1]!Address[Full Address])</f>
        <v>PS FELDA CHINI 1 (EAST 2)WAKIL POS BANDAR 1,26600, PEKAN, PAHANG</v>
      </c>
      <c r="F216" s="12" t="s">
        <v>1615</v>
      </c>
      <c r="G216" s="12" t="s">
        <v>1616</v>
      </c>
      <c r="H216" s="24" t="s">
        <v>575</v>
      </c>
      <c r="I216" s="24" t="b">
        <f>ISNUMBER(VALUE(LEFT(Customer[[#This Row],[Address Line 3 (30 char)]],1)))</f>
        <v>0</v>
      </c>
      <c r="J216" s="12" t="s">
        <v>339</v>
      </c>
      <c r="K216" s="12">
        <v>26600</v>
      </c>
      <c r="L216" s="12" t="s">
        <v>35</v>
      </c>
      <c r="M216" s="13" t="e">
        <v>#N/A</v>
      </c>
      <c r="N216" s="14" t="e">
        <v>#N/A</v>
      </c>
      <c r="O216" s="14" t="e">
        <v>#N/A</v>
      </c>
      <c r="P216" s="14" t="e">
        <v>#N/A</v>
      </c>
      <c r="Q216" s="19" t="s">
        <v>1617</v>
      </c>
      <c r="R216" s="15" t="s">
        <v>1618</v>
      </c>
      <c r="S216" s="15" t="s">
        <v>37</v>
      </c>
      <c r="T216" s="16" t="s">
        <v>38</v>
      </c>
      <c r="U216" s="11" t="str">
        <f>_xlfn.XLOOKUP(Customer[[#This Row],[Customer ID]],[1]!Address[ID],[1]!Address[Phone No.(2)])</f>
        <v/>
      </c>
      <c r="V216" s="11" t="str">
        <f>_xlfn.XLOOKUP(Customer[[#This Row],[Customer ID]],[1]!Address[ID],[1]!Address[Type])</f>
        <v>PETROMART</v>
      </c>
      <c r="W216" s="11" t="str">
        <f>_xlfn.XLOOKUP(Customer[[#This Row],[Customer ID]],[1]!Address[ID],[1]!Address[CT])</f>
        <v>30 DAYS</v>
      </c>
      <c r="X216" s="11" t="s">
        <v>39</v>
      </c>
      <c r="Y216" s="17" t="s">
        <v>40</v>
      </c>
      <c r="Z216" s="17" t="e">
        <f>_xlfn.XLOOKUP(Customer[[#This Row],[NewType]],$AF$36:$AF$54,$AG$36:$AG$54)</f>
        <v>#N/A</v>
      </c>
      <c r="AA216" s="17" t="s">
        <v>1619</v>
      </c>
      <c r="AB216" s="11" t="str">
        <f>_xlfn.XLOOKUP(Customer[[#This Row],[Customer ID]],[1]!Address[ID],[1]!Address[Subtype])</f>
        <v>PETRONAS</v>
      </c>
      <c r="AC216" s="18" t="str">
        <f>_xlfn.XLOOKUP(Customer[[#This Row],[Customer ID]],[1]!Address[ID],[1]!Address[Zone])</f>
        <v>EAST COAST</v>
      </c>
    </row>
    <row r="217" spans="1:29" x14ac:dyDescent="0.3">
      <c r="A217" s="10" t="s">
        <v>1620</v>
      </c>
      <c r="B217" s="11" t="str">
        <f>_xlfn.XLOOKUP(Customer[[#This Row],[Customer ID]],[1]!Name[ID],[1]!Name[Description(1)])</f>
        <v>KPF NIAGA SDN BHD -  FELDA KECHAU</v>
      </c>
      <c r="C217" s="11" t="str">
        <f>_xlfn.XLOOKUP(Customer[[#This Row],[Customer ID]],[1]!Name[ID],[1]!Name[Description(2)])</f>
        <v>PS FELDA KECHAU (EAST 2)</v>
      </c>
      <c r="D217" s="11" t="str">
        <f>_xlfn.XLOOKUP(Customer[[#This Row],[Customer ID]],[1]!Address[ID],[1]!Address[PIC])</f>
        <v/>
      </c>
      <c r="E217" s="11" t="str">
        <f>_xlfn.XLOOKUP(Customer[[#This Row],[Customer ID]],[1]!Address[ID],[1]!Address[Full Address])</f>
        <v>PS FELDA KECHAU (EAST 2)FELDA KECHAU 01, PADANG TENGKU,27100, LIPIS, PAHANG</v>
      </c>
      <c r="F217" s="12" t="s">
        <v>1621</v>
      </c>
      <c r="G217" s="12" t="s">
        <v>1622</v>
      </c>
      <c r="H217" s="12" t="s">
        <v>1623</v>
      </c>
      <c r="I217" s="12" t="b">
        <f>ISNUMBER(VALUE(LEFT(Customer[[#This Row],[Address Line 3 (30 char)]],1)))</f>
        <v>0</v>
      </c>
      <c r="J217" s="12" t="s">
        <v>339</v>
      </c>
      <c r="K217" s="12">
        <v>27100</v>
      </c>
      <c r="L217" s="12" t="s">
        <v>35</v>
      </c>
      <c r="M217" s="13" t="e">
        <v>#N/A</v>
      </c>
      <c r="N217" s="14" t="e">
        <v>#N/A</v>
      </c>
      <c r="O217" s="14" t="e">
        <v>#N/A</v>
      </c>
      <c r="P217" s="14" t="e">
        <v>#N/A</v>
      </c>
      <c r="Q217" s="19" t="s">
        <v>1624</v>
      </c>
      <c r="R217" s="15" t="s">
        <v>1625</v>
      </c>
      <c r="S217" s="15" t="s">
        <v>37</v>
      </c>
      <c r="T217" s="16" t="s">
        <v>38</v>
      </c>
      <c r="U217" s="11" t="str">
        <f>_xlfn.XLOOKUP(Customer[[#This Row],[Customer ID]],[1]!Address[ID],[1]!Address[Phone No.(2)])</f>
        <v/>
      </c>
      <c r="V217" s="11" t="str">
        <f>_xlfn.XLOOKUP(Customer[[#This Row],[Customer ID]],[1]!Address[ID],[1]!Address[Type])</f>
        <v>PETROMART</v>
      </c>
      <c r="W217" s="11" t="str">
        <f>_xlfn.XLOOKUP(Customer[[#This Row],[Customer ID]],[1]!Address[ID],[1]!Address[CT])</f>
        <v>30 DAYS</v>
      </c>
      <c r="X217" s="11" t="s">
        <v>39</v>
      </c>
      <c r="Y217" s="17" t="s">
        <v>40</v>
      </c>
      <c r="Z217" s="17" t="e">
        <f>_xlfn.XLOOKUP(Customer[[#This Row],[NewType]],$AF$36:$AF$54,$AG$36:$AG$54)</f>
        <v>#N/A</v>
      </c>
      <c r="AA217" s="17" t="s">
        <v>1626</v>
      </c>
      <c r="AB217" s="11" t="str">
        <f>_xlfn.XLOOKUP(Customer[[#This Row],[Customer ID]],[1]!Address[ID],[1]!Address[Subtype])</f>
        <v>PETRONAS</v>
      </c>
      <c r="AC217" s="18" t="str">
        <f>_xlfn.XLOOKUP(Customer[[#This Row],[Customer ID]],[1]!Address[ID],[1]!Address[Zone])</f>
        <v>EAST COAST</v>
      </c>
    </row>
    <row r="218" spans="1:29" x14ac:dyDescent="0.3">
      <c r="A218" s="10" t="s">
        <v>1627</v>
      </c>
      <c r="B218" s="11" t="str">
        <f>_xlfn.XLOOKUP(Customer[[#This Row],[Customer ID]],[1]!Name[ID],[1]!Name[Description(1)])</f>
        <v>KOPERASI FELDA KERTEH SATU BERHAD</v>
      </c>
      <c r="C218" s="11" t="str">
        <f>_xlfn.XLOOKUP(Customer[[#This Row],[Customer ID]],[1]!Name[ID],[1]!Name[Description(2)])</f>
        <v>PS FELDA KERTEH 1 (EAST 1)</v>
      </c>
      <c r="D218" s="11" t="str">
        <f>_xlfn.XLOOKUP(Customer[[#This Row],[Customer ID]],[1]!Address[ID],[1]!Address[PIC])</f>
        <v/>
      </c>
      <c r="E218" s="11" t="str">
        <f>_xlfn.XLOOKUP(Customer[[#This Row],[Customer ID]],[1]!Address[ID],[1]!Address[Full Address])</f>
        <v>PS FELDA KERTEH 1 (EAST 1)LOT PT 335, MUKIM RASAU,BANDAR BARU KETENGAH JAYA,23300, DUNGUN, TERENGGANU</v>
      </c>
      <c r="F218" s="12" t="s">
        <v>1628</v>
      </c>
      <c r="G218" s="12" t="s">
        <v>1629</v>
      </c>
      <c r="H218" s="12" t="s">
        <v>1630</v>
      </c>
      <c r="I218" s="12" t="b">
        <f>ISNUMBER(VALUE(LEFT(Customer[[#This Row],[Address Line 3 (30 char)]],1)))</f>
        <v>0</v>
      </c>
      <c r="J218" s="12" t="s">
        <v>1056</v>
      </c>
      <c r="K218" s="12">
        <v>23300</v>
      </c>
      <c r="L218" s="12" t="s">
        <v>35</v>
      </c>
      <c r="M218" s="13" t="e">
        <v>#N/A</v>
      </c>
      <c r="N218" s="14" t="e">
        <v>#N/A</v>
      </c>
      <c r="O218" s="14" t="e">
        <v>#N/A</v>
      </c>
      <c r="P218" s="14" t="e">
        <v>#N/A</v>
      </c>
      <c r="Q218" s="19" t="s">
        <v>1631</v>
      </c>
      <c r="R218" s="15" t="s">
        <v>1632</v>
      </c>
      <c r="S218" s="15" t="s">
        <v>37</v>
      </c>
      <c r="T218" s="16" t="s">
        <v>38</v>
      </c>
      <c r="U218" s="11" t="str">
        <f>_xlfn.XLOOKUP(Customer[[#This Row],[Customer ID]],[1]!Address[ID],[1]!Address[Phone No.(2)])</f>
        <v/>
      </c>
      <c r="V218" s="11" t="str">
        <f>_xlfn.XLOOKUP(Customer[[#This Row],[Customer ID]],[1]!Address[ID],[1]!Address[Type])</f>
        <v>PETROMART</v>
      </c>
      <c r="W218" s="11" t="str">
        <f>_xlfn.XLOOKUP(Customer[[#This Row],[Customer ID]],[1]!Address[ID],[1]!Address[CT])</f>
        <v>30 DAYS</v>
      </c>
      <c r="X218" s="11" t="s">
        <v>39</v>
      </c>
      <c r="Y218" s="17" t="s">
        <v>40</v>
      </c>
      <c r="Z218" s="17" t="e">
        <f>_xlfn.XLOOKUP(Customer[[#This Row],[NewType]],$AF$36:$AF$54,$AG$36:$AG$54)</f>
        <v>#N/A</v>
      </c>
      <c r="AA218" s="17" t="s">
        <v>1633</v>
      </c>
      <c r="AB218" s="11" t="str">
        <f>_xlfn.XLOOKUP(Customer[[#This Row],[Customer ID]],[1]!Address[ID],[1]!Address[Subtype])</f>
        <v>PETRONAS</v>
      </c>
      <c r="AC218" s="18" t="str">
        <f>_xlfn.XLOOKUP(Customer[[#This Row],[Customer ID]],[1]!Address[ID],[1]!Address[Zone])</f>
        <v>EAST COAST</v>
      </c>
    </row>
    <row r="219" spans="1:29" x14ac:dyDescent="0.3">
      <c r="A219" s="10" t="s">
        <v>1634</v>
      </c>
      <c r="B219" s="11" t="str">
        <f>_xlfn.XLOOKUP(Customer[[#This Row],[Customer ID]],[1]!Name[ID],[1]!Name[Description(1)])</f>
        <v>KPF NIAGA SDN BHD -  LEPAR UTARA 2</v>
      </c>
      <c r="C219" s="11" t="str">
        <f>_xlfn.XLOOKUP(Customer[[#This Row],[Customer ID]],[1]!Name[ID],[1]!Name[Description(2)])</f>
        <v>PS FELDA LEPAR UTARA 2 (EAST 2)</v>
      </c>
      <c r="D219" s="11" t="str">
        <f>_xlfn.XLOOKUP(Customer[[#This Row],[Customer ID]],[1]!Address[ID],[1]!Address[PIC])</f>
        <v/>
      </c>
      <c r="E219" s="11" t="str">
        <f>_xlfn.XLOOKUP(Customer[[#This Row],[Customer ID]],[1]!Address[ID],[1]!Address[Full Address])</f>
        <v>PS FELDA LEPAR UTARA 2 (EAST 2)FELDA UTARA 4, JERANTUT,26400, JERANTUT, PAHANG</v>
      </c>
      <c r="F219" s="12" t="s">
        <v>1635</v>
      </c>
      <c r="G219" s="12" t="s">
        <v>1636</v>
      </c>
      <c r="H219" s="24" t="s">
        <v>1637</v>
      </c>
      <c r="I219" s="24" t="b">
        <f>ISNUMBER(VALUE(LEFT(Customer[[#This Row],[Address Line 3 (30 char)]],1)))</f>
        <v>0</v>
      </c>
      <c r="J219" s="12" t="s">
        <v>339</v>
      </c>
      <c r="K219" s="12">
        <v>26400</v>
      </c>
      <c r="L219" s="12" t="s">
        <v>35</v>
      </c>
      <c r="M219" s="13" t="e">
        <v>#N/A</v>
      </c>
      <c r="N219" s="14" t="e">
        <v>#N/A</v>
      </c>
      <c r="O219" s="14" t="e">
        <v>#N/A</v>
      </c>
      <c r="P219" s="14" t="e">
        <v>#N/A</v>
      </c>
      <c r="Q219" s="19" t="s">
        <v>1638</v>
      </c>
      <c r="R219" s="15" t="s">
        <v>1639</v>
      </c>
      <c r="S219" s="15" t="s">
        <v>37</v>
      </c>
      <c r="T219" s="16" t="s">
        <v>38</v>
      </c>
      <c r="U219" s="11" t="str">
        <f>_xlfn.XLOOKUP(Customer[[#This Row],[Customer ID]],[1]!Address[ID],[1]!Address[Phone No.(2)])</f>
        <v/>
      </c>
      <c r="V219" s="11" t="str">
        <f>_xlfn.XLOOKUP(Customer[[#This Row],[Customer ID]],[1]!Address[ID],[1]!Address[Type])</f>
        <v>PETROMART</v>
      </c>
      <c r="W219" s="11" t="str">
        <f>_xlfn.XLOOKUP(Customer[[#This Row],[Customer ID]],[1]!Address[ID],[1]!Address[CT])</f>
        <v>30 DAYS</v>
      </c>
      <c r="X219" s="11" t="s">
        <v>39</v>
      </c>
      <c r="Y219" s="17" t="s">
        <v>40</v>
      </c>
      <c r="Z219" s="17" t="e">
        <f>_xlfn.XLOOKUP(Customer[[#This Row],[NewType]],$AF$36:$AF$54,$AG$36:$AG$54)</f>
        <v>#N/A</v>
      </c>
      <c r="AA219" s="17" t="s">
        <v>1640</v>
      </c>
      <c r="AB219" s="11" t="str">
        <f>_xlfn.XLOOKUP(Customer[[#This Row],[Customer ID]],[1]!Address[ID],[1]!Address[Subtype])</f>
        <v>PETRONAS</v>
      </c>
      <c r="AC219" s="18" t="str">
        <f>_xlfn.XLOOKUP(Customer[[#This Row],[Customer ID]],[1]!Address[ID],[1]!Address[Zone])</f>
        <v>EAST COAST</v>
      </c>
    </row>
    <row r="220" spans="1:29" x14ac:dyDescent="0.3">
      <c r="A220" s="10" t="s">
        <v>1641</v>
      </c>
      <c r="B220" s="11" t="str">
        <f>_xlfn.XLOOKUP(Customer[[#This Row],[Customer ID]],[1]!Name[ID],[1]!Name[Description(1)])</f>
        <v>KPF NIAGA SDN BHD -  LEPAR UTARA 3</v>
      </c>
      <c r="C220" s="11" t="str">
        <f>_xlfn.XLOOKUP(Customer[[#This Row],[Customer ID]],[1]!Name[ID],[1]!Name[Description(2)])</f>
        <v>PS FELDA LEPAR UTARA 3 (EAST 2)</v>
      </c>
      <c r="D220" s="11" t="str">
        <f>_xlfn.XLOOKUP(Customer[[#This Row],[Customer ID]],[1]!Address[ID],[1]!Address[PIC])</f>
        <v/>
      </c>
      <c r="E220" s="11" t="str">
        <f>_xlfn.XLOOKUP(Customer[[#This Row],[Customer ID]],[1]!Address[ID],[1]!Address[Full Address])</f>
        <v>PS FELDA LEPAR UTARA 3 (EAST 2)FELDA UTARA 3, JALAN UTAMAJENGKA UTARA - TIMUR, JENGKA,26400, MARAN, PAHANG</v>
      </c>
      <c r="F220" s="12" t="s">
        <v>1642</v>
      </c>
      <c r="G220" s="12" t="s">
        <v>1643</v>
      </c>
      <c r="H220" s="12" t="s">
        <v>1644</v>
      </c>
      <c r="I220" s="12" t="b">
        <f>ISNUMBER(VALUE(LEFT(Customer[[#This Row],[Address Line 3 (30 char)]],1)))</f>
        <v>0</v>
      </c>
      <c r="J220" s="12" t="s">
        <v>339</v>
      </c>
      <c r="K220" s="12">
        <v>26400</v>
      </c>
      <c r="L220" s="12" t="s">
        <v>35</v>
      </c>
      <c r="M220" s="13" t="e">
        <v>#N/A</v>
      </c>
      <c r="N220" s="14" t="e">
        <v>#N/A</v>
      </c>
      <c r="O220" s="14" t="e">
        <v>#N/A</v>
      </c>
      <c r="P220" s="14" t="e">
        <v>#N/A</v>
      </c>
      <c r="Q220" s="19" t="s">
        <v>1645</v>
      </c>
      <c r="R220" s="15" t="s">
        <v>1646</v>
      </c>
      <c r="S220" s="15" t="s">
        <v>37</v>
      </c>
      <c r="T220" s="16" t="s">
        <v>38</v>
      </c>
      <c r="U220" s="11" t="str">
        <f>_xlfn.XLOOKUP(Customer[[#This Row],[Customer ID]],[1]!Address[ID],[1]!Address[Phone No.(2)])</f>
        <v/>
      </c>
      <c r="V220" s="11" t="str">
        <f>_xlfn.XLOOKUP(Customer[[#This Row],[Customer ID]],[1]!Address[ID],[1]!Address[Type])</f>
        <v>PETROMART</v>
      </c>
      <c r="W220" s="11" t="str">
        <f>_xlfn.XLOOKUP(Customer[[#This Row],[Customer ID]],[1]!Address[ID],[1]!Address[CT])</f>
        <v>30 DAYS</v>
      </c>
      <c r="X220" s="11" t="s">
        <v>39</v>
      </c>
      <c r="Y220" s="17" t="s">
        <v>40</v>
      </c>
      <c r="Z220" s="17" t="e">
        <f>_xlfn.XLOOKUP(Customer[[#This Row],[NewType]],$AF$36:$AF$54,$AG$36:$AG$54)</f>
        <v>#N/A</v>
      </c>
      <c r="AA220" s="17" t="s">
        <v>1647</v>
      </c>
      <c r="AB220" s="11" t="str">
        <f>_xlfn.XLOOKUP(Customer[[#This Row],[Customer ID]],[1]!Address[ID],[1]!Address[Subtype])</f>
        <v>PETRONAS</v>
      </c>
      <c r="AC220" s="18" t="str">
        <f>_xlfn.XLOOKUP(Customer[[#This Row],[Customer ID]],[1]!Address[ID],[1]!Address[Zone])</f>
        <v>EAST COAST</v>
      </c>
    </row>
    <row r="221" spans="1:29" x14ac:dyDescent="0.3">
      <c r="A221" s="10" t="s">
        <v>1648</v>
      </c>
      <c r="B221" s="11" t="str">
        <f>_xlfn.XLOOKUP(Customer[[#This Row],[Customer ID]],[1]!Name[ID],[1]!Name[Description(1)])</f>
        <v>KOPERASI FELDA MEMPAGA 3 BERHAD</v>
      </c>
      <c r="C221" s="11" t="str">
        <f>_xlfn.XLOOKUP(Customer[[#This Row],[Customer ID]],[1]!Name[ID],[1]!Name[Description(2)])</f>
        <v>PS FELDA MEMPAGA 3 (EAST 2)</v>
      </c>
      <c r="D221" s="11" t="str">
        <f>_xlfn.XLOOKUP(Customer[[#This Row],[Customer ID]],[1]!Address[ID],[1]!Address[PIC])</f>
        <v/>
      </c>
      <c r="E221" s="11" t="str">
        <f>_xlfn.XLOOKUP(Customer[[#This Row],[Customer ID]],[1]!Address[ID],[1]!Address[Full Address])</f>
        <v>PS FELDA MEMPAGA 3 (EAST 2)PT 1498 SEKSYEN 16,JALAN UTAMA MEMPAGA,28600, KARAK, PAHANG</v>
      </c>
      <c r="F221" s="12" t="s">
        <v>1649</v>
      </c>
      <c r="G221" s="12" t="s">
        <v>1650</v>
      </c>
      <c r="H221" s="12" t="s">
        <v>1651</v>
      </c>
      <c r="I221" s="12" t="b">
        <f>ISNUMBER(VALUE(LEFT(Customer[[#This Row],[Address Line 3 (30 char)]],1)))</f>
        <v>0</v>
      </c>
      <c r="J221" s="12" t="s">
        <v>339</v>
      </c>
      <c r="K221" s="12">
        <v>28600</v>
      </c>
      <c r="L221" s="12" t="s">
        <v>35</v>
      </c>
      <c r="M221" s="13" t="e">
        <v>#N/A</v>
      </c>
      <c r="N221" s="14" t="e">
        <v>#N/A</v>
      </c>
      <c r="O221" s="14" t="e">
        <v>#N/A</v>
      </c>
      <c r="P221" s="14" t="e">
        <v>#N/A</v>
      </c>
      <c r="Q221" s="19" t="s">
        <v>1652</v>
      </c>
      <c r="R221" s="15" t="s">
        <v>1653</v>
      </c>
      <c r="S221" s="15" t="s">
        <v>37</v>
      </c>
      <c r="T221" s="16" t="s">
        <v>38</v>
      </c>
      <c r="U221" s="11" t="str">
        <f>_xlfn.XLOOKUP(Customer[[#This Row],[Customer ID]],[1]!Address[ID],[1]!Address[Phone No.(2)])</f>
        <v/>
      </c>
      <c r="V221" s="11" t="str">
        <f>_xlfn.XLOOKUP(Customer[[#This Row],[Customer ID]],[1]!Address[ID],[1]!Address[Type])</f>
        <v>PETROMART</v>
      </c>
      <c r="W221" s="11" t="str">
        <f>_xlfn.XLOOKUP(Customer[[#This Row],[Customer ID]],[1]!Address[ID],[1]!Address[CT])</f>
        <v>30 DAYS</v>
      </c>
      <c r="X221" s="11" t="s">
        <v>39</v>
      </c>
      <c r="Y221" s="17" t="s">
        <v>40</v>
      </c>
      <c r="Z221" s="17" t="e">
        <f>_xlfn.XLOOKUP(Customer[[#This Row],[NewType]],$AF$36:$AF$54,$AG$36:$AG$54)</f>
        <v>#N/A</v>
      </c>
      <c r="AA221" s="17" t="s">
        <v>1654</v>
      </c>
      <c r="AB221" s="11" t="str">
        <f>_xlfn.XLOOKUP(Customer[[#This Row],[Customer ID]],[1]!Address[ID],[1]!Address[Subtype])</f>
        <v>PETRONAS</v>
      </c>
      <c r="AC221" s="18" t="str">
        <f>_xlfn.XLOOKUP(Customer[[#This Row],[Customer ID]],[1]!Address[ID],[1]!Address[Zone])</f>
        <v>EAST COAST</v>
      </c>
    </row>
    <row r="222" spans="1:29" x14ac:dyDescent="0.3">
      <c r="A222" s="10" t="s">
        <v>1655</v>
      </c>
      <c r="B222" s="11" t="str">
        <f>_xlfn.XLOOKUP(Customer[[#This Row],[Customer ID]],[1]!Name[ID],[1]!Name[Description(1)])</f>
        <v>KPF NIAGA SDN BHD -  FELDA PALONG TIMUR</v>
      </c>
      <c r="C222" s="11" t="str">
        <f>_xlfn.XLOOKUP(Customer[[#This Row],[Customer ID]],[1]!Name[ID],[1]!Name[Description(2)])</f>
        <v>PS FELDA PALONG TIMUR 1 (SOUTH 1)</v>
      </c>
      <c r="D222" s="11" t="str">
        <f>_xlfn.XLOOKUP(Customer[[#This Row],[Customer ID]],[1]!Address[ID],[1]!Address[PIC])</f>
        <v/>
      </c>
      <c r="E222" s="11" t="str">
        <f>_xlfn.XLOOKUP(Customer[[#This Row],[Customer ID]],[1]!Address[ID],[1]!Address[Full Address])</f>
        <v>PS FELDA PALONG TIMUR 1 (SOUTH 1)PERBADANAN NIAGA FELDA,FELDA PALONG TIMUR 1, BATU ANAM,73440, SEGAMAT, JOHOR</v>
      </c>
      <c r="F222" s="12" t="s">
        <v>1656</v>
      </c>
      <c r="G222" s="12" t="s">
        <v>1657</v>
      </c>
      <c r="H222" s="12" t="s">
        <v>1658</v>
      </c>
      <c r="I222" s="12" t="b">
        <f>ISNUMBER(VALUE(LEFT(Customer[[#This Row],[Address Line 3 (30 char)]],1)))</f>
        <v>0</v>
      </c>
      <c r="J222" s="12" t="s">
        <v>52</v>
      </c>
      <c r="K222" s="12">
        <v>73440</v>
      </c>
      <c r="L222" s="12" t="s">
        <v>35</v>
      </c>
      <c r="M222" s="13" t="e">
        <v>#N/A</v>
      </c>
      <c r="N222" s="14" t="e">
        <v>#N/A</v>
      </c>
      <c r="O222" s="14" t="e">
        <v>#N/A</v>
      </c>
      <c r="P222" s="14" t="e">
        <v>#N/A</v>
      </c>
      <c r="Q222" s="19" t="s">
        <v>1659</v>
      </c>
      <c r="R222" s="15" t="s">
        <v>1660</v>
      </c>
      <c r="S222" s="15" t="s">
        <v>37</v>
      </c>
      <c r="T222" s="16" t="s">
        <v>38</v>
      </c>
      <c r="U222" s="11" t="str">
        <f>_xlfn.XLOOKUP(Customer[[#This Row],[Customer ID]],[1]!Address[ID],[1]!Address[Phone No.(2)])</f>
        <v/>
      </c>
      <c r="V222" s="11" t="str">
        <f>_xlfn.XLOOKUP(Customer[[#This Row],[Customer ID]],[1]!Address[ID],[1]!Address[Type])</f>
        <v>PETROMART</v>
      </c>
      <c r="W222" s="11" t="str">
        <f>_xlfn.XLOOKUP(Customer[[#This Row],[Customer ID]],[1]!Address[ID],[1]!Address[CT])</f>
        <v>30 DAYS</v>
      </c>
      <c r="X222" s="11" t="s">
        <v>39</v>
      </c>
      <c r="Y222" s="17" t="s">
        <v>40</v>
      </c>
      <c r="Z222" s="17" t="e">
        <f>_xlfn.XLOOKUP(Customer[[#This Row],[NewType]],$AF$36:$AF$54,$AG$36:$AG$54)</f>
        <v>#N/A</v>
      </c>
      <c r="AA222" s="17" t="s">
        <v>1661</v>
      </c>
      <c r="AB222" s="11" t="str">
        <f>_xlfn.XLOOKUP(Customer[[#This Row],[Customer ID]],[1]!Address[ID],[1]!Address[Subtype])</f>
        <v>PETRONAS</v>
      </c>
      <c r="AC222" s="18" t="str">
        <f>_xlfn.XLOOKUP(Customer[[#This Row],[Customer ID]],[1]!Address[ID],[1]!Address[Zone])</f>
        <v>SOUTH</v>
      </c>
    </row>
    <row r="223" spans="1:29" x14ac:dyDescent="0.3">
      <c r="A223" s="10" t="s">
        <v>1662</v>
      </c>
      <c r="B223" s="11" t="str">
        <f>_xlfn.XLOOKUP(Customer[[#This Row],[Customer ID]],[1]!Name[ID],[1]!Name[Description(1)])</f>
        <v>LPT BARAT ENTERPRISE</v>
      </c>
      <c r="C223" s="11" t="str">
        <f>_xlfn.XLOOKUP(Customer[[#This Row],[Customer ID]],[1]!Name[ID],[1]!Name[Description(2)])</f>
        <v>PS GAMBANG ARAH BARAT (EAST 2)</v>
      </c>
      <c r="D223" s="11" t="str">
        <f>_xlfn.XLOOKUP(Customer[[#This Row],[Customer ID]],[1]!Address[ID],[1]!Address[PIC])</f>
        <v/>
      </c>
      <c r="E223" s="11" t="str">
        <f>_xlfn.XLOOKUP(Customer[[#This Row],[Customer ID]],[1]!Address[ID],[1]!Address[Full Address])</f>
        <v>PS GAMBANG ARAH BARAT (EAST 2)R &amp; R GAMBANG(ARAH BARAT)L/RAYA PANTAI TIMUR, MK.HULU LEPAR,26300, KUANTAN, PAHANG</v>
      </c>
      <c r="F223" s="12" t="s">
        <v>1663</v>
      </c>
      <c r="G223" s="12" t="s">
        <v>1664</v>
      </c>
      <c r="H223" s="12" t="s">
        <v>1665</v>
      </c>
      <c r="I223" s="12" t="b">
        <f>ISNUMBER(VALUE(LEFT(Customer[[#This Row],[Address Line 3 (30 char)]],1)))</f>
        <v>0</v>
      </c>
      <c r="J223" s="12" t="s">
        <v>339</v>
      </c>
      <c r="K223" s="12">
        <v>26300</v>
      </c>
      <c r="L223" s="12" t="s">
        <v>35</v>
      </c>
      <c r="M223" s="13" t="e">
        <v>#N/A</v>
      </c>
      <c r="N223" s="14" t="e">
        <v>#N/A</v>
      </c>
      <c r="O223" s="14" t="e">
        <v>#N/A</v>
      </c>
      <c r="P223" s="14" t="e">
        <v>#N/A</v>
      </c>
      <c r="Q223" s="19" t="s">
        <v>1666</v>
      </c>
      <c r="R223" s="15" t="s">
        <v>1667</v>
      </c>
      <c r="S223" s="15" t="s">
        <v>37</v>
      </c>
      <c r="T223" s="16" t="s">
        <v>38</v>
      </c>
      <c r="U223" s="11" t="str">
        <f>_xlfn.XLOOKUP(Customer[[#This Row],[Customer ID]],[1]!Address[ID],[1]!Address[Phone No.(2)])</f>
        <v/>
      </c>
      <c r="V223" s="11" t="str">
        <f>_xlfn.XLOOKUP(Customer[[#This Row],[Customer ID]],[1]!Address[ID],[1]!Address[Type])</f>
        <v>PETROMART</v>
      </c>
      <c r="W223" s="11" t="str">
        <f>_xlfn.XLOOKUP(Customer[[#This Row],[Customer ID]],[1]!Address[ID],[1]!Address[CT])</f>
        <v>30 DAYS</v>
      </c>
      <c r="X223" s="11" t="s">
        <v>39</v>
      </c>
      <c r="Y223" s="17" t="s">
        <v>40</v>
      </c>
      <c r="Z223" s="17" t="e">
        <f>_xlfn.XLOOKUP(Customer[[#This Row],[NewType]],$AF$36:$AF$54,$AG$36:$AG$54)</f>
        <v>#N/A</v>
      </c>
      <c r="AA223" s="17" t="s">
        <v>1668</v>
      </c>
      <c r="AB223" s="11" t="str">
        <f>_xlfn.XLOOKUP(Customer[[#This Row],[Customer ID]],[1]!Address[ID],[1]!Address[Subtype])</f>
        <v>PETRONAS</v>
      </c>
      <c r="AC223" s="18" t="str">
        <f>_xlfn.XLOOKUP(Customer[[#This Row],[Customer ID]],[1]!Address[ID],[1]!Address[Zone])</f>
        <v>EAST COAST</v>
      </c>
    </row>
    <row r="224" spans="1:29" x14ac:dyDescent="0.3">
      <c r="A224" s="10" t="s">
        <v>1669</v>
      </c>
      <c r="B224" s="11" t="str">
        <f>_xlfn.XLOOKUP(Customer[[#This Row],[Customer ID]],[1]!Name[ID],[1]!Name[Description(1)])</f>
        <v>LPT TIMUR ENTERPRISE</v>
      </c>
      <c r="C224" s="11" t="str">
        <f>_xlfn.XLOOKUP(Customer[[#This Row],[Customer ID]],[1]!Name[ID],[1]!Name[Description(2)])</f>
        <v>PS GAMBANG ARAH TIMUR</v>
      </c>
      <c r="D224" s="11" t="str">
        <f>_xlfn.XLOOKUP(Customer[[#This Row],[Customer ID]],[1]!Address[ID],[1]!Address[PIC])</f>
        <v/>
      </c>
      <c r="E224" s="11" t="str">
        <f>_xlfn.XLOOKUP(Customer[[#This Row],[Customer ID]],[1]!Address[ID],[1]!Address[Full Address])</f>
        <v>PS GAMBANG ARAH TIMUR &amp; R GAMBANG(ARAH TIMUR)L/RAYA PANTAI TIMUR, MK.HULU LEPAR,26300, KUANTAN, PAHANG</v>
      </c>
      <c r="F224" s="12" t="s">
        <v>1670</v>
      </c>
      <c r="G224" s="12" t="s">
        <v>1664</v>
      </c>
      <c r="H224" s="12" t="s">
        <v>1665</v>
      </c>
      <c r="I224" s="12" t="b">
        <f>ISNUMBER(VALUE(LEFT(Customer[[#This Row],[Address Line 3 (30 char)]],1)))</f>
        <v>0</v>
      </c>
      <c r="J224" s="12" t="s">
        <v>339</v>
      </c>
      <c r="K224" s="12">
        <v>26300</v>
      </c>
      <c r="L224" s="12" t="s">
        <v>35</v>
      </c>
      <c r="M224" s="13" t="e">
        <v>#N/A</v>
      </c>
      <c r="N224" s="14" t="e">
        <v>#N/A</v>
      </c>
      <c r="O224" s="14" t="e">
        <v>#N/A</v>
      </c>
      <c r="P224" s="14" t="e">
        <v>#N/A</v>
      </c>
      <c r="Q224" s="19" t="s">
        <v>1671</v>
      </c>
      <c r="R224" s="15" t="s">
        <v>1672</v>
      </c>
      <c r="S224" s="15" t="s">
        <v>1673</v>
      </c>
      <c r="T224" s="16" t="s">
        <v>38</v>
      </c>
      <c r="U224" s="11" t="str">
        <f>_xlfn.XLOOKUP(Customer[[#This Row],[Customer ID]],[1]!Address[ID],[1]!Address[Phone No.(2)])</f>
        <v/>
      </c>
      <c r="V224" s="11" t="str">
        <f>_xlfn.XLOOKUP(Customer[[#This Row],[Customer ID]],[1]!Address[ID],[1]!Address[Type])</f>
        <v>PETROMART</v>
      </c>
      <c r="W224" s="11" t="str">
        <f>_xlfn.XLOOKUP(Customer[[#This Row],[Customer ID]],[1]!Address[ID],[1]!Address[CT])</f>
        <v>30 DAYS</v>
      </c>
      <c r="X224" s="11" t="s">
        <v>39</v>
      </c>
      <c r="Y224" s="17" t="s">
        <v>40</v>
      </c>
      <c r="Z224" s="17" t="e">
        <f>_xlfn.XLOOKUP(Customer[[#This Row],[NewType]],$AF$36:$AF$54,$AG$36:$AG$54)</f>
        <v>#N/A</v>
      </c>
      <c r="AA224" s="17" t="s">
        <v>1674</v>
      </c>
      <c r="AB224" s="11" t="str">
        <f>_xlfn.XLOOKUP(Customer[[#This Row],[Customer ID]],[1]!Address[ID],[1]!Address[Subtype])</f>
        <v>PETRONAS</v>
      </c>
      <c r="AC224" s="18" t="str">
        <f>_xlfn.XLOOKUP(Customer[[#This Row],[Customer ID]],[1]!Address[ID],[1]!Address[Zone])</f>
        <v>EAST COAST</v>
      </c>
    </row>
    <row r="225" spans="1:29" x14ac:dyDescent="0.3">
      <c r="A225" s="10" t="s">
        <v>1675</v>
      </c>
      <c r="B225" s="11" t="str">
        <f>_xlfn.XLOOKUP(Customer[[#This Row],[Customer ID]],[1]!Name[ID],[1]!Name[Description(1)])</f>
        <v>PENDASLINK ENTERPRISE</v>
      </c>
      <c r="C225" s="11" t="str">
        <f>_xlfn.XLOOKUP(Customer[[#This Row],[Customer ID]],[1]!Name[ID],[1]!Name[Description(2)])</f>
        <v>PS GELANG PATAH (SELATAN) (SOUTH 2)</v>
      </c>
      <c r="D225" s="11" t="str">
        <f>_xlfn.XLOOKUP(Customer[[#This Row],[Customer ID]],[1]!Address[ID],[1]!Address[PIC])</f>
        <v/>
      </c>
      <c r="E225" s="11" t="str">
        <f>_xlfn.XLOOKUP(Customer[[#This Row],[Customer ID]],[1]!Address[ID],[1]!Address[Full Address])</f>
        <v>PS GELANG PATAH (SELATAN) (SOUTH 2)KM 4.6 KAWASAN REHAT &amp; RAWATTAPAK B LALUAN KEDUA (ARAH SELATAN)JB/SINGAPURA, JOHOR,81550, JOHOR BAHRI</v>
      </c>
      <c r="F225" s="12" t="s">
        <v>1676</v>
      </c>
      <c r="G225" s="12" t="s">
        <v>1677</v>
      </c>
      <c r="H225" s="12" t="s">
        <v>1678</v>
      </c>
      <c r="I225" s="12" t="b">
        <f>ISNUMBER(VALUE(LEFT(Customer[[#This Row],[Address Line 3 (30 char)]],1)))</f>
        <v>0</v>
      </c>
      <c r="J225" s="12" t="s">
        <v>52</v>
      </c>
      <c r="K225" s="12">
        <v>81550</v>
      </c>
      <c r="L225" s="12" t="s">
        <v>35</v>
      </c>
      <c r="M225" s="13" t="e">
        <v>#N/A</v>
      </c>
      <c r="N225" s="14" t="s">
        <v>630</v>
      </c>
      <c r="O225" s="14" t="e">
        <v>#N/A</v>
      </c>
      <c r="P225" s="14" t="e">
        <v>#N/A</v>
      </c>
      <c r="Q225" s="19" t="s">
        <v>1679</v>
      </c>
      <c r="R225" s="15" t="s">
        <v>632</v>
      </c>
      <c r="S225" s="15" t="s">
        <v>37</v>
      </c>
      <c r="T225" s="16" t="s">
        <v>38</v>
      </c>
      <c r="U225" s="11" t="str">
        <f>_xlfn.XLOOKUP(Customer[[#This Row],[Customer ID]],[1]!Address[ID],[1]!Address[Phone No.(2)])</f>
        <v/>
      </c>
      <c r="V225" s="11" t="str">
        <f>_xlfn.XLOOKUP(Customer[[#This Row],[Customer ID]],[1]!Address[ID],[1]!Address[Type])</f>
        <v>PETROMART</v>
      </c>
      <c r="W225" s="11" t="str">
        <f>_xlfn.XLOOKUP(Customer[[#This Row],[Customer ID]],[1]!Address[ID],[1]!Address[CT])</f>
        <v>30 DAYS</v>
      </c>
      <c r="X225" s="11" t="s">
        <v>39</v>
      </c>
      <c r="Y225" s="17" t="s">
        <v>40</v>
      </c>
      <c r="Z225" s="17" t="e">
        <f>_xlfn.XLOOKUP(Customer[[#This Row],[NewType]],$AF$36:$AF$54,$AG$36:$AG$54)</f>
        <v>#N/A</v>
      </c>
      <c r="AA225" s="17" t="s">
        <v>1680</v>
      </c>
      <c r="AB225" s="11" t="str">
        <f>_xlfn.XLOOKUP(Customer[[#This Row],[Customer ID]],[1]!Address[ID],[1]!Address[Subtype])</f>
        <v>PETRONAS</v>
      </c>
      <c r="AC225" s="18" t="str">
        <f>_xlfn.XLOOKUP(Customer[[#This Row],[Customer ID]],[1]!Address[ID],[1]!Address[Zone])</f>
        <v>SOUTH</v>
      </c>
    </row>
    <row r="226" spans="1:29" x14ac:dyDescent="0.3">
      <c r="A226" s="10" t="s">
        <v>1681</v>
      </c>
      <c r="B226" s="11" t="str">
        <f>_xlfn.XLOOKUP(Customer[[#This Row],[Customer ID]],[1]!Name[ID],[1]!Name[Description(1)])</f>
        <v>ADHEERA FUELS MART</v>
      </c>
      <c r="C226" s="11" t="str">
        <f>_xlfn.XLOOKUP(Customer[[#This Row],[Customer ID]],[1]!Name[ID],[1]!Name[Description(2)])</f>
        <v>PS GELIGA</v>
      </c>
      <c r="D226" s="11" t="str">
        <f>_xlfn.XLOOKUP(Customer[[#This Row],[Customer ID]],[1]!Address[ID],[1]!Address[PIC])</f>
        <v/>
      </c>
      <c r="E226" s="11" t="str">
        <f>_xlfn.XLOOKUP(Customer[[#This Row],[Customer ID]],[1]!Address[ID],[1]!Address[Full Address])</f>
        <v>PS GELIGALOT 12202, PM 5179. SIMPANG GELIGA,MUKIM CHUKAI,24000, KEMAMAN, TERENGGANU</v>
      </c>
      <c r="F226" s="12" t="s">
        <v>1682</v>
      </c>
      <c r="G226" s="12" t="s">
        <v>1683</v>
      </c>
      <c r="H226" s="12" t="s">
        <v>1684</v>
      </c>
      <c r="I226" s="12" t="b">
        <f>ISNUMBER(VALUE(LEFT(Customer[[#This Row],[Address Line 3 (30 char)]],1)))</f>
        <v>0</v>
      </c>
      <c r="J226" s="12" t="s">
        <v>1056</v>
      </c>
      <c r="K226" s="12">
        <v>24000</v>
      </c>
      <c r="L226" s="12" t="s">
        <v>35</v>
      </c>
      <c r="M226" s="13" t="e">
        <v>#N/A</v>
      </c>
      <c r="N226" s="14" t="e">
        <v>#N/A</v>
      </c>
      <c r="O226" s="14" t="e">
        <v>#N/A</v>
      </c>
      <c r="P226" s="14" t="e">
        <v>#N/A</v>
      </c>
      <c r="Q226" s="19" t="s">
        <v>1685</v>
      </c>
      <c r="R226" s="15" t="s">
        <v>1686</v>
      </c>
      <c r="S226" s="15" t="s">
        <v>37</v>
      </c>
      <c r="T226" s="16" t="s">
        <v>38</v>
      </c>
      <c r="U226" s="11" t="str">
        <f>_xlfn.XLOOKUP(Customer[[#This Row],[Customer ID]],[1]!Address[ID],[1]!Address[Phone No.(2)])</f>
        <v/>
      </c>
      <c r="V226" s="11" t="str">
        <f>_xlfn.XLOOKUP(Customer[[#This Row],[Customer ID]],[1]!Address[ID],[1]!Address[Type])</f>
        <v>PETROMART</v>
      </c>
      <c r="W226" s="11" t="str">
        <f>_xlfn.XLOOKUP(Customer[[#This Row],[Customer ID]],[1]!Address[ID],[1]!Address[CT])</f>
        <v>30 DAYS</v>
      </c>
      <c r="X226" s="11" t="s">
        <v>39</v>
      </c>
      <c r="Y226" s="17" t="s">
        <v>40</v>
      </c>
      <c r="Z226" s="17" t="e">
        <f>_xlfn.XLOOKUP(Customer[[#This Row],[NewType]],$AF$36:$AF$54,$AG$36:$AG$54)</f>
        <v>#N/A</v>
      </c>
      <c r="AA226" s="17" t="s">
        <v>1687</v>
      </c>
      <c r="AB226" s="11" t="str">
        <f>_xlfn.XLOOKUP(Customer[[#This Row],[Customer ID]],[1]!Address[ID],[1]!Address[Subtype])</f>
        <v>PETRONAS</v>
      </c>
      <c r="AC226" s="18" t="str">
        <f>_xlfn.XLOOKUP(Customer[[#This Row],[Customer ID]],[1]!Address[ID],[1]!Address[Zone])</f>
        <v>EAST COAST</v>
      </c>
    </row>
    <row r="227" spans="1:29" x14ac:dyDescent="0.3">
      <c r="A227" s="10" t="s">
        <v>1688</v>
      </c>
      <c r="B227" s="11" t="str">
        <f>_xlfn.XLOOKUP(Customer[[#This Row],[Customer ID]],[1]!Name[ID],[1]!Name[Description(1)])</f>
        <v>TAUTAN RINDU SDN BHD</v>
      </c>
      <c r="C227" s="11" t="str">
        <f>_xlfn.XLOOKUP(Customer[[#This Row],[Customer ID]],[1]!Name[ID],[1]!Name[Description(2)])</f>
        <v>PS GEMAS (SOUTH 1)</v>
      </c>
      <c r="D227" s="11" t="str">
        <f>_xlfn.XLOOKUP(Customer[[#This Row],[Customer ID]],[1]!Address[ID],[1]!Address[PIC])</f>
        <v/>
      </c>
      <c r="E227" s="11" t="str">
        <f>_xlfn.XLOOKUP(Customer[[#This Row],[Customer ID]],[1]!Address[ID],[1]!Address[Full Address])</f>
        <v>PS GEMAS (SOUTH 1)LOT 999, BATU 1, JALAN BATU ANAM,GEMAS, 73400, TAMPIN,NEGERI SEMBILAN</v>
      </c>
      <c r="F227" s="12" t="s">
        <v>1689</v>
      </c>
      <c r="G227" s="12" t="s">
        <v>1690</v>
      </c>
      <c r="H227" s="12" t="s">
        <v>1691</v>
      </c>
      <c r="I227" s="12" t="b">
        <f>ISNUMBER(VALUE(LEFT(Customer[[#This Row],[Address Line 3 (30 char)]],1)))</f>
        <v>0</v>
      </c>
      <c r="J227" s="12" t="s">
        <v>203</v>
      </c>
      <c r="K227" s="12">
        <v>73400</v>
      </c>
      <c r="L227" s="12" t="s">
        <v>35</v>
      </c>
      <c r="M227" s="13">
        <v>202301024573</v>
      </c>
      <c r="N227" s="14" t="s">
        <v>1692</v>
      </c>
      <c r="O227" s="14" t="e">
        <v>#N/A</v>
      </c>
      <c r="P227" s="14" t="e">
        <v>#N/A</v>
      </c>
      <c r="Q227" s="19" t="s">
        <v>1693</v>
      </c>
      <c r="R227" s="15" t="s">
        <v>520</v>
      </c>
      <c r="S227" s="15" t="s">
        <v>37</v>
      </c>
      <c r="T227" s="16" t="s">
        <v>38</v>
      </c>
      <c r="U227" s="11" t="str">
        <f>_xlfn.XLOOKUP(Customer[[#This Row],[Customer ID]],[1]!Address[ID],[1]!Address[Phone No.(2)])</f>
        <v/>
      </c>
      <c r="V227" s="11" t="str">
        <f>_xlfn.XLOOKUP(Customer[[#This Row],[Customer ID]],[1]!Address[ID],[1]!Address[Type])</f>
        <v>PETROMART</v>
      </c>
      <c r="W227" s="11" t="str">
        <f>_xlfn.XLOOKUP(Customer[[#This Row],[Customer ID]],[1]!Address[ID],[1]!Address[CT])</f>
        <v>30 DAYS</v>
      </c>
      <c r="X227" s="11" t="s">
        <v>39</v>
      </c>
      <c r="Y227" s="17" t="s">
        <v>40</v>
      </c>
      <c r="Z227" s="17" t="e">
        <f>_xlfn.XLOOKUP(Customer[[#This Row],[NewType]],$AF$36:$AF$54,$AG$36:$AG$54)</f>
        <v>#N/A</v>
      </c>
      <c r="AA227" s="17" t="s">
        <v>1694</v>
      </c>
      <c r="AB227" s="11" t="str">
        <f>_xlfn.XLOOKUP(Customer[[#This Row],[Customer ID]],[1]!Address[ID],[1]!Address[Subtype])</f>
        <v>PETRONAS</v>
      </c>
      <c r="AC227" s="18" t="str">
        <f>_xlfn.XLOOKUP(Customer[[#This Row],[Customer ID]],[1]!Address[ID],[1]!Address[Zone])</f>
        <v>CENTRAL</v>
      </c>
    </row>
    <row r="228" spans="1:29" x14ac:dyDescent="0.3">
      <c r="A228" s="10" t="s">
        <v>1695</v>
      </c>
      <c r="B228" s="11" t="str">
        <f>_xlfn.XLOOKUP(Customer[[#This Row],[Customer ID]],[1]!Name[ID],[1]!Name[Description(1)])</f>
        <v>PERTUBUHAN PELADANG KAWASAN TAMPIN</v>
      </c>
      <c r="C228" s="11" t="str">
        <f>_xlfn.XLOOKUP(Customer[[#This Row],[Customer ID]],[1]!Name[ID],[1]!Name[Description(2)])</f>
        <v>PS GEMENCHEH (SOUTH 1)</v>
      </c>
      <c r="D228" s="11" t="str">
        <f>_xlfn.XLOOKUP(Customer[[#This Row],[Customer ID]],[1]!Address[ID],[1]!Address[PIC])</f>
        <v/>
      </c>
      <c r="E228" s="11" t="str">
        <f>_xlfn.XLOOKUP(Customer[[#This Row],[Customer ID]],[1]!Address[ID],[1]!Address[Full Address])</f>
        <v>PS GEMENCHEH (SOUTH 1)LOT 3227, PEKAN GEMENCHEH,73200, TAMPIN, NEGERI 9</v>
      </c>
      <c r="F228" s="12" t="s">
        <v>1696</v>
      </c>
      <c r="G228" s="12" t="s">
        <v>1697</v>
      </c>
      <c r="H228" s="24" t="s">
        <v>1698</v>
      </c>
      <c r="I228" s="24" t="b">
        <f>ISNUMBER(VALUE(LEFT(Customer[[#This Row],[Address Line 3 (30 char)]],1)))</f>
        <v>0</v>
      </c>
      <c r="J228" s="12" t="s">
        <v>203</v>
      </c>
      <c r="K228" s="12">
        <v>73200</v>
      </c>
      <c r="L228" s="12" t="s">
        <v>35</v>
      </c>
      <c r="M228" s="13" t="e">
        <v>#N/A</v>
      </c>
      <c r="N228" s="14" t="e">
        <v>#N/A</v>
      </c>
      <c r="O228" s="14" t="e">
        <v>#N/A</v>
      </c>
      <c r="P228" s="14" t="e">
        <v>#N/A</v>
      </c>
      <c r="Q228" s="19" t="s">
        <v>1699</v>
      </c>
      <c r="R228" s="15" t="s">
        <v>1700</v>
      </c>
      <c r="S228" s="15" t="s">
        <v>37</v>
      </c>
      <c r="T228" s="16" t="s">
        <v>38</v>
      </c>
      <c r="U228" s="11" t="str">
        <f>_xlfn.XLOOKUP(Customer[[#This Row],[Customer ID]],[1]!Address[ID],[1]!Address[Phone No.(2)])</f>
        <v/>
      </c>
      <c r="V228" s="11" t="str">
        <f>_xlfn.XLOOKUP(Customer[[#This Row],[Customer ID]],[1]!Address[ID],[1]!Address[Type])</f>
        <v>PETROMART</v>
      </c>
      <c r="W228" s="11" t="str">
        <f>_xlfn.XLOOKUP(Customer[[#This Row],[Customer ID]],[1]!Address[ID],[1]!Address[CT])</f>
        <v>30 DAYS</v>
      </c>
      <c r="X228" s="11" t="s">
        <v>39</v>
      </c>
      <c r="Y228" s="17" t="s">
        <v>40</v>
      </c>
      <c r="Z228" s="17" t="e">
        <f>_xlfn.XLOOKUP(Customer[[#This Row],[NewType]],$AF$36:$AF$54,$AG$36:$AG$54)</f>
        <v>#N/A</v>
      </c>
      <c r="AA228" s="17" t="s">
        <v>1701</v>
      </c>
      <c r="AB228" s="11" t="str">
        <f>_xlfn.XLOOKUP(Customer[[#This Row],[Customer ID]],[1]!Address[ID],[1]!Address[Subtype])</f>
        <v>PETRONAS</v>
      </c>
      <c r="AC228" s="18" t="str">
        <f>_xlfn.XLOOKUP(Customer[[#This Row],[Customer ID]],[1]!Address[ID],[1]!Address[Zone])</f>
        <v>CENTRAL</v>
      </c>
    </row>
    <row r="229" spans="1:29" x14ac:dyDescent="0.3">
      <c r="A229" s="10" t="s">
        <v>1702</v>
      </c>
      <c r="B229" s="11" t="str">
        <f>_xlfn.XLOOKUP(Customer[[#This Row],[Customer ID]],[1]!Name[ID],[1]!Name[Description(1)])</f>
        <v>ZARINA DEAN RESOURCES</v>
      </c>
      <c r="C229" s="11" t="str">
        <f>_xlfn.XLOOKUP(Customer[[#This Row],[Customer ID]],[1]!Name[ID],[1]!Name[Description(2)])</f>
        <v>PS GEMEREH (SOUTH 1)</v>
      </c>
      <c r="D229" s="11" t="str">
        <f>_xlfn.XLOOKUP(Customer[[#This Row],[Customer ID]],[1]!Address[ID],[1]!Address[PIC])</f>
        <v/>
      </c>
      <c r="E229" s="11" t="str">
        <f>_xlfn.XLOOKUP(Customer[[#This Row],[Customer ID]],[1]!Address[ID],[1]!Address[Full Address])</f>
        <v>PS GEMEREH (SOUTH 1)LOT PTD 1222 &amp; 1223, MUKIM GEMEREH,JALAN SEGAMAT-JEMENTAH,85000, SEGAMAT, JOHOR</v>
      </c>
      <c r="F229" s="12" t="s">
        <v>1703</v>
      </c>
      <c r="G229" s="12" t="s">
        <v>1704</v>
      </c>
      <c r="H229" s="12" t="s">
        <v>1705</v>
      </c>
      <c r="I229" s="12" t="b">
        <f>ISNUMBER(VALUE(LEFT(Customer[[#This Row],[Address Line 3 (30 char)]],1)))</f>
        <v>0</v>
      </c>
      <c r="J229" s="12" t="s">
        <v>52</v>
      </c>
      <c r="K229" s="12">
        <v>85000</v>
      </c>
      <c r="L229" s="12" t="s">
        <v>35</v>
      </c>
      <c r="M229" s="13">
        <v>201603039441</v>
      </c>
      <c r="N229" s="14" t="s">
        <v>1706</v>
      </c>
      <c r="O229" s="14" t="s">
        <v>54</v>
      </c>
      <c r="P229" s="14">
        <v>47300</v>
      </c>
      <c r="Q229" s="19" t="s">
        <v>1707</v>
      </c>
      <c r="R229" s="15" t="s">
        <v>1708</v>
      </c>
      <c r="S229" s="15" t="s">
        <v>37</v>
      </c>
      <c r="T229" s="16" t="s">
        <v>38</v>
      </c>
      <c r="U229" s="11" t="str">
        <f>_xlfn.XLOOKUP(Customer[[#This Row],[Customer ID]],[1]!Address[ID],[1]!Address[Phone No.(2)])</f>
        <v/>
      </c>
      <c r="V229" s="11" t="str">
        <f>_xlfn.XLOOKUP(Customer[[#This Row],[Customer ID]],[1]!Address[ID],[1]!Address[Type])</f>
        <v>PETROMART</v>
      </c>
      <c r="W229" s="11" t="str">
        <f>_xlfn.XLOOKUP(Customer[[#This Row],[Customer ID]],[1]!Address[ID],[1]!Address[CT])</f>
        <v>30 DAYS</v>
      </c>
      <c r="X229" s="11" t="s">
        <v>39</v>
      </c>
      <c r="Y229" s="17" t="s">
        <v>40</v>
      </c>
      <c r="Z229" s="17" t="e">
        <f>_xlfn.XLOOKUP(Customer[[#This Row],[NewType]],$AF$36:$AF$54,$AG$36:$AG$54)</f>
        <v>#N/A</v>
      </c>
      <c r="AA229" s="17" t="s">
        <v>1709</v>
      </c>
      <c r="AB229" s="11" t="str">
        <f>_xlfn.XLOOKUP(Customer[[#This Row],[Customer ID]],[1]!Address[ID],[1]!Address[Subtype])</f>
        <v>PETRONAS</v>
      </c>
      <c r="AC229" s="18" t="str">
        <f>_xlfn.XLOOKUP(Customer[[#This Row],[Customer ID]],[1]!Address[ID],[1]!Address[Zone])</f>
        <v>SOUTH</v>
      </c>
    </row>
    <row r="230" spans="1:29" x14ac:dyDescent="0.3">
      <c r="A230" s="10" t="s">
        <v>1710</v>
      </c>
      <c r="B230" s="11" t="str">
        <f>_xlfn.XLOOKUP(Customer[[#This Row],[Customer ID]],[1]!Name[ID],[1]!Name[Description(1)])</f>
        <v>GEMILANG SAUJANA SYNERGY Y</v>
      </c>
      <c r="C230" s="11" t="str">
        <f>_xlfn.XLOOKUP(Customer[[#This Row],[Customer ID]],[1]!Name[ID],[1]!Name[Description(2)])</f>
        <v>PS GENTING SEMPAH</v>
      </c>
      <c r="D230" s="11" t="str">
        <f>_xlfn.XLOOKUP(Customer[[#This Row],[Customer ID]],[1]!Address[ID],[1]!Address[PIC])</f>
        <v/>
      </c>
      <c r="E230" s="11" t="str">
        <f>_xlfn.XLOOKUP(Customer[[#This Row],[Customer ID]],[1]!Address[ID],[1]!Address[Full Address])</f>
        <v>PS GENTING SEMPAHGENTING SEMPAH,KUALA LUMPUR-KARAK HIGHWAY,BENTONG, 28700 PAHANG</v>
      </c>
      <c r="F230" s="12" t="s">
        <v>1711</v>
      </c>
      <c r="G230" s="12" t="s">
        <v>1712</v>
      </c>
      <c r="H230" s="12" t="s">
        <v>1713</v>
      </c>
      <c r="I230" s="12" t="b">
        <f>ISNUMBER(VALUE(LEFT(Customer[[#This Row],[Address Line 3 (30 char)]],1)))</f>
        <v>0</v>
      </c>
      <c r="J230" s="12" t="s">
        <v>339</v>
      </c>
      <c r="K230" s="12">
        <v>28700</v>
      </c>
      <c r="L230" s="12" t="s">
        <v>35</v>
      </c>
      <c r="M230" s="13">
        <v>202003221789</v>
      </c>
      <c r="N230" s="14" t="s">
        <v>1714</v>
      </c>
      <c r="O230" s="14" t="e">
        <v>#N/A</v>
      </c>
      <c r="P230" s="14" t="e">
        <v>#N/A</v>
      </c>
      <c r="Q230" s="19" t="s">
        <v>1715</v>
      </c>
      <c r="R230" s="15" t="s">
        <v>1716</v>
      </c>
      <c r="S230" s="15" t="s">
        <v>37</v>
      </c>
      <c r="T230" s="16" t="s">
        <v>38</v>
      </c>
      <c r="U230" s="11" t="str">
        <f>_xlfn.XLOOKUP(Customer[[#This Row],[Customer ID]],[1]!Address[ID],[1]!Address[Phone No.(2)])</f>
        <v/>
      </c>
      <c r="V230" s="11" t="str">
        <f>_xlfn.XLOOKUP(Customer[[#This Row],[Customer ID]],[1]!Address[ID],[1]!Address[Type])</f>
        <v>PETROMART</v>
      </c>
      <c r="W230" s="11" t="str">
        <f>_xlfn.XLOOKUP(Customer[[#This Row],[Customer ID]],[1]!Address[ID],[1]!Address[CT])</f>
        <v>30 DAYS</v>
      </c>
      <c r="X230" s="11" t="s">
        <v>39</v>
      </c>
      <c r="Y230" s="17" t="s">
        <v>40</v>
      </c>
      <c r="Z230" s="17" t="e">
        <f>_xlfn.XLOOKUP(Customer[[#This Row],[NewType]],$AF$36:$AF$54,$AG$36:$AG$54)</f>
        <v>#N/A</v>
      </c>
      <c r="AA230" s="17" t="s">
        <v>1717</v>
      </c>
      <c r="AB230" s="11" t="str">
        <f>_xlfn.XLOOKUP(Customer[[#This Row],[Customer ID]],[1]!Address[ID],[1]!Address[Subtype])</f>
        <v>PETRONAS</v>
      </c>
      <c r="AC230" s="18" t="str">
        <f>_xlfn.XLOOKUP(Customer[[#This Row],[Customer ID]],[1]!Address[ID],[1]!Address[Zone])</f>
        <v>EAST COAST</v>
      </c>
    </row>
    <row r="231" spans="1:29" x14ac:dyDescent="0.3">
      <c r="A231" s="10" t="s">
        <v>1718</v>
      </c>
      <c r="B231" s="11" t="str">
        <f>_xlfn.XLOOKUP(Customer[[#This Row],[Customer ID]],[1]!Name[ID],[1]!Name[Description(1)])</f>
        <v>STANA-PETROL</v>
      </c>
      <c r="C231" s="11" t="str">
        <f>_xlfn.XLOOKUP(Customer[[#This Row],[Customer ID]],[1]!Name[ID],[1]!Name[Description(2)])</f>
        <v>PS GENTING SEMPAH (EAST 2)</v>
      </c>
      <c r="D231" s="11" t="str">
        <f>_xlfn.XLOOKUP(Customer[[#This Row],[Customer ID]],[1]!Address[ID],[1]!Address[PIC])</f>
        <v/>
      </c>
      <c r="E231" s="11" t="str">
        <f>_xlfn.XLOOKUP(Customer[[#This Row],[Customer ID]],[1]!Address[ID],[1]!Address[Full Address])</f>
        <v>PS GENTING SEMPAH (EAST 2)GENTING SEMPAH,KUALA LUMPUR-KARAK HIGHWAY,28700, BENTONG, PAHANG</v>
      </c>
      <c r="F231" s="12" t="s">
        <v>1719</v>
      </c>
      <c r="G231" s="12" t="s">
        <v>1712</v>
      </c>
      <c r="H231" s="12" t="s">
        <v>1713</v>
      </c>
      <c r="I231" s="12" t="b">
        <f>ISNUMBER(VALUE(LEFT(Customer[[#This Row],[Address Line 3 (30 char)]],1)))</f>
        <v>0</v>
      </c>
      <c r="J231" s="12" t="s">
        <v>339</v>
      </c>
      <c r="K231" s="12">
        <v>28700</v>
      </c>
      <c r="L231" s="12" t="s">
        <v>35</v>
      </c>
      <c r="M231" s="13" t="e">
        <v>#N/A</v>
      </c>
      <c r="N231" s="14" t="e">
        <v>#N/A</v>
      </c>
      <c r="O231" s="14" t="e">
        <v>#N/A</v>
      </c>
      <c r="P231" s="14" t="e">
        <v>#N/A</v>
      </c>
      <c r="Q231" s="19" t="s">
        <v>1715</v>
      </c>
      <c r="R231" s="15" t="s">
        <v>1720</v>
      </c>
      <c r="S231" s="15" t="s">
        <v>37</v>
      </c>
      <c r="T231" s="16" t="s">
        <v>38</v>
      </c>
      <c r="U231" s="11" t="str">
        <f>_xlfn.XLOOKUP(Customer[[#This Row],[Customer ID]],[1]!Address[ID],[1]!Address[Phone No.(2)])</f>
        <v/>
      </c>
      <c r="V231" s="11" t="str">
        <f>_xlfn.XLOOKUP(Customer[[#This Row],[Customer ID]],[1]!Address[ID],[1]!Address[Type])</f>
        <v>PETROMART</v>
      </c>
      <c r="W231" s="11" t="str">
        <f>_xlfn.XLOOKUP(Customer[[#This Row],[Customer ID]],[1]!Address[ID],[1]!Address[CT])</f>
        <v>30 DAYS</v>
      </c>
      <c r="X231" s="11" t="s">
        <v>39</v>
      </c>
      <c r="Y231" s="17" t="s">
        <v>40</v>
      </c>
      <c r="Z231" s="17" t="e">
        <f>_xlfn.XLOOKUP(Customer[[#This Row],[NewType]],$AF$36:$AF$54,$AG$36:$AG$54)</f>
        <v>#N/A</v>
      </c>
      <c r="AA231" s="17" t="s">
        <v>1721</v>
      </c>
      <c r="AB231" s="11" t="str">
        <f>_xlfn.XLOOKUP(Customer[[#This Row],[Customer ID]],[1]!Address[ID],[1]!Address[Subtype])</f>
        <v>PETRONAS</v>
      </c>
      <c r="AC231" s="18" t="str">
        <f>_xlfn.XLOOKUP(Customer[[#This Row],[Customer ID]],[1]!Address[ID],[1]!Address[Zone])</f>
        <v>EAST COAST</v>
      </c>
    </row>
    <row r="232" spans="1:29" x14ac:dyDescent="0.3">
      <c r="A232" s="10" t="s">
        <v>1722</v>
      </c>
      <c r="B232" s="11" t="str">
        <f>_xlfn.XLOOKUP(Customer[[#This Row],[Customer ID]],[1]!Name[ID],[1]!Name[Description(1)])</f>
        <v>NOVALEICA PETRO ENTERPRISE</v>
      </c>
      <c r="C232" s="11" t="str">
        <f>_xlfn.XLOOKUP(Customer[[#This Row],[Customer ID]],[1]!Name[ID],[1]!Name[Description(2)])</f>
        <v>PS GERIK (NORTH 2)</v>
      </c>
      <c r="D232" s="11" t="str">
        <f>_xlfn.XLOOKUP(Customer[[#This Row],[Customer ID]],[1]!Address[ID],[1]!Address[PIC])</f>
        <v>Hanis Adzha Bin</v>
      </c>
      <c r="E232" s="11" t="str">
        <f>_xlfn.XLOOKUP(Customer[[#This Row],[Customer ID]],[1]!Address[ID],[1]!Address[Full Address])</f>
        <v>PS GERIK (NORTH 2)LOT PT 843, JALAN SULTAN ISKANDAR,GERIK, 33300, PERAK</v>
      </c>
      <c r="F232" s="12" t="s">
        <v>1723</v>
      </c>
      <c r="G232" s="12" t="s">
        <v>1724</v>
      </c>
      <c r="H232" s="12" t="s">
        <v>1725</v>
      </c>
      <c r="I232" s="12" t="b">
        <f>ISNUMBER(VALUE(LEFT(Customer[[#This Row],[Address Line 3 (30 char)]],1)))</f>
        <v>0</v>
      </c>
      <c r="J232" s="12" t="s">
        <v>242</v>
      </c>
      <c r="K232" s="12">
        <v>33300</v>
      </c>
      <c r="L232" s="12" t="s">
        <v>35</v>
      </c>
      <c r="M232" s="13">
        <v>201903076349</v>
      </c>
      <c r="N232" s="14" t="s">
        <v>1726</v>
      </c>
      <c r="O232" s="14" t="e">
        <v>#N/A</v>
      </c>
      <c r="P232" s="14" t="e">
        <v>#N/A</v>
      </c>
      <c r="Q232" s="19" t="s">
        <v>1727</v>
      </c>
      <c r="R232" s="15" t="s">
        <v>1728</v>
      </c>
      <c r="S232" s="15" t="s">
        <v>37</v>
      </c>
      <c r="T232" s="16" t="s">
        <v>38</v>
      </c>
      <c r="U232" s="11" t="str">
        <f>_xlfn.XLOOKUP(Customer[[#This Row],[Customer ID]],[1]!Address[ID],[1]!Address[Phone No.(2)])</f>
        <v/>
      </c>
      <c r="V232" s="11" t="str">
        <f>_xlfn.XLOOKUP(Customer[[#This Row],[Customer ID]],[1]!Address[ID],[1]!Address[Type])</f>
        <v>PETROMART</v>
      </c>
      <c r="W232" s="11" t="str">
        <f>_xlfn.XLOOKUP(Customer[[#This Row],[Customer ID]],[1]!Address[ID],[1]!Address[CT])</f>
        <v>30 DAYS</v>
      </c>
      <c r="X232" s="11" t="s">
        <v>39</v>
      </c>
      <c r="Y232" s="17" t="s">
        <v>40</v>
      </c>
      <c r="Z232" s="17" t="e">
        <f>_xlfn.XLOOKUP(Customer[[#This Row],[NewType]],$AF$36:$AF$54,$AG$36:$AG$54)</f>
        <v>#N/A</v>
      </c>
      <c r="AA232" s="17" t="s">
        <v>1729</v>
      </c>
      <c r="AB232" s="11" t="str">
        <f>_xlfn.XLOOKUP(Customer[[#This Row],[Customer ID]],[1]!Address[ID],[1]!Address[Subtype])</f>
        <v>PETRONAS</v>
      </c>
      <c r="AC232" s="18" t="str">
        <f>_xlfn.XLOOKUP(Customer[[#This Row],[Customer ID]],[1]!Address[ID],[1]!Address[Zone])</f>
        <v>NORTH</v>
      </c>
    </row>
    <row r="233" spans="1:29" x14ac:dyDescent="0.3">
      <c r="A233" s="10" t="s">
        <v>1730</v>
      </c>
      <c r="B233" s="11" t="str">
        <f>_xlfn.XLOOKUP(Customer[[#This Row],[Customer ID]],[1]!Name[ID],[1]!Name[Description(1)])</f>
        <v>GRAND SAGA PETROL STATION</v>
      </c>
      <c r="C233" s="11" t="str">
        <f>_xlfn.XLOOKUP(Customer[[#This Row],[Customer ID]],[1]!Name[ID],[1]!Name[Description(2)])</f>
        <v>PS GRAND SAGA 1 (CENTRAL 3)</v>
      </c>
      <c r="D233" s="11" t="str">
        <f>_xlfn.XLOOKUP(Customer[[#This Row],[Customer ID]],[1]!Address[ID],[1]!Address[PIC])</f>
        <v/>
      </c>
      <c r="E233" s="11" t="str">
        <f>_xlfn.XLOOKUP(Customer[[#This Row],[Customer ID]],[1]!Address[ID],[1]!Address[Full Address])</f>
        <v>PS GRAND SAGA 1 (CENTRAL 3)LOT 219 LEBUHRAYA CHERAS KAJANG,CHERAS, SELANGOR, 43200, ULU LANGAT,SELANGOR</v>
      </c>
      <c r="F233" s="12" t="s">
        <v>1731</v>
      </c>
      <c r="G233" s="12" t="s">
        <v>1732</v>
      </c>
      <c r="H233" s="12" t="s">
        <v>1445</v>
      </c>
      <c r="I233" s="12" t="b">
        <f>ISNUMBER(VALUE(LEFT(Customer[[#This Row],[Address Line 3 (30 char)]],1)))</f>
        <v>0</v>
      </c>
      <c r="J233" s="12" t="s">
        <v>172</v>
      </c>
      <c r="K233" s="12">
        <v>43200</v>
      </c>
      <c r="L233" s="12" t="s">
        <v>35</v>
      </c>
      <c r="M233" s="13" t="e">
        <v>#N/A</v>
      </c>
      <c r="N233" s="14" t="e">
        <v>#N/A</v>
      </c>
      <c r="O233" s="14" t="e">
        <v>#N/A</v>
      </c>
      <c r="P233" s="14" t="e">
        <v>#N/A</v>
      </c>
      <c r="Q233" s="19" t="s">
        <v>1733</v>
      </c>
      <c r="R233" s="15" t="s">
        <v>1734</v>
      </c>
      <c r="S233" s="15" t="s">
        <v>37</v>
      </c>
      <c r="T233" s="16" t="s">
        <v>38</v>
      </c>
      <c r="U233" s="11" t="str">
        <f>_xlfn.XLOOKUP(Customer[[#This Row],[Customer ID]],[1]!Address[ID],[1]!Address[Phone No.(2)])</f>
        <v/>
      </c>
      <c r="V233" s="11" t="str">
        <f>_xlfn.XLOOKUP(Customer[[#This Row],[Customer ID]],[1]!Address[ID],[1]!Address[Type])</f>
        <v>PETROMART</v>
      </c>
      <c r="W233" s="11" t="str">
        <f>_xlfn.XLOOKUP(Customer[[#This Row],[Customer ID]],[1]!Address[ID],[1]!Address[CT])</f>
        <v>30 DAYS</v>
      </c>
      <c r="X233" s="11" t="s">
        <v>39</v>
      </c>
      <c r="Y233" s="17" t="s">
        <v>40</v>
      </c>
      <c r="Z233" s="17" t="e">
        <f>_xlfn.XLOOKUP(Customer[[#This Row],[NewType]],$AF$36:$AF$54,$AG$36:$AG$54)</f>
        <v>#N/A</v>
      </c>
      <c r="AA233" s="17" t="s">
        <v>1735</v>
      </c>
      <c r="AB233" s="11" t="str">
        <f>_xlfn.XLOOKUP(Customer[[#This Row],[Customer ID]],[1]!Address[ID],[1]!Address[Subtype])</f>
        <v>PETRONAS</v>
      </c>
      <c r="AC233" s="18" t="str">
        <f>_xlfn.XLOOKUP(Customer[[#This Row],[Customer ID]],[1]!Address[ID],[1]!Address[Zone])</f>
        <v>CENTRAL</v>
      </c>
    </row>
    <row r="234" spans="1:29" x14ac:dyDescent="0.3">
      <c r="A234" s="10" t="s">
        <v>1736</v>
      </c>
      <c r="B234" s="11" t="str">
        <f>_xlfn.XLOOKUP(Customer[[#This Row],[Customer ID]],[1]!Name[ID],[1]!Name[Description(1)])</f>
        <v>DE WINNER SERVICE STATION</v>
      </c>
      <c r="C234" s="11" t="str">
        <f>_xlfn.XLOOKUP(Customer[[#This Row],[Customer ID]],[1]!Name[ID],[1]!Name[Description(2)])</f>
        <v>PS GRAND SAGA 2 (CENTRAL 3)</v>
      </c>
      <c r="D234" s="11" t="str">
        <f>_xlfn.XLOOKUP(Customer[[#This Row],[Customer ID]],[1]!Address[ID],[1]!Address[PIC])</f>
        <v>Wahida Ashaari</v>
      </c>
      <c r="E234" s="11" t="str">
        <f>_xlfn.XLOOKUP(Customer[[#This Row],[Customer ID]],[1]!Address[ID],[1]!Address[Full Address])</f>
        <v>PS GRAND SAGA 2 (CENTRAL 3)LOT H.S(M) 21178 PT 41316 MUKIM KAJANG,DAERAH HULU LANGAT, KAJANG, SELANGOR,43000, ULU LANGAT, SELANGOR</v>
      </c>
      <c r="F234" s="12" t="s">
        <v>1737</v>
      </c>
      <c r="G234" s="12" t="s">
        <v>1738</v>
      </c>
      <c r="H234" s="12" t="s">
        <v>1739</v>
      </c>
      <c r="I234" s="12" t="b">
        <f>ISNUMBER(VALUE(LEFT(Customer[[#This Row],[Address Line 3 (30 char)]],1)))</f>
        <v>0</v>
      </c>
      <c r="J234" s="12" t="s">
        <v>172</v>
      </c>
      <c r="K234" s="12">
        <v>43000</v>
      </c>
      <c r="L234" s="12" t="s">
        <v>35</v>
      </c>
      <c r="M234" s="13">
        <v>200303029056</v>
      </c>
      <c r="N234" s="14" t="s">
        <v>1740</v>
      </c>
      <c r="O234" s="14" t="s">
        <v>54</v>
      </c>
      <c r="P234" s="14">
        <v>46611</v>
      </c>
      <c r="Q234" s="19" t="s">
        <v>1741</v>
      </c>
      <c r="R234" s="15" t="s">
        <v>1742</v>
      </c>
      <c r="S234" s="15" t="s">
        <v>37</v>
      </c>
      <c r="T234" s="16" t="s">
        <v>38</v>
      </c>
      <c r="U234" s="11" t="str">
        <f>_xlfn.XLOOKUP(Customer[[#This Row],[Customer ID]],[1]!Address[ID],[1]!Address[Phone No.(2)])</f>
        <v/>
      </c>
      <c r="V234" s="11" t="str">
        <f>_xlfn.XLOOKUP(Customer[[#This Row],[Customer ID]],[1]!Address[ID],[1]!Address[Type])</f>
        <v>PETROMART</v>
      </c>
      <c r="W234" s="11" t="str">
        <f>_xlfn.XLOOKUP(Customer[[#This Row],[Customer ID]],[1]!Address[ID],[1]!Address[CT])</f>
        <v>30 DAYS</v>
      </c>
      <c r="X234" s="11" t="s">
        <v>39</v>
      </c>
      <c r="Y234" s="17" t="s">
        <v>40</v>
      </c>
      <c r="Z234" s="17" t="e">
        <f>_xlfn.XLOOKUP(Customer[[#This Row],[NewType]],$AF$36:$AF$54,$AG$36:$AG$54)</f>
        <v>#N/A</v>
      </c>
      <c r="AA234" s="17" t="s">
        <v>1743</v>
      </c>
      <c r="AB234" s="11" t="str">
        <f>_xlfn.XLOOKUP(Customer[[#This Row],[Customer ID]],[1]!Address[ID],[1]!Address[Subtype])</f>
        <v>PETRONAS</v>
      </c>
      <c r="AC234" s="18" t="str">
        <f>_xlfn.XLOOKUP(Customer[[#This Row],[Customer ID]],[1]!Address[ID],[1]!Address[Zone])</f>
        <v>CENTRAL</v>
      </c>
    </row>
    <row r="235" spans="1:29" x14ac:dyDescent="0.3">
      <c r="A235" s="10" t="s">
        <v>1744</v>
      </c>
      <c r="B235" s="11" t="str">
        <f>_xlfn.XLOOKUP(Customer[[#This Row],[Customer ID]],[1]!Name[ID],[1]!Name[Description(1)])</f>
        <v>GRANDQUEST SUPERSTATION</v>
      </c>
      <c r="C235" s="11" t="str">
        <f>_xlfn.XLOOKUP(Customer[[#This Row],[Customer ID]],[1]!Name[ID],[1]!Name[Description(2)])</f>
        <v>PS GRAND SAGA 3 (CENTRAL 3</v>
      </c>
      <c r="D235" s="11" t="str">
        <f>_xlfn.XLOOKUP(Customer[[#This Row],[Customer ID]],[1]!Address[ID],[1]!Address[PIC])</f>
        <v/>
      </c>
      <c r="E235" s="11" t="str">
        <f>_xlfn.XLOOKUP(Customer[[#This Row],[Customer ID]],[1]!Address[ID],[1]!Address[Full Address])</f>
        <v>PS GRAND SAGA 3 (CENTRAL 3LOT 432 LEBUHRAYA GRAND SAGA(KAJANG BOUND), KAJANG, SELANGOR,43000, ULU LANGAT, SELANGOR</v>
      </c>
      <c r="F235" s="12" t="s">
        <v>1745</v>
      </c>
      <c r="G235" s="12" t="s">
        <v>1746</v>
      </c>
      <c r="H235" s="12" t="s">
        <v>1747</v>
      </c>
      <c r="I235" s="12" t="b">
        <f>ISNUMBER(VALUE(LEFT(Customer[[#This Row],[Address Line 3 (30 char)]],1)))</f>
        <v>0</v>
      </c>
      <c r="J235" s="12" t="s">
        <v>172</v>
      </c>
      <c r="K235" s="12">
        <v>43000</v>
      </c>
      <c r="L235" s="12" t="s">
        <v>35</v>
      </c>
      <c r="M235" s="13" t="e">
        <v>#N/A</v>
      </c>
      <c r="N235" s="14" t="e">
        <v>#N/A</v>
      </c>
      <c r="O235" s="14" t="e">
        <v>#N/A</v>
      </c>
      <c r="P235" s="14" t="e">
        <v>#N/A</v>
      </c>
      <c r="Q235" s="19" t="s">
        <v>1748</v>
      </c>
      <c r="R235" s="15" t="s">
        <v>1749</v>
      </c>
      <c r="S235" s="15" t="s">
        <v>37</v>
      </c>
      <c r="T235" s="16" t="s">
        <v>38</v>
      </c>
      <c r="U235" s="11" t="str">
        <f>_xlfn.XLOOKUP(Customer[[#This Row],[Customer ID]],[1]!Address[ID],[1]!Address[Phone No.(2)])</f>
        <v/>
      </c>
      <c r="V235" s="11" t="str">
        <f>_xlfn.XLOOKUP(Customer[[#This Row],[Customer ID]],[1]!Address[ID],[1]!Address[Type])</f>
        <v>PETROMART</v>
      </c>
      <c r="W235" s="11" t="str">
        <f>_xlfn.XLOOKUP(Customer[[#This Row],[Customer ID]],[1]!Address[ID],[1]!Address[CT])</f>
        <v>30 DAYS</v>
      </c>
      <c r="X235" s="11" t="s">
        <v>39</v>
      </c>
      <c r="Y235" s="17" t="s">
        <v>40</v>
      </c>
      <c r="Z235" s="17" t="e">
        <f>_xlfn.XLOOKUP(Customer[[#This Row],[NewType]],$AF$36:$AF$54,$AG$36:$AG$54)</f>
        <v>#N/A</v>
      </c>
      <c r="AA235" s="17" t="s">
        <v>1750</v>
      </c>
      <c r="AB235" s="11" t="str">
        <f>_xlfn.XLOOKUP(Customer[[#This Row],[Customer ID]],[1]!Address[ID],[1]!Address[Subtype])</f>
        <v>PETRONAS</v>
      </c>
      <c r="AC235" s="18" t="str">
        <f>_xlfn.XLOOKUP(Customer[[#This Row],[Customer ID]],[1]!Address[ID],[1]!Address[Zone])</f>
        <v>CENTRAL</v>
      </c>
    </row>
    <row r="236" spans="1:29" x14ac:dyDescent="0.3">
      <c r="A236" s="27" t="s">
        <v>1751</v>
      </c>
      <c r="B236" s="28" t="str">
        <f>_xlfn.XLOOKUP(Customer[[#This Row],[Customer ID]],[1]!Name[ID],[1]!Name[Description(1)])</f>
        <v>BIEMUS RESOURCES</v>
      </c>
      <c r="C236" s="11" t="str">
        <f>_xlfn.XLOOKUP(Customer[[#This Row],[Customer ID]],[1]!Name[ID],[1]!Name[Description(2)])</f>
        <v>PS GUA MUSANG (EAST 1)</v>
      </c>
      <c r="D236" s="11" t="str">
        <f>_xlfn.XLOOKUP(Customer[[#This Row],[Customer ID]],[1]!Address[ID],[1]!Address[PIC])</f>
        <v/>
      </c>
      <c r="E236" s="11" t="str">
        <f>_xlfn.XLOOKUP(Customer[[#This Row],[Customer ID]],[1]!Address[ID],[1]!Address[Full Address])</f>
        <v>PS GUA MUSANG (EAST 1)LOT 169, BANDAR BARU GUA MUSANG,KELANTAN, 18300, GUA MUSANG, KELANTAN</v>
      </c>
      <c r="F236" s="12" t="s">
        <v>1752</v>
      </c>
      <c r="G236" s="12" t="s">
        <v>1753</v>
      </c>
      <c r="H236" s="12" t="s">
        <v>1754</v>
      </c>
      <c r="I236" s="12" t="b">
        <f>ISNUMBER(VALUE(LEFT(Customer[[#This Row],[Address Line 3 (30 char)]],1)))</f>
        <v>0</v>
      </c>
      <c r="J236" s="12" t="s">
        <v>1007</v>
      </c>
      <c r="K236" s="12">
        <v>18300</v>
      </c>
      <c r="L236" s="12" t="s">
        <v>35</v>
      </c>
      <c r="M236" s="13">
        <v>201230115573</v>
      </c>
      <c r="N236" s="31" t="e">
        <v>#N/A</v>
      </c>
      <c r="O236" s="14" t="e">
        <v>#N/A</v>
      </c>
      <c r="P236" s="14" t="e">
        <v>#N/A</v>
      </c>
      <c r="Q236" s="19" t="s">
        <v>1755</v>
      </c>
      <c r="R236" s="15" t="s">
        <v>1756</v>
      </c>
      <c r="S236" s="15" t="s">
        <v>37</v>
      </c>
      <c r="T236" s="16" t="s">
        <v>38</v>
      </c>
      <c r="U236" s="11" t="str">
        <f>_xlfn.XLOOKUP(Customer[[#This Row],[Customer ID]],[1]!Address[ID],[1]!Address[Phone No.(2)])</f>
        <v/>
      </c>
      <c r="V236" s="11" t="str">
        <f>_xlfn.XLOOKUP(Customer[[#This Row],[Customer ID]],[1]!Address[ID],[1]!Address[Type])</f>
        <v>PETROMART</v>
      </c>
      <c r="W236" s="11" t="str">
        <f>_xlfn.XLOOKUP(Customer[[#This Row],[Customer ID]],[1]!Address[ID],[1]!Address[CT])</f>
        <v>30 DAYS</v>
      </c>
      <c r="X236" s="11" t="s">
        <v>39</v>
      </c>
      <c r="Y236" s="17" t="s">
        <v>40</v>
      </c>
      <c r="Z236" s="17" t="e">
        <f>_xlfn.XLOOKUP(Customer[[#This Row],[NewType]],$AF$36:$AF$54,$AG$36:$AG$54)</f>
        <v>#N/A</v>
      </c>
      <c r="AA236" s="17" t="s">
        <v>1757</v>
      </c>
      <c r="AB236" s="11" t="str">
        <f>_xlfn.XLOOKUP(Customer[[#This Row],[Customer ID]],[1]!Address[ID],[1]!Address[Subtype])</f>
        <v>PETRONAS</v>
      </c>
      <c r="AC236" s="18" t="str">
        <f>_xlfn.XLOOKUP(Customer[[#This Row],[Customer ID]],[1]!Address[ID],[1]!Address[Zone])</f>
        <v>EAST COAST</v>
      </c>
    </row>
    <row r="237" spans="1:29" x14ac:dyDescent="0.3">
      <c r="A237" s="10" t="s">
        <v>1758</v>
      </c>
      <c r="B237" s="11" t="str">
        <f>_xlfn.XLOOKUP(Customer[[#This Row],[Customer ID]],[1]!Name[ID],[1]!Name[Description(1)])</f>
        <v>IMSANA TRADING)</v>
      </c>
      <c r="C237" s="11" t="str">
        <f>_xlfn.XLOOKUP(Customer[[#This Row],[Customer ID]],[1]!Name[ID],[1]!Name[Description(2)])</f>
        <v>PS GUCHIL KUALA KERAI (EAST 1)</v>
      </c>
      <c r="D237" s="11" t="str">
        <f>_xlfn.XLOOKUP(Customer[[#This Row],[Customer ID]],[1]!Address[ID],[1]!Address[PIC])</f>
        <v/>
      </c>
      <c r="E237" s="11" t="str">
        <f>_xlfn.XLOOKUP(Customer[[#This Row],[Customer ID]],[1]!Address[ID],[1]!Address[Full Address])</f>
        <v>PS GUCHIL KUALA KERAI (EAST 1)LOT 2424, GUCHIL, KUALA KRAI,KELANTAN, 18020, KUALA KRAI, KELANTAN</v>
      </c>
      <c r="F237" s="12" t="s">
        <v>1759</v>
      </c>
      <c r="G237" s="12" t="s">
        <v>1760</v>
      </c>
      <c r="H237" s="12" t="s">
        <v>1761</v>
      </c>
      <c r="I237" s="12" t="b">
        <f>ISNUMBER(VALUE(LEFT(Customer[[#This Row],[Address Line 3 (30 char)]],1)))</f>
        <v>0</v>
      </c>
      <c r="J237" s="12" t="s">
        <v>1007</v>
      </c>
      <c r="K237" s="12">
        <v>18020</v>
      </c>
      <c r="L237" s="12" t="s">
        <v>35</v>
      </c>
      <c r="M237" s="13" t="e">
        <v>#N/A</v>
      </c>
      <c r="N237" s="14" t="e">
        <v>#N/A</v>
      </c>
      <c r="O237" s="14" t="e">
        <v>#N/A</v>
      </c>
      <c r="P237" s="14" t="e">
        <v>#N/A</v>
      </c>
      <c r="Q237" s="19" t="s">
        <v>1762</v>
      </c>
      <c r="R237" s="15" t="s">
        <v>1763</v>
      </c>
      <c r="S237" s="15" t="s">
        <v>37</v>
      </c>
      <c r="T237" s="16" t="s">
        <v>38</v>
      </c>
      <c r="U237" s="11" t="str">
        <f>_xlfn.XLOOKUP(Customer[[#This Row],[Customer ID]],[1]!Address[ID],[1]!Address[Phone No.(2)])</f>
        <v/>
      </c>
      <c r="V237" s="11" t="str">
        <f>_xlfn.XLOOKUP(Customer[[#This Row],[Customer ID]],[1]!Address[ID],[1]!Address[Type])</f>
        <v>PETROMART</v>
      </c>
      <c r="W237" s="11" t="str">
        <f>_xlfn.XLOOKUP(Customer[[#This Row],[Customer ID]],[1]!Address[ID],[1]!Address[CT])</f>
        <v>30 DAYS</v>
      </c>
      <c r="X237" s="11" t="s">
        <v>39</v>
      </c>
      <c r="Y237" s="17" t="s">
        <v>40</v>
      </c>
      <c r="Z237" s="17" t="e">
        <f>_xlfn.XLOOKUP(Customer[[#This Row],[NewType]],$AF$36:$AF$54,$AG$36:$AG$54)</f>
        <v>#N/A</v>
      </c>
      <c r="AA237" s="17" t="s">
        <v>1764</v>
      </c>
      <c r="AB237" s="11" t="str">
        <f>_xlfn.XLOOKUP(Customer[[#This Row],[Customer ID]],[1]!Address[ID],[1]!Address[Subtype])</f>
        <v>PETRONAS</v>
      </c>
      <c r="AC237" s="18" t="str">
        <f>_xlfn.XLOOKUP(Customer[[#This Row],[Customer ID]],[1]!Address[ID],[1]!Address[Zone])</f>
        <v>EAST COAST</v>
      </c>
    </row>
    <row r="238" spans="1:29" x14ac:dyDescent="0.3">
      <c r="A238" s="10" t="s">
        <v>1765</v>
      </c>
      <c r="B238" s="11" t="str">
        <f>_xlfn.XLOOKUP(Customer[[#This Row],[Customer ID]],[1]!Name[ID],[1]!Name[Description(1)])</f>
        <v>MAJU JKK ENTERPRISE</v>
      </c>
      <c r="C238" s="11" t="str">
        <f>_xlfn.XLOOKUP(Customer[[#This Row],[Customer ID]],[1]!Name[ID],[1]!Name[Description(2)])</f>
        <v>PS GUNUNG LANG (NORTH 2)</v>
      </c>
      <c r="D238" s="11" t="str">
        <f>_xlfn.XLOOKUP(Customer[[#This Row],[Customer ID]],[1]!Address[ID],[1]!Address[PIC])</f>
        <v/>
      </c>
      <c r="E238" s="11" t="str">
        <f>_xlfn.XLOOKUP(Customer[[#This Row],[Customer ID]],[1]!Address[ID],[1]!Address[Full Address])</f>
        <v>PS GUNUNG LANG (NORTH 2)LOT 83419 - 83426JALAN KUALA KANGSAR - IPOH ,30100, KINTA, PERAK</v>
      </c>
      <c r="F238" s="12" t="s">
        <v>1766</v>
      </c>
      <c r="G238" s="12" t="s">
        <v>1767</v>
      </c>
      <c r="H238" s="12" t="s">
        <v>1768</v>
      </c>
      <c r="I238" s="12" t="b">
        <f>ISNUMBER(VALUE(LEFT(Customer[[#This Row],[Address Line 3 (30 char)]],1)))</f>
        <v>0</v>
      </c>
      <c r="J238" s="12" t="s">
        <v>242</v>
      </c>
      <c r="K238" s="12">
        <v>30100</v>
      </c>
      <c r="L238" s="12" t="s">
        <v>35</v>
      </c>
      <c r="M238" s="13" t="e">
        <v>#N/A</v>
      </c>
      <c r="N238" s="14" t="e">
        <v>#N/A</v>
      </c>
      <c r="O238" s="14" t="e">
        <v>#N/A</v>
      </c>
      <c r="P238" s="14" t="e">
        <v>#N/A</v>
      </c>
      <c r="Q238" s="19" t="s">
        <v>1769</v>
      </c>
      <c r="R238" s="15" t="s">
        <v>1770</v>
      </c>
      <c r="S238" s="15" t="s">
        <v>37</v>
      </c>
      <c r="T238" s="16" t="s">
        <v>38</v>
      </c>
      <c r="U238" s="11" t="str">
        <f>_xlfn.XLOOKUP(Customer[[#This Row],[Customer ID]],[1]!Address[ID],[1]!Address[Phone No.(2)])</f>
        <v/>
      </c>
      <c r="V238" s="11" t="str">
        <f>_xlfn.XLOOKUP(Customer[[#This Row],[Customer ID]],[1]!Address[ID],[1]!Address[Type])</f>
        <v>PETROMART</v>
      </c>
      <c r="W238" s="11" t="str">
        <f>_xlfn.XLOOKUP(Customer[[#This Row],[Customer ID]],[1]!Address[ID],[1]!Address[CT])</f>
        <v>30 DAYS</v>
      </c>
      <c r="X238" s="11" t="s">
        <v>39</v>
      </c>
      <c r="Y238" s="17" t="s">
        <v>40</v>
      </c>
      <c r="Z238" s="17" t="e">
        <f>_xlfn.XLOOKUP(Customer[[#This Row],[NewType]],$AF$36:$AF$54,$AG$36:$AG$54)</f>
        <v>#N/A</v>
      </c>
      <c r="AA238" s="17" t="s">
        <v>1771</v>
      </c>
      <c r="AB238" s="11" t="str">
        <f>_xlfn.XLOOKUP(Customer[[#This Row],[Customer ID]],[1]!Address[ID],[1]!Address[Subtype])</f>
        <v>PETRONAS</v>
      </c>
      <c r="AC238" s="18" t="str">
        <f>_xlfn.XLOOKUP(Customer[[#This Row],[Customer ID]],[1]!Address[ID],[1]!Address[Zone])</f>
        <v>NORTH</v>
      </c>
    </row>
    <row r="239" spans="1:29" x14ac:dyDescent="0.3">
      <c r="A239" s="10" t="s">
        <v>1772</v>
      </c>
      <c r="B239" s="11" t="str">
        <f>_xlfn.XLOOKUP(Customer[[#This Row],[Customer ID]],[1]!Name[ID],[1]!Name[Description(1)])</f>
        <v>SERI MULIA ENTERPRISE</v>
      </c>
      <c r="C239" s="11" t="str">
        <f>_xlfn.XLOOKUP(Customer[[#This Row],[Customer ID]],[1]!Name[ID],[1]!Name[Description(2)])</f>
        <v>PS GUNUNG SEMANGGOL (SOUTH BOUND)</v>
      </c>
      <c r="D239" s="11" t="str">
        <f>_xlfn.XLOOKUP(Customer[[#This Row],[Customer ID]],[1]!Address[ID],[1]!Address[PIC])</f>
        <v/>
      </c>
      <c r="E239" s="11" t="str">
        <f>_xlfn.XLOOKUP(Customer[[#This Row],[Customer ID]],[1]!Address[ID],[1]!Address[Full Address])</f>
        <v>PS GUNUNG SEMANGGOL (SOUTH BOUND)KAWASAN REHAT &amp; RAWAT GUNUNGSEMANGGOL (RSA ARAH SELATAN),TAIPING, 34000, LARUT &amp; MATANG, PERAK</v>
      </c>
      <c r="F239" s="12"/>
      <c r="G239" s="12" t="s">
        <v>1773</v>
      </c>
      <c r="H239" s="12" t="s">
        <v>1774</v>
      </c>
      <c r="I239" s="12" t="b">
        <f>ISNUMBER(VALUE(LEFT(Customer[[#This Row],[Address Line 3 (30 char)]],1)))</f>
        <v>0</v>
      </c>
      <c r="J239" s="12" t="s">
        <v>242</v>
      </c>
      <c r="K239" s="12">
        <v>34000</v>
      </c>
      <c r="L239" s="12" t="s">
        <v>35</v>
      </c>
      <c r="M239" s="13" t="e">
        <v>#N/A</v>
      </c>
      <c r="N239" s="14" t="e">
        <v>#N/A</v>
      </c>
      <c r="O239" s="14" t="e">
        <v>#N/A</v>
      </c>
      <c r="P239" s="14" t="e">
        <v>#N/A</v>
      </c>
      <c r="Q239" s="19" t="s">
        <v>1775</v>
      </c>
      <c r="R239" s="15" t="s">
        <v>1286</v>
      </c>
      <c r="S239" s="15" t="s">
        <v>74</v>
      </c>
      <c r="T239" s="16" t="s">
        <v>38</v>
      </c>
      <c r="U239" s="11" t="str">
        <f>_xlfn.XLOOKUP(Customer[[#This Row],[Customer ID]],[1]!Address[ID],[1]!Address[Phone No.(2)])</f>
        <v/>
      </c>
      <c r="V239" s="11" t="str">
        <f>_xlfn.XLOOKUP(Customer[[#This Row],[Customer ID]],[1]!Address[ID],[1]!Address[Type])</f>
        <v>PETROMART</v>
      </c>
      <c r="W239" s="11" t="str">
        <f>_xlfn.XLOOKUP(Customer[[#This Row],[Customer ID]],[1]!Address[ID],[1]!Address[CT])</f>
        <v>30 DAYS</v>
      </c>
      <c r="X239" s="11" t="s">
        <v>39</v>
      </c>
      <c r="Y239" s="17" t="s">
        <v>40</v>
      </c>
      <c r="Z239" s="17" t="e">
        <f>_xlfn.XLOOKUP(Customer[[#This Row],[NewType]],$AF$36:$AF$54,$AG$36:$AG$54)</f>
        <v>#N/A</v>
      </c>
      <c r="AA239" s="17" t="s">
        <v>1776</v>
      </c>
      <c r="AB239" s="11" t="str">
        <f>_xlfn.XLOOKUP(Customer[[#This Row],[Customer ID]],[1]!Address[ID],[1]!Address[Subtype])</f>
        <v>PETRONAS</v>
      </c>
      <c r="AC239" s="18" t="str">
        <f>_xlfn.XLOOKUP(Customer[[#This Row],[Customer ID]],[1]!Address[ID],[1]!Address[Zone])</f>
        <v>NORTH</v>
      </c>
    </row>
    <row r="240" spans="1:29" x14ac:dyDescent="0.3">
      <c r="A240" s="10" t="s">
        <v>1777</v>
      </c>
      <c r="B240" s="11" t="str">
        <f>_xlfn.XLOOKUP(Customer[[#This Row],[Customer ID]],[1]!Name[ID],[1]!Name[Description(1)])</f>
        <v>SYARIKAT ARAS / CAHAYA EZZATI EMPIRE</v>
      </c>
      <c r="C240" s="11" t="str">
        <f>_xlfn.XLOOKUP(Customer[[#This Row],[Customer ID]],[1]!Name[ID],[1]!Name[Description(2)])</f>
        <v>PS GURUN</v>
      </c>
      <c r="D240" s="11" t="str">
        <f>_xlfn.XLOOKUP(Customer[[#This Row],[Customer ID]],[1]!Address[ID],[1]!Address[PIC])</f>
        <v/>
      </c>
      <c r="E240" s="11" t="str">
        <f>_xlfn.XLOOKUP(Customer[[#This Row],[Customer ID]],[1]!Address[ID],[1]!Address[Full Address])</f>
        <v>PS GURUNLOT 27, JALAN RAYAGURUN, KEDAH08300, KUALA MUDA, KEDAH</v>
      </c>
      <c r="F240" s="12" t="s">
        <v>1778</v>
      </c>
      <c r="G240" s="12" t="s">
        <v>1779</v>
      </c>
      <c r="H240" s="12" t="s">
        <v>1780</v>
      </c>
      <c r="I240" s="12" t="b">
        <f>ISNUMBER(VALUE(LEFT(Customer[[#This Row],[Address Line 3 (30 char)]],1)))</f>
        <v>0</v>
      </c>
      <c r="J240" s="12" t="s">
        <v>355</v>
      </c>
      <c r="K240" s="20" t="s">
        <v>1336</v>
      </c>
      <c r="L240" s="12" t="s">
        <v>35</v>
      </c>
      <c r="M240" s="13" t="e">
        <v>#N/A</v>
      </c>
      <c r="N240" s="14" t="e">
        <v>#N/A</v>
      </c>
      <c r="O240" s="14" t="e">
        <v>#N/A</v>
      </c>
      <c r="P240" s="14" t="e">
        <v>#N/A</v>
      </c>
      <c r="Q240" s="19" t="s">
        <v>1781</v>
      </c>
      <c r="R240" s="15" t="s">
        <v>1782</v>
      </c>
      <c r="S240" s="15" t="s">
        <v>74</v>
      </c>
      <c r="T240" s="16" t="s">
        <v>38</v>
      </c>
      <c r="U240" s="11" t="str">
        <f>_xlfn.XLOOKUP(Customer[[#This Row],[Customer ID]],[1]!Address[ID],[1]!Address[Phone No.(2)])</f>
        <v/>
      </c>
      <c r="V240" s="11" t="str">
        <f>_xlfn.XLOOKUP(Customer[[#This Row],[Customer ID]],[1]!Address[ID],[1]!Address[Type])</f>
        <v>PETROMART</v>
      </c>
      <c r="W240" s="11" t="str">
        <f>_xlfn.XLOOKUP(Customer[[#This Row],[Customer ID]],[1]!Address[ID],[1]!Address[CT])</f>
        <v>30 DAYS</v>
      </c>
      <c r="X240" s="11" t="s">
        <v>39</v>
      </c>
      <c r="Y240" s="17" t="s">
        <v>40</v>
      </c>
      <c r="Z240" s="17" t="e">
        <f>_xlfn.XLOOKUP(Customer[[#This Row],[NewType]],$AF$36:$AF$54,$AG$36:$AG$54)</f>
        <v>#N/A</v>
      </c>
      <c r="AA240" s="17" t="s">
        <v>1783</v>
      </c>
      <c r="AB240" s="11" t="str">
        <f>_xlfn.XLOOKUP(Customer[[#This Row],[Customer ID]],[1]!Address[ID],[1]!Address[Subtype])</f>
        <v>PETRONAS</v>
      </c>
      <c r="AC240" s="18" t="str">
        <f>_xlfn.XLOOKUP(Customer[[#This Row],[Customer ID]],[1]!Address[ID],[1]!Address[Zone])</f>
        <v>NORTH</v>
      </c>
    </row>
    <row r="241" spans="1:29" x14ac:dyDescent="0.3">
      <c r="A241" s="10" t="s">
        <v>1784</v>
      </c>
      <c r="B241" s="11" t="str">
        <f>_xlfn.XLOOKUP(Customer[[#This Row],[Customer ID]],[1]!Name[ID],[1]!Name[Description(1)])</f>
        <v>STY SERVICE STATION</v>
      </c>
      <c r="C241" s="11" t="str">
        <f>_xlfn.XLOOKUP(Customer[[#This Row],[Customer ID]],[1]!Name[ID],[1]!Name[Description(2)])</f>
        <v>PS CHEROK TOK KUN</v>
      </c>
      <c r="D241" s="11" t="str">
        <f>_xlfn.XLOOKUP(Customer[[#This Row],[Customer ID]],[1]!Address[ID],[1]!Address[PIC])</f>
        <v/>
      </c>
      <c r="E241" s="11" t="str">
        <f>_xlfn.XLOOKUP(Customer[[#This Row],[Customer ID]],[1]!Address[ID],[1]!Address[Full Address])</f>
        <v>PS CHEROK TOK KUNLOT 148, 149 &amp; 1477 MUKIM 15TENGAH (CHEROK TUK KON) BUKIT MERTAJAM,14000,SEBERANG PERAI TENGAH PULAU PINANG</v>
      </c>
      <c r="F241" s="12" t="s">
        <v>1785</v>
      </c>
      <c r="G241" s="12" t="s">
        <v>1786</v>
      </c>
      <c r="H241" s="12" t="s">
        <v>1277</v>
      </c>
      <c r="I241" s="12" t="b">
        <f>ISNUMBER(VALUE(LEFT(Customer[[#This Row],[Address Line 3 (30 char)]],1)))</f>
        <v>0</v>
      </c>
      <c r="J241" s="12" t="s">
        <v>179</v>
      </c>
      <c r="K241" s="12">
        <v>14000</v>
      </c>
      <c r="L241" s="12" t="s">
        <v>35</v>
      </c>
      <c r="M241" s="13">
        <v>200203074617</v>
      </c>
      <c r="N241" s="14" t="s">
        <v>1787</v>
      </c>
      <c r="O241" s="14" t="e">
        <v>#N/A</v>
      </c>
      <c r="P241" s="14" t="e">
        <v>#N/A</v>
      </c>
      <c r="Q241" s="19" t="s">
        <v>1788</v>
      </c>
      <c r="R241" s="15" t="s">
        <v>1789</v>
      </c>
      <c r="S241" s="15" t="s">
        <v>74</v>
      </c>
      <c r="T241" s="16" t="s">
        <v>38</v>
      </c>
      <c r="U241" s="11" t="str">
        <f>_xlfn.XLOOKUP(Customer[[#This Row],[Customer ID]],[1]!Address[ID],[1]!Address[Phone No.(2)])</f>
        <v/>
      </c>
      <c r="V241" s="11" t="str">
        <f>_xlfn.XLOOKUP(Customer[[#This Row],[Customer ID]],[1]!Address[ID],[1]!Address[Type])</f>
        <v>PETROMART</v>
      </c>
      <c r="W241" s="11" t="str">
        <f>_xlfn.XLOOKUP(Customer[[#This Row],[Customer ID]],[1]!Address[ID],[1]!Address[CT])</f>
        <v>30 DAYS</v>
      </c>
      <c r="X241" s="11" t="s">
        <v>39</v>
      </c>
      <c r="Y241" s="17" t="s">
        <v>40</v>
      </c>
      <c r="Z241" s="17" t="e">
        <f>_xlfn.XLOOKUP(Customer[[#This Row],[NewType]],$AF$36:$AF$54,$AG$36:$AG$54)</f>
        <v>#N/A</v>
      </c>
      <c r="AA241" s="17" t="s">
        <v>1790</v>
      </c>
      <c r="AB241" s="11" t="str">
        <f>_xlfn.XLOOKUP(Customer[[#This Row],[Customer ID]],[1]!Address[ID],[1]!Address[Subtype])</f>
        <v>PETRONAS</v>
      </c>
      <c r="AC241" s="18" t="str">
        <f>_xlfn.XLOOKUP(Customer[[#This Row],[Customer ID]],[1]!Address[ID],[1]!Address[Zone])</f>
        <v>NORTH</v>
      </c>
    </row>
    <row r="242" spans="1:29" x14ac:dyDescent="0.3">
      <c r="A242" s="10" t="s">
        <v>1791</v>
      </c>
      <c r="B242" s="11" t="str">
        <f>_xlfn.XLOOKUP(Customer[[#This Row],[Customer ID]],[1]!Name[ID],[1]!Name[Description(1)])</f>
        <v>NOVA ENERGY ENTERPRISE</v>
      </c>
      <c r="C242" s="11" t="str">
        <f>_xlfn.XLOOKUP(Customer[[#This Row],[Customer ID]],[1]!Name[ID],[1]!Name[Description(2)])</f>
        <v>PS HULU KLANG</v>
      </c>
      <c r="D242" s="11" t="str">
        <f>_xlfn.XLOOKUP(Customer[[#This Row],[Customer ID]],[1]!Address[ID],[1]!Address[PIC])</f>
        <v/>
      </c>
      <c r="E242" s="11" t="str">
        <f>_xlfn.XLOOKUP(Customer[[#This Row],[Customer ID]],[1]!Address[ID],[1]!Address[Full Address])</f>
        <v>PS HULU KLANGLOT 279, BT 7 1/2, JALAN HULU KELANGAMPANG, SELANGOR, 68000ULU LANGAT, SELANGOR</v>
      </c>
      <c r="F242" s="12" t="s">
        <v>1792</v>
      </c>
      <c r="G242" s="12" t="s">
        <v>1793</v>
      </c>
      <c r="H242" s="12" t="s">
        <v>1794</v>
      </c>
      <c r="I242" s="12" t="b">
        <f>ISNUMBER(VALUE(LEFT(Customer[[#This Row],[Address Line 3 (30 char)]],1)))</f>
        <v>0</v>
      </c>
      <c r="J242" s="12" t="s">
        <v>172</v>
      </c>
      <c r="K242" s="12">
        <v>68000</v>
      </c>
      <c r="L242" s="12" t="s">
        <v>35</v>
      </c>
      <c r="M242" s="13" t="e">
        <v>#N/A</v>
      </c>
      <c r="N242" s="14" t="e">
        <v>#N/A</v>
      </c>
      <c r="O242" s="14" t="e">
        <v>#N/A</v>
      </c>
      <c r="P242" s="14" t="e">
        <v>#N/A</v>
      </c>
      <c r="Q242" s="19" t="s">
        <v>1795</v>
      </c>
      <c r="R242" s="15" t="s">
        <v>1796</v>
      </c>
      <c r="S242" s="15" t="s">
        <v>37</v>
      </c>
      <c r="T242" s="16" t="s">
        <v>38</v>
      </c>
      <c r="U242" s="11" t="str">
        <f>_xlfn.XLOOKUP(Customer[[#This Row],[Customer ID]],[1]!Address[ID],[1]!Address[Phone No.(2)])</f>
        <v/>
      </c>
      <c r="V242" s="11" t="str">
        <f>_xlfn.XLOOKUP(Customer[[#This Row],[Customer ID]],[1]!Address[ID],[1]!Address[Type])</f>
        <v>PETROMART</v>
      </c>
      <c r="W242" s="11" t="str">
        <f>_xlfn.XLOOKUP(Customer[[#This Row],[Customer ID]],[1]!Address[ID],[1]!Address[CT])</f>
        <v>30 DAYS</v>
      </c>
      <c r="X242" s="11" t="s">
        <v>39</v>
      </c>
      <c r="Y242" s="17" t="s">
        <v>40</v>
      </c>
      <c r="Z242" s="17" t="e">
        <f>_xlfn.XLOOKUP(Customer[[#This Row],[NewType]],$AF$36:$AF$54,$AG$36:$AG$54)</f>
        <v>#N/A</v>
      </c>
      <c r="AA242" s="17" t="s">
        <v>1797</v>
      </c>
      <c r="AB242" s="11" t="str">
        <f>_xlfn.XLOOKUP(Customer[[#This Row],[Customer ID]],[1]!Address[ID],[1]!Address[Subtype])</f>
        <v>PETRONAS</v>
      </c>
      <c r="AC242" s="18" t="str">
        <f>_xlfn.XLOOKUP(Customer[[#This Row],[Customer ID]],[1]!Address[ID],[1]!Address[Zone])</f>
        <v>CENTRAL</v>
      </c>
    </row>
    <row r="243" spans="1:29" x14ac:dyDescent="0.3">
      <c r="A243" s="10" t="s">
        <v>1798</v>
      </c>
      <c r="B243" s="11" t="str">
        <f>_xlfn.XLOOKUP(Customer[[#This Row],[Customer ID]],[1]!Name[ID],[1]!Name[Description(1)])</f>
        <v>BAROQAH LEGACY ENTERPRISE</v>
      </c>
      <c r="C243" s="11" t="str">
        <f>_xlfn.XLOOKUP(Customer[[#This Row],[Customer ID]],[1]!Name[ID],[1]!Name[Description(2)])</f>
        <v>PS HUTAN MELINTANG</v>
      </c>
      <c r="D243" s="11" t="str">
        <f>_xlfn.XLOOKUP(Customer[[#This Row],[Customer ID]],[1]!Address[ID],[1]!Address[PIC])</f>
        <v/>
      </c>
      <c r="E243" s="11" t="str">
        <f>_xlfn.XLOOKUP(Customer[[#This Row],[Customer ID]],[1]!Address[ID],[1]!Address[Full Address])</f>
        <v>PS HUTAN MELINTANGLOT PT 190 SIMPANG EMPAT,HUTAN MELINTANG, 36400,HILIR PERAK, PERAK</v>
      </c>
      <c r="F243" s="12" t="s">
        <v>1799</v>
      </c>
      <c r="G243" s="12" t="s">
        <v>1800</v>
      </c>
      <c r="H243" s="12" t="s">
        <v>1801</v>
      </c>
      <c r="I243" s="12" t="b">
        <f>ISNUMBER(VALUE(LEFT(Customer[[#This Row],[Address Line 3 (30 char)]],1)))</f>
        <v>0</v>
      </c>
      <c r="J243" s="12" t="s">
        <v>242</v>
      </c>
      <c r="K243" s="12">
        <v>36400</v>
      </c>
      <c r="L243" s="12" t="s">
        <v>35</v>
      </c>
      <c r="M243" s="13" t="e">
        <v>#N/A</v>
      </c>
      <c r="N243" s="14" t="e">
        <v>#N/A</v>
      </c>
      <c r="O243" s="14" t="e">
        <v>#N/A</v>
      </c>
      <c r="P243" s="14" t="e">
        <v>#N/A</v>
      </c>
      <c r="Q243" s="19" t="s">
        <v>1802</v>
      </c>
      <c r="R243" s="15" t="s">
        <v>1803</v>
      </c>
      <c r="S243" s="15" t="s">
        <v>37</v>
      </c>
      <c r="T243" s="16" t="s">
        <v>38</v>
      </c>
      <c r="U243" s="11" t="str">
        <f>_xlfn.XLOOKUP(Customer[[#This Row],[Customer ID]],[1]!Address[ID],[1]!Address[Phone No.(2)])</f>
        <v/>
      </c>
      <c r="V243" s="11" t="str">
        <f>_xlfn.XLOOKUP(Customer[[#This Row],[Customer ID]],[1]!Address[ID],[1]!Address[Type])</f>
        <v>PETROMART</v>
      </c>
      <c r="W243" s="11" t="str">
        <f>_xlfn.XLOOKUP(Customer[[#This Row],[Customer ID]],[1]!Address[ID],[1]!Address[CT])</f>
        <v>30 DAYS</v>
      </c>
      <c r="X243" s="11" t="s">
        <v>39</v>
      </c>
      <c r="Y243" s="17" t="s">
        <v>40</v>
      </c>
      <c r="Z243" s="17" t="e">
        <f>_xlfn.XLOOKUP(Customer[[#This Row],[NewType]],$AF$36:$AF$54,$AG$36:$AG$54)</f>
        <v>#N/A</v>
      </c>
      <c r="AA243" s="17" t="s">
        <v>1804</v>
      </c>
      <c r="AB243" s="11" t="str">
        <f>_xlfn.XLOOKUP(Customer[[#This Row],[Customer ID]],[1]!Address[ID],[1]!Address[Subtype])</f>
        <v>PETRONAS</v>
      </c>
      <c r="AC243" s="18" t="str">
        <f>_xlfn.XLOOKUP(Customer[[#This Row],[Customer ID]],[1]!Address[ID],[1]!Address[Zone])</f>
        <v>NORTH</v>
      </c>
    </row>
    <row r="244" spans="1:29" x14ac:dyDescent="0.3">
      <c r="A244" s="10" t="s">
        <v>1805</v>
      </c>
      <c r="B244" s="11" t="str">
        <f>_xlfn.XLOOKUP(Customer[[#This Row],[Customer ID]],[1]!Name[ID],[1]!Name[Description(1)])</f>
        <v>MOHAMAD ZUHIR BIN HAJI IBRAHIM</v>
      </c>
      <c r="C244" s="11" t="str">
        <f>_xlfn.XLOOKUP(Customer[[#This Row],[Customer ID]],[1]!Name[ID],[1]!Name[Description(2)])</f>
        <v>PS IJOK</v>
      </c>
      <c r="D244" s="11" t="str">
        <f>_xlfn.XLOOKUP(Customer[[#This Row],[Customer ID]],[1]!Address[ID],[1]!Address[PIC])</f>
        <v/>
      </c>
      <c r="E244" s="11" t="str">
        <f>_xlfn.XLOOKUP(Customer[[#This Row],[Customer ID]],[1]!Address[ID],[1]!Address[Full Address])</f>
        <v>PS IJOKLOT 1476, SIMPANG TIGA IJUKBATANG BERJUNTAI, SELANGOR45620, KUALA SELANGOR, SELANGOR</v>
      </c>
      <c r="F244" s="12" t="s">
        <v>1806</v>
      </c>
      <c r="G244" s="12" t="s">
        <v>1807</v>
      </c>
      <c r="H244" s="12" t="s">
        <v>1808</v>
      </c>
      <c r="I244" s="12" t="b">
        <f>ISNUMBER(VALUE(LEFT(Customer[[#This Row],[Address Line 3 (30 char)]],1)))</f>
        <v>0</v>
      </c>
      <c r="J244" s="12" t="s">
        <v>172</v>
      </c>
      <c r="K244" s="12">
        <v>45620</v>
      </c>
      <c r="L244" s="12" t="s">
        <v>35</v>
      </c>
      <c r="M244" s="13" t="e">
        <v>#N/A</v>
      </c>
      <c r="N244" s="14" t="e">
        <v>#N/A</v>
      </c>
      <c r="O244" s="14" t="e">
        <v>#N/A</v>
      </c>
      <c r="P244" s="14" t="e">
        <v>#N/A</v>
      </c>
      <c r="Q244" s="19" t="s">
        <v>1809</v>
      </c>
      <c r="R244" s="15" t="s">
        <v>1810</v>
      </c>
      <c r="S244" s="15" t="s">
        <v>37</v>
      </c>
      <c r="T244" s="16" t="s">
        <v>38</v>
      </c>
      <c r="U244" s="11" t="str">
        <f>_xlfn.XLOOKUP(Customer[[#This Row],[Customer ID]],[1]!Address[ID],[1]!Address[Phone No.(2)])</f>
        <v/>
      </c>
      <c r="V244" s="11" t="str">
        <f>_xlfn.XLOOKUP(Customer[[#This Row],[Customer ID]],[1]!Address[ID],[1]!Address[Type])</f>
        <v>PETROMART</v>
      </c>
      <c r="W244" s="11" t="str">
        <f>_xlfn.XLOOKUP(Customer[[#This Row],[Customer ID]],[1]!Address[ID],[1]!Address[CT])</f>
        <v>30 DAYS</v>
      </c>
      <c r="X244" s="11" t="s">
        <v>39</v>
      </c>
      <c r="Y244" s="17" t="s">
        <v>40</v>
      </c>
      <c r="Z244" s="17" t="e">
        <f>_xlfn.XLOOKUP(Customer[[#This Row],[NewType]],$AF$36:$AF$54,$AG$36:$AG$54)</f>
        <v>#N/A</v>
      </c>
      <c r="AA244" s="17" t="s">
        <v>1811</v>
      </c>
      <c r="AB244" s="11" t="str">
        <f>_xlfn.XLOOKUP(Customer[[#This Row],[Customer ID]],[1]!Address[ID],[1]!Address[Subtype])</f>
        <v>PETRONAS</v>
      </c>
      <c r="AC244" s="18" t="str">
        <f>_xlfn.XLOOKUP(Customer[[#This Row],[Customer ID]],[1]!Address[ID],[1]!Address[Zone])</f>
        <v>CENTRAL</v>
      </c>
    </row>
    <row r="245" spans="1:29" x14ac:dyDescent="0.3">
      <c r="A245" s="10" t="s">
        <v>1812</v>
      </c>
      <c r="B245" s="11" t="str">
        <f>_xlfn.XLOOKUP(Customer[[#This Row],[Customer ID]],[1]!Name[ID],[1]!Name[Description(1)])</f>
        <v>INNER MAHLIGAI SERVICES</v>
      </c>
      <c r="C245" s="11" t="str">
        <f>_xlfn.XLOOKUP(Customer[[#This Row],[Customer ID]],[1]!Name[ID],[1]!Name[Description(2)])</f>
        <v>PS INNER RING ROAD,JB</v>
      </c>
      <c r="D245" s="11" t="str">
        <f>_xlfn.XLOOKUP(Customer[[#This Row],[Customer ID]],[1]!Address[ID],[1]!Address[PIC])</f>
        <v/>
      </c>
      <c r="E245" s="11" t="str">
        <f>_xlfn.XLOOKUP(Customer[[#This Row],[Customer ID]],[1]!Address[ID],[1]!Address[Full Address])</f>
        <v>PS INNER RING ROAD,JBPART OF LOT 823 G 72225INNER RING ROAD, MUKIM BANDARJOHOR, 80720, JOHOR BAHRU, JOHOR</v>
      </c>
      <c r="F245" s="12" t="s">
        <v>1813</v>
      </c>
      <c r="G245" s="12" t="s">
        <v>1814</v>
      </c>
      <c r="H245" s="12" t="s">
        <v>1815</v>
      </c>
      <c r="I245" s="12" t="b">
        <f>ISNUMBER(VALUE(LEFT(Customer[[#This Row],[Address Line 3 (30 char)]],1)))</f>
        <v>0</v>
      </c>
      <c r="J245" s="12" t="s">
        <v>52</v>
      </c>
      <c r="K245" s="12">
        <v>80100</v>
      </c>
      <c r="L245" s="12" t="s">
        <v>35</v>
      </c>
      <c r="M245" s="13">
        <v>200703053321</v>
      </c>
      <c r="N245" s="14" t="s">
        <v>1816</v>
      </c>
      <c r="O245" s="14" t="s">
        <v>54</v>
      </c>
      <c r="P245" s="14">
        <v>47300</v>
      </c>
      <c r="Q245" s="19" t="s">
        <v>1817</v>
      </c>
      <c r="R245" s="15" t="s">
        <v>1818</v>
      </c>
      <c r="S245" s="15" t="s">
        <v>37</v>
      </c>
      <c r="T245" s="16" t="s">
        <v>38</v>
      </c>
      <c r="U245" s="11" t="str">
        <f>_xlfn.XLOOKUP(Customer[[#This Row],[Customer ID]],[1]!Address[ID],[1]!Address[Phone No.(2)])</f>
        <v/>
      </c>
      <c r="V245" s="11" t="str">
        <f>_xlfn.XLOOKUP(Customer[[#This Row],[Customer ID]],[1]!Address[ID],[1]!Address[Type])</f>
        <v>PETROMART</v>
      </c>
      <c r="W245" s="11" t="str">
        <f>_xlfn.XLOOKUP(Customer[[#This Row],[Customer ID]],[1]!Address[ID],[1]!Address[CT])</f>
        <v>30 DAYS</v>
      </c>
      <c r="X245" s="11" t="s">
        <v>39</v>
      </c>
      <c r="Y245" s="17" t="s">
        <v>40</v>
      </c>
      <c r="Z245" s="17" t="e">
        <f>_xlfn.XLOOKUP(Customer[[#This Row],[NewType]],$AF$36:$AF$54,$AG$36:$AG$54)</f>
        <v>#N/A</v>
      </c>
      <c r="AA245" s="17" t="s">
        <v>1819</v>
      </c>
      <c r="AB245" s="11" t="str">
        <f>_xlfn.XLOOKUP(Customer[[#This Row],[Customer ID]],[1]!Address[ID],[1]!Address[Subtype])</f>
        <v>PETRONAS</v>
      </c>
      <c r="AC245" s="18" t="str">
        <f>_xlfn.XLOOKUP(Customer[[#This Row],[Customer ID]],[1]!Address[ID],[1]!Address[Zone])</f>
        <v>SOUTH</v>
      </c>
    </row>
    <row r="246" spans="1:29" x14ac:dyDescent="0.3">
      <c r="A246" s="10" t="s">
        <v>1820</v>
      </c>
      <c r="B246" s="11" t="str">
        <f>_xlfn.XLOOKUP(Customer[[#This Row],[Customer ID]],[1]!Name[ID],[1]!Name[Description(1)])</f>
        <v>AML EDAR (M) SDN BHD</v>
      </c>
      <c r="C246" s="11" t="str">
        <f>_xlfn.XLOOKUP(Customer[[#This Row],[Customer ID]],[1]!Name[ID],[1]!Name[Description(2)])</f>
        <v>PS JABI</v>
      </c>
      <c r="D246" s="11" t="str">
        <f>_xlfn.XLOOKUP(Customer[[#This Row],[Customer ID]],[1]!Address[ID],[1]!Address[PIC])</f>
        <v>AZIRA</v>
      </c>
      <c r="E246" s="11" t="str">
        <f>_xlfn.XLOOKUP(Customer[[#This Row],[Customer ID]],[1]!Address[ID],[1]!Address[Full Address])</f>
        <v>PS JABIPT 11485 STESEN MINYAK PETRONASJALAN BESAR KAMPUNG TOK DOR22020 BESUT, TERENGGANU,</v>
      </c>
      <c r="F246" s="12" t="s">
        <v>1821</v>
      </c>
      <c r="G246" s="12" t="s">
        <v>1822</v>
      </c>
      <c r="H246" s="12" t="s">
        <v>1823</v>
      </c>
      <c r="I246" s="12" t="b">
        <f>ISNUMBER(VALUE(LEFT(Customer[[#This Row],[Address Line 3 (30 char)]],1)))</f>
        <v>0</v>
      </c>
      <c r="J246" s="12" t="s">
        <v>1056</v>
      </c>
      <c r="K246" s="12">
        <v>22020</v>
      </c>
      <c r="L246" s="12" t="s">
        <v>35</v>
      </c>
      <c r="M246" s="13">
        <v>201901030471</v>
      </c>
      <c r="N246" s="14" t="s">
        <v>1824</v>
      </c>
      <c r="O246" s="14" t="e">
        <v>#N/A</v>
      </c>
      <c r="P246" s="14" t="e">
        <v>#N/A</v>
      </c>
      <c r="Q246" s="19" t="s">
        <v>1825</v>
      </c>
      <c r="R246" s="15" t="s">
        <v>1826</v>
      </c>
      <c r="S246" s="15" t="s">
        <v>37</v>
      </c>
      <c r="T246" s="16" t="s">
        <v>38</v>
      </c>
      <c r="U246" s="11" t="str">
        <f>_xlfn.XLOOKUP(Customer[[#This Row],[Customer ID]],[1]!Address[ID],[1]!Address[Phone No.(2)])</f>
        <v/>
      </c>
      <c r="V246" s="11" t="str">
        <f>_xlfn.XLOOKUP(Customer[[#This Row],[Customer ID]],[1]!Address[ID],[1]!Address[Type])</f>
        <v>PETROMART</v>
      </c>
      <c r="W246" s="11" t="str">
        <f>_xlfn.XLOOKUP(Customer[[#This Row],[Customer ID]],[1]!Address[ID],[1]!Address[CT])</f>
        <v>30 DAYS</v>
      </c>
      <c r="X246" s="11" t="s">
        <v>39</v>
      </c>
      <c r="Y246" s="17" t="s">
        <v>40</v>
      </c>
      <c r="Z246" s="17" t="e">
        <f>_xlfn.XLOOKUP(Customer[[#This Row],[NewType]],$AF$36:$AF$54,$AG$36:$AG$54)</f>
        <v>#N/A</v>
      </c>
      <c r="AA246" s="17" t="s">
        <v>1827</v>
      </c>
      <c r="AB246" s="11" t="str">
        <f>_xlfn.XLOOKUP(Customer[[#This Row],[Customer ID]],[1]!Address[ID],[1]!Address[Subtype])</f>
        <v>PETRONAS</v>
      </c>
      <c r="AC246" s="18" t="str">
        <f>_xlfn.XLOOKUP(Customer[[#This Row],[Customer ID]],[1]!Address[ID],[1]!Address[Zone])</f>
        <v>EAST COAST</v>
      </c>
    </row>
    <row r="247" spans="1:29" x14ac:dyDescent="0.3">
      <c r="A247" s="10" t="s">
        <v>1828</v>
      </c>
      <c r="B247" s="11" t="str">
        <f>_xlfn.XLOOKUP(Customer[[#This Row],[Customer ID]],[1]!Name[ID],[1]!Name[Description(1)])</f>
        <v>MARHAA ENTERPRISE</v>
      </c>
      <c r="C247" s="11" t="str">
        <f>_xlfn.XLOOKUP(Customer[[#This Row],[Customer ID]],[1]!Name[ID],[1]!Name[Description(2)])</f>
        <v>PS JAKAR</v>
      </c>
      <c r="D247" s="11" t="str">
        <f>_xlfn.XLOOKUP(Customer[[#This Row],[Customer ID]],[1]!Address[ID],[1]!Address[PIC])</f>
        <v/>
      </c>
      <c r="E247" s="11" t="str">
        <f>_xlfn.XLOOKUP(Customer[[#This Row],[Customer ID]],[1]!Address[ID],[1]!Address[Full Address])</f>
        <v>PS JAKARKAWASAN PERINDUSTRIAN JAKARKEMAMAN, TERENGGANU24000, KEMAMAN, TERENGGANU</v>
      </c>
      <c r="F247" s="12" t="s">
        <v>1829</v>
      </c>
      <c r="G247" s="12" t="s">
        <v>1830</v>
      </c>
      <c r="H247" s="12" t="s">
        <v>1831</v>
      </c>
      <c r="I247" s="12" t="b">
        <f>ISNUMBER(VALUE(LEFT(Customer[[#This Row],[Address Line 3 (30 char)]],1)))</f>
        <v>0</v>
      </c>
      <c r="J247" s="12" t="s">
        <v>1056</v>
      </c>
      <c r="K247" s="12">
        <v>24000</v>
      </c>
      <c r="L247" s="12" t="s">
        <v>35</v>
      </c>
      <c r="M247" s="13" t="e">
        <v>#N/A</v>
      </c>
      <c r="N247" s="14" t="e">
        <v>#N/A</v>
      </c>
      <c r="O247" s="14" t="e">
        <v>#N/A</v>
      </c>
      <c r="P247" s="14" t="e">
        <v>#N/A</v>
      </c>
      <c r="Q247" s="19" t="s">
        <v>1832</v>
      </c>
      <c r="R247" s="15" t="s">
        <v>1833</v>
      </c>
      <c r="S247" s="15" t="s">
        <v>37</v>
      </c>
      <c r="T247" s="16" t="s">
        <v>38</v>
      </c>
      <c r="U247" s="11" t="str">
        <f>_xlfn.XLOOKUP(Customer[[#This Row],[Customer ID]],[1]!Address[ID],[1]!Address[Phone No.(2)])</f>
        <v/>
      </c>
      <c r="V247" s="11" t="str">
        <f>_xlfn.XLOOKUP(Customer[[#This Row],[Customer ID]],[1]!Address[ID],[1]!Address[Type])</f>
        <v>PETROMART</v>
      </c>
      <c r="W247" s="11" t="str">
        <f>_xlfn.XLOOKUP(Customer[[#This Row],[Customer ID]],[1]!Address[ID],[1]!Address[CT])</f>
        <v>30 DAYS</v>
      </c>
      <c r="X247" s="11" t="s">
        <v>39</v>
      </c>
      <c r="Y247" s="17" t="s">
        <v>40</v>
      </c>
      <c r="Z247" s="17" t="e">
        <f>_xlfn.XLOOKUP(Customer[[#This Row],[NewType]],$AF$36:$AF$54,$AG$36:$AG$54)</f>
        <v>#N/A</v>
      </c>
      <c r="AA247" s="17" t="s">
        <v>1834</v>
      </c>
      <c r="AB247" s="11" t="str">
        <f>_xlfn.XLOOKUP(Customer[[#This Row],[Customer ID]],[1]!Address[ID],[1]!Address[Subtype])</f>
        <v>PETRONAS</v>
      </c>
      <c r="AC247" s="18" t="str">
        <f>_xlfn.XLOOKUP(Customer[[#This Row],[Customer ID]],[1]!Address[ID],[1]!Address[Zone])</f>
        <v>EAST COAST</v>
      </c>
    </row>
    <row r="248" spans="1:29" x14ac:dyDescent="0.3">
      <c r="A248" s="10" t="s">
        <v>1835</v>
      </c>
      <c r="B248" s="11" t="str">
        <f>_xlfn.XLOOKUP(Customer[[#This Row],[Customer ID]],[1]!Name[ID],[1]!Name[Description(1)])</f>
        <v>SERVIS STESYEN MAZAH</v>
      </c>
      <c r="C248" s="11" t="str">
        <f>_xlfn.XLOOKUP(Customer[[#This Row],[Customer ID]],[1]!Name[ID],[1]!Name[Description(2)])</f>
        <v>PS JALAN 222, PETALING JAYA</v>
      </c>
      <c r="D248" s="11" t="str">
        <f>_xlfn.XLOOKUP(Customer[[#This Row],[Customer ID]],[1]!Address[ID],[1]!Address[PIC])</f>
        <v>Sayed</v>
      </c>
      <c r="E248" s="11" t="str">
        <f>_xlfn.XLOOKUP(Customer[[#This Row],[Customer ID]],[1]!Address[ID],[1]!Address[Full Address])</f>
        <v>PS JALAN 222, PETALING JAYALOT 1, JALAN 51A/227APETALING JAYA, 46100,PETALING, SELANGOR</v>
      </c>
      <c r="F248" s="12" t="s">
        <v>1836</v>
      </c>
      <c r="G248" s="12" t="s">
        <v>1837</v>
      </c>
      <c r="H248" s="12" t="s">
        <v>1838</v>
      </c>
      <c r="I248" s="12" t="b">
        <f>ISNUMBER(VALUE(LEFT(Customer[[#This Row],[Address Line 3 (30 char)]],1)))</f>
        <v>0</v>
      </c>
      <c r="J248" s="12" t="s">
        <v>172</v>
      </c>
      <c r="K248" s="12">
        <v>46100</v>
      </c>
      <c r="L248" s="12" t="s">
        <v>35</v>
      </c>
      <c r="M248" s="13">
        <v>199303074654</v>
      </c>
      <c r="N248" s="14" t="s">
        <v>1839</v>
      </c>
      <c r="O248" s="14" t="e">
        <v>#N/A</v>
      </c>
      <c r="P248" s="14" t="e">
        <v>#N/A</v>
      </c>
      <c r="Q248" s="19" t="s">
        <v>1840</v>
      </c>
      <c r="R248" s="15" t="s">
        <v>1841</v>
      </c>
      <c r="S248" s="15" t="s">
        <v>37</v>
      </c>
      <c r="T248" s="16" t="s">
        <v>38</v>
      </c>
      <c r="U248" s="11" t="str">
        <f>_xlfn.XLOOKUP(Customer[[#This Row],[Customer ID]],[1]!Address[ID],[1]!Address[Phone No.(2)])</f>
        <v/>
      </c>
      <c r="V248" s="11" t="str">
        <f>_xlfn.XLOOKUP(Customer[[#This Row],[Customer ID]],[1]!Address[ID],[1]!Address[Type])</f>
        <v>PETROMART</v>
      </c>
      <c r="W248" s="11" t="str">
        <f>_xlfn.XLOOKUP(Customer[[#This Row],[Customer ID]],[1]!Address[ID],[1]!Address[CT])</f>
        <v>30 DAYS</v>
      </c>
      <c r="X248" s="11" t="s">
        <v>39</v>
      </c>
      <c r="Y248" s="17" t="s">
        <v>40</v>
      </c>
      <c r="Z248" s="17" t="e">
        <f>_xlfn.XLOOKUP(Customer[[#This Row],[NewType]],$AF$36:$AF$54,$AG$36:$AG$54)</f>
        <v>#N/A</v>
      </c>
      <c r="AA248" s="17" t="s">
        <v>1842</v>
      </c>
      <c r="AB248" s="11" t="str">
        <f>_xlfn.XLOOKUP(Customer[[#This Row],[Customer ID]],[1]!Address[ID],[1]!Address[Subtype])</f>
        <v>PETRONAS</v>
      </c>
      <c r="AC248" s="18" t="str">
        <f>_xlfn.XLOOKUP(Customer[[#This Row],[Customer ID]],[1]!Address[ID],[1]!Address[Zone])</f>
        <v>CENTRAL</v>
      </c>
    </row>
    <row r="249" spans="1:29" x14ac:dyDescent="0.3">
      <c r="A249" s="10" t="s">
        <v>1843</v>
      </c>
      <c r="B249" s="11" t="str">
        <f>_xlfn.XLOOKUP(Customer[[#This Row],[Customer ID]],[1]!Name[ID],[1]!Name[Description(1)])</f>
        <v>HP PARK ONE SDN. BHD.</v>
      </c>
      <c r="C249" s="11" t="str">
        <f>_xlfn.XLOOKUP(Customer[[#This Row],[Customer ID]],[1]!Name[ID],[1]!Name[Description(2)])</f>
        <v>PS HARBOUR PARK LANGKAWI</v>
      </c>
      <c r="D249" s="11" t="str">
        <f>_xlfn.XLOOKUP(Customer[[#This Row],[Customer ID]],[1]!Address[ID],[1]!Address[PIC])</f>
        <v/>
      </c>
      <c r="E249" s="11" t="str">
        <f>_xlfn.XLOOKUP(Customer[[#This Row],[Customer ID]],[1]!Address[ID],[1]!Address[Full Address])</f>
        <v>PS HARBOUR PARK LANGKAWIPETRONAS SERVICE STATION, HARBOUR PARK LPANTAI KOK, PADANG MAT SIRATLANGKAWI, KEDAH , 07000</v>
      </c>
      <c r="F249" s="12" t="s">
        <v>1844</v>
      </c>
      <c r="G249" s="12" t="s">
        <v>1845</v>
      </c>
      <c r="H249" s="12" t="s">
        <v>1846</v>
      </c>
      <c r="I249" s="12" t="b">
        <f>ISNUMBER(VALUE(LEFT(Customer[[#This Row],[Address Line 3 (30 char)]],1)))</f>
        <v>0</v>
      </c>
      <c r="J249" s="12" t="s">
        <v>179</v>
      </c>
      <c r="K249" s="20" t="s">
        <v>1847</v>
      </c>
      <c r="L249" s="12" t="s">
        <v>35</v>
      </c>
      <c r="M249" s="13" t="e">
        <v>#N/A</v>
      </c>
      <c r="N249" s="14" t="e">
        <v>#N/A</v>
      </c>
      <c r="O249" s="14" t="e">
        <v>#N/A</v>
      </c>
      <c r="P249" s="14" t="e">
        <v>#N/A</v>
      </c>
      <c r="Q249" s="19" t="s">
        <v>1848</v>
      </c>
      <c r="R249" s="15" t="s">
        <v>1849</v>
      </c>
      <c r="S249" s="15" t="s">
        <v>74</v>
      </c>
      <c r="T249" s="16" t="s">
        <v>38</v>
      </c>
      <c r="U249" s="11" t="str">
        <f>_xlfn.XLOOKUP(Customer[[#This Row],[Customer ID]],[1]!Address[ID],[1]!Address[Phone No.(2)])</f>
        <v>49668389</v>
      </c>
      <c r="V249" s="11" t="str">
        <f>_xlfn.XLOOKUP(Customer[[#This Row],[Customer ID]],[1]!Address[ID],[1]!Address[Type])</f>
        <v>PETROMART</v>
      </c>
      <c r="W249" s="11" t="str">
        <f>_xlfn.XLOOKUP(Customer[[#This Row],[Customer ID]],[1]!Address[ID],[1]!Address[CT])</f>
        <v>30 DAYS</v>
      </c>
      <c r="X249" s="11" t="s">
        <v>39</v>
      </c>
      <c r="Y249" s="17" t="s">
        <v>40</v>
      </c>
      <c r="Z249" s="17" t="e">
        <f>_xlfn.XLOOKUP(Customer[[#This Row],[NewType]],$AF$36:$AF$54,$AG$36:$AG$54)</f>
        <v>#N/A</v>
      </c>
      <c r="AA249" s="17" t="s">
        <v>1850</v>
      </c>
      <c r="AB249" s="11" t="str">
        <f>_xlfn.XLOOKUP(Customer[[#This Row],[Customer ID]],[1]!Address[ID],[1]!Address[Subtype])</f>
        <v>PETRONAS</v>
      </c>
      <c r="AC249" s="18" t="str">
        <f>_xlfn.XLOOKUP(Customer[[#This Row],[Customer ID]],[1]!Address[ID],[1]!Address[Zone])</f>
        <v>NORTH</v>
      </c>
    </row>
    <row r="250" spans="1:29" x14ac:dyDescent="0.3">
      <c r="A250" s="10" t="s">
        <v>1851</v>
      </c>
      <c r="B250" s="11" t="str">
        <f>_xlfn.XLOOKUP(Customer[[#This Row],[Customer ID]],[1]!Name[ID],[1]!Name[Description(1)])</f>
        <v>BASHARUDDIN ENTERPRISE</v>
      </c>
      <c r="C250" s="11" t="str">
        <f>_xlfn.XLOOKUP(Customer[[#This Row],[Customer ID]],[1]!Name[ID],[1]!Name[Description(2)])</f>
        <v>PS JALAN AIR PUTIH, KUANTAN</v>
      </c>
      <c r="D250" s="11" t="str">
        <f>_xlfn.XLOOKUP(Customer[[#This Row],[Customer ID]],[1]!Address[ID],[1]!Address[PIC])</f>
        <v/>
      </c>
      <c r="E250" s="11" t="str">
        <f>_xlfn.XLOOKUP(Customer[[#This Row],[Customer ID]],[1]!Address[ID],[1]!Address[Full Address])</f>
        <v>PS JALAN AIR PUTIH, KUANTANLOT 33050JALAN AIR PUTEH25300, KUANTAN, PAHANG</v>
      </c>
      <c r="F250" s="12" t="s">
        <v>1852</v>
      </c>
      <c r="G250" s="12" t="s">
        <v>1853</v>
      </c>
      <c r="H250" s="12" t="s">
        <v>1854</v>
      </c>
      <c r="I250" s="12" t="b">
        <f>ISNUMBER(VALUE(LEFT(Customer[[#This Row],[Address Line 3 (30 char)]],1)))</f>
        <v>0</v>
      </c>
      <c r="J250" s="12" t="s">
        <v>339</v>
      </c>
      <c r="K250" s="12">
        <v>25300</v>
      </c>
      <c r="L250" s="12" t="s">
        <v>35</v>
      </c>
      <c r="M250" s="13">
        <v>200203142935</v>
      </c>
      <c r="N250" s="14" t="s">
        <v>1855</v>
      </c>
      <c r="O250" s="14" t="e">
        <v>#N/A</v>
      </c>
      <c r="P250" s="14" t="e">
        <v>#N/A</v>
      </c>
      <c r="Q250" s="19" t="s">
        <v>1856</v>
      </c>
      <c r="R250" s="15" t="s">
        <v>1857</v>
      </c>
      <c r="S250" s="15" t="s">
        <v>37</v>
      </c>
      <c r="T250" s="16" t="s">
        <v>38</v>
      </c>
      <c r="U250" s="11" t="str">
        <f>_xlfn.XLOOKUP(Customer[[#This Row],[Customer ID]],[1]!Address[ID],[1]!Address[Phone No.(2)])</f>
        <v/>
      </c>
      <c r="V250" s="11" t="str">
        <f>_xlfn.XLOOKUP(Customer[[#This Row],[Customer ID]],[1]!Address[ID],[1]!Address[Type])</f>
        <v>PETROMART</v>
      </c>
      <c r="W250" s="11" t="str">
        <f>_xlfn.XLOOKUP(Customer[[#This Row],[Customer ID]],[1]!Address[ID],[1]!Address[CT])</f>
        <v>30 DAYS</v>
      </c>
      <c r="X250" s="11" t="s">
        <v>39</v>
      </c>
      <c r="Y250" s="17" t="s">
        <v>40</v>
      </c>
      <c r="Z250" s="17" t="e">
        <f>_xlfn.XLOOKUP(Customer[[#This Row],[NewType]],$AF$36:$AF$54,$AG$36:$AG$54)</f>
        <v>#N/A</v>
      </c>
      <c r="AA250" s="17" t="s">
        <v>1858</v>
      </c>
      <c r="AB250" s="11" t="str">
        <f>_xlfn.XLOOKUP(Customer[[#This Row],[Customer ID]],[1]!Address[ID],[1]!Address[Subtype])</f>
        <v>PETRONAS</v>
      </c>
      <c r="AC250" s="18" t="str">
        <f>_xlfn.XLOOKUP(Customer[[#This Row],[Customer ID]],[1]!Address[ID],[1]!Address[Zone])</f>
        <v>EAST COAST</v>
      </c>
    </row>
    <row r="251" spans="1:29" x14ac:dyDescent="0.3">
      <c r="A251" s="10" t="s">
        <v>1859</v>
      </c>
      <c r="B251" s="11" t="str">
        <f>_xlfn.XLOOKUP(Customer[[#This Row],[Customer ID]],[1]!Name[ID],[1]!Name[Description(1)])</f>
        <v>PASIR GUDANG PETROLEUM</v>
      </c>
      <c r="C251" s="11" t="str">
        <f>_xlfn.XLOOKUP(Customer[[#This Row],[Customer ID]],[1]!Name[ID],[1]!Name[Description(2)])</f>
        <v>PS JALAN BANDAR PASIR GUDANG</v>
      </c>
      <c r="D251" s="11" t="str">
        <f>_xlfn.XLOOKUP(Customer[[#This Row],[Customer ID]],[1]!Address[ID],[1]!Address[PIC])</f>
        <v/>
      </c>
      <c r="E251" s="11" t="str">
        <f>_xlfn.XLOOKUP(Customer[[#This Row],[Customer ID]],[1]!Address[ID],[1]!Address[Full Address])</f>
        <v>PS JALAN BANDAR PASIR GUDANGLOT PTD 69990 HS(D) 124966MUKIM PLENTONG, JALAN BANDAR,JOHOR, 81700, JOHOR BAHRU, JOHOR</v>
      </c>
      <c r="F251" s="12" t="s">
        <v>1860</v>
      </c>
      <c r="G251" s="12" t="s">
        <v>1861</v>
      </c>
      <c r="H251" s="12" t="s">
        <v>1862</v>
      </c>
      <c r="I251" s="12" t="b">
        <f>ISNUMBER(VALUE(LEFT(Customer[[#This Row],[Address Line 3 (30 char)]],1)))</f>
        <v>0</v>
      </c>
      <c r="J251" s="12" t="s">
        <v>52</v>
      </c>
      <c r="K251" s="12">
        <v>81700</v>
      </c>
      <c r="L251" s="12" t="s">
        <v>35</v>
      </c>
      <c r="M251" s="13">
        <v>201003005246</v>
      </c>
      <c r="N251" s="14" t="s">
        <v>1863</v>
      </c>
      <c r="O251" s="14"/>
      <c r="P251" s="14">
        <v>46611</v>
      </c>
      <c r="Q251" s="19" t="s">
        <v>1864</v>
      </c>
      <c r="R251" s="15" t="s">
        <v>1865</v>
      </c>
      <c r="S251" s="15" t="s">
        <v>37</v>
      </c>
      <c r="T251" s="16" t="s">
        <v>38</v>
      </c>
      <c r="U251" s="11" t="str">
        <f>_xlfn.XLOOKUP(Customer[[#This Row],[Customer ID]],[1]!Address[ID],[1]!Address[Phone No.(2)])</f>
        <v/>
      </c>
      <c r="V251" s="11" t="str">
        <f>_xlfn.XLOOKUP(Customer[[#This Row],[Customer ID]],[1]!Address[ID],[1]!Address[Type])</f>
        <v>PETROMART</v>
      </c>
      <c r="W251" s="11" t="str">
        <f>_xlfn.XLOOKUP(Customer[[#This Row],[Customer ID]],[1]!Address[ID],[1]!Address[CT])</f>
        <v>30 DAYS</v>
      </c>
      <c r="X251" s="11" t="s">
        <v>39</v>
      </c>
      <c r="Y251" s="17" t="s">
        <v>40</v>
      </c>
      <c r="Z251" s="17" t="e">
        <f>_xlfn.XLOOKUP(Customer[[#This Row],[NewType]],$AF$36:$AF$54,$AG$36:$AG$54)</f>
        <v>#N/A</v>
      </c>
      <c r="AA251" s="17" t="s">
        <v>1866</v>
      </c>
      <c r="AB251" s="11" t="str">
        <f>_xlfn.XLOOKUP(Customer[[#This Row],[Customer ID]],[1]!Address[ID],[1]!Address[Subtype])</f>
        <v>PETRONAS</v>
      </c>
      <c r="AC251" s="18" t="str">
        <f>_xlfn.XLOOKUP(Customer[[#This Row],[Customer ID]],[1]!Address[ID],[1]!Address[Zone])</f>
        <v>SOUTH</v>
      </c>
    </row>
    <row r="252" spans="1:29" x14ac:dyDescent="0.3">
      <c r="A252" s="10" t="s">
        <v>1867</v>
      </c>
      <c r="B252" s="11" t="str">
        <f>_xlfn.XLOOKUP(Customer[[#This Row],[Customer ID]],[1]!Name[ID],[1]!Name[Description(1)])</f>
        <v>STESEN MINYAK TASHA</v>
      </c>
      <c r="C252" s="11" t="str">
        <f>_xlfn.XLOOKUP(Customer[[#This Row],[Customer ID]],[1]!Name[ID],[1]!Name[Description(2)])</f>
        <v>PS JALAN BATU PAHAT KLUANG</v>
      </c>
      <c r="D252" s="11" t="str">
        <f>_xlfn.XLOOKUP(Customer[[#This Row],[Customer ID]],[1]!Address[ID],[1]!Address[PIC])</f>
        <v/>
      </c>
      <c r="E252" s="11" t="str">
        <f>_xlfn.XLOOKUP(Customer[[#This Row],[Customer ID]],[1]!Address[ID],[1]!Address[Full Address])</f>
        <v>PS JALAN BATU PAHAT KLUANGLOT PTD 43258, MUKIM KLUANG,JALAN AIR HITAM, JOHOR, 86000,JOHOR, 86000, KLUANG, JOHOR</v>
      </c>
      <c r="F252" s="12" t="s">
        <v>1868</v>
      </c>
      <c r="G252" s="12" t="s">
        <v>1869</v>
      </c>
      <c r="H252" s="12" t="s">
        <v>1870</v>
      </c>
      <c r="I252" s="12" t="b">
        <f>ISNUMBER(VALUE(LEFT(Customer[[#This Row],[Address Line 3 (30 char)]],1)))</f>
        <v>0</v>
      </c>
      <c r="J252" s="12" t="s">
        <v>52</v>
      </c>
      <c r="K252" s="12">
        <v>86000</v>
      </c>
      <c r="L252" s="12" t="s">
        <v>35</v>
      </c>
      <c r="M252" s="13" t="e">
        <v>#N/A</v>
      </c>
      <c r="N252" s="14" t="e">
        <v>#N/A</v>
      </c>
      <c r="O252" s="14" t="e">
        <v>#N/A</v>
      </c>
      <c r="P252" s="14" t="e">
        <v>#N/A</v>
      </c>
      <c r="Q252" s="19" t="s">
        <v>1871</v>
      </c>
      <c r="R252" s="15" t="s">
        <v>1872</v>
      </c>
      <c r="S252" s="15" t="s">
        <v>37</v>
      </c>
      <c r="T252" s="16" t="s">
        <v>38</v>
      </c>
      <c r="U252" s="11" t="str">
        <f>_xlfn.XLOOKUP(Customer[[#This Row],[Customer ID]],[1]!Address[ID],[1]!Address[Phone No.(2)])</f>
        <v>013-8041437</v>
      </c>
      <c r="V252" s="11" t="str">
        <f>_xlfn.XLOOKUP(Customer[[#This Row],[Customer ID]],[1]!Address[ID],[1]!Address[Type])</f>
        <v>PETROMART</v>
      </c>
      <c r="W252" s="11" t="str">
        <f>_xlfn.XLOOKUP(Customer[[#This Row],[Customer ID]],[1]!Address[ID],[1]!Address[CT])</f>
        <v>30 DAYS</v>
      </c>
      <c r="X252" s="11" t="s">
        <v>39</v>
      </c>
      <c r="Y252" s="17" t="s">
        <v>40</v>
      </c>
      <c r="Z252" s="17" t="e">
        <f>_xlfn.XLOOKUP(Customer[[#This Row],[NewType]],$AF$36:$AF$54,$AG$36:$AG$54)</f>
        <v>#N/A</v>
      </c>
      <c r="AA252" s="17" t="s">
        <v>1873</v>
      </c>
      <c r="AB252" s="11" t="str">
        <f>_xlfn.XLOOKUP(Customer[[#This Row],[Customer ID]],[1]!Address[ID],[1]!Address[Subtype])</f>
        <v>PETRONAS</v>
      </c>
      <c r="AC252" s="18" t="str">
        <f>_xlfn.XLOOKUP(Customer[[#This Row],[Customer ID]],[1]!Address[ID],[1]!Address[Zone])</f>
        <v>SOUTH</v>
      </c>
    </row>
    <row r="253" spans="1:29" x14ac:dyDescent="0.3">
      <c r="A253" s="10" t="s">
        <v>1874</v>
      </c>
      <c r="B253" s="11" t="str">
        <f>_xlfn.XLOOKUP(Customer[[#This Row],[Customer ID]],[1]!Name[ID],[1]!Name[Description(1)])</f>
        <v>DDI TRADING</v>
      </c>
      <c r="C253" s="11" t="str">
        <f>_xlfn.XLOOKUP(Customer[[#This Row],[Customer ID]],[1]!Name[ID],[1]!Name[Description(2)])</f>
        <v>PS JALAN BAYAM</v>
      </c>
      <c r="D253" s="11" t="str">
        <f>_xlfn.XLOOKUP(Customer[[#This Row],[Customer ID]],[1]!Address[ID],[1]!Address[PIC])</f>
        <v/>
      </c>
      <c r="E253" s="11" t="str">
        <f>_xlfn.XLOOKUP(Customer[[#This Row],[Customer ID]],[1]!Address[ID],[1]!Address[Full Address])</f>
        <v>PS JALAN BAYAMKOTA BHARU, KELANTANLOT 2712GM 1783, JALAN BAYAM, PAYA RAMBAIMUKIM LANGGAR, KOTA BHARU, KELANTAN, 152</v>
      </c>
      <c r="F253" s="12" t="s">
        <v>1875</v>
      </c>
      <c r="G253" s="12" t="s">
        <v>1876</v>
      </c>
      <c r="H253" s="12" t="s">
        <v>1877</v>
      </c>
      <c r="I253" s="12" t="b">
        <f>ISNUMBER(VALUE(LEFT(Customer[[#This Row],[Address Line 3 (30 char)]],1)))</f>
        <v>0</v>
      </c>
      <c r="J253" s="12" t="s">
        <v>1007</v>
      </c>
      <c r="K253" s="12">
        <v>15200</v>
      </c>
      <c r="L253" s="12" t="s">
        <v>35</v>
      </c>
      <c r="M253" s="13">
        <v>202203077479</v>
      </c>
      <c r="N253" s="14" t="s">
        <v>1408</v>
      </c>
      <c r="O253" s="14" t="e">
        <v>#N/A</v>
      </c>
      <c r="P253" s="14" t="e">
        <v>#N/A</v>
      </c>
      <c r="Q253" s="19" t="s">
        <v>1878</v>
      </c>
      <c r="R253" s="15" t="s">
        <v>1879</v>
      </c>
      <c r="S253" s="15" t="s">
        <v>37</v>
      </c>
      <c r="T253" s="16" t="s">
        <v>38</v>
      </c>
      <c r="U253" s="11" t="str">
        <f>_xlfn.XLOOKUP(Customer[[#This Row],[Customer ID]],[1]!Address[ID],[1]!Address[Phone No.(2)])</f>
        <v/>
      </c>
      <c r="V253" s="11" t="str">
        <f>_xlfn.XLOOKUP(Customer[[#This Row],[Customer ID]],[1]!Address[ID],[1]!Address[Type])</f>
        <v>PETROMART</v>
      </c>
      <c r="W253" s="11" t="str">
        <f>_xlfn.XLOOKUP(Customer[[#This Row],[Customer ID]],[1]!Address[ID],[1]!Address[CT])</f>
        <v>30 DAYS</v>
      </c>
      <c r="X253" s="11" t="s">
        <v>39</v>
      </c>
      <c r="Y253" s="17" t="s">
        <v>40</v>
      </c>
      <c r="Z253" s="17" t="e">
        <f>_xlfn.XLOOKUP(Customer[[#This Row],[NewType]],$AF$36:$AF$54,$AG$36:$AG$54)</f>
        <v>#N/A</v>
      </c>
      <c r="AA253" s="17" t="s">
        <v>1880</v>
      </c>
      <c r="AB253" s="11" t="str">
        <f>_xlfn.XLOOKUP(Customer[[#This Row],[Customer ID]],[1]!Address[ID],[1]!Address[Subtype])</f>
        <v>PETRONAS</v>
      </c>
      <c r="AC253" s="18" t="str">
        <f>_xlfn.XLOOKUP(Customer[[#This Row],[Customer ID]],[1]!Address[ID],[1]!Address[Zone])</f>
        <v>EAST COAST</v>
      </c>
    </row>
    <row r="254" spans="1:29" x14ac:dyDescent="0.3">
      <c r="A254" s="10" t="s">
        <v>1881</v>
      </c>
      <c r="B254" s="11" t="str">
        <f>_xlfn.XLOOKUP(Customer[[#This Row],[Customer ID]],[1]!Name[ID],[1]!Name[Description(1)])</f>
        <v>YLAF QUADRANT ENTERPRISE</v>
      </c>
      <c r="C254" s="11" t="str">
        <f>_xlfn.XLOOKUP(Customer[[#This Row],[Customer ID]],[1]!Name[ID],[1]!Name[Description(2)])</f>
        <v>PS JALAN BIDOR,TAPAH</v>
      </c>
      <c r="D254" s="11" t="str">
        <f>_xlfn.XLOOKUP(Customer[[#This Row],[Customer ID]],[1]!Address[ID],[1]!Address[PIC])</f>
        <v/>
      </c>
      <c r="E254" s="11" t="str">
        <f>_xlfn.XLOOKUP(Customer[[#This Row],[Customer ID]],[1]!Address[ID],[1]!Address[Full Address])</f>
        <v>PS JALAN BIDOR,TAPAHLOT 1317 GRN 12990,JALAN BIDOR, MUKIM &amp; DISTRICT OF BATANGTAPAH, 35000 PERAK.</v>
      </c>
      <c r="F254" s="12" t="s">
        <v>1882</v>
      </c>
      <c r="G254" s="12" t="s">
        <v>1883</v>
      </c>
      <c r="H254" s="12" t="s">
        <v>1884</v>
      </c>
      <c r="I254" s="12" t="b">
        <f>ISNUMBER(VALUE(LEFT(Customer[[#This Row],[Address Line 3 (30 char)]],1)))</f>
        <v>0</v>
      </c>
      <c r="J254" s="12" t="s">
        <v>242</v>
      </c>
      <c r="K254" s="12">
        <v>35000</v>
      </c>
      <c r="L254" s="12" t="s">
        <v>35</v>
      </c>
      <c r="M254" s="13">
        <v>201003196012</v>
      </c>
      <c r="N254" s="14" t="s">
        <v>1885</v>
      </c>
      <c r="O254" s="14" t="s">
        <v>54</v>
      </c>
      <c r="P254" s="14" t="s">
        <v>1048</v>
      </c>
      <c r="Q254" s="19" t="s">
        <v>1886</v>
      </c>
      <c r="R254" s="15" t="s">
        <v>1050</v>
      </c>
      <c r="S254" s="15" t="s">
        <v>37</v>
      </c>
      <c r="T254" s="16" t="s">
        <v>38</v>
      </c>
      <c r="U254" s="11" t="str">
        <f>_xlfn.XLOOKUP(Customer[[#This Row],[Customer ID]],[1]!Address[ID],[1]!Address[Phone No.(2)])</f>
        <v/>
      </c>
      <c r="V254" s="11" t="str">
        <f>_xlfn.XLOOKUP(Customer[[#This Row],[Customer ID]],[1]!Address[ID],[1]!Address[Type])</f>
        <v>PETROMART</v>
      </c>
      <c r="W254" s="11" t="str">
        <f>_xlfn.XLOOKUP(Customer[[#This Row],[Customer ID]],[1]!Address[ID],[1]!Address[CT])</f>
        <v>30 DAYS</v>
      </c>
      <c r="X254" s="11" t="s">
        <v>39</v>
      </c>
      <c r="Y254" s="17" t="s">
        <v>40</v>
      </c>
      <c r="Z254" s="17" t="e">
        <f>_xlfn.XLOOKUP(Customer[[#This Row],[NewType]],$AF$36:$AF$54,$AG$36:$AG$54)</f>
        <v>#N/A</v>
      </c>
      <c r="AA254" s="17" t="s">
        <v>1887</v>
      </c>
      <c r="AB254" s="11" t="str">
        <f>_xlfn.XLOOKUP(Customer[[#This Row],[Customer ID]],[1]!Address[ID],[1]!Address[Subtype])</f>
        <v>PETRONAS</v>
      </c>
      <c r="AC254" s="18" t="str">
        <f>_xlfn.XLOOKUP(Customer[[#This Row],[Customer ID]],[1]!Address[ID],[1]!Address[Zone])</f>
        <v>NORTH</v>
      </c>
    </row>
    <row r="255" spans="1:29" x14ac:dyDescent="0.3">
      <c r="A255" s="10" t="s">
        <v>1888</v>
      </c>
      <c r="B255" s="11" t="str">
        <f>_xlfn.XLOOKUP(Customer[[#This Row],[Customer ID]],[1]!Name[ID],[1]!Name[Description(1)])</f>
        <v>SAB INDAH ENTERPRISE</v>
      </c>
      <c r="C255" s="11" t="str">
        <f>_xlfn.XLOOKUP(Customer[[#This Row],[Customer ID]],[1]!Name[ID],[1]!Name[Description(2)])</f>
        <v>PS JALAN AHMAD BADAWI, SPU</v>
      </c>
      <c r="D255" s="11" t="str">
        <f>_xlfn.XLOOKUP(Customer[[#This Row],[Customer ID]],[1]!Address[ID],[1]!Address[PIC])</f>
        <v/>
      </c>
      <c r="E255" s="11" t="str">
        <f>_xlfn.XLOOKUP(Customer[[#This Row],[Customer ID]],[1]!Address[ID],[1]!Address[Full Address])</f>
        <v>PS JALAN AHMAD BADAWI, SPULOT 4367 HS(D) 5744 MUKIM6 &amp; LOT 4867 HS(D) 411 MUKIM 813200, SEBERANG PERAI UTARA, PULAU PINAN</v>
      </c>
      <c r="F255" s="12" t="s">
        <v>1889</v>
      </c>
      <c r="G255" s="12" t="s">
        <v>1890</v>
      </c>
      <c r="H255" s="24" t="s">
        <v>1891</v>
      </c>
      <c r="I255" s="24" t="b">
        <f>ISNUMBER(VALUE(LEFT(Customer[[#This Row],[Address Line 3 (30 char)]],1)))</f>
        <v>0</v>
      </c>
      <c r="J255" s="12" t="s">
        <v>179</v>
      </c>
      <c r="K255" s="12">
        <v>13200</v>
      </c>
      <c r="L255" s="12" t="s">
        <v>35</v>
      </c>
      <c r="M255" s="13">
        <v>200403043160</v>
      </c>
      <c r="N255" s="14" t="s">
        <v>1892</v>
      </c>
      <c r="O255" s="14" t="s">
        <v>54</v>
      </c>
      <c r="P255" s="14" t="s">
        <v>54</v>
      </c>
      <c r="Q255" s="19" t="s">
        <v>1893</v>
      </c>
      <c r="R255" s="15" t="s">
        <v>1894</v>
      </c>
      <c r="S255" s="15" t="s">
        <v>74</v>
      </c>
      <c r="T255" s="16" t="s">
        <v>38</v>
      </c>
      <c r="U255" s="11" t="str">
        <f>_xlfn.XLOOKUP(Customer[[#This Row],[Customer ID]],[1]!Address[ID],[1]!Address[Phone No.(2)])</f>
        <v/>
      </c>
      <c r="V255" s="11" t="str">
        <f>_xlfn.XLOOKUP(Customer[[#This Row],[Customer ID]],[1]!Address[ID],[1]!Address[Type])</f>
        <v>PETROMART</v>
      </c>
      <c r="W255" s="11" t="str">
        <f>_xlfn.XLOOKUP(Customer[[#This Row],[Customer ID]],[1]!Address[ID],[1]!Address[CT])</f>
        <v>30 DAYS</v>
      </c>
      <c r="X255" s="11" t="s">
        <v>39</v>
      </c>
      <c r="Y255" s="17" t="s">
        <v>40</v>
      </c>
      <c r="Z255" s="17" t="e">
        <f>_xlfn.XLOOKUP(Customer[[#This Row],[NewType]],$AF$36:$AF$54,$AG$36:$AG$54)</f>
        <v>#N/A</v>
      </c>
      <c r="AA255" s="17" t="s">
        <v>1895</v>
      </c>
      <c r="AB255" s="11" t="str">
        <f>_xlfn.XLOOKUP(Customer[[#This Row],[Customer ID]],[1]!Address[ID],[1]!Address[Subtype])</f>
        <v>PETRONAS</v>
      </c>
      <c r="AC255" s="18" t="str">
        <f>_xlfn.XLOOKUP(Customer[[#This Row],[Customer ID]],[1]!Address[ID],[1]!Address[Zone])</f>
        <v>NORTH</v>
      </c>
    </row>
    <row r="256" spans="1:29" x14ac:dyDescent="0.3">
      <c r="A256" s="10" t="s">
        <v>1896</v>
      </c>
      <c r="B256" s="11" t="str">
        <f>_xlfn.XLOOKUP(Customer[[#This Row],[Customer ID]],[1]!Name[ID],[1]!Name[Description(1)])</f>
        <v>KOPERASI KAKITANGAN PETRONAS BERHAD</v>
      </c>
      <c r="C256" s="11" t="str">
        <f>_xlfn.XLOOKUP(Customer[[#This Row],[Customer ID]],[1]!Name[ID],[1]!Name[Description(2)])</f>
        <v>PS JALAN BULOH KASAP</v>
      </c>
      <c r="D256" s="11" t="str">
        <f>_xlfn.XLOOKUP(Customer[[#This Row],[Customer ID]],[1]!Address[ID],[1]!Address[PIC])</f>
        <v/>
      </c>
      <c r="E256" s="11" t="str">
        <f>_xlfn.XLOOKUP(Customer[[#This Row],[Customer ID]],[1]!Address[ID],[1]!Address[Full Address])</f>
        <v>PS JALAN BULOH KASAPLOT 912, JALAN BULOH KASAP,SEGAMAT, JOHOR85000, SEGAMAT, JOHOR</v>
      </c>
      <c r="F256" s="12" t="s">
        <v>1897</v>
      </c>
      <c r="G256" s="12" t="s">
        <v>1898</v>
      </c>
      <c r="H256" s="12" t="s">
        <v>1899</v>
      </c>
      <c r="I256" s="12" t="b">
        <f>ISNUMBER(VALUE(LEFT(Customer[[#This Row],[Address Line 3 (30 char)]],1)))</f>
        <v>0</v>
      </c>
      <c r="J256" s="12" t="s">
        <v>52</v>
      </c>
      <c r="K256" s="12">
        <v>85000</v>
      </c>
      <c r="L256" s="12" t="s">
        <v>35</v>
      </c>
      <c r="M256" s="13" t="e">
        <v>#N/A</v>
      </c>
      <c r="N256" s="14" t="e">
        <v>#N/A</v>
      </c>
      <c r="O256" s="14" t="e">
        <v>#N/A</v>
      </c>
      <c r="P256" s="14" t="e">
        <v>#N/A</v>
      </c>
      <c r="Q256" s="19" t="s">
        <v>1900</v>
      </c>
      <c r="R256" s="15" t="s">
        <v>1901</v>
      </c>
      <c r="S256" s="15" t="s">
        <v>37</v>
      </c>
      <c r="T256" s="16" t="s">
        <v>38</v>
      </c>
      <c r="U256" s="11" t="str">
        <f>_xlfn.XLOOKUP(Customer[[#This Row],[Customer ID]],[1]!Address[ID],[1]!Address[Phone No.(2)])</f>
        <v/>
      </c>
      <c r="V256" s="11" t="str">
        <f>_xlfn.XLOOKUP(Customer[[#This Row],[Customer ID]],[1]!Address[ID],[1]!Address[Type])</f>
        <v>PETROMART</v>
      </c>
      <c r="W256" s="11" t="str">
        <f>_xlfn.XLOOKUP(Customer[[#This Row],[Customer ID]],[1]!Address[ID],[1]!Address[CT])</f>
        <v>30 DAYS</v>
      </c>
      <c r="X256" s="11" t="s">
        <v>39</v>
      </c>
      <c r="Y256" s="17" t="s">
        <v>40</v>
      </c>
      <c r="Z256" s="17" t="e">
        <f>_xlfn.XLOOKUP(Customer[[#This Row],[NewType]],$AF$36:$AF$54,$AG$36:$AG$54)</f>
        <v>#N/A</v>
      </c>
      <c r="AA256" s="17" t="s">
        <v>1902</v>
      </c>
      <c r="AB256" s="11" t="str">
        <f>_xlfn.XLOOKUP(Customer[[#This Row],[Customer ID]],[1]!Address[ID],[1]!Address[Subtype])</f>
        <v>PETRONAS</v>
      </c>
      <c r="AC256" s="18" t="str">
        <f>_xlfn.XLOOKUP(Customer[[#This Row],[Customer ID]],[1]!Address[ID],[1]!Address[Zone])</f>
        <v>SOUTH</v>
      </c>
    </row>
    <row r="257" spans="1:29" x14ac:dyDescent="0.3">
      <c r="A257" s="10" t="s">
        <v>1903</v>
      </c>
      <c r="B257" s="11" t="str">
        <f>_xlfn.XLOOKUP(Customer[[#This Row],[Customer ID]],[1]!Name[ID],[1]!Name[Description(1)])</f>
        <v>HRA DAGANG VENTURE</v>
      </c>
      <c r="C257" s="11" t="str">
        <f>_xlfn.XLOOKUP(Customer[[#This Row],[Customer ID]],[1]!Name[ID],[1]!Name[Description(2)])</f>
        <v>PS JALAN COCHRANE</v>
      </c>
      <c r="D257" s="11" t="str">
        <f>_xlfn.XLOOKUP(Customer[[#This Row],[Customer ID]],[1]!Address[ID],[1]!Address[PIC])</f>
        <v/>
      </c>
      <c r="E257" s="11" t="str">
        <f>_xlfn.XLOOKUP(Customer[[#This Row],[Customer ID]],[1]!Address[ID],[1]!Address[Full Address])</f>
        <v>PS JALAN COCHRANENO. 494, JALAN TUN RAZAK,OFF JALAN COCHRANE, KUALA LUMPUR,50400, ULU LANGAT, WPERSEKUTUAN SELANGOR</v>
      </c>
      <c r="F257" s="12" t="s">
        <v>1904</v>
      </c>
      <c r="G257" s="12" t="s">
        <v>1905</v>
      </c>
      <c r="H257" s="12" t="s">
        <v>1906</v>
      </c>
      <c r="I257" s="12" t="b">
        <f>ISNUMBER(VALUE(LEFT(Customer[[#This Row],[Address Line 3 (30 char)]],1)))</f>
        <v>0</v>
      </c>
      <c r="J257" s="12" t="s">
        <v>1907</v>
      </c>
      <c r="K257" s="12">
        <v>50400</v>
      </c>
      <c r="L257" s="12" t="s">
        <v>35</v>
      </c>
      <c r="M257" s="13" t="s">
        <v>1908</v>
      </c>
      <c r="N257" s="14" t="s">
        <v>1909</v>
      </c>
      <c r="O257" s="14" t="s">
        <v>54</v>
      </c>
      <c r="P257" s="14" t="s">
        <v>1910</v>
      </c>
      <c r="Q257" s="19" t="s">
        <v>1911</v>
      </c>
      <c r="R257" s="15" t="s">
        <v>1425</v>
      </c>
      <c r="S257" s="15" t="s">
        <v>37</v>
      </c>
      <c r="T257" s="16" t="s">
        <v>38</v>
      </c>
      <c r="U257" s="11" t="str">
        <f>_xlfn.XLOOKUP(Customer[[#This Row],[Customer ID]],[1]!Address[ID],[1]!Address[Phone No.(2)])</f>
        <v/>
      </c>
      <c r="V257" s="11" t="str">
        <f>_xlfn.XLOOKUP(Customer[[#This Row],[Customer ID]],[1]!Address[ID],[1]!Address[Type])</f>
        <v>PETROMART</v>
      </c>
      <c r="W257" s="11" t="str">
        <f>_xlfn.XLOOKUP(Customer[[#This Row],[Customer ID]],[1]!Address[ID],[1]!Address[CT])</f>
        <v>30 DAYS</v>
      </c>
      <c r="X257" s="11" t="s">
        <v>39</v>
      </c>
      <c r="Y257" s="17" t="s">
        <v>40</v>
      </c>
      <c r="Z257" s="17" t="e">
        <f>_xlfn.XLOOKUP(Customer[[#This Row],[NewType]],$AF$36:$AF$54,$AG$36:$AG$54)</f>
        <v>#N/A</v>
      </c>
      <c r="AA257" s="17" t="s">
        <v>1912</v>
      </c>
      <c r="AB257" s="11" t="str">
        <f>_xlfn.XLOOKUP(Customer[[#This Row],[Customer ID]],[1]!Address[ID],[1]!Address[Subtype])</f>
        <v>PETRONAS</v>
      </c>
      <c r="AC257" s="18" t="str">
        <f>_xlfn.XLOOKUP(Customer[[#This Row],[Customer ID]],[1]!Address[ID],[1]!Address[Zone])</f>
        <v>CENTRAL</v>
      </c>
    </row>
    <row r="258" spans="1:29" x14ac:dyDescent="0.3">
      <c r="A258" s="10" t="s">
        <v>1913</v>
      </c>
      <c r="B258" s="11" t="str">
        <f>_xlfn.XLOOKUP(Customer[[#This Row],[Customer ID]],[1]!Name[ID],[1]!Name[Description(1)])</f>
        <v>SAZ FAROZA SYNERGY</v>
      </c>
      <c r="C258" s="11" t="str">
        <f>_xlfn.XLOOKUP(Customer[[#This Row],[Customer ID]],[1]!Name[ID],[1]!Name[Description(2)])</f>
        <v>PS JALAN DATIN HALIMAH,MUKIM TEBRAU</v>
      </c>
      <c r="D258" s="11" t="str">
        <f>_xlfn.XLOOKUP(Customer[[#This Row],[Customer ID]],[1]!Address[ID],[1]!Address[PIC])</f>
        <v/>
      </c>
      <c r="E258" s="11" t="str">
        <f>_xlfn.XLOOKUP(Customer[[#This Row],[Customer ID]],[1]!Address[ID],[1]!Address[Full Address])</f>
        <v>PS JALAN DATIN HALIMAH,MUKIM TEBRAULOT PTB 21228 HS(D),JALAN DATIN HALIMAHJOHOR BAHRU 80350,JOHOR</v>
      </c>
      <c r="F258" s="12"/>
      <c r="G258" s="12" t="s">
        <v>1914</v>
      </c>
      <c r="H258" s="12" t="s">
        <v>1915</v>
      </c>
      <c r="I258" s="12" t="b">
        <f>ISNUMBER(VALUE(LEFT(Customer[[#This Row],[Address Line 3 (30 char)]],1)))</f>
        <v>0</v>
      </c>
      <c r="J258" s="12" t="s">
        <v>52</v>
      </c>
      <c r="K258" s="12">
        <v>81400</v>
      </c>
      <c r="L258" s="12" t="s">
        <v>35</v>
      </c>
      <c r="M258" s="13" t="e">
        <v>#N/A</v>
      </c>
      <c r="N258" s="14" t="e">
        <v>#N/A</v>
      </c>
      <c r="O258" s="14" t="e">
        <v>#N/A</v>
      </c>
      <c r="P258" s="14" t="e">
        <v>#N/A</v>
      </c>
      <c r="Q258" s="19" t="s">
        <v>1916</v>
      </c>
      <c r="R258" s="15" t="s">
        <v>1917</v>
      </c>
      <c r="S258" s="15" t="s">
        <v>37</v>
      </c>
      <c r="T258" s="16" t="s">
        <v>38</v>
      </c>
      <c r="U258" s="11" t="str">
        <f>_xlfn.XLOOKUP(Customer[[#This Row],[Customer ID]],[1]!Address[ID],[1]!Address[Phone No.(2)])</f>
        <v/>
      </c>
      <c r="V258" s="11" t="str">
        <f>_xlfn.XLOOKUP(Customer[[#This Row],[Customer ID]],[1]!Address[ID],[1]!Address[Type])</f>
        <v>PETROMART</v>
      </c>
      <c r="W258" s="11" t="str">
        <f>_xlfn.XLOOKUP(Customer[[#This Row],[Customer ID]],[1]!Address[ID],[1]!Address[CT])</f>
        <v>30 DAYS</v>
      </c>
      <c r="X258" s="11" t="s">
        <v>39</v>
      </c>
      <c r="Y258" s="17" t="s">
        <v>40</v>
      </c>
      <c r="Z258" s="17" t="e">
        <f>_xlfn.XLOOKUP(Customer[[#This Row],[NewType]],$AF$36:$AF$54,$AG$36:$AG$54)</f>
        <v>#N/A</v>
      </c>
      <c r="AA258" s="17" t="s">
        <v>1918</v>
      </c>
      <c r="AB258" s="11" t="str">
        <f>_xlfn.XLOOKUP(Customer[[#This Row],[Customer ID]],[1]!Address[ID],[1]!Address[Subtype])</f>
        <v>PETRONAS</v>
      </c>
      <c r="AC258" s="18" t="str">
        <f>_xlfn.XLOOKUP(Customer[[#This Row],[Customer ID]],[1]!Address[ID],[1]!Address[Zone])</f>
        <v>SOUTH</v>
      </c>
    </row>
    <row r="259" spans="1:29" x14ac:dyDescent="0.3">
      <c r="A259" s="10" t="s">
        <v>1919</v>
      </c>
      <c r="B259" s="11" t="str">
        <f>_xlfn.XLOOKUP(Customer[[#This Row],[Customer ID]],[1]!Name[ID],[1]!Name[Description(1)])</f>
        <v>PS MANJO SERVICES</v>
      </c>
      <c r="C259" s="11" t="str">
        <f>_xlfn.XLOOKUP(Customer[[#This Row],[Customer ID]],[1]!Name[ID],[1]!Name[Description(2)])</f>
        <v>PS JALAN BUKIT GAMBIR</v>
      </c>
      <c r="D259" s="11" t="str">
        <f>_xlfn.XLOOKUP(Customer[[#This Row],[Customer ID]],[1]!Address[ID],[1]!Address[PIC])</f>
        <v/>
      </c>
      <c r="E259" s="11" t="str">
        <f>_xlfn.XLOOKUP(Customer[[#This Row],[Customer ID]],[1]!Address[ID],[1]!Address[Full Address])</f>
        <v>PS JALAN BUKIT GAMBIRLOT 10034 MUKIM 13, JALAN BUKIT GAMBIRGELUGOR, PULAU PINANG, 11700, TIMOR LAUTPENANG</v>
      </c>
      <c r="F259" s="12" t="s">
        <v>1920</v>
      </c>
      <c r="G259" s="12" t="s">
        <v>1921</v>
      </c>
      <c r="H259" s="12" t="s">
        <v>1922</v>
      </c>
      <c r="I259" s="12" t="b">
        <f>ISNUMBER(VALUE(LEFT(Customer[[#This Row],[Address Line 3 (30 char)]],1)))</f>
        <v>0</v>
      </c>
      <c r="J259" s="12" t="s">
        <v>179</v>
      </c>
      <c r="K259" s="12">
        <v>11700</v>
      </c>
      <c r="L259" s="12" t="s">
        <v>35</v>
      </c>
      <c r="M259" s="13">
        <v>202003282897</v>
      </c>
      <c r="N259" s="14" t="s">
        <v>1923</v>
      </c>
      <c r="O259" s="14" t="s">
        <v>156</v>
      </c>
      <c r="P259" s="14">
        <v>47114</v>
      </c>
      <c r="Q259" s="19" t="s">
        <v>1924</v>
      </c>
      <c r="R259" s="15" t="s">
        <v>1925</v>
      </c>
      <c r="S259" s="15" t="s">
        <v>74</v>
      </c>
      <c r="T259" s="16" t="s">
        <v>38</v>
      </c>
      <c r="U259" s="11" t="str">
        <f>_xlfn.XLOOKUP(Customer[[#This Row],[Customer ID]],[1]!Address[ID],[1]!Address[Phone No.(2)])</f>
        <v/>
      </c>
      <c r="V259" s="11" t="str">
        <f>_xlfn.XLOOKUP(Customer[[#This Row],[Customer ID]],[1]!Address[ID],[1]!Address[Type])</f>
        <v>PETROMART</v>
      </c>
      <c r="W259" s="11" t="str">
        <f>_xlfn.XLOOKUP(Customer[[#This Row],[Customer ID]],[1]!Address[ID],[1]!Address[CT])</f>
        <v>30 DAYS</v>
      </c>
      <c r="X259" s="11" t="s">
        <v>39</v>
      </c>
      <c r="Y259" s="17" t="s">
        <v>40</v>
      </c>
      <c r="Z259" s="17" t="e">
        <f>_xlfn.XLOOKUP(Customer[[#This Row],[NewType]],$AF$36:$AF$54,$AG$36:$AG$54)</f>
        <v>#N/A</v>
      </c>
      <c r="AA259" s="17" t="s">
        <v>1926</v>
      </c>
      <c r="AB259" s="11" t="str">
        <f>_xlfn.XLOOKUP(Customer[[#This Row],[Customer ID]],[1]!Address[ID],[1]!Address[Subtype])</f>
        <v>PETRONAS</v>
      </c>
      <c r="AC259" s="18" t="str">
        <f>_xlfn.XLOOKUP(Customer[[#This Row],[Customer ID]],[1]!Address[ID],[1]!Address[Zone])</f>
        <v>NORTH</v>
      </c>
    </row>
    <row r="260" spans="1:29" x14ac:dyDescent="0.3">
      <c r="A260" s="10" t="s">
        <v>1927</v>
      </c>
      <c r="B260" s="11" t="str">
        <f>_xlfn.XLOOKUP(Customer[[#This Row],[Customer ID]],[1]!Name[ID],[1]!Name[Description(1)])</f>
        <v>Petronas Minyak Ismail Hanafi SDN BHD</v>
      </c>
      <c r="C260" s="11" t="str">
        <f>_xlfn.XLOOKUP(Customer[[#This Row],[Customer ID]],[1]!Name[ID],[1]!Name[Description(2)])</f>
        <v>PS JALAN DATUK KUMBAR</v>
      </c>
      <c r="D260" s="11" t="str">
        <f>_xlfn.XLOOKUP(Customer[[#This Row],[Customer ID]],[1]!Address[ID],[1]!Address[PIC])</f>
        <v/>
      </c>
      <c r="E260" s="11" t="str">
        <f>_xlfn.XLOOKUP(Customer[[#This Row],[Customer ID]],[1]!Address[ID],[1]!Address[Full Address])</f>
        <v>PS JALAN DATUK KUMBARLOT 3169JALAN DATUK KUMBAR05300 ALOR SETAR KEDAH</v>
      </c>
      <c r="F260" s="12" t="s">
        <v>1928</v>
      </c>
      <c r="G260" s="12" t="s">
        <v>1929</v>
      </c>
      <c r="H260" s="12" t="s">
        <v>1930</v>
      </c>
      <c r="I260" s="12" t="b">
        <f>ISNUMBER(VALUE(LEFT(Customer[[#This Row],[Address Line 3 (30 char)]],1)))</f>
        <v>0</v>
      </c>
      <c r="J260" s="12" t="s">
        <v>355</v>
      </c>
      <c r="K260" s="20" t="s">
        <v>1499</v>
      </c>
      <c r="L260" s="12" t="s">
        <v>35</v>
      </c>
      <c r="M260" s="13" t="e">
        <v>#N/A</v>
      </c>
      <c r="N260" s="14" t="e">
        <v>#N/A</v>
      </c>
      <c r="O260" s="14" t="e">
        <v>#N/A</v>
      </c>
      <c r="P260" s="14" t="e">
        <v>#N/A</v>
      </c>
      <c r="Q260" s="19" t="s">
        <v>1500</v>
      </c>
      <c r="R260" s="15" t="s">
        <v>1501</v>
      </c>
      <c r="S260" s="15" t="s">
        <v>74</v>
      </c>
      <c r="T260" s="16" t="s">
        <v>38</v>
      </c>
      <c r="U260" s="11" t="str">
        <f>_xlfn.XLOOKUP(Customer[[#This Row],[Customer ID]],[1]!Address[ID],[1]!Address[Phone No.(2)])</f>
        <v/>
      </c>
      <c r="V260" s="11" t="str">
        <f>_xlfn.XLOOKUP(Customer[[#This Row],[Customer ID]],[1]!Address[ID],[1]!Address[Type])</f>
        <v>PETROMART</v>
      </c>
      <c r="W260" s="11" t="str">
        <f>_xlfn.XLOOKUP(Customer[[#This Row],[Customer ID]],[1]!Address[ID],[1]!Address[CT])</f>
        <v>30 DAYS</v>
      </c>
      <c r="X260" s="11" t="s">
        <v>39</v>
      </c>
      <c r="Y260" s="17" t="s">
        <v>40</v>
      </c>
      <c r="Z260" s="17" t="e">
        <f>_xlfn.XLOOKUP(Customer[[#This Row],[NewType]],$AF$36:$AF$54,$AG$36:$AG$54)</f>
        <v>#N/A</v>
      </c>
      <c r="AA260" s="17" t="s">
        <v>1931</v>
      </c>
      <c r="AB260" s="11" t="str">
        <f>_xlfn.XLOOKUP(Customer[[#This Row],[Customer ID]],[1]!Address[ID],[1]!Address[Subtype])</f>
        <v>PETRONAS</v>
      </c>
      <c r="AC260" s="18" t="str">
        <f>_xlfn.XLOOKUP(Customer[[#This Row],[Customer ID]],[1]!Address[ID],[1]!Address[Zone])</f>
        <v>NORTH</v>
      </c>
    </row>
    <row r="261" spans="1:29" x14ac:dyDescent="0.3">
      <c r="A261" s="10" t="s">
        <v>1932</v>
      </c>
      <c r="B261" s="11" t="str">
        <f>_xlfn.XLOOKUP(Customer[[#This Row],[Customer ID]],[1]!Name[ID],[1]!Name[Description(1)])</f>
        <v>PETRONIAGA MESRA SERVICES</v>
      </c>
      <c r="C261" s="11" t="str">
        <f>_xlfn.XLOOKUP(Customer[[#This Row],[Customer ID]],[1]!Name[ID],[1]!Name[Description(2)])</f>
        <v>PS JALAN GENTING KLANG</v>
      </c>
      <c r="D261" s="11" t="str">
        <f>_xlfn.XLOOKUP(Customer[[#This Row],[Customer ID]],[1]!Address[ID],[1]!Address[PIC])</f>
        <v/>
      </c>
      <c r="E261" s="11" t="str">
        <f>_xlfn.XLOOKUP(Customer[[#This Row],[Customer ID]],[1]!Address[ID],[1]!Address[Full Address])</f>
        <v>PS JALAN GENTING KLANGLOT PT 2686, MUKIM SETAPAK, JALAN GENTINKELANG, KUALA LUMPUR, 53300, WILAYAHPERSEKUTUAN KUALA LUMPUR SELANGOR</v>
      </c>
      <c r="F261" s="12" t="s">
        <v>1933</v>
      </c>
      <c r="G261" s="12" t="s">
        <v>1934</v>
      </c>
      <c r="H261" s="12" t="s">
        <v>1935</v>
      </c>
      <c r="I261" s="12" t="b">
        <f>ISNUMBER(VALUE(LEFT(Customer[[#This Row],[Address Line 3 (30 char)]],1)))</f>
        <v>0</v>
      </c>
      <c r="J261" s="12" t="s">
        <v>172</v>
      </c>
      <c r="K261" s="12">
        <v>53300</v>
      </c>
      <c r="L261" s="12" t="s">
        <v>35</v>
      </c>
      <c r="M261" s="13" t="e">
        <v>#N/A</v>
      </c>
      <c r="N261" s="14" t="e">
        <v>#N/A</v>
      </c>
      <c r="O261" s="14" t="e">
        <v>#N/A</v>
      </c>
      <c r="P261" s="14" t="e">
        <v>#N/A</v>
      </c>
      <c r="Q261" s="19" t="s">
        <v>1936</v>
      </c>
      <c r="R261" s="15" t="s">
        <v>1937</v>
      </c>
      <c r="S261" s="15" t="s">
        <v>65</v>
      </c>
      <c r="T261" s="16" t="s">
        <v>38</v>
      </c>
      <c r="U261" s="11" t="str">
        <f>_xlfn.XLOOKUP(Customer[[#This Row],[Customer ID]],[1]!Address[ID],[1]!Address[Phone No.(2)])</f>
        <v>1110098976</v>
      </c>
      <c r="V261" s="11" t="str">
        <f>_xlfn.XLOOKUP(Customer[[#This Row],[Customer ID]],[1]!Address[ID],[1]!Address[Type])</f>
        <v>PETROMART</v>
      </c>
      <c r="W261" s="11" t="str">
        <f>_xlfn.XLOOKUP(Customer[[#This Row],[Customer ID]],[1]!Address[ID],[1]!Address[CT])</f>
        <v>30 DAYS</v>
      </c>
      <c r="X261" s="11" t="s">
        <v>39</v>
      </c>
      <c r="Y261" s="17" t="s">
        <v>40</v>
      </c>
      <c r="Z261" s="17" t="e">
        <f>_xlfn.XLOOKUP(Customer[[#This Row],[NewType]],$AF$36:$AF$54,$AG$36:$AG$54)</f>
        <v>#N/A</v>
      </c>
      <c r="AA261" s="17" t="s">
        <v>1938</v>
      </c>
      <c r="AB261" s="11" t="str">
        <f>_xlfn.XLOOKUP(Customer[[#This Row],[Customer ID]],[1]!Address[ID],[1]!Address[Subtype])</f>
        <v>PETRONAS</v>
      </c>
      <c r="AC261" s="18" t="str">
        <f>_xlfn.XLOOKUP(Customer[[#This Row],[Customer ID]],[1]!Address[ID],[1]!Address[Zone])</f>
        <v>CENTRAL</v>
      </c>
    </row>
    <row r="262" spans="1:29" x14ac:dyDescent="0.3">
      <c r="A262" s="10" t="s">
        <v>1939</v>
      </c>
      <c r="B262" s="11" t="str">
        <f>_xlfn.XLOOKUP(Customer[[#This Row],[Customer ID]],[1]!Name[ID],[1]!Name[Description(1)])</f>
        <v>RAYAN ALI RESOURCES</v>
      </c>
      <c r="C262" s="11" t="str">
        <f>_xlfn.XLOOKUP(Customer[[#This Row],[Customer ID]],[1]!Name[ID],[1]!Name[Description(2)])</f>
        <v>PS JALAN GENUANG SEGAMAT</v>
      </c>
      <c r="D262" s="11" t="str">
        <f>_xlfn.XLOOKUP(Customer[[#This Row],[Customer ID]],[1]!Address[ID],[1]!Address[PIC])</f>
        <v/>
      </c>
      <c r="E262" s="11" t="str">
        <f>_xlfn.XLOOKUP(Customer[[#This Row],[Customer ID]],[1]!Address[ID],[1]!Address[Full Address])</f>
        <v>PS JALAN GENUANG SEGAMATLOT 3618,JALAN GENUANG, SEGAMATJOHOR, 85000, SEGAMAT, JOHOR</v>
      </c>
      <c r="F262" s="12" t="s">
        <v>1940</v>
      </c>
      <c r="G262" s="12" t="s">
        <v>1941</v>
      </c>
      <c r="H262" s="12" t="s">
        <v>1942</v>
      </c>
      <c r="I262" s="12" t="b">
        <f>ISNUMBER(VALUE(LEFT(Customer[[#This Row],[Address Line 3 (30 char)]],1)))</f>
        <v>0</v>
      </c>
      <c r="J262" s="12" t="s">
        <v>52</v>
      </c>
      <c r="K262" s="12">
        <v>85000</v>
      </c>
      <c r="L262" s="12" t="s">
        <v>35</v>
      </c>
      <c r="M262" s="13">
        <v>201703398079</v>
      </c>
      <c r="N262" s="14" t="s">
        <v>1706</v>
      </c>
      <c r="O262" s="14" t="s">
        <v>54</v>
      </c>
      <c r="P262" s="14">
        <v>47300</v>
      </c>
      <c r="Q262" s="19" t="s">
        <v>1943</v>
      </c>
      <c r="R262" s="15" t="s">
        <v>1708</v>
      </c>
      <c r="S262" s="15" t="s">
        <v>37</v>
      </c>
      <c r="T262" s="16" t="s">
        <v>38</v>
      </c>
      <c r="U262" s="11" t="str">
        <f>_xlfn.XLOOKUP(Customer[[#This Row],[Customer ID]],[1]!Address[ID],[1]!Address[Phone No.(2)])</f>
        <v/>
      </c>
      <c r="V262" s="11" t="str">
        <f>_xlfn.XLOOKUP(Customer[[#This Row],[Customer ID]],[1]!Address[ID],[1]!Address[Type])</f>
        <v>PETROMART</v>
      </c>
      <c r="W262" s="11" t="str">
        <f>_xlfn.XLOOKUP(Customer[[#This Row],[Customer ID]],[1]!Address[ID],[1]!Address[CT])</f>
        <v>30 DAYS</v>
      </c>
      <c r="X262" s="11" t="s">
        <v>39</v>
      </c>
      <c r="Y262" s="17" t="s">
        <v>40</v>
      </c>
      <c r="Z262" s="17" t="e">
        <f>_xlfn.XLOOKUP(Customer[[#This Row],[NewType]],$AF$36:$AF$54,$AG$36:$AG$54)</f>
        <v>#N/A</v>
      </c>
      <c r="AA262" s="17" t="s">
        <v>1944</v>
      </c>
      <c r="AB262" s="11" t="str">
        <f>_xlfn.XLOOKUP(Customer[[#This Row],[Customer ID]],[1]!Address[ID],[1]!Address[Subtype])</f>
        <v>PETRONAS</v>
      </c>
      <c r="AC262" s="18" t="str">
        <f>_xlfn.XLOOKUP(Customer[[#This Row],[Customer ID]],[1]!Address[ID],[1]!Address[Zone])</f>
        <v>SOUTH</v>
      </c>
    </row>
    <row r="263" spans="1:29" x14ac:dyDescent="0.3">
      <c r="A263" s="10" t="s">
        <v>1945</v>
      </c>
      <c r="B263" s="11" t="str">
        <f>_xlfn.XLOOKUP(Customer[[#This Row],[Customer ID]],[1]!Name[ID],[1]!Name[Description(1)])</f>
        <v>SETAPAK MESRA ENTERPRISE</v>
      </c>
      <c r="C263" s="11" t="str">
        <f>_xlfn.XLOOKUP(Customer[[#This Row],[Customer ID]],[1]!Name[ID],[1]!Name[Description(2)])</f>
        <v>PS JALAN GOMBAK</v>
      </c>
      <c r="D263" s="11" t="str">
        <f>_xlfn.XLOOKUP(Customer[[#This Row],[Customer ID]],[1]!Address[ID],[1]!Address[PIC])</f>
        <v/>
      </c>
      <c r="E263" s="11" t="str">
        <f>_xlfn.XLOOKUP(Customer[[#This Row],[Customer ID]],[1]!Address[ID],[1]!Address[Full Address])</f>
        <v>PS JALAN GOMBAKLOT 236, GM 356, MUKIM SETAPAK,  WILAYAHKUALA LUMPUR, 53300,   PERSEKUTUANKUALA LUMPUR, W PERSEKUTUAN, SELANGOR</v>
      </c>
      <c r="F263" s="12" t="s">
        <v>1946</v>
      </c>
      <c r="G263" s="12" t="s">
        <v>1947</v>
      </c>
      <c r="H263" s="12" t="s">
        <v>775</v>
      </c>
      <c r="I263" s="12" t="b">
        <f>ISNUMBER(VALUE(LEFT(Customer[[#This Row],[Address Line 3 (30 char)]],1)))</f>
        <v>0</v>
      </c>
      <c r="J263" s="12" t="s">
        <v>172</v>
      </c>
      <c r="K263" s="12">
        <v>53300</v>
      </c>
      <c r="L263" s="12" t="s">
        <v>35</v>
      </c>
      <c r="M263" s="13">
        <v>201303080988</v>
      </c>
      <c r="N263" s="14" t="s">
        <v>1948</v>
      </c>
      <c r="O263" s="14" t="s">
        <v>54</v>
      </c>
      <c r="P263" s="14" t="s">
        <v>54</v>
      </c>
      <c r="Q263" s="19" t="s">
        <v>1949</v>
      </c>
      <c r="R263" s="15" t="s">
        <v>1950</v>
      </c>
      <c r="S263" s="15" t="s">
        <v>37</v>
      </c>
      <c r="T263" s="16" t="s">
        <v>38</v>
      </c>
      <c r="U263" s="11" t="str">
        <f>_xlfn.XLOOKUP(Customer[[#This Row],[Customer ID]],[1]!Address[ID],[1]!Address[Phone No.(2)])</f>
        <v/>
      </c>
      <c r="V263" s="11" t="str">
        <f>_xlfn.XLOOKUP(Customer[[#This Row],[Customer ID]],[1]!Address[ID],[1]!Address[Type])</f>
        <v>PETROMART</v>
      </c>
      <c r="W263" s="11" t="str">
        <f>_xlfn.XLOOKUP(Customer[[#This Row],[Customer ID]],[1]!Address[ID],[1]!Address[CT])</f>
        <v>30 DAYS</v>
      </c>
      <c r="X263" s="11" t="s">
        <v>39</v>
      </c>
      <c r="Y263" s="17" t="s">
        <v>40</v>
      </c>
      <c r="Z263" s="17" t="e">
        <f>_xlfn.XLOOKUP(Customer[[#This Row],[NewType]],$AF$36:$AF$54,$AG$36:$AG$54)</f>
        <v>#N/A</v>
      </c>
      <c r="AA263" s="17" t="s">
        <v>1951</v>
      </c>
      <c r="AB263" s="11" t="str">
        <f>_xlfn.XLOOKUP(Customer[[#This Row],[Customer ID]],[1]!Address[ID],[1]!Address[Subtype])</f>
        <v>PETRONAS</v>
      </c>
      <c r="AC263" s="18" t="str">
        <f>_xlfn.XLOOKUP(Customer[[#This Row],[Customer ID]],[1]!Address[ID],[1]!Address[Zone])</f>
        <v>CENTRAL</v>
      </c>
    </row>
    <row r="264" spans="1:29" x14ac:dyDescent="0.3">
      <c r="A264" s="10" t="s">
        <v>1952</v>
      </c>
      <c r="B264" s="11" t="str">
        <f>_xlfn.XLOOKUP(Customer[[#This Row],[Customer ID]],[1]!Name[ID],[1]!Name[Description(1)])</f>
        <v>HKKZ ENTERPRISE</v>
      </c>
      <c r="C264" s="11" t="str">
        <f>_xlfn.XLOOKUP(Customer[[#This Row],[Customer ID]],[1]!Name[ID],[1]!Name[Description(2)])</f>
        <v>PS JALAN GOPENG 2</v>
      </c>
      <c r="D264" s="11" t="str">
        <f>_xlfn.XLOOKUP(Customer[[#This Row],[Customer ID]],[1]!Address[ID],[1]!Address[PIC])</f>
        <v>Haslina bt Khai</v>
      </c>
      <c r="E264" s="11" t="str">
        <f>_xlfn.XLOOKUP(Customer[[#This Row],[Customer ID]],[1]!Address[ID],[1]!Address[Full Address])</f>
        <v>PS JALAN GOPENG 2PT 80085,JALAN RAJA DR NAZRIN SHAHIPOH, 31350, KINTA, PERAK</v>
      </c>
      <c r="F264" s="12" t="s">
        <v>1953</v>
      </c>
      <c r="G264" s="12" t="s">
        <v>1954</v>
      </c>
      <c r="H264" s="12" t="s">
        <v>1955</v>
      </c>
      <c r="I264" s="12" t="b">
        <f>ISNUMBER(VALUE(LEFT(Customer[[#This Row],[Address Line 3 (30 char)]],1)))</f>
        <v>0</v>
      </c>
      <c r="J264" s="12" t="s">
        <v>242</v>
      </c>
      <c r="K264" s="12">
        <v>31350</v>
      </c>
      <c r="L264" s="12" t="s">
        <v>35</v>
      </c>
      <c r="M264" s="13" t="s">
        <v>1956</v>
      </c>
      <c r="N264" s="14" t="s">
        <v>1957</v>
      </c>
      <c r="O264" s="14" t="e">
        <v>#N/A</v>
      </c>
      <c r="P264" s="14" t="e">
        <v>#N/A</v>
      </c>
      <c r="Q264" s="19" t="s">
        <v>1958</v>
      </c>
      <c r="R264" s="15" t="s">
        <v>1959</v>
      </c>
      <c r="S264" s="15" t="s">
        <v>37</v>
      </c>
      <c r="T264" s="16" t="s">
        <v>38</v>
      </c>
      <c r="U264" s="11" t="str">
        <f>_xlfn.XLOOKUP(Customer[[#This Row],[Customer ID]],[1]!Address[ID],[1]!Address[Phone No.(2)])</f>
        <v/>
      </c>
      <c r="V264" s="11" t="str">
        <f>_xlfn.XLOOKUP(Customer[[#This Row],[Customer ID]],[1]!Address[ID],[1]!Address[Type])</f>
        <v>PETROMART</v>
      </c>
      <c r="W264" s="11" t="str">
        <f>_xlfn.XLOOKUP(Customer[[#This Row],[Customer ID]],[1]!Address[ID],[1]!Address[CT])</f>
        <v>30 DAYS</v>
      </c>
      <c r="X264" s="11" t="s">
        <v>39</v>
      </c>
      <c r="Y264" s="17" t="s">
        <v>40</v>
      </c>
      <c r="Z264" s="17" t="e">
        <f>_xlfn.XLOOKUP(Customer[[#This Row],[NewType]],$AF$36:$AF$54,$AG$36:$AG$54)</f>
        <v>#N/A</v>
      </c>
      <c r="AA264" s="17" t="s">
        <v>1960</v>
      </c>
      <c r="AB264" s="11" t="str">
        <f>_xlfn.XLOOKUP(Customer[[#This Row],[Customer ID]],[1]!Address[ID],[1]!Address[Subtype])</f>
        <v>PETRONAS</v>
      </c>
      <c r="AC264" s="18" t="str">
        <f>_xlfn.XLOOKUP(Customer[[#This Row],[Customer ID]],[1]!Address[ID],[1]!Address[Zone])</f>
        <v>NORTH</v>
      </c>
    </row>
    <row r="265" spans="1:29" x14ac:dyDescent="0.3">
      <c r="A265" s="27" t="s">
        <v>1961</v>
      </c>
      <c r="B265" s="28" t="str">
        <f>_xlfn.XLOOKUP(Customer[[#This Row],[Customer ID]],[1]!Name[ID],[1]!Name[Description(1)])</f>
        <v>GALING CITY ENTERPRISE</v>
      </c>
      <c r="C265" s="11" t="str">
        <f>_xlfn.XLOOKUP(Customer[[#This Row],[Customer ID]],[1]!Name[ID],[1]!Name[Description(2)])</f>
        <v>PS JALAN HAJI AHMAD</v>
      </c>
      <c r="D265" s="11" t="str">
        <f>_xlfn.XLOOKUP(Customer[[#This Row],[Customer ID]],[1]!Address[ID],[1]!Address[PIC])</f>
        <v/>
      </c>
      <c r="E265" s="11" t="str">
        <f>_xlfn.XLOOKUP(Customer[[#This Row],[Customer ID]],[1]!Address[ID],[1]!Address[Full Address])</f>
        <v>PS JALAN HAJI AHMADLOT 5093JALAN HJ AHMAD,25050, KUANTAN ,PAHANG</v>
      </c>
      <c r="F265" s="12" t="s">
        <v>1962</v>
      </c>
      <c r="G265" s="12" t="s">
        <v>1963</v>
      </c>
      <c r="H265" s="12" t="s">
        <v>1964</v>
      </c>
      <c r="I265" s="12" t="b">
        <f>ISNUMBER(VALUE(LEFT(Customer[[#This Row],[Address Line 3 (30 char)]],1)))</f>
        <v>0</v>
      </c>
      <c r="J265" s="29" t="s">
        <v>339</v>
      </c>
      <c r="K265" s="12">
        <v>25200</v>
      </c>
      <c r="L265" s="12" t="s">
        <v>35</v>
      </c>
      <c r="M265" s="13">
        <v>201803089482</v>
      </c>
      <c r="N265" s="14" t="s">
        <v>1965</v>
      </c>
      <c r="O265" s="14" t="e">
        <v>#N/A</v>
      </c>
      <c r="P265" s="14" t="e">
        <v>#N/A</v>
      </c>
      <c r="Q265" s="19" t="s">
        <v>1856</v>
      </c>
      <c r="R265" s="15" t="s">
        <v>1966</v>
      </c>
      <c r="S265" s="15" t="s">
        <v>37</v>
      </c>
      <c r="T265" s="16" t="s">
        <v>38</v>
      </c>
      <c r="U265" s="11" t="str">
        <f>_xlfn.XLOOKUP(Customer[[#This Row],[Customer ID]],[1]!Address[ID],[1]!Address[Phone No.(2)])</f>
        <v/>
      </c>
      <c r="V265" s="11" t="str">
        <f>_xlfn.XLOOKUP(Customer[[#This Row],[Customer ID]],[1]!Address[ID],[1]!Address[Type])</f>
        <v>PETROMART</v>
      </c>
      <c r="W265" s="11" t="str">
        <f>_xlfn.XLOOKUP(Customer[[#This Row],[Customer ID]],[1]!Address[ID],[1]!Address[CT])</f>
        <v>30 DAYS</v>
      </c>
      <c r="X265" s="11" t="s">
        <v>39</v>
      </c>
      <c r="Y265" s="17" t="s">
        <v>40</v>
      </c>
      <c r="Z265" s="17" t="e">
        <f>_xlfn.XLOOKUP(Customer[[#This Row],[NewType]],$AF$36:$AF$54,$AG$36:$AG$54)</f>
        <v>#N/A</v>
      </c>
      <c r="AA265" s="17" t="s">
        <v>1967</v>
      </c>
      <c r="AB265" s="11" t="str">
        <f>_xlfn.XLOOKUP(Customer[[#This Row],[Customer ID]],[1]!Address[ID],[1]!Address[Subtype])</f>
        <v>PETRONAS</v>
      </c>
      <c r="AC265" s="18" t="str">
        <f>_xlfn.XLOOKUP(Customer[[#This Row],[Customer ID]],[1]!Address[ID],[1]!Address[Zone])</f>
        <v>EAST COAST</v>
      </c>
    </row>
    <row r="266" spans="1:29" x14ac:dyDescent="0.3">
      <c r="A266" s="10" t="s">
        <v>1968</v>
      </c>
      <c r="B266" s="11" t="str">
        <f>_xlfn.XLOOKUP(Customer[[#This Row],[Customer ID]],[1]!Name[ID],[1]!Name[Description(1)])</f>
        <v>MERCU NIAGA ELMU</v>
      </c>
      <c r="C266" s="11" t="str">
        <f>_xlfn.XLOOKUP(Customer[[#This Row],[Customer ID]],[1]!Name[ID],[1]!Name[Description(2)])</f>
        <v>PS JALAN HAJI SAID</v>
      </c>
      <c r="D266" s="11" t="str">
        <f>_xlfn.XLOOKUP(Customer[[#This Row],[Customer ID]],[1]!Address[ID],[1]!Address[PIC])</f>
        <v>Mustaza Bin Moh</v>
      </c>
      <c r="E266" s="11" t="str">
        <f>_xlfn.XLOOKUP(Customer[[#This Row],[Customer ID]],[1]!Address[ID],[1]!Address[Full Address])</f>
        <v>PS JALAN HAJI SAIDLOT 1221/1, JALAN HAJI SAID,SEREMBAN, NEGERI SEMBILAN,70400, SEREMBAN, NEGERI SEMBILAN.</v>
      </c>
      <c r="F266" s="12" t="s">
        <v>1969</v>
      </c>
      <c r="G266" s="12" t="s">
        <v>1970</v>
      </c>
      <c r="H266" s="12" t="s">
        <v>1971</v>
      </c>
      <c r="I266" s="12" t="b">
        <f>ISNUMBER(VALUE(LEFT(Customer[[#This Row],[Address Line 3 (30 char)]],1)))</f>
        <v>0</v>
      </c>
      <c r="J266" s="12" t="s">
        <v>203</v>
      </c>
      <c r="K266" s="12">
        <v>70400</v>
      </c>
      <c r="L266" s="12" t="s">
        <v>35</v>
      </c>
      <c r="M266" s="13">
        <v>201403179466</v>
      </c>
      <c r="N266" s="14" t="s">
        <v>1972</v>
      </c>
      <c r="O266" s="14" t="s">
        <v>54</v>
      </c>
      <c r="P266" s="14">
        <v>47300</v>
      </c>
      <c r="Q266" s="19" t="s">
        <v>1973</v>
      </c>
      <c r="R266" s="15" t="s">
        <v>1974</v>
      </c>
      <c r="S266" s="15" t="s">
        <v>37</v>
      </c>
      <c r="T266" s="16" t="s">
        <v>38</v>
      </c>
      <c r="U266" s="11" t="str">
        <f>_xlfn.XLOOKUP(Customer[[#This Row],[Customer ID]],[1]!Address[ID],[1]!Address[Phone No.(2)])</f>
        <v/>
      </c>
      <c r="V266" s="11" t="str">
        <f>_xlfn.XLOOKUP(Customer[[#This Row],[Customer ID]],[1]!Address[ID],[1]!Address[Type])</f>
        <v>PETROMART</v>
      </c>
      <c r="W266" s="11" t="str">
        <f>_xlfn.XLOOKUP(Customer[[#This Row],[Customer ID]],[1]!Address[ID],[1]!Address[CT])</f>
        <v>30 DAYS</v>
      </c>
      <c r="X266" s="11" t="s">
        <v>39</v>
      </c>
      <c r="Y266" s="17" t="s">
        <v>40</v>
      </c>
      <c r="Z266" s="17" t="e">
        <f>_xlfn.XLOOKUP(Customer[[#This Row],[NewType]],$AF$36:$AF$54,$AG$36:$AG$54)</f>
        <v>#N/A</v>
      </c>
      <c r="AA266" s="17" t="s">
        <v>1975</v>
      </c>
      <c r="AB266" s="11" t="str">
        <f>_xlfn.XLOOKUP(Customer[[#This Row],[Customer ID]],[1]!Address[ID],[1]!Address[Subtype])</f>
        <v>PETRONAS</v>
      </c>
      <c r="AC266" s="18" t="str">
        <f>_xlfn.XLOOKUP(Customer[[#This Row],[Customer ID]],[1]!Address[ID],[1]!Address[Zone])</f>
        <v>CENTRAL</v>
      </c>
    </row>
    <row r="267" spans="1:29" x14ac:dyDescent="0.3">
      <c r="A267" s="10" t="s">
        <v>1976</v>
      </c>
      <c r="B267" s="11" t="str">
        <f>_xlfn.XLOOKUP(Customer[[#This Row],[Customer ID]],[1]!Name[ID],[1]!Name[Description(1)])</f>
        <v>DETRONAS PETROL STATION</v>
      </c>
      <c r="C267" s="11" t="str">
        <f>_xlfn.XLOOKUP(Customer[[#This Row],[Customer ID]],[1]!Name[ID],[1]!Name[Description(2)])</f>
        <v>PS JALAN HAJI SIRAT</v>
      </c>
      <c r="D267" s="11" t="str">
        <f>_xlfn.XLOOKUP(Customer[[#This Row],[Customer ID]],[1]!Address[ID],[1]!Address[PIC])</f>
        <v/>
      </c>
      <c r="E267" s="11" t="str">
        <f>_xlfn.XLOOKUP(Customer[[#This Row],[Customer ID]],[1]!Address[ID],[1]!Address[Full Address])</f>
        <v>PS JALAN HAJI SIRATNO 1, JALAN ISTIMEWA 5,OFF JALAN HAJI SIRAT,42100 KLANG, SELANGOR.</v>
      </c>
      <c r="F267" s="12" t="s">
        <v>1977</v>
      </c>
      <c r="G267" s="12" t="s">
        <v>1978</v>
      </c>
      <c r="H267" s="12" t="s">
        <v>1979</v>
      </c>
      <c r="I267" s="12" t="b">
        <f>ISNUMBER(VALUE(LEFT(Customer[[#This Row],[Address Line 3 (30 char)]],1)))</f>
        <v>0</v>
      </c>
      <c r="J267" s="12" t="s">
        <v>172</v>
      </c>
      <c r="K267" s="12">
        <v>41400</v>
      </c>
      <c r="L267" s="12" t="s">
        <v>35</v>
      </c>
      <c r="M267" s="13" t="e">
        <v>#N/A</v>
      </c>
      <c r="N267" s="14" t="e">
        <v>#N/A</v>
      </c>
      <c r="O267" s="14" t="e">
        <v>#N/A</v>
      </c>
      <c r="P267" s="14" t="e">
        <v>#N/A</v>
      </c>
      <c r="Q267" s="19" t="s">
        <v>1980</v>
      </c>
      <c r="R267" s="15" t="s">
        <v>1981</v>
      </c>
      <c r="S267" s="15" t="s">
        <v>37</v>
      </c>
      <c r="T267" s="16" t="s">
        <v>38</v>
      </c>
      <c r="U267" s="11" t="str">
        <f>_xlfn.XLOOKUP(Customer[[#This Row],[Customer ID]],[1]!Address[ID],[1]!Address[Phone No.(2)])</f>
        <v/>
      </c>
      <c r="V267" s="11" t="str">
        <f>_xlfn.XLOOKUP(Customer[[#This Row],[Customer ID]],[1]!Address[ID],[1]!Address[Type])</f>
        <v>PETROMART</v>
      </c>
      <c r="W267" s="11" t="str">
        <f>_xlfn.XLOOKUP(Customer[[#This Row],[Customer ID]],[1]!Address[ID],[1]!Address[CT])</f>
        <v>30 DAYS</v>
      </c>
      <c r="X267" s="11" t="s">
        <v>39</v>
      </c>
      <c r="Y267" s="17" t="s">
        <v>40</v>
      </c>
      <c r="Z267" s="17" t="e">
        <f>_xlfn.XLOOKUP(Customer[[#This Row],[NewType]],$AF$36:$AF$54,$AG$36:$AG$54)</f>
        <v>#N/A</v>
      </c>
      <c r="AA267" s="17" t="s">
        <v>1982</v>
      </c>
      <c r="AB267" s="11" t="str">
        <f>_xlfn.XLOOKUP(Customer[[#This Row],[Customer ID]],[1]!Address[ID],[1]!Address[Subtype])</f>
        <v>PETRONAS</v>
      </c>
      <c r="AC267" s="18" t="str">
        <f>_xlfn.XLOOKUP(Customer[[#This Row],[Customer ID]],[1]!Address[ID],[1]!Address[Zone])</f>
        <v>CENTRAL</v>
      </c>
    </row>
    <row r="268" spans="1:29" x14ac:dyDescent="0.3">
      <c r="A268" s="10" t="s">
        <v>1983</v>
      </c>
      <c r="B268" s="11" t="str">
        <f>_xlfn.XLOOKUP(Customer[[#This Row],[Customer ID]],[1]!Name[ID],[1]!Name[Description(1)])</f>
        <v>AHZ DE LARIS SDN BHD</v>
      </c>
      <c r="C268" s="11" t="str">
        <f>_xlfn.XLOOKUP(Customer[[#This Row],[Customer ID]],[1]!Name[ID],[1]!Name[Description(2)])</f>
        <v>PS JALAN HAMZAH ALANG</v>
      </c>
      <c r="D268" s="11" t="str">
        <f>_xlfn.XLOOKUP(Customer[[#This Row],[Customer ID]],[1]!Address[ID],[1]!Address[PIC])</f>
        <v/>
      </c>
      <c r="E268" s="11" t="str">
        <f>_xlfn.XLOOKUP(Customer[[#This Row],[Customer ID]],[1]!Address[ID],[1]!Address[Full Address])</f>
        <v>PS JALAN HAMZAH ALANGPT 74378, PERSIARAN HAMZAH ALANG (KU9),MUKIM KAPAR, DAERAH KLANG, BANDARDIRAJA, SELANGOR DARUL EHSAN, 42200,</v>
      </c>
      <c r="F268" s="12" t="s">
        <v>1984</v>
      </c>
      <c r="G268" s="12" t="s">
        <v>1985</v>
      </c>
      <c r="H268" s="12" t="s">
        <v>1986</v>
      </c>
      <c r="I268" s="12" t="b">
        <f>ISNUMBER(VALUE(LEFT(Customer[[#This Row],[Address Line 3 (30 char)]],1)))</f>
        <v>0</v>
      </c>
      <c r="J268" s="12" t="s">
        <v>172</v>
      </c>
      <c r="K268" s="12">
        <v>42200</v>
      </c>
      <c r="L268" s="12" t="s">
        <v>35</v>
      </c>
      <c r="M268" s="13">
        <v>202301031032</v>
      </c>
      <c r="N268" s="14" t="s">
        <v>1987</v>
      </c>
      <c r="O268" s="14" t="s">
        <v>54</v>
      </c>
      <c r="P268" s="14" t="s">
        <v>54</v>
      </c>
      <c r="Q268" s="19" t="s">
        <v>1988</v>
      </c>
      <c r="R268" s="15" t="s">
        <v>1989</v>
      </c>
      <c r="S268" s="15" t="s">
        <v>37</v>
      </c>
      <c r="T268" s="16" t="s">
        <v>38</v>
      </c>
      <c r="U268" s="11" t="str">
        <f>_xlfn.XLOOKUP(Customer[[#This Row],[Customer ID]],[1]!Address[ID],[1]!Address[Phone No.(2)])</f>
        <v/>
      </c>
      <c r="V268" s="11" t="str">
        <f>_xlfn.XLOOKUP(Customer[[#This Row],[Customer ID]],[1]!Address[ID],[1]!Address[Type])</f>
        <v>PETROMART</v>
      </c>
      <c r="W268" s="11" t="str">
        <f>_xlfn.XLOOKUP(Customer[[#This Row],[Customer ID]],[1]!Address[ID],[1]!Address[CT])</f>
        <v>30 DAYS</v>
      </c>
      <c r="X268" s="11" t="s">
        <v>39</v>
      </c>
      <c r="Y268" s="17" t="s">
        <v>40</v>
      </c>
      <c r="Z268" s="17" t="e">
        <f>_xlfn.XLOOKUP(Customer[[#This Row],[NewType]],$AF$36:$AF$54,$AG$36:$AG$54)</f>
        <v>#N/A</v>
      </c>
      <c r="AA268" s="17" t="s">
        <v>1990</v>
      </c>
      <c r="AB268" s="11" t="str">
        <f>_xlfn.XLOOKUP(Customer[[#This Row],[Customer ID]],[1]!Address[ID],[1]!Address[Subtype])</f>
        <v>PETRONAS</v>
      </c>
      <c r="AC268" s="18" t="str">
        <f>_xlfn.XLOOKUP(Customer[[#This Row],[Customer ID]],[1]!Address[ID],[1]!Address[Zone])</f>
        <v>CENTRAL</v>
      </c>
    </row>
    <row r="269" spans="1:29" x14ac:dyDescent="0.3">
      <c r="A269" s="10" t="s">
        <v>1991</v>
      </c>
      <c r="B269" s="11" t="str">
        <f>_xlfn.XLOOKUP(Customer[[#This Row],[Customer ID]],[1]!Name[ID],[1]!Name[Description(1)])</f>
        <v>EZ PETROCARE</v>
      </c>
      <c r="C269" s="11" t="str">
        <f>_xlfn.XLOOKUP(Customer[[#This Row],[Customer ID]],[1]!Name[ID],[1]!Name[Description(2)])</f>
        <v>PS TAMAN BUKIT INDAH</v>
      </c>
      <c r="D269" s="11" t="str">
        <f>_xlfn.XLOOKUP(Customer[[#This Row],[Customer ID]],[1]!Address[ID],[1]!Address[PIC])</f>
        <v/>
      </c>
      <c r="E269" s="11" t="str">
        <f>_xlfn.XLOOKUP(Customer[[#This Row],[Customer ID]],[1]!Address[ID],[1]!Address[Full Address])</f>
        <v>PS TAMAN BUKIT INDAHLOT PTD 108516 HS(D),17193, OFF PERSIARAN PERLING, TAMAN BUTAMAN BUKIT INDAH, MUKIM PULAI,81200 JB</v>
      </c>
      <c r="F269" s="12" t="s">
        <v>1992</v>
      </c>
      <c r="G269" s="12" t="s">
        <v>1993</v>
      </c>
      <c r="H269" s="12" t="s">
        <v>1994</v>
      </c>
      <c r="I269" s="12" t="b">
        <f>ISNUMBER(VALUE(LEFT(Customer[[#This Row],[Address Line 3 (30 char)]],1)))</f>
        <v>0</v>
      </c>
      <c r="J269" s="12" t="s">
        <v>1995</v>
      </c>
      <c r="K269" s="12">
        <v>81200</v>
      </c>
      <c r="L269" s="12" t="s">
        <v>35</v>
      </c>
      <c r="M269" s="13">
        <v>200703171259</v>
      </c>
      <c r="N269" s="14" t="s">
        <v>1996</v>
      </c>
      <c r="O269" s="14" t="e">
        <v>#N/A</v>
      </c>
      <c r="P269" s="14" t="e">
        <v>#N/A</v>
      </c>
      <c r="Q269" s="19" t="s">
        <v>1997</v>
      </c>
      <c r="R269" s="15" t="s">
        <v>1998</v>
      </c>
      <c r="S269" s="15" t="s">
        <v>37</v>
      </c>
      <c r="T269" s="16" t="s">
        <v>38</v>
      </c>
      <c r="U269" s="11" t="str">
        <f>_xlfn.XLOOKUP(Customer[[#This Row],[Customer ID]],[1]!Address[ID],[1]!Address[Phone No.(2)])</f>
        <v/>
      </c>
      <c r="V269" s="11" t="str">
        <f>_xlfn.XLOOKUP(Customer[[#This Row],[Customer ID]],[1]!Address[ID],[1]!Address[Type])</f>
        <v>PETROMART</v>
      </c>
      <c r="W269" s="11" t="str">
        <f>_xlfn.XLOOKUP(Customer[[#This Row],[Customer ID]],[1]!Address[ID],[1]!Address[CT])</f>
        <v>30 DAYS</v>
      </c>
      <c r="X269" s="11" t="s">
        <v>39</v>
      </c>
      <c r="Y269" s="17" t="s">
        <v>40</v>
      </c>
      <c r="Z269" s="17" t="e">
        <f>_xlfn.XLOOKUP(Customer[[#This Row],[NewType]],$AF$36:$AF$54,$AG$36:$AG$54)</f>
        <v>#N/A</v>
      </c>
      <c r="AA269" s="17" t="s">
        <v>1999</v>
      </c>
      <c r="AB269" s="11" t="str">
        <f>_xlfn.XLOOKUP(Customer[[#This Row],[Customer ID]],[1]!Address[ID],[1]!Address[Subtype])</f>
        <v>PETRONAS</v>
      </c>
      <c r="AC269" s="18" t="str">
        <f>_xlfn.XLOOKUP(Customer[[#This Row],[Customer ID]],[1]!Address[ID],[1]!Address[Zone])</f>
        <v>SOUTH</v>
      </c>
    </row>
    <row r="270" spans="1:29" x14ac:dyDescent="0.3">
      <c r="A270" s="10" t="s">
        <v>2000</v>
      </c>
      <c r="B270" s="11" t="str">
        <f>_xlfn.XLOOKUP(Customer[[#This Row],[Customer ID]],[1]!Name[ID],[1]!Name[Description(1)])</f>
        <v>PRISMA OIL ENTERPRISE</v>
      </c>
      <c r="C270" s="11" t="str">
        <f>_xlfn.XLOOKUP(Customer[[#This Row],[Customer ID]],[1]!Name[ID],[1]!Name[Description(2)])</f>
        <v>PS JALAN JUASEH,BAHAU</v>
      </c>
      <c r="D270" s="11" t="str">
        <f>_xlfn.XLOOKUP(Customer[[#This Row],[Customer ID]],[1]!Address[ID],[1]!Address[PIC])</f>
        <v/>
      </c>
      <c r="E270" s="11" t="str">
        <f>_xlfn.XLOOKUP(Customer[[#This Row],[Customer ID]],[1]!Address[ID],[1]!Address[Full Address])</f>
        <v>PS JALAN JUASEH,BAHAULOT 489, MUKIM SERTING ULU,JALAN JUASEH, BAHAU, NEGERI SEMBILAN72100, JEMPOL, NEGERI 9</v>
      </c>
      <c r="F270" s="12" t="s">
        <v>2001</v>
      </c>
      <c r="G270" s="12" t="s">
        <v>2002</v>
      </c>
      <c r="H270" s="12" t="s">
        <v>2003</v>
      </c>
      <c r="I270" s="12" t="b">
        <f>ISNUMBER(VALUE(LEFT(Customer[[#This Row],[Address Line 3 (30 char)]],1)))</f>
        <v>0</v>
      </c>
      <c r="J270" s="12" t="s">
        <v>2004</v>
      </c>
      <c r="K270" s="12">
        <v>72100</v>
      </c>
      <c r="L270" s="12" t="s">
        <v>35</v>
      </c>
      <c r="M270" s="13" t="e">
        <v>#N/A</v>
      </c>
      <c r="N270" s="14" t="e">
        <v>#N/A</v>
      </c>
      <c r="O270" s="14" t="e">
        <v>#N/A</v>
      </c>
      <c r="P270" s="14" t="e">
        <v>#N/A</v>
      </c>
      <c r="Q270" s="19" t="s">
        <v>2005</v>
      </c>
      <c r="R270" s="15" t="s">
        <v>2006</v>
      </c>
      <c r="S270" s="15" t="s">
        <v>37</v>
      </c>
      <c r="T270" s="16" t="s">
        <v>38</v>
      </c>
      <c r="U270" s="11" t="str">
        <f>_xlfn.XLOOKUP(Customer[[#This Row],[Customer ID]],[1]!Address[ID],[1]!Address[Phone No.(2)])</f>
        <v/>
      </c>
      <c r="V270" s="11" t="str">
        <f>_xlfn.XLOOKUP(Customer[[#This Row],[Customer ID]],[1]!Address[ID],[1]!Address[Type])</f>
        <v>PETROMART</v>
      </c>
      <c r="W270" s="11" t="str">
        <f>_xlfn.XLOOKUP(Customer[[#This Row],[Customer ID]],[1]!Address[ID],[1]!Address[CT])</f>
        <v>30 DAYS</v>
      </c>
      <c r="X270" s="11" t="s">
        <v>39</v>
      </c>
      <c r="Y270" s="17" t="s">
        <v>40</v>
      </c>
      <c r="Z270" s="17" t="e">
        <f>_xlfn.XLOOKUP(Customer[[#This Row],[NewType]],$AF$36:$AF$54,$AG$36:$AG$54)</f>
        <v>#N/A</v>
      </c>
      <c r="AA270" s="17" t="s">
        <v>2007</v>
      </c>
      <c r="AB270" s="11" t="str">
        <f>_xlfn.XLOOKUP(Customer[[#This Row],[Customer ID]],[1]!Address[ID],[1]!Address[Subtype])</f>
        <v>PETRONAS</v>
      </c>
      <c r="AC270" s="18" t="str">
        <f>_xlfn.XLOOKUP(Customer[[#This Row],[Customer ID]],[1]!Address[ID],[1]!Address[Zone])</f>
        <v>CENTRAL</v>
      </c>
    </row>
    <row r="271" spans="1:29" x14ac:dyDescent="0.3">
      <c r="A271" s="10" t="s">
        <v>2008</v>
      </c>
      <c r="B271" s="11" t="str">
        <f>_xlfn.XLOOKUP(Customer[[#This Row],[Customer ID]],[1]!Name[ID],[1]!Name[Description(1)])</f>
        <v>LYND KZ ENTERPRISE</v>
      </c>
      <c r="C271" s="11" t="str">
        <f>_xlfn.XLOOKUP(Customer[[#This Row],[Customer ID]],[1]!Name[ID],[1]!Name[Description(2)])</f>
        <v>PS JALAN K KANGSAR IPOH / GUNUNG LANG</v>
      </c>
      <c r="D271" s="11" t="str">
        <f>_xlfn.XLOOKUP(Customer[[#This Row],[Customer ID]],[1]!Address[ID],[1]!Address[PIC])</f>
        <v/>
      </c>
      <c r="E271" s="11" t="str">
        <f>_xlfn.XLOOKUP(Customer[[#This Row],[Customer ID]],[1]!Address[ID],[1]!Address[Full Address])</f>
        <v>PS JALAN K KANGSAR IPOH / GUNUNG LANGLOT 9893N,JALAN KUALA KANGSAR30100 IPOH PERAK</v>
      </c>
      <c r="F271" s="12"/>
      <c r="G271" s="12" t="s">
        <v>2009</v>
      </c>
      <c r="H271" s="12" t="s">
        <v>2010</v>
      </c>
      <c r="I271" s="12" t="b">
        <f>ISNUMBER(VALUE(LEFT(Customer[[#This Row],[Address Line 3 (30 char)]],1)))</f>
        <v>0</v>
      </c>
      <c r="J271" s="12" t="s">
        <v>242</v>
      </c>
      <c r="K271" s="12">
        <v>30100</v>
      </c>
      <c r="L271" s="12" t="s">
        <v>35</v>
      </c>
      <c r="M271" s="13" t="e">
        <v>#N/A</v>
      </c>
      <c r="N271" s="14" t="e">
        <v>#N/A</v>
      </c>
      <c r="O271" s="14" t="e">
        <v>#N/A</v>
      </c>
      <c r="P271" s="14" t="e">
        <v>#N/A</v>
      </c>
      <c r="Q271" s="19" t="s">
        <v>1769</v>
      </c>
      <c r="R271" s="15" t="s">
        <v>2011</v>
      </c>
      <c r="S271" s="15" t="s">
        <v>74</v>
      </c>
      <c r="T271" s="16" t="s">
        <v>38</v>
      </c>
      <c r="U271" s="11" t="str">
        <f>_xlfn.XLOOKUP(Customer[[#This Row],[Customer ID]],[1]!Address[ID],[1]!Address[Phone No.(2)])</f>
        <v/>
      </c>
      <c r="V271" s="11" t="str">
        <f>_xlfn.XLOOKUP(Customer[[#This Row],[Customer ID]],[1]!Address[ID],[1]!Address[Type])</f>
        <v>PETROMART</v>
      </c>
      <c r="W271" s="11" t="str">
        <f>_xlfn.XLOOKUP(Customer[[#This Row],[Customer ID]],[1]!Address[ID],[1]!Address[CT])</f>
        <v>30 DAYS</v>
      </c>
      <c r="X271" s="11" t="s">
        <v>39</v>
      </c>
      <c r="Y271" s="17" t="s">
        <v>40</v>
      </c>
      <c r="Z271" s="17" t="e">
        <f>_xlfn.XLOOKUP(Customer[[#This Row],[NewType]],$AF$36:$AF$54,$AG$36:$AG$54)</f>
        <v>#N/A</v>
      </c>
      <c r="AA271" s="17" t="s">
        <v>2012</v>
      </c>
      <c r="AB271" s="11" t="str">
        <f>_xlfn.XLOOKUP(Customer[[#This Row],[Customer ID]],[1]!Address[ID],[1]!Address[Subtype])</f>
        <v>PETRONAS</v>
      </c>
      <c r="AC271" s="18" t="str">
        <f>_xlfn.XLOOKUP(Customer[[#This Row],[Customer ID]],[1]!Address[ID],[1]!Address[Zone])</f>
        <v>NORTH</v>
      </c>
    </row>
    <row r="272" spans="1:29" x14ac:dyDescent="0.3">
      <c r="A272" s="10" t="s">
        <v>2013</v>
      </c>
      <c r="B272" s="11" t="str">
        <f>_xlfn.XLOOKUP(Customer[[#This Row],[Customer ID]],[1]!Name[ID],[1]!Name[Description(1)])</f>
        <v>ANUAR BIN ABIDIN</v>
      </c>
      <c r="C272" s="11" t="str">
        <f>_xlfn.XLOOKUP(Customer[[#This Row],[Customer ID]],[1]!Name[ID],[1]!Name[Description(2)])</f>
        <v>PS JALAN KAKI BUKIT</v>
      </c>
      <c r="D272" s="11" t="str">
        <f>_xlfn.XLOOKUP(Customer[[#This Row],[Customer ID]],[1]!Address[ID],[1]!Address[PIC])</f>
        <v/>
      </c>
      <c r="E272" s="11" t="str">
        <f>_xlfn.XLOOKUP(Customer[[#This Row],[Customer ID]],[1]!Address[ID],[1]!Address[Full Address])</f>
        <v>PS JALAN KAKI BUKITLOT 828,KM 2,  JALAN KAKI BUKITKANGAR, PERLIS, 01000, KANGAR, PERLIS</v>
      </c>
      <c r="F272" s="12" t="s">
        <v>2014</v>
      </c>
      <c r="G272" s="12" t="s">
        <v>2015</v>
      </c>
      <c r="H272" s="12" t="s">
        <v>2016</v>
      </c>
      <c r="I272" s="12" t="b">
        <f>ISNUMBER(VALUE(LEFT(Customer[[#This Row],[Address Line 3 (30 char)]],1)))</f>
        <v>0</v>
      </c>
      <c r="J272" s="12" t="s">
        <v>984</v>
      </c>
      <c r="K272" s="20" t="s">
        <v>985</v>
      </c>
      <c r="L272" s="12" t="s">
        <v>35</v>
      </c>
      <c r="M272" s="13" t="e">
        <v>#N/A</v>
      </c>
      <c r="N272" s="14" t="e">
        <v>#N/A</v>
      </c>
      <c r="O272" s="14" t="e">
        <v>#N/A</v>
      </c>
      <c r="P272" s="14" t="e">
        <v>#N/A</v>
      </c>
      <c r="Q272" s="19" t="s">
        <v>2017</v>
      </c>
      <c r="R272" s="15" t="s">
        <v>2018</v>
      </c>
      <c r="S272" s="15" t="s">
        <v>74</v>
      </c>
      <c r="T272" s="16" t="s">
        <v>38</v>
      </c>
      <c r="U272" s="11" t="str">
        <f>_xlfn.XLOOKUP(Customer[[#This Row],[Customer ID]],[1]!Address[ID],[1]!Address[Phone No.(2)])</f>
        <v/>
      </c>
      <c r="V272" s="11" t="str">
        <f>_xlfn.XLOOKUP(Customer[[#This Row],[Customer ID]],[1]!Address[ID],[1]!Address[Type])</f>
        <v>PETROMART</v>
      </c>
      <c r="W272" s="11" t="str">
        <f>_xlfn.XLOOKUP(Customer[[#This Row],[Customer ID]],[1]!Address[ID],[1]!Address[CT])</f>
        <v>30 DAYS</v>
      </c>
      <c r="X272" s="11" t="s">
        <v>39</v>
      </c>
      <c r="Y272" s="17" t="s">
        <v>40</v>
      </c>
      <c r="Z272" s="17" t="e">
        <f>_xlfn.XLOOKUP(Customer[[#This Row],[NewType]],$AF$36:$AF$54,$AG$36:$AG$54)</f>
        <v>#N/A</v>
      </c>
      <c r="AA272" s="17" t="s">
        <v>2019</v>
      </c>
      <c r="AB272" s="11" t="str">
        <f>_xlfn.XLOOKUP(Customer[[#This Row],[Customer ID]],[1]!Address[ID],[1]!Address[Subtype])</f>
        <v>PETRONAS</v>
      </c>
      <c r="AC272" s="18" t="str">
        <f>_xlfn.XLOOKUP(Customer[[#This Row],[Customer ID]],[1]!Address[ID],[1]!Address[Zone])</f>
        <v>NORTH</v>
      </c>
    </row>
    <row r="273" spans="1:29" x14ac:dyDescent="0.3">
      <c r="A273" s="10" t="s">
        <v>2020</v>
      </c>
      <c r="B273" s="11" t="str">
        <f>_xlfn.XLOOKUP(Customer[[#This Row],[Customer ID]],[1]!Name[ID],[1]!Name[Description(1)])</f>
        <v>MZ ILHAM RESOURCES</v>
      </c>
      <c r="C273" s="11" t="str">
        <f>_xlfn.XLOOKUP(Customer[[#This Row],[Customer ID]],[1]!Name[ID],[1]!Name[Description(2)])</f>
        <v>PS JALAN KAMPUNG SIMEE</v>
      </c>
      <c r="D273" s="11" t="str">
        <f>_xlfn.XLOOKUP(Customer[[#This Row],[Customer ID]],[1]!Address[ID],[1]!Address[PIC])</f>
        <v/>
      </c>
      <c r="E273" s="11" t="str">
        <f>_xlfn.XLOOKUP(Customer[[#This Row],[Customer ID]],[1]!Address[ID],[1]!Address[Full Address])</f>
        <v>PS JALAN KAMPUNG SIMEELOT PT 66101, NO. 8, JALAN GHAZALI JAWIJALAN FAIR PARK (KG SIMEE),IPOH, 31400, KINTA, PERAK</v>
      </c>
      <c r="F273" s="12" t="s">
        <v>2021</v>
      </c>
      <c r="G273" s="12" t="s">
        <v>2022</v>
      </c>
      <c r="H273" s="12" t="s">
        <v>2023</v>
      </c>
      <c r="I273" s="12" t="b">
        <f>ISNUMBER(VALUE(LEFT(Customer[[#This Row],[Address Line 3 (30 char)]],1)))</f>
        <v>0</v>
      </c>
      <c r="J273" s="12" t="s">
        <v>242</v>
      </c>
      <c r="K273" s="12">
        <v>31400</v>
      </c>
      <c r="L273" s="12" t="s">
        <v>35</v>
      </c>
      <c r="M273" s="13">
        <v>202103134165</v>
      </c>
      <c r="N273" s="14" t="s">
        <v>2024</v>
      </c>
      <c r="O273" s="14" t="e">
        <v>#N/A</v>
      </c>
      <c r="P273" s="14" t="e">
        <v>#N/A</v>
      </c>
      <c r="Q273" s="19" t="s">
        <v>2025</v>
      </c>
      <c r="R273" s="15" t="s">
        <v>2026</v>
      </c>
      <c r="S273" s="15" t="s">
        <v>74</v>
      </c>
      <c r="T273" s="16" t="s">
        <v>38</v>
      </c>
      <c r="U273" s="11" t="str">
        <f>_xlfn.XLOOKUP(Customer[[#This Row],[Customer ID]],[1]!Address[ID],[1]!Address[Phone No.(2)])</f>
        <v/>
      </c>
      <c r="V273" s="11" t="str">
        <f>_xlfn.XLOOKUP(Customer[[#This Row],[Customer ID]],[1]!Address[ID],[1]!Address[Type])</f>
        <v>PETROMART</v>
      </c>
      <c r="W273" s="11" t="str">
        <f>_xlfn.XLOOKUP(Customer[[#This Row],[Customer ID]],[1]!Address[ID],[1]!Address[CT])</f>
        <v>30 DAYS</v>
      </c>
      <c r="X273" s="11" t="s">
        <v>39</v>
      </c>
      <c r="Y273" s="17" t="s">
        <v>40</v>
      </c>
      <c r="Z273" s="17" t="e">
        <f>_xlfn.XLOOKUP(Customer[[#This Row],[NewType]],$AF$36:$AF$54,$AG$36:$AG$54)</f>
        <v>#N/A</v>
      </c>
      <c r="AA273" s="17" t="s">
        <v>2027</v>
      </c>
      <c r="AB273" s="11" t="str">
        <f>_xlfn.XLOOKUP(Customer[[#This Row],[Customer ID]],[1]!Address[ID],[1]!Address[Subtype])</f>
        <v>PETRONAS</v>
      </c>
      <c r="AC273" s="18" t="str">
        <f>_xlfn.XLOOKUP(Customer[[#This Row],[Customer ID]],[1]!Address[ID],[1]!Address[Zone])</f>
        <v>NORTH</v>
      </c>
    </row>
    <row r="274" spans="1:29" x14ac:dyDescent="0.3">
      <c r="A274" s="10" t="s">
        <v>2028</v>
      </c>
      <c r="B274" s="11" t="str">
        <f>_xlfn.XLOOKUP(Customer[[#This Row],[Customer ID]],[1]!Name[ID],[1]!Name[Description(1)])</f>
        <v>MAFAZ NIAGA</v>
      </c>
      <c r="C274" s="11" t="str">
        <f>_xlfn.XLOOKUP(Customer[[#This Row],[Customer ID]],[1]!Name[ID],[1]!Name[Description(2)])</f>
        <v>PS JALAN KERBAU, SUNGAI PETANI</v>
      </c>
      <c r="D274" s="11" t="str">
        <f>_xlfn.XLOOKUP(Customer[[#This Row],[Customer ID]],[1]!Address[ID],[1]!Address[PIC])</f>
        <v/>
      </c>
      <c r="E274" s="11" t="str">
        <f>_xlfn.XLOOKUP(Customer[[#This Row],[Customer ID]],[1]!Address[ID],[1]!Address[Full Address])</f>
        <v>PS JALAN KERBAU, SUNGAI PETANLOT PT 57919 HS(M) 1113, JALAN KERBAU,MUKIM SUNGAI PETANI, KEDAH08000, KUALA MUDA, KEDAH</v>
      </c>
      <c r="F274" s="12" t="s">
        <v>2029</v>
      </c>
      <c r="G274" s="12" t="s">
        <v>2030</v>
      </c>
      <c r="H274" s="12" t="s">
        <v>2031</v>
      </c>
      <c r="I274" s="12" t="b">
        <f>ISNUMBER(VALUE(LEFT(Customer[[#This Row],[Address Line 3 (30 char)]],1)))</f>
        <v>0</v>
      </c>
      <c r="J274" s="12" t="s">
        <v>355</v>
      </c>
      <c r="K274" s="20" t="s">
        <v>296</v>
      </c>
      <c r="L274" s="12" t="s">
        <v>35</v>
      </c>
      <c r="M274" s="13" t="e">
        <v>#N/A</v>
      </c>
      <c r="N274" s="14" t="e">
        <v>#N/A</v>
      </c>
      <c r="O274" s="14" t="e">
        <v>#N/A</v>
      </c>
      <c r="P274" s="14" t="e">
        <v>#N/A</v>
      </c>
      <c r="Q274" s="19" t="s">
        <v>2032</v>
      </c>
      <c r="R274" s="15" t="s">
        <v>1515</v>
      </c>
      <c r="S274" s="15" t="s">
        <v>74</v>
      </c>
      <c r="T274" s="16" t="s">
        <v>38</v>
      </c>
      <c r="U274" s="11" t="str">
        <f>_xlfn.XLOOKUP(Customer[[#This Row],[Customer ID]],[1]!Address[ID],[1]!Address[Phone No.(2)])</f>
        <v/>
      </c>
      <c r="V274" s="11" t="str">
        <f>_xlfn.XLOOKUP(Customer[[#This Row],[Customer ID]],[1]!Address[ID],[1]!Address[Type])</f>
        <v>PETROMART</v>
      </c>
      <c r="W274" s="11" t="str">
        <f>_xlfn.XLOOKUP(Customer[[#This Row],[Customer ID]],[1]!Address[ID],[1]!Address[CT])</f>
        <v>30 DAYS</v>
      </c>
      <c r="X274" s="11" t="s">
        <v>39</v>
      </c>
      <c r="Y274" s="17" t="s">
        <v>40</v>
      </c>
      <c r="Z274" s="17" t="e">
        <f>_xlfn.XLOOKUP(Customer[[#This Row],[NewType]],$AF$36:$AF$54,$AG$36:$AG$54)</f>
        <v>#N/A</v>
      </c>
      <c r="AA274" s="17" t="s">
        <v>2033</v>
      </c>
      <c r="AB274" s="11" t="str">
        <f>_xlfn.XLOOKUP(Customer[[#This Row],[Customer ID]],[1]!Address[ID],[1]!Address[Subtype])</f>
        <v>PETRONAS</v>
      </c>
      <c r="AC274" s="18" t="str">
        <f>_xlfn.XLOOKUP(Customer[[#This Row],[Customer ID]],[1]!Address[ID],[1]!Address[Zone])</f>
        <v>NORTH</v>
      </c>
    </row>
    <row r="275" spans="1:29" x14ac:dyDescent="0.3">
      <c r="A275" s="10" t="s">
        <v>2034</v>
      </c>
      <c r="B275" s="11" t="str">
        <f>_xlfn.XLOOKUP(Customer[[#This Row],[Customer ID]],[1]!Name[ID],[1]!Name[Description(1)])</f>
        <v>MAJU MAKMUR BARAKATH ENTERPRISE</v>
      </c>
      <c r="C275" s="11" t="str">
        <f>_xlfn.XLOOKUP(Customer[[#This Row],[Customer ID]],[1]!Name[ID],[1]!Name[Description(2)])</f>
        <v>PS JALAN KLANG-BANTING</v>
      </c>
      <c r="D275" s="11" t="str">
        <f>_xlfn.XLOOKUP(Customer[[#This Row],[Customer ID]],[1]!Address[ID],[1]!Address[PIC])</f>
        <v>Razali Othman</v>
      </c>
      <c r="E275" s="11" t="str">
        <f>_xlfn.XLOOKUP(Customer[[#This Row],[Customer ID]],[1]!Address[ID],[1]!Address[Full Address])</f>
        <v>PS JALAN KLANG-BANTINGLOT PT 10116, HS(M)10766,MUKIM TELOKPANGLIMA GARANG,KUALA LANGAT. 42500SELANGOR</v>
      </c>
      <c r="F275" s="12" t="s">
        <v>2035</v>
      </c>
      <c r="G275" s="12" t="s">
        <v>2036</v>
      </c>
      <c r="H275" s="12" t="s">
        <v>2037</v>
      </c>
      <c r="I275" s="12" t="b">
        <f>ISNUMBER(VALUE(LEFT(Customer[[#This Row],[Address Line 3 (30 char)]],1)))</f>
        <v>0</v>
      </c>
      <c r="J275" s="12" t="s">
        <v>172</v>
      </c>
      <c r="K275" s="12">
        <v>42500</v>
      </c>
      <c r="L275" s="12" t="s">
        <v>35</v>
      </c>
      <c r="M275" s="13">
        <v>201203070828</v>
      </c>
      <c r="N275" s="14" t="s">
        <v>2038</v>
      </c>
      <c r="O275" s="14" t="s">
        <v>54</v>
      </c>
      <c r="P275" s="14" t="s">
        <v>890</v>
      </c>
      <c r="Q275" s="19" t="s">
        <v>2039</v>
      </c>
      <c r="R275" s="15" t="s">
        <v>2040</v>
      </c>
      <c r="S275" s="15" t="s">
        <v>37</v>
      </c>
      <c r="T275" s="16" t="s">
        <v>38</v>
      </c>
      <c r="U275" s="11" t="str">
        <f>_xlfn.XLOOKUP(Customer[[#This Row],[Customer ID]],[1]!Address[ID],[1]!Address[Phone No.(2)])</f>
        <v/>
      </c>
      <c r="V275" s="11" t="str">
        <f>_xlfn.XLOOKUP(Customer[[#This Row],[Customer ID]],[1]!Address[ID],[1]!Address[Type])</f>
        <v>PETROMART</v>
      </c>
      <c r="W275" s="11" t="str">
        <f>_xlfn.XLOOKUP(Customer[[#This Row],[Customer ID]],[1]!Address[ID],[1]!Address[CT])</f>
        <v>30 DAYS</v>
      </c>
      <c r="X275" s="11" t="s">
        <v>39</v>
      </c>
      <c r="Y275" s="17" t="s">
        <v>40</v>
      </c>
      <c r="Z275" s="17" t="e">
        <f>_xlfn.XLOOKUP(Customer[[#This Row],[NewType]],$AF$36:$AF$54,$AG$36:$AG$54)</f>
        <v>#N/A</v>
      </c>
      <c r="AA275" s="17" t="s">
        <v>2041</v>
      </c>
      <c r="AB275" s="11" t="str">
        <f>_xlfn.XLOOKUP(Customer[[#This Row],[Customer ID]],[1]!Address[ID],[1]!Address[Subtype])</f>
        <v>PETRONAS</v>
      </c>
      <c r="AC275" s="18" t="str">
        <f>_xlfn.XLOOKUP(Customer[[#This Row],[Customer ID]],[1]!Address[ID],[1]!Address[Zone])</f>
        <v>CENTRAL</v>
      </c>
    </row>
    <row r="276" spans="1:29" x14ac:dyDescent="0.3">
      <c r="A276" s="10" t="s">
        <v>2042</v>
      </c>
      <c r="B276" s="11" t="str">
        <f>_xlfn.XLOOKUP(Customer[[#This Row],[Customer ID]],[1]!Name[ID],[1]!Name[Description(1)])</f>
        <v>STESEN MINYAK BESTARI</v>
      </c>
      <c r="C276" s="11" t="str">
        <f>_xlfn.XLOOKUP(Customer[[#This Row],[Customer ID]],[1]!Name[ID],[1]!Name[Description(2)])</f>
        <v>PS JALAN KOLAM AYER  , AMPANG</v>
      </c>
      <c r="D276" s="11" t="str">
        <f>_xlfn.XLOOKUP(Customer[[#This Row],[Customer ID]],[1]!Address[ID],[1]!Address[PIC])</f>
        <v/>
      </c>
      <c r="E276" s="11" t="str">
        <f>_xlfn.XLOOKUP(Customer[[#This Row],[Customer ID]],[1]!Address[ID],[1]!Address[Full Address])</f>
        <v>PS JALAN KOLAM AYER  , AMPANGLOT 36904,JALAN KOLAM AIR LAMA, AMPANG68000, SELANGOR</v>
      </c>
      <c r="F276" s="12" t="s">
        <v>2043</v>
      </c>
      <c r="G276" s="12" t="s">
        <v>2044</v>
      </c>
      <c r="H276" s="12" t="s">
        <v>2045</v>
      </c>
      <c r="I276" s="12" t="b">
        <f>ISNUMBER(VALUE(LEFT(Customer[[#This Row],[Address Line 3 (30 char)]],1)))</f>
        <v>0</v>
      </c>
      <c r="J276" s="12" t="s">
        <v>172</v>
      </c>
      <c r="K276" s="12">
        <v>68000</v>
      </c>
      <c r="L276" s="12" t="s">
        <v>35</v>
      </c>
      <c r="M276" s="13" t="e">
        <v>#N/A</v>
      </c>
      <c r="N276" s="14" t="e">
        <v>#N/A</v>
      </c>
      <c r="O276" s="14" t="e">
        <v>#N/A</v>
      </c>
      <c r="P276" s="14" t="e">
        <v>#N/A</v>
      </c>
      <c r="Q276" s="19" t="s">
        <v>2046</v>
      </c>
      <c r="R276" s="15" t="s">
        <v>2047</v>
      </c>
      <c r="S276" s="15" t="s">
        <v>37</v>
      </c>
      <c r="T276" s="16" t="s">
        <v>38</v>
      </c>
      <c r="U276" s="11" t="str">
        <f>_xlfn.XLOOKUP(Customer[[#This Row],[Customer ID]],[1]!Address[ID],[1]!Address[Phone No.(2)])</f>
        <v/>
      </c>
      <c r="V276" s="11" t="str">
        <f>_xlfn.XLOOKUP(Customer[[#This Row],[Customer ID]],[1]!Address[ID],[1]!Address[Type])</f>
        <v>PETROMART</v>
      </c>
      <c r="W276" s="11" t="str">
        <f>_xlfn.XLOOKUP(Customer[[#This Row],[Customer ID]],[1]!Address[ID],[1]!Address[CT])</f>
        <v>30 DAYS</v>
      </c>
      <c r="X276" s="11" t="s">
        <v>39</v>
      </c>
      <c r="Y276" s="17" t="s">
        <v>40</v>
      </c>
      <c r="Z276" s="17" t="e">
        <f>_xlfn.XLOOKUP(Customer[[#This Row],[NewType]],$AF$36:$AF$54,$AG$36:$AG$54)</f>
        <v>#N/A</v>
      </c>
      <c r="AA276" s="17" t="s">
        <v>2048</v>
      </c>
      <c r="AB276" s="11" t="str">
        <f>_xlfn.XLOOKUP(Customer[[#This Row],[Customer ID]],[1]!Address[ID],[1]!Address[Subtype])</f>
        <v>PETRONAS</v>
      </c>
      <c r="AC276" s="18" t="str">
        <f>_xlfn.XLOOKUP(Customer[[#This Row],[Customer ID]],[1]!Address[ID],[1]!Address[Zone])</f>
        <v>CENTRAL</v>
      </c>
    </row>
    <row r="277" spans="1:29" x14ac:dyDescent="0.3">
      <c r="A277" s="10" t="s">
        <v>2049</v>
      </c>
      <c r="B277" s="11" t="str">
        <f>_xlfn.XLOOKUP(Customer[[#This Row],[Customer ID]],[1]!Name[ID],[1]!Name[Description(1)])</f>
        <v>DMO STESEN ENTERPRISE</v>
      </c>
      <c r="C277" s="11" t="str">
        <f>_xlfn.XLOOKUP(Customer[[#This Row],[Customer ID]],[1]!Name[ID],[1]!Name[Description(2)])</f>
        <v>PS JALAN KUANTAN-SUNGAI LEMBING</v>
      </c>
      <c r="D277" s="11" t="str">
        <f>_xlfn.XLOOKUP(Customer[[#This Row],[Customer ID]],[1]!Address[ID],[1]!Address[PIC])</f>
        <v/>
      </c>
      <c r="E277" s="11" t="str">
        <f>_xlfn.XLOOKUP(Customer[[#This Row],[Customer ID]],[1]!Address[ID],[1]!Address[Full Address])</f>
        <v>PS JALAN KUANTAN-SUNGAI LEMBINGLOT PT 100381, HS(D) 33924,JALAN KUANTAN - SUNGAI LEMBING,25200, KUANTAN, PAHANG</v>
      </c>
      <c r="F277" s="12" t="s">
        <v>2050</v>
      </c>
      <c r="G277" s="12" t="s">
        <v>2051</v>
      </c>
      <c r="H277" s="12" t="s">
        <v>2052</v>
      </c>
      <c r="I277" s="12" t="b">
        <f>ISNUMBER(VALUE(LEFT(Customer[[#This Row],[Address Line 3 (30 char)]],1)))</f>
        <v>0</v>
      </c>
      <c r="J277" s="12" t="s">
        <v>339</v>
      </c>
      <c r="K277" s="12">
        <v>25200</v>
      </c>
      <c r="L277" s="12" t="s">
        <v>35</v>
      </c>
      <c r="M277" s="13">
        <v>201203072637</v>
      </c>
      <c r="N277" s="14" t="s">
        <v>2053</v>
      </c>
      <c r="O277" s="14" t="e">
        <v>#N/A</v>
      </c>
      <c r="P277" s="14" t="e">
        <v>#N/A</v>
      </c>
      <c r="Q277" s="19" t="s">
        <v>2054</v>
      </c>
      <c r="R277" s="15" t="s">
        <v>2055</v>
      </c>
      <c r="S277" s="15" t="s">
        <v>37</v>
      </c>
      <c r="T277" s="16" t="s">
        <v>38</v>
      </c>
      <c r="U277" s="11" t="str">
        <f>_xlfn.XLOOKUP(Customer[[#This Row],[Customer ID]],[1]!Address[ID],[1]!Address[Phone No.(2)])</f>
        <v/>
      </c>
      <c r="V277" s="11" t="str">
        <f>_xlfn.XLOOKUP(Customer[[#This Row],[Customer ID]],[1]!Address[ID],[1]!Address[Type])</f>
        <v>PETROMART</v>
      </c>
      <c r="W277" s="11" t="str">
        <f>_xlfn.XLOOKUP(Customer[[#This Row],[Customer ID]],[1]!Address[ID],[1]!Address[CT])</f>
        <v>30 DAYS</v>
      </c>
      <c r="X277" s="11" t="s">
        <v>39</v>
      </c>
      <c r="Y277" s="17" t="s">
        <v>40</v>
      </c>
      <c r="Z277" s="17" t="e">
        <f>_xlfn.XLOOKUP(Customer[[#This Row],[NewType]],$AF$36:$AF$54,$AG$36:$AG$54)</f>
        <v>#N/A</v>
      </c>
      <c r="AA277" s="17" t="s">
        <v>2056</v>
      </c>
      <c r="AB277" s="11" t="str">
        <f>_xlfn.XLOOKUP(Customer[[#This Row],[Customer ID]],[1]!Address[ID],[1]!Address[Subtype])</f>
        <v>PETRONAS</v>
      </c>
      <c r="AC277" s="18" t="str">
        <f>_xlfn.XLOOKUP(Customer[[#This Row],[Customer ID]],[1]!Address[ID],[1]!Address[Zone])</f>
        <v>EAST COAST</v>
      </c>
    </row>
    <row r="278" spans="1:29" x14ac:dyDescent="0.3">
      <c r="A278" s="10" t="s">
        <v>2057</v>
      </c>
      <c r="B278" s="11" t="str">
        <f>_xlfn.XLOOKUP(Customer[[#This Row],[Customer ID]],[1]!Name[ID],[1]!Name[Description(1)])</f>
        <v>STESEN MINYAK ASSOBIRIN</v>
      </c>
      <c r="C278" s="11" t="str">
        <f>_xlfn.XLOOKUP(Customer[[#This Row],[Customer ID]],[1]!Name[ID],[1]!Name[Description(2)])</f>
        <v>PS JALAN KUARI, CHERAS</v>
      </c>
      <c r="D278" s="11" t="str">
        <f>_xlfn.XLOOKUP(Customer[[#This Row],[Customer ID]],[1]!Address[ID],[1]!Address[PIC])</f>
        <v>PUAN ASMAH BT Y</v>
      </c>
      <c r="E278" s="11" t="str">
        <f>_xlfn.XLOOKUP(Customer[[#This Row],[Customer ID]],[1]!Address[ID],[1]!Address[Full Address])</f>
        <v>PS JALAN KUARI, CHERASLOT 44498, JALAN KUARIOFF JALAN CHERAS BARU, KUALA LUMPUR,56100, ULU LANGAT, WPERSEKUTUAN SELANGOR</v>
      </c>
      <c r="F278" s="12" t="s">
        <v>2058</v>
      </c>
      <c r="G278" s="12" t="s">
        <v>2059</v>
      </c>
      <c r="H278" s="12" t="s">
        <v>2060</v>
      </c>
      <c r="I278" s="12" t="b">
        <f>ISNUMBER(VALUE(LEFT(Customer[[#This Row],[Address Line 3 (30 char)]],1)))</f>
        <v>0</v>
      </c>
      <c r="J278" s="12" t="s">
        <v>34</v>
      </c>
      <c r="K278" s="12">
        <v>56100</v>
      </c>
      <c r="L278" s="12" t="s">
        <v>35</v>
      </c>
      <c r="M278" s="13">
        <v>200203014614</v>
      </c>
      <c r="N278" s="14" t="s">
        <v>2061</v>
      </c>
      <c r="O278" s="14" t="e">
        <v>#N/A</v>
      </c>
      <c r="P278" s="14" t="e">
        <v>#N/A</v>
      </c>
      <c r="Q278" s="19" t="s">
        <v>2062</v>
      </c>
      <c r="R278" s="15" t="s">
        <v>2063</v>
      </c>
      <c r="S278" s="15" t="s">
        <v>37</v>
      </c>
      <c r="T278" s="16" t="s">
        <v>38</v>
      </c>
      <c r="U278" s="11" t="str">
        <f>_xlfn.XLOOKUP(Customer[[#This Row],[Customer ID]],[1]!Address[ID],[1]!Address[Phone No.(2)])</f>
        <v/>
      </c>
      <c r="V278" s="11" t="str">
        <f>_xlfn.XLOOKUP(Customer[[#This Row],[Customer ID]],[1]!Address[ID],[1]!Address[Type])</f>
        <v>PETROMART</v>
      </c>
      <c r="W278" s="11" t="str">
        <f>_xlfn.XLOOKUP(Customer[[#This Row],[Customer ID]],[1]!Address[ID],[1]!Address[CT])</f>
        <v>30 DAYS</v>
      </c>
      <c r="X278" s="11" t="s">
        <v>39</v>
      </c>
      <c r="Y278" s="17" t="s">
        <v>40</v>
      </c>
      <c r="Z278" s="17" t="e">
        <f>_xlfn.XLOOKUP(Customer[[#This Row],[NewType]],$AF$36:$AF$54,$AG$36:$AG$54)</f>
        <v>#N/A</v>
      </c>
      <c r="AA278" s="17" t="s">
        <v>2064</v>
      </c>
      <c r="AB278" s="11" t="str">
        <f>_xlfn.XLOOKUP(Customer[[#This Row],[Customer ID]],[1]!Address[ID],[1]!Address[Subtype])</f>
        <v>PETRONAS</v>
      </c>
      <c r="AC278" s="18" t="str">
        <f>_xlfn.XLOOKUP(Customer[[#This Row],[Customer ID]],[1]!Address[ID],[1]!Address[Zone])</f>
        <v>CENTRAL</v>
      </c>
    </row>
    <row r="279" spans="1:29" x14ac:dyDescent="0.3">
      <c r="A279" s="10" t="s">
        <v>2065</v>
      </c>
      <c r="B279" s="11" t="str">
        <f>_xlfn.XLOOKUP(Customer[[#This Row],[Customer ID]],[1]!Name[ID],[1]!Name[Description(1)])</f>
        <v>ANM TRADING ENTERPRISE</v>
      </c>
      <c r="C279" s="11" t="str">
        <f>_xlfn.XLOOKUP(Customer[[#This Row],[Customer ID]],[1]!Name[ID],[1]!Name[Description(2)])</f>
        <v>PS JALAN KUCHING</v>
      </c>
      <c r="D279" s="11" t="str">
        <f>_xlfn.XLOOKUP(Customer[[#This Row],[Customer ID]],[1]!Address[ID],[1]!Address[PIC])</f>
        <v/>
      </c>
      <c r="E279" s="11" t="str">
        <f>_xlfn.XLOOKUP(Customer[[#This Row],[Customer ID]],[1]!Address[ID],[1]!Address[Full Address])</f>
        <v>PS JALAN KUCHINGLOT PT 26378, JALAN KUCHINGMUKIM BATU, KUALA LUMPUR, 51200,W PERSEKUTUAN KL, W PERSEKUTUAN,SELANGOR</v>
      </c>
      <c r="F279" s="12" t="s">
        <v>2066</v>
      </c>
      <c r="G279" s="12" t="s">
        <v>2067</v>
      </c>
      <c r="H279" s="12"/>
      <c r="I279" s="12" t="b">
        <f>ISNUMBER(VALUE(LEFT(Customer[[#This Row],[Address Line 3 (30 char)]],1)))</f>
        <v>0</v>
      </c>
      <c r="J279" s="12" t="s">
        <v>34</v>
      </c>
      <c r="K279" s="12">
        <v>51200</v>
      </c>
      <c r="L279" s="12" t="s">
        <v>35</v>
      </c>
      <c r="M279" s="13">
        <v>201203216724</v>
      </c>
      <c r="N279" s="14" t="s">
        <v>2068</v>
      </c>
      <c r="O279" s="14" t="s">
        <v>54</v>
      </c>
      <c r="P279" s="14">
        <v>47300</v>
      </c>
      <c r="Q279" s="19" t="s">
        <v>2069</v>
      </c>
      <c r="R279" s="15" t="s">
        <v>2070</v>
      </c>
      <c r="S279" s="15" t="s">
        <v>65</v>
      </c>
      <c r="T279" s="16" t="s">
        <v>38</v>
      </c>
      <c r="U279" s="11" t="str">
        <f>_xlfn.XLOOKUP(Customer[[#This Row],[Customer ID]],[1]!Address[ID],[1]!Address[Phone No.(2)])</f>
        <v/>
      </c>
      <c r="V279" s="11" t="str">
        <f>_xlfn.XLOOKUP(Customer[[#This Row],[Customer ID]],[1]!Address[ID],[1]!Address[Type])</f>
        <v>PETROMART</v>
      </c>
      <c r="W279" s="11" t="str">
        <f>_xlfn.XLOOKUP(Customer[[#This Row],[Customer ID]],[1]!Address[ID],[1]!Address[CT])</f>
        <v>30 DAYS</v>
      </c>
      <c r="X279" s="11" t="s">
        <v>39</v>
      </c>
      <c r="Y279" s="17" t="s">
        <v>40</v>
      </c>
      <c r="Z279" s="17" t="e">
        <f>_xlfn.XLOOKUP(Customer[[#This Row],[NewType]],$AF$36:$AF$54,$AG$36:$AG$54)</f>
        <v>#N/A</v>
      </c>
      <c r="AA279" s="17" t="s">
        <v>2071</v>
      </c>
      <c r="AB279" s="11" t="str">
        <f>_xlfn.XLOOKUP(Customer[[#This Row],[Customer ID]],[1]!Address[ID],[1]!Address[Subtype])</f>
        <v>PETRONAS</v>
      </c>
      <c r="AC279" s="18" t="str">
        <f>_xlfn.XLOOKUP(Customer[[#This Row],[Customer ID]],[1]!Address[ID],[1]!Address[Zone])</f>
        <v>CENTRAL</v>
      </c>
    </row>
    <row r="280" spans="1:29" x14ac:dyDescent="0.3">
      <c r="A280" s="10" t="s">
        <v>2072</v>
      </c>
      <c r="B280" s="11" t="str">
        <f>_xlfn.XLOOKUP(Customer[[#This Row],[Customer ID]],[1]!Name[ID],[1]!Name[Description(1)])</f>
        <v>JALAN KOTA PETROMART ENTERPISE</v>
      </c>
      <c r="C280" s="11" t="str">
        <f>_xlfn.XLOOKUP(Customer[[#This Row],[Customer ID]],[1]!Name[ID],[1]!Name[Description(2)])</f>
        <v>PS JALAN KULAI-KOTA TINGGI</v>
      </c>
      <c r="D280" s="11" t="str">
        <f>_xlfn.XLOOKUP(Customer[[#This Row],[Customer ID]],[1]!Address[ID],[1]!Address[PIC])</f>
        <v/>
      </c>
      <c r="E280" s="11" t="str">
        <f>_xlfn.XLOOKUP(Customer[[#This Row],[Customer ID]],[1]!Address[ID],[1]!Address[Full Address])</f>
        <v>PS JALAN KULAI-KOTA TINGGILOT PTD 94525, KM 1,JALAN KULAI-KOTA TINGGI,JOHOR81000, KULAI, JOHOR</v>
      </c>
      <c r="F280" s="12" t="s">
        <v>2073</v>
      </c>
      <c r="G280" s="12" t="s">
        <v>2074</v>
      </c>
      <c r="H280" s="12" t="s">
        <v>2075</v>
      </c>
      <c r="I280" s="12" t="b">
        <f>ISNUMBER(VALUE(LEFT(Customer[[#This Row],[Address Line 3 (30 char)]],1)))</f>
        <v>0</v>
      </c>
      <c r="J280" s="12" t="s">
        <v>52</v>
      </c>
      <c r="K280" s="12">
        <v>81000</v>
      </c>
      <c r="L280" s="12" t="s">
        <v>35</v>
      </c>
      <c r="M280" s="13">
        <v>201803307500</v>
      </c>
      <c r="N280" s="14" t="s">
        <v>2076</v>
      </c>
      <c r="O280" s="14" t="e">
        <v>#N/A</v>
      </c>
      <c r="P280" s="14" t="e">
        <v>#N/A</v>
      </c>
      <c r="Q280" s="19" t="s">
        <v>2077</v>
      </c>
      <c r="R280" s="15" t="s">
        <v>2078</v>
      </c>
      <c r="S280" s="15" t="s">
        <v>37</v>
      </c>
      <c r="T280" s="16" t="s">
        <v>38</v>
      </c>
      <c r="U280" s="11" t="str">
        <f>_xlfn.XLOOKUP(Customer[[#This Row],[Customer ID]],[1]!Address[ID],[1]!Address[Phone No.(2)])</f>
        <v/>
      </c>
      <c r="V280" s="11" t="str">
        <f>_xlfn.XLOOKUP(Customer[[#This Row],[Customer ID]],[1]!Address[ID],[1]!Address[Type])</f>
        <v>PETROMART</v>
      </c>
      <c r="W280" s="11" t="str">
        <f>_xlfn.XLOOKUP(Customer[[#This Row],[Customer ID]],[1]!Address[ID],[1]!Address[CT])</f>
        <v>30 DAYS</v>
      </c>
      <c r="X280" s="11" t="s">
        <v>39</v>
      </c>
      <c r="Y280" s="17" t="s">
        <v>40</v>
      </c>
      <c r="Z280" s="17" t="e">
        <f>_xlfn.XLOOKUP(Customer[[#This Row],[NewType]],$AF$36:$AF$54,$AG$36:$AG$54)</f>
        <v>#N/A</v>
      </c>
      <c r="AA280" s="17" t="s">
        <v>2079</v>
      </c>
      <c r="AB280" s="11" t="str">
        <f>_xlfn.XLOOKUP(Customer[[#This Row],[Customer ID]],[1]!Address[ID],[1]!Address[Subtype])</f>
        <v>PETRONAS</v>
      </c>
      <c r="AC280" s="18" t="str">
        <f>_xlfn.XLOOKUP(Customer[[#This Row],[Customer ID]],[1]!Address[ID],[1]!Address[Zone])</f>
        <v>SOUTH</v>
      </c>
    </row>
    <row r="281" spans="1:29" x14ac:dyDescent="0.3">
      <c r="A281" s="10" t="s">
        <v>2080</v>
      </c>
      <c r="B281" s="11" t="str">
        <f>_xlfn.XLOOKUP(Customer[[#This Row],[Customer ID]],[1]!Name[ID],[1]!Name[Description(1)])</f>
        <v>KURNIA MURNI ENTERPRISE</v>
      </c>
      <c r="C281" s="11" t="str">
        <f>_xlfn.XLOOKUP(Customer[[#This Row],[Customer ID]],[1]!Name[ID],[1]!Name[Description(2)])</f>
        <v>PS JALAN LAHAT, MENGELEMBU</v>
      </c>
      <c r="D281" s="11" t="str">
        <f>_xlfn.XLOOKUP(Customer[[#This Row],[Customer ID]],[1]!Address[ID],[1]!Address[PIC])</f>
        <v/>
      </c>
      <c r="E281" s="11" t="str">
        <f>_xlfn.XLOOKUP(Customer[[#This Row],[Customer ID]],[1]!Address[ID],[1]!Address[Full Address])</f>
        <v>PS JALAN LAHAT, MENGELEMBULOT 17169 JALAN LAHAT,BUKIT MERAH, IPOH,31450, KINTA, PERAK</v>
      </c>
      <c r="F281" s="12" t="s">
        <v>2081</v>
      </c>
      <c r="G281" s="12" t="s">
        <v>2082</v>
      </c>
      <c r="H281" s="12" t="s">
        <v>2083</v>
      </c>
      <c r="I281" s="12" t="b">
        <f>ISNUMBER(VALUE(LEFT(Customer[[#This Row],[Address Line 3 (30 char)]],1)))</f>
        <v>0</v>
      </c>
      <c r="J281" s="12" t="s">
        <v>242</v>
      </c>
      <c r="K281" s="12">
        <v>31450</v>
      </c>
      <c r="L281" s="12" t="s">
        <v>35</v>
      </c>
      <c r="M281" s="13">
        <v>200103083171</v>
      </c>
      <c r="N281" s="14" t="s">
        <v>2084</v>
      </c>
      <c r="O281" s="14" t="s">
        <v>54</v>
      </c>
      <c r="P281" s="14" t="s">
        <v>54</v>
      </c>
      <c r="Q281" s="19" t="s">
        <v>2085</v>
      </c>
      <c r="R281" s="15" t="s">
        <v>2086</v>
      </c>
      <c r="S281" s="15" t="s">
        <v>74</v>
      </c>
      <c r="T281" s="16" t="s">
        <v>38</v>
      </c>
      <c r="U281" s="11" t="str">
        <f>_xlfn.XLOOKUP(Customer[[#This Row],[Customer ID]],[1]!Address[ID],[1]!Address[Phone No.(2)])</f>
        <v/>
      </c>
      <c r="V281" s="11" t="str">
        <f>_xlfn.XLOOKUP(Customer[[#This Row],[Customer ID]],[1]!Address[ID],[1]!Address[Type])</f>
        <v>PETROMART</v>
      </c>
      <c r="W281" s="11" t="str">
        <f>_xlfn.XLOOKUP(Customer[[#This Row],[Customer ID]],[1]!Address[ID],[1]!Address[CT])</f>
        <v>30 DAYS</v>
      </c>
      <c r="X281" s="11" t="s">
        <v>39</v>
      </c>
      <c r="Y281" s="17" t="s">
        <v>40</v>
      </c>
      <c r="Z281" s="17" t="e">
        <f>_xlfn.XLOOKUP(Customer[[#This Row],[NewType]],$AF$36:$AF$54,$AG$36:$AG$54)</f>
        <v>#N/A</v>
      </c>
      <c r="AA281" s="17" t="s">
        <v>2087</v>
      </c>
      <c r="AB281" s="11" t="str">
        <f>_xlfn.XLOOKUP(Customer[[#This Row],[Customer ID]],[1]!Address[ID],[1]!Address[Subtype])</f>
        <v>PETRONAS</v>
      </c>
      <c r="AC281" s="18" t="str">
        <f>_xlfn.XLOOKUP(Customer[[#This Row],[Customer ID]],[1]!Address[ID],[1]!Address[Zone])</f>
        <v>NORTH</v>
      </c>
    </row>
    <row r="282" spans="1:29" x14ac:dyDescent="0.3">
      <c r="A282" s="10" t="s">
        <v>2088</v>
      </c>
      <c r="B282" s="11" t="str">
        <f>_xlfn.XLOOKUP(Customer[[#This Row],[Customer ID]],[1]!Name[ID],[1]!Name[Description(1)])</f>
        <v>NZB PETRO SERVICES</v>
      </c>
      <c r="C282" s="11" t="str">
        <f>_xlfn.XLOOKUP(Customer[[#This Row],[Customer ID]],[1]!Name[ID],[1]!Name[Description(2)])</f>
        <v>PS JALAN LAKSAMANA CHENG HO</v>
      </c>
      <c r="D282" s="11" t="str">
        <f>_xlfn.XLOOKUP(Customer[[#This Row],[Customer ID]],[1]!Address[ID],[1]!Address[PIC])</f>
        <v/>
      </c>
      <c r="E282" s="11" t="str">
        <f>_xlfn.XLOOKUP(Customer[[#This Row],[Customer ID]],[1]!Address[ID],[1]!Address[Full Address])</f>
        <v>PS JALAN LAKSAMANA CHENG HOLOT 303, KAWASAN BANDAR 29,PANJANG (JALAN LAKSAMANA CHENG HO),JALAN  MELAKA, 75000, MELAKA TENGAH,</v>
      </c>
      <c r="F282" s="12" t="s">
        <v>2089</v>
      </c>
      <c r="G282" s="12" t="s">
        <v>2090</v>
      </c>
      <c r="H282" s="12" t="s">
        <v>2091</v>
      </c>
      <c r="I282" s="12" t="b">
        <f>ISNUMBER(VALUE(LEFT(Customer[[#This Row],[Address Line 3 (30 char)]],1)))</f>
        <v>0</v>
      </c>
      <c r="J282" s="12" t="s">
        <v>61</v>
      </c>
      <c r="K282" s="12">
        <v>75000</v>
      </c>
      <c r="L282" s="12" t="s">
        <v>35</v>
      </c>
      <c r="M282" s="13">
        <v>220503013165</v>
      </c>
      <c r="N282" s="14" t="s">
        <v>2092</v>
      </c>
      <c r="O282" s="14" t="e">
        <v>#N/A</v>
      </c>
      <c r="P282" s="14" t="e">
        <v>#N/A</v>
      </c>
      <c r="Q282" s="19" t="s">
        <v>2093</v>
      </c>
      <c r="R282" s="15" t="s">
        <v>2094</v>
      </c>
      <c r="S282" s="15" t="s">
        <v>37</v>
      </c>
      <c r="T282" s="16" t="s">
        <v>38</v>
      </c>
      <c r="U282" s="11" t="str">
        <f>_xlfn.XLOOKUP(Customer[[#This Row],[Customer ID]],[1]!Address[ID],[1]!Address[Phone No.(2)])</f>
        <v/>
      </c>
      <c r="V282" s="11" t="str">
        <f>_xlfn.XLOOKUP(Customer[[#This Row],[Customer ID]],[1]!Address[ID],[1]!Address[Type])</f>
        <v>PETROMART</v>
      </c>
      <c r="W282" s="11" t="str">
        <f>_xlfn.XLOOKUP(Customer[[#This Row],[Customer ID]],[1]!Address[ID],[1]!Address[CT])</f>
        <v>30 DAYS</v>
      </c>
      <c r="X282" s="11" t="s">
        <v>39</v>
      </c>
      <c r="Y282" s="17" t="s">
        <v>40</v>
      </c>
      <c r="Z282" s="17" t="e">
        <f>_xlfn.XLOOKUP(Customer[[#This Row],[NewType]],$AF$36:$AF$54,$AG$36:$AG$54)</f>
        <v>#N/A</v>
      </c>
      <c r="AA282" s="17" t="s">
        <v>2095</v>
      </c>
      <c r="AB282" s="11" t="str">
        <f>_xlfn.XLOOKUP(Customer[[#This Row],[Customer ID]],[1]!Address[ID],[1]!Address[Subtype])</f>
        <v>PETRONAS</v>
      </c>
      <c r="AC282" s="18" t="str">
        <f>_xlfn.XLOOKUP(Customer[[#This Row],[Customer ID]],[1]!Address[ID],[1]!Address[Zone])</f>
        <v>SOUTH</v>
      </c>
    </row>
    <row r="283" spans="1:29" x14ac:dyDescent="0.3">
      <c r="A283" s="10" t="s">
        <v>2096</v>
      </c>
      <c r="B283" s="11" t="str">
        <f>_xlfn.XLOOKUP(Customer[[#This Row],[Customer ID]],[1]!Name[ID],[1]!Name[Description(1)])</f>
        <v>STESEN MINYAK WAHYU BTK</v>
      </c>
      <c r="C283" s="11" t="str">
        <f>_xlfn.XLOOKUP(Customer[[#This Row],[Customer ID]],[1]!Name[ID],[1]!Name[Description(2)])</f>
        <v>PS JALAN LIM HOE LEK</v>
      </c>
      <c r="D283" s="11" t="str">
        <f>_xlfn.XLOOKUP(Customer[[#This Row],[Customer ID]],[1]!Address[ID],[1]!Address[PIC])</f>
        <v/>
      </c>
      <c r="E283" s="11" t="str">
        <f>_xlfn.XLOOKUP(Customer[[#This Row],[Customer ID]],[1]!Address[ID],[1]!Address[Full Address])</f>
        <v>PS JALAN LIM HOE LEKLOT PT 57349, HS (D) 19022,JALAN DATO' LIM HOE LEK, 25200KUANTAN, PAHANG</v>
      </c>
      <c r="F283" s="12" t="s">
        <v>2097</v>
      </c>
      <c r="G283" s="12" t="s">
        <v>2098</v>
      </c>
      <c r="H283" s="12" t="s">
        <v>2099</v>
      </c>
      <c r="I283" s="12" t="b">
        <f>ISNUMBER(VALUE(LEFT(Customer[[#This Row],[Address Line 3 (30 char)]],1)))</f>
        <v>0</v>
      </c>
      <c r="J283" s="12" t="s">
        <v>339</v>
      </c>
      <c r="K283" s="12">
        <v>25000</v>
      </c>
      <c r="L283" s="12" t="s">
        <v>35</v>
      </c>
      <c r="M283" s="13">
        <v>200803055882</v>
      </c>
      <c r="N283" s="14" t="s">
        <v>2100</v>
      </c>
      <c r="O283" s="14" t="s">
        <v>54</v>
      </c>
      <c r="P283" s="14" t="s">
        <v>54</v>
      </c>
      <c r="Q283" s="19" t="s">
        <v>2101</v>
      </c>
      <c r="R283" s="15" t="s">
        <v>2102</v>
      </c>
      <c r="S283" s="15" t="s">
        <v>1673</v>
      </c>
      <c r="T283" s="16" t="s">
        <v>38</v>
      </c>
      <c r="U283" s="11" t="str">
        <f>_xlfn.XLOOKUP(Customer[[#This Row],[Customer ID]],[1]!Address[ID],[1]!Address[Phone No.(2)])</f>
        <v/>
      </c>
      <c r="V283" s="11" t="str">
        <f>_xlfn.XLOOKUP(Customer[[#This Row],[Customer ID]],[1]!Address[ID],[1]!Address[Type])</f>
        <v>PETROMART</v>
      </c>
      <c r="W283" s="11" t="str">
        <f>_xlfn.XLOOKUP(Customer[[#This Row],[Customer ID]],[1]!Address[ID],[1]!Address[CT])</f>
        <v>30 DAYS</v>
      </c>
      <c r="X283" s="11" t="s">
        <v>39</v>
      </c>
      <c r="Y283" s="17" t="s">
        <v>40</v>
      </c>
      <c r="Z283" s="17" t="e">
        <f>_xlfn.XLOOKUP(Customer[[#This Row],[NewType]],$AF$36:$AF$54,$AG$36:$AG$54)</f>
        <v>#N/A</v>
      </c>
      <c r="AA283" s="17" t="s">
        <v>2103</v>
      </c>
      <c r="AB283" s="11" t="str">
        <f>_xlfn.XLOOKUP(Customer[[#This Row],[Customer ID]],[1]!Address[ID],[1]!Address[Subtype])</f>
        <v>PETRONAS</v>
      </c>
      <c r="AC283" s="18" t="str">
        <f>_xlfn.XLOOKUP(Customer[[#This Row],[Customer ID]],[1]!Address[ID],[1]!Address[Zone])</f>
        <v>EAST COAST</v>
      </c>
    </row>
    <row r="284" spans="1:29" x14ac:dyDescent="0.3">
      <c r="A284" s="27" t="s">
        <v>2104</v>
      </c>
      <c r="B284" s="28" t="str">
        <f>_xlfn.XLOOKUP(Customer[[#This Row],[Customer ID]],[1]!Name[ID],[1]!Name[Description(1)])</f>
        <v>GREEN MILE ENTERPRISE</v>
      </c>
      <c r="C284" s="11" t="str">
        <f>_xlfn.XLOOKUP(Customer[[#This Row],[Customer ID]],[1]!Name[ID],[1]!Name[Description(2)])</f>
        <v>PS JALAN LORONG PANDAN</v>
      </c>
      <c r="D284" s="11" t="str">
        <f>_xlfn.XLOOKUP(Customer[[#This Row],[Customer ID]],[1]!Address[ID],[1]!Address[PIC])</f>
        <v/>
      </c>
      <c r="E284" s="11" t="str">
        <f>_xlfn.XLOOKUP(Customer[[#This Row],[Customer ID]],[1]!Address[ID],[1]!Address[Full Address])</f>
        <v>PS JALAN LORONG PANDANLOT PT 189, H.S.(D) 66194, JALAN LORONGPANDAN, PEKAN KLEBANG, SEKSYEN 4,MELAKA, 75200, MELAKA TENGAH, MELAKA</v>
      </c>
      <c r="F284" s="12" t="s">
        <v>2105</v>
      </c>
      <c r="G284" s="12" t="s">
        <v>2106</v>
      </c>
      <c r="H284" s="12" t="s">
        <v>2107</v>
      </c>
      <c r="I284" s="12" t="b">
        <f>ISNUMBER(VALUE(LEFT(Customer[[#This Row],[Address Line 3 (30 char)]],1)))</f>
        <v>0</v>
      </c>
      <c r="J284" s="12" t="s">
        <v>61</v>
      </c>
      <c r="K284" s="12">
        <v>75200</v>
      </c>
      <c r="L284" s="12" t="s">
        <v>35</v>
      </c>
      <c r="M284" s="13">
        <v>202003289549</v>
      </c>
      <c r="N284" s="14" t="s">
        <v>2108</v>
      </c>
      <c r="O284" s="14" t="s">
        <v>54</v>
      </c>
      <c r="P284" s="14" t="e">
        <v>#N/A</v>
      </c>
      <c r="Q284" s="19" t="s">
        <v>2109</v>
      </c>
      <c r="R284" s="15" t="s">
        <v>2110</v>
      </c>
      <c r="S284" s="15" t="s">
        <v>37</v>
      </c>
      <c r="T284" s="16" t="s">
        <v>38</v>
      </c>
      <c r="U284" s="11" t="str">
        <f>_xlfn.XLOOKUP(Customer[[#This Row],[Customer ID]],[1]!Address[ID],[1]!Address[Phone No.(2)])</f>
        <v/>
      </c>
      <c r="V284" s="11" t="str">
        <f>_xlfn.XLOOKUP(Customer[[#This Row],[Customer ID]],[1]!Address[ID],[1]!Address[Type])</f>
        <v>PETROMART</v>
      </c>
      <c r="W284" s="11" t="str">
        <f>_xlfn.XLOOKUP(Customer[[#This Row],[Customer ID]],[1]!Address[ID],[1]!Address[CT])</f>
        <v>30 DAYS</v>
      </c>
      <c r="X284" s="11" t="s">
        <v>39</v>
      </c>
      <c r="Y284" s="17" t="s">
        <v>40</v>
      </c>
      <c r="Z284" s="17" t="e">
        <f>_xlfn.XLOOKUP(Customer[[#This Row],[NewType]],$AF$36:$AF$54,$AG$36:$AG$54)</f>
        <v>#N/A</v>
      </c>
      <c r="AA284" s="17" t="s">
        <v>2111</v>
      </c>
      <c r="AB284" s="11" t="str">
        <f>_xlfn.XLOOKUP(Customer[[#This Row],[Customer ID]],[1]!Address[ID],[1]!Address[Subtype])</f>
        <v>PETRONAS</v>
      </c>
      <c r="AC284" s="18" t="str">
        <f>_xlfn.XLOOKUP(Customer[[#This Row],[Customer ID]],[1]!Address[ID],[1]!Address[Zone])</f>
        <v>SOUTH</v>
      </c>
    </row>
    <row r="285" spans="1:29" x14ac:dyDescent="0.3">
      <c r="A285" s="27" t="s">
        <v>2112</v>
      </c>
      <c r="B285" s="28" t="str">
        <f>_xlfn.XLOOKUP(Customer[[#This Row],[Customer ID]],[1]!Name[ID],[1]!Name[Description(1)])</f>
        <v>BUSINESS IDEAS PETROSERVIS</v>
      </c>
      <c r="C285" s="11" t="str">
        <f>_xlfn.XLOOKUP(Customer[[#This Row],[Customer ID]],[1]!Name[ID],[1]!Name[Description(2)])</f>
        <v>PS JALAN MAAROF, BANGSAR</v>
      </c>
      <c r="D285" s="11" t="str">
        <f>_xlfn.XLOOKUP(Customer[[#This Row],[Customer ID]],[1]!Address[ID],[1]!Address[PIC])</f>
        <v>MUHAMAD ZAINI B</v>
      </c>
      <c r="E285" s="11" t="str">
        <f>_xlfn.XLOOKUP(Customer[[#This Row],[Customer ID]],[1]!Address[ID],[1]!Address[Full Address])</f>
        <v>PS JALAN MAAROF, BANGSARLOT 232 &amp; 233, JALAN MAAROF, BANGSAR,KUALA LUMPUR, 59000, WILAYAHPERSEKUTUAN KUALA LUMPUR, W PERSEKUTUAN</v>
      </c>
      <c r="F285" s="12" t="s">
        <v>2113</v>
      </c>
      <c r="G285" s="12" t="s">
        <v>2114</v>
      </c>
      <c r="H285" s="12" t="s">
        <v>2115</v>
      </c>
      <c r="I285" s="12" t="b">
        <f>ISNUMBER(VALUE(LEFT(Customer[[#This Row],[Address Line 3 (30 char)]],1)))</f>
        <v>0</v>
      </c>
      <c r="J285" s="29" t="s">
        <v>34</v>
      </c>
      <c r="K285" s="12">
        <v>59000</v>
      </c>
      <c r="L285" s="12" t="s">
        <v>35</v>
      </c>
      <c r="M285" s="13">
        <v>200403055510</v>
      </c>
      <c r="N285" s="14" t="s">
        <v>776</v>
      </c>
      <c r="O285" s="14" t="s">
        <v>54</v>
      </c>
      <c r="P285" s="14" t="s">
        <v>54</v>
      </c>
      <c r="Q285" s="19" t="s">
        <v>2116</v>
      </c>
      <c r="R285" s="15" t="s">
        <v>2117</v>
      </c>
      <c r="S285" s="15" t="s">
        <v>37</v>
      </c>
      <c r="T285" s="16" t="s">
        <v>38</v>
      </c>
      <c r="U285" s="11" t="str">
        <f>_xlfn.XLOOKUP(Customer[[#This Row],[Customer ID]],[1]!Address[ID],[1]!Address[Phone No.(2)])</f>
        <v/>
      </c>
      <c r="V285" s="11" t="str">
        <f>_xlfn.XLOOKUP(Customer[[#This Row],[Customer ID]],[1]!Address[ID],[1]!Address[Type])</f>
        <v>PETROMART</v>
      </c>
      <c r="W285" s="11" t="str">
        <f>_xlfn.XLOOKUP(Customer[[#This Row],[Customer ID]],[1]!Address[ID],[1]!Address[CT])</f>
        <v>30 DAYS</v>
      </c>
      <c r="X285" s="11" t="s">
        <v>39</v>
      </c>
      <c r="Y285" s="17" t="s">
        <v>40</v>
      </c>
      <c r="Z285" s="17" t="e">
        <f>_xlfn.XLOOKUP(Customer[[#This Row],[NewType]],$AF$36:$AF$54,$AG$36:$AG$54)</f>
        <v>#N/A</v>
      </c>
      <c r="AA285" s="17" t="s">
        <v>2118</v>
      </c>
      <c r="AB285" s="11" t="str">
        <f>_xlfn.XLOOKUP(Customer[[#This Row],[Customer ID]],[1]!Address[ID],[1]!Address[Subtype])</f>
        <v>PETRONAS</v>
      </c>
      <c r="AC285" s="18" t="str">
        <f>_xlfn.XLOOKUP(Customer[[#This Row],[Customer ID]],[1]!Address[ID],[1]!Address[Zone])</f>
        <v>CENTRAL</v>
      </c>
    </row>
    <row r="286" spans="1:29" x14ac:dyDescent="0.3">
      <c r="A286" s="10" t="s">
        <v>2119</v>
      </c>
      <c r="B286" s="11" t="str">
        <f>_xlfn.XLOOKUP(Customer[[#This Row],[Customer ID]],[1]!Name[ID],[1]!Name[Description(1)])</f>
        <v>M&amp;O KIOSK</v>
      </c>
      <c r="C286" s="11" t="str">
        <f>_xlfn.XLOOKUP(Customer[[#This Row],[Customer ID]],[1]!Name[ID],[1]!Name[Description(2)])</f>
        <v>PS JALAN MASAI LAMA</v>
      </c>
      <c r="D286" s="11" t="str">
        <f>_xlfn.XLOOKUP(Customer[[#This Row],[Customer ID]],[1]!Address[ID],[1]!Address[PIC])</f>
        <v/>
      </c>
      <c r="E286" s="11" t="str">
        <f>_xlfn.XLOOKUP(Customer[[#This Row],[Customer ID]],[1]!Address[ID],[1]!Address[Full Address])</f>
        <v>PS JALAN MASAI LAMALOT PTD 111466JALAN MASAI, MUKIM PLENTONG,JOHOR BAHRU, JOHOR</v>
      </c>
      <c r="F286" s="12" t="s">
        <v>2120</v>
      </c>
      <c r="G286" s="12" t="s">
        <v>2121</v>
      </c>
      <c r="H286" s="12" t="s">
        <v>2122</v>
      </c>
      <c r="I286" s="12" t="b">
        <f>ISNUMBER(VALUE(LEFT(Customer[[#This Row],[Address Line 3 (30 char)]],1)))</f>
        <v>0</v>
      </c>
      <c r="J286" s="12" t="s">
        <v>52</v>
      </c>
      <c r="K286" s="12">
        <v>81100</v>
      </c>
      <c r="L286" s="12" t="s">
        <v>35</v>
      </c>
      <c r="M286" s="13">
        <v>200603037146</v>
      </c>
      <c r="N286" s="14" t="s">
        <v>2123</v>
      </c>
      <c r="O286" s="14" t="s">
        <v>156</v>
      </c>
      <c r="P286" s="14">
        <v>47300</v>
      </c>
      <c r="Q286" s="19" t="s">
        <v>2124</v>
      </c>
      <c r="R286" s="15" t="s">
        <v>2125</v>
      </c>
      <c r="S286" s="15" t="s">
        <v>37</v>
      </c>
      <c r="T286" s="16" t="s">
        <v>38</v>
      </c>
      <c r="U286" s="11" t="str">
        <f>_xlfn.XLOOKUP(Customer[[#This Row],[Customer ID]],[1]!Address[ID],[1]!Address[Phone No.(2)])</f>
        <v/>
      </c>
      <c r="V286" s="11" t="str">
        <f>_xlfn.XLOOKUP(Customer[[#This Row],[Customer ID]],[1]!Address[ID],[1]!Address[Type])</f>
        <v>PETROMART</v>
      </c>
      <c r="W286" s="11" t="str">
        <f>_xlfn.XLOOKUP(Customer[[#This Row],[Customer ID]],[1]!Address[ID],[1]!Address[CT])</f>
        <v>30 DAYS</v>
      </c>
      <c r="X286" s="11" t="s">
        <v>39</v>
      </c>
      <c r="Y286" s="17" t="s">
        <v>40</v>
      </c>
      <c r="Z286" s="17" t="e">
        <f>_xlfn.XLOOKUP(Customer[[#This Row],[NewType]],$AF$36:$AF$54,$AG$36:$AG$54)</f>
        <v>#N/A</v>
      </c>
      <c r="AA286" s="17" t="s">
        <v>2126</v>
      </c>
      <c r="AB286" s="11" t="str">
        <f>_xlfn.XLOOKUP(Customer[[#This Row],[Customer ID]],[1]!Address[ID],[1]!Address[Subtype])</f>
        <v>PETRONAS</v>
      </c>
      <c r="AC286" s="18" t="str">
        <f>_xlfn.XLOOKUP(Customer[[#This Row],[Customer ID]],[1]!Address[ID],[1]!Address[Zone])</f>
        <v>SOUTH</v>
      </c>
    </row>
    <row r="287" spans="1:29" x14ac:dyDescent="0.3">
      <c r="A287" s="10" t="s">
        <v>2127</v>
      </c>
      <c r="B287" s="11" t="str">
        <f>_xlfn.XLOOKUP(Customer[[#This Row],[Customer ID]],[1]!Name[ID],[1]!Name[Description(1)])</f>
        <v>KOPERASI TUNAS MUDA SUNGAI ARA</v>
      </c>
      <c r="C287" s="11" t="str">
        <f>_xlfn.XLOOKUP(Customer[[#This Row],[Customer ID]],[1]!Name[ID],[1]!Name[Description(2)])</f>
        <v>PS JALAN DATO' ISMAIL HASHIM</v>
      </c>
      <c r="D287" s="11" t="str">
        <f>_xlfn.XLOOKUP(Customer[[#This Row],[Customer ID]],[1]!Address[ID],[1]!Address[PIC])</f>
        <v/>
      </c>
      <c r="E287" s="11" t="str">
        <f>_xlfn.XLOOKUP(Customer[[#This Row],[Customer ID]],[1]!Address[ID],[1]!Address[Full Address])</f>
        <v>PS JALAN DATO' ISMAIL HASHIMLOT 256 JALAN DATO' ISMAIL HASHIM, SUNGAARA, BAYAN LEPAS, PULAU PINANG, 11900,BARAT DAYA, PULAU PINANG</v>
      </c>
      <c r="F287" s="12" t="s">
        <v>2128</v>
      </c>
      <c r="G287" s="12" t="s">
        <v>2129</v>
      </c>
      <c r="H287" s="12" t="s">
        <v>2130</v>
      </c>
      <c r="I287" s="12" t="b">
        <f>ISNUMBER(VALUE(LEFT(Customer[[#This Row],[Address Line 3 (30 char)]],1)))</f>
        <v>0</v>
      </c>
      <c r="J287" s="12" t="s">
        <v>179</v>
      </c>
      <c r="K287" s="12">
        <v>11900</v>
      </c>
      <c r="L287" s="12" t="s">
        <v>35</v>
      </c>
      <c r="M287" s="13" t="e">
        <v>#N/A</v>
      </c>
      <c r="N287" s="14" t="e">
        <v>#N/A</v>
      </c>
      <c r="O287" s="14" t="e">
        <v>#N/A</v>
      </c>
      <c r="P287" s="14" t="e">
        <v>#N/A</v>
      </c>
      <c r="Q287" s="19" t="s">
        <v>2131</v>
      </c>
      <c r="R287" s="15" t="s">
        <v>2132</v>
      </c>
      <c r="S287" s="15" t="s">
        <v>74</v>
      </c>
      <c r="T287" s="16" t="s">
        <v>38</v>
      </c>
      <c r="U287" s="11" t="str">
        <f>_xlfn.XLOOKUP(Customer[[#This Row],[Customer ID]],[1]!Address[ID],[1]!Address[Phone No.(2)])</f>
        <v>012-5409171</v>
      </c>
      <c r="V287" s="11" t="str">
        <f>_xlfn.XLOOKUP(Customer[[#This Row],[Customer ID]],[1]!Address[ID],[1]!Address[Type])</f>
        <v>PETROMART</v>
      </c>
      <c r="W287" s="11" t="str">
        <f>_xlfn.XLOOKUP(Customer[[#This Row],[Customer ID]],[1]!Address[ID],[1]!Address[CT])</f>
        <v>30 DAYS</v>
      </c>
      <c r="X287" s="11" t="s">
        <v>39</v>
      </c>
      <c r="Y287" s="17" t="s">
        <v>40</v>
      </c>
      <c r="Z287" s="17" t="e">
        <f>_xlfn.XLOOKUP(Customer[[#This Row],[NewType]],$AF$36:$AF$54,$AG$36:$AG$54)</f>
        <v>#N/A</v>
      </c>
      <c r="AA287" s="17" t="s">
        <v>2133</v>
      </c>
      <c r="AB287" s="11" t="str">
        <f>_xlfn.XLOOKUP(Customer[[#This Row],[Customer ID]],[1]!Address[ID],[1]!Address[Subtype])</f>
        <v>PETRONAS</v>
      </c>
      <c r="AC287" s="18" t="str">
        <f>_xlfn.XLOOKUP(Customer[[#This Row],[Customer ID]],[1]!Address[ID],[1]!Address[Zone])</f>
        <v>NORTH</v>
      </c>
    </row>
    <row r="288" spans="1:29" x14ac:dyDescent="0.3">
      <c r="A288" s="27" t="s">
        <v>2134</v>
      </c>
      <c r="B288" s="28" t="str">
        <f>_xlfn.XLOOKUP(Customer[[#This Row],[Customer ID]],[1]!Name[ID],[1]!Name[Description(1)])</f>
        <v>KT PETRONAS SERVICE STATION</v>
      </c>
      <c r="C288" s="11" t="str">
        <f>_xlfn.XLOOKUP(Customer[[#This Row],[Customer ID]],[1]!Name[ID],[1]!Name[Description(2)])</f>
        <v>PS JALAN MAWAI,KOTA TINGGI</v>
      </c>
      <c r="D288" s="11" t="str">
        <f>_xlfn.XLOOKUP(Customer[[#This Row],[Customer ID]],[1]!Address[ID],[1]!Address[PIC])</f>
        <v/>
      </c>
      <c r="E288" s="11" t="str">
        <f>_xlfn.XLOOKUP(Customer[[#This Row],[Customer ID]],[1]!Address[ID],[1]!Address[Full Address])</f>
        <v>PS JALAN MAWAI,KOTA TINGGILOT 1069,BATU 1, JALAN TUN SRI LANANG,KOTA TINGGI, 81900 JOHOR</v>
      </c>
      <c r="F288" s="12" t="s">
        <v>2135</v>
      </c>
      <c r="G288" s="12" t="s">
        <v>2136</v>
      </c>
      <c r="H288" s="12" t="s">
        <v>2137</v>
      </c>
      <c r="I288" s="12" t="b">
        <f>ISNUMBER(VALUE(LEFT(Customer[[#This Row],[Address Line 3 (30 char)]],1)))</f>
        <v>0</v>
      </c>
      <c r="J288" s="29" t="s">
        <v>52</v>
      </c>
      <c r="K288" s="12">
        <v>81900</v>
      </c>
      <c r="L288" s="12" t="s">
        <v>35</v>
      </c>
      <c r="M288" s="13" t="e">
        <v>#N/A</v>
      </c>
      <c r="N288" s="14" t="e">
        <v>#N/A</v>
      </c>
      <c r="O288" s="14" t="e">
        <v>#N/A</v>
      </c>
      <c r="P288" s="14" t="e">
        <v>#N/A</v>
      </c>
      <c r="Q288" s="19" t="s">
        <v>2138</v>
      </c>
      <c r="R288" s="15" t="s">
        <v>2139</v>
      </c>
      <c r="S288" s="15" t="s">
        <v>37</v>
      </c>
      <c r="T288" s="16" t="s">
        <v>38</v>
      </c>
      <c r="U288" s="11" t="str">
        <f>_xlfn.XLOOKUP(Customer[[#This Row],[Customer ID]],[1]!Address[ID],[1]!Address[Phone No.(2)])</f>
        <v/>
      </c>
      <c r="V288" s="11" t="str">
        <f>_xlfn.XLOOKUP(Customer[[#This Row],[Customer ID]],[1]!Address[ID],[1]!Address[Type])</f>
        <v>PETROMART</v>
      </c>
      <c r="W288" s="11" t="str">
        <f>_xlfn.XLOOKUP(Customer[[#This Row],[Customer ID]],[1]!Address[ID],[1]!Address[CT])</f>
        <v>30 DAYS</v>
      </c>
      <c r="X288" s="11" t="s">
        <v>39</v>
      </c>
      <c r="Y288" s="17" t="s">
        <v>40</v>
      </c>
      <c r="Z288" s="17" t="e">
        <f>_xlfn.XLOOKUP(Customer[[#This Row],[NewType]],$AF$36:$AF$54,$AG$36:$AG$54)</f>
        <v>#N/A</v>
      </c>
      <c r="AA288" s="17" t="s">
        <v>2140</v>
      </c>
      <c r="AB288" s="11" t="str">
        <f>_xlfn.XLOOKUP(Customer[[#This Row],[Customer ID]],[1]!Address[ID],[1]!Address[Subtype])</f>
        <v>PETRONAS</v>
      </c>
      <c r="AC288" s="18" t="str">
        <f>_xlfn.XLOOKUP(Customer[[#This Row],[Customer ID]],[1]!Address[ID],[1]!Address[Zone])</f>
        <v>SOUTH</v>
      </c>
    </row>
    <row r="289" spans="1:29" x14ac:dyDescent="0.3">
      <c r="A289" s="10" t="s">
        <v>2141</v>
      </c>
      <c r="B289" s="11" t="str">
        <f>_xlfn.XLOOKUP(Customer[[#This Row],[Customer ID]],[1]!Name[ID],[1]!Name[Description(1)])</f>
        <v>ZAMROS RESOURCES</v>
      </c>
      <c r="C289" s="11" t="str">
        <f>_xlfn.XLOOKUP(Customer[[#This Row],[Customer ID]],[1]!Name[ID],[1]!Name[Description(2)])</f>
        <v>PS JALAN PAKA, DUNGUN (MUKIM SURA)</v>
      </c>
      <c r="D289" s="11" t="str">
        <f>_xlfn.XLOOKUP(Customer[[#This Row],[Customer ID]],[1]!Address[ID],[1]!Address[PIC])</f>
        <v/>
      </c>
      <c r="E289" s="11" t="str">
        <f>_xlfn.XLOOKUP(Customer[[#This Row],[Customer ID]],[1]!Address[ID],[1]!Address[Full Address])</f>
        <v>PS JALAN PAKA, DUNGUN (MUKIM SURA)134E, (1216) LOT 2913,BATU 49, BATU 48, JALAN PAKA23000 DUNGUN, TERENGGANU</v>
      </c>
      <c r="F289" s="12"/>
      <c r="G289" s="12" t="s">
        <v>2142</v>
      </c>
      <c r="H289" s="12" t="s">
        <v>2143</v>
      </c>
      <c r="I289" s="12" t="b">
        <f>ISNUMBER(VALUE(LEFT(Customer[[#This Row],[Address Line 3 (30 char)]],1)))</f>
        <v>0</v>
      </c>
      <c r="J289" s="12" t="s">
        <v>1056</v>
      </c>
      <c r="K289" s="12">
        <v>23100</v>
      </c>
      <c r="L289" s="12" t="s">
        <v>35</v>
      </c>
      <c r="M289" s="13">
        <v>201303280952</v>
      </c>
      <c r="N289" s="14" t="s">
        <v>2144</v>
      </c>
      <c r="O289" s="14" t="s">
        <v>54</v>
      </c>
      <c r="P289" s="14">
        <v>47300</v>
      </c>
      <c r="Q289" s="19" t="s">
        <v>2145</v>
      </c>
      <c r="R289" s="15" t="s">
        <v>2146</v>
      </c>
      <c r="S289" s="15" t="s">
        <v>37</v>
      </c>
      <c r="T289" s="16" t="s">
        <v>38</v>
      </c>
      <c r="U289" s="11" t="str">
        <f>_xlfn.XLOOKUP(Customer[[#This Row],[Customer ID]],[1]!Address[ID],[1]!Address[Phone No.(2)])</f>
        <v/>
      </c>
      <c r="V289" s="11" t="str">
        <f>_xlfn.XLOOKUP(Customer[[#This Row],[Customer ID]],[1]!Address[ID],[1]!Address[Type])</f>
        <v>PETROMART</v>
      </c>
      <c r="W289" s="11" t="str">
        <f>_xlfn.XLOOKUP(Customer[[#This Row],[Customer ID]],[1]!Address[ID],[1]!Address[CT])</f>
        <v>30 DAYS</v>
      </c>
      <c r="X289" s="11" t="s">
        <v>39</v>
      </c>
      <c r="Y289" s="17" t="s">
        <v>40</v>
      </c>
      <c r="Z289" s="17" t="e">
        <f>_xlfn.XLOOKUP(Customer[[#This Row],[NewType]],$AF$36:$AF$54,$AG$36:$AG$54)</f>
        <v>#N/A</v>
      </c>
      <c r="AA289" s="17" t="s">
        <v>2147</v>
      </c>
      <c r="AB289" s="11" t="str">
        <f>_xlfn.XLOOKUP(Customer[[#This Row],[Customer ID]],[1]!Address[ID],[1]!Address[Subtype])</f>
        <v>PETRONAS</v>
      </c>
      <c r="AC289" s="18" t="str">
        <f>_xlfn.XLOOKUP(Customer[[#This Row],[Customer ID]],[1]!Address[ID],[1]!Address[Zone])</f>
        <v>EAST COAST</v>
      </c>
    </row>
    <row r="290" spans="1:29" x14ac:dyDescent="0.3">
      <c r="A290" s="10" t="s">
        <v>2148</v>
      </c>
      <c r="B290" s="11" t="str">
        <f>_xlfn.XLOOKUP(Customer[[#This Row],[Customer ID]],[1]!Name[ID],[1]!Name[Description(1)])</f>
        <v>ZAIDI FUEL STATION</v>
      </c>
      <c r="C290" s="11" t="str">
        <f>_xlfn.XLOOKUP(Customer[[#This Row],[Customer ID]],[1]!Name[ID],[1]!Name[Description(2)])</f>
        <v>PS JALAN PANDAN</v>
      </c>
      <c r="D290" s="11" t="str">
        <f>_xlfn.XLOOKUP(Customer[[#This Row],[Customer ID]],[1]!Address[ID],[1]!Address[PIC])</f>
        <v/>
      </c>
      <c r="E290" s="11" t="str">
        <f>_xlfn.XLOOKUP(Customer[[#This Row],[Customer ID]],[1]!Address[ID],[1]!Address[Full Address])</f>
        <v>PS JALAN PANDANLOT PTD 209632,JALAN PANDAN, MUKIM PLENTONG81100, JOHOR BAHRU, JOHOR</v>
      </c>
      <c r="F290" s="12" t="s">
        <v>2149</v>
      </c>
      <c r="G290" s="12" t="s">
        <v>2150</v>
      </c>
      <c r="H290" s="12" t="s">
        <v>2151</v>
      </c>
      <c r="I290" s="12" t="b">
        <f>ISNUMBER(VALUE(LEFT(Customer[[#This Row],[Address Line 3 (30 char)]],1)))</f>
        <v>0</v>
      </c>
      <c r="J290" s="12" t="s">
        <v>52</v>
      </c>
      <c r="K290" s="12">
        <v>81100</v>
      </c>
      <c r="L290" s="12" t="s">
        <v>35</v>
      </c>
      <c r="M290" s="13" t="e">
        <v>#N/A</v>
      </c>
      <c r="N290" s="14" t="e">
        <v>#N/A</v>
      </c>
      <c r="O290" s="14" t="e">
        <v>#N/A</v>
      </c>
      <c r="P290" s="14" t="e">
        <v>#N/A</v>
      </c>
      <c r="Q290" s="19" t="s">
        <v>2152</v>
      </c>
      <c r="R290" s="15" t="s">
        <v>2153</v>
      </c>
      <c r="S290" s="15" t="s">
        <v>37</v>
      </c>
      <c r="T290" s="16" t="s">
        <v>38</v>
      </c>
      <c r="U290" s="11" t="str">
        <f>_xlfn.XLOOKUP(Customer[[#This Row],[Customer ID]],[1]!Address[ID],[1]!Address[Phone No.(2)])</f>
        <v/>
      </c>
      <c r="V290" s="11" t="str">
        <f>_xlfn.XLOOKUP(Customer[[#This Row],[Customer ID]],[1]!Address[ID],[1]!Address[Type])</f>
        <v>PETROMART</v>
      </c>
      <c r="W290" s="11" t="str">
        <f>_xlfn.XLOOKUP(Customer[[#This Row],[Customer ID]],[1]!Address[ID],[1]!Address[CT])</f>
        <v>30 DAYS</v>
      </c>
      <c r="X290" s="11" t="s">
        <v>39</v>
      </c>
      <c r="Y290" s="17" t="s">
        <v>40</v>
      </c>
      <c r="Z290" s="17" t="e">
        <f>_xlfn.XLOOKUP(Customer[[#This Row],[NewType]],$AF$36:$AF$54,$AG$36:$AG$54)</f>
        <v>#N/A</v>
      </c>
      <c r="AA290" s="17" t="s">
        <v>2154</v>
      </c>
      <c r="AB290" s="11" t="str">
        <f>_xlfn.XLOOKUP(Customer[[#This Row],[Customer ID]],[1]!Address[ID],[1]!Address[Subtype])</f>
        <v>PETRONAS</v>
      </c>
      <c r="AC290" s="18" t="str">
        <f>_xlfn.XLOOKUP(Customer[[#This Row],[Customer ID]],[1]!Address[ID],[1]!Address[Zone])</f>
        <v>SOUTH</v>
      </c>
    </row>
    <row r="291" spans="1:29" x14ac:dyDescent="0.3">
      <c r="A291" s="10" t="s">
        <v>2155</v>
      </c>
      <c r="B291" s="11" t="str">
        <f>_xlfn.XLOOKUP(Customer[[#This Row],[Customer ID]],[1]!Name[ID],[1]!Name[Description(1)])</f>
        <v>JALAN PANDANGAN SSZ SERVICE STATION</v>
      </c>
      <c r="C291" s="11" t="str">
        <f>_xlfn.XLOOKUP(Customer[[#This Row],[Customer ID]],[1]!Name[ID],[1]!Name[Description(2)])</f>
        <v>PS JALAN PANDANGAN, KLANG</v>
      </c>
      <c r="D291" s="11" t="str">
        <f>_xlfn.XLOOKUP(Customer[[#This Row],[Customer ID]],[1]!Address[ID],[1]!Address[PIC])</f>
        <v/>
      </c>
      <c r="E291" s="11" t="str">
        <f>_xlfn.XLOOKUP(Customer[[#This Row],[Customer ID]],[1]!Address[ID],[1]!Address[Full Address])</f>
        <v>PS JALAN PANDANGAN, KLANGLOT 27956-27958,JALAN PANDANGAN, KG RAJA UDA, PELABUHAN42000, KLANG, SELANGOR</v>
      </c>
      <c r="F291" s="12" t="s">
        <v>2156</v>
      </c>
      <c r="G291" s="12" t="s">
        <v>2157</v>
      </c>
      <c r="H291" s="12" t="s">
        <v>2158</v>
      </c>
      <c r="I291" s="12" t="b">
        <f>ISNUMBER(VALUE(LEFT(Customer[[#This Row],[Address Line 3 (30 char)]],1)))</f>
        <v>0</v>
      </c>
      <c r="J291" s="12" t="s">
        <v>172</v>
      </c>
      <c r="K291" s="12">
        <v>42000</v>
      </c>
      <c r="L291" s="12" t="s">
        <v>35</v>
      </c>
      <c r="M291" s="13" t="e">
        <v>#N/A</v>
      </c>
      <c r="N291" s="14" t="e">
        <v>#N/A</v>
      </c>
      <c r="O291" s="14" t="e">
        <v>#N/A</v>
      </c>
      <c r="P291" s="14" t="e">
        <v>#N/A</v>
      </c>
      <c r="Q291" s="19" t="s">
        <v>2159</v>
      </c>
      <c r="R291" s="15" t="s">
        <v>2160</v>
      </c>
      <c r="S291" s="15" t="s">
        <v>37</v>
      </c>
      <c r="T291" s="16" t="s">
        <v>38</v>
      </c>
      <c r="U291" s="11" t="str">
        <f>_xlfn.XLOOKUP(Customer[[#This Row],[Customer ID]],[1]!Address[ID],[1]!Address[Phone No.(2)])</f>
        <v/>
      </c>
      <c r="V291" s="11" t="str">
        <f>_xlfn.XLOOKUP(Customer[[#This Row],[Customer ID]],[1]!Address[ID],[1]!Address[Type])</f>
        <v>PETROMART</v>
      </c>
      <c r="W291" s="11" t="str">
        <f>_xlfn.XLOOKUP(Customer[[#This Row],[Customer ID]],[1]!Address[ID],[1]!Address[CT])</f>
        <v>30 DAYS</v>
      </c>
      <c r="X291" s="11" t="s">
        <v>39</v>
      </c>
      <c r="Y291" s="17" t="s">
        <v>40</v>
      </c>
      <c r="Z291" s="17" t="e">
        <f>_xlfn.XLOOKUP(Customer[[#This Row],[NewType]],$AF$36:$AF$54,$AG$36:$AG$54)</f>
        <v>#N/A</v>
      </c>
      <c r="AA291" s="17" t="s">
        <v>2161</v>
      </c>
      <c r="AB291" s="11" t="str">
        <f>_xlfn.XLOOKUP(Customer[[#This Row],[Customer ID]],[1]!Address[ID],[1]!Address[Subtype])</f>
        <v>PETRONAS</v>
      </c>
      <c r="AC291" s="18" t="str">
        <f>_xlfn.XLOOKUP(Customer[[#This Row],[Customer ID]],[1]!Address[ID],[1]!Address[Zone])</f>
        <v>CENTRAL</v>
      </c>
    </row>
    <row r="292" spans="1:29" x14ac:dyDescent="0.3">
      <c r="A292" s="10" t="s">
        <v>2162</v>
      </c>
      <c r="B292" s="11" t="str">
        <f>_xlfn.XLOOKUP(Customer[[#This Row],[Customer ID]],[1]!Name[ID],[1]!Name[Description(1)])</f>
        <v>N.N ENTERPRISE</v>
      </c>
      <c r="C292" s="11" t="str">
        <f>_xlfn.XLOOKUP(Customer[[#This Row],[Customer ID]],[1]!Name[ID],[1]!Name[Description(2)])</f>
        <v>PS JALAN PASIR PANJANG</v>
      </c>
      <c r="D292" s="11" t="str">
        <f>_xlfn.XLOOKUP(Customer[[#This Row],[Customer ID]],[1]!Address[ID],[1]!Address[PIC])</f>
        <v/>
      </c>
      <c r="E292" s="11" t="str">
        <f>_xlfn.XLOOKUP(Customer[[#This Row],[Customer ID]],[1]!Address[ID],[1]!Address[Full Address])</f>
        <v>PS JALAN PASIR PANJANGLOT 3318, MUKIM BUKIT BESAR, PASIRPANJANG, KUALA TERENGGANU,   ,TERENGGANU, 21100, KUALA TERENGGANU,</v>
      </c>
      <c r="F292" s="12" t="s">
        <v>2163</v>
      </c>
      <c r="G292" s="12" t="s">
        <v>2164</v>
      </c>
      <c r="H292" s="12" t="s">
        <v>2165</v>
      </c>
      <c r="I292" s="12" t="b">
        <f>ISNUMBER(VALUE(LEFT(Customer[[#This Row],[Address Line 3 (30 char)]],1)))</f>
        <v>0</v>
      </c>
      <c r="J292" s="12" t="s">
        <v>1056</v>
      </c>
      <c r="K292" s="12">
        <v>21100</v>
      </c>
      <c r="L292" s="12" t="s">
        <v>35</v>
      </c>
      <c r="M292" s="13" t="e">
        <v>#N/A</v>
      </c>
      <c r="N292" s="14" t="e">
        <v>#N/A</v>
      </c>
      <c r="O292" s="14" t="e">
        <v>#N/A</v>
      </c>
      <c r="P292" s="14" t="e">
        <v>#N/A</v>
      </c>
      <c r="Q292" s="19" t="s">
        <v>2166</v>
      </c>
      <c r="R292" s="15" t="s">
        <v>2167</v>
      </c>
      <c r="S292" s="15" t="s">
        <v>37</v>
      </c>
      <c r="T292" s="16" t="s">
        <v>38</v>
      </c>
      <c r="U292" s="11" t="str">
        <f>_xlfn.XLOOKUP(Customer[[#This Row],[Customer ID]],[1]!Address[ID],[1]!Address[Phone No.(2)])</f>
        <v/>
      </c>
      <c r="V292" s="11" t="str">
        <f>_xlfn.XLOOKUP(Customer[[#This Row],[Customer ID]],[1]!Address[ID],[1]!Address[Type])</f>
        <v>PETROMART</v>
      </c>
      <c r="W292" s="11" t="str">
        <f>_xlfn.XLOOKUP(Customer[[#This Row],[Customer ID]],[1]!Address[ID],[1]!Address[CT])</f>
        <v>30 DAYS</v>
      </c>
      <c r="X292" s="11" t="s">
        <v>39</v>
      </c>
      <c r="Y292" s="17" t="s">
        <v>40</v>
      </c>
      <c r="Z292" s="17" t="e">
        <f>_xlfn.XLOOKUP(Customer[[#This Row],[NewType]],$AF$36:$AF$54,$AG$36:$AG$54)</f>
        <v>#N/A</v>
      </c>
      <c r="AA292" s="17" t="s">
        <v>2168</v>
      </c>
      <c r="AB292" s="11" t="str">
        <f>_xlfn.XLOOKUP(Customer[[#This Row],[Customer ID]],[1]!Address[ID],[1]!Address[Subtype])</f>
        <v>PETRONAS</v>
      </c>
      <c r="AC292" s="18" t="str">
        <f>_xlfn.XLOOKUP(Customer[[#This Row],[Customer ID]],[1]!Address[ID],[1]!Address[Zone])</f>
        <v>EAST COAST</v>
      </c>
    </row>
    <row r="293" spans="1:29" x14ac:dyDescent="0.3">
      <c r="A293" s="27" t="s">
        <v>2169</v>
      </c>
      <c r="B293" s="28" t="str">
        <f>_xlfn.XLOOKUP(Customer[[#This Row],[Customer ID]],[1]!Name[ID],[1]!Name[Description(1)])</f>
        <v>SARINANI KIOSK ENTERPRISE</v>
      </c>
      <c r="C293" s="11" t="str">
        <f>_xlfn.XLOOKUP(Customer[[#This Row],[Customer ID]],[1]!Name[ID],[1]!Name[Description(2)])</f>
        <v>PS JALAN MASJID NEGERI</v>
      </c>
      <c r="D293" s="11" t="str">
        <f>_xlfn.XLOOKUP(Customer[[#This Row],[Customer ID]],[1]!Address[ID],[1]!Address[PIC])</f>
        <v/>
      </c>
      <c r="E293" s="11" t="str">
        <f>_xlfn.XLOOKUP(Customer[[#This Row],[Customer ID]],[1]!Address[ID],[1]!Address[Full Address])</f>
        <v>PS JALAN MASJID NEGERILOT 73 (NO. 427),JALAN MESJID NEGERI, GEORGETOWN,11600, TIMOR LAUT, PULAU PINANG PENANG</v>
      </c>
      <c r="F293" s="12" t="s">
        <v>2170</v>
      </c>
      <c r="G293" s="12" t="s">
        <v>2171</v>
      </c>
      <c r="H293" s="12" t="s">
        <v>2172</v>
      </c>
      <c r="I293" s="12" t="b">
        <f>ISNUMBER(VALUE(LEFT(Customer[[#This Row],[Address Line 3 (30 char)]],1)))</f>
        <v>0</v>
      </c>
      <c r="J293" s="12" t="s">
        <v>179</v>
      </c>
      <c r="K293" s="12">
        <v>11600</v>
      </c>
      <c r="L293" s="12" t="s">
        <v>35</v>
      </c>
      <c r="M293" s="13">
        <v>199903079730</v>
      </c>
      <c r="N293" s="14" t="s">
        <v>54</v>
      </c>
      <c r="O293" s="14" t="e">
        <v>#N/A</v>
      </c>
      <c r="P293" s="14" t="e">
        <v>#N/A</v>
      </c>
      <c r="Q293" s="19" t="s">
        <v>2173</v>
      </c>
      <c r="R293" s="15" t="s">
        <v>2174</v>
      </c>
      <c r="S293" s="15" t="s">
        <v>74</v>
      </c>
      <c r="T293" s="16" t="s">
        <v>38</v>
      </c>
      <c r="U293" s="11" t="str">
        <f>_xlfn.XLOOKUP(Customer[[#This Row],[Customer ID]],[1]!Address[ID],[1]!Address[Phone No.(2)])</f>
        <v/>
      </c>
      <c r="V293" s="11" t="str">
        <f>_xlfn.XLOOKUP(Customer[[#This Row],[Customer ID]],[1]!Address[ID],[1]!Address[Type])</f>
        <v>PETROMART</v>
      </c>
      <c r="W293" s="11" t="str">
        <f>_xlfn.XLOOKUP(Customer[[#This Row],[Customer ID]],[1]!Address[ID],[1]!Address[CT])</f>
        <v>30 DAYS</v>
      </c>
      <c r="X293" s="11" t="s">
        <v>39</v>
      </c>
      <c r="Y293" s="17" t="s">
        <v>40</v>
      </c>
      <c r="Z293" s="17" t="e">
        <f>_xlfn.XLOOKUP(Customer[[#This Row],[NewType]],$AF$36:$AF$54,$AG$36:$AG$54)</f>
        <v>#N/A</v>
      </c>
      <c r="AA293" s="17" t="s">
        <v>2175</v>
      </c>
      <c r="AB293" s="11" t="str">
        <f>_xlfn.XLOOKUP(Customer[[#This Row],[Customer ID]],[1]!Address[ID],[1]!Address[Subtype])</f>
        <v>PETRONAS</v>
      </c>
      <c r="AC293" s="18" t="str">
        <f>_xlfn.XLOOKUP(Customer[[#This Row],[Customer ID]],[1]!Address[ID],[1]!Address[Zone])</f>
        <v>NORTH</v>
      </c>
    </row>
    <row r="294" spans="1:29" x14ac:dyDescent="0.3">
      <c r="A294" s="10" t="s">
        <v>2176</v>
      </c>
      <c r="B294" s="11" t="str">
        <f>_xlfn.XLOOKUP(Customer[[#This Row],[Customer ID]],[1]!Name[ID],[1]!Name[Description(1)])</f>
        <v>JASMNOOR ENTERPRISE</v>
      </c>
      <c r="C294" s="11" t="str">
        <f>_xlfn.XLOOKUP(Customer[[#This Row],[Customer ID]],[1]!Name[ID],[1]!Name[Description(2)])</f>
        <v>PS JALAN PAYA TERUBUNG</v>
      </c>
      <c r="D294" s="11" t="str">
        <f>_xlfn.XLOOKUP(Customer[[#This Row],[Customer ID]],[1]!Address[ID],[1]!Address[PIC])</f>
        <v/>
      </c>
      <c r="E294" s="11" t="str">
        <f>_xlfn.XLOOKUP(Customer[[#This Row],[Customer ID]],[1]!Address[ID],[1]!Address[Full Address])</f>
        <v>PS JALAN PAYA TERUBUNGLOT 1475 PAYA TERUBUNG, MUKIM 13,BAYAN BARU, GEORGETOWN,11900, TIMOR LAUT, PULAU PINANG</v>
      </c>
      <c r="F294" s="12" t="s">
        <v>2177</v>
      </c>
      <c r="G294" s="12" t="s">
        <v>2178</v>
      </c>
      <c r="H294" s="12" t="s">
        <v>2179</v>
      </c>
      <c r="I294" s="12" t="b">
        <f>ISNUMBER(VALUE(LEFT(Customer[[#This Row],[Address Line 3 (30 char)]],1)))</f>
        <v>0</v>
      </c>
      <c r="J294" s="12" t="s">
        <v>179</v>
      </c>
      <c r="K294" s="12">
        <v>11900</v>
      </c>
      <c r="L294" s="12" t="s">
        <v>35</v>
      </c>
      <c r="M294" s="13" t="e">
        <v>#N/A</v>
      </c>
      <c r="N294" s="14" t="e">
        <v>#N/A</v>
      </c>
      <c r="O294" s="14" t="e">
        <v>#N/A</v>
      </c>
      <c r="P294" s="14" t="e">
        <v>#N/A</v>
      </c>
      <c r="Q294" s="19" t="s">
        <v>2180</v>
      </c>
      <c r="R294" s="15" t="s">
        <v>2181</v>
      </c>
      <c r="S294" s="15" t="s">
        <v>74</v>
      </c>
      <c r="T294" s="16" t="s">
        <v>38</v>
      </c>
      <c r="U294" s="11" t="str">
        <f>_xlfn.XLOOKUP(Customer[[#This Row],[Customer ID]],[1]!Address[ID],[1]!Address[Phone No.(2)])</f>
        <v/>
      </c>
      <c r="V294" s="11" t="str">
        <f>_xlfn.XLOOKUP(Customer[[#This Row],[Customer ID]],[1]!Address[ID],[1]!Address[Type])</f>
        <v>PETROMART</v>
      </c>
      <c r="W294" s="11" t="str">
        <f>_xlfn.XLOOKUP(Customer[[#This Row],[Customer ID]],[1]!Address[ID],[1]!Address[CT])</f>
        <v>30 DAYS</v>
      </c>
      <c r="X294" s="11" t="s">
        <v>39</v>
      </c>
      <c r="Y294" s="17" t="s">
        <v>40</v>
      </c>
      <c r="Z294" s="17" t="e">
        <f>_xlfn.XLOOKUP(Customer[[#This Row],[NewType]],$AF$36:$AF$54,$AG$36:$AG$54)</f>
        <v>#N/A</v>
      </c>
      <c r="AA294" s="17" t="s">
        <v>2182</v>
      </c>
      <c r="AB294" s="11" t="str">
        <f>_xlfn.XLOOKUP(Customer[[#This Row],[Customer ID]],[1]!Address[ID],[1]!Address[Subtype])</f>
        <v>PETRONAS</v>
      </c>
      <c r="AC294" s="18" t="str">
        <f>_xlfn.XLOOKUP(Customer[[#This Row],[Customer ID]],[1]!Address[ID],[1]!Address[Zone])</f>
        <v>NORTH</v>
      </c>
    </row>
    <row r="295" spans="1:29" x14ac:dyDescent="0.3">
      <c r="A295" s="10" t="s">
        <v>2183</v>
      </c>
      <c r="B295" s="11" t="str">
        <f>_xlfn.XLOOKUP(Customer[[#This Row],[Customer ID]],[1]!Name[ID],[1]!Name[Description(1)])</f>
        <v>AIKHALMAN ENTERPRISE</v>
      </c>
      <c r="C295" s="11" t="str">
        <f>_xlfn.XLOOKUP(Customer[[#This Row],[Customer ID]],[1]!Name[ID],[1]!Name[Description(2)])</f>
        <v>PS JALAN PLUMBUM</v>
      </c>
      <c r="D295" s="11" t="str">
        <f>_xlfn.XLOOKUP(Customer[[#This Row],[Customer ID]],[1]!Address[ID],[1]!Address[PIC])</f>
        <v>Anis Marina Bt</v>
      </c>
      <c r="E295" s="11" t="str">
        <f>_xlfn.XLOOKUP(Customer[[#This Row],[Customer ID]],[1]!Address[ID],[1]!Address[Full Address])</f>
        <v>PS JALAN PLUMBUMNO. 1 PERSIARAN KAYANGAN,JALAN PLUMBUM P7/P, FASA 3C, SHAH ALAMSELANGOR, 40000, PETALING, SELANGOR</v>
      </c>
      <c r="F295" s="12" t="s">
        <v>2184</v>
      </c>
      <c r="G295" s="12" t="s">
        <v>2185</v>
      </c>
      <c r="H295" s="12" t="s">
        <v>2186</v>
      </c>
      <c r="I295" s="12" t="b">
        <f>ISNUMBER(VALUE(LEFT(Customer[[#This Row],[Address Line 3 (30 char)]],1)))</f>
        <v>0</v>
      </c>
      <c r="J295" s="12" t="s">
        <v>172</v>
      </c>
      <c r="K295" s="12">
        <v>40000</v>
      </c>
      <c r="L295" s="12" t="s">
        <v>35</v>
      </c>
      <c r="M295" s="13">
        <v>200803136187</v>
      </c>
      <c r="N295" s="14" t="s">
        <v>2187</v>
      </c>
      <c r="O295" s="14" t="e">
        <v>#N/A</v>
      </c>
      <c r="P295" s="14" t="e">
        <v>#N/A</v>
      </c>
      <c r="Q295" s="19" t="s">
        <v>2188</v>
      </c>
      <c r="R295" s="15" t="s">
        <v>2189</v>
      </c>
      <c r="S295" s="15" t="s">
        <v>37</v>
      </c>
      <c r="T295" s="16" t="s">
        <v>38</v>
      </c>
      <c r="U295" s="11" t="str">
        <f>_xlfn.XLOOKUP(Customer[[#This Row],[Customer ID]],[1]!Address[ID],[1]!Address[Phone No.(2)])</f>
        <v/>
      </c>
      <c r="V295" s="11" t="str">
        <f>_xlfn.XLOOKUP(Customer[[#This Row],[Customer ID]],[1]!Address[ID],[1]!Address[Type])</f>
        <v>PETROMART</v>
      </c>
      <c r="W295" s="11" t="str">
        <f>_xlfn.XLOOKUP(Customer[[#This Row],[Customer ID]],[1]!Address[ID],[1]!Address[CT])</f>
        <v>30 DAYS</v>
      </c>
      <c r="X295" s="11" t="s">
        <v>39</v>
      </c>
      <c r="Y295" s="17" t="s">
        <v>40</v>
      </c>
      <c r="Z295" s="17" t="e">
        <f>_xlfn.XLOOKUP(Customer[[#This Row],[NewType]],$AF$36:$AF$54,$AG$36:$AG$54)</f>
        <v>#N/A</v>
      </c>
      <c r="AA295" s="17" t="s">
        <v>2190</v>
      </c>
      <c r="AB295" s="11" t="str">
        <f>_xlfn.XLOOKUP(Customer[[#This Row],[Customer ID]],[1]!Address[ID],[1]!Address[Subtype])</f>
        <v>PETRONAS</v>
      </c>
      <c r="AC295" s="18" t="str">
        <f>_xlfn.XLOOKUP(Customer[[#This Row],[Customer ID]],[1]!Address[ID],[1]!Address[Zone])</f>
        <v>CENTRAL</v>
      </c>
    </row>
    <row r="296" spans="1:29" x14ac:dyDescent="0.3">
      <c r="A296" s="10" t="s">
        <v>2191</v>
      </c>
      <c r="B296" s="11" t="str">
        <f>_xlfn.XLOOKUP(Customer[[#This Row],[Customer ID]],[1]!Name[ID],[1]!Name[Description(1)])</f>
        <v>STESEN MINYAK HJ MOHAMAD</v>
      </c>
      <c r="C296" s="11" t="str">
        <f>_xlfn.XLOOKUP(Customer[[#This Row],[Customer ID]],[1]!Name[ID],[1]!Name[Description(2)])</f>
        <v>PS JALAN RAHANG</v>
      </c>
      <c r="D296" s="11" t="str">
        <f>_xlfn.XLOOKUP(Customer[[#This Row],[Customer ID]],[1]!Address[ID],[1]!Address[PIC])</f>
        <v/>
      </c>
      <c r="E296" s="11" t="str">
        <f>_xlfn.XLOOKUP(Customer[[#This Row],[Customer ID]],[1]!Address[ID],[1]!Address[Full Address])</f>
        <v>PS JALAN RAHANGLOT 4054-A JALAN TUANKU ANTAH(JALAN RAHANG), SEREMBAN, NEGERI SEMBILA70100, SEREMBAN, NEGERI SEMBILAN</v>
      </c>
      <c r="F296" s="12" t="s">
        <v>2192</v>
      </c>
      <c r="G296" s="12" t="s">
        <v>2193</v>
      </c>
      <c r="H296" s="12" t="s">
        <v>1971</v>
      </c>
      <c r="I296" s="12" t="b">
        <f>ISNUMBER(VALUE(LEFT(Customer[[#This Row],[Address Line 3 (30 char)]],1)))</f>
        <v>0</v>
      </c>
      <c r="J296" s="12" t="s">
        <v>2004</v>
      </c>
      <c r="K296" s="12">
        <v>70100</v>
      </c>
      <c r="L296" s="12" t="s">
        <v>35</v>
      </c>
      <c r="M296" s="13" t="e">
        <v>#N/A</v>
      </c>
      <c r="N296" s="14" t="e">
        <v>#N/A</v>
      </c>
      <c r="O296" s="14" t="e">
        <v>#N/A</v>
      </c>
      <c r="P296" s="14" t="e">
        <v>#N/A</v>
      </c>
      <c r="Q296" s="19" t="s">
        <v>2194</v>
      </c>
      <c r="R296" s="15" t="s">
        <v>2195</v>
      </c>
      <c r="S296" s="15" t="s">
        <v>37</v>
      </c>
      <c r="T296" s="16" t="s">
        <v>38</v>
      </c>
      <c r="U296" s="11" t="str">
        <f>_xlfn.XLOOKUP(Customer[[#This Row],[Customer ID]],[1]!Address[ID],[1]!Address[Phone No.(2)])</f>
        <v/>
      </c>
      <c r="V296" s="11" t="str">
        <f>_xlfn.XLOOKUP(Customer[[#This Row],[Customer ID]],[1]!Address[ID],[1]!Address[Type])</f>
        <v>PETROMART</v>
      </c>
      <c r="W296" s="11" t="str">
        <f>_xlfn.XLOOKUP(Customer[[#This Row],[Customer ID]],[1]!Address[ID],[1]!Address[CT])</f>
        <v>30 DAYS</v>
      </c>
      <c r="X296" s="11" t="s">
        <v>39</v>
      </c>
      <c r="Y296" s="17" t="s">
        <v>40</v>
      </c>
      <c r="Z296" s="17" t="e">
        <f>_xlfn.XLOOKUP(Customer[[#This Row],[NewType]],$AF$36:$AF$54,$AG$36:$AG$54)</f>
        <v>#N/A</v>
      </c>
      <c r="AA296" s="17" t="s">
        <v>2196</v>
      </c>
      <c r="AB296" s="11" t="str">
        <f>_xlfn.XLOOKUP(Customer[[#This Row],[Customer ID]],[1]!Address[ID],[1]!Address[Subtype])</f>
        <v>PETRONAS</v>
      </c>
      <c r="AC296" s="18" t="str">
        <f>_xlfn.XLOOKUP(Customer[[#This Row],[Customer ID]],[1]!Address[ID],[1]!Address[Zone])</f>
        <v>CENTRAL</v>
      </c>
    </row>
    <row r="297" spans="1:29" x14ac:dyDescent="0.3">
      <c r="A297" s="27" t="s">
        <v>2197</v>
      </c>
      <c r="B297" s="28" t="str">
        <f>_xlfn.XLOOKUP(Customer[[#This Row],[Customer ID]],[1]!Name[ID],[1]!Name[Description(1)])</f>
        <v>FHRH ENTERPRISE</v>
      </c>
      <c r="C297" s="11" t="str">
        <f>_xlfn.XLOOKUP(Customer[[#This Row],[Customer ID]],[1]!Name[ID],[1]!Name[Description(2)])</f>
        <v>PS JALAN RAHMAT,BATU PAHAT</v>
      </c>
      <c r="D297" s="11" t="str">
        <f>_xlfn.XLOOKUP(Customer[[#This Row],[Customer ID]],[1]!Address[ID],[1]!Address[PIC])</f>
        <v>FHRH ENTERPRISE</v>
      </c>
      <c r="E297" s="11" t="str">
        <f>_xlfn.XLOOKUP(Customer[[#This Row],[Customer ID]],[1]!Address[ID],[1]!Address[Full Address])</f>
        <v>PS JALAN RAHMAT,BATU PAHATLOT 1206 &amp; 950 JLN RAHMATBATU PAHAT, 83000, JOHORJOHOR</v>
      </c>
      <c r="F297" s="12" t="s">
        <v>2198</v>
      </c>
      <c r="G297" s="12" t="s">
        <v>2199</v>
      </c>
      <c r="H297" s="12" t="s">
        <v>2200</v>
      </c>
      <c r="I297" s="12" t="b">
        <f>ISNUMBER(VALUE(LEFT(Customer[[#This Row],[Address Line 3 (30 char)]],1)))</f>
        <v>0</v>
      </c>
      <c r="J297" s="29" t="s">
        <v>52</v>
      </c>
      <c r="K297" s="12">
        <v>83000</v>
      </c>
      <c r="L297" s="12" t="s">
        <v>35</v>
      </c>
      <c r="M297" s="13">
        <v>200403024929</v>
      </c>
      <c r="N297" s="14" t="s">
        <v>2201</v>
      </c>
      <c r="O297" s="14" t="s">
        <v>54</v>
      </c>
      <c r="P297" s="14">
        <v>47736</v>
      </c>
      <c r="Q297" s="19" t="s">
        <v>2202</v>
      </c>
      <c r="R297" s="15" t="s">
        <v>2203</v>
      </c>
      <c r="S297" s="15" t="s">
        <v>37</v>
      </c>
      <c r="T297" s="16" t="s">
        <v>38</v>
      </c>
      <c r="U297" s="11" t="str">
        <f>_xlfn.XLOOKUP(Customer[[#This Row],[Customer ID]],[1]!Address[ID],[1]!Address[Phone No.(2)])</f>
        <v/>
      </c>
      <c r="V297" s="11" t="str">
        <f>_xlfn.XLOOKUP(Customer[[#This Row],[Customer ID]],[1]!Address[ID],[1]!Address[Type])</f>
        <v>PETROMART</v>
      </c>
      <c r="W297" s="11" t="str">
        <f>_xlfn.XLOOKUP(Customer[[#This Row],[Customer ID]],[1]!Address[ID],[1]!Address[CT])</f>
        <v>30 DAYS</v>
      </c>
      <c r="X297" s="11" t="s">
        <v>39</v>
      </c>
      <c r="Y297" s="17" t="s">
        <v>40</v>
      </c>
      <c r="Z297" s="17" t="e">
        <f>_xlfn.XLOOKUP(Customer[[#This Row],[NewType]],$AF$36:$AF$54,$AG$36:$AG$54)</f>
        <v>#N/A</v>
      </c>
      <c r="AA297" s="17" t="s">
        <v>2204</v>
      </c>
      <c r="AB297" s="11" t="str">
        <f>_xlfn.XLOOKUP(Customer[[#This Row],[Customer ID]],[1]!Address[ID],[1]!Address[Subtype])</f>
        <v>PETRONAS</v>
      </c>
      <c r="AC297" s="18" t="str">
        <f>_xlfn.XLOOKUP(Customer[[#This Row],[Customer ID]],[1]!Address[ID],[1]!Address[Zone])</f>
        <v>SOUTH</v>
      </c>
    </row>
    <row r="298" spans="1:29" x14ac:dyDescent="0.3">
      <c r="A298" s="10" t="s">
        <v>2205</v>
      </c>
      <c r="B298" s="11" t="str">
        <f>_xlfn.XLOOKUP(Customer[[#This Row],[Customer ID]],[1]!Name[ID],[1]!Name[Description(1)])</f>
        <v>CG GEMILANG PETROL SDN. BHD.</v>
      </c>
      <c r="C298" s="11" t="str">
        <f>_xlfn.XLOOKUP(Customer[[#This Row],[Customer ID]],[1]!Name[ID],[1]!Name[Description(2)])</f>
        <v>PS JALAN RAJA DIHILIR</v>
      </c>
      <c r="D298" s="11" t="str">
        <f>_xlfn.XLOOKUP(Customer[[#This Row],[Customer ID]],[1]!Address[ID],[1]!Address[PIC])</f>
        <v/>
      </c>
      <c r="E298" s="11" t="str">
        <f>_xlfn.XLOOKUP(Customer[[#This Row],[Customer ID]],[1]!Address[ID],[1]!Address[Full Address])</f>
        <v>PS JALAN RAJA DIHILIRPT 253208, JALAN RAJA DIHILIR,(JALAN TAMBUN), IPOH31400, KINTA, PERAK</v>
      </c>
      <c r="F298" s="12" t="s">
        <v>2206</v>
      </c>
      <c r="G298" s="12" t="s">
        <v>2207</v>
      </c>
      <c r="H298" s="12" t="s">
        <v>2208</v>
      </c>
      <c r="I298" s="12" t="b">
        <f>ISNUMBER(VALUE(LEFT(Customer[[#This Row],[Address Line 3 (30 char)]],1)))</f>
        <v>0</v>
      </c>
      <c r="J298" s="12" t="s">
        <v>242</v>
      </c>
      <c r="K298" s="12">
        <v>31400</v>
      </c>
      <c r="L298" s="12" t="s">
        <v>35</v>
      </c>
      <c r="M298" s="13" t="e">
        <v>#N/A</v>
      </c>
      <c r="N298" s="14" t="e">
        <v>#N/A</v>
      </c>
      <c r="O298" s="14" t="e">
        <v>#N/A</v>
      </c>
      <c r="P298" s="14" t="e">
        <v>#N/A</v>
      </c>
      <c r="Q298" s="19" t="s">
        <v>2209</v>
      </c>
      <c r="R298" s="15" t="s">
        <v>2210</v>
      </c>
      <c r="S298" s="15" t="s">
        <v>74</v>
      </c>
      <c r="T298" s="16" t="s">
        <v>38</v>
      </c>
      <c r="U298" s="11" t="str">
        <f>_xlfn.XLOOKUP(Customer[[#This Row],[Customer ID]],[1]!Address[ID],[1]!Address[Phone No.(2)])</f>
        <v/>
      </c>
      <c r="V298" s="11" t="str">
        <f>_xlfn.XLOOKUP(Customer[[#This Row],[Customer ID]],[1]!Address[ID],[1]!Address[Type])</f>
        <v>PETROMART</v>
      </c>
      <c r="W298" s="11" t="str">
        <f>_xlfn.XLOOKUP(Customer[[#This Row],[Customer ID]],[1]!Address[ID],[1]!Address[CT])</f>
        <v>30 DAYS</v>
      </c>
      <c r="X298" s="11" t="s">
        <v>39</v>
      </c>
      <c r="Y298" s="17" t="s">
        <v>40</v>
      </c>
      <c r="Z298" s="17" t="e">
        <f>_xlfn.XLOOKUP(Customer[[#This Row],[NewType]],$AF$36:$AF$54,$AG$36:$AG$54)</f>
        <v>#N/A</v>
      </c>
      <c r="AA298" s="17" t="s">
        <v>2211</v>
      </c>
      <c r="AB298" s="11" t="str">
        <f>_xlfn.XLOOKUP(Customer[[#This Row],[Customer ID]],[1]!Address[ID],[1]!Address[Subtype])</f>
        <v>PETRONAS</v>
      </c>
      <c r="AC298" s="18" t="str">
        <f>_xlfn.XLOOKUP(Customer[[#This Row],[Customer ID]],[1]!Address[ID],[1]!Address[Zone])</f>
        <v>NORTH</v>
      </c>
    </row>
    <row r="299" spans="1:29" x14ac:dyDescent="0.3">
      <c r="A299" s="27" t="s">
        <v>2212</v>
      </c>
      <c r="B299" s="28" t="str">
        <f>_xlfn.XLOOKUP(Customer[[#This Row],[Customer ID]],[1]!Name[ID],[1]!Name[Description(1)])</f>
        <v>ZAMRI TRADING &amp; SERVICES</v>
      </c>
      <c r="C299" s="11" t="str">
        <f>_xlfn.XLOOKUP(Customer[[#This Row],[Customer ID]],[1]!Name[ID],[1]!Name[Description(2)])</f>
        <v>PS JALAN RAJA SYED ALWI</v>
      </c>
      <c r="D299" s="11" t="str">
        <f>_xlfn.XLOOKUP(Customer[[#This Row],[Customer ID]],[1]!Address[ID],[1]!Address[PIC])</f>
        <v/>
      </c>
      <c r="E299" s="11" t="str">
        <f>_xlfn.XLOOKUP(Customer[[#This Row],[Customer ID]],[1]!Address[ID],[1]!Address[Full Address])</f>
        <v>PS JALAN RAJA SYED ALWILOT 2880 HS(M) 2501JALAN RAJA SYED ALWI,BEHOR GANDIL, 01000 PERLIS</v>
      </c>
      <c r="F299" s="12" t="s">
        <v>2213</v>
      </c>
      <c r="G299" s="12" t="s">
        <v>2214</v>
      </c>
      <c r="H299" s="12" t="s">
        <v>2215</v>
      </c>
      <c r="I299" s="12" t="b">
        <f>ISNUMBER(VALUE(LEFT(Customer[[#This Row],[Address Line 3 (30 char)]],1)))</f>
        <v>0</v>
      </c>
      <c r="J299" s="29" t="s">
        <v>984</v>
      </c>
      <c r="K299" s="20" t="s">
        <v>985</v>
      </c>
      <c r="L299" s="12" t="s">
        <v>35</v>
      </c>
      <c r="M299" s="13">
        <v>200403184358</v>
      </c>
      <c r="N299" s="14" t="s">
        <v>2216</v>
      </c>
      <c r="O299" s="14" t="s">
        <v>156</v>
      </c>
      <c r="P299" s="14">
        <v>47114</v>
      </c>
      <c r="Q299" s="19" t="s">
        <v>2217</v>
      </c>
      <c r="R299" s="15" t="s">
        <v>2218</v>
      </c>
      <c r="S299" s="15" t="s">
        <v>74</v>
      </c>
      <c r="T299" s="16" t="s">
        <v>38</v>
      </c>
      <c r="U299" s="11" t="str">
        <f>_xlfn.XLOOKUP(Customer[[#This Row],[Customer ID]],[1]!Address[ID],[1]!Address[Phone No.(2)])</f>
        <v/>
      </c>
      <c r="V299" s="11" t="str">
        <f>_xlfn.XLOOKUP(Customer[[#This Row],[Customer ID]],[1]!Address[ID],[1]!Address[Type])</f>
        <v>PETROMART</v>
      </c>
      <c r="W299" s="11" t="str">
        <f>_xlfn.XLOOKUP(Customer[[#This Row],[Customer ID]],[1]!Address[ID],[1]!Address[CT])</f>
        <v>30 DAYS</v>
      </c>
      <c r="X299" s="11" t="s">
        <v>39</v>
      </c>
      <c r="Y299" s="17" t="s">
        <v>40</v>
      </c>
      <c r="Z299" s="17" t="e">
        <f>_xlfn.XLOOKUP(Customer[[#This Row],[NewType]],$AF$36:$AF$54,$AG$36:$AG$54)</f>
        <v>#N/A</v>
      </c>
      <c r="AA299" s="17" t="s">
        <v>2219</v>
      </c>
      <c r="AB299" s="11" t="str">
        <f>_xlfn.XLOOKUP(Customer[[#This Row],[Customer ID]],[1]!Address[ID],[1]!Address[Subtype])</f>
        <v>PETRONAS</v>
      </c>
      <c r="AC299" s="18" t="str">
        <f>_xlfn.XLOOKUP(Customer[[#This Row],[Customer ID]],[1]!Address[ID],[1]!Address[Zone])</f>
        <v>NORTH</v>
      </c>
    </row>
    <row r="300" spans="1:29" x14ac:dyDescent="0.3">
      <c r="A300" s="10" t="s">
        <v>2220</v>
      </c>
      <c r="B300" s="11" t="str">
        <f>_xlfn.XLOOKUP(Customer[[#This Row],[Customer ID]],[1]!Name[ID],[1]!Name[Description(1)])</f>
        <v>SAUJANA KUNDANG ENTERPRISE</v>
      </c>
      <c r="C300" s="11" t="str">
        <f>_xlfn.XLOOKUP(Customer[[#This Row],[Customer ID]],[1]!Name[ID],[1]!Name[Description(2)])</f>
        <v>PS JALAN RAWANG-BATANG BERJUNTAI/KM 33 J</v>
      </c>
      <c r="D300" s="11" t="str">
        <f>_xlfn.XLOOKUP(Customer[[#This Row],[Customer ID]],[1]!Address[ID],[1]!Address[PIC])</f>
        <v/>
      </c>
      <c r="E300" s="11" t="str">
        <f>_xlfn.XLOOKUP(Customer[[#This Row],[Customer ID]],[1]!Address[ID],[1]!Address[Full Address])</f>
        <v>PS JALAN RAWANG-BATANG BERJUNTAI/KM 33 JPT 1560. NO. HS(D) 54927,JALAN SG BAKAU, JALAN RAWANG - SG BAKAUMUKIM RAWANG,  SELANGOR, 48000</v>
      </c>
      <c r="F300" s="12" t="s">
        <v>2221</v>
      </c>
      <c r="G300" s="12" t="s">
        <v>2222</v>
      </c>
      <c r="H300" s="12" t="s">
        <v>2223</v>
      </c>
      <c r="I300" s="12" t="b">
        <f>ISNUMBER(VALUE(LEFT(Customer[[#This Row],[Address Line 3 (30 char)]],1)))</f>
        <v>0</v>
      </c>
      <c r="J300" s="12" t="s">
        <v>172</v>
      </c>
      <c r="K300" s="12">
        <v>48000</v>
      </c>
      <c r="L300" s="12" t="s">
        <v>35</v>
      </c>
      <c r="M300" s="13" t="e">
        <v>#N/A</v>
      </c>
      <c r="N300" s="14" t="e">
        <v>#N/A</v>
      </c>
      <c r="O300" s="14" t="e">
        <v>#N/A</v>
      </c>
      <c r="P300" s="14" t="e">
        <v>#N/A</v>
      </c>
      <c r="Q300" s="19" t="s">
        <v>2224</v>
      </c>
      <c r="R300" s="15" t="s">
        <v>2225</v>
      </c>
      <c r="S300" s="15" t="s">
        <v>37</v>
      </c>
      <c r="T300" s="16" t="s">
        <v>38</v>
      </c>
      <c r="U300" s="11" t="str">
        <f>_xlfn.XLOOKUP(Customer[[#This Row],[Customer ID]],[1]!Address[ID],[1]!Address[Phone No.(2)])</f>
        <v/>
      </c>
      <c r="V300" s="11" t="str">
        <f>_xlfn.XLOOKUP(Customer[[#This Row],[Customer ID]],[1]!Address[ID],[1]!Address[Type])</f>
        <v>PETROMART</v>
      </c>
      <c r="W300" s="11" t="str">
        <f>_xlfn.XLOOKUP(Customer[[#This Row],[Customer ID]],[1]!Address[ID],[1]!Address[CT])</f>
        <v>30 DAYS</v>
      </c>
      <c r="X300" s="11" t="s">
        <v>39</v>
      </c>
      <c r="Y300" s="17" t="s">
        <v>40</v>
      </c>
      <c r="Z300" s="17" t="e">
        <f>_xlfn.XLOOKUP(Customer[[#This Row],[NewType]],$AF$36:$AF$54,$AG$36:$AG$54)</f>
        <v>#N/A</v>
      </c>
      <c r="AA300" s="17" t="s">
        <v>2226</v>
      </c>
      <c r="AB300" s="11" t="str">
        <f>_xlfn.XLOOKUP(Customer[[#This Row],[Customer ID]],[1]!Address[ID],[1]!Address[Subtype])</f>
        <v>PETRONAS</v>
      </c>
      <c r="AC300" s="18" t="str">
        <f>_xlfn.XLOOKUP(Customer[[#This Row],[Customer ID]],[1]!Address[ID],[1]!Address[Zone])</f>
        <v>CENTRAL</v>
      </c>
    </row>
    <row r="301" spans="1:29" x14ac:dyDescent="0.3">
      <c r="A301" s="10" t="s">
        <v>2227</v>
      </c>
      <c r="B301" s="11" t="str">
        <f>_xlfn.XLOOKUP(Customer[[#This Row],[Customer ID]],[1]!Name[ID],[1]!Name[Description(1)])</f>
        <v>KAS ENTERPRISE</v>
      </c>
      <c r="C301" s="11" t="str">
        <f>_xlfn.XLOOKUP(Customer[[#This Row],[Customer ID]],[1]!Name[ID],[1]!Name[Description(2)])</f>
        <v>PS JALAN REKO 2</v>
      </c>
      <c r="D301" s="11" t="str">
        <f>_xlfn.XLOOKUP(Customer[[#This Row],[Customer ID]],[1]!Address[ID],[1]!Address[PIC])</f>
        <v/>
      </c>
      <c r="E301" s="11" t="str">
        <f>_xlfn.XLOOKUP(Customer[[#This Row],[Customer ID]],[1]!Address[ID],[1]!Address[Full Address])</f>
        <v>PS JALAN REKO 2GM 45, LOT 783, BATU 17 JALAN REKO,MUKIM KAJANG, HULU LANGAT, SELANGOR43000, ULU LANGAT, SELANGOR</v>
      </c>
      <c r="F301" s="12" t="s">
        <v>2228</v>
      </c>
      <c r="G301" s="12" t="s">
        <v>2229</v>
      </c>
      <c r="H301" s="12" t="s">
        <v>2230</v>
      </c>
      <c r="I301" s="12" t="b">
        <f>ISNUMBER(VALUE(LEFT(Customer[[#This Row],[Address Line 3 (30 char)]],1)))</f>
        <v>0</v>
      </c>
      <c r="J301" s="12" t="s">
        <v>172</v>
      </c>
      <c r="K301" s="12">
        <v>43000</v>
      </c>
      <c r="L301" s="12" t="s">
        <v>35</v>
      </c>
      <c r="M301" s="13" t="e">
        <v>#N/A</v>
      </c>
      <c r="N301" s="14" t="e">
        <v>#N/A</v>
      </c>
      <c r="O301" s="14" t="e">
        <v>#N/A</v>
      </c>
      <c r="P301" s="14" t="e">
        <v>#N/A</v>
      </c>
      <c r="Q301" s="19" t="s">
        <v>2231</v>
      </c>
      <c r="R301" s="15" t="s">
        <v>2232</v>
      </c>
      <c r="S301" s="15" t="s">
        <v>37</v>
      </c>
      <c r="T301" s="16" t="s">
        <v>38</v>
      </c>
      <c r="U301" s="11" t="str">
        <f>_xlfn.XLOOKUP(Customer[[#This Row],[Customer ID]],[1]!Address[ID],[1]!Address[Phone No.(2)])</f>
        <v/>
      </c>
      <c r="V301" s="11" t="str">
        <f>_xlfn.XLOOKUP(Customer[[#This Row],[Customer ID]],[1]!Address[ID],[1]!Address[Type])</f>
        <v>PETROMART</v>
      </c>
      <c r="W301" s="11" t="str">
        <f>_xlfn.XLOOKUP(Customer[[#This Row],[Customer ID]],[1]!Address[ID],[1]!Address[CT])</f>
        <v>30 DAYS</v>
      </c>
      <c r="X301" s="11" t="s">
        <v>39</v>
      </c>
      <c r="Y301" s="17" t="s">
        <v>40</v>
      </c>
      <c r="Z301" s="17" t="e">
        <f>_xlfn.XLOOKUP(Customer[[#This Row],[NewType]],$AF$36:$AF$54,$AG$36:$AG$54)</f>
        <v>#N/A</v>
      </c>
      <c r="AA301" s="17" t="s">
        <v>2233</v>
      </c>
      <c r="AB301" s="11" t="str">
        <f>_xlfn.XLOOKUP(Customer[[#This Row],[Customer ID]],[1]!Address[ID],[1]!Address[Subtype])</f>
        <v>PETRONAS</v>
      </c>
      <c r="AC301" s="18" t="str">
        <f>_xlfn.XLOOKUP(Customer[[#This Row],[Customer ID]],[1]!Address[ID],[1]!Address[Zone])</f>
        <v>CENTRAL</v>
      </c>
    </row>
    <row r="302" spans="1:29" x14ac:dyDescent="0.3">
      <c r="A302" s="27" t="s">
        <v>2234</v>
      </c>
      <c r="B302" s="28" t="str">
        <f>_xlfn.XLOOKUP(Customer[[#This Row],[Customer ID]],[1]!Name[ID],[1]!Name[Description(1)])</f>
        <v>RHU BARAKAH ENTERPRISE</v>
      </c>
      <c r="C302" s="11" t="str">
        <f>_xlfn.XLOOKUP(Customer[[#This Row],[Customer ID]],[1]!Name[ID],[1]!Name[Description(2)])</f>
        <v>PS JALAN RHU, AMPANG</v>
      </c>
      <c r="D302" s="11" t="str">
        <f>_xlfn.XLOOKUP(Customer[[#This Row],[Customer ID]],[1]!Address[ID],[1]!Address[PIC])</f>
        <v/>
      </c>
      <c r="E302" s="11" t="str">
        <f>_xlfn.XLOOKUP(Customer[[#This Row],[Customer ID]],[1]!Address[ID],[1]!Address[Full Address])</f>
        <v>PS JALAN RHU, AMPANGLOT 4295 &amp; 4310, JLN RHU, OFF JLN AMPANGKUALA LUMPUR, 50450, WILAYAHPERSEKUTUAN KUALA LUMPUR, W PERSEKUTUAN</v>
      </c>
      <c r="F302" s="12" t="s">
        <v>2235</v>
      </c>
      <c r="G302" s="12" t="s">
        <v>2236</v>
      </c>
      <c r="H302" s="12" t="s">
        <v>775</v>
      </c>
      <c r="I302" s="12" t="b">
        <f>ISNUMBER(VALUE(LEFT(Customer[[#This Row],[Address Line 3 (30 char)]],1)))</f>
        <v>0</v>
      </c>
      <c r="J302" s="29" t="s">
        <v>34</v>
      </c>
      <c r="K302" s="12">
        <v>50450</v>
      </c>
      <c r="L302" s="12" t="s">
        <v>35</v>
      </c>
      <c r="M302" s="13" t="e">
        <v>#N/A</v>
      </c>
      <c r="N302" s="14" t="e">
        <v>#N/A</v>
      </c>
      <c r="O302" s="14" t="e">
        <v>#N/A</v>
      </c>
      <c r="P302" s="14" t="e">
        <v>#N/A</v>
      </c>
      <c r="Q302" s="19" t="s">
        <v>2237</v>
      </c>
      <c r="R302" s="15" t="s">
        <v>2238</v>
      </c>
      <c r="S302" s="15" t="s">
        <v>65</v>
      </c>
      <c r="T302" s="16" t="s">
        <v>38</v>
      </c>
      <c r="U302" s="11" t="str">
        <f>_xlfn.XLOOKUP(Customer[[#This Row],[Customer ID]],[1]!Address[ID],[1]!Address[Phone No.(2)])</f>
        <v/>
      </c>
      <c r="V302" s="11" t="str">
        <f>_xlfn.XLOOKUP(Customer[[#This Row],[Customer ID]],[1]!Address[ID],[1]!Address[Type])</f>
        <v>PETROMART</v>
      </c>
      <c r="W302" s="11" t="str">
        <f>_xlfn.XLOOKUP(Customer[[#This Row],[Customer ID]],[1]!Address[ID],[1]!Address[CT])</f>
        <v>30 DAYS</v>
      </c>
      <c r="X302" s="11" t="s">
        <v>39</v>
      </c>
      <c r="Y302" s="17" t="s">
        <v>40</v>
      </c>
      <c r="Z302" s="17" t="e">
        <f>_xlfn.XLOOKUP(Customer[[#This Row],[NewType]],$AF$36:$AF$54,$AG$36:$AG$54)</f>
        <v>#N/A</v>
      </c>
      <c r="AA302" s="17" t="s">
        <v>2239</v>
      </c>
      <c r="AB302" s="11" t="str">
        <f>_xlfn.XLOOKUP(Customer[[#This Row],[Customer ID]],[1]!Address[ID],[1]!Address[Subtype])</f>
        <v>PETRONAS</v>
      </c>
      <c r="AC302" s="18" t="str">
        <f>_xlfn.XLOOKUP(Customer[[#This Row],[Customer ID]],[1]!Address[ID],[1]!Address[Zone])</f>
        <v>CENTRAL</v>
      </c>
    </row>
    <row r="303" spans="1:29" x14ac:dyDescent="0.3">
      <c r="A303" s="10" t="s">
        <v>2240</v>
      </c>
      <c r="B303" s="11" t="str">
        <f>_xlfn.XLOOKUP(Customer[[#This Row],[Customer ID]],[1]!Name[ID],[1]!Name[Description(1)])</f>
        <v>EBI KIN GEMILANG</v>
      </c>
      <c r="C303" s="11" t="str">
        <f>_xlfn.XLOOKUP(Customer[[#This Row],[Customer ID]],[1]!Name[ID],[1]!Name[Description(2)])</f>
        <v>PS JALAN ROSMERAH</v>
      </c>
      <c r="D303" s="11" t="str">
        <f>_xlfn.XLOOKUP(Customer[[#This Row],[Customer ID]],[1]!Address[ID],[1]!Address[PIC])</f>
        <v/>
      </c>
      <c r="E303" s="11" t="str">
        <f>_xlfn.XLOOKUP(Customer[[#This Row],[Customer ID]],[1]!Address[ID],[1]!Address[Full Address])</f>
        <v>PS JALAN ROSMERAHLOT PTD 52710,JALAN ROSMERAH 2/1, TAMAN JOHOR JAYAJOHOR BAHRU, 81100 JOHOR</v>
      </c>
      <c r="F303" s="12" t="s">
        <v>2241</v>
      </c>
      <c r="G303" s="12" t="s">
        <v>2242</v>
      </c>
      <c r="H303" s="12" t="s">
        <v>2243</v>
      </c>
      <c r="I303" s="12" t="b">
        <f>ISNUMBER(VALUE(LEFT(Customer[[#This Row],[Address Line 3 (30 char)]],1)))</f>
        <v>0</v>
      </c>
      <c r="J303" s="12" t="s">
        <v>52</v>
      </c>
      <c r="K303" s="12">
        <v>81100</v>
      </c>
      <c r="L303" s="12" t="s">
        <v>35</v>
      </c>
      <c r="M303" s="13">
        <v>200703113982</v>
      </c>
      <c r="N303" s="14" t="s">
        <v>2244</v>
      </c>
      <c r="O303" s="14" t="s">
        <v>2245</v>
      </c>
      <c r="P303" s="14">
        <v>47300</v>
      </c>
      <c r="Q303" s="19" t="s">
        <v>2246</v>
      </c>
      <c r="R303" s="15" t="s">
        <v>2247</v>
      </c>
      <c r="S303" s="15" t="s">
        <v>37</v>
      </c>
      <c r="T303" s="16" t="s">
        <v>38</v>
      </c>
      <c r="U303" s="11" t="str">
        <f>_xlfn.XLOOKUP(Customer[[#This Row],[Customer ID]],[1]!Address[ID],[1]!Address[Phone No.(2)])</f>
        <v/>
      </c>
      <c r="V303" s="11" t="str">
        <f>_xlfn.XLOOKUP(Customer[[#This Row],[Customer ID]],[1]!Address[ID],[1]!Address[Type])</f>
        <v>PETROMART</v>
      </c>
      <c r="W303" s="11" t="str">
        <f>_xlfn.XLOOKUP(Customer[[#This Row],[Customer ID]],[1]!Address[ID],[1]!Address[CT])</f>
        <v>30 DAYS</v>
      </c>
      <c r="X303" s="11" t="s">
        <v>39</v>
      </c>
      <c r="Y303" s="17" t="s">
        <v>40</v>
      </c>
      <c r="Z303" s="17" t="e">
        <f>_xlfn.XLOOKUP(Customer[[#This Row],[NewType]],$AF$36:$AF$54,$AG$36:$AG$54)</f>
        <v>#N/A</v>
      </c>
      <c r="AA303" s="17" t="s">
        <v>2248</v>
      </c>
      <c r="AB303" s="11" t="str">
        <f>_xlfn.XLOOKUP(Customer[[#This Row],[Customer ID]],[1]!Address[ID],[1]!Address[Subtype])</f>
        <v>PETRONAS</v>
      </c>
      <c r="AC303" s="18" t="str">
        <f>_xlfn.XLOOKUP(Customer[[#This Row],[Customer ID]],[1]!Address[ID],[1]!Address[Zone])</f>
        <v>SOUTH</v>
      </c>
    </row>
    <row r="304" spans="1:29" x14ac:dyDescent="0.3">
      <c r="A304" s="10" t="s">
        <v>2249</v>
      </c>
      <c r="B304" s="11" t="str">
        <f>_xlfn.XLOOKUP(Customer[[#This Row],[Customer ID]],[1]!Name[ID],[1]!Name[Description(1)])</f>
        <v>KENG CHEE TAT</v>
      </c>
      <c r="C304" s="11" t="str">
        <f>_xlfn.XLOOKUP(Customer[[#This Row],[Customer ID]],[1]!Name[ID],[1]!Name[Description(2)])</f>
        <v>PS JALAN PERUSAHAAN</v>
      </c>
      <c r="D304" s="11" t="str">
        <f>_xlfn.XLOOKUP(Customer[[#This Row],[Customer ID]],[1]!Address[ID],[1]!Address[PIC])</f>
        <v/>
      </c>
      <c r="E304" s="11" t="str">
        <f>_xlfn.XLOOKUP(Customer[[#This Row],[Customer ID]],[1]!Address[ID],[1]!Address[Full Address])</f>
        <v>PS JALAN PERUSAHAAN1800, JALAN PERUSAHAAN, BUKIT TENGAH,PRAI (AUTOCITY), PULAU PINANG, 13600SEBERANG PERAI TENGAH, PULAU PINANG</v>
      </c>
      <c r="F304" s="12" t="s">
        <v>2250</v>
      </c>
      <c r="G304" s="12" t="s">
        <v>2251</v>
      </c>
      <c r="H304" s="12" t="s">
        <v>2252</v>
      </c>
      <c r="I304" s="12" t="b">
        <f>ISNUMBER(VALUE(LEFT(Customer[[#This Row],[Address Line 3 (30 char)]],1)))</f>
        <v>0</v>
      </c>
      <c r="J304" s="12" t="s">
        <v>179</v>
      </c>
      <c r="K304" s="12">
        <v>13600</v>
      </c>
      <c r="L304" s="12" t="s">
        <v>35</v>
      </c>
      <c r="M304" s="13" t="e">
        <v>#N/A</v>
      </c>
      <c r="N304" s="14" t="e">
        <v>#N/A</v>
      </c>
      <c r="O304" s="14" t="e">
        <v>#N/A</v>
      </c>
      <c r="P304" s="14" t="e">
        <v>#N/A</v>
      </c>
      <c r="Q304" s="19" t="s">
        <v>2253</v>
      </c>
      <c r="R304" s="15" t="s">
        <v>2254</v>
      </c>
      <c r="S304" s="15" t="s">
        <v>74</v>
      </c>
      <c r="T304" s="16" t="s">
        <v>38</v>
      </c>
      <c r="U304" s="11" t="str">
        <f>_xlfn.XLOOKUP(Customer[[#This Row],[Customer ID]],[1]!Address[ID],[1]!Address[Phone No.(2)])</f>
        <v/>
      </c>
      <c r="V304" s="11" t="str">
        <f>_xlfn.XLOOKUP(Customer[[#This Row],[Customer ID]],[1]!Address[ID],[1]!Address[Type])</f>
        <v>PETROMART</v>
      </c>
      <c r="W304" s="11" t="str">
        <f>_xlfn.XLOOKUP(Customer[[#This Row],[Customer ID]],[1]!Address[ID],[1]!Address[CT])</f>
        <v>30 DAYS</v>
      </c>
      <c r="X304" s="11" t="s">
        <v>39</v>
      </c>
      <c r="Y304" s="17" t="s">
        <v>40</v>
      </c>
      <c r="Z304" s="17" t="e">
        <f>_xlfn.XLOOKUP(Customer[[#This Row],[NewType]],$AF$36:$AF$54,$AG$36:$AG$54)</f>
        <v>#N/A</v>
      </c>
      <c r="AA304" s="17" t="s">
        <v>2255</v>
      </c>
      <c r="AB304" s="11" t="str">
        <f>_xlfn.XLOOKUP(Customer[[#This Row],[Customer ID]],[1]!Address[ID],[1]!Address[Subtype])</f>
        <v>PETRONAS</v>
      </c>
      <c r="AC304" s="18" t="str">
        <f>_xlfn.XLOOKUP(Customer[[#This Row],[Customer ID]],[1]!Address[ID],[1]!Address[Zone])</f>
        <v>NORTH</v>
      </c>
    </row>
    <row r="305" spans="1:29" x14ac:dyDescent="0.3">
      <c r="A305" s="10" t="s">
        <v>2256</v>
      </c>
      <c r="B305" s="11" t="str">
        <f>_xlfn.XLOOKUP(Customer[[#This Row],[Customer ID]],[1]!Name[ID],[1]!Name[Description(1)])</f>
        <v>ZHZ NIAGA</v>
      </c>
      <c r="C305" s="11" t="str">
        <f>_xlfn.XLOOKUP(Customer[[#This Row],[Customer ID]],[1]!Name[ID],[1]!Name[Description(2)])</f>
        <v>PS JALAN SALLEH 2 / KM 4 JALAN SALLEH</v>
      </c>
      <c r="D305" s="11" t="str">
        <f>_xlfn.XLOOKUP(Customer[[#This Row],[Customer ID]],[1]!Address[ID],[1]!Address[PIC])</f>
        <v/>
      </c>
      <c r="E305" s="11" t="str">
        <f>_xlfn.XLOOKUP(Customer[[#This Row],[Customer ID]],[1]!Address[ID],[1]!Address[Full Address])</f>
        <v>PS JALAN SALLEH 2 / KM 4 JALAN SALLEHLOT 1311 GM 3713,JALAN SALLEH, MUKIM BANDAR MUARJOHOR, 84000, MUAR, JOHOR</v>
      </c>
      <c r="F305" s="12" t="s">
        <v>2257</v>
      </c>
      <c r="G305" s="12" t="s">
        <v>2258</v>
      </c>
      <c r="H305" s="12" t="s">
        <v>2259</v>
      </c>
      <c r="I305" s="12" t="b">
        <f>ISNUMBER(VALUE(LEFT(Customer[[#This Row],[Address Line 3 (30 char)]],1)))</f>
        <v>0</v>
      </c>
      <c r="J305" s="12" t="s">
        <v>52</v>
      </c>
      <c r="K305" s="12">
        <v>84000</v>
      </c>
      <c r="L305" s="12" t="s">
        <v>35</v>
      </c>
      <c r="M305" s="13" t="e">
        <v>#N/A</v>
      </c>
      <c r="N305" s="14" t="e">
        <v>#N/A</v>
      </c>
      <c r="O305" s="14" t="e">
        <v>#N/A</v>
      </c>
      <c r="P305" s="14" t="e">
        <v>#N/A</v>
      </c>
      <c r="Q305" s="19" t="s">
        <v>2260</v>
      </c>
      <c r="R305" s="15" t="s">
        <v>2261</v>
      </c>
      <c r="S305" s="15" t="s">
        <v>37</v>
      </c>
      <c r="T305" s="16" t="s">
        <v>38</v>
      </c>
      <c r="U305" s="11" t="str">
        <f>_xlfn.XLOOKUP(Customer[[#This Row],[Customer ID]],[1]!Address[ID],[1]!Address[Phone No.(2)])</f>
        <v/>
      </c>
      <c r="V305" s="11" t="str">
        <f>_xlfn.XLOOKUP(Customer[[#This Row],[Customer ID]],[1]!Address[ID],[1]!Address[Type])</f>
        <v>PETROMART</v>
      </c>
      <c r="W305" s="11" t="str">
        <f>_xlfn.XLOOKUP(Customer[[#This Row],[Customer ID]],[1]!Address[ID],[1]!Address[CT])</f>
        <v>30 DAYS</v>
      </c>
      <c r="X305" s="11" t="s">
        <v>39</v>
      </c>
      <c r="Y305" s="17" t="s">
        <v>40</v>
      </c>
      <c r="Z305" s="17" t="e">
        <f>_xlfn.XLOOKUP(Customer[[#This Row],[NewType]],$AF$36:$AF$54,$AG$36:$AG$54)</f>
        <v>#N/A</v>
      </c>
      <c r="AA305" s="17" t="s">
        <v>2262</v>
      </c>
      <c r="AB305" s="11" t="str">
        <f>_xlfn.XLOOKUP(Customer[[#This Row],[Customer ID]],[1]!Address[ID],[1]!Address[Subtype])</f>
        <v>PETRONAS</v>
      </c>
      <c r="AC305" s="18" t="str">
        <f>_xlfn.XLOOKUP(Customer[[#This Row],[Customer ID]],[1]!Address[ID],[1]!Address[Zone])</f>
        <v>SOUTH</v>
      </c>
    </row>
    <row r="306" spans="1:29" x14ac:dyDescent="0.3">
      <c r="A306" s="27" t="s">
        <v>2263</v>
      </c>
      <c r="B306" s="28" t="str">
        <f>_xlfn.XLOOKUP(Customer[[#This Row],[Customer ID]],[1]!Name[ID],[1]!Name[Description(1)])</f>
        <v>DAARUL IHSAN ENTERPRISE</v>
      </c>
      <c r="C306" s="11" t="str">
        <f>_xlfn.XLOOKUP(Customer[[#This Row],[Customer ID]],[1]!Name[ID],[1]!Name[Description(2)])</f>
        <v>PS JALAN SEGAMBUT</v>
      </c>
      <c r="D306" s="11" t="str">
        <f>_xlfn.XLOOKUP(Customer[[#This Row],[Customer ID]],[1]!Address[ID],[1]!Address[PIC])</f>
        <v>Sharazi Ismail</v>
      </c>
      <c r="E306" s="11" t="str">
        <f>_xlfn.XLOOKUP(Customer[[#This Row],[Customer ID]],[1]!Address[ID],[1]!Address[Full Address])</f>
        <v>PS JALAN SEGAMBUTLOT 9524, JALAN SEGAMBUT, SEGAMBUT,KUALA LUMPUR, 52000, WILAYAHPERSEKUTUAN KUALA LUMPUR,</v>
      </c>
      <c r="F306" s="12" t="s">
        <v>2264</v>
      </c>
      <c r="G306" s="12" t="s">
        <v>2265</v>
      </c>
      <c r="H306" s="12" t="s">
        <v>2266</v>
      </c>
      <c r="I306" s="12" t="b">
        <f>ISNUMBER(VALUE(LEFT(Customer[[#This Row],[Address Line 3 (30 char)]],1)))</f>
        <v>0</v>
      </c>
      <c r="J306" s="29" t="s">
        <v>34</v>
      </c>
      <c r="K306" s="12">
        <v>52000</v>
      </c>
      <c r="L306" s="12" t="s">
        <v>35</v>
      </c>
      <c r="M306" s="13">
        <v>200603160733</v>
      </c>
      <c r="N306" s="14" t="s">
        <v>2267</v>
      </c>
      <c r="O306" s="14" t="e">
        <v>#N/A</v>
      </c>
      <c r="P306" s="14" t="e">
        <v>#N/A</v>
      </c>
      <c r="Q306" s="19" t="s">
        <v>2268</v>
      </c>
      <c r="R306" s="15" t="s">
        <v>2269</v>
      </c>
      <c r="S306" s="15" t="s">
        <v>37</v>
      </c>
      <c r="T306" s="16" t="s">
        <v>38</v>
      </c>
      <c r="U306" s="11" t="str">
        <f>_xlfn.XLOOKUP(Customer[[#This Row],[Customer ID]],[1]!Address[ID],[1]!Address[Phone No.(2)])</f>
        <v/>
      </c>
      <c r="V306" s="11" t="str">
        <f>_xlfn.XLOOKUP(Customer[[#This Row],[Customer ID]],[1]!Address[ID],[1]!Address[Type])</f>
        <v>PETROMART</v>
      </c>
      <c r="W306" s="11" t="str">
        <f>_xlfn.XLOOKUP(Customer[[#This Row],[Customer ID]],[1]!Address[ID],[1]!Address[CT])</f>
        <v>30 DAYS</v>
      </c>
      <c r="X306" s="11" t="s">
        <v>39</v>
      </c>
      <c r="Y306" s="17" t="s">
        <v>40</v>
      </c>
      <c r="Z306" s="17" t="e">
        <f>_xlfn.XLOOKUP(Customer[[#This Row],[NewType]],$AF$36:$AF$54,$AG$36:$AG$54)</f>
        <v>#N/A</v>
      </c>
      <c r="AA306" s="17" t="s">
        <v>2270</v>
      </c>
      <c r="AB306" s="11" t="str">
        <f>_xlfn.XLOOKUP(Customer[[#This Row],[Customer ID]],[1]!Address[ID],[1]!Address[Subtype])</f>
        <v>PETRONAS</v>
      </c>
      <c r="AC306" s="18" t="str">
        <f>_xlfn.XLOOKUP(Customer[[#This Row],[Customer ID]],[1]!Address[ID],[1]!Address[Zone])</f>
        <v>CENTRAL</v>
      </c>
    </row>
    <row r="307" spans="1:29" x14ac:dyDescent="0.3">
      <c r="A307" s="10" t="s">
        <v>2271</v>
      </c>
      <c r="B307" s="11" t="str">
        <f>_xlfn.XLOOKUP(Customer[[#This Row],[Customer ID]],[1]!Name[ID],[1]!Name[Description(1)])</f>
        <v>TRILLION RIZQ EMPIRE</v>
      </c>
      <c r="C307" s="11" t="str">
        <f>_xlfn.XLOOKUP(Customer[[#This Row],[Customer ID]],[1]!Name[ID],[1]!Name[Description(2)])</f>
        <v>PS JALAN SELANGOR.</v>
      </c>
      <c r="D307" s="11" t="str">
        <f>_xlfn.XLOOKUP(Customer[[#This Row],[Customer ID]],[1]!Address[ID],[1]!Address[PIC])</f>
        <v/>
      </c>
      <c r="E307" s="11" t="str">
        <f>_xlfn.XLOOKUP(Customer[[#This Row],[Customer ID]],[1]!Address[ID],[1]!Address[Full Address])</f>
        <v>PS JALAN SELANGOR.LOT 15, JALAN SELANGOR,PETALING, 46000, PETALING, SELANGOR</v>
      </c>
      <c r="F307" s="12" t="s">
        <v>2272</v>
      </c>
      <c r="G307" s="12" t="s">
        <v>2273</v>
      </c>
      <c r="H307" s="12" t="s">
        <v>2274</v>
      </c>
      <c r="I307" s="12" t="b">
        <f>ISNUMBER(VALUE(LEFT(Customer[[#This Row],[Address Line 3 (30 char)]],1)))</f>
        <v>0</v>
      </c>
      <c r="J307" s="12" t="s">
        <v>172</v>
      </c>
      <c r="K307" s="12">
        <v>46000</v>
      </c>
      <c r="L307" s="12" t="s">
        <v>35</v>
      </c>
      <c r="M307" s="13" t="e">
        <v>#N/A</v>
      </c>
      <c r="N307" s="14" t="e">
        <v>#N/A</v>
      </c>
      <c r="O307" s="14" t="e">
        <v>#N/A</v>
      </c>
      <c r="P307" s="14" t="e">
        <v>#N/A</v>
      </c>
      <c r="Q307" s="19" t="s">
        <v>2275</v>
      </c>
      <c r="R307" s="15" t="s">
        <v>2276</v>
      </c>
      <c r="S307" s="15" t="s">
        <v>65</v>
      </c>
      <c r="T307" s="16" t="s">
        <v>38</v>
      </c>
      <c r="U307" s="11" t="str">
        <f>_xlfn.XLOOKUP(Customer[[#This Row],[Customer ID]],[1]!Address[ID],[1]!Address[Phone No.(2)])</f>
        <v/>
      </c>
      <c r="V307" s="11" t="str">
        <f>_xlfn.XLOOKUP(Customer[[#This Row],[Customer ID]],[1]!Address[ID],[1]!Address[Type])</f>
        <v>PETROMART</v>
      </c>
      <c r="W307" s="11" t="str">
        <f>_xlfn.XLOOKUP(Customer[[#This Row],[Customer ID]],[1]!Address[ID],[1]!Address[CT])</f>
        <v>30 DAYS</v>
      </c>
      <c r="X307" s="11" t="s">
        <v>39</v>
      </c>
      <c r="Y307" s="17" t="s">
        <v>40</v>
      </c>
      <c r="Z307" s="17" t="e">
        <f>_xlfn.XLOOKUP(Customer[[#This Row],[NewType]],$AF$36:$AF$54,$AG$36:$AG$54)</f>
        <v>#N/A</v>
      </c>
      <c r="AA307" s="17" t="s">
        <v>2277</v>
      </c>
      <c r="AB307" s="11" t="str">
        <f>_xlfn.XLOOKUP(Customer[[#This Row],[Customer ID]],[1]!Address[ID],[1]!Address[Subtype])</f>
        <v>PETRONAS</v>
      </c>
      <c r="AC307" s="18" t="str">
        <f>_xlfn.XLOOKUP(Customer[[#This Row],[Customer ID]],[1]!Address[ID],[1]!Address[Zone])</f>
        <v>CENTRAL</v>
      </c>
    </row>
    <row r="308" spans="1:29" x14ac:dyDescent="0.3">
      <c r="A308" s="10" t="s">
        <v>2278</v>
      </c>
      <c r="B308" s="11" t="str">
        <f>_xlfn.XLOOKUP(Customer[[#This Row],[Customer ID]],[1]!Name[ID],[1]!Name[Description(1)])</f>
        <v>DMS STATION ENTERPRISE</v>
      </c>
      <c r="C308" s="11" t="str">
        <f>_xlfn.XLOOKUP(Customer[[#This Row],[Customer ID]],[1]!Name[ID],[1]!Name[Description(2)])</f>
        <v>PS JALAN SEMAMBU</v>
      </c>
      <c r="D308" s="11" t="str">
        <f>_xlfn.XLOOKUP(Customer[[#This Row],[Customer ID]],[1]!Address[ID],[1]!Address[PIC])</f>
        <v/>
      </c>
      <c r="E308" s="11" t="str">
        <f>_xlfn.XLOOKUP(Customer[[#This Row],[Customer ID]],[1]!Address[ID],[1]!Address[Full Address])</f>
        <v>PS JALAN SEMAMBULOT 29025, MUKIM KUALA KUANTAN,JALAN SEMAMBU, , 25250, KUANTAN, PAHANG</v>
      </c>
      <c r="F308" s="12" t="s">
        <v>2279</v>
      </c>
      <c r="G308" s="12" t="s">
        <v>2280</v>
      </c>
      <c r="H308" s="12" t="s">
        <v>2281</v>
      </c>
      <c r="I308" s="12" t="b">
        <f>ISNUMBER(VALUE(LEFT(Customer[[#This Row],[Address Line 3 (30 char)]],1)))</f>
        <v>0</v>
      </c>
      <c r="J308" s="12" t="s">
        <v>339</v>
      </c>
      <c r="K308" s="12">
        <v>25250</v>
      </c>
      <c r="L308" s="12" t="s">
        <v>35</v>
      </c>
      <c r="M308" s="13" t="e">
        <v>#N/A</v>
      </c>
      <c r="N308" s="14" t="e">
        <v>#N/A</v>
      </c>
      <c r="O308" s="14" t="e">
        <v>#N/A</v>
      </c>
      <c r="P308" s="14" t="e">
        <v>#N/A</v>
      </c>
      <c r="Q308" s="19" t="s">
        <v>2282</v>
      </c>
      <c r="R308" s="15" t="s">
        <v>2283</v>
      </c>
      <c r="S308" s="15" t="s">
        <v>37</v>
      </c>
      <c r="T308" s="16" t="s">
        <v>38</v>
      </c>
      <c r="U308" s="11" t="str">
        <f>_xlfn.XLOOKUP(Customer[[#This Row],[Customer ID]],[1]!Address[ID],[1]!Address[Phone No.(2)])</f>
        <v/>
      </c>
      <c r="V308" s="11" t="str">
        <f>_xlfn.XLOOKUP(Customer[[#This Row],[Customer ID]],[1]!Address[ID],[1]!Address[Type])</f>
        <v>PETROMART</v>
      </c>
      <c r="W308" s="11" t="str">
        <f>_xlfn.XLOOKUP(Customer[[#This Row],[Customer ID]],[1]!Address[ID],[1]!Address[CT])</f>
        <v>30 DAYS</v>
      </c>
      <c r="X308" s="11" t="s">
        <v>39</v>
      </c>
      <c r="Y308" s="17" t="s">
        <v>40</v>
      </c>
      <c r="Z308" s="17" t="e">
        <f>_xlfn.XLOOKUP(Customer[[#This Row],[NewType]],$AF$36:$AF$54,$AG$36:$AG$54)</f>
        <v>#N/A</v>
      </c>
      <c r="AA308" s="17" t="s">
        <v>2284</v>
      </c>
      <c r="AB308" s="11" t="str">
        <f>_xlfn.XLOOKUP(Customer[[#This Row],[Customer ID]],[1]!Address[ID],[1]!Address[Subtype])</f>
        <v>PETRONAS</v>
      </c>
      <c r="AC308" s="18" t="str">
        <f>_xlfn.XLOOKUP(Customer[[#This Row],[Customer ID]],[1]!Address[ID],[1]!Address[Zone])</f>
        <v>EAST COAST</v>
      </c>
    </row>
    <row r="309" spans="1:29" x14ac:dyDescent="0.3">
      <c r="A309" s="10" t="s">
        <v>2285</v>
      </c>
      <c r="B309" s="11" t="str">
        <f>_xlfn.XLOOKUP(Customer[[#This Row],[Customer ID]],[1]!Name[ID],[1]!Name[Description(1)])</f>
        <v>VND PREMIER ENTERPRISE</v>
      </c>
      <c r="C309" s="11" t="str">
        <f>_xlfn.XLOOKUP(Customer[[#This Row],[Customer ID]],[1]!Name[ID],[1]!Name[Description(2)])</f>
        <v>PS JALAN SEMENYIH</v>
      </c>
      <c r="D309" s="11" t="str">
        <f>_xlfn.XLOOKUP(Customer[[#This Row],[Customer ID]],[1]!Address[ID],[1]!Address[PIC])</f>
        <v/>
      </c>
      <c r="E309" s="11" t="str">
        <f>_xlfn.XLOOKUP(Customer[[#This Row],[Customer ID]],[1]!Address[ID],[1]!Address[Full Address])</f>
        <v>PS JALAN SEMENYIHLOT PT 1536 HS (D) 55329,JALAN SEMENYIH, MUKIM SEMENYIH,SELANGOR, 43000, ULU LANGAT, SELANGOR</v>
      </c>
      <c r="F309" s="12" t="s">
        <v>2286</v>
      </c>
      <c r="G309" s="12" t="s">
        <v>2287</v>
      </c>
      <c r="H309" s="12" t="s">
        <v>862</v>
      </c>
      <c r="I309" s="12" t="b">
        <f>ISNUMBER(VALUE(LEFT(Customer[[#This Row],[Address Line 3 (30 char)]],1)))</f>
        <v>0</v>
      </c>
      <c r="J309" s="12" t="s">
        <v>172</v>
      </c>
      <c r="K309" s="12">
        <v>43000</v>
      </c>
      <c r="L309" s="12" t="s">
        <v>35</v>
      </c>
      <c r="M309" s="13">
        <v>200803043358</v>
      </c>
      <c r="N309" s="14" t="s">
        <v>2288</v>
      </c>
      <c r="O309" s="14" t="s">
        <v>54</v>
      </c>
      <c r="P309" s="14">
        <v>4711</v>
      </c>
      <c r="Q309" s="19" t="s">
        <v>2289</v>
      </c>
      <c r="R309" s="15" t="s">
        <v>2290</v>
      </c>
      <c r="S309" s="15" t="s">
        <v>65</v>
      </c>
      <c r="T309" s="16" t="s">
        <v>38</v>
      </c>
      <c r="U309" s="11" t="str">
        <f>_xlfn.XLOOKUP(Customer[[#This Row],[Customer ID]],[1]!Address[ID],[1]!Address[Phone No.(2)])</f>
        <v/>
      </c>
      <c r="V309" s="11" t="str">
        <f>_xlfn.XLOOKUP(Customer[[#This Row],[Customer ID]],[1]!Address[ID],[1]!Address[Type])</f>
        <v>PETROMART</v>
      </c>
      <c r="W309" s="11" t="str">
        <f>_xlfn.XLOOKUP(Customer[[#This Row],[Customer ID]],[1]!Address[ID],[1]!Address[CT])</f>
        <v>30 DAYS</v>
      </c>
      <c r="X309" s="11" t="s">
        <v>39</v>
      </c>
      <c r="Y309" s="17" t="s">
        <v>40</v>
      </c>
      <c r="Z309" s="17" t="e">
        <f>_xlfn.XLOOKUP(Customer[[#This Row],[NewType]],$AF$36:$AF$54,$AG$36:$AG$54)</f>
        <v>#N/A</v>
      </c>
      <c r="AA309" s="17" t="s">
        <v>2291</v>
      </c>
      <c r="AB309" s="11" t="str">
        <f>_xlfn.XLOOKUP(Customer[[#This Row],[Customer ID]],[1]!Address[ID],[1]!Address[Subtype])</f>
        <v>PETRONAS</v>
      </c>
      <c r="AC309" s="18" t="str">
        <f>_xlfn.XLOOKUP(Customer[[#This Row],[Customer ID]],[1]!Address[ID],[1]!Address[Zone])</f>
        <v>CENTRAL</v>
      </c>
    </row>
    <row r="310" spans="1:29" x14ac:dyDescent="0.3">
      <c r="A310" s="10" t="s">
        <v>2292</v>
      </c>
      <c r="B310" s="11" t="str">
        <f>_xlfn.XLOOKUP(Customer[[#This Row],[Customer ID]],[1]!Name[ID],[1]!Name[Description(1)])</f>
        <v>SENTUL JAYA ENTERPRISE</v>
      </c>
      <c r="C310" s="11" t="str">
        <f>_xlfn.XLOOKUP(Customer[[#This Row],[Customer ID]],[1]!Name[ID],[1]!Name[Description(2)])</f>
        <v>PS JALAN SENTUL</v>
      </c>
      <c r="D310" s="11" t="str">
        <f>_xlfn.XLOOKUP(Customer[[#This Row],[Customer ID]],[1]!Address[ID],[1]!Address[PIC])</f>
        <v/>
      </c>
      <c r="E310" s="11" t="str">
        <f>_xlfn.XLOOKUP(Customer[[#This Row],[Customer ID]],[1]!Address[ID],[1]!Address[Full Address])</f>
        <v>PS JALAN SENTULLOT 788 GM 485, JALAN SENTUL,MUKIM SETAPAK, KUALA LUMPUR,51100, WILAYAH PERSEKUTUAN</v>
      </c>
      <c r="F310" s="12" t="s">
        <v>2293</v>
      </c>
      <c r="G310" s="12" t="s">
        <v>2294</v>
      </c>
      <c r="H310" s="12" t="s">
        <v>2295</v>
      </c>
      <c r="I310" s="12" t="b">
        <f>ISNUMBER(VALUE(LEFT(Customer[[#This Row],[Address Line 3 (30 char)]],1)))</f>
        <v>0</v>
      </c>
      <c r="J310" s="12" t="s">
        <v>34</v>
      </c>
      <c r="K310" s="12">
        <v>51100</v>
      </c>
      <c r="L310" s="12" t="s">
        <v>35</v>
      </c>
      <c r="M310" s="13" t="e">
        <v>#N/A</v>
      </c>
      <c r="N310" s="14" t="e">
        <v>#N/A</v>
      </c>
      <c r="O310" s="14" t="e">
        <v>#N/A</v>
      </c>
      <c r="P310" s="14" t="e">
        <v>#N/A</v>
      </c>
      <c r="Q310" s="19" t="s">
        <v>2296</v>
      </c>
      <c r="R310" s="15" t="s">
        <v>2297</v>
      </c>
      <c r="S310" s="15" t="s">
        <v>37</v>
      </c>
      <c r="T310" s="16" t="s">
        <v>38</v>
      </c>
      <c r="U310" s="11" t="str">
        <f>_xlfn.XLOOKUP(Customer[[#This Row],[Customer ID]],[1]!Address[ID],[1]!Address[Phone No.(2)])</f>
        <v/>
      </c>
      <c r="V310" s="11" t="str">
        <f>_xlfn.XLOOKUP(Customer[[#This Row],[Customer ID]],[1]!Address[ID],[1]!Address[Type])</f>
        <v>PETROMART</v>
      </c>
      <c r="W310" s="11" t="str">
        <f>_xlfn.XLOOKUP(Customer[[#This Row],[Customer ID]],[1]!Address[ID],[1]!Address[CT])</f>
        <v>30 DAYS</v>
      </c>
      <c r="X310" s="11" t="s">
        <v>39</v>
      </c>
      <c r="Y310" s="17" t="s">
        <v>40</v>
      </c>
      <c r="Z310" s="17" t="e">
        <f>_xlfn.XLOOKUP(Customer[[#This Row],[NewType]],$AF$36:$AF$54,$AG$36:$AG$54)</f>
        <v>#N/A</v>
      </c>
      <c r="AA310" s="17" t="s">
        <v>2298</v>
      </c>
      <c r="AB310" s="11" t="str">
        <f>_xlfn.XLOOKUP(Customer[[#This Row],[Customer ID]],[1]!Address[ID],[1]!Address[Subtype])</f>
        <v>PETRONAS</v>
      </c>
      <c r="AC310" s="18" t="str">
        <f>_xlfn.XLOOKUP(Customer[[#This Row],[Customer ID]],[1]!Address[ID],[1]!Address[Zone])</f>
        <v>CENTRAL</v>
      </c>
    </row>
    <row r="311" spans="1:29" x14ac:dyDescent="0.3">
      <c r="A311" s="10" t="s">
        <v>2299</v>
      </c>
      <c r="B311" s="11" t="str">
        <f>_xlfn.XLOOKUP(Customer[[#This Row],[Customer ID]],[1]!Name[ID],[1]!Name[Description(1)])</f>
        <v>SM TERAS KHIDMAT (M) SDN. BHD</v>
      </c>
      <c r="C311" s="11" t="str">
        <f>_xlfn.XLOOKUP(Customer[[#This Row],[Customer ID]],[1]!Name[ID],[1]!Name[Description(2)])</f>
        <v>PS JALAN SEREMBAN-JELEBU</v>
      </c>
      <c r="D311" s="11" t="str">
        <f>_xlfn.XLOOKUP(Customer[[#This Row],[Customer ID]],[1]!Address[ID],[1]!Address[PIC])</f>
        <v/>
      </c>
      <c r="E311" s="11" t="str">
        <f>_xlfn.XLOOKUP(Customer[[#This Row],[Customer ID]],[1]!Address[ID],[1]!Address[Full Address])</f>
        <v>PS JALAN SEREMBAN-JELEBULOT 15003-15008, PT 7931JALAN SEREMBAN- JELEBU70400 SEREMBAN, NEGERI SEMBILAN</v>
      </c>
      <c r="F311" s="12" t="s">
        <v>2300</v>
      </c>
      <c r="G311" s="12" t="s">
        <v>2301</v>
      </c>
      <c r="H311" s="12" t="s">
        <v>2302</v>
      </c>
      <c r="I311" s="12" t="b">
        <f>ISNUMBER(VALUE(LEFT(Customer[[#This Row],[Address Line 3 (30 char)]],1)))</f>
        <v>0</v>
      </c>
      <c r="J311" s="12" t="s">
        <v>203</v>
      </c>
      <c r="K311" s="12">
        <v>70400</v>
      </c>
      <c r="L311" s="12" t="s">
        <v>35</v>
      </c>
      <c r="M311" s="13" t="e">
        <v>#N/A</v>
      </c>
      <c r="N311" s="14" t="e">
        <v>#N/A</v>
      </c>
      <c r="O311" s="14" t="e">
        <v>#N/A</v>
      </c>
      <c r="P311" s="14" t="e">
        <v>#N/A</v>
      </c>
      <c r="Q311" s="19" t="s">
        <v>2303</v>
      </c>
      <c r="R311" s="15" t="s">
        <v>2304</v>
      </c>
      <c r="S311" s="15" t="s">
        <v>37</v>
      </c>
      <c r="T311" s="16" t="s">
        <v>38</v>
      </c>
      <c r="U311" s="11" t="str">
        <f>_xlfn.XLOOKUP(Customer[[#This Row],[Customer ID]],[1]!Address[ID],[1]!Address[Phone No.(2)])</f>
        <v/>
      </c>
      <c r="V311" s="11" t="str">
        <f>_xlfn.XLOOKUP(Customer[[#This Row],[Customer ID]],[1]!Address[ID],[1]!Address[Type])</f>
        <v>PETROMART</v>
      </c>
      <c r="W311" s="11" t="str">
        <f>_xlfn.XLOOKUP(Customer[[#This Row],[Customer ID]],[1]!Address[ID],[1]!Address[CT])</f>
        <v>30 DAYS</v>
      </c>
      <c r="X311" s="11" t="s">
        <v>39</v>
      </c>
      <c r="Y311" s="17" t="s">
        <v>40</v>
      </c>
      <c r="Z311" s="17" t="e">
        <f>_xlfn.XLOOKUP(Customer[[#This Row],[NewType]],$AF$36:$AF$54,$AG$36:$AG$54)</f>
        <v>#N/A</v>
      </c>
      <c r="AA311" s="17" t="s">
        <v>2305</v>
      </c>
      <c r="AB311" s="11" t="str">
        <f>_xlfn.XLOOKUP(Customer[[#This Row],[Customer ID]],[1]!Address[ID],[1]!Address[Subtype])</f>
        <v>PETRONAS</v>
      </c>
      <c r="AC311" s="18" t="str">
        <f>_xlfn.XLOOKUP(Customer[[#This Row],[Customer ID]],[1]!Address[ID],[1]!Address[Zone])</f>
        <v>CENTRAL</v>
      </c>
    </row>
    <row r="312" spans="1:29" x14ac:dyDescent="0.3">
      <c r="A312" s="27" t="s">
        <v>2306</v>
      </c>
      <c r="B312" s="28" t="str">
        <f>_xlfn.XLOOKUP(Customer[[#This Row],[Customer ID]],[1]!Name[ID],[1]!Name[Description(1)])</f>
        <v>ARNA JAYA RESOURCES</v>
      </c>
      <c r="C312" s="11" t="str">
        <f>_xlfn.XLOOKUP(Customer[[#This Row],[Customer ID]],[1]!Name[ID],[1]!Name[Description(2)])</f>
        <v>PS SETAPAK</v>
      </c>
      <c r="D312" s="11" t="str">
        <f>_xlfn.XLOOKUP(Customer[[#This Row],[Customer ID]],[1]!Address[ID],[1]!Address[PIC])</f>
        <v/>
      </c>
      <c r="E312" s="11" t="str">
        <f>_xlfn.XLOOKUP(Customer[[#This Row],[Customer ID]],[1]!Address[ID],[1]!Address[Full Address])</f>
        <v>PS SETAPAKLOT 8945 PN 111, JALAN GENTING KLANG,SETAPAK, KUALA LUMPUR, 53200, WILAYAHPERSEKUTUAN KUALA LUMPUR, W PERSEKUTUAN</v>
      </c>
      <c r="F312" s="12" t="s">
        <v>2307</v>
      </c>
      <c r="G312" s="12" t="s">
        <v>2308</v>
      </c>
      <c r="H312" s="12" t="s">
        <v>2309</v>
      </c>
      <c r="I312" s="12" t="b">
        <f>ISNUMBER(VALUE(LEFT(Customer[[#This Row],[Address Line 3 (30 char)]],1)))</f>
        <v>0</v>
      </c>
      <c r="J312" s="29" t="s">
        <v>34</v>
      </c>
      <c r="K312" s="12">
        <v>53200</v>
      </c>
      <c r="L312" s="12" t="s">
        <v>35</v>
      </c>
      <c r="M312" s="13" t="e">
        <v>#N/A</v>
      </c>
      <c r="N312" s="14" t="e">
        <v>#N/A</v>
      </c>
      <c r="O312" s="14" t="e">
        <v>#N/A</v>
      </c>
      <c r="P312" s="14" t="e">
        <v>#N/A</v>
      </c>
      <c r="Q312" s="19" t="s">
        <v>2310</v>
      </c>
      <c r="R312" s="15" t="s">
        <v>2311</v>
      </c>
      <c r="S312" s="15" t="s">
        <v>37</v>
      </c>
      <c r="T312" s="16" t="s">
        <v>38</v>
      </c>
      <c r="U312" s="11" t="str">
        <f>_xlfn.XLOOKUP(Customer[[#This Row],[Customer ID]],[1]!Address[ID],[1]!Address[Phone No.(2)])</f>
        <v/>
      </c>
      <c r="V312" s="11" t="str">
        <f>_xlfn.XLOOKUP(Customer[[#This Row],[Customer ID]],[1]!Address[ID],[1]!Address[Type])</f>
        <v>PETROMART</v>
      </c>
      <c r="W312" s="11" t="str">
        <f>_xlfn.XLOOKUP(Customer[[#This Row],[Customer ID]],[1]!Address[ID],[1]!Address[CT])</f>
        <v>30 DAYS</v>
      </c>
      <c r="X312" s="11" t="s">
        <v>39</v>
      </c>
      <c r="Y312" s="17" t="s">
        <v>40</v>
      </c>
      <c r="Z312" s="17" t="e">
        <f>_xlfn.XLOOKUP(Customer[[#This Row],[NewType]],$AF$36:$AF$54,$AG$36:$AG$54)</f>
        <v>#N/A</v>
      </c>
      <c r="AA312" s="17" t="s">
        <v>2312</v>
      </c>
      <c r="AB312" s="11" t="str">
        <f>_xlfn.XLOOKUP(Customer[[#This Row],[Customer ID]],[1]!Address[ID],[1]!Address[Subtype])</f>
        <v>PETRONAS</v>
      </c>
      <c r="AC312" s="18" t="str">
        <f>_xlfn.XLOOKUP(Customer[[#This Row],[Customer ID]],[1]!Address[ID],[1]!Address[Zone])</f>
        <v>CENTRAL</v>
      </c>
    </row>
    <row r="313" spans="1:29" x14ac:dyDescent="0.3">
      <c r="A313" s="10" t="s">
        <v>2313</v>
      </c>
      <c r="B313" s="11" t="str">
        <f>_xlfn.XLOOKUP(Customer[[#This Row],[Customer ID]],[1]!Name[ID],[1]!Name[Description(1)])</f>
        <v>STESEN SERVIS ESTARIS</v>
      </c>
      <c r="C313" s="11" t="str">
        <f>_xlfn.XLOOKUP(Customer[[#This Row],[Customer ID]],[1]!Name[ID],[1]!Name[Description(2)])</f>
        <v>PS JALAN SETIA 3</v>
      </c>
      <c r="D313" s="11" t="str">
        <f>_xlfn.XLOOKUP(Customer[[#This Row],[Customer ID]],[1]!Address[ID],[1]!Address[PIC])</f>
        <v/>
      </c>
      <c r="E313" s="11" t="str">
        <f>_xlfn.XLOOKUP(Customer[[#This Row],[Customer ID]],[1]!Address[ID],[1]!Address[Full Address])</f>
        <v>PS JALAN SETIA 3LOT 67930, TAMAN SETIA INDAH,JOHOR, 81100, JOHOR BAHRU, JOHOR</v>
      </c>
      <c r="F313" s="12" t="s">
        <v>2314</v>
      </c>
      <c r="G313" s="12" t="s">
        <v>52</v>
      </c>
      <c r="H313" s="12" t="s">
        <v>1155</v>
      </c>
      <c r="I313" s="12" t="b">
        <f>ISNUMBER(VALUE(LEFT(Customer[[#This Row],[Address Line 3 (30 char)]],1)))</f>
        <v>0</v>
      </c>
      <c r="J313" s="12" t="s">
        <v>52</v>
      </c>
      <c r="K313" s="12">
        <v>81100</v>
      </c>
      <c r="L313" s="12" t="s">
        <v>35</v>
      </c>
      <c r="M313" s="13">
        <v>201203034027</v>
      </c>
      <c r="N313" s="14" t="s">
        <v>2315</v>
      </c>
      <c r="O313" s="14" t="s">
        <v>54</v>
      </c>
      <c r="P313" s="14">
        <v>47300</v>
      </c>
      <c r="Q313" s="19" t="s">
        <v>2316</v>
      </c>
      <c r="R313" s="15" t="s">
        <v>2317</v>
      </c>
      <c r="S313" s="15" t="s">
        <v>37</v>
      </c>
      <c r="T313" s="16" t="s">
        <v>38</v>
      </c>
      <c r="U313" s="11" t="str">
        <f>_xlfn.XLOOKUP(Customer[[#This Row],[Customer ID]],[1]!Address[ID],[1]!Address[Phone No.(2)])</f>
        <v/>
      </c>
      <c r="V313" s="11" t="str">
        <f>_xlfn.XLOOKUP(Customer[[#This Row],[Customer ID]],[1]!Address[ID],[1]!Address[Type])</f>
        <v>PETROMART</v>
      </c>
      <c r="W313" s="11" t="str">
        <f>_xlfn.XLOOKUP(Customer[[#This Row],[Customer ID]],[1]!Address[ID],[1]!Address[CT])</f>
        <v>30 DAYS</v>
      </c>
      <c r="X313" s="11" t="s">
        <v>39</v>
      </c>
      <c r="Y313" s="17" t="s">
        <v>40</v>
      </c>
      <c r="Z313" s="17" t="e">
        <f>_xlfn.XLOOKUP(Customer[[#This Row],[NewType]],$AF$36:$AF$54,$AG$36:$AG$54)</f>
        <v>#N/A</v>
      </c>
      <c r="AA313" s="17" t="s">
        <v>2318</v>
      </c>
      <c r="AB313" s="11" t="str">
        <f>_xlfn.XLOOKUP(Customer[[#This Row],[Customer ID]],[1]!Address[ID],[1]!Address[Subtype])</f>
        <v>PETRONAS</v>
      </c>
      <c r="AC313" s="18" t="str">
        <f>_xlfn.XLOOKUP(Customer[[#This Row],[Customer ID]],[1]!Address[ID],[1]!Address[Zone])</f>
        <v>SOUTH</v>
      </c>
    </row>
    <row r="314" spans="1:29" x14ac:dyDescent="0.3">
      <c r="A314" s="10" t="s">
        <v>2319</v>
      </c>
      <c r="B314" s="11" t="str">
        <f>_xlfn.XLOOKUP(Customer[[#This Row],[Customer ID]],[1]!Name[ID],[1]!Name[Description(1)])</f>
        <v>IBZI SYNERGY SDN BHD</v>
      </c>
      <c r="C314" s="11" t="str">
        <f>_xlfn.XLOOKUP(Customer[[#This Row],[Customer ID]],[1]!Name[ID],[1]!Name[Description(2)])</f>
        <v>PS JALAN STOREY</v>
      </c>
      <c r="D314" s="11" t="str">
        <f>_xlfn.XLOOKUP(Customer[[#This Row],[Customer ID]],[1]!Address[ID],[1]!Address[PIC])</f>
        <v/>
      </c>
      <c r="E314" s="11" t="str">
        <f>_xlfn.XLOOKUP(Customer[[#This Row],[Customer ID]],[1]!Address[ID],[1]!Address[Full Address])</f>
        <v>PS JALAN STOREYLOT 367 JALAN STOREY, BUKIT SENYUM,JOHOR, 80300, JOHOR BAHRU, JOHOR</v>
      </c>
      <c r="F314" s="12" t="s">
        <v>2320</v>
      </c>
      <c r="G314" s="12" t="s">
        <v>2321</v>
      </c>
      <c r="H314" s="12" t="s">
        <v>1155</v>
      </c>
      <c r="I314" s="12" t="b">
        <f>ISNUMBER(VALUE(LEFT(Customer[[#This Row],[Address Line 3 (30 char)]],1)))</f>
        <v>0</v>
      </c>
      <c r="J314" s="12" t="s">
        <v>52</v>
      </c>
      <c r="K314" s="12">
        <v>80300</v>
      </c>
      <c r="L314" s="12" t="s">
        <v>35</v>
      </c>
      <c r="M314" s="13">
        <v>201101029091</v>
      </c>
      <c r="N314" s="14" t="s">
        <v>2322</v>
      </c>
      <c r="O314" s="14" t="s">
        <v>54</v>
      </c>
      <c r="P314" s="14" t="s">
        <v>54</v>
      </c>
      <c r="Q314" s="19" t="s">
        <v>2323</v>
      </c>
      <c r="R314" s="15" t="s">
        <v>2324</v>
      </c>
      <c r="S314" s="15" t="s">
        <v>37</v>
      </c>
      <c r="T314" s="16" t="s">
        <v>38</v>
      </c>
      <c r="U314" s="11" t="str">
        <f>_xlfn.XLOOKUP(Customer[[#This Row],[Customer ID]],[1]!Address[ID],[1]!Address[Phone No.(2)])</f>
        <v/>
      </c>
      <c r="V314" s="11" t="str">
        <f>_xlfn.XLOOKUP(Customer[[#This Row],[Customer ID]],[1]!Address[ID],[1]!Address[Type])</f>
        <v>PETROMART</v>
      </c>
      <c r="W314" s="11" t="str">
        <f>_xlfn.XLOOKUP(Customer[[#This Row],[Customer ID]],[1]!Address[ID],[1]!Address[CT])</f>
        <v>30 DAYS</v>
      </c>
      <c r="X314" s="11" t="s">
        <v>39</v>
      </c>
      <c r="Y314" s="17" t="s">
        <v>40</v>
      </c>
      <c r="Z314" s="17" t="e">
        <f>_xlfn.XLOOKUP(Customer[[#This Row],[NewType]],$AF$36:$AF$54,$AG$36:$AG$54)</f>
        <v>#N/A</v>
      </c>
      <c r="AA314" s="17" t="s">
        <v>2325</v>
      </c>
      <c r="AB314" s="11" t="str">
        <f>_xlfn.XLOOKUP(Customer[[#This Row],[Customer ID]],[1]!Address[ID],[1]!Address[Subtype])</f>
        <v>PETRONAS</v>
      </c>
      <c r="AC314" s="18" t="str">
        <f>_xlfn.XLOOKUP(Customer[[#This Row],[Customer ID]],[1]!Address[ID],[1]!Address[Zone])</f>
        <v>SOUTH</v>
      </c>
    </row>
    <row r="315" spans="1:29" x14ac:dyDescent="0.3">
      <c r="A315" s="10" t="s">
        <v>2326</v>
      </c>
      <c r="B315" s="11" t="str">
        <f>_xlfn.XLOOKUP(Customer[[#This Row],[Customer ID]],[1]!Name[ID],[1]!Name[Description(1)])</f>
        <v>MKA BERKAT LEGACY</v>
      </c>
      <c r="C315" s="11" t="str">
        <f>_xlfn.XLOOKUP(Customer[[#This Row],[Customer ID]],[1]!Name[ID],[1]!Name[Description(2)])</f>
        <v>PS JALAN SULAIMAN, MUAR</v>
      </c>
      <c r="D315" s="11" t="str">
        <f>_xlfn.XLOOKUP(Customer[[#This Row],[Customer ID]],[1]!Address[ID],[1]!Address[PIC])</f>
        <v/>
      </c>
      <c r="E315" s="11" t="str">
        <f>_xlfn.XLOOKUP(Customer[[#This Row],[Customer ID]],[1]!Address[ID],[1]!Address[Full Address])</f>
        <v>PS JALAN SULAIMAN, MUARNO 40, LOT 881, JALAN SULAIMAN, MUAR,84000, MUAR, JOHOR</v>
      </c>
      <c r="F315" s="12" t="s">
        <v>2327</v>
      </c>
      <c r="G315" s="12" t="s">
        <v>2328</v>
      </c>
      <c r="H315" s="12"/>
      <c r="I315" s="12" t="b">
        <f>ISNUMBER(VALUE(LEFT(Customer[[#This Row],[Address Line 3 (30 char)]],1)))</f>
        <v>0</v>
      </c>
      <c r="J315" s="12" t="s">
        <v>52</v>
      </c>
      <c r="K315" s="12">
        <v>84000</v>
      </c>
      <c r="L315" s="12" t="s">
        <v>35</v>
      </c>
      <c r="M315" s="13" t="e">
        <v>#N/A</v>
      </c>
      <c r="N315" s="14" t="e">
        <v>#N/A</v>
      </c>
      <c r="O315" s="14" t="e">
        <v>#N/A</v>
      </c>
      <c r="P315" s="14" t="e">
        <v>#N/A</v>
      </c>
      <c r="Q315" s="19" t="s">
        <v>2329</v>
      </c>
      <c r="R315" s="15" t="s">
        <v>2330</v>
      </c>
      <c r="S315" s="15" t="s">
        <v>37</v>
      </c>
      <c r="T315" s="16" t="s">
        <v>38</v>
      </c>
      <c r="U315" s="11" t="str">
        <f>_xlfn.XLOOKUP(Customer[[#This Row],[Customer ID]],[1]!Address[ID],[1]!Address[Phone No.(2)])</f>
        <v/>
      </c>
      <c r="V315" s="11" t="str">
        <f>_xlfn.XLOOKUP(Customer[[#This Row],[Customer ID]],[1]!Address[ID],[1]!Address[Type])</f>
        <v>PETROMART</v>
      </c>
      <c r="W315" s="11" t="str">
        <f>_xlfn.XLOOKUP(Customer[[#This Row],[Customer ID]],[1]!Address[ID],[1]!Address[CT])</f>
        <v>30 DAYS</v>
      </c>
      <c r="X315" s="11" t="s">
        <v>39</v>
      </c>
      <c r="Y315" s="17" t="s">
        <v>40</v>
      </c>
      <c r="Z315" s="17" t="e">
        <f>_xlfn.XLOOKUP(Customer[[#This Row],[NewType]],$AF$36:$AF$54,$AG$36:$AG$54)</f>
        <v>#N/A</v>
      </c>
      <c r="AA315" s="17" t="s">
        <v>2331</v>
      </c>
      <c r="AB315" s="11" t="str">
        <f>_xlfn.XLOOKUP(Customer[[#This Row],[Customer ID]],[1]!Address[ID],[1]!Address[Subtype])</f>
        <v>PETRONAS</v>
      </c>
      <c r="AC315" s="18" t="str">
        <f>_xlfn.XLOOKUP(Customer[[#This Row],[Customer ID]],[1]!Address[ID],[1]!Address[Zone])</f>
        <v>SOUTH</v>
      </c>
    </row>
    <row r="316" spans="1:29" x14ac:dyDescent="0.3">
      <c r="A316" s="10" t="s">
        <v>2332</v>
      </c>
      <c r="B316" s="11" t="str">
        <f>_xlfn.XLOOKUP(Customer[[#This Row],[Customer ID]],[1]!Name[ID],[1]!Name[Description(1)])</f>
        <v>MAZA MESRA ENTERPRISE</v>
      </c>
      <c r="C316" s="11" t="str">
        <f>_xlfn.XLOOKUP(Customer[[#This Row],[Customer ID]],[1]!Name[ID],[1]!Name[Description(2)])</f>
        <v>PS JALAN SULTANAH SAMBONGAN, A. SETAR</v>
      </c>
      <c r="D316" s="11" t="str">
        <f>_xlfn.XLOOKUP(Customer[[#This Row],[Customer ID]],[1]!Address[ID],[1]!Address[PIC])</f>
        <v/>
      </c>
      <c r="E316" s="11" t="str">
        <f>_xlfn.XLOOKUP(Customer[[#This Row],[Customer ID]],[1]!Address[ID],[1]!Address[Full Address])</f>
        <v>PS JALAN SULTANAH SAMBONGAN, A. SETARLOT 1141, JALAN SULTANAH TAMBAHAN,05350 ALOR SETAR,KEDAH</v>
      </c>
      <c r="F316" s="12" t="s">
        <v>2333</v>
      </c>
      <c r="G316" s="12" t="s">
        <v>2334</v>
      </c>
      <c r="H316" s="12" t="s">
        <v>2335</v>
      </c>
      <c r="I316" s="12" t="b">
        <f>ISNUMBER(VALUE(LEFT(Customer[[#This Row],[Address Line 3 (30 char)]],1)))</f>
        <v>0</v>
      </c>
      <c r="J316" s="12" t="s">
        <v>355</v>
      </c>
      <c r="K316" s="20" t="s">
        <v>2336</v>
      </c>
      <c r="L316" s="12" t="s">
        <v>35</v>
      </c>
      <c r="M316" s="13" t="e">
        <v>#N/A</v>
      </c>
      <c r="N316" s="14" t="e">
        <v>#N/A</v>
      </c>
      <c r="O316" s="14" t="e">
        <v>#N/A</v>
      </c>
      <c r="P316" s="14" t="e">
        <v>#N/A</v>
      </c>
      <c r="Q316" s="19" t="s">
        <v>2337</v>
      </c>
      <c r="R316" s="15" t="s">
        <v>2338</v>
      </c>
      <c r="S316" s="15" t="s">
        <v>74</v>
      </c>
      <c r="T316" s="16" t="s">
        <v>38</v>
      </c>
      <c r="U316" s="11" t="str">
        <f>_xlfn.XLOOKUP(Customer[[#This Row],[Customer ID]],[1]!Address[ID],[1]!Address[Phone No.(2)])</f>
        <v/>
      </c>
      <c r="V316" s="11" t="str">
        <f>_xlfn.XLOOKUP(Customer[[#This Row],[Customer ID]],[1]!Address[ID],[1]!Address[Type])</f>
        <v>PETROMART</v>
      </c>
      <c r="W316" s="11" t="str">
        <f>_xlfn.XLOOKUP(Customer[[#This Row],[Customer ID]],[1]!Address[ID],[1]!Address[CT])</f>
        <v>30 DAYS</v>
      </c>
      <c r="X316" s="11" t="s">
        <v>39</v>
      </c>
      <c r="Y316" s="17" t="s">
        <v>40</v>
      </c>
      <c r="Z316" s="17" t="e">
        <f>_xlfn.XLOOKUP(Customer[[#This Row],[NewType]],$AF$36:$AF$54,$AG$36:$AG$54)</f>
        <v>#N/A</v>
      </c>
      <c r="AA316" s="17" t="s">
        <v>2339</v>
      </c>
      <c r="AB316" s="11" t="str">
        <f>_xlfn.XLOOKUP(Customer[[#This Row],[Customer ID]],[1]!Address[ID],[1]!Address[Subtype])</f>
        <v>PETRONAS</v>
      </c>
      <c r="AC316" s="18" t="str">
        <f>_xlfn.XLOOKUP(Customer[[#This Row],[Customer ID]],[1]!Address[ID],[1]!Address[Zone])</f>
        <v>NORTH</v>
      </c>
    </row>
    <row r="317" spans="1:29" x14ac:dyDescent="0.3">
      <c r="A317" s="10" t="s">
        <v>2340</v>
      </c>
      <c r="B317" s="11" t="str">
        <f>_xlfn.XLOOKUP(Customer[[#This Row],[Customer ID]],[1]!Name[ID],[1]!Name[Description(1)])</f>
        <v>KOPERASI MUBY BAKTI GROUP KELANTAN BERHA</v>
      </c>
      <c r="C317" s="11" t="str">
        <f>_xlfn.XLOOKUP(Customer[[#This Row],[Customer ID]],[1]!Name[ID],[1]!Name[Description(2)])</f>
        <v>PS JALAN SULTANAH ZAINAB</v>
      </c>
      <c r="D317" s="11" t="str">
        <f>_xlfn.XLOOKUP(Customer[[#This Row],[Customer ID]],[1]!Address[ID],[1]!Address[PIC])</f>
        <v/>
      </c>
      <c r="E317" s="11" t="str">
        <f>_xlfn.XLOOKUP(Customer[[#This Row],[Customer ID]],[1]!Address[ID],[1]!Address[Full Address])</f>
        <v>PS JALAN SULTANAH ZAINABLOT PT 98, SEKSYEN 15, JALAN SULTANAHZAINAB, 15000 KOTA BHARU, KELANTAN</v>
      </c>
      <c r="F317" s="12" t="s">
        <v>2341</v>
      </c>
      <c r="G317" s="12" t="s">
        <v>2342</v>
      </c>
      <c r="H317" s="12" t="s">
        <v>2343</v>
      </c>
      <c r="I317" s="12" t="b">
        <f>ISNUMBER(VALUE(LEFT(Customer[[#This Row],[Address Line 3 (30 char)]],1)))</f>
        <v>0</v>
      </c>
      <c r="J317" s="12" t="s">
        <v>1007</v>
      </c>
      <c r="K317" s="12">
        <v>15000</v>
      </c>
      <c r="L317" s="12" t="s">
        <v>35</v>
      </c>
      <c r="M317" s="13" t="e">
        <v>#N/A</v>
      </c>
      <c r="N317" s="14" t="e">
        <v>#N/A</v>
      </c>
      <c r="O317" s="14" t="e">
        <v>#N/A</v>
      </c>
      <c r="P317" s="14" t="e">
        <v>#N/A</v>
      </c>
      <c r="Q317" s="19" t="s">
        <v>2344</v>
      </c>
      <c r="R317" s="15" t="s">
        <v>2345</v>
      </c>
      <c r="S317" s="15" t="s">
        <v>37</v>
      </c>
      <c r="T317" s="16" t="s">
        <v>38</v>
      </c>
      <c r="U317" s="11" t="str">
        <f>_xlfn.XLOOKUP(Customer[[#This Row],[Customer ID]],[1]!Address[ID],[1]!Address[Phone No.(2)])</f>
        <v/>
      </c>
      <c r="V317" s="11" t="str">
        <f>_xlfn.XLOOKUP(Customer[[#This Row],[Customer ID]],[1]!Address[ID],[1]!Address[Type])</f>
        <v>PETROMART</v>
      </c>
      <c r="W317" s="11" t="str">
        <f>_xlfn.XLOOKUP(Customer[[#This Row],[Customer ID]],[1]!Address[ID],[1]!Address[CT])</f>
        <v>30 DAYS</v>
      </c>
      <c r="X317" s="11" t="s">
        <v>39</v>
      </c>
      <c r="Y317" s="17" t="s">
        <v>40</v>
      </c>
      <c r="Z317" s="17" t="e">
        <f>_xlfn.XLOOKUP(Customer[[#This Row],[NewType]],$AF$36:$AF$54,$AG$36:$AG$54)</f>
        <v>#N/A</v>
      </c>
      <c r="AA317" s="17" t="s">
        <v>2346</v>
      </c>
      <c r="AB317" s="11" t="str">
        <f>_xlfn.XLOOKUP(Customer[[#This Row],[Customer ID]],[1]!Address[ID],[1]!Address[Subtype])</f>
        <v>PETRONAS</v>
      </c>
      <c r="AC317" s="18" t="str">
        <f>_xlfn.XLOOKUP(Customer[[#This Row],[Customer ID]],[1]!Address[ID],[1]!Address[Zone])</f>
        <v>EAST COAST</v>
      </c>
    </row>
    <row r="318" spans="1:29" x14ac:dyDescent="0.3">
      <c r="A318" s="10" t="s">
        <v>2347</v>
      </c>
      <c r="B318" s="11" t="str">
        <f>_xlfn.XLOOKUP(Customer[[#This Row],[Customer ID]],[1]!Name[ID],[1]!Name[Description(1)])</f>
        <v>BENSUGEH GROUP SDN. BHD.</v>
      </c>
      <c r="C318" s="11" t="str">
        <f>_xlfn.XLOOKUP(Customer[[#This Row],[Customer ID]],[1]!Name[ID],[1]!Name[Description(2)])</f>
        <v/>
      </c>
      <c r="D318" s="11" t="str">
        <f>_xlfn.XLOOKUP(Customer[[#This Row],[Customer ID]],[1]!Address[ID],[1]!Address[PIC])</f>
        <v/>
      </c>
      <c r="E318" s="11" t="str">
        <f>_xlfn.XLOOKUP(Customer[[#This Row],[Customer ID]],[1]!Address[ID],[1]!Address[Full Address])</f>
        <v>TAMAN TAKIR PERDANA, SEBERANG TAKIR,21300 KUALA NERUS,TERENGGANU</v>
      </c>
      <c r="F318" s="12" t="s">
        <v>2348</v>
      </c>
      <c r="G318" s="12" t="s">
        <v>2349</v>
      </c>
      <c r="H318" s="12" t="s">
        <v>2350</v>
      </c>
      <c r="I318" s="12" t="b">
        <f>ISNUMBER(VALUE(LEFT(Customer[[#This Row],[Address Line 3 (30 char)]],1)))</f>
        <v>0</v>
      </c>
      <c r="J318" s="12" t="s">
        <v>1056</v>
      </c>
      <c r="K318" s="12">
        <v>21300</v>
      </c>
      <c r="L318" s="12" t="s">
        <v>35</v>
      </c>
      <c r="M318" s="13" t="e">
        <v>#N/A</v>
      </c>
      <c r="N318" s="14" t="e">
        <v>#N/A</v>
      </c>
      <c r="O318" s="14" t="e">
        <v>#N/A</v>
      </c>
      <c r="P318" s="14" t="e">
        <v>#N/A</v>
      </c>
      <c r="Q318" s="14" t="e">
        <v>#N/A</v>
      </c>
      <c r="R318" s="15" t="s">
        <v>2351</v>
      </c>
      <c r="S318" s="15" t="s">
        <v>88</v>
      </c>
      <c r="T318" s="16" t="s">
        <v>89</v>
      </c>
      <c r="U318" s="11" t="str">
        <f>_xlfn.XLOOKUP(Customer[[#This Row],[Customer ID]],[1]!Address[ID],[1]!Address[Phone No.(2)])</f>
        <v/>
      </c>
      <c r="V318" s="11" t="str">
        <f>_xlfn.XLOOKUP(Customer[[#This Row],[Customer ID]],[1]!Address[ID],[1]!Address[Type])</f>
        <v>SOCMED</v>
      </c>
      <c r="W318" s="11" t="str">
        <f>_xlfn.XLOOKUP(Customer[[#This Row],[Customer ID]],[1]!Address[ID],[1]!Address[CT])</f>
        <v/>
      </c>
      <c r="X318" s="11"/>
      <c r="Y318" s="17" t="s">
        <v>90</v>
      </c>
      <c r="Z318" s="17" t="e">
        <f>_xlfn.XLOOKUP(Customer[[#This Row],[NewType]],$AF$36:$AF$54,$AG$36:$AG$54)</f>
        <v>#N/A</v>
      </c>
      <c r="AA318" s="17" t="s">
        <v>2352</v>
      </c>
      <c r="AB318" s="11" t="str">
        <f>_xlfn.XLOOKUP(Customer[[#This Row],[Customer ID]],[1]!Address[ID],[1]!Address[Subtype])</f>
        <v>ONLINE ROS</v>
      </c>
      <c r="AC318" s="18" t="str">
        <f>_xlfn.XLOOKUP(Customer[[#This Row],[Customer ID]],[1]!Address[ID],[1]!Address[Zone])</f>
        <v>EAST COAST</v>
      </c>
    </row>
    <row r="319" spans="1:29" x14ac:dyDescent="0.3">
      <c r="A319" s="10" t="s">
        <v>2353</v>
      </c>
      <c r="B319" s="11" t="str">
        <f>_xlfn.XLOOKUP(Customer[[#This Row],[Customer ID]],[1]!Name[ID],[1]!Name[Description(1)])</f>
        <v>AL-KAUTHAR ENTERPRISE</v>
      </c>
      <c r="C319" s="11" t="str">
        <f>_xlfn.XLOOKUP(Customer[[#This Row],[Customer ID]],[1]!Name[ID],[1]!Name[Description(2)])</f>
        <v>PS JALAN SUNGAI JATI</v>
      </c>
      <c r="D319" s="11" t="str">
        <f>_xlfn.XLOOKUP(Customer[[#This Row],[Customer ID]],[1]!Address[ID],[1]!Address[PIC])</f>
        <v/>
      </c>
      <c r="E319" s="11" t="str">
        <f>_xlfn.XLOOKUP(Customer[[#This Row],[Customer ID]],[1]!Address[ID],[1]!Address[Full Address])</f>
        <v>PS JALAN SUNGAI JATILOT 119929, JALAN SUNGAI JATI,MUKIM KLANG, 41000, KLANG, SELANGOR</v>
      </c>
      <c r="F319" s="12" t="s">
        <v>2354</v>
      </c>
      <c r="G319" s="12" t="s">
        <v>2355</v>
      </c>
      <c r="H319" s="12" t="s">
        <v>2356</v>
      </c>
      <c r="I319" s="12" t="b">
        <f>ISNUMBER(VALUE(LEFT(Customer[[#This Row],[Address Line 3 (30 char)]],1)))</f>
        <v>0</v>
      </c>
      <c r="J319" s="12" t="s">
        <v>172</v>
      </c>
      <c r="K319" s="12">
        <v>41000</v>
      </c>
      <c r="L319" s="12" t="s">
        <v>35</v>
      </c>
      <c r="M319" s="13" t="e">
        <v>#N/A</v>
      </c>
      <c r="N319" s="14" t="e">
        <v>#N/A</v>
      </c>
      <c r="O319" s="14" t="e">
        <v>#N/A</v>
      </c>
      <c r="P319" s="14" t="e">
        <v>#N/A</v>
      </c>
      <c r="Q319" s="19" t="s">
        <v>2357</v>
      </c>
      <c r="R319" s="15" t="s">
        <v>2358</v>
      </c>
      <c r="S319" s="15" t="s">
        <v>37</v>
      </c>
      <c r="T319" s="16" t="s">
        <v>38</v>
      </c>
      <c r="U319" s="11" t="str">
        <f>_xlfn.XLOOKUP(Customer[[#This Row],[Customer ID]],[1]!Address[ID],[1]!Address[Phone No.(2)])</f>
        <v/>
      </c>
      <c r="V319" s="11" t="str">
        <f>_xlfn.XLOOKUP(Customer[[#This Row],[Customer ID]],[1]!Address[ID],[1]!Address[Type])</f>
        <v>PETROMART</v>
      </c>
      <c r="W319" s="11" t="str">
        <f>_xlfn.XLOOKUP(Customer[[#This Row],[Customer ID]],[1]!Address[ID],[1]!Address[CT])</f>
        <v>30 DAYS</v>
      </c>
      <c r="X319" s="11" t="s">
        <v>39</v>
      </c>
      <c r="Y319" s="17" t="s">
        <v>40</v>
      </c>
      <c r="Z319" s="17" t="e">
        <f>_xlfn.XLOOKUP(Customer[[#This Row],[NewType]],$AF$36:$AF$54,$AG$36:$AG$54)</f>
        <v>#N/A</v>
      </c>
      <c r="AA319" s="17" t="s">
        <v>2359</v>
      </c>
      <c r="AB319" s="11" t="str">
        <f>_xlfn.XLOOKUP(Customer[[#This Row],[Customer ID]],[1]!Address[ID],[1]!Address[Subtype])</f>
        <v>PETRONAS</v>
      </c>
      <c r="AC319" s="18" t="str">
        <f>_xlfn.XLOOKUP(Customer[[#This Row],[Customer ID]],[1]!Address[ID],[1]!Address[Zone])</f>
        <v>CENTRAL</v>
      </c>
    </row>
    <row r="320" spans="1:29" x14ac:dyDescent="0.3">
      <c r="A320" s="27" t="s">
        <v>2360</v>
      </c>
      <c r="B320" s="28" t="str">
        <f>_xlfn.XLOOKUP(Customer[[#This Row],[Customer ID]],[1]!Name[ID],[1]!Name[Description(1)])</f>
        <v>TUAH S JATI ENTERPRISE</v>
      </c>
      <c r="C320" s="11" t="str">
        <f>_xlfn.XLOOKUP(Customer[[#This Row],[Customer ID]],[1]!Name[ID],[1]!Name[Description(2)])</f>
        <v>PS JALAN SUNGAI JATI ARAH KLANG</v>
      </c>
      <c r="D320" s="11" t="str">
        <f>_xlfn.XLOOKUP(Customer[[#This Row],[Customer ID]],[1]!Address[ID],[1]!Address[PIC])</f>
        <v/>
      </c>
      <c r="E320" s="11" t="str">
        <f>_xlfn.XLOOKUP(Customer[[#This Row],[Customer ID]],[1]!Address[ID],[1]!Address[Full Address])</f>
        <v>PS JALAN SUNGAI JATI ARAH KLANGLOT 2555 GM 944 &amp; LOT 2556 GM 1649, MUKIKLANG, SELANGOR, 41000, KLANG, SELANGOR</v>
      </c>
      <c r="F320" s="12" t="s">
        <v>2361</v>
      </c>
      <c r="G320" s="12" t="s">
        <v>2362</v>
      </c>
      <c r="H320" s="12" t="s">
        <v>2356</v>
      </c>
      <c r="I320" s="12" t="b">
        <f>ISNUMBER(VALUE(LEFT(Customer[[#This Row],[Address Line 3 (30 char)]],1)))</f>
        <v>0</v>
      </c>
      <c r="J320" s="12" t="s">
        <v>172</v>
      </c>
      <c r="K320" s="12">
        <v>41000</v>
      </c>
      <c r="L320" s="12" t="s">
        <v>35</v>
      </c>
      <c r="M320" s="13">
        <v>201203071574</v>
      </c>
      <c r="N320" s="14" t="s">
        <v>2363</v>
      </c>
      <c r="O320" s="14" t="s">
        <v>54</v>
      </c>
      <c r="P320" s="14" t="e">
        <v>#N/A</v>
      </c>
      <c r="Q320" s="19" t="s">
        <v>2364</v>
      </c>
      <c r="R320" s="15" t="s">
        <v>2365</v>
      </c>
      <c r="S320" s="15" t="s">
        <v>37</v>
      </c>
      <c r="T320" s="16" t="s">
        <v>38</v>
      </c>
      <c r="U320" s="11" t="str">
        <f>_xlfn.XLOOKUP(Customer[[#This Row],[Customer ID]],[1]!Address[ID],[1]!Address[Phone No.(2)])</f>
        <v/>
      </c>
      <c r="V320" s="11" t="str">
        <f>_xlfn.XLOOKUP(Customer[[#This Row],[Customer ID]],[1]!Address[ID],[1]!Address[Type])</f>
        <v>PETROMART</v>
      </c>
      <c r="W320" s="11" t="str">
        <f>_xlfn.XLOOKUP(Customer[[#This Row],[Customer ID]],[1]!Address[ID],[1]!Address[CT])</f>
        <v>30 DAYS</v>
      </c>
      <c r="X320" s="11" t="s">
        <v>39</v>
      </c>
      <c r="Y320" s="17" t="s">
        <v>40</v>
      </c>
      <c r="Z320" s="17" t="e">
        <f>_xlfn.XLOOKUP(Customer[[#This Row],[NewType]],$AF$36:$AF$54,$AG$36:$AG$54)</f>
        <v>#N/A</v>
      </c>
      <c r="AA320" s="17" t="s">
        <v>2366</v>
      </c>
      <c r="AB320" s="11" t="str">
        <f>_xlfn.XLOOKUP(Customer[[#This Row],[Customer ID]],[1]!Address[ID],[1]!Address[Subtype])</f>
        <v>PETRONAS</v>
      </c>
      <c r="AC320" s="18" t="str">
        <f>_xlfn.XLOOKUP(Customer[[#This Row],[Customer ID]],[1]!Address[ID],[1]!Address[Zone])</f>
        <v>CENTRAL</v>
      </c>
    </row>
    <row r="321" spans="1:29" x14ac:dyDescent="0.3">
      <c r="A321" s="10" t="s">
        <v>2367</v>
      </c>
      <c r="B321" s="11" t="str">
        <f>_xlfn.XLOOKUP(Customer[[#This Row],[Customer ID]],[1]!Name[ID],[1]!Name[Description(1)])</f>
        <v>AMANIS ENTERPRISE</v>
      </c>
      <c r="C321" s="11" t="str">
        <f>_xlfn.XLOOKUP(Customer[[#This Row],[Customer ID]],[1]!Name[ID],[1]!Name[Description(2)])</f>
        <v>PS JALAN SUNGAI TUA, GOMBAK</v>
      </c>
      <c r="D321" s="11" t="str">
        <f>_xlfn.XLOOKUP(Customer[[#This Row],[Customer ID]],[1]!Address[ID],[1]!Address[PIC])</f>
        <v/>
      </c>
      <c r="E321" s="11" t="str">
        <f>_xlfn.XLOOKUP(Customer[[#This Row],[Customer ID]],[1]!Address[ID],[1]!Address[Full Address])</f>
        <v>PS JALAN SUNGAI TUA, GOMBAKLOT PT 34825, HS (D) 263792 &amp; 93, JALASUNGAI TUA, MUKIM BATU, GOMBAK,SELANGOR, 68100, GOMBAK, SELANGOR</v>
      </c>
      <c r="F321" s="12" t="s">
        <v>2368</v>
      </c>
      <c r="G321" s="12" t="s">
        <v>2369</v>
      </c>
      <c r="H321" s="12" t="s">
        <v>2370</v>
      </c>
      <c r="I321" s="12" t="b">
        <f>ISNUMBER(VALUE(LEFT(Customer[[#This Row],[Address Line 3 (30 char)]],1)))</f>
        <v>0</v>
      </c>
      <c r="J321" s="12" t="s">
        <v>172</v>
      </c>
      <c r="K321" s="12">
        <v>68100</v>
      </c>
      <c r="L321" s="12" t="s">
        <v>35</v>
      </c>
      <c r="M321" s="13" t="e">
        <v>#N/A</v>
      </c>
      <c r="N321" s="14" t="e">
        <v>#N/A</v>
      </c>
      <c r="O321" s="14" t="e">
        <v>#N/A</v>
      </c>
      <c r="P321" s="14" t="e">
        <v>#N/A</v>
      </c>
      <c r="Q321" s="19" t="s">
        <v>2371</v>
      </c>
      <c r="R321" s="15" t="s">
        <v>2372</v>
      </c>
      <c r="S321" s="15" t="s">
        <v>37</v>
      </c>
      <c r="T321" s="16" t="s">
        <v>38</v>
      </c>
      <c r="U321" s="11" t="str">
        <f>_xlfn.XLOOKUP(Customer[[#This Row],[Customer ID]],[1]!Address[ID],[1]!Address[Phone No.(2)])</f>
        <v/>
      </c>
      <c r="V321" s="11" t="str">
        <f>_xlfn.XLOOKUP(Customer[[#This Row],[Customer ID]],[1]!Address[ID],[1]!Address[Type])</f>
        <v>PETROMART</v>
      </c>
      <c r="W321" s="11" t="str">
        <f>_xlfn.XLOOKUP(Customer[[#This Row],[Customer ID]],[1]!Address[ID],[1]!Address[CT])</f>
        <v>30 DAYS</v>
      </c>
      <c r="X321" s="11" t="s">
        <v>39</v>
      </c>
      <c r="Y321" s="17" t="s">
        <v>40</v>
      </c>
      <c r="Z321" s="17" t="e">
        <f>_xlfn.XLOOKUP(Customer[[#This Row],[NewType]],$AF$36:$AF$54,$AG$36:$AG$54)</f>
        <v>#N/A</v>
      </c>
      <c r="AA321" s="17" t="s">
        <v>2373</v>
      </c>
      <c r="AB321" s="11" t="str">
        <f>_xlfn.XLOOKUP(Customer[[#This Row],[Customer ID]],[1]!Address[ID],[1]!Address[Subtype])</f>
        <v>PETRONAS</v>
      </c>
      <c r="AC321" s="18" t="str">
        <f>_xlfn.XLOOKUP(Customer[[#This Row],[Customer ID]],[1]!Address[ID],[1]!Address[Zone])</f>
        <v>CENTRAL</v>
      </c>
    </row>
    <row r="322" spans="1:29" x14ac:dyDescent="0.3">
      <c r="A322" s="10" t="s">
        <v>2374</v>
      </c>
      <c r="B322" s="11" t="str">
        <f>_xlfn.XLOOKUP(Customer[[#This Row],[Customer ID]],[1]!Name[ID],[1]!Name[Description(1)])</f>
        <v>SHAF AUTOCARE</v>
      </c>
      <c r="C322" s="11" t="str">
        <f>_xlfn.XLOOKUP(Customer[[#This Row],[Customer ID]],[1]!Name[ID],[1]!Name[Description(2)])</f>
        <v>PS JALAN SUNGAI UJONG,SEREMBAN</v>
      </c>
      <c r="D322" s="11" t="str">
        <f>_xlfn.XLOOKUP(Customer[[#This Row],[Customer ID]],[1]!Address[ID],[1]!Address[PIC])</f>
        <v/>
      </c>
      <c r="E322" s="11" t="str">
        <f>_xlfn.XLOOKUP(Customer[[#This Row],[Customer ID]],[1]!Address[ID],[1]!Address[Full Address])</f>
        <v>PS JALAN SUNGAI UJONG,SEREMBANLOT 3901,JALAN SUNGAI UJONG,70000SEREMBAN, NEGERI SEMBILAN</v>
      </c>
      <c r="F322" s="12" t="s">
        <v>2375</v>
      </c>
      <c r="G322" s="12" t="s">
        <v>2376</v>
      </c>
      <c r="H322" s="12" t="s">
        <v>2377</v>
      </c>
      <c r="I322" s="12" t="b">
        <f>ISNUMBER(VALUE(LEFT(Customer[[#This Row],[Address Line 3 (30 char)]],1)))</f>
        <v>0</v>
      </c>
      <c r="J322" s="12" t="s">
        <v>203</v>
      </c>
      <c r="K322" s="12">
        <v>70000</v>
      </c>
      <c r="L322" s="12" t="s">
        <v>35</v>
      </c>
      <c r="M322" s="13">
        <v>198803034451</v>
      </c>
      <c r="N322" s="14" t="s">
        <v>2378</v>
      </c>
      <c r="O322" s="14" t="e">
        <v>#N/A</v>
      </c>
      <c r="P322" s="14" t="e">
        <v>#N/A</v>
      </c>
      <c r="Q322" s="19" t="s">
        <v>2379</v>
      </c>
      <c r="R322" s="15" t="s">
        <v>2380</v>
      </c>
      <c r="S322" s="15" t="s">
        <v>37</v>
      </c>
      <c r="T322" s="16" t="s">
        <v>38</v>
      </c>
      <c r="U322" s="11" t="str">
        <f>_xlfn.XLOOKUP(Customer[[#This Row],[Customer ID]],[1]!Address[ID],[1]!Address[Phone No.(2)])</f>
        <v/>
      </c>
      <c r="V322" s="11" t="str">
        <f>_xlfn.XLOOKUP(Customer[[#This Row],[Customer ID]],[1]!Address[ID],[1]!Address[Type])</f>
        <v>PETROMART</v>
      </c>
      <c r="W322" s="11" t="str">
        <f>_xlfn.XLOOKUP(Customer[[#This Row],[Customer ID]],[1]!Address[ID],[1]!Address[CT])</f>
        <v>30 DAYS</v>
      </c>
      <c r="X322" s="11" t="s">
        <v>39</v>
      </c>
      <c r="Y322" s="17" t="s">
        <v>40</v>
      </c>
      <c r="Z322" s="17" t="e">
        <f>_xlfn.XLOOKUP(Customer[[#This Row],[NewType]],$AF$36:$AF$54,$AG$36:$AG$54)</f>
        <v>#N/A</v>
      </c>
      <c r="AA322" s="17" t="s">
        <v>2381</v>
      </c>
      <c r="AB322" s="11" t="str">
        <f>_xlfn.XLOOKUP(Customer[[#This Row],[Customer ID]],[1]!Address[ID],[1]!Address[Subtype])</f>
        <v>PETRONAS</v>
      </c>
      <c r="AC322" s="18" t="str">
        <f>_xlfn.XLOOKUP(Customer[[#This Row],[Customer ID]],[1]!Address[ID],[1]!Address[Zone])</f>
        <v>CENTRAL</v>
      </c>
    </row>
    <row r="323" spans="1:29" x14ac:dyDescent="0.3">
      <c r="A323" s="10" t="s">
        <v>2382</v>
      </c>
      <c r="B323" s="11" t="str">
        <f>_xlfn.XLOOKUP(Customer[[#This Row],[Customer ID]],[1]!Name[ID],[1]!Name[Description(1)])</f>
        <v>DYNAMIC SUNRAY SDN. BHD</v>
      </c>
      <c r="C323" s="11" t="str">
        <f>_xlfn.XLOOKUP(Customer[[#This Row],[Customer ID]],[1]!Name[ID],[1]!Name[Description(2)])</f>
        <v>PS JALAN TAMBUN</v>
      </c>
      <c r="D323" s="11" t="str">
        <f>_xlfn.XLOOKUP(Customer[[#This Row],[Customer ID]],[1]!Address[ID],[1]!Address[PIC])</f>
        <v/>
      </c>
      <c r="E323" s="11" t="str">
        <f>_xlfn.XLOOKUP(Customer[[#This Row],[Customer ID]],[1]!Address[ID],[1]!Address[Full Address])</f>
        <v>PS JALAN TAMBUNLOT 510499,JALAN TAMBUN31400 IPOH, PERAK</v>
      </c>
      <c r="F323" s="12" t="s">
        <v>2383</v>
      </c>
      <c r="G323" s="12" t="s">
        <v>2384</v>
      </c>
      <c r="H323" s="12" t="s">
        <v>2385</v>
      </c>
      <c r="I323" s="12" t="b">
        <f>ISNUMBER(VALUE(LEFT(Customer[[#This Row],[Address Line 3 (30 char)]],1)))</f>
        <v>0</v>
      </c>
      <c r="J323" s="12" t="s">
        <v>242</v>
      </c>
      <c r="K323" s="12">
        <v>31400</v>
      </c>
      <c r="L323" s="12" t="s">
        <v>35</v>
      </c>
      <c r="M323" s="13" t="e">
        <v>#N/A</v>
      </c>
      <c r="N323" s="14" t="e">
        <v>#N/A</v>
      </c>
      <c r="O323" s="14" t="e">
        <v>#N/A</v>
      </c>
      <c r="P323" s="14" t="e">
        <v>#N/A</v>
      </c>
      <c r="Q323" s="19" t="s">
        <v>2386</v>
      </c>
      <c r="R323" s="15" t="s">
        <v>2387</v>
      </c>
      <c r="S323" s="15" t="s">
        <v>74</v>
      </c>
      <c r="T323" s="16" t="s">
        <v>38</v>
      </c>
      <c r="U323" s="11" t="str">
        <f>_xlfn.XLOOKUP(Customer[[#This Row],[Customer ID]],[1]!Address[ID],[1]!Address[Phone No.(2)])</f>
        <v/>
      </c>
      <c r="V323" s="11" t="str">
        <f>_xlfn.XLOOKUP(Customer[[#This Row],[Customer ID]],[1]!Address[ID],[1]!Address[Type])</f>
        <v>PETROMART</v>
      </c>
      <c r="W323" s="11" t="str">
        <f>_xlfn.XLOOKUP(Customer[[#This Row],[Customer ID]],[1]!Address[ID],[1]!Address[CT])</f>
        <v>30 DAYS</v>
      </c>
      <c r="X323" s="11" t="s">
        <v>39</v>
      </c>
      <c r="Y323" s="17" t="s">
        <v>40</v>
      </c>
      <c r="Z323" s="17" t="e">
        <f>_xlfn.XLOOKUP(Customer[[#This Row],[NewType]],$AF$36:$AF$54,$AG$36:$AG$54)</f>
        <v>#N/A</v>
      </c>
      <c r="AA323" s="17" t="s">
        <v>2388</v>
      </c>
      <c r="AB323" s="11" t="str">
        <f>_xlfn.XLOOKUP(Customer[[#This Row],[Customer ID]],[1]!Address[ID],[1]!Address[Subtype])</f>
        <v>PETRONAS</v>
      </c>
      <c r="AC323" s="18" t="str">
        <f>_xlfn.XLOOKUP(Customer[[#This Row],[Customer ID]],[1]!Address[ID],[1]!Address[Zone])</f>
        <v>NORTH</v>
      </c>
    </row>
    <row r="324" spans="1:29" x14ac:dyDescent="0.3">
      <c r="A324" s="10" t="s">
        <v>2389</v>
      </c>
      <c r="B324" s="11" t="str">
        <f>_xlfn.XLOOKUP(Customer[[#This Row],[Customer ID]],[1]!Name[ID],[1]!Name[Description(1)])</f>
        <v>EQA PETROMART</v>
      </c>
      <c r="C324" s="11" t="str">
        <f>_xlfn.XLOOKUP(Customer[[#This Row],[Customer ID]],[1]!Name[ID],[1]!Name[Description(2)])</f>
        <v>PS JALAN TAMPOI 2</v>
      </c>
      <c r="D324" s="11" t="str">
        <f>_xlfn.XLOOKUP(Customer[[#This Row],[Customer ID]],[1]!Address[ID],[1]!Address[PIC])</f>
        <v/>
      </c>
      <c r="E324" s="11" t="str">
        <f>_xlfn.XLOOKUP(Customer[[#This Row],[Customer ID]],[1]!Address[ID],[1]!Address[Full Address])</f>
        <v>PS JALAN TAMPOI 2LOT 20846, HSD 302912, JALAN TAMPOI,TAMPOI, JOHOR81200, JOHOR BAHRU, JOHOR</v>
      </c>
      <c r="F324" s="12" t="s">
        <v>2390</v>
      </c>
      <c r="G324" s="12" t="s">
        <v>2391</v>
      </c>
      <c r="H324" s="12" t="s">
        <v>2392</v>
      </c>
      <c r="I324" s="12" t="b">
        <f>ISNUMBER(VALUE(LEFT(Customer[[#This Row],[Address Line 3 (30 char)]],1)))</f>
        <v>0</v>
      </c>
      <c r="J324" s="12" t="s">
        <v>52</v>
      </c>
      <c r="K324" s="12">
        <v>81200</v>
      </c>
      <c r="L324" s="12" t="s">
        <v>35</v>
      </c>
      <c r="M324" s="13" t="e">
        <v>#N/A</v>
      </c>
      <c r="N324" s="14" t="e">
        <v>#N/A</v>
      </c>
      <c r="O324" s="14" t="e">
        <v>#N/A</v>
      </c>
      <c r="P324" s="14" t="e">
        <v>#N/A</v>
      </c>
      <c r="Q324" s="19" t="s">
        <v>2393</v>
      </c>
      <c r="R324" s="15" t="s">
        <v>2394</v>
      </c>
      <c r="S324" s="15" t="s">
        <v>37</v>
      </c>
      <c r="T324" s="16" t="s">
        <v>38</v>
      </c>
      <c r="U324" s="11" t="str">
        <f>_xlfn.XLOOKUP(Customer[[#This Row],[Customer ID]],[1]!Address[ID],[1]!Address[Phone No.(2)])</f>
        <v/>
      </c>
      <c r="V324" s="11" t="str">
        <f>_xlfn.XLOOKUP(Customer[[#This Row],[Customer ID]],[1]!Address[ID],[1]!Address[Type])</f>
        <v>PETROMART</v>
      </c>
      <c r="W324" s="11" t="str">
        <f>_xlfn.XLOOKUP(Customer[[#This Row],[Customer ID]],[1]!Address[ID],[1]!Address[CT])</f>
        <v>30 DAYS</v>
      </c>
      <c r="X324" s="11" t="s">
        <v>39</v>
      </c>
      <c r="Y324" s="17" t="s">
        <v>40</v>
      </c>
      <c r="Z324" s="17" t="e">
        <f>_xlfn.XLOOKUP(Customer[[#This Row],[NewType]],$AF$36:$AF$54,$AG$36:$AG$54)</f>
        <v>#N/A</v>
      </c>
      <c r="AA324" s="17" t="s">
        <v>2395</v>
      </c>
      <c r="AB324" s="11" t="str">
        <f>_xlfn.XLOOKUP(Customer[[#This Row],[Customer ID]],[1]!Address[ID],[1]!Address[Subtype])</f>
        <v>PETRONAS</v>
      </c>
      <c r="AC324" s="18" t="str">
        <f>_xlfn.XLOOKUP(Customer[[#This Row],[Customer ID]],[1]!Address[ID],[1]!Address[Zone])</f>
        <v>SOUTH</v>
      </c>
    </row>
    <row r="325" spans="1:29" x14ac:dyDescent="0.3">
      <c r="A325" s="10" t="s">
        <v>2396</v>
      </c>
      <c r="B325" s="11" t="str">
        <f>_xlfn.XLOOKUP(Customer[[#This Row],[Customer ID]],[1]!Name[ID],[1]!Name[Description(1)])</f>
        <v>TELUK SISEK STATION</v>
      </c>
      <c r="C325" s="11" t="str">
        <f>_xlfn.XLOOKUP(Customer[[#This Row],[Customer ID]],[1]!Name[ID],[1]!Name[Description(2)])</f>
        <v>PS JALAN TELUK SISEK</v>
      </c>
      <c r="D325" s="11" t="str">
        <f>_xlfn.XLOOKUP(Customer[[#This Row],[Customer ID]],[1]!Address[ID],[1]!Address[PIC])</f>
        <v/>
      </c>
      <c r="E325" s="11" t="str">
        <f>_xlfn.XLOOKUP(Customer[[#This Row],[Customer ID]],[1]!Address[ID],[1]!Address[Full Address])</f>
        <v>PS JALAN TELUK SISEKLOT PT 21123, JALAN TELUK SISEK,25000, KUANTAN, PAHANG</v>
      </c>
      <c r="F325" s="12" t="s">
        <v>2397</v>
      </c>
      <c r="G325" s="12" t="s">
        <v>2398</v>
      </c>
      <c r="H325" s="12" t="s">
        <v>2399</v>
      </c>
      <c r="I325" s="12" t="b">
        <f>ISNUMBER(VALUE(LEFT(Customer[[#This Row],[Address Line 3 (30 char)]],1)))</f>
        <v>0</v>
      </c>
      <c r="J325" s="12" t="s">
        <v>339</v>
      </c>
      <c r="K325" s="12">
        <v>25000</v>
      </c>
      <c r="L325" s="12" t="s">
        <v>35</v>
      </c>
      <c r="M325" s="13" t="e">
        <v>#N/A</v>
      </c>
      <c r="N325" s="14" t="e">
        <v>#N/A</v>
      </c>
      <c r="O325" s="14" t="e">
        <v>#N/A</v>
      </c>
      <c r="P325" s="14" t="e">
        <v>#N/A</v>
      </c>
      <c r="Q325" s="19" t="s">
        <v>2400</v>
      </c>
      <c r="R325" s="15" t="s">
        <v>2055</v>
      </c>
      <c r="S325" s="15" t="s">
        <v>37</v>
      </c>
      <c r="T325" s="16" t="s">
        <v>38</v>
      </c>
      <c r="U325" s="11" t="str">
        <f>_xlfn.XLOOKUP(Customer[[#This Row],[Customer ID]],[1]!Address[ID],[1]!Address[Phone No.(2)])</f>
        <v/>
      </c>
      <c r="V325" s="11" t="str">
        <f>_xlfn.XLOOKUP(Customer[[#This Row],[Customer ID]],[1]!Address[ID],[1]!Address[Type])</f>
        <v>PETROMART</v>
      </c>
      <c r="W325" s="11" t="str">
        <f>_xlfn.XLOOKUP(Customer[[#This Row],[Customer ID]],[1]!Address[ID],[1]!Address[CT])</f>
        <v>30 DAYS</v>
      </c>
      <c r="X325" s="11" t="s">
        <v>39</v>
      </c>
      <c r="Y325" s="17" t="s">
        <v>40</v>
      </c>
      <c r="Z325" s="17" t="e">
        <f>_xlfn.XLOOKUP(Customer[[#This Row],[NewType]],$AF$36:$AF$54,$AG$36:$AG$54)</f>
        <v>#N/A</v>
      </c>
      <c r="AA325" s="17" t="s">
        <v>2401</v>
      </c>
      <c r="AB325" s="11" t="str">
        <f>_xlfn.XLOOKUP(Customer[[#This Row],[Customer ID]],[1]!Address[ID],[1]!Address[Subtype])</f>
        <v>PETRONAS</v>
      </c>
      <c r="AC325" s="18" t="str">
        <f>_xlfn.XLOOKUP(Customer[[#This Row],[Customer ID]],[1]!Address[ID],[1]!Address[Zone])</f>
        <v>EAST COAST</v>
      </c>
    </row>
    <row r="326" spans="1:29" x14ac:dyDescent="0.3">
      <c r="A326" s="27" t="s">
        <v>2402</v>
      </c>
      <c r="B326" s="28" t="str">
        <f>_xlfn.XLOOKUP(Customer[[#This Row],[Customer ID]],[1]!Name[ID],[1]!Name[Description(1)])</f>
        <v>ARL PETROLEUM</v>
      </c>
      <c r="C326" s="11" t="str">
        <f>_xlfn.XLOOKUP(Customer[[#This Row],[Customer ID]],[1]!Name[ID],[1]!Name[Description(2)])</f>
        <v>PS JALAN TRAS, BENTONG</v>
      </c>
      <c r="D326" s="11" t="str">
        <f>_xlfn.XLOOKUP(Customer[[#This Row],[Customer ID]],[1]!Address[ID],[1]!Address[PIC])</f>
        <v/>
      </c>
      <c r="E326" s="11" t="str">
        <f>_xlfn.XLOOKUP(Customer[[#This Row],[Customer ID]],[1]!Address[ID],[1]!Address[Full Address])</f>
        <v>PS JALAN TRAS, BENTONGLOT 112, JALAN TRAS,BENTONG,28700, PAHANG</v>
      </c>
      <c r="F326" s="12" t="s">
        <v>2403</v>
      </c>
      <c r="G326" s="12" t="s">
        <v>2404</v>
      </c>
      <c r="H326" s="12" t="s">
        <v>2405</v>
      </c>
      <c r="I326" s="12" t="b">
        <f>ISNUMBER(VALUE(LEFT(Customer[[#This Row],[Address Line 3 (30 char)]],1)))</f>
        <v>0</v>
      </c>
      <c r="J326" s="12" t="s">
        <v>339</v>
      </c>
      <c r="K326" s="12">
        <v>28700</v>
      </c>
      <c r="L326" s="12" t="s">
        <v>35</v>
      </c>
      <c r="M326" s="13">
        <v>199403037786</v>
      </c>
      <c r="N326" s="14" t="e">
        <v>#N/A</v>
      </c>
      <c r="O326" s="14" t="s">
        <v>54</v>
      </c>
      <c r="P326" s="14">
        <v>47300</v>
      </c>
      <c r="Q326" s="19" t="s">
        <v>2406</v>
      </c>
      <c r="R326" s="15" t="s">
        <v>2407</v>
      </c>
      <c r="S326" s="15" t="s">
        <v>37</v>
      </c>
      <c r="T326" s="16" t="s">
        <v>38</v>
      </c>
      <c r="U326" s="11" t="str">
        <f>_xlfn.XLOOKUP(Customer[[#This Row],[Customer ID]],[1]!Address[ID],[1]!Address[Phone No.(2)])</f>
        <v/>
      </c>
      <c r="V326" s="11" t="str">
        <f>_xlfn.XLOOKUP(Customer[[#This Row],[Customer ID]],[1]!Address[ID],[1]!Address[Type])</f>
        <v>PETROMART</v>
      </c>
      <c r="W326" s="11" t="str">
        <f>_xlfn.XLOOKUP(Customer[[#This Row],[Customer ID]],[1]!Address[ID],[1]!Address[CT])</f>
        <v>30 DAYS</v>
      </c>
      <c r="X326" s="11" t="s">
        <v>39</v>
      </c>
      <c r="Y326" s="17" t="s">
        <v>40</v>
      </c>
      <c r="Z326" s="17" t="e">
        <f>_xlfn.XLOOKUP(Customer[[#This Row],[NewType]],$AF$36:$AF$54,$AG$36:$AG$54)</f>
        <v>#N/A</v>
      </c>
      <c r="AA326" s="17" t="s">
        <v>2408</v>
      </c>
      <c r="AB326" s="11" t="str">
        <f>_xlfn.XLOOKUP(Customer[[#This Row],[Customer ID]],[1]!Address[ID],[1]!Address[Subtype])</f>
        <v>PETRONAS</v>
      </c>
      <c r="AC326" s="18" t="str">
        <f>_xlfn.XLOOKUP(Customer[[#This Row],[Customer ID]],[1]!Address[ID],[1]!Address[Zone])</f>
        <v>EAST COAST</v>
      </c>
    </row>
    <row r="327" spans="1:29" x14ac:dyDescent="0.3">
      <c r="A327" s="10" t="s">
        <v>2409</v>
      </c>
      <c r="B327" s="11" t="str">
        <f>_xlfn.XLOOKUP(Customer[[#This Row],[Customer ID]],[1]!Name[ID],[1]!Name[Description(1)])</f>
        <v>NAR GLOBAL ENERGY ENTERPRISE</v>
      </c>
      <c r="C327" s="11" t="str">
        <f>_xlfn.XLOOKUP(Customer[[#This Row],[Customer ID]],[1]!Name[ID],[1]!Name[Description(2)])</f>
        <v>PS JALAN TUN DR ISMAIL, SEREMBAN</v>
      </c>
      <c r="D327" s="11" t="str">
        <f>_xlfn.XLOOKUP(Customer[[#This Row],[Customer ID]],[1]!Address[ID],[1]!Address[PIC])</f>
        <v/>
      </c>
      <c r="E327" s="11" t="str">
        <f>_xlfn.XLOOKUP(Customer[[#This Row],[Customer ID]],[1]!Address[ID],[1]!Address[Full Address])</f>
        <v>PS JALAN TUN DR ISMAIL, SEREMBANKM 3.2 JALAN TUN DR ISMAIL,SEREMBAN, NEGERI SEMBILAN, 70200,SEREMBAN, NEGERI 9</v>
      </c>
      <c r="F327" s="12" t="s">
        <v>2410</v>
      </c>
      <c r="G327" s="12" t="s">
        <v>2411</v>
      </c>
      <c r="H327" s="12"/>
      <c r="I327" s="12" t="b">
        <f>ISNUMBER(VALUE(LEFT(Customer[[#This Row],[Address Line 3 (30 char)]],1)))</f>
        <v>0</v>
      </c>
      <c r="J327" s="12" t="s">
        <v>203</v>
      </c>
      <c r="K327" s="12">
        <v>70200</v>
      </c>
      <c r="L327" s="12" t="s">
        <v>35</v>
      </c>
      <c r="M327" s="13">
        <v>201303030340</v>
      </c>
      <c r="N327" s="14" t="s">
        <v>2412</v>
      </c>
      <c r="O327" s="14" t="s">
        <v>54</v>
      </c>
      <c r="P327" s="14">
        <v>47300</v>
      </c>
      <c r="Q327" s="19" t="s">
        <v>2413</v>
      </c>
      <c r="R327" s="15" t="s">
        <v>2414</v>
      </c>
      <c r="S327" s="15" t="s">
        <v>37</v>
      </c>
      <c r="T327" s="16" t="s">
        <v>38</v>
      </c>
      <c r="U327" s="11" t="str">
        <f>_xlfn.XLOOKUP(Customer[[#This Row],[Customer ID]],[1]!Address[ID],[1]!Address[Phone No.(2)])</f>
        <v/>
      </c>
      <c r="V327" s="11" t="str">
        <f>_xlfn.XLOOKUP(Customer[[#This Row],[Customer ID]],[1]!Address[ID],[1]!Address[Type])</f>
        <v>PETROMART</v>
      </c>
      <c r="W327" s="11" t="str">
        <f>_xlfn.XLOOKUP(Customer[[#This Row],[Customer ID]],[1]!Address[ID],[1]!Address[CT])</f>
        <v>30 DAYS</v>
      </c>
      <c r="X327" s="11" t="s">
        <v>39</v>
      </c>
      <c r="Y327" s="17" t="s">
        <v>40</v>
      </c>
      <c r="Z327" s="17" t="e">
        <f>_xlfn.XLOOKUP(Customer[[#This Row],[NewType]],$AF$36:$AF$54,$AG$36:$AG$54)</f>
        <v>#N/A</v>
      </c>
      <c r="AA327" s="17" t="s">
        <v>2415</v>
      </c>
      <c r="AB327" s="11" t="str">
        <f>_xlfn.XLOOKUP(Customer[[#This Row],[Customer ID]],[1]!Address[ID],[1]!Address[Subtype])</f>
        <v>PETRONAS</v>
      </c>
      <c r="AC327" s="18" t="str">
        <f>_xlfn.XLOOKUP(Customer[[#This Row],[Customer ID]],[1]!Address[ID],[1]!Address[Zone])</f>
        <v>CENTRAL</v>
      </c>
    </row>
    <row r="328" spans="1:29" x14ac:dyDescent="0.3">
      <c r="A328" s="10" t="s">
        <v>2416</v>
      </c>
      <c r="B328" s="11" t="str">
        <f>_xlfn.XLOOKUP(Customer[[#This Row],[Customer ID]],[1]!Name[ID],[1]!Name[Description(1)])</f>
        <v>BERRY NICE PETRO ENTERPRISE</v>
      </c>
      <c r="C328" s="11" t="str">
        <f>_xlfn.XLOOKUP(Customer[[#This Row],[Customer ID]],[1]!Name[ID],[1]!Name[Description(2)])</f>
        <v>PS JALAN TUN PERAK</v>
      </c>
      <c r="D328" s="11" t="str">
        <f>_xlfn.XLOOKUP(Customer[[#This Row],[Customer ID]],[1]!Address[ID],[1]!Address[PIC])</f>
        <v>Athirah</v>
      </c>
      <c r="E328" s="11" t="str">
        <f>_xlfn.XLOOKUP(Customer[[#This Row],[Customer ID]],[1]!Address[ID],[1]!Address[Full Address])</f>
        <v>PS JALAN TUN PERAKNO 81 (LOT 142), JALAN TUN PERAK, MELAKA75300, MELAKA TENGAH, MELAKA</v>
      </c>
      <c r="F328" s="12" t="s">
        <v>2417</v>
      </c>
      <c r="G328" s="12" t="s">
        <v>2418</v>
      </c>
      <c r="H328" s="12" t="s">
        <v>102</v>
      </c>
      <c r="I328" s="12" t="b">
        <f>ISNUMBER(VALUE(LEFT(Customer[[#This Row],[Address Line 3 (30 char)]],1)))</f>
        <v>0</v>
      </c>
      <c r="J328" s="12" t="s">
        <v>61</v>
      </c>
      <c r="K328" s="12">
        <v>75300</v>
      </c>
      <c r="L328" s="12" t="s">
        <v>35</v>
      </c>
      <c r="M328" s="13">
        <v>201503116314</v>
      </c>
      <c r="N328" s="14" t="s">
        <v>2419</v>
      </c>
      <c r="O328" s="14" t="e">
        <v>#N/A</v>
      </c>
      <c r="P328" s="14" t="e">
        <v>#N/A</v>
      </c>
      <c r="Q328" s="19" t="s">
        <v>2420</v>
      </c>
      <c r="R328" s="15" t="s">
        <v>2421</v>
      </c>
      <c r="S328" s="15" t="s">
        <v>37</v>
      </c>
      <c r="T328" s="16" t="s">
        <v>38</v>
      </c>
      <c r="U328" s="11" t="str">
        <f>_xlfn.XLOOKUP(Customer[[#This Row],[Customer ID]],[1]!Address[ID],[1]!Address[Phone No.(2)])</f>
        <v/>
      </c>
      <c r="V328" s="11" t="str">
        <f>_xlfn.XLOOKUP(Customer[[#This Row],[Customer ID]],[1]!Address[ID],[1]!Address[Type])</f>
        <v>PETROMART</v>
      </c>
      <c r="W328" s="11" t="str">
        <f>_xlfn.XLOOKUP(Customer[[#This Row],[Customer ID]],[1]!Address[ID],[1]!Address[CT])</f>
        <v>30 DAYS</v>
      </c>
      <c r="X328" s="11" t="s">
        <v>39</v>
      </c>
      <c r="Y328" s="17" t="s">
        <v>40</v>
      </c>
      <c r="Z328" s="17" t="e">
        <f>_xlfn.XLOOKUP(Customer[[#This Row],[NewType]],$AF$36:$AF$54,$AG$36:$AG$54)</f>
        <v>#N/A</v>
      </c>
      <c r="AA328" s="17" t="s">
        <v>2422</v>
      </c>
      <c r="AB328" s="11" t="str">
        <f>_xlfn.XLOOKUP(Customer[[#This Row],[Customer ID]],[1]!Address[ID],[1]!Address[Subtype])</f>
        <v>PETRONAS</v>
      </c>
      <c r="AC328" s="18" t="str">
        <f>_xlfn.XLOOKUP(Customer[[#This Row],[Customer ID]],[1]!Address[ID],[1]!Address[Zone])</f>
        <v>SOUTH</v>
      </c>
    </row>
    <row r="329" spans="1:29" x14ac:dyDescent="0.3">
      <c r="A329" s="27" t="s">
        <v>2423</v>
      </c>
      <c r="B329" s="28" t="str">
        <f>_xlfn.XLOOKUP(Customer[[#This Row],[Customer ID]],[1]!Name[ID],[1]!Name[Description(1)])</f>
        <v>PETRABINA TRADING</v>
      </c>
      <c r="C329" s="11" t="str">
        <f>_xlfn.XLOOKUP(Customer[[#This Row],[Customer ID]],[1]!Name[ID],[1]!Name[Description(2)])</f>
        <v>PS JALAN TUN RAZAK</v>
      </c>
      <c r="D329" s="11" t="str">
        <f>_xlfn.XLOOKUP(Customer[[#This Row],[Customer ID]],[1]!Address[ID],[1]!Address[PIC])</f>
        <v/>
      </c>
      <c r="E329" s="11" t="str">
        <f>_xlfn.XLOOKUP(Customer[[#This Row],[Customer ID]],[1]!Address[ID],[1]!Address[Full Address])</f>
        <v>PS JALAN TUN RAZAKLOT 25, CT 8901, SEKSYEN 87 JALAN TUNRAZAK, KUALA LUMPUR, 50400, WILAYAHPERSEKUTUAN KUALA LUMPUR, W PERSEKUTUAN</v>
      </c>
      <c r="F329" s="12" t="s">
        <v>2424</v>
      </c>
      <c r="G329" s="12" t="s">
        <v>2425</v>
      </c>
      <c r="H329" s="12" t="s">
        <v>2426</v>
      </c>
      <c r="I329" s="12" t="b">
        <f>ISNUMBER(VALUE(LEFT(Customer[[#This Row],[Address Line 3 (30 char)]],1)))</f>
        <v>0</v>
      </c>
      <c r="J329" s="29" t="s">
        <v>34</v>
      </c>
      <c r="K329" s="12">
        <v>50400</v>
      </c>
      <c r="L329" s="12" t="s">
        <v>35</v>
      </c>
      <c r="M329" s="13" t="e">
        <v>#N/A</v>
      </c>
      <c r="N329" s="14" t="e">
        <v>#N/A</v>
      </c>
      <c r="O329" s="14" t="e">
        <v>#N/A</v>
      </c>
      <c r="P329" s="14" t="e">
        <v>#N/A</v>
      </c>
      <c r="Q329" s="19" t="s">
        <v>2427</v>
      </c>
      <c r="R329" s="15" t="s">
        <v>2428</v>
      </c>
      <c r="S329" s="15" t="s">
        <v>609</v>
      </c>
      <c r="T329" s="16" t="s">
        <v>38</v>
      </c>
      <c r="U329" s="11" t="str">
        <f>_xlfn.XLOOKUP(Customer[[#This Row],[Customer ID]],[1]!Address[ID],[1]!Address[Phone No.(2)])</f>
        <v/>
      </c>
      <c r="V329" s="11" t="str">
        <f>_xlfn.XLOOKUP(Customer[[#This Row],[Customer ID]],[1]!Address[ID],[1]!Address[Type])</f>
        <v>PETROMART</v>
      </c>
      <c r="W329" s="11" t="str">
        <f>_xlfn.XLOOKUP(Customer[[#This Row],[Customer ID]],[1]!Address[ID],[1]!Address[CT])</f>
        <v>30 DAYS</v>
      </c>
      <c r="X329" s="11" t="s">
        <v>39</v>
      </c>
      <c r="Y329" s="17" t="s">
        <v>40</v>
      </c>
      <c r="Z329" s="17" t="e">
        <f>_xlfn.XLOOKUP(Customer[[#This Row],[NewType]],$AF$36:$AF$54,$AG$36:$AG$54)</f>
        <v>#N/A</v>
      </c>
      <c r="AA329" s="17" t="s">
        <v>2429</v>
      </c>
      <c r="AB329" s="11" t="str">
        <f>_xlfn.XLOOKUP(Customer[[#This Row],[Customer ID]],[1]!Address[ID],[1]!Address[Subtype])</f>
        <v>PETRONAS</v>
      </c>
      <c r="AC329" s="18" t="str">
        <f>_xlfn.XLOOKUP(Customer[[#This Row],[Customer ID]],[1]!Address[ID],[1]!Address[Zone])</f>
        <v>CENTRAL</v>
      </c>
    </row>
    <row r="330" spans="1:29" x14ac:dyDescent="0.3">
      <c r="A330" s="27" t="s">
        <v>2430</v>
      </c>
      <c r="B330" s="28" t="str">
        <f>_xlfn.XLOOKUP(Customer[[#This Row],[Customer ID]],[1]!Name[ID],[1]!Name[Description(1)])</f>
        <v>MESRA RETAIL &amp; CAFE SDN BHD</v>
      </c>
      <c r="C330" s="11" t="str">
        <f>_xlfn.XLOOKUP(Customer[[#This Row],[Customer ID]],[1]!Name[ID],[1]!Name[Description(2)])</f>
        <v>PS JALAN TUN RAZAK KL (COCO)</v>
      </c>
      <c r="D330" s="11" t="str">
        <f>_xlfn.XLOOKUP(Customer[[#This Row],[Customer ID]],[1]!Address[ID],[1]!Address[PIC])</f>
        <v>Alif Fitri b A</v>
      </c>
      <c r="E330" s="11" t="str">
        <f>_xlfn.XLOOKUP(Customer[[#This Row],[Customer ID]],[1]!Address[ID],[1]!Address[Full Address])</f>
        <v>PS JALAN TUN RAZAK KL (COCO)LOT 25, CT 8901, SEKSYEN 87 JALAN TUNRAZAK, KUALA LUMPUR, 50400 WILAYAHPERSEKUTUAN (KL)</v>
      </c>
      <c r="F330" s="12" t="s">
        <v>2424</v>
      </c>
      <c r="G330" s="12" t="s">
        <v>2425</v>
      </c>
      <c r="H330" s="12" t="s">
        <v>2426</v>
      </c>
      <c r="I330" s="12" t="b">
        <f>ISNUMBER(VALUE(LEFT(Customer[[#This Row],[Address Line 3 (30 char)]],1)))</f>
        <v>0</v>
      </c>
      <c r="J330" s="29" t="s">
        <v>34</v>
      </c>
      <c r="K330" s="12">
        <v>50400</v>
      </c>
      <c r="L330" s="12" t="s">
        <v>35</v>
      </c>
      <c r="M330" s="13" t="e">
        <v>#N/A</v>
      </c>
      <c r="N330" s="14" t="s">
        <v>2431</v>
      </c>
      <c r="O330" s="14" t="e">
        <v>#N/A</v>
      </c>
      <c r="P330" s="14" t="e">
        <v>#N/A</v>
      </c>
      <c r="Q330" s="14" t="e">
        <v>#N/A</v>
      </c>
      <c r="R330" s="15" t="s">
        <v>2432</v>
      </c>
      <c r="S330" s="15" t="s">
        <v>609</v>
      </c>
      <c r="T330" s="16" t="s">
        <v>38</v>
      </c>
      <c r="U330" s="11" t="str">
        <f>_xlfn.XLOOKUP(Customer[[#This Row],[Customer ID]],[1]!Address[ID],[1]!Address[Phone No.(2)])</f>
        <v/>
      </c>
      <c r="V330" s="11" t="str">
        <f>_xlfn.XLOOKUP(Customer[[#This Row],[Customer ID]],[1]!Address[ID],[1]!Address[Type])</f>
        <v>PETROMART</v>
      </c>
      <c r="W330" s="11" t="str">
        <f>_xlfn.XLOOKUP(Customer[[#This Row],[Customer ID]],[1]!Address[ID],[1]!Address[CT])</f>
        <v>30 DAYS</v>
      </c>
      <c r="X330" s="11" t="s">
        <v>39</v>
      </c>
      <c r="Y330" s="17" t="s">
        <v>40</v>
      </c>
      <c r="Z330" s="17" t="e">
        <f>_xlfn.XLOOKUP(Customer[[#This Row],[NewType]],$AF$36:$AF$54,$AG$36:$AG$54)</f>
        <v>#N/A</v>
      </c>
      <c r="AA330" s="17" t="s">
        <v>2433</v>
      </c>
      <c r="AB330" s="11" t="str">
        <f>_xlfn.XLOOKUP(Customer[[#This Row],[Customer ID]],[1]!Address[ID],[1]!Address[Subtype])</f>
        <v>PETRONAS</v>
      </c>
      <c r="AC330" s="18" t="str">
        <f>_xlfn.XLOOKUP(Customer[[#This Row],[Customer ID]],[1]!Address[ID],[1]!Address[Zone])</f>
        <v>CENTRAL</v>
      </c>
    </row>
    <row r="331" spans="1:29" x14ac:dyDescent="0.3">
      <c r="A331" s="10" t="s">
        <v>2434</v>
      </c>
      <c r="B331" s="11" t="str">
        <f>_xlfn.XLOOKUP(Customer[[#This Row],[Customer ID]],[1]!Name[ID],[1]!Name[Description(1)])</f>
        <v>TELOK BLANGAH OILS SDN BHD</v>
      </c>
      <c r="C331" s="11" t="str">
        <f>_xlfn.XLOOKUP(Customer[[#This Row],[Customer ID]],[1]!Name[ID],[1]!Name[Description(2)])</f>
        <v>PS JALAN TUN RAZAK, JOHOR BAHRU</v>
      </c>
      <c r="D331" s="11" t="str">
        <f>_xlfn.XLOOKUP(Customer[[#This Row],[Customer ID]],[1]!Address[ID],[1]!Address[PIC])</f>
        <v/>
      </c>
      <c r="E331" s="11" t="str">
        <f>_xlfn.XLOOKUP(Customer[[#This Row],[Customer ID]],[1]!Address[ID],[1]!Address[Full Address])</f>
        <v>PS JALAN TUN RAZAK, JOHOR BAHRULOT PTB 21742,MUKIM BANDAR JOHORBAHRU,JALAN TUN RAZAK, 80100 JOHORBAHRU,JOHOR</v>
      </c>
      <c r="F331" s="12" t="s">
        <v>2435</v>
      </c>
      <c r="G331" s="12" t="s">
        <v>2436</v>
      </c>
      <c r="H331" s="12" t="s">
        <v>2437</v>
      </c>
      <c r="I331" s="12" t="b">
        <f>ISNUMBER(VALUE(LEFT(Customer[[#This Row],[Address Line 3 (30 char)]],1)))</f>
        <v>0</v>
      </c>
      <c r="J331" s="12" t="s">
        <v>52</v>
      </c>
      <c r="K331" s="12">
        <v>80100</v>
      </c>
      <c r="L331" s="12" t="s">
        <v>35</v>
      </c>
      <c r="M331" s="13" t="e">
        <v>#N/A</v>
      </c>
      <c r="N331" s="14" t="e">
        <v>#N/A</v>
      </c>
      <c r="O331" s="14" t="e">
        <v>#N/A</v>
      </c>
      <c r="P331" s="14" t="e">
        <v>#N/A</v>
      </c>
      <c r="Q331" s="19" t="s">
        <v>2438</v>
      </c>
      <c r="R331" s="15" t="s">
        <v>2439</v>
      </c>
      <c r="S331" s="15" t="s">
        <v>37</v>
      </c>
      <c r="T331" s="16" t="s">
        <v>38</v>
      </c>
      <c r="U331" s="11" t="str">
        <f>_xlfn.XLOOKUP(Customer[[#This Row],[Customer ID]],[1]!Address[ID],[1]!Address[Phone No.(2)])</f>
        <v/>
      </c>
      <c r="V331" s="11" t="str">
        <f>_xlfn.XLOOKUP(Customer[[#This Row],[Customer ID]],[1]!Address[ID],[1]!Address[Type])</f>
        <v>PETROMART</v>
      </c>
      <c r="W331" s="11" t="str">
        <f>_xlfn.XLOOKUP(Customer[[#This Row],[Customer ID]],[1]!Address[ID],[1]!Address[CT])</f>
        <v>30 DAYS</v>
      </c>
      <c r="X331" s="11" t="s">
        <v>39</v>
      </c>
      <c r="Y331" s="17" t="s">
        <v>40</v>
      </c>
      <c r="Z331" s="17" t="e">
        <f>_xlfn.XLOOKUP(Customer[[#This Row],[NewType]],$AF$36:$AF$54,$AG$36:$AG$54)</f>
        <v>#N/A</v>
      </c>
      <c r="AA331" s="17" t="s">
        <v>2440</v>
      </c>
      <c r="AB331" s="11" t="str">
        <f>_xlfn.XLOOKUP(Customer[[#This Row],[Customer ID]],[1]!Address[ID],[1]!Address[Subtype])</f>
        <v>PETRONAS</v>
      </c>
      <c r="AC331" s="18" t="str">
        <f>_xlfn.XLOOKUP(Customer[[#This Row],[Customer ID]],[1]!Address[ID],[1]!Address[Zone])</f>
        <v>SOUTH</v>
      </c>
    </row>
    <row r="332" spans="1:29" x14ac:dyDescent="0.3">
      <c r="A332" s="10" t="s">
        <v>2441</v>
      </c>
      <c r="B332" s="11" t="str">
        <f>_xlfn.XLOOKUP(Customer[[#This Row],[Customer ID]],[1]!Name[ID],[1]!Name[Description(1)])</f>
        <v>MAG NIAGA TRADING</v>
      </c>
      <c r="C332" s="11" t="str">
        <f>_xlfn.XLOOKUP(Customer[[#This Row],[Customer ID]],[1]!Name[ID],[1]!Name[Description(2)])</f>
        <v>PS JALAN YAHYA AWAL</v>
      </c>
      <c r="D332" s="11" t="str">
        <f>_xlfn.XLOOKUP(Customer[[#This Row],[Customer ID]],[1]!Address[ID],[1]!Address[PIC])</f>
        <v/>
      </c>
      <c r="E332" s="11" t="str">
        <f>_xlfn.XLOOKUP(Customer[[#This Row],[Customer ID]],[1]!Address[ID],[1]!Address[Full Address])</f>
        <v>PS JALAN YAHYA AWALLOT PTB 19195, JALAN YAHYA AWAL, JOHOR,80000, JOHOR BAHRU, JOHOR</v>
      </c>
      <c r="F332" s="12" t="s">
        <v>2442</v>
      </c>
      <c r="G332" s="12" t="s">
        <v>2443</v>
      </c>
      <c r="H332" s="12" t="s">
        <v>2444</v>
      </c>
      <c r="I332" s="12" t="b">
        <f>ISNUMBER(VALUE(LEFT(Customer[[#This Row],[Address Line 3 (30 char)]],1)))</f>
        <v>0</v>
      </c>
      <c r="J332" s="12" t="s">
        <v>1995</v>
      </c>
      <c r="K332" s="12">
        <v>80000</v>
      </c>
      <c r="L332" s="12" t="s">
        <v>35</v>
      </c>
      <c r="M332" s="13">
        <v>202203148155</v>
      </c>
      <c r="N332" s="14" t="s">
        <v>2445</v>
      </c>
      <c r="O332" s="14" t="e">
        <v>#N/A</v>
      </c>
      <c r="P332" s="14" t="e">
        <v>#N/A</v>
      </c>
      <c r="Q332" s="19" t="s">
        <v>2446</v>
      </c>
      <c r="R332" s="15" t="s">
        <v>2447</v>
      </c>
      <c r="S332" s="15" t="s">
        <v>37</v>
      </c>
      <c r="T332" s="16" t="s">
        <v>38</v>
      </c>
      <c r="U332" s="11" t="str">
        <f>_xlfn.XLOOKUP(Customer[[#This Row],[Customer ID]],[1]!Address[ID],[1]!Address[Phone No.(2)])</f>
        <v/>
      </c>
      <c r="V332" s="11" t="str">
        <f>_xlfn.XLOOKUP(Customer[[#This Row],[Customer ID]],[1]!Address[ID],[1]!Address[Type])</f>
        <v>PETROMART</v>
      </c>
      <c r="W332" s="11" t="str">
        <f>_xlfn.XLOOKUP(Customer[[#This Row],[Customer ID]],[1]!Address[ID],[1]!Address[CT])</f>
        <v>30 DAYS</v>
      </c>
      <c r="X332" s="11" t="s">
        <v>39</v>
      </c>
      <c r="Y332" s="17" t="s">
        <v>40</v>
      </c>
      <c r="Z332" s="17" t="e">
        <f>_xlfn.XLOOKUP(Customer[[#This Row],[NewType]],$AF$36:$AF$54,$AG$36:$AG$54)</f>
        <v>#N/A</v>
      </c>
      <c r="AA332" s="17" t="s">
        <v>2448</v>
      </c>
      <c r="AB332" s="11" t="str">
        <f>_xlfn.XLOOKUP(Customer[[#This Row],[Customer ID]],[1]!Address[ID],[1]!Address[Subtype])</f>
        <v>PETRONAS</v>
      </c>
      <c r="AC332" s="18" t="str">
        <f>_xlfn.XLOOKUP(Customer[[#This Row],[Customer ID]],[1]!Address[ID],[1]!Address[Zone])</f>
        <v>SOUTH</v>
      </c>
    </row>
    <row r="333" spans="1:29" x14ac:dyDescent="0.3">
      <c r="A333" s="10" t="s">
        <v>2449</v>
      </c>
      <c r="B333" s="11" t="str">
        <f>_xlfn.XLOOKUP(Customer[[#This Row],[Customer ID]],[1]!Name[ID],[1]!Name[Description(1)])</f>
        <v>Y.S. SALIHA SERVIS STATION</v>
      </c>
      <c r="C333" s="11" t="str">
        <f>_xlfn.XLOOKUP(Customer[[#This Row],[Customer ID]],[1]!Name[ID],[1]!Name[Description(2)])</f>
        <v>PS JASIN</v>
      </c>
      <c r="D333" s="11" t="str">
        <f>_xlfn.XLOOKUP(Customer[[#This Row],[Customer ID]],[1]!Address[ID],[1]!Address[PIC])</f>
        <v/>
      </c>
      <c r="E333" s="11" t="str">
        <f>_xlfn.XLOOKUP(Customer[[#This Row],[Customer ID]],[1]!Address[ID],[1]!Address[Full Address])</f>
        <v>PS JASINLOT PT 55, JALAN CINCIN, PEKAN JASIN,MELAKA, 77000, JASIN, MELAKA</v>
      </c>
      <c r="F333" s="12" t="s">
        <v>2450</v>
      </c>
      <c r="G333" s="12" t="s">
        <v>2451</v>
      </c>
      <c r="H333" s="12"/>
      <c r="I333" s="12" t="b">
        <f>ISNUMBER(VALUE(LEFT(Customer[[#This Row],[Address Line 3 (30 char)]],1)))</f>
        <v>0</v>
      </c>
      <c r="J333" s="12" t="s">
        <v>61</v>
      </c>
      <c r="K333" s="12">
        <v>77000</v>
      </c>
      <c r="L333" s="12" t="s">
        <v>35</v>
      </c>
      <c r="M333" s="13" t="e">
        <v>#N/A</v>
      </c>
      <c r="N333" s="14" t="e">
        <v>#N/A</v>
      </c>
      <c r="O333" s="14" t="e">
        <v>#N/A</v>
      </c>
      <c r="P333" s="14" t="e">
        <v>#N/A</v>
      </c>
      <c r="Q333" s="19" t="s">
        <v>2452</v>
      </c>
      <c r="R333" s="15" t="s">
        <v>2453</v>
      </c>
      <c r="S333" s="15" t="s">
        <v>37</v>
      </c>
      <c r="T333" s="16" t="s">
        <v>38</v>
      </c>
      <c r="U333" s="11" t="str">
        <f>_xlfn.XLOOKUP(Customer[[#This Row],[Customer ID]],[1]!Address[ID],[1]!Address[Phone No.(2)])</f>
        <v/>
      </c>
      <c r="V333" s="11" t="str">
        <f>_xlfn.XLOOKUP(Customer[[#This Row],[Customer ID]],[1]!Address[ID],[1]!Address[Type])</f>
        <v>PETROMART</v>
      </c>
      <c r="W333" s="11" t="str">
        <f>_xlfn.XLOOKUP(Customer[[#This Row],[Customer ID]],[1]!Address[ID],[1]!Address[CT])</f>
        <v>30 DAYS</v>
      </c>
      <c r="X333" s="11" t="s">
        <v>39</v>
      </c>
      <c r="Y333" s="17" t="s">
        <v>40</v>
      </c>
      <c r="Z333" s="17" t="e">
        <f>_xlfn.XLOOKUP(Customer[[#This Row],[NewType]],$AF$36:$AF$54,$AG$36:$AG$54)</f>
        <v>#N/A</v>
      </c>
      <c r="AA333" s="17" t="s">
        <v>2454</v>
      </c>
      <c r="AB333" s="11" t="str">
        <f>_xlfn.XLOOKUP(Customer[[#This Row],[Customer ID]],[1]!Address[ID],[1]!Address[Subtype])</f>
        <v>PETRONAS</v>
      </c>
      <c r="AC333" s="18" t="str">
        <f>_xlfn.XLOOKUP(Customer[[#This Row],[Customer ID]],[1]!Address[ID],[1]!Address[Zone])</f>
        <v>SOUTH</v>
      </c>
    </row>
    <row r="334" spans="1:29" x14ac:dyDescent="0.3">
      <c r="A334" s="10" t="s">
        <v>2455</v>
      </c>
      <c r="B334" s="11" t="str">
        <f>_xlfn.XLOOKUP(Customer[[#This Row],[Customer ID]],[1]!Name[ID],[1]!Name[Description(1)])</f>
        <v>SHUMUL WARISAN ENTERPRISE</v>
      </c>
      <c r="C334" s="11" t="str">
        <f>_xlfn.XLOOKUP(Customer[[#This Row],[Customer ID]],[1]!Name[ID],[1]!Name[Description(2)])</f>
        <v>PS JAYA GADING</v>
      </c>
      <c r="D334" s="11" t="str">
        <f>_xlfn.XLOOKUP(Customer[[#This Row],[Customer ID]],[1]!Address[ID],[1]!Address[PIC])</f>
        <v/>
      </c>
      <c r="E334" s="11" t="str">
        <f>_xlfn.XLOOKUP(Customer[[#This Row],[Customer ID]],[1]!Address[ID],[1]!Address[Full Address])</f>
        <v>PS JAYA GADINGLOT 15291, KM 15,BANDAR BARU JAYA GADING25150, KUANTAN, PAHANG</v>
      </c>
      <c r="F334" s="12" t="s">
        <v>2456</v>
      </c>
      <c r="G334" s="12" t="s">
        <v>2457</v>
      </c>
      <c r="H334" s="12" t="s">
        <v>2399</v>
      </c>
      <c r="I334" s="12" t="b">
        <f>ISNUMBER(VALUE(LEFT(Customer[[#This Row],[Address Line 3 (30 char)]],1)))</f>
        <v>0</v>
      </c>
      <c r="J334" s="12" t="s">
        <v>339</v>
      </c>
      <c r="K334" s="12">
        <v>25150</v>
      </c>
      <c r="L334" s="12" t="s">
        <v>35</v>
      </c>
      <c r="M334" s="13" t="e">
        <v>#N/A</v>
      </c>
      <c r="N334" s="14" t="e">
        <v>#N/A</v>
      </c>
      <c r="O334" s="14" t="e">
        <v>#N/A</v>
      </c>
      <c r="P334" s="14" t="e">
        <v>#N/A</v>
      </c>
      <c r="Q334" s="19" t="s">
        <v>2458</v>
      </c>
      <c r="R334" s="15" t="s">
        <v>2459</v>
      </c>
      <c r="S334" s="15" t="s">
        <v>37</v>
      </c>
      <c r="T334" s="16" t="s">
        <v>38</v>
      </c>
      <c r="U334" s="11" t="str">
        <f>_xlfn.XLOOKUP(Customer[[#This Row],[Customer ID]],[1]!Address[ID],[1]!Address[Phone No.(2)])</f>
        <v/>
      </c>
      <c r="V334" s="11" t="str">
        <f>_xlfn.XLOOKUP(Customer[[#This Row],[Customer ID]],[1]!Address[ID],[1]!Address[Type])</f>
        <v>PETROMART</v>
      </c>
      <c r="W334" s="11" t="str">
        <f>_xlfn.XLOOKUP(Customer[[#This Row],[Customer ID]],[1]!Address[ID],[1]!Address[CT])</f>
        <v>30 DAYS</v>
      </c>
      <c r="X334" s="11" t="s">
        <v>39</v>
      </c>
      <c r="Y334" s="17" t="s">
        <v>40</v>
      </c>
      <c r="Z334" s="17" t="e">
        <f>_xlfn.XLOOKUP(Customer[[#This Row],[NewType]],$AF$36:$AF$54,$AG$36:$AG$54)</f>
        <v>#N/A</v>
      </c>
      <c r="AA334" s="17" t="s">
        <v>2460</v>
      </c>
      <c r="AB334" s="11" t="str">
        <f>_xlfn.XLOOKUP(Customer[[#This Row],[Customer ID]],[1]!Address[ID],[1]!Address[Subtype])</f>
        <v>PETRONAS</v>
      </c>
      <c r="AC334" s="18" t="str">
        <f>_xlfn.XLOOKUP(Customer[[#This Row],[Customer ID]],[1]!Address[ID],[1]!Address[Zone])</f>
        <v>EAST COAST</v>
      </c>
    </row>
    <row r="335" spans="1:29" x14ac:dyDescent="0.3">
      <c r="A335" s="10" t="s">
        <v>2461</v>
      </c>
      <c r="B335" s="11" t="str">
        <f>_xlfn.XLOOKUP(Customer[[#This Row],[Customer ID]],[1]!Name[ID],[1]!Name[Description(1)])</f>
        <v>NS MESRA ENTERPRISE</v>
      </c>
      <c r="C335" s="11" t="str">
        <f>_xlfn.XLOOKUP(Customer[[#This Row],[Customer ID]],[1]!Name[ID],[1]!Name[Description(2)])</f>
        <v>PS JAYA SEPAKAT</v>
      </c>
      <c r="D335" s="11" t="str">
        <f>_xlfn.XLOOKUP(Customer[[#This Row],[Customer ID]],[1]!Address[ID],[1]!Address[PIC])</f>
        <v/>
      </c>
      <c r="E335" s="11" t="str">
        <f>_xlfn.XLOOKUP(Customer[[#This Row],[Customer ID]],[1]!Address[ID],[1]!Address[Full Address])</f>
        <v>PS JAYA SEPAKATLOT PTD 35578, TAMAN JAYASEPAKAT, MUKIM SENAI,81400  JOHOR</v>
      </c>
      <c r="F335" s="12" t="s">
        <v>2462</v>
      </c>
      <c r="G335" s="12" t="s">
        <v>2463</v>
      </c>
      <c r="H335" s="12" t="s">
        <v>2464</v>
      </c>
      <c r="I335" s="12" t="b">
        <f>ISNUMBER(VALUE(LEFT(Customer[[#This Row],[Address Line 3 (30 char)]],1)))</f>
        <v>0</v>
      </c>
      <c r="J335" s="12" t="s">
        <v>1995</v>
      </c>
      <c r="K335" s="12">
        <v>81400</v>
      </c>
      <c r="L335" s="12" t="s">
        <v>35</v>
      </c>
      <c r="M335" s="13" t="e">
        <v>#N/A</v>
      </c>
      <c r="N335" s="14" t="e">
        <v>#N/A</v>
      </c>
      <c r="O335" s="14" t="e">
        <v>#N/A</v>
      </c>
      <c r="P335" s="14" t="e">
        <v>#N/A</v>
      </c>
      <c r="Q335" s="19" t="s">
        <v>2465</v>
      </c>
      <c r="R335" s="15" t="s">
        <v>2466</v>
      </c>
      <c r="S335" s="15" t="s">
        <v>37</v>
      </c>
      <c r="T335" s="16" t="s">
        <v>38</v>
      </c>
      <c r="U335" s="11" t="str">
        <f>_xlfn.XLOOKUP(Customer[[#This Row],[Customer ID]],[1]!Address[ID],[1]!Address[Phone No.(2)])</f>
        <v/>
      </c>
      <c r="V335" s="11" t="str">
        <f>_xlfn.XLOOKUP(Customer[[#This Row],[Customer ID]],[1]!Address[ID],[1]!Address[Type])</f>
        <v>PETROMART</v>
      </c>
      <c r="W335" s="11" t="str">
        <f>_xlfn.XLOOKUP(Customer[[#This Row],[Customer ID]],[1]!Address[ID],[1]!Address[CT])</f>
        <v>30 DAYS</v>
      </c>
      <c r="X335" s="11" t="s">
        <v>39</v>
      </c>
      <c r="Y335" s="17" t="s">
        <v>40</v>
      </c>
      <c r="Z335" s="17" t="e">
        <f>_xlfn.XLOOKUP(Customer[[#This Row],[NewType]],$AF$36:$AF$54,$AG$36:$AG$54)</f>
        <v>#N/A</v>
      </c>
      <c r="AA335" s="17" t="s">
        <v>2467</v>
      </c>
      <c r="AB335" s="11" t="str">
        <f>_xlfn.XLOOKUP(Customer[[#This Row],[Customer ID]],[1]!Address[ID],[1]!Address[Subtype])</f>
        <v>PETRONAS</v>
      </c>
      <c r="AC335" s="18" t="str">
        <f>_xlfn.XLOOKUP(Customer[[#This Row],[Customer ID]],[1]!Address[ID],[1]!Address[Zone])</f>
        <v>SOUTH</v>
      </c>
    </row>
    <row r="336" spans="1:29" x14ac:dyDescent="0.3">
      <c r="A336" s="27" t="s">
        <v>2468</v>
      </c>
      <c r="B336" s="28" t="str">
        <f>_xlfn.XLOOKUP(Customer[[#This Row],[Customer ID]],[1]!Name[ID],[1]!Name[Description(1)])</f>
        <v>HALAMAJU ENTERPRISE</v>
      </c>
      <c r="C336" s="11" t="str">
        <f>_xlfn.XLOOKUP(Customer[[#This Row],[Customer ID]],[1]!Name[ID],[1]!Name[Description(2)])</f>
        <v>PS JEJAWI</v>
      </c>
      <c r="D336" s="11" t="str">
        <f>_xlfn.XLOOKUP(Customer[[#This Row],[Customer ID]],[1]!Address[ID],[1]!Address[PIC])</f>
        <v/>
      </c>
      <c r="E336" s="11" t="str">
        <f>_xlfn.XLOOKUP(Customer[[#This Row],[Customer ID]],[1]!Address[ID],[1]!Address[Full Address])</f>
        <v>PS JEJAWIGM 807, LOT 869, JALAN BATAS PAIP, MUKIMSUNGAI ADAM, KUBANG GAJAH,JALAN KANGAR-ARAU, 2600, ARAU, PERLIS</v>
      </c>
      <c r="F336" s="12" t="s">
        <v>2469</v>
      </c>
      <c r="G336" s="12" t="s">
        <v>2470</v>
      </c>
      <c r="H336" s="12" t="s">
        <v>2471</v>
      </c>
      <c r="I336" s="12" t="b">
        <f>ISNUMBER(VALUE(LEFT(Customer[[#This Row],[Address Line 3 (30 char)]],1)))</f>
        <v>0</v>
      </c>
      <c r="J336" s="12" t="s">
        <v>984</v>
      </c>
      <c r="K336" s="30" t="s">
        <v>2472</v>
      </c>
      <c r="L336" s="12" t="s">
        <v>35</v>
      </c>
      <c r="M336" s="13">
        <v>202003262673</v>
      </c>
      <c r="N336" s="14" t="s">
        <v>2473</v>
      </c>
      <c r="O336" s="14" t="s">
        <v>54</v>
      </c>
      <c r="P336" s="14">
        <v>47300</v>
      </c>
      <c r="Q336" s="19" t="s">
        <v>2474</v>
      </c>
      <c r="R336" s="15" t="s">
        <v>2475</v>
      </c>
      <c r="S336" s="15" t="s">
        <v>74</v>
      </c>
      <c r="T336" s="16" t="s">
        <v>38</v>
      </c>
      <c r="U336" s="11" t="str">
        <f>_xlfn.XLOOKUP(Customer[[#This Row],[Customer ID]],[1]!Address[ID],[1]!Address[Phone No.(2)])</f>
        <v/>
      </c>
      <c r="V336" s="11" t="str">
        <f>_xlfn.XLOOKUP(Customer[[#This Row],[Customer ID]],[1]!Address[ID],[1]!Address[Type])</f>
        <v>PETROMART</v>
      </c>
      <c r="W336" s="11" t="str">
        <f>_xlfn.XLOOKUP(Customer[[#This Row],[Customer ID]],[1]!Address[ID],[1]!Address[CT])</f>
        <v>30 DAYS</v>
      </c>
      <c r="X336" s="11" t="s">
        <v>39</v>
      </c>
      <c r="Y336" s="17" t="s">
        <v>40</v>
      </c>
      <c r="Z336" s="17" t="e">
        <f>_xlfn.XLOOKUP(Customer[[#This Row],[NewType]],$AF$36:$AF$54,$AG$36:$AG$54)</f>
        <v>#N/A</v>
      </c>
      <c r="AA336" s="17" t="s">
        <v>2476</v>
      </c>
      <c r="AB336" s="11" t="str">
        <f>_xlfn.XLOOKUP(Customer[[#This Row],[Customer ID]],[1]!Address[ID],[1]!Address[Subtype])</f>
        <v>PETRONAS</v>
      </c>
      <c r="AC336" s="18" t="str">
        <f>_xlfn.XLOOKUP(Customer[[#This Row],[Customer ID]],[1]!Address[ID],[1]!Address[Zone])</f>
        <v>NORTH</v>
      </c>
    </row>
    <row r="337" spans="1:29" x14ac:dyDescent="0.3">
      <c r="A337" s="10" t="s">
        <v>2477</v>
      </c>
      <c r="B337" s="11" t="str">
        <f>_xlfn.XLOOKUP(Customer[[#This Row],[Customer ID]],[1]!Name[ID],[1]!Name[Description(1)])</f>
        <v>JELAPANG SERVICE STATION</v>
      </c>
      <c r="C337" s="11" t="str">
        <f>_xlfn.XLOOKUP(Customer[[#This Row],[Customer ID]],[1]!Name[ID],[1]!Name[Description(2)])</f>
        <v>PS JELAPANG 2</v>
      </c>
      <c r="D337" s="11" t="str">
        <f>_xlfn.XLOOKUP(Customer[[#This Row],[Customer ID]],[1]!Address[ID],[1]!Address[PIC])</f>
        <v>Quah Geok Lin</v>
      </c>
      <c r="E337" s="11" t="str">
        <f>_xlfn.XLOOKUP(Customer[[#This Row],[Customer ID]],[1]!Address[ID],[1]!Address[Full Address])</f>
        <v>PS JELAPANG 21, JALAN INDUSTRI 1A, KAWASAN INDUSTRIJELAPANG, IPOH KINTA, 30020 PERAK</v>
      </c>
      <c r="F337" s="12" t="s">
        <v>2478</v>
      </c>
      <c r="G337" s="12" t="s">
        <v>2479</v>
      </c>
      <c r="H337" s="12" t="s">
        <v>2480</v>
      </c>
      <c r="I337" s="12" t="b">
        <f>ISNUMBER(VALUE(LEFT(Customer[[#This Row],[Address Line 3 (30 char)]],1)))</f>
        <v>0</v>
      </c>
      <c r="J337" s="12" t="s">
        <v>242</v>
      </c>
      <c r="K337" s="12">
        <v>30020</v>
      </c>
      <c r="L337" s="12" t="s">
        <v>35</v>
      </c>
      <c r="M337" s="13">
        <v>200703213578</v>
      </c>
      <c r="N337" s="14" t="s">
        <v>2481</v>
      </c>
      <c r="O337" s="14" t="s">
        <v>54</v>
      </c>
      <c r="P337" s="14">
        <v>47300</v>
      </c>
      <c r="Q337" s="19" t="s">
        <v>2482</v>
      </c>
      <c r="R337" s="15" t="s">
        <v>2483</v>
      </c>
      <c r="S337" s="15" t="s">
        <v>37</v>
      </c>
      <c r="T337" s="16" t="s">
        <v>38</v>
      </c>
      <c r="U337" s="11" t="str">
        <f>_xlfn.XLOOKUP(Customer[[#This Row],[Customer ID]],[1]!Address[ID],[1]!Address[Phone No.(2)])</f>
        <v/>
      </c>
      <c r="V337" s="11" t="str">
        <f>_xlfn.XLOOKUP(Customer[[#This Row],[Customer ID]],[1]!Address[ID],[1]!Address[Type])</f>
        <v>PETROMART</v>
      </c>
      <c r="W337" s="11" t="str">
        <f>_xlfn.XLOOKUP(Customer[[#This Row],[Customer ID]],[1]!Address[ID],[1]!Address[CT])</f>
        <v>30 DAYS</v>
      </c>
      <c r="X337" s="11" t="s">
        <v>39</v>
      </c>
      <c r="Y337" s="17" t="s">
        <v>40</v>
      </c>
      <c r="Z337" s="17" t="e">
        <f>_xlfn.XLOOKUP(Customer[[#This Row],[NewType]],$AF$36:$AF$54,$AG$36:$AG$54)</f>
        <v>#N/A</v>
      </c>
      <c r="AA337" s="17" t="s">
        <v>2484</v>
      </c>
      <c r="AB337" s="11" t="str">
        <f>_xlfn.XLOOKUP(Customer[[#This Row],[Customer ID]],[1]!Address[ID],[1]!Address[Subtype])</f>
        <v>PETRONAS</v>
      </c>
      <c r="AC337" s="18" t="str">
        <f>_xlfn.XLOOKUP(Customer[[#This Row],[Customer ID]],[1]!Address[ID],[1]!Address[Zone])</f>
        <v>NORTH</v>
      </c>
    </row>
    <row r="338" spans="1:29" x14ac:dyDescent="0.3">
      <c r="A338" s="27" t="s">
        <v>2485</v>
      </c>
      <c r="B338" s="28" t="str">
        <f>_xlfn.XLOOKUP(Customer[[#This Row],[Customer ID]],[1]!Name[ID],[1]!Name[Description(1)])</f>
        <v>WARISAN JELATIK ENTERPRISE</v>
      </c>
      <c r="C338" s="11" t="str">
        <f>_xlfn.XLOOKUP(Customer[[#This Row],[Customer ID]],[1]!Name[ID],[1]!Name[Description(2)])</f>
        <v>PS JELATEK 2</v>
      </c>
      <c r="D338" s="11" t="str">
        <f>_xlfn.XLOOKUP(Customer[[#This Row],[Customer ID]],[1]!Address[ID],[1]!Address[PIC])</f>
        <v>Fadzly Bin Kami</v>
      </c>
      <c r="E338" s="11" t="str">
        <f>_xlfn.XLOOKUP(Customer[[#This Row],[Customer ID]],[1]!Address[ID],[1]!Address[Full Address])</f>
        <v>PS JELATEK 2PT 15911, JALAN JELATEK, KERAMAT KUALALUMPUR, 54200, WILAYAH PERSEKUTUAN (KL</v>
      </c>
      <c r="F338" s="12" t="s">
        <v>2486</v>
      </c>
      <c r="G338" s="12" t="s">
        <v>2487</v>
      </c>
      <c r="H338" s="12"/>
      <c r="I338" s="12" t="b">
        <f>ISNUMBER(VALUE(LEFT(Customer[[#This Row],[Address Line 3 (30 char)]],1)))</f>
        <v>0</v>
      </c>
      <c r="J338" s="29" t="s">
        <v>34</v>
      </c>
      <c r="K338" s="12">
        <v>54200</v>
      </c>
      <c r="L338" s="12" t="s">
        <v>35</v>
      </c>
      <c r="M338" s="13">
        <v>202301037880</v>
      </c>
      <c r="N338" s="14" t="s">
        <v>2488</v>
      </c>
      <c r="O338" s="14" t="s">
        <v>54</v>
      </c>
      <c r="P338" s="14" t="e">
        <v>#N/A</v>
      </c>
      <c r="Q338" s="19" t="s">
        <v>2489</v>
      </c>
      <c r="R338" s="15" t="s">
        <v>2490</v>
      </c>
      <c r="S338" s="15" t="s">
        <v>37</v>
      </c>
      <c r="T338" s="16" t="s">
        <v>38</v>
      </c>
      <c r="U338" s="11" t="str">
        <f>_xlfn.XLOOKUP(Customer[[#This Row],[Customer ID]],[1]!Address[ID],[1]!Address[Phone No.(2)])</f>
        <v/>
      </c>
      <c r="V338" s="11" t="str">
        <f>_xlfn.XLOOKUP(Customer[[#This Row],[Customer ID]],[1]!Address[ID],[1]!Address[Type])</f>
        <v>PETROMART</v>
      </c>
      <c r="W338" s="11" t="str">
        <f>_xlfn.XLOOKUP(Customer[[#This Row],[Customer ID]],[1]!Address[ID],[1]!Address[CT])</f>
        <v>30 DAYS</v>
      </c>
      <c r="X338" s="11" t="s">
        <v>39</v>
      </c>
      <c r="Y338" s="17" t="s">
        <v>40</v>
      </c>
      <c r="Z338" s="17" t="e">
        <f>_xlfn.XLOOKUP(Customer[[#This Row],[NewType]],$AF$36:$AF$54,$AG$36:$AG$54)</f>
        <v>#N/A</v>
      </c>
      <c r="AA338" s="17" t="s">
        <v>2491</v>
      </c>
      <c r="AB338" s="11" t="str">
        <f>_xlfn.XLOOKUP(Customer[[#This Row],[Customer ID]],[1]!Address[ID],[1]!Address[Subtype])</f>
        <v>PETRONAS</v>
      </c>
      <c r="AC338" s="18" t="str">
        <f>_xlfn.XLOOKUP(Customer[[#This Row],[Customer ID]],[1]!Address[ID],[1]!Address[Zone])</f>
        <v>CENTRAL</v>
      </c>
    </row>
    <row r="339" spans="1:29" x14ac:dyDescent="0.3">
      <c r="A339" s="10" t="s">
        <v>2492</v>
      </c>
      <c r="B339" s="11" t="str">
        <f>_xlfn.XLOOKUP(Customer[[#This Row],[Customer ID]],[1]!Name[ID],[1]!Name[Description(1)])</f>
        <v>ID NUR SERVICES</v>
      </c>
      <c r="C339" s="11" t="str">
        <f>_xlfn.XLOOKUP(Customer[[#This Row],[Customer ID]],[1]!Name[ID],[1]!Name[Description(2)])</f>
        <v>PS JEMENTAH</v>
      </c>
      <c r="D339" s="11" t="str">
        <f>_xlfn.XLOOKUP(Customer[[#This Row],[Customer ID]],[1]!Address[ID],[1]!Address[PIC])</f>
        <v/>
      </c>
      <c r="E339" s="11" t="str">
        <f>_xlfn.XLOOKUP(Customer[[#This Row],[Customer ID]],[1]!Address[ID],[1]!Address[Full Address])</f>
        <v>PS JEMENTAHLOT 324, MUKIM JEMENTAH, SEGAMAT,JOHOR, 85200, SEGAMAT, JOHOR</v>
      </c>
      <c r="F339" s="12" t="s">
        <v>2493</v>
      </c>
      <c r="G339" s="12" t="s">
        <v>2494</v>
      </c>
      <c r="H339" s="12" t="s">
        <v>1899</v>
      </c>
      <c r="I339" s="12" t="b">
        <f>ISNUMBER(VALUE(LEFT(Customer[[#This Row],[Address Line 3 (30 char)]],1)))</f>
        <v>0</v>
      </c>
      <c r="J339" s="12" t="s">
        <v>52</v>
      </c>
      <c r="K339" s="12">
        <v>85200</v>
      </c>
      <c r="L339" s="12" t="s">
        <v>35</v>
      </c>
      <c r="M339" s="13" t="e">
        <v>#N/A</v>
      </c>
      <c r="N339" s="14" t="e">
        <v>#N/A</v>
      </c>
      <c r="O339" s="14" t="e">
        <v>#N/A</v>
      </c>
      <c r="P339" s="14" t="e">
        <v>#N/A</v>
      </c>
      <c r="Q339" s="19" t="s">
        <v>2495</v>
      </c>
      <c r="R339" s="15" t="s">
        <v>2496</v>
      </c>
      <c r="S339" s="15" t="s">
        <v>65</v>
      </c>
      <c r="T339" s="16" t="s">
        <v>38</v>
      </c>
      <c r="U339" s="11" t="str">
        <f>_xlfn.XLOOKUP(Customer[[#This Row],[Customer ID]],[1]!Address[ID],[1]!Address[Phone No.(2)])</f>
        <v/>
      </c>
      <c r="V339" s="11" t="str">
        <f>_xlfn.XLOOKUP(Customer[[#This Row],[Customer ID]],[1]!Address[ID],[1]!Address[Type])</f>
        <v>PETROMART</v>
      </c>
      <c r="W339" s="11" t="str">
        <f>_xlfn.XLOOKUP(Customer[[#This Row],[Customer ID]],[1]!Address[ID],[1]!Address[CT])</f>
        <v>30 DAYS</v>
      </c>
      <c r="X339" s="11" t="s">
        <v>39</v>
      </c>
      <c r="Y339" s="17" t="s">
        <v>40</v>
      </c>
      <c r="Z339" s="17" t="e">
        <f>_xlfn.XLOOKUP(Customer[[#This Row],[NewType]],$AF$36:$AF$54,$AG$36:$AG$54)</f>
        <v>#N/A</v>
      </c>
      <c r="AA339" s="17" t="s">
        <v>2497</v>
      </c>
      <c r="AB339" s="11" t="str">
        <f>_xlfn.XLOOKUP(Customer[[#This Row],[Customer ID]],[1]!Address[ID],[1]!Address[Subtype])</f>
        <v>PETRONAS</v>
      </c>
      <c r="AC339" s="18" t="str">
        <f>_xlfn.XLOOKUP(Customer[[#This Row],[Customer ID]],[1]!Address[ID],[1]!Address[Zone])</f>
        <v>SOUTH</v>
      </c>
    </row>
    <row r="340" spans="1:29" x14ac:dyDescent="0.3">
      <c r="A340" s="10" t="s">
        <v>2498</v>
      </c>
      <c r="B340" s="11" t="str">
        <f>_xlfn.XLOOKUP(Customer[[#This Row],[Customer ID]],[1]!Name[ID],[1]!Name[Description(1)])</f>
        <v>S/S AZAHARI MOHAMAD</v>
      </c>
      <c r="C340" s="11" t="str">
        <f>_xlfn.XLOOKUP(Customer[[#This Row],[Customer ID]],[1]!Name[ID],[1]!Name[Description(2)])</f>
        <v>PS JERAM</v>
      </c>
      <c r="D340" s="11" t="str">
        <f>_xlfn.XLOOKUP(Customer[[#This Row],[Customer ID]],[1]!Address[ID],[1]!Address[PIC])</f>
        <v/>
      </c>
      <c r="E340" s="11" t="str">
        <f>_xlfn.XLOOKUP(Customer[[#This Row],[Customer ID]],[1]!Address[ID],[1]!Address[Full Address])</f>
        <v>PS JERAMLOT 5174, JALAN BESAR, JERAM, SUNGAIBULOH, 45800, JERAM , SELANGOR</v>
      </c>
      <c r="F340" s="12" t="s">
        <v>2499</v>
      </c>
      <c r="G340" s="12" t="s">
        <v>2500</v>
      </c>
      <c r="H340" s="12" t="s">
        <v>2501</v>
      </c>
      <c r="I340" s="12" t="b">
        <f>ISNUMBER(VALUE(LEFT(Customer[[#This Row],[Address Line 3 (30 char)]],1)))</f>
        <v>0</v>
      </c>
      <c r="J340" s="12" t="s">
        <v>172</v>
      </c>
      <c r="K340" s="12">
        <v>45800</v>
      </c>
      <c r="L340" s="12" t="s">
        <v>35</v>
      </c>
      <c r="M340" s="13" t="e">
        <v>#N/A</v>
      </c>
      <c r="N340" s="14" t="e">
        <v>#N/A</v>
      </c>
      <c r="O340" s="14" t="e">
        <v>#N/A</v>
      </c>
      <c r="P340" s="14" t="e">
        <v>#N/A</v>
      </c>
      <c r="Q340" s="19" t="s">
        <v>2502</v>
      </c>
      <c r="R340" s="15" t="s">
        <v>2503</v>
      </c>
      <c r="S340" s="15" t="s">
        <v>37</v>
      </c>
      <c r="T340" s="16" t="s">
        <v>38</v>
      </c>
      <c r="U340" s="11" t="str">
        <f>_xlfn.XLOOKUP(Customer[[#This Row],[Customer ID]],[1]!Address[ID],[1]!Address[Phone No.(2)])</f>
        <v/>
      </c>
      <c r="V340" s="11" t="str">
        <f>_xlfn.XLOOKUP(Customer[[#This Row],[Customer ID]],[1]!Address[ID],[1]!Address[Type])</f>
        <v>PETROMART</v>
      </c>
      <c r="W340" s="11" t="str">
        <f>_xlfn.XLOOKUP(Customer[[#This Row],[Customer ID]],[1]!Address[ID],[1]!Address[CT])</f>
        <v>30 DAYS</v>
      </c>
      <c r="X340" s="11" t="s">
        <v>39</v>
      </c>
      <c r="Y340" s="17" t="s">
        <v>40</v>
      </c>
      <c r="Z340" s="17" t="e">
        <f>_xlfn.XLOOKUP(Customer[[#This Row],[NewType]],$AF$36:$AF$54,$AG$36:$AG$54)</f>
        <v>#N/A</v>
      </c>
      <c r="AA340" s="17" t="s">
        <v>2504</v>
      </c>
      <c r="AB340" s="11" t="str">
        <f>_xlfn.XLOOKUP(Customer[[#This Row],[Customer ID]],[1]!Address[ID],[1]!Address[Subtype])</f>
        <v>PETRONAS</v>
      </c>
      <c r="AC340" s="18" t="str">
        <f>_xlfn.XLOOKUP(Customer[[#This Row],[Customer ID]],[1]!Address[ID],[1]!Address[Zone])</f>
        <v>CENTRAL</v>
      </c>
    </row>
    <row r="341" spans="1:29" x14ac:dyDescent="0.3">
      <c r="A341" s="10" t="s">
        <v>2505</v>
      </c>
      <c r="B341" s="11" t="str">
        <f>_xlfn.XLOOKUP(Customer[[#This Row],[Customer ID]],[1]!Name[ID],[1]!Name[Description(1)])</f>
        <v>FNZ LEGACY</v>
      </c>
      <c r="C341" s="11" t="str">
        <f>_xlfn.XLOOKUP(Customer[[#This Row],[Customer ID]],[1]!Name[ID],[1]!Name[Description(2)])</f>
        <v>PS MUKIM KEDAH</v>
      </c>
      <c r="D341" s="11" t="str">
        <f>_xlfn.XLOOKUP(Customer[[#This Row],[Customer ID]],[1]!Address[ID],[1]!Address[PIC])</f>
        <v/>
      </c>
      <c r="E341" s="11" t="str">
        <f>_xlfn.XLOOKUP(Customer[[#This Row],[Customer ID]],[1]!Address[ID],[1]!Address[Full Address])</f>
        <v>PS MUKIM KEDAHSTESYEN MINYAK PETRONASLOT 1953 MUKIM PEDAH 27000 JERANTUTPAHANG</v>
      </c>
      <c r="F341" s="12" t="s">
        <v>2506</v>
      </c>
      <c r="G341" s="12" t="s">
        <v>2507</v>
      </c>
      <c r="H341" s="12" t="s">
        <v>1637</v>
      </c>
      <c r="I341" s="12" t="b">
        <f>ISNUMBER(VALUE(LEFT(Customer[[#This Row],[Address Line 3 (30 char)]],1)))</f>
        <v>0</v>
      </c>
      <c r="J341" s="12" t="s">
        <v>339</v>
      </c>
      <c r="K341" s="12">
        <v>27000</v>
      </c>
      <c r="L341" s="12" t="s">
        <v>35</v>
      </c>
      <c r="M341" s="13" t="e">
        <v>#N/A</v>
      </c>
      <c r="N341" s="14" t="e">
        <v>#N/A</v>
      </c>
      <c r="O341" s="14" t="e">
        <v>#N/A</v>
      </c>
      <c r="P341" s="14" t="e">
        <v>#N/A</v>
      </c>
      <c r="Q341" s="19" t="s">
        <v>2508</v>
      </c>
      <c r="R341" s="15" t="s">
        <v>2509</v>
      </c>
      <c r="S341" s="15" t="s">
        <v>37</v>
      </c>
      <c r="T341" s="16" t="s">
        <v>38</v>
      </c>
      <c r="U341" s="11" t="str">
        <f>_xlfn.XLOOKUP(Customer[[#This Row],[Customer ID]],[1]!Address[ID],[1]!Address[Phone No.(2)])</f>
        <v/>
      </c>
      <c r="V341" s="11" t="str">
        <f>_xlfn.XLOOKUP(Customer[[#This Row],[Customer ID]],[1]!Address[ID],[1]!Address[Type])</f>
        <v>PETROMART</v>
      </c>
      <c r="W341" s="11" t="str">
        <f>_xlfn.XLOOKUP(Customer[[#This Row],[Customer ID]],[1]!Address[ID],[1]!Address[CT])</f>
        <v>30 DAYS</v>
      </c>
      <c r="X341" s="11" t="s">
        <v>39</v>
      </c>
      <c r="Y341" s="17" t="s">
        <v>40</v>
      </c>
      <c r="Z341" s="17" t="e">
        <f>_xlfn.XLOOKUP(Customer[[#This Row],[NewType]],$AF$36:$AF$54,$AG$36:$AG$54)</f>
        <v>#N/A</v>
      </c>
      <c r="AA341" s="17" t="s">
        <v>2510</v>
      </c>
      <c r="AB341" s="11" t="str">
        <f>_xlfn.XLOOKUP(Customer[[#This Row],[Customer ID]],[1]!Address[ID],[1]!Address[Subtype])</f>
        <v>PETRONAS</v>
      </c>
      <c r="AC341" s="18" t="str">
        <f>_xlfn.XLOOKUP(Customer[[#This Row],[Customer ID]],[1]!Address[ID],[1]!Address[Zone])</f>
        <v>EAST COAST</v>
      </c>
    </row>
    <row r="342" spans="1:29" x14ac:dyDescent="0.3">
      <c r="A342" s="10" t="s">
        <v>2511</v>
      </c>
      <c r="B342" s="11" t="str">
        <f>_xlfn.XLOOKUP(Customer[[#This Row],[Customer ID]],[1]!Name[ID],[1]!Name[Description(1)])</f>
        <v>KFM EMPIRE</v>
      </c>
      <c r="C342" s="11" t="str">
        <f>_xlfn.XLOOKUP(Customer[[#This Row],[Customer ID]],[1]!Name[ID],[1]!Name[Description(2)])</f>
        <v>PS JERANTUT 2</v>
      </c>
      <c r="D342" s="11" t="str">
        <f>_xlfn.XLOOKUP(Customer[[#This Row],[Customer ID]],[1]!Address[ID],[1]!Address[PIC])</f>
        <v/>
      </c>
      <c r="E342" s="11" t="str">
        <f>_xlfn.XLOOKUP(Customer[[#This Row],[Customer ID]],[1]!Address[ID],[1]!Address[Full Address])</f>
        <v>PS JERANTUT 2STESYEN MINYAK PETRONAS BANDAR BARU27000 JERANTUT PAHANG</v>
      </c>
      <c r="F342" s="12" t="s">
        <v>2506</v>
      </c>
      <c r="G342" s="12" t="s">
        <v>2512</v>
      </c>
      <c r="H342" s="12" t="s">
        <v>2513</v>
      </c>
      <c r="I342" s="12" t="b">
        <f>ISNUMBER(VALUE(LEFT(Customer[[#This Row],[Address Line 3 (30 char)]],1)))</f>
        <v>0</v>
      </c>
      <c r="J342" s="12" t="s">
        <v>339</v>
      </c>
      <c r="K342" s="12">
        <v>27000</v>
      </c>
      <c r="L342" s="12" t="s">
        <v>35</v>
      </c>
      <c r="M342" s="13" t="e">
        <v>#N/A</v>
      </c>
      <c r="N342" s="14" t="e">
        <v>#N/A</v>
      </c>
      <c r="O342" s="14" t="e">
        <v>#N/A</v>
      </c>
      <c r="P342" s="14" t="e">
        <v>#N/A</v>
      </c>
      <c r="Q342" s="19" t="s">
        <v>2508</v>
      </c>
      <c r="R342" s="15" t="s">
        <v>2509</v>
      </c>
      <c r="S342" s="15" t="s">
        <v>37</v>
      </c>
      <c r="T342" s="16" t="s">
        <v>38</v>
      </c>
      <c r="U342" s="11" t="str">
        <f>_xlfn.XLOOKUP(Customer[[#This Row],[Customer ID]],[1]!Address[ID],[1]!Address[Phone No.(2)])</f>
        <v/>
      </c>
      <c r="V342" s="11" t="str">
        <f>_xlfn.XLOOKUP(Customer[[#This Row],[Customer ID]],[1]!Address[ID],[1]!Address[Type])</f>
        <v>PETROMART</v>
      </c>
      <c r="W342" s="11" t="str">
        <f>_xlfn.XLOOKUP(Customer[[#This Row],[Customer ID]],[1]!Address[ID],[1]!Address[CT])</f>
        <v>30 DAYS</v>
      </c>
      <c r="X342" s="11" t="s">
        <v>39</v>
      </c>
      <c r="Y342" s="17" t="s">
        <v>40</v>
      </c>
      <c r="Z342" s="17" t="e">
        <f>_xlfn.XLOOKUP(Customer[[#This Row],[NewType]],$AF$36:$AF$54,$AG$36:$AG$54)</f>
        <v>#N/A</v>
      </c>
      <c r="AA342" s="17" t="s">
        <v>2514</v>
      </c>
      <c r="AB342" s="11" t="str">
        <f>_xlfn.XLOOKUP(Customer[[#This Row],[Customer ID]],[1]!Address[ID],[1]!Address[Subtype])</f>
        <v>PETRONAS</v>
      </c>
      <c r="AC342" s="18" t="str">
        <f>_xlfn.XLOOKUP(Customer[[#This Row],[Customer ID]],[1]!Address[ID],[1]!Address[Zone])</f>
        <v>EAST COAST</v>
      </c>
    </row>
    <row r="343" spans="1:29" x14ac:dyDescent="0.3">
      <c r="A343" s="27" t="s">
        <v>2515</v>
      </c>
      <c r="B343" s="28" t="str">
        <f>_xlfn.XLOOKUP(Customer[[#This Row],[Customer ID]],[1]!Name[ID],[1]!Name[Description(1)])</f>
        <v>NAZS ENTERPRISE</v>
      </c>
      <c r="C343" s="11" t="str">
        <f>_xlfn.XLOOKUP(Customer[[#This Row],[Customer ID]],[1]!Name[ID],[1]!Name[Description(2)])</f>
        <v>PS JINJANG</v>
      </c>
      <c r="D343" s="11" t="str">
        <f>_xlfn.XLOOKUP(Customer[[#This Row],[Customer ID]],[1]!Address[ID],[1]!Address[PIC])</f>
        <v/>
      </c>
      <c r="E343" s="11" t="str">
        <f>_xlfn.XLOOKUP(Customer[[#This Row],[Customer ID]],[1]!Address[ID],[1]!Address[Full Address])</f>
        <v>PS JINJANGLOT 7489, JALAN KEPONG, JINJANG UTARA,KUALA LUMPUR, 52000, WILAYAHPERSEKUTUAN KUALA LUMPUR, W PERSEKUTUAN</v>
      </c>
      <c r="F343" s="12" t="s">
        <v>2516</v>
      </c>
      <c r="G343" s="12" t="s">
        <v>2517</v>
      </c>
      <c r="H343" s="12"/>
      <c r="I343" s="12" t="b">
        <f>ISNUMBER(VALUE(LEFT(Customer[[#This Row],[Address Line 3 (30 char)]],1)))</f>
        <v>0</v>
      </c>
      <c r="J343" s="29" t="s">
        <v>34</v>
      </c>
      <c r="K343" s="12">
        <v>52000</v>
      </c>
      <c r="L343" s="12" t="s">
        <v>35</v>
      </c>
      <c r="M343" s="13" t="e">
        <v>#N/A</v>
      </c>
      <c r="N343" s="14" t="e">
        <v>#N/A</v>
      </c>
      <c r="O343" s="14" t="e">
        <v>#N/A</v>
      </c>
      <c r="P343" s="14" t="e">
        <v>#N/A</v>
      </c>
      <c r="Q343" s="19" t="s">
        <v>2518</v>
      </c>
      <c r="R343" s="15" t="s">
        <v>2519</v>
      </c>
      <c r="S343" s="15" t="s">
        <v>37</v>
      </c>
      <c r="T343" s="16" t="s">
        <v>38</v>
      </c>
      <c r="U343" s="11" t="str">
        <f>_xlfn.XLOOKUP(Customer[[#This Row],[Customer ID]],[1]!Address[ID],[1]!Address[Phone No.(2)])</f>
        <v/>
      </c>
      <c r="V343" s="11" t="str">
        <f>_xlfn.XLOOKUP(Customer[[#This Row],[Customer ID]],[1]!Address[ID],[1]!Address[Type])</f>
        <v>PETROMART</v>
      </c>
      <c r="W343" s="11" t="str">
        <f>_xlfn.XLOOKUP(Customer[[#This Row],[Customer ID]],[1]!Address[ID],[1]!Address[CT])</f>
        <v>30 DAYS</v>
      </c>
      <c r="X343" s="11" t="s">
        <v>39</v>
      </c>
      <c r="Y343" s="17" t="s">
        <v>40</v>
      </c>
      <c r="Z343" s="17" t="e">
        <f>_xlfn.XLOOKUP(Customer[[#This Row],[NewType]],$AF$36:$AF$54,$AG$36:$AG$54)</f>
        <v>#N/A</v>
      </c>
      <c r="AA343" s="17" t="s">
        <v>2520</v>
      </c>
      <c r="AB343" s="11" t="str">
        <f>_xlfn.XLOOKUP(Customer[[#This Row],[Customer ID]],[1]!Address[ID],[1]!Address[Subtype])</f>
        <v>PETRONAS</v>
      </c>
      <c r="AC343" s="18" t="str">
        <f>_xlfn.XLOOKUP(Customer[[#This Row],[Customer ID]],[1]!Address[ID],[1]!Address[Zone])</f>
        <v>CENTRAL</v>
      </c>
    </row>
    <row r="344" spans="1:29" x14ac:dyDescent="0.3">
      <c r="A344" s="10" t="s">
        <v>2521</v>
      </c>
      <c r="B344" s="11" t="str">
        <f>_xlfn.XLOOKUP(Customer[[#This Row],[Customer ID]],[1]!Name[ID],[1]!Name[Description(1)])</f>
        <v>FAI AIDA ENTERPRISE</v>
      </c>
      <c r="C344" s="11" t="str">
        <f>_xlfn.XLOOKUP(Customer[[#This Row],[Customer ID]],[1]!Name[ID],[1]!Name[Description(2)])</f>
        <v>PS JLN KELAB CINTA SAYANG</v>
      </c>
      <c r="D344" s="11" t="str">
        <f>_xlfn.XLOOKUP(Customer[[#This Row],[Customer ID]],[1]!Address[ID],[1]!Address[PIC])</f>
        <v/>
      </c>
      <c r="E344" s="11" t="str">
        <f>_xlfn.XLOOKUP(Customer[[#This Row],[Customer ID]],[1]!Address[ID],[1]!Address[Full Address])</f>
        <v>PS JLN KELAB CINTA SAYANGLOT PT 17697, HSD 1072/90 KELAB CINTASAYANG, SUNGAI PETANI, KEDAH, 08000,KUALA MUDA, KEDAH</v>
      </c>
      <c r="F344" s="12" t="s">
        <v>2522</v>
      </c>
      <c r="G344" s="12" t="s">
        <v>2523</v>
      </c>
      <c r="H344" s="12" t="s">
        <v>2524</v>
      </c>
      <c r="I344" s="12" t="b">
        <f>ISNUMBER(VALUE(LEFT(Customer[[#This Row],[Address Line 3 (30 char)]],1)))</f>
        <v>0</v>
      </c>
      <c r="J344" s="12" t="s">
        <v>355</v>
      </c>
      <c r="K344" s="20" t="s">
        <v>296</v>
      </c>
      <c r="L344" s="12" t="s">
        <v>35</v>
      </c>
      <c r="M344" s="13" t="e">
        <v>#N/A</v>
      </c>
      <c r="N344" s="14" t="e">
        <v>#N/A</v>
      </c>
      <c r="O344" s="14" t="e">
        <v>#N/A</v>
      </c>
      <c r="P344" s="14" t="e">
        <v>#N/A</v>
      </c>
      <c r="Q344" s="19" t="s">
        <v>2525</v>
      </c>
      <c r="R344" s="15" t="s">
        <v>2526</v>
      </c>
      <c r="S344" s="15" t="s">
        <v>74</v>
      </c>
      <c r="T344" s="16" t="s">
        <v>38</v>
      </c>
      <c r="U344" s="11" t="str">
        <f>_xlfn.XLOOKUP(Customer[[#This Row],[Customer ID]],[1]!Address[ID],[1]!Address[Phone No.(2)])</f>
        <v/>
      </c>
      <c r="V344" s="11" t="str">
        <f>_xlfn.XLOOKUP(Customer[[#This Row],[Customer ID]],[1]!Address[ID],[1]!Address[Type])</f>
        <v>PETROMART</v>
      </c>
      <c r="W344" s="11" t="str">
        <f>_xlfn.XLOOKUP(Customer[[#This Row],[Customer ID]],[1]!Address[ID],[1]!Address[CT])</f>
        <v>30 DAYS</v>
      </c>
      <c r="X344" s="11" t="s">
        <v>39</v>
      </c>
      <c r="Y344" s="17" t="s">
        <v>40</v>
      </c>
      <c r="Z344" s="17" t="e">
        <f>_xlfn.XLOOKUP(Customer[[#This Row],[NewType]],$AF$36:$AF$54,$AG$36:$AG$54)</f>
        <v>#N/A</v>
      </c>
      <c r="AA344" s="17" t="s">
        <v>2527</v>
      </c>
      <c r="AB344" s="11" t="str">
        <f>_xlfn.XLOOKUP(Customer[[#This Row],[Customer ID]],[1]!Address[ID],[1]!Address[Subtype])</f>
        <v>PETRONAS</v>
      </c>
      <c r="AC344" s="18" t="str">
        <f>_xlfn.XLOOKUP(Customer[[#This Row],[Customer ID]],[1]!Address[ID],[1]!Address[Zone])</f>
        <v>NORTH</v>
      </c>
    </row>
    <row r="345" spans="1:29" x14ac:dyDescent="0.3">
      <c r="A345" s="10" t="s">
        <v>2528</v>
      </c>
      <c r="B345" s="11" t="str">
        <f>_xlfn.XLOOKUP(Customer[[#This Row],[Customer ID]],[1]!Name[ID],[1]!Name[Description(1)])</f>
        <v>ALHAMZAH PETRO SERVICES 2</v>
      </c>
      <c r="C345" s="11" t="str">
        <f>_xlfn.XLOOKUP(Customer[[#This Row],[Customer ID]],[1]!Name[ID],[1]!Name[Description(2)])</f>
        <v>PS JLN KEMPAS LAMA</v>
      </c>
      <c r="D345" s="11" t="str">
        <f>_xlfn.XLOOKUP(Customer[[#This Row],[Customer ID]],[1]!Address[ID],[1]!Address[PIC])</f>
        <v/>
      </c>
      <c r="E345" s="11" t="str">
        <f>_xlfn.XLOOKUP(Customer[[#This Row],[Customer ID]],[1]!Address[ID],[1]!Address[Full Address])</f>
        <v>PS JLN KEMPAS LAMALOT PTD 64876 &amp; 64877 HS(D) 216844/45,JALAN KEMPAS LAMA, MKM TEBRAU, JOHOR81100, JOHOR BAHRU, JOHOR</v>
      </c>
      <c r="F345" s="12" t="s">
        <v>2529</v>
      </c>
      <c r="G345" s="12" t="s">
        <v>2530</v>
      </c>
      <c r="H345" s="12" t="s">
        <v>2531</v>
      </c>
      <c r="I345" s="12" t="b">
        <f>ISNUMBER(VALUE(LEFT(Customer[[#This Row],[Address Line 3 (30 char)]],1)))</f>
        <v>0</v>
      </c>
      <c r="J345" s="12" t="s">
        <v>52</v>
      </c>
      <c r="K345" s="12">
        <v>81100</v>
      </c>
      <c r="L345" s="12" t="s">
        <v>35</v>
      </c>
      <c r="M345" s="13" t="e">
        <v>#N/A</v>
      </c>
      <c r="N345" s="14" t="e">
        <v>#N/A</v>
      </c>
      <c r="O345" s="14" t="e">
        <v>#N/A</v>
      </c>
      <c r="P345" s="14" t="e">
        <v>#N/A</v>
      </c>
      <c r="Q345" s="19" t="s">
        <v>2532</v>
      </c>
      <c r="R345" s="15" t="s">
        <v>2533</v>
      </c>
      <c r="S345" s="15" t="s">
        <v>37</v>
      </c>
      <c r="T345" s="16" t="s">
        <v>38</v>
      </c>
      <c r="U345" s="11" t="str">
        <f>_xlfn.XLOOKUP(Customer[[#This Row],[Customer ID]],[1]!Address[ID],[1]!Address[Phone No.(2)])</f>
        <v/>
      </c>
      <c r="V345" s="11" t="str">
        <f>_xlfn.XLOOKUP(Customer[[#This Row],[Customer ID]],[1]!Address[ID],[1]!Address[Type])</f>
        <v>PETROMART</v>
      </c>
      <c r="W345" s="11" t="str">
        <f>_xlfn.XLOOKUP(Customer[[#This Row],[Customer ID]],[1]!Address[ID],[1]!Address[CT])</f>
        <v>30 DAYS</v>
      </c>
      <c r="X345" s="11" t="s">
        <v>39</v>
      </c>
      <c r="Y345" s="17" t="s">
        <v>40</v>
      </c>
      <c r="Z345" s="17" t="e">
        <f>_xlfn.XLOOKUP(Customer[[#This Row],[NewType]],$AF$36:$AF$54,$AG$36:$AG$54)</f>
        <v>#N/A</v>
      </c>
      <c r="AA345" s="17" t="s">
        <v>2534</v>
      </c>
      <c r="AB345" s="11" t="str">
        <f>_xlfn.XLOOKUP(Customer[[#This Row],[Customer ID]],[1]!Address[ID],[1]!Address[Subtype])</f>
        <v>PETRONAS</v>
      </c>
      <c r="AC345" s="18" t="str">
        <f>_xlfn.XLOOKUP(Customer[[#This Row],[Customer ID]],[1]!Address[ID],[1]!Address[Zone])</f>
        <v>SOUTH</v>
      </c>
    </row>
    <row r="346" spans="1:29" x14ac:dyDescent="0.3">
      <c r="A346" s="10" t="s">
        <v>2535</v>
      </c>
      <c r="B346" s="11" t="str">
        <f>_xlfn.XLOOKUP(Customer[[#This Row],[Customer ID]],[1]!Name[ID],[1]!Name[Description(1)])</f>
        <v>MESRA PLUS ENTERPRISE</v>
      </c>
      <c r="C346" s="11" t="str">
        <f>_xlfn.XLOOKUP(Customer[[#This Row],[Customer ID]],[1]!Name[ID],[1]!Name[Description(2)])</f>
        <v>PS JLN RAJA UDA</v>
      </c>
      <c r="D346" s="11" t="str">
        <f>_xlfn.XLOOKUP(Customer[[#This Row],[Customer ID]],[1]!Address[ID],[1]!Address[PIC])</f>
        <v/>
      </c>
      <c r="E346" s="11" t="str">
        <f>_xlfn.XLOOKUP(Customer[[#This Row],[Customer ID]],[1]!Address[ID],[1]!Address[Full Address])</f>
        <v>PS JLN RAJA UDANO.7227 LOT 2489&amp;2490,SEKSYEN 2,JALANRAJA UDA, BUTTERWORTH, 12300, SEBERANGPERAI UTARA, PULAU PINANG</v>
      </c>
      <c r="F346" s="12" t="s">
        <v>2536</v>
      </c>
      <c r="G346" s="12" t="s">
        <v>2537</v>
      </c>
      <c r="H346" s="12" t="s">
        <v>2538</v>
      </c>
      <c r="I346" s="12" t="b">
        <f>ISNUMBER(VALUE(LEFT(Customer[[#This Row],[Address Line 3 (30 char)]],1)))</f>
        <v>0</v>
      </c>
      <c r="J346" s="12" t="s">
        <v>179</v>
      </c>
      <c r="K346" s="12">
        <v>12300</v>
      </c>
      <c r="L346" s="12" t="s">
        <v>35</v>
      </c>
      <c r="M346" s="13">
        <v>200803048204</v>
      </c>
      <c r="N346" s="14" t="s">
        <v>2539</v>
      </c>
      <c r="O346" s="14" t="s">
        <v>54</v>
      </c>
      <c r="P346" s="14">
        <v>47300</v>
      </c>
      <c r="Q346" s="19" t="s">
        <v>2540</v>
      </c>
      <c r="R346" s="15" t="s">
        <v>2541</v>
      </c>
      <c r="S346" s="15" t="s">
        <v>74</v>
      </c>
      <c r="T346" s="16" t="s">
        <v>38</v>
      </c>
      <c r="U346" s="11" t="str">
        <f>_xlfn.XLOOKUP(Customer[[#This Row],[Customer ID]],[1]!Address[ID],[1]!Address[Phone No.(2)])</f>
        <v/>
      </c>
      <c r="V346" s="11" t="str">
        <f>_xlfn.XLOOKUP(Customer[[#This Row],[Customer ID]],[1]!Address[ID],[1]!Address[Type])</f>
        <v>PETROMART</v>
      </c>
      <c r="W346" s="11" t="str">
        <f>_xlfn.XLOOKUP(Customer[[#This Row],[Customer ID]],[1]!Address[ID],[1]!Address[CT])</f>
        <v>30 DAYS</v>
      </c>
      <c r="X346" s="11" t="s">
        <v>39</v>
      </c>
      <c r="Y346" s="17" t="s">
        <v>40</v>
      </c>
      <c r="Z346" s="17" t="e">
        <f>_xlfn.XLOOKUP(Customer[[#This Row],[NewType]],$AF$36:$AF$54,$AG$36:$AG$54)</f>
        <v>#N/A</v>
      </c>
      <c r="AA346" s="17" t="s">
        <v>2542</v>
      </c>
      <c r="AB346" s="11" t="str">
        <f>_xlfn.XLOOKUP(Customer[[#This Row],[Customer ID]],[1]!Address[ID],[1]!Address[Subtype])</f>
        <v>PETRONAS</v>
      </c>
      <c r="AC346" s="18" t="str">
        <f>_xlfn.XLOOKUP(Customer[[#This Row],[Customer ID]],[1]!Address[ID],[1]!Address[Zone])</f>
        <v>NORTH</v>
      </c>
    </row>
    <row r="347" spans="1:29" x14ac:dyDescent="0.3">
      <c r="A347" s="10" t="s">
        <v>2543</v>
      </c>
      <c r="B347" s="11" t="str">
        <f>_xlfn.XLOOKUP(Customer[[#This Row],[Customer ID]],[1]!Name[ID],[1]!Name[Description(1)])</f>
        <v>GHH ENERGY SDN BHD</v>
      </c>
      <c r="C347" s="11" t="str">
        <f>_xlfn.XLOOKUP(Customer[[#This Row],[Customer ID]],[1]!Name[ID],[1]!Name[Description(2)])</f>
        <v>PS JLN SPG PULAI-LOJING</v>
      </c>
      <c r="D347" s="11" t="str">
        <f>_xlfn.XLOOKUP(Customer[[#This Row],[Customer ID]],[1]!Address[ID],[1]!Address[PIC])</f>
        <v/>
      </c>
      <c r="E347" s="11" t="str">
        <f>_xlfn.XLOOKUP(Customer[[#This Row],[Customer ID]],[1]!Address[ID],[1]!Address[Full Address])</f>
        <v>PS JLN SPG PULAI-LOJINGLOT 312358 GRN 134251, JALAN SIMPANGPULAI-LOJING-GUA MUSANG, MUKIM SUNGAIRAYA, 31300, KINTA, PERAK</v>
      </c>
      <c r="F347" s="12" t="s">
        <v>2544</v>
      </c>
      <c r="G347" s="12" t="s">
        <v>2545</v>
      </c>
      <c r="H347" s="12" t="s">
        <v>2546</v>
      </c>
      <c r="I347" s="12" t="b">
        <f>ISNUMBER(VALUE(LEFT(Customer[[#This Row],[Address Line 3 (30 char)]],1)))</f>
        <v>0</v>
      </c>
      <c r="J347" s="12" t="s">
        <v>242</v>
      </c>
      <c r="K347" s="12">
        <v>31300</v>
      </c>
      <c r="L347" s="12" t="s">
        <v>35</v>
      </c>
      <c r="M347" s="13">
        <v>202001041385</v>
      </c>
      <c r="N347" s="14" t="s">
        <v>2547</v>
      </c>
      <c r="O347" s="14"/>
      <c r="P347" s="14">
        <v>47300</v>
      </c>
      <c r="Q347" s="19" t="s">
        <v>2548</v>
      </c>
      <c r="R347" s="15" t="s">
        <v>2549</v>
      </c>
      <c r="S347" s="15" t="s">
        <v>37</v>
      </c>
      <c r="T347" s="16" t="s">
        <v>38</v>
      </c>
      <c r="U347" s="11" t="str">
        <f>_xlfn.XLOOKUP(Customer[[#This Row],[Customer ID]],[1]!Address[ID],[1]!Address[Phone No.(2)])</f>
        <v/>
      </c>
      <c r="V347" s="11" t="str">
        <f>_xlfn.XLOOKUP(Customer[[#This Row],[Customer ID]],[1]!Address[ID],[1]!Address[Type])</f>
        <v>PETROMART</v>
      </c>
      <c r="W347" s="11" t="str">
        <f>_xlfn.XLOOKUP(Customer[[#This Row],[Customer ID]],[1]!Address[ID],[1]!Address[CT])</f>
        <v>30 DAYS</v>
      </c>
      <c r="X347" s="11" t="s">
        <v>39</v>
      </c>
      <c r="Y347" s="17" t="s">
        <v>40</v>
      </c>
      <c r="Z347" s="17" t="e">
        <f>_xlfn.XLOOKUP(Customer[[#This Row],[NewType]],$AF$36:$AF$54,$AG$36:$AG$54)</f>
        <v>#N/A</v>
      </c>
      <c r="AA347" s="17" t="s">
        <v>2550</v>
      </c>
      <c r="AB347" s="11" t="str">
        <f>_xlfn.XLOOKUP(Customer[[#This Row],[Customer ID]],[1]!Address[ID],[1]!Address[Subtype])</f>
        <v>PETRONAS</v>
      </c>
      <c r="AC347" s="18" t="str">
        <f>_xlfn.XLOOKUP(Customer[[#This Row],[Customer ID]],[1]!Address[ID],[1]!Address[Zone])</f>
        <v>NORTH</v>
      </c>
    </row>
    <row r="348" spans="1:29" x14ac:dyDescent="0.3">
      <c r="A348" s="10" t="s">
        <v>2551</v>
      </c>
      <c r="B348" s="11" t="str">
        <f>_xlfn.XLOOKUP(Customer[[#This Row],[Customer ID]],[1]!Name[ID],[1]!Name[Description(1)])</f>
        <v>KBH SOLUTION SDN BHD</v>
      </c>
      <c r="C348" s="11" t="str">
        <f>_xlfn.XLOOKUP(Customer[[#This Row],[Customer ID]],[1]!Name[ID],[1]!Name[Description(2)])</f>
        <v>PS JLN SULTAN AZLAN SHAH</v>
      </c>
      <c r="D348" s="11" t="str">
        <f>_xlfn.XLOOKUP(Customer[[#This Row],[Customer ID]],[1]!Address[ID],[1]!Address[PIC])</f>
        <v/>
      </c>
      <c r="E348" s="11" t="str">
        <f>_xlfn.XLOOKUP(Customer[[#This Row],[Customer ID]],[1]!Address[ID],[1]!Address[Full Address])</f>
        <v>PS JLN SULTAN AZLAN SHAHLOT PT 197129, JALAN SULTAN AZLAN SHAHUTARA), MUKIM HULU KINTA, 31400, KINTA,PERAK</v>
      </c>
      <c r="F348" s="12" t="s">
        <v>2552</v>
      </c>
      <c r="G348" s="12" t="s">
        <v>2553</v>
      </c>
      <c r="H348" s="12" t="s">
        <v>2554</v>
      </c>
      <c r="I348" s="12" t="b">
        <f>ISNUMBER(VALUE(LEFT(Customer[[#This Row],[Address Line 3 (30 char)]],1)))</f>
        <v>0</v>
      </c>
      <c r="J348" s="12" t="s">
        <v>242</v>
      </c>
      <c r="K348" s="12">
        <v>31400</v>
      </c>
      <c r="L348" s="12" t="s">
        <v>35</v>
      </c>
      <c r="M348" s="13">
        <v>201901004635</v>
      </c>
      <c r="N348" s="14" t="s">
        <v>717</v>
      </c>
      <c r="O348" s="14" t="s">
        <v>54</v>
      </c>
      <c r="P348" s="14">
        <v>47300</v>
      </c>
      <c r="Q348" s="19" t="s">
        <v>718</v>
      </c>
      <c r="R348" s="15" t="s">
        <v>719</v>
      </c>
      <c r="S348" s="15" t="s">
        <v>74</v>
      </c>
      <c r="T348" s="16" t="s">
        <v>38</v>
      </c>
      <c r="U348" s="11" t="str">
        <f>_xlfn.XLOOKUP(Customer[[#This Row],[Customer ID]],[1]!Address[ID],[1]!Address[Phone No.(2)])</f>
        <v/>
      </c>
      <c r="V348" s="11" t="str">
        <f>_xlfn.XLOOKUP(Customer[[#This Row],[Customer ID]],[1]!Address[ID],[1]!Address[Type])</f>
        <v>PETROMART</v>
      </c>
      <c r="W348" s="11" t="str">
        <f>_xlfn.XLOOKUP(Customer[[#This Row],[Customer ID]],[1]!Address[ID],[1]!Address[CT])</f>
        <v>30 DAYS</v>
      </c>
      <c r="X348" s="11" t="s">
        <v>39</v>
      </c>
      <c r="Y348" s="17" t="s">
        <v>40</v>
      </c>
      <c r="Z348" s="17" t="e">
        <f>_xlfn.XLOOKUP(Customer[[#This Row],[NewType]],$AF$36:$AF$54,$AG$36:$AG$54)</f>
        <v>#N/A</v>
      </c>
      <c r="AA348" s="17" t="s">
        <v>2555</v>
      </c>
      <c r="AB348" s="11" t="str">
        <f>_xlfn.XLOOKUP(Customer[[#This Row],[Customer ID]],[1]!Address[ID],[1]!Address[Subtype])</f>
        <v>PETRONAS</v>
      </c>
      <c r="AC348" s="18" t="str">
        <f>_xlfn.XLOOKUP(Customer[[#This Row],[Customer ID]],[1]!Address[ID],[1]!Address[Zone])</f>
        <v>NORTH</v>
      </c>
    </row>
    <row r="349" spans="1:29" x14ac:dyDescent="0.3">
      <c r="A349" s="10" t="s">
        <v>2556</v>
      </c>
      <c r="B349" s="11" t="str">
        <f>_xlfn.XLOOKUP(Customer[[#This Row],[Customer ID]],[1]!Name[ID],[1]!Name[Description(1)])</f>
        <v>NK MAJU PETROMART ENTERPRISE</v>
      </c>
      <c r="C349" s="11" t="str">
        <f>_xlfn.XLOOKUP(Customer[[#This Row],[Customer ID]],[1]!Name[ID],[1]!Name[Description(2)])</f>
        <v>PS JLN TAN SWEE HOE</v>
      </c>
      <c r="D349" s="11" t="str">
        <f>_xlfn.XLOOKUP(Customer[[#This Row],[Customer ID]],[1]!Address[ID],[1]!Address[PIC])</f>
        <v/>
      </c>
      <c r="E349" s="11" t="str">
        <f>_xlfn.XLOOKUP(Customer[[#This Row],[Customer ID]],[1]!Address[ID],[1]!Address[Full Address])</f>
        <v>PS JLN TAN SWEE HOELOT 21209, JALAN TAN SWEE HOE, MUKIM SSIMPANG KANAN, BATU PAHAT, JOHOR, 83000,BATU PAHAT, JOHOR</v>
      </c>
      <c r="F349" s="12" t="s">
        <v>2557</v>
      </c>
      <c r="G349" s="12" t="s">
        <v>2558</v>
      </c>
      <c r="H349" s="12" t="s">
        <v>2559</v>
      </c>
      <c r="I349" s="12" t="b">
        <f>ISNUMBER(VALUE(LEFT(Customer[[#This Row],[Address Line 3 (30 char)]],1)))</f>
        <v>0</v>
      </c>
      <c r="J349" s="12" t="s">
        <v>52</v>
      </c>
      <c r="K349" s="12">
        <v>83000</v>
      </c>
      <c r="L349" s="12" t="s">
        <v>35</v>
      </c>
      <c r="M349" s="13" t="e">
        <v>#N/A</v>
      </c>
      <c r="N349" s="14" t="e">
        <v>#N/A</v>
      </c>
      <c r="O349" s="14" t="e">
        <v>#N/A</v>
      </c>
      <c r="P349" s="14" t="e">
        <v>#N/A</v>
      </c>
      <c r="Q349" s="19" t="s">
        <v>2560</v>
      </c>
      <c r="R349" s="15" t="s">
        <v>2561</v>
      </c>
      <c r="S349" s="15" t="s">
        <v>37</v>
      </c>
      <c r="T349" s="16" t="s">
        <v>38</v>
      </c>
      <c r="U349" s="11" t="str">
        <f>_xlfn.XLOOKUP(Customer[[#This Row],[Customer ID]],[1]!Address[ID],[1]!Address[Phone No.(2)])</f>
        <v/>
      </c>
      <c r="V349" s="11" t="str">
        <f>_xlfn.XLOOKUP(Customer[[#This Row],[Customer ID]],[1]!Address[ID],[1]!Address[Type])</f>
        <v>PETROMART</v>
      </c>
      <c r="W349" s="11" t="str">
        <f>_xlfn.XLOOKUP(Customer[[#This Row],[Customer ID]],[1]!Address[ID],[1]!Address[CT])</f>
        <v>30 DAYS</v>
      </c>
      <c r="X349" s="11" t="s">
        <v>39</v>
      </c>
      <c r="Y349" s="17" t="s">
        <v>40</v>
      </c>
      <c r="Z349" s="17" t="e">
        <f>_xlfn.XLOOKUP(Customer[[#This Row],[NewType]],$AF$36:$AF$54,$AG$36:$AG$54)</f>
        <v>#N/A</v>
      </c>
      <c r="AA349" s="17" t="s">
        <v>2562</v>
      </c>
      <c r="AB349" s="11" t="str">
        <f>_xlfn.XLOOKUP(Customer[[#This Row],[Customer ID]],[1]!Address[ID],[1]!Address[Subtype])</f>
        <v>PETRONAS</v>
      </c>
      <c r="AC349" s="18" t="str">
        <f>_xlfn.XLOOKUP(Customer[[#This Row],[Customer ID]],[1]!Address[ID],[1]!Address[Zone])</f>
        <v>SOUTH</v>
      </c>
    </row>
    <row r="350" spans="1:29" x14ac:dyDescent="0.3">
      <c r="A350" s="10" t="s">
        <v>2563</v>
      </c>
      <c r="B350" s="11" t="str">
        <f>_xlfn.XLOOKUP(Customer[[#This Row],[Customer ID]],[1]!Name[ID],[1]!Name[Description(1)])</f>
        <v>FB DAYA TERRA ENTERPRISE</v>
      </c>
      <c r="C350" s="11" t="str">
        <f>_xlfn.XLOOKUP(Customer[[#This Row],[Customer ID]],[1]!Name[ID],[1]!Name[Description(2)])</f>
        <v>PS JLN TENGKU ISMAIL</v>
      </c>
      <c r="D350" s="11" t="str">
        <f>_xlfn.XLOOKUP(Customer[[#This Row],[Customer ID]],[1]!Address[ID],[1]!Address[PIC])</f>
        <v/>
      </c>
      <c r="E350" s="11" t="str">
        <f>_xlfn.XLOOKUP(Customer[[#This Row],[Customer ID]],[1]!Address[ID],[1]!Address[Full Address])</f>
        <v>PS JLN TENGKU ISMAILLOT PT 715, JALAN TENGKU ISMAIL, 28000,TEMERLOH, PAHANG</v>
      </c>
      <c r="F350" s="12" t="s">
        <v>2564</v>
      </c>
      <c r="G350" s="12" t="s">
        <v>2565</v>
      </c>
      <c r="H350" s="12" t="s">
        <v>2566</v>
      </c>
      <c r="I350" s="12" t="b">
        <f>ISNUMBER(VALUE(LEFT(Customer[[#This Row],[Address Line 3 (30 char)]],1)))</f>
        <v>0</v>
      </c>
      <c r="J350" s="12" t="s">
        <v>339</v>
      </c>
      <c r="K350" s="12">
        <v>28000</v>
      </c>
      <c r="L350" s="12" t="s">
        <v>35</v>
      </c>
      <c r="M350" s="13">
        <v>202303285186</v>
      </c>
      <c r="N350" s="14" t="s">
        <v>2567</v>
      </c>
      <c r="O350" s="14" t="e">
        <v>#N/A</v>
      </c>
      <c r="P350" s="14" t="e">
        <v>#N/A</v>
      </c>
      <c r="Q350" s="19" t="s">
        <v>2568</v>
      </c>
      <c r="R350" s="15" t="s">
        <v>2569</v>
      </c>
      <c r="S350" s="15" t="s">
        <v>37</v>
      </c>
      <c r="T350" s="16" t="s">
        <v>38</v>
      </c>
      <c r="U350" s="11" t="str">
        <f>_xlfn.XLOOKUP(Customer[[#This Row],[Customer ID]],[1]!Address[ID],[1]!Address[Phone No.(2)])</f>
        <v/>
      </c>
      <c r="V350" s="11" t="str">
        <f>_xlfn.XLOOKUP(Customer[[#This Row],[Customer ID]],[1]!Address[ID],[1]!Address[Type])</f>
        <v>PETROMART</v>
      </c>
      <c r="W350" s="11" t="str">
        <f>_xlfn.XLOOKUP(Customer[[#This Row],[Customer ID]],[1]!Address[ID],[1]!Address[CT])</f>
        <v>30 DAYS</v>
      </c>
      <c r="X350" s="11" t="s">
        <v>39</v>
      </c>
      <c r="Y350" s="17" t="s">
        <v>40</v>
      </c>
      <c r="Z350" s="17" t="e">
        <f>_xlfn.XLOOKUP(Customer[[#This Row],[NewType]],$AF$36:$AF$54,$AG$36:$AG$54)</f>
        <v>#N/A</v>
      </c>
      <c r="AA350" s="17" t="s">
        <v>2570</v>
      </c>
      <c r="AB350" s="11" t="str">
        <f>_xlfn.XLOOKUP(Customer[[#This Row],[Customer ID]],[1]!Address[ID],[1]!Address[Subtype])</f>
        <v>PETRONAS</v>
      </c>
      <c r="AC350" s="18" t="str">
        <f>_xlfn.XLOOKUP(Customer[[#This Row],[Customer ID]],[1]!Address[ID],[1]!Address[Zone])</f>
        <v>EAST COAST</v>
      </c>
    </row>
    <row r="351" spans="1:29" x14ac:dyDescent="0.3">
      <c r="A351" s="10" t="s">
        <v>2571</v>
      </c>
      <c r="B351" s="11" t="str">
        <f>_xlfn.XLOOKUP(Customer[[#This Row],[Customer ID]],[1]!Name[ID],[1]!Name[Description(1)])</f>
        <v>NN SURIA ENTERPRISE</v>
      </c>
      <c r="C351" s="11" t="str">
        <f>_xlfn.XLOOKUP(Customer[[#This Row],[Customer ID]],[1]!Name[ID],[1]!Name[Description(2)])</f>
        <v>PS JURU LAYBY ARAH UTARA</v>
      </c>
      <c r="D351" s="11" t="str">
        <f>_xlfn.XLOOKUP(Customer[[#This Row],[Customer ID]],[1]!Address[ID],[1]!Address[PIC])</f>
        <v/>
      </c>
      <c r="E351" s="11" t="str">
        <f>_xlfn.XLOOKUP(Customer[[#This Row],[Customer ID]],[1]!Address[ID],[1]!Address[Full Address])</f>
        <v>PS JURU LAYBY ARAH UTARALOT 4290, MK.6, LEBUHRAYA UTARA SELATAN,PERHENTIAN JURU, BUKIT MERTAJAM, 14000,SEBERANG PERAI TENGAH, PULAU PINANG</v>
      </c>
      <c r="F351" s="12" t="s">
        <v>2572</v>
      </c>
      <c r="G351" s="12" t="s">
        <v>2573</v>
      </c>
      <c r="H351" s="12" t="s">
        <v>2574</v>
      </c>
      <c r="I351" s="12" t="b">
        <f>ISNUMBER(VALUE(LEFT(Customer[[#This Row],[Address Line 3 (30 char)]],1)))</f>
        <v>0</v>
      </c>
      <c r="J351" s="12" t="s">
        <v>179</v>
      </c>
      <c r="K351" s="12">
        <v>14000</v>
      </c>
      <c r="L351" s="12" t="s">
        <v>35</v>
      </c>
      <c r="M351" s="13" t="e">
        <v>#N/A</v>
      </c>
      <c r="N351" s="14" t="e">
        <v>#N/A</v>
      </c>
      <c r="O351" s="14" t="e">
        <v>#N/A</v>
      </c>
      <c r="P351" s="14" t="e">
        <v>#N/A</v>
      </c>
      <c r="Q351" s="19" t="s">
        <v>2568</v>
      </c>
      <c r="R351" s="15" t="s">
        <v>2569</v>
      </c>
      <c r="S351" s="15" t="s">
        <v>74</v>
      </c>
      <c r="T351" s="16" t="s">
        <v>38</v>
      </c>
      <c r="U351" s="11" t="str">
        <f>_xlfn.XLOOKUP(Customer[[#This Row],[Customer ID]],[1]!Address[ID],[1]!Address[Phone No.(2)])</f>
        <v/>
      </c>
      <c r="V351" s="11" t="str">
        <f>_xlfn.XLOOKUP(Customer[[#This Row],[Customer ID]],[1]!Address[ID],[1]!Address[Type])</f>
        <v>PETROMART</v>
      </c>
      <c r="W351" s="11" t="str">
        <f>_xlfn.XLOOKUP(Customer[[#This Row],[Customer ID]],[1]!Address[ID],[1]!Address[CT])</f>
        <v>30 DAYS</v>
      </c>
      <c r="X351" s="11" t="s">
        <v>39</v>
      </c>
      <c r="Y351" s="17" t="s">
        <v>40</v>
      </c>
      <c r="Z351" s="17" t="e">
        <f>_xlfn.XLOOKUP(Customer[[#This Row],[NewType]],$AF$36:$AF$54,$AG$36:$AG$54)</f>
        <v>#N/A</v>
      </c>
      <c r="AA351" s="17" t="s">
        <v>2575</v>
      </c>
      <c r="AB351" s="11" t="str">
        <f>_xlfn.XLOOKUP(Customer[[#This Row],[Customer ID]],[1]!Address[ID],[1]!Address[Subtype])</f>
        <v>PETRONAS</v>
      </c>
      <c r="AC351" s="18" t="str">
        <f>_xlfn.XLOOKUP(Customer[[#This Row],[Customer ID]],[1]!Address[ID],[1]!Address[Zone])</f>
        <v>NORTH</v>
      </c>
    </row>
    <row r="352" spans="1:29" x14ac:dyDescent="0.3">
      <c r="A352" s="10" t="s">
        <v>2576</v>
      </c>
      <c r="B352" s="11" t="str">
        <f>_xlfn.XLOOKUP(Customer[[#This Row],[Customer ID]],[1]!Name[ID],[1]!Name[Description(1)])</f>
        <v>HASLINA KZ ENTERPRISE</v>
      </c>
      <c r="C352" s="11" t="str">
        <f>_xlfn.XLOOKUP(Customer[[#This Row],[Customer ID]],[1]!Name[ID],[1]!Name[Description(2)])</f>
        <v>PS KAMPAR</v>
      </c>
      <c r="D352" s="11" t="str">
        <f>_xlfn.XLOOKUP(Customer[[#This Row],[Customer ID]],[1]!Address[ID],[1]!Address[PIC])</f>
        <v/>
      </c>
      <c r="E352" s="11" t="str">
        <f>_xlfn.XLOOKUP(Customer[[#This Row],[Customer ID]],[1]!Address[ID],[1]!Address[Full Address])</f>
        <v>PS KAMPARLOT 49075 &amp; 49076, BATU 1, JALAN ISKANDA31900, KAMPAR, PERAK</v>
      </c>
      <c r="F352" s="12" t="s">
        <v>2577</v>
      </c>
      <c r="G352" s="12" t="s">
        <v>2578</v>
      </c>
      <c r="H352" s="12" t="s">
        <v>2579</v>
      </c>
      <c r="I352" s="12" t="b">
        <f>ISNUMBER(VALUE(LEFT(Customer[[#This Row],[Address Line 3 (30 char)]],1)))</f>
        <v>0</v>
      </c>
      <c r="J352" s="12" t="s">
        <v>242</v>
      </c>
      <c r="K352" s="12">
        <v>31900</v>
      </c>
      <c r="L352" s="12" t="s">
        <v>35</v>
      </c>
      <c r="M352" s="13" t="e">
        <v>#N/A</v>
      </c>
      <c r="N352" s="14" t="e">
        <v>#N/A</v>
      </c>
      <c r="O352" s="14" t="e">
        <v>#N/A</v>
      </c>
      <c r="P352" s="14" t="e">
        <v>#N/A</v>
      </c>
      <c r="Q352" s="19" t="s">
        <v>2580</v>
      </c>
      <c r="R352" s="15" t="s">
        <v>2581</v>
      </c>
      <c r="S352" s="15" t="s">
        <v>37</v>
      </c>
      <c r="T352" s="16" t="s">
        <v>38</v>
      </c>
      <c r="U352" s="11" t="str">
        <f>_xlfn.XLOOKUP(Customer[[#This Row],[Customer ID]],[1]!Address[ID],[1]!Address[Phone No.(2)])</f>
        <v/>
      </c>
      <c r="V352" s="11" t="str">
        <f>_xlfn.XLOOKUP(Customer[[#This Row],[Customer ID]],[1]!Address[ID],[1]!Address[Type])</f>
        <v>PETROMART</v>
      </c>
      <c r="W352" s="11" t="str">
        <f>_xlfn.XLOOKUP(Customer[[#This Row],[Customer ID]],[1]!Address[ID],[1]!Address[CT])</f>
        <v>30 DAYS</v>
      </c>
      <c r="X352" s="11" t="s">
        <v>39</v>
      </c>
      <c r="Y352" s="17" t="s">
        <v>40</v>
      </c>
      <c r="Z352" s="17" t="e">
        <f>_xlfn.XLOOKUP(Customer[[#This Row],[NewType]],$AF$36:$AF$54,$AG$36:$AG$54)</f>
        <v>#N/A</v>
      </c>
      <c r="AA352" s="17" t="s">
        <v>2582</v>
      </c>
      <c r="AB352" s="11" t="str">
        <f>_xlfn.XLOOKUP(Customer[[#This Row],[Customer ID]],[1]!Address[ID],[1]!Address[Subtype])</f>
        <v>PETRONAS</v>
      </c>
      <c r="AC352" s="18" t="str">
        <f>_xlfn.XLOOKUP(Customer[[#This Row],[Customer ID]],[1]!Address[ID],[1]!Address[Zone])</f>
        <v>NORTH</v>
      </c>
    </row>
    <row r="353" spans="1:29" x14ac:dyDescent="0.3">
      <c r="A353" s="10" t="s">
        <v>2583</v>
      </c>
      <c r="B353" s="11" t="str">
        <f>_xlfn.XLOOKUP(Customer[[#This Row],[Customer ID]],[1]!Name[ID],[1]!Name[Description(1)])</f>
        <v>ZIQPETRO RESOURCES</v>
      </c>
      <c r="C353" s="11" t="str">
        <f>_xlfn.XLOOKUP(Customer[[#This Row],[Customer ID]],[1]!Name[ID],[1]!Name[Description(2)])</f>
        <v>PS KELANA JAYA</v>
      </c>
      <c r="D353" s="11" t="str">
        <f>_xlfn.XLOOKUP(Customer[[#This Row],[Customer ID]],[1]!Address[ID],[1]!Address[PIC])</f>
        <v/>
      </c>
      <c r="E353" s="11" t="str">
        <f>_xlfn.XLOOKUP(Customer[[#This Row],[Customer ID]],[1]!Address[ID],[1]!Address[Full Address])</f>
        <v>PS KELANA JAYALOT 2, JALAN SS 3/39, KELANA JAYA,SELANGOR, 47300, PETALING, SELANGOR</v>
      </c>
      <c r="F353" s="12" t="s">
        <v>2584</v>
      </c>
      <c r="G353" s="12" t="s">
        <v>2585</v>
      </c>
      <c r="H353" s="12" t="s">
        <v>2274</v>
      </c>
      <c r="I353" s="12" t="b">
        <f>ISNUMBER(VALUE(LEFT(Customer[[#This Row],[Address Line 3 (30 char)]],1)))</f>
        <v>0</v>
      </c>
      <c r="J353" s="12" t="s">
        <v>172</v>
      </c>
      <c r="K353" s="12">
        <v>47300</v>
      </c>
      <c r="L353" s="12" t="s">
        <v>35</v>
      </c>
      <c r="M353" s="13">
        <v>201403328071</v>
      </c>
      <c r="N353" s="14" t="s">
        <v>2586</v>
      </c>
      <c r="O353" s="14" t="s">
        <v>54</v>
      </c>
      <c r="P353" s="14">
        <v>47300</v>
      </c>
      <c r="Q353" s="19" t="s">
        <v>2587</v>
      </c>
      <c r="R353" s="15" t="s">
        <v>2588</v>
      </c>
      <c r="S353" s="15" t="s">
        <v>37</v>
      </c>
      <c r="T353" s="16" t="s">
        <v>38</v>
      </c>
      <c r="U353" s="11" t="str">
        <f>_xlfn.XLOOKUP(Customer[[#This Row],[Customer ID]],[1]!Address[ID],[1]!Address[Phone No.(2)])</f>
        <v/>
      </c>
      <c r="V353" s="11" t="str">
        <f>_xlfn.XLOOKUP(Customer[[#This Row],[Customer ID]],[1]!Address[ID],[1]!Address[Type])</f>
        <v>PETROMART</v>
      </c>
      <c r="W353" s="11" t="str">
        <f>_xlfn.XLOOKUP(Customer[[#This Row],[Customer ID]],[1]!Address[ID],[1]!Address[CT])</f>
        <v>30 DAYS</v>
      </c>
      <c r="X353" s="11" t="s">
        <v>39</v>
      </c>
      <c r="Y353" s="17" t="s">
        <v>40</v>
      </c>
      <c r="Z353" s="17" t="e">
        <f>_xlfn.XLOOKUP(Customer[[#This Row],[NewType]],$AF$36:$AF$54,$AG$36:$AG$54)</f>
        <v>#N/A</v>
      </c>
      <c r="AA353" s="17" t="s">
        <v>2589</v>
      </c>
      <c r="AB353" s="11" t="str">
        <f>_xlfn.XLOOKUP(Customer[[#This Row],[Customer ID]],[1]!Address[ID],[1]!Address[Subtype])</f>
        <v>PETRONAS</v>
      </c>
      <c r="AC353" s="18" t="str">
        <f>_xlfn.XLOOKUP(Customer[[#This Row],[Customer ID]],[1]!Address[ID],[1]!Address[Zone])</f>
        <v>CENTRAL</v>
      </c>
    </row>
    <row r="354" spans="1:29" x14ac:dyDescent="0.3">
      <c r="A354" s="10" t="s">
        <v>2590</v>
      </c>
      <c r="B354" s="11" t="str">
        <f>_xlfn.XLOOKUP(Customer[[#This Row],[Customer ID]],[1]!Name[ID],[1]!Name[Description(1)])</f>
        <v>A&amp;M PETRO SERVICES</v>
      </c>
      <c r="C354" s="11" t="str">
        <f>_xlfn.XLOOKUP(Customer[[#This Row],[Customer ID]],[1]!Name[ID],[1]!Name[Description(2)])</f>
        <v>PS KELANA JAYA 2</v>
      </c>
      <c r="D354" s="11" t="str">
        <f>_xlfn.XLOOKUP(Customer[[#This Row],[Customer ID]],[1]!Address[ID],[1]!Address[PIC])</f>
        <v/>
      </c>
      <c r="E354" s="11" t="str">
        <f>_xlfn.XLOOKUP(Customer[[#This Row],[Customer ID]],[1]!Address[ID],[1]!Address[Full Address])</f>
        <v>PS KELANA JAYA 2LOT 2, SS 4B/10, JALAN BAHAGIA,KELANA JAYA 47301, PETALING, SELANGOR</v>
      </c>
      <c r="F354" s="12" t="s">
        <v>2584</v>
      </c>
      <c r="G354" s="12" t="s">
        <v>2591</v>
      </c>
      <c r="H354" s="12" t="s">
        <v>2592</v>
      </c>
      <c r="I354" s="12" t="b">
        <f>ISNUMBER(VALUE(LEFT(Customer[[#This Row],[Address Line 3 (30 char)]],1)))</f>
        <v>0</v>
      </c>
      <c r="J354" s="12" t="s">
        <v>172</v>
      </c>
      <c r="K354" s="12">
        <v>47301</v>
      </c>
      <c r="L354" s="12" t="s">
        <v>35</v>
      </c>
      <c r="M354" s="13">
        <v>202003027421</v>
      </c>
      <c r="N354" s="14" t="s">
        <v>2593</v>
      </c>
      <c r="O354" s="14" t="s">
        <v>54</v>
      </c>
      <c r="P354" s="14" t="s">
        <v>54</v>
      </c>
      <c r="Q354" s="19" t="s">
        <v>2594</v>
      </c>
      <c r="R354" s="15" t="s">
        <v>2595</v>
      </c>
      <c r="S354" s="15" t="s">
        <v>37</v>
      </c>
      <c r="T354" s="16" t="s">
        <v>38</v>
      </c>
      <c r="U354" s="11" t="str">
        <f>_xlfn.XLOOKUP(Customer[[#This Row],[Customer ID]],[1]!Address[ID],[1]!Address[Phone No.(2)])</f>
        <v/>
      </c>
      <c r="V354" s="11" t="str">
        <f>_xlfn.XLOOKUP(Customer[[#This Row],[Customer ID]],[1]!Address[ID],[1]!Address[Type])</f>
        <v>PETROMART</v>
      </c>
      <c r="W354" s="11" t="str">
        <f>_xlfn.XLOOKUP(Customer[[#This Row],[Customer ID]],[1]!Address[ID],[1]!Address[CT])</f>
        <v>30 DAYS</v>
      </c>
      <c r="X354" s="11" t="s">
        <v>39</v>
      </c>
      <c r="Y354" s="17" t="s">
        <v>40</v>
      </c>
      <c r="Z354" s="17" t="e">
        <f>_xlfn.XLOOKUP(Customer[[#This Row],[NewType]],$AF$36:$AF$54,$AG$36:$AG$54)</f>
        <v>#N/A</v>
      </c>
      <c r="AA354" s="17" t="s">
        <v>2596</v>
      </c>
      <c r="AB354" s="11" t="str">
        <f>_xlfn.XLOOKUP(Customer[[#This Row],[Customer ID]],[1]!Address[ID],[1]!Address[Subtype])</f>
        <v>PETRONAS</v>
      </c>
      <c r="AC354" s="18" t="str">
        <f>_xlfn.XLOOKUP(Customer[[#This Row],[Customer ID]],[1]!Address[ID],[1]!Address[Zone])</f>
        <v>CENTRAL</v>
      </c>
    </row>
    <row r="355" spans="1:29" x14ac:dyDescent="0.3">
      <c r="A355" s="10" t="s">
        <v>2597</v>
      </c>
      <c r="B355" s="11" t="str">
        <f>_xlfn.XLOOKUP(Customer[[#This Row],[Customer ID]],[1]!Name[ID],[1]!Name[Description(1)])</f>
        <v>STESEN MINYAK MAHSIRU</v>
      </c>
      <c r="C355" s="11" t="str">
        <f>_xlfn.XLOOKUP(Customer[[#This Row],[Customer ID]],[1]!Name[ID],[1]!Name[Description(2)])</f>
        <v>PS KELIBANG</v>
      </c>
      <c r="D355" s="11" t="str">
        <f>_xlfn.XLOOKUP(Customer[[#This Row],[Customer ID]],[1]!Address[ID],[1]!Address[PIC])</f>
        <v/>
      </c>
      <c r="E355" s="11" t="str">
        <f>_xlfn.XLOOKUP(Customer[[#This Row],[Customer ID]],[1]!Address[ID],[1]!Address[Full Address])</f>
        <v>PS KELIBANGLOT 523, MUKIM KELEBANG, KUAH, LANGKAWI,KEDAH , 07000, LANGKAWI, KEDAH</v>
      </c>
      <c r="F355" s="12" t="s">
        <v>2598</v>
      </c>
      <c r="G355" s="12" t="s">
        <v>2599</v>
      </c>
      <c r="H355" s="12" t="s">
        <v>2600</v>
      </c>
      <c r="I355" s="12" t="b">
        <f>ISNUMBER(VALUE(LEFT(Customer[[#This Row],[Address Line 3 (30 char)]],1)))</f>
        <v>0</v>
      </c>
      <c r="J355" s="12" t="s">
        <v>355</v>
      </c>
      <c r="K355" s="20" t="s">
        <v>1847</v>
      </c>
      <c r="L355" s="12" t="s">
        <v>35</v>
      </c>
      <c r="M355" s="13" t="e">
        <v>#N/A</v>
      </c>
      <c r="N355" s="14" t="e">
        <v>#N/A</v>
      </c>
      <c r="O355" s="14" t="e">
        <v>#N/A</v>
      </c>
      <c r="P355" s="14" t="e">
        <v>#N/A</v>
      </c>
      <c r="Q355" s="19" t="s">
        <v>2601</v>
      </c>
      <c r="R355" s="15" t="s">
        <v>2602</v>
      </c>
      <c r="S355" s="15" t="s">
        <v>74</v>
      </c>
      <c r="T355" s="16" t="s">
        <v>38</v>
      </c>
      <c r="U355" s="11" t="str">
        <f>_xlfn.XLOOKUP(Customer[[#This Row],[Customer ID]],[1]!Address[ID],[1]!Address[Phone No.(2)])</f>
        <v/>
      </c>
      <c r="V355" s="11" t="str">
        <f>_xlfn.XLOOKUP(Customer[[#This Row],[Customer ID]],[1]!Address[ID],[1]!Address[Type])</f>
        <v>PETROMART</v>
      </c>
      <c r="W355" s="11" t="str">
        <f>_xlfn.XLOOKUP(Customer[[#This Row],[Customer ID]],[1]!Address[ID],[1]!Address[CT])</f>
        <v>30 DAYS</v>
      </c>
      <c r="X355" s="11" t="s">
        <v>39</v>
      </c>
      <c r="Y355" s="17" t="s">
        <v>40</v>
      </c>
      <c r="Z355" s="17" t="e">
        <f>_xlfn.XLOOKUP(Customer[[#This Row],[NewType]],$AF$36:$AF$54,$AG$36:$AG$54)</f>
        <v>#N/A</v>
      </c>
      <c r="AA355" s="17" t="s">
        <v>2603</v>
      </c>
      <c r="AB355" s="11" t="str">
        <f>_xlfn.XLOOKUP(Customer[[#This Row],[Customer ID]],[1]!Address[ID],[1]!Address[Subtype])</f>
        <v>PETRONAS</v>
      </c>
      <c r="AC355" s="18" t="str">
        <f>_xlfn.XLOOKUP(Customer[[#This Row],[Customer ID]],[1]!Address[ID],[1]!Address[Zone])</f>
        <v>NORTH</v>
      </c>
    </row>
    <row r="356" spans="1:29" x14ac:dyDescent="0.3">
      <c r="A356" s="10" t="s">
        <v>2604</v>
      </c>
      <c r="B356" s="11" t="str">
        <f>_xlfn.XLOOKUP(Customer[[#This Row],[Customer ID]],[1]!Name[ID],[1]!Name[Description(1)])</f>
        <v>STESEN MINYAK ROMALI</v>
      </c>
      <c r="C356" s="11" t="str">
        <f>_xlfn.XLOOKUP(Customer[[#This Row],[Customer ID]],[1]!Name[ID],[1]!Name[Description(2)])</f>
        <v>PS KEMPAS BARU</v>
      </c>
      <c r="D356" s="11" t="str">
        <f>_xlfn.XLOOKUP(Customer[[#This Row],[Customer ID]],[1]!Address[ID],[1]!Address[PIC])</f>
        <v/>
      </c>
      <c r="E356" s="11" t="str">
        <f>_xlfn.XLOOKUP(Customer[[#This Row],[Customer ID]],[1]!Address[ID],[1]!Address[Full Address])</f>
        <v>PS KEMPAS BARULOT 3439, JALAN LURAH 23, KEMPAS BARU,JOHOR, 81200, JOHOR BAHRU, JOHOR</v>
      </c>
      <c r="F356" s="12" t="s">
        <v>2605</v>
      </c>
      <c r="G356" s="12" t="s">
        <v>2606</v>
      </c>
      <c r="H356" s="12" t="s">
        <v>2607</v>
      </c>
      <c r="I356" s="12" t="b">
        <f>ISNUMBER(VALUE(LEFT(Customer[[#This Row],[Address Line 3 (30 char)]],1)))</f>
        <v>0</v>
      </c>
      <c r="J356" s="12" t="s">
        <v>52</v>
      </c>
      <c r="K356" s="12">
        <v>81200</v>
      </c>
      <c r="L356" s="12" t="s">
        <v>35</v>
      </c>
      <c r="M356" s="13" t="e">
        <v>#N/A</v>
      </c>
      <c r="N356" s="14" t="e">
        <v>#N/A</v>
      </c>
      <c r="O356" s="14" t="e">
        <v>#N/A</v>
      </c>
      <c r="P356" s="14" t="e">
        <v>#N/A</v>
      </c>
      <c r="Q356" s="19" t="s">
        <v>2608</v>
      </c>
      <c r="R356" s="15" t="s">
        <v>2609</v>
      </c>
      <c r="S356" s="15" t="s">
        <v>37</v>
      </c>
      <c r="T356" s="16" t="s">
        <v>38</v>
      </c>
      <c r="U356" s="11" t="str">
        <f>_xlfn.XLOOKUP(Customer[[#This Row],[Customer ID]],[1]!Address[ID],[1]!Address[Phone No.(2)])</f>
        <v/>
      </c>
      <c r="V356" s="11" t="str">
        <f>_xlfn.XLOOKUP(Customer[[#This Row],[Customer ID]],[1]!Address[ID],[1]!Address[Type])</f>
        <v>PETROMART</v>
      </c>
      <c r="W356" s="11" t="str">
        <f>_xlfn.XLOOKUP(Customer[[#This Row],[Customer ID]],[1]!Address[ID],[1]!Address[CT])</f>
        <v>30 DAYS</v>
      </c>
      <c r="X356" s="11" t="s">
        <v>39</v>
      </c>
      <c r="Y356" s="17" t="s">
        <v>40</v>
      </c>
      <c r="Z356" s="17" t="e">
        <f>_xlfn.XLOOKUP(Customer[[#This Row],[NewType]],$AF$36:$AF$54,$AG$36:$AG$54)</f>
        <v>#N/A</v>
      </c>
      <c r="AA356" s="17" t="s">
        <v>2610</v>
      </c>
      <c r="AB356" s="11" t="str">
        <f>_xlfn.XLOOKUP(Customer[[#This Row],[Customer ID]],[1]!Address[ID],[1]!Address[Subtype])</f>
        <v>PETRONAS</v>
      </c>
      <c r="AC356" s="18" t="str">
        <f>_xlfn.XLOOKUP(Customer[[#This Row],[Customer ID]],[1]!Address[ID],[1]!Address[Zone])</f>
        <v>SOUTH</v>
      </c>
    </row>
    <row r="357" spans="1:29" x14ac:dyDescent="0.3">
      <c r="A357" s="10" t="s">
        <v>2611</v>
      </c>
      <c r="B357" s="11" t="str">
        <f>_xlfn.XLOOKUP(Customer[[#This Row],[Customer ID]],[1]!Name[ID],[1]!Name[Description(1)])</f>
        <v>FUTURE MILLENNIUM RESOURCES</v>
      </c>
      <c r="C357" s="11" t="str">
        <f>_xlfn.XLOOKUP(Customer[[#This Row],[Customer ID]],[1]!Name[ID],[1]!Name[Description(2)])</f>
        <v>PS KEMPAS BARU 2</v>
      </c>
      <c r="D357" s="11" t="str">
        <f>_xlfn.XLOOKUP(Customer[[#This Row],[Customer ID]],[1]!Address[ID],[1]!Address[PIC])</f>
        <v/>
      </c>
      <c r="E357" s="11" t="str">
        <f>_xlfn.XLOOKUP(Customer[[#This Row],[Customer ID]],[1]!Address[ID],[1]!Address[Full Address])</f>
        <v>PS KEMPAS BARU 2LOT 42965 MUKIM TEBRAU, JALAN KEMPASBARU, 81200 JOHOR BAHARU</v>
      </c>
      <c r="F357" s="12" t="s">
        <v>2612</v>
      </c>
      <c r="G357" s="12" t="s">
        <v>2613</v>
      </c>
      <c r="H357" s="12" t="s">
        <v>2614</v>
      </c>
      <c r="I357" s="12" t="b">
        <f>ISNUMBER(VALUE(LEFT(Customer[[#This Row],[Address Line 3 (30 char)]],1)))</f>
        <v>0</v>
      </c>
      <c r="J357" s="12" t="s">
        <v>52</v>
      </c>
      <c r="K357" s="12">
        <v>81200</v>
      </c>
      <c r="L357" s="12" t="s">
        <v>35</v>
      </c>
      <c r="M357" s="13" t="e">
        <v>#N/A</v>
      </c>
      <c r="N357" s="14" t="e">
        <v>#N/A</v>
      </c>
      <c r="O357" s="14" t="e">
        <v>#N/A</v>
      </c>
      <c r="P357" s="14" t="e">
        <v>#N/A</v>
      </c>
      <c r="Q357" s="19" t="s">
        <v>2615</v>
      </c>
      <c r="R357" s="15" t="s">
        <v>2616</v>
      </c>
      <c r="S357" s="15" t="s">
        <v>37</v>
      </c>
      <c r="T357" s="16" t="s">
        <v>38</v>
      </c>
      <c r="U357" s="11" t="str">
        <f>_xlfn.XLOOKUP(Customer[[#This Row],[Customer ID]],[1]!Address[ID],[1]!Address[Phone No.(2)])</f>
        <v/>
      </c>
      <c r="V357" s="11" t="str">
        <f>_xlfn.XLOOKUP(Customer[[#This Row],[Customer ID]],[1]!Address[ID],[1]!Address[Type])</f>
        <v>PETROMART</v>
      </c>
      <c r="W357" s="11" t="str">
        <f>_xlfn.XLOOKUP(Customer[[#This Row],[Customer ID]],[1]!Address[ID],[1]!Address[CT])</f>
        <v>30 DAYS</v>
      </c>
      <c r="X357" s="11" t="s">
        <v>39</v>
      </c>
      <c r="Y357" s="17" t="s">
        <v>40</v>
      </c>
      <c r="Z357" s="17" t="e">
        <f>_xlfn.XLOOKUP(Customer[[#This Row],[NewType]],$AF$36:$AF$54,$AG$36:$AG$54)</f>
        <v>#N/A</v>
      </c>
      <c r="AA357" s="17" t="s">
        <v>2617</v>
      </c>
      <c r="AB357" s="11" t="str">
        <f>_xlfn.XLOOKUP(Customer[[#This Row],[Customer ID]],[1]!Address[ID],[1]!Address[Subtype])</f>
        <v>PETRONAS</v>
      </c>
      <c r="AC357" s="18" t="str">
        <f>_xlfn.XLOOKUP(Customer[[#This Row],[Customer ID]],[1]!Address[ID],[1]!Address[Zone])</f>
        <v>SOUTH</v>
      </c>
    </row>
    <row r="358" spans="1:29" x14ac:dyDescent="0.3">
      <c r="A358" s="10" t="s">
        <v>2618</v>
      </c>
      <c r="B358" s="11" t="str">
        <f>_xlfn.XLOOKUP(Customer[[#This Row],[Customer ID]],[1]!Name[ID],[1]!Name[Description(1)])</f>
        <v>PUAN HUSNINA</v>
      </c>
      <c r="C358" s="32" t="str">
        <f>_xlfn.XLOOKUP(Customer[[#This Row],[Customer ID]],[1]!Name[ID],[1]!Name[Description(2)])</f>
        <v/>
      </c>
      <c r="D358" s="32" t="str">
        <f>_xlfn.XLOOKUP(Customer[[#This Row],[Customer ID]],[1]!Address[ID],[1]!Address[PIC])</f>
        <v/>
      </c>
      <c r="E358" s="11" t="str">
        <f>_xlfn.XLOOKUP(Customer[[#This Row],[Customer ID]],[1]!Address[ID],[1]!Address[Full Address])</f>
        <v>SMK KOMPLEKS KLIANILAI</v>
      </c>
      <c r="F358" s="12" t="s">
        <v>2619</v>
      </c>
      <c r="G358" s="12" t="s">
        <v>2620</v>
      </c>
      <c r="H358" s="12" t="s">
        <v>36</v>
      </c>
      <c r="I358" s="32" t="b">
        <f>ISNUMBER(VALUE(LEFT(Customer[[#This Row],[Address Line 3 (30 char)]],1)))</f>
        <v>0</v>
      </c>
      <c r="J358" s="32" t="s">
        <v>203</v>
      </c>
      <c r="K358" s="32"/>
      <c r="L358" s="12" t="s">
        <v>35</v>
      </c>
      <c r="M358" s="13" t="e">
        <v>#N/A</v>
      </c>
      <c r="N358" s="14" t="e">
        <v>#N/A</v>
      </c>
      <c r="O358" s="14" t="e">
        <v>#N/A</v>
      </c>
      <c r="P358" s="14" t="e">
        <v>#N/A</v>
      </c>
      <c r="Q358" s="14" t="e">
        <v>#N/A</v>
      </c>
      <c r="R358" s="15" t="s">
        <v>2621</v>
      </c>
      <c r="S358" s="15" t="s">
        <v>88</v>
      </c>
      <c r="T358" s="16" t="s">
        <v>89</v>
      </c>
      <c r="U358" s="11" t="str">
        <f>_xlfn.XLOOKUP(Customer[[#This Row],[Customer ID]],[1]!Address[ID],[1]!Address[Phone No.(2)])</f>
        <v/>
      </c>
      <c r="V358" s="11" t="str">
        <f>_xlfn.XLOOKUP(Customer[[#This Row],[Customer ID]],[1]!Address[ID],[1]!Address[Type])</f>
        <v>SOCMED</v>
      </c>
      <c r="W358" s="11" t="str">
        <f>_xlfn.XLOOKUP(Customer[[#This Row],[Customer ID]],[1]!Address[ID],[1]!Address[CT])</f>
        <v/>
      </c>
      <c r="X358" s="11"/>
      <c r="Y358" s="17" t="s">
        <v>90</v>
      </c>
      <c r="Z358" s="17" t="e">
        <f>_xlfn.XLOOKUP(Customer[[#This Row],[NewType]],$AF$36:$AF$54,$AG$36:$AG$54)</f>
        <v>#N/A</v>
      </c>
      <c r="AA358" s="17" t="s">
        <v>2622</v>
      </c>
      <c r="AB358" s="11" t="str">
        <f>_xlfn.XLOOKUP(Customer[[#This Row],[Customer ID]],[1]!Address[ID],[1]!Address[Subtype])</f>
        <v>ONLINE ROS</v>
      </c>
      <c r="AC358" s="18" t="str">
        <f>_xlfn.XLOOKUP(Customer[[#This Row],[Customer ID]],[1]!Address[ID],[1]!Address[Zone])</f>
        <v>CENTRAL</v>
      </c>
    </row>
    <row r="359" spans="1:29" x14ac:dyDescent="0.3">
      <c r="A359" s="10" t="s">
        <v>2623</v>
      </c>
      <c r="B359" s="11" t="str">
        <f>_xlfn.XLOOKUP(Customer[[#This Row],[Customer ID]],[1]!Name[ID],[1]!Name[Description(1)])</f>
        <v>RRY ENTERPRISE / OSCORP ENTERPRISE</v>
      </c>
      <c r="C359" s="11" t="str">
        <f>_xlfn.XLOOKUP(Customer[[#This Row],[Customer ID]],[1]!Name[ID],[1]!Name[Description(2)])</f>
        <v>PS KEPALA BATAS</v>
      </c>
      <c r="D359" s="11" t="str">
        <f>_xlfn.XLOOKUP(Customer[[#This Row],[Customer ID]],[1]!Address[ID],[1]!Address[PIC])</f>
        <v/>
      </c>
      <c r="E359" s="11" t="str">
        <f>_xlfn.XLOOKUP(Customer[[#This Row],[Customer ID]],[1]!Address[ID],[1]!Address[Full Address])</f>
        <v>PS KEPALA BATASLOT 558, JALAN BUTTERWORTH, KEPALA,13200 SEBERANG PERAI UTARA,PULAU PINANG</v>
      </c>
      <c r="F359" s="12" t="s">
        <v>2624</v>
      </c>
      <c r="G359" s="12" t="s">
        <v>2625</v>
      </c>
      <c r="H359" s="12" t="s">
        <v>363</v>
      </c>
      <c r="I359" s="12" t="b">
        <f>ISNUMBER(VALUE(LEFT(Customer[[#This Row],[Address Line 3 (30 char)]],1)))</f>
        <v>0</v>
      </c>
      <c r="J359" s="12" t="s">
        <v>179</v>
      </c>
      <c r="K359" s="12">
        <v>13200</v>
      </c>
      <c r="L359" s="12" t="s">
        <v>35</v>
      </c>
      <c r="M359" s="13" t="e">
        <v>#N/A</v>
      </c>
      <c r="N359" s="14" t="e">
        <v>#N/A</v>
      </c>
      <c r="O359" s="14" t="e">
        <v>#N/A</v>
      </c>
      <c r="P359" s="14" t="e">
        <v>#N/A</v>
      </c>
      <c r="Q359" s="19" t="s">
        <v>2626</v>
      </c>
      <c r="R359" s="15" t="s">
        <v>2627</v>
      </c>
      <c r="S359" s="15" t="s">
        <v>74</v>
      </c>
      <c r="T359" s="16" t="s">
        <v>38</v>
      </c>
      <c r="U359" s="11" t="str">
        <f>_xlfn.XLOOKUP(Customer[[#This Row],[Customer ID]],[1]!Address[ID],[1]!Address[Phone No.(2)])</f>
        <v>012-4812819</v>
      </c>
      <c r="V359" s="11" t="str">
        <f>_xlfn.XLOOKUP(Customer[[#This Row],[Customer ID]],[1]!Address[ID],[1]!Address[Type])</f>
        <v>PETROMART</v>
      </c>
      <c r="W359" s="11" t="str">
        <f>_xlfn.XLOOKUP(Customer[[#This Row],[Customer ID]],[1]!Address[ID],[1]!Address[CT])</f>
        <v>30 DAYS</v>
      </c>
      <c r="X359" s="11" t="s">
        <v>39</v>
      </c>
      <c r="Y359" s="17" t="s">
        <v>40</v>
      </c>
      <c r="Z359" s="17" t="e">
        <f>_xlfn.XLOOKUP(Customer[[#This Row],[NewType]],$AF$36:$AF$54,$AG$36:$AG$54)</f>
        <v>#N/A</v>
      </c>
      <c r="AA359" s="17" t="s">
        <v>2628</v>
      </c>
      <c r="AB359" s="11" t="str">
        <f>_xlfn.XLOOKUP(Customer[[#This Row],[Customer ID]],[1]!Address[ID],[1]!Address[Subtype])</f>
        <v>PETRONAS</v>
      </c>
      <c r="AC359" s="18" t="str">
        <f>_xlfn.XLOOKUP(Customer[[#This Row],[Customer ID]],[1]!Address[ID],[1]!Address[Zone])</f>
        <v>NORTH</v>
      </c>
    </row>
    <row r="360" spans="1:29" x14ac:dyDescent="0.3">
      <c r="A360" s="27" t="s">
        <v>2629</v>
      </c>
      <c r="B360" s="28" t="str">
        <f>_xlfn.XLOOKUP(Customer[[#This Row],[Customer ID]],[1]!Name[ID],[1]!Name[Description(1)])</f>
        <v>KARINA ELWASIQ ENTERPRISE</v>
      </c>
      <c r="C360" s="11" t="str">
        <f>_xlfn.XLOOKUP(Customer[[#This Row],[Customer ID]],[1]!Name[ID],[1]!Name[Description(2)])</f>
        <v>PS KEPONG 1 / JAMBU JERTEH</v>
      </c>
      <c r="D360" s="11" t="str">
        <f>_xlfn.XLOOKUP(Customer[[#This Row],[Customer ID]],[1]!Address[ID],[1]!Address[PIC])</f>
        <v/>
      </c>
      <c r="E360" s="11" t="str">
        <f>_xlfn.XLOOKUP(Customer[[#This Row],[Customer ID]],[1]!Address[ID],[1]!Address[Full Address])</f>
        <v>PS KEPONG 1 / JAMBU JERTEHLOT NO. 2, JALAN JAMBU JERTEH OFF JALANKEPONG, KEPONG, KUALA LUMPUR, 52000,WILAYAH PERSEKUTUAN KUALA LUMPUR</v>
      </c>
      <c r="F360" s="12" t="s">
        <v>2630</v>
      </c>
      <c r="G360" s="12" t="s">
        <v>2631</v>
      </c>
      <c r="H360" s="12" t="s">
        <v>2632</v>
      </c>
      <c r="I360" s="12" t="b">
        <f>ISNUMBER(VALUE(LEFT(Customer[[#This Row],[Address Line 3 (30 char)]],1)))</f>
        <v>0</v>
      </c>
      <c r="J360" s="29" t="s">
        <v>34</v>
      </c>
      <c r="K360" s="12">
        <v>52000</v>
      </c>
      <c r="L360" s="12" t="s">
        <v>35</v>
      </c>
      <c r="M360" s="13" t="e">
        <v>#N/A</v>
      </c>
      <c r="N360" s="14" t="e">
        <v>#N/A</v>
      </c>
      <c r="O360" s="14" t="e">
        <v>#N/A</v>
      </c>
      <c r="P360" s="14" t="e">
        <v>#N/A</v>
      </c>
      <c r="Q360" s="19" t="s">
        <v>2633</v>
      </c>
      <c r="R360" s="15" t="s">
        <v>2634</v>
      </c>
      <c r="S360" s="15" t="s">
        <v>37</v>
      </c>
      <c r="T360" s="16" t="s">
        <v>38</v>
      </c>
      <c r="U360" s="11" t="str">
        <f>_xlfn.XLOOKUP(Customer[[#This Row],[Customer ID]],[1]!Address[ID],[1]!Address[Phone No.(2)])</f>
        <v/>
      </c>
      <c r="V360" s="11" t="str">
        <f>_xlfn.XLOOKUP(Customer[[#This Row],[Customer ID]],[1]!Address[ID],[1]!Address[Type])</f>
        <v>PETROMART</v>
      </c>
      <c r="W360" s="11" t="str">
        <f>_xlfn.XLOOKUP(Customer[[#This Row],[Customer ID]],[1]!Address[ID],[1]!Address[CT])</f>
        <v>30 DAYS</v>
      </c>
      <c r="X360" s="11" t="s">
        <v>39</v>
      </c>
      <c r="Y360" s="17" t="s">
        <v>40</v>
      </c>
      <c r="Z360" s="17" t="e">
        <f>_xlfn.XLOOKUP(Customer[[#This Row],[NewType]],$AF$36:$AF$54,$AG$36:$AG$54)</f>
        <v>#N/A</v>
      </c>
      <c r="AA360" s="17" t="s">
        <v>2635</v>
      </c>
      <c r="AB360" s="11" t="str">
        <f>_xlfn.XLOOKUP(Customer[[#This Row],[Customer ID]],[1]!Address[ID],[1]!Address[Subtype])</f>
        <v>PETRONAS</v>
      </c>
      <c r="AC360" s="18" t="str">
        <f>_xlfn.XLOOKUP(Customer[[#This Row],[Customer ID]],[1]!Address[ID],[1]!Address[Zone])</f>
        <v>CENTRAL</v>
      </c>
    </row>
    <row r="361" spans="1:29" x14ac:dyDescent="0.3">
      <c r="A361" s="27" t="s">
        <v>2636</v>
      </c>
      <c r="B361" s="28" t="str">
        <f>_xlfn.XLOOKUP(Customer[[#This Row],[Customer ID]],[1]!Name[ID],[1]!Name[Description(1)])</f>
        <v>AL HIJJAZ PETROL STATION</v>
      </c>
      <c r="C361" s="11" t="str">
        <f>_xlfn.XLOOKUP(Customer[[#This Row],[Customer ID]],[1]!Name[ID],[1]!Name[Description(2)])</f>
        <v>PS KEPONG INDAH</v>
      </c>
      <c r="D361" s="11" t="str">
        <f>_xlfn.XLOOKUP(Customer[[#This Row],[Customer ID]],[1]!Address[ID],[1]!Address[PIC])</f>
        <v/>
      </c>
      <c r="E361" s="11" t="str">
        <f>_xlfn.XLOOKUP(Customer[[#This Row],[Customer ID]],[1]!Address[ID],[1]!Address[Full Address])</f>
        <v>PS KEPONG INDAHLOT 9614, JALAN 1/1A, TAMAN KEPONG INDAH52100, WILAYAH PERSEKUTUAN KUALA LUMPURLUMPUR, W PERSEKUTUAN</v>
      </c>
      <c r="F361" s="12" t="s">
        <v>2637</v>
      </c>
      <c r="G361" s="12" t="s">
        <v>2638</v>
      </c>
      <c r="H361" s="12" t="s">
        <v>2639</v>
      </c>
      <c r="I361" s="12" t="b">
        <f>ISNUMBER(VALUE(LEFT(Customer[[#This Row],[Address Line 3 (30 char)]],1)))</f>
        <v>0</v>
      </c>
      <c r="J361" s="29" t="s">
        <v>34</v>
      </c>
      <c r="K361" s="12">
        <v>52100</v>
      </c>
      <c r="L361" s="12" t="s">
        <v>35</v>
      </c>
      <c r="M361" s="13" t="e">
        <v>#N/A</v>
      </c>
      <c r="N361" s="14" t="e">
        <v>#N/A</v>
      </c>
      <c r="O361" s="14" t="e">
        <v>#N/A</v>
      </c>
      <c r="P361" s="14" t="e">
        <v>#N/A</v>
      </c>
      <c r="Q361" s="19" t="s">
        <v>2640</v>
      </c>
      <c r="R361" s="15" t="s">
        <v>2641</v>
      </c>
      <c r="S361" s="15" t="s">
        <v>37</v>
      </c>
      <c r="T361" s="16" t="s">
        <v>38</v>
      </c>
      <c r="U361" s="11" t="str">
        <f>_xlfn.XLOOKUP(Customer[[#This Row],[Customer ID]],[1]!Address[ID],[1]!Address[Phone No.(2)])</f>
        <v/>
      </c>
      <c r="V361" s="11" t="str">
        <f>_xlfn.XLOOKUP(Customer[[#This Row],[Customer ID]],[1]!Address[ID],[1]!Address[Type])</f>
        <v>PETROMART</v>
      </c>
      <c r="W361" s="11" t="str">
        <f>_xlfn.XLOOKUP(Customer[[#This Row],[Customer ID]],[1]!Address[ID],[1]!Address[CT])</f>
        <v>30 DAYS</v>
      </c>
      <c r="X361" s="11" t="s">
        <v>39</v>
      </c>
      <c r="Y361" s="17" t="s">
        <v>40</v>
      </c>
      <c r="Z361" s="17" t="e">
        <f>_xlfn.XLOOKUP(Customer[[#This Row],[NewType]],$AF$36:$AF$54,$AG$36:$AG$54)</f>
        <v>#N/A</v>
      </c>
      <c r="AA361" s="17" t="s">
        <v>2642</v>
      </c>
      <c r="AB361" s="11" t="str">
        <f>_xlfn.XLOOKUP(Customer[[#This Row],[Customer ID]],[1]!Address[ID],[1]!Address[Subtype])</f>
        <v>PETRONAS</v>
      </c>
      <c r="AC361" s="18" t="str">
        <f>_xlfn.XLOOKUP(Customer[[#This Row],[Customer ID]],[1]!Address[ID],[1]!Address[Zone])</f>
        <v>CENTRAL</v>
      </c>
    </row>
    <row r="362" spans="1:29" x14ac:dyDescent="0.3">
      <c r="A362" s="27" t="s">
        <v>2643</v>
      </c>
      <c r="B362" s="28" t="str">
        <f>_xlfn.XLOOKUP(Customer[[#This Row],[Customer ID]],[1]!Name[ID],[1]!Name[Description(1)])</f>
        <v>KIP ENERGY RESOURCES</v>
      </c>
      <c r="C362" s="11" t="str">
        <f>_xlfn.XLOOKUP(Customer[[#This Row],[Customer ID]],[1]!Name[ID],[1]!Name[Description(2)])</f>
        <v>PS KEPONG INDUSTRIAL PARK</v>
      </c>
      <c r="D362" s="11" t="str">
        <f>_xlfn.XLOOKUP(Customer[[#This Row],[Customer ID]],[1]!Address[ID],[1]!Address[PIC])</f>
        <v/>
      </c>
      <c r="E362" s="11" t="str">
        <f>_xlfn.XLOOKUP(Customer[[#This Row],[Customer ID]],[1]!Address[ID],[1]!Address[Full Address])</f>
        <v>PS KEPONG INDUSTRIAL PARKLOT 2838,PERSIARAN KIP UTAMA, PARCEL 1KEPONG INDUSTRIAL PARK,KEPONG,SELANGOR, 52100, KUALA LUMPUR</v>
      </c>
      <c r="F362" s="12" t="s">
        <v>2644</v>
      </c>
      <c r="G362" s="12" t="s">
        <v>2645</v>
      </c>
      <c r="H362" s="12" t="s">
        <v>2646</v>
      </c>
      <c r="I362" s="12" t="b">
        <f>ISNUMBER(VALUE(LEFT(Customer[[#This Row],[Address Line 3 (30 char)]],1)))</f>
        <v>0</v>
      </c>
      <c r="J362" s="29" t="s">
        <v>34</v>
      </c>
      <c r="K362" s="12">
        <v>52100</v>
      </c>
      <c r="L362" s="12" t="s">
        <v>35</v>
      </c>
      <c r="M362" s="13">
        <v>201803381224</v>
      </c>
      <c r="N362" s="14" t="s">
        <v>2647</v>
      </c>
      <c r="O362" s="14" t="s">
        <v>54</v>
      </c>
      <c r="P362" s="14">
        <v>47300</v>
      </c>
      <c r="Q362" s="19" t="s">
        <v>2648</v>
      </c>
      <c r="R362" s="15" t="s">
        <v>2649</v>
      </c>
      <c r="S362" s="15" t="s">
        <v>37</v>
      </c>
      <c r="T362" s="16" t="s">
        <v>38</v>
      </c>
      <c r="U362" s="11" t="str">
        <f>_xlfn.XLOOKUP(Customer[[#This Row],[Customer ID]],[1]!Address[ID],[1]!Address[Phone No.(2)])</f>
        <v/>
      </c>
      <c r="V362" s="11" t="str">
        <f>_xlfn.XLOOKUP(Customer[[#This Row],[Customer ID]],[1]!Address[ID],[1]!Address[Type])</f>
        <v>PETROMART</v>
      </c>
      <c r="W362" s="11" t="str">
        <f>_xlfn.XLOOKUP(Customer[[#This Row],[Customer ID]],[1]!Address[ID],[1]!Address[CT])</f>
        <v>30 DAYS</v>
      </c>
      <c r="X362" s="11" t="s">
        <v>39</v>
      </c>
      <c r="Y362" s="17" t="s">
        <v>40</v>
      </c>
      <c r="Z362" s="17" t="e">
        <f>_xlfn.XLOOKUP(Customer[[#This Row],[NewType]],$AF$36:$AF$54,$AG$36:$AG$54)</f>
        <v>#N/A</v>
      </c>
      <c r="AA362" s="17" t="s">
        <v>2650</v>
      </c>
      <c r="AB362" s="11" t="str">
        <f>_xlfn.XLOOKUP(Customer[[#This Row],[Customer ID]],[1]!Address[ID],[1]!Address[Subtype])</f>
        <v>PETRONAS</v>
      </c>
      <c r="AC362" s="18" t="str">
        <f>_xlfn.XLOOKUP(Customer[[#This Row],[Customer ID]],[1]!Address[ID],[1]!Address[Zone])</f>
        <v>CENTRAL</v>
      </c>
    </row>
    <row r="363" spans="1:29" x14ac:dyDescent="0.3">
      <c r="A363" s="10" t="s">
        <v>2651</v>
      </c>
      <c r="B363" s="11" t="str">
        <f>_xlfn.XLOOKUP(Customer[[#This Row],[Customer ID]],[1]!Name[ID],[1]!Name[Description(1)])</f>
        <v>MDE FUEL MART SDN. BHD.</v>
      </c>
      <c r="C363" s="11" t="str">
        <f>_xlfn.XLOOKUP(Customer[[#This Row],[Customer ID]],[1]!Name[ID],[1]!Name[Description(2)])</f>
        <v>PS KERTEH 2</v>
      </c>
      <c r="D363" s="11" t="str">
        <f>_xlfn.XLOOKUP(Customer[[#This Row],[Customer ID]],[1]!Address[ID],[1]!Address[PIC])</f>
        <v/>
      </c>
      <c r="E363" s="11" t="str">
        <f>_xlfn.XLOOKUP(Customer[[#This Row],[Customer ID]],[1]!Address[ID],[1]!Address[Full Address])</f>
        <v>PS KERTEH 2LOT 872 MUKIM KERTIH, KEMAMAN,TERENGGANU, 24300, KERTIH, TERENGGANU</v>
      </c>
      <c r="F363" s="12" t="s">
        <v>2652</v>
      </c>
      <c r="G363" s="12" t="s">
        <v>2653</v>
      </c>
      <c r="H363" s="12" t="s">
        <v>2654</v>
      </c>
      <c r="I363" s="12" t="b">
        <f>ISNUMBER(VALUE(LEFT(Customer[[#This Row],[Address Line 3 (30 char)]],1)))</f>
        <v>0</v>
      </c>
      <c r="J363" s="12" t="s">
        <v>1056</v>
      </c>
      <c r="K363" s="12">
        <v>24300</v>
      </c>
      <c r="L363" s="12" t="s">
        <v>35</v>
      </c>
      <c r="M363" s="13">
        <v>202301017752</v>
      </c>
      <c r="N363" s="14" t="s">
        <v>2655</v>
      </c>
      <c r="O363" s="14" t="e">
        <v>#N/A</v>
      </c>
      <c r="P363" s="14" t="e">
        <v>#N/A</v>
      </c>
      <c r="Q363" s="19" t="s">
        <v>2656</v>
      </c>
      <c r="R363" s="15" t="s">
        <v>2657</v>
      </c>
      <c r="S363" s="15" t="s">
        <v>37</v>
      </c>
      <c r="T363" s="16" t="s">
        <v>38</v>
      </c>
      <c r="U363" s="11" t="str">
        <f>_xlfn.XLOOKUP(Customer[[#This Row],[Customer ID]],[1]!Address[ID],[1]!Address[Phone No.(2)])</f>
        <v/>
      </c>
      <c r="V363" s="11" t="str">
        <f>_xlfn.XLOOKUP(Customer[[#This Row],[Customer ID]],[1]!Address[ID],[1]!Address[Type])</f>
        <v>PETROMART</v>
      </c>
      <c r="W363" s="11" t="str">
        <f>_xlfn.XLOOKUP(Customer[[#This Row],[Customer ID]],[1]!Address[ID],[1]!Address[CT])</f>
        <v>30 DAYS</v>
      </c>
      <c r="X363" s="11" t="s">
        <v>39</v>
      </c>
      <c r="Y363" s="17" t="s">
        <v>40</v>
      </c>
      <c r="Z363" s="17" t="e">
        <f>_xlfn.XLOOKUP(Customer[[#This Row],[NewType]],$AF$36:$AF$54,$AG$36:$AG$54)</f>
        <v>#N/A</v>
      </c>
      <c r="AA363" s="17" t="s">
        <v>2658</v>
      </c>
      <c r="AB363" s="11" t="str">
        <f>_xlfn.XLOOKUP(Customer[[#This Row],[Customer ID]],[1]!Address[ID],[1]!Address[Subtype])</f>
        <v>PETRONAS</v>
      </c>
      <c r="AC363" s="18" t="str">
        <f>_xlfn.XLOOKUP(Customer[[#This Row],[Customer ID]],[1]!Address[ID],[1]!Address[Zone])</f>
        <v>EAST COAST</v>
      </c>
    </row>
    <row r="364" spans="1:29" x14ac:dyDescent="0.3">
      <c r="A364" s="27" t="s">
        <v>2659</v>
      </c>
      <c r="B364" s="28" t="str">
        <f>_xlfn.XLOOKUP(Customer[[#This Row],[Customer ID]],[1]!Name[ID],[1]!Name[Description(1)])</f>
        <v>RIZQ DAIM EMPIRE</v>
      </c>
      <c r="C364" s="11" t="str">
        <f>_xlfn.XLOOKUP(Customer[[#This Row],[Customer ID]],[1]!Name[ID],[1]!Name[Description(2)])</f>
        <v>PS KESAS - AWAN BESAR</v>
      </c>
      <c r="D364" s="11" t="str">
        <f>_xlfn.XLOOKUP(Customer[[#This Row],[Customer ID]],[1]!Address[ID],[1]!Address[PIC])</f>
        <v/>
      </c>
      <c r="E364" s="11" t="str">
        <f>_xlfn.XLOOKUP(Customer[[#This Row],[Customer ID]],[1]!Address[ID],[1]!Address[Full Address])</f>
        <v>PS KESAS - AWAN BESARKM 47.2 AWAN BESAR LEBUHRAYA KESAS,KUALALUMPUR,58200,PETALING, WPERSEKUTUAN</v>
      </c>
      <c r="F364" s="12" t="s">
        <v>2660</v>
      </c>
      <c r="G364" s="12" t="s">
        <v>2661</v>
      </c>
      <c r="H364" s="12" t="s">
        <v>2274</v>
      </c>
      <c r="I364" s="12" t="b">
        <f>ISNUMBER(VALUE(LEFT(Customer[[#This Row],[Address Line 3 (30 char)]],1)))</f>
        <v>0</v>
      </c>
      <c r="J364" s="29" t="s">
        <v>34</v>
      </c>
      <c r="K364" s="12">
        <v>58200</v>
      </c>
      <c r="L364" s="12" t="s">
        <v>35</v>
      </c>
      <c r="M364" s="13" t="e">
        <v>#N/A</v>
      </c>
      <c r="N364" s="14" t="e">
        <v>#N/A</v>
      </c>
      <c r="O364" s="14" t="e">
        <v>#N/A</v>
      </c>
      <c r="P364" s="14" t="e">
        <v>#N/A</v>
      </c>
      <c r="Q364" s="19" t="s">
        <v>2662</v>
      </c>
      <c r="R364" s="15" t="s">
        <v>2663</v>
      </c>
      <c r="S364" s="15" t="s">
        <v>37</v>
      </c>
      <c r="T364" s="16" t="s">
        <v>38</v>
      </c>
      <c r="U364" s="11" t="str">
        <f>_xlfn.XLOOKUP(Customer[[#This Row],[Customer ID]],[1]!Address[ID],[1]!Address[Phone No.(2)])</f>
        <v/>
      </c>
      <c r="V364" s="11" t="str">
        <f>_xlfn.XLOOKUP(Customer[[#This Row],[Customer ID]],[1]!Address[ID],[1]!Address[Type])</f>
        <v>PETROMART</v>
      </c>
      <c r="W364" s="11" t="str">
        <f>_xlfn.XLOOKUP(Customer[[#This Row],[Customer ID]],[1]!Address[ID],[1]!Address[CT])</f>
        <v>30 DAYS</v>
      </c>
      <c r="X364" s="11" t="s">
        <v>39</v>
      </c>
      <c r="Y364" s="17" t="s">
        <v>40</v>
      </c>
      <c r="Z364" s="17" t="e">
        <f>_xlfn.XLOOKUP(Customer[[#This Row],[NewType]],$AF$36:$AF$54,$AG$36:$AG$54)</f>
        <v>#N/A</v>
      </c>
      <c r="AA364" s="17" t="s">
        <v>2664</v>
      </c>
      <c r="AB364" s="11" t="str">
        <f>_xlfn.XLOOKUP(Customer[[#This Row],[Customer ID]],[1]!Address[ID],[1]!Address[Subtype])</f>
        <v>PETRONAS</v>
      </c>
      <c r="AC364" s="18" t="str">
        <f>_xlfn.XLOOKUP(Customer[[#This Row],[Customer ID]],[1]!Address[ID],[1]!Address[Zone])</f>
        <v>CENTRAL</v>
      </c>
    </row>
    <row r="365" spans="1:29" x14ac:dyDescent="0.3">
      <c r="A365" s="10" t="s">
        <v>2665</v>
      </c>
      <c r="B365" s="11" t="str">
        <f>_xlfn.XLOOKUP(Customer[[#This Row],[Customer ID]],[1]!Name[ID],[1]!Name[Description(1)])</f>
        <v>FAJAR FIRASAT ENTERPRISE</v>
      </c>
      <c r="C365" s="11" t="str">
        <f>_xlfn.XLOOKUP(Customer[[#This Row],[Customer ID]],[1]!Name[ID],[1]!Name[Description(2)])</f>
        <v>PS KESAS HIGHWAY (KL-BOUND)</v>
      </c>
      <c r="D365" s="11" t="str">
        <f>_xlfn.XLOOKUP(Customer[[#This Row],[Customer ID]],[1]!Address[ID],[1]!Address[PIC])</f>
        <v/>
      </c>
      <c r="E365" s="11" t="str">
        <f>_xlfn.XLOOKUP(Customer[[#This Row],[Customer ID]],[1]!Address[ID],[1]!Address[Full Address])</f>
        <v>PS KESAS HIGHWAY (KL-BOUND)KM 34.5 LEBUHRAYA SHAH ALAM (KESAS)SELANGOR, SHAH ALAM, 40000 SELANGOR</v>
      </c>
      <c r="F365" s="12" t="s">
        <v>2666</v>
      </c>
      <c r="G365" s="12" t="s">
        <v>2667</v>
      </c>
      <c r="H365" s="12" t="s">
        <v>2668</v>
      </c>
      <c r="I365" s="12" t="b">
        <f>ISNUMBER(VALUE(LEFT(Customer[[#This Row],[Address Line 3 (30 char)]],1)))</f>
        <v>0</v>
      </c>
      <c r="J365" s="12" t="s">
        <v>172</v>
      </c>
      <c r="K365" s="12">
        <v>40000</v>
      </c>
      <c r="L365" s="12" t="s">
        <v>35</v>
      </c>
      <c r="M365" s="13">
        <v>200403000928</v>
      </c>
      <c r="N365" s="14" t="s">
        <v>2669</v>
      </c>
      <c r="O365" s="14" t="s">
        <v>54</v>
      </c>
      <c r="P365" s="14">
        <v>47300</v>
      </c>
      <c r="Q365" s="19" t="s">
        <v>2670</v>
      </c>
      <c r="R365" s="15" t="s">
        <v>2671</v>
      </c>
      <c r="S365" s="15" t="s">
        <v>37</v>
      </c>
      <c r="T365" s="16" t="s">
        <v>38</v>
      </c>
      <c r="U365" s="11" t="str">
        <f>_xlfn.XLOOKUP(Customer[[#This Row],[Customer ID]],[1]!Address[ID],[1]!Address[Phone No.(2)])</f>
        <v/>
      </c>
      <c r="V365" s="11" t="str">
        <f>_xlfn.XLOOKUP(Customer[[#This Row],[Customer ID]],[1]!Address[ID],[1]!Address[Type])</f>
        <v>PETROMART</v>
      </c>
      <c r="W365" s="11" t="str">
        <f>_xlfn.XLOOKUP(Customer[[#This Row],[Customer ID]],[1]!Address[ID],[1]!Address[CT])</f>
        <v>30 DAYS</v>
      </c>
      <c r="X365" s="11" t="s">
        <v>39</v>
      </c>
      <c r="Y365" s="17" t="s">
        <v>40</v>
      </c>
      <c r="Z365" s="17" t="e">
        <f>_xlfn.XLOOKUP(Customer[[#This Row],[NewType]],$AF$36:$AF$54,$AG$36:$AG$54)</f>
        <v>#N/A</v>
      </c>
      <c r="AA365" s="17" t="s">
        <v>2672</v>
      </c>
      <c r="AB365" s="11" t="str">
        <f>_xlfn.XLOOKUP(Customer[[#This Row],[Customer ID]],[1]!Address[ID],[1]!Address[Subtype])</f>
        <v>PETRONAS</v>
      </c>
      <c r="AC365" s="18" t="str">
        <f>_xlfn.XLOOKUP(Customer[[#This Row],[Customer ID]],[1]!Address[ID],[1]!Address[Zone])</f>
        <v>CENTRAL</v>
      </c>
    </row>
    <row r="366" spans="1:29" x14ac:dyDescent="0.3">
      <c r="A366" s="10" t="s">
        <v>2673</v>
      </c>
      <c r="B366" s="11" t="str">
        <f>_xlfn.XLOOKUP(Customer[[#This Row],[Customer ID]],[1]!Name[ID],[1]!Name[Description(1)])</f>
        <v>MOFA TULEN ENTERPRISE</v>
      </c>
      <c r="C366" s="11" t="str">
        <f>_xlfn.XLOOKUP(Customer[[#This Row],[Customer ID]],[1]!Name[ID],[1]!Name[Description(2)])</f>
        <v>PS KESAS HIGHWAY (SHAH ALAM-BOUND)</v>
      </c>
      <c r="D366" s="11" t="str">
        <f>_xlfn.XLOOKUP(Customer[[#This Row],[Customer ID]],[1]!Address[ID],[1]!Address[PIC])</f>
        <v/>
      </c>
      <c r="E366" s="11" t="str">
        <f>_xlfn.XLOOKUP(Customer[[#This Row],[Customer ID]],[1]!Address[ID],[1]!Address[Full Address])</f>
        <v>PS KESAS HIGHWAY (SHAH ALAM-BOUND)KM 34.5 KESAS HIGHWAY(SHAH ALAM BOUND),KM 34.5 KESAS HIGHWAY(SHAH ALAM BOUND),40000 SHAH ALAM, SELANGOR</v>
      </c>
      <c r="F366" s="12" t="s">
        <v>2674</v>
      </c>
      <c r="G366" s="12" t="s">
        <v>2675</v>
      </c>
      <c r="H366" s="12" t="s">
        <v>2676</v>
      </c>
      <c r="I366" s="12" t="b">
        <f>ISNUMBER(VALUE(LEFT(Customer[[#This Row],[Address Line 3 (30 char)]],1)))</f>
        <v>0</v>
      </c>
      <c r="J366" s="12" t="s">
        <v>172</v>
      </c>
      <c r="K366" s="12">
        <v>40000</v>
      </c>
      <c r="L366" s="12" t="s">
        <v>35</v>
      </c>
      <c r="M366" s="13">
        <v>200403104663</v>
      </c>
      <c r="N366" s="14" t="s">
        <v>2677</v>
      </c>
      <c r="O366" s="14" t="s">
        <v>54</v>
      </c>
      <c r="P366" s="14">
        <v>47300</v>
      </c>
      <c r="Q366" s="19" t="s">
        <v>2678</v>
      </c>
      <c r="R366" s="15" t="s">
        <v>2679</v>
      </c>
      <c r="S366" s="15" t="s">
        <v>37</v>
      </c>
      <c r="T366" s="16" t="s">
        <v>38</v>
      </c>
      <c r="U366" s="11" t="str">
        <f>_xlfn.XLOOKUP(Customer[[#This Row],[Customer ID]],[1]!Address[ID],[1]!Address[Phone No.(2)])</f>
        <v/>
      </c>
      <c r="V366" s="11" t="str">
        <f>_xlfn.XLOOKUP(Customer[[#This Row],[Customer ID]],[1]!Address[ID],[1]!Address[Type])</f>
        <v>PETROMART</v>
      </c>
      <c r="W366" s="11" t="str">
        <f>_xlfn.XLOOKUP(Customer[[#This Row],[Customer ID]],[1]!Address[ID],[1]!Address[CT])</f>
        <v>30 DAYS</v>
      </c>
      <c r="X366" s="11" t="s">
        <v>39</v>
      </c>
      <c r="Y366" s="17" t="s">
        <v>40</v>
      </c>
      <c r="Z366" s="17" t="e">
        <f>_xlfn.XLOOKUP(Customer[[#This Row],[NewType]],$AF$36:$AF$54,$AG$36:$AG$54)</f>
        <v>#N/A</v>
      </c>
      <c r="AA366" s="17" t="s">
        <v>2680</v>
      </c>
      <c r="AB366" s="11" t="str">
        <f>_xlfn.XLOOKUP(Customer[[#This Row],[Customer ID]],[1]!Address[ID],[1]!Address[Subtype])</f>
        <v>PETRONAS</v>
      </c>
      <c r="AC366" s="18" t="str">
        <f>_xlfn.XLOOKUP(Customer[[#This Row],[Customer ID]],[1]!Address[ID],[1]!Address[Zone])</f>
        <v>CENTRAL</v>
      </c>
    </row>
    <row r="367" spans="1:29" x14ac:dyDescent="0.3">
      <c r="A367" s="10" t="s">
        <v>2681</v>
      </c>
      <c r="B367" s="11" t="str">
        <f>_xlfn.XLOOKUP(Customer[[#This Row],[Customer ID]],[1]!Name[ID],[1]!Name[Description(1)])</f>
        <v>FAZDREEN SYNERGY EMPIRE</v>
      </c>
      <c r="C367" s="11" t="str">
        <f>_xlfn.XLOOKUP(Customer[[#This Row],[Customer ID]],[1]!Name[ID],[1]!Name[Description(2)])</f>
        <v>PS KG GAUNG PASIR MAS</v>
      </c>
      <c r="D367" s="11" t="str">
        <f>_xlfn.XLOOKUP(Customer[[#This Row],[Customer ID]],[1]!Address[ID],[1]!Address[PIC])</f>
        <v/>
      </c>
      <c r="E367" s="11" t="str">
        <f>_xlfn.XLOOKUP(Customer[[#This Row],[Customer ID]],[1]!Address[ID],[1]!Address[Full Address])</f>
        <v>PS KG GAUNG PASIR MASLOT 599 MUKIM GUA, KUALA LEMAL,PASIR MAS, 17000 KELANTAN</v>
      </c>
      <c r="F367" s="12" t="s">
        <v>2682</v>
      </c>
      <c r="G367" s="12" t="s">
        <v>2683</v>
      </c>
      <c r="H367" s="12" t="s">
        <v>2684</v>
      </c>
      <c r="I367" s="12" t="b">
        <f>ISNUMBER(VALUE(LEFT(Customer[[#This Row],[Address Line 3 (30 char)]],1)))</f>
        <v>0</v>
      </c>
      <c r="J367" s="12" t="s">
        <v>1007</v>
      </c>
      <c r="K367" s="12">
        <v>17000</v>
      </c>
      <c r="L367" s="12" t="s">
        <v>35</v>
      </c>
      <c r="M367" s="13">
        <v>201703029515</v>
      </c>
      <c r="N367" s="14" t="s">
        <v>2685</v>
      </c>
      <c r="O367" s="14"/>
      <c r="P367" s="14"/>
      <c r="Q367" s="19" t="s">
        <v>2686</v>
      </c>
      <c r="R367" s="15" t="s">
        <v>2687</v>
      </c>
      <c r="S367" s="15" t="s">
        <v>37</v>
      </c>
      <c r="T367" s="16" t="s">
        <v>38</v>
      </c>
      <c r="U367" s="11" t="str">
        <f>_xlfn.XLOOKUP(Customer[[#This Row],[Customer ID]],[1]!Address[ID],[1]!Address[Phone No.(2)])</f>
        <v/>
      </c>
      <c r="V367" s="11" t="str">
        <f>_xlfn.XLOOKUP(Customer[[#This Row],[Customer ID]],[1]!Address[ID],[1]!Address[Type])</f>
        <v>PETROMART</v>
      </c>
      <c r="W367" s="11" t="str">
        <f>_xlfn.XLOOKUP(Customer[[#This Row],[Customer ID]],[1]!Address[ID],[1]!Address[CT])</f>
        <v>30 DAYS</v>
      </c>
      <c r="X367" s="11" t="s">
        <v>39</v>
      </c>
      <c r="Y367" s="17" t="s">
        <v>40</v>
      </c>
      <c r="Z367" s="17" t="e">
        <f>_xlfn.XLOOKUP(Customer[[#This Row],[NewType]],$AF$36:$AF$54,$AG$36:$AG$54)</f>
        <v>#N/A</v>
      </c>
      <c r="AA367" s="17" t="s">
        <v>2688</v>
      </c>
      <c r="AB367" s="11" t="str">
        <f>_xlfn.XLOOKUP(Customer[[#This Row],[Customer ID]],[1]!Address[ID],[1]!Address[Subtype])</f>
        <v>PETRONAS</v>
      </c>
      <c r="AC367" s="18" t="str">
        <f>_xlfn.XLOOKUP(Customer[[#This Row],[Customer ID]],[1]!Address[ID],[1]!Address[Zone])</f>
        <v>EAST COAST</v>
      </c>
    </row>
    <row r="368" spans="1:29" x14ac:dyDescent="0.3">
      <c r="A368" s="10" t="s">
        <v>2689</v>
      </c>
      <c r="B368" s="11" t="str">
        <f>_xlfn.XLOOKUP(Customer[[#This Row],[Customer ID]],[1]!Name[ID],[1]!Name[Description(1)])</f>
        <v>PUMP IT ENTERPRISE</v>
      </c>
      <c r="C368" s="11" t="str">
        <f>_xlfn.XLOOKUP(Customer[[#This Row],[Customer ID]],[1]!Name[ID],[1]!Name[Description(2)])</f>
        <v>PS KG JAWA , KLANG</v>
      </c>
      <c r="D368" s="11" t="str">
        <f>_xlfn.XLOOKUP(Customer[[#This Row],[Customer ID]],[1]!Address[ID],[1]!Address[PIC])</f>
        <v/>
      </c>
      <c r="E368" s="11" t="str">
        <f>_xlfn.XLOOKUP(Customer[[#This Row],[Customer ID]],[1]!Address[ID],[1]!Address[Full Address])</f>
        <v>PS KG JAWA , KLANGLOT 17867, JALAN KOTA RAJA, KAMPUNG JAWAKLANG, 41000, KLANG, SELANGOR</v>
      </c>
      <c r="F368" s="12" t="s">
        <v>2690</v>
      </c>
      <c r="G368" s="12" t="s">
        <v>2691</v>
      </c>
      <c r="H368" s="12" t="s">
        <v>471</v>
      </c>
      <c r="I368" s="12" t="b">
        <f>ISNUMBER(VALUE(LEFT(Customer[[#This Row],[Address Line 3 (30 char)]],1)))</f>
        <v>0</v>
      </c>
      <c r="J368" s="12" t="s">
        <v>172</v>
      </c>
      <c r="K368" s="12">
        <v>41000</v>
      </c>
      <c r="L368" s="12" t="s">
        <v>35</v>
      </c>
      <c r="M368" s="13" t="e">
        <v>#N/A</v>
      </c>
      <c r="N368" s="14" t="e">
        <v>#N/A</v>
      </c>
      <c r="O368" s="14" t="e">
        <v>#N/A</v>
      </c>
      <c r="P368" s="14" t="e">
        <v>#N/A</v>
      </c>
      <c r="Q368" s="19" t="s">
        <v>2692</v>
      </c>
      <c r="R368" s="15" t="s">
        <v>2693</v>
      </c>
      <c r="S368" s="15" t="s">
        <v>37</v>
      </c>
      <c r="T368" s="16" t="s">
        <v>38</v>
      </c>
      <c r="U368" s="11" t="str">
        <f>_xlfn.XLOOKUP(Customer[[#This Row],[Customer ID]],[1]!Address[ID],[1]!Address[Phone No.(2)])</f>
        <v/>
      </c>
      <c r="V368" s="11" t="str">
        <f>_xlfn.XLOOKUP(Customer[[#This Row],[Customer ID]],[1]!Address[ID],[1]!Address[Type])</f>
        <v>PETROMART</v>
      </c>
      <c r="W368" s="11" t="str">
        <f>_xlfn.XLOOKUP(Customer[[#This Row],[Customer ID]],[1]!Address[ID],[1]!Address[CT])</f>
        <v>30 DAYS</v>
      </c>
      <c r="X368" s="11" t="s">
        <v>39</v>
      </c>
      <c r="Y368" s="17" t="s">
        <v>40</v>
      </c>
      <c r="Z368" s="17" t="e">
        <f>_xlfn.XLOOKUP(Customer[[#This Row],[NewType]],$AF$36:$AF$54,$AG$36:$AG$54)</f>
        <v>#N/A</v>
      </c>
      <c r="AA368" s="17" t="s">
        <v>2694</v>
      </c>
      <c r="AB368" s="11" t="str">
        <f>_xlfn.XLOOKUP(Customer[[#This Row],[Customer ID]],[1]!Address[ID],[1]!Address[Subtype])</f>
        <v>PETRONAS</v>
      </c>
      <c r="AC368" s="18" t="str">
        <f>_xlfn.XLOOKUP(Customer[[#This Row],[Customer ID]],[1]!Address[ID],[1]!Address[Zone])</f>
        <v>CENTRAL</v>
      </c>
    </row>
    <row r="369" spans="1:29" x14ac:dyDescent="0.3">
      <c r="A369" s="10" t="s">
        <v>2695</v>
      </c>
      <c r="B369" s="11" t="str">
        <f>_xlfn.XLOOKUP(Customer[[#This Row],[Customer ID]],[1]!Name[ID],[1]!Name[Description(1)])</f>
        <v>BUNGA MEKAR ENTERPRISE</v>
      </c>
      <c r="C369" s="11" t="str">
        <f>_xlfn.XLOOKUP(Customer[[#This Row],[Customer ID]],[1]!Name[ID],[1]!Name[Description(2)])</f>
        <v>PS KG MELAYU, SUBANG</v>
      </c>
      <c r="D369" s="11" t="str">
        <f>_xlfn.XLOOKUP(Customer[[#This Row],[Customer ID]],[1]!Address[ID],[1]!Address[PIC])</f>
        <v/>
      </c>
      <c r="E369" s="11" t="str">
        <f>_xlfn.XLOOKUP(Customer[[#This Row],[Customer ID]],[1]!Address[ID],[1]!Address[Full Address])</f>
        <v>PS KG MELAYU, SUBANGLOT PT 38368 JLN SUNGAI BULOH, KG MELAYUSUBANG, SUNGAI BULOH, SHAH ALAM, 47000PETALING, SELANGOR</v>
      </c>
      <c r="F369" s="12" t="s">
        <v>2696</v>
      </c>
      <c r="G369" s="12" t="s">
        <v>2697</v>
      </c>
      <c r="H369" s="12" t="s">
        <v>2698</v>
      </c>
      <c r="I369" s="12" t="b">
        <f>ISNUMBER(VALUE(LEFT(Customer[[#This Row],[Address Line 3 (30 char)]],1)))</f>
        <v>0</v>
      </c>
      <c r="J369" s="12" t="s">
        <v>172</v>
      </c>
      <c r="K369" s="12">
        <v>47000</v>
      </c>
      <c r="L369" s="12" t="s">
        <v>35</v>
      </c>
      <c r="M369" s="13" t="e">
        <v>#N/A</v>
      </c>
      <c r="N369" s="14" t="e">
        <v>#N/A</v>
      </c>
      <c r="O369" s="14" t="e">
        <v>#N/A</v>
      </c>
      <c r="P369" s="14" t="e">
        <v>#N/A</v>
      </c>
      <c r="Q369" s="19" t="s">
        <v>2699</v>
      </c>
      <c r="R369" s="15" t="s">
        <v>2700</v>
      </c>
      <c r="S369" s="15" t="s">
        <v>37</v>
      </c>
      <c r="T369" s="16" t="s">
        <v>38</v>
      </c>
      <c r="U369" s="11" t="str">
        <f>_xlfn.XLOOKUP(Customer[[#This Row],[Customer ID]],[1]!Address[ID],[1]!Address[Phone No.(2)])</f>
        <v/>
      </c>
      <c r="V369" s="11" t="str">
        <f>_xlfn.XLOOKUP(Customer[[#This Row],[Customer ID]],[1]!Address[ID],[1]!Address[Type])</f>
        <v>PETROMART</v>
      </c>
      <c r="W369" s="11" t="str">
        <f>_xlfn.XLOOKUP(Customer[[#This Row],[Customer ID]],[1]!Address[ID],[1]!Address[CT])</f>
        <v>30 DAYS</v>
      </c>
      <c r="X369" s="11" t="s">
        <v>39</v>
      </c>
      <c r="Y369" s="17" t="s">
        <v>40</v>
      </c>
      <c r="Z369" s="17" t="e">
        <f>_xlfn.XLOOKUP(Customer[[#This Row],[NewType]],$AF$36:$AF$54,$AG$36:$AG$54)</f>
        <v>#N/A</v>
      </c>
      <c r="AA369" s="17" t="s">
        <v>2701</v>
      </c>
      <c r="AB369" s="11" t="str">
        <f>_xlfn.XLOOKUP(Customer[[#This Row],[Customer ID]],[1]!Address[ID],[1]!Address[Subtype])</f>
        <v>PETRONAS</v>
      </c>
      <c r="AC369" s="18" t="str">
        <f>_xlfn.XLOOKUP(Customer[[#This Row],[Customer ID]],[1]!Address[ID],[1]!Address[Zone])</f>
        <v>CENTRAL</v>
      </c>
    </row>
    <row r="370" spans="1:29" x14ac:dyDescent="0.3">
      <c r="A370" s="10" t="s">
        <v>2702</v>
      </c>
      <c r="B370" s="11" t="str">
        <f>_xlfn.XLOOKUP(Customer[[#This Row],[Customer ID]],[1]!Name[ID],[1]!Name[Description(1)])</f>
        <v>AS SOBRU JAYA TRADING</v>
      </c>
      <c r="C370" s="11" t="str">
        <f>_xlfn.XLOOKUP(Customer[[#This Row],[Customer ID]],[1]!Name[ID],[1]!Name[Description(2)])</f>
        <v>PS PULAU MELAKA</v>
      </c>
      <c r="D370" s="11" t="str">
        <f>_xlfn.XLOOKUP(Customer[[#This Row],[Customer ID]],[1]!Address[ID],[1]!Address[PIC])</f>
        <v/>
      </c>
      <c r="E370" s="11" t="str">
        <f>_xlfn.XLOOKUP(Customer[[#This Row],[Customer ID]],[1]!Address[ID],[1]!Address[Full Address])</f>
        <v>PS PULAU MELAKALOT 550 KG PULAU MELAKA, KOTA BHARU,KELANTAN, 16150, KOTA BHARU, KELANTAN</v>
      </c>
      <c r="F370" s="12" t="s">
        <v>2703</v>
      </c>
      <c r="G370" s="12" t="s">
        <v>2704</v>
      </c>
      <c r="H370" s="12"/>
      <c r="I370" s="12" t="b">
        <f>ISNUMBER(VALUE(LEFT(Customer[[#This Row],[Address Line 3 (30 char)]],1)))</f>
        <v>0</v>
      </c>
      <c r="J370" s="12" t="s">
        <v>1007</v>
      </c>
      <c r="K370" s="12">
        <v>16150</v>
      </c>
      <c r="L370" s="12" t="s">
        <v>35</v>
      </c>
      <c r="M370" s="13">
        <v>200403122690</v>
      </c>
      <c r="N370" s="14" t="s">
        <v>2705</v>
      </c>
      <c r="O370" s="14" t="s">
        <v>54</v>
      </c>
      <c r="P370" s="14">
        <v>47300</v>
      </c>
      <c r="Q370" s="19" t="s">
        <v>2706</v>
      </c>
      <c r="R370" s="15" t="s">
        <v>2707</v>
      </c>
      <c r="S370" s="15" t="s">
        <v>37</v>
      </c>
      <c r="T370" s="16" t="s">
        <v>38</v>
      </c>
      <c r="U370" s="11" t="str">
        <f>_xlfn.XLOOKUP(Customer[[#This Row],[Customer ID]],[1]!Address[ID],[1]!Address[Phone No.(2)])</f>
        <v/>
      </c>
      <c r="V370" s="11" t="str">
        <f>_xlfn.XLOOKUP(Customer[[#This Row],[Customer ID]],[1]!Address[ID],[1]!Address[Type])</f>
        <v>PETROMART</v>
      </c>
      <c r="W370" s="11" t="str">
        <f>_xlfn.XLOOKUP(Customer[[#This Row],[Customer ID]],[1]!Address[ID],[1]!Address[CT])</f>
        <v>30 DAYS</v>
      </c>
      <c r="X370" s="11" t="s">
        <v>39</v>
      </c>
      <c r="Y370" s="17" t="s">
        <v>40</v>
      </c>
      <c r="Z370" s="17" t="e">
        <f>_xlfn.XLOOKUP(Customer[[#This Row],[NewType]],$AF$36:$AF$54,$AG$36:$AG$54)</f>
        <v>#N/A</v>
      </c>
      <c r="AA370" s="17" t="s">
        <v>2708</v>
      </c>
      <c r="AB370" s="11" t="str">
        <f>_xlfn.XLOOKUP(Customer[[#This Row],[Customer ID]],[1]!Address[ID],[1]!Address[Subtype])</f>
        <v>PETRONAS</v>
      </c>
      <c r="AC370" s="18" t="str">
        <f>_xlfn.XLOOKUP(Customer[[#This Row],[Customer ID]],[1]!Address[ID],[1]!Address[Zone])</f>
        <v>EAST COAST</v>
      </c>
    </row>
    <row r="371" spans="1:29" x14ac:dyDescent="0.3">
      <c r="A371" s="10" t="s">
        <v>2709</v>
      </c>
      <c r="B371" s="11" t="str">
        <f>_xlfn.XLOOKUP(Customer[[#This Row],[Customer ID]],[1]!Name[ID],[1]!Name[Description(1)])</f>
        <v>KRISTAL SERVIS STATION</v>
      </c>
      <c r="C371" s="11" t="str">
        <f>_xlfn.XLOOKUP(Customer[[#This Row],[Customer ID]],[1]!Name[ID],[1]!Name[Description(2)])</f>
        <v>PS KG UBAI</v>
      </c>
      <c r="D371" s="11" t="str">
        <f>_xlfn.XLOOKUP(Customer[[#This Row],[Customer ID]],[1]!Address[ID],[1]!Address[PIC])</f>
        <v>saiyida salma</v>
      </c>
      <c r="E371" s="11" t="str">
        <f>_xlfn.XLOOKUP(Customer[[#This Row],[Customer ID]],[1]!Address[ID],[1]!Address[Full Address])</f>
        <v>PS KG UBAILOT PT 1153, HS(M) 460 (LOT LAMA 5061) UMUKIM PULAU RUSA,, 26610, PEKAN, PAHANG</v>
      </c>
      <c r="F371" s="12" t="s">
        <v>2710</v>
      </c>
      <c r="G371" s="12" t="s">
        <v>2711</v>
      </c>
      <c r="H371" s="12" t="s">
        <v>2712</v>
      </c>
      <c r="I371" s="12" t="b">
        <f>ISNUMBER(VALUE(LEFT(Customer[[#This Row],[Address Line 3 (30 char)]],1)))</f>
        <v>0</v>
      </c>
      <c r="J371" s="12" t="s">
        <v>339</v>
      </c>
      <c r="K371" s="12">
        <v>26610</v>
      </c>
      <c r="L371" s="12" t="s">
        <v>35</v>
      </c>
      <c r="M371" s="13" t="e">
        <v>#N/A</v>
      </c>
      <c r="N371" s="14" t="e">
        <v>#N/A</v>
      </c>
      <c r="O371" s="14" t="e">
        <v>#N/A</v>
      </c>
      <c r="P371" s="14" t="e">
        <v>#N/A</v>
      </c>
      <c r="Q371" s="19" t="s">
        <v>2713</v>
      </c>
      <c r="R371" s="15" t="s">
        <v>2714</v>
      </c>
      <c r="S371" s="15" t="s">
        <v>37</v>
      </c>
      <c r="T371" s="16" t="s">
        <v>38</v>
      </c>
      <c r="U371" s="11" t="str">
        <f>_xlfn.XLOOKUP(Customer[[#This Row],[Customer ID]],[1]!Address[ID],[1]!Address[Phone No.(2)])</f>
        <v/>
      </c>
      <c r="V371" s="11" t="str">
        <f>_xlfn.XLOOKUP(Customer[[#This Row],[Customer ID]],[1]!Address[ID],[1]!Address[Type])</f>
        <v>PETROMART</v>
      </c>
      <c r="W371" s="11" t="str">
        <f>_xlfn.XLOOKUP(Customer[[#This Row],[Customer ID]],[1]!Address[ID],[1]!Address[CT])</f>
        <v>30 DAYS</v>
      </c>
      <c r="X371" s="11" t="s">
        <v>39</v>
      </c>
      <c r="Y371" s="17" t="s">
        <v>40</v>
      </c>
      <c r="Z371" s="17" t="e">
        <f>_xlfn.XLOOKUP(Customer[[#This Row],[NewType]],$AF$36:$AF$54,$AG$36:$AG$54)</f>
        <v>#N/A</v>
      </c>
      <c r="AA371" s="17" t="s">
        <v>2715</v>
      </c>
      <c r="AB371" s="11" t="str">
        <f>_xlfn.XLOOKUP(Customer[[#This Row],[Customer ID]],[1]!Address[ID],[1]!Address[Subtype])</f>
        <v>PETRONAS</v>
      </c>
      <c r="AC371" s="18" t="str">
        <f>_xlfn.XLOOKUP(Customer[[#This Row],[Customer ID]],[1]!Address[ID],[1]!Address[Zone])</f>
        <v>EAST COAST</v>
      </c>
    </row>
    <row r="372" spans="1:29" x14ac:dyDescent="0.3">
      <c r="A372" s="10" t="s">
        <v>2716</v>
      </c>
      <c r="B372" s="11" t="str">
        <f>_xlfn.XLOOKUP(Customer[[#This Row],[Customer ID]],[1]!Name[ID],[1]!Name[Description(1)])</f>
        <v>EMIRO VENTURE ENT</v>
      </c>
      <c r="C372" s="11" t="str">
        <f>_xlfn.XLOOKUP(Customer[[#This Row],[Customer ID]],[1]!Name[ID],[1]!Name[Description(2)])</f>
        <v>PS KIJAL</v>
      </c>
      <c r="D372" s="11" t="str">
        <f>_xlfn.XLOOKUP(Customer[[#This Row],[Customer ID]],[1]!Address[ID],[1]!Address[PIC])</f>
        <v/>
      </c>
      <c r="E372" s="11" t="str">
        <f>_xlfn.XLOOKUP(Customer[[#This Row],[Customer ID]],[1]!Address[ID],[1]!Address[Full Address])</f>
        <v>PS KIJALLOT 354, KIJAL DARAT PENINJUK MUKIMKIJAL, 24100 KIJALTERENGGANU</v>
      </c>
      <c r="F372" s="12" t="s">
        <v>2717</v>
      </c>
      <c r="G372" s="12" t="s">
        <v>2718</v>
      </c>
      <c r="H372" s="12" t="s">
        <v>2719</v>
      </c>
      <c r="I372" s="12" t="b">
        <f>ISNUMBER(VALUE(LEFT(Customer[[#This Row],[Address Line 3 (30 char)]],1)))</f>
        <v>0</v>
      </c>
      <c r="J372" s="12" t="s">
        <v>1056</v>
      </c>
      <c r="K372" s="12">
        <v>24100</v>
      </c>
      <c r="L372" s="12" t="s">
        <v>35</v>
      </c>
      <c r="M372" s="13" t="e">
        <v>#N/A</v>
      </c>
      <c r="N372" s="14" t="e">
        <v>#N/A</v>
      </c>
      <c r="O372" s="14" t="e">
        <v>#N/A</v>
      </c>
      <c r="P372" s="14" t="e">
        <v>#N/A</v>
      </c>
      <c r="Q372" s="19" t="s">
        <v>2720</v>
      </c>
      <c r="R372" s="15" t="s">
        <v>2721</v>
      </c>
      <c r="S372" s="15" t="s">
        <v>37</v>
      </c>
      <c r="T372" s="16" t="s">
        <v>38</v>
      </c>
      <c r="U372" s="11" t="str">
        <f>_xlfn.XLOOKUP(Customer[[#This Row],[Customer ID]],[1]!Address[ID],[1]!Address[Phone No.(2)])</f>
        <v/>
      </c>
      <c r="V372" s="11" t="str">
        <f>_xlfn.XLOOKUP(Customer[[#This Row],[Customer ID]],[1]!Address[ID],[1]!Address[Type])</f>
        <v>PETROMART</v>
      </c>
      <c r="W372" s="11" t="str">
        <f>_xlfn.XLOOKUP(Customer[[#This Row],[Customer ID]],[1]!Address[ID],[1]!Address[CT])</f>
        <v>30 DAYS</v>
      </c>
      <c r="X372" s="11" t="s">
        <v>39</v>
      </c>
      <c r="Y372" s="17" t="s">
        <v>40</v>
      </c>
      <c r="Z372" s="17" t="e">
        <f>_xlfn.XLOOKUP(Customer[[#This Row],[NewType]],$AF$36:$AF$54,$AG$36:$AG$54)</f>
        <v>#N/A</v>
      </c>
      <c r="AA372" s="17" t="s">
        <v>2722</v>
      </c>
      <c r="AB372" s="11" t="str">
        <f>_xlfn.XLOOKUP(Customer[[#This Row],[Customer ID]],[1]!Address[ID],[1]!Address[Subtype])</f>
        <v>PETRONAS</v>
      </c>
      <c r="AC372" s="18" t="str">
        <f>_xlfn.XLOOKUP(Customer[[#This Row],[Customer ID]],[1]!Address[ID],[1]!Address[Zone])</f>
        <v>EAST COAST</v>
      </c>
    </row>
    <row r="373" spans="1:29" x14ac:dyDescent="0.3">
      <c r="A373" s="10" t="s">
        <v>2723</v>
      </c>
      <c r="B373" s="11" t="str">
        <f>_xlfn.XLOOKUP(Customer[[#This Row],[Customer ID]],[1]!Name[ID],[1]!Name[Description(1)])</f>
        <v>KOPERASI COOP POLITEKNIK MERLIMAU</v>
      </c>
      <c r="C373" s="11" t="str">
        <f>_xlfn.XLOOKUP(Customer[[#This Row],[Customer ID]],[1]!Name[ID],[1]!Name[Description(2)])</f>
        <v/>
      </c>
      <c r="D373" s="11" t="str">
        <f>_xlfn.XLOOKUP(Customer[[#This Row],[Customer ID]],[1]!Address[ID],[1]!Address[PIC])</f>
        <v/>
      </c>
      <c r="E373" s="11" t="str">
        <f>_xlfn.XLOOKUP(Customer[[#This Row],[Customer ID]],[1]!Address[ID],[1]!Address[Full Address])</f>
        <v>D/A POLITEKNIK MERLIMAU,KM 26 JALAN JASIN,77300 MERLIMAU, MELAKA</v>
      </c>
      <c r="F373" s="12" t="s">
        <v>1483</v>
      </c>
      <c r="G373" s="12" t="s">
        <v>1484</v>
      </c>
      <c r="H373" s="24" t="s">
        <v>1485</v>
      </c>
      <c r="I373" s="24" t="b">
        <f>ISNUMBER(VALUE(LEFT(Customer[[#This Row],[Address Line 3 (30 char)]],1)))</f>
        <v>0</v>
      </c>
      <c r="J373" s="12" t="s">
        <v>61</v>
      </c>
      <c r="K373" s="12">
        <v>77300</v>
      </c>
      <c r="L373" s="12" t="s">
        <v>35</v>
      </c>
      <c r="M373" s="13" t="e">
        <v>#N/A</v>
      </c>
      <c r="N373" s="14" t="e">
        <v>#N/A</v>
      </c>
      <c r="O373" s="14" t="e">
        <v>#N/A</v>
      </c>
      <c r="P373" s="14" t="e">
        <v>#N/A</v>
      </c>
      <c r="Q373" s="14" t="e">
        <v>#N/A</v>
      </c>
      <c r="R373" s="15" t="s">
        <v>2724</v>
      </c>
      <c r="S373" s="15" t="s">
        <v>88</v>
      </c>
      <c r="T373" s="16" t="s">
        <v>89</v>
      </c>
      <c r="U373" s="11" t="str">
        <f>_xlfn.XLOOKUP(Customer[[#This Row],[Customer ID]],[1]!Address[ID],[1]!Address[Phone No.(2)])</f>
        <v/>
      </c>
      <c r="V373" s="11" t="str">
        <f>_xlfn.XLOOKUP(Customer[[#This Row],[Customer ID]],[1]!Address[ID],[1]!Address[Type])</f>
        <v>SOCMED</v>
      </c>
      <c r="W373" s="11" t="str">
        <f>_xlfn.XLOOKUP(Customer[[#This Row],[Customer ID]],[1]!Address[ID],[1]!Address[CT])</f>
        <v>30 DAYS</v>
      </c>
      <c r="X373" s="11"/>
      <c r="Y373" s="17" t="s">
        <v>90</v>
      </c>
      <c r="Z373" s="17" t="e">
        <f>_xlfn.XLOOKUP(Customer[[#This Row],[NewType]],$AF$36:$AF$54,$AG$36:$AG$54)</f>
        <v>#N/A</v>
      </c>
      <c r="AA373" s="17" t="s">
        <v>2725</v>
      </c>
      <c r="AB373" s="11" t="str">
        <f>_xlfn.XLOOKUP(Customer[[#This Row],[Customer ID]],[1]!Address[ID],[1]!Address[Subtype])</f>
        <v>ONLINE ROS</v>
      </c>
      <c r="AC373" s="18" t="str">
        <f>_xlfn.XLOOKUP(Customer[[#This Row],[Customer ID]],[1]!Address[ID],[1]!Address[Zone])</f>
        <v>SOUTH</v>
      </c>
    </row>
    <row r="374" spans="1:29" x14ac:dyDescent="0.3">
      <c r="A374" s="10" t="s">
        <v>2726</v>
      </c>
      <c r="B374" s="11" t="str">
        <f>_xlfn.XLOOKUP(Customer[[#This Row],[Customer ID]],[1]!Name[ID],[1]!Name[Description(1)])</f>
        <v>SJ TRADE</v>
      </c>
      <c r="C374" s="11" t="str">
        <f>_xlfn.XLOOKUP(Customer[[#This Row],[Customer ID]],[1]!Name[ID],[1]!Name[Description(2)])</f>
        <v>PS KLANG GATE / GENTING KELANG (AMIN)</v>
      </c>
      <c r="D374" s="11" t="str">
        <f>_xlfn.XLOOKUP(Customer[[#This Row],[Customer ID]],[1]!Address[ID],[1]!Address[PIC])</f>
        <v/>
      </c>
      <c r="E374" s="11" t="str">
        <f>_xlfn.XLOOKUP(Customer[[#This Row],[Customer ID]],[1]!Address[ID],[1]!Address[Full Address])</f>
        <v>PS KLANG GATE / GENTING KELANG (AMIN)LOT 5162, JALAN GENTING KELANG, BATU 6,KG. KLANG GATE BARU, AMPANG, SELANGOR,53300, ULU LANGAT, SELANGOR</v>
      </c>
      <c r="F374" s="12" t="s">
        <v>2727</v>
      </c>
      <c r="G374" s="12" t="s">
        <v>2728</v>
      </c>
      <c r="H374" s="12" t="s">
        <v>2729</v>
      </c>
      <c r="I374" s="12" t="b">
        <f>ISNUMBER(VALUE(LEFT(Customer[[#This Row],[Address Line 3 (30 char)]],1)))</f>
        <v>0</v>
      </c>
      <c r="J374" s="12" t="s">
        <v>172</v>
      </c>
      <c r="K374" s="12">
        <v>53300</v>
      </c>
      <c r="L374" s="12" t="s">
        <v>35</v>
      </c>
      <c r="M374" s="13" t="e">
        <v>#N/A</v>
      </c>
      <c r="N374" s="14" t="e">
        <v>#N/A</v>
      </c>
      <c r="O374" s="14" t="e">
        <v>#N/A</v>
      </c>
      <c r="P374" s="14" t="e">
        <v>#N/A</v>
      </c>
      <c r="Q374" s="19" t="s">
        <v>2730</v>
      </c>
      <c r="R374" s="15" t="s">
        <v>2731</v>
      </c>
      <c r="S374" s="15" t="s">
        <v>65</v>
      </c>
      <c r="T374" s="16" t="s">
        <v>38</v>
      </c>
      <c r="U374" s="11" t="str">
        <f>_xlfn.XLOOKUP(Customer[[#This Row],[Customer ID]],[1]!Address[ID],[1]!Address[Phone No.(2)])</f>
        <v/>
      </c>
      <c r="V374" s="11" t="str">
        <f>_xlfn.XLOOKUP(Customer[[#This Row],[Customer ID]],[1]!Address[ID],[1]!Address[Type])</f>
        <v>PETROMART</v>
      </c>
      <c r="W374" s="11" t="str">
        <f>_xlfn.XLOOKUP(Customer[[#This Row],[Customer ID]],[1]!Address[ID],[1]!Address[CT])</f>
        <v>30 DAYS</v>
      </c>
      <c r="X374" s="11" t="s">
        <v>39</v>
      </c>
      <c r="Y374" s="17" t="s">
        <v>40</v>
      </c>
      <c r="Z374" s="17" t="e">
        <f>_xlfn.XLOOKUP(Customer[[#This Row],[NewType]],$AF$36:$AF$54,$AG$36:$AG$54)</f>
        <v>#N/A</v>
      </c>
      <c r="AA374" s="17" t="s">
        <v>2732</v>
      </c>
      <c r="AB374" s="11" t="str">
        <f>_xlfn.XLOOKUP(Customer[[#This Row],[Customer ID]],[1]!Address[ID],[1]!Address[Subtype])</f>
        <v>PETRONAS</v>
      </c>
      <c r="AC374" s="18" t="str">
        <f>_xlfn.XLOOKUP(Customer[[#This Row],[Customer ID]],[1]!Address[ID],[1]!Address[Zone])</f>
        <v>CENTRAL</v>
      </c>
    </row>
    <row r="375" spans="1:29" x14ac:dyDescent="0.3">
      <c r="A375" s="10" t="s">
        <v>2733</v>
      </c>
      <c r="B375" s="11" t="str">
        <f>_xlfn.XLOOKUP(Customer[[#This Row],[Customer ID]],[1]!Name[ID],[1]!Name[Description(1)])</f>
        <v>MARGA PERSONA ENTERPRISE</v>
      </c>
      <c r="C375" s="11" t="str">
        <f>_xlfn.XLOOKUP(Customer[[#This Row],[Customer ID]],[1]!Name[ID],[1]!Name[Description(2)])</f>
        <v>PS KLANG SENTRAL</v>
      </c>
      <c r="D375" s="11" t="str">
        <f>_xlfn.XLOOKUP(Customer[[#This Row],[Customer ID]],[1]!Address[ID],[1]!Address[PIC])</f>
        <v/>
      </c>
      <c r="E375" s="11" t="str">
        <f>_xlfn.XLOOKUP(Customer[[#This Row],[Customer ID]],[1]!Address[ID],[1]!Address[Full Address])</f>
        <v>PS KLANG SENTRALLOT PT 64329 HS(D) 136027,JALAN HAJI ABDUL MANAN, MUKIM KAPARSELANGOR, 41050, KLANG, SELANGOR</v>
      </c>
      <c r="F375" s="12" t="s">
        <v>2734</v>
      </c>
      <c r="G375" s="12" t="s">
        <v>2735</v>
      </c>
      <c r="H375" s="12" t="s">
        <v>2736</v>
      </c>
      <c r="I375" s="12" t="b">
        <f>ISNUMBER(VALUE(LEFT(Customer[[#This Row],[Address Line 3 (30 char)]],1)))</f>
        <v>0</v>
      </c>
      <c r="J375" s="12" t="s">
        <v>1907</v>
      </c>
      <c r="K375" s="12">
        <v>41050</v>
      </c>
      <c r="L375" s="12" t="s">
        <v>35</v>
      </c>
      <c r="M375" s="13" t="e">
        <v>#N/A</v>
      </c>
      <c r="N375" s="14" t="e">
        <v>#N/A</v>
      </c>
      <c r="O375" s="14" t="e">
        <v>#N/A</v>
      </c>
      <c r="P375" s="14" t="e">
        <v>#N/A</v>
      </c>
      <c r="Q375" s="19" t="s">
        <v>2737</v>
      </c>
      <c r="R375" s="15" t="s">
        <v>2738</v>
      </c>
      <c r="S375" s="15" t="s">
        <v>37</v>
      </c>
      <c r="T375" s="16" t="s">
        <v>38</v>
      </c>
      <c r="U375" s="11" t="str">
        <f>_xlfn.XLOOKUP(Customer[[#This Row],[Customer ID]],[1]!Address[ID],[1]!Address[Phone No.(2)])</f>
        <v/>
      </c>
      <c r="V375" s="11" t="str">
        <f>_xlfn.XLOOKUP(Customer[[#This Row],[Customer ID]],[1]!Address[ID],[1]!Address[Type])</f>
        <v>PETROMART</v>
      </c>
      <c r="W375" s="11" t="str">
        <f>_xlfn.XLOOKUP(Customer[[#This Row],[Customer ID]],[1]!Address[ID],[1]!Address[CT])</f>
        <v>30 DAYS</v>
      </c>
      <c r="X375" s="11" t="s">
        <v>39</v>
      </c>
      <c r="Y375" s="17" t="s">
        <v>40</v>
      </c>
      <c r="Z375" s="17" t="e">
        <f>_xlfn.XLOOKUP(Customer[[#This Row],[NewType]],$AF$36:$AF$54,$AG$36:$AG$54)</f>
        <v>#N/A</v>
      </c>
      <c r="AA375" s="17" t="s">
        <v>2739</v>
      </c>
      <c r="AB375" s="11" t="str">
        <f>_xlfn.XLOOKUP(Customer[[#This Row],[Customer ID]],[1]!Address[ID],[1]!Address[Subtype])</f>
        <v>PETRONAS</v>
      </c>
      <c r="AC375" s="18" t="str">
        <f>_xlfn.XLOOKUP(Customer[[#This Row],[Customer ID]],[1]!Address[ID],[1]!Address[Zone])</f>
        <v>CENTRAL</v>
      </c>
    </row>
    <row r="376" spans="1:29" x14ac:dyDescent="0.3">
      <c r="A376" s="10" t="s">
        <v>2740</v>
      </c>
      <c r="B376" s="11" t="str">
        <f>_xlfn.XLOOKUP(Customer[[#This Row],[Customer ID]],[1]!Name[ID],[1]!Name[Description(1)])</f>
        <v>STESEN MINYAK SITIMAS MAJU</v>
      </c>
      <c r="C376" s="11" t="str">
        <f>_xlfn.XLOOKUP(Customer[[#This Row],[Customer ID]],[1]!Name[ID],[1]!Name[Description(2)])</f>
        <v>PS KLEBANG</v>
      </c>
      <c r="D376" s="11" t="str">
        <f>_xlfn.XLOOKUP(Customer[[#This Row],[Customer ID]],[1]!Address[ID],[1]!Address[PIC])</f>
        <v/>
      </c>
      <c r="E376" s="11" t="str">
        <f>_xlfn.XLOOKUP(Customer[[#This Row],[Customer ID]],[1]!Address[ID],[1]!Address[Full Address])</f>
        <v>PS KLEBANGLOT 260, MUKIM KLEBANG BESAR, MELAKA,75200, MELAKA TENGAH, MELAKA</v>
      </c>
      <c r="F376" s="12" t="s">
        <v>2741</v>
      </c>
      <c r="G376" s="12" t="s">
        <v>2742</v>
      </c>
      <c r="H376" s="12" t="s">
        <v>102</v>
      </c>
      <c r="I376" s="12" t="b">
        <f>ISNUMBER(VALUE(LEFT(Customer[[#This Row],[Address Line 3 (30 char)]],1)))</f>
        <v>0</v>
      </c>
      <c r="J376" s="12" t="s">
        <v>61</v>
      </c>
      <c r="K376" s="12">
        <v>75200</v>
      </c>
      <c r="L376" s="12" t="s">
        <v>35</v>
      </c>
      <c r="M376" s="13">
        <v>201303014014</v>
      </c>
      <c r="N376" s="14" t="s">
        <v>2743</v>
      </c>
      <c r="O376" s="14"/>
      <c r="P376" s="14">
        <v>47300</v>
      </c>
      <c r="Q376" s="19" t="s">
        <v>2744</v>
      </c>
      <c r="R376" s="15" t="s">
        <v>2745</v>
      </c>
      <c r="S376" s="15" t="s">
        <v>37</v>
      </c>
      <c r="T376" s="16" t="s">
        <v>38</v>
      </c>
      <c r="U376" s="11" t="str">
        <f>_xlfn.XLOOKUP(Customer[[#This Row],[Customer ID]],[1]!Address[ID],[1]!Address[Phone No.(2)])</f>
        <v/>
      </c>
      <c r="V376" s="11" t="str">
        <f>_xlfn.XLOOKUP(Customer[[#This Row],[Customer ID]],[1]!Address[ID],[1]!Address[Type])</f>
        <v>PETROMART</v>
      </c>
      <c r="W376" s="11" t="str">
        <f>_xlfn.XLOOKUP(Customer[[#This Row],[Customer ID]],[1]!Address[ID],[1]!Address[CT])</f>
        <v>30 DAYS</v>
      </c>
      <c r="X376" s="11" t="s">
        <v>39</v>
      </c>
      <c r="Y376" s="17" t="s">
        <v>40</v>
      </c>
      <c r="Z376" s="17" t="e">
        <f>_xlfn.XLOOKUP(Customer[[#This Row],[NewType]],$AF$36:$AF$54,$AG$36:$AG$54)</f>
        <v>#N/A</v>
      </c>
      <c r="AA376" s="17" t="s">
        <v>2746</v>
      </c>
      <c r="AB376" s="11" t="str">
        <f>_xlfn.XLOOKUP(Customer[[#This Row],[Customer ID]],[1]!Address[ID],[1]!Address[Subtype])</f>
        <v>PETRONAS</v>
      </c>
      <c r="AC376" s="18" t="str">
        <f>_xlfn.XLOOKUP(Customer[[#This Row],[Customer ID]],[1]!Address[ID],[1]!Address[Zone])</f>
        <v>SOUTH</v>
      </c>
    </row>
    <row r="377" spans="1:29" x14ac:dyDescent="0.3">
      <c r="A377" s="10" t="s">
        <v>2747</v>
      </c>
      <c r="B377" s="11" t="str">
        <f>_xlfn.XLOOKUP(Customer[[#This Row],[Customer ID]],[1]!Name[ID],[1]!Name[Description(1)])</f>
        <v>EXQ RESOURCES</v>
      </c>
      <c r="C377" s="11" t="str">
        <f>_xlfn.XLOOKUP(Customer[[#This Row],[Customer ID]],[1]!Name[ID],[1]!Name[Description(2)])</f>
        <v>PS KLIA 1</v>
      </c>
      <c r="D377" s="11" t="str">
        <f>_xlfn.XLOOKUP(Customer[[#This Row],[Customer ID]],[1]!Address[ID],[1]!Address[PIC])</f>
        <v/>
      </c>
      <c r="E377" s="11" t="str">
        <f>_xlfn.XLOOKUP(Customer[[#This Row],[Customer ID]],[1]!Address[ID],[1]!Address[Full Address])</f>
        <v>PS KLIA 1LOT PT 3906, JALAN TERMINAL, KLIA,SEPANGSELANGOR, 64000, SEPANG, SELANGOR</v>
      </c>
      <c r="F377" s="12" t="s">
        <v>2748</v>
      </c>
      <c r="G377" s="12" t="s">
        <v>2749</v>
      </c>
      <c r="H377" s="12"/>
      <c r="I377" s="12" t="b">
        <f>ISNUMBER(VALUE(LEFT(Customer[[#This Row],[Address Line 3 (30 char)]],1)))</f>
        <v>0</v>
      </c>
      <c r="J377" s="12" t="s">
        <v>172</v>
      </c>
      <c r="K377" s="12">
        <v>64000</v>
      </c>
      <c r="L377" s="12" t="s">
        <v>35</v>
      </c>
      <c r="M377" s="13">
        <v>201303232233</v>
      </c>
      <c r="N377" s="14" t="s">
        <v>2750</v>
      </c>
      <c r="O377" s="14" t="e">
        <v>#N/A</v>
      </c>
      <c r="P377" s="14" t="e">
        <v>#N/A</v>
      </c>
      <c r="Q377" s="19" t="s">
        <v>2751</v>
      </c>
      <c r="R377" s="15" t="s">
        <v>2752</v>
      </c>
      <c r="S377" s="15" t="s">
        <v>37</v>
      </c>
      <c r="T377" s="16" t="s">
        <v>38</v>
      </c>
      <c r="U377" s="11" t="str">
        <f>_xlfn.XLOOKUP(Customer[[#This Row],[Customer ID]],[1]!Address[ID],[1]!Address[Phone No.(2)])</f>
        <v/>
      </c>
      <c r="V377" s="11" t="str">
        <f>_xlfn.XLOOKUP(Customer[[#This Row],[Customer ID]],[1]!Address[ID],[1]!Address[Type])</f>
        <v>PETROMART</v>
      </c>
      <c r="W377" s="11" t="str">
        <f>_xlfn.XLOOKUP(Customer[[#This Row],[Customer ID]],[1]!Address[ID],[1]!Address[CT])</f>
        <v>30 DAYS</v>
      </c>
      <c r="X377" s="11" t="s">
        <v>39</v>
      </c>
      <c r="Y377" s="17" t="s">
        <v>40</v>
      </c>
      <c r="Z377" s="17" t="e">
        <f>_xlfn.XLOOKUP(Customer[[#This Row],[NewType]],$AF$36:$AF$54,$AG$36:$AG$54)</f>
        <v>#N/A</v>
      </c>
      <c r="AA377" s="17" t="s">
        <v>2753</v>
      </c>
      <c r="AB377" s="11" t="str">
        <f>_xlfn.XLOOKUP(Customer[[#This Row],[Customer ID]],[1]!Address[ID],[1]!Address[Subtype])</f>
        <v>PETRONAS</v>
      </c>
      <c r="AC377" s="18" t="str">
        <f>_xlfn.XLOOKUP(Customer[[#This Row],[Customer ID]],[1]!Address[ID],[1]!Address[Zone])</f>
        <v>CENTRAL</v>
      </c>
    </row>
    <row r="378" spans="1:29" x14ac:dyDescent="0.3">
      <c r="A378" s="10" t="s">
        <v>2754</v>
      </c>
      <c r="B378" s="11" t="str">
        <f>_xlfn.XLOOKUP(Customer[[#This Row],[Customer ID]],[1]!Name[ID],[1]!Name[Description(1)])</f>
        <v>TERAS KEMBANG SDN. BHD.</v>
      </c>
      <c r="C378" s="11" t="str">
        <f>_xlfn.XLOOKUP(Customer[[#This Row],[Customer ID]],[1]!Name[ID],[1]!Name[Description(2)])</f>
        <v>PS KLIA 2</v>
      </c>
      <c r="D378" s="11" t="str">
        <f>_xlfn.XLOOKUP(Customer[[#This Row],[Customer ID]],[1]!Address[ID],[1]!Address[PIC])</f>
        <v/>
      </c>
      <c r="E378" s="11" t="str">
        <f>_xlfn.XLOOKUP(Customer[[#This Row],[Customer ID]],[1]!Address[ID],[1]!Address[Full Address])</f>
        <v>PS KLIA 2JALAN TERMINAL, KLIA, SEPANG, SELANGOR,43900, SEPANG, SELANGOR</v>
      </c>
      <c r="F378" s="12" t="s">
        <v>2755</v>
      </c>
      <c r="G378" s="12" t="s">
        <v>2756</v>
      </c>
      <c r="H378" s="12" t="s">
        <v>2757</v>
      </c>
      <c r="I378" s="12" t="b">
        <f>ISNUMBER(VALUE(LEFT(Customer[[#This Row],[Address Line 3 (30 char)]],1)))</f>
        <v>0</v>
      </c>
      <c r="J378" s="12" t="s">
        <v>172</v>
      </c>
      <c r="K378" s="12">
        <v>43900</v>
      </c>
      <c r="L378" s="12" t="s">
        <v>35</v>
      </c>
      <c r="M378" s="13" t="e">
        <v>#N/A</v>
      </c>
      <c r="N378" s="14" t="e">
        <v>#N/A</v>
      </c>
      <c r="O378" s="14" t="e">
        <v>#N/A</v>
      </c>
      <c r="P378" s="14" t="e">
        <v>#N/A</v>
      </c>
      <c r="Q378" s="19" t="s">
        <v>2758</v>
      </c>
      <c r="R378" s="15" t="s">
        <v>2759</v>
      </c>
      <c r="S378" s="15" t="s">
        <v>37</v>
      </c>
      <c r="T378" s="16" t="s">
        <v>38</v>
      </c>
      <c r="U378" s="11" t="str">
        <f>_xlfn.XLOOKUP(Customer[[#This Row],[Customer ID]],[1]!Address[ID],[1]!Address[Phone No.(2)])</f>
        <v/>
      </c>
      <c r="V378" s="11" t="str">
        <f>_xlfn.XLOOKUP(Customer[[#This Row],[Customer ID]],[1]!Address[ID],[1]!Address[Type])</f>
        <v>PETROMART</v>
      </c>
      <c r="W378" s="11" t="str">
        <f>_xlfn.XLOOKUP(Customer[[#This Row],[Customer ID]],[1]!Address[ID],[1]!Address[CT])</f>
        <v>30 DAYS</v>
      </c>
      <c r="X378" s="11" t="s">
        <v>39</v>
      </c>
      <c r="Y378" s="17" t="s">
        <v>40</v>
      </c>
      <c r="Z378" s="17" t="e">
        <f>_xlfn.XLOOKUP(Customer[[#This Row],[NewType]],$AF$36:$AF$54,$AG$36:$AG$54)</f>
        <v>#N/A</v>
      </c>
      <c r="AA378" s="17" t="s">
        <v>2760</v>
      </c>
      <c r="AB378" s="11" t="str">
        <f>_xlfn.XLOOKUP(Customer[[#This Row],[Customer ID]],[1]!Address[ID],[1]!Address[Subtype])</f>
        <v>PETRONAS</v>
      </c>
      <c r="AC378" s="18" t="str">
        <f>_xlfn.XLOOKUP(Customer[[#This Row],[Customer ID]],[1]!Address[ID],[1]!Address[Zone])</f>
        <v>CENTRAL</v>
      </c>
    </row>
    <row r="379" spans="1:29" x14ac:dyDescent="0.3">
      <c r="A379" s="10" t="s">
        <v>2761</v>
      </c>
      <c r="B379" s="11" t="str">
        <f>_xlfn.XLOOKUP(Customer[[#This Row],[Customer ID]],[1]!Name[ID],[1]!Name[Description(1)])</f>
        <v>TERAS KEMBANG SDN. BHD.</v>
      </c>
      <c r="C379" s="11" t="str">
        <f>_xlfn.XLOOKUP(Customer[[#This Row],[Customer ID]],[1]!Name[ID],[1]!Name[Description(2)])</f>
        <v>PS KLIA 3</v>
      </c>
      <c r="D379" s="11" t="str">
        <f>_xlfn.XLOOKUP(Customer[[#This Row],[Customer ID]],[1]!Address[ID],[1]!Address[PIC])</f>
        <v/>
      </c>
      <c r="E379" s="11" t="str">
        <f>_xlfn.XLOOKUP(Customer[[#This Row],[Customer ID]],[1]!Address[ID],[1]!Address[Full Address])</f>
        <v>PS KLIA 3JALAN PEKELILING KARGO, KLIA, SEPANG,SELANGOR, 43900, SEPANG, SELANGOR</v>
      </c>
      <c r="F379" s="12" t="s">
        <v>2762</v>
      </c>
      <c r="G379" s="12" t="s">
        <v>2763</v>
      </c>
      <c r="H379" s="12"/>
      <c r="I379" s="12" t="b">
        <f>ISNUMBER(VALUE(LEFT(Customer[[#This Row],[Address Line 3 (30 char)]],1)))</f>
        <v>0</v>
      </c>
      <c r="J379" s="12" t="s">
        <v>172</v>
      </c>
      <c r="K379" s="12">
        <v>43900</v>
      </c>
      <c r="L379" s="12" t="s">
        <v>35</v>
      </c>
      <c r="M379" s="13" t="e">
        <v>#N/A</v>
      </c>
      <c r="N379" s="14" t="e">
        <v>#N/A</v>
      </c>
      <c r="O379" s="14" t="e">
        <v>#N/A</v>
      </c>
      <c r="P379" s="14" t="e">
        <v>#N/A</v>
      </c>
      <c r="Q379" s="19" t="s">
        <v>2764</v>
      </c>
      <c r="R379" s="15" t="s">
        <v>2765</v>
      </c>
      <c r="S379" s="15" t="s">
        <v>37</v>
      </c>
      <c r="T379" s="16" t="s">
        <v>38</v>
      </c>
      <c r="U379" s="11" t="str">
        <f>_xlfn.XLOOKUP(Customer[[#This Row],[Customer ID]],[1]!Address[ID],[1]!Address[Phone No.(2)])</f>
        <v/>
      </c>
      <c r="V379" s="11" t="str">
        <f>_xlfn.XLOOKUP(Customer[[#This Row],[Customer ID]],[1]!Address[ID],[1]!Address[Type])</f>
        <v>PETROMART</v>
      </c>
      <c r="W379" s="11" t="str">
        <f>_xlfn.XLOOKUP(Customer[[#This Row],[Customer ID]],[1]!Address[ID],[1]!Address[CT])</f>
        <v>30 DAYS</v>
      </c>
      <c r="X379" s="11" t="s">
        <v>39</v>
      </c>
      <c r="Y379" s="17" t="s">
        <v>40</v>
      </c>
      <c r="Z379" s="17" t="e">
        <f>_xlfn.XLOOKUP(Customer[[#This Row],[NewType]],$AF$36:$AF$54,$AG$36:$AG$54)</f>
        <v>#N/A</v>
      </c>
      <c r="AA379" s="17" t="s">
        <v>2766</v>
      </c>
      <c r="AB379" s="11" t="str">
        <f>_xlfn.XLOOKUP(Customer[[#This Row],[Customer ID]],[1]!Address[ID],[1]!Address[Subtype])</f>
        <v>PETRONAS</v>
      </c>
      <c r="AC379" s="18" t="str">
        <f>_xlfn.XLOOKUP(Customer[[#This Row],[Customer ID]],[1]!Address[ID],[1]!Address[Zone])</f>
        <v>CENTRAL</v>
      </c>
    </row>
    <row r="380" spans="1:29" x14ac:dyDescent="0.3">
      <c r="A380" s="10" t="s">
        <v>2767</v>
      </c>
      <c r="B380" s="11" t="str">
        <f>_xlfn.XLOOKUP(Customer[[#This Row],[Customer ID]],[1]!Name[ID],[1]!Name[Description(1)])</f>
        <v>H.J. ENTERPRISE</v>
      </c>
      <c r="C380" s="11" t="str">
        <f>_xlfn.XLOOKUP(Customer[[#This Row],[Customer ID]],[1]!Name[ID],[1]!Name[Description(2)])</f>
        <v>PS KM 11 JLN SKUDAI</v>
      </c>
      <c r="D380" s="11" t="str">
        <f>_xlfn.XLOOKUP(Customer[[#This Row],[Customer ID]],[1]!Address[ID],[1]!Address[PIC])</f>
        <v/>
      </c>
      <c r="E380" s="11" t="str">
        <f>_xlfn.XLOOKUP(Customer[[#This Row],[Customer ID]],[1]!Address[ID],[1]!Address[Full Address])</f>
        <v>PS KM 11 JLN SKUDAILOT 13309, KM 11, JALAN SKUDAI, JOHORBAHRU, JOHOR, 81200, JOHOR BAHRU, JOHOR</v>
      </c>
      <c r="F380" s="12" t="s">
        <v>2768</v>
      </c>
      <c r="G380" s="12" t="s">
        <v>2769</v>
      </c>
      <c r="H380" s="12" t="s">
        <v>2770</v>
      </c>
      <c r="I380" s="12" t="b">
        <f>ISNUMBER(VALUE(LEFT(Customer[[#This Row],[Address Line 3 (30 char)]],1)))</f>
        <v>0</v>
      </c>
      <c r="J380" s="12" t="s">
        <v>52</v>
      </c>
      <c r="K380" s="12">
        <v>81200</v>
      </c>
      <c r="L380" s="12" t="s">
        <v>35</v>
      </c>
      <c r="M380" s="13" t="e">
        <v>#N/A</v>
      </c>
      <c r="N380" s="14" t="e">
        <v>#N/A</v>
      </c>
      <c r="O380" s="14" t="e">
        <v>#N/A</v>
      </c>
      <c r="P380" s="14" t="e">
        <v>#N/A</v>
      </c>
      <c r="Q380" s="19" t="s">
        <v>2771</v>
      </c>
      <c r="R380" s="15" t="s">
        <v>2772</v>
      </c>
      <c r="S380" s="15" t="s">
        <v>37</v>
      </c>
      <c r="T380" s="16" t="s">
        <v>38</v>
      </c>
      <c r="U380" s="11" t="str">
        <f>_xlfn.XLOOKUP(Customer[[#This Row],[Customer ID]],[1]!Address[ID],[1]!Address[Phone No.(2)])</f>
        <v/>
      </c>
      <c r="V380" s="11" t="str">
        <f>_xlfn.XLOOKUP(Customer[[#This Row],[Customer ID]],[1]!Address[ID],[1]!Address[Type])</f>
        <v>PETROMART</v>
      </c>
      <c r="W380" s="11" t="str">
        <f>_xlfn.XLOOKUP(Customer[[#This Row],[Customer ID]],[1]!Address[ID],[1]!Address[CT])</f>
        <v>30 DAYS</v>
      </c>
      <c r="X380" s="11" t="s">
        <v>39</v>
      </c>
      <c r="Y380" s="17" t="s">
        <v>40</v>
      </c>
      <c r="Z380" s="17" t="e">
        <f>_xlfn.XLOOKUP(Customer[[#This Row],[NewType]],$AF$36:$AF$54,$AG$36:$AG$54)</f>
        <v>#N/A</v>
      </c>
      <c r="AA380" s="17" t="s">
        <v>2773</v>
      </c>
      <c r="AB380" s="11" t="str">
        <f>_xlfn.XLOOKUP(Customer[[#This Row],[Customer ID]],[1]!Address[ID],[1]!Address[Subtype])</f>
        <v>PETRONAS</v>
      </c>
      <c r="AC380" s="18" t="str">
        <f>_xlfn.XLOOKUP(Customer[[#This Row],[Customer ID]],[1]!Address[ID],[1]!Address[Zone])</f>
        <v>SOUTH</v>
      </c>
    </row>
    <row r="381" spans="1:29" x14ac:dyDescent="0.3">
      <c r="A381" s="10" t="s">
        <v>2774</v>
      </c>
      <c r="B381" s="11" t="str">
        <f>_xlfn.XLOOKUP(Customer[[#This Row],[Customer ID]],[1]!Name[ID],[1]!Name[Description(1)])</f>
        <v>GANJARAN BUDI ENTERPRISE</v>
      </c>
      <c r="C381" s="11" t="str">
        <f>_xlfn.XLOOKUP(Customer[[#This Row],[Customer ID]],[1]!Name[ID],[1]!Name[Description(2)])</f>
        <v>PS KM 16 JALAN GAMBANG</v>
      </c>
      <c r="D381" s="11" t="str">
        <f>_xlfn.XLOOKUP(Customer[[#This Row],[Customer ID]],[1]!Address[ID],[1]!Address[PIC])</f>
        <v/>
      </c>
      <c r="E381" s="11" t="str">
        <f>_xlfn.XLOOKUP(Customer[[#This Row],[Customer ID]],[1]!Address[ID],[1]!Address[Full Address])</f>
        <v>PS KM 16 JALAN GAMBANGLOT 105826, BATU 10, JALAN GAMBANG (ARAHKL) MUKIM KUALA KUANTAN, 25150, KUANTAN,PAHANG</v>
      </c>
      <c r="F381" s="12" t="s">
        <v>2775</v>
      </c>
      <c r="G381" s="12" t="s">
        <v>2776</v>
      </c>
      <c r="H381" s="12" t="s">
        <v>2777</v>
      </c>
      <c r="I381" s="12" t="b">
        <f>ISNUMBER(VALUE(LEFT(Customer[[#This Row],[Address Line 3 (30 char)]],1)))</f>
        <v>0</v>
      </c>
      <c r="J381" s="12" t="s">
        <v>339</v>
      </c>
      <c r="K381" s="12">
        <v>25150</v>
      </c>
      <c r="L381" s="12" t="s">
        <v>35</v>
      </c>
      <c r="M381" s="13" t="e">
        <v>#N/A</v>
      </c>
      <c r="N381" s="14" t="e">
        <v>#N/A</v>
      </c>
      <c r="O381" s="14" t="e">
        <v>#N/A</v>
      </c>
      <c r="P381" s="14" t="e">
        <v>#N/A</v>
      </c>
      <c r="Q381" s="19" t="s">
        <v>2778</v>
      </c>
      <c r="R381" s="15" t="s">
        <v>2779</v>
      </c>
      <c r="S381" s="15" t="s">
        <v>37</v>
      </c>
      <c r="T381" s="16" t="s">
        <v>38</v>
      </c>
      <c r="U381" s="11" t="str">
        <f>_xlfn.XLOOKUP(Customer[[#This Row],[Customer ID]],[1]!Address[ID],[1]!Address[Phone No.(2)])</f>
        <v/>
      </c>
      <c r="V381" s="11" t="str">
        <f>_xlfn.XLOOKUP(Customer[[#This Row],[Customer ID]],[1]!Address[ID],[1]!Address[Type])</f>
        <v>PETROMART</v>
      </c>
      <c r="W381" s="11" t="str">
        <f>_xlfn.XLOOKUP(Customer[[#This Row],[Customer ID]],[1]!Address[ID],[1]!Address[CT])</f>
        <v>30 DAYS</v>
      </c>
      <c r="X381" s="11" t="s">
        <v>39</v>
      </c>
      <c r="Y381" s="17" t="s">
        <v>40</v>
      </c>
      <c r="Z381" s="17" t="e">
        <f>_xlfn.XLOOKUP(Customer[[#This Row],[NewType]],$AF$36:$AF$54,$AG$36:$AG$54)</f>
        <v>#N/A</v>
      </c>
      <c r="AA381" s="17" t="s">
        <v>2780</v>
      </c>
      <c r="AB381" s="11" t="str">
        <f>_xlfn.XLOOKUP(Customer[[#This Row],[Customer ID]],[1]!Address[ID],[1]!Address[Subtype])</f>
        <v>PETRONAS</v>
      </c>
      <c r="AC381" s="18" t="str">
        <f>_xlfn.XLOOKUP(Customer[[#This Row],[Customer ID]],[1]!Address[ID],[1]!Address[Zone])</f>
        <v>EAST COAST</v>
      </c>
    </row>
    <row r="382" spans="1:29" x14ac:dyDescent="0.3">
      <c r="A382" s="27" t="s">
        <v>2781</v>
      </c>
      <c r="B382" s="28" t="str">
        <f>_xlfn.XLOOKUP(Customer[[#This Row],[Customer ID]],[1]!Name[ID],[1]!Name[Description(1)])</f>
        <v>RAZ SERVICE STATION</v>
      </c>
      <c r="C382" s="11" t="str">
        <f>_xlfn.XLOOKUP(Customer[[#This Row],[Customer ID]],[1]!Name[ID],[1]!Name[Description(2)])</f>
        <v>PS KM 26 JALAN GAMBANG, KUANTAN</v>
      </c>
      <c r="D382" s="11" t="str">
        <f>_xlfn.XLOOKUP(Customer[[#This Row],[Customer ID]],[1]!Address[ID],[1]!Address[PIC])</f>
        <v/>
      </c>
      <c r="E382" s="11" t="str">
        <f>_xlfn.XLOOKUP(Customer[[#This Row],[Customer ID]],[1]!Address[ID],[1]!Address[Full Address])</f>
        <v>PS KM 26 JALAN GAMBANG, KUANTANLOT 48212 KM 26, JALAN GAMBANG-KUANTAN,26300, KUANTAN, PAHANG</v>
      </c>
      <c r="F382" s="12" t="s">
        <v>2782</v>
      </c>
      <c r="G382" s="12" t="s">
        <v>2783</v>
      </c>
      <c r="H382" s="12" t="s">
        <v>2399</v>
      </c>
      <c r="I382" s="12" t="b">
        <f>ISNUMBER(VALUE(LEFT(Customer[[#This Row],[Address Line 3 (30 char)]],1)))</f>
        <v>0</v>
      </c>
      <c r="J382" s="12" t="s">
        <v>339</v>
      </c>
      <c r="K382" s="12">
        <v>26300</v>
      </c>
      <c r="L382" s="12" t="s">
        <v>35</v>
      </c>
      <c r="M382" s="31">
        <v>200503023826</v>
      </c>
      <c r="N382" s="33" t="s">
        <v>2784</v>
      </c>
      <c r="O382" s="14" t="e">
        <v>#N/A</v>
      </c>
      <c r="P382" s="14" t="e">
        <v>#N/A</v>
      </c>
      <c r="Q382" s="19" t="s">
        <v>562</v>
      </c>
      <c r="R382" s="15" t="s">
        <v>2785</v>
      </c>
      <c r="S382" s="15" t="s">
        <v>37</v>
      </c>
      <c r="T382" s="16" t="s">
        <v>38</v>
      </c>
      <c r="U382" s="11" t="str">
        <f>_xlfn.XLOOKUP(Customer[[#This Row],[Customer ID]],[1]!Address[ID],[1]!Address[Phone No.(2)])</f>
        <v/>
      </c>
      <c r="V382" s="11" t="str">
        <f>_xlfn.XLOOKUP(Customer[[#This Row],[Customer ID]],[1]!Address[ID],[1]!Address[Type])</f>
        <v>PETROMART</v>
      </c>
      <c r="W382" s="11" t="str">
        <f>_xlfn.XLOOKUP(Customer[[#This Row],[Customer ID]],[1]!Address[ID],[1]!Address[CT])</f>
        <v>30 DAYS</v>
      </c>
      <c r="X382" s="11" t="s">
        <v>39</v>
      </c>
      <c r="Y382" s="17" t="s">
        <v>40</v>
      </c>
      <c r="Z382" s="17" t="e">
        <f>_xlfn.XLOOKUP(Customer[[#This Row],[NewType]],$AF$36:$AF$54,$AG$36:$AG$54)</f>
        <v>#N/A</v>
      </c>
      <c r="AA382" s="17" t="s">
        <v>2786</v>
      </c>
      <c r="AB382" s="11" t="str">
        <f>_xlfn.XLOOKUP(Customer[[#This Row],[Customer ID]],[1]!Address[ID],[1]!Address[Subtype])</f>
        <v>PETRONAS</v>
      </c>
      <c r="AC382" s="18" t="str">
        <f>_xlfn.XLOOKUP(Customer[[#This Row],[Customer ID]],[1]!Address[ID],[1]!Address[Zone])</f>
        <v>EAST COAST</v>
      </c>
    </row>
    <row r="383" spans="1:29" x14ac:dyDescent="0.3">
      <c r="A383" s="27" t="s">
        <v>2787</v>
      </c>
      <c r="B383" s="28" t="str">
        <f>_xlfn.XLOOKUP(Customer[[#This Row],[Customer ID]],[1]!Name[ID],[1]!Name[Description(1)])</f>
        <v>HISHIDA ENTERPRISE</v>
      </c>
      <c r="C383" s="11" t="str">
        <f>_xlfn.XLOOKUP(Customer[[#This Row],[Customer ID]],[1]!Name[ID],[1]!Name[Description(2)])</f>
        <v>PS KM 5.5 JALAN CHERAS</v>
      </c>
      <c r="D383" s="11" t="str">
        <f>_xlfn.XLOOKUP(Customer[[#This Row],[Customer ID]],[1]!Address[ID],[1]!Address[PIC])</f>
        <v/>
      </c>
      <c r="E383" s="11" t="str">
        <f>_xlfn.XLOOKUP(Customer[[#This Row],[Customer ID]],[1]!Address[ID],[1]!Address[Full Address])</f>
        <v>PS KM 5.5 JALAN CHERASLOT 7424 HS(D) 11/375, KM 5.5,JLN CHERAS(KAJANG BOUND), KUALA LUMPUR, 56000, ULULANGAT, W PERSEKUTUAN</v>
      </c>
      <c r="F383" s="12" t="s">
        <v>2788</v>
      </c>
      <c r="G383" s="12" t="s">
        <v>2789</v>
      </c>
      <c r="H383" s="12" t="s">
        <v>2790</v>
      </c>
      <c r="I383" s="12" t="b">
        <f>ISNUMBER(VALUE(LEFT(Customer[[#This Row],[Address Line 3 (30 char)]],1)))</f>
        <v>0</v>
      </c>
      <c r="J383" s="29" t="s">
        <v>34</v>
      </c>
      <c r="K383" s="12">
        <v>56000</v>
      </c>
      <c r="L383" s="12" t="s">
        <v>35</v>
      </c>
      <c r="M383" s="13" t="e">
        <v>#N/A</v>
      </c>
      <c r="N383" s="14" t="e">
        <v>#N/A</v>
      </c>
      <c r="O383" s="14" t="e">
        <v>#N/A</v>
      </c>
      <c r="P383" s="14" t="e">
        <v>#N/A</v>
      </c>
      <c r="Q383" s="19" t="s">
        <v>2791</v>
      </c>
      <c r="R383" s="15" t="s">
        <v>2792</v>
      </c>
      <c r="S383" s="15" t="s">
        <v>37</v>
      </c>
      <c r="T383" s="16" t="s">
        <v>38</v>
      </c>
      <c r="U383" s="11" t="str">
        <f>_xlfn.XLOOKUP(Customer[[#This Row],[Customer ID]],[1]!Address[ID],[1]!Address[Phone No.(2)])</f>
        <v/>
      </c>
      <c r="V383" s="11" t="str">
        <f>_xlfn.XLOOKUP(Customer[[#This Row],[Customer ID]],[1]!Address[ID],[1]!Address[Type])</f>
        <v>PETROMART</v>
      </c>
      <c r="W383" s="11" t="str">
        <f>_xlfn.XLOOKUP(Customer[[#This Row],[Customer ID]],[1]!Address[ID],[1]!Address[CT])</f>
        <v>30 DAYS</v>
      </c>
      <c r="X383" s="11" t="s">
        <v>39</v>
      </c>
      <c r="Y383" s="17" t="s">
        <v>40</v>
      </c>
      <c r="Z383" s="17" t="e">
        <f>_xlfn.XLOOKUP(Customer[[#This Row],[NewType]],$AF$36:$AF$54,$AG$36:$AG$54)</f>
        <v>#N/A</v>
      </c>
      <c r="AA383" s="17" t="s">
        <v>2793</v>
      </c>
      <c r="AB383" s="11" t="str">
        <f>_xlfn.XLOOKUP(Customer[[#This Row],[Customer ID]],[1]!Address[ID],[1]!Address[Subtype])</f>
        <v>PETRONAS</v>
      </c>
      <c r="AC383" s="18" t="str">
        <f>_xlfn.XLOOKUP(Customer[[#This Row],[Customer ID]],[1]!Address[ID],[1]!Address[Zone])</f>
        <v>CENTRAL</v>
      </c>
    </row>
    <row r="384" spans="1:29" x14ac:dyDescent="0.3">
      <c r="A384" s="27" t="s">
        <v>2794</v>
      </c>
      <c r="B384" s="28" t="str">
        <f>_xlfn.XLOOKUP(Customer[[#This Row],[Customer ID]],[1]!Name[ID],[1]!Name[Description(1)])</f>
        <v>DZIYA ZADA RESOURCES</v>
      </c>
      <c r="C384" s="11" t="str">
        <f>_xlfn.XLOOKUP(Customer[[#This Row],[Customer ID]],[1]!Name[ID],[1]!Name[Description(2)])</f>
        <v>PS KM 5.75 PENCHALA LINK (ARAH KL)</v>
      </c>
      <c r="D384" s="11" t="str">
        <f>_xlfn.XLOOKUP(Customer[[#This Row],[Customer ID]],[1]!Address[ID],[1]!Address[PIC])</f>
        <v/>
      </c>
      <c r="E384" s="11" t="str">
        <f>_xlfn.XLOOKUP(Customer[[#This Row],[Customer ID]],[1]!Address[ID],[1]!Address[Full Address])</f>
        <v>PS KM 5.75 PENCHALA LINK (ARAH KL)KM 5.75, LEBUHRAYA PENCHALA LINK, KUALALUMPUR, 60000, WILAYAH PERSEKUTUANKUALA LUMPUR, W PERSEKUTUAN</v>
      </c>
      <c r="F384" s="12" t="s">
        <v>2795</v>
      </c>
      <c r="G384" s="12" t="s">
        <v>2796</v>
      </c>
      <c r="H384" s="12" t="s">
        <v>2797</v>
      </c>
      <c r="I384" s="12" t="b">
        <f>ISNUMBER(VALUE(LEFT(Customer[[#This Row],[Address Line 3 (30 char)]],1)))</f>
        <v>0</v>
      </c>
      <c r="J384" s="29" t="s">
        <v>34</v>
      </c>
      <c r="K384" s="12">
        <v>60000</v>
      </c>
      <c r="L384" s="12" t="s">
        <v>35</v>
      </c>
      <c r="M384" s="13">
        <v>850615715039</v>
      </c>
      <c r="N384" s="14" t="s">
        <v>2798</v>
      </c>
      <c r="O384" s="14" t="e">
        <v>#N/A</v>
      </c>
      <c r="P384" s="14" t="e">
        <v>#N/A</v>
      </c>
      <c r="Q384" s="19" t="s">
        <v>1611</v>
      </c>
      <c r="R384" s="15" t="s">
        <v>1612</v>
      </c>
      <c r="S384" s="15" t="s">
        <v>37</v>
      </c>
      <c r="T384" s="16" t="s">
        <v>38</v>
      </c>
      <c r="U384" s="11" t="str">
        <f>_xlfn.XLOOKUP(Customer[[#This Row],[Customer ID]],[1]!Address[ID],[1]!Address[Phone No.(2)])</f>
        <v/>
      </c>
      <c r="V384" s="11" t="str">
        <f>_xlfn.XLOOKUP(Customer[[#This Row],[Customer ID]],[1]!Address[ID],[1]!Address[Type])</f>
        <v>PETROMART</v>
      </c>
      <c r="W384" s="11" t="str">
        <f>_xlfn.XLOOKUP(Customer[[#This Row],[Customer ID]],[1]!Address[ID],[1]!Address[CT])</f>
        <v>30 DAYS</v>
      </c>
      <c r="X384" s="11" t="s">
        <v>39</v>
      </c>
      <c r="Y384" s="17" t="s">
        <v>40</v>
      </c>
      <c r="Z384" s="17" t="e">
        <f>_xlfn.XLOOKUP(Customer[[#This Row],[NewType]],$AF$36:$AF$54,$AG$36:$AG$54)</f>
        <v>#N/A</v>
      </c>
      <c r="AA384" s="17" t="s">
        <v>2799</v>
      </c>
      <c r="AB384" s="11" t="str">
        <f>_xlfn.XLOOKUP(Customer[[#This Row],[Customer ID]],[1]!Address[ID],[1]!Address[Subtype])</f>
        <v>PETRONAS</v>
      </c>
      <c r="AC384" s="18" t="str">
        <f>_xlfn.XLOOKUP(Customer[[#This Row],[Customer ID]],[1]!Address[ID],[1]!Address[Zone])</f>
        <v>CENTRAL</v>
      </c>
    </row>
    <row r="385" spans="1:29" x14ac:dyDescent="0.3">
      <c r="A385" s="27" t="s">
        <v>2800</v>
      </c>
      <c r="B385" s="28" t="str">
        <f>_xlfn.XLOOKUP(Customer[[#This Row],[Customer ID]],[1]!Name[ID],[1]!Name[Description(1)])</f>
        <v>ALTIZ PETRO TRADE</v>
      </c>
      <c r="C385" s="11" t="str">
        <f>_xlfn.XLOOKUP(Customer[[#This Row],[Customer ID]],[1]!Name[ID],[1]!Name[Description(2)])</f>
        <v>PS KM 6 LEBUHRAYA IPOH-LUMUT (TAMAN RISH</v>
      </c>
      <c r="D385" s="11" t="str">
        <f>_xlfn.XLOOKUP(Customer[[#This Row],[Customer ID]],[1]!Address[ID],[1]!Address[PIC])</f>
        <v/>
      </c>
      <c r="E385" s="11" t="str">
        <f>_xlfn.XLOOKUP(Customer[[#This Row],[Customer ID]],[1]!Address[ID],[1]!Address[Full Address])</f>
        <v>PS KM 6 LEBUHRAYA IPOH-LUMUT (TAMAN RISHKM6, LEBUH RAYA IPOH LUMUT, TAMANPINGGIR RISHAH HIJAU SILIBIN, IPOH, 3010KINTA, PERAK</v>
      </c>
      <c r="F385" s="12" t="s">
        <v>2801</v>
      </c>
      <c r="G385" s="12" t="s">
        <v>2802</v>
      </c>
      <c r="H385" s="12" t="s">
        <v>2803</v>
      </c>
      <c r="I385" s="12" t="b">
        <f>ISNUMBER(VALUE(LEFT(Customer[[#This Row],[Address Line 3 (30 char)]],1)))</f>
        <v>0</v>
      </c>
      <c r="J385" s="12" t="s">
        <v>242</v>
      </c>
      <c r="K385" s="30" t="s">
        <v>2804</v>
      </c>
      <c r="L385" s="12" t="s">
        <v>35</v>
      </c>
      <c r="M385" s="13">
        <v>202203311120</v>
      </c>
      <c r="N385" s="14" t="s">
        <v>2805</v>
      </c>
      <c r="O385" s="14" t="e">
        <v>#N/A</v>
      </c>
      <c r="P385" s="14" t="e">
        <v>#N/A</v>
      </c>
      <c r="Q385" s="19" t="s">
        <v>2806</v>
      </c>
      <c r="R385" s="15" t="s">
        <v>2807</v>
      </c>
      <c r="S385" s="15" t="s">
        <v>37</v>
      </c>
      <c r="T385" s="16" t="s">
        <v>38</v>
      </c>
      <c r="U385" s="11" t="str">
        <f>_xlfn.XLOOKUP(Customer[[#This Row],[Customer ID]],[1]!Address[ID],[1]!Address[Phone No.(2)])</f>
        <v/>
      </c>
      <c r="V385" s="11" t="str">
        <f>_xlfn.XLOOKUP(Customer[[#This Row],[Customer ID]],[1]!Address[ID],[1]!Address[Type])</f>
        <v>PETROMART</v>
      </c>
      <c r="W385" s="11" t="str">
        <f>_xlfn.XLOOKUP(Customer[[#This Row],[Customer ID]],[1]!Address[ID],[1]!Address[CT])</f>
        <v>30 DAYS</v>
      </c>
      <c r="X385" s="11" t="s">
        <v>39</v>
      </c>
      <c r="Y385" s="17" t="s">
        <v>40</v>
      </c>
      <c r="Z385" s="17" t="e">
        <f>_xlfn.XLOOKUP(Customer[[#This Row],[NewType]],$AF$36:$AF$54,$AG$36:$AG$54)</f>
        <v>#N/A</v>
      </c>
      <c r="AA385" s="17" t="s">
        <v>2808</v>
      </c>
      <c r="AB385" s="11" t="str">
        <f>_xlfn.XLOOKUP(Customer[[#This Row],[Customer ID]],[1]!Address[ID],[1]!Address[Subtype])</f>
        <v>PETRONAS</v>
      </c>
      <c r="AC385" s="18" t="str">
        <f>_xlfn.XLOOKUP(Customer[[#This Row],[Customer ID]],[1]!Address[ID],[1]!Address[Zone])</f>
        <v>NORTH</v>
      </c>
    </row>
    <row r="386" spans="1:29" x14ac:dyDescent="0.3">
      <c r="A386" s="10" t="s">
        <v>2809</v>
      </c>
      <c r="B386" s="11" t="str">
        <f>_xlfn.XLOOKUP(Customer[[#This Row],[Customer ID]],[1]!Name[ID],[1]!Name[Description(1)])</f>
        <v>AL IMAN DANGA BAY</v>
      </c>
      <c r="C386" s="11" t="str">
        <f>_xlfn.XLOOKUP(Customer[[#This Row],[Customer ID]],[1]!Name[ID],[1]!Name[Description(2)])</f>
        <v>PS KM 7 JALAN SKUDAI</v>
      </c>
      <c r="D386" s="11" t="str">
        <f>_xlfn.XLOOKUP(Customer[[#This Row],[Customer ID]],[1]!Address[ID],[1]!Address[PIC])</f>
        <v/>
      </c>
      <c r="E386" s="11" t="str">
        <f>_xlfn.XLOOKUP(Customer[[#This Row],[Customer ID]],[1]!Address[ID],[1]!Address[Full Address])</f>
        <v>PS KM 7 JALAN SKUDAILOT PTB 12379, BATU 4 1/2, JALAN SKUDAI,JOHOR, 81200, JOHOR BAHRU, JOHOR</v>
      </c>
      <c r="F386" s="12" t="s">
        <v>2810</v>
      </c>
      <c r="G386" s="12" t="s">
        <v>2811</v>
      </c>
      <c r="H386" s="12" t="s">
        <v>1155</v>
      </c>
      <c r="I386" s="12" t="b">
        <f>ISNUMBER(VALUE(LEFT(Customer[[#This Row],[Address Line 3 (30 char)]],1)))</f>
        <v>0</v>
      </c>
      <c r="J386" s="12" t="s">
        <v>52</v>
      </c>
      <c r="K386" s="12">
        <v>81200</v>
      </c>
      <c r="L386" s="12" t="s">
        <v>35</v>
      </c>
      <c r="M386" s="13" t="e">
        <v>#N/A</v>
      </c>
      <c r="N386" s="14" t="e">
        <v>#N/A</v>
      </c>
      <c r="O386" s="14" t="e">
        <v>#N/A</v>
      </c>
      <c r="P386" s="14" t="e">
        <v>#N/A</v>
      </c>
      <c r="Q386" s="19" t="s">
        <v>2812</v>
      </c>
      <c r="R386" s="15" t="s">
        <v>2813</v>
      </c>
      <c r="S386" s="15" t="s">
        <v>37</v>
      </c>
      <c r="T386" s="16" t="s">
        <v>38</v>
      </c>
      <c r="U386" s="11" t="str">
        <f>_xlfn.XLOOKUP(Customer[[#This Row],[Customer ID]],[1]!Address[ID],[1]!Address[Phone No.(2)])</f>
        <v/>
      </c>
      <c r="V386" s="11" t="str">
        <f>_xlfn.XLOOKUP(Customer[[#This Row],[Customer ID]],[1]!Address[ID],[1]!Address[Type])</f>
        <v>PETROMART</v>
      </c>
      <c r="W386" s="11" t="str">
        <f>_xlfn.XLOOKUP(Customer[[#This Row],[Customer ID]],[1]!Address[ID],[1]!Address[CT])</f>
        <v>30 DAYS</v>
      </c>
      <c r="X386" s="11" t="s">
        <v>39</v>
      </c>
      <c r="Y386" s="17" t="s">
        <v>40</v>
      </c>
      <c r="Z386" s="17" t="e">
        <f>_xlfn.XLOOKUP(Customer[[#This Row],[NewType]],$AF$36:$AF$54,$AG$36:$AG$54)</f>
        <v>#N/A</v>
      </c>
      <c r="AA386" s="17" t="s">
        <v>2814</v>
      </c>
      <c r="AB386" s="11" t="str">
        <f>_xlfn.XLOOKUP(Customer[[#This Row],[Customer ID]],[1]!Address[ID],[1]!Address[Subtype])</f>
        <v>PETRONAS</v>
      </c>
      <c r="AC386" s="18" t="str">
        <f>_xlfn.XLOOKUP(Customer[[#This Row],[Customer ID]],[1]!Address[ID],[1]!Address[Zone])</f>
        <v>SOUTH</v>
      </c>
    </row>
    <row r="387" spans="1:29" x14ac:dyDescent="0.3">
      <c r="A387" s="10" t="s">
        <v>2815</v>
      </c>
      <c r="B387" s="11" t="str">
        <f>_xlfn.XLOOKUP(Customer[[#This Row],[Customer ID]],[1]!Name[ID],[1]!Name[Description(1)])</f>
        <v>SR REVOLUTION SDN. BHD.(JB OUTLET)</v>
      </c>
      <c r="C387" s="11" t="str">
        <f>_xlfn.XLOOKUP(Customer[[#This Row],[Customer ID]],[1]!Name[ID],[1]!Name[Description(2)])</f>
        <v>PS KM 7 SKUDAI</v>
      </c>
      <c r="D387" s="11" t="str">
        <f>_xlfn.XLOOKUP(Customer[[#This Row],[Customer ID]],[1]!Address[ID],[1]!Address[PIC])</f>
        <v/>
      </c>
      <c r="E387" s="11" t="str">
        <f>_xlfn.XLOOKUP(Customer[[#This Row],[Customer ID]],[1]!Address[ID],[1]!Address[Full Address])</f>
        <v>PS KM 7 SKUDAI12379, JALAN SKUDAAI KIRI BATU 4 1/2,KAMPUNG SKUDAI KIRI, 81200 JOHOR BAHRU,JOHOR.</v>
      </c>
      <c r="F387" s="12" t="s">
        <v>2816</v>
      </c>
      <c r="G387" s="12" t="s">
        <v>2817</v>
      </c>
      <c r="H387" s="12" t="s">
        <v>2818</v>
      </c>
      <c r="I387" s="12" t="b">
        <f>ISNUMBER(VALUE(LEFT(Customer[[#This Row],[Address Line 3 (30 char)]],1)))</f>
        <v>0</v>
      </c>
      <c r="J387" s="12" t="s">
        <v>52</v>
      </c>
      <c r="K387" s="12">
        <v>81200</v>
      </c>
      <c r="L387" s="12" t="s">
        <v>35</v>
      </c>
      <c r="M387" s="13" t="e">
        <v>#N/A</v>
      </c>
      <c r="N387" s="14" t="e">
        <v>#N/A</v>
      </c>
      <c r="O387" s="14" t="e">
        <v>#N/A</v>
      </c>
      <c r="P387" s="14" t="e">
        <v>#N/A</v>
      </c>
      <c r="Q387" s="14" t="e">
        <v>#N/A</v>
      </c>
      <c r="R387" s="15" t="s">
        <v>2819</v>
      </c>
      <c r="S387" s="15" t="s">
        <v>37</v>
      </c>
      <c r="T387" s="16" t="s">
        <v>38</v>
      </c>
      <c r="U387" s="11" t="str">
        <f>_xlfn.XLOOKUP(Customer[[#This Row],[Customer ID]],[1]!Address[ID],[1]!Address[Phone No.(2)])</f>
        <v/>
      </c>
      <c r="V387" s="11" t="str">
        <f>_xlfn.XLOOKUP(Customer[[#This Row],[Customer ID]],[1]!Address[ID],[1]!Address[Type])</f>
        <v>PETROMART</v>
      </c>
      <c r="W387" s="11" t="str">
        <f>_xlfn.XLOOKUP(Customer[[#This Row],[Customer ID]],[1]!Address[ID],[1]!Address[CT])</f>
        <v>30 DAYS</v>
      </c>
      <c r="X387" s="11" t="s">
        <v>39</v>
      </c>
      <c r="Y387" s="17" t="s">
        <v>40</v>
      </c>
      <c r="Z387" s="17" t="e">
        <f>_xlfn.XLOOKUP(Customer[[#This Row],[NewType]],$AF$36:$AF$54,$AG$36:$AG$54)</f>
        <v>#N/A</v>
      </c>
      <c r="AA387" s="17" t="s">
        <v>2820</v>
      </c>
      <c r="AB387" s="11" t="str">
        <f>_xlfn.XLOOKUP(Customer[[#This Row],[Customer ID]],[1]!Address[ID],[1]!Address[Subtype])</f>
        <v>PETRONAS</v>
      </c>
      <c r="AC387" s="18" t="str">
        <f>_xlfn.XLOOKUP(Customer[[#This Row],[Customer ID]],[1]!Address[ID],[1]!Address[Zone])</f>
        <v>SOUTH</v>
      </c>
    </row>
    <row r="388" spans="1:29" x14ac:dyDescent="0.3">
      <c r="A388" s="10" t="s">
        <v>2821</v>
      </c>
      <c r="B388" s="11" t="str">
        <f>_xlfn.XLOOKUP(Customer[[#This Row],[Customer ID]],[1]!Name[ID],[1]!Name[Description(1)])</f>
        <v>PSS DINAR ENTERPRISE</v>
      </c>
      <c r="C388" s="11" t="str">
        <f>_xlfn.XLOOKUP(Customer[[#This Row],[Customer ID]],[1]!Name[ID],[1]!Name[Description(2)])</f>
        <v>PS KM.10,JLN. KUALA KRAI</v>
      </c>
      <c r="D388" s="11" t="str">
        <f>_xlfn.XLOOKUP(Customer[[#This Row],[Customer ID]],[1]!Address[ID],[1]!Address[PIC])</f>
        <v/>
      </c>
      <c r="E388" s="11" t="str">
        <f>_xlfn.XLOOKUP(Customer[[#This Row],[Customer ID]],[1]!Address[ID],[1]!Address[Full Address])</f>
        <v>PS KM.10,JLN. KUALA KRAILOT 1433, KM 10, TUNJUNG,JLN KUALA KRAI16010, KOTA BHARU, KELANTAN</v>
      </c>
      <c r="F388" s="12" t="s">
        <v>2822</v>
      </c>
      <c r="G388" s="12" t="s">
        <v>2823</v>
      </c>
      <c r="H388" s="12" t="s">
        <v>2824</v>
      </c>
      <c r="I388" s="12" t="b">
        <f>ISNUMBER(VALUE(LEFT(Customer[[#This Row],[Address Line 3 (30 char)]],1)))</f>
        <v>0</v>
      </c>
      <c r="J388" s="12" t="s">
        <v>1007</v>
      </c>
      <c r="K388" s="12">
        <v>16010</v>
      </c>
      <c r="L388" s="12" t="s">
        <v>35</v>
      </c>
      <c r="M388" s="13" t="e">
        <v>#N/A</v>
      </c>
      <c r="N388" s="14" t="e">
        <v>#N/A</v>
      </c>
      <c r="O388" s="14" t="e">
        <v>#N/A</v>
      </c>
      <c r="P388" s="14" t="e">
        <v>#N/A</v>
      </c>
      <c r="Q388" s="34" t="s">
        <v>2825</v>
      </c>
      <c r="R388" s="15" t="s">
        <v>2826</v>
      </c>
      <c r="S388" s="15" t="s">
        <v>37</v>
      </c>
      <c r="T388" s="16" t="s">
        <v>38</v>
      </c>
      <c r="U388" s="11" t="str">
        <f>_xlfn.XLOOKUP(Customer[[#This Row],[Customer ID]],[1]!Address[ID],[1]!Address[Phone No.(2)])</f>
        <v/>
      </c>
      <c r="V388" s="11" t="str">
        <f>_xlfn.XLOOKUP(Customer[[#This Row],[Customer ID]],[1]!Address[ID],[1]!Address[Type])</f>
        <v>PETROMART</v>
      </c>
      <c r="W388" s="11" t="str">
        <f>_xlfn.XLOOKUP(Customer[[#This Row],[Customer ID]],[1]!Address[ID],[1]!Address[CT])</f>
        <v>30 DAYS</v>
      </c>
      <c r="X388" s="11" t="s">
        <v>39</v>
      </c>
      <c r="Y388" s="17" t="s">
        <v>40</v>
      </c>
      <c r="Z388" s="17" t="e">
        <f>_xlfn.XLOOKUP(Customer[[#This Row],[NewType]],$AF$36:$AF$54,$AG$36:$AG$54)</f>
        <v>#N/A</v>
      </c>
      <c r="AA388" s="17" t="s">
        <v>2827</v>
      </c>
      <c r="AB388" s="11" t="str">
        <f>_xlfn.XLOOKUP(Customer[[#This Row],[Customer ID]],[1]!Address[ID],[1]!Address[Subtype])</f>
        <v>PETRONAS</v>
      </c>
      <c r="AC388" s="18" t="str">
        <f>_xlfn.XLOOKUP(Customer[[#This Row],[Customer ID]],[1]!Address[ID],[1]!Address[Zone])</f>
        <v>EAST COAST</v>
      </c>
    </row>
    <row r="389" spans="1:29" x14ac:dyDescent="0.3">
      <c r="A389" s="27" t="s">
        <v>2828</v>
      </c>
      <c r="B389" s="28" t="str">
        <f>_xlfn.XLOOKUP(Customer[[#This Row],[Customer ID]],[1]!Name[ID],[1]!Name[Description(1)])</f>
        <v>PROLANDER HECTARE</v>
      </c>
      <c r="C389" s="11" t="str">
        <f>_xlfn.XLOOKUP(Customer[[#This Row],[Customer ID]],[1]!Name[ID],[1]!Name[Description(2)])</f>
        <v>PS KM2.95 PENCHALA LINK (ARAH DAMANSARA)</v>
      </c>
      <c r="D389" s="11" t="str">
        <f>_xlfn.XLOOKUP(Customer[[#This Row],[Customer ID]],[1]!Address[ID],[1]!Address[PIC])</f>
        <v/>
      </c>
      <c r="E389" s="11" t="str">
        <f>_xlfn.XLOOKUP(Customer[[#This Row],[Customer ID]],[1]!Address[ID],[1]!Address[Full Address])</f>
        <v>PS KM2.95 PENCHALA LINK (ARAH DAMANSARA)KM 2.95, PENCHALA LINK (WEST BOUND)PLAZATOL PENCHALA, KUALA LUMPUR, 50480,WILAYAH PERSEKUTUAN KUALA LUMPUR,</v>
      </c>
      <c r="F389" s="12" t="s">
        <v>2829</v>
      </c>
      <c r="G389" s="12" t="s">
        <v>2830</v>
      </c>
      <c r="H389" s="12" t="s">
        <v>2831</v>
      </c>
      <c r="I389" s="12" t="b">
        <f>ISNUMBER(VALUE(LEFT(Customer[[#This Row],[Address Line 3 (30 char)]],1)))</f>
        <v>0</v>
      </c>
      <c r="J389" s="29" t="s">
        <v>34</v>
      </c>
      <c r="K389" s="12">
        <v>50480</v>
      </c>
      <c r="L389" s="12" t="s">
        <v>35</v>
      </c>
      <c r="M389" s="13" t="e">
        <v>#N/A</v>
      </c>
      <c r="N389" s="14" t="e">
        <v>#N/A</v>
      </c>
      <c r="O389" s="14" t="e">
        <v>#N/A</v>
      </c>
      <c r="P389" s="14" t="e">
        <v>#N/A</v>
      </c>
      <c r="Q389" s="19" t="s">
        <v>2832</v>
      </c>
      <c r="R389" s="15" t="s">
        <v>2833</v>
      </c>
      <c r="S389" s="15" t="s">
        <v>37</v>
      </c>
      <c r="T389" s="16" t="s">
        <v>38</v>
      </c>
      <c r="U389" s="11" t="str">
        <f>_xlfn.XLOOKUP(Customer[[#This Row],[Customer ID]],[1]!Address[ID],[1]!Address[Phone No.(2)])</f>
        <v/>
      </c>
      <c r="V389" s="11" t="str">
        <f>_xlfn.XLOOKUP(Customer[[#This Row],[Customer ID]],[1]!Address[ID],[1]!Address[Type])</f>
        <v>PETROMART</v>
      </c>
      <c r="W389" s="11" t="str">
        <f>_xlfn.XLOOKUP(Customer[[#This Row],[Customer ID]],[1]!Address[ID],[1]!Address[CT])</f>
        <v>30 DAYS</v>
      </c>
      <c r="X389" s="11" t="s">
        <v>39</v>
      </c>
      <c r="Y389" s="17" t="s">
        <v>40</v>
      </c>
      <c r="Z389" s="17" t="e">
        <f>_xlfn.XLOOKUP(Customer[[#This Row],[NewType]],$AF$36:$AF$54,$AG$36:$AG$54)</f>
        <v>#N/A</v>
      </c>
      <c r="AA389" s="17" t="s">
        <v>2834</v>
      </c>
      <c r="AB389" s="11" t="str">
        <f>_xlfn.XLOOKUP(Customer[[#This Row],[Customer ID]],[1]!Address[ID],[1]!Address[Subtype])</f>
        <v>PETRONAS</v>
      </c>
      <c r="AC389" s="18" t="str">
        <f>_xlfn.XLOOKUP(Customer[[#This Row],[Customer ID]],[1]!Address[ID],[1]!Address[Zone])</f>
        <v>CENTRAL</v>
      </c>
    </row>
    <row r="390" spans="1:29" x14ac:dyDescent="0.3">
      <c r="A390" s="10" t="s">
        <v>2835</v>
      </c>
      <c r="B390" s="11" t="str">
        <f>_xlfn.XLOOKUP(Customer[[#This Row],[Customer ID]],[1]!Name[ID],[1]!Name[Description(1)])</f>
        <v>PETRO IDAMAN RESOURCES</v>
      </c>
      <c r="C390" s="11" t="str">
        <f>_xlfn.XLOOKUP(Customer[[#This Row],[Customer ID]],[1]!Name[ID],[1]!Name[Description(2)])</f>
        <v>PS KM72 LEBUHRAYA KARAK ARAH KL</v>
      </c>
      <c r="D390" s="11" t="str">
        <f>_xlfn.XLOOKUP(Customer[[#This Row],[Customer ID]],[1]!Address[ID],[1]!Address[PIC])</f>
        <v/>
      </c>
      <c r="E390" s="11" t="str">
        <f>_xlfn.XLOOKUP(Customer[[#This Row],[Customer ID]],[1]!Address[ID],[1]!Address[Full Address])</f>
        <v>PS KM72 LEBUHRAYA KARAK ARAH KLKM 72, L/RAYA KARAK ARAH KL, LOT PT 7376HS(M) 4933 DAERAH BENTONG,, 28600,BENTONG, PAHANG</v>
      </c>
      <c r="F390" s="12" t="s">
        <v>2836</v>
      </c>
      <c r="G390" s="12" t="s">
        <v>2837</v>
      </c>
      <c r="H390" s="12" t="s">
        <v>2838</v>
      </c>
      <c r="I390" s="12" t="b">
        <f>ISNUMBER(VALUE(LEFT(Customer[[#This Row],[Address Line 3 (30 char)]],1)))</f>
        <v>0</v>
      </c>
      <c r="J390" s="12" t="s">
        <v>339</v>
      </c>
      <c r="K390" s="12">
        <v>28600</v>
      </c>
      <c r="L390" s="12" t="s">
        <v>35</v>
      </c>
      <c r="M390" s="13" t="e">
        <v>#N/A</v>
      </c>
      <c r="N390" s="14" t="e">
        <v>#N/A</v>
      </c>
      <c r="O390" s="14" t="e">
        <v>#N/A</v>
      </c>
      <c r="P390" s="14" t="e">
        <v>#N/A</v>
      </c>
      <c r="Q390" s="19" t="s">
        <v>2839</v>
      </c>
      <c r="R390" s="15" t="s">
        <v>2840</v>
      </c>
      <c r="S390" s="15" t="s">
        <v>37</v>
      </c>
      <c r="T390" s="16" t="s">
        <v>38</v>
      </c>
      <c r="U390" s="11" t="str">
        <f>_xlfn.XLOOKUP(Customer[[#This Row],[Customer ID]],[1]!Address[ID],[1]!Address[Phone No.(2)])</f>
        <v/>
      </c>
      <c r="V390" s="11" t="str">
        <f>_xlfn.XLOOKUP(Customer[[#This Row],[Customer ID]],[1]!Address[ID],[1]!Address[Type])</f>
        <v>PETROMART</v>
      </c>
      <c r="W390" s="11" t="str">
        <f>_xlfn.XLOOKUP(Customer[[#This Row],[Customer ID]],[1]!Address[ID],[1]!Address[CT])</f>
        <v>30 DAYS</v>
      </c>
      <c r="X390" s="11" t="s">
        <v>39</v>
      </c>
      <c r="Y390" s="17" t="s">
        <v>40</v>
      </c>
      <c r="Z390" s="17" t="e">
        <f>_xlfn.XLOOKUP(Customer[[#This Row],[NewType]],$AF$36:$AF$54,$AG$36:$AG$54)</f>
        <v>#N/A</v>
      </c>
      <c r="AA390" s="17" t="s">
        <v>2841</v>
      </c>
      <c r="AB390" s="11" t="str">
        <f>_xlfn.XLOOKUP(Customer[[#This Row],[Customer ID]],[1]!Address[ID],[1]!Address[Subtype])</f>
        <v>PETRONAS</v>
      </c>
      <c r="AC390" s="18" t="str">
        <f>_xlfn.XLOOKUP(Customer[[#This Row],[Customer ID]],[1]!Address[ID],[1]!Address[Zone])</f>
        <v>EAST COAST</v>
      </c>
    </row>
    <row r="391" spans="1:29" x14ac:dyDescent="0.3">
      <c r="A391" s="10" t="s">
        <v>2842</v>
      </c>
      <c r="B391" s="11" t="str">
        <f>_xlfn.XLOOKUP(Customer[[#This Row],[Customer ID]],[1]!Name[ID],[1]!Name[Description(1)])</f>
        <v>PETRO EMAS KOK LANAS</v>
      </c>
      <c r="C391" s="11" t="str">
        <f>_xlfn.XLOOKUP(Customer[[#This Row],[Customer ID]],[1]!Name[ID],[1]!Name[Description(2)])</f>
        <v>PS KOK LANAS</v>
      </c>
      <c r="D391" s="11" t="str">
        <f>_xlfn.XLOOKUP(Customer[[#This Row],[Customer ID]],[1]!Address[ID],[1]!Address[PIC])</f>
        <v/>
      </c>
      <c r="E391" s="11" t="str">
        <f>_xlfn.XLOOKUP(Customer[[#This Row],[Customer ID]],[1]!Address[ID],[1]!Address[Full Address])</f>
        <v>PS KOK LANASLOT PT 84, BATU 16, JALAN KUALA KRAI, KOLANAS, 16450, KOTA BHARU, KELANTAN</v>
      </c>
      <c r="F391" s="12" t="s">
        <v>2843</v>
      </c>
      <c r="G391" s="12" t="s">
        <v>2844</v>
      </c>
      <c r="H391" s="12" t="s">
        <v>2845</v>
      </c>
      <c r="I391" s="12" t="b">
        <f>ISNUMBER(VALUE(LEFT(Customer[[#This Row],[Address Line 3 (30 char)]],1)))</f>
        <v>0</v>
      </c>
      <c r="J391" s="12" t="s">
        <v>1007</v>
      </c>
      <c r="K391" s="12">
        <v>16450</v>
      </c>
      <c r="L391" s="12" t="s">
        <v>35</v>
      </c>
      <c r="M391" s="13">
        <v>200103074008</v>
      </c>
      <c r="N391" s="14" t="s">
        <v>2846</v>
      </c>
      <c r="O391" s="14"/>
      <c r="P391" s="14">
        <v>47300</v>
      </c>
      <c r="Q391" s="19" t="s">
        <v>2847</v>
      </c>
      <c r="R391" s="15" t="s">
        <v>2848</v>
      </c>
      <c r="S391" s="15" t="s">
        <v>37</v>
      </c>
      <c r="T391" s="16" t="s">
        <v>38</v>
      </c>
      <c r="U391" s="11" t="str">
        <f>_xlfn.XLOOKUP(Customer[[#This Row],[Customer ID]],[1]!Address[ID],[1]!Address[Phone No.(2)])</f>
        <v/>
      </c>
      <c r="V391" s="11" t="str">
        <f>_xlfn.XLOOKUP(Customer[[#This Row],[Customer ID]],[1]!Address[ID],[1]!Address[Type])</f>
        <v>PETROMART</v>
      </c>
      <c r="W391" s="11" t="str">
        <f>_xlfn.XLOOKUP(Customer[[#This Row],[Customer ID]],[1]!Address[ID],[1]!Address[CT])</f>
        <v>30 DAYS</v>
      </c>
      <c r="X391" s="11" t="s">
        <v>39</v>
      </c>
      <c r="Y391" s="17" t="s">
        <v>40</v>
      </c>
      <c r="Z391" s="17" t="e">
        <f>_xlfn.XLOOKUP(Customer[[#This Row],[NewType]],$AF$36:$AF$54,$AG$36:$AG$54)</f>
        <v>#N/A</v>
      </c>
      <c r="AA391" s="17" t="s">
        <v>2849</v>
      </c>
      <c r="AB391" s="11" t="str">
        <f>_xlfn.XLOOKUP(Customer[[#This Row],[Customer ID]],[1]!Address[ID],[1]!Address[Subtype])</f>
        <v>PETRONAS</v>
      </c>
      <c r="AC391" s="18" t="str">
        <f>_xlfn.XLOOKUP(Customer[[#This Row],[Customer ID]],[1]!Address[ID],[1]!Address[Zone])</f>
        <v>EAST COAST</v>
      </c>
    </row>
    <row r="392" spans="1:29" x14ac:dyDescent="0.3">
      <c r="A392" s="10" t="s">
        <v>2850</v>
      </c>
      <c r="B392" s="11" t="str">
        <f>_xlfn.XLOOKUP(Customer[[#This Row],[Customer ID]],[1]!Name[ID],[1]!Name[Description(1)])</f>
        <v>STESEN PETRONAS KOPERASI FELDA MEMPAGA 3</v>
      </c>
      <c r="C392" s="11" t="str">
        <f>_xlfn.XLOOKUP(Customer[[#This Row],[Customer ID]],[1]!Name[ID],[1]!Name[Description(2)])</f>
        <v>PS KOPERASI FELDA MEMPAGA 3 BERHAD</v>
      </c>
      <c r="D392" s="11" t="str">
        <f>_xlfn.XLOOKUP(Customer[[#This Row],[Customer ID]],[1]!Address[ID],[1]!Address[PIC])</f>
        <v/>
      </c>
      <c r="E392" s="11" t="str">
        <f>_xlfn.XLOOKUP(Customer[[#This Row],[Customer ID]],[1]!Address[ID],[1]!Address[Full Address])</f>
        <v>PS KOPERASI FELDA MEMPAGA 3 BERHADPEJABAT KOPERASI FELDA MEMPAGA 03, 28600KARAK PAHANG DARUL MAKMUR</v>
      </c>
      <c r="F392" s="12" t="s">
        <v>2851</v>
      </c>
      <c r="G392" s="12" t="s">
        <v>2852</v>
      </c>
      <c r="H392" s="12" t="s">
        <v>2853</v>
      </c>
      <c r="I392" s="12" t="b">
        <f>ISNUMBER(VALUE(LEFT(Customer[[#This Row],[Address Line 3 (30 char)]],1)))</f>
        <v>0</v>
      </c>
      <c r="J392" s="12" t="s">
        <v>339</v>
      </c>
      <c r="K392" s="12">
        <v>28600</v>
      </c>
      <c r="L392" s="12" t="s">
        <v>35</v>
      </c>
      <c r="M392" s="13" t="e">
        <v>#N/A</v>
      </c>
      <c r="N392" s="14" t="e">
        <v>#N/A</v>
      </c>
      <c r="O392" s="14" t="e">
        <v>#N/A</v>
      </c>
      <c r="P392" s="14" t="e">
        <v>#N/A</v>
      </c>
      <c r="Q392" s="19" t="s">
        <v>2854</v>
      </c>
      <c r="R392" s="15" t="s">
        <v>2855</v>
      </c>
      <c r="S392" s="15" t="s">
        <v>37</v>
      </c>
      <c r="T392" s="16" t="s">
        <v>38</v>
      </c>
      <c r="U392" s="11" t="str">
        <f>_xlfn.XLOOKUP(Customer[[#This Row],[Customer ID]],[1]!Address[ID],[1]!Address[Phone No.(2)])</f>
        <v/>
      </c>
      <c r="V392" s="11" t="str">
        <f>_xlfn.XLOOKUP(Customer[[#This Row],[Customer ID]],[1]!Address[ID],[1]!Address[Type])</f>
        <v>PETROMART</v>
      </c>
      <c r="W392" s="11" t="str">
        <f>_xlfn.XLOOKUP(Customer[[#This Row],[Customer ID]],[1]!Address[ID],[1]!Address[CT])</f>
        <v>30 DAYS</v>
      </c>
      <c r="X392" s="11" t="s">
        <v>39</v>
      </c>
      <c r="Y392" s="17" t="s">
        <v>40</v>
      </c>
      <c r="Z392" s="17" t="e">
        <f>_xlfn.XLOOKUP(Customer[[#This Row],[NewType]],$AF$36:$AF$54,$AG$36:$AG$54)</f>
        <v>#N/A</v>
      </c>
      <c r="AA392" s="17" t="s">
        <v>2856</v>
      </c>
      <c r="AB392" s="11" t="str">
        <f>_xlfn.XLOOKUP(Customer[[#This Row],[Customer ID]],[1]!Address[ID],[1]!Address[Subtype])</f>
        <v>PETRONAS</v>
      </c>
      <c r="AC392" s="18" t="str">
        <f>_xlfn.XLOOKUP(Customer[[#This Row],[Customer ID]],[1]!Address[ID],[1]!Address[Zone])</f>
        <v>EAST COAST</v>
      </c>
    </row>
    <row r="393" spans="1:29" x14ac:dyDescent="0.3">
      <c r="A393" s="10" t="s">
        <v>2857</v>
      </c>
      <c r="B393" s="11" t="str">
        <f>_xlfn.XLOOKUP(Customer[[#This Row],[Customer ID]],[1]!Name[ID],[1]!Name[Description(1)])</f>
        <v>ANUGERAH ELMU</v>
      </c>
      <c r="C393" s="11" t="str">
        <f>_xlfn.XLOOKUP(Customer[[#This Row],[Customer ID]],[1]!Name[ID],[1]!Name[Description(2)])</f>
        <v>PS KOTA</v>
      </c>
      <c r="D393" s="11" t="str">
        <f>_xlfn.XLOOKUP(Customer[[#This Row],[Customer ID]],[1]!Address[ID],[1]!Address[PIC])</f>
        <v/>
      </c>
      <c r="E393" s="11" t="str">
        <f>_xlfn.XLOOKUP(Customer[[#This Row],[Customer ID]],[1]!Address[ID],[1]!Address[Full Address])</f>
        <v>PS KOTALOT 2702, PEKAN KOTA, KOTA, SEREMBAN,NEGERI SEMBILAN, 71350, SEREMBAN, NEGERI</v>
      </c>
      <c r="F393" s="12" t="s">
        <v>2858</v>
      </c>
      <c r="G393" s="12" t="s">
        <v>2859</v>
      </c>
      <c r="H393" s="12"/>
      <c r="I393" s="12" t="b">
        <f>ISNUMBER(VALUE(LEFT(Customer[[#This Row],[Address Line 3 (30 char)]],1)))</f>
        <v>0</v>
      </c>
      <c r="J393" s="12" t="s">
        <v>203</v>
      </c>
      <c r="K393" s="12">
        <v>71350</v>
      </c>
      <c r="L393" s="12" t="s">
        <v>35</v>
      </c>
      <c r="M393" s="13">
        <v>200803107746</v>
      </c>
      <c r="N393" s="14" t="s">
        <v>1972</v>
      </c>
      <c r="O393" s="14" t="s">
        <v>54</v>
      </c>
      <c r="P393" s="14">
        <v>47300</v>
      </c>
      <c r="Q393" s="19" t="s">
        <v>2860</v>
      </c>
      <c r="R393" s="15" t="s">
        <v>2861</v>
      </c>
      <c r="S393" s="15" t="s">
        <v>37</v>
      </c>
      <c r="T393" s="16" t="s">
        <v>38</v>
      </c>
      <c r="U393" s="11" t="str">
        <f>_xlfn.XLOOKUP(Customer[[#This Row],[Customer ID]],[1]!Address[ID],[1]!Address[Phone No.(2)])</f>
        <v/>
      </c>
      <c r="V393" s="11" t="str">
        <f>_xlfn.XLOOKUP(Customer[[#This Row],[Customer ID]],[1]!Address[ID],[1]!Address[Type])</f>
        <v>PETROMART</v>
      </c>
      <c r="W393" s="11" t="str">
        <f>_xlfn.XLOOKUP(Customer[[#This Row],[Customer ID]],[1]!Address[ID],[1]!Address[CT])</f>
        <v>30 DAYS</v>
      </c>
      <c r="X393" s="11" t="s">
        <v>39</v>
      </c>
      <c r="Y393" s="17" t="s">
        <v>40</v>
      </c>
      <c r="Z393" s="17" t="e">
        <f>_xlfn.XLOOKUP(Customer[[#This Row],[NewType]],$AF$36:$AF$54,$AG$36:$AG$54)</f>
        <v>#N/A</v>
      </c>
      <c r="AA393" s="17" t="s">
        <v>2862</v>
      </c>
      <c r="AB393" s="11" t="str">
        <f>_xlfn.XLOOKUP(Customer[[#This Row],[Customer ID]],[1]!Address[ID],[1]!Address[Subtype])</f>
        <v>PETRONAS</v>
      </c>
      <c r="AC393" s="18" t="str">
        <f>_xlfn.XLOOKUP(Customer[[#This Row],[Customer ID]],[1]!Address[ID],[1]!Address[Zone])</f>
        <v>CENTRAL</v>
      </c>
    </row>
    <row r="394" spans="1:29" x14ac:dyDescent="0.3">
      <c r="A394" s="10" t="s">
        <v>2863</v>
      </c>
      <c r="B394" s="11" t="str">
        <f>_xlfn.XLOOKUP(Customer[[#This Row],[Customer ID]],[1]!Name[ID],[1]!Name[Description(1)])</f>
        <v>POTNAS ENTERPRISE</v>
      </c>
      <c r="C394" s="11" t="str">
        <f>_xlfn.XLOOKUP(Customer[[#This Row],[Customer ID]],[1]!Name[ID],[1]!Name[Description(2)])</f>
        <v>PS KOTA BAYU EMAS</v>
      </c>
      <c r="D394" s="11" t="str">
        <f>_xlfn.XLOOKUP(Customer[[#This Row],[Customer ID]],[1]!Address[ID],[1]!Address[PIC])</f>
        <v/>
      </c>
      <c r="E394" s="11" t="str">
        <f>_xlfn.XLOOKUP(Customer[[#This Row],[Customer ID]],[1]!Address[ID],[1]!Address[Full Address])</f>
        <v>PS KOTA BAYU EMASLOT 4520, FASA 1, KOTA BAYU EMAS, MUKIMKLANG, SELANGOR, 42100, KLANG, SELANGOR</v>
      </c>
      <c r="F394" s="12" t="s">
        <v>2864</v>
      </c>
      <c r="G394" s="12" t="s">
        <v>2865</v>
      </c>
      <c r="H394" s="12" t="s">
        <v>2356</v>
      </c>
      <c r="I394" s="12" t="b">
        <f>ISNUMBER(VALUE(LEFT(Customer[[#This Row],[Address Line 3 (30 char)]],1)))</f>
        <v>0</v>
      </c>
      <c r="J394" s="12" t="s">
        <v>172</v>
      </c>
      <c r="K394" s="12">
        <v>42100</v>
      </c>
      <c r="L394" s="12" t="s">
        <v>35</v>
      </c>
      <c r="M394" s="13" t="e">
        <v>#N/A</v>
      </c>
      <c r="N394" s="14" t="e">
        <v>#N/A</v>
      </c>
      <c r="O394" s="14" t="e">
        <v>#N/A</v>
      </c>
      <c r="P394" s="14" t="e">
        <v>#N/A</v>
      </c>
      <c r="Q394" s="19" t="s">
        <v>2866</v>
      </c>
      <c r="R394" s="15" t="s">
        <v>2867</v>
      </c>
      <c r="S394" s="15" t="s">
        <v>37</v>
      </c>
      <c r="T394" s="16" t="s">
        <v>38</v>
      </c>
      <c r="U394" s="11" t="str">
        <f>_xlfn.XLOOKUP(Customer[[#This Row],[Customer ID]],[1]!Address[ID],[1]!Address[Phone No.(2)])</f>
        <v/>
      </c>
      <c r="V394" s="11" t="str">
        <f>_xlfn.XLOOKUP(Customer[[#This Row],[Customer ID]],[1]!Address[ID],[1]!Address[Type])</f>
        <v>PETROMART</v>
      </c>
      <c r="W394" s="11" t="str">
        <f>_xlfn.XLOOKUP(Customer[[#This Row],[Customer ID]],[1]!Address[ID],[1]!Address[CT])</f>
        <v>30 DAYS</v>
      </c>
      <c r="X394" s="11" t="s">
        <v>39</v>
      </c>
      <c r="Y394" s="17" t="s">
        <v>40</v>
      </c>
      <c r="Z394" s="17" t="e">
        <f>_xlfn.XLOOKUP(Customer[[#This Row],[NewType]],$AF$36:$AF$54,$AG$36:$AG$54)</f>
        <v>#N/A</v>
      </c>
      <c r="AA394" s="17" t="s">
        <v>2868</v>
      </c>
      <c r="AB394" s="11" t="str">
        <f>_xlfn.XLOOKUP(Customer[[#This Row],[Customer ID]],[1]!Address[ID],[1]!Address[Subtype])</f>
        <v>PETRONAS</v>
      </c>
      <c r="AC394" s="18" t="str">
        <f>_xlfn.XLOOKUP(Customer[[#This Row],[Customer ID]],[1]!Address[ID],[1]!Address[Zone])</f>
        <v>CENTRAL</v>
      </c>
    </row>
    <row r="395" spans="1:29" x14ac:dyDescent="0.3">
      <c r="A395" s="10" t="s">
        <v>2869</v>
      </c>
      <c r="B395" s="11" t="str">
        <f>_xlfn.XLOOKUP(Customer[[#This Row],[Customer ID]],[1]!Name[ID],[1]!Name[Description(1)])</f>
        <v>LIMBAWAN ENTERPRISE</v>
      </c>
      <c r="C395" s="11" t="str">
        <f>_xlfn.XLOOKUP(Customer[[#This Row],[Customer ID]],[1]!Name[ID],[1]!Name[Description(2)])</f>
        <v>PS KOTA DAMANSARA 1</v>
      </c>
      <c r="D395" s="11" t="str">
        <f>_xlfn.XLOOKUP(Customer[[#This Row],[Customer ID]],[1]!Address[ID],[1]!Address[PIC])</f>
        <v/>
      </c>
      <c r="E395" s="11" t="str">
        <f>_xlfn.XLOOKUP(Customer[[#This Row],[Customer ID]],[1]!Address[ID],[1]!Address[Full Address])</f>
        <v>PS KOTA DAMANSARA 1SEKSYEN 2, PERSIARAN SURIAN, KOTADAMANSARA, MUKIM SUNGAI BULOH,SELANGOR, 47810, PETALING, SELANGOR</v>
      </c>
      <c r="F395" s="12" t="s">
        <v>2870</v>
      </c>
      <c r="G395" s="12" t="s">
        <v>2871</v>
      </c>
      <c r="H395" s="12" t="s">
        <v>2872</v>
      </c>
      <c r="I395" s="12" t="b">
        <f>ISNUMBER(VALUE(LEFT(Customer[[#This Row],[Address Line 3 (30 char)]],1)))</f>
        <v>0</v>
      </c>
      <c r="J395" s="12" t="s">
        <v>172</v>
      </c>
      <c r="K395" s="12">
        <v>47810</v>
      </c>
      <c r="L395" s="12" t="s">
        <v>35</v>
      </c>
      <c r="M395" s="13">
        <v>200303003665</v>
      </c>
      <c r="N395" s="14" t="s">
        <v>2873</v>
      </c>
      <c r="O395" s="14" t="s">
        <v>54</v>
      </c>
      <c r="P395" s="14">
        <v>43700</v>
      </c>
      <c r="Q395" s="19" t="s">
        <v>2874</v>
      </c>
      <c r="R395" s="15" t="s">
        <v>2875</v>
      </c>
      <c r="S395" s="15" t="s">
        <v>37</v>
      </c>
      <c r="T395" s="16" t="s">
        <v>38</v>
      </c>
      <c r="U395" s="11" t="str">
        <f>_xlfn.XLOOKUP(Customer[[#This Row],[Customer ID]],[1]!Address[ID],[1]!Address[Phone No.(2)])</f>
        <v/>
      </c>
      <c r="V395" s="11" t="str">
        <f>_xlfn.XLOOKUP(Customer[[#This Row],[Customer ID]],[1]!Address[ID],[1]!Address[Type])</f>
        <v>PETROMART</v>
      </c>
      <c r="W395" s="11" t="str">
        <f>_xlfn.XLOOKUP(Customer[[#This Row],[Customer ID]],[1]!Address[ID],[1]!Address[CT])</f>
        <v>30 DAYS</v>
      </c>
      <c r="X395" s="11" t="s">
        <v>39</v>
      </c>
      <c r="Y395" s="17" t="s">
        <v>40</v>
      </c>
      <c r="Z395" s="17" t="e">
        <f>_xlfn.XLOOKUP(Customer[[#This Row],[NewType]],$AF$36:$AF$54,$AG$36:$AG$54)</f>
        <v>#N/A</v>
      </c>
      <c r="AA395" s="17" t="s">
        <v>2876</v>
      </c>
      <c r="AB395" s="11" t="str">
        <f>_xlfn.XLOOKUP(Customer[[#This Row],[Customer ID]],[1]!Address[ID],[1]!Address[Subtype])</f>
        <v>PETRONAS</v>
      </c>
      <c r="AC395" s="18" t="str">
        <f>_xlfn.XLOOKUP(Customer[[#This Row],[Customer ID]],[1]!Address[ID],[1]!Address[Zone])</f>
        <v>CENTRAL</v>
      </c>
    </row>
    <row r="396" spans="1:29" x14ac:dyDescent="0.3">
      <c r="A396" s="10" t="s">
        <v>2877</v>
      </c>
      <c r="B396" s="11" t="str">
        <f>_xlfn.XLOOKUP(Customer[[#This Row],[Customer ID]],[1]!Name[ID],[1]!Name[Description(1)])</f>
        <v>SABAZ ENTERPRISE</v>
      </c>
      <c r="C396" s="11" t="str">
        <f>_xlfn.XLOOKUP(Customer[[#This Row],[Customer ID]],[1]!Name[ID],[1]!Name[Description(2)])</f>
        <v>PS KOTA DAMANSARA 2</v>
      </c>
      <c r="D396" s="11" t="str">
        <f>_xlfn.XLOOKUP(Customer[[#This Row],[Customer ID]],[1]!Address[ID],[1]!Address[PIC])</f>
        <v/>
      </c>
      <c r="E396" s="11" t="str">
        <f>_xlfn.XLOOKUP(Customer[[#This Row],[Customer ID]],[1]!Address[ID],[1]!Address[Full Address])</f>
        <v>PS KOTA DAMANSARA 2LOT 1, JALAN CAMAR 4/1, OFF PERSIARANSURIAN, SEKSYEN 4, KOTA DAMANSARA, MUKIMSUNGAI BULOH, SELANGOR, 47810, PETALING,</v>
      </c>
      <c r="F396" s="12" t="s">
        <v>2878</v>
      </c>
      <c r="G396" s="12" t="s">
        <v>2879</v>
      </c>
      <c r="H396" s="12" t="s">
        <v>2880</v>
      </c>
      <c r="I396" s="12" t="b">
        <f>ISNUMBER(VALUE(LEFT(Customer[[#This Row],[Address Line 3 (30 char)]],1)))</f>
        <v>0</v>
      </c>
      <c r="J396" s="12" t="s">
        <v>172</v>
      </c>
      <c r="K396" s="12">
        <v>47810</v>
      </c>
      <c r="L396" s="12" t="s">
        <v>35</v>
      </c>
      <c r="M396" s="13">
        <v>201203093162</v>
      </c>
      <c r="N396" s="14" t="s">
        <v>2881</v>
      </c>
      <c r="O396" s="14" t="s">
        <v>54</v>
      </c>
      <c r="P396" s="14">
        <v>46617</v>
      </c>
      <c r="Q396" s="19" t="s">
        <v>2882</v>
      </c>
      <c r="R396" s="15" t="s">
        <v>2883</v>
      </c>
      <c r="S396" s="15" t="s">
        <v>37</v>
      </c>
      <c r="T396" s="16" t="s">
        <v>38</v>
      </c>
      <c r="U396" s="11" t="str">
        <f>_xlfn.XLOOKUP(Customer[[#This Row],[Customer ID]],[1]!Address[ID],[1]!Address[Phone No.(2)])</f>
        <v/>
      </c>
      <c r="V396" s="11" t="str">
        <f>_xlfn.XLOOKUP(Customer[[#This Row],[Customer ID]],[1]!Address[ID],[1]!Address[Type])</f>
        <v>PETROMART</v>
      </c>
      <c r="W396" s="11" t="str">
        <f>_xlfn.XLOOKUP(Customer[[#This Row],[Customer ID]],[1]!Address[ID],[1]!Address[CT])</f>
        <v>30 DAYS</v>
      </c>
      <c r="X396" s="11" t="s">
        <v>39</v>
      </c>
      <c r="Y396" s="17" t="s">
        <v>40</v>
      </c>
      <c r="Z396" s="17" t="e">
        <f>_xlfn.XLOOKUP(Customer[[#This Row],[NewType]],$AF$36:$AF$54,$AG$36:$AG$54)</f>
        <v>#N/A</v>
      </c>
      <c r="AA396" s="17" t="s">
        <v>2884</v>
      </c>
      <c r="AB396" s="11" t="str">
        <f>_xlfn.XLOOKUP(Customer[[#This Row],[Customer ID]],[1]!Address[ID],[1]!Address[Subtype])</f>
        <v>PETRONAS</v>
      </c>
      <c r="AC396" s="18" t="str">
        <f>_xlfn.XLOOKUP(Customer[[#This Row],[Customer ID]],[1]!Address[ID],[1]!Address[Zone])</f>
        <v>CENTRAL</v>
      </c>
    </row>
    <row r="397" spans="1:29" x14ac:dyDescent="0.3">
      <c r="A397" s="10" t="s">
        <v>2885</v>
      </c>
      <c r="B397" s="11" t="str">
        <f>_xlfn.XLOOKUP(Customer[[#This Row],[Customer ID]],[1]!Name[ID],[1]!Name[Description(1)])</f>
        <v>ZETTY JML ENTERPRISE</v>
      </c>
      <c r="C397" s="11" t="str">
        <f>_xlfn.XLOOKUP(Customer[[#This Row],[Customer ID]],[1]!Name[ID],[1]!Name[Description(2)])</f>
        <v>PS KOTA KEMUNING 1</v>
      </c>
      <c r="D397" s="11" t="str">
        <f>_xlfn.XLOOKUP(Customer[[#This Row],[Customer ID]],[1]!Address[ID],[1]!Address[PIC])</f>
        <v/>
      </c>
      <c r="E397" s="11" t="str">
        <f>_xlfn.XLOOKUP(Customer[[#This Row],[Customer ID]],[1]!Address[ID],[1]!Address[Full Address])</f>
        <v>PS KOTA KEMUNING 1LOT 68501, JALAN PERSIARAN MOKARA, KOTAKEMUNING, SEKSYEN 41, 40460 SHAH ALAM,SELANGOR</v>
      </c>
      <c r="F397" s="12" t="s">
        <v>2886</v>
      </c>
      <c r="G397" s="12" t="s">
        <v>2887</v>
      </c>
      <c r="H397" s="12" t="s">
        <v>2888</v>
      </c>
      <c r="I397" s="12" t="b">
        <f>ISNUMBER(VALUE(LEFT(Customer[[#This Row],[Address Line 3 (30 char)]],1)))</f>
        <v>0</v>
      </c>
      <c r="J397" s="12" t="s">
        <v>172</v>
      </c>
      <c r="K397" s="12">
        <v>40460</v>
      </c>
      <c r="L397" s="12" t="s">
        <v>35</v>
      </c>
      <c r="M397" s="13" t="s">
        <v>2889</v>
      </c>
      <c r="N397" s="14" t="s">
        <v>2890</v>
      </c>
      <c r="O397" s="14" t="s">
        <v>54</v>
      </c>
      <c r="P397" s="14">
        <v>47300</v>
      </c>
      <c r="Q397" s="19" t="s">
        <v>2891</v>
      </c>
      <c r="R397" s="15" t="s">
        <v>2892</v>
      </c>
      <c r="S397" s="15" t="s">
        <v>37</v>
      </c>
      <c r="T397" s="16" t="s">
        <v>38</v>
      </c>
      <c r="U397" s="11" t="str">
        <f>_xlfn.XLOOKUP(Customer[[#This Row],[Customer ID]],[1]!Address[ID],[1]!Address[Phone No.(2)])</f>
        <v/>
      </c>
      <c r="V397" s="11" t="str">
        <f>_xlfn.XLOOKUP(Customer[[#This Row],[Customer ID]],[1]!Address[ID],[1]!Address[Type])</f>
        <v>PETROMART</v>
      </c>
      <c r="W397" s="11" t="str">
        <f>_xlfn.XLOOKUP(Customer[[#This Row],[Customer ID]],[1]!Address[ID],[1]!Address[CT])</f>
        <v>30 DAYS</v>
      </c>
      <c r="X397" s="11" t="s">
        <v>39</v>
      </c>
      <c r="Y397" s="17" t="s">
        <v>40</v>
      </c>
      <c r="Z397" s="17" t="e">
        <f>_xlfn.XLOOKUP(Customer[[#This Row],[NewType]],$AF$36:$AF$54,$AG$36:$AG$54)</f>
        <v>#N/A</v>
      </c>
      <c r="AA397" s="17" t="s">
        <v>2893</v>
      </c>
      <c r="AB397" s="11" t="str">
        <f>_xlfn.XLOOKUP(Customer[[#This Row],[Customer ID]],[1]!Address[ID],[1]!Address[Subtype])</f>
        <v>PETRONAS</v>
      </c>
      <c r="AC397" s="18" t="str">
        <f>_xlfn.XLOOKUP(Customer[[#This Row],[Customer ID]],[1]!Address[ID],[1]!Address[Zone])</f>
        <v>CENTRAL</v>
      </c>
    </row>
    <row r="398" spans="1:29" x14ac:dyDescent="0.3">
      <c r="A398" s="10" t="s">
        <v>2894</v>
      </c>
      <c r="B398" s="11" t="str">
        <f>_xlfn.XLOOKUP(Customer[[#This Row],[Customer ID]],[1]!Name[ID],[1]!Name[Description(1)])</f>
        <v>KK PETROL STATION</v>
      </c>
      <c r="C398" s="11" t="str">
        <f>_xlfn.XLOOKUP(Customer[[#This Row],[Customer ID]],[1]!Name[ID],[1]!Name[Description(2)])</f>
        <v>PS KOTA KEMUNING 2</v>
      </c>
      <c r="D398" s="11" t="str">
        <f>_xlfn.XLOOKUP(Customer[[#This Row],[Customer ID]],[1]!Address[ID],[1]!Address[PIC])</f>
        <v/>
      </c>
      <c r="E398" s="11" t="str">
        <f>_xlfn.XLOOKUP(Customer[[#This Row],[Customer ID]],[1]!Address[ID],[1]!Address[Full Address])</f>
        <v>PS KOTA KEMUNING 2NO.4, JALAN ANGGERIK ERIA 31/106,SEKSYEN13, KOTA KEMUNING,SELANGOR, 40460, PETALING</v>
      </c>
      <c r="F398" s="12" t="s">
        <v>2895</v>
      </c>
      <c r="G398" s="12" t="s">
        <v>2896</v>
      </c>
      <c r="H398" s="24" t="s">
        <v>2897</v>
      </c>
      <c r="I398" s="24" t="b">
        <f>ISNUMBER(VALUE(LEFT(Customer[[#This Row],[Address Line 3 (30 char)]],1)))</f>
        <v>0</v>
      </c>
      <c r="J398" s="12" t="s">
        <v>172</v>
      </c>
      <c r="K398" s="12">
        <v>40460</v>
      </c>
      <c r="L398" s="12" t="s">
        <v>35</v>
      </c>
      <c r="M398" s="13" t="e">
        <v>#N/A</v>
      </c>
      <c r="N398" s="14" t="e">
        <v>#N/A</v>
      </c>
      <c r="O398" s="14" t="e">
        <v>#N/A</v>
      </c>
      <c r="P398" s="14" t="e">
        <v>#N/A</v>
      </c>
      <c r="Q398" s="19" t="s">
        <v>2898</v>
      </c>
      <c r="R398" s="15" t="s">
        <v>2899</v>
      </c>
      <c r="S398" s="15" t="s">
        <v>37</v>
      </c>
      <c r="T398" s="16" t="s">
        <v>38</v>
      </c>
      <c r="U398" s="11" t="str">
        <f>_xlfn.XLOOKUP(Customer[[#This Row],[Customer ID]],[1]!Address[ID],[1]!Address[Phone No.(2)])</f>
        <v/>
      </c>
      <c r="V398" s="11" t="str">
        <f>_xlfn.XLOOKUP(Customer[[#This Row],[Customer ID]],[1]!Address[ID],[1]!Address[Type])</f>
        <v>PETROMART</v>
      </c>
      <c r="W398" s="11" t="str">
        <f>_xlfn.XLOOKUP(Customer[[#This Row],[Customer ID]],[1]!Address[ID],[1]!Address[CT])</f>
        <v>30 DAYS</v>
      </c>
      <c r="X398" s="11" t="s">
        <v>39</v>
      </c>
      <c r="Y398" s="17" t="s">
        <v>40</v>
      </c>
      <c r="Z398" s="17" t="e">
        <f>_xlfn.XLOOKUP(Customer[[#This Row],[NewType]],$AF$36:$AF$54,$AG$36:$AG$54)</f>
        <v>#N/A</v>
      </c>
      <c r="AA398" s="17" t="s">
        <v>2900</v>
      </c>
      <c r="AB398" s="11" t="str">
        <f>_xlfn.XLOOKUP(Customer[[#This Row],[Customer ID]],[1]!Address[ID],[1]!Address[Subtype])</f>
        <v>PETRONAS</v>
      </c>
      <c r="AC398" s="18" t="str">
        <f>_xlfn.XLOOKUP(Customer[[#This Row],[Customer ID]],[1]!Address[ID],[1]!Address[Zone])</f>
        <v>CENTRAL</v>
      </c>
    </row>
    <row r="399" spans="1:29" x14ac:dyDescent="0.3">
      <c r="A399" s="27" t="s">
        <v>2901</v>
      </c>
      <c r="B399" s="28" t="str">
        <f>_xlfn.XLOOKUP(Customer[[#This Row],[Customer ID]],[1]!Name[ID],[1]!Name[Description(1)])</f>
        <v>KOPERASI PEGAWAI-PEGAWAI KERAJAAN</v>
      </c>
      <c r="C399" s="11" t="str">
        <f>_xlfn.XLOOKUP(Customer[[#This Row],[Customer ID]],[1]!Name[ID],[1]!Name[Description(2)])</f>
        <v>PS KOTA KENARI JALAN SUNGAI ULAR</v>
      </c>
      <c r="D399" s="11" t="str">
        <f>_xlfn.XLOOKUP(Customer[[#This Row],[Customer ID]],[1]!Address[ID],[1]!Address[PIC])</f>
        <v/>
      </c>
      <c r="E399" s="11" t="str">
        <f>_xlfn.XLOOKUP(Customer[[#This Row],[Customer ID]],[1]!Address[ID],[1]!Address[Full Address])</f>
        <v>PS KOTA KENARI JALAN SUNGAI ULARLOT 1491 HS(D) 1108/97, SEKSYEN 41, KOTAKENARI, KEDAH, 09000, KULIM, KEDAH</v>
      </c>
      <c r="F399" s="12" t="s">
        <v>2902</v>
      </c>
      <c r="G399" s="12" t="s">
        <v>2903</v>
      </c>
      <c r="H399" s="12" t="s">
        <v>2904</v>
      </c>
      <c r="I399" s="12" t="b">
        <f>ISNUMBER(VALUE(LEFT(Customer[[#This Row],[Address Line 3 (30 char)]],1)))</f>
        <v>0</v>
      </c>
      <c r="J399" s="12" t="s">
        <v>355</v>
      </c>
      <c r="K399" s="20" t="s">
        <v>2905</v>
      </c>
      <c r="L399" s="12" t="s">
        <v>35</v>
      </c>
      <c r="M399" s="31" t="e">
        <v>#N/A</v>
      </c>
      <c r="N399" s="14" t="s">
        <v>2906</v>
      </c>
      <c r="O399" s="14" t="s">
        <v>54</v>
      </c>
      <c r="P399" s="14" t="s">
        <v>54</v>
      </c>
      <c r="Q399" s="19" t="s">
        <v>2907</v>
      </c>
      <c r="R399" s="15" t="s">
        <v>2908</v>
      </c>
      <c r="S399" s="15" t="s">
        <v>74</v>
      </c>
      <c r="T399" s="16" t="s">
        <v>38</v>
      </c>
      <c r="U399" s="11" t="str">
        <f>_xlfn.XLOOKUP(Customer[[#This Row],[Customer ID]],[1]!Address[ID],[1]!Address[Phone No.(2)])</f>
        <v/>
      </c>
      <c r="V399" s="11" t="str">
        <f>_xlfn.XLOOKUP(Customer[[#This Row],[Customer ID]],[1]!Address[ID],[1]!Address[Type])</f>
        <v>PETROMART</v>
      </c>
      <c r="W399" s="11" t="str">
        <f>_xlfn.XLOOKUP(Customer[[#This Row],[Customer ID]],[1]!Address[ID],[1]!Address[CT])</f>
        <v>30 DAYS</v>
      </c>
      <c r="X399" s="11" t="s">
        <v>39</v>
      </c>
      <c r="Y399" s="17" t="s">
        <v>40</v>
      </c>
      <c r="Z399" s="17" t="e">
        <f>_xlfn.XLOOKUP(Customer[[#This Row],[NewType]],$AF$36:$AF$54,$AG$36:$AG$54)</f>
        <v>#N/A</v>
      </c>
      <c r="AA399" s="17" t="s">
        <v>2909</v>
      </c>
      <c r="AB399" s="11" t="str">
        <f>_xlfn.XLOOKUP(Customer[[#This Row],[Customer ID]],[1]!Address[ID],[1]!Address[Subtype])</f>
        <v>PETRONAS</v>
      </c>
      <c r="AC399" s="18" t="str">
        <f>_xlfn.XLOOKUP(Customer[[#This Row],[Customer ID]],[1]!Address[ID],[1]!Address[Zone])</f>
        <v>NORTH</v>
      </c>
    </row>
    <row r="400" spans="1:29" x14ac:dyDescent="0.3">
      <c r="A400" s="10" t="s">
        <v>2910</v>
      </c>
      <c r="B400" s="11" t="str">
        <f>_xlfn.XLOOKUP(Customer[[#This Row],[Customer ID]],[1]!Name[ID],[1]!Name[Description(1)])</f>
        <v>BAIDA ENTERPRISE</v>
      </c>
      <c r="C400" s="11" t="str">
        <f>_xlfn.XLOOKUP(Customer[[#This Row],[Customer ID]],[1]!Name[ID],[1]!Name[Description(2)])</f>
        <v>PS KOTA MASAI</v>
      </c>
      <c r="D400" s="11" t="str">
        <f>_xlfn.XLOOKUP(Customer[[#This Row],[Customer ID]],[1]!Address[ID],[1]!Address[PIC])</f>
        <v/>
      </c>
      <c r="E400" s="11" t="str">
        <f>_xlfn.XLOOKUP(Customer[[#This Row],[Customer ID]],[1]!Address[ID],[1]!Address[Full Address])</f>
        <v>PS KOTA MASAIPTD 129028 KOTA MASAI, JOHOR, 81750,JOHOR BAHRU, JOHOR</v>
      </c>
      <c r="F400" s="12" t="s">
        <v>2911</v>
      </c>
      <c r="G400" s="12" t="s">
        <v>2912</v>
      </c>
      <c r="H400" s="12" t="s">
        <v>2913</v>
      </c>
      <c r="I400" s="12" t="b">
        <f>ISNUMBER(VALUE(LEFT(Customer[[#This Row],[Address Line 3 (30 char)]],1)))</f>
        <v>0</v>
      </c>
      <c r="J400" s="12" t="s">
        <v>52</v>
      </c>
      <c r="K400" s="12">
        <v>81750</v>
      </c>
      <c r="L400" s="12" t="s">
        <v>35</v>
      </c>
      <c r="M400" s="13" t="e">
        <v>#N/A</v>
      </c>
      <c r="N400" s="14" t="e">
        <v>#N/A</v>
      </c>
      <c r="O400" s="14" t="e">
        <v>#N/A</v>
      </c>
      <c r="P400" s="14" t="e">
        <v>#N/A</v>
      </c>
      <c r="Q400" s="19" t="s">
        <v>2914</v>
      </c>
      <c r="R400" s="15" t="s">
        <v>2915</v>
      </c>
      <c r="S400" s="15" t="s">
        <v>37</v>
      </c>
      <c r="T400" s="16" t="s">
        <v>38</v>
      </c>
      <c r="U400" s="11" t="str">
        <f>_xlfn.XLOOKUP(Customer[[#This Row],[Customer ID]],[1]!Address[ID],[1]!Address[Phone No.(2)])</f>
        <v/>
      </c>
      <c r="V400" s="11" t="str">
        <f>_xlfn.XLOOKUP(Customer[[#This Row],[Customer ID]],[1]!Address[ID],[1]!Address[Type])</f>
        <v>PETROMART</v>
      </c>
      <c r="W400" s="11" t="str">
        <f>_xlfn.XLOOKUP(Customer[[#This Row],[Customer ID]],[1]!Address[ID],[1]!Address[CT])</f>
        <v>30 DAYS</v>
      </c>
      <c r="X400" s="11" t="s">
        <v>39</v>
      </c>
      <c r="Y400" s="17" t="s">
        <v>40</v>
      </c>
      <c r="Z400" s="17" t="e">
        <f>_xlfn.XLOOKUP(Customer[[#This Row],[NewType]],$AF$36:$AF$54,$AG$36:$AG$54)</f>
        <v>#N/A</v>
      </c>
      <c r="AA400" s="17" t="s">
        <v>2916</v>
      </c>
      <c r="AB400" s="11" t="str">
        <f>_xlfn.XLOOKUP(Customer[[#This Row],[Customer ID]],[1]!Address[ID],[1]!Address[Subtype])</f>
        <v>PETRONAS</v>
      </c>
      <c r="AC400" s="18" t="str">
        <f>_xlfn.XLOOKUP(Customer[[#This Row],[Customer ID]],[1]!Address[ID],[1]!Address[Zone])</f>
        <v>SOUTH</v>
      </c>
    </row>
    <row r="401" spans="1:29" x14ac:dyDescent="0.3">
      <c r="A401" s="27" t="s">
        <v>2917</v>
      </c>
      <c r="B401" s="28" t="str">
        <f>_xlfn.XLOOKUP(Customer[[#This Row],[Customer ID]],[1]!Name[ID],[1]!Name[Description(1)])</f>
        <v>AZ KOTA TINGGI</v>
      </c>
      <c r="C401" s="11" t="str">
        <f>_xlfn.XLOOKUP(Customer[[#This Row],[Customer ID]],[1]!Name[ID],[1]!Name[Description(2)])</f>
        <v>PS KOTA TINGGI</v>
      </c>
      <c r="D401" s="11" t="str">
        <f>_xlfn.XLOOKUP(Customer[[#This Row],[Customer ID]],[1]!Address[ID],[1]!Address[PIC])</f>
        <v>Nurhaslinda Bin</v>
      </c>
      <c r="E401" s="11" t="str">
        <f>_xlfn.XLOOKUP(Customer[[#This Row],[Customer ID]],[1]!Address[ID],[1]!Address[Full Address])</f>
        <v>PS KOTA TINGGILOT 230, NO. 5A, JLN JOHOR -KOTA TINGGIKOTA TINGGI, JOHOR, 81900, KOTA TINGGI,</v>
      </c>
      <c r="F401" s="12" t="s">
        <v>2918</v>
      </c>
      <c r="G401" s="12" t="s">
        <v>2919</v>
      </c>
      <c r="H401" s="12" t="s">
        <v>1541</v>
      </c>
      <c r="I401" s="12" t="b">
        <f>ISNUMBER(VALUE(LEFT(Customer[[#This Row],[Address Line 3 (30 char)]],1)))</f>
        <v>0</v>
      </c>
      <c r="J401" s="12" t="s">
        <v>52</v>
      </c>
      <c r="K401" s="12">
        <v>81900</v>
      </c>
      <c r="L401" s="12" t="s">
        <v>35</v>
      </c>
      <c r="M401" s="13">
        <v>201203208926</v>
      </c>
      <c r="N401" s="14" t="s">
        <v>702</v>
      </c>
      <c r="O401" s="14" t="s">
        <v>54</v>
      </c>
      <c r="P401" s="14" t="e">
        <v>#N/A</v>
      </c>
      <c r="Q401" s="19" t="s">
        <v>703</v>
      </c>
      <c r="R401" s="15" t="s">
        <v>2920</v>
      </c>
      <c r="S401" s="15" t="s">
        <v>37</v>
      </c>
      <c r="T401" s="16" t="s">
        <v>38</v>
      </c>
      <c r="U401" s="11" t="str">
        <f>_xlfn.XLOOKUP(Customer[[#This Row],[Customer ID]],[1]!Address[ID],[1]!Address[Phone No.(2)])</f>
        <v/>
      </c>
      <c r="V401" s="11" t="str">
        <f>_xlfn.XLOOKUP(Customer[[#This Row],[Customer ID]],[1]!Address[ID],[1]!Address[Type])</f>
        <v>PETROMART</v>
      </c>
      <c r="W401" s="11" t="str">
        <f>_xlfn.XLOOKUP(Customer[[#This Row],[Customer ID]],[1]!Address[ID],[1]!Address[CT])</f>
        <v>30 DAYS</v>
      </c>
      <c r="X401" s="11" t="s">
        <v>39</v>
      </c>
      <c r="Y401" s="17" t="s">
        <v>40</v>
      </c>
      <c r="Z401" s="17" t="e">
        <f>_xlfn.XLOOKUP(Customer[[#This Row],[NewType]],$AF$36:$AF$54,$AG$36:$AG$54)</f>
        <v>#N/A</v>
      </c>
      <c r="AA401" s="17" t="s">
        <v>2921</v>
      </c>
      <c r="AB401" s="11" t="str">
        <f>_xlfn.XLOOKUP(Customer[[#This Row],[Customer ID]],[1]!Address[ID],[1]!Address[Subtype])</f>
        <v>PETRONAS</v>
      </c>
      <c r="AC401" s="18" t="str">
        <f>_xlfn.XLOOKUP(Customer[[#This Row],[Customer ID]],[1]!Address[ID],[1]!Address[Zone])</f>
        <v>SOUTH</v>
      </c>
    </row>
    <row r="402" spans="1:29" x14ac:dyDescent="0.3">
      <c r="A402" s="10" t="s">
        <v>2922</v>
      </c>
      <c r="B402" s="11" t="str">
        <f>_xlfn.XLOOKUP(Customer[[#This Row],[Customer ID]],[1]!Name[ID],[1]!Name[Description(1)])</f>
        <v>PERMATA WAHID ARA ENTERPRISE</v>
      </c>
      <c r="C402" s="11" t="str">
        <f>_xlfn.XLOOKUP(Customer[[#This Row],[Customer ID]],[1]!Name[ID],[1]!Name[Description(2)])</f>
        <v>PS KOTA TINGGI BYPASS</v>
      </c>
      <c r="D402" s="11" t="str">
        <f>_xlfn.XLOOKUP(Customer[[#This Row],[Customer ID]],[1]!Address[ID],[1]!Address[PIC])</f>
        <v/>
      </c>
      <c r="E402" s="11" t="str">
        <f>_xlfn.XLOOKUP(Customer[[#This Row],[Customer ID]],[1]!Address[ID],[1]!Address[Full Address])</f>
        <v>PS KOTA TINGGI BYPASSPTD 40120, JALAN KOTA TINGGI-BYPASS,JOHOR, 81900, KOTA TINGGI, JOHOR</v>
      </c>
      <c r="F402" s="12" t="s">
        <v>2923</v>
      </c>
      <c r="G402" s="12" t="s">
        <v>2924</v>
      </c>
      <c r="H402" s="12" t="s">
        <v>1541</v>
      </c>
      <c r="I402" s="12" t="b">
        <f>ISNUMBER(VALUE(LEFT(Customer[[#This Row],[Address Line 3 (30 char)]],1)))</f>
        <v>0</v>
      </c>
      <c r="J402" s="12" t="s">
        <v>52</v>
      </c>
      <c r="K402" s="12">
        <v>81900</v>
      </c>
      <c r="L402" s="12" t="s">
        <v>35</v>
      </c>
      <c r="M402" s="13" t="e">
        <v>#N/A</v>
      </c>
      <c r="N402" s="14" t="e">
        <v>#N/A</v>
      </c>
      <c r="O402" s="14" t="e">
        <v>#N/A</v>
      </c>
      <c r="P402" s="14" t="e">
        <v>#N/A</v>
      </c>
      <c r="Q402" s="19" t="s">
        <v>2925</v>
      </c>
      <c r="R402" s="15" t="s">
        <v>2926</v>
      </c>
      <c r="S402" s="15" t="s">
        <v>37</v>
      </c>
      <c r="T402" s="16" t="s">
        <v>38</v>
      </c>
      <c r="U402" s="11" t="str">
        <f>_xlfn.XLOOKUP(Customer[[#This Row],[Customer ID]],[1]!Address[ID],[1]!Address[Phone No.(2)])</f>
        <v/>
      </c>
      <c r="V402" s="11" t="str">
        <f>_xlfn.XLOOKUP(Customer[[#This Row],[Customer ID]],[1]!Address[ID],[1]!Address[Type])</f>
        <v>PETROMART</v>
      </c>
      <c r="W402" s="11" t="str">
        <f>_xlfn.XLOOKUP(Customer[[#This Row],[Customer ID]],[1]!Address[ID],[1]!Address[CT])</f>
        <v>30 DAYS</v>
      </c>
      <c r="X402" s="11" t="s">
        <v>39</v>
      </c>
      <c r="Y402" s="17" t="s">
        <v>40</v>
      </c>
      <c r="Z402" s="17" t="e">
        <f>_xlfn.XLOOKUP(Customer[[#This Row],[NewType]],$AF$36:$AF$54,$AG$36:$AG$54)</f>
        <v>#N/A</v>
      </c>
      <c r="AA402" s="17" t="s">
        <v>2927</v>
      </c>
      <c r="AB402" s="11" t="str">
        <f>_xlfn.XLOOKUP(Customer[[#This Row],[Customer ID]],[1]!Address[ID],[1]!Address[Subtype])</f>
        <v>PETRONAS</v>
      </c>
      <c r="AC402" s="18" t="str">
        <f>_xlfn.XLOOKUP(Customer[[#This Row],[Customer ID]],[1]!Address[ID],[1]!Address[Zone])</f>
        <v>SOUTH</v>
      </c>
    </row>
    <row r="403" spans="1:29" x14ac:dyDescent="0.3">
      <c r="A403" s="10" t="s">
        <v>2928</v>
      </c>
      <c r="B403" s="11" t="str">
        <f>_xlfn.XLOOKUP(Customer[[#This Row],[Customer ID]],[1]!Name[ID],[1]!Name[Description(1)])</f>
        <v>AFIQAH SYNERGY</v>
      </c>
      <c r="C403" s="11" t="str">
        <f>_xlfn.XLOOKUP(Customer[[#This Row],[Customer ID]],[1]!Name[ID],[1]!Name[Description(2)])</f>
        <v>PS KOTASAS</v>
      </c>
      <c r="D403" s="11" t="str">
        <f>_xlfn.XLOOKUP(Customer[[#This Row],[Customer ID]],[1]!Address[ID],[1]!Address[PIC])</f>
        <v/>
      </c>
      <c r="E403" s="11" t="str">
        <f>_xlfn.XLOOKUP(Customer[[#This Row],[Customer ID]],[1]!Address[ID],[1]!Address[Full Address])</f>
        <v>PS KOTASASPT 150360, PERSIARAN KOTASAS, 25200,KUANTAN, PAHANG</v>
      </c>
      <c r="F403" s="12" t="s">
        <v>2929</v>
      </c>
      <c r="G403" s="12" t="s">
        <v>2930</v>
      </c>
      <c r="H403" s="12" t="s">
        <v>2931</v>
      </c>
      <c r="I403" s="12" t="b">
        <f>ISNUMBER(VALUE(LEFT(Customer[[#This Row],[Address Line 3 (30 char)]],1)))</f>
        <v>0</v>
      </c>
      <c r="J403" s="12" t="s">
        <v>339</v>
      </c>
      <c r="K403" s="12">
        <v>25200</v>
      </c>
      <c r="L403" s="12" t="s">
        <v>35</v>
      </c>
      <c r="M403" s="13" t="e">
        <v>#N/A</v>
      </c>
      <c r="N403" s="14" t="e">
        <v>#N/A</v>
      </c>
      <c r="O403" s="14" t="e">
        <v>#N/A</v>
      </c>
      <c r="P403" s="14" t="e">
        <v>#N/A</v>
      </c>
      <c r="Q403" s="19" t="s">
        <v>2932</v>
      </c>
      <c r="R403" s="15" t="s">
        <v>2933</v>
      </c>
      <c r="S403" s="15" t="s">
        <v>37</v>
      </c>
      <c r="T403" s="16" t="s">
        <v>38</v>
      </c>
      <c r="U403" s="11" t="str">
        <f>_xlfn.XLOOKUP(Customer[[#This Row],[Customer ID]],[1]!Address[ID],[1]!Address[Phone No.(2)])</f>
        <v/>
      </c>
      <c r="V403" s="11" t="str">
        <f>_xlfn.XLOOKUP(Customer[[#This Row],[Customer ID]],[1]!Address[ID],[1]!Address[Type])</f>
        <v>PETROMART</v>
      </c>
      <c r="W403" s="11" t="str">
        <f>_xlfn.XLOOKUP(Customer[[#This Row],[Customer ID]],[1]!Address[ID],[1]!Address[CT])</f>
        <v>30 DAYS</v>
      </c>
      <c r="X403" s="11" t="s">
        <v>39</v>
      </c>
      <c r="Y403" s="17" t="s">
        <v>40</v>
      </c>
      <c r="Z403" s="17" t="e">
        <f>_xlfn.XLOOKUP(Customer[[#This Row],[NewType]],$AF$36:$AF$54,$AG$36:$AG$54)</f>
        <v>#N/A</v>
      </c>
      <c r="AA403" s="17" t="s">
        <v>2934</v>
      </c>
      <c r="AB403" s="11" t="str">
        <f>_xlfn.XLOOKUP(Customer[[#This Row],[Customer ID]],[1]!Address[ID],[1]!Address[Subtype])</f>
        <v>PETRONAS</v>
      </c>
      <c r="AC403" s="18" t="str">
        <f>_xlfn.XLOOKUP(Customer[[#This Row],[Customer ID]],[1]!Address[ID],[1]!Address[Zone])</f>
        <v>EAST COAST</v>
      </c>
    </row>
    <row r="404" spans="1:29" x14ac:dyDescent="0.3">
      <c r="A404" s="27" t="s">
        <v>2935</v>
      </c>
      <c r="B404" s="28" t="str">
        <f>_xlfn.XLOOKUP(Customer[[#This Row],[Customer ID]],[1]!Name[ID],[1]!Name[Description(1)])</f>
        <v>KOPERASI PEMBANGUNAN DAERAH LANGKAWI</v>
      </c>
      <c r="C404" s="11" t="str">
        <f>_xlfn.XLOOKUP(Customer[[#This Row],[Customer ID]],[1]!Name[ID],[1]!Name[Description(2)])</f>
        <v>PS KUAH, LANGKAWI</v>
      </c>
      <c r="D404" s="11" t="str">
        <f>_xlfn.XLOOKUP(Customer[[#This Row],[Customer ID]],[1]!Address[ID],[1]!Address[PIC])</f>
        <v/>
      </c>
      <c r="E404" s="11" t="str">
        <f>_xlfn.XLOOKUP(Customer[[#This Row],[Customer ID]],[1]!Address[ID],[1]!Address[Full Address])</f>
        <v>PS KUAH, LANGKAWILOT 264, JALAN KISAP, PEKAN KUAH,LANGKAWI, KEDAH , 07000, LANGKAWI, KEDAH</v>
      </c>
      <c r="F404" s="12" t="s">
        <v>2936</v>
      </c>
      <c r="G404" s="12" t="s">
        <v>2937</v>
      </c>
      <c r="H404" s="12" t="s">
        <v>2600</v>
      </c>
      <c r="I404" s="12" t="b">
        <f>ISNUMBER(VALUE(LEFT(Customer[[#This Row],[Address Line 3 (30 char)]],1)))</f>
        <v>0</v>
      </c>
      <c r="J404" s="12" t="s">
        <v>355</v>
      </c>
      <c r="K404" s="20" t="s">
        <v>1847</v>
      </c>
      <c r="L404" s="12" t="s">
        <v>35</v>
      </c>
      <c r="M404" s="31" t="e">
        <v>#N/A</v>
      </c>
      <c r="N404" s="14" t="s">
        <v>2938</v>
      </c>
      <c r="O404" s="14" t="s">
        <v>54</v>
      </c>
      <c r="P404" s="14">
        <v>47300</v>
      </c>
      <c r="Q404" s="19" t="s">
        <v>2939</v>
      </c>
      <c r="R404" s="15" t="s">
        <v>2940</v>
      </c>
      <c r="S404" s="15" t="s">
        <v>74</v>
      </c>
      <c r="T404" s="16" t="s">
        <v>38</v>
      </c>
      <c r="U404" s="11" t="str">
        <f>_xlfn.XLOOKUP(Customer[[#This Row],[Customer ID]],[1]!Address[ID],[1]!Address[Phone No.(2)])</f>
        <v/>
      </c>
      <c r="V404" s="11" t="str">
        <f>_xlfn.XLOOKUP(Customer[[#This Row],[Customer ID]],[1]!Address[ID],[1]!Address[Type])</f>
        <v>PETROMART</v>
      </c>
      <c r="W404" s="11" t="str">
        <f>_xlfn.XLOOKUP(Customer[[#This Row],[Customer ID]],[1]!Address[ID],[1]!Address[CT])</f>
        <v>30 DAYS</v>
      </c>
      <c r="X404" s="11" t="s">
        <v>39</v>
      </c>
      <c r="Y404" s="17" t="s">
        <v>40</v>
      </c>
      <c r="Z404" s="17" t="e">
        <f>_xlfn.XLOOKUP(Customer[[#This Row],[NewType]],$AF$36:$AF$54,$AG$36:$AG$54)</f>
        <v>#N/A</v>
      </c>
      <c r="AA404" s="17" t="s">
        <v>2941</v>
      </c>
      <c r="AB404" s="11" t="str">
        <f>_xlfn.XLOOKUP(Customer[[#This Row],[Customer ID]],[1]!Address[ID],[1]!Address[Subtype])</f>
        <v>PETRONAS</v>
      </c>
      <c r="AC404" s="18" t="str">
        <f>_xlfn.XLOOKUP(Customer[[#This Row],[Customer ID]],[1]!Address[ID],[1]!Address[Zone])</f>
        <v>NORTH</v>
      </c>
    </row>
    <row r="405" spans="1:29" x14ac:dyDescent="0.3">
      <c r="A405" s="10" t="s">
        <v>2942</v>
      </c>
      <c r="B405" s="11" t="str">
        <f>_xlfn.XLOOKUP(Customer[[#This Row],[Customer ID]],[1]!Name[ID],[1]!Name[Description(1)])</f>
        <v>NB ONE LEGACY</v>
      </c>
      <c r="C405" s="11" t="str">
        <f>_xlfn.XLOOKUP(Customer[[#This Row],[Customer ID]],[1]!Name[ID],[1]!Name[Description(2)])</f>
        <v>PS KUALA BERANG</v>
      </c>
      <c r="D405" s="11" t="str">
        <f>_xlfn.XLOOKUP(Customer[[#This Row],[Customer ID]],[1]!Address[ID],[1]!Address[PIC])</f>
        <v>CIK AYU</v>
      </c>
      <c r="E405" s="11" t="str">
        <f>_xlfn.XLOOKUP(Customer[[#This Row],[Customer ID]],[1]!Address[ID],[1]!Address[Full Address])</f>
        <v>PS KUALA BERANGLOT 6730 BT 24 KUALA BERANG,21700 HULU TERENGGANU TERENGGANU</v>
      </c>
      <c r="F405" s="12" t="s">
        <v>2943</v>
      </c>
      <c r="G405" s="12" t="s">
        <v>36</v>
      </c>
      <c r="H405" s="12" t="s">
        <v>2944</v>
      </c>
      <c r="I405" s="12" t="b">
        <f>ISNUMBER(VALUE(LEFT(Customer[[#This Row],[Address Line 3 (30 char)]],1)))</f>
        <v>0</v>
      </c>
      <c r="J405" s="12" t="s">
        <v>1056</v>
      </c>
      <c r="K405" s="12">
        <v>21700</v>
      </c>
      <c r="L405" s="12" t="s">
        <v>35</v>
      </c>
      <c r="M405" s="13">
        <v>202403206471</v>
      </c>
      <c r="N405" s="14" t="s">
        <v>2945</v>
      </c>
      <c r="O405" s="14" t="e">
        <v>#N/A</v>
      </c>
      <c r="P405" s="14" t="e">
        <v>#N/A</v>
      </c>
      <c r="Q405" s="19" t="s">
        <v>2946</v>
      </c>
      <c r="R405" s="15" t="s">
        <v>2947</v>
      </c>
      <c r="S405" s="15" t="s">
        <v>37</v>
      </c>
      <c r="T405" s="16" t="s">
        <v>38</v>
      </c>
      <c r="U405" s="11" t="str">
        <f>_xlfn.XLOOKUP(Customer[[#This Row],[Customer ID]],[1]!Address[ID],[1]!Address[Phone No.(2)])</f>
        <v/>
      </c>
      <c r="V405" s="11" t="str">
        <f>_xlfn.XLOOKUP(Customer[[#This Row],[Customer ID]],[1]!Address[ID],[1]!Address[Type])</f>
        <v>PETROMART</v>
      </c>
      <c r="W405" s="11" t="str">
        <f>_xlfn.XLOOKUP(Customer[[#This Row],[Customer ID]],[1]!Address[ID],[1]!Address[CT])</f>
        <v>30 DAYS</v>
      </c>
      <c r="X405" s="11" t="s">
        <v>39</v>
      </c>
      <c r="Y405" s="17" t="s">
        <v>40</v>
      </c>
      <c r="Z405" s="17" t="e">
        <f>_xlfn.XLOOKUP(Customer[[#This Row],[NewType]],$AF$36:$AF$54,$AG$36:$AG$54)</f>
        <v>#N/A</v>
      </c>
      <c r="AA405" s="17" t="s">
        <v>2948</v>
      </c>
      <c r="AB405" s="11" t="str">
        <f>_xlfn.XLOOKUP(Customer[[#This Row],[Customer ID]],[1]!Address[ID],[1]!Address[Subtype])</f>
        <v>PETRONAS</v>
      </c>
      <c r="AC405" s="18" t="str">
        <f>_xlfn.XLOOKUP(Customer[[#This Row],[Customer ID]],[1]!Address[ID],[1]!Address[Zone])</f>
        <v>EAST COAST</v>
      </c>
    </row>
    <row r="406" spans="1:29" x14ac:dyDescent="0.3">
      <c r="A406" s="10" t="s">
        <v>2949</v>
      </c>
      <c r="B406" s="11" t="str">
        <f>_xlfn.XLOOKUP(Customer[[#This Row],[Customer ID]],[1]!Name[ID],[1]!Name[Description(1)])</f>
        <v>KKAS ENTERPRISE</v>
      </c>
      <c r="C406" s="11" t="str">
        <f>_xlfn.XLOOKUP(Customer[[#This Row],[Customer ID]],[1]!Name[ID],[1]!Name[Description(2)])</f>
        <v>PS KUALA KEDAH</v>
      </c>
      <c r="D406" s="11" t="str">
        <f>_xlfn.XLOOKUP(Customer[[#This Row],[Customer ID]],[1]!Address[ID],[1]!Address[PIC])</f>
        <v/>
      </c>
      <c r="E406" s="11" t="str">
        <f>_xlfn.XLOOKUP(Customer[[#This Row],[Customer ID]],[1]!Address[ID],[1]!Address[Full Address])</f>
        <v>PS KUALA KEDAHLOT 908, 911, 917, 918 &amp; 1169, 1170, MUKKUALA KEDAH, KEDAH, 06600, KOTA SETAR,06600 KEDAH</v>
      </c>
      <c r="F406" s="12" t="s">
        <v>2950</v>
      </c>
      <c r="G406" s="12" t="s">
        <v>2951</v>
      </c>
      <c r="H406" s="12" t="s">
        <v>2952</v>
      </c>
      <c r="I406" s="12" t="b">
        <f>ISNUMBER(VALUE(LEFT(Customer[[#This Row],[Address Line 3 (30 char)]],1)))</f>
        <v>0</v>
      </c>
      <c r="J406" s="12" t="s">
        <v>355</v>
      </c>
      <c r="K406" s="20" t="s">
        <v>479</v>
      </c>
      <c r="L406" s="12" t="s">
        <v>35</v>
      </c>
      <c r="M406" s="13">
        <v>200603154507</v>
      </c>
      <c r="N406" s="14" t="s">
        <v>2953</v>
      </c>
      <c r="O406" s="13" t="s">
        <v>54</v>
      </c>
      <c r="P406" s="14" t="s">
        <v>1048</v>
      </c>
      <c r="Q406" s="19" t="s">
        <v>2954</v>
      </c>
      <c r="R406" s="15" t="s">
        <v>2955</v>
      </c>
      <c r="S406" s="15" t="s">
        <v>74</v>
      </c>
      <c r="T406" s="16" t="s">
        <v>38</v>
      </c>
      <c r="U406" s="11" t="str">
        <f>_xlfn.XLOOKUP(Customer[[#This Row],[Customer ID]],[1]!Address[ID],[1]!Address[Phone No.(2)])</f>
        <v/>
      </c>
      <c r="V406" s="11" t="str">
        <f>_xlfn.XLOOKUP(Customer[[#This Row],[Customer ID]],[1]!Address[ID],[1]!Address[Type])</f>
        <v>PETROMART</v>
      </c>
      <c r="W406" s="11" t="str">
        <f>_xlfn.XLOOKUP(Customer[[#This Row],[Customer ID]],[1]!Address[ID],[1]!Address[CT])</f>
        <v>30 DAYS</v>
      </c>
      <c r="X406" s="11" t="s">
        <v>39</v>
      </c>
      <c r="Y406" s="17" t="s">
        <v>40</v>
      </c>
      <c r="Z406" s="17" t="e">
        <f>_xlfn.XLOOKUP(Customer[[#This Row],[NewType]],$AF$36:$AF$54,$AG$36:$AG$54)</f>
        <v>#N/A</v>
      </c>
      <c r="AA406" s="17" t="s">
        <v>2956</v>
      </c>
      <c r="AB406" s="11" t="str">
        <f>_xlfn.XLOOKUP(Customer[[#This Row],[Customer ID]],[1]!Address[ID],[1]!Address[Subtype])</f>
        <v>PETRONAS</v>
      </c>
      <c r="AC406" s="18" t="str">
        <f>_xlfn.XLOOKUP(Customer[[#This Row],[Customer ID]],[1]!Address[ID],[1]!Address[Zone])</f>
        <v>NORTH</v>
      </c>
    </row>
    <row r="407" spans="1:29" x14ac:dyDescent="0.3">
      <c r="A407" s="10" t="s">
        <v>2957</v>
      </c>
      <c r="B407" s="11" t="str">
        <f>_xlfn.XLOOKUP(Customer[[#This Row],[Customer ID]],[1]!Name[ID],[1]!Name[Description(1)])</f>
        <v>STESEN MINYAK INTAN DUA</v>
      </c>
      <c r="C407" s="11" t="str">
        <f>_xlfn.XLOOKUP(Customer[[#This Row],[Customer ID]],[1]!Name[ID],[1]!Name[Description(2)])</f>
        <v>PS KUALA KELAWANG</v>
      </c>
      <c r="D407" s="11" t="str">
        <f>_xlfn.XLOOKUP(Customer[[#This Row],[Customer ID]],[1]!Address[ID],[1]!Address[PIC])</f>
        <v/>
      </c>
      <c r="E407" s="11" t="str">
        <f>_xlfn.XLOOKUP(Customer[[#This Row],[Customer ID]],[1]!Address[ID],[1]!Address[Full Address])</f>
        <v>PS KUALA KELAWANGLOT PT 115 HS(D) 4874, JALAN DATOIMBI,KUALA KELAWANG,71600 KUALA KELAWANGNEGERI SEMBILAN</v>
      </c>
      <c r="F407" s="12" t="s">
        <v>2958</v>
      </c>
      <c r="G407" s="12" t="s">
        <v>2959</v>
      </c>
      <c r="H407" s="12" t="s">
        <v>2960</v>
      </c>
      <c r="I407" s="12" t="b">
        <f>ISNUMBER(VALUE(LEFT(Customer[[#This Row],[Address Line 3 (30 char)]],1)))</f>
        <v>0</v>
      </c>
      <c r="J407" s="12" t="s">
        <v>203</v>
      </c>
      <c r="K407" s="12">
        <v>71600</v>
      </c>
      <c r="L407" s="12" t="s">
        <v>35</v>
      </c>
      <c r="M407" s="13" t="e">
        <v>#N/A</v>
      </c>
      <c r="N407" s="14" t="e">
        <v>#N/A</v>
      </c>
      <c r="O407" s="14" t="e">
        <v>#N/A</v>
      </c>
      <c r="P407" s="14" t="e">
        <v>#N/A</v>
      </c>
      <c r="Q407" s="19" t="s">
        <v>2961</v>
      </c>
      <c r="R407" s="15" t="s">
        <v>2962</v>
      </c>
      <c r="S407" s="15" t="s">
        <v>37</v>
      </c>
      <c r="T407" s="16" t="s">
        <v>38</v>
      </c>
      <c r="U407" s="11" t="str">
        <f>_xlfn.XLOOKUP(Customer[[#This Row],[Customer ID]],[1]!Address[ID],[1]!Address[Phone No.(2)])</f>
        <v/>
      </c>
      <c r="V407" s="11" t="str">
        <f>_xlfn.XLOOKUP(Customer[[#This Row],[Customer ID]],[1]!Address[ID],[1]!Address[Type])</f>
        <v>PETROMART</v>
      </c>
      <c r="W407" s="11" t="str">
        <f>_xlfn.XLOOKUP(Customer[[#This Row],[Customer ID]],[1]!Address[ID],[1]!Address[CT])</f>
        <v>30 DAYS</v>
      </c>
      <c r="X407" s="11" t="s">
        <v>39</v>
      </c>
      <c r="Y407" s="17" t="s">
        <v>40</v>
      </c>
      <c r="Z407" s="17" t="e">
        <f>_xlfn.XLOOKUP(Customer[[#This Row],[NewType]],$AF$36:$AF$54,$AG$36:$AG$54)</f>
        <v>#N/A</v>
      </c>
      <c r="AA407" s="17" t="s">
        <v>2963</v>
      </c>
      <c r="AB407" s="11" t="str">
        <f>_xlfn.XLOOKUP(Customer[[#This Row],[Customer ID]],[1]!Address[ID],[1]!Address[Subtype])</f>
        <v>PETRONAS</v>
      </c>
      <c r="AC407" s="18" t="str">
        <f>_xlfn.XLOOKUP(Customer[[#This Row],[Customer ID]],[1]!Address[ID],[1]!Address[Zone])</f>
        <v>CENTRAL</v>
      </c>
    </row>
    <row r="408" spans="1:29" x14ac:dyDescent="0.3">
      <c r="A408" s="10" t="s">
        <v>2964</v>
      </c>
      <c r="B408" s="11" t="str">
        <f>_xlfn.XLOOKUP(Customer[[#This Row],[Customer ID]],[1]!Name[ID],[1]!Name[Description(1)])</f>
        <v>MIMSBZ ENTERPRISE</v>
      </c>
      <c r="C408" s="11" t="str">
        <f>_xlfn.XLOOKUP(Customer[[#This Row],[Customer ID]],[1]!Name[ID],[1]!Name[Description(2)])</f>
        <v>PS KUALA KETIL</v>
      </c>
      <c r="D408" s="11" t="str">
        <f>_xlfn.XLOOKUP(Customer[[#This Row],[Customer ID]],[1]!Address[ID],[1]!Address[PIC])</f>
        <v/>
      </c>
      <c r="E408" s="11" t="str">
        <f>_xlfn.XLOOKUP(Customer[[#This Row],[Customer ID]],[1]!Address[ID],[1]!Address[Full Address])</f>
        <v>PS KUALA KETILLOT 2356,MUKIM TAWAR, KUALA KETIL, KEDAH09300, BALING, KEDAH</v>
      </c>
      <c r="F408" s="12" t="s">
        <v>2965</v>
      </c>
      <c r="G408" s="12" t="s">
        <v>2966</v>
      </c>
      <c r="H408" s="12" t="s">
        <v>2967</v>
      </c>
      <c r="I408" s="12" t="b">
        <f>ISNUMBER(VALUE(LEFT(Customer[[#This Row],[Address Line 3 (30 char)]],1)))</f>
        <v>0</v>
      </c>
      <c r="J408" s="12" t="s">
        <v>355</v>
      </c>
      <c r="K408" s="20" t="s">
        <v>2968</v>
      </c>
      <c r="L408" s="12" t="s">
        <v>35</v>
      </c>
      <c r="M408" s="13" t="e">
        <v>#N/A</v>
      </c>
      <c r="N408" s="14" t="e">
        <v>#N/A</v>
      </c>
      <c r="O408" s="14" t="e">
        <v>#N/A</v>
      </c>
      <c r="P408" s="14" t="e">
        <v>#N/A</v>
      </c>
      <c r="Q408" s="19" t="s">
        <v>2969</v>
      </c>
      <c r="R408" s="15" t="s">
        <v>2970</v>
      </c>
      <c r="S408" s="15" t="s">
        <v>74</v>
      </c>
      <c r="T408" s="16" t="s">
        <v>38</v>
      </c>
      <c r="U408" s="11" t="str">
        <f>_xlfn.XLOOKUP(Customer[[#This Row],[Customer ID]],[1]!Address[ID],[1]!Address[Phone No.(2)])</f>
        <v/>
      </c>
      <c r="V408" s="11" t="str">
        <f>_xlfn.XLOOKUP(Customer[[#This Row],[Customer ID]],[1]!Address[ID],[1]!Address[Type])</f>
        <v>PETROMART</v>
      </c>
      <c r="W408" s="11" t="str">
        <f>_xlfn.XLOOKUP(Customer[[#This Row],[Customer ID]],[1]!Address[ID],[1]!Address[CT])</f>
        <v>30 DAYS</v>
      </c>
      <c r="X408" s="11" t="s">
        <v>39</v>
      </c>
      <c r="Y408" s="17" t="s">
        <v>40</v>
      </c>
      <c r="Z408" s="17" t="e">
        <f>_xlfn.XLOOKUP(Customer[[#This Row],[NewType]],$AF$36:$AF$54,$AG$36:$AG$54)</f>
        <v>#N/A</v>
      </c>
      <c r="AA408" s="17" t="s">
        <v>2971</v>
      </c>
      <c r="AB408" s="11" t="str">
        <f>_xlfn.XLOOKUP(Customer[[#This Row],[Customer ID]],[1]!Address[ID],[1]!Address[Subtype])</f>
        <v>PETRONAS</v>
      </c>
      <c r="AC408" s="18" t="str">
        <f>_xlfn.XLOOKUP(Customer[[#This Row],[Customer ID]],[1]!Address[ID],[1]!Address[Zone])</f>
        <v>NORTH</v>
      </c>
    </row>
    <row r="409" spans="1:29" x14ac:dyDescent="0.3">
      <c r="A409" s="10" t="s">
        <v>2972</v>
      </c>
      <c r="B409" s="11" t="str">
        <f>_xlfn.XLOOKUP(Customer[[#This Row],[Customer ID]],[1]!Name[ID],[1]!Name[Description(1)])</f>
        <v>FNA VENTURES ENTERPRISE</v>
      </c>
      <c r="C409" s="11" t="str">
        <f>_xlfn.XLOOKUP(Customer[[#This Row],[Customer ID]],[1]!Name[ID],[1]!Name[Description(2)])</f>
        <v>PS KUALA LIPIS</v>
      </c>
      <c r="D409" s="11" t="str">
        <f>_xlfn.XLOOKUP(Customer[[#This Row],[Customer ID]],[1]!Address[ID],[1]!Address[PIC])</f>
        <v/>
      </c>
      <c r="E409" s="11" t="str">
        <f>_xlfn.XLOOKUP(Customer[[#This Row],[Customer ID]],[1]!Address[ID],[1]!Address[Full Address])</f>
        <v>PS KUALA LIPISSIMPANG 3, JALAN PEKELILING, 27200,LIPISPAHANG</v>
      </c>
      <c r="F409" s="12" t="s">
        <v>2973</v>
      </c>
      <c r="G409" s="12" t="s">
        <v>2974</v>
      </c>
      <c r="H409" s="12"/>
      <c r="I409" s="12" t="b">
        <f>ISNUMBER(VALUE(LEFT(Customer[[#This Row],[Address Line 3 (30 char)]],1)))</f>
        <v>0</v>
      </c>
      <c r="J409" s="12" t="s">
        <v>339</v>
      </c>
      <c r="K409" s="12">
        <v>27200</v>
      </c>
      <c r="L409" s="12" t="s">
        <v>35</v>
      </c>
      <c r="M409" s="13" t="e">
        <v>#N/A</v>
      </c>
      <c r="N409" s="14" t="e">
        <v>#N/A</v>
      </c>
      <c r="O409" s="14" t="e">
        <v>#N/A</v>
      </c>
      <c r="P409" s="14" t="e">
        <v>#N/A</v>
      </c>
      <c r="Q409" s="19" t="s">
        <v>2975</v>
      </c>
      <c r="R409" s="15" t="s">
        <v>2976</v>
      </c>
      <c r="S409" s="15" t="s">
        <v>37</v>
      </c>
      <c r="T409" s="16" t="s">
        <v>38</v>
      </c>
      <c r="U409" s="11" t="str">
        <f>_xlfn.XLOOKUP(Customer[[#This Row],[Customer ID]],[1]!Address[ID],[1]!Address[Phone No.(2)])</f>
        <v/>
      </c>
      <c r="V409" s="11" t="str">
        <f>_xlfn.XLOOKUP(Customer[[#This Row],[Customer ID]],[1]!Address[ID],[1]!Address[Type])</f>
        <v>PETROMART</v>
      </c>
      <c r="W409" s="11" t="str">
        <f>_xlfn.XLOOKUP(Customer[[#This Row],[Customer ID]],[1]!Address[ID],[1]!Address[CT])</f>
        <v>30 DAYS</v>
      </c>
      <c r="X409" s="11" t="s">
        <v>39</v>
      </c>
      <c r="Y409" s="17" t="s">
        <v>40</v>
      </c>
      <c r="Z409" s="17" t="e">
        <f>_xlfn.XLOOKUP(Customer[[#This Row],[NewType]],$AF$36:$AF$54,$AG$36:$AG$54)</f>
        <v>#N/A</v>
      </c>
      <c r="AA409" s="17" t="s">
        <v>2977</v>
      </c>
      <c r="AB409" s="11" t="str">
        <f>_xlfn.XLOOKUP(Customer[[#This Row],[Customer ID]],[1]!Address[ID],[1]!Address[Subtype])</f>
        <v>PETRONAS</v>
      </c>
      <c r="AC409" s="18" t="str">
        <f>_xlfn.XLOOKUP(Customer[[#This Row],[Customer ID]],[1]!Address[ID],[1]!Address[Zone])</f>
        <v>EAST COAST</v>
      </c>
    </row>
    <row r="410" spans="1:29" x14ac:dyDescent="0.3">
      <c r="A410" s="10" t="s">
        <v>2978</v>
      </c>
      <c r="B410" s="11" t="str">
        <f>_xlfn.XLOOKUP(Customer[[#This Row],[Customer ID]],[1]!Name[ID],[1]!Name[Description(1)])</f>
        <v>SNA ENERGY VENTURES</v>
      </c>
      <c r="C410" s="11" t="str">
        <f>_xlfn.XLOOKUP(Customer[[#This Row],[Customer ID]],[1]!Name[ID],[1]!Name[Description(2)])</f>
        <v>PS KUALA NERUS</v>
      </c>
      <c r="D410" s="11" t="str">
        <f>_xlfn.XLOOKUP(Customer[[#This Row],[Customer ID]],[1]!Address[ID],[1]!Address[PIC])</f>
        <v/>
      </c>
      <c r="E410" s="11" t="str">
        <f>_xlfn.XLOOKUP(Customer[[#This Row],[Customer ID]],[1]!Address[ID],[1]!Address[Full Address])</f>
        <v>PS KUALA NERUSLOT 12893 GM 2857, GONG TOK MIR, MUKIMKUALA NERUS, DAERAH KUALA NERUSTERENGGANU, , KUALA TERENGGANU,</v>
      </c>
      <c r="F410" s="12" t="s">
        <v>2979</v>
      </c>
      <c r="G410" s="12" t="s">
        <v>2980</v>
      </c>
      <c r="H410" s="12" t="s">
        <v>2981</v>
      </c>
      <c r="I410" s="12" t="b">
        <f>ISNUMBER(VALUE(LEFT(Customer[[#This Row],[Address Line 3 (30 char)]],1)))</f>
        <v>0</v>
      </c>
      <c r="J410" s="12" t="s">
        <v>1056</v>
      </c>
      <c r="K410" s="12">
        <v>21300</v>
      </c>
      <c r="L410" s="12" t="s">
        <v>35</v>
      </c>
      <c r="M410" s="13" t="e">
        <v>#N/A</v>
      </c>
      <c r="N410" s="14" t="e">
        <v>#N/A</v>
      </c>
      <c r="O410" s="14" t="e">
        <v>#N/A</v>
      </c>
      <c r="P410" s="14" t="e">
        <v>#N/A</v>
      </c>
      <c r="Q410" s="19" t="s">
        <v>2982</v>
      </c>
      <c r="R410" s="15" t="s">
        <v>2983</v>
      </c>
      <c r="S410" s="15" t="s">
        <v>37</v>
      </c>
      <c r="T410" s="16" t="s">
        <v>38</v>
      </c>
      <c r="U410" s="11" t="str">
        <f>_xlfn.XLOOKUP(Customer[[#This Row],[Customer ID]],[1]!Address[ID],[1]!Address[Phone No.(2)])</f>
        <v/>
      </c>
      <c r="V410" s="11" t="str">
        <f>_xlfn.XLOOKUP(Customer[[#This Row],[Customer ID]],[1]!Address[ID],[1]!Address[Type])</f>
        <v>PETROMART</v>
      </c>
      <c r="W410" s="11" t="str">
        <f>_xlfn.XLOOKUP(Customer[[#This Row],[Customer ID]],[1]!Address[ID],[1]!Address[CT])</f>
        <v>30 DAYS</v>
      </c>
      <c r="X410" s="11" t="s">
        <v>39</v>
      </c>
      <c r="Y410" s="17" t="s">
        <v>40</v>
      </c>
      <c r="Z410" s="17" t="e">
        <f>_xlfn.XLOOKUP(Customer[[#This Row],[NewType]],$AF$36:$AF$54,$AG$36:$AG$54)</f>
        <v>#N/A</v>
      </c>
      <c r="AA410" s="17" t="s">
        <v>2984</v>
      </c>
      <c r="AB410" s="11" t="str">
        <f>_xlfn.XLOOKUP(Customer[[#This Row],[Customer ID]],[1]!Address[ID],[1]!Address[Subtype])</f>
        <v>PETRONAS</v>
      </c>
      <c r="AC410" s="18" t="str">
        <f>_xlfn.XLOOKUP(Customer[[#This Row],[Customer ID]],[1]!Address[ID],[1]!Address[Zone])</f>
        <v>EAST COAST</v>
      </c>
    </row>
    <row r="411" spans="1:29" x14ac:dyDescent="0.3">
      <c r="A411" s="10" t="s">
        <v>2985</v>
      </c>
      <c r="B411" s="11" t="str">
        <f>_xlfn.XLOOKUP(Customer[[#This Row],[Customer ID]],[1]!Name[ID],[1]!Name[Description(1)])</f>
        <v>AZDA GEMILANG ENTERPRISE</v>
      </c>
      <c r="C411" s="11" t="str">
        <f>_xlfn.XLOOKUP(Customer[[#This Row],[Customer ID]],[1]!Name[ID],[1]!Name[Description(2)])</f>
        <v>PS KUALA PILAH 2 (MUKIM ULU MUAR)</v>
      </c>
      <c r="D411" s="11" t="str">
        <f>_xlfn.XLOOKUP(Customer[[#This Row],[Customer ID]],[1]!Address[ID],[1]!Address[PIC])</f>
        <v/>
      </c>
      <c r="E411" s="11" t="str">
        <f>_xlfn.XLOOKUP(Customer[[#This Row],[Customer ID]],[1]!Address[ID],[1]!Address[Full Address])</f>
        <v>PS KUALA PILAH 2 (MUKIM ULU MUAR)LOT 2086, GM 1703, JLN KUALA PILAH-BAHAUKUALA PILAH, NEGERI SEMBILAN, 72000,KUALA PILAH, NEGERI 9</v>
      </c>
      <c r="F411" s="12" t="s">
        <v>2986</v>
      </c>
      <c r="G411" s="12" t="s">
        <v>2987</v>
      </c>
      <c r="H411" s="12" t="s">
        <v>2988</v>
      </c>
      <c r="I411" s="12" t="b">
        <f>ISNUMBER(VALUE(LEFT(Customer[[#This Row],[Address Line 3 (30 char)]],1)))</f>
        <v>0</v>
      </c>
      <c r="J411" s="12" t="s">
        <v>203</v>
      </c>
      <c r="K411" s="12">
        <v>72000</v>
      </c>
      <c r="L411" s="12" t="s">
        <v>35</v>
      </c>
      <c r="M411" s="13">
        <v>202003236020</v>
      </c>
      <c r="N411" s="14" t="s">
        <v>2989</v>
      </c>
      <c r="O411" s="14" t="e">
        <v>#N/A</v>
      </c>
      <c r="P411" s="14" t="e">
        <v>#N/A</v>
      </c>
      <c r="Q411" s="19" t="s">
        <v>2990</v>
      </c>
      <c r="R411" s="15" t="s">
        <v>2991</v>
      </c>
      <c r="S411" s="15" t="s">
        <v>37</v>
      </c>
      <c r="T411" s="16" t="s">
        <v>38</v>
      </c>
      <c r="U411" s="11" t="str">
        <f>_xlfn.XLOOKUP(Customer[[#This Row],[Customer ID]],[1]!Address[ID],[1]!Address[Phone No.(2)])</f>
        <v/>
      </c>
      <c r="V411" s="11" t="str">
        <f>_xlfn.XLOOKUP(Customer[[#This Row],[Customer ID]],[1]!Address[ID],[1]!Address[Type])</f>
        <v>PETROMART</v>
      </c>
      <c r="W411" s="11" t="str">
        <f>_xlfn.XLOOKUP(Customer[[#This Row],[Customer ID]],[1]!Address[ID],[1]!Address[CT])</f>
        <v>30 DAYS</v>
      </c>
      <c r="X411" s="11" t="s">
        <v>39</v>
      </c>
      <c r="Y411" s="17" t="s">
        <v>40</v>
      </c>
      <c r="Z411" s="17" t="e">
        <f>_xlfn.XLOOKUP(Customer[[#This Row],[NewType]],$AF$36:$AF$54,$AG$36:$AG$54)</f>
        <v>#N/A</v>
      </c>
      <c r="AA411" s="17" t="s">
        <v>2992</v>
      </c>
      <c r="AB411" s="11" t="str">
        <f>_xlfn.XLOOKUP(Customer[[#This Row],[Customer ID]],[1]!Address[ID],[1]!Address[Subtype])</f>
        <v>PETRONAS</v>
      </c>
      <c r="AC411" s="18" t="str">
        <f>_xlfn.XLOOKUP(Customer[[#This Row],[Customer ID]],[1]!Address[ID],[1]!Address[Zone])</f>
        <v>CENTRAL</v>
      </c>
    </row>
    <row r="412" spans="1:29" x14ac:dyDescent="0.3">
      <c r="A412" s="10" t="s">
        <v>2993</v>
      </c>
      <c r="B412" s="11" t="str">
        <f>_xlfn.XLOOKUP(Customer[[#This Row],[Customer ID]],[1]!Name[ID],[1]!Name[Description(1)])</f>
        <v>CEMPAKA MURNI PETROSERVIS</v>
      </c>
      <c r="C412" s="11" t="str">
        <f>_xlfn.XLOOKUP(Customer[[#This Row],[Customer ID]],[1]!Name[ID],[1]!Name[Description(2)])</f>
        <v>PS KUALA SELANGOR</v>
      </c>
      <c r="D412" s="11" t="str">
        <f>_xlfn.XLOOKUP(Customer[[#This Row],[Customer ID]],[1]!Address[ID],[1]!Address[PIC])</f>
        <v/>
      </c>
      <c r="E412" s="11" t="str">
        <f>_xlfn.XLOOKUP(Customer[[#This Row],[Customer ID]],[1]!Address[ID],[1]!Address[Full Address])</f>
        <v>PS KUALA SELANGORLOT 629 BATU 1 JALAN BESAR, 45000, KUALASELANGOR, SELANGOR</v>
      </c>
      <c r="F412" s="12" t="s">
        <v>2994</v>
      </c>
      <c r="G412" s="12" t="s">
        <v>2995</v>
      </c>
      <c r="H412" s="12" t="s">
        <v>2996</v>
      </c>
      <c r="I412" s="12" t="b">
        <f>ISNUMBER(VALUE(LEFT(Customer[[#This Row],[Address Line 3 (30 char)]],1)))</f>
        <v>0</v>
      </c>
      <c r="J412" s="12" t="s">
        <v>172</v>
      </c>
      <c r="K412" s="12">
        <v>45000</v>
      </c>
      <c r="L412" s="12" t="s">
        <v>35</v>
      </c>
      <c r="M412" s="13" t="e">
        <v>#N/A</v>
      </c>
      <c r="N412" s="14" t="e">
        <v>#N/A</v>
      </c>
      <c r="O412" s="14" t="e">
        <v>#N/A</v>
      </c>
      <c r="P412" s="14" t="e">
        <v>#N/A</v>
      </c>
      <c r="Q412" s="19" t="s">
        <v>2997</v>
      </c>
      <c r="R412" s="15" t="s">
        <v>2998</v>
      </c>
      <c r="S412" s="15" t="s">
        <v>37</v>
      </c>
      <c r="T412" s="16" t="s">
        <v>38</v>
      </c>
      <c r="U412" s="11" t="str">
        <f>_xlfn.XLOOKUP(Customer[[#This Row],[Customer ID]],[1]!Address[ID],[1]!Address[Phone No.(2)])</f>
        <v/>
      </c>
      <c r="V412" s="11" t="str">
        <f>_xlfn.XLOOKUP(Customer[[#This Row],[Customer ID]],[1]!Address[ID],[1]!Address[Type])</f>
        <v>PETROMART</v>
      </c>
      <c r="W412" s="11" t="str">
        <f>_xlfn.XLOOKUP(Customer[[#This Row],[Customer ID]],[1]!Address[ID],[1]!Address[CT])</f>
        <v>30 DAYS</v>
      </c>
      <c r="X412" s="11" t="s">
        <v>39</v>
      </c>
      <c r="Y412" s="17" t="s">
        <v>40</v>
      </c>
      <c r="Z412" s="17" t="e">
        <f>_xlfn.XLOOKUP(Customer[[#This Row],[NewType]],$AF$36:$AF$54,$AG$36:$AG$54)</f>
        <v>#N/A</v>
      </c>
      <c r="AA412" s="17" t="s">
        <v>2999</v>
      </c>
      <c r="AB412" s="11" t="str">
        <f>_xlfn.XLOOKUP(Customer[[#This Row],[Customer ID]],[1]!Address[ID],[1]!Address[Subtype])</f>
        <v>PETRONAS</v>
      </c>
      <c r="AC412" s="18" t="str">
        <f>_xlfn.XLOOKUP(Customer[[#This Row],[Customer ID]],[1]!Address[ID],[1]!Address[Zone])</f>
        <v>CENTRAL</v>
      </c>
    </row>
    <row r="413" spans="1:29" x14ac:dyDescent="0.3">
      <c r="A413" s="10" t="s">
        <v>3000</v>
      </c>
      <c r="B413" s="11" t="str">
        <f>_xlfn.XLOOKUP(Customer[[#This Row],[Customer ID]],[1]!Name[ID],[1]!Name[Description(1)])</f>
        <v>MENTARI MESAH ENTERPRISE</v>
      </c>
      <c r="C413" s="11" t="str">
        <f>_xlfn.XLOOKUP(Customer[[#This Row],[Customer ID]],[1]!Name[ID],[1]!Name[Description(2)])</f>
        <v>PS KUANG RAWANG</v>
      </c>
      <c r="D413" s="11" t="str">
        <f>_xlfn.XLOOKUP(Customer[[#This Row],[Customer ID]],[1]!Address[ID],[1]!Address[PIC])</f>
        <v/>
      </c>
      <c r="E413" s="11" t="str">
        <f>_xlfn.XLOOKUP(Customer[[#This Row],[Customer ID]],[1]!Address[ID],[1]!Address[Full Address])</f>
        <v>PS KUANG RAWANGPT 35330 HS(M) 15762, KUANG, SELANGOR,48050, SELANGOR</v>
      </c>
      <c r="F413" s="12" t="s">
        <v>3001</v>
      </c>
      <c r="G413" s="12" t="s">
        <v>3002</v>
      </c>
      <c r="H413" s="12"/>
      <c r="I413" s="12" t="b">
        <f>ISNUMBER(VALUE(LEFT(Customer[[#This Row],[Address Line 3 (30 char)]],1)))</f>
        <v>0</v>
      </c>
      <c r="J413" s="12" t="s">
        <v>172</v>
      </c>
      <c r="K413" s="12">
        <v>48050</v>
      </c>
      <c r="L413" s="12" t="s">
        <v>35</v>
      </c>
      <c r="M413" s="13" t="e">
        <v>#N/A</v>
      </c>
      <c r="N413" s="14" t="e">
        <v>#N/A</v>
      </c>
      <c r="O413" s="14" t="e">
        <v>#N/A</v>
      </c>
      <c r="P413" s="14" t="e">
        <v>#N/A</v>
      </c>
      <c r="Q413" s="19" t="s">
        <v>3003</v>
      </c>
      <c r="R413" s="15" t="s">
        <v>3004</v>
      </c>
      <c r="S413" s="15" t="s">
        <v>609</v>
      </c>
      <c r="T413" s="16" t="s">
        <v>38</v>
      </c>
      <c r="U413" s="11" t="str">
        <f>_xlfn.XLOOKUP(Customer[[#This Row],[Customer ID]],[1]!Address[ID],[1]!Address[Phone No.(2)])</f>
        <v/>
      </c>
      <c r="V413" s="11" t="str">
        <f>_xlfn.XLOOKUP(Customer[[#This Row],[Customer ID]],[1]!Address[ID],[1]!Address[Type])</f>
        <v>PETROMART</v>
      </c>
      <c r="W413" s="11" t="str">
        <f>_xlfn.XLOOKUP(Customer[[#This Row],[Customer ID]],[1]!Address[ID],[1]!Address[CT])</f>
        <v>30 DAYS</v>
      </c>
      <c r="X413" s="11" t="s">
        <v>39</v>
      </c>
      <c r="Y413" s="17" t="s">
        <v>40</v>
      </c>
      <c r="Z413" s="17" t="e">
        <f>_xlfn.XLOOKUP(Customer[[#This Row],[NewType]],$AF$36:$AF$54,$AG$36:$AG$54)</f>
        <v>#N/A</v>
      </c>
      <c r="AA413" s="17" t="s">
        <v>3005</v>
      </c>
      <c r="AB413" s="11" t="str">
        <f>_xlfn.XLOOKUP(Customer[[#This Row],[Customer ID]],[1]!Address[ID],[1]!Address[Subtype])</f>
        <v>PETRONAS</v>
      </c>
      <c r="AC413" s="18" t="str">
        <f>_xlfn.XLOOKUP(Customer[[#This Row],[Customer ID]],[1]!Address[ID],[1]!Address[Zone])</f>
        <v>CENTRAL</v>
      </c>
    </row>
    <row r="414" spans="1:29" x14ac:dyDescent="0.3">
      <c r="A414" s="10" t="s">
        <v>3006</v>
      </c>
      <c r="B414" s="11" t="str">
        <f>_xlfn.XLOOKUP(Customer[[#This Row],[Customer ID]],[1]!Name[ID],[1]!Name[Description(1)])</f>
        <v>SHIMAZU NIAGA ENTERPRISE</v>
      </c>
      <c r="C414" s="11" t="str">
        <f>_xlfn.XLOOKUP(Customer[[#This Row],[Customer ID]],[1]!Name[ID],[1]!Name[Description(2)])</f>
        <v>PS KUANTAN DAMANSARA</v>
      </c>
      <c r="D414" s="11" t="str">
        <f>_xlfn.XLOOKUP(Customer[[#This Row],[Customer ID]],[1]!Address[ID],[1]!Address[PIC])</f>
        <v/>
      </c>
      <c r="E414" s="11" t="str">
        <f>_xlfn.XLOOKUP(Customer[[#This Row],[Customer ID]],[1]!Address[ID],[1]!Address[Full Address])</f>
        <v>PS KUANTAN DAMANSARALOT 3749, MUKIM BESERAH, 25300, KUANTAN,PAHANG</v>
      </c>
      <c r="F414" s="12" t="s">
        <v>3007</v>
      </c>
      <c r="G414" s="12" t="s">
        <v>3008</v>
      </c>
      <c r="H414" s="12"/>
      <c r="I414" s="12" t="b">
        <f>ISNUMBER(VALUE(LEFT(Customer[[#This Row],[Address Line 3 (30 char)]],1)))</f>
        <v>0</v>
      </c>
      <c r="J414" s="12" t="s">
        <v>339</v>
      </c>
      <c r="K414" s="12">
        <v>25300</v>
      </c>
      <c r="L414" s="12" t="s">
        <v>35</v>
      </c>
      <c r="M414" s="13" t="e">
        <v>#N/A</v>
      </c>
      <c r="N414" s="14" t="e">
        <v>#N/A</v>
      </c>
      <c r="O414" s="14" t="e">
        <v>#N/A</v>
      </c>
      <c r="P414" s="14" t="e">
        <v>#N/A</v>
      </c>
      <c r="Q414" s="19" t="s">
        <v>3009</v>
      </c>
      <c r="R414" s="15" t="s">
        <v>3010</v>
      </c>
      <c r="S414" s="15" t="s">
        <v>37</v>
      </c>
      <c r="T414" s="16" t="s">
        <v>38</v>
      </c>
      <c r="U414" s="11" t="str">
        <f>_xlfn.XLOOKUP(Customer[[#This Row],[Customer ID]],[1]!Address[ID],[1]!Address[Phone No.(2)])</f>
        <v/>
      </c>
      <c r="V414" s="11" t="str">
        <f>_xlfn.XLOOKUP(Customer[[#This Row],[Customer ID]],[1]!Address[ID],[1]!Address[Type])</f>
        <v>PETROMART</v>
      </c>
      <c r="W414" s="11" t="str">
        <f>_xlfn.XLOOKUP(Customer[[#This Row],[Customer ID]],[1]!Address[ID],[1]!Address[CT])</f>
        <v>30 DAYS</v>
      </c>
      <c r="X414" s="11" t="s">
        <v>39</v>
      </c>
      <c r="Y414" s="17" t="s">
        <v>40</v>
      </c>
      <c r="Z414" s="17" t="e">
        <f>_xlfn.XLOOKUP(Customer[[#This Row],[NewType]],$AF$36:$AF$54,$AG$36:$AG$54)</f>
        <v>#N/A</v>
      </c>
      <c r="AA414" s="17" t="s">
        <v>3011</v>
      </c>
      <c r="AB414" s="11" t="str">
        <f>_xlfn.XLOOKUP(Customer[[#This Row],[Customer ID]],[1]!Address[ID],[1]!Address[Subtype])</f>
        <v>PETRONAS</v>
      </c>
      <c r="AC414" s="18" t="str">
        <f>_xlfn.XLOOKUP(Customer[[#This Row],[Customer ID]],[1]!Address[ID],[1]!Address[Zone])</f>
        <v>EAST COAST</v>
      </c>
    </row>
    <row r="415" spans="1:29" x14ac:dyDescent="0.3">
      <c r="A415" s="10" t="s">
        <v>3012</v>
      </c>
      <c r="B415" s="11" t="str">
        <f>_xlfn.XLOOKUP(Customer[[#This Row],[Customer ID]],[1]!Name[ID],[1]!Name[Description(1)])</f>
        <v>NAZ MILLENIUM ENTERPRISE</v>
      </c>
      <c r="C415" s="11" t="str">
        <f>_xlfn.XLOOKUP(Customer[[#This Row],[Customer ID]],[1]!Name[ID],[1]!Name[Description(2)])</f>
        <v>PS KUANTAN PUTRI</v>
      </c>
      <c r="D415" s="11" t="str">
        <f>_xlfn.XLOOKUP(Customer[[#This Row],[Customer ID]],[1]!Address[ID],[1]!Address[PIC])</f>
        <v/>
      </c>
      <c r="E415" s="11" t="str">
        <f>_xlfn.XLOOKUP(Customer[[#This Row],[Customer ID]],[1]!Address[ID],[1]!Address[Full Address])</f>
        <v>PS KUANTAN PUTRINO 2A STESEN MINYAK BANDAR BARU,KUANTAN PUTRI SUNGAI SOI, 26060 KUANTANPAHANG.</v>
      </c>
      <c r="F415" s="12" t="s">
        <v>3013</v>
      </c>
      <c r="G415" s="12" t="s">
        <v>3014</v>
      </c>
      <c r="H415" s="12" t="s">
        <v>3015</v>
      </c>
      <c r="I415" s="12" t="b">
        <f>ISNUMBER(VALUE(LEFT(Customer[[#This Row],[Address Line 3 (30 char)]],1)))</f>
        <v>0</v>
      </c>
      <c r="J415" s="12" t="s">
        <v>339</v>
      </c>
      <c r="K415" s="12">
        <v>26060</v>
      </c>
      <c r="L415" s="12" t="s">
        <v>35</v>
      </c>
      <c r="M415" s="13" t="e">
        <v>#N/A</v>
      </c>
      <c r="N415" s="14" t="e">
        <v>#N/A</v>
      </c>
      <c r="O415" s="14" t="e">
        <v>#N/A</v>
      </c>
      <c r="P415" s="14" t="e">
        <v>#N/A</v>
      </c>
      <c r="Q415" s="19" t="s">
        <v>3016</v>
      </c>
      <c r="R415" s="15" t="s">
        <v>3017</v>
      </c>
      <c r="S415" s="15" t="s">
        <v>37</v>
      </c>
      <c r="T415" s="16" t="s">
        <v>38</v>
      </c>
      <c r="U415" s="11" t="str">
        <f>_xlfn.XLOOKUP(Customer[[#This Row],[Customer ID]],[1]!Address[ID],[1]!Address[Phone No.(2)])</f>
        <v/>
      </c>
      <c r="V415" s="11" t="str">
        <f>_xlfn.XLOOKUP(Customer[[#This Row],[Customer ID]],[1]!Address[ID],[1]!Address[Type])</f>
        <v>PETROMART</v>
      </c>
      <c r="W415" s="11" t="str">
        <f>_xlfn.XLOOKUP(Customer[[#This Row],[Customer ID]],[1]!Address[ID],[1]!Address[CT])</f>
        <v>30 DAYS</v>
      </c>
      <c r="X415" s="11" t="s">
        <v>39</v>
      </c>
      <c r="Y415" s="17" t="s">
        <v>40</v>
      </c>
      <c r="Z415" s="17" t="e">
        <f>_xlfn.XLOOKUP(Customer[[#This Row],[NewType]],$AF$36:$AF$54,$AG$36:$AG$54)</f>
        <v>#N/A</v>
      </c>
      <c r="AA415" s="17" t="s">
        <v>3018</v>
      </c>
      <c r="AB415" s="11" t="str">
        <f>_xlfn.XLOOKUP(Customer[[#This Row],[Customer ID]],[1]!Address[ID],[1]!Address[Subtype])</f>
        <v>PETRONAS</v>
      </c>
      <c r="AC415" s="18" t="str">
        <f>_xlfn.XLOOKUP(Customer[[#This Row],[Customer ID]],[1]!Address[ID],[1]!Address[Zone])</f>
        <v>EAST COAST</v>
      </c>
    </row>
    <row r="416" spans="1:29" x14ac:dyDescent="0.3">
      <c r="A416" s="10" t="s">
        <v>3019</v>
      </c>
      <c r="B416" s="11" t="str">
        <f>_xlfn.XLOOKUP(Customer[[#This Row],[Customer ID]],[1]!Name[ID],[1]!Name[Description(1)])</f>
        <v>HASMY DIVERSIFIED</v>
      </c>
      <c r="C416" s="11" t="str">
        <f>_xlfn.XLOOKUP(Customer[[#This Row],[Customer ID]],[1]!Name[ID],[1]!Name[Description(2)])</f>
        <v>PS KUARTERS KLIA</v>
      </c>
      <c r="D416" s="11" t="str">
        <f>_xlfn.XLOOKUP(Customer[[#This Row],[Customer ID]],[1]!Address[ID],[1]!Address[PIC])</f>
        <v/>
      </c>
      <c r="E416" s="11" t="str">
        <f>_xlfn.XLOOKUP(Customer[[#This Row],[Customer ID]],[1]!Address[ID],[1]!Address[Full Address])</f>
        <v>PS KUARTERS KLIAKLOT 20861, GERAN 122012, BANDAR BARUKOTA SRI MAS, NILAI, NEGERI SEMBILAN, 71SEREMBAN, NEGERI 9</v>
      </c>
      <c r="F416" s="12" t="s">
        <v>3020</v>
      </c>
      <c r="G416" s="12" t="s">
        <v>3021</v>
      </c>
      <c r="H416" s="12" t="s">
        <v>3022</v>
      </c>
      <c r="I416" s="12" t="b">
        <f>ISNUMBER(VALUE(LEFT(Customer[[#This Row],[Address Line 3 (30 char)]],1)))</f>
        <v>0</v>
      </c>
      <c r="J416" s="12" t="s">
        <v>203</v>
      </c>
      <c r="K416" s="12">
        <v>71800</v>
      </c>
      <c r="L416" s="12" t="s">
        <v>35</v>
      </c>
      <c r="M416" s="13">
        <v>201303232233</v>
      </c>
      <c r="N416" s="14" t="s">
        <v>2750</v>
      </c>
      <c r="O416" s="14"/>
      <c r="P416" s="14">
        <v>47300</v>
      </c>
      <c r="Q416" s="19" t="s">
        <v>3023</v>
      </c>
      <c r="R416" s="15" t="s">
        <v>3024</v>
      </c>
      <c r="S416" s="15" t="s">
        <v>37</v>
      </c>
      <c r="T416" s="16" t="s">
        <v>38</v>
      </c>
      <c r="U416" s="11" t="str">
        <f>_xlfn.XLOOKUP(Customer[[#This Row],[Customer ID]],[1]!Address[ID],[1]!Address[Phone No.(2)])</f>
        <v/>
      </c>
      <c r="V416" s="11" t="str">
        <f>_xlfn.XLOOKUP(Customer[[#This Row],[Customer ID]],[1]!Address[ID],[1]!Address[Type])</f>
        <v>PETROMART</v>
      </c>
      <c r="W416" s="11" t="str">
        <f>_xlfn.XLOOKUP(Customer[[#This Row],[Customer ID]],[1]!Address[ID],[1]!Address[CT])</f>
        <v>30 DAYS</v>
      </c>
      <c r="X416" s="11" t="s">
        <v>39</v>
      </c>
      <c r="Y416" s="17" t="s">
        <v>40</v>
      </c>
      <c r="Z416" s="17" t="e">
        <f>_xlfn.XLOOKUP(Customer[[#This Row],[NewType]],$AF$36:$AF$54,$AG$36:$AG$54)</f>
        <v>#N/A</v>
      </c>
      <c r="AA416" s="17" t="s">
        <v>3025</v>
      </c>
      <c r="AB416" s="11" t="str">
        <f>_xlfn.XLOOKUP(Customer[[#This Row],[Customer ID]],[1]!Address[ID],[1]!Address[Subtype])</f>
        <v>PETRONAS</v>
      </c>
      <c r="AC416" s="18" t="str">
        <f>_xlfn.XLOOKUP(Customer[[#This Row],[Customer ID]],[1]!Address[ID],[1]!Address[Zone])</f>
        <v>CENTRAL</v>
      </c>
    </row>
    <row r="417" spans="1:29" x14ac:dyDescent="0.3">
      <c r="A417" s="10" t="s">
        <v>3026</v>
      </c>
      <c r="B417" s="11" t="str">
        <f>_xlfn.XLOOKUP(Customer[[#This Row],[Customer ID]],[1]!Name[ID],[1]!Name[Description(1)])</f>
        <v>SMD PETRO NIAGA</v>
      </c>
      <c r="C417" s="11" t="str">
        <f>_xlfn.XLOOKUP(Customer[[#This Row],[Customer ID]],[1]!Name[ID],[1]!Name[Description(2)])</f>
        <v>PS KUBANG KERIAN</v>
      </c>
      <c r="D417" s="11" t="str">
        <f>_xlfn.XLOOKUP(Customer[[#This Row],[Customer ID]],[1]!Address[ID],[1]!Address[PIC])</f>
        <v/>
      </c>
      <c r="E417" s="11" t="str">
        <f>_xlfn.XLOOKUP(Customer[[#This Row],[Customer ID]],[1]!Address[ID],[1]!Address[Full Address])</f>
        <v>PS KUBANG KERIANLOT 243 &amp; LOT 1310 MUKIM DEMIT,  DAERAHKUBANG KERIAN, KOTA BHARU, KELANTAN,16150, KOTA BHARU, KELANTAN</v>
      </c>
      <c r="F417" s="12" t="s">
        <v>3027</v>
      </c>
      <c r="G417" s="12" t="s">
        <v>3028</v>
      </c>
      <c r="H417" s="12" t="s">
        <v>3029</v>
      </c>
      <c r="I417" s="12" t="b">
        <f>ISNUMBER(VALUE(LEFT(Customer[[#This Row],[Address Line 3 (30 char)]],1)))</f>
        <v>0</v>
      </c>
      <c r="J417" s="12" t="s">
        <v>1007</v>
      </c>
      <c r="K417" s="12">
        <v>16150</v>
      </c>
      <c r="L417" s="12" t="s">
        <v>35</v>
      </c>
      <c r="M417" s="13" t="e">
        <v>#N/A</v>
      </c>
      <c r="N417" s="14" t="e">
        <v>#N/A</v>
      </c>
      <c r="O417" s="14" t="e">
        <v>#N/A</v>
      </c>
      <c r="P417" s="14" t="e">
        <v>#N/A</v>
      </c>
      <c r="Q417" s="19" t="s">
        <v>3030</v>
      </c>
      <c r="R417" s="15" t="s">
        <v>3031</v>
      </c>
      <c r="S417" s="15" t="s">
        <v>37</v>
      </c>
      <c r="T417" s="16" t="s">
        <v>38</v>
      </c>
      <c r="U417" s="11" t="str">
        <f>_xlfn.XLOOKUP(Customer[[#This Row],[Customer ID]],[1]!Address[ID],[1]!Address[Phone No.(2)])</f>
        <v/>
      </c>
      <c r="V417" s="11" t="str">
        <f>_xlfn.XLOOKUP(Customer[[#This Row],[Customer ID]],[1]!Address[ID],[1]!Address[Type])</f>
        <v>PETROMART</v>
      </c>
      <c r="W417" s="11" t="str">
        <f>_xlfn.XLOOKUP(Customer[[#This Row],[Customer ID]],[1]!Address[ID],[1]!Address[CT])</f>
        <v>30 DAYS</v>
      </c>
      <c r="X417" s="11" t="s">
        <v>39</v>
      </c>
      <c r="Y417" s="17" t="s">
        <v>40</v>
      </c>
      <c r="Z417" s="17" t="e">
        <f>_xlfn.XLOOKUP(Customer[[#This Row],[NewType]],$AF$36:$AF$54,$AG$36:$AG$54)</f>
        <v>#N/A</v>
      </c>
      <c r="AA417" s="17" t="s">
        <v>3032</v>
      </c>
      <c r="AB417" s="11" t="str">
        <f>_xlfn.XLOOKUP(Customer[[#This Row],[Customer ID]],[1]!Address[ID],[1]!Address[Subtype])</f>
        <v>PETRONAS</v>
      </c>
      <c r="AC417" s="18" t="str">
        <f>_xlfn.XLOOKUP(Customer[[#This Row],[Customer ID]],[1]!Address[ID],[1]!Address[Zone])</f>
        <v>EAST COAST</v>
      </c>
    </row>
    <row r="418" spans="1:29" x14ac:dyDescent="0.3">
      <c r="A418" s="10" t="s">
        <v>3033</v>
      </c>
      <c r="B418" s="11" t="str">
        <f>_xlfn.XLOOKUP(Customer[[#This Row],[Customer ID]],[1]!Name[ID],[1]!Name[Description(1)])</f>
        <v>SA SUTERA MARKETING</v>
      </c>
      <c r="C418" s="11" t="str">
        <f>_xlfn.XLOOKUP(Customer[[#This Row],[Customer ID]],[1]!Name[ID],[1]!Name[Description(2)])</f>
        <v>PS KULIM HI-TECH PARK</v>
      </c>
      <c r="D418" s="11" t="str">
        <f>_xlfn.XLOOKUP(Customer[[#This Row],[Customer ID]],[1]!Address[ID],[1]!Address[PIC])</f>
        <v>Sarinah Ahmad</v>
      </c>
      <c r="E418" s="11" t="str">
        <f>_xlfn.XLOOKUP(Customer[[#This Row],[Customer ID]],[1]!Address[ID],[1]!Address[Full Address])</f>
        <v>PS KULIM HI-TECH PARKLOT 1370, JALAN MAHANG, KULIM HI-TECHPARK, KEDAH, 09000, KULIM, KEDAH</v>
      </c>
      <c r="F418" s="12" t="s">
        <v>3034</v>
      </c>
      <c r="G418" s="12" t="s">
        <v>3035</v>
      </c>
      <c r="H418" s="12" t="s">
        <v>3036</v>
      </c>
      <c r="I418" s="12" t="b">
        <f>ISNUMBER(VALUE(LEFT(Customer[[#This Row],[Address Line 3 (30 char)]],1)))</f>
        <v>0</v>
      </c>
      <c r="J418" s="12" t="s">
        <v>355</v>
      </c>
      <c r="K418" s="20" t="s">
        <v>2905</v>
      </c>
      <c r="L418" s="12" t="s">
        <v>35</v>
      </c>
      <c r="M418" s="13">
        <v>201103195920</v>
      </c>
      <c r="N418" s="14" t="s">
        <v>3037</v>
      </c>
      <c r="O418" s="14" t="s">
        <v>54</v>
      </c>
      <c r="P418" s="14">
        <v>43700</v>
      </c>
      <c r="Q418" s="19" t="s">
        <v>3038</v>
      </c>
      <c r="R418" s="15" t="s">
        <v>3039</v>
      </c>
      <c r="S418" s="15" t="s">
        <v>74</v>
      </c>
      <c r="T418" s="16" t="s">
        <v>38</v>
      </c>
      <c r="U418" s="11" t="str">
        <f>_xlfn.XLOOKUP(Customer[[#This Row],[Customer ID]],[1]!Address[ID],[1]!Address[Phone No.(2)])</f>
        <v/>
      </c>
      <c r="V418" s="11" t="str">
        <f>_xlfn.XLOOKUP(Customer[[#This Row],[Customer ID]],[1]!Address[ID],[1]!Address[Type])</f>
        <v>PETROMART</v>
      </c>
      <c r="W418" s="11" t="str">
        <f>_xlfn.XLOOKUP(Customer[[#This Row],[Customer ID]],[1]!Address[ID],[1]!Address[CT])</f>
        <v>30 DAYS</v>
      </c>
      <c r="X418" s="11" t="s">
        <v>39</v>
      </c>
      <c r="Y418" s="17" t="s">
        <v>40</v>
      </c>
      <c r="Z418" s="17" t="e">
        <f>_xlfn.XLOOKUP(Customer[[#This Row],[NewType]],$AF$36:$AF$54,$AG$36:$AG$54)</f>
        <v>#N/A</v>
      </c>
      <c r="AA418" s="17" t="s">
        <v>3040</v>
      </c>
      <c r="AB418" s="11" t="str">
        <f>_xlfn.XLOOKUP(Customer[[#This Row],[Customer ID]],[1]!Address[ID],[1]!Address[Subtype])</f>
        <v>PETRONAS</v>
      </c>
      <c r="AC418" s="18" t="str">
        <f>_xlfn.XLOOKUP(Customer[[#This Row],[Customer ID]],[1]!Address[ID],[1]!Address[Zone])</f>
        <v>NORTH</v>
      </c>
    </row>
    <row r="419" spans="1:29" x14ac:dyDescent="0.3">
      <c r="A419" s="10" t="s">
        <v>3041</v>
      </c>
      <c r="B419" s="11" t="str">
        <f>_xlfn.XLOOKUP(Customer[[#This Row],[Customer ID]],[1]!Name[ID],[1]!Name[Description(1)])</f>
        <v>IDEAL MESRA SDN BHD</v>
      </c>
      <c r="C419" s="11" t="str">
        <f>_xlfn.XLOOKUP(Customer[[#This Row],[Customer ID]],[1]!Name[ID],[1]!Name[Description(2)])</f>
        <v>PS KULIM SENTRAL</v>
      </c>
      <c r="D419" s="11" t="str">
        <f>_xlfn.XLOOKUP(Customer[[#This Row],[Customer ID]],[1]!Address[ID],[1]!Address[PIC])</f>
        <v/>
      </c>
      <c r="E419" s="11" t="str">
        <f>_xlfn.XLOOKUP(Customer[[#This Row],[Customer ID]],[1]!Address[ID],[1]!Address[Full Address])</f>
        <v>PS KULIM SENTRALLOT 2308 GM 11426, SEKSYEN 44, KAMPUNGKELADI KULIM 09000 KEDAH, 09000, KULIM,KEDAH</v>
      </c>
      <c r="F419" s="12" t="s">
        <v>3042</v>
      </c>
      <c r="G419" s="12" t="s">
        <v>3043</v>
      </c>
      <c r="H419" s="12" t="s">
        <v>3044</v>
      </c>
      <c r="I419" s="12" t="b">
        <f>ISNUMBER(VALUE(LEFT(Customer[[#This Row],[Address Line 3 (30 char)]],1)))</f>
        <v>0</v>
      </c>
      <c r="J419" s="12" t="s">
        <v>355</v>
      </c>
      <c r="K419" s="20" t="s">
        <v>2905</v>
      </c>
      <c r="L419" s="12" t="s">
        <v>35</v>
      </c>
      <c r="M419" s="13" t="e">
        <v>#N/A</v>
      </c>
      <c r="N419" s="14" t="e">
        <v>#N/A</v>
      </c>
      <c r="O419" s="14" t="e">
        <v>#N/A</v>
      </c>
      <c r="P419" s="14" t="e">
        <v>#N/A</v>
      </c>
      <c r="Q419" s="19" t="s">
        <v>3045</v>
      </c>
      <c r="R419" s="15" t="s">
        <v>3039</v>
      </c>
      <c r="S419" s="15" t="s">
        <v>74</v>
      </c>
      <c r="T419" s="16" t="s">
        <v>38</v>
      </c>
      <c r="U419" s="11" t="str">
        <f>_xlfn.XLOOKUP(Customer[[#This Row],[Customer ID]],[1]!Address[ID],[1]!Address[Phone No.(2)])</f>
        <v/>
      </c>
      <c r="V419" s="11" t="str">
        <f>_xlfn.XLOOKUP(Customer[[#This Row],[Customer ID]],[1]!Address[ID],[1]!Address[Type])</f>
        <v>PETROMART</v>
      </c>
      <c r="W419" s="11" t="str">
        <f>_xlfn.XLOOKUP(Customer[[#This Row],[Customer ID]],[1]!Address[ID],[1]!Address[CT])</f>
        <v>30 DAYS</v>
      </c>
      <c r="X419" s="11" t="s">
        <v>39</v>
      </c>
      <c r="Y419" s="17" t="s">
        <v>40</v>
      </c>
      <c r="Z419" s="17" t="e">
        <f>_xlfn.XLOOKUP(Customer[[#This Row],[NewType]],$AF$36:$AF$54,$AG$36:$AG$54)</f>
        <v>#N/A</v>
      </c>
      <c r="AA419" s="17" t="s">
        <v>3046</v>
      </c>
      <c r="AB419" s="11" t="str">
        <f>_xlfn.XLOOKUP(Customer[[#This Row],[Customer ID]],[1]!Address[ID],[1]!Address[Subtype])</f>
        <v>PETRONAS</v>
      </c>
      <c r="AC419" s="18" t="str">
        <f>_xlfn.XLOOKUP(Customer[[#This Row],[Customer ID]],[1]!Address[ID],[1]!Address[Zone])</f>
        <v>NORTH</v>
      </c>
    </row>
    <row r="420" spans="1:29" x14ac:dyDescent="0.3">
      <c r="A420" s="10" t="s">
        <v>3047</v>
      </c>
      <c r="B420" s="11" t="str">
        <f>_xlfn.XLOOKUP(Customer[[#This Row],[Customer ID]],[1]!Name[ID],[1]!Name[Description(1)])</f>
        <v>RAHIMI IDEAL FLOW</v>
      </c>
      <c r="C420" s="11" t="str">
        <f>_xlfn.XLOOKUP(Customer[[#This Row],[Customer ID]],[1]!Name[ID],[1]!Name[Description(2)])</f>
        <v>PS KULIM SQUARE</v>
      </c>
      <c r="D420" s="11" t="str">
        <f>_xlfn.XLOOKUP(Customer[[#This Row],[Customer ID]],[1]!Address[ID],[1]!Address[PIC])</f>
        <v/>
      </c>
      <c r="E420" s="11" t="str">
        <f>_xlfn.XLOOKUP(Customer[[#This Row],[Customer ID]],[1]!Address[ID],[1]!Address[Full Address])</f>
        <v>PS KULIM SQUARELOT 4141 (PLOT 2, JALAN LUNAS, BUKITKUKUS, KEDAH, 09000, KULIM, KEDAH</v>
      </c>
      <c r="F420" s="12" t="s">
        <v>3048</v>
      </c>
      <c r="G420" s="12" t="s">
        <v>3049</v>
      </c>
      <c r="H420" s="12" t="s">
        <v>3050</v>
      </c>
      <c r="I420" s="12" t="b">
        <f>ISNUMBER(VALUE(LEFT(Customer[[#This Row],[Address Line 3 (30 char)]],1)))</f>
        <v>0</v>
      </c>
      <c r="J420" s="12" t="s">
        <v>355</v>
      </c>
      <c r="K420" s="20" t="s">
        <v>2905</v>
      </c>
      <c r="L420" s="12" t="s">
        <v>35</v>
      </c>
      <c r="M420" s="13" t="e">
        <v>#N/A</v>
      </c>
      <c r="N420" s="14" t="e">
        <v>#N/A</v>
      </c>
      <c r="O420" s="14" t="e">
        <v>#N/A</v>
      </c>
      <c r="P420" s="14" t="e">
        <v>#N/A</v>
      </c>
      <c r="Q420" s="19" t="s">
        <v>726</v>
      </c>
      <c r="R420" s="15" t="s">
        <v>3051</v>
      </c>
      <c r="S420" s="15" t="s">
        <v>74</v>
      </c>
      <c r="T420" s="16" t="s">
        <v>38</v>
      </c>
      <c r="U420" s="11" t="str">
        <f>_xlfn.XLOOKUP(Customer[[#This Row],[Customer ID]],[1]!Address[ID],[1]!Address[Phone No.(2)])</f>
        <v/>
      </c>
      <c r="V420" s="11" t="str">
        <f>_xlfn.XLOOKUP(Customer[[#This Row],[Customer ID]],[1]!Address[ID],[1]!Address[Type])</f>
        <v>PETROMART</v>
      </c>
      <c r="W420" s="11" t="str">
        <f>_xlfn.XLOOKUP(Customer[[#This Row],[Customer ID]],[1]!Address[ID],[1]!Address[CT])</f>
        <v>30 DAYS</v>
      </c>
      <c r="X420" s="11" t="s">
        <v>39</v>
      </c>
      <c r="Y420" s="17" t="s">
        <v>40</v>
      </c>
      <c r="Z420" s="17" t="e">
        <f>_xlfn.XLOOKUP(Customer[[#This Row],[NewType]],$AF$36:$AF$54,$AG$36:$AG$54)</f>
        <v>#N/A</v>
      </c>
      <c r="AA420" s="17" t="s">
        <v>3052</v>
      </c>
      <c r="AB420" s="11" t="str">
        <f>_xlfn.XLOOKUP(Customer[[#This Row],[Customer ID]],[1]!Address[ID],[1]!Address[Subtype])</f>
        <v>PETRONAS</v>
      </c>
      <c r="AC420" s="18" t="str">
        <f>_xlfn.XLOOKUP(Customer[[#This Row],[Customer ID]],[1]!Address[ID],[1]!Address[Zone])</f>
        <v>NORTH</v>
      </c>
    </row>
    <row r="421" spans="1:29" x14ac:dyDescent="0.3">
      <c r="A421" s="27" t="s">
        <v>3053</v>
      </c>
      <c r="B421" s="28" t="str">
        <f>_xlfn.XLOOKUP(Customer[[#This Row],[Customer ID]],[1]!Name[ID],[1]!Name[Description(1)])</f>
        <v>FORTUNE GAIN SDN BHD</v>
      </c>
      <c r="C421" s="11" t="str">
        <f>_xlfn.XLOOKUP(Customer[[#This Row],[Customer ID]],[1]!Name[ID],[1]!Name[Description(2)])</f>
        <v>PS LABIS</v>
      </c>
      <c r="D421" s="11" t="str">
        <f>_xlfn.XLOOKUP(Customer[[#This Row],[Customer ID]],[1]!Address[ID],[1]!Address[PIC])</f>
        <v/>
      </c>
      <c r="E421" s="11" t="str">
        <f>_xlfn.XLOOKUP(Customer[[#This Row],[Customer ID]],[1]!Address[ID],[1]!Address[Full Address])</f>
        <v>PS LABISLOT 6271, JALAN SEGAMAT, LABIS, JOHOR,85300, SEGAMAT, JOHOR</v>
      </c>
      <c r="F421" s="12" t="s">
        <v>3054</v>
      </c>
      <c r="G421" s="12" t="s">
        <v>3055</v>
      </c>
      <c r="H421" s="12" t="s">
        <v>3056</v>
      </c>
      <c r="I421" s="12" t="b">
        <f>ISNUMBER(VALUE(LEFT(Customer[[#This Row],[Address Line 3 (30 char)]],1)))</f>
        <v>0</v>
      </c>
      <c r="J421" s="12" t="s">
        <v>52</v>
      </c>
      <c r="K421" s="12">
        <v>85300</v>
      </c>
      <c r="L421" s="12" t="s">
        <v>35</v>
      </c>
      <c r="M421" s="13">
        <v>201801032335</v>
      </c>
      <c r="N421" s="14" t="e">
        <v>#N/A</v>
      </c>
      <c r="O421" s="14" t="e">
        <v>#N/A</v>
      </c>
      <c r="P421" s="14" t="e">
        <v>#N/A</v>
      </c>
      <c r="Q421" s="19" t="s">
        <v>3057</v>
      </c>
      <c r="R421" s="15" t="s">
        <v>3058</v>
      </c>
      <c r="S421" s="15" t="s">
        <v>37</v>
      </c>
      <c r="T421" s="16" t="s">
        <v>38</v>
      </c>
      <c r="U421" s="11" t="str">
        <f>_xlfn.XLOOKUP(Customer[[#This Row],[Customer ID]],[1]!Address[ID],[1]!Address[Phone No.(2)])</f>
        <v/>
      </c>
      <c r="V421" s="11" t="str">
        <f>_xlfn.XLOOKUP(Customer[[#This Row],[Customer ID]],[1]!Address[ID],[1]!Address[Type])</f>
        <v>PETROMART</v>
      </c>
      <c r="W421" s="11" t="str">
        <f>_xlfn.XLOOKUP(Customer[[#This Row],[Customer ID]],[1]!Address[ID],[1]!Address[CT])</f>
        <v>30 DAYS</v>
      </c>
      <c r="X421" s="11" t="s">
        <v>39</v>
      </c>
      <c r="Y421" s="17" t="s">
        <v>40</v>
      </c>
      <c r="Z421" s="17" t="e">
        <f>_xlfn.XLOOKUP(Customer[[#This Row],[NewType]],$AF$36:$AF$54,$AG$36:$AG$54)</f>
        <v>#N/A</v>
      </c>
      <c r="AA421" s="17" t="s">
        <v>3059</v>
      </c>
      <c r="AB421" s="11" t="str">
        <f>_xlfn.XLOOKUP(Customer[[#This Row],[Customer ID]],[1]!Address[ID],[1]!Address[Subtype])</f>
        <v>PETRONAS</v>
      </c>
      <c r="AC421" s="18" t="str">
        <f>_xlfn.XLOOKUP(Customer[[#This Row],[Customer ID]],[1]!Address[ID],[1]!Address[Zone])</f>
        <v>SOUTH</v>
      </c>
    </row>
    <row r="422" spans="1:29" x14ac:dyDescent="0.3">
      <c r="A422" s="10" t="s">
        <v>3060</v>
      </c>
      <c r="B422" s="11" t="str">
        <f>_xlfn.XLOOKUP(Customer[[#This Row],[Customer ID]],[1]!Name[ID],[1]!Name[Description(1)])</f>
        <v>MASLERA SYNERGY ENTERPRISE</v>
      </c>
      <c r="C422" s="11" t="str">
        <f>_xlfn.XLOOKUP(Customer[[#This Row],[Customer ID]],[1]!Name[ID],[1]!Name[Description(2)])</f>
        <v>PS LABIS 2</v>
      </c>
      <c r="D422" s="11" t="str">
        <f>_xlfn.XLOOKUP(Customer[[#This Row],[Customer ID]],[1]!Address[ID],[1]!Address[PIC])</f>
        <v/>
      </c>
      <c r="E422" s="11" t="str">
        <f>_xlfn.XLOOKUP(Customer[[#This Row],[Customer ID]],[1]!Address[ID],[1]!Address[Full Address])</f>
        <v>PS LABIS 2LOT 4193, GRN 97400 MUKIM LABIS, LABIS,JOHOR, 85300, SEGAMAT, JOHOR</v>
      </c>
      <c r="F422" s="12" t="s">
        <v>3061</v>
      </c>
      <c r="G422" s="12" t="s">
        <v>3062</v>
      </c>
      <c r="H422" s="12" t="s">
        <v>3056</v>
      </c>
      <c r="I422" s="12" t="b">
        <f>ISNUMBER(VALUE(LEFT(Customer[[#This Row],[Address Line 3 (30 char)]],1)))</f>
        <v>0</v>
      </c>
      <c r="J422" s="12" t="s">
        <v>52</v>
      </c>
      <c r="K422" s="12">
        <v>85300</v>
      </c>
      <c r="L422" s="12" t="s">
        <v>35</v>
      </c>
      <c r="M422" s="13" t="e">
        <v>#N/A</v>
      </c>
      <c r="N422" s="14" t="e">
        <v>#N/A</v>
      </c>
      <c r="O422" s="14" t="e">
        <v>#N/A</v>
      </c>
      <c r="P422" s="14" t="e">
        <v>#N/A</v>
      </c>
      <c r="Q422" s="19" t="s">
        <v>3063</v>
      </c>
      <c r="R422" s="15" t="s">
        <v>3064</v>
      </c>
      <c r="S422" s="15" t="s">
        <v>37</v>
      </c>
      <c r="T422" s="16" t="s">
        <v>38</v>
      </c>
      <c r="U422" s="11" t="str">
        <f>_xlfn.XLOOKUP(Customer[[#This Row],[Customer ID]],[1]!Address[ID],[1]!Address[Phone No.(2)])</f>
        <v/>
      </c>
      <c r="V422" s="11" t="str">
        <f>_xlfn.XLOOKUP(Customer[[#This Row],[Customer ID]],[1]!Address[ID],[1]!Address[Type])</f>
        <v>PETROMART</v>
      </c>
      <c r="W422" s="11" t="str">
        <f>_xlfn.XLOOKUP(Customer[[#This Row],[Customer ID]],[1]!Address[ID],[1]!Address[CT])</f>
        <v>30 DAYS</v>
      </c>
      <c r="X422" s="11" t="s">
        <v>39</v>
      </c>
      <c r="Y422" s="17" t="s">
        <v>40</v>
      </c>
      <c r="Z422" s="17" t="e">
        <f>_xlfn.XLOOKUP(Customer[[#This Row],[NewType]],$AF$36:$AF$54,$AG$36:$AG$54)</f>
        <v>#N/A</v>
      </c>
      <c r="AA422" s="17" t="s">
        <v>3065</v>
      </c>
      <c r="AB422" s="11" t="str">
        <f>_xlfn.XLOOKUP(Customer[[#This Row],[Customer ID]],[1]!Address[ID],[1]!Address[Subtype])</f>
        <v>PETRONAS</v>
      </c>
      <c r="AC422" s="18" t="str">
        <f>_xlfn.XLOOKUP(Customer[[#This Row],[Customer ID]],[1]!Address[ID],[1]!Address[Zone])</f>
        <v>SOUTH</v>
      </c>
    </row>
    <row r="423" spans="1:29" x14ac:dyDescent="0.3">
      <c r="A423" s="10" t="s">
        <v>3066</v>
      </c>
      <c r="B423" s="11" t="str">
        <f>_xlfn.XLOOKUP(Customer[[#This Row],[Customer ID]],[1]!Name[ID],[1]!Name[Description(1)])</f>
        <v>RZ MAJU TEGUH ENTERPRISE</v>
      </c>
      <c r="C423" s="11" t="str">
        <f>_xlfn.XLOOKUP(Customer[[#This Row],[Customer ID]],[1]!Name[ID],[1]!Name[Description(2)])</f>
        <v>PS LAGUNA MERBOK</v>
      </c>
      <c r="D423" s="11" t="str">
        <f>_xlfn.XLOOKUP(Customer[[#This Row],[Customer ID]],[1]!Address[ID],[1]!Address[PIC])</f>
        <v/>
      </c>
      <c r="E423" s="11" t="str">
        <f>_xlfn.XLOOKUP(Customer[[#This Row],[Customer ID]],[1]!Address[ID],[1]!Address[Full Address])</f>
        <v>PS LAGUNA MERBOKLOT PT 33762 HS (D) 3390/95,MUKIM SUNGAIPETANI, BANDAR LAGUNA MERBOK, KEDAH,08000, KUALA MUDA, KEDAH</v>
      </c>
      <c r="F423" s="12" t="s">
        <v>3067</v>
      </c>
      <c r="G423" s="12" t="s">
        <v>3068</v>
      </c>
      <c r="H423" s="12" t="s">
        <v>3069</v>
      </c>
      <c r="I423" s="12" t="b">
        <f>ISNUMBER(VALUE(LEFT(Customer[[#This Row],[Address Line 3 (30 char)]],1)))</f>
        <v>0</v>
      </c>
      <c r="J423" s="12" t="s">
        <v>355</v>
      </c>
      <c r="K423" s="20" t="s">
        <v>296</v>
      </c>
      <c r="L423" s="12" t="s">
        <v>35</v>
      </c>
      <c r="M423" s="13" t="e">
        <v>#N/A</v>
      </c>
      <c r="N423" s="14" t="e">
        <v>#N/A</v>
      </c>
      <c r="O423" s="14" t="e">
        <v>#N/A</v>
      </c>
      <c r="P423" s="14" t="e">
        <v>#N/A</v>
      </c>
      <c r="Q423" s="19" t="s">
        <v>3070</v>
      </c>
      <c r="R423" s="15" t="s">
        <v>3071</v>
      </c>
      <c r="S423" s="15" t="s">
        <v>74</v>
      </c>
      <c r="T423" s="16" t="s">
        <v>38</v>
      </c>
      <c r="U423" s="11" t="str">
        <f>_xlfn.XLOOKUP(Customer[[#This Row],[Customer ID]],[1]!Address[ID],[1]!Address[Phone No.(2)])</f>
        <v/>
      </c>
      <c r="V423" s="11" t="str">
        <f>_xlfn.XLOOKUP(Customer[[#This Row],[Customer ID]],[1]!Address[ID],[1]!Address[Type])</f>
        <v>PETROMART</v>
      </c>
      <c r="W423" s="11" t="str">
        <f>_xlfn.XLOOKUP(Customer[[#This Row],[Customer ID]],[1]!Address[ID],[1]!Address[CT])</f>
        <v>30 DAYS</v>
      </c>
      <c r="X423" s="11" t="s">
        <v>39</v>
      </c>
      <c r="Y423" s="17" t="s">
        <v>40</v>
      </c>
      <c r="Z423" s="17" t="e">
        <f>_xlfn.XLOOKUP(Customer[[#This Row],[NewType]],$AF$36:$AF$54,$AG$36:$AG$54)</f>
        <v>#N/A</v>
      </c>
      <c r="AA423" s="17" t="s">
        <v>3072</v>
      </c>
      <c r="AB423" s="11" t="str">
        <f>_xlfn.XLOOKUP(Customer[[#This Row],[Customer ID]],[1]!Address[ID],[1]!Address[Subtype])</f>
        <v>PETRONAS</v>
      </c>
      <c r="AC423" s="18" t="str">
        <f>_xlfn.XLOOKUP(Customer[[#This Row],[Customer ID]],[1]!Address[ID],[1]!Address[Zone])</f>
        <v>NORTH</v>
      </c>
    </row>
    <row r="424" spans="1:29" x14ac:dyDescent="0.3">
      <c r="A424" s="10" t="s">
        <v>3073</v>
      </c>
      <c r="B424" s="11" t="str">
        <f>_xlfn.XLOOKUP(Customer[[#This Row],[Customer ID]],[1]!Name[ID],[1]!Name[Description(1)])</f>
        <v>AL IMAN ENTERPRISE</v>
      </c>
      <c r="C424" s="11" t="str">
        <f>_xlfn.XLOOKUP(Customer[[#This Row],[Customer ID]],[1]!Name[ID],[1]!Name[Description(2)])</f>
        <v>PS LANGKASUKA</v>
      </c>
      <c r="D424" s="11" t="str">
        <f>_xlfn.XLOOKUP(Customer[[#This Row],[Customer ID]],[1]!Address[ID],[1]!Address[PIC])</f>
        <v/>
      </c>
      <c r="E424" s="11" t="str">
        <f>_xlfn.XLOOKUP(Customer[[#This Row],[Customer ID]],[1]!Address[ID],[1]!Address[Full Address])</f>
        <v>PS LANGKASUKALOT PTB 20457, HS(D) 303968, JALANLANGKASUKA, MUKIM BANDAR JOHOR BHARU,JOHOR BAHRU, 80100 JOHOR.</v>
      </c>
      <c r="F424" s="12" t="s">
        <v>3074</v>
      </c>
      <c r="G424" s="12" t="s">
        <v>3075</v>
      </c>
      <c r="H424" s="12" t="s">
        <v>3076</v>
      </c>
      <c r="I424" s="12" t="b">
        <f>ISNUMBER(VALUE(LEFT(Customer[[#This Row],[Address Line 3 (30 char)]],1)))</f>
        <v>0</v>
      </c>
      <c r="J424" s="12" t="s">
        <v>52</v>
      </c>
      <c r="K424" s="12">
        <v>80100</v>
      </c>
      <c r="L424" s="12" t="s">
        <v>35</v>
      </c>
      <c r="M424" s="13">
        <v>200603027698</v>
      </c>
      <c r="N424" s="14" t="s">
        <v>3077</v>
      </c>
      <c r="O424" s="14" t="s">
        <v>54</v>
      </c>
      <c r="P424" s="14">
        <v>46611</v>
      </c>
      <c r="Q424" s="19" t="s">
        <v>3078</v>
      </c>
      <c r="R424" s="15" t="s">
        <v>3079</v>
      </c>
      <c r="S424" s="15" t="s">
        <v>37</v>
      </c>
      <c r="T424" s="16" t="s">
        <v>38</v>
      </c>
      <c r="U424" s="11" t="str">
        <f>_xlfn.XLOOKUP(Customer[[#This Row],[Customer ID]],[1]!Address[ID],[1]!Address[Phone No.(2)])</f>
        <v/>
      </c>
      <c r="V424" s="11" t="str">
        <f>_xlfn.XLOOKUP(Customer[[#This Row],[Customer ID]],[1]!Address[ID],[1]!Address[Type])</f>
        <v>PETROMART</v>
      </c>
      <c r="W424" s="11" t="str">
        <f>_xlfn.XLOOKUP(Customer[[#This Row],[Customer ID]],[1]!Address[ID],[1]!Address[CT])</f>
        <v>30 DAYS</v>
      </c>
      <c r="X424" s="11" t="s">
        <v>39</v>
      </c>
      <c r="Y424" s="17" t="s">
        <v>40</v>
      </c>
      <c r="Z424" s="17" t="e">
        <f>_xlfn.XLOOKUP(Customer[[#This Row],[NewType]],$AF$36:$AF$54,$AG$36:$AG$54)</f>
        <v>#N/A</v>
      </c>
      <c r="AA424" s="17" t="s">
        <v>3080</v>
      </c>
      <c r="AB424" s="11" t="str">
        <f>_xlfn.XLOOKUP(Customer[[#This Row],[Customer ID]],[1]!Address[ID],[1]!Address[Subtype])</f>
        <v>PETRONAS</v>
      </c>
      <c r="AC424" s="18" t="str">
        <f>_xlfn.XLOOKUP(Customer[[#This Row],[Customer ID]],[1]!Address[ID],[1]!Address[Zone])</f>
        <v>SOUTH</v>
      </c>
    </row>
    <row r="425" spans="1:29" x14ac:dyDescent="0.3">
      <c r="A425" s="10" t="s">
        <v>3081</v>
      </c>
      <c r="B425" s="11" t="str">
        <f>_xlfn.XLOOKUP(Customer[[#This Row],[Customer ID]],[1]!Name[ID],[1]!Name[Description(1)])</f>
        <v>LATIPAH PETROL KIOSK</v>
      </c>
      <c r="C425" s="11" t="str">
        <f>_xlfn.XLOOKUP(Customer[[#This Row],[Customer ID]],[1]!Name[ID],[1]!Name[Description(2)])</f>
        <v>PS LARKIN</v>
      </c>
      <c r="D425" s="11" t="str">
        <f>_xlfn.XLOOKUP(Customer[[#This Row],[Customer ID]],[1]!Address[ID],[1]!Address[PIC])</f>
        <v/>
      </c>
      <c r="E425" s="11" t="str">
        <f>_xlfn.XLOOKUP(Customer[[#This Row],[Customer ID]],[1]!Address[ID],[1]!Address[Full Address])</f>
        <v>PS LARKINLOT PTB 11985, JALAN LARKIN OFF JLN TUNRAZAK, JOHOR, 80000, JOHOR BAHRU, JOHOR</v>
      </c>
      <c r="F425" s="12" t="s">
        <v>3082</v>
      </c>
      <c r="G425" s="12" t="s">
        <v>3083</v>
      </c>
      <c r="H425" s="12" t="s">
        <v>3084</v>
      </c>
      <c r="I425" s="12" t="b">
        <f>ISNUMBER(VALUE(LEFT(Customer[[#This Row],[Address Line 3 (30 char)]],1)))</f>
        <v>0</v>
      </c>
      <c r="J425" s="12" t="s">
        <v>52</v>
      </c>
      <c r="K425" s="12">
        <v>80000</v>
      </c>
      <c r="L425" s="12" t="s">
        <v>35</v>
      </c>
      <c r="M425" s="13" t="e">
        <v>#N/A</v>
      </c>
      <c r="N425" s="14" t="e">
        <v>#N/A</v>
      </c>
      <c r="O425" s="14" t="e">
        <v>#N/A</v>
      </c>
      <c r="P425" s="14" t="e">
        <v>#N/A</v>
      </c>
      <c r="Q425" s="19" t="s">
        <v>2393</v>
      </c>
      <c r="R425" s="15" t="s">
        <v>3085</v>
      </c>
      <c r="S425" s="15" t="s">
        <v>37</v>
      </c>
      <c r="T425" s="16" t="s">
        <v>38</v>
      </c>
      <c r="U425" s="11" t="str">
        <f>_xlfn.XLOOKUP(Customer[[#This Row],[Customer ID]],[1]!Address[ID],[1]!Address[Phone No.(2)])</f>
        <v/>
      </c>
      <c r="V425" s="11" t="str">
        <f>_xlfn.XLOOKUP(Customer[[#This Row],[Customer ID]],[1]!Address[ID],[1]!Address[Type])</f>
        <v>PETROMART</v>
      </c>
      <c r="W425" s="11" t="str">
        <f>_xlfn.XLOOKUP(Customer[[#This Row],[Customer ID]],[1]!Address[ID],[1]!Address[CT])</f>
        <v>30 DAYS</v>
      </c>
      <c r="X425" s="11" t="s">
        <v>39</v>
      </c>
      <c r="Y425" s="17" t="s">
        <v>40</v>
      </c>
      <c r="Z425" s="17" t="e">
        <f>_xlfn.XLOOKUP(Customer[[#This Row],[NewType]],$AF$36:$AF$54,$AG$36:$AG$54)</f>
        <v>#N/A</v>
      </c>
      <c r="AA425" s="17" t="s">
        <v>3086</v>
      </c>
      <c r="AB425" s="11" t="str">
        <f>_xlfn.XLOOKUP(Customer[[#This Row],[Customer ID]],[1]!Address[ID],[1]!Address[Subtype])</f>
        <v>PETRONAS</v>
      </c>
      <c r="AC425" s="18" t="str">
        <f>_xlfn.XLOOKUP(Customer[[#This Row],[Customer ID]],[1]!Address[ID],[1]!Address[Zone])</f>
        <v>SOUTH</v>
      </c>
    </row>
    <row r="426" spans="1:29" x14ac:dyDescent="0.3">
      <c r="A426" s="10" t="s">
        <v>3087</v>
      </c>
      <c r="B426" s="11" t="str">
        <f>_xlfn.XLOOKUP(Customer[[#This Row],[Customer ID]],[1]!Name[ID],[1]!Name[Description(1)])</f>
        <v>SALMI SAMOON SERVICE STATION</v>
      </c>
      <c r="C426" s="11" t="str">
        <f>_xlfn.XLOOKUP(Customer[[#This Row],[Customer ID]],[1]!Name[ID],[1]!Name[Description(2)])</f>
        <v>PS LATAR 1 (KLS, ARAH KUALA SELANGOR)</v>
      </c>
      <c r="D426" s="11" t="str">
        <f>_xlfn.XLOOKUP(Customer[[#This Row],[Customer ID]],[1]!Address[ID],[1]!Address[PIC])</f>
        <v/>
      </c>
      <c r="E426" s="11" t="str">
        <f>_xlfn.XLOOKUP(Customer[[#This Row],[Customer ID]],[1]!Address[ID],[1]!Address[Full Address])</f>
        <v>PS LATAR 1 (KLS, ARAH KUALA SELANGOR)KUNDANG RSA (ARAH KUALA SELANGOR),LEBUHRAYA KL-KUALA SELANGOR (LATAR),MUKIM RAWANG, GOMBAK,SELANGOR, 48000,</v>
      </c>
      <c r="F426" s="12" t="s">
        <v>3088</v>
      </c>
      <c r="G426" s="12" t="s">
        <v>3089</v>
      </c>
      <c r="H426" s="12" t="s">
        <v>3090</v>
      </c>
      <c r="I426" s="12" t="b">
        <f>ISNUMBER(VALUE(LEFT(Customer[[#This Row],[Address Line 3 (30 char)]],1)))</f>
        <v>0</v>
      </c>
      <c r="J426" s="12" t="s">
        <v>172</v>
      </c>
      <c r="K426" s="12">
        <v>48000</v>
      </c>
      <c r="L426" s="12" t="s">
        <v>35</v>
      </c>
      <c r="M426" s="13">
        <v>201303280873</v>
      </c>
      <c r="N426" s="14" t="s">
        <v>3091</v>
      </c>
      <c r="O426" s="14" t="s">
        <v>54</v>
      </c>
      <c r="P426" s="14">
        <v>47300</v>
      </c>
      <c r="Q426" s="19" t="s">
        <v>3092</v>
      </c>
      <c r="R426" s="15" t="s">
        <v>3093</v>
      </c>
      <c r="S426" s="15" t="s">
        <v>37</v>
      </c>
      <c r="T426" s="16" t="s">
        <v>38</v>
      </c>
      <c r="U426" s="11" t="str">
        <f>_xlfn.XLOOKUP(Customer[[#This Row],[Customer ID]],[1]!Address[ID],[1]!Address[Phone No.(2)])</f>
        <v/>
      </c>
      <c r="V426" s="11" t="str">
        <f>_xlfn.XLOOKUP(Customer[[#This Row],[Customer ID]],[1]!Address[ID],[1]!Address[Type])</f>
        <v>PETROMART</v>
      </c>
      <c r="W426" s="11" t="str">
        <f>_xlfn.XLOOKUP(Customer[[#This Row],[Customer ID]],[1]!Address[ID],[1]!Address[CT])</f>
        <v>30 DAYS</v>
      </c>
      <c r="X426" s="11" t="s">
        <v>39</v>
      </c>
      <c r="Y426" s="17" t="s">
        <v>40</v>
      </c>
      <c r="Z426" s="17" t="e">
        <f>_xlfn.XLOOKUP(Customer[[#This Row],[NewType]],$AF$36:$AF$54,$AG$36:$AG$54)</f>
        <v>#N/A</v>
      </c>
      <c r="AA426" s="17" t="s">
        <v>3094</v>
      </c>
      <c r="AB426" s="11" t="str">
        <f>_xlfn.XLOOKUP(Customer[[#This Row],[Customer ID]],[1]!Address[ID],[1]!Address[Subtype])</f>
        <v>PETRONAS</v>
      </c>
      <c r="AC426" s="18" t="str">
        <f>_xlfn.XLOOKUP(Customer[[#This Row],[Customer ID]],[1]!Address[ID],[1]!Address[Zone])</f>
        <v>CENTRAL</v>
      </c>
    </row>
    <row r="427" spans="1:29" x14ac:dyDescent="0.3">
      <c r="A427" s="10" t="s">
        <v>3095</v>
      </c>
      <c r="B427" s="11" t="str">
        <f>_xlfn.XLOOKUP(Customer[[#This Row],[Customer ID]],[1]!Name[ID],[1]!Name[Description(1)])</f>
        <v>CAHAYA NADZA RESOURCES</v>
      </c>
      <c r="C427" s="11" t="str">
        <f>_xlfn.XLOOKUP(Customer[[#This Row],[Customer ID]],[1]!Name[ID],[1]!Name[Description(2)])</f>
        <v>PS LATAR 2 (KLS, ARAH KUALA LUMPUR)</v>
      </c>
      <c r="D427" s="11" t="str">
        <f>_xlfn.XLOOKUP(Customer[[#This Row],[Customer ID]],[1]!Address[ID],[1]!Address[PIC])</f>
        <v>NADLIN HAZALINA</v>
      </c>
      <c r="E427" s="11" t="str">
        <f>_xlfn.XLOOKUP(Customer[[#This Row],[Customer ID]],[1]!Address[ID],[1]!Address[Full Address])</f>
        <v>PS LATAR 2 (KLS, ARAH KUALA LUMPUR)KUNDANG RSA (ARAH TIMUR), LEBUHRAYA KL-KUALA SELANGOR (LATAR), RAWANG, GOMBAKSELANGOR, 48000, GOMBAK, SELANGOR</v>
      </c>
      <c r="F427" s="12" t="s">
        <v>3096</v>
      </c>
      <c r="G427" s="12" t="s">
        <v>3097</v>
      </c>
      <c r="H427" s="12" t="s">
        <v>3098</v>
      </c>
      <c r="I427" s="12" t="b">
        <f>ISNUMBER(VALUE(LEFT(Customer[[#This Row],[Address Line 3 (30 char)]],1)))</f>
        <v>0</v>
      </c>
      <c r="J427" s="12" t="s">
        <v>172</v>
      </c>
      <c r="K427" s="12">
        <v>48000</v>
      </c>
      <c r="L427" s="12" t="s">
        <v>35</v>
      </c>
      <c r="M427" s="13">
        <v>201303279806</v>
      </c>
      <c r="N427" s="14" t="s">
        <v>3099</v>
      </c>
      <c r="O427" s="14" t="e">
        <v>#N/A</v>
      </c>
      <c r="P427" s="14" t="e">
        <v>#N/A</v>
      </c>
      <c r="Q427" s="19" t="s">
        <v>3100</v>
      </c>
      <c r="R427" s="15" t="s">
        <v>3101</v>
      </c>
      <c r="S427" s="15" t="s">
        <v>37</v>
      </c>
      <c r="T427" s="16" t="s">
        <v>38</v>
      </c>
      <c r="U427" s="11" t="str">
        <f>_xlfn.XLOOKUP(Customer[[#This Row],[Customer ID]],[1]!Address[ID],[1]!Address[Phone No.(2)])</f>
        <v/>
      </c>
      <c r="V427" s="11" t="str">
        <f>_xlfn.XLOOKUP(Customer[[#This Row],[Customer ID]],[1]!Address[ID],[1]!Address[Type])</f>
        <v>PETROMART</v>
      </c>
      <c r="W427" s="11" t="str">
        <f>_xlfn.XLOOKUP(Customer[[#This Row],[Customer ID]],[1]!Address[ID],[1]!Address[CT])</f>
        <v>30 DAYS</v>
      </c>
      <c r="X427" s="11" t="s">
        <v>39</v>
      </c>
      <c r="Y427" s="17" t="s">
        <v>40</v>
      </c>
      <c r="Z427" s="17" t="e">
        <f>_xlfn.XLOOKUP(Customer[[#This Row],[NewType]],$AF$36:$AF$54,$AG$36:$AG$54)</f>
        <v>#N/A</v>
      </c>
      <c r="AA427" s="17" t="s">
        <v>3102</v>
      </c>
      <c r="AB427" s="11" t="str">
        <f>_xlfn.XLOOKUP(Customer[[#This Row],[Customer ID]],[1]!Address[ID],[1]!Address[Subtype])</f>
        <v>PETRONAS</v>
      </c>
      <c r="AC427" s="18" t="str">
        <f>_xlfn.XLOOKUP(Customer[[#This Row],[Customer ID]],[1]!Address[ID],[1]!Address[Zone])</f>
        <v>CENTRAL</v>
      </c>
    </row>
    <row r="428" spans="1:29" x14ac:dyDescent="0.3">
      <c r="A428" s="10" t="s">
        <v>3103</v>
      </c>
      <c r="B428" s="11" t="str">
        <f>_xlfn.XLOOKUP(Customer[[#This Row],[Customer ID]],[1]!Name[ID],[1]!Name[Description(1)])</f>
        <v>AKID MAJU SERVICES</v>
      </c>
      <c r="C428" s="11" t="str">
        <f>_xlfn.XLOOKUP(Customer[[#This Row],[Customer ID]],[1]!Name[ID],[1]!Name[Description(2)])</f>
        <v>PS LAVENDER HEIGHTS</v>
      </c>
      <c r="D428" s="11" t="str">
        <f>_xlfn.XLOOKUP(Customer[[#This Row],[Customer ID]],[1]!Address[ID],[1]!Address[PIC])</f>
        <v/>
      </c>
      <c r="E428" s="11" t="str">
        <f>_xlfn.XLOOKUP(Customer[[#This Row],[Customer ID]],[1]!Address[ID],[1]!Address[Full Address])</f>
        <v>PS LAVENDER HEIGHTSLOT 33866 PT 2244 LAVENDER HEIGHTS,SENAWANG, NEGERI SEMBILAN, 70450,SEREMBAN, NEGERI 9</v>
      </c>
      <c r="F428" s="12" t="s">
        <v>3104</v>
      </c>
      <c r="G428" s="12" t="s">
        <v>3105</v>
      </c>
      <c r="H428" s="12" t="s">
        <v>3106</v>
      </c>
      <c r="I428" s="12" t="b">
        <f>ISNUMBER(VALUE(LEFT(Customer[[#This Row],[Address Line 3 (30 char)]],1)))</f>
        <v>0</v>
      </c>
      <c r="J428" s="12" t="s">
        <v>203</v>
      </c>
      <c r="K428" s="12">
        <v>70450</v>
      </c>
      <c r="L428" s="12" t="s">
        <v>35</v>
      </c>
      <c r="M428" s="13">
        <v>202301031462</v>
      </c>
      <c r="N428" s="14" t="s">
        <v>3107</v>
      </c>
      <c r="O428" s="14" t="e">
        <v>#N/A</v>
      </c>
      <c r="P428" s="14" t="e">
        <v>#N/A</v>
      </c>
      <c r="Q428" s="19" t="s">
        <v>3108</v>
      </c>
      <c r="R428" s="15" t="s">
        <v>3109</v>
      </c>
      <c r="S428" s="15" t="s">
        <v>37</v>
      </c>
      <c r="T428" s="16" t="s">
        <v>38</v>
      </c>
      <c r="U428" s="11" t="str">
        <f>_xlfn.XLOOKUP(Customer[[#This Row],[Customer ID]],[1]!Address[ID],[1]!Address[Phone No.(2)])</f>
        <v/>
      </c>
      <c r="V428" s="11" t="str">
        <f>_xlfn.XLOOKUP(Customer[[#This Row],[Customer ID]],[1]!Address[ID],[1]!Address[Type])</f>
        <v>PETROMART</v>
      </c>
      <c r="W428" s="11" t="str">
        <f>_xlfn.XLOOKUP(Customer[[#This Row],[Customer ID]],[1]!Address[ID],[1]!Address[CT])</f>
        <v>30 DAYS</v>
      </c>
      <c r="X428" s="11" t="s">
        <v>39</v>
      </c>
      <c r="Y428" s="17" t="s">
        <v>40</v>
      </c>
      <c r="Z428" s="17" t="e">
        <f>_xlfn.XLOOKUP(Customer[[#This Row],[NewType]],$AF$36:$AF$54,$AG$36:$AG$54)</f>
        <v>#N/A</v>
      </c>
      <c r="AA428" s="17" t="s">
        <v>3110</v>
      </c>
      <c r="AB428" s="11" t="str">
        <f>_xlfn.XLOOKUP(Customer[[#This Row],[Customer ID]],[1]!Address[ID],[1]!Address[Subtype])</f>
        <v>PETRONAS</v>
      </c>
      <c r="AC428" s="18" t="str">
        <f>_xlfn.XLOOKUP(Customer[[#This Row],[Customer ID]],[1]!Address[ID],[1]!Address[Zone])</f>
        <v>CENTRAL</v>
      </c>
    </row>
    <row r="429" spans="1:29" x14ac:dyDescent="0.3">
      <c r="A429" s="10" t="s">
        <v>3111</v>
      </c>
      <c r="B429" s="11" t="str">
        <f>_xlfn.XLOOKUP(Customer[[#This Row],[Customer ID]],[1]!Name[ID],[1]!Name[Description(1)])</f>
        <v>MOLIZA ENTERPRISE</v>
      </c>
      <c r="C429" s="11" t="str">
        <f>_xlfn.XLOOKUP(Customer[[#This Row],[Customer ID]],[1]!Name[ID],[1]!Name[Description(2)])</f>
        <v>PS LDP PUCHONG UTAMA</v>
      </c>
      <c r="D429" s="11" t="str">
        <f>_xlfn.XLOOKUP(Customer[[#This Row],[Customer ID]],[1]!Address[ID],[1]!Address[PIC])</f>
        <v/>
      </c>
      <c r="E429" s="11" t="str">
        <f>_xlfn.XLOOKUP(Customer[[#This Row],[Customer ID]],[1]!Address[ID],[1]!Address[Full Address])</f>
        <v>PS LDP PUCHONG UTAMALOT 30476 HS(D) 93764, MUKIM &amp; DAERAHPETALING, LEBUHRAYA DAMANSARA-PUCHONGHILLCREST), PETALING, SELANGOR, 47100,</v>
      </c>
      <c r="F429" s="12" t="s">
        <v>3112</v>
      </c>
      <c r="G429" s="12" t="s">
        <v>3113</v>
      </c>
      <c r="H429" s="12" t="s">
        <v>3114</v>
      </c>
      <c r="I429" s="12" t="b">
        <f>ISNUMBER(VALUE(LEFT(Customer[[#This Row],[Address Line 3 (30 char)]],1)))</f>
        <v>0</v>
      </c>
      <c r="J429" s="12" t="s">
        <v>172</v>
      </c>
      <c r="K429" s="12">
        <v>47100</v>
      </c>
      <c r="L429" s="12" t="s">
        <v>35</v>
      </c>
      <c r="M429" s="13" t="e">
        <v>#N/A</v>
      </c>
      <c r="N429" s="14" t="e">
        <v>#N/A</v>
      </c>
      <c r="O429" s="14" t="e">
        <v>#N/A</v>
      </c>
      <c r="P429" s="14" t="e">
        <v>#N/A</v>
      </c>
      <c r="Q429" s="19" t="s">
        <v>3115</v>
      </c>
      <c r="R429" s="15" t="s">
        <v>3116</v>
      </c>
      <c r="S429" s="15" t="s">
        <v>37</v>
      </c>
      <c r="T429" s="16" t="s">
        <v>38</v>
      </c>
      <c r="U429" s="11" t="str">
        <f>_xlfn.XLOOKUP(Customer[[#This Row],[Customer ID]],[1]!Address[ID],[1]!Address[Phone No.(2)])</f>
        <v/>
      </c>
      <c r="V429" s="11" t="str">
        <f>_xlfn.XLOOKUP(Customer[[#This Row],[Customer ID]],[1]!Address[ID],[1]!Address[Type])</f>
        <v>PETROMART</v>
      </c>
      <c r="W429" s="11" t="str">
        <f>_xlfn.XLOOKUP(Customer[[#This Row],[Customer ID]],[1]!Address[ID],[1]!Address[CT])</f>
        <v>30 DAYS</v>
      </c>
      <c r="X429" s="11" t="s">
        <v>39</v>
      </c>
      <c r="Y429" s="17" t="s">
        <v>40</v>
      </c>
      <c r="Z429" s="17" t="e">
        <f>_xlfn.XLOOKUP(Customer[[#This Row],[NewType]],$AF$36:$AF$54,$AG$36:$AG$54)</f>
        <v>#N/A</v>
      </c>
      <c r="AA429" s="17" t="s">
        <v>3117</v>
      </c>
      <c r="AB429" s="11" t="str">
        <f>_xlfn.XLOOKUP(Customer[[#This Row],[Customer ID]],[1]!Address[ID],[1]!Address[Subtype])</f>
        <v>PETRONAS</v>
      </c>
      <c r="AC429" s="18" t="str">
        <f>_xlfn.XLOOKUP(Customer[[#This Row],[Customer ID]],[1]!Address[ID],[1]!Address[Zone])</f>
        <v>CENTRAL</v>
      </c>
    </row>
    <row r="430" spans="1:29" x14ac:dyDescent="0.3">
      <c r="A430" s="10" t="s">
        <v>3118</v>
      </c>
      <c r="B430" s="11" t="str">
        <f>_xlfn.XLOOKUP(Customer[[#This Row],[Customer ID]],[1]!Name[ID],[1]!Name[Description(1)])</f>
        <v>GOLDRUSH GLOBAL ENTERPRISE</v>
      </c>
      <c r="C430" s="11" t="str">
        <f>_xlfn.XLOOKUP(Customer[[#This Row],[Customer ID]],[1]!Name[ID],[1]!Name[Description(2)])</f>
        <v>PS LEBUH AMJ CHENG</v>
      </c>
      <c r="D430" s="11" t="str">
        <f>_xlfn.XLOOKUP(Customer[[#This Row],[Customer ID]],[1]!Address[ID],[1]!Address[PIC])</f>
        <v/>
      </c>
      <c r="E430" s="11" t="str">
        <f>_xlfn.XLOOKUP(Customer[[#This Row],[Customer ID]],[1]!Address[ID],[1]!Address[Full Address])</f>
        <v>PS LEBUH AMJ CHENGLOT PT 8414 HM (M) 38, MUKIM CHENG,75250, MELAKA TENGAH, MELAKA</v>
      </c>
      <c r="F430" s="12" t="s">
        <v>3119</v>
      </c>
      <c r="G430" s="12" t="s">
        <v>3120</v>
      </c>
      <c r="H430" s="12" t="s">
        <v>102</v>
      </c>
      <c r="I430" s="12" t="b">
        <f>ISNUMBER(VALUE(LEFT(Customer[[#This Row],[Address Line 3 (30 char)]],1)))</f>
        <v>0</v>
      </c>
      <c r="J430" s="12" t="s">
        <v>61</v>
      </c>
      <c r="K430" s="12">
        <v>75250</v>
      </c>
      <c r="L430" s="12" t="s">
        <v>35</v>
      </c>
      <c r="M430" s="13" t="e">
        <v>#N/A</v>
      </c>
      <c r="N430" s="14" t="e">
        <v>#N/A</v>
      </c>
      <c r="O430" s="14" t="e">
        <v>#N/A</v>
      </c>
      <c r="P430" s="14" t="e">
        <v>#N/A</v>
      </c>
      <c r="Q430" s="19" t="s">
        <v>3121</v>
      </c>
      <c r="R430" s="15" t="s">
        <v>3122</v>
      </c>
      <c r="S430" s="15" t="s">
        <v>37</v>
      </c>
      <c r="T430" s="16" t="s">
        <v>38</v>
      </c>
      <c r="U430" s="11" t="str">
        <f>_xlfn.XLOOKUP(Customer[[#This Row],[Customer ID]],[1]!Address[ID],[1]!Address[Phone No.(2)])</f>
        <v/>
      </c>
      <c r="V430" s="11" t="str">
        <f>_xlfn.XLOOKUP(Customer[[#This Row],[Customer ID]],[1]!Address[ID],[1]!Address[Type])</f>
        <v>PETROMART</v>
      </c>
      <c r="W430" s="11" t="str">
        <f>_xlfn.XLOOKUP(Customer[[#This Row],[Customer ID]],[1]!Address[ID],[1]!Address[CT])</f>
        <v>30 DAYS</v>
      </c>
      <c r="X430" s="11" t="s">
        <v>39</v>
      </c>
      <c r="Y430" s="17" t="s">
        <v>40</v>
      </c>
      <c r="Z430" s="17" t="e">
        <f>_xlfn.XLOOKUP(Customer[[#This Row],[NewType]],$AF$36:$AF$54,$AG$36:$AG$54)</f>
        <v>#N/A</v>
      </c>
      <c r="AA430" s="17" t="s">
        <v>3123</v>
      </c>
      <c r="AB430" s="11" t="str">
        <f>_xlfn.XLOOKUP(Customer[[#This Row],[Customer ID]],[1]!Address[ID],[1]!Address[Subtype])</f>
        <v>PETRONAS</v>
      </c>
      <c r="AC430" s="18" t="str">
        <f>_xlfn.XLOOKUP(Customer[[#This Row],[Customer ID]],[1]!Address[ID],[1]!Address[Zone])</f>
        <v>SOUTH</v>
      </c>
    </row>
    <row r="431" spans="1:29" x14ac:dyDescent="0.3">
      <c r="A431" s="10" t="s">
        <v>3124</v>
      </c>
      <c r="B431" s="11" t="str">
        <f>_xlfn.XLOOKUP(Customer[[#This Row],[Customer ID]],[1]!Name[ID],[1]!Name[Description(1)])</f>
        <v>NNDN ENTERPRISE</v>
      </c>
      <c r="C431" s="11" t="str">
        <f>_xlfn.XLOOKUP(Customer[[#This Row],[Customer ID]],[1]!Name[ID],[1]!Name[Description(2)])</f>
        <v>PS LEBUH AMJ SEMABOK (S)</v>
      </c>
      <c r="D431" s="11" t="str">
        <f>_xlfn.XLOOKUP(Customer[[#This Row],[Customer ID]],[1]!Address[ID],[1]!Address[PIC])</f>
        <v/>
      </c>
      <c r="E431" s="11" t="str">
        <f>_xlfn.XLOOKUP(Customer[[#This Row],[Customer ID]],[1]!Address[ID],[1]!Address[Full Address])</f>
        <v>PS LEBUH AMJ SEMABOK (S)LOT 715, GM 505, 716 GM 506 &amp;LOT 762, GM 1053, MUKIM SEMABOK, 75050,MELAKA.</v>
      </c>
      <c r="F431" s="12" t="s">
        <v>3125</v>
      </c>
      <c r="G431" s="12" t="s">
        <v>3126</v>
      </c>
      <c r="H431" s="12" t="s">
        <v>101</v>
      </c>
      <c r="I431" s="12" t="b">
        <f>ISNUMBER(VALUE(LEFT(Customer[[#This Row],[Address Line 3 (30 char)]],1)))</f>
        <v>0</v>
      </c>
      <c r="J431" s="12" t="s">
        <v>61</v>
      </c>
      <c r="K431" s="12">
        <v>75050</v>
      </c>
      <c r="L431" s="12" t="s">
        <v>35</v>
      </c>
      <c r="M431" s="13" t="e">
        <v>#N/A</v>
      </c>
      <c r="N431" s="14" t="s">
        <v>3127</v>
      </c>
      <c r="O431" s="14" t="e">
        <v>#N/A</v>
      </c>
      <c r="P431" s="14" t="e">
        <v>#N/A</v>
      </c>
      <c r="Q431" s="19" t="s">
        <v>3128</v>
      </c>
      <c r="R431" s="15" t="s">
        <v>3129</v>
      </c>
      <c r="S431" s="15" t="s">
        <v>37</v>
      </c>
      <c r="T431" s="16" t="s">
        <v>38</v>
      </c>
      <c r="U431" s="11" t="str">
        <f>_xlfn.XLOOKUP(Customer[[#This Row],[Customer ID]],[1]!Address[ID],[1]!Address[Phone No.(2)])</f>
        <v/>
      </c>
      <c r="V431" s="11" t="str">
        <f>_xlfn.XLOOKUP(Customer[[#This Row],[Customer ID]],[1]!Address[ID],[1]!Address[Type])</f>
        <v>PETROMART</v>
      </c>
      <c r="W431" s="11" t="str">
        <f>_xlfn.XLOOKUP(Customer[[#This Row],[Customer ID]],[1]!Address[ID],[1]!Address[CT])</f>
        <v>30 DAYS</v>
      </c>
      <c r="X431" s="11" t="s">
        <v>39</v>
      </c>
      <c r="Y431" s="17" t="s">
        <v>40</v>
      </c>
      <c r="Z431" s="17" t="e">
        <f>_xlfn.XLOOKUP(Customer[[#This Row],[NewType]],$AF$36:$AF$54,$AG$36:$AG$54)</f>
        <v>#N/A</v>
      </c>
      <c r="AA431" s="17" t="s">
        <v>3130</v>
      </c>
      <c r="AB431" s="11" t="str">
        <f>_xlfn.XLOOKUP(Customer[[#This Row],[Customer ID]],[1]!Address[ID],[1]!Address[Subtype])</f>
        <v>PETRONAS</v>
      </c>
      <c r="AC431" s="18" t="str">
        <f>_xlfn.XLOOKUP(Customer[[#This Row],[Customer ID]],[1]!Address[ID],[1]!Address[Zone])</f>
        <v>SOUTH</v>
      </c>
    </row>
    <row r="432" spans="1:29" x14ac:dyDescent="0.3">
      <c r="A432" s="10" t="s">
        <v>3131</v>
      </c>
      <c r="B432" s="11" t="str">
        <f>_xlfn.XLOOKUP(Customer[[#This Row],[Customer ID]],[1]!Name[ID],[1]!Name[Description(1)])</f>
        <v>AJAZ HAJAH ENERGY DUA</v>
      </c>
      <c r="C432" s="11" t="str">
        <f>_xlfn.XLOOKUP(Customer[[#This Row],[Customer ID]],[1]!Name[ID],[1]!Name[Description(2)])</f>
        <v>PS LEBUH AMJ SUNGAI PETAI</v>
      </c>
      <c r="D432" s="11" t="str">
        <f>_xlfn.XLOOKUP(Customer[[#This Row],[Customer ID]],[1]!Address[ID],[1]!Address[PIC])</f>
        <v/>
      </c>
      <c r="E432" s="11" t="str">
        <f>_xlfn.XLOOKUP(Customer[[#This Row],[Customer ID]],[1]!Address[ID],[1]!Address[Full Address])</f>
        <v>PS LEBUH AMJ SUNGAI PETAILOT 4753 GMM 871, LEBUH AMJ SUNGAI PETAIMUKIM SUNGAI PETAI, ALOR GAJAH, MELAKA,78000, ALOR GAJAH, MELAKA</v>
      </c>
      <c r="F432" s="12" t="s">
        <v>3132</v>
      </c>
      <c r="G432" s="12" t="s">
        <v>3133</v>
      </c>
      <c r="H432" s="12" t="s">
        <v>3134</v>
      </c>
      <c r="I432" s="12" t="b">
        <f>ISNUMBER(VALUE(LEFT(Customer[[#This Row],[Address Line 3 (30 char)]],1)))</f>
        <v>0</v>
      </c>
      <c r="J432" s="12" t="s">
        <v>61</v>
      </c>
      <c r="K432" s="12">
        <v>78000</v>
      </c>
      <c r="L432" s="12" t="s">
        <v>35</v>
      </c>
      <c r="M432" s="13">
        <v>201503186940</v>
      </c>
      <c r="N432" s="14" t="s">
        <v>3135</v>
      </c>
      <c r="O432" s="14" t="e">
        <v>#N/A</v>
      </c>
      <c r="P432" s="14" t="e">
        <v>#N/A</v>
      </c>
      <c r="Q432" s="19" t="s">
        <v>3136</v>
      </c>
      <c r="R432" s="15" t="s">
        <v>3137</v>
      </c>
      <c r="S432" s="15" t="s">
        <v>37</v>
      </c>
      <c r="T432" s="16" t="s">
        <v>38</v>
      </c>
      <c r="U432" s="11" t="str">
        <f>_xlfn.XLOOKUP(Customer[[#This Row],[Customer ID]],[1]!Address[ID],[1]!Address[Phone No.(2)])</f>
        <v/>
      </c>
      <c r="V432" s="11" t="str">
        <f>_xlfn.XLOOKUP(Customer[[#This Row],[Customer ID]],[1]!Address[ID],[1]!Address[Type])</f>
        <v>PETROMART</v>
      </c>
      <c r="W432" s="11" t="str">
        <f>_xlfn.XLOOKUP(Customer[[#This Row],[Customer ID]],[1]!Address[ID],[1]!Address[CT])</f>
        <v>30 DAYS</v>
      </c>
      <c r="X432" s="11" t="s">
        <v>39</v>
      </c>
      <c r="Y432" s="17" t="s">
        <v>40</v>
      </c>
      <c r="Z432" s="17" t="e">
        <f>_xlfn.XLOOKUP(Customer[[#This Row],[NewType]],$AF$36:$AF$54,$AG$36:$AG$54)</f>
        <v>#N/A</v>
      </c>
      <c r="AA432" s="17" t="s">
        <v>3138</v>
      </c>
      <c r="AB432" s="11" t="str">
        <f>_xlfn.XLOOKUP(Customer[[#This Row],[Customer ID]],[1]!Address[ID],[1]!Address[Subtype])</f>
        <v>PETRONAS</v>
      </c>
      <c r="AC432" s="18" t="str">
        <f>_xlfn.XLOOKUP(Customer[[#This Row],[Customer ID]],[1]!Address[ID],[1]!Address[Zone])</f>
        <v>SOUTH</v>
      </c>
    </row>
    <row r="433" spans="1:29" x14ac:dyDescent="0.3">
      <c r="A433" s="10" t="s">
        <v>3139</v>
      </c>
      <c r="B433" s="11" t="str">
        <f>_xlfn.XLOOKUP(Customer[[#This Row],[Customer ID]],[1]!Name[ID],[1]!Name[Description(1)])</f>
        <v>KOPERASI PERBADANAN PERAK BERHAD</v>
      </c>
      <c r="C433" s="11" t="str">
        <f>_xlfn.XLOOKUP(Customer[[#This Row],[Customer ID]],[1]!Name[ID],[1]!Name[Description(2)])</f>
        <v>PS LEBUH MERU RAYA</v>
      </c>
      <c r="D433" s="11" t="str">
        <f>_xlfn.XLOOKUP(Customer[[#This Row],[Customer ID]],[1]!Address[ID],[1]!Address[PIC])</f>
        <v/>
      </c>
      <c r="E433" s="11" t="str">
        <f>_xlfn.XLOOKUP(Customer[[#This Row],[Customer ID]],[1]!Address[ID],[1]!Address[Full Address])</f>
        <v>PS LEBUH MERU RAYAPT 269556, MUKIM HULU KINTA, 30020 IPOHPERAK</v>
      </c>
      <c r="F433" s="12" t="s">
        <v>3140</v>
      </c>
      <c r="G433" s="12" t="s">
        <v>716</v>
      </c>
      <c r="H433" s="12" t="s">
        <v>3141</v>
      </c>
      <c r="I433" s="12" t="b">
        <f>ISNUMBER(VALUE(LEFT(Customer[[#This Row],[Address Line 3 (30 char)]],1)))</f>
        <v>0</v>
      </c>
      <c r="J433" s="12" t="s">
        <v>242</v>
      </c>
      <c r="K433" s="12">
        <v>30020</v>
      </c>
      <c r="L433" s="12" t="s">
        <v>35</v>
      </c>
      <c r="M433" s="13" t="e">
        <v>#N/A</v>
      </c>
      <c r="N433" s="14" t="e">
        <v>#N/A</v>
      </c>
      <c r="O433" s="14" t="e">
        <v>#N/A</v>
      </c>
      <c r="P433" s="14" t="e">
        <v>#N/A</v>
      </c>
      <c r="Q433" s="19" t="s">
        <v>3142</v>
      </c>
      <c r="R433" s="15" t="s">
        <v>3143</v>
      </c>
      <c r="S433" s="15" t="s">
        <v>37</v>
      </c>
      <c r="T433" s="16" t="s">
        <v>38</v>
      </c>
      <c r="U433" s="11" t="str">
        <f>_xlfn.XLOOKUP(Customer[[#This Row],[Customer ID]],[1]!Address[ID],[1]!Address[Phone No.(2)])</f>
        <v/>
      </c>
      <c r="V433" s="11" t="str">
        <f>_xlfn.XLOOKUP(Customer[[#This Row],[Customer ID]],[1]!Address[ID],[1]!Address[Type])</f>
        <v>PETROMART</v>
      </c>
      <c r="W433" s="11" t="str">
        <f>_xlfn.XLOOKUP(Customer[[#This Row],[Customer ID]],[1]!Address[ID],[1]!Address[CT])</f>
        <v>30 DAYS</v>
      </c>
      <c r="X433" s="11" t="s">
        <v>39</v>
      </c>
      <c r="Y433" s="17" t="s">
        <v>40</v>
      </c>
      <c r="Z433" s="17" t="e">
        <f>_xlfn.XLOOKUP(Customer[[#This Row],[NewType]],$AF$36:$AF$54,$AG$36:$AG$54)</f>
        <v>#N/A</v>
      </c>
      <c r="AA433" s="17" t="s">
        <v>3144</v>
      </c>
      <c r="AB433" s="11" t="str">
        <f>_xlfn.XLOOKUP(Customer[[#This Row],[Customer ID]],[1]!Address[ID],[1]!Address[Subtype])</f>
        <v>PETRONAS</v>
      </c>
      <c r="AC433" s="18" t="str">
        <f>_xlfn.XLOOKUP(Customer[[#This Row],[Customer ID]],[1]!Address[ID],[1]!Address[Zone])</f>
        <v>NORTH</v>
      </c>
    </row>
    <row r="434" spans="1:29" x14ac:dyDescent="0.3">
      <c r="A434" s="10" t="s">
        <v>3145</v>
      </c>
      <c r="B434" s="11" t="str">
        <f>_xlfn.XLOOKUP(Customer[[#This Row],[Customer ID]],[1]!Name[ID],[1]!Name[Description(1)])</f>
        <v>ZNR BERKAT SERVICES</v>
      </c>
      <c r="C434" s="11" t="str">
        <f>_xlfn.XLOOKUP(Customer[[#This Row],[Customer ID]],[1]!Name[ID],[1]!Name[Description(2)])</f>
        <v>PS LEBUH SPA</v>
      </c>
      <c r="D434" s="11" t="str">
        <f>_xlfn.XLOOKUP(Customer[[#This Row],[Customer ID]],[1]!Address[ID],[1]!Address[PIC])</f>
        <v>Zuraini Binti Z</v>
      </c>
      <c r="E434" s="11" t="str">
        <f>_xlfn.XLOOKUP(Customer[[#This Row],[Customer ID]],[1]!Address[ID],[1]!Address[Full Address])</f>
        <v>PS LEBUH SPAPM1614, LOT 63831, HANG TUAH JAYA, LEBUHSPA, MUKIM DURIAN TUNGGAL, 78000ALOR GAJAH, MELAKA</v>
      </c>
      <c r="F434" s="12" t="s">
        <v>3146</v>
      </c>
      <c r="G434" s="12" t="s">
        <v>3147</v>
      </c>
      <c r="H434" s="12" t="s">
        <v>3148</v>
      </c>
      <c r="I434" s="12" t="b">
        <f>ISNUMBER(VALUE(LEFT(Customer[[#This Row],[Address Line 3 (30 char)]],1)))</f>
        <v>0</v>
      </c>
      <c r="J434" s="12" t="s">
        <v>61</v>
      </c>
      <c r="K434" s="12">
        <v>78000</v>
      </c>
      <c r="L434" s="12" t="s">
        <v>35</v>
      </c>
      <c r="M434" s="13">
        <v>202103261431</v>
      </c>
      <c r="N434" s="14" t="s">
        <v>62</v>
      </c>
      <c r="O434" s="14" t="s">
        <v>54</v>
      </c>
      <c r="P434" s="14">
        <v>47300</v>
      </c>
      <c r="Q434" s="19" t="s">
        <v>3149</v>
      </c>
      <c r="R434" s="15" t="s">
        <v>3150</v>
      </c>
      <c r="S434" s="15" t="s">
        <v>65</v>
      </c>
      <c r="T434" s="16" t="s">
        <v>38</v>
      </c>
      <c r="U434" s="11" t="str">
        <f>_xlfn.XLOOKUP(Customer[[#This Row],[Customer ID]],[1]!Address[ID],[1]!Address[Phone No.(2)])</f>
        <v/>
      </c>
      <c r="V434" s="11" t="str">
        <f>_xlfn.XLOOKUP(Customer[[#This Row],[Customer ID]],[1]!Address[ID],[1]!Address[Type])</f>
        <v>PETROMART</v>
      </c>
      <c r="W434" s="11" t="str">
        <f>_xlfn.XLOOKUP(Customer[[#This Row],[Customer ID]],[1]!Address[ID],[1]!Address[CT])</f>
        <v>30 DAYS</v>
      </c>
      <c r="X434" s="11" t="s">
        <v>39</v>
      </c>
      <c r="Y434" s="17" t="s">
        <v>40</v>
      </c>
      <c r="Z434" s="17" t="e">
        <f>_xlfn.XLOOKUP(Customer[[#This Row],[NewType]],$AF$36:$AF$54,$AG$36:$AG$54)</f>
        <v>#N/A</v>
      </c>
      <c r="AA434" s="17" t="s">
        <v>3151</v>
      </c>
      <c r="AB434" s="11" t="str">
        <f>_xlfn.XLOOKUP(Customer[[#This Row],[Customer ID]],[1]!Address[ID],[1]!Address[Subtype])</f>
        <v>PETRONAS</v>
      </c>
      <c r="AC434" s="18" t="str">
        <f>_xlfn.XLOOKUP(Customer[[#This Row],[Customer ID]],[1]!Address[ID],[1]!Address[Zone])</f>
        <v>SOUTH</v>
      </c>
    </row>
    <row r="435" spans="1:29" x14ac:dyDescent="0.3">
      <c r="A435" s="10" t="s">
        <v>3152</v>
      </c>
      <c r="B435" s="11" t="str">
        <f>_xlfn.XLOOKUP(Customer[[#This Row],[Customer ID]],[1]!Name[ID],[1]!Name[Description(1)])</f>
        <v>DZARA PRIMA ENTERPRISE</v>
      </c>
      <c r="C435" s="11" t="str">
        <f>_xlfn.XLOOKUP(Customer[[#This Row],[Customer ID]],[1]!Name[ID],[1]!Name[Description(2)])</f>
        <v>PS LEBUH SPA KRUBONG</v>
      </c>
      <c r="D435" s="11" t="str">
        <f>_xlfn.XLOOKUP(Customer[[#This Row],[Customer ID]],[1]!Address[ID],[1]!Address[PIC])</f>
        <v/>
      </c>
      <c r="E435" s="11" t="str">
        <f>_xlfn.XLOOKUP(Customer[[#This Row],[Customer ID]],[1]!Address[ID],[1]!Address[Full Address])</f>
        <v>PS LEBUH SPA KRUBONGLOT PT 10139, HM(M) 312, LEBUH SPAKRUBONG, MUKIM KRUBONG,AYER KEROH,75250, MELAKA TENGAH, MELAKA</v>
      </c>
      <c r="F435" s="12" t="s">
        <v>3153</v>
      </c>
      <c r="G435" s="12" t="s">
        <v>3154</v>
      </c>
      <c r="H435" s="12" t="s">
        <v>3155</v>
      </c>
      <c r="I435" s="12" t="b">
        <f>ISNUMBER(VALUE(LEFT(Customer[[#This Row],[Address Line 3 (30 char)]],1)))</f>
        <v>0</v>
      </c>
      <c r="J435" s="12" t="s">
        <v>61</v>
      </c>
      <c r="K435" s="12">
        <v>75250</v>
      </c>
      <c r="L435" s="12" t="s">
        <v>35</v>
      </c>
      <c r="M435" s="13" t="e">
        <v>#N/A</v>
      </c>
      <c r="N435" s="14" t="e">
        <v>#N/A</v>
      </c>
      <c r="O435" s="14" t="e">
        <v>#N/A</v>
      </c>
      <c r="P435" s="14" t="e">
        <v>#N/A</v>
      </c>
      <c r="Q435" s="19" t="s">
        <v>3156</v>
      </c>
      <c r="R435" s="15" t="s">
        <v>3157</v>
      </c>
      <c r="S435" s="15" t="s">
        <v>37</v>
      </c>
      <c r="T435" s="16" t="s">
        <v>38</v>
      </c>
      <c r="U435" s="11" t="str">
        <f>_xlfn.XLOOKUP(Customer[[#This Row],[Customer ID]],[1]!Address[ID],[1]!Address[Phone No.(2)])</f>
        <v/>
      </c>
      <c r="V435" s="11" t="str">
        <f>_xlfn.XLOOKUP(Customer[[#This Row],[Customer ID]],[1]!Address[ID],[1]!Address[Type])</f>
        <v>PETROMART</v>
      </c>
      <c r="W435" s="11" t="str">
        <f>_xlfn.XLOOKUP(Customer[[#This Row],[Customer ID]],[1]!Address[ID],[1]!Address[CT])</f>
        <v>30 DAYS</v>
      </c>
      <c r="X435" s="11" t="s">
        <v>39</v>
      </c>
      <c r="Y435" s="17" t="s">
        <v>40</v>
      </c>
      <c r="Z435" s="17" t="e">
        <f>_xlfn.XLOOKUP(Customer[[#This Row],[NewType]],$AF$36:$AF$54,$AG$36:$AG$54)</f>
        <v>#N/A</v>
      </c>
      <c r="AA435" s="17" t="s">
        <v>3158</v>
      </c>
      <c r="AB435" s="11" t="str">
        <f>_xlfn.XLOOKUP(Customer[[#This Row],[Customer ID]],[1]!Address[ID],[1]!Address[Subtype])</f>
        <v>PETRONAS</v>
      </c>
      <c r="AC435" s="18" t="str">
        <f>_xlfn.XLOOKUP(Customer[[#This Row],[Customer ID]],[1]!Address[ID],[1]!Address[Zone])</f>
        <v>SOUTH</v>
      </c>
    </row>
    <row r="436" spans="1:29" x14ac:dyDescent="0.3">
      <c r="A436" s="27" t="s">
        <v>3159</v>
      </c>
      <c r="B436" s="28" t="str">
        <f>_xlfn.XLOOKUP(Customer[[#This Row],[Customer ID]],[1]!Name[ID],[1]!Name[Description(1)])</f>
        <v>KIARAMAS HOLDING SDN. BHD.</v>
      </c>
      <c r="C436" s="11" t="str">
        <f>_xlfn.XLOOKUP(Customer[[#This Row],[Customer ID]],[1]!Name[ID],[1]!Name[Description(2)])</f>
        <v>PS LEBUHRAYA DARULAMAN</v>
      </c>
      <c r="D436" s="11" t="str">
        <f>_xlfn.XLOOKUP(Customer[[#This Row],[Customer ID]],[1]!Address[ID],[1]!Address[PIC])</f>
        <v/>
      </c>
      <c r="E436" s="11" t="str">
        <f>_xlfn.XLOOKUP(Customer[[#This Row],[Customer ID]],[1]!Address[ID],[1]!Address[Full Address])</f>
        <v>PS LEBUHRAYA DARULAMANLOT 4072, LEBUHRAYA DARULAMAN, ALORSETAR, KEDAH, 05200, KOTA SETAR, KEDAH</v>
      </c>
      <c r="F436" s="12" t="s">
        <v>3160</v>
      </c>
      <c r="G436" s="12" t="s">
        <v>3161</v>
      </c>
      <c r="H436" s="12" t="s">
        <v>3162</v>
      </c>
      <c r="I436" s="12" t="b">
        <f>ISNUMBER(VALUE(LEFT(Customer[[#This Row],[Address Line 3 (30 char)]],1)))</f>
        <v>0</v>
      </c>
      <c r="J436" s="12" t="s">
        <v>79</v>
      </c>
      <c r="K436" s="30" t="s">
        <v>3163</v>
      </c>
      <c r="L436" s="12" t="s">
        <v>35</v>
      </c>
      <c r="M436" s="13" t="e">
        <v>#N/A</v>
      </c>
      <c r="N436" s="14" t="e">
        <v>#N/A</v>
      </c>
      <c r="O436" s="14" t="e">
        <v>#N/A</v>
      </c>
      <c r="P436" s="14" t="e">
        <v>#N/A</v>
      </c>
      <c r="Q436" s="19" t="s">
        <v>3164</v>
      </c>
      <c r="R436" s="15" t="s">
        <v>3165</v>
      </c>
      <c r="S436" s="15" t="s">
        <v>74</v>
      </c>
      <c r="T436" s="16" t="s">
        <v>38</v>
      </c>
      <c r="U436" s="11" t="str">
        <f>_xlfn.XLOOKUP(Customer[[#This Row],[Customer ID]],[1]!Address[ID],[1]!Address[Phone No.(2)])</f>
        <v/>
      </c>
      <c r="V436" s="11" t="str">
        <f>_xlfn.XLOOKUP(Customer[[#This Row],[Customer ID]],[1]!Address[ID],[1]!Address[Type])</f>
        <v>PETROMART</v>
      </c>
      <c r="W436" s="11" t="str">
        <f>_xlfn.XLOOKUP(Customer[[#This Row],[Customer ID]],[1]!Address[ID],[1]!Address[CT])</f>
        <v>30 DAYS</v>
      </c>
      <c r="X436" s="11" t="s">
        <v>39</v>
      </c>
      <c r="Y436" s="17" t="s">
        <v>40</v>
      </c>
      <c r="Z436" s="17" t="e">
        <f>_xlfn.XLOOKUP(Customer[[#This Row],[NewType]],$AF$36:$AF$54,$AG$36:$AG$54)</f>
        <v>#N/A</v>
      </c>
      <c r="AA436" s="17" t="s">
        <v>3166</v>
      </c>
      <c r="AB436" s="11" t="str">
        <f>_xlfn.XLOOKUP(Customer[[#This Row],[Customer ID]],[1]!Address[ID],[1]!Address[Subtype])</f>
        <v>PETRONAS</v>
      </c>
      <c r="AC436" s="18" t="str">
        <f>_xlfn.XLOOKUP(Customer[[#This Row],[Customer ID]],[1]!Address[ID],[1]!Address[Zone])</f>
        <v>NORTH</v>
      </c>
    </row>
    <row r="437" spans="1:29" x14ac:dyDescent="0.3">
      <c r="A437" s="10" t="s">
        <v>3167</v>
      </c>
      <c r="B437" s="11" t="str">
        <f>_xlfn.XLOOKUP(Customer[[#This Row],[Customer ID]],[1]!Name[ID],[1]!Name[Description(1)])</f>
        <v>GOLDEN HILL PETROLEUM</v>
      </c>
      <c r="C437" s="11" t="str">
        <f>_xlfn.XLOOKUP(Customer[[#This Row],[Customer ID]],[1]!Name[ID],[1]!Name[Description(2)])</f>
        <v>PS LEBUHRAYA PASIR GUDANG 1</v>
      </c>
      <c r="D437" s="11" t="str">
        <f>_xlfn.XLOOKUP(Customer[[#This Row],[Customer ID]],[1]!Address[ID],[1]!Address[PIC])</f>
        <v/>
      </c>
      <c r="E437" s="11" t="str">
        <f>_xlfn.XLOOKUP(Customer[[#This Row],[Customer ID]],[1]!Address[ID],[1]!Address[Full Address])</f>
        <v>PS LEBUHRAYA PASIR GUDANG 1PTD 110919 &amp; 110910, LEBUHRAYA PASIRGUDANG, BANDAR BARU KOTA PUTERI, JALANMASAI LAMA, 81750, JOHOR BAHRU, JOHOR</v>
      </c>
      <c r="F437" s="12" t="s">
        <v>3168</v>
      </c>
      <c r="G437" s="12" t="s">
        <v>3169</v>
      </c>
      <c r="H437" s="12" t="s">
        <v>3170</v>
      </c>
      <c r="I437" s="12" t="b">
        <f>ISNUMBER(VALUE(LEFT(Customer[[#This Row],[Address Line 3 (30 char)]],1)))</f>
        <v>0</v>
      </c>
      <c r="J437" s="12" t="s">
        <v>52</v>
      </c>
      <c r="K437" s="12">
        <v>81750</v>
      </c>
      <c r="L437" s="12" t="s">
        <v>35</v>
      </c>
      <c r="M437" s="13">
        <v>201303329733</v>
      </c>
      <c r="N437" s="14" t="s">
        <v>3171</v>
      </c>
      <c r="O437" s="14" t="s">
        <v>54</v>
      </c>
      <c r="P437" s="14">
        <v>47300</v>
      </c>
      <c r="Q437" s="19" t="s">
        <v>3172</v>
      </c>
      <c r="R437" s="15" t="s">
        <v>3173</v>
      </c>
      <c r="S437" s="15" t="s">
        <v>37</v>
      </c>
      <c r="T437" s="16" t="s">
        <v>38</v>
      </c>
      <c r="U437" s="11" t="str">
        <f>_xlfn.XLOOKUP(Customer[[#This Row],[Customer ID]],[1]!Address[ID],[1]!Address[Phone No.(2)])</f>
        <v/>
      </c>
      <c r="V437" s="11" t="str">
        <f>_xlfn.XLOOKUP(Customer[[#This Row],[Customer ID]],[1]!Address[ID],[1]!Address[Type])</f>
        <v>PETROMART</v>
      </c>
      <c r="W437" s="11" t="str">
        <f>_xlfn.XLOOKUP(Customer[[#This Row],[Customer ID]],[1]!Address[ID],[1]!Address[CT])</f>
        <v>30 DAYS</v>
      </c>
      <c r="X437" s="11" t="s">
        <v>39</v>
      </c>
      <c r="Y437" s="17" t="s">
        <v>40</v>
      </c>
      <c r="Z437" s="17" t="e">
        <f>_xlfn.XLOOKUP(Customer[[#This Row],[NewType]],$AF$36:$AF$54,$AG$36:$AG$54)</f>
        <v>#N/A</v>
      </c>
      <c r="AA437" s="17" t="s">
        <v>3174</v>
      </c>
      <c r="AB437" s="11" t="str">
        <f>_xlfn.XLOOKUP(Customer[[#This Row],[Customer ID]],[1]!Address[ID],[1]!Address[Subtype])</f>
        <v>PETRONAS</v>
      </c>
      <c r="AC437" s="18" t="str">
        <f>_xlfn.XLOOKUP(Customer[[#This Row],[Customer ID]],[1]!Address[ID],[1]!Address[Zone])</f>
        <v>SOUTH</v>
      </c>
    </row>
    <row r="438" spans="1:29" x14ac:dyDescent="0.3">
      <c r="A438" s="10" t="s">
        <v>3175</v>
      </c>
      <c r="B438" s="11" t="str">
        <f>_xlfn.XLOOKUP(Customer[[#This Row],[Customer ID]],[1]!Name[ID],[1]!Name[Description(1)])</f>
        <v>STESEN MINYAK ZAIDI</v>
      </c>
      <c r="C438" s="11" t="str">
        <f>_xlfn.XLOOKUP(Customer[[#This Row],[Customer ID]],[1]!Name[ID],[1]!Name[Description(2)])</f>
        <v>PS LEBUHRAYA PASIR GUDANG 2 (JB BOUND)</v>
      </c>
      <c r="D438" s="11" t="str">
        <f>_xlfn.XLOOKUP(Customer[[#This Row],[Customer ID]],[1]!Address[ID],[1]!Address[PIC])</f>
        <v/>
      </c>
      <c r="E438" s="11" t="str">
        <f>_xlfn.XLOOKUP(Customer[[#This Row],[Customer ID]],[1]!Address[ID],[1]!Address[Full Address])</f>
        <v>PS LEBUHRAYA PASIR GUDANG 2 (JB BOUND)LOT PTD 166325 HS(D) 330787, KM 30LEBUHRAYA PASIR GUDANG, MUKIMPLENTONG, JOHOR, 81700, JOHOR BAHRU,</v>
      </c>
      <c r="F438" s="12" t="s">
        <v>3176</v>
      </c>
      <c r="G438" s="12" t="s">
        <v>3177</v>
      </c>
      <c r="H438" s="12" t="s">
        <v>3178</v>
      </c>
      <c r="I438" s="12" t="b">
        <f>ISNUMBER(VALUE(LEFT(Customer[[#This Row],[Address Line 3 (30 char)]],1)))</f>
        <v>0</v>
      </c>
      <c r="J438" s="12" t="s">
        <v>52</v>
      </c>
      <c r="K438" s="12">
        <v>81750</v>
      </c>
      <c r="L438" s="12" t="s">
        <v>35</v>
      </c>
      <c r="M438" s="13" t="e">
        <v>#N/A</v>
      </c>
      <c r="N438" s="14" t="e">
        <v>#N/A</v>
      </c>
      <c r="O438" s="14" t="e">
        <v>#N/A</v>
      </c>
      <c r="P438" s="14" t="e">
        <v>#N/A</v>
      </c>
      <c r="Q438" s="19" t="s">
        <v>3179</v>
      </c>
      <c r="R438" s="15" t="s">
        <v>3180</v>
      </c>
      <c r="S438" s="15" t="s">
        <v>37</v>
      </c>
      <c r="T438" s="16" t="s">
        <v>38</v>
      </c>
      <c r="U438" s="11" t="str">
        <f>_xlfn.XLOOKUP(Customer[[#This Row],[Customer ID]],[1]!Address[ID],[1]!Address[Phone No.(2)])</f>
        <v/>
      </c>
      <c r="V438" s="11" t="str">
        <f>_xlfn.XLOOKUP(Customer[[#This Row],[Customer ID]],[1]!Address[ID],[1]!Address[Type])</f>
        <v>PETROMART</v>
      </c>
      <c r="W438" s="11" t="str">
        <f>_xlfn.XLOOKUP(Customer[[#This Row],[Customer ID]],[1]!Address[ID],[1]!Address[CT])</f>
        <v>30 DAYS</v>
      </c>
      <c r="X438" s="11" t="s">
        <v>39</v>
      </c>
      <c r="Y438" s="17" t="s">
        <v>40</v>
      </c>
      <c r="Z438" s="17" t="e">
        <f>_xlfn.XLOOKUP(Customer[[#This Row],[NewType]],$AF$36:$AF$54,$AG$36:$AG$54)</f>
        <v>#N/A</v>
      </c>
      <c r="AA438" s="17" t="s">
        <v>3181</v>
      </c>
      <c r="AB438" s="11" t="str">
        <f>_xlfn.XLOOKUP(Customer[[#This Row],[Customer ID]],[1]!Address[ID],[1]!Address[Subtype])</f>
        <v>PETRONAS</v>
      </c>
      <c r="AC438" s="18" t="str">
        <f>_xlfn.XLOOKUP(Customer[[#This Row],[Customer ID]],[1]!Address[ID],[1]!Address[Zone])</f>
        <v>SOUTH</v>
      </c>
    </row>
    <row r="439" spans="1:29" x14ac:dyDescent="0.3">
      <c r="A439" s="10" t="s">
        <v>3182</v>
      </c>
      <c r="B439" s="11" t="str">
        <f>_xlfn.XLOOKUP(Customer[[#This Row],[Customer ID]],[1]!Name[ID],[1]!Name[Description(1)])</f>
        <v>GOLDEN POWER POINT</v>
      </c>
      <c r="C439" s="11" t="str">
        <f>_xlfn.XLOOKUP(Customer[[#This Row],[Customer ID]],[1]!Name[ID],[1]!Name[Description(2)])</f>
        <v>PS LEBUHRAYA PASIR GUDANG 3</v>
      </c>
      <c r="D439" s="11" t="str">
        <f>_xlfn.XLOOKUP(Customer[[#This Row],[Customer ID]],[1]!Address[ID],[1]!Address[PIC])</f>
        <v/>
      </c>
      <c r="E439" s="11" t="str">
        <f>_xlfn.XLOOKUP(Customer[[#This Row],[Customer ID]],[1]!Address[ID],[1]!Address[Full Address])</f>
        <v>PS LEBUHRAYA PASIR GUDANG 3LOT PTD 105660 HS(M) 3316, LEBUHRAYAPASIR GUDANG (PASIR GUDANG BOUND),JOHOR BAHRU, 81100 JOHOR</v>
      </c>
      <c r="F439" s="12" t="s">
        <v>3183</v>
      </c>
      <c r="G439" s="12" t="s">
        <v>3184</v>
      </c>
      <c r="H439" s="12" t="s">
        <v>3185</v>
      </c>
      <c r="I439" s="12" t="b">
        <f>ISNUMBER(VALUE(LEFT(Customer[[#This Row],[Address Line 3 (30 char)]],1)))</f>
        <v>0</v>
      </c>
      <c r="J439" s="12" t="s">
        <v>52</v>
      </c>
      <c r="K439" s="12">
        <v>81100</v>
      </c>
      <c r="L439" s="12" t="s">
        <v>35</v>
      </c>
      <c r="M439" s="13" t="e">
        <v>#N/A</v>
      </c>
      <c r="N439" s="14" t="e">
        <v>#N/A</v>
      </c>
      <c r="O439" s="14" t="e">
        <v>#N/A</v>
      </c>
      <c r="P439" s="14" t="e">
        <v>#N/A</v>
      </c>
      <c r="Q439" s="19" t="s">
        <v>3186</v>
      </c>
      <c r="R439" s="15" t="s">
        <v>3187</v>
      </c>
      <c r="S439" s="15" t="s">
        <v>37</v>
      </c>
      <c r="T439" s="16" t="s">
        <v>38</v>
      </c>
      <c r="U439" s="11" t="str">
        <f>_xlfn.XLOOKUP(Customer[[#This Row],[Customer ID]],[1]!Address[ID],[1]!Address[Phone No.(2)])</f>
        <v/>
      </c>
      <c r="V439" s="11" t="str">
        <f>_xlfn.XLOOKUP(Customer[[#This Row],[Customer ID]],[1]!Address[ID],[1]!Address[Type])</f>
        <v>PETROMART</v>
      </c>
      <c r="W439" s="11" t="str">
        <f>_xlfn.XLOOKUP(Customer[[#This Row],[Customer ID]],[1]!Address[ID],[1]!Address[CT])</f>
        <v>30 DAYS</v>
      </c>
      <c r="X439" s="11" t="s">
        <v>39</v>
      </c>
      <c r="Y439" s="17" t="s">
        <v>40</v>
      </c>
      <c r="Z439" s="17" t="e">
        <f>_xlfn.XLOOKUP(Customer[[#This Row],[NewType]],$AF$36:$AF$54,$AG$36:$AG$54)</f>
        <v>#N/A</v>
      </c>
      <c r="AA439" s="17" t="s">
        <v>3188</v>
      </c>
      <c r="AB439" s="11" t="str">
        <f>_xlfn.XLOOKUP(Customer[[#This Row],[Customer ID]],[1]!Address[ID],[1]!Address[Subtype])</f>
        <v>PETRONAS</v>
      </c>
      <c r="AC439" s="18" t="str">
        <f>_xlfn.XLOOKUP(Customer[[#This Row],[Customer ID]],[1]!Address[ID],[1]!Address[Zone])</f>
        <v>SOUTH</v>
      </c>
    </row>
    <row r="440" spans="1:29" x14ac:dyDescent="0.3">
      <c r="A440" s="10" t="s">
        <v>3189</v>
      </c>
      <c r="B440" s="11" t="str">
        <f>_xlfn.XLOOKUP(Customer[[#This Row],[Customer ID]],[1]!Name[ID],[1]!Name[Description(1)])</f>
        <v>UNI-TECHNOLOGIES SDN BHD</v>
      </c>
      <c r="C440" s="11" t="str">
        <f>_xlfn.XLOOKUP(Customer[[#This Row],[Customer ID]],[1]!Name[ID],[1]!Name[Description(2)])</f>
        <v>PS LEBUHRAYA PONTIAN (SOUTH 2)</v>
      </c>
      <c r="D440" s="11" t="str">
        <f>_xlfn.XLOOKUP(Customer[[#This Row],[Customer ID]],[1]!Address[ID],[1]!Address[PIC])</f>
        <v/>
      </c>
      <c r="E440" s="11" t="str">
        <f>_xlfn.XLOOKUP(Customer[[#This Row],[Customer ID]],[1]!Address[ID],[1]!Address[Full Address])</f>
        <v>PS LEBUHRAYA PONTIAN (SOUTH 2)LOT 49987, MUKIM SENAI - KULAI,LEBUHRAYAPONTIAN (ARAH JOHOR BAHRU), JOHOR, 81300JOHOR BAHRU, JOHOR</v>
      </c>
      <c r="F440" s="12" t="s">
        <v>3190</v>
      </c>
      <c r="G440" s="12" t="s">
        <v>3191</v>
      </c>
      <c r="H440" s="12" t="s">
        <v>3192</v>
      </c>
      <c r="I440" s="12" t="b">
        <f>ISNUMBER(VALUE(LEFT(Customer[[#This Row],[Address Line 3 (30 char)]],1)))</f>
        <v>0</v>
      </c>
      <c r="J440" s="12" t="s">
        <v>52</v>
      </c>
      <c r="K440" s="12">
        <v>81300</v>
      </c>
      <c r="L440" s="12" t="s">
        <v>35</v>
      </c>
      <c r="M440" s="13">
        <v>199201016570</v>
      </c>
      <c r="N440" s="14" t="s">
        <v>3193</v>
      </c>
      <c r="O440" s="14" t="s">
        <v>3194</v>
      </c>
      <c r="P440" s="14">
        <v>70209</v>
      </c>
      <c r="Q440" s="19" t="s">
        <v>3195</v>
      </c>
      <c r="R440" s="15" t="s">
        <v>3196</v>
      </c>
      <c r="S440" s="15" t="s">
        <v>37</v>
      </c>
      <c r="T440" s="16" t="s">
        <v>38</v>
      </c>
      <c r="U440" s="11" t="str">
        <f>_xlfn.XLOOKUP(Customer[[#This Row],[Customer ID]],[1]!Address[ID],[1]!Address[Phone No.(2)])</f>
        <v/>
      </c>
      <c r="V440" s="11" t="str">
        <f>_xlfn.XLOOKUP(Customer[[#This Row],[Customer ID]],[1]!Address[ID],[1]!Address[Type])</f>
        <v>PETROMART</v>
      </c>
      <c r="W440" s="11" t="str">
        <f>_xlfn.XLOOKUP(Customer[[#This Row],[Customer ID]],[1]!Address[ID],[1]!Address[CT])</f>
        <v>30 DAYS</v>
      </c>
      <c r="X440" s="11" t="s">
        <v>39</v>
      </c>
      <c r="Y440" s="17" t="s">
        <v>40</v>
      </c>
      <c r="Z440" s="17" t="e">
        <f>_xlfn.XLOOKUP(Customer[[#This Row],[NewType]],$AF$36:$AF$54,$AG$36:$AG$54)</f>
        <v>#N/A</v>
      </c>
      <c r="AA440" s="17" t="s">
        <v>3197</v>
      </c>
      <c r="AB440" s="11" t="str">
        <f>_xlfn.XLOOKUP(Customer[[#This Row],[Customer ID]],[1]!Address[ID],[1]!Address[Subtype])</f>
        <v>PETRONAS</v>
      </c>
      <c r="AC440" s="18" t="str">
        <f>_xlfn.XLOOKUP(Customer[[#This Row],[Customer ID]],[1]!Address[ID],[1]!Address[Zone])</f>
        <v>SOUTH</v>
      </c>
    </row>
    <row r="441" spans="1:29" x14ac:dyDescent="0.3">
      <c r="A441" s="10" t="s">
        <v>3198</v>
      </c>
      <c r="B441" s="11" t="str">
        <f>_xlfn.XLOOKUP(Customer[[#This Row],[Customer ID]],[1]!Name[ID],[1]!Name[Description(1)])</f>
        <v>PENGURUS STESEN KOTA SETAR PLT</v>
      </c>
      <c r="C441" s="11" t="str">
        <f>_xlfn.XLOOKUP(Customer[[#This Row],[Customer ID]],[1]!Name[ID],[1]!Name[Description(2)])</f>
        <v>PS LEBUHRAYA SULTAN ABDUL HALIM</v>
      </c>
      <c r="D441" s="11" t="str">
        <f>_xlfn.XLOOKUP(Customer[[#This Row],[Customer ID]],[1]!Address[ID],[1]!Address[PIC])</f>
        <v/>
      </c>
      <c r="E441" s="11" t="str">
        <f>_xlfn.XLOOKUP(Customer[[#This Row],[Customer ID]],[1]!Address[ID],[1]!Address[Full Address])</f>
        <v>PS LEBUHRAYA SULTAN ABDUL HALIMGM 26437, LOT 46 SEKSYEN 27 &amp; GM 26438,LOT  48 SEKSYEN 27, BANDAR ALOR SETAR,KOTA TANAH, KOTA SETAR, KEDAH</v>
      </c>
      <c r="F441" s="12" t="s">
        <v>3199</v>
      </c>
      <c r="G441" s="12" t="s">
        <v>3200</v>
      </c>
      <c r="H441" s="12" t="s">
        <v>3201</v>
      </c>
      <c r="I441" s="12" t="b">
        <f>ISNUMBER(VALUE(LEFT(Customer[[#This Row],[Address Line 3 (30 char)]],1)))</f>
        <v>0</v>
      </c>
      <c r="J441" s="12" t="s">
        <v>79</v>
      </c>
      <c r="K441" s="20" t="s">
        <v>3202</v>
      </c>
      <c r="L441" s="12" t="s">
        <v>35</v>
      </c>
      <c r="M441" s="13" t="e">
        <v>#N/A</v>
      </c>
      <c r="N441" s="14" t="e">
        <v>#N/A</v>
      </c>
      <c r="O441" s="14" t="e">
        <v>#N/A</v>
      </c>
      <c r="P441" s="14" t="e">
        <v>#N/A</v>
      </c>
      <c r="Q441" s="19" t="s">
        <v>3203</v>
      </c>
      <c r="R441" s="15" t="s">
        <v>3204</v>
      </c>
      <c r="S441" s="15" t="s">
        <v>74</v>
      </c>
      <c r="T441" s="16" t="s">
        <v>38</v>
      </c>
      <c r="U441" s="11" t="str">
        <f>_xlfn.XLOOKUP(Customer[[#This Row],[Customer ID]],[1]!Address[ID],[1]!Address[Phone No.(2)])</f>
        <v/>
      </c>
      <c r="V441" s="11" t="str">
        <f>_xlfn.XLOOKUP(Customer[[#This Row],[Customer ID]],[1]!Address[ID],[1]!Address[Type])</f>
        <v>PETROMART</v>
      </c>
      <c r="W441" s="11" t="str">
        <f>_xlfn.XLOOKUP(Customer[[#This Row],[Customer ID]],[1]!Address[ID],[1]!Address[CT])</f>
        <v>30 DAYS</v>
      </c>
      <c r="X441" s="11" t="s">
        <v>39</v>
      </c>
      <c r="Y441" s="17" t="s">
        <v>40</v>
      </c>
      <c r="Z441" s="17" t="e">
        <f>_xlfn.XLOOKUP(Customer[[#This Row],[NewType]],$AF$36:$AF$54,$AG$36:$AG$54)</f>
        <v>#N/A</v>
      </c>
      <c r="AA441" s="17" t="s">
        <v>3205</v>
      </c>
      <c r="AB441" s="11" t="str">
        <f>_xlfn.XLOOKUP(Customer[[#This Row],[Customer ID]],[1]!Address[ID],[1]!Address[Subtype])</f>
        <v>PETRONAS</v>
      </c>
      <c r="AC441" s="18" t="str">
        <f>_xlfn.XLOOKUP(Customer[[#This Row],[Customer ID]],[1]!Address[ID],[1]!Address[Zone])</f>
        <v>NORTH</v>
      </c>
    </row>
    <row r="442" spans="1:29" x14ac:dyDescent="0.3">
      <c r="A442" s="10" t="s">
        <v>3206</v>
      </c>
      <c r="B442" s="11" t="str">
        <f>_xlfn.XLOOKUP(Customer[[#This Row],[Customer ID]],[1]!Name[ID],[1]!Name[Description(1)])</f>
        <v>EMMY FAZILAH BINTI SAMSUDIN</v>
      </c>
      <c r="C442" s="11" t="str">
        <f>_xlfn.XLOOKUP(Customer[[#This Row],[Customer ID]],[1]!Name[ID],[1]!Name[Description(2)])</f>
        <v/>
      </c>
      <c r="D442" s="11" t="str">
        <f>_xlfn.XLOOKUP(Customer[[#This Row],[Customer ID]],[1]!Address[ID],[1]!Address[PIC])</f>
        <v/>
      </c>
      <c r="E442" s="11" t="str">
        <f>_xlfn.XLOOKUP(Customer[[#This Row],[Customer ID]],[1]!Address[ID],[1]!Address[Full Address])</f>
        <v>NO 11, KAWASAN REHAT &amp; RAWAT PAGOHSELATAN JALAN SENGKANG 84600 PAGOHMUAR, JOHOR</v>
      </c>
      <c r="F442" s="12" t="s">
        <v>3207</v>
      </c>
      <c r="G442" s="12" t="s">
        <v>3208</v>
      </c>
      <c r="H442" s="12" t="s">
        <v>3209</v>
      </c>
      <c r="I442" s="12" t="b">
        <f>ISNUMBER(VALUE(LEFT(Customer[[#This Row],[Address Line 3 (30 char)]],1)))</f>
        <v>0</v>
      </c>
      <c r="J442" s="12" t="s">
        <v>3210</v>
      </c>
      <c r="K442" s="12">
        <v>84600</v>
      </c>
      <c r="L442" s="12" t="s">
        <v>35</v>
      </c>
      <c r="M442" s="13" t="e">
        <v>#N/A</v>
      </c>
      <c r="N442" s="14" t="e">
        <v>#N/A</v>
      </c>
      <c r="O442" s="14" t="e">
        <v>#N/A</v>
      </c>
      <c r="P442" s="14" t="e">
        <v>#N/A</v>
      </c>
      <c r="Q442" s="14" t="e">
        <v>#N/A</v>
      </c>
      <c r="R442" s="15" t="s">
        <v>3211</v>
      </c>
      <c r="S442" s="15" t="s">
        <v>3212</v>
      </c>
      <c r="T442" s="16" t="s">
        <v>89</v>
      </c>
      <c r="U442" s="11" t="str">
        <f>_xlfn.XLOOKUP(Customer[[#This Row],[Customer ID]],[1]!Address[ID],[1]!Address[Phone No.(2)])</f>
        <v/>
      </c>
      <c r="V442" s="11" t="str">
        <f>_xlfn.XLOOKUP(Customer[[#This Row],[Customer ID]],[1]!Address[ID],[1]!Address[Type])</f>
        <v>SOCMED</v>
      </c>
      <c r="W442" s="11" t="str">
        <f>_xlfn.XLOOKUP(Customer[[#This Row],[Customer ID]],[1]!Address[ID],[1]!Address[CT])</f>
        <v/>
      </c>
      <c r="X442" s="11"/>
      <c r="Y442" s="17" t="s">
        <v>90</v>
      </c>
      <c r="Z442" s="17" t="e">
        <f>_xlfn.XLOOKUP(Customer[[#This Row],[NewType]],$AF$36:$AF$54,$AG$36:$AG$54)</f>
        <v>#N/A</v>
      </c>
      <c r="AA442" s="17" t="s">
        <v>3213</v>
      </c>
      <c r="AB442" s="11" t="str">
        <f>_xlfn.XLOOKUP(Customer[[#This Row],[Customer ID]],[1]!Address[ID],[1]!Address[Subtype])</f>
        <v>ONLINE HAJAR</v>
      </c>
      <c r="AC442" s="18" t="str">
        <f>_xlfn.XLOOKUP(Customer[[#This Row],[Customer ID]],[1]!Address[ID],[1]!Address[Zone])</f>
        <v>SOUTH</v>
      </c>
    </row>
    <row r="443" spans="1:29" x14ac:dyDescent="0.3">
      <c r="A443" s="10" t="s">
        <v>3214</v>
      </c>
      <c r="B443" s="11" t="str">
        <f>_xlfn.XLOOKUP(Customer[[#This Row],[Customer ID]],[1]!Name[ID],[1]!Name[Description(1)])</f>
        <v>PERTUBUHAN PELADANG KAWASAN LENGGONG</v>
      </c>
      <c r="C443" s="11" t="str">
        <f>_xlfn.XLOOKUP(Customer[[#This Row],[Customer ID]],[1]!Name[ID],[1]!Name[Description(2)])</f>
        <v>PS LENGGONG</v>
      </c>
      <c r="D443" s="11" t="str">
        <f>_xlfn.XLOOKUP(Customer[[#This Row],[Customer ID]],[1]!Address[ID],[1]!Address[PIC])</f>
        <v/>
      </c>
      <c r="E443" s="11" t="str">
        <f>_xlfn.XLOOKUP(Customer[[#This Row],[Customer ID]],[1]!Address[ID],[1]!Address[Full Address])</f>
        <v>PS LENGGONGNO. 14, JALAN GERIK, LENGGONG, 33400,HULU PERAK, PERAK</v>
      </c>
      <c r="F443" s="12" t="s">
        <v>3215</v>
      </c>
      <c r="G443" s="12" t="s">
        <v>3216</v>
      </c>
      <c r="H443" s="12" t="s">
        <v>3217</v>
      </c>
      <c r="I443" s="12" t="b">
        <f>ISNUMBER(VALUE(LEFT(Customer[[#This Row],[Address Line 3 (30 char)]],1)))</f>
        <v>0</v>
      </c>
      <c r="J443" s="12" t="s">
        <v>387</v>
      </c>
      <c r="K443" s="12">
        <v>33400</v>
      </c>
      <c r="L443" s="12" t="s">
        <v>35</v>
      </c>
      <c r="M443" s="13" t="e">
        <v>#N/A</v>
      </c>
      <c r="N443" s="14" t="e">
        <v>#N/A</v>
      </c>
      <c r="O443" s="14" t="e">
        <v>#N/A</v>
      </c>
      <c r="P443" s="14" t="e">
        <v>#N/A</v>
      </c>
      <c r="Q443" s="19" t="s">
        <v>3218</v>
      </c>
      <c r="R443" s="15" t="s">
        <v>3219</v>
      </c>
      <c r="S443" s="15" t="s">
        <v>37</v>
      </c>
      <c r="T443" s="16" t="s">
        <v>38</v>
      </c>
      <c r="U443" s="11" t="str">
        <f>_xlfn.XLOOKUP(Customer[[#This Row],[Customer ID]],[1]!Address[ID],[1]!Address[Phone No.(2)])</f>
        <v/>
      </c>
      <c r="V443" s="11" t="str">
        <f>_xlfn.XLOOKUP(Customer[[#This Row],[Customer ID]],[1]!Address[ID],[1]!Address[Type])</f>
        <v>PETROMART</v>
      </c>
      <c r="W443" s="11" t="str">
        <f>_xlfn.XLOOKUP(Customer[[#This Row],[Customer ID]],[1]!Address[ID],[1]!Address[CT])</f>
        <v>30 DAYS</v>
      </c>
      <c r="X443" s="11" t="s">
        <v>39</v>
      </c>
      <c r="Y443" s="17" t="s">
        <v>40</v>
      </c>
      <c r="Z443" s="17" t="e">
        <f>_xlfn.XLOOKUP(Customer[[#This Row],[NewType]],$AF$36:$AF$54,$AG$36:$AG$54)</f>
        <v>#N/A</v>
      </c>
      <c r="AA443" s="17" t="s">
        <v>3220</v>
      </c>
      <c r="AB443" s="11" t="str">
        <f>_xlfn.XLOOKUP(Customer[[#This Row],[Customer ID]],[1]!Address[ID],[1]!Address[Subtype])</f>
        <v>PETRONAS</v>
      </c>
      <c r="AC443" s="18" t="str">
        <f>_xlfn.XLOOKUP(Customer[[#This Row],[Customer ID]],[1]!Address[ID],[1]!Address[Zone])</f>
        <v>NORTH</v>
      </c>
    </row>
    <row r="444" spans="1:29" x14ac:dyDescent="0.3">
      <c r="A444" s="10" t="s">
        <v>3221</v>
      </c>
      <c r="B444" s="11" t="str">
        <f>_xlfn.XLOOKUP(Customer[[#This Row],[Customer ID]],[1]!Name[ID],[1]!Name[Description(1)])</f>
        <v>KARAK HIGHWAY SERVICE STATION</v>
      </c>
      <c r="C444" s="11" t="str">
        <f>_xlfn.XLOOKUP(Customer[[#This Row],[Customer ID]],[1]!Name[ID],[1]!Name[Description(2)])</f>
        <v>PS LINGKARAN KARAK</v>
      </c>
      <c r="D444" s="11" t="str">
        <f>_xlfn.XLOOKUP(Customer[[#This Row],[Customer ID]],[1]!Address[ID],[1]!Address[PIC])</f>
        <v/>
      </c>
      <c r="E444" s="11" t="str">
        <f>_xlfn.XLOOKUP(Customer[[#This Row],[Customer ID]],[1]!Address[ID],[1]!Address[Full Address])</f>
        <v>PS LINGKARAN KARAKLOT 1092 PT 6075 LEBUHRAYA KARAK,SELAYANG SELANGOR, 53000, GOMBAK,SELANGOR</v>
      </c>
      <c r="F444" s="12" t="s">
        <v>3222</v>
      </c>
      <c r="G444" s="12" t="s">
        <v>3223</v>
      </c>
      <c r="H444" s="12" t="s">
        <v>3224</v>
      </c>
      <c r="I444" s="12" t="b">
        <f>ISNUMBER(VALUE(LEFT(Customer[[#This Row],[Address Line 3 (30 char)]],1)))</f>
        <v>0</v>
      </c>
      <c r="J444" s="12" t="s">
        <v>172</v>
      </c>
      <c r="K444" s="12">
        <v>53000</v>
      </c>
      <c r="L444" s="12" t="s">
        <v>35</v>
      </c>
      <c r="M444" s="13" t="e">
        <v>#N/A</v>
      </c>
      <c r="N444" s="14" t="e">
        <v>#N/A</v>
      </c>
      <c r="O444" s="14" t="e">
        <v>#N/A</v>
      </c>
      <c r="P444" s="14" t="e">
        <v>#N/A</v>
      </c>
      <c r="Q444" s="19" t="s">
        <v>3225</v>
      </c>
      <c r="R444" s="15" t="s">
        <v>3226</v>
      </c>
      <c r="S444" s="15" t="s">
        <v>37</v>
      </c>
      <c r="T444" s="16" t="s">
        <v>38</v>
      </c>
      <c r="U444" s="11" t="str">
        <f>_xlfn.XLOOKUP(Customer[[#This Row],[Customer ID]],[1]!Address[ID],[1]!Address[Phone No.(2)])</f>
        <v/>
      </c>
      <c r="V444" s="11" t="str">
        <f>_xlfn.XLOOKUP(Customer[[#This Row],[Customer ID]],[1]!Address[ID],[1]!Address[Type])</f>
        <v>PETROMART</v>
      </c>
      <c r="W444" s="11" t="str">
        <f>_xlfn.XLOOKUP(Customer[[#This Row],[Customer ID]],[1]!Address[ID],[1]!Address[CT])</f>
        <v>30 DAYS</v>
      </c>
      <c r="X444" s="11" t="s">
        <v>39</v>
      </c>
      <c r="Y444" s="17" t="s">
        <v>40</v>
      </c>
      <c r="Z444" s="17" t="e">
        <f>_xlfn.XLOOKUP(Customer[[#This Row],[NewType]],$AF$36:$AF$54,$AG$36:$AG$54)</f>
        <v>#N/A</v>
      </c>
      <c r="AA444" s="17" t="s">
        <v>3227</v>
      </c>
      <c r="AB444" s="11" t="str">
        <f>_xlfn.XLOOKUP(Customer[[#This Row],[Customer ID]],[1]!Address[ID],[1]!Address[Subtype])</f>
        <v>PETRONAS</v>
      </c>
      <c r="AC444" s="18" t="str">
        <f>_xlfn.XLOOKUP(Customer[[#This Row],[Customer ID]],[1]!Address[ID],[1]!Address[Zone])</f>
        <v>CENTRAL</v>
      </c>
    </row>
    <row r="445" spans="1:29" x14ac:dyDescent="0.3">
      <c r="A445" s="10" t="s">
        <v>3228</v>
      </c>
      <c r="B445" s="11" t="str">
        <f>_xlfn.XLOOKUP(Customer[[#This Row],[Customer ID]],[1]!Name[ID],[1]!Name[Description(1)])</f>
        <v>JABAL HEQMA</v>
      </c>
      <c r="C445" s="11" t="str">
        <f>_xlfn.XLOOKUP(Customer[[#This Row],[Customer ID]],[1]!Name[ID],[1]!Name[Description(2)])</f>
        <v>PS LINKEDUA ARAH UTARA/GELANG PATAH UTAR</v>
      </c>
      <c r="D445" s="11" t="str">
        <f>_xlfn.XLOOKUP(Customer[[#This Row],[Customer ID]],[1]!Address[ID],[1]!Address[PIC])</f>
        <v/>
      </c>
      <c r="E445" s="11" t="str">
        <f>_xlfn.XLOOKUP(Customer[[#This Row],[Customer ID]],[1]!Address[ID],[1]!Address[Full Address])</f>
        <v>PS LINKEDUA ARAH UTARA/GELANG PATAH UTARTAPAK D, KAWASAN REHAT &amp; RAWAT, ARAHUTARA LALUAN KEDUA, GELANG PATAH, 81550JOHOR.</v>
      </c>
      <c r="F445" s="12" t="s">
        <v>3229</v>
      </c>
      <c r="G445" s="12" t="s">
        <v>3230</v>
      </c>
      <c r="H445" s="12" t="s">
        <v>3231</v>
      </c>
      <c r="I445" s="12" t="b">
        <f>ISNUMBER(VALUE(LEFT(Customer[[#This Row],[Address Line 3 (30 char)]],1)))</f>
        <v>0</v>
      </c>
      <c r="J445" s="12" t="s">
        <v>52</v>
      </c>
      <c r="K445" s="12">
        <v>81550</v>
      </c>
      <c r="L445" s="12" t="s">
        <v>35</v>
      </c>
      <c r="M445" s="13">
        <v>201603000915</v>
      </c>
      <c r="N445" s="14" t="s">
        <v>3232</v>
      </c>
      <c r="O445" s="14" t="s">
        <v>54</v>
      </c>
      <c r="P445" s="14">
        <v>47114</v>
      </c>
      <c r="Q445" s="19" t="s">
        <v>3233</v>
      </c>
      <c r="R445" s="15" t="s">
        <v>3234</v>
      </c>
      <c r="S445" s="15" t="s">
        <v>37</v>
      </c>
      <c r="T445" s="16" t="s">
        <v>38</v>
      </c>
      <c r="U445" s="11" t="str">
        <f>_xlfn.XLOOKUP(Customer[[#This Row],[Customer ID]],[1]!Address[ID],[1]!Address[Phone No.(2)])</f>
        <v/>
      </c>
      <c r="V445" s="11" t="str">
        <f>_xlfn.XLOOKUP(Customer[[#This Row],[Customer ID]],[1]!Address[ID],[1]!Address[Type])</f>
        <v>PETROMART</v>
      </c>
      <c r="W445" s="11" t="str">
        <f>_xlfn.XLOOKUP(Customer[[#This Row],[Customer ID]],[1]!Address[ID],[1]!Address[CT])</f>
        <v>30 DAYS</v>
      </c>
      <c r="X445" s="11" t="s">
        <v>39</v>
      </c>
      <c r="Y445" s="17" t="s">
        <v>40</v>
      </c>
      <c r="Z445" s="17" t="e">
        <f>_xlfn.XLOOKUP(Customer[[#This Row],[NewType]],$AF$36:$AF$54,$AG$36:$AG$54)</f>
        <v>#N/A</v>
      </c>
      <c r="AA445" s="17" t="s">
        <v>3235</v>
      </c>
      <c r="AB445" s="11" t="str">
        <f>_xlfn.XLOOKUP(Customer[[#This Row],[Customer ID]],[1]!Address[ID],[1]!Address[Subtype])</f>
        <v>PETRONAS</v>
      </c>
      <c r="AC445" s="18" t="str">
        <f>_xlfn.XLOOKUP(Customer[[#This Row],[Customer ID]],[1]!Address[ID],[1]!Address[Zone])</f>
        <v>SOUTH</v>
      </c>
    </row>
    <row r="446" spans="1:29" x14ac:dyDescent="0.3">
      <c r="A446" s="10" t="s">
        <v>3236</v>
      </c>
      <c r="B446" s="11" t="str">
        <f>_xlfn.XLOOKUP(Customer[[#This Row],[Customer ID]],[1]!Name[ID],[1]!Name[Description(1)])</f>
        <v>AIRAZ LEGACY</v>
      </c>
      <c r="C446" s="11" t="str">
        <f>_xlfn.XLOOKUP(Customer[[#This Row],[Customer ID]],[1]!Name[ID],[1]!Name[Description(2)])</f>
        <v>PS LOBAK</v>
      </c>
      <c r="D446" s="11" t="str">
        <f>_xlfn.XLOOKUP(Customer[[#This Row],[Customer ID]],[1]!Address[ID],[1]!Address[PIC])</f>
        <v/>
      </c>
      <c r="E446" s="11" t="str">
        <f>_xlfn.XLOOKUP(Customer[[#This Row],[Customer ID]],[1]!Address[ID],[1]!Address[Full Address])</f>
        <v>PS LOBAKLOT 5890 JALAN LOBAK, SEREMBAN, 70100,NEGERI SEMBILAN</v>
      </c>
      <c r="F446" s="12" t="s">
        <v>3237</v>
      </c>
      <c r="G446" s="12" t="s">
        <v>2411</v>
      </c>
      <c r="H446" s="12"/>
      <c r="I446" s="12" t="b">
        <f>ISNUMBER(VALUE(LEFT(Customer[[#This Row],[Address Line 3 (30 char)]],1)))</f>
        <v>0</v>
      </c>
      <c r="J446" s="12" t="s">
        <v>203</v>
      </c>
      <c r="K446" s="12">
        <v>70100</v>
      </c>
      <c r="L446" s="12" t="s">
        <v>35</v>
      </c>
      <c r="M446" s="13" t="e">
        <v>#N/A</v>
      </c>
      <c r="N446" s="14" t="e">
        <v>#N/A</v>
      </c>
      <c r="O446" s="14" t="e">
        <v>#N/A</v>
      </c>
      <c r="P446" s="14" t="e">
        <v>#N/A</v>
      </c>
      <c r="Q446" s="19" t="s">
        <v>3238</v>
      </c>
      <c r="R446" s="15" t="s">
        <v>3239</v>
      </c>
      <c r="S446" s="15" t="s">
        <v>37</v>
      </c>
      <c r="T446" s="16" t="s">
        <v>38</v>
      </c>
      <c r="U446" s="11" t="str">
        <f>_xlfn.XLOOKUP(Customer[[#This Row],[Customer ID]],[1]!Address[ID],[1]!Address[Phone No.(2)])</f>
        <v/>
      </c>
      <c r="V446" s="11" t="str">
        <f>_xlfn.XLOOKUP(Customer[[#This Row],[Customer ID]],[1]!Address[ID],[1]!Address[Type])</f>
        <v>PETROMART</v>
      </c>
      <c r="W446" s="11" t="str">
        <f>_xlfn.XLOOKUP(Customer[[#This Row],[Customer ID]],[1]!Address[ID],[1]!Address[CT])</f>
        <v>30 DAYS</v>
      </c>
      <c r="X446" s="11" t="s">
        <v>39</v>
      </c>
      <c r="Y446" s="17" t="s">
        <v>40</v>
      </c>
      <c r="Z446" s="17" t="e">
        <f>_xlfn.XLOOKUP(Customer[[#This Row],[NewType]],$AF$36:$AF$54,$AG$36:$AG$54)</f>
        <v>#N/A</v>
      </c>
      <c r="AA446" s="17" t="s">
        <v>3240</v>
      </c>
      <c r="AB446" s="11" t="str">
        <f>_xlfn.XLOOKUP(Customer[[#This Row],[Customer ID]],[1]!Address[ID],[1]!Address[Subtype])</f>
        <v>PETRONAS</v>
      </c>
      <c r="AC446" s="18" t="str">
        <f>_xlfn.XLOOKUP(Customer[[#This Row],[Customer ID]],[1]!Address[ID],[1]!Address[Zone])</f>
        <v>CENTRAL</v>
      </c>
    </row>
    <row r="447" spans="1:29" x14ac:dyDescent="0.3">
      <c r="A447" s="10" t="s">
        <v>3241</v>
      </c>
      <c r="B447" s="11" t="str">
        <f>_xlfn.XLOOKUP(Customer[[#This Row],[Customer ID]],[1]!Name[ID],[1]!Name[Description(1)])</f>
        <v>CAHAYA ILHAM PETRO</v>
      </c>
      <c r="C447" s="11" t="str">
        <f>_xlfn.XLOOKUP(Customer[[#This Row],[Customer ID]],[1]!Name[ID],[1]!Name[Description(2)])</f>
        <v>PS LOT 353 CHERAS</v>
      </c>
      <c r="D447" s="11" t="str">
        <f>_xlfn.XLOOKUP(Customer[[#This Row],[Customer ID]],[1]!Address[ID],[1]!Address[PIC])</f>
        <v/>
      </c>
      <c r="E447" s="11" t="str">
        <f>_xlfn.XLOOKUP(Customer[[#This Row],[Customer ID]],[1]!Address[ID],[1]!Address[Full Address])</f>
        <v>PS LOT 353 CHERASLOT 353, BATU 3, JALAN CHERAS,KUALA LUMPUR, 56100, ULU LANGAT,W PERSEKUTUAN</v>
      </c>
      <c r="F447" s="12" t="s">
        <v>3242</v>
      </c>
      <c r="G447" s="12" t="s">
        <v>3243</v>
      </c>
      <c r="H447" s="12" t="s">
        <v>3244</v>
      </c>
      <c r="I447" s="12" t="b">
        <f>ISNUMBER(VALUE(LEFT(Customer[[#This Row],[Address Line 3 (30 char)]],1)))</f>
        <v>0</v>
      </c>
      <c r="J447" s="12" t="s">
        <v>172</v>
      </c>
      <c r="K447" s="12">
        <v>56100</v>
      </c>
      <c r="L447" s="12" t="s">
        <v>35</v>
      </c>
      <c r="M447" s="13" t="e">
        <v>#N/A</v>
      </c>
      <c r="N447" s="14" t="e">
        <v>#N/A</v>
      </c>
      <c r="O447" s="14" t="e">
        <v>#N/A</v>
      </c>
      <c r="P447" s="14" t="e">
        <v>#N/A</v>
      </c>
      <c r="Q447" s="19" t="s">
        <v>3245</v>
      </c>
      <c r="R447" s="15" t="s">
        <v>3246</v>
      </c>
      <c r="S447" s="15" t="s">
        <v>37</v>
      </c>
      <c r="T447" s="16" t="s">
        <v>38</v>
      </c>
      <c r="U447" s="11" t="str">
        <f>_xlfn.XLOOKUP(Customer[[#This Row],[Customer ID]],[1]!Address[ID],[1]!Address[Phone No.(2)])</f>
        <v/>
      </c>
      <c r="V447" s="11" t="str">
        <f>_xlfn.XLOOKUP(Customer[[#This Row],[Customer ID]],[1]!Address[ID],[1]!Address[Type])</f>
        <v>PETROMART</v>
      </c>
      <c r="W447" s="11" t="str">
        <f>_xlfn.XLOOKUP(Customer[[#This Row],[Customer ID]],[1]!Address[ID],[1]!Address[CT])</f>
        <v>30 DAYS</v>
      </c>
      <c r="X447" s="11" t="s">
        <v>39</v>
      </c>
      <c r="Y447" s="17" t="s">
        <v>40</v>
      </c>
      <c r="Z447" s="17" t="e">
        <f>_xlfn.XLOOKUP(Customer[[#This Row],[NewType]],$AF$36:$AF$54,$AG$36:$AG$54)</f>
        <v>#N/A</v>
      </c>
      <c r="AA447" s="17" t="s">
        <v>3247</v>
      </c>
      <c r="AB447" s="11" t="str">
        <f>_xlfn.XLOOKUP(Customer[[#This Row],[Customer ID]],[1]!Address[ID],[1]!Address[Subtype])</f>
        <v>PETRONAS</v>
      </c>
      <c r="AC447" s="18" t="str">
        <f>_xlfn.XLOOKUP(Customer[[#This Row],[Customer ID]],[1]!Address[ID],[1]!Address[Zone])</f>
        <v>CENTRAL</v>
      </c>
    </row>
    <row r="448" spans="1:29" x14ac:dyDescent="0.3">
      <c r="A448" s="10" t="s">
        <v>3248</v>
      </c>
      <c r="B448" s="11" t="str">
        <f>_xlfn.XLOOKUP(Customer[[#This Row],[Customer ID]],[1]!Name[ID],[1]!Name[Description(1)])</f>
        <v>G2 MESRA SDN BHD</v>
      </c>
      <c r="C448" s="11" t="str">
        <f>_xlfn.XLOOKUP(Customer[[#This Row],[Customer ID]],[1]!Name[ID],[1]!Name[Description(2)])</f>
        <v>PS SEKSYEN 13</v>
      </c>
      <c r="D448" s="11" t="str">
        <f>_xlfn.XLOOKUP(Customer[[#This Row],[Customer ID]],[1]!Address[ID],[1]!Address[PIC])</f>
        <v/>
      </c>
      <c r="E448" s="11" t="str">
        <f>_xlfn.XLOOKUP(Customer[[#This Row],[Customer ID]],[1]!Address[ID],[1]!Address[Full Address])</f>
        <v>PS SEKSYEN 13NO.2 , JALAN AKUATIK A 13/64A, SEKSYEN 1SHAH ALAM, SELANGOR, 40100, PETALING,SELANGOR</v>
      </c>
      <c r="F448" s="12" t="s">
        <v>3249</v>
      </c>
      <c r="G448" s="12" t="s">
        <v>3250</v>
      </c>
      <c r="H448" s="12" t="s">
        <v>3251</v>
      </c>
      <c r="I448" s="12" t="b">
        <f>ISNUMBER(VALUE(LEFT(Customer[[#This Row],[Address Line 3 (30 char)]],1)))</f>
        <v>0</v>
      </c>
      <c r="J448" s="12" t="s">
        <v>172</v>
      </c>
      <c r="K448" s="12">
        <v>40100</v>
      </c>
      <c r="L448" s="12" t="s">
        <v>35</v>
      </c>
      <c r="M448" s="13" t="e">
        <v>#N/A</v>
      </c>
      <c r="N448" s="14" t="e">
        <v>#N/A</v>
      </c>
      <c r="O448" s="14" t="e">
        <v>#N/A</v>
      </c>
      <c r="P448" s="14" t="e">
        <v>#N/A</v>
      </c>
      <c r="Q448" s="19" t="s">
        <v>3252</v>
      </c>
      <c r="R448" s="15" t="s">
        <v>3253</v>
      </c>
      <c r="S448" s="15" t="s">
        <v>37</v>
      </c>
      <c r="T448" s="16" t="s">
        <v>38</v>
      </c>
      <c r="U448" s="11" t="str">
        <f>_xlfn.XLOOKUP(Customer[[#This Row],[Customer ID]],[1]!Address[ID],[1]!Address[Phone No.(2)])</f>
        <v/>
      </c>
      <c r="V448" s="11" t="str">
        <f>_xlfn.XLOOKUP(Customer[[#This Row],[Customer ID]],[1]!Address[ID],[1]!Address[Type])</f>
        <v>PETROMART</v>
      </c>
      <c r="W448" s="11" t="str">
        <f>_xlfn.XLOOKUP(Customer[[#This Row],[Customer ID]],[1]!Address[ID],[1]!Address[CT])</f>
        <v>30 DAYS</v>
      </c>
      <c r="X448" s="11" t="s">
        <v>39</v>
      </c>
      <c r="Y448" s="17" t="s">
        <v>40</v>
      </c>
      <c r="Z448" s="17" t="e">
        <f>_xlfn.XLOOKUP(Customer[[#This Row],[NewType]],$AF$36:$AF$54,$AG$36:$AG$54)</f>
        <v>#N/A</v>
      </c>
      <c r="AA448" s="17" t="s">
        <v>3254</v>
      </c>
      <c r="AB448" s="11" t="str">
        <f>_xlfn.XLOOKUP(Customer[[#This Row],[Customer ID]],[1]!Address[ID],[1]!Address[Subtype])</f>
        <v>PETRONAS</v>
      </c>
      <c r="AC448" s="18" t="str">
        <f>_xlfn.XLOOKUP(Customer[[#This Row],[Customer ID]],[1]!Address[ID],[1]!Address[Zone])</f>
        <v>CENTRAL</v>
      </c>
    </row>
    <row r="449" spans="1:29" x14ac:dyDescent="0.3">
      <c r="A449" s="10" t="s">
        <v>3255</v>
      </c>
      <c r="B449" s="11" t="str">
        <f>_xlfn.XLOOKUP(Customer[[#This Row],[Customer ID]],[1]!Name[ID],[1]!Name[Description(1)])</f>
        <v>ZANRAI ENTERPRISE</v>
      </c>
      <c r="C449" s="11" t="str">
        <f>_xlfn.XLOOKUP(Customer[[#This Row],[Customer ID]],[1]!Name[ID],[1]!Name[Description(2)])</f>
        <v>PS LOT 59, JLN AMPANG</v>
      </c>
      <c r="D449" s="11" t="str">
        <f>_xlfn.XLOOKUP(Customer[[#This Row],[Customer ID]],[1]!Address[ID],[1]!Address[PIC])</f>
        <v/>
      </c>
      <c r="E449" s="11" t="str">
        <f>_xlfn.XLOOKUP(Customer[[#This Row],[Customer ID]],[1]!Address[ID],[1]!Address[Full Address])</f>
        <v>PS LOT 59, JLN AMPANGLOT 59, BATU 3, JALAN AMPANG, KUALALUMPUR, 50450, WILAYAH PERSEKUTUANKUALA LUMPUR, W PERSEKUTUAN</v>
      </c>
      <c r="F449" s="12" t="s">
        <v>3256</v>
      </c>
      <c r="G449" s="12" t="s">
        <v>3257</v>
      </c>
      <c r="H449" s="12" t="s">
        <v>3258</v>
      </c>
      <c r="I449" s="12" t="b">
        <f>ISNUMBER(VALUE(LEFT(Customer[[#This Row],[Address Line 3 (30 char)]],1)))</f>
        <v>0</v>
      </c>
      <c r="J449" s="12" t="s">
        <v>172</v>
      </c>
      <c r="K449" s="12">
        <v>50450</v>
      </c>
      <c r="L449" s="12" t="s">
        <v>35</v>
      </c>
      <c r="M449" s="13" t="e">
        <v>#N/A</v>
      </c>
      <c r="N449" s="14" t="e">
        <v>#N/A</v>
      </c>
      <c r="O449" s="14" t="e">
        <v>#N/A</v>
      </c>
      <c r="P449" s="14" t="e">
        <v>#N/A</v>
      </c>
      <c r="Q449" s="19" t="s">
        <v>3259</v>
      </c>
      <c r="R449" s="15" t="s">
        <v>3260</v>
      </c>
      <c r="S449" s="15" t="s">
        <v>37</v>
      </c>
      <c r="T449" s="16" t="s">
        <v>38</v>
      </c>
      <c r="U449" s="11" t="str">
        <f>_xlfn.XLOOKUP(Customer[[#This Row],[Customer ID]],[1]!Address[ID],[1]!Address[Phone No.(2)])</f>
        <v/>
      </c>
      <c r="V449" s="11" t="str">
        <f>_xlfn.XLOOKUP(Customer[[#This Row],[Customer ID]],[1]!Address[ID],[1]!Address[Type])</f>
        <v>PETROMART</v>
      </c>
      <c r="W449" s="11" t="str">
        <f>_xlfn.XLOOKUP(Customer[[#This Row],[Customer ID]],[1]!Address[ID],[1]!Address[CT])</f>
        <v>30 DAYS</v>
      </c>
      <c r="X449" s="11" t="s">
        <v>39</v>
      </c>
      <c r="Y449" s="17" t="s">
        <v>40</v>
      </c>
      <c r="Z449" s="17" t="e">
        <f>_xlfn.XLOOKUP(Customer[[#This Row],[NewType]],$AF$36:$AF$54,$AG$36:$AG$54)</f>
        <v>#N/A</v>
      </c>
      <c r="AA449" s="17" t="s">
        <v>3261</v>
      </c>
      <c r="AB449" s="11" t="str">
        <f>_xlfn.XLOOKUP(Customer[[#This Row],[Customer ID]],[1]!Address[ID],[1]!Address[Subtype])</f>
        <v>PETRONAS</v>
      </c>
      <c r="AC449" s="18" t="str">
        <f>_xlfn.XLOOKUP(Customer[[#This Row],[Customer ID]],[1]!Address[ID],[1]!Address[Zone])</f>
        <v>CENTRAL</v>
      </c>
    </row>
    <row r="450" spans="1:29" x14ac:dyDescent="0.3">
      <c r="A450" s="10" t="s">
        <v>3262</v>
      </c>
      <c r="B450" s="11" t="str">
        <f>_xlfn.XLOOKUP(Customer[[#This Row],[Customer ID]],[1]!Name[ID],[1]!Name[Description(1)])</f>
        <v>LYTAT ENTERPRISE</v>
      </c>
      <c r="C450" s="11" t="str">
        <f>_xlfn.XLOOKUP(Customer[[#This Row],[Customer ID]],[1]!Name[ID],[1]!Name[Description(2)])</f>
        <v>PS LOT 7159 SUNGAI DUA</v>
      </c>
      <c r="D450" s="11" t="str">
        <f>_xlfn.XLOOKUP(Customer[[#This Row],[Customer ID]],[1]!Address[ID],[1]!Address[PIC])</f>
        <v/>
      </c>
      <c r="E450" s="11" t="str">
        <f>_xlfn.XLOOKUP(Customer[[#This Row],[Customer ID]],[1]!Address[ID],[1]!Address[Full Address])</f>
        <v>PS LOT 7159 SUNGAI DUANO. 722A, JALAN SUNGAI DUA, SUNGAI DUA,GELUGOR, PULAI PINANG</v>
      </c>
      <c r="F450" s="12" t="s">
        <v>3263</v>
      </c>
      <c r="G450" s="12" t="s">
        <v>3264</v>
      </c>
      <c r="H450" s="12" t="s">
        <v>3265</v>
      </c>
      <c r="I450" s="12" t="b">
        <f>ISNUMBER(VALUE(LEFT(Customer[[#This Row],[Address Line 3 (30 char)]],1)))</f>
        <v>0</v>
      </c>
      <c r="J450" s="12" t="s">
        <v>179</v>
      </c>
      <c r="K450" s="12">
        <v>11700</v>
      </c>
      <c r="L450" s="12" t="s">
        <v>35</v>
      </c>
      <c r="M450" s="13" t="e">
        <v>#N/A</v>
      </c>
      <c r="N450" s="14" t="e">
        <v>#N/A</v>
      </c>
      <c r="O450" s="14" t="e">
        <v>#N/A</v>
      </c>
      <c r="P450" s="14" t="e">
        <v>#N/A</v>
      </c>
      <c r="Q450" s="19" t="s">
        <v>3266</v>
      </c>
      <c r="R450" s="15" t="s">
        <v>3267</v>
      </c>
      <c r="S450" s="15" t="s">
        <v>74</v>
      </c>
      <c r="T450" s="16" t="s">
        <v>38</v>
      </c>
      <c r="U450" s="11" t="str">
        <f>_xlfn.XLOOKUP(Customer[[#This Row],[Customer ID]],[1]!Address[ID],[1]!Address[Phone No.(2)])</f>
        <v/>
      </c>
      <c r="V450" s="11" t="str">
        <f>_xlfn.XLOOKUP(Customer[[#This Row],[Customer ID]],[1]!Address[ID],[1]!Address[Type])</f>
        <v>PETROMART</v>
      </c>
      <c r="W450" s="11" t="str">
        <f>_xlfn.XLOOKUP(Customer[[#This Row],[Customer ID]],[1]!Address[ID],[1]!Address[CT])</f>
        <v>30 DAYS</v>
      </c>
      <c r="X450" s="11" t="s">
        <v>39</v>
      </c>
      <c r="Y450" s="17" t="s">
        <v>40</v>
      </c>
      <c r="Z450" s="17" t="e">
        <f>_xlfn.XLOOKUP(Customer[[#This Row],[NewType]],$AF$36:$AF$54,$AG$36:$AG$54)</f>
        <v>#N/A</v>
      </c>
      <c r="AA450" s="17" t="s">
        <v>3268</v>
      </c>
      <c r="AB450" s="11" t="str">
        <f>_xlfn.XLOOKUP(Customer[[#This Row],[Customer ID]],[1]!Address[ID],[1]!Address[Subtype])</f>
        <v>PETRONAS</v>
      </c>
      <c r="AC450" s="18" t="str">
        <f>_xlfn.XLOOKUP(Customer[[#This Row],[Customer ID]],[1]!Address[ID],[1]!Address[Zone])</f>
        <v>NORTH</v>
      </c>
    </row>
    <row r="451" spans="1:29" x14ac:dyDescent="0.3">
      <c r="A451" s="10" t="s">
        <v>3269</v>
      </c>
      <c r="B451" s="11" t="str">
        <f>_xlfn.XLOOKUP(Customer[[#This Row],[Customer ID]],[1]!Name[ID],[1]!Name[Description(1)])</f>
        <v>EMELIA SUAIB SERVICE STATION SDN.BHD</v>
      </c>
      <c r="C451" s="11" t="str">
        <f>_xlfn.XLOOKUP(Customer[[#This Row],[Customer ID]],[1]!Name[ID],[1]!Name[Description(2)])</f>
        <v>PS S2 GARDEN AVENUE</v>
      </c>
      <c r="D451" s="11" t="str">
        <f>_xlfn.XLOOKUP(Customer[[#This Row],[Customer ID]],[1]!Address[ID],[1]!Address[PIC])</f>
        <v>Emelia Binti Su</v>
      </c>
      <c r="E451" s="11" t="str">
        <f>_xlfn.XLOOKUP(Customer[[#This Row],[Customer ID]],[1]!Address[ID],[1]!Address[Full Address])</f>
        <v>PS S2 GARDEN AVENUELOT A, LOT 9359 HS(D) 119818, GARDENAVENUE BANDAR SEREMBAN 2, SEREMBAN 2,RASAH, NEGERI SEMBILAN, 70300, SEREMBAN,</v>
      </c>
      <c r="F451" s="12" t="s">
        <v>3270</v>
      </c>
      <c r="G451" s="12" t="s">
        <v>3271</v>
      </c>
      <c r="H451" s="12" t="s">
        <v>3272</v>
      </c>
      <c r="I451" s="12" t="b">
        <f>ISNUMBER(VALUE(LEFT(Customer[[#This Row],[Address Line 3 (30 char)]],1)))</f>
        <v>0</v>
      </c>
      <c r="J451" s="12" t="s">
        <v>203</v>
      </c>
      <c r="K451" s="12">
        <v>70300</v>
      </c>
      <c r="L451" s="12" t="s">
        <v>35</v>
      </c>
      <c r="M451" s="13">
        <v>202301006431</v>
      </c>
      <c r="N451" s="14" t="s">
        <v>3273</v>
      </c>
      <c r="O451" s="14"/>
      <c r="P451" s="14">
        <v>47300</v>
      </c>
      <c r="Q451" s="19" t="s">
        <v>3274</v>
      </c>
      <c r="R451" s="15" t="s">
        <v>3275</v>
      </c>
      <c r="S451" s="15" t="s">
        <v>3276</v>
      </c>
      <c r="T451" s="16" t="s">
        <v>38</v>
      </c>
      <c r="U451" s="11" t="str">
        <f>_xlfn.XLOOKUP(Customer[[#This Row],[Customer ID]],[1]!Address[ID],[1]!Address[Phone No.(2)])</f>
        <v/>
      </c>
      <c r="V451" s="11" t="str">
        <f>_xlfn.XLOOKUP(Customer[[#This Row],[Customer ID]],[1]!Address[ID],[1]!Address[Type])</f>
        <v>PETROMART</v>
      </c>
      <c r="W451" s="11" t="str">
        <f>_xlfn.XLOOKUP(Customer[[#This Row],[Customer ID]],[1]!Address[ID],[1]!Address[CT])</f>
        <v>30 DAYS</v>
      </c>
      <c r="X451" s="11" t="s">
        <v>39</v>
      </c>
      <c r="Y451" s="17" t="s">
        <v>40</v>
      </c>
      <c r="Z451" s="17" t="e">
        <f>_xlfn.XLOOKUP(Customer[[#This Row],[NewType]],$AF$36:$AF$54,$AG$36:$AG$54)</f>
        <v>#N/A</v>
      </c>
      <c r="AA451" s="17" t="s">
        <v>3277</v>
      </c>
      <c r="AB451" s="11" t="str">
        <f>_xlfn.XLOOKUP(Customer[[#This Row],[Customer ID]],[1]!Address[ID],[1]!Address[Subtype])</f>
        <v>PETRONAS</v>
      </c>
      <c r="AC451" s="18" t="str">
        <f>_xlfn.XLOOKUP(Customer[[#This Row],[Customer ID]],[1]!Address[ID],[1]!Address[Zone])</f>
        <v>CENTRAL</v>
      </c>
    </row>
    <row r="452" spans="1:29" x14ac:dyDescent="0.3">
      <c r="A452" s="10" t="s">
        <v>3278</v>
      </c>
      <c r="B452" s="11" t="str">
        <f>_xlfn.XLOOKUP(Customer[[#This Row],[Customer ID]],[1]!Name[ID],[1]!Name[Description(1)])</f>
        <v>PUTERAMER ENTERPRISE</v>
      </c>
      <c r="C452" s="11" t="str">
        <f>_xlfn.XLOOKUP(Customer[[#This Row],[Customer ID]],[1]!Name[ID],[1]!Name[Description(2)])</f>
        <v>PS LOT C, SEREMBAN</v>
      </c>
      <c r="D452" s="11" t="str">
        <f>_xlfn.XLOOKUP(Customer[[#This Row],[Customer ID]],[1]!Address[ID],[1]!Address[PIC])</f>
        <v/>
      </c>
      <c r="E452" s="11" t="str">
        <f>_xlfn.XLOOKUP(Customer[[#This Row],[Customer ID]],[1]!Address[ID],[1]!Address[Full Address])</f>
        <v>PS LOT C, SEREMBANLOT C, PART OF LOT PT 6283 HS(D) 109226,BANDAR SEREMBAN 2, MUKIM RASAH, NEGERISEMBILAN, 70300, SEREMBAN, NEGERI 9</v>
      </c>
      <c r="F452" s="12" t="s">
        <v>3279</v>
      </c>
      <c r="G452" s="12" t="s">
        <v>3280</v>
      </c>
      <c r="H452" s="12" t="s">
        <v>3281</v>
      </c>
      <c r="I452" s="12" t="b">
        <f>ISNUMBER(VALUE(LEFT(Customer[[#This Row],[Address Line 3 (30 char)]],1)))</f>
        <v>0</v>
      </c>
      <c r="J452" s="12" t="s">
        <v>203</v>
      </c>
      <c r="K452" s="12">
        <v>70300</v>
      </c>
      <c r="L452" s="12" t="s">
        <v>35</v>
      </c>
      <c r="M452" s="13" t="e">
        <v>#N/A</v>
      </c>
      <c r="N452" s="14" t="e">
        <v>#N/A</v>
      </c>
      <c r="O452" s="14" t="e">
        <v>#N/A</v>
      </c>
      <c r="P452" s="14" t="e">
        <v>#N/A</v>
      </c>
      <c r="Q452" s="19" t="s">
        <v>3282</v>
      </c>
      <c r="R452" s="15" t="s">
        <v>3283</v>
      </c>
      <c r="S452" s="15" t="s">
        <v>37</v>
      </c>
      <c r="T452" s="16" t="s">
        <v>38</v>
      </c>
      <c r="U452" s="11" t="str">
        <f>_xlfn.XLOOKUP(Customer[[#This Row],[Customer ID]],[1]!Address[ID],[1]!Address[Phone No.(2)])</f>
        <v/>
      </c>
      <c r="V452" s="11" t="str">
        <f>_xlfn.XLOOKUP(Customer[[#This Row],[Customer ID]],[1]!Address[ID],[1]!Address[Type])</f>
        <v>PETROMART</v>
      </c>
      <c r="W452" s="11" t="str">
        <f>_xlfn.XLOOKUP(Customer[[#This Row],[Customer ID]],[1]!Address[ID],[1]!Address[CT])</f>
        <v>30 DAYS</v>
      </c>
      <c r="X452" s="11" t="s">
        <v>39</v>
      </c>
      <c r="Y452" s="17" t="s">
        <v>40</v>
      </c>
      <c r="Z452" s="17" t="e">
        <f>_xlfn.XLOOKUP(Customer[[#This Row],[NewType]],$AF$36:$AF$54,$AG$36:$AG$54)</f>
        <v>#N/A</v>
      </c>
      <c r="AA452" s="17" t="s">
        <v>3284</v>
      </c>
      <c r="AB452" s="11" t="str">
        <f>_xlfn.XLOOKUP(Customer[[#This Row],[Customer ID]],[1]!Address[ID],[1]!Address[Subtype])</f>
        <v>PETRONAS</v>
      </c>
      <c r="AC452" s="18" t="str">
        <f>_xlfn.XLOOKUP(Customer[[#This Row],[Customer ID]],[1]!Address[ID],[1]!Address[Zone])</f>
        <v>CENTRAL</v>
      </c>
    </row>
    <row r="453" spans="1:29" x14ac:dyDescent="0.3">
      <c r="A453" s="10" t="s">
        <v>3285</v>
      </c>
      <c r="B453" s="11" t="str">
        <f>_xlfn.XLOOKUP(Customer[[#This Row],[Customer ID]],[1]!Name[ID],[1]!Name[Description(1)])</f>
        <v>NUR ID ENTERPRISE</v>
      </c>
      <c r="C453" s="11" t="str">
        <f>_xlfn.XLOOKUP(Customer[[#This Row],[Customer ID]],[1]!Name[ID],[1]!Name[Description(2)])</f>
        <v>PS LUBOK CHINA</v>
      </c>
      <c r="D453" s="11" t="str">
        <f>_xlfn.XLOOKUP(Customer[[#This Row],[Customer ID]],[1]!Address[ID],[1]!Address[PIC])</f>
        <v/>
      </c>
      <c r="E453" s="11" t="str">
        <f>_xlfn.XLOOKUP(Customer[[#This Row],[Customer ID]],[1]!Address[ID],[1]!Address[Full Address])</f>
        <v>PS LUBOK CHINALOT 1702, BATU 27, JALAN LUBOK CHINA, ALGAJAH, MELAKA, 78100, ALOR GAJAH, MELAKA</v>
      </c>
      <c r="F453" s="12" t="s">
        <v>3286</v>
      </c>
      <c r="G453" s="12" t="s">
        <v>3287</v>
      </c>
      <c r="H453" s="12" t="s">
        <v>3288</v>
      </c>
      <c r="I453" s="12" t="b">
        <f>ISNUMBER(VALUE(LEFT(Customer[[#This Row],[Address Line 3 (30 char)]],1)))</f>
        <v>0</v>
      </c>
      <c r="J453" s="12" t="s">
        <v>61</v>
      </c>
      <c r="K453" s="12">
        <v>78100</v>
      </c>
      <c r="L453" s="12" t="s">
        <v>35</v>
      </c>
      <c r="M453" s="13" t="e">
        <v>#N/A</v>
      </c>
      <c r="N453" s="14" t="e">
        <v>#N/A</v>
      </c>
      <c r="O453" s="14" t="e">
        <v>#N/A</v>
      </c>
      <c r="P453" s="14" t="e">
        <v>#N/A</v>
      </c>
      <c r="Q453" s="19" t="s">
        <v>3289</v>
      </c>
      <c r="R453" s="15" t="s">
        <v>2496</v>
      </c>
      <c r="S453" s="15" t="s">
        <v>37</v>
      </c>
      <c r="T453" s="16" t="s">
        <v>38</v>
      </c>
      <c r="U453" s="11" t="str">
        <f>_xlfn.XLOOKUP(Customer[[#This Row],[Customer ID]],[1]!Address[ID],[1]!Address[Phone No.(2)])</f>
        <v/>
      </c>
      <c r="V453" s="11" t="str">
        <f>_xlfn.XLOOKUP(Customer[[#This Row],[Customer ID]],[1]!Address[ID],[1]!Address[Type])</f>
        <v>PETROMART</v>
      </c>
      <c r="W453" s="11" t="str">
        <f>_xlfn.XLOOKUP(Customer[[#This Row],[Customer ID]],[1]!Address[ID],[1]!Address[CT])</f>
        <v>30 DAYS</v>
      </c>
      <c r="X453" s="11" t="s">
        <v>39</v>
      </c>
      <c r="Y453" s="17" t="s">
        <v>40</v>
      </c>
      <c r="Z453" s="17" t="e">
        <f>_xlfn.XLOOKUP(Customer[[#This Row],[NewType]],$AF$36:$AF$54,$AG$36:$AG$54)</f>
        <v>#N/A</v>
      </c>
      <c r="AA453" s="17" t="s">
        <v>3290</v>
      </c>
      <c r="AB453" s="11" t="str">
        <f>_xlfn.XLOOKUP(Customer[[#This Row],[Customer ID]],[1]!Address[ID],[1]!Address[Subtype])</f>
        <v>PETRONAS</v>
      </c>
      <c r="AC453" s="18" t="str">
        <f>_xlfn.XLOOKUP(Customer[[#This Row],[Customer ID]],[1]!Address[ID],[1]!Address[Zone])</f>
        <v>SOUTH</v>
      </c>
    </row>
    <row r="454" spans="1:29" x14ac:dyDescent="0.3">
      <c r="A454" s="10" t="s">
        <v>3291</v>
      </c>
      <c r="B454" s="11" t="str">
        <f>_xlfn.XLOOKUP(Customer[[#This Row],[Customer ID]],[1]!Name[ID],[1]!Name[Description(1)])</f>
        <v>MUSBIEHA RESOURCES</v>
      </c>
      <c r="C454" s="11" t="str">
        <f>_xlfn.XLOOKUP(Customer[[#This Row],[Customer ID]],[1]!Name[ID],[1]!Name[Description(2)])</f>
        <v>PS MACHANG</v>
      </c>
      <c r="D454" s="11" t="str">
        <f>_xlfn.XLOOKUP(Customer[[#This Row],[Customer ID]],[1]!Address[ID],[1]!Address[PIC])</f>
        <v/>
      </c>
      <c r="E454" s="11" t="str">
        <f>_xlfn.XLOOKUP(Customer[[#This Row],[Customer ID]],[1]!Address[ID],[1]!Address[Full Address])</f>
        <v>PS MACHANGLOT PT 326, MUKIM BANDAR MACHANG, 18500,MACHANG, KELANTAN</v>
      </c>
      <c r="F454" s="12" t="s">
        <v>3292</v>
      </c>
      <c r="G454" s="12" t="s">
        <v>3293</v>
      </c>
      <c r="H454" s="12" t="s">
        <v>3294</v>
      </c>
      <c r="I454" s="12" t="b">
        <f>ISNUMBER(VALUE(LEFT(Customer[[#This Row],[Address Line 3 (30 char)]],1)))</f>
        <v>0</v>
      </c>
      <c r="J454" s="12" t="s">
        <v>1007</v>
      </c>
      <c r="K454" s="12">
        <v>18500</v>
      </c>
      <c r="L454" s="12" t="s">
        <v>35</v>
      </c>
      <c r="M454" s="13" t="e">
        <v>#N/A</v>
      </c>
      <c r="N454" s="14" t="e">
        <v>#N/A</v>
      </c>
      <c r="O454" s="14" t="e">
        <v>#N/A</v>
      </c>
      <c r="P454" s="14" t="e">
        <v>#N/A</v>
      </c>
      <c r="Q454" s="19" t="s">
        <v>3295</v>
      </c>
      <c r="R454" s="15" t="s">
        <v>3296</v>
      </c>
      <c r="S454" s="15" t="s">
        <v>37</v>
      </c>
      <c r="T454" s="16" t="s">
        <v>38</v>
      </c>
      <c r="U454" s="11" t="str">
        <f>_xlfn.XLOOKUP(Customer[[#This Row],[Customer ID]],[1]!Address[ID],[1]!Address[Phone No.(2)])</f>
        <v/>
      </c>
      <c r="V454" s="11" t="str">
        <f>_xlfn.XLOOKUP(Customer[[#This Row],[Customer ID]],[1]!Address[ID],[1]!Address[Type])</f>
        <v>PETROMART</v>
      </c>
      <c r="W454" s="11" t="str">
        <f>_xlfn.XLOOKUP(Customer[[#This Row],[Customer ID]],[1]!Address[ID],[1]!Address[CT])</f>
        <v>30 DAYS</v>
      </c>
      <c r="X454" s="11" t="s">
        <v>39</v>
      </c>
      <c r="Y454" s="17" t="s">
        <v>40</v>
      </c>
      <c r="Z454" s="17" t="e">
        <f>_xlfn.XLOOKUP(Customer[[#This Row],[NewType]],$AF$36:$AF$54,$AG$36:$AG$54)</f>
        <v>#N/A</v>
      </c>
      <c r="AA454" s="17" t="s">
        <v>3297</v>
      </c>
      <c r="AB454" s="11" t="str">
        <f>_xlfn.XLOOKUP(Customer[[#This Row],[Customer ID]],[1]!Address[ID],[1]!Address[Subtype])</f>
        <v>PETRONAS</v>
      </c>
      <c r="AC454" s="18" t="str">
        <f>_xlfn.XLOOKUP(Customer[[#This Row],[Customer ID]],[1]!Address[ID],[1]!Address[Zone])</f>
        <v>EAST COAST</v>
      </c>
    </row>
    <row r="455" spans="1:29" x14ac:dyDescent="0.3">
      <c r="A455" s="10" t="s">
        <v>3298</v>
      </c>
      <c r="B455" s="11" t="str">
        <f>_xlfn.XLOOKUP(Customer[[#This Row],[Customer ID]],[1]!Name[ID],[1]!Name[Description(1)])</f>
        <v>RAZAN PETROL STATION</v>
      </c>
      <c r="C455" s="11" t="str">
        <f>_xlfn.XLOOKUP(Customer[[#This Row],[Customer ID]],[1]!Name[ID],[1]!Name[Description(2)])</f>
        <v>PS MACHANG BYPASS</v>
      </c>
      <c r="D455" s="11" t="str">
        <f>_xlfn.XLOOKUP(Customer[[#This Row],[Customer ID]],[1]!Address[ID],[1]!Address[PIC])</f>
        <v/>
      </c>
      <c r="E455" s="11" t="str">
        <f>_xlfn.XLOOKUP(Customer[[#This Row],[Customer ID]],[1]!Address[ID],[1]!Address[Full Address])</f>
        <v>PS MACHANG BYPASSLOT PT 4791 HS(M) KG. KWENG HITAM, JALANKUALA KRAI, MACHANG BYPASS, KELANTAN,18500, MACHANG, KELANTAN</v>
      </c>
      <c r="F455" s="12" t="s">
        <v>3299</v>
      </c>
      <c r="G455" s="12" t="s">
        <v>3300</v>
      </c>
      <c r="H455" s="12" t="s">
        <v>3301</v>
      </c>
      <c r="I455" s="12" t="b">
        <f>ISNUMBER(VALUE(LEFT(Customer[[#This Row],[Address Line 3 (30 char)]],1)))</f>
        <v>0</v>
      </c>
      <c r="J455" s="12" t="s">
        <v>1007</v>
      </c>
      <c r="K455" s="12">
        <v>18500</v>
      </c>
      <c r="L455" s="12" t="s">
        <v>35</v>
      </c>
      <c r="M455" s="13">
        <v>202103002938</v>
      </c>
      <c r="N455" s="14" t="s">
        <v>3302</v>
      </c>
      <c r="O455" s="14"/>
      <c r="P455" s="14">
        <v>47300</v>
      </c>
      <c r="Q455" s="19" t="s">
        <v>3303</v>
      </c>
      <c r="R455" s="15" t="s">
        <v>3304</v>
      </c>
      <c r="S455" s="15" t="s">
        <v>37</v>
      </c>
      <c r="T455" s="16" t="s">
        <v>38</v>
      </c>
      <c r="U455" s="11" t="str">
        <f>_xlfn.XLOOKUP(Customer[[#This Row],[Customer ID]],[1]!Address[ID],[1]!Address[Phone No.(2)])</f>
        <v/>
      </c>
      <c r="V455" s="11" t="str">
        <f>_xlfn.XLOOKUP(Customer[[#This Row],[Customer ID]],[1]!Address[ID],[1]!Address[Type])</f>
        <v>PETROMART</v>
      </c>
      <c r="W455" s="11" t="str">
        <f>_xlfn.XLOOKUP(Customer[[#This Row],[Customer ID]],[1]!Address[ID],[1]!Address[CT])</f>
        <v>30 DAYS</v>
      </c>
      <c r="X455" s="11" t="s">
        <v>39</v>
      </c>
      <c r="Y455" s="17" t="s">
        <v>40</v>
      </c>
      <c r="Z455" s="17" t="e">
        <f>_xlfn.XLOOKUP(Customer[[#This Row],[NewType]],$AF$36:$AF$54,$AG$36:$AG$54)</f>
        <v>#N/A</v>
      </c>
      <c r="AA455" s="17" t="s">
        <v>3305</v>
      </c>
      <c r="AB455" s="11" t="str">
        <f>_xlfn.XLOOKUP(Customer[[#This Row],[Customer ID]],[1]!Address[ID],[1]!Address[Subtype])</f>
        <v>PETRONAS</v>
      </c>
      <c r="AC455" s="18" t="str">
        <f>_xlfn.XLOOKUP(Customer[[#This Row],[Customer ID]],[1]!Address[ID],[1]!Address[Zone])</f>
        <v>EAST COAST</v>
      </c>
    </row>
    <row r="456" spans="1:29" x14ac:dyDescent="0.3">
      <c r="A456" s="10" t="s">
        <v>3306</v>
      </c>
      <c r="B456" s="11" t="str">
        <f>_xlfn.XLOOKUP(Customer[[#This Row],[Customer ID]],[1]!Name[ID],[1]!Name[Description(1)])</f>
        <v>BINTANG MESRA ENTERPRISE</v>
      </c>
      <c r="C456" s="11" t="str">
        <f>_xlfn.XLOOKUP(Customer[[#This Row],[Customer ID]],[1]!Name[ID],[1]!Name[Description(2)])</f>
        <v>PS MACHAP (NORTH BOUND)</v>
      </c>
      <c r="D456" s="11" t="str">
        <f>_xlfn.XLOOKUP(Customer[[#This Row],[Customer ID]],[1]!Address[ID],[1]!Address[PIC])</f>
        <v/>
      </c>
      <c r="E456" s="11" t="str">
        <f>_xlfn.XLOOKUP(Customer[[#This Row],[Customer ID]],[1]!Address[ID],[1]!Address[Full Address])</f>
        <v>PS MACHAP (NORTH BOUND)KAWASAN REHAT &amp; RAWATPLUS(ARAH UTARA), MACHAP,KLUANG, 86200 JOHOR</v>
      </c>
      <c r="F456" s="12" t="s">
        <v>3307</v>
      </c>
      <c r="G456" s="12" t="s">
        <v>3308</v>
      </c>
      <c r="H456" s="12" t="s">
        <v>3309</v>
      </c>
      <c r="I456" s="12" t="b">
        <f>ISNUMBER(VALUE(LEFT(Customer[[#This Row],[Address Line 3 (30 char)]],1)))</f>
        <v>0</v>
      </c>
      <c r="J456" s="12" t="s">
        <v>52</v>
      </c>
      <c r="K456" s="12">
        <v>86200</v>
      </c>
      <c r="L456" s="12" t="s">
        <v>35</v>
      </c>
      <c r="M456" s="13">
        <v>200803150425</v>
      </c>
      <c r="N456" s="14" t="s">
        <v>3310</v>
      </c>
      <c r="O456" s="14" t="s">
        <v>54</v>
      </c>
      <c r="P456" s="14">
        <v>47300</v>
      </c>
      <c r="Q456" s="19" t="s">
        <v>3311</v>
      </c>
      <c r="R456" s="15" t="s">
        <v>3312</v>
      </c>
      <c r="S456" s="15" t="s">
        <v>37</v>
      </c>
      <c r="T456" s="16" t="s">
        <v>38</v>
      </c>
      <c r="U456" s="11" t="str">
        <f>_xlfn.XLOOKUP(Customer[[#This Row],[Customer ID]],[1]!Address[ID],[1]!Address[Phone No.(2)])</f>
        <v/>
      </c>
      <c r="V456" s="11" t="str">
        <f>_xlfn.XLOOKUP(Customer[[#This Row],[Customer ID]],[1]!Address[ID],[1]!Address[Type])</f>
        <v>PETROMART</v>
      </c>
      <c r="W456" s="11" t="str">
        <f>_xlfn.XLOOKUP(Customer[[#This Row],[Customer ID]],[1]!Address[ID],[1]!Address[CT])</f>
        <v>30 DAYS</v>
      </c>
      <c r="X456" s="11" t="s">
        <v>39</v>
      </c>
      <c r="Y456" s="17" t="s">
        <v>40</v>
      </c>
      <c r="Z456" s="17" t="e">
        <f>_xlfn.XLOOKUP(Customer[[#This Row],[NewType]],$AF$36:$AF$54,$AG$36:$AG$54)</f>
        <v>#N/A</v>
      </c>
      <c r="AA456" s="17" t="s">
        <v>3313</v>
      </c>
      <c r="AB456" s="11" t="str">
        <f>_xlfn.XLOOKUP(Customer[[#This Row],[Customer ID]],[1]!Address[ID],[1]!Address[Subtype])</f>
        <v>PETRONAS</v>
      </c>
      <c r="AC456" s="18" t="str">
        <f>_xlfn.XLOOKUP(Customer[[#This Row],[Customer ID]],[1]!Address[ID],[1]!Address[Zone])</f>
        <v>SOUTH</v>
      </c>
    </row>
    <row r="457" spans="1:29" x14ac:dyDescent="0.3">
      <c r="A457" s="10" t="s">
        <v>3314</v>
      </c>
      <c r="B457" s="11" t="str">
        <f>_xlfn.XLOOKUP(Customer[[#This Row],[Customer ID]],[1]!Name[ID],[1]!Name[Description(1)])</f>
        <v>JT MAJU PETRO &amp; FAMILY MART SDN</v>
      </c>
      <c r="C457" s="11" t="str">
        <f>_xlfn.XLOOKUP(Customer[[#This Row],[Customer ID]],[1]!Name[ID],[1]!Name[Description(2)])</f>
        <v>PS MACHAP (SOUTH BOUND)</v>
      </c>
      <c r="D457" s="11" t="str">
        <f>_xlfn.XLOOKUP(Customer[[#This Row],[Customer ID]],[1]!Address[ID],[1]!Address[PIC])</f>
        <v/>
      </c>
      <c r="E457" s="11" t="str">
        <f>_xlfn.XLOOKUP(Customer[[#This Row],[Customer ID]],[1]!Address[ID],[1]!Address[Full Address])</f>
        <v>PS MACHAP (SOUTH BOUND)KAWASAN REHAT &amp; RAWAT PLUS, MACHAPARAH SELATAN, JOHOR, 86200, KLUANG,JOHOR</v>
      </c>
      <c r="F457" s="12" t="s">
        <v>3315</v>
      </c>
      <c r="G457" s="12" t="s">
        <v>3316</v>
      </c>
      <c r="H457" s="12" t="s">
        <v>3317</v>
      </c>
      <c r="I457" s="12" t="b">
        <f>ISNUMBER(VALUE(LEFT(Customer[[#This Row],[Address Line 3 (30 char)]],1)))</f>
        <v>0</v>
      </c>
      <c r="J457" s="12" t="s">
        <v>52</v>
      </c>
      <c r="K457" s="12">
        <v>86200</v>
      </c>
      <c r="L457" s="12" t="s">
        <v>35</v>
      </c>
      <c r="M457" s="13" t="e">
        <v>#N/A</v>
      </c>
      <c r="N457" s="14" t="e">
        <v>#N/A</v>
      </c>
      <c r="O457" s="14" t="e">
        <v>#N/A</v>
      </c>
      <c r="P457" s="14" t="e">
        <v>#N/A</v>
      </c>
      <c r="Q457" s="19" t="s">
        <v>3318</v>
      </c>
      <c r="R457" s="15" t="s">
        <v>3319</v>
      </c>
      <c r="S457" s="15" t="s">
        <v>37</v>
      </c>
      <c r="T457" s="16" t="s">
        <v>38</v>
      </c>
      <c r="U457" s="11" t="str">
        <f>_xlfn.XLOOKUP(Customer[[#This Row],[Customer ID]],[1]!Address[ID],[1]!Address[Phone No.(2)])</f>
        <v/>
      </c>
      <c r="V457" s="11" t="str">
        <f>_xlfn.XLOOKUP(Customer[[#This Row],[Customer ID]],[1]!Address[ID],[1]!Address[Type])</f>
        <v>PETROMART</v>
      </c>
      <c r="W457" s="11" t="str">
        <f>_xlfn.XLOOKUP(Customer[[#This Row],[Customer ID]],[1]!Address[ID],[1]!Address[CT])</f>
        <v>30 DAYS</v>
      </c>
      <c r="X457" s="11" t="s">
        <v>39</v>
      </c>
      <c r="Y457" s="17" t="s">
        <v>40</v>
      </c>
      <c r="Z457" s="17" t="e">
        <f>_xlfn.XLOOKUP(Customer[[#This Row],[NewType]],$AF$36:$AF$54,$AG$36:$AG$54)</f>
        <v>#N/A</v>
      </c>
      <c r="AA457" s="17" t="s">
        <v>3320</v>
      </c>
      <c r="AB457" s="11" t="str">
        <f>_xlfn.XLOOKUP(Customer[[#This Row],[Customer ID]],[1]!Address[ID],[1]!Address[Subtype])</f>
        <v>PETRONAS</v>
      </c>
      <c r="AC457" s="18" t="str">
        <f>_xlfn.XLOOKUP(Customer[[#This Row],[Customer ID]],[1]!Address[ID],[1]!Address[Zone])</f>
        <v>SOUTH</v>
      </c>
    </row>
    <row r="458" spans="1:29" x14ac:dyDescent="0.3">
      <c r="A458" s="10" t="s">
        <v>3321</v>
      </c>
      <c r="B458" s="11" t="str">
        <f>_xlfn.XLOOKUP(Customer[[#This Row],[Customer ID]],[1]!Name[ID],[1]!Name[Description(1)])</f>
        <v>SUFI FILLING STATION</v>
      </c>
      <c r="C458" s="11" t="str">
        <f>_xlfn.XLOOKUP(Customer[[#This Row],[Customer ID]],[1]!Name[ID],[1]!Name[Description(2)])</f>
        <v>PS MAKA</v>
      </c>
      <c r="D458" s="11" t="str">
        <f>_xlfn.XLOOKUP(Customer[[#This Row],[Customer ID]],[1]!Address[ID],[1]!Address[PIC])</f>
        <v/>
      </c>
      <c r="E458" s="11" t="str">
        <f>_xlfn.XLOOKUP(Customer[[#This Row],[Customer ID]],[1]!Address[ID],[1]!Address[Full Address])</f>
        <v>PS MAKALOT PT 1053, MUKIM MAKA, JALAN PASIR MAS17500, TANAH MERAH, KELANTAN</v>
      </c>
      <c r="F458" s="12" t="s">
        <v>3322</v>
      </c>
      <c r="G458" s="12" t="s">
        <v>3323</v>
      </c>
      <c r="H458" s="12" t="s">
        <v>3324</v>
      </c>
      <c r="I458" s="12" t="b">
        <f>ISNUMBER(VALUE(LEFT(Customer[[#This Row],[Address Line 3 (30 char)]],1)))</f>
        <v>0</v>
      </c>
      <c r="J458" s="12" t="s">
        <v>1007</v>
      </c>
      <c r="K458" s="12">
        <v>17500</v>
      </c>
      <c r="L458" s="12" t="s">
        <v>35</v>
      </c>
      <c r="M458" s="13">
        <v>201203284941</v>
      </c>
      <c r="N458" s="14" t="s">
        <v>3325</v>
      </c>
      <c r="O458" s="14" t="e">
        <v>#N/A</v>
      </c>
      <c r="P458" s="14" t="e">
        <v>#N/A</v>
      </c>
      <c r="Q458" s="19" t="s">
        <v>3326</v>
      </c>
      <c r="R458" s="15" t="s">
        <v>3327</v>
      </c>
      <c r="S458" s="15" t="s">
        <v>37</v>
      </c>
      <c r="T458" s="16" t="s">
        <v>38</v>
      </c>
      <c r="U458" s="11" t="str">
        <f>_xlfn.XLOOKUP(Customer[[#This Row],[Customer ID]],[1]!Address[ID],[1]!Address[Phone No.(2)])</f>
        <v/>
      </c>
      <c r="V458" s="11" t="str">
        <f>_xlfn.XLOOKUP(Customer[[#This Row],[Customer ID]],[1]!Address[ID],[1]!Address[Type])</f>
        <v>PETROMART</v>
      </c>
      <c r="W458" s="11" t="str">
        <f>_xlfn.XLOOKUP(Customer[[#This Row],[Customer ID]],[1]!Address[ID],[1]!Address[CT])</f>
        <v>30 DAYS</v>
      </c>
      <c r="X458" s="11" t="s">
        <v>39</v>
      </c>
      <c r="Y458" s="17" t="s">
        <v>40</v>
      </c>
      <c r="Z458" s="17" t="e">
        <f>_xlfn.XLOOKUP(Customer[[#This Row],[NewType]],$AF$36:$AF$54,$AG$36:$AG$54)</f>
        <v>#N/A</v>
      </c>
      <c r="AA458" s="17" t="s">
        <v>3328</v>
      </c>
      <c r="AB458" s="11" t="str">
        <f>_xlfn.XLOOKUP(Customer[[#This Row],[Customer ID]],[1]!Address[ID],[1]!Address[Subtype])</f>
        <v>PETRONAS</v>
      </c>
      <c r="AC458" s="18" t="str">
        <f>_xlfn.XLOOKUP(Customer[[#This Row],[Customer ID]],[1]!Address[ID],[1]!Address[Zone])</f>
        <v>EAST COAST</v>
      </c>
    </row>
    <row r="459" spans="1:29" x14ac:dyDescent="0.3">
      <c r="A459" s="10" t="s">
        <v>3329</v>
      </c>
      <c r="B459" s="11" t="str">
        <f>_xlfn.XLOOKUP(Customer[[#This Row],[Customer ID]],[1]!Name[ID],[1]!Name[Description(1)])</f>
        <v>EXQ RETAIL</v>
      </c>
      <c r="C459" s="11" t="str">
        <f>_xlfn.XLOOKUP(Customer[[#This Row],[Customer ID]],[1]!Name[ID],[1]!Name[Description(2)])</f>
        <v>PS MAMBAU</v>
      </c>
      <c r="D459" s="11" t="str">
        <f>_xlfn.XLOOKUP(Customer[[#This Row],[Customer ID]],[1]!Address[ID],[1]!Address[PIC])</f>
        <v/>
      </c>
      <c r="E459" s="11" t="str">
        <f>_xlfn.XLOOKUP(Customer[[#This Row],[Customer ID]],[1]!Address[ID],[1]!Address[Full Address])</f>
        <v>PS MAMBAULOT 4704, BATU 2 1/2, JLN SEREMBAN-PORtDICKSON, SEREMBAN, 70300NEGERI SEMBILAN</v>
      </c>
      <c r="F459" s="12" t="s">
        <v>3330</v>
      </c>
      <c r="G459" s="12" t="s">
        <v>3331</v>
      </c>
      <c r="H459" s="12" t="s">
        <v>3332</v>
      </c>
      <c r="I459" s="12" t="b">
        <f>ISNUMBER(VALUE(LEFT(Customer[[#This Row],[Address Line 3 (30 char)]],1)))</f>
        <v>0</v>
      </c>
      <c r="J459" s="12" t="s">
        <v>203</v>
      </c>
      <c r="K459" s="12">
        <v>70300</v>
      </c>
      <c r="L459" s="12" t="s">
        <v>35</v>
      </c>
      <c r="M459" s="13" t="e">
        <v>#N/A</v>
      </c>
      <c r="N459" s="14" t="e">
        <v>#N/A</v>
      </c>
      <c r="O459" s="14" t="e">
        <v>#N/A</v>
      </c>
      <c r="P459" s="14" t="e">
        <v>#N/A</v>
      </c>
      <c r="Q459" s="19" t="s">
        <v>3333</v>
      </c>
      <c r="R459" s="15" t="s">
        <v>3334</v>
      </c>
      <c r="S459" s="15" t="s">
        <v>37</v>
      </c>
      <c r="T459" s="16" t="s">
        <v>38</v>
      </c>
      <c r="U459" s="11" t="str">
        <f>_xlfn.XLOOKUP(Customer[[#This Row],[Customer ID]],[1]!Address[ID],[1]!Address[Phone No.(2)])</f>
        <v/>
      </c>
      <c r="V459" s="11" t="str">
        <f>_xlfn.XLOOKUP(Customer[[#This Row],[Customer ID]],[1]!Address[ID],[1]!Address[Type])</f>
        <v>PETROMART</v>
      </c>
      <c r="W459" s="11" t="str">
        <f>_xlfn.XLOOKUP(Customer[[#This Row],[Customer ID]],[1]!Address[ID],[1]!Address[CT])</f>
        <v>30 DAYS</v>
      </c>
      <c r="X459" s="11" t="s">
        <v>39</v>
      </c>
      <c r="Y459" s="17" t="s">
        <v>40</v>
      </c>
      <c r="Z459" s="17" t="e">
        <f>_xlfn.XLOOKUP(Customer[[#This Row],[NewType]],$AF$36:$AF$54,$AG$36:$AG$54)</f>
        <v>#N/A</v>
      </c>
      <c r="AA459" s="17" t="s">
        <v>3335</v>
      </c>
      <c r="AB459" s="11" t="str">
        <f>_xlfn.XLOOKUP(Customer[[#This Row],[Customer ID]],[1]!Address[ID],[1]!Address[Subtype])</f>
        <v>PETRONAS</v>
      </c>
      <c r="AC459" s="18" t="str">
        <f>_xlfn.XLOOKUP(Customer[[#This Row],[Customer ID]],[1]!Address[ID],[1]!Address[Zone])</f>
        <v>CENTRAL</v>
      </c>
    </row>
    <row r="460" spans="1:29" x14ac:dyDescent="0.3">
      <c r="A460" s="10" t="s">
        <v>3336</v>
      </c>
      <c r="B460" s="11" t="str">
        <f>_xlfn.XLOOKUP(Customer[[#This Row],[Customer ID]],[1]!Name[ID],[1]!Name[Description(1)])</f>
        <v>Z A CERIA VENTURES</v>
      </c>
      <c r="C460" s="11" t="str">
        <f>_xlfn.XLOOKUP(Customer[[#This Row],[Customer ID]],[1]!Name[ID],[1]!Name[Description(2)])</f>
        <v>PS MANJALARA</v>
      </c>
      <c r="D460" s="11" t="str">
        <f>_xlfn.XLOOKUP(Customer[[#This Row],[Customer ID]],[1]!Address[ID],[1]!Address[PIC])</f>
        <v/>
      </c>
      <c r="E460" s="11" t="str">
        <f>_xlfn.XLOOKUP(Customer[[#This Row],[Customer ID]],[1]!Address[ID],[1]!Address[Full Address])</f>
        <v>PS MANJALARALOT PT 44665, MUKIM BATU, BANDARMENJALARA, KUALA LUMPUR, 52000WILAYAH PERSEKUTUAN KUALA LUMPUR</v>
      </c>
      <c r="F460" s="12" t="s">
        <v>3337</v>
      </c>
      <c r="G460" s="12" t="s">
        <v>3338</v>
      </c>
      <c r="H460" s="12" t="s">
        <v>3339</v>
      </c>
      <c r="I460" s="12" t="b">
        <f>ISNUMBER(VALUE(LEFT(Customer[[#This Row],[Address Line 3 (30 char)]],1)))</f>
        <v>0</v>
      </c>
      <c r="J460" s="12" t="s">
        <v>34</v>
      </c>
      <c r="K460" s="12">
        <v>52000</v>
      </c>
      <c r="L460" s="12" t="s">
        <v>35</v>
      </c>
      <c r="M460" s="13" t="e">
        <v>#N/A</v>
      </c>
      <c r="N460" s="14" t="e">
        <v>#N/A</v>
      </c>
      <c r="O460" s="14" t="e">
        <v>#N/A</v>
      </c>
      <c r="P460" s="14" t="e">
        <v>#N/A</v>
      </c>
      <c r="Q460" s="19" t="s">
        <v>3340</v>
      </c>
      <c r="R460" s="15" t="s">
        <v>3341</v>
      </c>
      <c r="S460" s="15" t="s">
        <v>37</v>
      </c>
      <c r="T460" s="16" t="s">
        <v>38</v>
      </c>
      <c r="U460" s="11" t="str">
        <f>_xlfn.XLOOKUP(Customer[[#This Row],[Customer ID]],[1]!Address[ID],[1]!Address[Phone No.(2)])</f>
        <v/>
      </c>
      <c r="V460" s="11" t="str">
        <f>_xlfn.XLOOKUP(Customer[[#This Row],[Customer ID]],[1]!Address[ID],[1]!Address[Type])</f>
        <v>PETROMART</v>
      </c>
      <c r="W460" s="11" t="str">
        <f>_xlfn.XLOOKUP(Customer[[#This Row],[Customer ID]],[1]!Address[ID],[1]!Address[CT])</f>
        <v>30 DAYS</v>
      </c>
      <c r="X460" s="11" t="s">
        <v>39</v>
      </c>
      <c r="Y460" s="17" t="s">
        <v>40</v>
      </c>
      <c r="Z460" s="17" t="e">
        <f>_xlfn.XLOOKUP(Customer[[#This Row],[NewType]],$AF$36:$AF$54,$AG$36:$AG$54)</f>
        <v>#N/A</v>
      </c>
      <c r="AA460" s="17" t="s">
        <v>3342</v>
      </c>
      <c r="AB460" s="11" t="str">
        <f>_xlfn.XLOOKUP(Customer[[#This Row],[Customer ID]],[1]!Address[ID],[1]!Address[Subtype])</f>
        <v>PETRONAS</v>
      </c>
      <c r="AC460" s="18" t="str">
        <f>_xlfn.XLOOKUP(Customer[[#This Row],[Customer ID]],[1]!Address[ID],[1]!Address[Zone])</f>
        <v>CENTRAL</v>
      </c>
    </row>
    <row r="461" spans="1:29" x14ac:dyDescent="0.3">
      <c r="A461" s="10" t="s">
        <v>3343</v>
      </c>
      <c r="B461" s="11" t="str">
        <f>_xlfn.XLOOKUP(Customer[[#This Row],[Customer ID]],[1]!Name[ID],[1]!Name[Description(1)])</f>
        <v>IPTB DAGANG SDN BHD</v>
      </c>
      <c r="C461" s="11" t="str">
        <f>_xlfn.XLOOKUP(Customer[[#This Row],[Customer ID]],[1]!Name[ID],[1]!Name[Description(2)])</f>
        <v>PS MANJUNG POINT</v>
      </c>
      <c r="D461" s="11" t="str">
        <f>_xlfn.XLOOKUP(Customer[[#This Row],[Customer ID]],[1]!Address[ID],[1]!Address[PIC])</f>
        <v/>
      </c>
      <c r="E461" s="11" t="str">
        <f>_xlfn.XLOOKUP(Customer[[#This Row],[Customer ID]],[1]!Address[ID],[1]!Address[Full Address])</f>
        <v>PS MANJUNG POINTPT 15073, PUSAT PERNIAGAAN MANJUNG POINT3,  32040, MANJUNG, PERAK</v>
      </c>
      <c r="F461" s="12" t="s">
        <v>3344</v>
      </c>
      <c r="G461" s="12" t="s">
        <v>3345</v>
      </c>
      <c r="H461" s="24" t="s">
        <v>3346</v>
      </c>
      <c r="I461" s="24" t="b">
        <f>ISNUMBER(VALUE(LEFT(Customer[[#This Row],[Address Line 3 (30 char)]],1)))</f>
        <v>0</v>
      </c>
      <c r="J461" s="12" t="s">
        <v>387</v>
      </c>
      <c r="K461" s="12">
        <v>32040</v>
      </c>
      <c r="L461" s="12" t="s">
        <v>35</v>
      </c>
      <c r="M461" s="13" t="s">
        <v>3347</v>
      </c>
      <c r="N461" s="14" t="s">
        <v>3348</v>
      </c>
      <c r="O461" s="14" t="s">
        <v>54</v>
      </c>
      <c r="P461" s="14">
        <v>47999</v>
      </c>
      <c r="Q461" s="19" t="s">
        <v>3349</v>
      </c>
      <c r="R461" s="15" t="s">
        <v>3350</v>
      </c>
      <c r="S461" s="15" t="s">
        <v>37</v>
      </c>
      <c r="T461" s="16" t="s">
        <v>38</v>
      </c>
      <c r="U461" s="11" t="str">
        <f>_xlfn.XLOOKUP(Customer[[#This Row],[Customer ID]],[1]!Address[ID],[1]!Address[Phone No.(2)])</f>
        <v/>
      </c>
      <c r="V461" s="11" t="str">
        <f>_xlfn.XLOOKUP(Customer[[#This Row],[Customer ID]],[1]!Address[ID],[1]!Address[Type])</f>
        <v>PETROMART</v>
      </c>
      <c r="W461" s="11" t="str">
        <f>_xlfn.XLOOKUP(Customer[[#This Row],[Customer ID]],[1]!Address[ID],[1]!Address[CT])</f>
        <v>30 DAYS</v>
      </c>
      <c r="X461" s="11" t="s">
        <v>39</v>
      </c>
      <c r="Y461" s="17" t="s">
        <v>40</v>
      </c>
      <c r="Z461" s="17" t="e">
        <f>_xlfn.XLOOKUP(Customer[[#This Row],[NewType]],$AF$36:$AF$54,$AG$36:$AG$54)</f>
        <v>#N/A</v>
      </c>
      <c r="AA461" s="17" t="s">
        <v>3351</v>
      </c>
      <c r="AB461" s="11" t="str">
        <f>_xlfn.XLOOKUP(Customer[[#This Row],[Customer ID]],[1]!Address[ID],[1]!Address[Subtype])</f>
        <v>PETRONAS</v>
      </c>
      <c r="AC461" s="18" t="str">
        <f>_xlfn.XLOOKUP(Customer[[#This Row],[Customer ID]],[1]!Address[ID],[1]!Address[Zone])</f>
        <v>NORTH</v>
      </c>
    </row>
    <row r="462" spans="1:29" x14ac:dyDescent="0.3">
      <c r="A462" s="10" t="s">
        <v>3352</v>
      </c>
      <c r="B462" s="11" t="str">
        <f>_xlfn.XLOOKUP(Customer[[#This Row],[Customer ID]],[1]!Name[ID],[1]!Name[Description(1)])</f>
        <v>ADEENADIA ENTERPRISE</v>
      </c>
      <c r="C462" s="11" t="str">
        <f>_xlfn.XLOOKUP(Customer[[#This Row],[Customer ID]],[1]!Name[ID],[1]!Name[Description(2)])</f>
        <v>PS MANTIN</v>
      </c>
      <c r="D462" s="11" t="str">
        <f>_xlfn.XLOOKUP(Customer[[#This Row],[Customer ID]],[1]!Address[ID],[1]!Address[PIC])</f>
        <v/>
      </c>
      <c r="E462" s="11" t="str">
        <f>_xlfn.XLOOKUP(Customer[[#This Row],[Customer ID]],[1]!Address[ID],[1]!Address[Full Address])</f>
        <v>PS MANTINLOT PT10  JALAN BESAR MANTIN PEKANMANTIN, 71700 MANTIN NEGERI SEMBILAN</v>
      </c>
      <c r="F462" s="12" t="s">
        <v>3353</v>
      </c>
      <c r="G462" s="12" t="s">
        <v>3354</v>
      </c>
      <c r="H462" s="12" t="s">
        <v>3355</v>
      </c>
      <c r="I462" s="12" t="b">
        <f>ISNUMBER(VALUE(LEFT(Customer[[#This Row],[Address Line 3 (30 char)]],1)))</f>
        <v>0</v>
      </c>
      <c r="J462" s="12" t="s">
        <v>203</v>
      </c>
      <c r="K462" s="12">
        <v>71700</v>
      </c>
      <c r="L462" s="12" t="s">
        <v>35</v>
      </c>
      <c r="M462" s="13" t="e">
        <v>#N/A</v>
      </c>
      <c r="N462" s="14" t="e">
        <v>#N/A</v>
      </c>
      <c r="O462" s="14" t="e">
        <v>#N/A</v>
      </c>
      <c r="P462" s="14" t="e">
        <v>#N/A</v>
      </c>
      <c r="Q462" s="19" t="s">
        <v>3356</v>
      </c>
      <c r="R462" s="15" t="s">
        <v>3357</v>
      </c>
      <c r="S462" s="15" t="s">
        <v>37</v>
      </c>
      <c r="T462" s="16" t="s">
        <v>38</v>
      </c>
      <c r="U462" s="11" t="str">
        <f>_xlfn.XLOOKUP(Customer[[#This Row],[Customer ID]],[1]!Address[ID],[1]!Address[Phone No.(2)])</f>
        <v/>
      </c>
      <c r="V462" s="11" t="str">
        <f>_xlfn.XLOOKUP(Customer[[#This Row],[Customer ID]],[1]!Address[ID],[1]!Address[Type])</f>
        <v>PETROMART</v>
      </c>
      <c r="W462" s="11" t="str">
        <f>_xlfn.XLOOKUP(Customer[[#This Row],[Customer ID]],[1]!Address[ID],[1]!Address[CT])</f>
        <v>30 DAYS</v>
      </c>
      <c r="X462" s="11" t="s">
        <v>39</v>
      </c>
      <c r="Y462" s="17" t="s">
        <v>40</v>
      </c>
      <c r="Z462" s="17" t="e">
        <f>_xlfn.XLOOKUP(Customer[[#This Row],[NewType]],$AF$36:$AF$54,$AG$36:$AG$54)</f>
        <v>#N/A</v>
      </c>
      <c r="AA462" s="17" t="s">
        <v>3358</v>
      </c>
      <c r="AB462" s="11" t="str">
        <f>_xlfn.XLOOKUP(Customer[[#This Row],[Customer ID]],[1]!Address[ID],[1]!Address[Subtype])</f>
        <v>PETRONAS</v>
      </c>
      <c r="AC462" s="18" t="str">
        <f>_xlfn.XLOOKUP(Customer[[#This Row],[Customer ID]],[1]!Address[ID],[1]!Address[Zone])</f>
        <v>CENTRAL</v>
      </c>
    </row>
    <row r="463" spans="1:29" x14ac:dyDescent="0.3">
      <c r="A463" s="10" t="s">
        <v>3359</v>
      </c>
      <c r="B463" s="11" t="str">
        <f>_xlfn.XLOOKUP(Customer[[#This Row],[Customer ID]],[1]!Name[ID],[1]!Name[Description(1)])</f>
        <v>RAQWAN PERMAI SDN BHD</v>
      </c>
      <c r="C463" s="11" t="str">
        <f>_xlfn.XLOOKUP(Customer[[#This Row],[Customer ID]],[1]!Name[ID],[1]!Name[Description(2)])</f>
        <v>PS MARANG</v>
      </c>
      <c r="D463" s="11" t="str">
        <f>_xlfn.XLOOKUP(Customer[[#This Row],[Customer ID]],[1]!Address[ID],[1]!Address[PIC])</f>
        <v/>
      </c>
      <c r="E463" s="11" t="str">
        <f>_xlfn.XLOOKUP(Customer[[#This Row],[Customer ID]],[1]!Address[ID],[1]!Address[Full Address])</f>
        <v>PS MARANGLOT PT 8497, MUKIM PULAU KERENGGA,MARANG, TERENGGANU, 20300, MARANG,</v>
      </c>
      <c r="F463" s="12" t="s">
        <v>3360</v>
      </c>
      <c r="G463" s="12" t="s">
        <v>3361</v>
      </c>
      <c r="H463" s="12" t="s">
        <v>3362</v>
      </c>
      <c r="I463" s="12" t="b">
        <f>ISNUMBER(VALUE(LEFT(Customer[[#This Row],[Address Line 3 (30 char)]],1)))</f>
        <v>0</v>
      </c>
      <c r="J463" s="12" t="s">
        <v>1056</v>
      </c>
      <c r="K463" s="12">
        <v>20300</v>
      </c>
      <c r="L463" s="12" t="s">
        <v>35</v>
      </c>
      <c r="M463" s="13" t="e">
        <v>#N/A</v>
      </c>
      <c r="N463" s="14" t="e">
        <v>#N/A</v>
      </c>
      <c r="O463" s="14" t="e">
        <v>#N/A</v>
      </c>
      <c r="P463" s="14" t="e">
        <v>#N/A</v>
      </c>
      <c r="Q463" s="19" t="s">
        <v>3363</v>
      </c>
      <c r="R463" s="15" t="s">
        <v>3364</v>
      </c>
      <c r="S463" s="15" t="s">
        <v>37</v>
      </c>
      <c r="T463" s="16" t="s">
        <v>38</v>
      </c>
      <c r="U463" s="11" t="str">
        <f>_xlfn.XLOOKUP(Customer[[#This Row],[Customer ID]],[1]!Address[ID],[1]!Address[Phone No.(2)])</f>
        <v/>
      </c>
      <c r="V463" s="11" t="str">
        <f>_xlfn.XLOOKUP(Customer[[#This Row],[Customer ID]],[1]!Address[ID],[1]!Address[Type])</f>
        <v>PETROMART</v>
      </c>
      <c r="W463" s="11" t="str">
        <f>_xlfn.XLOOKUP(Customer[[#This Row],[Customer ID]],[1]!Address[ID],[1]!Address[CT])</f>
        <v>30 DAYS</v>
      </c>
      <c r="X463" s="11" t="s">
        <v>39</v>
      </c>
      <c r="Y463" s="17" t="s">
        <v>40</v>
      </c>
      <c r="Z463" s="17" t="e">
        <f>_xlfn.XLOOKUP(Customer[[#This Row],[NewType]],$AF$36:$AF$54,$AG$36:$AG$54)</f>
        <v>#N/A</v>
      </c>
      <c r="AA463" s="17" t="s">
        <v>3365</v>
      </c>
      <c r="AB463" s="11" t="str">
        <f>_xlfn.XLOOKUP(Customer[[#This Row],[Customer ID]],[1]!Address[ID],[1]!Address[Subtype])</f>
        <v>PETRONAS</v>
      </c>
      <c r="AC463" s="18" t="str">
        <f>_xlfn.XLOOKUP(Customer[[#This Row],[Customer ID]],[1]!Address[ID],[1]!Address[Zone])</f>
        <v>EAST COAST</v>
      </c>
    </row>
    <row r="464" spans="1:29" x14ac:dyDescent="0.3">
      <c r="A464" s="10" t="s">
        <v>3366</v>
      </c>
      <c r="B464" s="11" t="str">
        <f>_xlfn.XLOOKUP(Customer[[#This Row],[Customer ID]],[1]!Name[ID],[1]!Name[Description(1)])</f>
        <v>MARINA STATION SDN. BHD</v>
      </c>
      <c r="C464" s="11" t="str">
        <f>_xlfn.XLOOKUP(Customer[[#This Row],[Customer ID]],[1]!Name[ID],[1]!Name[Description(2)])</f>
        <v>PS MARINA LUMUT</v>
      </c>
      <c r="D464" s="11" t="str">
        <f>_xlfn.XLOOKUP(Customer[[#This Row],[Customer ID]],[1]!Address[ID],[1]!Address[PIC])</f>
        <v/>
      </c>
      <c r="E464" s="11" t="str">
        <f>_xlfn.XLOOKUP(Customer[[#This Row],[Customer ID]],[1]!Address[ID],[1]!Address[Full Address])</f>
        <v>PS MARINA LUMUTPT 19710 (L/K), TELUK MUROH, 32200 LUMUTPERAK</v>
      </c>
      <c r="F464" s="12" t="s">
        <v>3367</v>
      </c>
      <c r="G464" s="12" t="s">
        <v>3368</v>
      </c>
      <c r="H464" s="12" t="s">
        <v>3369</v>
      </c>
      <c r="I464" s="12" t="b">
        <f>ISNUMBER(VALUE(LEFT(Customer[[#This Row],[Address Line 3 (30 char)]],1)))</f>
        <v>0</v>
      </c>
      <c r="J464" s="12" t="s">
        <v>387</v>
      </c>
      <c r="K464" s="12">
        <v>32200</v>
      </c>
      <c r="L464" s="12" t="s">
        <v>35</v>
      </c>
      <c r="M464" s="13" t="e">
        <v>#N/A</v>
      </c>
      <c r="N464" s="14" t="e">
        <v>#N/A</v>
      </c>
      <c r="O464" s="14" t="e">
        <v>#N/A</v>
      </c>
      <c r="P464" s="14" t="e">
        <v>#N/A</v>
      </c>
      <c r="Q464" s="19" t="s">
        <v>3370</v>
      </c>
      <c r="R464" s="15" t="s">
        <v>3371</v>
      </c>
      <c r="S464" s="15" t="s">
        <v>74</v>
      </c>
      <c r="T464" s="16" t="s">
        <v>38</v>
      </c>
      <c r="U464" s="11" t="str">
        <f>_xlfn.XLOOKUP(Customer[[#This Row],[Customer ID]],[1]!Address[ID],[1]!Address[Phone No.(2)])</f>
        <v/>
      </c>
      <c r="V464" s="11" t="str">
        <f>_xlfn.XLOOKUP(Customer[[#This Row],[Customer ID]],[1]!Address[ID],[1]!Address[Type])</f>
        <v>PETROMART</v>
      </c>
      <c r="W464" s="11" t="str">
        <f>_xlfn.XLOOKUP(Customer[[#This Row],[Customer ID]],[1]!Address[ID],[1]!Address[CT])</f>
        <v>30 DAYS</v>
      </c>
      <c r="X464" s="11" t="s">
        <v>39</v>
      </c>
      <c r="Y464" s="17" t="s">
        <v>40</v>
      </c>
      <c r="Z464" s="17" t="e">
        <f>_xlfn.XLOOKUP(Customer[[#This Row],[NewType]],$AF$36:$AF$54,$AG$36:$AG$54)</f>
        <v>#N/A</v>
      </c>
      <c r="AA464" s="17" t="s">
        <v>3372</v>
      </c>
      <c r="AB464" s="11" t="str">
        <f>_xlfn.XLOOKUP(Customer[[#This Row],[Customer ID]],[1]!Address[ID],[1]!Address[Subtype])</f>
        <v>PETRONAS</v>
      </c>
      <c r="AC464" s="18" t="str">
        <f>_xlfn.XLOOKUP(Customer[[#This Row],[Customer ID]],[1]!Address[ID],[1]!Address[Zone])</f>
        <v>NORTH</v>
      </c>
    </row>
    <row r="465" spans="1:29" x14ac:dyDescent="0.3">
      <c r="A465" s="10" t="s">
        <v>3373</v>
      </c>
      <c r="B465" s="11" t="str">
        <f>_xlfn.XLOOKUP(Customer[[#This Row],[Customer ID]],[1]!Name[ID],[1]!Name[Description(1)])</f>
        <v>UMATEN BIZ ENTERPRISE</v>
      </c>
      <c r="C465" s="11" t="str">
        <f>_xlfn.XLOOKUP(Customer[[#This Row],[Customer ID]],[1]!Name[ID],[1]!Name[Description(2)])</f>
        <v>PS MASJID TANAH</v>
      </c>
      <c r="D465" s="11" t="str">
        <f>_xlfn.XLOOKUP(Customer[[#This Row],[Customer ID]],[1]!Address[ID],[1]!Address[PIC])</f>
        <v/>
      </c>
      <c r="E465" s="11" t="str">
        <f>_xlfn.XLOOKUP(Customer[[#This Row],[Customer ID]],[1]!Address[ID],[1]!Address[Full Address])</f>
        <v>PS MASJID TANAHLOT PT 851, MUKIM SG. BARU ULU, PEKANMASJID TANAH,MELAKA, 78300, ALOR GAJAH,MELAKA</v>
      </c>
      <c r="F465" s="12" t="s">
        <v>3374</v>
      </c>
      <c r="G465" s="12" t="s">
        <v>3375</v>
      </c>
      <c r="H465" s="12" t="s">
        <v>3376</v>
      </c>
      <c r="I465" s="12" t="b">
        <f>ISNUMBER(VALUE(LEFT(Customer[[#This Row],[Address Line 3 (30 char)]],1)))</f>
        <v>0</v>
      </c>
      <c r="J465" s="12" t="s">
        <v>61</v>
      </c>
      <c r="K465" s="12">
        <v>78300</v>
      </c>
      <c r="L465" s="12" t="s">
        <v>35</v>
      </c>
      <c r="M465" s="13">
        <v>201903199693</v>
      </c>
      <c r="N465" s="14" t="s">
        <v>3377</v>
      </c>
      <c r="O465" s="14" t="s">
        <v>54</v>
      </c>
      <c r="P465" s="14">
        <v>47300</v>
      </c>
      <c r="Q465" s="19" t="s">
        <v>3378</v>
      </c>
      <c r="R465" s="15" t="s">
        <v>3379</v>
      </c>
      <c r="S465" s="15" t="s">
        <v>37</v>
      </c>
      <c r="T465" s="16" t="s">
        <v>38</v>
      </c>
      <c r="U465" s="11" t="str">
        <f>_xlfn.XLOOKUP(Customer[[#This Row],[Customer ID]],[1]!Address[ID],[1]!Address[Phone No.(2)])</f>
        <v/>
      </c>
      <c r="V465" s="11" t="str">
        <f>_xlfn.XLOOKUP(Customer[[#This Row],[Customer ID]],[1]!Address[ID],[1]!Address[Type])</f>
        <v>PETROMART</v>
      </c>
      <c r="W465" s="11" t="str">
        <f>_xlfn.XLOOKUP(Customer[[#This Row],[Customer ID]],[1]!Address[ID],[1]!Address[CT])</f>
        <v>30 DAYS</v>
      </c>
      <c r="X465" s="11" t="s">
        <v>39</v>
      </c>
      <c r="Y465" s="17" t="s">
        <v>40</v>
      </c>
      <c r="Z465" s="17" t="e">
        <f>_xlfn.XLOOKUP(Customer[[#This Row],[NewType]],$AF$36:$AF$54,$AG$36:$AG$54)</f>
        <v>#N/A</v>
      </c>
      <c r="AA465" s="17" t="s">
        <v>3380</v>
      </c>
      <c r="AB465" s="11" t="str">
        <f>_xlfn.XLOOKUP(Customer[[#This Row],[Customer ID]],[1]!Address[ID],[1]!Address[Subtype])</f>
        <v>PETRONAS</v>
      </c>
      <c r="AC465" s="18" t="str">
        <f>_xlfn.XLOOKUP(Customer[[#This Row],[Customer ID]],[1]!Address[ID],[1]!Address[Zone])</f>
        <v>SOUTH</v>
      </c>
    </row>
    <row r="466" spans="1:29" x14ac:dyDescent="0.3">
      <c r="A466" s="10" t="s">
        <v>3381</v>
      </c>
      <c r="B466" s="11" t="str">
        <f>_xlfn.XLOOKUP(Customer[[#This Row],[Customer ID]],[1]!Name[ID],[1]!Name[Description(1)])</f>
        <v>IMANADIA ENTERPRISE</v>
      </c>
      <c r="C466" s="11" t="str">
        <f>_xlfn.XLOOKUP(Customer[[#This Row],[Customer ID]],[1]!Name[ID],[1]!Name[Description(2)])</f>
        <v>PS MATAHARI HEIGHTS</v>
      </c>
      <c r="D466" s="11" t="str">
        <f>_xlfn.XLOOKUP(Customer[[#This Row],[Customer ID]],[1]!Address[ID],[1]!Address[PIC])</f>
        <v/>
      </c>
      <c r="E466" s="11" t="str">
        <f>_xlfn.XLOOKUP(Customer[[#This Row],[Customer ID]],[1]!Address[ID],[1]!Address[Full Address])</f>
        <v>PS MATAHARI HEIGHTSLOT 1846 PN 648 (LOT.PT 4087 HSD 154332)MUKIM AMPANGAN, MATAHARI HEIGHT, PUSATBANDAR SENAWANG, NEGERI SEMBILAN, 70450,</v>
      </c>
      <c r="F466" s="12" t="s">
        <v>3382</v>
      </c>
      <c r="G466" s="12" t="s">
        <v>3383</v>
      </c>
      <c r="H466" s="12" t="s">
        <v>3384</v>
      </c>
      <c r="I466" s="12" t="b">
        <f>ISNUMBER(VALUE(LEFT(Customer[[#This Row],[Address Line 3 (30 char)]],1)))</f>
        <v>0</v>
      </c>
      <c r="J466" s="12" t="s">
        <v>203</v>
      </c>
      <c r="K466" s="12">
        <v>70450</v>
      </c>
      <c r="L466" s="12" t="s">
        <v>35</v>
      </c>
      <c r="M466" s="13" t="e">
        <v>#N/A</v>
      </c>
      <c r="N466" s="14" t="e">
        <v>#N/A</v>
      </c>
      <c r="O466" s="14" t="e">
        <v>#N/A</v>
      </c>
      <c r="P466" s="14" t="e">
        <v>#N/A</v>
      </c>
      <c r="Q466" s="19" t="s">
        <v>3356</v>
      </c>
      <c r="R466" s="15" t="s">
        <v>3385</v>
      </c>
      <c r="S466" s="15" t="s">
        <v>37</v>
      </c>
      <c r="T466" s="16" t="s">
        <v>38</v>
      </c>
      <c r="U466" s="11" t="str">
        <f>_xlfn.XLOOKUP(Customer[[#This Row],[Customer ID]],[1]!Address[ID],[1]!Address[Phone No.(2)])</f>
        <v/>
      </c>
      <c r="V466" s="11" t="str">
        <f>_xlfn.XLOOKUP(Customer[[#This Row],[Customer ID]],[1]!Address[ID],[1]!Address[Type])</f>
        <v>PETROMART</v>
      </c>
      <c r="W466" s="11" t="str">
        <f>_xlfn.XLOOKUP(Customer[[#This Row],[Customer ID]],[1]!Address[ID],[1]!Address[CT])</f>
        <v>30 DAYS</v>
      </c>
      <c r="X466" s="11" t="s">
        <v>39</v>
      </c>
      <c r="Y466" s="17" t="s">
        <v>40</v>
      </c>
      <c r="Z466" s="17" t="e">
        <f>_xlfn.XLOOKUP(Customer[[#This Row],[NewType]],$AF$36:$AF$54,$AG$36:$AG$54)</f>
        <v>#N/A</v>
      </c>
      <c r="AA466" s="17" t="s">
        <v>3386</v>
      </c>
      <c r="AB466" s="11" t="str">
        <f>_xlfn.XLOOKUP(Customer[[#This Row],[Customer ID]],[1]!Address[ID],[1]!Address[Subtype])</f>
        <v>PETRONAS</v>
      </c>
      <c r="AC466" s="18" t="str">
        <f>_xlfn.XLOOKUP(Customer[[#This Row],[Customer ID]],[1]!Address[ID],[1]!Address[Zone])</f>
        <v>CENTRAL</v>
      </c>
    </row>
    <row r="467" spans="1:29" x14ac:dyDescent="0.3">
      <c r="A467" s="10" t="s">
        <v>3387</v>
      </c>
      <c r="B467" s="11" t="str">
        <f>_xlfn.XLOOKUP(Customer[[#This Row],[Customer ID]],[1]!Name[ID],[1]!Name[Description(1)])</f>
        <v>PETROMELOR</v>
      </c>
      <c r="C467" s="11" t="str">
        <f>_xlfn.XLOOKUP(Customer[[#This Row],[Customer ID]],[1]!Name[ID],[1]!Name[Description(2)])</f>
        <v>PS MELOR</v>
      </c>
      <c r="D467" s="11" t="str">
        <f>_xlfn.XLOOKUP(Customer[[#This Row],[Customer ID]],[1]!Address[ID],[1]!Address[PIC])</f>
        <v/>
      </c>
      <c r="E467" s="11" t="str">
        <f>_xlfn.XLOOKUP(Customer[[#This Row],[Customer ID]],[1]!Address[ID],[1]!Address[Full Address])</f>
        <v>PS MELORLOT 362, MUKIM PERINGAT, BT 12 1/2, PADARAJA, KOTA BHARU, KELANTAN, 16400,KOTA BHARU, KELANTAN</v>
      </c>
      <c r="F467" s="12" t="s">
        <v>3388</v>
      </c>
      <c r="G467" s="12" t="s">
        <v>3389</v>
      </c>
      <c r="H467" s="12" t="s">
        <v>3390</v>
      </c>
      <c r="I467" s="12" t="b">
        <f>ISNUMBER(VALUE(LEFT(Customer[[#This Row],[Address Line 3 (30 char)]],1)))</f>
        <v>0</v>
      </c>
      <c r="J467" s="12" t="s">
        <v>1007</v>
      </c>
      <c r="K467" s="12">
        <v>16400</v>
      </c>
      <c r="L467" s="12" t="s">
        <v>35</v>
      </c>
      <c r="M467" s="13">
        <v>200603065702</v>
      </c>
      <c r="N467" s="14" t="s">
        <v>3391</v>
      </c>
      <c r="O467" s="14" t="s">
        <v>54</v>
      </c>
      <c r="P467" s="14">
        <v>47300</v>
      </c>
      <c r="Q467" s="19" t="s">
        <v>3392</v>
      </c>
      <c r="R467" s="15" t="s">
        <v>3393</v>
      </c>
      <c r="S467" s="15" t="s">
        <v>37</v>
      </c>
      <c r="T467" s="16" t="s">
        <v>38</v>
      </c>
      <c r="U467" s="11" t="str">
        <f>_xlfn.XLOOKUP(Customer[[#This Row],[Customer ID]],[1]!Address[ID],[1]!Address[Phone No.(2)])</f>
        <v/>
      </c>
      <c r="V467" s="11" t="str">
        <f>_xlfn.XLOOKUP(Customer[[#This Row],[Customer ID]],[1]!Address[ID],[1]!Address[Type])</f>
        <v>PETROMART</v>
      </c>
      <c r="W467" s="11" t="str">
        <f>_xlfn.XLOOKUP(Customer[[#This Row],[Customer ID]],[1]!Address[ID],[1]!Address[CT])</f>
        <v>30 DAYS</v>
      </c>
      <c r="X467" s="11" t="s">
        <v>39</v>
      </c>
      <c r="Y467" s="17" t="s">
        <v>40</v>
      </c>
      <c r="Z467" s="17" t="e">
        <f>_xlfn.XLOOKUP(Customer[[#This Row],[NewType]],$AF$36:$AF$54,$AG$36:$AG$54)</f>
        <v>#N/A</v>
      </c>
      <c r="AA467" s="17" t="s">
        <v>3394</v>
      </c>
      <c r="AB467" s="11" t="str">
        <f>_xlfn.XLOOKUP(Customer[[#This Row],[Customer ID]],[1]!Address[ID],[1]!Address[Subtype])</f>
        <v>PETRONAS</v>
      </c>
      <c r="AC467" s="18" t="str">
        <f>_xlfn.XLOOKUP(Customer[[#This Row],[Customer ID]],[1]!Address[ID],[1]!Address[Zone])</f>
        <v>EAST COAST</v>
      </c>
    </row>
    <row r="468" spans="1:29" x14ac:dyDescent="0.3">
      <c r="A468" s="10" t="s">
        <v>3395</v>
      </c>
      <c r="B468" s="11" t="str">
        <f>_xlfn.XLOOKUP(Customer[[#This Row],[Customer ID]],[1]!Name[ID],[1]!Name[Description(1)])</f>
        <v>DZALYN IB ENTERPRISE</v>
      </c>
      <c r="C468" s="11" t="str">
        <f>_xlfn.XLOOKUP(Customer[[#This Row],[Customer ID]],[1]!Name[ID],[1]!Name[Description(2)])</f>
        <v>PS MENGKUANG TITI</v>
      </c>
      <c r="D468" s="11" t="str">
        <f>_xlfn.XLOOKUP(Customer[[#This Row],[Customer ID]],[1]!Address[ID],[1]!Address[PIC])</f>
        <v/>
      </c>
      <c r="E468" s="11" t="str">
        <f>_xlfn.XLOOKUP(Customer[[#This Row],[Customer ID]],[1]!Address[ID],[1]!Address[Full Address])</f>
        <v>PS MENGKUANG TITISTESEN PETRONAS MENGKUANG TITI, HS(D)57556, PT 63, MUKIM 19, 14400 KUBANGSEMANG, PULAU PINANG</v>
      </c>
      <c r="F468" s="12" t="s">
        <v>3396</v>
      </c>
      <c r="G468" s="12" t="s">
        <v>3397</v>
      </c>
      <c r="H468" s="12" t="s">
        <v>3398</v>
      </c>
      <c r="I468" s="12" t="b">
        <f>ISNUMBER(VALUE(LEFT(Customer[[#This Row],[Address Line 3 (30 char)]],1)))</f>
        <v>0</v>
      </c>
      <c r="J468" s="12" t="s">
        <v>179</v>
      </c>
      <c r="K468" s="12">
        <v>14400</v>
      </c>
      <c r="L468" s="12" t="s">
        <v>35</v>
      </c>
      <c r="M468" s="13" t="e">
        <v>#N/A</v>
      </c>
      <c r="N468" s="14" t="e">
        <v>#N/A</v>
      </c>
      <c r="O468" s="14" t="e">
        <v>#N/A</v>
      </c>
      <c r="P468" s="14" t="e">
        <v>#N/A</v>
      </c>
      <c r="Q468" s="19" t="s">
        <v>3399</v>
      </c>
      <c r="R468" s="15" t="s">
        <v>3400</v>
      </c>
      <c r="S468" s="15" t="s">
        <v>74</v>
      </c>
      <c r="T468" s="16" t="s">
        <v>38</v>
      </c>
      <c r="U468" s="11" t="str">
        <f>_xlfn.XLOOKUP(Customer[[#This Row],[Customer ID]],[1]!Address[ID],[1]!Address[Phone No.(2)])</f>
        <v/>
      </c>
      <c r="V468" s="11" t="str">
        <f>_xlfn.XLOOKUP(Customer[[#This Row],[Customer ID]],[1]!Address[ID],[1]!Address[Type])</f>
        <v>PETROMART</v>
      </c>
      <c r="W468" s="11" t="str">
        <f>_xlfn.XLOOKUP(Customer[[#This Row],[Customer ID]],[1]!Address[ID],[1]!Address[CT])</f>
        <v>30 DAYS</v>
      </c>
      <c r="X468" s="11" t="s">
        <v>39</v>
      </c>
      <c r="Y468" s="17" t="s">
        <v>40</v>
      </c>
      <c r="Z468" s="17" t="e">
        <f>_xlfn.XLOOKUP(Customer[[#This Row],[NewType]],$AF$36:$AF$54,$AG$36:$AG$54)</f>
        <v>#N/A</v>
      </c>
      <c r="AA468" s="17" t="s">
        <v>3401</v>
      </c>
      <c r="AB468" s="11" t="str">
        <f>_xlfn.XLOOKUP(Customer[[#This Row],[Customer ID]],[1]!Address[ID],[1]!Address[Subtype])</f>
        <v>PETRONAS</v>
      </c>
      <c r="AC468" s="18" t="str">
        <f>_xlfn.XLOOKUP(Customer[[#This Row],[Customer ID]],[1]!Address[ID],[1]!Address[Zone])</f>
        <v>NORTH</v>
      </c>
    </row>
    <row r="469" spans="1:29" x14ac:dyDescent="0.3">
      <c r="A469" s="10" t="s">
        <v>3402</v>
      </c>
      <c r="B469" s="11" t="str">
        <f>_xlfn.XLOOKUP(Customer[[#This Row],[Customer ID]],[1]!Name[ID],[1]!Name[Description(1)])</f>
        <v>ASA BERSATU ENTERPRISE</v>
      </c>
      <c r="C469" s="11" t="str">
        <f>_xlfn.XLOOKUP(Customer[[#This Row],[Customer ID]],[1]!Name[ID],[1]!Name[Description(2)])</f>
        <v>PS MERANG / SETIU</v>
      </c>
      <c r="D469" s="11" t="str">
        <f>_xlfn.XLOOKUP(Customer[[#This Row],[Customer ID]],[1]!Address[ID],[1]!Address[PIC])</f>
        <v>Ariza binti Ahm</v>
      </c>
      <c r="E469" s="11" t="str">
        <f>_xlfn.XLOOKUP(Customer[[#This Row],[Customer ID]],[1]!Address[ID],[1]!Address[Full Address])</f>
        <v>PS MERANG / SETIULOT 314, MUKIM MERANG, DAERAH SETIU,TERENGGANU, 21010, SETIU, TERENGGANU</v>
      </c>
      <c r="F469" s="12" t="s">
        <v>3403</v>
      </c>
      <c r="G469" s="12" t="s">
        <v>3404</v>
      </c>
      <c r="H469" s="12" t="s">
        <v>3405</v>
      </c>
      <c r="I469" s="12" t="b">
        <f>ISNUMBER(VALUE(LEFT(Customer[[#This Row],[Address Line 3 (30 char)]],1)))</f>
        <v>0</v>
      </c>
      <c r="J469" s="12" t="s">
        <v>1056</v>
      </c>
      <c r="K469" s="12">
        <v>21010</v>
      </c>
      <c r="L469" s="12" t="s">
        <v>35</v>
      </c>
      <c r="M469" s="13">
        <v>200403020364</v>
      </c>
      <c r="N469" s="14" t="s">
        <v>3406</v>
      </c>
      <c r="O469" s="14" t="s">
        <v>54</v>
      </c>
      <c r="P469" s="14">
        <v>47300</v>
      </c>
      <c r="Q469" s="19" t="s">
        <v>3407</v>
      </c>
      <c r="R469" s="15" t="s">
        <v>3408</v>
      </c>
      <c r="S469" s="15" t="s">
        <v>37</v>
      </c>
      <c r="T469" s="16" t="s">
        <v>38</v>
      </c>
      <c r="U469" s="11" t="str">
        <f>_xlfn.XLOOKUP(Customer[[#This Row],[Customer ID]],[1]!Address[ID],[1]!Address[Phone No.(2)])</f>
        <v/>
      </c>
      <c r="V469" s="11" t="str">
        <f>_xlfn.XLOOKUP(Customer[[#This Row],[Customer ID]],[1]!Address[ID],[1]!Address[Type])</f>
        <v>PETROMART</v>
      </c>
      <c r="W469" s="11" t="str">
        <f>_xlfn.XLOOKUP(Customer[[#This Row],[Customer ID]],[1]!Address[ID],[1]!Address[CT])</f>
        <v>30 DAYS</v>
      </c>
      <c r="X469" s="11" t="s">
        <v>39</v>
      </c>
      <c r="Y469" s="17" t="s">
        <v>40</v>
      </c>
      <c r="Z469" s="17" t="e">
        <f>_xlfn.XLOOKUP(Customer[[#This Row],[NewType]],$AF$36:$AF$54,$AG$36:$AG$54)</f>
        <v>#N/A</v>
      </c>
      <c r="AA469" s="17" t="s">
        <v>3409</v>
      </c>
      <c r="AB469" s="11" t="str">
        <f>_xlfn.XLOOKUP(Customer[[#This Row],[Customer ID]],[1]!Address[ID],[1]!Address[Subtype])</f>
        <v>PETRONAS</v>
      </c>
      <c r="AC469" s="18" t="str">
        <f>_xlfn.XLOOKUP(Customer[[#This Row],[Customer ID]],[1]!Address[ID],[1]!Address[Zone])</f>
        <v>EAST COAST</v>
      </c>
    </row>
    <row r="470" spans="1:29" x14ac:dyDescent="0.3">
      <c r="A470" s="10" t="s">
        <v>3410</v>
      </c>
      <c r="B470" s="11" t="str">
        <f>_xlfn.XLOOKUP(Customer[[#This Row],[Customer ID]],[1]!Name[ID],[1]!Name[Description(1)])</f>
        <v>STESEN MI MESRA</v>
      </c>
      <c r="C470" s="11" t="str">
        <f>_xlfn.XLOOKUP(Customer[[#This Row],[Customer ID]],[1]!Name[ID],[1]!Name[Description(2)])</f>
        <v>PS MERBAU INDAH</v>
      </c>
      <c r="D470" s="11" t="str">
        <f>_xlfn.XLOOKUP(Customer[[#This Row],[Customer ID]],[1]!Address[ID],[1]!Address[PIC])</f>
        <v/>
      </c>
      <c r="E470" s="11" t="str">
        <f>_xlfn.XLOOKUP(Customer[[#This Row],[Customer ID]],[1]!Address[ID],[1]!Address[Full Address])</f>
        <v>PS MERBAU INDAHPT 47359 HS(M) 14183, KAMPUNG MERBAUINDAH, SUNGAI BULOH, SELANGOR, 47000,PETALING, SELANGOR</v>
      </c>
      <c r="F470" s="12" t="s">
        <v>3411</v>
      </c>
      <c r="G470" s="12" t="s">
        <v>3412</v>
      </c>
      <c r="H470" s="12" t="s">
        <v>3413</v>
      </c>
      <c r="I470" s="12" t="b">
        <f>ISNUMBER(VALUE(LEFT(Customer[[#This Row],[Address Line 3 (30 char)]],1)))</f>
        <v>0</v>
      </c>
      <c r="J470" s="12" t="s">
        <v>172</v>
      </c>
      <c r="K470" s="12">
        <v>47000</v>
      </c>
      <c r="L470" s="12" t="s">
        <v>35</v>
      </c>
      <c r="M470" s="13" t="e">
        <v>#N/A</v>
      </c>
      <c r="N470" s="14" t="e">
        <v>#N/A</v>
      </c>
      <c r="O470" s="14" t="e">
        <v>#N/A</v>
      </c>
      <c r="P470" s="14" t="e">
        <v>#N/A</v>
      </c>
      <c r="Q470" s="19" t="s">
        <v>3414</v>
      </c>
      <c r="R470" s="15" t="s">
        <v>3415</v>
      </c>
      <c r="S470" s="15" t="s">
        <v>37</v>
      </c>
      <c r="T470" s="16" t="s">
        <v>38</v>
      </c>
      <c r="U470" s="11" t="str">
        <f>_xlfn.XLOOKUP(Customer[[#This Row],[Customer ID]],[1]!Address[ID],[1]!Address[Phone No.(2)])</f>
        <v/>
      </c>
      <c r="V470" s="11" t="str">
        <f>_xlfn.XLOOKUP(Customer[[#This Row],[Customer ID]],[1]!Address[ID],[1]!Address[Type])</f>
        <v>PETROMART</v>
      </c>
      <c r="W470" s="11" t="str">
        <f>_xlfn.XLOOKUP(Customer[[#This Row],[Customer ID]],[1]!Address[ID],[1]!Address[CT])</f>
        <v>30 DAYS</v>
      </c>
      <c r="X470" s="11" t="s">
        <v>39</v>
      </c>
      <c r="Y470" s="17" t="s">
        <v>40</v>
      </c>
      <c r="Z470" s="17" t="e">
        <f>_xlfn.XLOOKUP(Customer[[#This Row],[NewType]],$AF$36:$AF$54,$AG$36:$AG$54)</f>
        <v>#N/A</v>
      </c>
      <c r="AA470" s="17" t="s">
        <v>3416</v>
      </c>
      <c r="AB470" s="11" t="str">
        <f>_xlfn.XLOOKUP(Customer[[#This Row],[Customer ID]],[1]!Address[ID],[1]!Address[Subtype])</f>
        <v>PETRONAS</v>
      </c>
      <c r="AC470" s="18" t="str">
        <f>_xlfn.XLOOKUP(Customer[[#This Row],[Customer ID]],[1]!Address[ID],[1]!Address[Zone])</f>
        <v>CENTRAL</v>
      </c>
    </row>
    <row r="471" spans="1:29" x14ac:dyDescent="0.3">
      <c r="A471" s="27" t="s">
        <v>3417</v>
      </c>
      <c r="B471" s="28" t="str">
        <f>_xlfn.XLOOKUP(Customer[[#This Row],[Customer ID]],[1]!Name[ID],[1]!Name[Description(1)])</f>
        <v>MBM KLASIK TRADING</v>
      </c>
      <c r="C471" s="11" t="str">
        <f>_xlfn.XLOOKUP(Customer[[#This Row],[Customer ID]],[1]!Name[ID],[1]!Name[Description(2)])</f>
        <v>PS MERGONG</v>
      </c>
      <c r="D471" s="11" t="str">
        <f>_xlfn.XLOOKUP(Customer[[#This Row],[Customer ID]],[1]!Address[ID],[1]!Address[PIC])</f>
        <v/>
      </c>
      <c r="E471" s="11" t="str">
        <f>_xlfn.XLOOKUP(Customer[[#This Row],[Customer ID]],[1]!Address[ID],[1]!Address[Full Address])</f>
        <v>PS MERGONGLOT 3628, JALAN PUTRA, MUKIM MERGONG,ALOR SETAR, KEDAH, 05150, KOTA SETAR,KEDAH</v>
      </c>
      <c r="F471" s="12" t="s">
        <v>3418</v>
      </c>
      <c r="G471" s="12" t="s">
        <v>3419</v>
      </c>
      <c r="H471" s="12" t="s">
        <v>3420</v>
      </c>
      <c r="I471" s="12" t="b">
        <f>ISNUMBER(VALUE(LEFT(Customer[[#This Row],[Address Line 3 (30 char)]],1)))</f>
        <v>0</v>
      </c>
      <c r="J471" s="12" t="s">
        <v>79</v>
      </c>
      <c r="K471" s="30" t="s">
        <v>3421</v>
      </c>
      <c r="L471" s="12" t="s">
        <v>35</v>
      </c>
      <c r="M471" s="13" t="e">
        <v>#N/A</v>
      </c>
      <c r="N471" s="14" t="e">
        <v>#N/A</v>
      </c>
      <c r="O471" s="14" t="e">
        <v>#N/A</v>
      </c>
      <c r="P471" s="14" t="e">
        <v>#N/A</v>
      </c>
      <c r="Q471" s="19" t="s">
        <v>3422</v>
      </c>
      <c r="R471" s="15" t="s">
        <v>3423</v>
      </c>
      <c r="S471" s="15" t="s">
        <v>74</v>
      </c>
      <c r="T471" s="16" t="s">
        <v>38</v>
      </c>
      <c r="U471" s="11" t="str">
        <f>_xlfn.XLOOKUP(Customer[[#This Row],[Customer ID]],[1]!Address[ID],[1]!Address[Phone No.(2)])</f>
        <v/>
      </c>
      <c r="V471" s="11" t="str">
        <f>_xlfn.XLOOKUP(Customer[[#This Row],[Customer ID]],[1]!Address[ID],[1]!Address[Type])</f>
        <v>PETROMART</v>
      </c>
      <c r="W471" s="11" t="str">
        <f>_xlfn.XLOOKUP(Customer[[#This Row],[Customer ID]],[1]!Address[ID],[1]!Address[CT])</f>
        <v>30 DAYS</v>
      </c>
      <c r="X471" s="11" t="s">
        <v>39</v>
      </c>
      <c r="Y471" s="17" t="s">
        <v>40</v>
      </c>
      <c r="Z471" s="17" t="e">
        <f>_xlfn.XLOOKUP(Customer[[#This Row],[NewType]],$AF$36:$AF$54,$AG$36:$AG$54)</f>
        <v>#N/A</v>
      </c>
      <c r="AA471" s="17" t="s">
        <v>3424</v>
      </c>
      <c r="AB471" s="11" t="str">
        <f>_xlfn.XLOOKUP(Customer[[#This Row],[Customer ID]],[1]!Address[ID],[1]!Address[Subtype])</f>
        <v>PETRONAS</v>
      </c>
      <c r="AC471" s="18" t="str">
        <f>_xlfn.XLOOKUP(Customer[[#This Row],[Customer ID]],[1]!Address[ID],[1]!Address[Zone])</f>
        <v>NORTH</v>
      </c>
    </row>
    <row r="472" spans="1:29" x14ac:dyDescent="0.3">
      <c r="A472" s="10" t="s">
        <v>3425</v>
      </c>
      <c r="B472" s="11" t="str">
        <f>_xlfn.XLOOKUP(Customer[[#This Row],[Customer ID]],[1]!Name[ID],[1]!Name[Description(1)])</f>
        <v>PITIS STATION SERVICE</v>
      </c>
      <c r="C472" s="11" t="str">
        <f>_xlfn.XLOOKUP(Customer[[#This Row],[Customer ID]],[1]!Name[ID],[1]!Name[Description(2)])</f>
        <v>PS MERLIMAU</v>
      </c>
      <c r="D472" s="11" t="str">
        <f>_xlfn.XLOOKUP(Customer[[#This Row],[Customer ID]],[1]!Address[ID],[1]!Address[PIC])</f>
        <v/>
      </c>
      <c r="E472" s="11" t="str">
        <f>_xlfn.XLOOKUP(Customer[[#This Row],[Customer ID]],[1]!Address[ID],[1]!Address[Full Address])</f>
        <v>PS MERLIMAULOT 3523, MUKIM MERLIMAU, JASIN, MELAKA,77300, JASIN, MELAKA</v>
      </c>
      <c r="F472" s="12" t="s">
        <v>3426</v>
      </c>
      <c r="G472" s="12" t="s">
        <v>3427</v>
      </c>
      <c r="H472" s="12"/>
      <c r="I472" s="12" t="b">
        <f>ISNUMBER(VALUE(LEFT(Customer[[#This Row],[Address Line 3 (30 char)]],1)))</f>
        <v>0</v>
      </c>
      <c r="J472" s="12" t="s">
        <v>61</v>
      </c>
      <c r="K472" s="12">
        <v>77300</v>
      </c>
      <c r="L472" s="12" t="s">
        <v>35</v>
      </c>
      <c r="M472" s="13" t="e">
        <v>#N/A</v>
      </c>
      <c r="N472" s="14" t="e">
        <v>#N/A</v>
      </c>
      <c r="O472" s="14" t="e">
        <v>#N/A</v>
      </c>
      <c r="P472" s="14" t="e">
        <v>#N/A</v>
      </c>
      <c r="Q472" s="19" t="s">
        <v>3428</v>
      </c>
      <c r="R472" s="15" t="s">
        <v>3429</v>
      </c>
      <c r="S472" s="15" t="s">
        <v>65</v>
      </c>
      <c r="T472" s="16" t="s">
        <v>38</v>
      </c>
      <c r="U472" s="11" t="str">
        <f>_xlfn.XLOOKUP(Customer[[#This Row],[Customer ID]],[1]!Address[ID],[1]!Address[Phone No.(2)])</f>
        <v/>
      </c>
      <c r="V472" s="11" t="str">
        <f>_xlfn.XLOOKUP(Customer[[#This Row],[Customer ID]],[1]!Address[ID],[1]!Address[Type])</f>
        <v>PETROMART</v>
      </c>
      <c r="W472" s="11" t="str">
        <f>_xlfn.XLOOKUP(Customer[[#This Row],[Customer ID]],[1]!Address[ID],[1]!Address[CT])</f>
        <v>30 DAYS</v>
      </c>
      <c r="X472" s="11" t="s">
        <v>39</v>
      </c>
      <c r="Y472" s="17" t="s">
        <v>40</v>
      </c>
      <c r="Z472" s="17" t="e">
        <f>_xlfn.XLOOKUP(Customer[[#This Row],[NewType]],$AF$36:$AF$54,$AG$36:$AG$54)</f>
        <v>#N/A</v>
      </c>
      <c r="AA472" s="17" t="s">
        <v>3430</v>
      </c>
      <c r="AB472" s="11" t="str">
        <f>_xlfn.XLOOKUP(Customer[[#This Row],[Customer ID]],[1]!Address[ID],[1]!Address[Subtype])</f>
        <v>PETRONAS</v>
      </c>
      <c r="AC472" s="18" t="str">
        <f>_xlfn.XLOOKUP(Customer[[#This Row],[Customer ID]],[1]!Address[ID],[1]!Address[Zone])</f>
        <v>SOUTH</v>
      </c>
    </row>
    <row r="473" spans="1:29" x14ac:dyDescent="0.3">
      <c r="A473" s="10" t="s">
        <v>3431</v>
      </c>
      <c r="B473" s="11" t="str">
        <f>_xlfn.XLOOKUP(Customer[[#This Row],[Customer ID]],[1]!Name[ID],[1]!Name[Description(1)])</f>
        <v>KPF NIAGA SDN BHD</v>
      </c>
      <c r="C473" s="11" t="str">
        <f>_xlfn.XLOOKUP(Customer[[#This Row],[Customer ID]],[1]!Name[ID],[1]!Name[Description(2)])</f>
        <v>PS MERSING</v>
      </c>
      <c r="D473" s="11" t="str">
        <f>_xlfn.XLOOKUP(Customer[[#This Row],[Customer ID]],[1]!Address[ID],[1]!Address[PIC])</f>
        <v>Muhammad Daniel</v>
      </c>
      <c r="E473" s="11" t="str">
        <f>_xlfn.XLOOKUP(Customer[[#This Row],[Customer ID]],[1]!Address[ID],[1]!Address[Full Address])</f>
        <v>PS MERSINGLOT 1033, JALAN ENDAU, MERSING, JOHOR,86800, MERSING, JOHOR</v>
      </c>
      <c r="F473" s="12" t="s">
        <v>3432</v>
      </c>
      <c r="G473" s="12" t="s">
        <v>3433</v>
      </c>
      <c r="H473" s="12"/>
      <c r="I473" s="12" t="b">
        <f>ISNUMBER(VALUE(LEFT(Customer[[#This Row],[Address Line 3 (30 char)]],1)))</f>
        <v>0</v>
      </c>
      <c r="J473" s="12" t="s">
        <v>52</v>
      </c>
      <c r="K473" s="12">
        <v>86800</v>
      </c>
      <c r="L473" s="12" t="s">
        <v>35</v>
      </c>
      <c r="M473" s="13">
        <v>201701047216</v>
      </c>
      <c r="N473" s="14" t="s">
        <v>432</v>
      </c>
      <c r="O473" s="14" t="e">
        <v>#N/A</v>
      </c>
      <c r="P473" s="14" t="e">
        <v>#N/A</v>
      </c>
      <c r="Q473" s="19" t="s">
        <v>3434</v>
      </c>
      <c r="R473" s="15" t="s">
        <v>3435</v>
      </c>
      <c r="S473" s="15" t="s">
        <v>37</v>
      </c>
      <c r="T473" s="16" t="s">
        <v>38</v>
      </c>
      <c r="U473" s="11" t="str">
        <f>_xlfn.XLOOKUP(Customer[[#This Row],[Customer ID]],[1]!Address[ID],[1]!Address[Phone No.(2)])</f>
        <v/>
      </c>
      <c r="V473" s="11" t="str">
        <f>_xlfn.XLOOKUP(Customer[[#This Row],[Customer ID]],[1]!Address[ID],[1]!Address[Type])</f>
        <v>PETROMART</v>
      </c>
      <c r="W473" s="11" t="str">
        <f>_xlfn.XLOOKUP(Customer[[#This Row],[Customer ID]],[1]!Address[ID],[1]!Address[CT])</f>
        <v>30 DAYS</v>
      </c>
      <c r="X473" s="11" t="s">
        <v>39</v>
      </c>
      <c r="Y473" s="17" t="s">
        <v>40</v>
      </c>
      <c r="Z473" s="17" t="e">
        <f>_xlfn.XLOOKUP(Customer[[#This Row],[NewType]],$AF$36:$AF$54,$AG$36:$AG$54)</f>
        <v>#N/A</v>
      </c>
      <c r="AA473" s="17" t="s">
        <v>3436</v>
      </c>
      <c r="AB473" s="11" t="str">
        <f>_xlfn.XLOOKUP(Customer[[#This Row],[Customer ID]],[1]!Address[ID],[1]!Address[Subtype])</f>
        <v>PETRONAS</v>
      </c>
      <c r="AC473" s="18" t="str">
        <f>_xlfn.XLOOKUP(Customer[[#This Row],[Customer ID]],[1]!Address[ID],[1]!Address[Zone])</f>
        <v>SOUTH</v>
      </c>
    </row>
    <row r="474" spans="1:29" x14ac:dyDescent="0.3">
      <c r="A474" s="10" t="s">
        <v>3437</v>
      </c>
      <c r="B474" s="11" t="str">
        <f>_xlfn.XLOOKUP(Customer[[#This Row],[Customer ID]],[1]!Name[ID],[1]!Name[Description(1)])</f>
        <v>AJAZ HAJAH ENERGY</v>
      </c>
      <c r="C474" s="11" t="str">
        <f>_xlfn.XLOOKUP(Customer[[#This Row],[Customer ID]],[1]!Name[ID],[1]!Name[Description(2)])</f>
        <v>PS MITC</v>
      </c>
      <c r="D474" s="11" t="str">
        <f>_xlfn.XLOOKUP(Customer[[#This Row],[Customer ID]],[1]!Address[ID],[1]!Address[PIC])</f>
        <v>RAFIDAH BINTI P</v>
      </c>
      <c r="E474" s="11" t="str">
        <f>_xlfn.XLOOKUP(Customer[[#This Row],[Customer ID]],[1]!Address[ID],[1]!Address[Full Address])</f>
        <v>PS MITCLOT 15703 PM 3851, MUKIM BUKIT KATIL,MELAKA, 75450, MELAKA TENGAH, MELAKA</v>
      </c>
      <c r="F474" s="12" t="s">
        <v>3438</v>
      </c>
      <c r="G474" s="12" t="s">
        <v>3439</v>
      </c>
      <c r="H474" s="12" t="s">
        <v>266</v>
      </c>
      <c r="I474" s="12" t="b">
        <f>ISNUMBER(VALUE(LEFT(Customer[[#This Row],[Address Line 3 (30 char)]],1)))</f>
        <v>0</v>
      </c>
      <c r="J474" s="12" t="s">
        <v>61</v>
      </c>
      <c r="K474" s="12">
        <v>75450</v>
      </c>
      <c r="L474" s="12" t="s">
        <v>35</v>
      </c>
      <c r="M474" s="13">
        <v>201003241513</v>
      </c>
      <c r="N474" s="14" t="s">
        <v>3135</v>
      </c>
      <c r="O474" s="14" t="e">
        <v>#N/A</v>
      </c>
      <c r="P474" s="14" t="e">
        <v>#N/A</v>
      </c>
      <c r="Q474" s="19" t="s">
        <v>3136</v>
      </c>
      <c r="R474" s="15" t="s">
        <v>3137</v>
      </c>
      <c r="S474" s="15" t="s">
        <v>37</v>
      </c>
      <c r="T474" s="16" t="s">
        <v>38</v>
      </c>
      <c r="U474" s="11" t="str">
        <f>_xlfn.XLOOKUP(Customer[[#This Row],[Customer ID]],[1]!Address[ID],[1]!Address[Phone No.(2)])</f>
        <v/>
      </c>
      <c r="V474" s="11" t="str">
        <f>_xlfn.XLOOKUP(Customer[[#This Row],[Customer ID]],[1]!Address[ID],[1]!Address[Type])</f>
        <v>PETROMART</v>
      </c>
      <c r="W474" s="11" t="str">
        <f>_xlfn.XLOOKUP(Customer[[#This Row],[Customer ID]],[1]!Address[ID],[1]!Address[CT])</f>
        <v>30 DAYS</v>
      </c>
      <c r="X474" s="11" t="s">
        <v>39</v>
      </c>
      <c r="Y474" s="17" t="s">
        <v>40</v>
      </c>
      <c r="Z474" s="17" t="e">
        <f>_xlfn.XLOOKUP(Customer[[#This Row],[NewType]],$AF$36:$AF$54,$AG$36:$AG$54)</f>
        <v>#N/A</v>
      </c>
      <c r="AA474" s="17" t="s">
        <v>3440</v>
      </c>
      <c r="AB474" s="11" t="str">
        <f>_xlfn.XLOOKUP(Customer[[#This Row],[Customer ID]],[1]!Address[ID],[1]!Address[Subtype])</f>
        <v>PETRONAS</v>
      </c>
      <c r="AC474" s="18" t="str">
        <f>_xlfn.XLOOKUP(Customer[[#This Row],[Customer ID]],[1]!Address[ID],[1]!Address[Zone])</f>
        <v>SOUTH</v>
      </c>
    </row>
    <row r="475" spans="1:29" x14ac:dyDescent="0.3">
      <c r="A475" s="10" t="s">
        <v>3441</v>
      </c>
      <c r="B475" s="11" t="str">
        <f>_xlfn.XLOOKUP(Customer[[#This Row],[Customer ID]],[1]!Name[ID],[1]!Name[Description(1)])</f>
        <v>SARZLAN VENTURE</v>
      </c>
      <c r="C475" s="11" t="str">
        <f>_xlfn.XLOOKUP(Customer[[#This Row],[Customer ID]],[1]!Name[ID],[1]!Name[Description(2)])</f>
        <v>PS MRR2 AMPANG</v>
      </c>
      <c r="D475" s="11" t="str">
        <f>_xlfn.XLOOKUP(Customer[[#This Row],[Customer ID]],[1]!Address[ID],[1]!Address[PIC])</f>
        <v/>
      </c>
      <c r="E475" s="11" t="str">
        <f>_xlfn.XLOOKUP(Customer[[#This Row],[Customer ID]],[1]!Address[ID],[1]!Address[Full Address])</f>
        <v>PS MRR2 AMPANGLOT PT 21, HS(D) 4976, MUKIM AMPANG,SELANGOR, 43100, ULU LANGAT, SELANGOR</v>
      </c>
      <c r="F475" s="12" t="s">
        <v>3442</v>
      </c>
      <c r="G475" s="12" t="s">
        <v>3443</v>
      </c>
      <c r="H475" s="12" t="s">
        <v>3444</v>
      </c>
      <c r="I475" s="12" t="b">
        <f>ISNUMBER(VALUE(LEFT(Customer[[#This Row],[Address Line 3 (30 char)]],1)))</f>
        <v>0</v>
      </c>
      <c r="J475" s="12" t="s">
        <v>172</v>
      </c>
      <c r="K475" s="12">
        <v>43100</v>
      </c>
      <c r="L475" s="12" t="s">
        <v>35</v>
      </c>
      <c r="M475" s="13" t="e">
        <v>#N/A</v>
      </c>
      <c r="N475" s="14" t="e">
        <v>#N/A</v>
      </c>
      <c r="O475" s="14" t="e">
        <v>#N/A</v>
      </c>
      <c r="P475" s="14" t="e">
        <v>#N/A</v>
      </c>
      <c r="Q475" s="19" t="s">
        <v>1535</v>
      </c>
      <c r="R475" s="15" t="s">
        <v>3445</v>
      </c>
      <c r="S475" s="15" t="s">
        <v>37</v>
      </c>
      <c r="T475" s="16" t="s">
        <v>38</v>
      </c>
      <c r="U475" s="11" t="str">
        <f>_xlfn.XLOOKUP(Customer[[#This Row],[Customer ID]],[1]!Address[ID],[1]!Address[Phone No.(2)])</f>
        <v/>
      </c>
      <c r="V475" s="11" t="str">
        <f>_xlfn.XLOOKUP(Customer[[#This Row],[Customer ID]],[1]!Address[ID],[1]!Address[Type])</f>
        <v>PETROMART</v>
      </c>
      <c r="W475" s="11" t="str">
        <f>_xlfn.XLOOKUP(Customer[[#This Row],[Customer ID]],[1]!Address[ID],[1]!Address[CT])</f>
        <v>30 DAYS</v>
      </c>
      <c r="X475" s="11" t="s">
        <v>39</v>
      </c>
      <c r="Y475" s="17" t="s">
        <v>40</v>
      </c>
      <c r="Z475" s="17" t="e">
        <f>_xlfn.XLOOKUP(Customer[[#This Row],[NewType]],$AF$36:$AF$54,$AG$36:$AG$54)</f>
        <v>#N/A</v>
      </c>
      <c r="AA475" s="17" t="s">
        <v>3446</v>
      </c>
      <c r="AB475" s="11" t="str">
        <f>_xlfn.XLOOKUP(Customer[[#This Row],[Customer ID]],[1]!Address[ID],[1]!Address[Subtype])</f>
        <v>PETRONAS</v>
      </c>
      <c r="AC475" s="18" t="str">
        <f>_xlfn.XLOOKUP(Customer[[#This Row],[Customer ID]],[1]!Address[ID],[1]!Address[Zone])</f>
        <v>CENTRAL</v>
      </c>
    </row>
    <row r="476" spans="1:29" x14ac:dyDescent="0.3">
      <c r="A476" s="10" t="s">
        <v>3447</v>
      </c>
      <c r="B476" s="11" t="str">
        <f>_xlfn.XLOOKUP(Customer[[#This Row],[Customer ID]],[1]!Name[ID],[1]!Name[Description(1)])</f>
        <v>WAWASAN MULIA ENTERPRISE</v>
      </c>
      <c r="C476" s="11" t="str">
        <f>_xlfn.XLOOKUP(Customer[[#This Row],[Customer ID]],[1]!Name[ID],[1]!Name[Description(2)])</f>
        <v>PS MRR2 ARAH KEPONG</v>
      </c>
      <c r="D476" s="11" t="str">
        <f>_xlfn.XLOOKUP(Customer[[#This Row],[Customer ID]],[1]!Address[ID],[1]!Address[PIC])</f>
        <v/>
      </c>
      <c r="E476" s="11" t="str">
        <f>_xlfn.XLOOKUP(Customer[[#This Row],[Customer ID]],[1]!Address[ID],[1]!Address[Full Address])</f>
        <v>PS MRR2 ARAH KEPONGLOT PT 25747, MUKIM BATU, 52100, , 52100WILAYAH PERSEKUTUAN KUALA LUMPUR, WPERSEKUTUAN</v>
      </c>
      <c r="F476" s="12" t="s">
        <v>3448</v>
      </c>
      <c r="G476" s="12" t="s">
        <v>3449</v>
      </c>
      <c r="H476" s="12" t="s">
        <v>3450</v>
      </c>
      <c r="I476" s="12" t="b">
        <f>ISNUMBER(VALUE(LEFT(Customer[[#This Row],[Address Line 3 (30 char)]],1)))</f>
        <v>0</v>
      </c>
      <c r="J476" s="12" t="s">
        <v>172</v>
      </c>
      <c r="K476" s="12">
        <v>52100</v>
      </c>
      <c r="L476" s="12" t="s">
        <v>35</v>
      </c>
      <c r="M476" s="13" t="e">
        <v>#N/A</v>
      </c>
      <c r="N476" s="14" t="e">
        <v>#N/A</v>
      </c>
      <c r="O476" s="14" t="e">
        <v>#N/A</v>
      </c>
      <c r="P476" s="14" t="e">
        <v>#N/A</v>
      </c>
      <c r="Q476" s="19" t="s">
        <v>3451</v>
      </c>
      <c r="R476" s="15" t="s">
        <v>3452</v>
      </c>
      <c r="S476" s="15" t="s">
        <v>37</v>
      </c>
      <c r="T476" s="16" t="s">
        <v>38</v>
      </c>
      <c r="U476" s="11" t="str">
        <f>_xlfn.XLOOKUP(Customer[[#This Row],[Customer ID]],[1]!Address[ID],[1]!Address[Phone No.(2)])</f>
        <v/>
      </c>
      <c r="V476" s="11" t="str">
        <f>_xlfn.XLOOKUP(Customer[[#This Row],[Customer ID]],[1]!Address[ID],[1]!Address[Type])</f>
        <v>PETROMART</v>
      </c>
      <c r="W476" s="11" t="str">
        <f>_xlfn.XLOOKUP(Customer[[#This Row],[Customer ID]],[1]!Address[ID],[1]!Address[CT])</f>
        <v>30 DAYS</v>
      </c>
      <c r="X476" s="11" t="s">
        <v>39</v>
      </c>
      <c r="Y476" s="17" t="s">
        <v>40</v>
      </c>
      <c r="Z476" s="17" t="e">
        <f>_xlfn.XLOOKUP(Customer[[#This Row],[NewType]],$AF$36:$AF$54,$AG$36:$AG$54)</f>
        <v>#N/A</v>
      </c>
      <c r="AA476" s="17" t="s">
        <v>3453</v>
      </c>
      <c r="AB476" s="11" t="str">
        <f>_xlfn.XLOOKUP(Customer[[#This Row],[Customer ID]],[1]!Address[ID],[1]!Address[Subtype])</f>
        <v>PETRONAS</v>
      </c>
      <c r="AC476" s="18" t="str">
        <f>_xlfn.XLOOKUP(Customer[[#This Row],[Customer ID]],[1]!Address[ID],[1]!Address[Zone])</f>
        <v>CENTRAL</v>
      </c>
    </row>
    <row r="477" spans="1:29" x14ac:dyDescent="0.3">
      <c r="A477" s="10" t="s">
        <v>3454</v>
      </c>
      <c r="B477" s="11" t="str">
        <f>_xlfn.XLOOKUP(Customer[[#This Row],[Customer ID]],[1]!Name[ID],[1]!Name[Description(1)])</f>
        <v>DINAR NIAGA ENTERPRISE</v>
      </c>
      <c r="C477" s="11" t="str">
        <f>_xlfn.XLOOKUP(Customer[[#This Row],[Customer ID]],[1]!Name[ID],[1]!Name[Description(2)])</f>
        <v>PS MRR2 KEPONG</v>
      </c>
      <c r="D477" s="11" t="str">
        <f>_xlfn.XLOOKUP(Customer[[#This Row],[Customer ID]],[1]!Address[ID],[1]!Address[PIC])</f>
        <v/>
      </c>
      <c r="E477" s="11" t="str">
        <f>_xlfn.XLOOKUP(Customer[[#This Row],[Customer ID]],[1]!Address[ID],[1]!Address[Full Address])</f>
        <v>PS MRR2 KEPONGLOT 17292 MRR2 (BATU CAVESBOUND), MUKIM BATU KEPONG,53100 KUALA LUMPUR</v>
      </c>
      <c r="F477" s="12" t="s">
        <v>3455</v>
      </c>
      <c r="G477" s="12" t="s">
        <v>3456</v>
      </c>
      <c r="H477" s="12" t="s">
        <v>3457</v>
      </c>
      <c r="I477" s="12" t="b">
        <f>ISNUMBER(VALUE(LEFT(Customer[[#This Row],[Address Line 3 (30 char)]],1)))</f>
        <v>0</v>
      </c>
      <c r="J477" s="12" t="s">
        <v>34</v>
      </c>
      <c r="K477" s="12">
        <v>53100</v>
      </c>
      <c r="L477" s="12" t="s">
        <v>35</v>
      </c>
      <c r="M477" s="13">
        <v>200403087385</v>
      </c>
      <c r="N477" s="14" t="s">
        <v>3458</v>
      </c>
      <c r="O477" s="14" t="s">
        <v>54</v>
      </c>
      <c r="P477" s="14" t="s">
        <v>3459</v>
      </c>
      <c r="Q477" s="19" t="s">
        <v>3460</v>
      </c>
      <c r="R477" s="15" t="s">
        <v>3452</v>
      </c>
      <c r="S477" s="15" t="s">
        <v>37</v>
      </c>
      <c r="T477" s="16" t="s">
        <v>38</v>
      </c>
      <c r="U477" s="11" t="str">
        <f>_xlfn.XLOOKUP(Customer[[#This Row],[Customer ID]],[1]!Address[ID],[1]!Address[Phone No.(2)])</f>
        <v/>
      </c>
      <c r="V477" s="11" t="str">
        <f>_xlfn.XLOOKUP(Customer[[#This Row],[Customer ID]],[1]!Address[ID],[1]!Address[Type])</f>
        <v>PETROMART</v>
      </c>
      <c r="W477" s="11" t="str">
        <f>_xlfn.XLOOKUP(Customer[[#This Row],[Customer ID]],[1]!Address[ID],[1]!Address[CT])</f>
        <v>30 DAYS</v>
      </c>
      <c r="X477" s="11" t="s">
        <v>39</v>
      </c>
      <c r="Y477" s="17" t="s">
        <v>40</v>
      </c>
      <c r="Z477" s="17" t="e">
        <f>_xlfn.XLOOKUP(Customer[[#This Row],[NewType]],$AF$36:$AF$54,$AG$36:$AG$54)</f>
        <v>#N/A</v>
      </c>
      <c r="AA477" s="17" t="s">
        <v>3461</v>
      </c>
      <c r="AB477" s="11" t="str">
        <f>_xlfn.XLOOKUP(Customer[[#This Row],[Customer ID]],[1]!Address[ID],[1]!Address[Subtype])</f>
        <v>PETRONAS</v>
      </c>
      <c r="AC477" s="18" t="str">
        <f>_xlfn.XLOOKUP(Customer[[#This Row],[Customer ID]],[1]!Address[ID],[1]!Address[Zone])</f>
        <v>CENTRAL</v>
      </c>
    </row>
    <row r="478" spans="1:29" x14ac:dyDescent="0.3">
      <c r="A478" s="10" t="s">
        <v>3462</v>
      </c>
      <c r="B478" s="11" t="str">
        <f>_xlfn.XLOOKUP(Customer[[#This Row],[Customer ID]],[1]!Name[ID],[1]!Name[Description(1)])</f>
        <v>WARITH IMAN ENTERPRISE</v>
      </c>
      <c r="C478" s="11" t="str">
        <f>_xlfn.XLOOKUP(Customer[[#This Row],[Customer ID]],[1]!Name[ID],[1]!Name[Description(2)])</f>
        <v>PS MRR2 MUKIM HULU KLANG</v>
      </c>
      <c r="D478" s="11" t="str">
        <f>_xlfn.XLOOKUP(Customer[[#This Row],[Customer ID]],[1]!Address[ID],[1]!Address[PIC])</f>
        <v/>
      </c>
      <c r="E478" s="11" t="str">
        <f>_xlfn.XLOOKUP(Customer[[#This Row],[Customer ID]],[1]!Address[ID],[1]!Address[Full Address])</f>
        <v>PS MRR2 MUKIM HULU KLANGLOT 911, GM NO 222 MRR2, MUKIM HULUKELANG, 68000 AMPANG, SELANGOR</v>
      </c>
      <c r="F478" s="12" t="s">
        <v>3463</v>
      </c>
      <c r="G478" s="12" t="s">
        <v>3464</v>
      </c>
      <c r="H478" s="12" t="s">
        <v>3465</v>
      </c>
      <c r="I478" s="12" t="b">
        <f>ISNUMBER(VALUE(LEFT(Customer[[#This Row],[Address Line 3 (30 char)]],1)))</f>
        <v>0</v>
      </c>
      <c r="J478" s="12" t="s">
        <v>172</v>
      </c>
      <c r="K478" s="12">
        <v>68000</v>
      </c>
      <c r="L478" s="12" t="s">
        <v>35</v>
      </c>
      <c r="M478" s="13">
        <v>200603022744</v>
      </c>
      <c r="N478" s="14" t="s">
        <v>3466</v>
      </c>
      <c r="O478" s="14"/>
      <c r="P478" s="14">
        <v>47111</v>
      </c>
      <c r="Q478" s="19" t="s">
        <v>3467</v>
      </c>
      <c r="R478" s="15" t="s">
        <v>3468</v>
      </c>
      <c r="S478" s="15" t="s">
        <v>65</v>
      </c>
      <c r="T478" s="16" t="s">
        <v>38</v>
      </c>
      <c r="U478" s="11" t="str">
        <f>_xlfn.XLOOKUP(Customer[[#This Row],[Customer ID]],[1]!Address[ID],[1]!Address[Phone No.(2)])</f>
        <v/>
      </c>
      <c r="V478" s="11" t="str">
        <f>_xlfn.XLOOKUP(Customer[[#This Row],[Customer ID]],[1]!Address[ID],[1]!Address[Type])</f>
        <v>PETROMART</v>
      </c>
      <c r="W478" s="11" t="str">
        <f>_xlfn.XLOOKUP(Customer[[#This Row],[Customer ID]],[1]!Address[ID],[1]!Address[CT])</f>
        <v>30 DAYS</v>
      </c>
      <c r="X478" s="11" t="s">
        <v>39</v>
      </c>
      <c r="Y478" s="17" t="s">
        <v>40</v>
      </c>
      <c r="Z478" s="17" t="e">
        <f>_xlfn.XLOOKUP(Customer[[#This Row],[NewType]],$AF$36:$AF$54,$AG$36:$AG$54)</f>
        <v>#N/A</v>
      </c>
      <c r="AA478" s="17" t="s">
        <v>3469</v>
      </c>
      <c r="AB478" s="11" t="str">
        <f>_xlfn.XLOOKUP(Customer[[#This Row],[Customer ID]],[1]!Address[ID],[1]!Address[Subtype])</f>
        <v>PETRONAS</v>
      </c>
      <c r="AC478" s="18" t="str">
        <f>_xlfn.XLOOKUP(Customer[[#This Row],[Customer ID]],[1]!Address[ID],[1]!Address[Zone])</f>
        <v>CENTRAL</v>
      </c>
    </row>
    <row r="479" spans="1:29" x14ac:dyDescent="0.3">
      <c r="A479" s="10" t="s">
        <v>3470</v>
      </c>
      <c r="B479" s="11" t="str">
        <f>_xlfn.XLOOKUP(Customer[[#This Row],[Customer ID]],[1]!Name[ID],[1]!Name[Description(1)])</f>
        <v>FARMASI PRO PASIR TUMBOH</v>
      </c>
      <c r="C479" s="11" t="str">
        <f>_xlfn.XLOOKUP(Customer[[#This Row],[Customer ID]],[1]!Name[ID],[1]!Name[Description(2)])</f>
        <v>MUSLEH PROHEALTH SDN BHD</v>
      </c>
      <c r="D479" s="11" t="str">
        <f>_xlfn.XLOOKUP(Customer[[#This Row],[Customer ID]],[1]!Address[ID],[1]!Address[PIC])</f>
        <v/>
      </c>
      <c r="E479" s="11" t="str">
        <f>_xlfn.XLOOKUP(Customer[[#This Row],[Customer ID]],[1]!Address[ID],[1]!Address[Full Address])</f>
        <v>ARAS BAWAH, S/69 LOT 758,TAMAN SRI KERANJI, JALAN PASIR PUTEH,16150 KOTA BHARU, KELANTAN</v>
      </c>
      <c r="F479" s="12" t="s">
        <v>3471</v>
      </c>
      <c r="G479" s="12" t="s">
        <v>3472</v>
      </c>
      <c r="H479" s="12" t="s">
        <v>3473</v>
      </c>
      <c r="I479" s="12" t="b">
        <f>ISNUMBER(VALUE(LEFT(Customer[[#This Row],[Address Line 3 (30 char)]],1)))</f>
        <v>0</v>
      </c>
      <c r="J479" s="12" t="s">
        <v>1007</v>
      </c>
      <c r="K479" s="12">
        <v>16150</v>
      </c>
      <c r="L479" s="12" t="s">
        <v>35</v>
      </c>
      <c r="M479" s="13" t="e">
        <v>#N/A</v>
      </c>
      <c r="N479" s="14" t="e">
        <v>#N/A</v>
      </c>
      <c r="O479" s="14" t="e">
        <v>#N/A</v>
      </c>
      <c r="P479" s="14" t="e">
        <v>#N/A</v>
      </c>
      <c r="Q479" s="19" t="s">
        <v>3474</v>
      </c>
      <c r="R479" s="15" t="s">
        <v>3475</v>
      </c>
      <c r="S479" s="15" t="s">
        <v>3476</v>
      </c>
      <c r="T479" s="16" t="s">
        <v>3477</v>
      </c>
      <c r="U479" s="11" t="str">
        <f>_xlfn.XLOOKUP(Customer[[#This Row],[Customer ID]],[1]!Address[ID],[1]!Address[Phone No.(2)])</f>
        <v/>
      </c>
      <c r="V479" s="11" t="str">
        <f>_xlfn.XLOOKUP(Customer[[#This Row],[Customer ID]],[1]!Address[ID],[1]!Address[Type])</f>
        <v>SOCMED</v>
      </c>
      <c r="W479" s="11" t="str">
        <f>_xlfn.XLOOKUP(Customer[[#This Row],[Customer ID]],[1]!Address[ID],[1]!Address[CT])</f>
        <v>14 DAYS</v>
      </c>
      <c r="X479" s="11"/>
      <c r="Y479" s="17" t="s">
        <v>90</v>
      </c>
      <c r="Z479" s="17" t="e">
        <f>_xlfn.XLOOKUP(Customer[[#This Row],[NewType]],$AF$36:$AF$54,$AG$36:$AG$54)</f>
        <v>#N/A</v>
      </c>
      <c r="AA479" s="17" t="s">
        <v>3478</v>
      </c>
      <c r="AB479" s="11" t="str">
        <f>_xlfn.XLOOKUP(Customer[[#This Row],[Customer ID]],[1]!Address[ID],[1]!Address[Subtype])</f>
        <v>KB</v>
      </c>
      <c r="AC479" s="18" t="str">
        <f>_xlfn.XLOOKUP(Customer[[#This Row],[Customer ID]],[1]!Address[ID],[1]!Address[Zone])</f>
        <v>EAST COAST</v>
      </c>
    </row>
    <row r="480" spans="1:29" x14ac:dyDescent="0.3">
      <c r="A480" s="10" t="s">
        <v>3479</v>
      </c>
      <c r="B480" s="11" t="str">
        <f>_xlfn.XLOOKUP(Customer[[#This Row],[Customer ID]],[1]!Name[ID],[1]!Name[Description(1)])</f>
        <v>KOPERASI SERBAGUNA DARA BERHAD 2 / STESE</v>
      </c>
      <c r="C480" s="11" t="str">
        <f>_xlfn.XLOOKUP(Customer[[#This Row],[Customer ID]],[1]!Name[ID],[1]!Name[Description(2)])</f>
        <v>PS MUADZAM SHAH 2 (KM 78)</v>
      </c>
      <c r="D480" s="11" t="str">
        <f>_xlfn.XLOOKUP(Customer[[#This Row],[Customer ID]],[1]!Address[ID],[1]!Address[PIC])</f>
        <v/>
      </c>
      <c r="E480" s="11" t="str">
        <f>_xlfn.XLOOKUP(Customer[[#This Row],[Customer ID]],[1]!Address[ID],[1]!Address[Full Address])</f>
        <v>PS MUADZAM SHAH 2 (KM 78)LOT 3358, KM 78, MUADZAM SHAH, LEBUHRAYATUN RAZAK, 26600, PEKAN, PAHANG</v>
      </c>
      <c r="F480" s="12" t="s">
        <v>3480</v>
      </c>
      <c r="G480" s="12" t="s">
        <v>3481</v>
      </c>
      <c r="H480" s="12" t="s">
        <v>3482</v>
      </c>
      <c r="I480" s="12" t="b">
        <f>ISNUMBER(VALUE(LEFT(Customer[[#This Row],[Address Line 3 (30 char)]],1)))</f>
        <v>0</v>
      </c>
      <c r="J480" s="12" t="s">
        <v>339</v>
      </c>
      <c r="K480" s="12">
        <v>26600</v>
      </c>
      <c r="L480" s="12" t="s">
        <v>35</v>
      </c>
      <c r="M480" s="13" t="e">
        <v>#N/A</v>
      </c>
      <c r="N480" s="14" t="e">
        <v>#N/A</v>
      </c>
      <c r="O480" s="14" t="e">
        <v>#N/A</v>
      </c>
      <c r="P480" s="14" t="e">
        <v>#N/A</v>
      </c>
      <c r="Q480" s="19" t="s">
        <v>578</v>
      </c>
      <c r="R480" s="15" t="s">
        <v>579</v>
      </c>
      <c r="S480" s="15" t="s">
        <v>37</v>
      </c>
      <c r="T480" s="16" t="s">
        <v>38</v>
      </c>
      <c r="U480" s="11" t="str">
        <f>_xlfn.XLOOKUP(Customer[[#This Row],[Customer ID]],[1]!Address[ID],[1]!Address[Phone No.(2)])</f>
        <v/>
      </c>
      <c r="V480" s="11" t="str">
        <f>_xlfn.XLOOKUP(Customer[[#This Row],[Customer ID]],[1]!Address[ID],[1]!Address[Type])</f>
        <v>PETROMART</v>
      </c>
      <c r="W480" s="11" t="str">
        <f>_xlfn.XLOOKUP(Customer[[#This Row],[Customer ID]],[1]!Address[ID],[1]!Address[CT])</f>
        <v>30 DAYS</v>
      </c>
      <c r="X480" s="11" t="s">
        <v>39</v>
      </c>
      <c r="Y480" s="17" t="s">
        <v>40</v>
      </c>
      <c r="Z480" s="17" t="e">
        <f>_xlfn.XLOOKUP(Customer[[#This Row],[NewType]],$AF$36:$AF$54,$AG$36:$AG$54)</f>
        <v>#N/A</v>
      </c>
      <c r="AA480" s="17" t="s">
        <v>3483</v>
      </c>
      <c r="AB480" s="11" t="str">
        <f>_xlfn.XLOOKUP(Customer[[#This Row],[Customer ID]],[1]!Address[ID],[1]!Address[Subtype])</f>
        <v>PETRONAS</v>
      </c>
      <c r="AC480" s="18" t="str">
        <f>_xlfn.XLOOKUP(Customer[[#This Row],[Customer ID]],[1]!Address[ID],[1]!Address[Zone])</f>
        <v>EAST COAST</v>
      </c>
    </row>
    <row r="481" spans="1:29" x14ac:dyDescent="0.3">
      <c r="A481" s="10" t="s">
        <v>3484</v>
      </c>
      <c r="B481" s="11" t="str">
        <f>_xlfn.XLOOKUP(Customer[[#This Row],[Customer ID]],[1]!Name[ID],[1]!Name[Description(1)])</f>
        <v>TITI ESBI ENTERPRISE</v>
      </c>
      <c r="C481" s="11" t="str">
        <f>_xlfn.XLOOKUP(Customer[[#This Row],[Customer ID]],[1]!Name[ID],[1]!Name[Description(2)])</f>
        <v>PS MUKIM BANDAR MUAR, MUAR BYPASS</v>
      </c>
      <c r="D481" s="11" t="str">
        <f>_xlfn.XLOOKUP(Customer[[#This Row],[Customer ID]],[1]!Address[ID],[1]!Address[PIC])</f>
        <v/>
      </c>
      <c r="E481" s="11" t="str">
        <f>_xlfn.XLOOKUP(Customer[[#This Row],[Customer ID]],[1]!Address[ID],[1]!Address[Full Address])</f>
        <v>PS MUKIM BANDAR MUAR, MUAR BYPASSLOT 4231 GM 3991, MUKIM GM 3991, MUKIMBANDAR MUAR,MUAR BYPASS, 84000 MUAR,JOHOR</v>
      </c>
      <c r="F481" s="12" t="s">
        <v>3485</v>
      </c>
      <c r="G481" s="12" t="s">
        <v>3486</v>
      </c>
      <c r="H481" s="12" t="s">
        <v>3487</v>
      </c>
      <c r="I481" s="12" t="b">
        <f>ISNUMBER(VALUE(LEFT(Customer[[#This Row],[Address Line 3 (30 char)]],1)))</f>
        <v>0</v>
      </c>
      <c r="J481" s="12" t="s">
        <v>52</v>
      </c>
      <c r="K481" s="12">
        <v>84000</v>
      </c>
      <c r="L481" s="12" t="s">
        <v>35</v>
      </c>
      <c r="M481" s="13" t="e">
        <v>#N/A</v>
      </c>
      <c r="N481" s="14" t="e">
        <v>#N/A</v>
      </c>
      <c r="O481" s="14" t="e">
        <v>#N/A</v>
      </c>
      <c r="P481" s="14" t="e">
        <v>#N/A</v>
      </c>
      <c r="Q481" s="19" t="s">
        <v>3488</v>
      </c>
      <c r="R481" s="15" t="s">
        <v>3489</v>
      </c>
      <c r="S481" s="15" t="s">
        <v>37</v>
      </c>
      <c r="T481" s="16" t="s">
        <v>38</v>
      </c>
      <c r="U481" s="11" t="str">
        <f>_xlfn.XLOOKUP(Customer[[#This Row],[Customer ID]],[1]!Address[ID],[1]!Address[Phone No.(2)])</f>
        <v/>
      </c>
      <c r="V481" s="11" t="str">
        <f>_xlfn.XLOOKUP(Customer[[#This Row],[Customer ID]],[1]!Address[ID],[1]!Address[Type])</f>
        <v>PETROMART</v>
      </c>
      <c r="W481" s="11" t="str">
        <f>_xlfn.XLOOKUP(Customer[[#This Row],[Customer ID]],[1]!Address[ID],[1]!Address[CT])</f>
        <v>30 DAYS</v>
      </c>
      <c r="X481" s="11" t="s">
        <v>39</v>
      </c>
      <c r="Y481" s="17" t="s">
        <v>40</v>
      </c>
      <c r="Z481" s="17" t="e">
        <f>_xlfn.XLOOKUP(Customer[[#This Row],[NewType]],$AF$36:$AF$54,$AG$36:$AG$54)</f>
        <v>#N/A</v>
      </c>
      <c r="AA481" s="17" t="s">
        <v>3490</v>
      </c>
      <c r="AB481" s="11" t="str">
        <f>_xlfn.XLOOKUP(Customer[[#This Row],[Customer ID]],[1]!Address[ID],[1]!Address[Subtype])</f>
        <v>PETRONAS</v>
      </c>
      <c r="AC481" s="18" t="str">
        <f>_xlfn.XLOOKUP(Customer[[#This Row],[Customer ID]],[1]!Address[ID],[1]!Address[Zone])</f>
        <v>SOUTH</v>
      </c>
    </row>
    <row r="482" spans="1:29" x14ac:dyDescent="0.3">
      <c r="A482" s="27" t="s">
        <v>3491</v>
      </c>
      <c r="B482" s="28" t="str">
        <f>_xlfn.XLOOKUP(Customer[[#This Row],[Customer ID]],[1]!Name[ID],[1]!Name[Description(1)])</f>
        <v>KOPERASI FELDA SEBERTAK BERHAD</v>
      </c>
      <c r="C482" s="11" t="str">
        <f>_xlfn.XLOOKUP(Customer[[#This Row],[Customer ID]],[1]!Name[ID],[1]!Name[Description(2)])</f>
        <v>PS MUKIM BANGAU</v>
      </c>
      <c r="D482" s="11" t="str">
        <f>_xlfn.XLOOKUP(Customer[[#This Row],[Customer ID]],[1]!Address[ID],[1]!Address[PIC])</f>
        <v/>
      </c>
      <c r="E482" s="11" t="str">
        <f>_xlfn.XLOOKUP(Customer[[#This Row],[Customer ID]],[1]!Address[ID],[1]!Address[Full Address])</f>
        <v>PS MUKIM BANGAULOT PT 1361, KM 13,JALAN MARAN, MUKIM BANGAU,28000, TEMERLOH, PAHANG</v>
      </c>
      <c r="F482" s="12" t="s">
        <v>3492</v>
      </c>
      <c r="G482" s="12" t="s">
        <v>3493</v>
      </c>
      <c r="H482" s="12" t="s">
        <v>3494</v>
      </c>
      <c r="I482" s="12" t="b">
        <f>ISNUMBER(VALUE(LEFT(Customer[[#This Row],[Address Line 3 (30 char)]],1)))</f>
        <v>0</v>
      </c>
      <c r="J482" s="12" t="s">
        <v>339</v>
      </c>
      <c r="K482" s="12">
        <v>28000</v>
      </c>
      <c r="L482" s="12" t="s">
        <v>35</v>
      </c>
      <c r="M482" s="13" t="e">
        <v>#N/A</v>
      </c>
      <c r="N482" s="14" t="s">
        <v>3495</v>
      </c>
      <c r="O482" s="14" t="s">
        <v>54</v>
      </c>
      <c r="P482" s="14">
        <v>47300</v>
      </c>
      <c r="Q482" s="19" t="s">
        <v>3496</v>
      </c>
      <c r="R482" s="15" t="s">
        <v>3497</v>
      </c>
      <c r="S482" s="15" t="s">
        <v>37</v>
      </c>
      <c r="T482" s="16" t="s">
        <v>38</v>
      </c>
      <c r="U482" s="11" t="str">
        <f>_xlfn.XLOOKUP(Customer[[#This Row],[Customer ID]],[1]!Address[ID],[1]!Address[Phone No.(2)])</f>
        <v/>
      </c>
      <c r="V482" s="11" t="str">
        <f>_xlfn.XLOOKUP(Customer[[#This Row],[Customer ID]],[1]!Address[ID],[1]!Address[Type])</f>
        <v>PETROMART</v>
      </c>
      <c r="W482" s="11" t="str">
        <f>_xlfn.XLOOKUP(Customer[[#This Row],[Customer ID]],[1]!Address[ID],[1]!Address[CT])</f>
        <v>30 DAYS</v>
      </c>
      <c r="X482" s="11" t="s">
        <v>39</v>
      </c>
      <c r="Y482" s="17" t="s">
        <v>40</v>
      </c>
      <c r="Z482" s="17" t="e">
        <f>_xlfn.XLOOKUP(Customer[[#This Row],[NewType]],$AF$36:$AF$54,$AG$36:$AG$54)</f>
        <v>#N/A</v>
      </c>
      <c r="AA482" s="17" t="s">
        <v>3498</v>
      </c>
      <c r="AB482" s="11" t="str">
        <f>_xlfn.XLOOKUP(Customer[[#This Row],[Customer ID]],[1]!Address[ID],[1]!Address[Subtype])</f>
        <v>PETRONAS</v>
      </c>
      <c r="AC482" s="18" t="str">
        <f>_xlfn.XLOOKUP(Customer[[#This Row],[Customer ID]],[1]!Address[ID],[1]!Address[Zone])</f>
        <v>EAST COAST</v>
      </c>
    </row>
    <row r="483" spans="1:29" x14ac:dyDescent="0.3">
      <c r="A483" s="10" t="s">
        <v>3499</v>
      </c>
      <c r="B483" s="11" t="str">
        <f>_xlfn.XLOOKUP(Customer[[#This Row],[Customer ID]],[1]!Name[ID],[1]!Name[Description(1)])</f>
        <v>KULIS DAGANG SERVICES</v>
      </c>
      <c r="C483" s="11" t="str">
        <f>_xlfn.XLOOKUP(Customer[[#This Row],[Customer ID]],[1]!Name[ID],[1]!Name[Description(2)])</f>
        <v>PS MUKIM BATU BERENDAM</v>
      </c>
      <c r="D483" s="11" t="str">
        <f>_xlfn.XLOOKUP(Customer[[#This Row],[Customer ID]],[1]!Address[ID],[1]!Address[PIC])</f>
        <v/>
      </c>
      <c r="E483" s="11" t="str">
        <f>_xlfn.XLOOKUP(Customer[[#This Row],[Customer ID]],[1]!Address[ID],[1]!Address[Full Address])</f>
        <v>PS MUKIM BATU BERENDAMLOT 3237, GMM 384 MUKIM BATUBERENDAM, MELAKA TENGAH,75350 MELAKA</v>
      </c>
      <c r="F483" s="12" t="s">
        <v>3500</v>
      </c>
      <c r="G483" s="12" t="s">
        <v>3501</v>
      </c>
      <c r="H483" s="12" t="s">
        <v>3502</v>
      </c>
      <c r="I483" s="12" t="b">
        <f>ISNUMBER(VALUE(LEFT(Customer[[#This Row],[Address Line 3 (30 char)]],1)))</f>
        <v>0</v>
      </c>
      <c r="J483" s="12" t="s">
        <v>61</v>
      </c>
      <c r="K483" s="12">
        <v>75350</v>
      </c>
      <c r="L483" s="12" t="s">
        <v>35</v>
      </c>
      <c r="M483" s="13">
        <v>200603003497</v>
      </c>
      <c r="N483" s="14" t="s">
        <v>3503</v>
      </c>
      <c r="O483" s="14" t="s">
        <v>54</v>
      </c>
      <c r="P483" s="14">
        <v>47300</v>
      </c>
      <c r="Q483" s="19" t="s">
        <v>3504</v>
      </c>
      <c r="R483" s="15" t="s">
        <v>3505</v>
      </c>
      <c r="S483" s="15" t="s">
        <v>37</v>
      </c>
      <c r="T483" s="16" t="s">
        <v>38</v>
      </c>
      <c r="U483" s="11" t="str">
        <f>_xlfn.XLOOKUP(Customer[[#This Row],[Customer ID]],[1]!Address[ID],[1]!Address[Phone No.(2)])</f>
        <v/>
      </c>
      <c r="V483" s="11" t="str">
        <f>_xlfn.XLOOKUP(Customer[[#This Row],[Customer ID]],[1]!Address[ID],[1]!Address[Type])</f>
        <v>PETROMART</v>
      </c>
      <c r="W483" s="11" t="str">
        <f>_xlfn.XLOOKUP(Customer[[#This Row],[Customer ID]],[1]!Address[ID],[1]!Address[CT])</f>
        <v>30 DAYS</v>
      </c>
      <c r="X483" s="11" t="s">
        <v>39</v>
      </c>
      <c r="Y483" s="17" t="s">
        <v>40</v>
      </c>
      <c r="Z483" s="17" t="e">
        <f>_xlfn.XLOOKUP(Customer[[#This Row],[NewType]],$AF$36:$AF$54,$AG$36:$AG$54)</f>
        <v>#N/A</v>
      </c>
      <c r="AA483" s="17" t="s">
        <v>3506</v>
      </c>
      <c r="AB483" s="11" t="str">
        <f>_xlfn.XLOOKUP(Customer[[#This Row],[Customer ID]],[1]!Address[ID],[1]!Address[Subtype])</f>
        <v>PETRONAS</v>
      </c>
      <c r="AC483" s="18" t="str">
        <f>_xlfn.XLOOKUP(Customer[[#This Row],[Customer ID]],[1]!Address[ID],[1]!Address[Zone])</f>
        <v>SOUTH</v>
      </c>
    </row>
    <row r="484" spans="1:29" x14ac:dyDescent="0.3">
      <c r="A484" s="10" t="s">
        <v>3507</v>
      </c>
      <c r="B484" s="11" t="str">
        <f>_xlfn.XLOOKUP(Customer[[#This Row],[Customer ID]],[1]!Name[ID],[1]!Name[Description(1)])</f>
        <v>PERTUBUHAN PELADANG KAWASAN ALOR</v>
      </c>
      <c r="C484" s="11" t="str">
        <f>_xlfn.XLOOKUP(Customer[[#This Row],[Customer ID]],[1]!Name[ID],[1]!Name[Description(2)])</f>
        <v>PS MUKIM KELEMAK</v>
      </c>
      <c r="D484" s="11" t="str">
        <f>_xlfn.XLOOKUP(Customer[[#This Row],[Customer ID]],[1]!Address[ID],[1]!Address[PIC])</f>
        <v/>
      </c>
      <c r="E484" s="11" t="str">
        <f>_xlfn.XLOOKUP(Customer[[#This Row],[Customer ID]],[1]!Address[ID],[1]!Address[Full Address])</f>
        <v>PS MUKIM KELEMAKLOT PT 56, MUKIM KELEMAK, MELAKA, 78000,ALOR GAJAH, MELAKA</v>
      </c>
      <c r="F484" s="12" t="s">
        <v>3508</v>
      </c>
      <c r="G484" s="12" t="s">
        <v>3509</v>
      </c>
      <c r="H484" s="12" t="s">
        <v>1568</v>
      </c>
      <c r="I484" s="12" t="b">
        <f>ISNUMBER(VALUE(LEFT(Customer[[#This Row],[Address Line 3 (30 char)]],1)))</f>
        <v>0</v>
      </c>
      <c r="J484" s="12" t="s">
        <v>61</v>
      </c>
      <c r="K484" s="12">
        <v>78000</v>
      </c>
      <c r="L484" s="12" t="s">
        <v>35</v>
      </c>
      <c r="M484" s="13" t="e">
        <v>#N/A</v>
      </c>
      <c r="N484" s="14" t="e">
        <v>#N/A</v>
      </c>
      <c r="O484" s="14" t="e">
        <v>#N/A</v>
      </c>
      <c r="P484" s="14" t="e">
        <v>#N/A</v>
      </c>
      <c r="Q484" s="19" t="s">
        <v>3510</v>
      </c>
      <c r="R484" s="15" t="s">
        <v>3511</v>
      </c>
      <c r="S484" s="15" t="s">
        <v>37</v>
      </c>
      <c r="T484" s="16" t="s">
        <v>38</v>
      </c>
      <c r="U484" s="11" t="str">
        <f>_xlfn.XLOOKUP(Customer[[#This Row],[Customer ID]],[1]!Address[ID],[1]!Address[Phone No.(2)])</f>
        <v/>
      </c>
      <c r="V484" s="11" t="str">
        <f>_xlfn.XLOOKUP(Customer[[#This Row],[Customer ID]],[1]!Address[ID],[1]!Address[Type])</f>
        <v>PETROMART</v>
      </c>
      <c r="W484" s="11" t="str">
        <f>_xlfn.XLOOKUP(Customer[[#This Row],[Customer ID]],[1]!Address[ID],[1]!Address[CT])</f>
        <v>30 DAYS</v>
      </c>
      <c r="X484" s="11" t="s">
        <v>39</v>
      </c>
      <c r="Y484" s="17" t="s">
        <v>40</v>
      </c>
      <c r="Z484" s="17" t="e">
        <f>_xlfn.XLOOKUP(Customer[[#This Row],[NewType]],$AF$36:$AF$54,$AG$36:$AG$54)</f>
        <v>#N/A</v>
      </c>
      <c r="AA484" s="17" t="s">
        <v>3512</v>
      </c>
      <c r="AB484" s="11" t="str">
        <f>_xlfn.XLOOKUP(Customer[[#This Row],[Customer ID]],[1]!Address[ID],[1]!Address[Subtype])</f>
        <v>PETRONAS</v>
      </c>
      <c r="AC484" s="18" t="str">
        <f>_xlfn.XLOOKUP(Customer[[#This Row],[Customer ID]],[1]!Address[ID],[1]!Address[Zone])</f>
        <v>SOUTH</v>
      </c>
    </row>
    <row r="485" spans="1:29" x14ac:dyDescent="0.3">
      <c r="A485" s="10" t="s">
        <v>3513</v>
      </c>
      <c r="B485" s="11" t="str">
        <f>_xlfn.XLOOKUP(Customer[[#This Row],[Customer ID]],[1]!Name[ID],[1]!Name[Description(1)])</f>
        <v>AHBB PETROMART</v>
      </c>
      <c r="C485" s="11" t="str">
        <f>_xlfn.XLOOKUP(Customer[[#This Row],[Customer ID]],[1]!Name[ID],[1]!Name[Description(2)])</f>
        <v>PS MUKIM KESANG</v>
      </c>
      <c r="D485" s="11" t="str">
        <f>_xlfn.XLOOKUP(Customer[[#This Row],[Customer ID]],[1]!Address[ID],[1]!Address[PIC])</f>
        <v/>
      </c>
      <c r="E485" s="11" t="str">
        <f>_xlfn.XLOOKUP(Customer[[#This Row],[Customer ID]],[1]!Address[ID],[1]!Address[Full Address])</f>
        <v>PS MUKIM KESANGLOT PTD 6717 MUKIM KESANG KM 1 JALANTANJUNG AGAS, MUAR, JOHOR, 84000, MUAR,JOHOR</v>
      </c>
      <c r="F485" s="12" t="s">
        <v>3514</v>
      </c>
      <c r="G485" s="12" t="s">
        <v>3515</v>
      </c>
      <c r="H485" s="12" t="s">
        <v>3516</v>
      </c>
      <c r="I485" s="12" t="b">
        <f>ISNUMBER(VALUE(LEFT(Customer[[#This Row],[Address Line 3 (30 char)]],1)))</f>
        <v>0</v>
      </c>
      <c r="J485" s="12" t="s">
        <v>52</v>
      </c>
      <c r="K485" s="12">
        <v>84000</v>
      </c>
      <c r="L485" s="12" t="s">
        <v>35</v>
      </c>
      <c r="M485" s="13" t="e">
        <v>#N/A</v>
      </c>
      <c r="N485" s="14" t="e">
        <v>#N/A</v>
      </c>
      <c r="O485" s="14" t="e">
        <v>#N/A</v>
      </c>
      <c r="P485" s="14" t="e">
        <v>#N/A</v>
      </c>
      <c r="Q485" s="19" t="s">
        <v>3517</v>
      </c>
      <c r="R485" s="15" t="s">
        <v>3518</v>
      </c>
      <c r="S485" s="15" t="s">
        <v>37</v>
      </c>
      <c r="T485" s="16" t="s">
        <v>38</v>
      </c>
      <c r="U485" s="11" t="str">
        <f>_xlfn.XLOOKUP(Customer[[#This Row],[Customer ID]],[1]!Address[ID],[1]!Address[Phone No.(2)])</f>
        <v/>
      </c>
      <c r="V485" s="11" t="str">
        <f>_xlfn.XLOOKUP(Customer[[#This Row],[Customer ID]],[1]!Address[ID],[1]!Address[Type])</f>
        <v>PETROMART</v>
      </c>
      <c r="W485" s="11" t="str">
        <f>_xlfn.XLOOKUP(Customer[[#This Row],[Customer ID]],[1]!Address[ID],[1]!Address[CT])</f>
        <v>30 DAYS</v>
      </c>
      <c r="X485" s="11" t="s">
        <v>39</v>
      </c>
      <c r="Y485" s="17" t="s">
        <v>40</v>
      </c>
      <c r="Z485" s="17" t="e">
        <f>_xlfn.XLOOKUP(Customer[[#This Row],[NewType]],$AF$36:$AF$54,$AG$36:$AG$54)</f>
        <v>#N/A</v>
      </c>
      <c r="AA485" s="17" t="s">
        <v>3519</v>
      </c>
      <c r="AB485" s="11" t="str">
        <f>_xlfn.XLOOKUP(Customer[[#This Row],[Customer ID]],[1]!Address[ID],[1]!Address[Subtype])</f>
        <v>PETRONAS</v>
      </c>
      <c r="AC485" s="18" t="str">
        <f>_xlfn.XLOOKUP(Customer[[#This Row],[Customer ID]],[1]!Address[ID],[1]!Address[Zone])</f>
        <v>SOUTH</v>
      </c>
    </row>
    <row r="486" spans="1:29" x14ac:dyDescent="0.3">
      <c r="A486" s="10" t="s">
        <v>3520</v>
      </c>
      <c r="B486" s="11" t="str">
        <f>_xlfn.XLOOKUP(Customer[[#This Row],[Customer ID]],[1]!Name[ID],[1]!Name[Description(1)])</f>
        <v>T.N. BERSATU ENTERPRISE</v>
      </c>
      <c r="C486" s="11" t="str">
        <f>_xlfn.XLOOKUP(Customer[[#This Row],[Customer ID]],[1]!Name[ID],[1]!Name[Description(2)])</f>
        <v>PS MUKIM KUALA PAKA, DUNGUN</v>
      </c>
      <c r="D486" s="11" t="str">
        <f>_xlfn.XLOOKUP(Customer[[#This Row],[Customer ID]],[1]!Address[ID],[1]!Address[PIC])</f>
        <v/>
      </c>
      <c r="E486" s="11" t="str">
        <f>_xlfn.XLOOKUP(Customer[[#This Row],[Customer ID]],[1]!Address[ID],[1]!Address[Full Address])</f>
        <v>PS MUKIM KUALA PAKA, DUNGUNLOT 1270, MUKIM KUALA PAKA,DUNGUN,23100TERENGGANU.</v>
      </c>
      <c r="F486" s="12" t="s">
        <v>3521</v>
      </c>
      <c r="G486" s="12" t="s">
        <v>3522</v>
      </c>
      <c r="H486" s="12"/>
      <c r="I486" s="12" t="b">
        <f>ISNUMBER(VALUE(LEFT(Customer[[#This Row],[Address Line 3 (30 char)]],1)))</f>
        <v>0</v>
      </c>
      <c r="J486" s="12" t="s">
        <v>154</v>
      </c>
      <c r="K486" s="12">
        <v>23100</v>
      </c>
      <c r="L486" s="12" t="s">
        <v>35</v>
      </c>
      <c r="M486" s="13" t="e">
        <v>#N/A</v>
      </c>
      <c r="N486" s="14" t="e">
        <v>#N/A</v>
      </c>
      <c r="O486" s="14" t="e">
        <v>#N/A</v>
      </c>
      <c r="P486" s="14" t="e">
        <v>#N/A</v>
      </c>
      <c r="Q486" s="19" t="s">
        <v>3523</v>
      </c>
      <c r="R486" s="15" t="s">
        <v>3524</v>
      </c>
      <c r="S486" s="15" t="s">
        <v>37</v>
      </c>
      <c r="T486" s="16" t="s">
        <v>38</v>
      </c>
      <c r="U486" s="11" t="str">
        <f>_xlfn.XLOOKUP(Customer[[#This Row],[Customer ID]],[1]!Address[ID],[1]!Address[Phone No.(2)])</f>
        <v/>
      </c>
      <c r="V486" s="11" t="str">
        <f>_xlfn.XLOOKUP(Customer[[#This Row],[Customer ID]],[1]!Address[ID],[1]!Address[Type])</f>
        <v>PETROMART</v>
      </c>
      <c r="W486" s="11" t="str">
        <f>_xlfn.XLOOKUP(Customer[[#This Row],[Customer ID]],[1]!Address[ID],[1]!Address[CT])</f>
        <v>30 DAYS</v>
      </c>
      <c r="X486" s="11" t="s">
        <v>39</v>
      </c>
      <c r="Y486" s="17" t="s">
        <v>40</v>
      </c>
      <c r="Z486" s="17" t="e">
        <f>_xlfn.XLOOKUP(Customer[[#This Row],[NewType]],$AF$36:$AF$54,$AG$36:$AG$54)</f>
        <v>#N/A</v>
      </c>
      <c r="AA486" s="17" t="s">
        <v>3525</v>
      </c>
      <c r="AB486" s="11" t="str">
        <f>_xlfn.XLOOKUP(Customer[[#This Row],[Customer ID]],[1]!Address[ID],[1]!Address[Subtype])</f>
        <v>PETRONAS</v>
      </c>
      <c r="AC486" s="18" t="str">
        <f>_xlfn.XLOOKUP(Customer[[#This Row],[Customer ID]],[1]!Address[ID],[1]!Address[Zone])</f>
        <v>EAST COAST</v>
      </c>
    </row>
    <row r="487" spans="1:29" x14ac:dyDescent="0.3">
      <c r="A487" s="10" t="s">
        <v>3526</v>
      </c>
      <c r="B487" s="11" t="str">
        <f>_xlfn.XLOOKUP(Customer[[#This Row],[Customer ID]],[1]!Name[ID],[1]!Name[Description(1)])</f>
        <v>AHSAN ENTERPRISE</v>
      </c>
      <c r="C487" s="11" t="str">
        <f>_xlfn.XLOOKUP(Customer[[#This Row],[Customer ID]],[1]!Name[ID],[1]!Name[Description(2)])</f>
        <v>PS MUKIM PELAGAT,JERTIH</v>
      </c>
      <c r="D487" s="11" t="str">
        <f>_xlfn.XLOOKUP(Customer[[#This Row],[Customer ID]],[1]!Address[ID],[1]!Address[PIC])</f>
        <v/>
      </c>
      <c r="E487" s="11" t="str">
        <f>_xlfn.XLOOKUP(Customer[[#This Row],[Customer ID]],[1]!Address[ID],[1]!Address[Full Address])</f>
        <v>PS MUKIM PELAGAT,JERTIHLOT 134, MUKIM PELAGAT,KAWASANSEBERANG JERTEH, 22000 TERENGGANU</v>
      </c>
      <c r="F487" s="12" t="s">
        <v>3527</v>
      </c>
      <c r="G487" s="12" t="s">
        <v>3528</v>
      </c>
      <c r="H487" s="12"/>
      <c r="I487" s="12" t="b">
        <f>ISNUMBER(VALUE(LEFT(Customer[[#This Row],[Address Line 3 (30 char)]],1)))</f>
        <v>0</v>
      </c>
      <c r="J487" s="12" t="s">
        <v>1056</v>
      </c>
      <c r="K487" s="12">
        <v>22000</v>
      </c>
      <c r="L487" s="12" t="s">
        <v>35</v>
      </c>
      <c r="M487" s="13" t="e">
        <v>#N/A</v>
      </c>
      <c r="N487" s="14" t="e">
        <v>#N/A</v>
      </c>
      <c r="O487" s="14" t="e">
        <v>#N/A</v>
      </c>
      <c r="P487" s="14" t="e">
        <v>#N/A</v>
      </c>
      <c r="Q487" s="19" t="s">
        <v>3529</v>
      </c>
      <c r="R487" s="15" t="s">
        <v>3530</v>
      </c>
      <c r="S487" s="15" t="s">
        <v>37</v>
      </c>
      <c r="T487" s="16" t="s">
        <v>38</v>
      </c>
      <c r="U487" s="11" t="str">
        <f>_xlfn.XLOOKUP(Customer[[#This Row],[Customer ID]],[1]!Address[ID],[1]!Address[Phone No.(2)])</f>
        <v/>
      </c>
      <c r="V487" s="11" t="str">
        <f>_xlfn.XLOOKUP(Customer[[#This Row],[Customer ID]],[1]!Address[ID],[1]!Address[Type])</f>
        <v>PETROMART</v>
      </c>
      <c r="W487" s="11" t="str">
        <f>_xlfn.XLOOKUP(Customer[[#This Row],[Customer ID]],[1]!Address[ID],[1]!Address[CT])</f>
        <v>30 DAYS</v>
      </c>
      <c r="X487" s="11" t="s">
        <v>39</v>
      </c>
      <c r="Y487" s="17" t="s">
        <v>40</v>
      </c>
      <c r="Z487" s="17" t="e">
        <f>_xlfn.XLOOKUP(Customer[[#This Row],[NewType]],$AF$36:$AF$54,$AG$36:$AG$54)</f>
        <v>#N/A</v>
      </c>
      <c r="AA487" s="17" t="s">
        <v>3531</v>
      </c>
      <c r="AB487" s="11" t="str">
        <f>_xlfn.XLOOKUP(Customer[[#This Row],[Customer ID]],[1]!Address[ID],[1]!Address[Subtype])</f>
        <v>PETRONAS</v>
      </c>
      <c r="AC487" s="18" t="str">
        <f>_xlfn.XLOOKUP(Customer[[#This Row],[Customer ID]],[1]!Address[ID],[1]!Address[Zone])</f>
        <v>EAST COAST</v>
      </c>
    </row>
    <row r="488" spans="1:29" x14ac:dyDescent="0.3">
      <c r="A488" s="10" t="s">
        <v>3532</v>
      </c>
      <c r="B488" s="11" t="str">
        <f>_xlfn.XLOOKUP(Customer[[#This Row],[Customer ID]],[1]!Name[ID],[1]!Name[Description(1)])</f>
        <v>ENERGY SONIC SDN BHD</v>
      </c>
      <c r="C488" s="11" t="str">
        <f>_xlfn.XLOOKUP(Customer[[#This Row],[Customer ID]],[1]!Name[ID],[1]!Name[Description(2)])</f>
        <v>PS KM 13 JALAN SKUDAI</v>
      </c>
      <c r="D488" s="11" t="str">
        <f>_xlfn.XLOOKUP(Customer[[#This Row],[Customer ID]],[1]!Address[ID],[1]!Address[PIC])</f>
        <v/>
      </c>
      <c r="E488" s="11" t="str">
        <f>_xlfn.XLOOKUP(Customer[[#This Row],[Customer ID]],[1]!Address[ID],[1]!Address[Full Address])</f>
        <v>PS KM 13 JALAN SKUDAILOT 1283,GM 679, MUKIM PULAI,SKUDAIHIGHWAY, 81100 JOHOR BAHRU</v>
      </c>
      <c r="F488" s="12" t="s">
        <v>3533</v>
      </c>
      <c r="G488" s="12" t="s">
        <v>3534</v>
      </c>
      <c r="H488" s="12" t="s">
        <v>3535</v>
      </c>
      <c r="I488" s="12" t="b">
        <f>ISNUMBER(VALUE(LEFT(Customer[[#This Row],[Address Line 3 (30 char)]],1)))</f>
        <v>0</v>
      </c>
      <c r="J488" s="12" t="s">
        <v>52</v>
      </c>
      <c r="K488" s="12">
        <v>81100</v>
      </c>
      <c r="L488" s="12" t="s">
        <v>35</v>
      </c>
      <c r="M488" s="13" t="e">
        <v>#N/A</v>
      </c>
      <c r="N488" s="14" t="e">
        <v>#N/A</v>
      </c>
      <c r="O488" s="14" t="e">
        <v>#N/A</v>
      </c>
      <c r="P488" s="14" t="e">
        <v>#N/A</v>
      </c>
      <c r="Q488" s="19" t="s">
        <v>3536</v>
      </c>
      <c r="R488" s="15" t="s">
        <v>2561</v>
      </c>
      <c r="S488" s="15" t="s">
        <v>37</v>
      </c>
      <c r="T488" s="16" t="s">
        <v>38</v>
      </c>
      <c r="U488" s="11" t="str">
        <f>_xlfn.XLOOKUP(Customer[[#This Row],[Customer ID]],[1]!Address[ID],[1]!Address[Phone No.(2)])</f>
        <v/>
      </c>
      <c r="V488" s="11" t="str">
        <f>_xlfn.XLOOKUP(Customer[[#This Row],[Customer ID]],[1]!Address[ID],[1]!Address[Type])</f>
        <v>PETROMART</v>
      </c>
      <c r="W488" s="11" t="str">
        <f>_xlfn.XLOOKUP(Customer[[#This Row],[Customer ID]],[1]!Address[ID],[1]!Address[CT])</f>
        <v>30 DAYS</v>
      </c>
      <c r="X488" s="11" t="s">
        <v>39</v>
      </c>
      <c r="Y488" s="17" t="s">
        <v>40</v>
      </c>
      <c r="Z488" s="17" t="e">
        <f>_xlfn.XLOOKUP(Customer[[#This Row],[NewType]],$AF$36:$AF$54,$AG$36:$AG$54)</f>
        <v>#N/A</v>
      </c>
      <c r="AA488" s="17" t="s">
        <v>3537</v>
      </c>
      <c r="AB488" s="11" t="str">
        <f>_xlfn.XLOOKUP(Customer[[#This Row],[Customer ID]],[1]!Address[ID],[1]!Address[Subtype])</f>
        <v>PETRONAS</v>
      </c>
      <c r="AC488" s="18" t="str">
        <f>_xlfn.XLOOKUP(Customer[[#This Row],[Customer ID]],[1]!Address[ID],[1]!Address[Zone])</f>
        <v>SOUTH</v>
      </c>
    </row>
    <row r="489" spans="1:29" x14ac:dyDescent="0.3">
      <c r="A489" s="10" t="s">
        <v>3538</v>
      </c>
      <c r="B489" s="11" t="str">
        <f>_xlfn.XLOOKUP(Customer[[#This Row],[Customer ID]],[1]!Name[ID],[1]!Name[Description(1)])</f>
        <v>KOPERASI KAKITANGAN PETRONAS BERHAD</v>
      </c>
      <c r="C489" s="11" t="str">
        <f>_xlfn.XLOOKUP(Customer[[#This Row],[Customer ID]],[1]!Name[ID],[1]!Name[Description(2)])</f>
        <v>PS MUKIM SERMIN</v>
      </c>
      <c r="D489" s="11" t="str">
        <f>_xlfn.XLOOKUP(Customer[[#This Row],[Customer ID]],[1]!Address[ID],[1]!Address[PIC])</f>
        <v/>
      </c>
      <c r="E489" s="11" t="str">
        <f>_xlfn.XLOOKUP(Customer[[#This Row],[Customer ID]],[1]!Address[ID],[1]!Address[Full Address])</f>
        <v>PS MUKIM SERMINLOT 155, MUKIM SERMIN, JALAN BULOH KASAPSEGAMAT, JOHOR, 85000, SEGAMAT, JOHOR</v>
      </c>
      <c r="F489" s="12" t="s">
        <v>3539</v>
      </c>
      <c r="G489" s="12" t="s">
        <v>3540</v>
      </c>
      <c r="H489" s="12" t="s">
        <v>1270</v>
      </c>
      <c r="I489" s="12" t="b">
        <f>ISNUMBER(VALUE(LEFT(Customer[[#This Row],[Address Line 3 (30 char)]],1)))</f>
        <v>0</v>
      </c>
      <c r="J489" s="12" t="s">
        <v>52</v>
      </c>
      <c r="K489" s="12">
        <v>85000</v>
      </c>
      <c r="L489" s="12" t="s">
        <v>35</v>
      </c>
      <c r="M489" s="13" t="e">
        <v>#N/A</v>
      </c>
      <c r="N489" s="14" t="e">
        <v>#N/A</v>
      </c>
      <c r="O489" s="14" t="e">
        <v>#N/A</v>
      </c>
      <c r="P489" s="14" t="e">
        <v>#N/A</v>
      </c>
      <c r="Q489" s="19" t="s">
        <v>173</v>
      </c>
      <c r="R489" s="15" t="s">
        <v>3541</v>
      </c>
      <c r="S489" s="15" t="s">
        <v>37</v>
      </c>
      <c r="T489" s="16" t="s">
        <v>38</v>
      </c>
      <c r="U489" s="11" t="str">
        <f>_xlfn.XLOOKUP(Customer[[#This Row],[Customer ID]],[1]!Address[ID],[1]!Address[Phone No.(2)])</f>
        <v/>
      </c>
      <c r="V489" s="11" t="str">
        <f>_xlfn.XLOOKUP(Customer[[#This Row],[Customer ID]],[1]!Address[ID],[1]!Address[Type])</f>
        <v>PETROMART</v>
      </c>
      <c r="W489" s="11" t="str">
        <f>_xlfn.XLOOKUP(Customer[[#This Row],[Customer ID]],[1]!Address[ID],[1]!Address[CT])</f>
        <v>30 DAYS</v>
      </c>
      <c r="X489" s="11" t="s">
        <v>39</v>
      </c>
      <c r="Y489" s="17" t="s">
        <v>40</v>
      </c>
      <c r="Z489" s="17" t="e">
        <f>_xlfn.XLOOKUP(Customer[[#This Row],[NewType]],$AF$36:$AF$54,$AG$36:$AG$54)</f>
        <v>#N/A</v>
      </c>
      <c r="AA489" s="17" t="s">
        <v>3542</v>
      </c>
      <c r="AB489" s="11" t="str">
        <f>_xlfn.XLOOKUP(Customer[[#This Row],[Customer ID]],[1]!Address[ID],[1]!Address[Subtype])</f>
        <v>PETRONAS</v>
      </c>
      <c r="AC489" s="18" t="str">
        <f>_xlfn.XLOOKUP(Customer[[#This Row],[Customer ID]],[1]!Address[ID],[1]!Address[Zone])</f>
        <v>SOUTH</v>
      </c>
    </row>
    <row r="490" spans="1:29" x14ac:dyDescent="0.3">
      <c r="A490" s="10" t="s">
        <v>3543</v>
      </c>
      <c r="B490" s="11" t="str">
        <f>_xlfn.XLOOKUP(Customer[[#This Row],[Customer ID]],[1]!Name[ID],[1]!Name[Description(1)])</f>
        <v>PETROGO ENTERPRISE</v>
      </c>
      <c r="C490" s="11" t="str">
        <f>_xlfn.XLOOKUP(Customer[[#This Row],[Customer ID]],[1]!Name[ID],[1]!Name[Description(2)])</f>
        <v>PS MUKIM TEJA, IPOH</v>
      </c>
      <c r="D490" s="11" t="str">
        <f>_xlfn.XLOOKUP(Customer[[#This Row],[Customer ID]],[1]!Address[ID],[1]!Address[PIC])</f>
        <v/>
      </c>
      <c r="E490" s="11" t="str">
        <f>_xlfn.XLOOKUP(Customer[[#This Row],[Customer ID]],[1]!Address[ID],[1]!Address[Full Address])</f>
        <v>PS MUKIM TEJA, IPOHLOT PT 2015 MUKIM TEJA, KINTA,GOPENG, 31600 PERAK</v>
      </c>
      <c r="F490" s="12" t="s">
        <v>3544</v>
      </c>
      <c r="G490" s="12" t="s">
        <v>3545</v>
      </c>
      <c r="H490" s="12" t="s">
        <v>3546</v>
      </c>
      <c r="I490" s="12" t="b">
        <f>ISNUMBER(VALUE(LEFT(Customer[[#This Row],[Address Line 3 (30 char)]],1)))</f>
        <v>0</v>
      </c>
      <c r="J490" s="12" t="s">
        <v>387</v>
      </c>
      <c r="K490" s="12">
        <v>31600</v>
      </c>
      <c r="L490" s="12" t="s">
        <v>35</v>
      </c>
      <c r="M490" s="13" t="e">
        <v>#N/A</v>
      </c>
      <c r="N490" s="14" t="e">
        <v>#N/A</v>
      </c>
      <c r="O490" s="14" t="e">
        <v>#N/A</v>
      </c>
      <c r="P490" s="14" t="e">
        <v>#N/A</v>
      </c>
      <c r="Q490" s="19" t="s">
        <v>3547</v>
      </c>
      <c r="R490" s="15" t="s">
        <v>3548</v>
      </c>
      <c r="S490" s="15" t="s">
        <v>74</v>
      </c>
      <c r="T490" s="16" t="s">
        <v>38</v>
      </c>
      <c r="U490" s="11" t="str">
        <f>_xlfn.XLOOKUP(Customer[[#This Row],[Customer ID]],[1]!Address[ID],[1]!Address[Phone No.(2)])</f>
        <v/>
      </c>
      <c r="V490" s="11" t="str">
        <f>_xlfn.XLOOKUP(Customer[[#This Row],[Customer ID]],[1]!Address[ID],[1]!Address[Type])</f>
        <v>PETROMART</v>
      </c>
      <c r="W490" s="11" t="str">
        <f>_xlfn.XLOOKUP(Customer[[#This Row],[Customer ID]],[1]!Address[ID],[1]!Address[CT])</f>
        <v>30 DAYS</v>
      </c>
      <c r="X490" s="11" t="s">
        <v>39</v>
      </c>
      <c r="Y490" s="17" t="s">
        <v>40</v>
      </c>
      <c r="Z490" s="17" t="e">
        <f>_xlfn.XLOOKUP(Customer[[#This Row],[NewType]],$AF$36:$AF$54,$AG$36:$AG$54)</f>
        <v>#N/A</v>
      </c>
      <c r="AA490" s="17" t="s">
        <v>3549</v>
      </c>
      <c r="AB490" s="11" t="str">
        <f>_xlfn.XLOOKUP(Customer[[#This Row],[Customer ID]],[1]!Address[ID],[1]!Address[Subtype])</f>
        <v>PETRONAS</v>
      </c>
      <c r="AC490" s="18" t="str">
        <f>_xlfn.XLOOKUP(Customer[[#This Row],[Customer ID]],[1]!Address[ID],[1]!Address[Zone])</f>
        <v>NORTH</v>
      </c>
    </row>
    <row r="491" spans="1:29" x14ac:dyDescent="0.3">
      <c r="A491" s="10" t="s">
        <v>3550</v>
      </c>
      <c r="B491" s="11" t="str">
        <f>_xlfn.XLOOKUP(Customer[[#This Row],[Customer ID]],[1]!Name[ID],[1]!Name[Description(1)])</f>
        <v>REZAMSULONG ENTERPRISE</v>
      </c>
      <c r="C491" s="11" t="str">
        <f>_xlfn.XLOOKUP(Customer[[#This Row],[Customer ID]],[1]!Name[ID],[1]!Name[Description(2)])</f>
        <v>PS MUKIM TOK JAMAL</v>
      </c>
      <c r="D491" s="11" t="str">
        <f>_xlfn.XLOOKUP(Customer[[#This Row],[Customer ID]],[1]!Address[ID],[1]!Address[PIC])</f>
        <v/>
      </c>
      <c r="E491" s="11" t="str">
        <f>_xlfn.XLOOKUP(Customer[[#This Row],[Customer ID]],[1]!Address[ID],[1]!Address[Full Address])</f>
        <v>PS MUKIM TOK JAMALLOT 144, MUKIM TOK JAMAL, JALAN KUALABERANG, KUALA TERENGGANU, 20050,TERENGGANU</v>
      </c>
      <c r="F491" s="12" t="s">
        <v>3551</v>
      </c>
      <c r="G491" s="12" t="s">
        <v>3552</v>
      </c>
      <c r="H491" s="12" t="s">
        <v>3553</v>
      </c>
      <c r="I491" s="12" t="b">
        <f>ISNUMBER(VALUE(LEFT(Customer[[#This Row],[Address Line 3 (30 char)]],1)))</f>
        <v>0</v>
      </c>
      <c r="J491" s="12" t="s">
        <v>154</v>
      </c>
      <c r="K491" s="12">
        <v>20050</v>
      </c>
      <c r="L491" s="12" t="s">
        <v>35</v>
      </c>
      <c r="M491" s="13" t="e">
        <v>#N/A</v>
      </c>
      <c r="N491" s="14" t="e">
        <v>#N/A</v>
      </c>
      <c r="O491" s="14" t="e">
        <v>#N/A</v>
      </c>
      <c r="P491" s="14" t="e">
        <v>#N/A</v>
      </c>
      <c r="Q491" s="19" t="s">
        <v>3554</v>
      </c>
      <c r="R491" s="15" t="s">
        <v>3555</v>
      </c>
      <c r="S491" s="15" t="s">
        <v>37</v>
      </c>
      <c r="T491" s="16" t="s">
        <v>38</v>
      </c>
      <c r="U491" s="11" t="str">
        <f>_xlfn.XLOOKUP(Customer[[#This Row],[Customer ID]],[1]!Address[ID],[1]!Address[Phone No.(2)])</f>
        <v/>
      </c>
      <c r="V491" s="11" t="str">
        <f>_xlfn.XLOOKUP(Customer[[#This Row],[Customer ID]],[1]!Address[ID],[1]!Address[Type])</f>
        <v>PETROMART</v>
      </c>
      <c r="W491" s="11" t="str">
        <f>_xlfn.XLOOKUP(Customer[[#This Row],[Customer ID]],[1]!Address[ID],[1]!Address[CT])</f>
        <v>30 DAYS</v>
      </c>
      <c r="X491" s="11" t="s">
        <v>39</v>
      </c>
      <c r="Y491" s="17" t="s">
        <v>40</v>
      </c>
      <c r="Z491" s="17" t="e">
        <f>_xlfn.XLOOKUP(Customer[[#This Row],[NewType]],$AF$36:$AF$54,$AG$36:$AG$54)</f>
        <v>#N/A</v>
      </c>
      <c r="AA491" s="17" t="s">
        <v>3556</v>
      </c>
      <c r="AB491" s="11" t="str">
        <f>_xlfn.XLOOKUP(Customer[[#This Row],[Customer ID]],[1]!Address[ID],[1]!Address[Subtype])</f>
        <v>PETRONAS</v>
      </c>
      <c r="AC491" s="18" t="str">
        <f>_xlfn.XLOOKUP(Customer[[#This Row],[Customer ID]],[1]!Address[ID],[1]!Address[Zone])</f>
        <v>EAST COAST</v>
      </c>
    </row>
    <row r="492" spans="1:29" x14ac:dyDescent="0.3">
      <c r="A492" s="10" t="s">
        <v>3557</v>
      </c>
      <c r="B492" s="11" t="str">
        <f>_xlfn.XLOOKUP(Customer[[#This Row],[Customer ID]],[1]!Name[ID],[1]!Name[Description(1)])</f>
        <v>FIZARA PETROBIZ</v>
      </c>
      <c r="C492" s="11" t="str">
        <f>_xlfn.XLOOKUP(Customer[[#This Row],[Customer ID]],[1]!Name[ID],[1]!Name[Description(2)])</f>
        <v>PS MUTIARA DAMANSARA</v>
      </c>
      <c r="D492" s="11" t="str">
        <f>_xlfn.XLOOKUP(Customer[[#This Row],[Customer ID]],[1]!Address[ID],[1]!Address[PIC])</f>
        <v/>
      </c>
      <c r="E492" s="11" t="str">
        <f>_xlfn.XLOOKUP(Customer[[#This Row],[Customer ID]],[1]!Address[ID],[1]!Address[Full Address])</f>
        <v>PS MUTIARA DAMANSARALOT PT 40036 HS(D) 144347, JALAN PJU 7/1MUTIARA DAMANSARA, DAERAH PETALING,47800 PETALING JAYA, SELANGOR</v>
      </c>
      <c r="F492" s="12" t="s">
        <v>3558</v>
      </c>
      <c r="G492" s="12" t="s">
        <v>3559</v>
      </c>
      <c r="H492" s="12" t="s">
        <v>1255</v>
      </c>
      <c r="I492" s="12" t="b">
        <f>ISNUMBER(VALUE(LEFT(Customer[[#This Row],[Address Line 3 (30 char)]],1)))</f>
        <v>0</v>
      </c>
      <c r="J492" s="12" t="s">
        <v>172</v>
      </c>
      <c r="K492" s="12">
        <v>47800</v>
      </c>
      <c r="L492" s="12" t="s">
        <v>35</v>
      </c>
      <c r="M492" s="13" t="e">
        <v>#N/A</v>
      </c>
      <c r="N492" s="14" t="e">
        <v>#N/A</v>
      </c>
      <c r="O492" s="14" t="e">
        <v>#N/A</v>
      </c>
      <c r="P492" s="14" t="e">
        <v>#N/A</v>
      </c>
      <c r="Q492" s="19" t="s">
        <v>3560</v>
      </c>
      <c r="R492" s="15" t="s">
        <v>3561</v>
      </c>
      <c r="S492" s="15" t="s">
        <v>65</v>
      </c>
      <c r="T492" s="16" t="s">
        <v>38</v>
      </c>
      <c r="U492" s="11" t="str">
        <f>_xlfn.XLOOKUP(Customer[[#This Row],[Customer ID]],[1]!Address[ID],[1]!Address[Phone No.(2)])</f>
        <v/>
      </c>
      <c r="V492" s="11" t="str">
        <f>_xlfn.XLOOKUP(Customer[[#This Row],[Customer ID]],[1]!Address[ID],[1]!Address[Type])</f>
        <v>PETROMART</v>
      </c>
      <c r="W492" s="11" t="str">
        <f>_xlfn.XLOOKUP(Customer[[#This Row],[Customer ID]],[1]!Address[ID],[1]!Address[CT])</f>
        <v>30 DAYS</v>
      </c>
      <c r="X492" s="11" t="s">
        <v>39</v>
      </c>
      <c r="Y492" s="17" t="s">
        <v>40</v>
      </c>
      <c r="Z492" s="17" t="e">
        <f>_xlfn.XLOOKUP(Customer[[#This Row],[NewType]],$AF$36:$AF$54,$AG$36:$AG$54)</f>
        <v>#N/A</v>
      </c>
      <c r="AA492" s="17" t="s">
        <v>3562</v>
      </c>
      <c r="AB492" s="11" t="str">
        <f>_xlfn.XLOOKUP(Customer[[#This Row],[Customer ID]],[1]!Address[ID],[1]!Address[Subtype])</f>
        <v>PETRONAS</v>
      </c>
      <c r="AC492" s="18" t="str">
        <f>_xlfn.XLOOKUP(Customer[[#This Row],[Customer ID]],[1]!Address[ID],[1]!Address[Zone])</f>
        <v>CENTRAL</v>
      </c>
    </row>
    <row r="493" spans="1:29" x14ac:dyDescent="0.3">
      <c r="A493" s="10" t="s">
        <v>3563</v>
      </c>
      <c r="B493" s="11" t="str">
        <f>_xlfn.XLOOKUP(Customer[[#This Row],[Customer ID]],[1]!Name[ID],[1]!Name[Description(1)])</f>
        <v>DS ZAINAH ENTERPRISE</v>
      </c>
      <c r="C493" s="11" t="str">
        <f>_xlfn.XLOOKUP(Customer[[#This Row],[Customer ID]],[1]!Name[ID],[1]!Name[Description(2)])</f>
        <v>PS MUTIARA RINI</v>
      </c>
      <c r="D493" s="11" t="str">
        <f>_xlfn.XLOOKUP(Customer[[#This Row],[Customer ID]],[1]!Address[ID],[1]!Address[PIC])</f>
        <v/>
      </c>
      <c r="E493" s="11" t="str">
        <f>_xlfn.XLOOKUP(Customer[[#This Row],[Customer ID]],[1]!Address[ID],[1]!Address[Full Address])</f>
        <v>PS MUTIARA RINILOT PTD 81817, MUTIARA RINI, KUDAI,JOHOR81300, JOHOR BAHRU, JOHOR</v>
      </c>
      <c r="F493" s="12" t="s">
        <v>3564</v>
      </c>
      <c r="G493" s="12" t="s">
        <v>3565</v>
      </c>
      <c r="H493" s="12" t="s">
        <v>1155</v>
      </c>
      <c r="I493" s="12" t="b">
        <f>ISNUMBER(VALUE(LEFT(Customer[[#This Row],[Address Line 3 (30 char)]],1)))</f>
        <v>0</v>
      </c>
      <c r="J493" s="12" t="s">
        <v>52</v>
      </c>
      <c r="K493" s="12">
        <v>81300</v>
      </c>
      <c r="L493" s="12" t="s">
        <v>35</v>
      </c>
      <c r="M493" s="13" t="e">
        <v>#N/A</v>
      </c>
      <c r="N493" s="14" t="e">
        <v>#N/A</v>
      </c>
      <c r="O493" s="14" t="e">
        <v>#N/A</v>
      </c>
      <c r="P493" s="14" t="e">
        <v>#N/A</v>
      </c>
      <c r="Q493" s="19" t="s">
        <v>3566</v>
      </c>
      <c r="R493" s="15" t="s">
        <v>3567</v>
      </c>
      <c r="S493" s="15" t="s">
        <v>37</v>
      </c>
      <c r="T493" s="16" t="s">
        <v>38</v>
      </c>
      <c r="U493" s="11" t="str">
        <f>_xlfn.XLOOKUP(Customer[[#This Row],[Customer ID]],[1]!Address[ID],[1]!Address[Phone No.(2)])</f>
        <v/>
      </c>
      <c r="V493" s="11" t="str">
        <f>_xlfn.XLOOKUP(Customer[[#This Row],[Customer ID]],[1]!Address[ID],[1]!Address[Type])</f>
        <v>PETROMART</v>
      </c>
      <c r="W493" s="11" t="str">
        <f>_xlfn.XLOOKUP(Customer[[#This Row],[Customer ID]],[1]!Address[ID],[1]!Address[CT])</f>
        <v>30 DAYS</v>
      </c>
      <c r="X493" s="11" t="s">
        <v>39</v>
      </c>
      <c r="Y493" s="17" t="s">
        <v>40</v>
      </c>
      <c r="Z493" s="17" t="e">
        <f>_xlfn.XLOOKUP(Customer[[#This Row],[NewType]],$AF$36:$AF$54,$AG$36:$AG$54)</f>
        <v>#N/A</v>
      </c>
      <c r="AA493" s="17" t="s">
        <v>3568</v>
      </c>
      <c r="AB493" s="11" t="str">
        <f>_xlfn.XLOOKUP(Customer[[#This Row],[Customer ID]],[1]!Address[ID],[1]!Address[Subtype])</f>
        <v>PETRONAS</v>
      </c>
      <c r="AC493" s="18" t="str">
        <f>_xlfn.XLOOKUP(Customer[[#This Row],[Customer ID]],[1]!Address[ID],[1]!Address[Zone])</f>
        <v>SOUTH</v>
      </c>
    </row>
    <row r="494" spans="1:29" x14ac:dyDescent="0.3">
      <c r="A494" s="10" t="s">
        <v>3569</v>
      </c>
      <c r="B494" s="11" t="str">
        <f>_xlfn.XLOOKUP(Customer[[#This Row],[Customer ID]],[1]!Name[ID],[1]!Name[Description(1)])</f>
        <v>NN KUASA ENTERPRISE</v>
      </c>
      <c r="C494" s="11" t="str">
        <f>_xlfn.XLOOKUP(Customer[[#This Row],[Customer ID]],[1]!Name[ID],[1]!Name[Description(2)])</f>
        <v>PS NIBONG TEBAL</v>
      </c>
      <c r="D494" s="11" t="str">
        <f>_xlfn.XLOOKUP(Customer[[#This Row],[Customer ID]],[1]!Address[ID],[1]!Address[PIC])</f>
        <v/>
      </c>
      <c r="E494" s="11" t="str">
        <f>_xlfn.XLOOKUP(Customer[[#This Row],[Customer ID]],[1]!Address[ID],[1]!Address[Full Address])</f>
        <v>PS NIBONG TEBALLOT 4107, MUKIM 9, JALAN BESAR, NIBONGTEBAL, PULAU PINANG, 14300, SEBERANGPERAI SELATAN, PULAU PINANG</v>
      </c>
      <c r="F494" s="12" t="s">
        <v>3570</v>
      </c>
      <c r="G494" s="12" t="s">
        <v>3571</v>
      </c>
      <c r="H494" s="12" t="s">
        <v>3572</v>
      </c>
      <c r="I494" s="12" t="b">
        <f>ISNUMBER(VALUE(LEFT(Customer[[#This Row],[Address Line 3 (30 char)]],1)))</f>
        <v>0</v>
      </c>
      <c r="J494" s="12" t="s">
        <v>179</v>
      </c>
      <c r="K494" s="12">
        <v>14300</v>
      </c>
      <c r="L494" s="12" t="s">
        <v>35</v>
      </c>
      <c r="M494" s="13" t="e">
        <v>#N/A</v>
      </c>
      <c r="N494" s="14" t="e">
        <v>#N/A</v>
      </c>
      <c r="O494" s="14" t="e">
        <v>#N/A</v>
      </c>
      <c r="P494" s="14" t="e">
        <v>#N/A</v>
      </c>
      <c r="Q494" s="19" t="s">
        <v>3573</v>
      </c>
      <c r="R494" s="15" t="s">
        <v>3574</v>
      </c>
      <c r="S494" s="15" t="s">
        <v>74</v>
      </c>
      <c r="T494" s="16" t="s">
        <v>38</v>
      </c>
      <c r="U494" s="11" t="str">
        <f>_xlfn.XLOOKUP(Customer[[#This Row],[Customer ID]],[1]!Address[ID],[1]!Address[Phone No.(2)])</f>
        <v>0194016474</v>
      </c>
      <c r="V494" s="11" t="str">
        <f>_xlfn.XLOOKUP(Customer[[#This Row],[Customer ID]],[1]!Address[ID],[1]!Address[Type])</f>
        <v>PETROMART</v>
      </c>
      <c r="W494" s="11" t="str">
        <f>_xlfn.XLOOKUP(Customer[[#This Row],[Customer ID]],[1]!Address[ID],[1]!Address[CT])</f>
        <v>30 DAYS</v>
      </c>
      <c r="X494" s="11" t="s">
        <v>39</v>
      </c>
      <c r="Y494" s="17" t="s">
        <v>40</v>
      </c>
      <c r="Z494" s="17" t="e">
        <f>_xlfn.XLOOKUP(Customer[[#This Row],[NewType]],$AF$36:$AF$54,$AG$36:$AG$54)</f>
        <v>#N/A</v>
      </c>
      <c r="AA494" s="17" t="s">
        <v>3575</v>
      </c>
      <c r="AB494" s="11" t="str">
        <f>_xlfn.XLOOKUP(Customer[[#This Row],[Customer ID]],[1]!Address[ID],[1]!Address[Subtype])</f>
        <v>PETRONAS</v>
      </c>
      <c r="AC494" s="18" t="str">
        <f>_xlfn.XLOOKUP(Customer[[#This Row],[Customer ID]],[1]!Address[ID],[1]!Address[Zone])</f>
        <v>NORTH</v>
      </c>
    </row>
    <row r="495" spans="1:29" x14ac:dyDescent="0.3">
      <c r="A495" s="10" t="s">
        <v>3576</v>
      </c>
      <c r="B495" s="11" t="str">
        <f>_xlfn.XLOOKUP(Customer[[#This Row],[Customer ID]],[1]!Name[ID],[1]!Name[Description(1)])</f>
        <v>MAFFASWIQ ENTERPRISE</v>
      </c>
      <c r="C495" s="11" t="str">
        <f>_xlfn.XLOOKUP(Customer[[#This Row],[Customer ID]],[1]!Name[ID],[1]!Name[Description(2)])</f>
        <v>PS NILAI IMPIAN</v>
      </c>
      <c r="D495" s="11" t="str">
        <f>_xlfn.XLOOKUP(Customer[[#This Row],[Customer ID]],[1]!Address[ID],[1]!Address[PIC])</f>
        <v/>
      </c>
      <c r="E495" s="11" t="str">
        <f>_xlfn.XLOOKUP(Customer[[#This Row],[Customer ID]],[1]!Address[ID],[1]!Address[Full Address])</f>
        <v>PS NILAI IMPIANLOT 1227, JALAN MUTIARA, NILAI IMPIAN,NEGERI SEMBILAN, 71800, SEREMBAN, NEGERI</v>
      </c>
      <c r="F495" s="12" t="s">
        <v>3577</v>
      </c>
      <c r="G495" s="12" t="s">
        <v>3578</v>
      </c>
      <c r="H495" s="12" t="s">
        <v>2411</v>
      </c>
      <c r="I495" s="12" t="b">
        <f>ISNUMBER(VALUE(LEFT(Customer[[#This Row],[Address Line 3 (30 char)]],1)))</f>
        <v>0</v>
      </c>
      <c r="J495" s="12" t="s">
        <v>203</v>
      </c>
      <c r="K495" s="12">
        <v>71800</v>
      </c>
      <c r="L495" s="12" t="s">
        <v>35</v>
      </c>
      <c r="M495" s="13" t="e">
        <v>#N/A</v>
      </c>
      <c r="N495" s="14" t="e">
        <v>#N/A</v>
      </c>
      <c r="O495" s="14" t="e">
        <v>#N/A</v>
      </c>
      <c r="P495" s="14" t="e">
        <v>#N/A</v>
      </c>
      <c r="Q495" s="19" t="s">
        <v>3579</v>
      </c>
      <c r="R495" s="15" t="s">
        <v>3580</v>
      </c>
      <c r="S495" s="15" t="s">
        <v>37</v>
      </c>
      <c r="T495" s="16" t="s">
        <v>38</v>
      </c>
      <c r="U495" s="11" t="str">
        <f>_xlfn.XLOOKUP(Customer[[#This Row],[Customer ID]],[1]!Address[ID],[1]!Address[Phone No.(2)])</f>
        <v/>
      </c>
      <c r="V495" s="11" t="str">
        <f>_xlfn.XLOOKUP(Customer[[#This Row],[Customer ID]],[1]!Address[ID],[1]!Address[Type])</f>
        <v>PETROMART</v>
      </c>
      <c r="W495" s="11" t="str">
        <f>_xlfn.XLOOKUP(Customer[[#This Row],[Customer ID]],[1]!Address[ID],[1]!Address[CT])</f>
        <v>30 DAYS</v>
      </c>
      <c r="X495" s="11" t="s">
        <v>39</v>
      </c>
      <c r="Y495" s="17" t="s">
        <v>40</v>
      </c>
      <c r="Z495" s="17" t="e">
        <f>_xlfn.XLOOKUP(Customer[[#This Row],[NewType]],$AF$36:$AF$54,$AG$36:$AG$54)</f>
        <v>#N/A</v>
      </c>
      <c r="AA495" s="17" t="s">
        <v>3581</v>
      </c>
      <c r="AB495" s="11" t="str">
        <f>_xlfn.XLOOKUP(Customer[[#This Row],[Customer ID]],[1]!Address[ID],[1]!Address[Subtype])</f>
        <v>PETRONAS</v>
      </c>
      <c r="AC495" s="18" t="str">
        <f>_xlfn.XLOOKUP(Customer[[#This Row],[Customer ID]],[1]!Address[ID],[1]!Address[Zone])</f>
        <v>CENTRAL</v>
      </c>
    </row>
    <row r="496" spans="1:29" x14ac:dyDescent="0.3">
      <c r="A496" s="10" t="s">
        <v>3582</v>
      </c>
      <c r="B496" s="11" t="str">
        <f>_xlfn.XLOOKUP(Customer[[#This Row],[Customer ID]],[1]!Name[ID],[1]!Name[Description(1)])</f>
        <v>GEMILANG VENTURE</v>
      </c>
      <c r="C496" s="11" t="str">
        <f>_xlfn.XLOOKUP(Customer[[#This Row],[Customer ID]],[1]!Name[ID],[1]!Name[Description(2)])</f>
        <v>PS NILAI PAJAM (ACTIVE)</v>
      </c>
      <c r="D496" s="11" t="str">
        <f>_xlfn.XLOOKUP(Customer[[#This Row],[Customer ID]],[1]!Address[ID],[1]!Address[PIC])</f>
        <v/>
      </c>
      <c r="E496" s="11" t="str">
        <f>_xlfn.XLOOKUP(Customer[[#This Row],[Customer ID]],[1]!Address[ID],[1]!Address[Full Address])</f>
        <v>PS NILAI PAJAMLOT PT 12874 &amp; 12875, JALAN NILAI-PAJAM,TAMAN SEMARAK II, NILAI, 71800 .NEGERI SEMBILAN</v>
      </c>
      <c r="F496" s="12" t="s">
        <v>3583</v>
      </c>
      <c r="G496" s="12" t="s">
        <v>3584</v>
      </c>
      <c r="H496" s="12" t="s">
        <v>3585</v>
      </c>
      <c r="I496" s="12" t="b">
        <f>ISNUMBER(VALUE(LEFT(Customer[[#This Row],[Address Line 3 (30 char)]],1)))</f>
        <v>0</v>
      </c>
      <c r="J496" s="12" t="s">
        <v>203</v>
      </c>
      <c r="K496" s="12">
        <v>71800</v>
      </c>
      <c r="L496" s="12" t="s">
        <v>35</v>
      </c>
      <c r="M496" s="13" t="e">
        <v>#N/A</v>
      </c>
      <c r="N496" s="14" t="e">
        <v>#N/A</v>
      </c>
      <c r="O496" s="14" t="e">
        <v>#N/A</v>
      </c>
      <c r="P496" s="14" t="e">
        <v>#N/A</v>
      </c>
      <c r="Q496" s="19" t="s">
        <v>3586</v>
      </c>
      <c r="R496" s="15" t="s">
        <v>763</v>
      </c>
      <c r="S496" s="15" t="s">
        <v>37</v>
      </c>
      <c r="T496" s="16" t="s">
        <v>38</v>
      </c>
      <c r="U496" s="11" t="str">
        <f>_xlfn.XLOOKUP(Customer[[#This Row],[Customer ID]],[1]!Address[ID],[1]!Address[Phone No.(2)])</f>
        <v/>
      </c>
      <c r="V496" s="11" t="str">
        <f>_xlfn.XLOOKUP(Customer[[#This Row],[Customer ID]],[1]!Address[ID],[1]!Address[Type])</f>
        <v>PETROMART</v>
      </c>
      <c r="W496" s="11" t="str">
        <f>_xlfn.XLOOKUP(Customer[[#This Row],[Customer ID]],[1]!Address[ID],[1]!Address[CT])</f>
        <v>30 DAYS</v>
      </c>
      <c r="X496" s="11" t="s">
        <v>39</v>
      </c>
      <c r="Y496" s="17" t="s">
        <v>40</v>
      </c>
      <c r="Z496" s="17" t="e">
        <f>_xlfn.XLOOKUP(Customer[[#This Row],[NewType]],$AF$36:$AF$54,$AG$36:$AG$54)</f>
        <v>#N/A</v>
      </c>
      <c r="AA496" s="17" t="s">
        <v>3587</v>
      </c>
      <c r="AB496" s="11" t="str">
        <f>_xlfn.XLOOKUP(Customer[[#This Row],[Customer ID]],[1]!Address[ID],[1]!Address[Subtype])</f>
        <v>PETRONAS</v>
      </c>
      <c r="AC496" s="18" t="str">
        <f>_xlfn.XLOOKUP(Customer[[#This Row],[Customer ID]],[1]!Address[ID],[1]!Address[Zone])</f>
        <v>CENTRAL</v>
      </c>
    </row>
    <row r="497" spans="1:29" x14ac:dyDescent="0.3">
      <c r="A497" s="10" t="s">
        <v>3588</v>
      </c>
      <c r="B497" s="11" t="str">
        <f>_xlfn.XLOOKUP(Customer[[#This Row],[Customer ID]],[1]!Name[ID],[1]!Name[Description(1)])</f>
        <v>BERKAT VISTA</v>
      </c>
      <c r="C497" s="11" t="str">
        <f>_xlfn.XLOOKUP(Customer[[#This Row],[Customer ID]],[1]!Name[ID],[1]!Name[Description(2)])</f>
        <v>PS NKVE ARAH DAMANSARA</v>
      </c>
      <c r="D497" s="11" t="str">
        <f>_xlfn.XLOOKUP(Customer[[#This Row],[Customer ID]],[1]!Address[ID],[1]!Address[PIC])</f>
        <v/>
      </c>
      <c r="E497" s="11" t="str">
        <f>_xlfn.XLOOKUP(Customer[[#This Row],[Customer ID]],[1]!Address[ID],[1]!Address[Full Address])</f>
        <v>PS NKVE ARAH DAMANSARALOT 15385 KM 15.3 NKVE-DAMANSARA BOUND,DAMANSARA, SELANGOR, 47301, PETALING,SELANGOR</v>
      </c>
      <c r="F497" s="12" t="s">
        <v>3589</v>
      </c>
      <c r="G497" s="12" t="s">
        <v>3590</v>
      </c>
      <c r="H497" s="12" t="s">
        <v>3591</v>
      </c>
      <c r="I497" s="12" t="b">
        <f>ISNUMBER(VALUE(LEFT(Customer[[#This Row],[Address Line 3 (30 char)]],1)))</f>
        <v>0</v>
      </c>
      <c r="J497" s="12" t="s">
        <v>172</v>
      </c>
      <c r="K497" s="12">
        <v>47301</v>
      </c>
      <c r="L497" s="12" t="s">
        <v>35</v>
      </c>
      <c r="M497" s="13">
        <v>200403106479</v>
      </c>
      <c r="N497" s="14" t="s">
        <v>3592</v>
      </c>
      <c r="O497" s="14" t="s">
        <v>54</v>
      </c>
      <c r="P497" s="14">
        <v>47114</v>
      </c>
      <c r="Q497" s="19" t="s">
        <v>3593</v>
      </c>
      <c r="R497" s="15" t="s">
        <v>3594</v>
      </c>
      <c r="S497" s="15" t="s">
        <v>37</v>
      </c>
      <c r="T497" s="16" t="s">
        <v>38</v>
      </c>
      <c r="U497" s="11" t="str">
        <f>_xlfn.XLOOKUP(Customer[[#This Row],[Customer ID]],[1]!Address[ID],[1]!Address[Phone No.(2)])</f>
        <v/>
      </c>
      <c r="V497" s="11" t="str">
        <f>_xlfn.XLOOKUP(Customer[[#This Row],[Customer ID]],[1]!Address[ID],[1]!Address[Type])</f>
        <v>PETROMART</v>
      </c>
      <c r="W497" s="11" t="str">
        <f>_xlfn.XLOOKUP(Customer[[#This Row],[Customer ID]],[1]!Address[ID],[1]!Address[CT])</f>
        <v>30 DAYS</v>
      </c>
      <c r="X497" s="11" t="s">
        <v>39</v>
      </c>
      <c r="Y497" s="17" t="s">
        <v>40</v>
      </c>
      <c r="Z497" s="17" t="e">
        <f>_xlfn.XLOOKUP(Customer[[#This Row],[NewType]],$AF$36:$AF$54,$AG$36:$AG$54)</f>
        <v>#N/A</v>
      </c>
      <c r="AA497" s="17" t="s">
        <v>3595</v>
      </c>
      <c r="AB497" s="11" t="str">
        <f>_xlfn.XLOOKUP(Customer[[#This Row],[Customer ID]],[1]!Address[ID],[1]!Address[Subtype])</f>
        <v>PETRONAS</v>
      </c>
      <c r="AC497" s="18" t="str">
        <f>_xlfn.XLOOKUP(Customer[[#This Row],[Customer ID]],[1]!Address[ID],[1]!Address[Zone])</f>
        <v>CENTRAL</v>
      </c>
    </row>
    <row r="498" spans="1:29" x14ac:dyDescent="0.3">
      <c r="A498" s="10" t="s">
        <v>3596</v>
      </c>
      <c r="B498" s="11" t="str">
        <f>_xlfn.XLOOKUP(Customer[[#This Row],[Customer ID]],[1]!Name[ID],[1]!Name[Description(1)])</f>
        <v>DELL KIOSK</v>
      </c>
      <c r="C498" s="11" t="str">
        <f>_xlfn.XLOOKUP(Customer[[#This Row],[Customer ID]],[1]!Name[ID],[1]!Name[Description(2)])</f>
        <v>PS NKVE KLANG BOUND</v>
      </c>
      <c r="D498" s="11" t="str">
        <f>_xlfn.XLOOKUP(Customer[[#This Row],[Customer ID]],[1]!Address[ID],[1]!Address[PIC])</f>
        <v/>
      </c>
      <c r="E498" s="11" t="str">
        <f>_xlfn.XLOOKUP(Customer[[#This Row],[Customer ID]],[1]!Address[ID],[1]!Address[Full Address])</f>
        <v>PS NKVE KLANG BOUNDNEW KLANG VALLEY EXPRESSWAY (NKVE),BUKIT RAJA TOLL (KLANG BOUND), KLANG,SEKSYEN 7SHAH ALAM,40000,SHAHALAM,SELANR</v>
      </c>
      <c r="F498" s="12" t="s">
        <v>3597</v>
      </c>
      <c r="G498" s="12" t="s">
        <v>3598</v>
      </c>
      <c r="H498" s="12" t="s">
        <v>3599</v>
      </c>
      <c r="I498" s="12" t="b">
        <f>ISNUMBER(VALUE(LEFT(Customer[[#This Row],[Address Line 3 (30 char)]],1)))</f>
        <v>0</v>
      </c>
      <c r="J498" s="12" t="s">
        <v>172</v>
      </c>
      <c r="K498" s="12">
        <v>40000</v>
      </c>
      <c r="L498" s="12" t="s">
        <v>35</v>
      </c>
      <c r="M498" s="13">
        <v>200503108408</v>
      </c>
      <c r="N498" s="14" t="s">
        <v>3600</v>
      </c>
      <c r="O498" s="14" t="s">
        <v>54</v>
      </c>
      <c r="P498" s="14">
        <v>47300</v>
      </c>
      <c r="Q498" s="19" t="s">
        <v>3601</v>
      </c>
      <c r="R498" s="15" t="s">
        <v>3602</v>
      </c>
      <c r="S498" s="15" t="s">
        <v>37</v>
      </c>
      <c r="T498" s="16" t="s">
        <v>38</v>
      </c>
      <c r="U498" s="11" t="str">
        <f>_xlfn.XLOOKUP(Customer[[#This Row],[Customer ID]],[1]!Address[ID],[1]!Address[Phone No.(2)])</f>
        <v/>
      </c>
      <c r="V498" s="11" t="str">
        <f>_xlfn.XLOOKUP(Customer[[#This Row],[Customer ID]],[1]!Address[ID],[1]!Address[Type])</f>
        <v>PETROMART</v>
      </c>
      <c r="W498" s="11" t="str">
        <f>_xlfn.XLOOKUP(Customer[[#This Row],[Customer ID]],[1]!Address[ID],[1]!Address[CT])</f>
        <v>30 DAYS</v>
      </c>
      <c r="X498" s="11" t="s">
        <v>39</v>
      </c>
      <c r="Y498" s="17" t="s">
        <v>40</v>
      </c>
      <c r="Z498" s="17" t="e">
        <f>_xlfn.XLOOKUP(Customer[[#This Row],[NewType]],$AF$36:$AF$54,$AG$36:$AG$54)</f>
        <v>#N/A</v>
      </c>
      <c r="AA498" s="17" t="s">
        <v>3603</v>
      </c>
      <c r="AB498" s="11" t="str">
        <f>_xlfn.XLOOKUP(Customer[[#This Row],[Customer ID]],[1]!Address[ID],[1]!Address[Subtype])</f>
        <v>PETRONAS</v>
      </c>
      <c r="AC498" s="18" t="str">
        <f>_xlfn.XLOOKUP(Customer[[#This Row],[Customer ID]],[1]!Address[ID],[1]!Address[Zone])</f>
        <v>CENTRAL</v>
      </c>
    </row>
    <row r="499" spans="1:29" x14ac:dyDescent="0.3">
      <c r="A499" s="10" t="s">
        <v>3604</v>
      </c>
      <c r="B499" s="11" t="str">
        <f>_xlfn.XLOOKUP(Customer[[#This Row],[Customer ID]],[1]!Name[ID],[1]!Name[Description(1)])</f>
        <v>MH GLOBAL ENTERPRISE</v>
      </c>
      <c r="C499" s="11" t="str">
        <f>_xlfn.XLOOKUP(Customer[[#This Row],[Customer ID]],[1]!Name[ID],[1]!Name[Description(2)])</f>
        <v>PS NKVE SUBANG TOL</v>
      </c>
      <c r="D499" s="11" t="str">
        <f>_xlfn.XLOOKUP(Customer[[#This Row],[Customer ID]],[1]!Address[ID],[1]!Address[PIC])</f>
        <v/>
      </c>
      <c r="E499" s="11" t="str">
        <f>_xlfn.XLOOKUP(Customer[[#This Row],[Customer ID]],[1]!Address[ID],[1]!Address[Full Address])</f>
        <v>PS NKVE SUBANG TOLLOT PT 111 HS (M)10261 SECTION40,SUBANGSELANGOR, 47301, PETALING, SELANGOR</v>
      </c>
      <c r="F499" s="12" t="s">
        <v>3605</v>
      </c>
      <c r="G499" s="12" t="s">
        <v>3606</v>
      </c>
      <c r="H499" s="12" t="s">
        <v>2274</v>
      </c>
      <c r="I499" s="12" t="b">
        <f>ISNUMBER(VALUE(LEFT(Customer[[#This Row],[Address Line 3 (30 char)]],1)))</f>
        <v>0</v>
      </c>
      <c r="J499" s="12" t="s">
        <v>172</v>
      </c>
      <c r="K499" s="12">
        <v>47301</v>
      </c>
      <c r="L499" s="12" t="s">
        <v>35</v>
      </c>
      <c r="M499" s="13" t="e">
        <v>#N/A</v>
      </c>
      <c r="N499" s="14" t="e">
        <v>#N/A</v>
      </c>
      <c r="O499" s="14" t="e">
        <v>#N/A</v>
      </c>
      <c r="P499" s="14" t="e">
        <v>#N/A</v>
      </c>
      <c r="Q499" s="19" t="s">
        <v>3607</v>
      </c>
      <c r="R499" s="15" t="s">
        <v>3608</v>
      </c>
      <c r="S499" s="15" t="s">
        <v>37</v>
      </c>
      <c r="T499" s="16" t="s">
        <v>38</v>
      </c>
      <c r="U499" s="11" t="str">
        <f>_xlfn.XLOOKUP(Customer[[#This Row],[Customer ID]],[1]!Address[ID],[1]!Address[Phone No.(2)])</f>
        <v/>
      </c>
      <c r="V499" s="11" t="str">
        <f>_xlfn.XLOOKUP(Customer[[#This Row],[Customer ID]],[1]!Address[ID],[1]!Address[Type])</f>
        <v>PETROMART</v>
      </c>
      <c r="W499" s="11" t="str">
        <f>_xlfn.XLOOKUP(Customer[[#This Row],[Customer ID]],[1]!Address[ID],[1]!Address[CT])</f>
        <v>30 DAYS</v>
      </c>
      <c r="X499" s="11" t="s">
        <v>39</v>
      </c>
      <c r="Y499" s="17" t="s">
        <v>40</v>
      </c>
      <c r="Z499" s="17" t="e">
        <f>_xlfn.XLOOKUP(Customer[[#This Row],[NewType]],$AF$36:$AF$54,$AG$36:$AG$54)</f>
        <v>#N/A</v>
      </c>
      <c r="AA499" s="17" t="s">
        <v>3609</v>
      </c>
      <c r="AB499" s="11" t="str">
        <f>_xlfn.XLOOKUP(Customer[[#This Row],[Customer ID]],[1]!Address[ID],[1]!Address[Subtype])</f>
        <v>PETRONAS</v>
      </c>
      <c r="AC499" s="18" t="str">
        <f>_xlfn.XLOOKUP(Customer[[#This Row],[Customer ID]],[1]!Address[ID],[1]!Address[Zone])</f>
        <v>CENTRAL</v>
      </c>
    </row>
    <row r="500" spans="1:29" x14ac:dyDescent="0.3">
      <c r="A500" s="10" t="s">
        <v>3610</v>
      </c>
      <c r="B500" s="11" t="str">
        <f>_xlfn.XLOOKUP(Customer[[#This Row],[Customer ID]],[1]!Name[ID],[1]!Name[Description(1)])</f>
        <v>SEMUASUKA STATION</v>
      </c>
      <c r="C500" s="11" t="str">
        <f>_xlfn.XLOOKUP(Customer[[#This Row],[Customer ID]],[1]!Name[ID],[1]!Name[Description(2)])</f>
        <v>PS NPE PANTAI DALAM</v>
      </c>
      <c r="D500" s="11" t="str">
        <f>_xlfn.XLOOKUP(Customer[[#This Row],[Customer ID]],[1]!Address[ID],[1]!Address[PIC])</f>
        <v/>
      </c>
      <c r="E500" s="11" t="str">
        <f>_xlfn.XLOOKUP(Customer[[#This Row],[Customer ID]],[1]!Address[ID],[1]!Address[Full Address])</f>
        <v>PS NPE PANTAI DALAMCH.1520-1710, OFF NEW PANTAI EXPRESSWAYNPE) NEAR PANTAI DALAM INTERCHANGEKUALA LUMPUR, 59200, WILAYAH PERSEKUTUAN</v>
      </c>
      <c r="F500" s="12" t="s">
        <v>3611</v>
      </c>
      <c r="G500" s="12" t="s">
        <v>3612</v>
      </c>
      <c r="H500" s="12" t="s">
        <v>3613</v>
      </c>
      <c r="I500" s="12" t="b">
        <f>ISNUMBER(VALUE(LEFT(Customer[[#This Row],[Address Line 3 (30 char)]],1)))</f>
        <v>0</v>
      </c>
      <c r="J500" s="12" t="s">
        <v>34</v>
      </c>
      <c r="K500" s="12">
        <v>59200</v>
      </c>
      <c r="L500" s="12" t="s">
        <v>35</v>
      </c>
      <c r="M500" s="13" t="e">
        <v>#N/A</v>
      </c>
      <c r="N500" s="14" t="e">
        <v>#N/A</v>
      </c>
      <c r="O500" s="14" t="e">
        <v>#N/A</v>
      </c>
      <c r="P500" s="14" t="e">
        <v>#N/A</v>
      </c>
      <c r="Q500" s="19" t="s">
        <v>3614</v>
      </c>
      <c r="R500" s="15" t="s">
        <v>3615</v>
      </c>
      <c r="S500" s="15" t="s">
        <v>37</v>
      </c>
      <c r="T500" s="16" t="s">
        <v>38</v>
      </c>
      <c r="U500" s="11" t="str">
        <f>_xlfn.XLOOKUP(Customer[[#This Row],[Customer ID]],[1]!Address[ID],[1]!Address[Phone No.(2)])</f>
        <v/>
      </c>
      <c r="V500" s="11" t="str">
        <f>_xlfn.XLOOKUP(Customer[[#This Row],[Customer ID]],[1]!Address[ID],[1]!Address[Type])</f>
        <v>PETROMART</v>
      </c>
      <c r="W500" s="11" t="str">
        <f>_xlfn.XLOOKUP(Customer[[#This Row],[Customer ID]],[1]!Address[ID],[1]!Address[CT])</f>
        <v>30 DAYS</v>
      </c>
      <c r="X500" s="11" t="s">
        <v>39</v>
      </c>
      <c r="Y500" s="17" t="s">
        <v>40</v>
      </c>
      <c r="Z500" s="17" t="e">
        <f>_xlfn.XLOOKUP(Customer[[#This Row],[NewType]],$AF$36:$AF$54,$AG$36:$AG$54)</f>
        <v>#N/A</v>
      </c>
      <c r="AA500" s="17" t="s">
        <v>3616</v>
      </c>
      <c r="AB500" s="11" t="str">
        <f>_xlfn.XLOOKUP(Customer[[#This Row],[Customer ID]],[1]!Address[ID],[1]!Address[Subtype])</f>
        <v>PETRONAS</v>
      </c>
      <c r="AC500" s="18" t="str">
        <f>_xlfn.XLOOKUP(Customer[[#This Row],[Customer ID]],[1]!Address[ID],[1]!Address[Zone])</f>
        <v>CENTRAL</v>
      </c>
    </row>
    <row r="501" spans="1:29" x14ac:dyDescent="0.3">
      <c r="A501" s="10" t="s">
        <v>3617</v>
      </c>
      <c r="B501" s="11" t="str">
        <f>_xlfn.XLOOKUP(Customer[[#This Row],[Customer ID]],[1]!Name[ID],[1]!Name[Description(1)])</f>
        <v>FFWC ENTERPRISE / ONE MAJU ENTERPRISE</v>
      </c>
      <c r="C501" s="11" t="str">
        <f>_xlfn.XLOOKUP(Customer[[#This Row],[Customer ID]],[1]!Name[ID],[1]!Name[Description(2)])</f>
        <v>PS NPE TAMAN DESA</v>
      </c>
      <c r="D501" s="11" t="str">
        <f>_xlfn.XLOOKUP(Customer[[#This Row],[Customer ID]],[1]!Address[ID],[1]!Address[PIC])</f>
        <v/>
      </c>
      <c r="E501" s="11" t="str">
        <f>_xlfn.XLOOKUP(Customer[[#This Row],[Customer ID]],[1]!Address[ID],[1]!Address[Full Address])</f>
        <v>PS NPE TAMAN DESACH 11760-CH 11950, OFF NEW PANTAIEXPRESSWAY (NPE) NEAR TAMAN DESA(WEST BOUND),59200,  WPKUALA LUMPUR,</v>
      </c>
      <c r="F501" s="12" t="s">
        <v>3618</v>
      </c>
      <c r="G501" s="12" t="s">
        <v>3619</v>
      </c>
      <c r="H501" s="12" t="s">
        <v>3620</v>
      </c>
      <c r="I501" s="12" t="b">
        <f>ISNUMBER(VALUE(LEFT(Customer[[#This Row],[Address Line 3 (30 char)]],1)))</f>
        <v>0</v>
      </c>
      <c r="J501" s="12" t="s">
        <v>34</v>
      </c>
      <c r="K501" s="12">
        <v>59200</v>
      </c>
      <c r="L501" s="12" t="s">
        <v>35</v>
      </c>
      <c r="M501" s="13" t="e">
        <v>#N/A</v>
      </c>
      <c r="N501" s="14" t="e">
        <v>#N/A</v>
      </c>
      <c r="O501" s="14" t="e">
        <v>#N/A</v>
      </c>
      <c r="P501" s="14" t="e">
        <v>#N/A</v>
      </c>
      <c r="Q501" s="19" t="s">
        <v>3621</v>
      </c>
      <c r="R501" s="15" t="s">
        <v>3622</v>
      </c>
      <c r="S501" s="15" t="s">
        <v>37</v>
      </c>
      <c r="T501" s="16" t="s">
        <v>38</v>
      </c>
      <c r="U501" s="11" t="str">
        <f>_xlfn.XLOOKUP(Customer[[#This Row],[Customer ID]],[1]!Address[ID],[1]!Address[Phone No.(2)])</f>
        <v/>
      </c>
      <c r="V501" s="11" t="str">
        <f>_xlfn.XLOOKUP(Customer[[#This Row],[Customer ID]],[1]!Address[ID],[1]!Address[Type])</f>
        <v>PETROMART</v>
      </c>
      <c r="W501" s="11" t="str">
        <f>_xlfn.XLOOKUP(Customer[[#This Row],[Customer ID]],[1]!Address[ID],[1]!Address[CT])</f>
        <v>30 DAYS</v>
      </c>
      <c r="X501" s="11" t="s">
        <v>39</v>
      </c>
      <c r="Y501" s="17" t="s">
        <v>40</v>
      </c>
      <c r="Z501" s="17" t="e">
        <f>_xlfn.XLOOKUP(Customer[[#This Row],[NewType]],$AF$36:$AF$54,$AG$36:$AG$54)</f>
        <v>#N/A</v>
      </c>
      <c r="AA501" s="17" t="s">
        <v>3623</v>
      </c>
      <c r="AB501" s="11" t="str">
        <f>_xlfn.XLOOKUP(Customer[[#This Row],[Customer ID]],[1]!Address[ID],[1]!Address[Subtype])</f>
        <v>PETRONAS</v>
      </c>
      <c r="AC501" s="18" t="str">
        <f>_xlfn.XLOOKUP(Customer[[#This Row],[Customer ID]],[1]!Address[ID],[1]!Address[Zone])</f>
        <v>CENTRAL</v>
      </c>
    </row>
    <row r="502" spans="1:29" x14ac:dyDescent="0.3">
      <c r="A502" s="10" t="s">
        <v>3624</v>
      </c>
      <c r="B502" s="11" t="str">
        <f>_xlfn.XLOOKUP(Customer[[#This Row],[Customer ID]],[1]!Name[ID],[1]!Name[Description(1)])</f>
        <v>MYRAIS ENTERPRISE</v>
      </c>
      <c r="C502" s="11" t="str">
        <f>_xlfn.XLOOKUP(Customer[[#This Row],[Customer ID]],[1]!Name[ID],[1]!Name[Description(2)])</f>
        <v>PS NURI PANDAMARAN</v>
      </c>
      <c r="D502" s="11" t="str">
        <f>_xlfn.XLOOKUP(Customer[[#This Row],[Customer ID]],[1]!Address[ID],[1]!Address[PIC])</f>
        <v/>
      </c>
      <c r="E502" s="11" t="str">
        <f>_xlfn.XLOOKUP(Customer[[#This Row],[Customer ID]],[1]!Address[ID],[1]!Address[Full Address])</f>
        <v>PS NURI PANDAMARANLOT PT 31182, KAMPUNG BARU, PEKANPANDAMARAN, PELABUHAN KLANG.42000SELANGOR</v>
      </c>
      <c r="F502" s="12" t="s">
        <v>3625</v>
      </c>
      <c r="G502" s="12" t="s">
        <v>3626</v>
      </c>
      <c r="H502" s="12" t="s">
        <v>3627</v>
      </c>
      <c r="I502" s="12" t="b">
        <f>ISNUMBER(VALUE(LEFT(Customer[[#This Row],[Address Line 3 (30 char)]],1)))</f>
        <v>0</v>
      </c>
      <c r="J502" s="12" t="s">
        <v>172</v>
      </c>
      <c r="K502" s="12">
        <v>42000</v>
      </c>
      <c r="L502" s="12" t="s">
        <v>35</v>
      </c>
      <c r="M502" s="13" t="e">
        <v>#N/A</v>
      </c>
      <c r="N502" s="14" t="e">
        <v>#N/A</v>
      </c>
      <c r="O502" s="14" t="e">
        <v>#N/A</v>
      </c>
      <c r="P502" s="14" t="e">
        <v>#N/A</v>
      </c>
      <c r="Q502" s="19" t="s">
        <v>3628</v>
      </c>
      <c r="R502" s="15" t="s">
        <v>3629</v>
      </c>
      <c r="S502" s="15" t="s">
        <v>37</v>
      </c>
      <c r="T502" s="16" t="s">
        <v>38</v>
      </c>
      <c r="U502" s="11" t="str">
        <f>_xlfn.XLOOKUP(Customer[[#This Row],[Customer ID]],[1]!Address[ID],[1]!Address[Phone No.(2)])</f>
        <v/>
      </c>
      <c r="V502" s="11" t="str">
        <f>_xlfn.XLOOKUP(Customer[[#This Row],[Customer ID]],[1]!Address[ID],[1]!Address[Type])</f>
        <v>PETROMART</v>
      </c>
      <c r="W502" s="11" t="str">
        <f>_xlfn.XLOOKUP(Customer[[#This Row],[Customer ID]],[1]!Address[ID],[1]!Address[CT])</f>
        <v>30 DAYS</v>
      </c>
      <c r="X502" s="11" t="s">
        <v>39</v>
      </c>
      <c r="Y502" s="17" t="s">
        <v>40</v>
      </c>
      <c r="Z502" s="17" t="e">
        <f>_xlfn.XLOOKUP(Customer[[#This Row],[NewType]],$AF$36:$AF$54,$AG$36:$AG$54)</f>
        <v>#N/A</v>
      </c>
      <c r="AA502" s="17" t="s">
        <v>3630</v>
      </c>
      <c r="AB502" s="11" t="str">
        <f>_xlfn.XLOOKUP(Customer[[#This Row],[Customer ID]],[1]!Address[ID],[1]!Address[Subtype])</f>
        <v>PETRONAS</v>
      </c>
      <c r="AC502" s="18" t="str">
        <f>_xlfn.XLOOKUP(Customer[[#This Row],[Customer ID]],[1]!Address[ID],[1]!Address[Zone])</f>
        <v>CENTRAL</v>
      </c>
    </row>
    <row r="503" spans="1:29" x14ac:dyDescent="0.3">
      <c r="A503" s="10" t="s">
        <v>3631</v>
      </c>
      <c r="B503" s="11" t="str">
        <f>_xlfn.XLOOKUP(Customer[[#This Row],[Customer ID]],[1]!Name[ID],[1]!Name[Description(1)])</f>
        <v>STESEN MINYAK PERINTIS</v>
      </c>
      <c r="C503" s="11" t="str">
        <f>_xlfn.XLOOKUP(Customer[[#This Row],[Customer ID]],[1]!Name[ID],[1]!Name[Description(2)])</f>
        <v>PS NUSA PERINTIS</v>
      </c>
      <c r="D503" s="11" t="str">
        <f>_xlfn.XLOOKUP(Customer[[#This Row],[Customer ID]],[1]!Address[ID],[1]!Address[PIC])</f>
        <v/>
      </c>
      <c r="E503" s="11" t="str">
        <f>_xlfn.XLOOKUP(Customer[[#This Row],[Customer ID]],[1]!Address[ID],[1]!Address[Full Address])</f>
        <v>PS NUSA PERINTISLOT PTD 77638 TMN NUSA PERINTIS, GELANGPATAH, JOHOR BAHRU, JOHOR, 81550,JOHOR BAHRU, JOHOR</v>
      </c>
      <c r="F503" s="12" t="s">
        <v>3632</v>
      </c>
      <c r="G503" s="12" t="s">
        <v>3633</v>
      </c>
      <c r="H503" s="12" t="s">
        <v>3634</v>
      </c>
      <c r="I503" s="12" t="b">
        <f>ISNUMBER(VALUE(LEFT(Customer[[#This Row],[Address Line 3 (30 char)]],1)))</f>
        <v>0</v>
      </c>
      <c r="J503" s="12" t="s">
        <v>52</v>
      </c>
      <c r="K503" s="12">
        <v>81550</v>
      </c>
      <c r="L503" s="12" t="s">
        <v>35</v>
      </c>
      <c r="M503" s="13">
        <v>202203148155</v>
      </c>
      <c r="N503" s="14" t="s">
        <v>3635</v>
      </c>
      <c r="O503" s="14" t="e">
        <v>#N/A</v>
      </c>
      <c r="P503" s="14" t="e">
        <v>#N/A</v>
      </c>
      <c r="Q503" s="19" t="s">
        <v>3636</v>
      </c>
      <c r="R503" s="15" t="s">
        <v>3637</v>
      </c>
      <c r="S503" s="15" t="s">
        <v>37</v>
      </c>
      <c r="T503" s="16" t="s">
        <v>38</v>
      </c>
      <c r="U503" s="11" t="str">
        <f>_xlfn.XLOOKUP(Customer[[#This Row],[Customer ID]],[1]!Address[ID],[1]!Address[Phone No.(2)])</f>
        <v/>
      </c>
      <c r="V503" s="11" t="str">
        <f>_xlfn.XLOOKUP(Customer[[#This Row],[Customer ID]],[1]!Address[ID],[1]!Address[Type])</f>
        <v>PETROMART</v>
      </c>
      <c r="W503" s="11" t="str">
        <f>_xlfn.XLOOKUP(Customer[[#This Row],[Customer ID]],[1]!Address[ID],[1]!Address[CT])</f>
        <v>30 DAYS</v>
      </c>
      <c r="X503" s="11" t="s">
        <v>39</v>
      </c>
      <c r="Y503" s="17" t="s">
        <v>40</v>
      </c>
      <c r="Z503" s="17" t="e">
        <f>_xlfn.XLOOKUP(Customer[[#This Row],[NewType]],$AF$36:$AF$54,$AG$36:$AG$54)</f>
        <v>#N/A</v>
      </c>
      <c r="AA503" s="17" t="s">
        <v>3638</v>
      </c>
      <c r="AB503" s="11" t="str">
        <f>_xlfn.XLOOKUP(Customer[[#This Row],[Customer ID]],[1]!Address[ID],[1]!Address[Subtype])</f>
        <v>PETRONAS</v>
      </c>
      <c r="AC503" s="18" t="str">
        <f>_xlfn.XLOOKUP(Customer[[#This Row],[Customer ID]],[1]!Address[ID],[1]!Address[Zone])</f>
        <v>SOUTH</v>
      </c>
    </row>
    <row r="504" spans="1:29" x14ac:dyDescent="0.3">
      <c r="A504" s="10" t="s">
        <v>3639</v>
      </c>
      <c r="B504" s="11" t="str">
        <f>_xlfn.XLOOKUP(Customer[[#This Row],[Customer ID]],[1]!Name[ID],[1]!Name[Description(1)])</f>
        <v>SYARIKAT DAYA INSAN</v>
      </c>
      <c r="C504" s="11" t="str">
        <f>_xlfn.XLOOKUP(Customer[[#This Row],[Customer ID]],[1]!Name[ID],[1]!Name[Description(2)])</f>
        <v>PS OLAK LEMPIT 1</v>
      </c>
      <c r="D504" s="11" t="str">
        <f>_xlfn.XLOOKUP(Customer[[#This Row],[Customer ID]],[1]!Address[ID],[1]!Address[PIC])</f>
        <v/>
      </c>
      <c r="E504" s="11" t="str">
        <f>_xlfn.XLOOKUP(Customer[[#This Row],[Customer ID]],[1]!Address[ID],[1]!Address[Full Address])</f>
        <v>PS OLAK LEMPIT 1LOT PT4024 HSM 5694, MK TANJUNG12, OLAKLEMPIT, BANTING 42700 SELANGOR</v>
      </c>
      <c r="F504" s="12" t="s">
        <v>3640</v>
      </c>
      <c r="G504" s="12" t="s">
        <v>3641</v>
      </c>
      <c r="H504" s="12" t="s">
        <v>3642</v>
      </c>
      <c r="I504" s="12" t="b">
        <f>ISNUMBER(VALUE(LEFT(Customer[[#This Row],[Address Line 3 (30 char)]],1)))</f>
        <v>0</v>
      </c>
      <c r="J504" s="12" t="s">
        <v>172</v>
      </c>
      <c r="K504" s="12">
        <v>42700</v>
      </c>
      <c r="L504" s="12" t="s">
        <v>35</v>
      </c>
      <c r="M504" s="13" t="e">
        <v>#N/A</v>
      </c>
      <c r="N504" s="14" t="e">
        <v>#N/A</v>
      </c>
      <c r="O504" s="14" t="e">
        <v>#N/A</v>
      </c>
      <c r="P504" s="14" t="e">
        <v>#N/A</v>
      </c>
      <c r="Q504" s="19" t="s">
        <v>3643</v>
      </c>
      <c r="R504" s="15" t="s">
        <v>3644</v>
      </c>
      <c r="S504" s="15" t="s">
        <v>37</v>
      </c>
      <c r="T504" s="16" t="s">
        <v>38</v>
      </c>
      <c r="U504" s="11" t="str">
        <f>_xlfn.XLOOKUP(Customer[[#This Row],[Customer ID]],[1]!Address[ID],[1]!Address[Phone No.(2)])</f>
        <v/>
      </c>
      <c r="V504" s="11" t="str">
        <f>_xlfn.XLOOKUP(Customer[[#This Row],[Customer ID]],[1]!Address[ID],[1]!Address[Type])</f>
        <v>PETROMART</v>
      </c>
      <c r="W504" s="11" t="str">
        <f>_xlfn.XLOOKUP(Customer[[#This Row],[Customer ID]],[1]!Address[ID],[1]!Address[CT])</f>
        <v>30 DAYS</v>
      </c>
      <c r="X504" s="11" t="s">
        <v>39</v>
      </c>
      <c r="Y504" s="17" t="s">
        <v>40</v>
      </c>
      <c r="Z504" s="17" t="e">
        <f>_xlfn.XLOOKUP(Customer[[#This Row],[NewType]],$AF$36:$AF$54,$AG$36:$AG$54)</f>
        <v>#N/A</v>
      </c>
      <c r="AA504" s="17" t="s">
        <v>3645</v>
      </c>
      <c r="AB504" s="11" t="str">
        <f>_xlfn.XLOOKUP(Customer[[#This Row],[Customer ID]],[1]!Address[ID],[1]!Address[Subtype])</f>
        <v>PETRONAS</v>
      </c>
      <c r="AC504" s="18" t="str">
        <f>_xlfn.XLOOKUP(Customer[[#This Row],[Customer ID]],[1]!Address[ID],[1]!Address[Zone])</f>
        <v>CENTRAL</v>
      </c>
    </row>
    <row r="505" spans="1:29" x14ac:dyDescent="0.3">
      <c r="A505" s="10" t="s">
        <v>3646</v>
      </c>
      <c r="B505" s="11" t="str">
        <f>_xlfn.XLOOKUP(Customer[[#This Row],[Customer ID]],[1]!Name[ID],[1]!Name[Description(1)])</f>
        <v>DANISH DHANIA PETROL STATION</v>
      </c>
      <c r="C505" s="11" t="str">
        <f>_xlfn.XLOOKUP(Customer[[#This Row],[Customer ID]],[1]!Name[ID],[1]!Name[Description(2)])</f>
        <v>PS OLAK LEMPIT 2</v>
      </c>
      <c r="D505" s="11" t="str">
        <f>_xlfn.XLOOKUP(Customer[[#This Row],[Customer ID]],[1]!Address[ID],[1]!Address[PIC])</f>
        <v/>
      </c>
      <c r="E505" s="11" t="str">
        <f>_xlfn.XLOOKUP(Customer[[#This Row],[Customer ID]],[1]!Address[ID],[1]!Address[Full Address])</f>
        <v>PS OLAK LEMPIT 2GM 1149 LOT 1988, MUKIM TANJUNG 12, KUALLANGAT, BANTING, 42700 SELANGOR</v>
      </c>
      <c r="F505" s="12" t="s">
        <v>3647</v>
      </c>
      <c r="G505" s="12" t="s">
        <v>3648</v>
      </c>
      <c r="H505" s="12" t="s">
        <v>3649</v>
      </c>
      <c r="I505" s="12" t="b">
        <f>ISNUMBER(VALUE(LEFT(Customer[[#This Row],[Address Line 3 (30 char)]],1)))</f>
        <v>0</v>
      </c>
      <c r="J505" s="12" t="s">
        <v>172</v>
      </c>
      <c r="K505" s="12">
        <v>42700</v>
      </c>
      <c r="L505" s="12" t="s">
        <v>35</v>
      </c>
      <c r="M505" s="13" t="e">
        <v>#N/A</v>
      </c>
      <c r="N505" s="14" t="e">
        <v>#N/A</v>
      </c>
      <c r="O505" s="14" t="e">
        <v>#N/A</v>
      </c>
      <c r="P505" s="14" t="e">
        <v>#N/A</v>
      </c>
      <c r="Q505" s="19" t="s">
        <v>3650</v>
      </c>
      <c r="R505" s="15" t="s">
        <v>3651</v>
      </c>
      <c r="S505" s="15" t="s">
        <v>37</v>
      </c>
      <c r="T505" s="16" t="s">
        <v>38</v>
      </c>
      <c r="U505" s="11" t="str">
        <f>_xlfn.XLOOKUP(Customer[[#This Row],[Customer ID]],[1]!Address[ID],[1]!Address[Phone No.(2)])</f>
        <v/>
      </c>
      <c r="V505" s="11" t="str">
        <f>_xlfn.XLOOKUP(Customer[[#This Row],[Customer ID]],[1]!Address[ID],[1]!Address[Type])</f>
        <v>PETROMART</v>
      </c>
      <c r="W505" s="11" t="str">
        <f>_xlfn.XLOOKUP(Customer[[#This Row],[Customer ID]],[1]!Address[ID],[1]!Address[CT])</f>
        <v>30 DAYS</v>
      </c>
      <c r="X505" s="11" t="s">
        <v>39</v>
      </c>
      <c r="Y505" s="17" t="s">
        <v>40</v>
      </c>
      <c r="Z505" s="17" t="e">
        <f>_xlfn.XLOOKUP(Customer[[#This Row],[NewType]],$AF$36:$AF$54,$AG$36:$AG$54)</f>
        <v>#N/A</v>
      </c>
      <c r="AA505" s="17" t="s">
        <v>3652</v>
      </c>
      <c r="AB505" s="11" t="str">
        <f>_xlfn.XLOOKUP(Customer[[#This Row],[Customer ID]],[1]!Address[ID],[1]!Address[Subtype])</f>
        <v>PETRONAS</v>
      </c>
      <c r="AC505" s="18" t="str">
        <f>_xlfn.XLOOKUP(Customer[[#This Row],[Customer ID]],[1]!Address[ID],[1]!Address[Zone])</f>
        <v>CENTRAL</v>
      </c>
    </row>
    <row r="506" spans="1:29" x14ac:dyDescent="0.3">
      <c r="A506" s="27" t="s">
        <v>3653</v>
      </c>
      <c r="B506" s="28" t="str">
        <f>_xlfn.XLOOKUP(Customer[[#This Row],[Customer ID]],[1]!Name[ID],[1]!Name[Description(1)])</f>
        <v>MESRA UTARA SERVICE STATION</v>
      </c>
      <c r="C506" s="11" t="str">
        <f>_xlfn.XLOOKUP(Customer[[#This Row],[Customer ID]],[1]!Name[ID],[1]!Name[Description(2)])</f>
        <v>PS PADANG BESAR</v>
      </c>
      <c r="D506" s="11" t="str">
        <f>_xlfn.XLOOKUP(Customer[[#This Row],[Customer ID]],[1]!Address[ID],[1]!Address[PIC])</f>
        <v/>
      </c>
      <c r="E506" s="11" t="str">
        <f>_xlfn.XLOOKUP(Customer[[#This Row],[Customer ID]],[1]!Address[ID],[1]!Address[Full Address])</f>
        <v>PS PADANG BESARLOT 795,MUKIM TITI TINGGI,PADANG BESARPERLIS, 02100, PADANG BESAR, PERLIS</v>
      </c>
      <c r="F506" s="12" t="s">
        <v>3654</v>
      </c>
      <c r="G506" s="12" t="s">
        <v>3655</v>
      </c>
      <c r="H506" s="12"/>
      <c r="I506" s="12" t="b">
        <f>ISNUMBER(VALUE(LEFT(Customer[[#This Row],[Address Line 3 (30 char)]],1)))</f>
        <v>0</v>
      </c>
      <c r="J506" s="12" t="s">
        <v>984</v>
      </c>
      <c r="K506" s="30" t="s">
        <v>3656</v>
      </c>
      <c r="L506" s="12" t="s">
        <v>35</v>
      </c>
      <c r="M506" s="13" t="e">
        <v>#N/A</v>
      </c>
      <c r="N506" s="14" t="e">
        <v>#N/A</v>
      </c>
      <c r="O506" s="14" t="e">
        <v>#N/A</v>
      </c>
      <c r="P506" s="14" t="e">
        <v>#N/A</v>
      </c>
      <c r="Q506" s="19" t="s">
        <v>3657</v>
      </c>
      <c r="R506" s="15" t="s">
        <v>3658</v>
      </c>
      <c r="S506" s="15" t="s">
        <v>74</v>
      </c>
      <c r="T506" s="16" t="s">
        <v>38</v>
      </c>
      <c r="U506" s="11" t="str">
        <f>_xlfn.XLOOKUP(Customer[[#This Row],[Customer ID]],[1]!Address[ID],[1]!Address[Phone No.(2)])</f>
        <v/>
      </c>
      <c r="V506" s="11" t="str">
        <f>_xlfn.XLOOKUP(Customer[[#This Row],[Customer ID]],[1]!Address[ID],[1]!Address[Type])</f>
        <v>PETROMART</v>
      </c>
      <c r="W506" s="11" t="str">
        <f>_xlfn.XLOOKUP(Customer[[#This Row],[Customer ID]],[1]!Address[ID],[1]!Address[CT])</f>
        <v>30 DAYS</v>
      </c>
      <c r="X506" s="11" t="s">
        <v>39</v>
      </c>
      <c r="Y506" s="17" t="s">
        <v>40</v>
      </c>
      <c r="Z506" s="17" t="e">
        <f>_xlfn.XLOOKUP(Customer[[#This Row],[NewType]],$AF$36:$AF$54,$AG$36:$AG$54)</f>
        <v>#N/A</v>
      </c>
      <c r="AA506" s="17" t="s">
        <v>3659</v>
      </c>
      <c r="AB506" s="11" t="str">
        <f>_xlfn.XLOOKUP(Customer[[#This Row],[Customer ID]],[1]!Address[ID],[1]!Address[Subtype])</f>
        <v>PETRONAS</v>
      </c>
      <c r="AC506" s="18" t="str">
        <f>_xlfn.XLOOKUP(Customer[[#This Row],[Customer ID]],[1]!Address[ID],[1]!Address[Zone])</f>
        <v>NORTH</v>
      </c>
    </row>
    <row r="507" spans="1:29" x14ac:dyDescent="0.3">
      <c r="A507" s="27" t="s">
        <v>3660</v>
      </c>
      <c r="B507" s="28" t="str">
        <f>_xlfn.XLOOKUP(Customer[[#This Row],[Customer ID]],[1]!Name[ID],[1]!Name[Description(1)])</f>
        <v>DAMAI WANGI ENTERPRISE</v>
      </c>
      <c r="C507" s="11" t="str">
        <f>_xlfn.XLOOKUP(Customer[[#This Row],[Customer ID]],[1]!Name[ID],[1]!Name[Description(2)])</f>
        <v>PS PADANG MATSIRAT</v>
      </c>
      <c r="D507" s="11" t="str">
        <f>_xlfn.XLOOKUP(Customer[[#This Row],[Customer ID]],[1]!Address[ID],[1]!Address[PIC])</f>
        <v/>
      </c>
      <c r="E507" s="11" t="str">
        <f>_xlfn.XLOOKUP(Customer[[#This Row],[Customer ID]],[1]!Address[ID],[1]!Address[Full Address])</f>
        <v>PS PADANG MATSIRATPLOT 2, LOT 228, JALAN PADANG MAT SIRAT,LANGKAWI, KEDAH , 07100, LANGKAWI, KEDAH</v>
      </c>
      <c r="F507" s="12" t="s">
        <v>3661</v>
      </c>
      <c r="G507" s="12" t="s">
        <v>3662</v>
      </c>
      <c r="H507" s="12" t="s">
        <v>3663</v>
      </c>
      <c r="I507" s="12" t="b">
        <f>ISNUMBER(VALUE(LEFT(Customer[[#This Row],[Address Line 3 (30 char)]],1)))</f>
        <v>0</v>
      </c>
      <c r="J507" s="12" t="s">
        <v>79</v>
      </c>
      <c r="K507" s="30" t="s">
        <v>3664</v>
      </c>
      <c r="L507" s="12" t="s">
        <v>35</v>
      </c>
      <c r="M507" s="13" t="e">
        <v>#N/A</v>
      </c>
      <c r="N507" s="14" t="e">
        <v>#N/A</v>
      </c>
      <c r="O507" s="14" t="e">
        <v>#N/A</v>
      </c>
      <c r="P507" s="14" t="e">
        <v>#N/A</v>
      </c>
      <c r="Q507" s="19" t="s">
        <v>3665</v>
      </c>
      <c r="R507" s="15" t="s">
        <v>3666</v>
      </c>
      <c r="S507" s="15" t="s">
        <v>74</v>
      </c>
      <c r="T507" s="16" t="s">
        <v>38</v>
      </c>
      <c r="U507" s="11" t="str">
        <f>_xlfn.XLOOKUP(Customer[[#This Row],[Customer ID]],[1]!Address[ID],[1]!Address[Phone No.(2)])</f>
        <v/>
      </c>
      <c r="V507" s="11" t="str">
        <f>_xlfn.XLOOKUP(Customer[[#This Row],[Customer ID]],[1]!Address[ID],[1]!Address[Type])</f>
        <v>PETROMART</v>
      </c>
      <c r="W507" s="11" t="str">
        <f>_xlfn.XLOOKUP(Customer[[#This Row],[Customer ID]],[1]!Address[ID],[1]!Address[CT])</f>
        <v>30 DAYS</v>
      </c>
      <c r="X507" s="11" t="s">
        <v>39</v>
      </c>
      <c r="Y507" s="17" t="s">
        <v>40</v>
      </c>
      <c r="Z507" s="17" t="e">
        <f>_xlfn.XLOOKUP(Customer[[#This Row],[NewType]],$AF$36:$AF$54,$AG$36:$AG$54)</f>
        <v>#N/A</v>
      </c>
      <c r="AA507" s="17" t="s">
        <v>3667</v>
      </c>
      <c r="AB507" s="11" t="str">
        <f>_xlfn.XLOOKUP(Customer[[#This Row],[Customer ID]],[1]!Address[ID],[1]!Address[Subtype])</f>
        <v>PETRONAS</v>
      </c>
      <c r="AC507" s="18" t="str">
        <f>_xlfn.XLOOKUP(Customer[[#This Row],[Customer ID]],[1]!Address[ID],[1]!Address[Zone])</f>
        <v>NORTH</v>
      </c>
    </row>
    <row r="508" spans="1:29" x14ac:dyDescent="0.3">
      <c r="A508" s="10" t="s">
        <v>3668</v>
      </c>
      <c r="B508" s="11" t="str">
        <f>_xlfn.XLOOKUP(Customer[[#This Row],[Customer ID]],[1]!Name[ID],[1]!Name[Description(1)])</f>
        <v>AURA DESTINA ENTERPRISE</v>
      </c>
      <c r="C508" s="11" t="str">
        <f>_xlfn.XLOOKUP(Customer[[#This Row],[Customer ID]],[1]!Name[ID],[1]!Name[Description(2)])</f>
        <v>PS PADANG MIDIN</v>
      </c>
      <c r="D508" s="11" t="str">
        <f>_xlfn.XLOOKUP(Customer[[#This Row],[Customer ID]],[1]!Address[ID],[1]!Address[PIC])</f>
        <v/>
      </c>
      <c r="E508" s="11" t="str">
        <f>_xlfn.XLOOKUP(Customer[[#This Row],[Customer ID]],[1]!Address[ID],[1]!Address[Full Address])</f>
        <v>PS PADANG MIDINGM 36, LOT 1614 (NEW LOT NO 2415), KAMPUKEDAI,JLN KUALA TERENGGANU - KUALA BERAN- KUALA BERANG, TERENGGANU, 20050</v>
      </c>
      <c r="F508" s="12" t="s">
        <v>3669</v>
      </c>
      <c r="G508" s="12" t="s">
        <v>3670</v>
      </c>
      <c r="H508" s="12" t="s">
        <v>3671</v>
      </c>
      <c r="I508" s="12" t="b">
        <f>ISNUMBER(VALUE(LEFT(Customer[[#This Row],[Address Line 3 (30 char)]],1)))</f>
        <v>0</v>
      </c>
      <c r="J508" s="12" t="s">
        <v>1056</v>
      </c>
      <c r="K508" s="12">
        <v>20050</v>
      </c>
      <c r="L508" s="12" t="s">
        <v>35</v>
      </c>
      <c r="M508" s="13">
        <v>200803197238</v>
      </c>
      <c r="N508" s="14" t="s">
        <v>3672</v>
      </c>
      <c r="O508" s="14" t="s">
        <v>156</v>
      </c>
      <c r="P508" s="14">
        <v>47300</v>
      </c>
      <c r="Q508" s="19" t="s">
        <v>3673</v>
      </c>
      <c r="R508" s="15" t="s">
        <v>3674</v>
      </c>
      <c r="S508" s="15" t="s">
        <v>37</v>
      </c>
      <c r="T508" s="16" t="s">
        <v>38</v>
      </c>
      <c r="U508" s="11" t="str">
        <f>_xlfn.XLOOKUP(Customer[[#This Row],[Customer ID]],[1]!Address[ID],[1]!Address[Phone No.(2)])</f>
        <v/>
      </c>
      <c r="V508" s="11" t="str">
        <f>_xlfn.XLOOKUP(Customer[[#This Row],[Customer ID]],[1]!Address[ID],[1]!Address[Type])</f>
        <v>PETROMART</v>
      </c>
      <c r="W508" s="11" t="str">
        <f>_xlfn.XLOOKUP(Customer[[#This Row],[Customer ID]],[1]!Address[ID],[1]!Address[CT])</f>
        <v>30 DAYS</v>
      </c>
      <c r="X508" s="11" t="s">
        <v>39</v>
      </c>
      <c r="Y508" s="17" t="s">
        <v>40</v>
      </c>
      <c r="Z508" s="17" t="e">
        <f>_xlfn.XLOOKUP(Customer[[#This Row],[NewType]],$AF$36:$AF$54,$AG$36:$AG$54)</f>
        <v>#N/A</v>
      </c>
      <c r="AA508" s="17" t="s">
        <v>3675</v>
      </c>
      <c r="AB508" s="11" t="str">
        <f>_xlfn.XLOOKUP(Customer[[#This Row],[Customer ID]],[1]!Address[ID],[1]!Address[Subtype])</f>
        <v>PETRONAS</v>
      </c>
      <c r="AC508" s="18" t="str">
        <f>_xlfn.XLOOKUP(Customer[[#This Row],[Customer ID]],[1]!Address[ID],[1]!Address[Zone])</f>
        <v>EAST COAST</v>
      </c>
    </row>
    <row r="509" spans="1:29" x14ac:dyDescent="0.3">
      <c r="A509" s="10" t="s">
        <v>3676</v>
      </c>
      <c r="B509" s="11" t="str">
        <f>_xlfn.XLOOKUP(Customer[[#This Row],[Customer ID]],[1]!Name[ID],[1]!Name[Description(1)])</f>
        <v>CAPTAZA ENTERPRISE</v>
      </c>
      <c r="C509" s="11" t="str">
        <f>_xlfn.XLOOKUP(Customer[[#This Row],[Customer ID]],[1]!Name[ID],[1]!Name[Description(2)])</f>
        <v>PS PADANG RENGAS</v>
      </c>
      <c r="D509" s="11" t="str">
        <f>_xlfn.XLOOKUP(Customer[[#This Row],[Customer ID]],[1]!Address[ID],[1]!Address[PIC])</f>
        <v/>
      </c>
      <c r="E509" s="11" t="str">
        <f>_xlfn.XLOOKUP(Customer[[#This Row],[Customer ID]],[1]!Address[ID],[1]!Address[Full Address])</f>
        <v>PS PADANG RENGASLOT PT 497, JALAN BESAR, KG.PAYA PANJANGPADANG RENGAS, KUALA KANGSAR,33700PERAK</v>
      </c>
      <c r="F509" s="12" t="s">
        <v>3677</v>
      </c>
      <c r="G509" s="12" t="s">
        <v>3678</v>
      </c>
      <c r="H509" s="12" t="s">
        <v>3679</v>
      </c>
      <c r="I509" s="12" t="b">
        <f>ISNUMBER(VALUE(LEFT(Customer[[#This Row],[Address Line 3 (30 char)]],1)))</f>
        <v>0</v>
      </c>
      <c r="J509" s="12" t="s">
        <v>387</v>
      </c>
      <c r="K509" s="12">
        <v>33700</v>
      </c>
      <c r="L509" s="12" t="s">
        <v>35</v>
      </c>
      <c r="M509" s="13" t="e">
        <v>#N/A</v>
      </c>
      <c r="N509" s="14" t="e">
        <v>#N/A</v>
      </c>
      <c r="O509" s="14" t="e">
        <v>#N/A</v>
      </c>
      <c r="P509" s="14" t="e">
        <v>#N/A</v>
      </c>
      <c r="Q509" s="14" t="e">
        <v>#N/A</v>
      </c>
      <c r="R509" s="15" t="s">
        <v>3680</v>
      </c>
      <c r="S509" s="15" t="s">
        <v>37</v>
      </c>
      <c r="T509" s="16" t="s">
        <v>38</v>
      </c>
      <c r="U509" s="11" t="str">
        <f>_xlfn.XLOOKUP(Customer[[#This Row],[Customer ID]],[1]!Address[ID],[1]!Address[Phone No.(2)])</f>
        <v/>
      </c>
      <c r="V509" s="11" t="str">
        <f>_xlfn.XLOOKUP(Customer[[#This Row],[Customer ID]],[1]!Address[ID],[1]!Address[Type])</f>
        <v>PETROMART</v>
      </c>
      <c r="W509" s="11" t="str">
        <f>_xlfn.XLOOKUP(Customer[[#This Row],[Customer ID]],[1]!Address[ID],[1]!Address[CT])</f>
        <v>30 DAYS</v>
      </c>
      <c r="X509" s="11" t="s">
        <v>39</v>
      </c>
      <c r="Y509" s="17" t="s">
        <v>40</v>
      </c>
      <c r="Z509" s="17" t="e">
        <f>_xlfn.XLOOKUP(Customer[[#This Row],[NewType]],$AF$36:$AF$54,$AG$36:$AG$54)</f>
        <v>#N/A</v>
      </c>
      <c r="AA509" s="17" t="s">
        <v>3681</v>
      </c>
      <c r="AB509" s="11" t="str">
        <f>_xlfn.XLOOKUP(Customer[[#This Row],[Customer ID]],[1]!Address[ID],[1]!Address[Subtype])</f>
        <v>PETRONAS</v>
      </c>
      <c r="AC509" s="18" t="str">
        <f>_xlfn.XLOOKUP(Customer[[#This Row],[Customer ID]],[1]!Address[ID],[1]!Address[Zone])</f>
        <v>NORTH</v>
      </c>
    </row>
    <row r="510" spans="1:29" x14ac:dyDescent="0.3">
      <c r="A510" s="27" t="s">
        <v>3682</v>
      </c>
      <c r="B510" s="28" t="str">
        <f>_xlfn.XLOOKUP(Customer[[#This Row],[Customer ID]],[1]!Name[ID],[1]!Name[Description(1)])</f>
        <v>FH INTECH</v>
      </c>
      <c r="C510" s="11" t="str">
        <f>_xlfn.XLOOKUP(Customer[[#This Row],[Customer ID]],[1]!Name[ID],[1]!Name[Description(2)])</f>
        <v>PS PADANG SERAI</v>
      </c>
      <c r="D510" s="11" t="str">
        <f>_xlfn.XLOOKUP(Customer[[#This Row],[Customer ID]],[1]!Address[ID],[1]!Address[PIC])</f>
        <v/>
      </c>
      <c r="E510" s="11" t="str">
        <f>_xlfn.XLOOKUP(Customer[[#This Row],[Customer ID]],[1]!Address[ID],[1]!Address[Full Address])</f>
        <v>PS PADANG SERAILOT PT 3932 HSD 16036, TAMAN SERAI WANGIKULIM, KEDAH, 09000, KULIM, KEDAH</v>
      </c>
      <c r="F510" s="12" t="s">
        <v>3683</v>
      </c>
      <c r="G510" s="12" t="s">
        <v>3684</v>
      </c>
      <c r="H510" s="12" t="s">
        <v>3685</v>
      </c>
      <c r="I510" s="12" t="b">
        <f>ISNUMBER(VALUE(LEFT(Customer[[#This Row],[Address Line 3 (30 char)]],1)))</f>
        <v>0</v>
      </c>
      <c r="J510" s="12" t="s">
        <v>79</v>
      </c>
      <c r="K510" s="30" t="s">
        <v>2905</v>
      </c>
      <c r="L510" s="12" t="s">
        <v>35</v>
      </c>
      <c r="M510" s="13">
        <v>200603038059</v>
      </c>
      <c r="N510" s="14" t="s">
        <v>3686</v>
      </c>
      <c r="O510" s="14" t="e">
        <v>#N/A</v>
      </c>
      <c r="P510" s="14" t="e">
        <v>#N/A</v>
      </c>
      <c r="Q510" s="19" t="s">
        <v>3687</v>
      </c>
      <c r="R510" s="15" t="s">
        <v>3688</v>
      </c>
      <c r="S510" s="15" t="s">
        <v>74</v>
      </c>
      <c r="T510" s="16" t="s">
        <v>38</v>
      </c>
      <c r="U510" s="11" t="str">
        <f>_xlfn.XLOOKUP(Customer[[#This Row],[Customer ID]],[1]!Address[ID],[1]!Address[Phone No.(2)])</f>
        <v/>
      </c>
      <c r="V510" s="11" t="str">
        <f>_xlfn.XLOOKUP(Customer[[#This Row],[Customer ID]],[1]!Address[ID],[1]!Address[Type])</f>
        <v>PETROMART</v>
      </c>
      <c r="W510" s="11" t="str">
        <f>_xlfn.XLOOKUP(Customer[[#This Row],[Customer ID]],[1]!Address[ID],[1]!Address[CT])</f>
        <v>30 DAYS</v>
      </c>
      <c r="X510" s="11" t="s">
        <v>39</v>
      </c>
      <c r="Y510" s="17" t="s">
        <v>40</v>
      </c>
      <c r="Z510" s="17" t="e">
        <f>_xlfn.XLOOKUP(Customer[[#This Row],[NewType]],$AF$36:$AF$54,$AG$36:$AG$54)</f>
        <v>#N/A</v>
      </c>
      <c r="AA510" s="17" t="s">
        <v>3689</v>
      </c>
      <c r="AB510" s="11" t="str">
        <f>_xlfn.XLOOKUP(Customer[[#This Row],[Customer ID]],[1]!Address[ID],[1]!Address[Subtype])</f>
        <v>PETRONAS</v>
      </c>
      <c r="AC510" s="18" t="str">
        <f>_xlfn.XLOOKUP(Customer[[#This Row],[Customer ID]],[1]!Address[ID],[1]!Address[Zone])</f>
        <v>NORTH</v>
      </c>
    </row>
    <row r="511" spans="1:29" x14ac:dyDescent="0.3">
      <c r="A511" s="10" t="s">
        <v>3690</v>
      </c>
      <c r="B511" s="11" t="str">
        <f>_xlfn.XLOOKUP(Customer[[#This Row],[Customer ID]],[1]!Name[ID],[1]!Name[Description(1)])</f>
        <v>S3 ENERGY SDN BHD</v>
      </c>
      <c r="C511" s="11" t="str">
        <f>_xlfn.XLOOKUP(Customer[[#This Row],[Customer ID]],[1]!Name[ID],[1]!Name[Description(2)])</f>
        <v>PS PAJAM</v>
      </c>
      <c r="D511" s="11" t="str">
        <f>_xlfn.XLOOKUP(Customer[[#This Row],[Customer ID]],[1]!Address[ID],[1]!Address[PIC])</f>
        <v/>
      </c>
      <c r="E511" s="11" t="str">
        <f>_xlfn.XLOOKUP(Customer[[#This Row],[Customer ID]],[1]!Address[ID],[1]!Address[Full Address])</f>
        <v>PS PAJAMNO.3, PUSAT PERNIAGAAN D'GALLA, JALANNILAI - PAJAM,, 71800, SEREMBAN,NEGERI SEMBILAN</v>
      </c>
      <c r="F511" s="12" t="s">
        <v>3691</v>
      </c>
      <c r="G511" s="12" t="s">
        <v>3692</v>
      </c>
      <c r="H511" s="12" t="s">
        <v>3693</v>
      </c>
      <c r="I511" s="12" t="b">
        <f>ISNUMBER(VALUE(LEFT(Customer[[#This Row],[Address Line 3 (30 char)]],1)))</f>
        <v>0</v>
      </c>
      <c r="J511" s="12" t="s">
        <v>203</v>
      </c>
      <c r="K511" s="12">
        <v>71800</v>
      </c>
      <c r="L511" s="12" t="s">
        <v>35</v>
      </c>
      <c r="M511" s="13">
        <v>201601034162</v>
      </c>
      <c r="N511" s="14" t="s">
        <v>3694</v>
      </c>
      <c r="O511" s="14" t="s">
        <v>54</v>
      </c>
      <c r="P511" s="14" t="s">
        <v>890</v>
      </c>
      <c r="Q511" s="19" t="s">
        <v>3695</v>
      </c>
      <c r="R511" s="15" t="s">
        <v>3696</v>
      </c>
      <c r="S511" s="15" t="s">
        <v>37</v>
      </c>
      <c r="T511" s="16" t="s">
        <v>38</v>
      </c>
      <c r="U511" s="11" t="str">
        <f>_xlfn.XLOOKUP(Customer[[#This Row],[Customer ID]],[1]!Address[ID],[1]!Address[Phone No.(2)])</f>
        <v/>
      </c>
      <c r="V511" s="11" t="str">
        <f>_xlfn.XLOOKUP(Customer[[#This Row],[Customer ID]],[1]!Address[ID],[1]!Address[Type])</f>
        <v>PETROMART</v>
      </c>
      <c r="W511" s="11" t="str">
        <f>_xlfn.XLOOKUP(Customer[[#This Row],[Customer ID]],[1]!Address[ID],[1]!Address[CT])</f>
        <v>30 DAYS</v>
      </c>
      <c r="X511" s="11" t="s">
        <v>39</v>
      </c>
      <c r="Y511" s="17" t="s">
        <v>40</v>
      </c>
      <c r="Z511" s="17" t="e">
        <f>_xlfn.XLOOKUP(Customer[[#This Row],[NewType]],$AF$36:$AF$54,$AG$36:$AG$54)</f>
        <v>#N/A</v>
      </c>
      <c r="AA511" s="17" t="s">
        <v>3697</v>
      </c>
      <c r="AB511" s="11" t="str">
        <f>_xlfn.XLOOKUP(Customer[[#This Row],[Customer ID]],[1]!Address[ID],[1]!Address[Subtype])</f>
        <v>PETRONAS</v>
      </c>
      <c r="AC511" s="18" t="str">
        <f>_xlfn.XLOOKUP(Customer[[#This Row],[Customer ID]],[1]!Address[ID],[1]!Address[Zone])</f>
        <v>CENTRAL</v>
      </c>
    </row>
    <row r="512" spans="1:29" x14ac:dyDescent="0.3">
      <c r="A512" s="10" t="s">
        <v>3698</v>
      </c>
      <c r="B512" s="11" t="str">
        <f>_xlfn.XLOOKUP(Customer[[#This Row],[Customer ID]],[1]!Name[ID],[1]!Name[Description(1)])</f>
        <v>BUDGENT ENTEPRISE</v>
      </c>
      <c r="C512" s="11" t="str">
        <f>_xlfn.XLOOKUP(Customer[[#This Row],[Customer ID]],[1]!Name[ID],[1]!Name[Description(2)])</f>
        <v>PS PAKA 2</v>
      </c>
      <c r="D512" s="11" t="str">
        <f>_xlfn.XLOOKUP(Customer[[#This Row],[Customer ID]],[1]!Address[ID],[1]!Address[PIC])</f>
        <v>PUAN TINI</v>
      </c>
      <c r="E512" s="11" t="str">
        <f>_xlfn.XLOOKUP(Customer[[#This Row],[Customer ID]],[1]!Address[ID],[1]!Address[Full Address])</f>
        <v>PS PAKA 2LOT 2475 GM 5709 MUKIM KUALA PAKA,JALANKERTEH-PAKA, DAERAH DUNGUN, KUALATERENGGANU, 23100, TERENGGANU</v>
      </c>
      <c r="F512" s="12" t="s">
        <v>3699</v>
      </c>
      <c r="G512" s="12" t="s">
        <v>3700</v>
      </c>
      <c r="H512" s="12" t="s">
        <v>3701</v>
      </c>
      <c r="I512" s="12" t="b">
        <f>ISNUMBER(VALUE(LEFT(Customer[[#This Row],[Address Line 3 (30 char)]],1)))</f>
        <v>0</v>
      </c>
      <c r="J512" s="12" t="s">
        <v>154</v>
      </c>
      <c r="K512" s="12">
        <v>23100</v>
      </c>
      <c r="L512" s="12" t="s">
        <v>35</v>
      </c>
      <c r="M512" s="13">
        <v>200403182531</v>
      </c>
      <c r="N512" s="14" t="s">
        <v>3702</v>
      </c>
      <c r="O512" s="14" t="e">
        <v>#N/A</v>
      </c>
      <c r="P512" s="14" t="e">
        <v>#N/A</v>
      </c>
      <c r="Q512" s="19" t="s">
        <v>3703</v>
      </c>
      <c r="R512" s="15" t="s">
        <v>3704</v>
      </c>
      <c r="S512" s="15" t="s">
        <v>37</v>
      </c>
      <c r="T512" s="16" t="s">
        <v>38</v>
      </c>
      <c r="U512" s="11" t="str">
        <f>_xlfn.XLOOKUP(Customer[[#This Row],[Customer ID]],[1]!Address[ID],[1]!Address[Phone No.(2)])</f>
        <v/>
      </c>
      <c r="V512" s="11" t="str">
        <f>_xlfn.XLOOKUP(Customer[[#This Row],[Customer ID]],[1]!Address[ID],[1]!Address[Type])</f>
        <v>PETROMART</v>
      </c>
      <c r="W512" s="11" t="str">
        <f>_xlfn.XLOOKUP(Customer[[#This Row],[Customer ID]],[1]!Address[ID],[1]!Address[CT])</f>
        <v>30 DAYS</v>
      </c>
      <c r="X512" s="11" t="s">
        <v>39</v>
      </c>
      <c r="Y512" s="17" t="s">
        <v>40</v>
      </c>
      <c r="Z512" s="17" t="e">
        <f>_xlfn.XLOOKUP(Customer[[#This Row],[NewType]],$AF$36:$AF$54,$AG$36:$AG$54)</f>
        <v>#N/A</v>
      </c>
      <c r="AA512" s="17" t="s">
        <v>3705</v>
      </c>
      <c r="AB512" s="11" t="str">
        <f>_xlfn.XLOOKUP(Customer[[#This Row],[Customer ID]],[1]!Address[ID],[1]!Address[Subtype])</f>
        <v>PETRONAS</v>
      </c>
      <c r="AC512" s="18" t="str">
        <f>_xlfn.XLOOKUP(Customer[[#This Row],[Customer ID]],[1]!Address[ID],[1]!Address[Zone])</f>
        <v>EAST COAST</v>
      </c>
    </row>
    <row r="513" spans="1:29" x14ac:dyDescent="0.3">
      <c r="A513" s="10" t="s">
        <v>3706</v>
      </c>
      <c r="B513" s="11" t="str">
        <f>_xlfn.XLOOKUP(Customer[[#This Row],[Customer ID]],[1]!Name[ID],[1]!Name[Description(1)])</f>
        <v>JISMA TIJARAH SDN BHD</v>
      </c>
      <c r="C513" s="11" t="str">
        <f>_xlfn.XLOOKUP(Customer[[#This Row],[Customer ID]],[1]!Name[ID],[1]!Name[Description(2)])</f>
        <v>PS PANDAN INDAH</v>
      </c>
      <c r="D513" s="11" t="str">
        <f>_xlfn.XLOOKUP(Customer[[#This Row],[Customer ID]],[1]!Address[ID],[1]!Address[PIC])</f>
        <v/>
      </c>
      <c r="E513" s="11" t="str">
        <f>_xlfn.XLOOKUP(Customer[[#This Row],[Customer ID]],[1]!Address[ID],[1]!Address[Full Address])</f>
        <v>PS PANDAN INDAHLOT PT 18231, JALAN PANDAN INDAH 1/25,PANDAN INDAH, SELANGOR,68000, ULU LANGAT, SELANGOR</v>
      </c>
      <c r="F513" s="12" t="s">
        <v>3707</v>
      </c>
      <c r="G513" s="12" t="s">
        <v>3708</v>
      </c>
      <c r="H513" s="12" t="s">
        <v>3709</v>
      </c>
      <c r="I513" s="12" t="b">
        <f>ISNUMBER(VALUE(LEFT(Customer[[#This Row],[Address Line 3 (30 char)]],1)))</f>
        <v>0</v>
      </c>
      <c r="J513" s="12" t="s">
        <v>172</v>
      </c>
      <c r="K513" s="12">
        <v>68000</v>
      </c>
      <c r="L513" s="12" t="s">
        <v>35</v>
      </c>
      <c r="M513" s="13" t="e">
        <v>#N/A</v>
      </c>
      <c r="N513" s="14" t="e">
        <v>#N/A</v>
      </c>
      <c r="O513" s="14" t="e">
        <v>#N/A</v>
      </c>
      <c r="P513" s="14" t="e">
        <v>#N/A</v>
      </c>
      <c r="Q513" s="19" t="s">
        <v>3710</v>
      </c>
      <c r="R513" s="15" t="s">
        <v>3711</v>
      </c>
      <c r="S513" s="15" t="s">
        <v>37</v>
      </c>
      <c r="T513" s="16" t="s">
        <v>38</v>
      </c>
      <c r="U513" s="11" t="str">
        <f>_xlfn.XLOOKUP(Customer[[#This Row],[Customer ID]],[1]!Address[ID],[1]!Address[Phone No.(2)])</f>
        <v/>
      </c>
      <c r="V513" s="11" t="str">
        <f>_xlfn.XLOOKUP(Customer[[#This Row],[Customer ID]],[1]!Address[ID],[1]!Address[Type])</f>
        <v>PETROMART</v>
      </c>
      <c r="W513" s="11" t="str">
        <f>_xlfn.XLOOKUP(Customer[[#This Row],[Customer ID]],[1]!Address[ID],[1]!Address[CT])</f>
        <v>30 DAYS</v>
      </c>
      <c r="X513" s="11" t="s">
        <v>39</v>
      </c>
      <c r="Y513" s="17" t="s">
        <v>40</v>
      </c>
      <c r="Z513" s="17" t="e">
        <f>_xlfn.XLOOKUP(Customer[[#This Row],[NewType]],$AF$36:$AF$54,$AG$36:$AG$54)</f>
        <v>#N/A</v>
      </c>
      <c r="AA513" s="17" t="s">
        <v>3712</v>
      </c>
      <c r="AB513" s="11" t="str">
        <f>_xlfn.XLOOKUP(Customer[[#This Row],[Customer ID]],[1]!Address[ID],[1]!Address[Subtype])</f>
        <v>PETRONAS</v>
      </c>
      <c r="AC513" s="18" t="str">
        <f>_xlfn.XLOOKUP(Customer[[#This Row],[Customer ID]],[1]!Address[ID],[1]!Address[Zone])</f>
        <v>CENTRAL</v>
      </c>
    </row>
    <row r="514" spans="1:29" x14ac:dyDescent="0.3">
      <c r="A514" s="10" t="s">
        <v>3713</v>
      </c>
      <c r="B514" s="11" t="str">
        <f>_xlfn.XLOOKUP(Customer[[#This Row],[Customer ID]],[1]!Name[ID],[1]!Name[Description(1)])</f>
        <v>HIDAYANIS ENTERPRISE</v>
      </c>
      <c r="C514" s="11" t="str">
        <f>_xlfn.XLOOKUP(Customer[[#This Row],[Customer ID]],[1]!Name[ID],[1]!Name[Description(2)])</f>
        <v>PS PANDAN JAYA / LEBUH AMJ BALAI PANJANG</v>
      </c>
      <c r="D514" s="11" t="str">
        <f>_xlfn.XLOOKUP(Customer[[#This Row],[Customer ID]],[1]!Address[ID],[1]!Address[PIC])</f>
        <v/>
      </c>
      <c r="E514" s="11" t="str">
        <f>_xlfn.XLOOKUP(Customer[[#This Row],[Customer ID]],[1]!Address[ID],[1]!Address[Full Address])</f>
        <v>PS PANDAN JAYA / LEBUH AMJ BALAI PANJANGLOT 6942, GMM 2200 PANDAN JAYA, MUKIMBALAI PANJANG, MELAKA TENGAH, MELAKA,75600, MELAKA</v>
      </c>
      <c r="F514" s="12" t="s">
        <v>3714</v>
      </c>
      <c r="G514" s="12" t="s">
        <v>3715</v>
      </c>
      <c r="H514" s="12" t="s">
        <v>3716</v>
      </c>
      <c r="I514" s="12" t="b">
        <f>ISNUMBER(VALUE(LEFT(Customer[[#This Row],[Address Line 3 (30 char)]],1)))</f>
        <v>0</v>
      </c>
      <c r="J514" s="12" t="s">
        <v>61</v>
      </c>
      <c r="K514" s="12">
        <v>75600</v>
      </c>
      <c r="L514" s="12" t="s">
        <v>35</v>
      </c>
      <c r="M514" s="13">
        <v>202003262147</v>
      </c>
      <c r="N514" s="14" t="s">
        <v>3717</v>
      </c>
      <c r="O514" s="14" t="s">
        <v>54</v>
      </c>
      <c r="P514" s="14">
        <v>47300</v>
      </c>
      <c r="Q514" s="19" t="s">
        <v>3718</v>
      </c>
      <c r="R514" s="15" t="s">
        <v>3719</v>
      </c>
      <c r="S514" s="15" t="s">
        <v>37</v>
      </c>
      <c r="T514" s="16" t="s">
        <v>38</v>
      </c>
      <c r="U514" s="11" t="str">
        <f>_xlfn.XLOOKUP(Customer[[#This Row],[Customer ID]],[1]!Address[ID],[1]!Address[Phone No.(2)])</f>
        <v/>
      </c>
      <c r="V514" s="11" t="str">
        <f>_xlfn.XLOOKUP(Customer[[#This Row],[Customer ID]],[1]!Address[ID],[1]!Address[Type])</f>
        <v>PETROMART</v>
      </c>
      <c r="W514" s="11" t="str">
        <f>_xlfn.XLOOKUP(Customer[[#This Row],[Customer ID]],[1]!Address[ID],[1]!Address[CT])</f>
        <v>30 DAYS</v>
      </c>
      <c r="X514" s="11" t="s">
        <v>39</v>
      </c>
      <c r="Y514" s="17" t="s">
        <v>40</v>
      </c>
      <c r="Z514" s="17" t="e">
        <f>_xlfn.XLOOKUP(Customer[[#This Row],[NewType]],$AF$36:$AF$54,$AG$36:$AG$54)</f>
        <v>#N/A</v>
      </c>
      <c r="AA514" s="17" t="s">
        <v>3720</v>
      </c>
      <c r="AB514" s="11" t="str">
        <f>_xlfn.XLOOKUP(Customer[[#This Row],[Customer ID]],[1]!Address[ID],[1]!Address[Subtype])</f>
        <v>PETRONAS</v>
      </c>
      <c r="AC514" s="18" t="str">
        <f>_xlfn.XLOOKUP(Customer[[#This Row],[Customer ID]],[1]!Address[ID],[1]!Address[Zone])</f>
        <v>SOUTH</v>
      </c>
    </row>
    <row r="515" spans="1:29" x14ac:dyDescent="0.3">
      <c r="A515" s="10" t="s">
        <v>3721</v>
      </c>
      <c r="B515" s="11" t="str">
        <f>_xlfn.XLOOKUP(Customer[[#This Row],[Customer ID]],[1]!Name[ID],[1]!Name[Description(1)])</f>
        <v>TERAJU MHR</v>
      </c>
      <c r="C515" s="11" t="str">
        <f>_xlfn.XLOOKUP(Customer[[#This Row],[Customer ID]],[1]!Name[ID],[1]!Name[Description(2)])</f>
        <v>PS PANTAI CAHAYA BULAN</v>
      </c>
      <c r="D515" s="11" t="str">
        <f>_xlfn.XLOOKUP(Customer[[#This Row],[Customer ID]],[1]!Address[ID],[1]!Address[PIC])</f>
        <v/>
      </c>
      <c r="E515" s="11" t="str">
        <f>_xlfn.XLOOKUP(Customer[[#This Row],[Customer ID]],[1]!Address[ID],[1]!Address[Full Address])</f>
        <v>PS PANTAI CAHAYA BULANLOT 993 GM 913, PANTAI CAHAYA BULAN, MUKBANGGOL, JAJAHAN KOTA BHARU, 15350, KOTABHARU, KELANTAN</v>
      </c>
      <c r="F515" s="12" t="s">
        <v>3722</v>
      </c>
      <c r="G515" s="12" t="s">
        <v>3723</v>
      </c>
      <c r="H515" s="12" t="s">
        <v>3724</v>
      </c>
      <c r="I515" s="12" t="b">
        <f>ISNUMBER(VALUE(LEFT(Customer[[#This Row],[Address Line 3 (30 char)]],1)))</f>
        <v>0</v>
      </c>
      <c r="J515" s="12" t="s">
        <v>1007</v>
      </c>
      <c r="K515" s="12">
        <v>15350</v>
      </c>
      <c r="L515" s="12" t="s">
        <v>35</v>
      </c>
      <c r="M515" s="13" t="e">
        <v>#N/A</v>
      </c>
      <c r="N515" s="14" t="e">
        <v>#N/A</v>
      </c>
      <c r="O515" s="14" t="e">
        <v>#N/A</v>
      </c>
      <c r="P515" s="14" t="e">
        <v>#N/A</v>
      </c>
      <c r="Q515" s="19" t="s">
        <v>3725</v>
      </c>
      <c r="R515" s="15" t="s">
        <v>3726</v>
      </c>
      <c r="S515" s="15" t="s">
        <v>37</v>
      </c>
      <c r="T515" s="16" t="s">
        <v>38</v>
      </c>
      <c r="U515" s="11" t="str">
        <f>_xlfn.XLOOKUP(Customer[[#This Row],[Customer ID]],[1]!Address[ID],[1]!Address[Phone No.(2)])</f>
        <v/>
      </c>
      <c r="V515" s="11" t="str">
        <f>_xlfn.XLOOKUP(Customer[[#This Row],[Customer ID]],[1]!Address[ID],[1]!Address[Type])</f>
        <v>PETROMART</v>
      </c>
      <c r="W515" s="11" t="str">
        <f>_xlfn.XLOOKUP(Customer[[#This Row],[Customer ID]],[1]!Address[ID],[1]!Address[CT])</f>
        <v>30 DAYS</v>
      </c>
      <c r="X515" s="11" t="s">
        <v>39</v>
      </c>
      <c r="Y515" s="17" t="s">
        <v>40</v>
      </c>
      <c r="Z515" s="17" t="e">
        <f>_xlfn.XLOOKUP(Customer[[#This Row],[NewType]],$AF$36:$AF$54,$AG$36:$AG$54)</f>
        <v>#N/A</v>
      </c>
      <c r="AA515" s="17" t="s">
        <v>3727</v>
      </c>
      <c r="AB515" s="11" t="str">
        <f>_xlfn.XLOOKUP(Customer[[#This Row],[Customer ID]],[1]!Address[ID],[1]!Address[Subtype])</f>
        <v>PETRONAS</v>
      </c>
      <c r="AC515" s="18" t="str">
        <f>_xlfn.XLOOKUP(Customer[[#This Row],[Customer ID]],[1]!Address[ID],[1]!Address[Zone])</f>
        <v>EAST COAST</v>
      </c>
    </row>
    <row r="516" spans="1:29" x14ac:dyDescent="0.3">
      <c r="A516" s="27" t="s">
        <v>3728</v>
      </c>
      <c r="B516" s="28" t="str">
        <f>_xlfn.XLOOKUP(Customer[[#This Row],[Customer ID]],[1]!Name[ID],[1]!Name[Description(1)])</f>
        <v>EM PLATINUM SDN BHD</v>
      </c>
      <c r="C516" s="11" t="str">
        <f>_xlfn.XLOOKUP(Customer[[#This Row],[Customer ID]],[1]!Name[ID],[1]!Name[Description(2)])</f>
        <v>PS PANTAI REMIS</v>
      </c>
      <c r="D516" s="11" t="str">
        <f>_xlfn.XLOOKUP(Customer[[#This Row],[Customer ID]],[1]!Address[ID],[1]!Address[PIC])</f>
        <v>Norsuhaidah Bt</v>
      </c>
      <c r="E516" s="11" t="str">
        <f>_xlfn.XLOOKUP(Customer[[#This Row],[Customer ID]],[1]!Address[ID],[1]!Address[Full Address])</f>
        <v>PS PANTAI REMISPT 5023 BATU 17 JALAN PENGKALAN BAHARU34900 PANTAI REMIS PERAK</v>
      </c>
      <c r="F516" s="12" t="s">
        <v>3729</v>
      </c>
      <c r="G516" s="12" t="s">
        <v>3730</v>
      </c>
      <c r="H516" s="12" t="s">
        <v>3731</v>
      </c>
      <c r="I516" s="12" t="b">
        <f>ISNUMBER(VALUE(LEFT(Customer[[#This Row],[Address Line 3 (30 char)]],1)))</f>
        <v>0</v>
      </c>
      <c r="J516" s="12" t="s">
        <v>387</v>
      </c>
      <c r="K516" s="12">
        <v>34900</v>
      </c>
      <c r="L516" s="12" t="s">
        <v>35</v>
      </c>
      <c r="M516" s="13">
        <v>201703467562</v>
      </c>
      <c r="N516" s="14" t="e">
        <v>#N/A</v>
      </c>
      <c r="O516" s="14" t="e">
        <v>#N/A</v>
      </c>
      <c r="P516" s="14" t="e">
        <v>#N/A</v>
      </c>
      <c r="Q516" s="19" t="s">
        <v>3732</v>
      </c>
      <c r="R516" s="15" t="s">
        <v>3733</v>
      </c>
      <c r="S516" s="15" t="s">
        <v>37</v>
      </c>
      <c r="T516" s="16" t="s">
        <v>38</v>
      </c>
      <c r="U516" s="11" t="str">
        <f>_xlfn.XLOOKUP(Customer[[#This Row],[Customer ID]],[1]!Address[ID],[1]!Address[Phone No.(2)])</f>
        <v/>
      </c>
      <c r="V516" s="11" t="str">
        <f>_xlfn.XLOOKUP(Customer[[#This Row],[Customer ID]],[1]!Address[ID],[1]!Address[Type])</f>
        <v>PETROMART</v>
      </c>
      <c r="W516" s="11" t="str">
        <f>_xlfn.XLOOKUP(Customer[[#This Row],[Customer ID]],[1]!Address[ID],[1]!Address[CT])</f>
        <v>30 DAYS</v>
      </c>
      <c r="X516" s="11" t="s">
        <v>39</v>
      </c>
      <c r="Y516" s="17" t="s">
        <v>40</v>
      </c>
      <c r="Z516" s="17" t="e">
        <f>_xlfn.XLOOKUP(Customer[[#This Row],[NewType]],$AF$36:$AF$54,$AG$36:$AG$54)</f>
        <v>#N/A</v>
      </c>
      <c r="AA516" s="17" t="s">
        <v>3734</v>
      </c>
      <c r="AB516" s="11" t="str">
        <f>_xlfn.XLOOKUP(Customer[[#This Row],[Customer ID]],[1]!Address[ID],[1]!Address[Subtype])</f>
        <v>PETRONAS</v>
      </c>
      <c r="AC516" s="18" t="str">
        <f>_xlfn.XLOOKUP(Customer[[#This Row],[Customer ID]],[1]!Address[ID],[1]!Address[Zone])</f>
        <v>NORTH</v>
      </c>
    </row>
    <row r="517" spans="1:29" x14ac:dyDescent="0.3">
      <c r="A517" s="10" t="s">
        <v>3735</v>
      </c>
      <c r="B517" s="11" t="str">
        <f>_xlfn.XLOOKUP(Customer[[#This Row],[Customer ID]],[1]!Name[ID],[1]!Name[Description(1)])</f>
        <v>PCS BATU PAHAT</v>
      </c>
      <c r="C517" s="11" t="str">
        <f>_xlfn.XLOOKUP(Customer[[#This Row],[Customer ID]],[1]!Name[ID],[1]!Name[Description(2)])</f>
        <v>PS PARIT BINTANG</v>
      </c>
      <c r="D517" s="11" t="str">
        <f>_xlfn.XLOOKUP(Customer[[#This Row],[Customer ID]],[1]!Address[ID],[1]!Address[PIC])</f>
        <v/>
      </c>
      <c r="E517" s="11" t="str">
        <f>_xlfn.XLOOKUP(Customer[[#This Row],[Customer ID]],[1]!Address[ID],[1]!Address[Full Address])</f>
        <v>PS PARIT BINTANGLOT PTD 2478, MUKIM PESERAI, JALAN BATUPAHAT-MUAR, JOHOR, 83000, BATU PAHAT,JOHOR</v>
      </c>
      <c r="F517" s="12" t="s">
        <v>3736</v>
      </c>
      <c r="G517" s="12" t="s">
        <v>3737</v>
      </c>
      <c r="H517" s="12" t="s">
        <v>3738</v>
      </c>
      <c r="I517" s="12" t="b">
        <f>ISNUMBER(VALUE(LEFT(Customer[[#This Row],[Address Line 3 (30 char)]],1)))</f>
        <v>0</v>
      </c>
      <c r="J517" s="12" t="s">
        <v>52</v>
      </c>
      <c r="K517" s="12">
        <v>83000</v>
      </c>
      <c r="L517" s="12" t="s">
        <v>35</v>
      </c>
      <c r="M517" s="13" t="e">
        <v>#N/A</v>
      </c>
      <c r="N517" s="14" t="e">
        <v>#N/A</v>
      </c>
      <c r="O517" s="14" t="e">
        <v>#N/A</v>
      </c>
      <c r="P517" s="14" t="e">
        <v>#N/A</v>
      </c>
      <c r="Q517" s="19" t="s">
        <v>3739</v>
      </c>
      <c r="R517" s="15" t="s">
        <v>3740</v>
      </c>
      <c r="S517" s="15" t="s">
        <v>37</v>
      </c>
      <c r="T517" s="16" t="s">
        <v>38</v>
      </c>
      <c r="U517" s="11" t="str">
        <f>_xlfn.XLOOKUP(Customer[[#This Row],[Customer ID]],[1]!Address[ID],[1]!Address[Phone No.(2)])</f>
        <v/>
      </c>
      <c r="V517" s="11" t="str">
        <f>_xlfn.XLOOKUP(Customer[[#This Row],[Customer ID]],[1]!Address[ID],[1]!Address[Type])</f>
        <v>PETROMART</v>
      </c>
      <c r="W517" s="11" t="str">
        <f>_xlfn.XLOOKUP(Customer[[#This Row],[Customer ID]],[1]!Address[ID],[1]!Address[CT])</f>
        <v>30 DAYS</v>
      </c>
      <c r="X517" s="11" t="s">
        <v>39</v>
      </c>
      <c r="Y517" s="17" t="s">
        <v>40</v>
      </c>
      <c r="Z517" s="17" t="e">
        <f>_xlfn.XLOOKUP(Customer[[#This Row],[NewType]],$AF$36:$AF$54,$AG$36:$AG$54)</f>
        <v>#N/A</v>
      </c>
      <c r="AA517" s="17" t="s">
        <v>3741</v>
      </c>
      <c r="AB517" s="11" t="str">
        <f>_xlfn.XLOOKUP(Customer[[#This Row],[Customer ID]],[1]!Address[ID],[1]!Address[Subtype])</f>
        <v>PETRONAS</v>
      </c>
      <c r="AC517" s="18" t="str">
        <f>_xlfn.XLOOKUP(Customer[[#This Row],[Customer ID]],[1]!Address[ID],[1]!Address[Zone])</f>
        <v>SOUTH</v>
      </c>
    </row>
    <row r="518" spans="1:29" x14ac:dyDescent="0.3">
      <c r="A518" s="10" t="s">
        <v>3742</v>
      </c>
      <c r="B518" s="11" t="str">
        <f>_xlfn.XLOOKUP(Customer[[#This Row],[Customer ID]],[1]!Name[ID],[1]!Name[Description(1)])</f>
        <v>STESEN MINYAK CENDERAWASIH</v>
      </c>
      <c r="C518" s="11" t="str">
        <f>_xlfn.XLOOKUP(Customer[[#This Row],[Customer ID]],[1]!Name[ID],[1]!Name[Description(2)])</f>
        <v>PS PARIT BUNTAR</v>
      </c>
      <c r="D518" s="11" t="str">
        <f>_xlfn.XLOOKUP(Customer[[#This Row],[Customer ID]],[1]!Address[ID],[1]!Address[PIC])</f>
        <v/>
      </c>
      <c r="E518" s="11" t="str">
        <f>_xlfn.XLOOKUP(Customer[[#This Row],[Customer ID]],[1]!Address[ID],[1]!Address[Full Address])</f>
        <v>PS PARIT BUNTARLOT 126, DAERAH KERIAN, KAWASANPERUSAHAAN PARIT BUNTAR, PARIT BUNTAR,34200 PERAK</v>
      </c>
      <c r="F518" s="12" t="s">
        <v>3743</v>
      </c>
      <c r="G518" s="12" t="s">
        <v>3744</v>
      </c>
      <c r="H518" s="12" t="s">
        <v>3745</v>
      </c>
      <c r="I518" s="12" t="b">
        <f>ISNUMBER(VALUE(LEFT(Customer[[#This Row],[Address Line 3 (30 char)]],1)))</f>
        <v>0</v>
      </c>
      <c r="J518" s="12" t="s">
        <v>387</v>
      </c>
      <c r="K518" s="12">
        <v>34200</v>
      </c>
      <c r="L518" s="12" t="s">
        <v>35</v>
      </c>
      <c r="M518" s="13" t="e">
        <v>#N/A</v>
      </c>
      <c r="N518" s="14" t="e">
        <v>#N/A</v>
      </c>
      <c r="O518" s="14" t="e">
        <v>#N/A</v>
      </c>
      <c r="P518" s="14" t="e">
        <v>#N/A</v>
      </c>
      <c r="Q518" s="19" t="s">
        <v>3746</v>
      </c>
      <c r="R518" s="15" t="s">
        <v>3747</v>
      </c>
      <c r="S518" s="15" t="s">
        <v>37</v>
      </c>
      <c r="T518" s="16" t="s">
        <v>38</v>
      </c>
      <c r="U518" s="11" t="str">
        <f>_xlfn.XLOOKUP(Customer[[#This Row],[Customer ID]],[1]!Address[ID],[1]!Address[Phone No.(2)])</f>
        <v/>
      </c>
      <c r="V518" s="11" t="str">
        <f>_xlfn.XLOOKUP(Customer[[#This Row],[Customer ID]],[1]!Address[ID],[1]!Address[Type])</f>
        <v>PETROMART</v>
      </c>
      <c r="W518" s="11" t="str">
        <f>_xlfn.XLOOKUP(Customer[[#This Row],[Customer ID]],[1]!Address[ID],[1]!Address[CT])</f>
        <v>30 DAYS</v>
      </c>
      <c r="X518" s="11" t="s">
        <v>39</v>
      </c>
      <c r="Y518" s="17" t="s">
        <v>40</v>
      </c>
      <c r="Z518" s="17" t="e">
        <f>_xlfn.XLOOKUP(Customer[[#This Row],[NewType]],$AF$36:$AF$54,$AG$36:$AG$54)</f>
        <v>#N/A</v>
      </c>
      <c r="AA518" s="17" t="s">
        <v>3748</v>
      </c>
      <c r="AB518" s="11" t="str">
        <f>_xlfn.XLOOKUP(Customer[[#This Row],[Customer ID]],[1]!Address[ID],[1]!Address[Subtype])</f>
        <v>PETRONAS</v>
      </c>
      <c r="AC518" s="18" t="str">
        <f>_xlfn.XLOOKUP(Customer[[#This Row],[Customer ID]],[1]!Address[ID],[1]!Address[Zone])</f>
        <v>NORTH</v>
      </c>
    </row>
    <row r="519" spans="1:29" x14ac:dyDescent="0.3">
      <c r="A519" s="10" t="s">
        <v>3749</v>
      </c>
      <c r="B519" s="11" t="str">
        <f>_xlfn.XLOOKUP(Customer[[#This Row],[Customer ID]],[1]!Name[ID],[1]!Name[Description(1)])</f>
        <v>STESEN MINYAK SELAMAT</v>
      </c>
      <c r="C519" s="11" t="str">
        <f>_xlfn.XLOOKUP(Customer[[#This Row],[Customer ID]],[1]!Name[ID],[1]!Name[Description(2)])</f>
        <v>PS PARIT RAJA</v>
      </c>
      <c r="D519" s="11" t="str">
        <f>_xlfn.XLOOKUP(Customer[[#This Row],[Customer ID]],[1]!Address[ID],[1]!Address[PIC])</f>
        <v/>
      </c>
      <c r="E519" s="11" t="str">
        <f>_xlfn.XLOOKUP(Customer[[#This Row],[Customer ID]],[1]!Address[ID],[1]!Address[Full Address])</f>
        <v>PS PARIT RAJALOT 6595, MUKIM SRI GADING,JALAN KLUANG,PARIT RAJA,  86400, BATU PAHAT, JOHOR</v>
      </c>
      <c r="F519" s="12" t="s">
        <v>3750</v>
      </c>
      <c r="G519" s="12" t="s">
        <v>3751</v>
      </c>
      <c r="H519" s="12" t="s">
        <v>3752</v>
      </c>
      <c r="I519" s="12" t="b">
        <f>ISNUMBER(VALUE(LEFT(Customer[[#This Row],[Address Line 3 (30 char)]],1)))</f>
        <v>0</v>
      </c>
      <c r="J519" s="12" t="s">
        <v>52</v>
      </c>
      <c r="K519" s="12">
        <v>86400</v>
      </c>
      <c r="L519" s="12" t="s">
        <v>35</v>
      </c>
      <c r="M519" s="13" t="e">
        <v>#N/A</v>
      </c>
      <c r="N519" s="14" t="e">
        <v>#N/A</v>
      </c>
      <c r="O519" s="14" t="e">
        <v>#N/A</v>
      </c>
      <c r="P519" s="14" t="e">
        <v>#N/A</v>
      </c>
      <c r="Q519" s="19" t="s">
        <v>3753</v>
      </c>
      <c r="R519" s="15" t="s">
        <v>3754</v>
      </c>
      <c r="S519" s="15" t="s">
        <v>37</v>
      </c>
      <c r="T519" s="16" t="s">
        <v>38</v>
      </c>
      <c r="U519" s="11" t="str">
        <f>_xlfn.XLOOKUP(Customer[[#This Row],[Customer ID]],[1]!Address[ID],[1]!Address[Phone No.(2)])</f>
        <v/>
      </c>
      <c r="V519" s="11" t="str">
        <f>_xlfn.XLOOKUP(Customer[[#This Row],[Customer ID]],[1]!Address[ID],[1]!Address[Type])</f>
        <v>PETROMART</v>
      </c>
      <c r="W519" s="11" t="str">
        <f>_xlfn.XLOOKUP(Customer[[#This Row],[Customer ID]],[1]!Address[ID],[1]!Address[CT])</f>
        <v>30 DAYS</v>
      </c>
      <c r="X519" s="11" t="s">
        <v>39</v>
      </c>
      <c r="Y519" s="17" t="s">
        <v>40</v>
      </c>
      <c r="Z519" s="17" t="e">
        <f>_xlfn.XLOOKUP(Customer[[#This Row],[NewType]],$AF$36:$AF$54,$AG$36:$AG$54)</f>
        <v>#N/A</v>
      </c>
      <c r="AA519" s="17" t="s">
        <v>3755</v>
      </c>
      <c r="AB519" s="11" t="str">
        <f>_xlfn.XLOOKUP(Customer[[#This Row],[Customer ID]],[1]!Address[ID],[1]!Address[Subtype])</f>
        <v>PETRONAS</v>
      </c>
      <c r="AC519" s="18" t="str">
        <f>_xlfn.XLOOKUP(Customer[[#This Row],[Customer ID]],[1]!Address[ID],[1]!Address[Zone])</f>
        <v>SOUTH</v>
      </c>
    </row>
    <row r="520" spans="1:29" x14ac:dyDescent="0.3">
      <c r="A520" s="10" t="s">
        <v>3756</v>
      </c>
      <c r="B520" s="11" t="str">
        <f>_xlfn.XLOOKUP(Customer[[#This Row],[Customer ID]],[1]!Name[ID],[1]!Name[Description(1)])</f>
        <v>FALAH ISLAHI ENTERPRISE</v>
      </c>
      <c r="C520" s="11" t="str">
        <f>_xlfn.XLOOKUP(Customer[[#This Row],[Customer ID]],[1]!Name[ID],[1]!Name[Description(2)])</f>
        <v>PS PARIT SULONG</v>
      </c>
      <c r="D520" s="11" t="str">
        <f>_xlfn.XLOOKUP(Customer[[#This Row],[Customer ID]],[1]!Address[ID],[1]!Address[PIC])</f>
        <v/>
      </c>
      <c r="E520" s="11" t="str">
        <f>_xlfn.XLOOKUP(Customer[[#This Row],[Customer ID]],[1]!Address[ID],[1]!Address[Full Address])</f>
        <v>PS PARIT SULONGLOT 94, PEKAN PARIT SULONG, BATU PAHAT,JOHOR, 83500, BATU PAHAT, JOHOR</v>
      </c>
      <c r="F520" s="12" t="s">
        <v>3757</v>
      </c>
      <c r="G520" s="12" t="s">
        <v>3758</v>
      </c>
      <c r="H520" s="12"/>
      <c r="I520" s="12" t="b">
        <f>ISNUMBER(VALUE(LEFT(Customer[[#This Row],[Address Line 3 (30 char)]],1)))</f>
        <v>0</v>
      </c>
      <c r="J520" s="12" t="s">
        <v>52</v>
      </c>
      <c r="K520" s="12">
        <v>83500</v>
      </c>
      <c r="L520" s="12" t="s">
        <v>35</v>
      </c>
      <c r="M520" s="13" t="e">
        <v>#N/A</v>
      </c>
      <c r="N520" s="14" t="e">
        <v>#N/A</v>
      </c>
      <c r="O520" s="14" t="e">
        <v>#N/A</v>
      </c>
      <c r="P520" s="14" t="e">
        <v>#N/A</v>
      </c>
      <c r="Q520" s="19" t="s">
        <v>3759</v>
      </c>
      <c r="R520" s="15" t="s">
        <v>3760</v>
      </c>
      <c r="S520" s="15" t="s">
        <v>37</v>
      </c>
      <c r="T520" s="16" t="s">
        <v>38</v>
      </c>
      <c r="U520" s="11" t="str">
        <f>_xlfn.XLOOKUP(Customer[[#This Row],[Customer ID]],[1]!Address[ID],[1]!Address[Phone No.(2)])</f>
        <v/>
      </c>
      <c r="V520" s="11" t="str">
        <f>_xlfn.XLOOKUP(Customer[[#This Row],[Customer ID]],[1]!Address[ID],[1]!Address[Type])</f>
        <v>PETROMART</v>
      </c>
      <c r="W520" s="11" t="str">
        <f>_xlfn.XLOOKUP(Customer[[#This Row],[Customer ID]],[1]!Address[ID],[1]!Address[CT])</f>
        <v>30 DAYS</v>
      </c>
      <c r="X520" s="11" t="s">
        <v>39</v>
      </c>
      <c r="Y520" s="17" t="s">
        <v>40</v>
      </c>
      <c r="Z520" s="17" t="e">
        <f>_xlfn.XLOOKUP(Customer[[#This Row],[NewType]],$AF$36:$AF$54,$AG$36:$AG$54)</f>
        <v>#N/A</v>
      </c>
      <c r="AA520" s="17" t="s">
        <v>3761</v>
      </c>
      <c r="AB520" s="11" t="str">
        <f>_xlfn.XLOOKUP(Customer[[#This Row],[Customer ID]],[1]!Address[ID],[1]!Address[Subtype])</f>
        <v>PETRONAS</v>
      </c>
      <c r="AC520" s="18" t="str">
        <f>_xlfn.XLOOKUP(Customer[[#This Row],[Customer ID]],[1]!Address[ID],[1]!Address[Zone])</f>
        <v>SOUTH</v>
      </c>
    </row>
    <row r="521" spans="1:29" x14ac:dyDescent="0.3">
      <c r="A521" s="10" t="s">
        <v>3762</v>
      </c>
      <c r="B521" s="11" t="str">
        <f>_xlfn.XLOOKUP(Customer[[#This Row],[Customer ID]],[1]!Name[ID],[1]!Name[Description(1)])</f>
        <v>RUMPUN UTAMA SUPERKIOSK</v>
      </c>
      <c r="C521" s="11" t="str">
        <f>_xlfn.XLOOKUP(Customer[[#This Row],[Customer ID]],[1]!Name[ID],[1]!Name[Description(2)])</f>
        <v>PS PARIT YAANI</v>
      </c>
      <c r="D521" s="11" t="str">
        <f>_xlfn.XLOOKUP(Customer[[#This Row],[Customer ID]],[1]!Address[ID],[1]!Address[PIC])</f>
        <v/>
      </c>
      <c r="E521" s="11" t="str">
        <f>_xlfn.XLOOKUP(Customer[[#This Row],[Customer ID]],[1]!Address[ID],[1]!Address[Full Address])</f>
        <v>PS PARIT YAANILOT MLO 8028, MUKIM TANJUNG SEMBERONG,PARIT YAANI, JOHOR, 83710, BATU PAHAT,JOHOR</v>
      </c>
      <c r="F521" s="12" t="s">
        <v>3763</v>
      </c>
      <c r="G521" s="12" t="s">
        <v>3764</v>
      </c>
      <c r="H521" s="12" t="s">
        <v>3765</v>
      </c>
      <c r="I521" s="12" t="b">
        <f>ISNUMBER(VALUE(LEFT(Customer[[#This Row],[Address Line 3 (30 char)]],1)))</f>
        <v>0</v>
      </c>
      <c r="J521" s="12" t="s">
        <v>52</v>
      </c>
      <c r="K521" s="12">
        <v>83710</v>
      </c>
      <c r="L521" s="12" t="s">
        <v>35</v>
      </c>
      <c r="M521" s="13">
        <v>200503069972</v>
      </c>
      <c r="N521" s="14" t="s">
        <v>3766</v>
      </c>
      <c r="O521" s="14" t="e">
        <v>#N/A</v>
      </c>
      <c r="P521" s="14" t="e">
        <v>#N/A</v>
      </c>
      <c r="Q521" s="19" t="s">
        <v>3767</v>
      </c>
      <c r="R521" s="15" t="s">
        <v>3768</v>
      </c>
      <c r="S521" s="15" t="s">
        <v>37</v>
      </c>
      <c r="T521" s="16" t="s">
        <v>38</v>
      </c>
      <c r="U521" s="11" t="str">
        <f>_xlfn.XLOOKUP(Customer[[#This Row],[Customer ID]],[1]!Address[ID],[1]!Address[Phone No.(2)])</f>
        <v/>
      </c>
      <c r="V521" s="11" t="str">
        <f>_xlfn.XLOOKUP(Customer[[#This Row],[Customer ID]],[1]!Address[ID],[1]!Address[Type])</f>
        <v>PETROMART</v>
      </c>
      <c r="W521" s="11" t="str">
        <f>_xlfn.XLOOKUP(Customer[[#This Row],[Customer ID]],[1]!Address[ID],[1]!Address[CT])</f>
        <v>30 DAYS</v>
      </c>
      <c r="X521" s="11" t="s">
        <v>39</v>
      </c>
      <c r="Y521" s="17" t="s">
        <v>40</v>
      </c>
      <c r="Z521" s="17" t="e">
        <f>_xlfn.XLOOKUP(Customer[[#This Row],[NewType]],$AF$36:$AF$54,$AG$36:$AG$54)</f>
        <v>#N/A</v>
      </c>
      <c r="AA521" s="17" t="s">
        <v>3769</v>
      </c>
      <c r="AB521" s="11" t="str">
        <f>_xlfn.XLOOKUP(Customer[[#This Row],[Customer ID]],[1]!Address[ID],[1]!Address[Subtype])</f>
        <v>PETRONAS</v>
      </c>
      <c r="AC521" s="18" t="str">
        <f>_xlfn.XLOOKUP(Customer[[#This Row],[Customer ID]],[1]!Address[ID],[1]!Address[Zone])</f>
        <v>SOUTH</v>
      </c>
    </row>
    <row r="522" spans="1:29" x14ac:dyDescent="0.3">
      <c r="A522" s="10" t="s">
        <v>3770</v>
      </c>
      <c r="B522" s="11" t="str">
        <f>_xlfn.XLOOKUP(Customer[[#This Row],[Customer ID]],[1]!Name[ID],[1]!Name[Description(1)])</f>
        <v>AINISH QAISARA RESOURCES</v>
      </c>
      <c r="C522" s="11" t="str">
        <f>_xlfn.XLOOKUP(Customer[[#This Row],[Customer ID]],[1]!Name[ID],[1]!Name[Description(2)])</f>
        <v>PS PASIR GUDANG</v>
      </c>
      <c r="D522" s="11" t="str">
        <f>_xlfn.XLOOKUP(Customer[[#This Row],[Customer ID]],[1]!Address[ID],[1]!Address[PIC])</f>
        <v/>
      </c>
      <c r="E522" s="11" t="str">
        <f>_xlfn.XLOOKUP(Customer[[#This Row],[Customer ID]],[1]!Address[ID],[1]!Address[Full Address])</f>
        <v>PS PASIR GUDANGLOT PLO 305, JLN GANGSA, PASIR GUDANG,JOHOR, 81700, JOHOR BAHRU, JOHOR</v>
      </c>
      <c r="F522" s="12" t="s">
        <v>3771</v>
      </c>
      <c r="G522" s="12" t="s">
        <v>3772</v>
      </c>
      <c r="H522" s="12" t="s">
        <v>1155</v>
      </c>
      <c r="I522" s="12" t="b">
        <f>ISNUMBER(VALUE(LEFT(Customer[[#This Row],[Address Line 3 (30 char)]],1)))</f>
        <v>0</v>
      </c>
      <c r="J522" s="12" t="s">
        <v>52</v>
      </c>
      <c r="K522" s="12">
        <v>81700</v>
      </c>
      <c r="L522" s="12" t="s">
        <v>35</v>
      </c>
      <c r="M522" s="13" t="e">
        <v>#N/A</v>
      </c>
      <c r="N522" s="14" t="e">
        <v>#N/A</v>
      </c>
      <c r="O522" s="14" t="e">
        <v>#N/A</v>
      </c>
      <c r="P522" s="14" t="e">
        <v>#N/A</v>
      </c>
      <c r="Q522" s="19" t="s">
        <v>3773</v>
      </c>
      <c r="R522" s="15" t="s">
        <v>3774</v>
      </c>
      <c r="S522" s="15" t="s">
        <v>37</v>
      </c>
      <c r="T522" s="16" t="s">
        <v>38</v>
      </c>
      <c r="U522" s="11" t="str">
        <f>_xlfn.XLOOKUP(Customer[[#This Row],[Customer ID]],[1]!Address[ID],[1]!Address[Phone No.(2)])</f>
        <v/>
      </c>
      <c r="V522" s="11" t="str">
        <f>_xlfn.XLOOKUP(Customer[[#This Row],[Customer ID]],[1]!Address[ID],[1]!Address[Type])</f>
        <v>PETROMART</v>
      </c>
      <c r="W522" s="11" t="str">
        <f>_xlfn.XLOOKUP(Customer[[#This Row],[Customer ID]],[1]!Address[ID],[1]!Address[CT])</f>
        <v>30 DAYS</v>
      </c>
      <c r="X522" s="11" t="s">
        <v>39</v>
      </c>
      <c r="Y522" s="17" t="s">
        <v>40</v>
      </c>
      <c r="Z522" s="17" t="e">
        <f>_xlfn.XLOOKUP(Customer[[#This Row],[NewType]],$AF$36:$AF$54,$AG$36:$AG$54)</f>
        <v>#N/A</v>
      </c>
      <c r="AA522" s="17" t="s">
        <v>3775</v>
      </c>
      <c r="AB522" s="11" t="str">
        <f>_xlfn.XLOOKUP(Customer[[#This Row],[Customer ID]],[1]!Address[ID],[1]!Address[Subtype])</f>
        <v>PETRONAS</v>
      </c>
      <c r="AC522" s="18" t="str">
        <f>_xlfn.XLOOKUP(Customer[[#This Row],[Customer ID]],[1]!Address[ID],[1]!Address[Zone])</f>
        <v>SOUTH</v>
      </c>
    </row>
    <row r="523" spans="1:29" x14ac:dyDescent="0.3">
      <c r="A523" s="10" t="s">
        <v>3776</v>
      </c>
      <c r="B523" s="11" t="str">
        <f>_xlfn.XLOOKUP(Customer[[#This Row],[Customer ID]],[1]!Name[ID],[1]!Name[Description(1)])</f>
        <v>KOPERASI KELUARGA NIK SALLEH</v>
      </c>
      <c r="C523" s="11" t="str">
        <f>_xlfn.XLOOKUP(Customer[[#This Row],[Customer ID]],[1]!Name[ID],[1]!Name[Description(2)])</f>
        <v>PS PASIR PEKAN</v>
      </c>
      <c r="D523" s="11" t="str">
        <f>_xlfn.XLOOKUP(Customer[[#This Row],[Customer ID]],[1]!Address[ID],[1]!Address[PIC])</f>
        <v/>
      </c>
      <c r="E523" s="11" t="str">
        <f>_xlfn.XLOOKUP(Customer[[#This Row],[Customer ID]],[1]!Address[ID],[1]!Address[Full Address])</f>
        <v>PS PASIR PEKANLOT 1748, BATU 2 1/2, JALAN PASIR PEKAN,WAKAF BHARU, 16250,TUMPAT,KELANTAN</v>
      </c>
      <c r="F523" s="12" t="s">
        <v>3777</v>
      </c>
      <c r="G523" s="12" t="s">
        <v>3778</v>
      </c>
      <c r="H523" s="12" t="s">
        <v>3779</v>
      </c>
      <c r="I523" s="12" t="b">
        <f>ISNUMBER(VALUE(LEFT(Customer[[#This Row],[Address Line 3 (30 char)]],1)))</f>
        <v>0</v>
      </c>
      <c r="J523" s="12" t="s">
        <v>1007</v>
      </c>
      <c r="K523" s="12">
        <v>16250</v>
      </c>
      <c r="L523" s="12" t="s">
        <v>35</v>
      </c>
      <c r="M523" s="13" t="e">
        <v>#N/A</v>
      </c>
      <c r="N523" s="14" t="e">
        <v>#N/A</v>
      </c>
      <c r="O523" s="14" t="e">
        <v>#N/A</v>
      </c>
      <c r="P523" s="14" t="e">
        <v>#N/A</v>
      </c>
      <c r="Q523" s="19" t="s">
        <v>3780</v>
      </c>
      <c r="R523" s="15" t="s">
        <v>3781</v>
      </c>
      <c r="S523" s="15" t="s">
        <v>37</v>
      </c>
      <c r="T523" s="16" t="s">
        <v>38</v>
      </c>
      <c r="U523" s="11" t="str">
        <f>_xlfn.XLOOKUP(Customer[[#This Row],[Customer ID]],[1]!Address[ID],[1]!Address[Phone No.(2)])</f>
        <v/>
      </c>
      <c r="V523" s="11" t="str">
        <f>_xlfn.XLOOKUP(Customer[[#This Row],[Customer ID]],[1]!Address[ID],[1]!Address[Type])</f>
        <v>PETROMART</v>
      </c>
      <c r="W523" s="11" t="str">
        <f>_xlfn.XLOOKUP(Customer[[#This Row],[Customer ID]],[1]!Address[ID],[1]!Address[CT])</f>
        <v>30 DAYS</v>
      </c>
      <c r="X523" s="11" t="s">
        <v>39</v>
      </c>
      <c r="Y523" s="17" t="s">
        <v>40</v>
      </c>
      <c r="Z523" s="17" t="e">
        <f>_xlfn.XLOOKUP(Customer[[#This Row],[NewType]],$AF$36:$AF$54,$AG$36:$AG$54)</f>
        <v>#N/A</v>
      </c>
      <c r="AA523" s="17" t="s">
        <v>3782</v>
      </c>
      <c r="AB523" s="11" t="str">
        <f>_xlfn.XLOOKUP(Customer[[#This Row],[Customer ID]],[1]!Address[ID],[1]!Address[Subtype])</f>
        <v>PETRONAS</v>
      </c>
      <c r="AC523" s="18" t="str">
        <f>_xlfn.XLOOKUP(Customer[[#This Row],[Customer ID]],[1]!Address[ID],[1]!Address[Zone])</f>
        <v>EAST COAST</v>
      </c>
    </row>
    <row r="524" spans="1:29" x14ac:dyDescent="0.3">
      <c r="A524" s="10" t="s">
        <v>3783</v>
      </c>
      <c r="B524" s="11" t="str">
        <f>_xlfn.XLOOKUP(Customer[[#This Row],[Customer ID]],[1]!Name[ID],[1]!Name[Description(1)])</f>
        <v>MORNINGSPHERE SDN BHD</v>
      </c>
      <c r="C524" s="11" t="str">
        <f>_xlfn.XLOOKUP(Customer[[#This Row],[Customer ID]],[1]!Name[ID],[1]!Name[Description(2)])</f>
        <v>PS PASIR PEKAN HILIR</v>
      </c>
      <c r="D524" s="11" t="str">
        <f>_xlfn.XLOOKUP(Customer[[#This Row],[Customer ID]],[1]!Address[ID],[1]!Address[PIC])</f>
        <v/>
      </c>
      <c r="E524" s="11" t="str">
        <f>_xlfn.XLOOKUP(Customer[[#This Row],[Customer ID]],[1]!Address[ID],[1]!Address[Full Address])</f>
        <v>PS PASIR PEKAN HILIRPT 3685, JALAN BESAR PASIR PEKAN, , 1625TUMPAT, KELANTAN</v>
      </c>
      <c r="F524" s="12" t="s">
        <v>3784</v>
      </c>
      <c r="G524" s="12" t="s">
        <v>3785</v>
      </c>
      <c r="H524" s="12" t="s">
        <v>3786</v>
      </c>
      <c r="I524" s="12" t="b">
        <f>ISNUMBER(VALUE(LEFT(Customer[[#This Row],[Address Line 3 (30 char)]],1)))</f>
        <v>0</v>
      </c>
      <c r="J524" s="12" t="s">
        <v>1007</v>
      </c>
      <c r="K524" s="12">
        <v>16250</v>
      </c>
      <c r="L524" s="12" t="s">
        <v>35</v>
      </c>
      <c r="M524" s="13" t="e">
        <v>#N/A</v>
      </c>
      <c r="N524" s="14" t="e">
        <v>#N/A</v>
      </c>
      <c r="O524" s="14" t="e">
        <v>#N/A</v>
      </c>
      <c r="P524" s="14" t="e">
        <v>#N/A</v>
      </c>
      <c r="Q524" s="19" t="s">
        <v>3787</v>
      </c>
      <c r="R524" s="15" t="s">
        <v>3788</v>
      </c>
      <c r="S524" s="15" t="s">
        <v>37</v>
      </c>
      <c r="T524" s="16" t="s">
        <v>38</v>
      </c>
      <c r="U524" s="11" t="str">
        <f>_xlfn.XLOOKUP(Customer[[#This Row],[Customer ID]],[1]!Address[ID],[1]!Address[Phone No.(2)])</f>
        <v/>
      </c>
      <c r="V524" s="11" t="str">
        <f>_xlfn.XLOOKUP(Customer[[#This Row],[Customer ID]],[1]!Address[ID],[1]!Address[Type])</f>
        <v>PETROMART</v>
      </c>
      <c r="W524" s="11" t="str">
        <f>_xlfn.XLOOKUP(Customer[[#This Row],[Customer ID]],[1]!Address[ID],[1]!Address[CT])</f>
        <v>30 DAYS</v>
      </c>
      <c r="X524" s="11" t="s">
        <v>39</v>
      </c>
      <c r="Y524" s="17" t="s">
        <v>40</v>
      </c>
      <c r="Z524" s="17" t="e">
        <f>_xlfn.XLOOKUP(Customer[[#This Row],[NewType]],$AF$36:$AF$54,$AG$36:$AG$54)</f>
        <v>#N/A</v>
      </c>
      <c r="AA524" s="17" t="s">
        <v>3789</v>
      </c>
      <c r="AB524" s="11" t="str">
        <f>_xlfn.XLOOKUP(Customer[[#This Row],[Customer ID]],[1]!Address[ID],[1]!Address[Subtype])</f>
        <v>PETRONAS</v>
      </c>
      <c r="AC524" s="18" t="str">
        <f>_xlfn.XLOOKUP(Customer[[#This Row],[Customer ID]],[1]!Address[ID],[1]!Address[Zone])</f>
        <v>EAST COAST</v>
      </c>
    </row>
    <row r="525" spans="1:29" x14ac:dyDescent="0.3">
      <c r="A525" s="10" t="s">
        <v>3790</v>
      </c>
      <c r="B525" s="11" t="str">
        <f>_xlfn.XLOOKUP(Customer[[#This Row],[Customer ID]],[1]!Name[ID],[1]!Name[Description(1)])</f>
        <v>7 HEAVEN EMPIRE</v>
      </c>
      <c r="C525" s="11" t="str">
        <f>_xlfn.XLOOKUP(Customer[[#This Row],[Customer ID]],[1]!Name[ID],[1]!Name[Description(2)])</f>
        <v>PS PASIR PENAMBANG</v>
      </c>
      <c r="D525" s="11" t="str">
        <f>_xlfn.XLOOKUP(Customer[[#This Row],[Customer ID]],[1]!Address[ID],[1]!Address[PIC])</f>
        <v/>
      </c>
      <c r="E525" s="11" t="str">
        <f>_xlfn.XLOOKUP(Customer[[#This Row],[Customer ID]],[1]!Address[ID],[1]!Address[Full Address])</f>
        <v>PS PASIR PENAMBANGNO 2, JALAN PENINSULA NIAGA 5,PENINSULA PARK,45000 KUALA SELANGOR,</v>
      </c>
      <c r="F525" s="12" t="s">
        <v>3791</v>
      </c>
      <c r="G525" s="12" t="s">
        <v>3792</v>
      </c>
      <c r="H525" s="12" t="s">
        <v>3793</v>
      </c>
      <c r="I525" s="12" t="b">
        <f>ISNUMBER(VALUE(LEFT(Customer[[#This Row],[Address Line 3 (30 char)]],1)))</f>
        <v>0</v>
      </c>
      <c r="J525" s="12" t="s">
        <v>172</v>
      </c>
      <c r="K525" s="12">
        <v>45000</v>
      </c>
      <c r="L525" s="12" t="s">
        <v>35</v>
      </c>
      <c r="M525" s="13">
        <v>201803381113</v>
      </c>
      <c r="N525" s="14" t="s">
        <v>3794</v>
      </c>
      <c r="O525" s="14" t="e">
        <v>#N/A</v>
      </c>
      <c r="P525" s="14" t="e">
        <v>#N/A</v>
      </c>
      <c r="Q525" s="19" t="s">
        <v>3795</v>
      </c>
      <c r="R525" s="15" t="s">
        <v>3796</v>
      </c>
      <c r="S525" s="15" t="s">
        <v>37</v>
      </c>
      <c r="T525" s="16" t="s">
        <v>38</v>
      </c>
      <c r="U525" s="11" t="str">
        <f>_xlfn.XLOOKUP(Customer[[#This Row],[Customer ID]],[1]!Address[ID],[1]!Address[Phone No.(2)])</f>
        <v/>
      </c>
      <c r="V525" s="11" t="str">
        <f>_xlfn.XLOOKUP(Customer[[#This Row],[Customer ID]],[1]!Address[ID],[1]!Address[Type])</f>
        <v>PETROMART</v>
      </c>
      <c r="W525" s="11" t="str">
        <f>_xlfn.XLOOKUP(Customer[[#This Row],[Customer ID]],[1]!Address[ID],[1]!Address[CT])</f>
        <v>30 DAYS</v>
      </c>
      <c r="X525" s="11" t="s">
        <v>39</v>
      </c>
      <c r="Y525" s="17" t="s">
        <v>40</v>
      </c>
      <c r="Z525" s="17" t="e">
        <f>_xlfn.XLOOKUP(Customer[[#This Row],[NewType]],$AF$36:$AF$54,$AG$36:$AG$54)</f>
        <v>#N/A</v>
      </c>
      <c r="AA525" s="17" t="s">
        <v>3797</v>
      </c>
      <c r="AB525" s="11" t="str">
        <f>_xlfn.XLOOKUP(Customer[[#This Row],[Customer ID]],[1]!Address[ID],[1]!Address[Subtype])</f>
        <v>PETRONAS</v>
      </c>
      <c r="AC525" s="18" t="str">
        <f>_xlfn.XLOOKUP(Customer[[#This Row],[Customer ID]],[1]!Address[ID],[1]!Address[Zone])</f>
        <v>CENTRAL</v>
      </c>
    </row>
    <row r="526" spans="1:29" x14ac:dyDescent="0.3">
      <c r="A526" s="10" t="s">
        <v>3798</v>
      </c>
      <c r="B526" s="11" t="str">
        <f>_xlfn.XLOOKUP(Customer[[#This Row],[Customer ID]],[1]!Name[ID],[1]!Name[Description(1)])</f>
        <v>PASIR PUTEH LIMBONGAN PETROL</v>
      </c>
      <c r="C526" s="11" t="str">
        <f>_xlfn.XLOOKUP(Customer[[#This Row],[Customer ID]],[1]!Name[ID],[1]!Name[Description(2)])</f>
        <v>PS PASIR PUTEH, LIMBONGAN / KG DALAM HUM</v>
      </c>
      <c r="D526" s="11" t="str">
        <f>_xlfn.XLOOKUP(Customer[[#This Row],[Customer ID]],[1]!Address[ID],[1]!Address[PIC])</f>
        <v/>
      </c>
      <c r="E526" s="11" t="str">
        <f>_xlfn.XLOOKUP(Customer[[#This Row],[Customer ID]],[1]!Address[ID],[1]!Address[Full Address])</f>
        <v>PS PASIR PUTEH, LIMBONGAN / KG DALAM HUMLOT 2682, MUKIM PASIR PUTEH, LIMBONGAN,PASIR PUTEH, KELANTAN, 16800,</v>
      </c>
      <c r="F526" s="12" t="s">
        <v>3799</v>
      </c>
      <c r="G526" s="12" t="s">
        <v>3800</v>
      </c>
      <c r="H526" s="12" t="s">
        <v>3801</v>
      </c>
      <c r="I526" s="12" t="b">
        <f>ISNUMBER(VALUE(LEFT(Customer[[#This Row],[Address Line 3 (30 char)]],1)))</f>
        <v>0</v>
      </c>
      <c r="J526" s="12" t="s">
        <v>1007</v>
      </c>
      <c r="K526" s="12">
        <v>16800</v>
      </c>
      <c r="L526" s="12" t="s">
        <v>35</v>
      </c>
      <c r="M526" s="13" t="e">
        <v>#N/A</v>
      </c>
      <c r="N526" s="14" t="e">
        <v>#N/A</v>
      </c>
      <c r="O526" s="14" t="e">
        <v>#N/A</v>
      </c>
      <c r="P526" s="14" t="e">
        <v>#N/A</v>
      </c>
      <c r="Q526" s="19" t="s">
        <v>3802</v>
      </c>
      <c r="R526" s="15" t="s">
        <v>3803</v>
      </c>
      <c r="S526" s="15" t="s">
        <v>37</v>
      </c>
      <c r="T526" s="16" t="s">
        <v>38</v>
      </c>
      <c r="U526" s="11" t="str">
        <f>_xlfn.XLOOKUP(Customer[[#This Row],[Customer ID]],[1]!Address[ID],[1]!Address[Phone No.(2)])</f>
        <v/>
      </c>
      <c r="V526" s="11" t="str">
        <f>_xlfn.XLOOKUP(Customer[[#This Row],[Customer ID]],[1]!Address[ID],[1]!Address[Type])</f>
        <v>PETROMART</v>
      </c>
      <c r="W526" s="11" t="str">
        <f>_xlfn.XLOOKUP(Customer[[#This Row],[Customer ID]],[1]!Address[ID],[1]!Address[CT])</f>
        <v>30 DAYS</v>
      </c>
      <c r="X526" s="11" t="s">
        <v>39</v>
      </c>
      <c r="Y526" s="17" t="s">
        <v>40</v>
      </c>
      <c r="Z526" s="17" t="e">
        <f>_xlfn.XLOOKUP(Customer[[#This Row],[NewType]],$AF$36:$AF$54,$AG$36:$AG$54)</f>
        <v>#N/A</v>
      </c>
      <c r="AA526" s="17" t="s">
        <v>3804</v>
      </c>
      <c r="AB526" s="11" t="str">
        <f>_xlfn.XLOOKUP(Customer[[#This Row],[Customer ID]],[1]!Address[ID],[1]!Address[Subtype])</f>
        <v>PETRONAS</v>
      </c>
      <c r="AC526" s="18" t="str">
        <f>_xlfn.XLOOKUP(Customer[[#This Row],[Customer ID]],[1]!Address[ID],[1]!Address[Zone])</f>
        <v>EAST COAST</v>
      </c>
    </row>
    <row r="527" spans="1:29" x14ac:dyDescent="0.3">
      <c r="A527" s="10" t="s">
        <v>3805</v>
      </c>
      <c r="B527" s="11" t="str">
        <f>_xlfn.XLOOKUP(Customer[[#This Row],[Customer ID]],[1]!Name[ID],[1]!Name[Description(1)])</f>
        <v>NEO STATION SDN BHD</v>
      </c>
      <c r="C527" s="11" t="str">
        <f>_xlfn.XLOOKUP(Customer[[#This Row],[Customer ID]],[1]!Name[ID],[1]!Name[Description(2)])</f>
        <v>PS PASIR PUTIH, PASIR GUDANG</v>
      </c>
      <c r="D527" s="11" t="str">
        <f>_xlfn.XLOOKUP(Customer[[#This Row],[Customer ID]],[1]!Address[ID],[1]!Address[PIC])</f>
        <v/>
      </c>
      <c r="E527" s="11" t="str">
        <f>_xlfn.XLOOKUP(Customer[[#This Row],[Customer ID]],[1]!Address[ID],[1]!Address[Full Address])</f>
        <v>PS PASIR PUTIH, PASIR GUDANGLOT PTB 200695, HS(D) 461341, MUKIMPLENTONG, PASIR GUDANG, 81700JOHOR BAHRU, 81700, JOHOR BAHRU, JOHOR</v>
      </c>
      <c r="F527" s="12" t="s">
        <v>3806</v>
      </c>
      <c r="G527" s="12" t="s">
        <v>3807</v>
      </c>
      <c r="H527" s="12" t="s">
        <v>3808</v>
      </c>
      <c r="I527" s="12" t="b">
        <f>ISNUMBER(VALUE(LEFT(Customer[[#This Row],[Address Line 3 (30 char)]],1)))</f>
        <v>0</v>
      </c>
      <c r="J527" s="12" t="s">
        <v>52</v>
      </c>
      <c r="K527" s="12">
        <v>81700</v>
      </c>
      <c r="L527" s="12" t="s">
        <v>35</v>
      </c>
      <c r="M527" s="13" t="s">
        <v>3809</v>
      </c>
      <c r="N527" s="14" t="s">
        <v>3810</v>
      </c>
      <c r="O527" s="14" t="s">
        <v>54</v>
      </c>
      <c r="P527" s="14">
        <v>47114</v>
      </c>
      <c r="Q527" s="19" t="s">
        <v>3811</v>
      </c>
      <c r="R527" s="15" t="s">
        <v>3812</v>
      </c>
      <c r="S527" s="15" t="s">
        <v>37</v>
      </c>
      <c r="T527" s="16" t="s">
        <v>38</v>
      </c>
      <c r="U527" s="11" t="str">
        <f>_xlfn.XLOOKUP(Customer[[#This Row],[Customer ID]],[1]!Address[ID],[1]!Address[Phone No.(2)])</f>
        <v/>
      </c>
      <c r="V527" s="11" t="str">
        <f>_xlfn.XLOOKUP(Customer[[#This Row],[Customer ID]],[1]!Address[ID],[1]!Address[Type])</f>
        <v>PETROMART</v>
      </c>
      <c r="W527" s="11" t="str">
        <f>_xlfn.XLOOKUP(Customer[[#This Row],[Customer ID]],[1]!Address[ID],[1]!Address[CT])</f>
        <v>30 DAYS</v>
      </c>
      <c r="X527" s="11" t="s">
        <v>39</v>
      </c>
      <c r="Y527" s="17" t="s">
        <v>40</v>
      </c>
      <c r="Z527" s="17" t="e">
        <f>_xlfn.XLOOKUP(Customer[[#This Row],[NewType]],$AF$36:$AF$54,$AG$36:$AG$54)</f>
        <v>#N/A</v>
      </c>
      <c r="AA527" s="17" t="s">
        <v>3813</v>
      </c>
      <c r="AB527" s="11" t="str">
        <f>_xlfn.XLOOKUP(Customer[[#This Row],[Customer ID]],[1]!Address[ID],[1]!Address[Subtype])</f>
        <v>PETRONAS</v>
      </c>
      <c r="AC527" s="18" t="str">
        <f>_xlfn.XLOOKUP(Customer[[#This Row],[Customer ID]],[1]!Address[ID],[1]!Address[Zone])</f>
        <v>SOUTH</v>
      </c>
    </row>
    <row r="528" spans="1:29" x14ac:dyDescent="0.3">
      <c r="A528" s="10" t="s">
        <v>3814</v>
      </c>
      <c r="B528" s="11" t="str">
        <f>_xlfn.XLOOKUP(Customer[[#This Row],[Customer ID]],[1]!Name[ID],[1]!Name[Description(1)])</f>
        <v>IDEAL ENRICH SDN BHD</v>
      </c>
      <c r="C528" s="11" t="str">
        <f>_xlfn.XLOOKUP(Customer[[#This Row],[Customer ID]],[1]!Name[ID],[1]!Name[Description(2)])</f>
        <v>PS PAYA TERUBONG</v>
      </c>
      <c r="D528" s="11" t="str">
        <f>_xlfn.XLOOKUP(Customer[[#This Row],[Customer ID]],[1]!Address[ID],[1]!Address[PIC])</f>
        <v/>
      </c>
      <c r="E528" s="11" t="str">
        <f>_xlfn.XLOOKUP(Customer[[#This Row],[Customer ID]],[1]!Address[ID],[1]!Address[Full Address])</f>
        <v>PS PAYA TERUBONGLOT PT 9324, GRN 6279, MUKIM 13, JALAN PTERUBONG, PAYA TERUBONG, PULAU PINANG,11060, TIMOR LAUT, PULAU PINANG</v>
      </c>
      <c r="F528" s="12" t="s">
        <v>3815</v>
      </c>
      <c r="G528" s="12" t="s">
        <v>3816</v>
      </c>
      <c r="H528" s="12" t="s">
        <v>3817</v>
      </c>
      <c r="I528" s="12" t="b">
        <f>ISNUMBER(VALUE(LEFT(Customer[[#This Row],[Address Line 3 (30 char)]],1)))</f>
        <v>0</v>
      </c>
      <c r="J528" s="12" t="s">
        <v>179</v>
      </c>
      <c r="K528" s="12">
        <v>11060</v>
      </c>
      <c r="L528" s="12" t="s">
        <v>35</v>
      </c>
      <c r="M528" s="13" t="e">
        <v>#N/A</v>
      </c>
      <c r="N528" s="14" t="e">
        <v>#N/A</v>
      </c>
      <c r="O528" s="14" t="e">
        <v>#N/A</v>
      </c>
      <c r="P528" s="14" t="e">
        <v>#N/A</v>
      </c>
      <c r="Q528" s="19" t="s">
        <v>3818</v>
      </c>
      <c r="R528" s="15" t="s">
        <v>3819</v>
      </c>
      <c r="S528" s="15" t="s">
        <v>74</v>
      </c>
      <c r="T528" s="16" t="s">
        <v>38</v>
      </c>
      <c r="U528" s="11" t="str">
        <f>_xlfn.XLOOKUP(Customer[[#This Row],[Customer ID]],[1]!Address[ID],[1]!Address[Phone No.(2)])</f>
        <v/>
      </c>
      <c r="V528" s="11" t="str">
        <f>_xlfn.XLOOKUP(Customer[[#This Row],[Customer ID]],[1]!Address[ID],[1]!Address[Type])</f>
        <v>PETROMART</v>
      </c>
      <c r="W528" s="11" t="str">
        <f>_xlfn.XLOOKUP(Customer[[#This Row],[Customer ID]],[1]!Address[ID],[1]!Address[CT])</f>
        <v>30 DAYS</v>
      </c>
      <c r="X528" s="11" t="s">
        <v>39</v>
      </c>
      <c r="Y528" s="17" t="s">
        <v>40</v>
      </c>
      <c r="Z528" s="17" t="e">
        <f>_xlfn.XLOOKUP(Customer[[#This Row],[NewType]],$AF$36:$AF$54,$AG$36:$AG$54)</f>
        <v>#N/A</v>
      </c>
      <c r="AA528" s="17" t="s">
        <v>3820</v>
      </c>
      <c r="AB528" s="11" t="str">
        <f>_xlfn.XLOOKUP(Customer[[#This Row],[Customer ID]],[1]!Address[ID],[1]!Address[Subtype])</f>
        <v>PETRONAS</v>
      </c>
      <c r="AC528" s="18" t="str">
        <f>_xlfn.XLOOKUP(Customer[[#This Row],[Customer ID]],[1]!Address[ID],[1]!Address[Zone])</f>
        <v>NORTH</v>
      </c>
    </row>
    <row r="529" spans="1:29" x14ac:dyDescent="0.3">
      <c r="A529" s="10" t="s">
        <v>3821</v>
      </c>
      <c r="B529" s="11" t="str">
        <f>_xlfn.XLOOKUP(Customer[[#This Row],[Customer ID]],[1]!Name[ID],[1]!Name[Description(1)])</f>
        <v>MAHURA PETRO ENTERPRISE</v>
      </c>
      <c r="C529" s="11" t="str">
        <f>_xlfn.XLOOKUP(Customer[[#This Row],[Customer ID]],[1]!Name[ID],[1]!Name[Description(2)])</f>
        <v>PS PEDAS LINGGI LAYBY</v>
      </c>
      <c r="D529" s="11" t="str">
        <f>_xlfn.XLOOKUP(Customer[[#This Row],[Customer ID]],[1]!Address[ID],[1]!Address[PIC])</f>
        <v>Tengku Maizura</v>
      </c>
      <c r="E529" s="11" t="str">
        <f>_xlfn.XLOOKUP(Customer[[#This Row],[Customer ID]],[1]!Address[ID],[1]!Address[Full Address])</f>
        <v>PS PEDAS LINGGI LAYBYKM 225 PEDAS-LINGGI LAYBY, PLUS HIGHWAY(NORTHBOUND), REMBAU, NEGERI SEMBILAN,71300, REMBAU, NEGERI 9</v>
      </c>
      <c r="F529" s="12" t="s">
        <v>3822</v>
      </c>
      <c r="G529" s="12" t="s">
        <v>3823</v>
      </c>
      <c r="H529" s="12" t="s">
        <v>3824</v>
      </c>
      <c r="I529" s="12" t="b">
        <f>ISNUMBER(VALUE(LEFT(Customer[[#This Row],[Address Line 3 (30 char)]],1)))</f>
        <v>0</v>
      </c>
      <c r="J529" s="12" t="s">
        <v>203</v>
      </c>
      <c r="K529" s="12">
        <v>71300</v>
      </c>
      <c r="L529" s="12" t="s">
        <v>35</v>
      </c>
      <c r="M529" s="13">
        <v>201303083653</v>
      </c>
      <c r="N529" s="14" t="s">
        <v>3825</v>
      </c>
      <c r="O529" s="14" t="e">
        <v>#N/A</v>
      </c>
      <c r="P529" s="14" t="e">
        <v>#N/A</v>
      </c>
      <c r="Q529" s="19" t="s">
        <v>3826</v>
      </c>
      <c r="R529" s="15" t="s">
        <v>3827</v>
      </c>
      <c r="S529" s="15" t="s">
        <v>37</v>
      </c>
      <c r="T529" s="16" t="s">
        <v>38</v>
      </c>
      <c r="U529" s="11" t="str">
        <f>_xlfn.XLOOKUP(Customer[[#This Row],[Customer ID]],[1]!Address[ID],[1]!Address[Phone No.(2)])</f>
        <v/>
      </c>
      <c r="V529" s="11" t="str">
        <f>_xlfn.XLOOKUP(Customer[[#This Row],[Customer ID]],[1]!Address[ID],[1]!Address[Type])</f>
        <v>PETROMART</v>
      </c>
      <c r="W529" s="11" t="str">
        <f>_xlfn.XLOOKUP(Customer[[#This Row],[Customer ID]],[1]!Address[ID],[1]!Address[CT])</f>
        <v>30 DAYS</v>
      </c>
      <c r="X529" s="11" t="s">
        <v>39</v>
      </c>
      <c r="Y529" s="17" t="s">
        <v>40</v>
      </c>
      <c r="Z529" s="17" t="e">
        <f>_xlfn.XLOOKUP(Customer[[#This Row],[NewType]],$AF$36:$AF$54,$AG$36:$AG$54)</f>
        <v>#N/A</v>
      </c>
      <c r="AA529" s="17" t="s">
        <v>3828</v>
      </c>
      <c r="AB529" s="11" t="str">
        <f>_xlfn.XLOOKUP(Customer[[#This Row],[Customer ID]],[1]!Address[ID],[1]!Address[Subtype])</f>
        <v>PETRONAS</v>
      </c>
      <c r="AC529" s="18" t="str">
        <f>_xlfn.XLOOKUP(Customer[[#This Row],[Customer ID]],[1]!Address[ID],[1]!Address[Zone])</f>
        <v>CENTRAL</v>
      </c>
    </row>
    <row r="530" spans="1:29" x14ac:dyDescent="0.3">
      <c r="A530" s="10" t="s">
        <v>3829</v>
      </c>
      <c r="B530" s="11" t="str">
        <f>_xlfn.XLOOKUP(Customer[[#This Row],[Customer ID]],[1]!Name[ID],[1]!Name[Description(1)])</f>
        <v>NZB MESRA SERVICES</v>
      </c>
      <c r="C530" s="11" t="str">
        <f>_xlfn.XLOOKUP(Customer[[#This Row],[Customer ID]],[1]!Name[ID],[1]!Name[Description(2)])</f>
        <v>PS PEKAN AIR MOLEK</v>
      </c>
      <c r="D530" s="11" t="str">
        <f>_xlfn.XLOOKUP(Customer[[#This Row],[Customer ID]],[1]!Address[ID],[1]!Address[PIC])</f>
        <v/>
      </c>
      <c r="E530" s="11" t="str">
        <f>_xlfn.XLOOKUP(Customer[[#This Row],[Customer ID]],[1]!Address[ID],[1]!Address[Full Address])</f>
        <v>PS PEKAN AIR MOLEKLOT 1486 JALAN AIR MOLEK,PEKAN AIR MOLEk75350 MELAKA.</v>
      </c>
      <c r="F530" s="12" t="s">
        <v>3830</v>
      </c>
      <c r="G530" s="12" t="s">
        <v>3831</v>
      </c>
      <c r="H530" s="12"/>
      <c r="I530" s="12" t="b">
        <f>ISNUMBER(VALUE(LEFT(Customer[[#This Row],[Address Line 3 (30 char)]],1)))</f>
        <v>0</v>
      </c>
      <c r="J530" s="12" t="s">
        <v>61</v>
      </c>
      <c r="K530" s="12">
        <v>75350</v>
      </c>
      <c r="L530" s="12" t="s">
        <v>35</v>
      </c>
      <c r="M530" s="13">
        <v>201803228481</v>
      </c>
      <c r="N530" s="14" t="s">
        <v>3832</v>
      </c>
      <c r="O530" s="14" t="s">
        <v>54</v>
      </c>
      <c r="P530" s="14" t="s">
        <v>54</v>
      </c>
      <c r="Q530" s="19" t="s">
        <v>3833</v>
      </c>
      <c r="R530" s="15" t="s">
        <v>2094</v>
      </c>
      <c r="S530" s="15" t="s">
        <v>37</v>
      </c>
      <c r="T530" s="16" t="s">
        <v>38</v>
      </c>
      <c r="U530" s="11" t="str">
        <f>_xlfn.XLOOKUP(Customer[[#This Row],[Customer ID]],[1]!Address[ID],[1]!Address[Phone No.(2)])</f>
        <v/>
      </c>
      <c r="V530" s="11" t="str">
        <f>_xlfn.XLOOKUP(Customer[[#This Row],[Customer ID]],[1]!Address[ID],[1]!Address[Type])</f>
        <v>PETROMART</v>
      </c>
      <c r="W530" s="11" t="str">
        <f>_xlfn.XLOOKUP(Customer[[#This Row],[Customer ID]],[1]!Address[ID],[1]!Address[CT])</f>
        <v>30 DAYS</v>
      </c>
      <c r="X530" s="11" t="s">
        <v>39</v>
      </c>
      <c r="Y530" s="17" t="s">
        <v>40</v>
      </c>
      <c r="Z530" s="17" t="e">
        <f>_xlfn.XLOOKUP(Customer[[#This Row],[NewType]],$AF$36:$AF$54,$AG$36:$AG$54)</f>
        <v>#N/A</v>
      </c>
      <c r="AA530" s="17" t="s">
        <v>3834</v>
      </c>
      <c r="AB530" s="11" t="str">
        <f>_xlfn.XLOOKUP(Customer[[#This Row],[Customer ID]],[1]!Address[ID],[1]!Address[Subtype])</f>
        <v>PETRONAS</v>
      </c>
      <c r="AC530" s="18" t="str">
        <f>_xlfn.XLOOKUP(Customer[[#This Row],[Customer ID]],[1]!Address[ID],[1]!Address[Zone])</f>
        <v>SOUTH</v>
      </c>
    </row>
    <row r="531" spans="1:29" x14ac:dyDescent="0.3">
      <c r="A531" s="10" t="s">
        <v>3835</v>
      </c>
      <c r="B531" s="11" t="str">
        <f>_xlfn.XLOOKUP(Customer[[#This Row],[Customer ID]],[1]!Name[ID],[1]!Name[Description(1)])</f>
        <v>JELATEK SERVICE STATION</v>
      </c>
      <c r="C531" s="11" t="str">
        <f>_xlfn.XLOOKUP(Customer[[#This Row],[Customer ID]],[1]!Name[ID],[1]!Name[Description(2)])</f>
        <v>PS PEKAN AMPANG</v>
      </c>
      <c r="D531" s="11" t="str">
        <f>_xlfn.XLOOKUP(Customer[[#This Row],[Customer ID]],[1]!Address[ID],[1]!Address[PIC])</f>
        <v/>
      </c>
      <c r="E531" s="11" t="str">
        <f>_xlfn.XLOOKUP(Customer[[#This Row],[Customer ID]],[1]!Address[ID],[1]!Address[Full Address])</f>
        <v>PS PEKAN AMPANGLOT PT 27361, PEKAN AMPANG, SELANGOR,68000, ULU LANGAT, SELANGOR</v>
      </c>
      <c r="F531" s="12" t="s">
        <v>3836</v>
      </c>
      <c r="G531" s="12" t="s">
        <v>3837</v>
      </c>
      <c r="H531" s="12" t="s">
        <v>3444</v>
      </c>
      <c r="I531" s="12" t="b">
        <f>ISNUMBER(VALUE(LEFT(Customer[[#This Row],[Address Line 3 (30 char)]],1)))</f>
        <v>0</v>
      </c>
      <c r="J531" s="12" t="s">
        <v>172</v>
      </c>
      <c r="K531" s="12">
        <v>68000</v>
      </c>
      <c r="L531" s="12" t="s">
        <v>35</v>
      </c>
      <c r="M531" s="13" t="e">
        <v>#N/A</v>
      </c>
      <c r="N531" s="14" t="e">
        <v>#N/A</v>
      </c>
      <c r="O531" s="14" t="e">
        <v>#N/A</v>
      </c>
      <c r="P531" s="14" t="e">
        <v>#N/A</v>
      </c>
      <c r="Q531" s="19" t="s">
        <v>3838</v>
      </c>
      <c r="R531" s="15" t="s">
        <v>3839</v>
      </c>
      <c r="S531" s="15" t="s">
        <v>37</v>
      </c>
      <c r="T531" s="16" t="s">
        <v>38</v>
      </c>
      <c r="U531" s="11" t="str">
        <f>_xlfn.XLOOKUP(Customer[[#This Row],[Customer ID]],[1]!Address[ID],[1]!Address[Phone No.(2)])</f>
        <v/>
      </c>
      <c r="V531" s="11" t="str">
        <f>_xlfn.XLOOKUP(Customer[[#This Row],[Customer ID]],[1]!Address[ID],[1]!Address[Type])</f>
        <v>PETROMART</v>
      </c>
      <c r="W531" s="11" t="str">
        <f>_xlfn.XLOOKUP(Customer[[#This Row],[Customer ID]],[1]!Address[ID],[1]!Address[CT])</f>
        <v>30 DAYS</v>
      </c>
      <c r="X531" s="11" t="s">
        <v>39</v>
      </c>
      <c r="Y531" s="17" t="s">
        <v>40</v>
      </c>
      <c r="Z531" s="17" t="e">
        <f>_xlfn.XLOOKUP(Customer[[#This Row],[NewType]],$AF$36:$AF$54,$AG$36:$AG$54)</f>
        <v>#N/A</v>
      </c>
      <c r="AA531" s="17" t="s">
        <v>3840</v>
      </c>
      <c r="AB531" s="11" t="str">
        <f>_xlfn.XLOOKUP(Customer[[#This Row],[Customer ID]],[1]!Address[ID],[1]!Address[Subtype])</f>
        <v>PETRONAS</v>
      </c>
      <c r="AC531" s="18" t="str">
        <f>_xlfn.XLOOKUP(Customer[[#This Row],[Customer ID]],[1]!Address[ID],[1]!Address[Zone])</f>
        <v>CENTRAL</v>
      </c>
    </row>
    <row r="532" spans="1:29" x14ac:dyDescent="0.3">
      <c r="A532" s="10" t="s">
        <v>3841</v>
      </c>
      <c r="B532" s="11" t="str">
        <f>_xlfn.XLOOKUP(Customer[[#This Row],[Customer ID]],[1]!Name[ID],[1]!Name[Description(1)])</f>
        <v>WARRICK PETROMART</v>
      </c>
      <c r="C532" s="11" t="str">
        <f>_xlfn.XLOOKUP(Customer[[#This Row],[Customer ID]],[1]!Name[ID],[1]!Name[Description(2)])</f>
        <v>PS PEKAN BANDAR DIRAJA</v>
      </c>
      <c r="D532" s="11" t="str">
        <f>_xlfn.XLOOKUP(Customer[[#This Row],[Customer ID]],[1]!Address[ID],[1]!Address[PIC])</f>
        <v/>
      </c>
      <c r="E532" s="11" t="str">
        <f>_xlfn.XLOOKUP(Customer[[#This Row],[Customer ID]],[1]!Address[ID],[1]!Address[Full Address])</f>
        <v>PS PEKAN BANDAR DIRAJALOT PT 25, HS(D) 4529, JALAN PEKAN-NENAS(KUANTAN BOUND), BANDAR PEKAN,26600, PEKAN, PAHANG</v>
      </c>
      <c r="F532" s="12" t="s">
        <v>3842</v>
      </c>
      <c r="G532" s="12" t="s">
        <v>3843</v>
      </c>
      <c r="H532" s="12" t="s">
        <v>3844</v>
      </c>
      <c r="I532" s="12" t="b">
        <f>ISNUMBER(VALUE(LEFT(Customer[[#This Row],[Address Line 3 (30 char)]],1)))</f>
        <v>0</v>
      </c>
      <c r="J532" s="12" t="s">
        <v>339</v>
      </c>
      <c r="K532" s="12">
        <v>26600</v>
      </c>
      <c r="L532" s="12" t="s">
        <v>35</v>
      </c>
      <c r="M532" s="13" t="e">
        <v>#N/A</v>
      </c>
      <c r="N532" s="14" t="e">
        <v>#N/A</v>
      </c>
      <c r="O532" s="14" t="e">
        <v>#N/A</v>
      </c>
      <c r="P532" s="14" t="e">
        <v>#N/A</v>
      </c>
      <c r="Q532" s="19" t="s">
        <v>3845</v>
      </c>
      <c r="R532" s="15" t="s">
        <v>3846</v>
      </c>
      <c r="S532" s="15" t="s">
        <v>37</v>
      </c>
      <c r="T532" s="16" t="s">
        <v>38</v>
      </c>
      <c r="U532" s="11" t="str">
        <f>_xlfn.XLOOKUP(Customer[[#This Row],[Customer ID]],[1]!Address[ID],[1]!Address[Phone No.(2)])</f>
        <v/>
      </c>
      <c r="V532" s="11" t="str">
        <f>_xlfn.XLOOKUP(Customer[[#This Row],[Customer ID]],[1]!Address[ID],[1]!Address[Type])</f>
        <v>PETROMART</v>
      </c>
      <c r="W532" s="11" t="str">
        <f>_xlfn.XLOOKUP(Customer[[#This Row],[Customer ID]],[1]!Address[ID],[1]!Address[CT])</f>
        <v>30 DAYS</v>
      </c>
      <c r="X532" s="11" t="s">
        <v>39</v>
      </c>
      <c r="Y532" s="17" t="s">
        <v>40</v>
      </c>
      <c r="Z532" s="17" t="e">
        <f>_xlfn.XLOOKUP(Customer[[#This Row],[NewType]],$AF$36:$AF$54,$AG$36:$AG$54)</f>
        <v>#N/A</v>
      </c>
      <c r="AA532" s="17" t="s">
        <v>3847</v>
      </c>
      <c r="AB532" s="11" t="str">
        <f>_xlfn.XLOOKUP(Customer[[#This Row],[Customer ID]],[1]!Address[ID],[1]!Address[Subtype])</f>
        <v>PETRONAS</v>
      </c>
      <c r="AC532" s="18" t="str">
        <f>_xlfn.XLOOKUP(Customer[[#This Row],[Customer ID]],[1]!Address[ID],[1]!Address[Zone])</f>
        <v>EAST COAST</v>
      </c>
    </row>
    <row r="533" spans="1:29" x14ac:dyDescent="0.3">
      <c r="A533" s="10" t="s">
        <v>3848</v>
      </c>
      <c r="B533" s="11" t="str">
        <f>_xlfn.XLOOKUP(Customer[[#This Row],[Customer ID]],[1]!Name[ID],[1]!Name[Description(1)])</f>
        <v>MABRURAZ JAYA RESOURCES</v>
      </c>
      <c r="C533" s="11" t="str">
        <f>_xlfn.XLOOKUP(Customer[[#This Row],[Customer ID]],[1]!Name[ID],[1]!Name[Description(2)])</f>
        <v>PS PEKAN BARU HICOM</v>
      </c>
      <c r="D533" s="11" t="str">
        <f>_xlfn.XLOOKUP(Customer[[#This Row],[Customer ID]],[1]!Address[ID],[1]!Address[PIC])</f>
        <v/>
      </c>
      <c r="E533" s="11" t="str">
        <f>_xlfn.XLOOKUP(Customer[[#This Row],[Customer ID]],[1]!Address[ID],[1]!Address[Full Address])</f>
        <v>PS PEKAN BARU HICOMPERSIARAN JUBLI PERAK, SEKSYEN 22, SHAHALAM, SELANGOR, 40300, PETALING, SELANGOALAM, SELANGOR, 40300, PETALING,SELANGOR</v>
      </c>
      <c r="F533" s="12" t="s">
        <v>3849</v>
      </c>
      <c r="G533" s="12" t="s">
        <v>3850</v>
      </c>
      <c r="H533" s="12" t="s">
        <v>3851</v>
      </c>
      <c r="I533" s="12" t="b">
        <f>ISNUMBER(VALUE(LEFT(Customer[[#This Row],[Address Line 3 (30 char)]],1)))</f>
        <v>0</v>
      </c>
      <c r="J533" s="12" t="s">
        <v>172</v>
      </c>
      <c r="K533" s="12">
        <v>40300</v>
      </c>
      <c r="L533" s="12" t="s">
        <v>35</v>
      </c>
      <c r="M533" s="13" t="e">
        <v>#N/A</v>
      </c>
      <c r="N533" s="14" t="e">
        <v>#N/A</v>
      </c>
      <c r="O533" s="14" t="e">
        <v>#N/A</v>
      </c>
      <c r="P533" s="14" t="e">
        <v>#N/A</v>
      </c>
      <c r="Q533" s="19" t="s">
        <v>3852</v>
      </c>
      <c r="R533" s="15" t="s">
        <v>3853</v>
      </c>
      <c r="S533" s="15" t="s">
        <v>37</v>
      </c>
      <c r="T533" s="16" t="s">
        <v>38</v>
      </c>
      <c r="U533" s="11" t="str">
        <f>_xlfn.XLOOKUP(Customer[[#This Row],[Customer ID]],[1]!Address[ID],[1]!Address[Phone No.(2)])</f>
        <v/>
      </c>
      <c r="V533" s="11" t="str">
        <f>_xlfn.XLOOKUP(Customer[[#This Row],[Customer ID]],[1]!Address[ID],[1]!Address[Type])</f>
        <v>PETROMART</v>
      </c>
      <c r="W533" s="11" t="str">
        <f>_xlfn.XLOOKUP(Customer[[#This Row],[Customer ID]],[1]!Address[ID],[1]!Address[CT])</f>
        <v>30 DAYS</v>
      </c>
      <c r="X533" s="11" t="s">
        <v>39</v>
      </c>
      <c r="Y533" s="17" t="s">
        <v>40</v>
      </c>
      <c r="Z533" s="17" t="e">
        <f>_xlfn.XLOOKUP(Customer[[#This Row],[NewType]],$AF$36:$AF$54,$AG$36:$AG$54)</f>
        <v>#N/A</v>
      </c>
      <c r="AA533" s="17" t="s">
        <v>3854</v>
      </c>
      <c r="AB533" s="11" t="str">
        <f>_xlfn.XLOOKUP(Customer[[#This Row],[Customer ID]],[1]!Address[ID],[1]!Address[Subtype])</f>
        <v>PETRONAS</v>
      </c>
      <c r="AC533" s="18" t="str">
        <f>_xlfn.XLOOKUP(Customer[[#This Row],[Customer ID]],[1]!Address[ID],[1]!Address[Zone])</f>
        <v>CENTRAL</v>
      </c>
    </row>
    <row r="534" spans="1:29" x14ac:dyDescent="0.3">
      <c r="A534" s="10" t="s">
        <v>3855</v>
      </c>
      <c r="B534" s="11" t="str">
        <f>_xlfn.XLOOKUP(Customer[[#This Row],[Customer ID]],[1]!Name[ID],[1]!Name[Description(1)])</f>
        <v>MBESTARI SDN BHD</v>
      </c>
      <c r="C534" s="11" t="str">
        <f>_xlfn.XLOOKUP(Customer[[#This Row],[Customer ID]],[1]!Name[ID],[1]!Name[Description(2)])</f>
        <v>PS PEKAN BARU SUBANG</v>
      </c>
      <c r="D534" s="11" t="str">
        <f>_xlfn.XLOOKUP(Customer[[#This Row],[Customer ID]],[1]!Address[ID],[1]!Address[PIC])</f>
        <v/>
      </c>
      <c r="E534" s="11" t="str">
        <f>_xlfn.XLOOKUP(Customer[[#This Row],[Customer ID]],[1]!Address[ID],[1]!Address[Full Address])</f>
        <v>PS PEKAN BARU SUBANGPT 684, HS(D) 256544, JALAN SUNGAI BULOHBATU 3, PEKAN BARU SUBANG, SEKSYEN U3,SELANGOR, 40150, PETALING, SELANGOR</v>
      </c>
      <c r="F534" s="12" t="s">
        <v>3856</v>
      </c>
      <c r="G534" s="12" t="s">
        <v>3857</v>
      </c>
      <c r="H534" s="12" t="s">
        <v>3858</v>
      </c>
      <c r="I534" s="12" t="b">
        <f>ISNUMBER(VALUE(LEFT(Customer[[#This Row],[Address Line 3 (30 char)]],1)))</f>
        <v>0</v>
      </c>
      <c r="J534" s="12" t="s">
        <v>172</v>
      </c>
      <c r="K534" s="12">
        <v>40150</v>
      </c>
      <c r="L534" s="12" t="s">
        <v>35</v>
      </c>
      <c r="M534" s="13" t="e">
        <v>#N/A</v>
      </c>
      <c r="N534" s="14" t="e">
        <v>#N/A</v>
      </c>
      <c r="O534" s="14" t="e">
        <v>#N/A</v>
      </c>
      <c r="P534" s="14" t="e">
        <v>#N/A</v>
      </c>
      <c r="Q534" s="19" t="s">
        <v>3859</v>
      </c>
      <c r="R534" s="15" t="s">
        <v>3860</v>
      </c>
      <c r="S534" s="15" t="s">
        <v>37</v>
      </c>
      <c r="T534" s="16" t="s">
        <v>38</v>
      </c>
      <c r="U534" s="11" t="str">
        <f>_xlfn.XLOOKUP(Customer[[#This Row],[Customer ID]],[1]!Address[ID],[1]!Address[Phone No.(2)])</f>
        <v/>
      </c>
      <c r="V534" s="11" t="str">
        <f>_xlfn.XLOOKUP(Customer[[#This Row],[Customer ID]],[1]!Address[ID],[1]!Address[Type])</f>
        <v>PETROMART</v>
      </c>
      <c r="W534" s="11" t="str">
        <f>_xlfn.XLOOKUP(Customer[[#This Row],[Customer ID]],[1]!Address[ID],[1]!Address[CT])</f>
        <v>30 DAYS</v>
      </c>
      <c r="X534" s="11" t="s">
        <v>39</v>
      </c>
      <c r="Y534" s="17" t="s">
        <v>40</v>
      </c>
      <c r="Z534" s="17" t="e">
        <f>_xlfn.XLOOKUP(Customer[[#This Row],[NewType]],$AF$36:$AF$54,$AG$36:$AG$54)</f>
        <v>#N/A</v>
      </c>
      <c r="AA534" s="17" t="s">
        <v>3861</v>
      </c>
      <c r="AB534" s="11" t="str">
        <f>_xlfn.XLOOKUP(Customer[[#This Row],[Customer ID]],[1]!Address[ID],[1]!Address[Subtype])</f>
        <v>PETRONAS</v>
      </c>
      <c r="AC534" s="18" t="str">
        <f>_xlfn.XLOOKUP(Customer[[#This Row],[Customer ID]],[1]!Address[ID],[1]!Address[Zone])</f>
        <v>CENTRAL</v>
      </c>
    </row>
    <row r="535" spans="1:29" x14ac:dyDescent="0.3">
      <c r="A535" s="10" t="s">
        <v>3862</v>
      </c>
      <c r="B535" s="11" t="str">
        <f>_xlfn.XLOOKUP(Customer[[#This Row],[Customer ID]],[1]!Name[ID],[1]!Name[Description(1)])</f>
        <v>RIFA RIZQIN RESOURCES</v>
      </c>
      <c r="C535" s="11" t="str">
        <f>_xlfn.XLOOKUP(Customer[[#This Row],[Customer ID]],[1]!Name[ID],[1]!Name[Description(2)])</f>
        <v>PS PEKAN KAPAR</v>
      </c>
      <c r="D535" s="11" t="str">
        <f>_xlfn.XLOOKUP(Customer[[#This Row],[Customer ID]],[1]!Address[ID],[1]!Address[PIC])</f>
        <v/>
      </c>
      <c r="E535" s="11" t="str">
        <f>_xlfn.XLOOKUP(Customer[[#This Row],[Customer ID]],[1]!Address[ID],[1]!Address[Full Address])</f>
        <v>PS PEKAN KAPARLOT 3519, JALAN KAPAR/KU1, KM 18 OFF JALKAPAR, PEKAN KAPAR, 42200 KAPAR,SELANGOR</v>
      </c>
      <c r="F535" s="12" t="s">
        <v>3863</v>
      </c>
      <c r="G535" s="12" t="s">
        <v>3864</v>
      </c>
      <c r="H535" s="12" t="s">
        <v>3865</v>
      </c>
      <c r="I535" s="12" t="b">
        <f>ISNUMBER(VALUE(LEFT(Customer[[#This Row],[Address Line 3 (30 char)]],1)))</f>
        <v>0</v>
      </c>
      <c r="J535" s="12" t="s">
        <v>172</v>
      </c>
      <c r="K535" s="12">
        <v>42200</v>
      </c>
      <c r="L535" s="12" t="s">
        <v>35</v>
      </c>
      <c r="M535" s="13" t="e">
        <v>#N/A</v>
      </c>
      <c r="N535" s="14" t="e">
        <v>#N/A</v>
      </c>
      <c r="O535" s="14" t="e">
        <v>#N/A</v>
      </c>
      <c r="P535" s="14" t="e">
        <v>#N/A</v>
      </c>
      <c r="Q535" s="19" t="s">
        <v>3866</v>
      </c>
      <c r="R535" s="15" t="s">
        <v>3867</v>
      </c>
      <c r="S535" s="15" t="s">
        <v>37</v>
      </c>
      <c r="T535" s="16" t="s">
        <v>38</v>
      </c>
      <c r="U535" s="11" t="str">
        <f>_xlfn.XLOOKUP(Customer[[#This Row],[Customer ID]],[1]!Address[ID],[1]!Address[Phone No.(2)])</f>
        <v/>
      </c>
      <c r="V535" s="11" t="str">
        <f>_xlfn.XLOOKUP(Customer[[#This Row],[Customer ID]],[1]!Address[ID],[1]!Address[Type])</f>
        <v>PETROMART</v>
      </c>
      <c r="W535" s="11" t="str">
        <f>_xlfn.XLOOKUP(Customer[[#This Row],[Customer ID]],[1]!Address[ID],[1]!Address[CT])</f>
        <v>30 DAYS</v>
      </c>
      <c r="X535" s="11" t="s">
        <v>39</v>
      </c>
      <c r="Y535" s="17" t="s">
        <v>40</v>
      </c>
      <c r="Z535" s="17" t="e">
        <f>_xlfn.XLOOKUP(Customer[[#This Row],[NewType]],$AF$36:$AF$54,$AG$36:$AG$54)</f>
        <v>#N/A</v>
      </c>
      <c r="AA535" s="17" t="s">
        <v>3868</v>
      </c>
      <c r="AB535" s="11" t="str">
        <f>_xlfn.XLOOKUP(Customer[[#This Row],[Customer ID]],[1]!Address[ID],[1]!Address[Subtype])</f>
        <v>PETRONAS</v>
      </c>
      <c r="AC535" s="18" t="str">
        <f>_xlfn.XLOOKUP(Customer[[#This Row],[Customer ID]],[1]!Address[ID],[1]!Address[Zone])</f>
        <v>CENTRAL</v>
      </c>
    </row>
    <row r="536" spans="1:29" x14ac:dyDescent="0.3">
      <c r="A536" s="10" t="s">
        <v>3869</v>
      </c>
      <c r="B536" s="11" t="str">
        <f>_xlfn.XLOOKUP(Customer[[#This Row],[Customer ID]],[1]!Name[ID],[1]!Name[Description(1)])</f>
        <v>AR ECOFUEL ENTERPRISE</v>
      </c>
      <c r="C536" s="11" t="str">
        <f>_xlfn.XLOOKUP(Customer[[#This Row],[Customer ID]],[1]!Name[ID],[1]!Name[Description(2)])</f>
        <v>PS PEKAN KULAI</v>
      </c>
      <c r="D536" s="11" t="str">
        <f>_xlfn.XLOOKUP(Customer[[#This Row],[Customer ID]],[1]!Address[ID],[1]!Address[PIC])</f>
        <v/>
      </c>
      <c r="E536" s="11" t="str">
        <f>_xlfn.XLOOKUP(Customer[[#This Row],[Customer ID]],[1]!Address[ID],[1]!Address[Full Address])</f>
        <v>PS PEKAN KULAILOT 7320,MUKIM SENAI,KULAI, 81000 JOHOR</v>
      </c>
      <c r="F536" s="12" t="s">
        <v>3870</v>
      </c>
      <c r="G536" s="12" t="s">
        <v>3871</v>
      </c>
      <c r="H536" s="12"/>
      <c r="I536" s="12" t="b">
        <f>ISNUMBER(VALUE(LEFT(Customer[[#This Row],[Address Line 3 (30 char)]],1)))</f>
        <v>0</v>
      </c>
      <c r="J536" s="12" t="s">
        <v>52</v>
      </c>
      <c r="K536" s="12">
        <v>81000</v>
      </c>
      <c r="L536" s="12" t="s">
        <v>35</v>
      </c>
      <c r="M536" s="13" t="e">
        <v>#N/A</v>
      </c>
      <c r="N536" s="14" t="e">
        <v>#N/A</v>
      </c>
      <c r="O536" s="14" t="e">
        <v>#N/A</v>
      </c>
      <c r="P536" s="14" t="e">
        <v>#N/A</v>
      </c>
      <c r="Q536" s="19" t="s">
        <v>3872</v>
      </c>
      <c r="R536" s="15" t="s">
        <v>3873</v>
      </c>
      <c r="S536" s="15" t="s">
        <v>37</v>
      </c>
      <c r="T536" s="16" t="s">
        <v>38</v>
      </c>
      <c r="U536" s="11" t="str">
        <f>_xlfn.XLOOKUP(Customer[[#This Row],[Customer ID]],[1]!Address[ID],[1]!Address[Phone No.(2)])</f>
        <v/>
      </c>
      <c r="V536" s="11" t="str">
        <f>_xlfn.XLOOKUP(Customer[[#This Row],[Customer ID]],[1]!Address[ID],[1]!Address[Type])</f>
        <v>PETROMART</v>
      </c>
      <c r="W536" s="11" t="str">
        <f>_xlfn.XLOOKUP(Customer[[#This Row],[Customer ID]],[1]!Address[ID],[1]!Address[CT])</f>
        <v>30 DAYS</v>
      </c>
      <c r="X536" s="11" t="s">
        <v>39</v>
      </c>
      <c r="Y536" s="17" t="s">
        <v>40</v>
      </c>
      <c r="Z536" s="17" t="e">
        <f>_xlfn.XLOOKUP(Customer[[#This Row],[NewType]],$AF$36:$AF$54,$AG$36:$AG$54)</f>
        <v>#N/A</v>
      </c>
      <c r="AA536" s="17" t="s">
        <v>3874</v>
      </c>
      <c r="AB536" s="11" t="str">
        <f>_xlfn.XLOOKUP(Customer[[#This Row],[Customer ID]],[1]!Address[ID],[1]!Address[Subtype])</f>
        <v>PETRONAS</v>
      </c>
      <c r="AC536" s="18" t="str">
        <f>_xlfn.XLOOKUP(Customer[[#This Row],[Customer ID]],[1]!Address[ID],[1]!Address[Zone])</f>
        <v>SOUTH</v>
      </c>
    </row>
    <row r="537" spans="1:29" x14ac:dyDescent="0.3">
      <c r="A537" s="10" t="s">
        <v>3875</v>
      </c>
      <c r="B537" s="11" t="str">
        <f>_xlfn.XLOOKUP(Customer[[#This Row],[Customer ID]],[1]!Name[ID],[1]!Name[Description(1)])</f>
        <v>AFK NURAMANIS ENTERPRISE</v>
      </c>
      <c r="C537" s="11" t="str">
        <f>_xlfn.XLOOKUP(Customer[[#This Row],[Customer ID]],[1]!Name[ID],[1]!Name[Description(2)])</f>
        <v>PS PEKAN LUKUT,PD</v>
      </c>
      <c r="D537" s="11" t="str">
        <f>_xlfn.XLOOKUP(Customer[[#This Row],[Customer ID]],[1]!Address[ID],[1]!Address[PIC])</f>
        <v>Anis Farhana Ka</v>
      </c>
      <c r="E537" s="11" t="str">
        <f>_xlfn.XLOOKUP(Customer[[#This Row],[Customer ID]],[1]!Address[ID],[1]!Address[Full Address])</f>
        <v>PS PEKAN LUKUT,PDLOT 4729-4734 &amp; LOT 4735-4740, PEKANLUKUT,PORT DICKSON, 71010NEGERI SEMBILAN.</v>
      </c>
      <c r="F537" s="12" t="s">
        <v>3876</v>
      </c>
      <c r="G537" s="12" t="s">
        <v>3877</v>
      </c>
      <c r="H537" s="12" t="s">
        <v>3878</v>
      </c>
      <c r="I537" s="12" t="b">
        <f>ISNUMBER(VALUE(LEFT(Customer[[#This Row],[Address Line 3 (30 char)]],1)))</f>
        <v>0</v>
      </c>
      <c r="J537" s="12" t="s">
        <v>203</v>
      </c>
      <c r="K537" s="12">
        <v>71010</v>
      </c>
      <c r="L537" s="12" t="s">
        <v>35</v>
      </c>
      <c r="M537" s="13" t="e">
        <v>#N/A</v>
      </c>
      <c r="N537" s="14" t="s">
        <v>3879</v>
      </c>
      <c r="O537" s="14" t="e">
        <v>#N/A</v>
      </c>
      <c r="P537" s="14" t="e">
        <v>#N/A</v>
      </c>
      <c r="Q537" s="19" t="s">
        <v>3880</v>
      </c>
      <c r="R537" s="15" t="s">
        <v>3881</v>
      </c>
      <c r="S537" s="15" t="s">
        <v>37</v>
      </c>
      <c r="T537" s="16" t="s">
        <v>38</v>
      </c>
      <c r="U537" s="11" t="str">
        <f>_xlfn.XLOOKUP(Customer[[#This Row],[Customer ID]],[1]!Address[ID],[1]!Address[Phone No.(2)])</f>
        <v/>
      </c>
      <c r="V537" s="11" t="str">
        <f>_xlfn.XLOOKUP(Customer[[#This Row],[Customer ID]],[1]!Address[ID],[1]!Address[Type])</f>
        <v>PETROMART</v>
      </c>
      <c r="W537" s="11" t="str">
        <f>_xlfn.XLOOKUP(Customer[[#This Row],[Customer ID]],[1]!Address[ID],[1]!Address[CT])</f>
        <v>30 DAYS</v>
      </c>
      <c r="X537" s="11" t="s">
        <v>39</v>
      </c>
      <c r="Y537" s="17" t="s">
        <v>40</v>
      </c>
      <c r="Z537" s="17" t="e">
        <f>_xlfn.XLOOKUP(Customer[[#This Row],[NewType]],$AF$36:$AF$54,$AG$36:$AG$54)</f>
        <v>#N/A</v>
      </c>
      <c r="AA537" s="17" t="s">
        <v>3882</v>
      </c>
      <c r="AB537" s="11" t="str">
        <f>_xlfn.XLOOKUP(Customer[[#This Row],[Customer ID]],[1]!Address[ID],[1]!Address[Subtype])</f>
        <v>PETRONAS</v>
      </c>
      <c r="AC537" s="18" t="str">
        <f>_xlfn.XLOOKUP(Customer[[#This Row],[Customer ID]],[1]!Address[ID],[1]!Address[Zone])</f>
        <v>CENTRAL</v>
      </c>
    </row>
    <row r="538" spans="1:29" x14ac:dyDescent="0.3">
      <c r="A538" s="10" t="s">
        <v>3883</v>
      </c>
      <c r="B538" s="11" t="str">
        <f>_xlfn.XLOOKUP(Customer[[#This Row],[Customer ID]],[1]!Name[ID],[1]!Name[Description(1)])</f>
        <v>BIN AZIZ ONY ENTERPRISE</v>
      </c>
      <c r="C538" s="11" t="str">
        <f>_xlfn.XLOOKUP(Customer[[#This Row],[Customer ID]],[1]!Name[ID],[1]!Name[Description(2)])</f>
        <v>PS PEKAN NENAS</v>
      </c>
      <c r="D538" s="11" t="str">
        <f>_xlfn.XLOOKUP(Customer[[#This Row],[Customer ID]],[1]!Address[ID],[1]!Address[PIC])</f>
        <v/>
      </c>
      <c r="E538" s="11" t="str">
        <f>_xlfn.XLOOKUP(Customer[[#This Row],[Customer ID]],[1]!Address[ID],[1]!Address[Full Address])</f>
        <v>PS PEKAN NENASLOT PTD 4626, PEKAN NENAS, PONTIAN,81500, PONTIAN, JOHOR</v>
      </c>
      <c r="F538" s="12" t="s">
        <v>3884</v>
      </c>
      <c r="G538" s="12" t="s">
        <v>3885</v>
      </c>
      <c r="H538" s="12" t="s">
        <v>3886</v>
      </c>
      <c r="I538" s="12" t="b">
        <f>ISNUMBER(VALUE(LEFT(Customer[[#This Row],[Address Line 3 (30 char)]],1)))</f>
        <v>0</v>
      </c>
      <c r="J538" s="12" t="s">
        <v>52</v>
      </c>
      <c r="K538" s="12">
        <v>81500</v>
      </c>
      <c r="L538" s="12" t="s">
        <v>35</v>
      </c>
      <c r="M538" s="13">
        <v>201903198057</v>
      </c>
      <c r="N538" s="14" t="s">
        <v>3887</v>
      </c>
      <c r="O538" s="14" t="s">
        <v>54</v>
      </c>
      <c r="P538" s="14">
        <v>47300</v>
      </c>
      <c r="Q538" s="19" t="s">
        <v>3888</v>
      </c>
      <c r="R538" s="15" t="s">
        <v>3889</v>
      </c>
      <c r="S538" s="15" t="s">
        <v>37</v>
      </c>
      <c r="T538" s="16" t="s">
        <v>38</v>
      </c>
      <c r="U538" s="11" t="str">
        <f>_xlfn.XLOOKUP(Customer[[#This Row],[Customer ID]],[1]!Address[ID],[1]!Address[Phone No.(2)])</f>
        <v/>
      </c>
      <c r="V538" s="11" t="str">
        <f>_xlfn.XLOOKUP(Customer[[#This Row],[Customer ID]],[1]!Address[ID],[1]!Address[Type])</f>
        <v>PETROMART</v>
      </c>
      <c r="W538" s="11" t="str">
        <f>_xlfn.XLOOKUP(Customer[[#This Row],[Customer ID]],[1]!Address[ID],[1]!Address[CT])</f>
        <v>30 DAYS</v>
      </c>
      <c r="X538" s="11" t="s">
        <v>39</v>
      </c>
      <c r="Y538" s="17" t="s">
        <v>40</v>
      </c>
      <c r="Z538" s="17" t="e">
        <f>_xlfn.XLOOKUP(Customer[[#This Row],[NewType]],$AF$36:$AF$54,$AG$36:$AG$54)</f>
        <v>#N/A</v>
      </c>
      <c r="AA538" s="17" t="s">
        <v>3890</v>
      </c>
      <c r="AB538" s="11" t="str">
        <f>_xlfn.XLOOKUP(Customer[[#This Row],[Customer ID]],[1]!Address[ID],[1]!Address[Subtype])</f>
        <v>PETRONAS</v>
      </c>
      <c r="AC538" s="18" t="str">
        <f>_xlfn.XLOOKUP(Customer[[#This Row],[Customer ID]],[1]!Address[ID],[1]!Address[Zone])</f>
        <v>SOUTH</v>
      </c>
    </row>
    <row r="539" spans="1:29" x14ac:dyDescent="0.3">
      <c r="A539" s="10" t="s">
        <v>3891</v>
      </c>
      <c r="B539" s="11" t="str">
        <f>_xlfn.XLOOKUP(Customer[[#This Row],[Customer ID]],[1]!Name[ID],[1]!Name[Description(1)])</f>
        <v>IZZMAN ENTERPRISE</v>
      </c>
      <c r="C539" s="11" t="str">
        <f>_xlfn.XLOOKUP(Customer[[#This Row],[Customer ID]],[1]!Name[ID],[1]!Name[Description(2)])</f>
        <v>PEKAN NILAI</v>
      </c>
      <c r="D539" s="11" t="str">
        <f>_xlfn.XLOOKUP(Customer[[#This Row],[Customer ID]],[1]!Address[ID],[1]!Address[PIC])</f>
        <v/>
      </c>
      <c r="E539" s="11" t="str">
        <f>_xlfn.XLOOKUP(Customer[[#This Row],[Customer ID]],[1]!Address[ID],[1]!Address[Full Address])</f>
        <v>PS PEKAN NILAILOT 5945, PEKAN NILAI, NEGERI SEMBILAN,71800, SEREMBAN, NEGERI 9</v>
      </c>
      <c r="F539" s="12" t="s">
        <v>3892</v>
      </c>
      <c r="G539" s="12" t="s">
        <v>2620</v>
      </c>
      <c r="H539" s="12" t="s">
        <v>2411</v>
      </c>
      <c r="I539" s="12" t="b">
        <f>ISNUMBER(VALUE(LEFT(Customer[[#This Row],[Address Line 3 (30 char)]],1)))</f>
        <v>0</v>
      </c>
      <c r="J539" s="12" t="s">
        <v>203</v>
      </c>
      <c r="K539" s="12">
        <v>71800</v>
      </c>
      <c r="L539" s="12" t="s">
        <v>35</v>
      </c>
      <c r="M539" s="13" t="e">
        <v>#N/A</v>
      </c>
      <c r="N539" s="14" t="e">
        <v>#N/A</v>
      </c>
      <c r="O539" s="14" t="e">
        <v>#N/A</v>
      </c>
      <c r="P539" s="14" t="e">
        <v>#N/A</v>
      </c>
      <c r="Q539" s="19" t="s">
        <v>3893</v>
      </c>
      <c r="R539" s="15" t="s">
        <v>3894</v>
      </c>
      <c r="S539" s="15" t="s">
        <v>37</v>
      </c>
      <c r="T539" s="16" t="s">
        <v>38</v>
      </c>
      <c r="U539" s="11" t="str">
        <f>_xlfn.XLOOKUP(Customer[[#This Row],[Customer ID]],[1]!Address[ID],[1]!Address[Phone No.(2)])</f>
        <v/>
      </c>
      <c r="V539" s="11" t="str">
        <f>_xlfn.XLOOKUP(Customer[[#This Row],[Customer ID]],[1]!Address[ID],[1]!Address[Type])</f>
        <v>PETROMART</v>
      </c>
      <c r="W539" s="11" t="str">
        <f>_xlfn.XLOOKUP(Customer[[#This Row],[Customer ID]],[1]!Address[ID],[1]!Address[CT])</f>
        <v>30 DAYS</v>
      </c>
      <c r="X539" s="11" t="s">
        <v>39</v>
      </c>
      <c r="Y539" s="17" t="s">
        <v>40</v>
      </c>
      <c r="Z539" s="17" t="e">
        <f>_xlfn.XLOOKUP(Customer[[#This Row],[NewType]],$AF$36:$AF$54,$AG$36:$AG$54)</f>
        <v>#N/A</v>
      </c>
      <c r="AA539" s="17" t="s">
        <v>3895</v>
      </c>
      <c r="AB539" s="11" t="str">
        <f>_xlfn.XLOOKUP(Customer[[#This Row],[Customer ID]],[1]!Address[ID],[1]!Address[Subtype])</f>
        <v>PETRONAS</v>
      </c>
      <c r="AC539" s="18" t="str">
        <f>_xlfn.XLOOKUP(Customer[[#This Row],[Customer ID]],[1]!Address[ID],[1]!Address[Zone])</f>
        <v>CENTRAL</v>
      </c>
    </row>
    <row r="540" spans="1:29" x14ac:dyDescent="0.3">
      <c r="A540" s="10" t="s">
        <v>3896</v>
      </c>
      <c r="B540" s="11" t="str">
        <f>_xlfn.XLOOKUP(Customer[[#This Row],[Customer ID]],[1]!Name[ID],[1]!Name[Description(1)])</f>
        <v>SRI GADING SERVICES SDN BHD</v>
      </c>
      <c r="C540" s="11" t="str">
        <f>_xlfn.XLOOKUP(Customer[[#This Row],[Customer ID]],[1]!Name[ID],[1]!Name[Description(2)])</f>
        <v>PS PEKAN PARIT RAJA</v>
      </c>
      <c r="D540" s="11" t="str">
        <f>_xlfn.XLOOKUP(Customer[[#This Row],[Customer ID]],[1]!Address[ID],[1]!Address[PIC])</f>
        <v/>
      </c>
      <c r="E540" s="11" t="str">
        <f>_xlfn.XLOOKUP(Customer[[#This Row],[Customer ID]],[1]!Address[ID],[1]!Address[Full Address])</f>
        <v>PS PEKAN PARIT RAJAJLN KLUANG, 86400 PARIT RAJA, JOHOR</v>
      </c>
      <c r="F540" s="12" t="s">
        <v>3897</v>
      </c>
      <c r="G540" s="12" t="s">
        <v>3898</v>
      </c>
      <c r="H540" s="12"/>
      <c r="I540" s="12" t="b">
        <f>ISNUMBER(VALUE(LEFT(Customer[[#This Row],[Address Line 3 (30 char)]],1)))</f>
        <v>0</v>
      </c>
      <c r="J540" s="12" t="s">
        <v>52</v>
      </c>
      <c r="K540" s="12">
        <v>86400</v>
      </c>
      <c r="L540" s="12" t="s">
        <v>35</v>
      </c>
      <c r="M540" s="13">
        <v>201501031571</v>
      </c>
      <c r="N540" s="14" t="s">
        <v>3899</v>
      </c>
      <c r="O540" s="14" t="s">
        <v>54</v>
      </c>
      <c r="P540" s="14">
        <v>46611</v>
      </c>
      <c r="Q540" s="19" t="s">
        <v>3900</v>
      </c>
      <c r="R540" s="15" t="s">
        <v>3901</v>
      </c>
      <c r="S540" s="15" t="s">
        <v>37</v>
      </c>
      <c r="T540" s="16" t="s">
        <v>38</v>
      </c>
      <c r="U540" s="11" t="str">
        <f>_xlfn.XLOOKUP(Customer[[#This Row],[Customer ID]],[1]!Address[ID],[1]!Address[Phone No.(2)])</f>
        <v/>
      </c>
      <c r="V540" s="11" t="str">
        <f>_xlfn.XLOOKUP(Customer[[#This Row],[Customer ID]],[1]!Address[ID],[1]!Address[Type])</f>
        <v>PETROMART</v>
      </c>
      <c r="W540" s="11" t="str">
        <f>_xlfn.XLOOKUP(Customer[[#This Row],[Customer ID]],[1]!Address[ID],[1]!Address[CT])</f>
        <v>30 DAYS</v>
      </c>
      <c r="X540" s="11" t="s">
        <v>39</v>
      </c>
      <c r="Y540" s="17" t="s">
        <v>40</v>
      </c>
      <c r="Z540" s="17" t="e">
        <f>_xlfn.XLOOKUP(Customer[[#This Row],[NewType]],$AF$36:$AF$54,$AG$36:$AG$54)</f>
        <v>#N/A</v>
      </c>
      <c r="AA540" s="17" t="s">
        <v>3902</v>
      </c>
      <c r="AB540" s="11" t="str">
        <f>_xlfn.XLOOKUP(Customer[[#This Row],[Customer ID]],[1]!Address[ID],[1]!Address[Subtype])</f>
        <v>PETRONAS</v>
      </c>
      <c r="AC540" s="18" t="str">
        <f>_xlfn.XLOOKUP(Customer[[#This Row],[Customer ID]],[1]!Address[ID],[1]!Address[Zone])</f>
        <v>SOUTH</v>
      </c>
    </row>
    <row r="541" spans="1:29" x14ac:dyDescent="0.3">
      <c r="A541" s="10" t="s">
        <v>3903</v>
      </c>
      <c r="B541" s="11" t="str">
        <f>_xlfn.XLOOKUP(Customer[[#This Row],[Customer ID]],[1]!Name[ID],[1]!Name[Description(1)])</f>
        <v>STRONGWELL RESOURCES</v>
      </c>
      <c r="C541" s="11" t="str">
        <f>_xlfn.XLOOKUP(Customer[[#This Row],[Customer ID]],[1]!Name[ID],[1]!Name[Description(2)])</f>
        <v>PS PEKAN SALAK</v>
      </c>
      <c r="D541" s="11" t="str">
        <f>_xlfn.XLOOKUP(Customer[[#This Row],[Customer ID]],[1]!Address[ID],[1]!Address[PIC])</f>
        <v/>
      </c>
      <c r="E541" s="11" t="str">
        <f>_xlfn.XLOOKUP(Customer[[#This Row],[Customer ID]],[1]!Address[ID],[1]!Address[Full Address])</f>
        <v>PS PEKAN SALAKLOT 37-40, JALAN BESAR, PEKAN SALAK,SELANGOR, 43900, SEPANG, SELANGOR</v>
      </c>
      <c r="F541" s="12" t="s">
        <v>3904</v>
      </c>
      <c r="G541" s="12" t="s">
        <v>3905</v>
      </c>
      <c r="H541" s="12" t="s">
        <v>2757</v>
      </c>
      <c r="I541" s="12" t="b">
        <f>ISNUMBER(VALUE(LEFT(Customer[[#This Row],[Address Line 3 (30 char)]],1)))</f>
        <v>0</v>
      </c>
      <c r="J541" s="12" t="s">
        <v>172</v>
      </c>
      <c r="K541" s="12">
        <v>43900</v>
      </c>
      <c r="L541" s="12" t="s">
        <v>35</v>
      </c>
      <c r="M541" s="13" t="e">
        <v>#N/A</v>
      </c>
      <c r="N541" s="14" t="e">
        <v>#N/A</v>
      </c>
      <c r="O541" s="14" t="e">
        <v>#N/A</v>
      </c>
      <c r="P541" s="14" t="e">
        <v>#N/A</v>
      </c>
      <c r="Q541" s="19" t="s">
        <v>3906</v>
      </c>
      <c r="R541" s="15" t="s">
        <v>3907</v>
      </c>
      <c r="S541" s="15" t="s">
        <v>37</v>
      </c>
      <c r="T541" s="16" t="s">
        <v>38</v>
      </c>
      <c r="U541" s="11" t="str">
        <f>_xlfn.XLOOKUP(Customer[[#This Row],[Customer ID]],[1]!Address[ID],[1]!Address[Phone No.(2)])</f>
        <v/>
      </c>
      <c r="V541" s="11" t="str">
        <f>_xlfn.XLOOKUP(Customer[[#This Row],[Customer ID]],[1]!Address[ID],[1]!Address[Type])</f>
        <v>PETROMART</v>
      </c>
      <c r="W541" s="11" t="str">
        <f>_xlfn.XLOOKUP(Customer[[#This Row],[Customer ID]],[1]!Address[ID],[1]!Address[CT])</f>
        <v>30 DAYS</v>
      </c>
      <c r="X541" s="11" t="s">
        <v>39</v>
      </c>
      <c r="Y541" s="17" t="s">
        <v>40</v>
      </c>
      <c r="Z541" s="17" t="e">
        <f>_xlfn.XLOOKUP(Customer[[#This Row],[NewType]],$AF$36:$AF$54,$AG$36:$AG$54)</f>
        <v>#N/A</v>
      </c>
      <c r="AA541" s="17" t="s">
        <v>3908</v>
      </c>
      <c r="AB541" s="11" t="str">
        <f>_xlfn.XLOOKUP(Customer[[#This Row],[Customer ID]],[1]!Address[ID],[1]!Address[Subtype])</f>
        <v>PETRONAS</v>
      </c>
      <c r="AC541" s="18" t="str">
        <f>_xlfn.XLOOKUP(Customer[[#This Row],[Customer ID]],[1]!Address[ID],[1]!Address[Zone])</f>
        <v>CENTRAL</v>
      </c>
    </row>
    <row r="542" spans="1:29" x14ac:dyDescent="0.3">
      <c r="A542" s="10" t="s">
        <v>3909</v>
      </c>
      <c r="B542" s="11" t="str">
        <f>_xlfn.XLOOKUP(Customer[[#This Row],[Customer ID]],[1]!Name[ID],[1]!Name[Description(1)])</f>
        <v>MS PETRO TRADING</v>
      </c>
      <c r="C542" s="11" t="str">
        <f>_xlfn.XLOOKUP(Customer[[#This Row],[Customer ID]],[1]!Name[ID],[1]!Name[Description(2)])</f>
        <v>PS PEKAN SEMENYIH</v>
      </c>
      <c r="D542" s="11" t="str">
        <f>_xlfn.XLOOKUP(Customer[[#This Row],[Customer ID]],[1]!Address[ID],[1]!Address[PIC])</f>
        <v>Rozizan Othman</v>
      </c>
      <c r="E542" s="11" t="str">
        <f>_xlfn.XLOOKUP(Customer[[#This Row],[Customer ID]],[1]!Address[ID],[1]!Address[Full Address])</f>
        <v>PS PEKAN SEMENYIHLOT PT 1457 HS (D) 10683, PEKAN SEMENYIHHULU LANGAT SEMENYIH 43500 SELANGOR,43500, ULU LANGAT, SELANGOR</v>
      </c>
      <c r="F542" s="12" t="s">
        <v>3910</v>
      </c>
      <c r="G542" s="12" t="s">
        <v>3911</v>
      </c>
      <c r="H542" s="12" t="s">
        <v>3912</v>
      </c>
      <c r="I542" s="12" t="b">
        <f>ISNUMBER(VALUE(LEFT(Customer[[#This Row],[Address Line 3 (30 char)]],1)))</f>
        <v>0</v>
      </c>
      <c r="J542" s="12" t="s">
        <v>172</v>
      </c>
      <c r="K542" s="12">
        <v>43500</v>
      </c>
      <c r="L542" s="12" t="s">
        <v>35</v>
      </c>
      <c r="M542" s="13">
        <v>201803222866</v>
      </c>
      <c r="N542" s="14" t="s">
        <v>3913</v>
      </c>
      <c r="O542" s="14" t="e">
        <v>#N/A</v>
      </c>
      <c r="P542" s="14" t="e">
        <v>#N/A</v>
      </c>
      <c r="Q542" s="19" t="s">
        <v>3914</v>
      </c>
      <c r="R542" s="15" t="s">
        <v>3915</v>
      </c>
      <c r="S542" s="15" t="s">
        <v>37</v>
      </c>
      <c r="T542" s="16" t="s">
        <v>38</v>
      </c>
      <c r="U542" s="11" t="str">
        <f>_xlfn.XLOOKUP(Customer[[#This Row],[Customer ID]],[1]!Address[ID],[1]!Address[Phone No.(2)])</f>
        <v>196732947</v>
      </c>
      <c r="V542" s="11" t="str">
        <f>_xlfn.XLOOKUP(Customer[[#This Row],[Customer ID]],[1]!Address[ID],[1]!Address[Type])</f>
        <v>PETROMART</v>
      </c>
      <c r="W542" s="11" t="str">
        <f>_xlfn.XLOOKUP(Customer[[#This Row],[Customer ID]],[1]!Address[ID],[1]!Address[CT])</f>
        <v>30 DAYS</v>
      </c>
      <c r="X542" s="11" t="s">
        <v>39</v>
      </c>
      <c r="Y542" s="17" t="s">
        <v>40</v>
      </c>
      <c r="Z542" s="17" t="e">
        <f>_xlfn.XLOOKUP(Customer[[#This Row],[NewType]],$AF$36:$AF$54,$AG$36:$AG$54)</f>
        <v>#N/A</v>
      </c>
      <c r="AA542" s="17" t="s">
        <v>3916</v>
      </c>
      <c r="AB542" s="11" t="str">
        <f>_xlfn.XLOOKUP(Customer[[#This Row],[Customer ID]],[1]!Address[ID],[1]!Address[Subtype])</f>
        <v>PETRONAS</v>
      </c>
      <c r="AC542" s="18" t="str">
        <f>_xlfn.XLOOKUP(Customer[[#This Row],[Customer ID]],[1]!Address[ID],[1]!Address[Zone])</f>
        <v>CENTRAL</v>
      </c>
    </row>
    <row r="543" spans="1:29" x14ac:dyDescent="0.3">
      <c r="A543" s="10" t="s">
        <v>3917</v>
      </c>
      <c r="B543" s="11" t="str">
        <f>_xlfn.XLOOKUP(Customer[[#This Row],[Customer ID]],[1]!Name[ID],[1]!Name[Description(1)])</f>
        <v>STAR MART PETROLEUM SDN BHD</v>
      </c>
      <c r="C543" s="11" t="str">
        <f>_xlfn.XLOOKUP(Customer[[#This Row],[Customer ID]],[1]!Name[ID],[1]!Name[Description(2)])</f>
        <v>PS PEKAN SIMPANG</v>
      </c>
      <c r="D543" s="11" t="str">
        <f>_xlfn.XLOOKUP(Customer[[#This Row],[Customer ID]],[1]!Address[ID],[1]!Address[PIC])</f>
        <v/>
      </c>
      <c r="E543" s="11" t="str">
        <f>_xlfn.XLOOKUP(Customer[[#This Row],[Customer ID]],[1]!Address[ID],[1]!Address[Full Address])</f>
        <v>PS PEKAN SIMPANGPT 1341, JALAN KUALA KANGSAR,34700 SIMPANG TAIPING,   PERAK</v>
      </c>
      <c r="F543" s="12" t="s">
        <v>3918</v>
      </c>
      <c r="G543" s="12" t="s">
        <v>3919</v>
      </c>
      <c r="H543" s="24" t="s">
        <v>3920</v>
      </c>
      <c r="I543" s="24" t="b">
        <f>ISNUMBER(VALUE(LEFT(Customer[[#This Row],[Address Line 3 (30 char)]],1)))</f>
        <v>0</v>
      </c>
      <c r="J543" s="12" t="s">
        <v>387</v>
      </c>
      <c r="K543" s="12">
        <v>34700</v>
      </c>
      <c r="L543" s="12" t="s">
        <v>35</v>
      </c>
      <c r="M543" s="13" t="e">
        <v>#N/A</v>
      </c>
      <c r="N543" s="14" t="e">
        <v>#N/A</v>
      </c>
      <c r="O543" s="14" t="e">
        <v>#N/A</v>
      </c>
      <c r="P543" s="14" t="e">
        <v>#N/A</v>
      </c>
      <c r="Q543" s="19" t="s">
        <v>3921</v>
      </c>
      <c r="R543" s="15" t="s">
        <v>3915</v>
      </c>
      <c r="S543" s="15" t="s">
        <v>37</v>
      </c>
      <c r="T543" s="16" t="s">
        <v>38</v>
      </c>
      <c r="U543" s="11" t="str">
        <f>_xlfn.XLOOKUP(Customer[[#This Row],[Customer ID]],[1]!Address[ID],[1]!Address[Phone No.(2)])</f>
        <v/>
      </c>
      <c r="V543" s="11" t="str">
        <f>_xlfn.XLOOKUP(Customer[[#This Row],[Customer ID]],[1]!Address[ID],[1]!Address[Type])</f>
        <v>PETROMART</v>
      </c>
      <c r="W543" s="11" t="str">
        <f>_xlfn.XLOOKUP(Customer[[#This Row],[Customer ID]],[1]!Address[ID],[1]!Address[CT])</f>
        <v>30 DAYS</v>
      </c>
      <c r="X543" s="11" t="s">
        <v>39</v>
      </c>
      <c r="Y543" s="17" t="s">
        <v>40</v>
      </c>
      <c r="Z543" s="17" t="e">
        <f>_xlfn.XLOOKUP(Customer[[#This Row],[NewType]],$AF$36:$AF$54,$AG$36:$AG$54)</f>
        <v>#N/A</v>
      </c>
      <c r="AA543" s="17" t="s">
        <v>3922</v>
      </c>
      <c r="AB543" s="11" t="str">
        <f>_xlfn.XLOOKUP(Customer[[#This Row],[Customer ID]],[1]!Address[ID],[1]!Address[Subtype])</f>
        <v>PETRONAS</v>
      </c>
      <c r="AC543" s="18" t="str">
        <f>_xlfn.XLOOKUP(Customer[[#This Row],[Customer ID]],[1]!Address[ID],[1]!Address[Zone])</f>
        <v>NORTH</v>
      </c>
    </row>
    <row r="544" spans="1:29" x14ac:dyDescent="0.3">
      <c r="A544" s="10" t="s">
        <v>3923</v>
      </c>
      <c r="B544" s="11" t="str">
        <f>_xlfn.XLOOKUP(Customer[[#This Row],[Customer ID]],[1]!Name[ID],[1]!Name[Description(1)])</f>
        <v>SOBIRRIN PETRO &amp; MART</v>
      </c>
      <c r="C544" s="11" t="str">
        <f>_xlfn.XLOOKUP(Customer[[#This Row],[Customer ID]],[1]!Name[ID],[1]!Name[Description(2)])</f>
        <v>PS PELANGI INDAH</v>
      </c>
      <c r="D544" s="11" t="str">
        <f>_xlfn.XLOOKUP(Customer[[#This Row],[Customer ID]],[1]!Address[ID],[1]!Address[PIC])</f>
        <v/>
      </c>
      <c r="E544" s="11" t="str">
        <f>_xlfn.XLOOKUP(Customer[[#This Row],[Customer ID]],[1]!Address[ID],[1]!Address[Full Address])</f>
        <v>PS PELANGI INDAHLOT PTD 105615, NO.2, JALAN PESONA,TAMAN PELANGI INDAH, TEBRAU,81100 JOHOR BAHRU, JOHOR</v>
      </c>
      <c r="F544" s="12" t="s">
        <v>3924</v>
      </c>
      <c r="G544" s="12" t="s">
        <v>3925</v>
      </c>
      <c r="H544" s="12" t="s">
        <v>3926</v>
      </c>
      <c r="I544" s="12" t="b">
        <f>ISNUMBER(VALUE(LEFT(Customer[[#This Row],[Address Line 3 (30 char)]],1)))</f>
        <v>0</v>
      </c>
      <c r="J544" s="12" t="s">
        <v>52</v>
      </c>
      <c r="K544" s="12">
        <v>81100</v>
      </c>
      <c r="L544" s="12" t="s">
        <v>35</v>
      </c>
      <c r="M544" s="13">
        <v>200203124505</v>
      </c>
      <c r="N544" s="14" t="s">
        <v>3927</v>
      </c>
      <c r="O544" s="14" t="e">
        <v>#N/A</v>
      </c>
      <c r="P544" s="14" t="e">
        <v>#N/A</v>
      </c>
      <c r="Q544" s="19" t="s">
        <v>3928</v>
      </c>
      <c r="R544" s="15" t="s">
        <v>3929</v>
      </c>
      <c r="S544" s="15" t="s">
        <v>37</v>
      </c>
      <c r="T544" s="16" t="s">
        <v>38</v>
      </c>
      <c r="U544" s="11" t="str">
        <f>_xlfn.XLOOKUP(Customer[[#This Row],[Customer ID]],[1]!Address[ID],[1]!Address[Phone No.(2)])</f>
        <v/>
      </c>
      <c r="V544" s="11" t="str">
        <f>_xlfn.XLOOKUP(Customer[[#This Row],[Customer ID]],[1]!Address[ID],[1]!Address[Type])</f>
        <v>PETROMART</v>
      </c>
      <c r="W544" s="11" t="str">
        <f>_xlfn.XLOOKUP(Customer[[#This Row],[Customer ID]],[1]!Address[ID],[1]!Address[CT])</f>
        <v>30 DAYS</v>
      </c>
      <c r="X544" s="11" t="s">
        <v>39</v>
      </c>
      <c r="Y544" s="17" t="s">
        <v>40</v>
      </c>
      <c r="Z544" s="17" t="e">
        <f>_xlfn.XLOOKUP(Customer[[#This Row],[NewType]],$AF$36:$AF$54,$AG$36:$AG$54)</f>
        <v>#N/A</v>
      </c>
      <c r="AA544" s="17" t="s">
        <v>3930</v>
      </c>
      <c r="AB544" s="11" t="str">
        <f>_xlfn.XLOOKUP(Customer[[#This Row],[Customer ID]],[1]!Address[ID],[1]!Address[Subtype])</f>
        <v>PETRONAS</v>
      </c>
      <c r="AC544" s="18" t="str">
        <f>_xlfn.XLOOKUP(Customer[[#This Row],[Customer ID]],[1]!Address[ID],[1]!Address[Zone])</f>
        <v>SOUTH</v>
      </c>
    </row>
    <row r="545" spans="1:29" x14ac:dyDescent="0.3">
      <c r="A545" s="10" t="s">
        <v>3931</v>
      </c>
      <c r="B545" s="11" t="str">
        <f>_xlfn.XLOOKUP(Customer[[#This Row],[Customer ID]],[1]!Name[ID],[1]!Name[Description(1)])</f>
        <v>SATRIA SINAR ENTERPRISE</v>
      </c>
      <c r="C545" s="11" t="str">
        <f>_xlfn.XLOOKUP(Customer[[#This Row],[Customer ID]],[1]!Name[ID],[1]!Name[Description(2)])</f>
        <v>PS PELANGI SEMENYIH</v>
      </c>
      <c r="D545" s="11" t="str">
        <f>_xlfn.XLOOKUP(Customer[[#This Row],[Customer ID]],[1]!Address[ID],[1]!Address[PIC])</f>
        <v/>
      </c>
      <c r="E545" s="11" t="str">
        <f>_xlfn.XLOOKUP(Customer[[#This Row],[Customer ID]],[1]!Address[ID],[1]!Address[Full Address])</f>
        <v>PS PELANGI SEMENYIHLOT 26796 PELANGI SEMENYIH, MUKIMSEMENYIH, HULU LANGAT, 43500, SELANGOR</v>
      </c>
      <c r="F545" s="12" t="s">
        <v>3932</v>
      </c>
      <c r="G545" s="12" t="s">
        <v>3933</v>
      </c>
      <c r="H545" s="12" t="s">
        <v>3934</v>
      </c>
      <c r="I545" s="12" t="b">
        <f>ISNUMBER(VALUE(LEFT(Customer[[#This Row],[Address Line 3 (30 char)]],1)))</f>
        <v>0</v>
      </c>
      <c r="J545" s="12" t="s">
        <v>172</v>
      </c>
      <c r="K545" s="12">
        <v>43500</v>
      </c>
      <c r="L545" s="12" t="s">
        <v>35</v>
      </c>
      <c r="M545" s="13" t="e">
        <v>#N/A</v>
      </c>
      <c r="N545" s="14" t="e">
        <v>#N/A</v>
      </c>
      <c r="O545" s="14" t="e">
        <v>#N/A</v>
      </c>
      <c r="P545" s="14" t="e">
        <v>#N/A</v>
      </c>
      <c r="Q545" s="19" t="s">
        <v>3935</v>
      </c>
      <c r="R545" s="15" t="s">
        <v>3936</v>
      </c>
      <c r="S545" s="15" t="s">
        <v>37</v>
      </c>
      <c r="T545" s="16" t="s">
        <v>38</v>
      </c>
      <c r="U545" s="11" t="str">
        <f>_xlfn.XLOOKUP(Customer[[#This Row],[Customer ID]],[1]!Address[ID],[1]!Address[Phone No.(2)])</f>
        <v/>
      </c>
      <c r="V545" s="11" t="str">
        <f>_xlfn.XLOOKUP(Customer[[#This Row],[Customer ID]],[1]!Address[ID],[1]!Address[Type])</f>
        <v>PETROMART</v>
      </c>
      <c r="W545" s="11" t="str">
        <f>_xlfn.XLOOKUP(Customer[[#This Row],[Customer ID]],[1]!Address[ID],[1]!Address[CT])</f>
        <v>30 DAYS</v>
      </c>
      <c r="X545" s="11" t="s">
        <v>39</v>
      </c>
      <c r="Y545" s="17" t="s">
        <v>40</v>
      </c>
      <c r="Z545" s="17" t="e">
        <f>_xlfn.XLOOKUP(Customer[[#This Row],[NewType]],$AF$36:$AF$54,$AG$36:$AG$54)</f>
        <v>#N/A</v>
      </c>
      <c r="AA545" s="17" t="s">
        <v>3937</v>
      </c>
      <c r="AB545" s="11" t="str">
        <f>_xlfn.XLOOKUP(Customer[[#This Row],[Customer ID]],[1]!Address[ID],[1]!Address[Subtype])</f>
        <v>PETRONAS</v>
      </c>
      <c r="AC545" s="18" t="str">
        <f>_xlfn.XLOOKUP(Customer[[#This Row],[Customer ID]],[1]!Address[ID],[1]!Address[Zone])</f>
        <v>CENTRAL</v>
      </c>
    </row>
    <row r="546" spans="1:29" x14ac:dyDescent="0.3">
      <c r="A546" s="10" t="s">
        <v>3938</v>
      </c>
      <c r="B546" s="11" t="str">
        <f>_xlfn.XLOOKUP(Customer[[#This Row],[Customer ID]],[1]!Name[ID],[1]!Name[Description(1)])</f>
        <v>YAKSHA TRADING</v>
      </c>
      <c r="C546" s="11" t="str">
        <f>_xlfn.XLOOKUP(Customer[[#This Row],[Customer ID]],[1]!Name[ID],[1]!Name[Description(2)])</f>
        <v>PS PENDAMAR INDAH 1</v>
      </c>
      <c r="D546" s="11" t="str">
        <f>_xlfn.XLOOKUP(Customer[[#This Row],[Customer ID]],[1]!Address[ID],[1]!Address[PIC])</f>
        <v/>
      </c>
      <c r="E546" s="11" t="str">
        <f>_xlfn.XLOOKUP(Customer[[#This Row],[Customer ID]],[1]!Address[ID],[1]!Address[Full Address])</f>
        <v>PS PENDAMAR INDAH 1LOT PT 26061, SOLOK PENDAMAR INDAH 1,TAMAN PENDAMAR INDAH, PELABUHAN KLANG,42000, KLANG, SELANGOR</v>
      </c>
      <c r="F546" s="12" t="s">
        <v>3939</v>
      </c>
      <c r="G546" s="12" t="s">
        <v>3940</v>
      </c>
      <c r="H546" s="12" t="s">
        <v>3941</v>
      </c>
      <c r="I546" s="12" t="b">
        <f>ISNUMBER(VALUE(LEFT(Customer[[#This Row],[Address Line 3 (30 char)]],1)))</f>
        <v>0</v>
      </c>
      <c r="J546" s="12" t="s">
        <v>172</v>
      </c>
      <c r="K546" s="12">
        <v>42000</v>
      </c>
      <c r="L546" s="12" t="s">
        <v>35</v>
      </c>
      <c r="M546" s="13" t="e">
        <v>#N/A</v>
      </c>
      <c r="N546" s="14" t="e">
        <v>#N/A</v>
      </c>
      <c r="O546" s="14" t="e">
        <v>#N/A</v>
      </c>
      <c r="P546" s="14" t="e">
        <v>#N/A</v>
      </c>
      <c r="Q546" s="19" t="s">
        <v>3942</v>
      </c>
      <c r="R546" s="15" t="s">
        <v>3943</v>
      </c>
      <c r="S546" s="15" t="s">
        <v>37</v>
      </c>
      <c r="T546" s="16" t="s">
        <v>38</v>
      </c>
      <c r="U546" s="11" t="str">
        <f>_xlfn.XLOOKUP(Customer[[#This Row],[Customer ID]],[1]!Address[ID],[1]!Address[Phone No.(2)])</f>
        <v/>
      </c>
      <c r="V546" s="11" t="str">
        <f>_xlfn.XLOOKUP(Customer[[#This Row],[Customer ID]],[1]!Address[ID],[1]!Address[Type])</f>
        <v>PETROMART</v>
      </c>
      <c r="W546" s="11" t="str">
        <f>_xlfn.XLOOKUP(Customer[[#This Row],[Customer ID]],[1]!Address[ID],[1]!Address[CT])</f>
        <v>30 DAYS</v>
      </c>
      <c r="X546" s="11" t="s">
        <v>39</v>
      </c>
      <c r="Y546" s="17" t="s">
        <v>40</v>
      </c>
      <c r="Z546" s="17" t="e">
        <f>_xlfn.XLOOKUP(Customer[[#This Row],[NewType]],$AF$36:$AF$54,$AG$36:$AG$54)</f>
        <v>#N/A</v>
      </c>
      <c r="AA546" s="17" t="s">
        <v>3944</v>
      </c>
      <c r="AB546" s="11" t="str">
        <f>_xlfn.XLOOKUP(Customer[[#This Row],[Customer ID]],[1]!Address[ID],[1]!Address[Subtype])</f>
        <v>PETRONAS</v>
      </c>
      <c r="AC546" s="18" t="str">
        <f>_xlfn.XLOOKUP(Customer[[#This Row],[Customer ID]],[1]!Address[ID],[1]!Address[Zone])</f>
        <v>CENTRAL</v>
      </c>
    </row>
    <row r="547" spans="1:29" x14ac:dyDescent="0.3">
      <c r="A547" s="27" t="s">
        <v>3945</v>
      </c>
      <c r="B547" s="28" t="str">
        <f>_xlfn.XLOOKUP(Customer[[#This Row],[Customer ID]],[1]!Name[ID],[1]!Name[Description(1)])</f>
        <v>ROFHAZ ENTERPRISE</v>
      </c>
      <c r="C547" s="11" t="str">
        <f>_xlfn.XLOOKUP(Customer[[#This Row],[Customer ID]],[1]!Name[ID],[1]!Name[Description(2)])</f>
        <v>PS PENDAMAR INDAH 2</v>
      </c>
      <c r="D547" s="11" t="str">
        <f>_xlfn.XLOOKUP(Customer[[#This Row],[Customer ID]],[1]!Address[ID],[1]!Address[PIC])</f>
        <v>FARRAH WAHIDA</v>
      </c>
      <c r="E547" s="11" t="str">
        <f>_xlfn.XLOOKUP(Customer[[#This Row],[Customer ID]],[1]!Address[ID],[1]!Address[Full Address])</f>
        <v>PS PENDAMAR INDAH 2H.S. (D) 26752 PT 26387TMN PENDAMAR INDAH, MUKIM KLANG,41200 KLANG,SELANGOR</v>
      </c>
      <c r="F547" s="12" t="s">
        <v>3946</v>
      </c>
      <c r="G547" s="12" t="s">
        <v>3947</v>
      </c>
      <c r="H547" s="12" t="s">
        <v>3948</v>
      </c>
      <c r="I547" s="12" t="b">
        <f>ISNUMBER(VALUE(LEFT(Customer[[#This Row],[Address Line 3 (30 char)]],1)))</f>
        <v>0</v>
      </c>
      <c r="J547" s="12" t="s">
        <v>172</v>
      </c>
      <c r="K547" s="12">
        <v>41200</v>
      </c>
      <c r="L547" s="12" t="s">
        <v>35</v>
      </c>
      <c r="M547" s="13">
        <v>200203075275</v>
      </c>
      <c r="N547" s="14" t="e">
        <v>#N/A</v>
      </c>
      <c r="O547" s="14" t="e">
        <v>#N/A</v>
      </c>
      <c r="P547" s="14" t="e">
        <v>#N/A</v>
      </c>
      <c r="Q547" s="19" t="s">
        <v>3949</v>
      </c>
      <c r="R547" s="15" t="s">
        <v>3950</v>
      </c>
      <c r="S547" s="15" t="s">
        <v>37</v>
      </c>
      <c r="T547" s="16" t="s">
        <v>38</v>
      </c>
      <c r="U547" s="11" t="str">
        <f>_xlfn.XLOOKUP(Customer[[#This Row],[Customer ID]],[1]!Address[ID],[1]!Address[Phone No.(2)])</f>
        <v/>
      </c>
      <c r="V547" s="11" t="str">
        <f>_xlfn.XLOOKUP(Customer[[#This Row],[Customer ID]],[1]!Address[ID],[1]!Address[Type])</f>
        <v>PETROMART</v>
      </c>
      <c r="W547" s="11" t="str">
        <f>_xlfn.XLOOKUP(Customer[[#This Row],[Customer ID]],[1]!Address[ID],[1]!Address[CT])</f>
        <v>30 DAYS</v>
      </c>
      <c r="X547" s="11" t="s">
        <v>39</v>
      </c>
      <c r="Y547" s="17" t="s">
        <v>40</v>
      </c>
      <c r="Z547" s="17" t="e">
        <f>_xlfn.XLOOKUP(Customer[[#This Row],[NewType]],$AF$36:$AF$54,$AG$36:$AG$54)</f>
        <v>#N/A</v>
      </c>
      <c r="AA547" s="17" t="s">
        <v>3951</v>
      </c>
      <c r="AB547" s="11" t="str">
        <f>_xlfn.XLOOKUP(Customer[[#This Row],[Customer ID]],[1]!Address[ID],[1]!Address[Subtype])</f>
        <v>PETRONAS</v>
      </c>
      <c r="AC547" s="18" t="str">
        <f>_xlfn.XLOOKUP(Customer[[#This Row],[Customer ID]],[1]!Address[ID],[1]!Address[Zone])</f>
        <v>CENTRAL</v>
      </c>
    </row>
    <row r="548" spans="1:29" x14ac:dyDescent="0.3">
      <c r="A548" s="27" t="s">
        <v>3952</v>
      </c>
      <c r="B548" s="28" t="str">
        <f>_xlfn.XLOOKUP(Customer[[#This Row],[Customer ID]],[1]!Name[ID],[1]!Name[Description(1)])</f>
        <v>SNA CAHAYA MESRA ENTERPRISE</v>
      </c>
      <c r="C548" s="11" t="str">
        <f>_xlfn.XLOOKUP(Customer[[#This Row],[Customer ID]],[1]!Name[ID],[1]!Name[Description(2)])</f>
        <v>PS PENDANG</v>
      </c>
      <c r="D548" s="11" t="str">
        <f>_xlfn.XLOOKUP(Customer[[#This Row],[Customer ID]],[1]!Address[ID],[1]!Address[PIC])</f>
        <v/>
      </c>
      <c r="E548" s="11" t="str">
        <f>_xlfn.XLOOKUP(Customer[[#This Row],[Customer ID]],[1]!Address[ID],[1]!Address[Full Address])</f>
        <v>PS PENDANGLOT PT 669 (LOT 2065)JALAN BESAR, MUKIM PUTIH,06700 PENDANG, KEDAH</v>
      </c>
      <c r="F548" s="12" t="s">
        <v>3953</v>
      </c>
      <c r="G548" s="12" t="s">
        <v>3954</v>
      </c>
      <c r="H548" s="12" t="s">
        <v>3955</v>
      </c>
      <c r="I548" s="12" t="b">
        <f>ISNUMBER(VALUE(LEFT(Customer[[#This Row],[Address Line 3 (30 char)]],1)))</f>
        <v>0</v>
      </c>
      <c r="J548" s="12" t="s">
        <v>79</v>
      </c>
      <c r="K548" s="30" t="s">
        <v>3956</v>
      </c>
      <c r="L548" s="12" t="s">
        <v>35</v>
      </c>
      <c r="M548" s="13" t="e">
        <v>#N/A</v>
      </c>
      <c r="N548" s="14" t="e">
        <v>#N/A</v>
      </c>
      <c r="O548" s="14" t="e">
        <v>#N/A</v>
      </c>
      <c r="P548" s="14" t="e">
        <v>#N/A</v>
      </c>
      <c r="Q548" s="19" t="s">
        <v>3164</v>
      </c>
      <c r="R548" s="15" t="s">
        <v>3957</v>
      </c>
      <c r="S548" s="15" t="s">
        <v>74</v>
      </c>
      <c r="T548" s="16" t="s">
        <v>38</v>
      </c>
      <c r="U548" s="11" t="str">
        <f>_xlfn.XLOOKUP(Customer[[#This Row],[Customer ID]],[1]!Address[ID],[1]!Address[Phone No.(2)])</f>
        <v/>
      </c>
      <c r="V548" s="11" t="str">
        <f>_xlfn.XLOOKUP(Customer[[#This Row],[Customer ID]],[1]!Address[ID],[1]!Address[Type])</f>
        <v>PETROMART</v>
      </c>
      <c r="W548" s="11" t="str">
        <f>_xlfn.XLOOKUP(Customer[[#This Row],[Customer ID]],[1]!Address[ID],[1]!Address[CT])</f>
        <v>30 DAYS</v>
      </c>
      <c r="X548" s="11" t="s">
        <v>39</v>
      </c>
      <c r="Y548" s="17" t="s">
        <v>40</v>
      </c>
      <c r="Z548" s="17" t="e">
        <f>_xlfn.XLOOKUP(Customer[[#This Row],[NewType]],$AF$36:$AF$54,$AG$36:$AG$54)</f>
        <v>#N/A</v>
      </c>
      <c r="AA548" s="17" t="s">
        <v>3958</v>
      </c>
      <c r="AB548" s="11" t="str">
        <f>_xlfn.XLOOKUP(Customer[[#This Row],[Customer ID]],[1]!Address[ID],[1]!Address[Subtype])</f>
        <v>PETRONAS</v>
      </c>
      <c r="AC548" s="18" t="str">
        <f>_xlfn.XLOOKUP(Customer[[#This Row],[Customer ID]],[1]!Address[ID],[1]!Address[Zone])</f>
        <v>NORTH</v>
      </c>
    </row>
    <row r="549" spans="1:29" x14ac:dyDescent="0.3">
      <c r="A549" s="27" t="s">
        <v>3959</v>
      </c>
      <c r="B549" s="28" t="str">
        <f>_xlfn.XLOOKUP(Customer[[#This Row],[Customer ID]],[1]!Name[ID],[1]!Name[Description(1)])</f>
        <v>HADHARI MESRA ENTERPRISE</v>
      </c>
      <c r="C549" s="11" t="str">
        <f>_xlfn.XLOOKUP(Customer[[#This Row],[Customer ID]],[1]!Name[ID],[1]!Name[Description(2)])</f>
        <v>PS PENGKALAN KUNDOR 2 (TANDOP)</v>
      </c>
      <c r="D549" s="11" t="str">
        <f>_xlfn.XLOOKUP(Customer[[#This Row],[Customer ID]],[1]!Address[ID],[1]!Address[PIC])</f>
        <v/>
      </c>
      <c r="E549" s="11" t="str">
        <f>_xlfn.XLOOKUP(Customer[[#This Row],[Customer ID]],[1]!Address[ID],[1]!Address[Full Address])</f>
        <v>PS PENGKALAN KUNDOR 2 (TANDOP)LOT PT 12770 HS(M) 1932MUKIM PENGKALAN KUNDOR, KOTA SETAR,05400 KEDAH</v>
      </c>
      <c r="F549" s="12" t="s">
        <v>3960</v>
      </c>
      <c r="G549" s="12" t="s">
        <v>3961</v>
      </c>
      <c r="H549" s="12" t="s">
        <v>3962</v>
      </c>
      <c r="I549" s="12" t="b">
        <f>ISNUMBER(VALUE(LEFT(Customer[[#This Row],[Address Line 3 (30 char)]],1)))</f>
        <v>0</v>
      </c>
      <c r="J549" s="12" t="s">
        <v>79</v>
      </c>
      <c r="K549" s="30" t="s">
        <v>3202</v>
      </c>
      <c r="L549" s="12" t="s">
        <v>35</v>
      </c>
      <c r="M549" s="13" t="e">
        <v>#N/A</v>
      </c>
      <c r="N549" s="14" t="e">
        <v>#N/A</v>
      </c>
      <c r="O549" s="14" t="e">
        <v>#N/A</v>
      </c>
      <c r="P549" s="14" t="e">
        <v>#N/A</v>
      </c>
      <c r="Q549" s="19" t="s">
        <v>3963</v>
      </c>
      <c r="R549" s="15" t="s">
        <v>3964</v>
      </c>
      <c r="S549" s="15" t="s">
        <v>74</v>
      </c>
      <c r="T549" s="16" t="s">
        <v>38</v>
      </c>
      <c r="U549" s="11" t="str">
        <f>_xlfn.XLOOKUP(Customer[[#This Row],[Customer ID]],[1]!Address[ID],[1]!Address[Phone No.(2)])</f>
        <v/>
      </c>
      <c r="V549" s="11" t="str">
        <f>_xlfn.XLOOKUP(Customer[[#This Row],[Customer ID]],[1]!Address[ID],[1]!Address[Type])</f>
        <v>PETROMART</v>
      </c>
      <c r="W549" s="11" t="str">
        <f>_xlfn.XLOOKUP(Customer[[#This Row],[Customer ID]],[1]!Address[ID],[1]!Address[CT])</f>
        <v>30 DAYS</v>
      </c>
      <c r="X549" s="11" t="s">
        <v>39</v>
      </c>
      <c r="Y549" s="17" t="s">
        <v>40</v>
      </c>
      <c r="Z549" s="17" t="e">
        <f>_xlfn.XLOOKUP(Customer[[#This Row],[NewType]],$AF$36:$AF$54,$AG$36:$AG$54)</f>
        <v>#N/A</v>
      </c>
      <c r="AA549" s="17" t="s">
        <v>3965</v>
      </c>
      <c r="AB549" s="11" t="str">
        <f>_xlfn.XLOOKUP(Customer[[#This Row],[Customer ID]],[1]!Address[ID],[1]!Address[Subtype])</f>
        <v>PETRONAS</v>
      </c>
      <c r="AC549" s="18" t="str">
        <f>_xlfn.XLOOKUP(Customer[[#This Row],[Customer ID]],[1]!Address[ID],[1]!Address[Zone])</f>
        <v>NORTH</v>
      </c>
    </row>
    <row r="550" spans="1:29" x14ac:dyDescent="0.3">
      <c r="A550" s="10" t="s">
        <v>3966</v>
      </c>
      <c r="B550" s="11" t="str">
        <f>_xlfn.XLOOKUP(Customer[[#This Row],[Customer ID]],[1]!Name[ID],[1]!Name[Description(1)])</f>
        <v>DURAR SERVICE STATION</v>
      </c>
      <c r="C550" s="11" t="str">
        <f>_xlfn.XLOOKUP(Customer[[#This Row],[Customer ID]],[1]!Name[ID],[1]!Name[Description(2)])</f>
        <v>PS PERAMU 2</v>
      </c>
      <c r="D550" s="11" t="str">
        <f>_xlfn.XLOOKUP(Customer[[#This Row],[Customer ID]],[1]!Address[ID],[1]!Address[PIC])</f>
        <v/>
      </c>
      <c r="E550" s="11" t="str">
        <f>_xlfn.XLOOKUP(Customer[[#This Row],[Customer ID]],[1]!Address[ID],[1]!Address[Full Address])</f>
        <v>PS PERAMU 2LOT 879, GM 837, MUKIM LANGGAR,26600 PEKAN, PAHANG</v>
      </c>
      <c r="F550" s="12" t="s">
        <v>3967</v>
      </c>
      <c r="G550" s="12" t="s">
        <v>3968</v>
      </c>
      <c r="H550" s="12" t="s">
        <v>3969</v>
      </c>
      <c r="I550" s="12" t="b">
        <f>ISNUMBER(VALUE(LEFT(Customer[[#This Row],[Address Line 3 (30 char)]],1)))</f>
        <v>0</v>
      </c>
      <c r="J550" s="12" t="s">
        <v>339</v>
      </c>
      <c r="K550" s="12">
        <v>26600</v>
      </c>
      <c r="L550" s="12" t="s">
        <v>35</v>
      </c>
      <c r="M550" s="13">
        <v>201303303433</v>
      </c>
      <c r="N550" s="14" t="s">
        <v>3970</v>
      </c>
      <c r="O550" s="14" t="s">
        <v>54</v>
      </c>
      <c r="P550" s="14">
        <v>47300</v>
      </c>
      <c r="Q550" s="19" t="s">
        <v>2713</v>
      </c>
      <c r="R550" s="15" t="s">
        <v>3971</v>
      </c>
      <c r="S550" s="15" t="s">
        <v>37</v>
      </c>
      <c r="T550" s="16" t="s">
        <v>38</v>
      </c>
      <c r="U550" s="11" t="str">
        <f>_xlfn.XLOOKUP(Customer[[#This Row],[Customer ID]],[1]!Address[ID],[1]!Address[Phone No.(2)])</f>
        <v/>
      </c>
      <c r="V550" s="11" t="str">
        <f>_xlfn.XLOOKUP(Customer[[#This Row],[Customer ID]],[1]!Address[ID],[1]!Address[Type])</f>
        <v>PETROMART</v>
      </c>
      <c r="W550" s="11" t="str">
        <f>_xlfn.XLOOKUP(Customer[[#This Row],[Customer ID]],[1]!Address[ID],[1]!Address[CT])</f>
        <v>30 DAYS</v>
      </c>
      <c r="X550" s="11" t="s">
        <v>39</v>
      </c>
      <c r="Y550" s="17" t="s">
        <v>40</v>
      </c>
      <c r="Z550" s="17" t="e">
        <f>_xlfn.XLOOKUP(Customer[[#This Row],[NewType]],$AF$36:$AF$54,$AG$36:$AG$54)</f>
        <v>#N/A</v>
      </c>
      <c r="AA550" s="17" t="s">
        <v>3972</v>
      </c>
      <c r="AB550" s="11" t="str">
        <f>_xlfn.XLOOKUP(Customer[[#This Row],[Customer ID]],[1]!Address[ID],[1]!Address[Subtype])</f>
        <v>PETRONAS</v>
      </c>
      <c r="AC550" s="18" t="str">
        <f>_xlfn.XLOOKUP(Customer[[#This Row],[Customer ID]],[1]!Address[ID],[1]!Address[Zone])</f>
        <v>EAST COAST</v>
      </c>
    </row>
    <row r="551" spans="1:29" x14ac:dyDescent="0.3">
      <c r="A551" s="10" t="s">
        <v>3973</v>
      </c>
      <c r="B551" s="11" t="str">
        <f>_xlfn.XLOOKUP(Customer[[#This Row],[Customer ID]],[1]!Name[ID],[1]!Name[Description(1)])</f>
        <v>H &amp; J EIDAMAN</v>
      </c>
      <c r="C551" s="11" t="str">
        <f>_xlfn.XLOOKUP(Customer[[#This Row],[Customer ID]],[1]!Name[ID],[1]!Name[Description(2)])</f>
        <v>PS PERMAS JAYA 2</v>
      </c>
      <c r="D551" s="11" t="str">
        <f>_xlfn.XLOOKUP(Customer[[#This Row],[Customer ID]],[1]!Address[ID],[1]!Address[PIC])</f>
        <v/>
      </c>
      <c r="E551" s="11" t="str">
        <f>_xlfn.XLOOKUP(Customer[[#This Row],[Customer ID]],[1]!Address[ID],[1]!Address[Full Address])</f>
        <v>PS PERMAS JAYA 2LOT PTD 100976, TAMAN PERMAS JAYA 2,81750, JOHOR BAHRU, JOHOR</v>
      </c>
      <c r="F551" s="12" t="s">
        <v>3974</v>
      </c>
      <c r="G551" s="12" t="s">
        <v>3975</v>
      </c>
      <c r="H551" s="12" t="s">
        <v>2607</v>
      </c>
      <c r="I551" s="12" t="b">
        <f>ISNUMBER(VALUE(LEFT(Customer[[#This Row],[Address Line 3 (30 char)]],1)))</f>
        <v>0</v>
      </c>
      <c r="J551" s="12" t="s">
        <v>52</v>
      </c>
      <c r="K551" s="12">
        <v>81750</v>
      </c>
      <c r="L551" s="12" t="s">
        <v>35</v>
      </c>
      <c r="M551" s="13" t="e">
        <v>#N/A</v>
      </c>
      <c r="N551" s="14" t="e">
        <v>#N/A</v>
      </c>
      <c r="O551" s="14" t="e">
        <v>#N/A</v>
      </c>
      <c r="P551" s="14" t="e">
        <v>#N/A</v>
      </c>
      <c r="Q551" s="19" t="s">
        <v>653</v>
      </c>
      <c r="R551" s="15" t="s">
        <v>3976</v>
      </c>
      <c r="S551" s="15" t="s">
        <v>37</v>
      </c>
      <c r="T551" s="16" t="s">
        <v>38</v>
      </c>
      <c r="U551" s="11" t="str">
        <f>_xlfn.XLOOKUP(Customer[[#This Row],[Customer ID]],[1]!Address[ID],[1]!Address[Phone No.(2)])</f>
        <v/>
      </c>
      <c r="V551" s="11" t="str">
        <f>_xlfn.XLOOKUP(Customer[[#This Row],[Customer ID]],[1]!Address[ID],[1]!Address[Type])</f>
        <v>PETROMART</v>
      </c>
      <c r="W551" s="11" t="str">
        <f>_xlfn.XLOOKUP(Customer[[#This Row],[Customer ID]],[1]!Address[ID],[1]!Address[CT])</f>
        <v>30 DAYS</v>
      </c>
      <c r="X551" s="11" t="s">
        <v>39</v>
      </c>
      <c r="Y551" s="17" t="s">
        <v>40</v>
      </c>
      <c r="Z551" s="17" t="e">
        <f>_xlfn.XLOOKUP(Customer[[#This Row],[NewType]],$AF$36:$AF$54,$AG$36:$AG$54)</f>
        <v>#N/A</v>
      </c>
      <c r="AA551" s="17" t="s">
        <v>3977</v>
      </c>
      <c r="AB551" s="11" t="str">
        <f>_xlfn.XLOOKUP(Customer[[#This Row],[Customer ID]],[1]!Address[ID],[1]!Address[Subtype])</f>
        <v>PETRONAS</v>
      </c>
      <c r="AC551" s="18" t="str">
        <f>_xlfn.XLOOKUP(Customer[[#This Row],[Customer ID]],[1]!Address[ID],[1]!Address[Zone])</f>
        <v>SOUTH</v>
      </c>
    </row>
    <row r="552" spans="1:29" x14ac:dyDescent="0.3">
      <c r="A552" s="10" t="s">
        <v>3978</v>
      </c>
      <c r="B552" s="11" t="str">
        <f>_xlfn.XLOOKUP(Customer[[#This Row],[Customer ID]],[1]!Name[ID],[1]!Name[Description(1)])</f>
        <v>PETPRO 2 ENTERPRISE</v>
      </c>
      <c r="C552" s="11" t="str">
        <f>_xlfn.XLOOKUP(Customer[[#This Row],[Customer ID]],[1]!Name[ID],[1]!Name[Description(2)])</f>
        <v>PS PERMAS KECIL</v>
      </c>
      <c r="D552" s="11" t="str">
        <f>_xlfn.XLOOKUP(Customer[[#This Row],[Customer ID]],[1]!Address[ID],[1]!Address[PIC])</f>
        <v/>
      </c>
      <c r="E552" s="11" t="str">
        <f>_xlfn.XLOOKUP(Customer[[#This Row],[Customer ID]],[1]!Address[ID],[1]!Address[Full Address])</f>
        <v>PS PERMAS KECILLOT 813 GERAN 94570, PERMAS KECHIL,JALAN KUKUP-PONTIAN, MUKIM SERKAT,82000 PONTIAN, JOHOR</v>
      </c>
      <c r="F552" s="12" t="s">
        <v>3979</v>
      </c>
      <c r="G552" s="12" t="s">
        <v>3980</v>
      </c>
      <c r="H552" s="12" t="s">
        <v>3981</v>
      </c>
      <c r="I552" s="12" t="b">
        <f>ISNUMBER(VALUE(LEFT(Customer[[#This Row],[Address Line 3 (30 char)]],1)))</f>
        <v>0</v>
      </c>
      <c r="J552" s="12" t="s">
        <v>52</v>
      </c>
      <c r="K552" s="12">
        <v>82000</v>
      </c>
      <c r="L552" s="12" t="s">
        <v>35</v>
      </c>
      <c r="M552" s="13" t="e">
        <v>#N/A</v>
      </c>
      <c r="N552" s="14" t="e">
        <v>#N/A</v>
      </c>
      <c r="O552" s="14" t="e">
        <v>#N/A</v>
      </c>
      <c r="P552" s="14" t="e">
        <v>#N/A</v>
      </c>
      <c r="Q552" s="19" t="s">
        <v>3982</v>
      </c>
      <c r="R552" s="15" t="s">
        <v>3983</v>
      </c>
      <c r="S552" s="15" t="s">
        <v>37</v>
      </c>
      <c r="T552" s="16" t="s">
        <v>38</v>
      </c>
      <c r="U552" s="11" t="str">
        <f>_xlfn.XLOOKUP(Customer[[#This Row],[Customer ID]],[1]!Address[ID],[1]!Address[Phone No.(2)])</f>
        <v/>
      </c>
      <c r="V552" s="11" t="str">
        <f>_xlfn.XLOOKUP(Customer[[#This Row],[Customer ID]],[1]!Address[ID],[1]!Address[Type])</f>
        <v>PETROMART</v>
      </c>
      <c r="W552" s="11" t="str">
        <f>_xlfn.XLOOKUP(Customer[[#This Row],[Customer ID]],[1]!Address[ID],[1]!Address[CT])</f>
        <v>30 DAYS</v>
      </c>
      <c r="X552" s="11" t="s">
        <v>39</v>
      </c>
      <c r="Y552" s="17" t="s">
        <v>40</v>
      </c>
      <c r="Z552" s="17" t="e">
        <f>_xlfn.XLOOKUP(Customer[[#This Row],[NewType]],$AF$36:$AF$54,$AG$36:$AG$54)</f>
        <v>#N/A</v>
      </c>
      <c r="AA552" s="17" t="s">
        <v>3984</v>
      </c>
      <c r="AB552" s="11" t="str">
        <f>_xlfn.XLOOKUP(Customer[[#This Row],[Customer ID]],[1]!Address[ID],[1]!Address[Subtype])</f>
        <v>PETRONAS</v>
      </c>
      <c r="AC552" s="18" t="str">
        <f>_xlfn.XLOOKUP(Customer[[#This Row],[Customer ID]],[1]!Address[ID],[1]!Address[Zone])</f>
        <v>SOUTH</v>
      </c>
    </row>
    <row r="553" spans="1:29" x14ac:dyDescent="0.3">
      <c r="A553" s="10" t="s">
        <v>3985</v>
      </c>
      <c r="B553" s="11" t="str">
        <f>_xlfn.XLOOKUP(Customer[[#This Row],[Customer ID]],[1]!Name[ID],[1]!Name[Description(1)])</f>
        <v>AL FAYAKUN RESOURCES</v>
      </c>
      <c r="C553" s="11" t="str">
        <f>_xlfn.XLOOKUP(Customer[[#This Row],[Customer ID]],[1]!Name[ID],[1]!Name[Description(2)])</f>
        <v>PS PERMATANG BADAK</v>
      </c>
      <c r="D553" s="11" t="str">
        <f>_xlfn.XLOOKUP(Customer[[#This Row],[Customer ID]],[1]!Address[ID],[1]!Address[PIC])</f>
        <v/>
      </c>
      <c r="E553" s="11" t="str">
        <f>_xlfn.XLOOKUP(Customer[[#This Row],[Customer ID]],[1]!Address[ID],[1]!Address[Full Address])</f>
        <v>PS PERMATANG BADAKPART OF LOT 38719, GM 15725,MUKIM KUALA KUANTAN,25150 KUANTAN, PAHANG</v>
      </c>
      <c r="F553" s="12" t="s">
        <v>3986</v>
      </c>
      <c r="G553" s="12" t="s">
        <v>3987</v>
      </c>
      <c r="H553" s="12" t="s">
        <v>3988</v>
      </c>
      <c r="I553" s="12" t="b">
        <f>ISNUMBER(VALUE(LEFT(Customer[[#This Row],[Address Line 3 (30 char)]],1)))</f>
        <v>0</v>
      </c>
      <c r="J553" s="12" t="s">
        <v>339</v>
      </c>
      <c r="K553" s="12">
        <v>25150</v>
      </c>
      <c r="L553" s="12" t="s">
        <v>35</v>
      </c>
      <c r="M553" s="13" t="e">
        <v>#N/A</v>
      </c>
      <c r="N553" s="14" t="e">
        <v>#N/A</v>
      </c>
      <c r="O553" s="14" t="e">
        <v>#N/A</v>
      </c>
      <c r="P553" s="14" t="e">
        <v>#N/A</v>
      </c>
      <c r="Q553" s="19" t="s">
        <v>3989</v>
      </c>
      <c r="R553" s="15" t="s">
        <v>3990</v>
      </c>
      <c r="S553" s="15" t="s">
        <v>37</v>
      </c>
      <c r="T553" s="16" t="s">
        <v>38</v>
      </c>
      <c r="U553" s="11" t="str">
        <f>_xlfn.XLOOKUP(Customer[[#This Row],[Customer ID]],[1]!Address[ID],[1]!Address[Phone No.(2)])</f>
        <v/>
      </c>
      <c r="V553" s="11" t="str">
        <f>_xlfn.XLOOKUP(Customer[[#This Row],[Customer ID]],[1]!Address[ID],[1]!Address[Type])</f>
        <v>PETROMART</v>
      </c>
      <c r="W553" s="11" t="str">
        <f>_xlfn.XLOOKUP(Customer[[#This Row],[Customer ID]],[1]!Address[ID],[1]!Address[CT])</f>
        <v>30 DAYS</v>
      </c>
      <c r="X553" s="11" t="s">
        <v>39</v>
      </c>
      <c r="Y553" s="17" t="s">
        <v>40</v>
      </c>
      <c r="Z553" s="17" t="e">
        <f>_xlfn.XLOOKUP(Customer[[#This Row],[NewType]],$AF$36:$AF$54,$AG$36:$AG$54)</f>
        <v>#N/A</v>
      </c>
      <c r="AA553" s="17" t="s">
        <v>3991</v>
      </c>
      <c r="AB553" s="11" t="str">
        <f>_xlfn.XLOOKUP(Customer[[#This Row],[Customer ID]],[1]!Address[ID],[1]!Address[Subtype])</f>
        <v>PETRONAS</v>
      </c>
      <c r="AC553" s="18" t="str">
        <f>_xlfn.XLOOKUP(Customer[[#This Row],[Customer ID]],[1]!Address[ID],[1]!Address[Zone])</f>
        <v>EAST COAST</v>
      </c>
    </row>
    <row r="554" spans="1:29" x14ac:dyDescent="0.3">
      <c r="A554" s="10" t="s">
        <v>3992</v>
      </c>
      <c r="B554" s="11" t="str">
        <f>_xlfn.XLOOKUP(Customer[[#This Row],[Customer ID]],[1]!Name[ID],[1]!Name[Description(1)])</f>
        <v>MNM FUELS ENTERPRISE</v>
      </c>
      <c r="C554" s="11" t="str">
        <f>_xlfn.XLOOKUP(Customer[[#This Row],[Customer ID]],[1]!Name[ID],[1]!Name[Description(2)])</f>
        <v>PS PERMATANG BATU</v>
      </c>
      <c r="D554" s="11" t="str">
        <f>_xlfn.XLOOKUP(Customer[[#This Row],[Customer ID]],[1]!Address[ID],[1]!Address[PIC])</f>
        <v/>
      </c>
      <c r="E554" s="11" t="str">
        <f>_xlfn.XLOOKUP(Customer[[#This Row],[Customer ID]],[1]!Address[ID],[1]!Address[Full Address])</f>
        <v>PS PERMATANG BATULOT 863 JALAN PERMATANG BATU,BUKIT MERTAJAM,14000 SEBERANG PERAI TENGAH,PULAU PINANG</v>
      </c>
      <c r="F554" s="12" t="s">
        <v>3993</v>
      </c>
      <c r="G554" s="12" t="s">
        <v>3994</v>
      </c>
      <c r="H554" s="12" t="s">
        <v>724</v>
      </c>
      <c r="I554" s="12" t="b">
        <f>ISNUMBER(VALUE(LEFT(Customer[[#This Row],[Address Line 3 (30 char)]],1)))</f>
        <v>0</v>
      </c>
      <c r="J554" s="12" t="s">
        <v>179</v>
      </c>
      <c r="K554" s="12">
        <v>14000</v>
      </c>
      <c r="L554" s="12" t="s">
        <v>35</v>
      </c>
      <c r="M554" s="13" t="e">
        <v>#N/A</v>
      </c>
      <c r="N554" s="14" t="e">
        <v>#N/A</v>
      </c>
      <c r="O554" s="14" t="e">
        <v>#N/A</v>
      </c>
      <c r="P554" s="14" t="e">
        <v>#N/A</v>
      </c>
      <c r="Q554" s="19" t="s">
        <v>3995</v>
      </c>
      <c r="R554" s="15" t="s">
        <v>3996</v>
      </c>
      <c r="S554" s="15" t="s">
        <v>74</v>
      </c>
      <c r="T554" s="16" t="s">
        <v>38</v>
      </c>
      <c r="U554" s="11" t="str">
        <f>_xlfn.XLOOKUP(Customer[[#This Row],[Customer ID]],[1]!Address[ID],[1]!Address[Phone No.(2)])</f>
        <v/>
      </c>
      <c r="V554" s="11" t="str">
        <f>_xlfn.XLOOKUP(Customer[[#This Row],[Customer ID]],[1]!Address[ID],[1]!Address[Type])</f>
        <v>PETROMART</v>
      </c>
      <c r="W554" s="11" t="str">
        <f>_xlfn.XLOOKUP(Customer[[#This Row],[Customer ID]],[1]!Address[ID],[1]!Address[CT])</f>
        <v>30 DAYS</v>
      </c>
      <c r="X554" s="11" t="s">
        <v>39</v>
      </c>
      <c r="Y554" s="17" t="s">
        <v>40</v>
      </c>
      <c r="Z554" s="17" t="e">
        <f>_xlfn.XLOOKUP(Customer[[#This Row],[NewType]],$AF$36:$AF$54,$AG$36:$AG$54)</f>
        <v>#N/A</v>
      </c>
      <c r="AA554" s="17" t="s">
        <v>3997</v>
      </c>
      <c r="AB554" s="11" t="str">
        <f>_xlfn.XLOOKUP(Customer[[#This Row],[Customer ID]],[1]!Address[ID],[1]!Address[Subtype])</f>
        <v>PETRONAS</v>
      </c>
      <c r="AC554" s="18" t="str">
        <f>_xlfn.XLOOKUP(Customer[[#This Row],[Customer ID]],[1]!Address[ID],[1]!Address[Zone])</f>
        <v>NORTH</v>
      </c>
    </row>
    <row r="555" spans="1:29" x14ac:dyDescent="0.3">
      <c r="A555" s="27" t="s">
        <v>3998</v>
      </c>
      <c r="B555" s="28" t="str">
        <f>_xlfn.XLOOKUP(Customer[[#This Row],[Customer ID]],[1]!Name[ID],[1]!Name[Description(1)])</f>
        <v>SRI SEJATI PETROLUEM SDN BHD</v>
      </c>
      <c r="C555" s="11" t="str">
        <f>_xlfn.XLOOKUP(Customer[[#This Row],[Customer ID]],[1]!Name[ID],[1]!Name[Description(2)])</f>
        <v>PS PERMATANG GEDONG</v>
      </c>
      <c r="D555" s="11" t="str">
        <f>_xlfn.XLOOKUP(Customer[[#This Row],[Customer ID]],[1]!Address[ID],[1]!Address[PIC])</f>
        <v/>
      </c>
      <c r="E555" s="11" t="str">
        <f>_xlfn.XLOOKUP(Customer[[#This Row],[Customer ID]],[1]!Address[ID],[1]!Address[Full Address])</f>
        <v>PS PERMATANG GEDONGNO. 1 JALAN PERMATANG GEDONG,PUSAT PERNIAGAAN SEJATI,08000 SUNGAI PETANI,  KEDAH DARUL AMAN</v>
      </c>
      <c r="F555" s="12" t="s">
        <v>3999</v>
      </c>
      <c r="G555" s="12" t="s">
        <v>4000</v>
      </c>
      <c r="H555" s="12" t="s">
        <v>4001</v>
      </c>
      <c r="I555" s="12" t="b">
        <f>ISNUMBER(VALUE(LEFT(Customer[[#This Row],[Address Line 3 (30 char)]],1)))</f>
        <v>0</v>
      </c>
      <c r="J555" s="12" t="s">
        <v>79</v>
      </c>
      <c r="K555" s="30" t="s">
        <v>296</v>
      </c>
      <c r="L555" s="12" t="s">
        <v>35</v>
      </c>
      <c r="M555" s="13">
        <v>202001010160</v>
      </c>
      <c r="N555" s="14" t="s">
        <v>4002</v>
      </c>
      <c r="O555" s="14" t="s">
        <v>54</v>
      </c>
      <c r="P555" s="14">
        <v>47300</v>
      </c>
      <c r="Q555" s="19" t="s">
        <v>4003</v>
      </c>
      <c r="R555" s="15" t="s">
        <v>4004</v>
      </c>
      <c r="S555" s="15" t="s">
        <v>74</v>
      </c>
      <c r="T555" s="16" t="s">
        <v>38</v>
      </c>
      <c r="U555" s="11" t="str">
        <f>_xlfn.XLOOKUP(Customer[[#This Row],[Customer ID]],[1]!Address[ID],[1]!Address[Phone No.(2)])</f>
        <v/>
      </c>
      <c r="V555" s="11" t="str">
        <f>_xlfn.XLOOKUP(Customer[[#This Row],[Customer ID]],[1]!Address[ID],[1]!Address[Type])</f>
        <v>PETROMART</v>
      </c>
      <c r="W555" s="11" t="str">
        <f>_xlfn.XLOOKUP(Customer[[#This Row],[Customer ID]],[1]!Address[ID],[1]!Address[CT])</f>
        <v>30 DAYS</v>
      </c>
      <c r="X555" s="11" t="s">
        <v>39</v>
      </c>
      <c r="Y555" s="17" t="s">
        <v>40</v>
      </c>
      <c r="Z555" s="17" t="e">
        <f>_xlfn.XLOOKUP(Customer[[#This Row],[NewType]],$AF$36:$AF$54,$AG$36:$AG$54)</f>
        <v>#N/A</v>
      </c>
      <c r="AA555" s="17" t="s">
        <v>4005</v>
      </c>
      <c r="AB555" s="11" t="str">
        <f>_xlfn.XLOOKUP(Customer[[#This Row],[Customer ID]],[1]!Address[ID],[1]!Address[Subtype])</f>
        <v>PETRONAS</v>
      </c>
      <c r="AC555" s="18" t="str">
        <f>_xlfn.XLOOKUP(Customer[[#This Row],[Customer ID]],[1]!Address[ID],[1]!Address[Zone])</f>
        <v>NORTH</v>
      </c>
    </row>
    <row r="556" spans="1:29" x14ac:dyDescent="0.3">
      <c r="A556" s="10" t="s">
        <v>4006</v>
      </c>
      <c r="B556" s="11" t="str">
        <f>_xlfn.XLOOKUP(Customer[[#This Row],[Customer ID]],[1]!Name[ID],[1]!Name[Description(1)])</f>
        <v>IMS APEC STATION</v>
      </c>
      <c r="C556" s="11" t="str">
        <f>_xlfn.XLOOKUP(Customer[[#This Row],[Customer ID]],[1]!Name[ID],[1]!Name[Description(2)])</f>
        <v>PS PERSIARAN APEC</v>
      </c>
      <c r="D556" s="11" t="str">
        <f>_xlfn.XLOOKUP(Customer[[#This Row],[Customer ID]],[1]!Address[ID],[1]!Address[PIC])</f>
        <v/>
      </c>
      <c r="E556" s="11" t="str">
        <f>_xlfn.XLOOKUP(Customer[[#This Row],[Customer ID]],[1]!Address[ID],[1]!Address[Full Address])</f>
        <v>PS PERSIARAN APECLOT PT 29771 HS(D) 17393, PERSIARAN APECCYBER 3, MUKIM DENGKIL,63000 SEPANG, SELANGOR</v>
      </c>
      <c r="F556" s="12" t="s">
        <v>4007</v>
      </c>
      <c r="G556" s="12" t="s">
        <v>4008</v>
      </c>
      <c r="H556" s="12" t="s">
        <v>4009</v>
      </c>
      <c r="I556" s="12" t="b">
        <f>ISNUMBER(VALUE(LEFT(Customer[[#This Row],[Address Line 3 (30 char)]],1)))</f>
        <v>0</v>
      </c>
      <c r="J556" s="12" t="s">
        <v>172</v>
      </c>
      <c r="K556" s="12">
        <v>63000</v>
      </c>
      <c r="L556" s="12" t="s">
        <v>35</v>
      </c>
      <c r="M556" s="13" t="e">
        <v>#N/A</v>
      </c>
      <c r="N556" s="14" t="e">
        <v>#N/A</v>
      </c>
      <c r="O556" s="14" t="e">
        <v>#N/A</v>
      </c>
      <c r="P556" s="14" t="e">
        <v>#N/A</v>
      </c>
      <c r="Q556" s="19" t="s">
        <v>4010</v>
      </c>
      <c r="R556" s="15" t="s">
        <v>4011</v>
      </c>
      <c r="S556" s="15" t="s">
        <v>37</v>
      </c>
      <c r="T556" s="16" t="s">
        <v>38</v>
      </c>
      <c r="U556" s="11" t="str">
        <f>_xlfn.XLOOKUP(Customer[[#This Row],[Customer ID]],[1]!Address[ID],[1]!Address[Phone No.(2)])</f>
        <v/>
      </c>
      <c r="V556" s="11" t="str">
        <f>_xlfn.XLOOKUP(Customer[[#This Row],[Customer ID]],[1]!Address[ID],[1]!Address[Type])</f>
        <v>PETROMART</v>
      </c>
      <c r="W556" s="11" t="str">
        <f>_xlfn.XLOOKUP(Customer[[#This Row],[Customer ID]],[1]!Address[ID],[1]!Address[CT])</f>
        <v>30 DAYS</v>
      </c>
      <c r="X556" s="11" t="s">
        <v>39</v>
      </c>
      <c r="Y556" s="17" t="s">
        <v>40</v>
      </c>
      <c r="Z556" s="17" t="e">
        <f>_xlfn.XLOOKUP(Customer[[#This Row],[NewType]],$AF$36:$AF$54,$AG$36:$AG$54)</f>
        <v>#N/A</v>
      </c>
      <c r="AA556" s="17" t="s">
        <v>4012</v>
      </c>
      <c r="AB556" s="11" t="str">
        <f>_xlfn.XLOOKUP(Customer[[#This Row],[Customer ID]],[1]!Address[ID],[1]!Address[Subtype])</f>
        <v>PETRONAS</v>
      </c>
      <c r="AC556" s="18" t="str">
        <f>_xlfn.XLOOKUP(Customer[[#This Row],[Customer ID]],[1]!Address[ID],[1]!Address[Zone])</f>
        <v>CENTRAL</v>
      </c>
    </row>
    <row r="557" spans="1:29" x14ac:dyDescent="0.3">
      <c r="A557" s="10" t="s">
        <v>4013</v>
      </c>
      <c r="B557" s="11" t="str">
        <f>_xlfn.XLOOKUP(Customer[[#This Row],[Customer ID]],[1]!Name[ID],[1]!Name[Description(1)])</f>
        <v>MARINAH SYNERGY</v>
      </c>
      <c r="C557" s="11" t="str">
        <f>_xlfn.XLOOKUP(Customer[[#This Row],[Customer ID]],[1]!Name[ID],[1]!Name[Description(2)])</f>
        <v>PS PERSIARAN INDAH</v>
      </c>
      <c r="D557" s="11" t="str">
        <f>_xlfn.XLOOKUP(Customer[[#This Row],[Customer ID]],[1]!Address[ID],[1]!Address[PIC])</f>
        <v/>
      </c>
      <c r="E557" s="11" t="str">
        <f>_xlfn.XLOOKUP(Customer[[#This Row],[Customer ID]],[1]!Address[ID],[1]!Address[Full Address])</f>
        <v>PS PERSIARAN INDAHPTD 163834, JALAN INDAH 15/2,TAMAN BUKIT INDAH,81200 JOHOR BAHRU, JOHOR</v>
      </c>
      <c r="F557" s="12" t="s">
        <v>4014</v>
      </c>
      <c r="G557" s="12" t="s">
        <v>4015</v>
      </c>
      <c r="H557" s="12" t="s">
        <v>4016</v>
      </c>
      <c r="I557" s="12" t="b">
        <f>ISNUMBER(VALUE(LEFT(Customer[[#This Row],[Address Line 3 (30 char)]],1)))</f>
        <v>0</v>
      </c>
      <c r="J557" s="12" t="s">
        <v>52</v>
      </c>
      <c r="K557" s="12">
        <v>81200</v>
      </c>
      <c r="L557" s="12" t="s">
        <v>35</v>
      </c>
      <c r="M557" s="13" t="e">
        <v>#N/A</v>
      </c>
      <c r="N557" s="14" t="e">
        <v>#N/A</v>
      </c>
      <c r="O557" s="14" t="e">
        <v>#N/A</v>
      </c>
      <c r="P557" s="14" t="e">
        <v>#N/A</v>
      </c>
      <c r="Q557" s="19" t="s">
        <v>4017</v>
      </c>
      <c r="R557" s="15" t="s">
        <v>4018</v>
      </c>
      <c r="S557" s="15" t="s">
        <v>37</v>
      </c>
      <c r="T557" s="16" t="s">
        <v>38</v>
      </c>
      <c r="U557" s="11" t="str">
        <f>_xlfn.XLOOKUP(Customer[[#This Row],[Customer ID]],[1]!Address[ID],[1]!Address[Phone No.(2)])</f>
        <v/>
      </c>
      <c r="V557" s="11" t="str">
        <f>_xlfn.XLOOKUP(Customer[[#This Row],[Customer ID]],[1]!Address[ID],[1]!Address[Type])</f>
        <v>PETROMART</v>
      </c>
      <c r="W557" s="11" t="str">
        <f>_xlfn.XLOOKUP(Customer[[#This Row],[Customer ID]],[1]!Address[ID],[1]!Address[CT])</f>
        <v>30 DAYS</v>
      </c>
      <c r="X557" s="11" t="s">
        <v>39</v>
      </c>
      <c r="Y557" s="17" t="s">
        <v>40</v>
      </c>
      <c r="Z557" s="17" t="e">
        <f>_xlfn.XLOOKUP(Customer[[#This Row],[NewType]],$AF$36:$AF$54,$AG$36:$AG$54)</f>
        <v>#N/A</v>
      </c>
      <c r="AA557" s="17" t="s">
        <v>4019</v>
      </c>
      <c r="AB557" s="11" t="str">
        <f>_xlfn.XLOOKUP(Customer[[#This Row],[Customer ID]],[1]!Address[ID],[1]!Address[Subtype])</f>
        <v>PETRONAS</v>
      </c>
      <c r="AC557" s="18" t="str">
        <f>_xlfn.XLOOKUP(Customer[[#This Row],[Customer ID]],[1]!Address[ID],[1]!Address[Zone])</f>
        <v>SOUTH</v>
      </c>
    </row>
    <row r="558" spans="1:29" x14ac:dyDescent="0.3">
      <c r="A558" s="10" t="s">
        <v>4020</v>
      </c>
      <c r="B558" s="11" t="str">
        <f>_xlfn.XLOOKUP(Customer[[#This Row],[Customer ID]],[1]!Name[ID],[1]!Name[Description(1)])</f>
        <v>NLR PRIMA MARKETING &amp; SERVICES</v>
      </c>
      <c r="C558" s="11" t="str">
        <f>_xlfn.XLOOKUP(Customer[[#This Row],[Customer ID]],[1]!Name[ID],[1]!Name[Description(2)])</f>
        <v>PS PERSIARAN JAYA</v>
      </c>
      <c r="D558" s="11" t="str">
        <f>_xlfn.XLOOKUP(Customer[[#This Row],[Customer ID]],[1]!Address[ID],[1]!Address[PIC])</f>
        <v/>
      </c>
      <c r="E558" s="11" t="str">
        <f>_xlfn.XLOOKUP(Customer[[#This Row],[Customer ID]],[1]!Address[ID],[1]!Address[Full Address])</f>
        <v>PS PERSIARAN JAYALOT PT 28768 HS(M) 21664,BANDAR BARU BANGI INDUSTRIAL ZON 1,SUNGARAMAL DALAM,43000 ULU LANGAT, SELANGOR</v>
      </c>
      <c r="F558" s="12" t="s">
        <v>4021</v>
      </c>
      <c r="G558" s="12" t="s">
        <v>4022</v>
      </c>
      <c r="H558" s="12" t="s">
        <v>4023</v>
      </c>
      <c r="I558" s="12" t="b">
        <f>ISNUMBER(VALUE(LEFT(Customer[[#This Row],[Address Line 3 (30 char)]],1)))</f>
        <v>0</v>
      </c>
      <c r="J558" s="12" t="s">
        <v>172</v>
      </c>
      <c r="K558" s="12">
        <v>43000</v>
      </c>
      <c r="L558" s="12" t="s">
        <v>35</v>
      </c>
      <c r="M558" s="13" t="e">
        <v>#N/A</v>
      </c>
      <c r="N558" s="14" t="e">
        <v>#N/A</v>
      </c>
      <c r="O558" s="14" t="e">
        <v>#N/A</v>
      </c>
      <c r="P558" s="14" t="e">
        <v>#N/A</v>
      </c>
      <c r="Q558" s="19" t="s">
        <v>4024</v>
      </c>
      <c r="R558" s="15" t="s">
        <v>1150</v>
      </c>
      <c r="S558" s="15" t="s">
        <v>37</v>
      </c>
      <c r="T558" s="16" t="s">
        <v>38</v>
      </c>
      <c r="U558" s="11" t="str">
        <f>_xlfn.XLOOKUP(Customer[[#This Row],[Customer ID]],[1]!Address[ID],[1]!Address[Phone No.(2)])</f>
        <v/>
      </c>
      <c r="V558" s="11" t="str">
        <f>_xlfn.XLOOKUP(Customer[[#This Row],[Customer ID]],[1]!Address[ID],[1]!Address[Type])</f>
        <v>PETROMART</v>
      </c>
      <c r="W558" s="11" t="str">
        <f>_xlfn.XLOOKUP(Customer[[#This Row],[Customer ID]],[1]!Address[ID],[1]!Address[CT])</f>
        <v>30 DAYS</v>
      </c>
      <c r="X558" s="11" t="s">
        <v>39</v>
      </c>
      <c r="Y558" s="17" t="s">
        <v>40</v>
      </c>
      <c r="Z558" s="17" t="e">
        <f>_xlfn.XLOOKUP(Customer[[#This Row],[NewType]],$AF$36:$AF$54,$AG$36:$AG$54)</f>
        <v>#N/A</v>
      </c>
      <c r="AA558" s="17" t="s">
        <v>4025</v>
      </c>
      <c r="AB558" s="11" t="str">
        <f>_xlfn.XLOOKUP(Customer[[#This Row],[Customer ID]],[1]!Address[ID],[1]!Address[Subtype])</f>
        <v>PETRONAS</v>
      </c>
      <c r="AC558" s="18" t="str">
        <f>_xlfn.XLOOKUP(Customer[[#This Row],[Customer ID]],[1]!Address[ID],[1]!Address[Zone])</f>
        <v>CENTRAL</v>
      </c>
    </row>
    <row r="559" spans="1:29" x14ac:dyDescent="0.3">
      <c r="A559" s="10" t="s">
        <v>4026</v>
      </c>
      <c r="B559" s="11" t="str">
        <f>_xlfn.XLOOKUP(Customer[[#This Row],[Customer ID]],[1]!Name[ID],[1]!Name[Description(1)])</f>
        <v>SCS PRIMA ENTERPRISE</v>
      </c>
      <c r="C559" s="11" t="str">
        <f>_xlfn.XLOOKUP(Customer[[#This Row],[Customer ID]],[1]!Name[ID],[1]!Name[Description(2)])</f>
        <v>PS PERSIARAN MAHKOTA CHERAS</v>
      </c>
      <c r="D559" s="11" t="str">
        <f>_xlfn.XLOOKUP(Customer[[#This Row],[Customer ID]],[1]!Address[ID],[1]!Address[PIC])</f>
        <v/>
      </c>
      <c r="E559" s="11" t="str">
        <f>_xlfn.XLOOKUP(Customer[[#This Row],[Customer ID]],[1]!Address[ID],[1]!Address[Full Address])</f>
        <v>PS PERSIARAN MAHKOTA CHERASLOT 368 (PLOT B), BT. 10 1/2,JLN CHERAS, MUKIM CHERAS,43200 ULU LANGAT, SELANGOR</v>
      </c>
      <c r="F559" s="12" t="s">
        <v>4027</v>
      </c>
      <c r="G559" s="12" t="s">
        <v>4028</v>
      </c>
      <c r="H559" s="12" t="s">
        <v>4029</v>
      </c>
      <c r="I559" s="12" t="b">
        <f>ISNUMBER(VALUE(LEFT(Customer[[#This Row],[Address Line 3 (30 char)]],1)))</f>
        <v>0</v>
      </c>
      <c r="J559" s="12" t="s">
        <v>172</v>
      </c>
      <c r="K559" s="12">
        <v>43200</v>
      </c>
      <c r="L559" s="12" t="s">
        <v>35</v>
      </c>
      <c r="M559" s="13" t="e">
        <v>#N/A</v>
      </c>
      <c r="N559" s="14" t="e">
        <v>#N/A</v>
      </c>
      <c r="O559" s="14" t="e">
        <v>#N/A</v>
      </c>
      <c r="P559" s="14" t="e">
        <v>#N/A</v>
      </c>
      <c r="Q559" s="19" t="s">
        <v>4030</v>
      </c>
      <c r="R559" s="15" t="s">
        <v>4031</v>
      </c>
      <c r="S559" s="15" t="s">
        <v>37</v>
      </c>
      <c r="T559" s="16" t="s">
        <v>38</v>
      </c>
      <c r="U559" s="11" t="str">
        <f>_xlfn.XLOOKUP(Customer[[#This Row],[Customer ID]],[1]!Address[ID],[1]!Address[Phone No.(2)])</f>
        <v/>
      </c>
      <c r="V559" s="11" t="str">
        <f>_xlfn.XLOOKUP(Customer[[#This Row],[Customer ID]],[1]!Address[ID],[1]!Address[Type])</f>
        <v>PETROMART</v>
      </c>
      <c r="W559" s="11" t="str">
        <f>_xlfn.XLOOKUP(Customer[[#This Row],[Customer ID]],[1]!Address[ID],[1]!Address[CT])</f>
        <v>30 DAYS</v>
      </c>
      <c r="X559" s="11" t="s">
        <v>39</v>
      </c>
      <c r="Y559" s="17" t="s">
        <v>40</v>
      </c>
      <c r="Z559" s="17" t="e">
        <f>_xlfn.XLOOKUP(Customer[[#This Row],[NewType]],$AF$36:$AF$54,$AG$36:$AG$54)</f>
        <v>#N/A</v>
      </c>
      <c r="AA559" s="17" t="s">
        <v>4032</v>
      </c>
      <c r="AB559" s="11" t="str">
        <f>_xlfn.XLOOKUP(Customer[[#This Row],[Customer ID]],[1]!Address[ID],[1]!Address[Subtype])</f>
        <v>PETRONAS</v>
      </c>
      <c r="AC559" s="18" t="str">
        <f>_xlfn.XLOOKUP(Customer[[#This Row],[Customer ID]],[1]!Address[ID],[1]!Address[Zone])</f>
        <v>CENTRAL</v>
      </c>
    </row>
    <row r="560" spans="1:29" x14ac:dyDescent="0.3">
      <c r="A560" s="10" t="s">
        <v>4033</v>
      </c>
      <c r="B560" s="11" t="str">
        <f>_xlfn.XLOOKUP(Customer[[#This Row],[Customer ID]],[1]!Name[ID],[1]!Name[Description(1)])</f>
        <v>SSZ JAYA SERVICE STATION</v>
      </c>
      <c r="C560" s="11" t="str">
        <f>_xlfn.XLOOKUP(Customer[[#This Row],[Customer ID]],[1]!Name[ID],[1]!Name[Description(2)])</f>
        <v>PS PERSIARAN RAJA MUDA MUSA</v>
      </c>
      <c r="D560" s="11" t="str">
        <f>_xlfn.XLOOKUP(Customer[[#This Row],[Customer ID]],[1]!Address[ID],[1]!Address[PIC])</f>
        <v/>
      </c>
      <c r="E560" s="11" t="str">
        <f>_xlfn.XLOOKUP(Customer[[#This Row],[Customer ID]],[1]!Address[ID],[1]!Address[Full Address])</f>
        <v>PS PERSIARAN RAJA MUDA MUSALOT 5912, NO.5, PERSIARAN RAJA MUDA MUSA41100, KLANG, SELANGOR</v>
      </c>
      <c r="F560" s="12" t="s">
        <v>4034</v>
      </c>
      <c r="G560" s="12" t="s">
        <v>4035</v>
      </c>
      <c r="H560" s="12" t="s">
        <v>471</v>
      </c>
      <c r="I560" s="12" t="b">
        <f>ISNUMBER(VALUE(LEFT(Customer[[#This Row],[Address Line 3 (30 char)]],1)))</f>
        <v>0</v>
      </c>
      <c r="J560" s="12" t="s">
        <v>172</v>
      </c>
      <c r="K560" s="12">
        <v>41100</v>
      </c>
      <c r="L560" s="12" t="s">
        <v>35</v>
      </c>
      <c r="M560" s="13" t="e">
        <v>#N/A</v>
      </c>
      <c r="N560" s="14" t="e">
        <v>#N/A</v>
      </c>
      <c r="O560" s="14" t="e">
        <v>#N/A</v>
      </c>
      <c r="P560" s="14" t="e">
        <v>#N/A</v>
      </c>
      <c r="Q560" s="19" t="s">
        <v>2159</v>
      </c>
      <c r="R560" s="15" t="s">
        <v>4036</v>
      </c>
      <c r="S560" s="15" t="s">
        <v>37</v>
      </c>
      <c r="T560" s="16" t="s">
        <v>38</v>
      </c>
      <c r="U560" s="11" t="str">
        <f>_xlfn.XLOOKUP(Customer[[#This Row],[Customer ID]],[1]!Address[ID],[1]!Address[Phone No.(2)])</f>
        <v/>
      </c>
      <c r="V560" s="11" t="str">
        <f>_xlfn.XLOOKUP(Customer[[#This Row],[Customer ID]],[1]!Address[ID],[1]!Address[Type])</f>
        <v>PETROMART</v>
      </c>
      <c r="W560" s="11" t="str">
        <f>_xlfn.XLOOKUP(Customer[[#This Row],[Customer ID]],[1]!Address[ID],[1]!Address[CT])</f>
        <v>30 DAYS</v>
      </c>
      <c r="X560" s="11" t="s">
        <v>39</v>
      </c>
      <c r="Y560" s="17" t="s">
        <v>40</v>
      </c>
      <c r="Z560" s="17" t="e">
        <f>_xlfn.XLOOKUP(Customer[[#This Row],[NewType]],$AF$36:$AF$54,$AG$36:$AG$54)</f>
        <v>#N/A</v>
      </c>
      <c r="AA560" s="17" t="s">
        <v>4037</v>
      </c>
      <c r="AB560" s="11" t="str">
        <f>_xlfn.XLOOKUP(Customer[[#This Row],[Customer ID]],[1]!Address[ID],[1]!Address[Subtype])</f>
        <v>PETRONAS</v>
      </c>
      <c r="AC560" s="18" t="str">
        <f>_xlfn.XLOOKUP(Customer[[#This Row],[Customer ID]],[1]!Address[ID],[1]!Address[Zone])</f>
        <v>CENTRAL</v>
      </c>
    </row>
    <row r="561" spans="1:29" x14ac:dyDescent="0.3">
      <c r="A561" s="10" t="s">
        <v>4038</v>
      </c>
      <c r="B561" s="11" t="str">
        <f>_xlfn.XLOOKUP(Customer[[#This Row],[Customer ID]],[1]!Name[ID],[1]!Name[Description(1)])</f>
        <v>KOPERASI PEGAWAI-PEGAWAI KESEDAR</v>
      </c>
      <c r="C561" s="11" t="str">
        <f>_xlfn.XLOOKUP(Customer[[#This Row],[Customer ID]],[1]!Name[ID],[1]!Name[Description(2)])</f>
        <v>PS PERSIARAN RAYA GUA MUSANG</v>
      </c>
      <c r="D561" s="11" t="str">
        <f>_xlfn.XLOOKUP(Customer[[#This Row],[Customer ID]],[1]!Address[ID],[1]!Address[PIC])</f>
        <v/>
      </c>
      <c r="E561" s="11" t="str">
        <f>_xlfn.XLOOKUP(Customer[[#This Row],[Customer ID]],[1]!Address[ID],[1]!Address[Full Address])</f>
        <v>PS PERSIARAN RAYA GUA MUSANGPT.9326, JALAN PERSIARAN RAYA,BANDAR BARU GUA MUSANG,18300 GUA MUSANG, KELANTAN</v>
      </c>
      <c r="F561" s="12" t="s">
        <v>4039</v>
      </c>
      <c r="G561" s="12" t="s">
        <v>4040</v>
      </c>
      <c r="H561" s="12" t="s">
        <v>4041</v>
      </c>
      <c r="I561" s="12" t="b">
        <f>ISNUMBER(VALUE(LEFT(Customer[[#This Row],[Address Line 3 (30 char)]],1)))</f>
        <v>0</v>
      </c>
      <c r="J561" s="12" t="s">
        <v>1007</v>
      </c>
      <c r="K561" s="12">
        <v>18300</v>
      </c>
      <c r="L561" s="12" t="s">
        <v>35</v>
      </c>
      <c r="M561" s="13" t="e">
        <v>#N/A</v>
      </c>
      <c r="N561" s="14" t="e">
        <v>#N/A</v>
      </c>
      <c r="O561" s="14" t="e">
        <v>#N/A</v>
      </c>
      <c r="P561" s="14" t="e">
        <v>#N/A</v>
      </c>
      <c r="Q561" s="19" t="s">
        <v>4042</v>
      </c>
      <c r="R561" s="15" t="s">
        <v>4043</v>
      </c>
      <c r="S561" s="15" t="s">
        <v>37</v>
      </c>
      <c r="T561" s="16" t="s">
        <v>38</v>
      </c>
      <c r="U561" s="11" t="str">
        <f>_xlfn.XLOOKUP(Customer[[#This Row],[Customer ID]],[1]!Address[ID],[1]!Address[Phone No.(2)])</f>
        <v/>
      </c>
      <c r="V561" s="11" t="str">
        <f>_xlfn.XLOOKUP(Customer[[#This Row],[Customer ID]],[1]!Address[ID],[1]!Address[Type])</f>
        <v>PETROMART</v>
      </c>
      <c r="W561" s="11" t="str">
        <f>_xlfn.XLOOKUP(Customer[[#This Row],[Customer ID]],[1]!Address[ID],[1]!Address[CT])</f>
        <v>30 DAYS</v>
      </c>
      <c r="X561" s="11" t="s">
        <v>39</v>
      </c>
      <c r="Y561" s="17" t="s">
        <v>40</v>
      </c>
      <c r="Z561" s="17" t="e">
        <f>_xlfn.XLOOKUP(Customer[[#This Row],[NewType]],$AF$36:$AF$54,$AG$36:$AG$54)</f>
        <v>#N/A</v>
      </c>
      <c r="AA561" s="17" t="s">
        <v>4044</v>
      </c>
      <c r="AB561" s="11" t="str">
        <f>_xlfn.XLOOKUP(Customer[[#This Row],[Customer ID]],[1]!Address[ID],[1]!Address[Subtype])</f>
        <v>PETRONAS</v>
      </c>
      <c r="AC561" s="18" t="str">
        <f>_xlfn.XLOOKUP(Customer[[#This Row],[Customer ID]],[1]!Address[ID],[1]!Address[Zone])</f>
        <v>EAST COAST</v>
      </c>
    </row>
    <row r="562" spans="1:29" x14ac:dyDescent="0.3">
      <c r="A562" s="27" t="s">
        <v>4045</v>
      </c>
      <c r="B562" s="28" t="str">
        <f>_xlfn.XLOOKUP(Customer[[#This Row],[Customer ID]],[1]!Name[ID],[1]!Name[Description(1)])</f>
        <v>IMBANG MODEN SDN BHD</v>
      </c>
      <c r="C562" s="11" t="str">
        <f>_xlfn.XLOOKUP(Customer[[#This Row],[Customer ID]],[1]!Name[ID],[1]!Name[Description(2)])</f>
        <v>PS PERSIARAN SULTAN ABD HAMID</v>
      </c>
      <c r="D562" s="11" t="str">
        <f>_xlfn.XLOOKUP(Customer[[#This Row],[Customer ID]],[1]!Address[ID],[1]!Address[PIC])</f>
        <v/>
      </c>
      <c r="E562" s="11" t="str">
        <f>_xlfn.XLOOKUP(Customer[[#This Row],[Customer ID]],[1]!Address[ID],[1]!Address[Full Address])</f>
        <v>PS PERSIARAN SULTAN ABD HAMIDLOT 1947, JALAN PEGAWAI, ALOR SETAR05050, KOTA SETAR, KEDAH</v>
      </c>
      <c r="F562" s="12" t="s">
        <v>4046</v>
      </c>
      <c r="G562" s="12" t="s">
        <v>4047</v>
      </c>
      <c r="H562" s="12" t="s">
        <v>354</v>
      </c>
      <c r="I562" s="12" t="b">
        <f>ISNUMBER(VALUE(LEFT(Customer[[#This Row],[Address Line 3 (30 char)]],1)))</f>
        <v>0</v>
      </c>
      <c r="J562" s="12" t="s">
        <v>79</v>
      </c>
      <c r="K562" s="30" t="s">
        <v>4048</v>
      </c>
      <c r="L562" s="12" t="s">
        <v>35</v>
      </c>
      <c r="M562" s="13" t="e">
        <v>#N/A</v>
      </c>
      <c r="N562" s="14" t="e">
        <v>#N/A</v>
      </c>
      <c r="O562" s="14" t="e">
        <v>#N/A</v>
      </c>
      <c r="P562" s="14" t="e">
        <v>#N/A</v>
      </c>
      <c r="Q562" s="19" t="s">
        <v>4049</v>
      </c>
      <c r="R562" s="15" t="s">
        <v>4050</v>
      </c>
      <c r="S562" s="15" t="s">
        <v>74</v>
      </c>
      <c r="T562" s="16" t="s">
        <v>38</v>
      </c>
      <c r="U562" s="11" t="str">
        <f>_xlfn.XLOOKUP(Customer[[#This Row],[Customer ID]],[1]!Address[ID],[1]!Address[Phone No.(2)])</f>
        <v/>
      </c>
      <c r="V562" s="11" t="str">
        <f>_xlfn.XLOOKUP(Customer[[#This Row],[Customer ID]],[1]!Address[ID],[1]!Address[Type])</f>
        <v>PETROMART</v>
      </c>
      <c r="W562" s="11" t="str">
        <f>_xlfn.XLOOKUP(Customer[[#This Row],[Customer ID]],[1]!Address[ID],[1]!Address[CT])</f>
        <v>30 DAYS</v>
      </c>
      <c r="X562" s="11" t="s">
        <v>39</v>
      </c>
      <c r="Y562" s="17" t="s">
        <v>40</v>
      </c>
      <c r="Z562" s="17" t="e">
        <f>_xlfn.XLOOKUP(Customer[[#This Row],[NewType]],$AF$36:$AF$54,$AG$36:$AG$54)</f>
        <v>#N/A</v>
      </c>
      <c r="AA562" s="17" t="s">
        <v>4051</v>
      </c>
      <c r="AB562" s="11" t="str">
        <f>_xlfn.XLOOKUP(Customer[[#This Row],[Customer ID]],[1]!Address[ID],[1]!Address[Subtype])</f>
        <v>PETRONAS</v>
      </c>
      <c r="AC562" s="18" t="str">
        <f>_xlfn.XLOOKUP(Customer[[#This Row],[Customer ID]],[1]!Address[ID],[1]!Address[Zone])</f>
        <v>NORTH</v>
      </c>
    </row>
    <row r="563" spans="1:29" x14ac:dyDescent="0.3">
      <c r="A563" s="10" t="s">
        <v>4052</v>
      </c>
      <c r="B563" s="11" t="str">
        <f>_xlfn.XLOOKUP(Customer[[#This Row],[Customer ID]],[1]!Name[ID],[1]!Name[Description(1)])</f>
        <v>MYRAIS TEMASYA ENTERPRISE</v>
      </c>
      <c r="C563" s="11" t="str">
        <f>_xlfn.XLOOKUP(Customer[[#This Row],[Customer ID]],[1]!Name[ID],[1]!Name[Description(2)])</f>
        <v>PS PERSIARAN UTAMA</v>
      </c>
      <c r="D563" s="11" t="str">
        <f>_xlfn.XLOOKUP(Customer[[#This Row],[Customer ID]],[1]!Address[ID],[1]!Address[PIC])</f>
        <v>Shahidah</v>
      </c>
      <c r="E563" s="11" t="str">
        <f>_xlfn.XLOOKUP(Customer[[#This Row],[Customer ID]],[1]!Address[ID],[1]!Address[Full Address])</f>
        <v>PS PERSIARAN UTAMANO 4. JALAN SETIA UTAMA,SEKSYEN U13 SETIA ALAM,40170 SHAH ALAM, SELANGOR</v>
      </c>
      <c r="F563" s="12" t="s">
        <v>4053</v>
      </c>
      <c r="G563" s="12" t="s">
        <v>4054</v>
      </c>
      <c r="H563" s="12" t="s">
        <v>4055</v>
      </c>
      <c r="I563" s="12" t="b">
        <f>ISNUMBER(VALUE(LEFT(Customer[[#This Row],[Address Line 3 (30 char)]],1)))</f>
        <v>0</v>
      </c>
      <c r="J563" s="12" t="s">
        <v>172</v>
      </c>
      <c r="K563" s="12">
        <v>40170</v>
      </c>
      <c r="L563" s="12" t="s">
        <v>35</v>
      </c>
      <c r="M563" s="13" t="e">
        <v>#N/A</v>
      </c>
      <c r="N563" s="14" t="s">
        <v>4056</v>
      </c>
      <c r="O563" s="14" t="e">
        <v>#N/A</v>
      </c>
      <c r="P563" s="14" t="e">
        <v>#N/A</v>
      </c>
      <c r="Q563" s="19" t="s">
        <v>3628</v>
      </c>
      <c r="R563" s="15" t="s">
        <v>3629</v>
      </c>
      <c r="S563" s="15" t="s">
        <v>37</v>
      </c>
      <c r="T563" s="16" t="s">
        <v>38</v>
      </c>
      <c r="U563" s="11" t="str">
        <f>_xlfn.XLOOKUP(Customer[[#This Row],[Customer ID]],[1]!Address[ID],[1]!Address[Phone No.(2)])</f>
        <v/>
      </c>
      <c r="V563" s="11" t="str">
        <f>_xlfn.XLOOKUP(Customer[[#This Row],[Customer ID]],[1]!Address[ID],[1]!Address[Type])</f>
        <v>PETROMART</v>
      </c>
      <c r="W563" s="11" t="str">
        <f>_xlfn.XLOOKUP(Customer[[#This Row],[Customer ID]],[1]!Address[ID],[1]!Address[CT])</f>
        <v>30 DAYS</v>
      </c>
      <c r="X563" s="11" t="s">
        <v>39</v>
      </c>
      <c r="Y563" s="17" t="s">
        <v>40</v>
      </c>
      <c r="Z563" s="17" t="e">
        <f>_xlfn.XLOOKUP(Customer[[#This Row],[NewType]],$AF$36:$AF$54,$AG$36:$AG$54)</f>
        <v>#N/A</v>
      </c>
      <c r="AA563" s="17" t="s">
        <v>4057</v>
      </c>
      <c r="AB563" s="11" t="str">
        <f>_xlfn.XLOOKUP(Customer[[#This Row],[Customer ID]],[1]!Address[ID],[1]!Address[Subtype])</f>
        <v>PETRONAS</v>
      </c>
      <c r="AC563" s="18" t="str">
        <f>_xlfn.XLOOKUP(Customer[[#This Row],[Customer ID]],[1]!Address[ID],[1]!Address[Zone])</f>
        <v>CENTRAL</v>
      </c>
    </row>
    <row r="564" spans="1:29" x14ac:dyDescent="0.3">
      <c r="A564" s="10" t="s">
        <v>4058</v>
      </c>
      <c r="B564" s="11" t="str">
        <f>_xlfn.XLOOKUP(Customer[[#This Row],[Customer ID]],[1]!Name[ID],[1]!Name[Description(1)])</f>
        <v>JAYA STATION ENTERPRISE</v>
      </c>
      <c r="C564" s="11" t="str">
        <f>_xlfn.XLOOKUP(Customer[[#This Row],[Customer ID]],[1]!Name[ID],[1]!Name[Description(2)])</f>
        <v>PS PERUPOK</v>
      </c>
      <c r="D564" s="11" t="str">
        <f>_xlfn.XLOOKUP(Customer[[#This Row],[Customer ID]],[1]!Address[ID],[1]!Address[PIC])</f>
        <v/>
      </c>
      <c r="E564" s="11" t="str">
        <f>_xlfn.XLOOKUP(Customer[[#This Row],[Customer ID]],[1]!Address[ID],[1]!Address[Full Address])</f>
        <v>PS PERUPOKLOT PT 22(1068), KG TENGAH PERUPOK,16300 BACHOK, KELANTAN</v>
      </c>
      <c r="F564" s="12" t="s">
        <v>4059</v>
      </c>
      <c r="G564" s="12" t="s">
        <v>4060</v>
      </c>
      <c r="H564" s="12" t="s">
        <v>4061</v>
      </c>
      <c r="I564" s="12" t="b">
        <f>ISNUMBER(VALUE(LEFT(Customer[[#This Row],[Address Line 3 (30 char)]],1)))</f>
        <v>0</v>
      </c>
      <c r="J564" s="12" t="s">
        <v>1007</v>
      </c>
      <c r="K564" s="12">
        <v>16300</v>
      </c>
      <c r="L564" s="12" t="s">
        <v>35</v>
      </c>
      <c r="M564" s="13" t="e">
        <v>#N/A</v>
      </c>
      <c r="N564" s="14" t="e">
        <v>#N/A</v>
      </c>
      <c r="O564" s="14" t="e">
        <v>#N/A</v>
      </c>
      <c r="P564" s="14" t="e">
        <v>#N/A</v>
      </c>
      <c r="Q564" s="19" t="s">
        <v>4062</v>
      </c>
      <c r="R564" s="15" t="s">
        <v>4063</v>
      </c>
      <c r="S564" s="15" t="s">
        <v>37</v>
      </c>
      <c r="T564" s="16" t="s">
        <v>38</v>
      </c>
      <c r="U564" s="11" t="str">
        <f>_xlfn.XLOOKUP(Customer[[#This Row],[Customer ID]],[1]!Address[ID],[1]!Address[Phone No.(2)])</f>
        <v/>
      </c>
      <c r="V564" s="11" t="str">
        <f>_xlfn.XLOOKUP(Customer[[#This Row],[Customer ID]],[1]!Address[ID],[1]!Address[Type])</f>
        <v>PETROMART</v>
      </c>
      <c r="W564" s="11" t="str">
        <f>_xlfn.XLOOKUP(Customer[[#This Row],[Customer ID]],[1]!Address[ID],[1]!Address[CT])</f>
        <v>30 DAYS</v>
      </c>
      <c r="X564" s="11" t="s">
        <v>39</v>
      </c>
      <c r="Y564" s="17" t="s">
        <v>40</v>
      </c>
      <c r="Z564" s="17" t="e">
        <f>_xlfn.XLOOKUP(Customer[[#This Row],[NewType]],$AF$36:$AF$54,$AG$36:$AG$54)</f>
        <v>#N/A</v>
      </c>
      <c r="AA564" s="17" t="s">
        <v>4064</v>
      </c>
      <c r="AB564" s="11" t="str">
        <f>_xlfn.XLOOKUP(Customer[[#This Row],[Customer ID]],[1]!Address[ID],[1]!Address[Subtype])</f>
        <v>PETRONAS</v>
      </c>
      <c r="AC564" s="18" t="str">
        <f>_xlfn.XLOOKUP(Customer[[#This Row],[Customer ID]],[1]!Address[ID],[1]!Address[Zone])</f>
        <v>EAST COAST</v>
      </c>
    </row>
    <row r="565" spans="1:29" x14ac:dyDescent="0.3">
      <c r="A565" s="10" t="s">
        <v>4065</v>
      </c>
      <c r="B565" s="11" t="str">
        <f>_xlfn.XLOOKUP(Customer[[#This Row],[Customer ID]],[1]!Name[ID],[1]!Name[Description(1)])</f>
        <v>FIKRAH JITU ENTERPRISE</v>
      </c>
      <c r="C565" s="11" t="str">
        <f>_xlfn.XLOOKUP(Customer[[#This Row],[Customer ID]],[1]!Name[ID],[1]!Name[Description(2)])</f>
        <v>PS PETALING UTAMA</v>
      </c>
      <c r="D565" s="11" t="str">
        <f>_xlfn.XLOOKUP(Customer[[#This Row],[Customer ID]],[1]!Address[ID],[1]!Address[PIC])</f>
        <v/>
      </c>
      <c r="E565" s="11" t="str">
        <f>_xlfn.XLOOKUP(Customer[[#This Row],[Customer ID]],[1]!Address[ID],[1]!Address[Full Address])</f>
        <v>PS PETALING UTAMALOT NO. PT 1773 HS(D) 243795, KM 11,JLN KLANG LAMA, PETALING JAYA SELATAN,46000, PETALING, SELANGOR</v>
      </c>
      <c r="F565" s="12" t="s">
        <v>4066</v>
      </c>
      <c r="G565" s="12" t="s">
        <v>4067</v>
      </c>
      <c r="H565" s="12" t="s">
        <v>4068</v>
      </c>
      <c r="I565" s="12" t="b">
        <f>ISNUMBER(VALUE(LEFT(Customer[[#This Row],[Address Line 3 (30 char)]],1)))</f>
        <v>0</v>
      </c>
      <c r="J565" s="12" t="s">
        <v>172</v>
      </c>
      <c r="K565" s="12">
        <v>46000</v>
      </c>
      <c r="L565" s="12" t="s">
        <v>35</v>
      </c>
      <c r="M565" s="13" t="e">
        <v>#N/A</v>
      </c>
      <c r="N565" s="14" t="e">
        <v>#N/A</v>
      </c>
      <c r="O565" s="14" t="e">
        <v>#N/A</v>
      </c>
      <c r="P565" s="14" t="e">
        <v>#N/A</v>
      </c>
      <c r="Q565" s="19" t="s">
        <v>4069</v>
      </c>
      <c r="R565" s="15" t="s">
        <v>4070</v>
      </c>
      <c r="S565" s="15" t="s">
        <v>37</v>
      </c>
      <c r="T565" s="16" t="s">
        <v>38</v>
      </c>
      <c r="U565" s="11" t="str">
        <f>_xlfn.XLOOKUP(Customer[[#This Row],[Customer ID]],[1]!Address[ID],[1]!Address[Phone No.(2)])</f>
        <v/>
      </c>
      <c r="V565" s="11" t="str">
        <f>_xlfn.XLOOKUP(Customer[[#This Row],[Customer ID]],[1]!Address[ID],[1]!Address[Type])</f>
        <v>PETROMART</v>
      </c>
      <c r="W565" s="11" t="str">
        <f>_xlfn.XLOOKUP(Customer[[#This Row],[Customer ID]],[1]!Address[ID],[1]!Address[CT])</f>
        <v>30 DAYS</v>
      </c>
      <c r="X565" s="11" t="s">
        <v>39</v>
      </c>
      <c r="Y565" s="17" t="s">
        <v>40</v>
      </c>
      <c r="Z565" s="17" t="e">
        <f>_xlfn.XLOOKUP(Customer[[#This Row],[NewType]],$AF$36:$AF$54,$AG$36:$AG$54)</f>
        <v>#N/A</v>
      </c>
      <c r="AA565" s="17" t="s">
        <v>4071</v>
      </c>
      <c r="AB565" s="11" t="str">
        <f>_xlfn.XLOOKUP(Customer[[#This Row],[Customer ID]],[1]!Address[ID],[1]!Address[Subtype])</f>
        <v>PETRONAS</v>
      </c>
      <c r="AC565" s="18" t="str">
        <f>_xlfn.XLOOKUP(Customer[[#This Row],[Customer ID]],[1]!Address[ID],[1]!Address[Zone])</f>
        <v>CENTRAL</v>
      </c>
    </row>
    <row r="566" spans="1:29" x14ac:dyDescent="0.3">
      <c r="A566" s="10" t="s">
        <v>4072</v>
      </c>
      <c r="B566" s="11" t="str">
        <f>_xlfn.XLOOKUP(Customer[[#This Row],[Customer ID]],[1]!Name[ID],[1]!Name[Description(1)])</f>
        <v>CRE SERVICE STATION</v>
      </c>
      <c r="C566" s="11" t="str">
        <f>_xlfn.XLOOKUP(Customer[[#This Row],[Customer ID]],[1]!Name[ID],[1]!Name[Description(2)])</f>
        <v>PS PINTU GENG</v>
      </c>
      <c r="D566" s="11" t="str">
        <f>_xlfn.XLOOKUP(Customer[[#This Row],[Customer ID]],[1]!Address[ID],[1]!Address[PIC])</f>
        <v/>
      </c>
      <c r="E566" s="11" t="str">
        <f>_xlfn.XLOOKUP(Customer[[#This Row],[Customer ID]],[1]!Address[ID],[1]!Address[Full Address])</f>
        <v>PS PINTU GENGLOT 2614, SEKSYEN 64, KG PINTU GENG,15100 KOTA BHARU, KELANTAN</v>
      </c>
      <c r="F566" s="12" t="s">
        <v>4073</v>
      </c>
      <c r="G566" s="12" t="s">
        <v>4074</v>
      </c>
      <c r="H566" s="12" t="s">
        <v>4075</v>
      </c>
      <c r="I566" s="12" t="b">
        <f>ISNUMBER(VALUE(LEFT(Customer[[#This Row],[Address Line 3 (30 char)]],1)))</f>
        <v>0</v>
      </c>
      <c r="J566" s="12" t="s">
        <v>1007</v>
      </c>
      <c r="K566" s="12">
        <v>15100</v>
      </c>
      <c r="L566" s="12" t="s">
        <v>35</v>
      </c>
      <c r="M566" s="13">
        <v>200003040742</v>
      </c>
      <c r="N566" s="14" t="s">
        <v>4076</v>
      </c>
      <c r="O566" s="14" t="s">
        <v>54</v>
      </c>
      <c r="P566" s="14">
        <v>47300</v>
      </c>
      <c r="Q566" s="19" t="s">
        <v>4077</v>
      </c>
      <c r="R566" s="15" t="s">
        <v>4078</v>
      </c>
      <c r="S566" s="15" t="s">
        <v>37</v>
      </c>
      <c r="T566" s="16" t="s">
        <v>38</v>
      </c>
      <c r="U566" s="11" t="str">
        <f>_xlfn.XLOOKUP(Customer[[#This Row],[Customer ID]],[1]!Address[ID],[1]!Address[Phone No.(2)])</f>
        <v/>
      </c>
      <c r="V566" s="11" t="str">
        <f>_xlfn.XLOOKUP(Customer[[#This Row],[Customer ID]],[1]!Address[ID],[1]!Address[Type])</f>
        <v>PETROMART</v>
      </c>
      <c r="W566" s="11" t="str">
        <f>_xlfn.XLOOKUP(Customer[[#This Row],[Customer ID]],[1]!Address[ID],[1]!Address[CT])</f>
        <v>30 DAYS</v>
      </c>
      <c r="X566" s="11" t="s">
        <v>39</v>
      </c>
      <c r="Y566" s="17" t="s">
        <v>40</v>
      </c>
      <c r="Z566" s="17" t="e">
        <f>_xlfn.XLOOKUP(Customer[[#This Row],[NewType]],$AF$36:$AF$54,$AG$36:$AG$54)</f>
        <v>#N/A</v>
      </c>
      <c r="AA566" s="17" t="s">
        <v>4079</v>
      </c>
      <c r="AB566" s="11" t="str">
        <f>_xlfn.XLOOKUP(Customer[[#This Row],[Customer ID]],[1]!Address[ID],[1]!Address[Subtype])</f>
        <v>PETRONAS</v>
      </c>
      <c r="AC566" s="18" t="str">
        <f>_xlfn.XLOOKUP(Customer[[#This Row],[Customer ID]],[1]!Address[ID],[1]!Address[Zone])</f>
        <v>EAST COAST</v>
      </c>
    </row>
    <row r="567" spans="1:29" x14ac:dyDescent="0.3">
      <c r="A567" s="27" t="s">
        <v>4080</v>
      </c>
      <c r="B567" s="28" t="str">
        <f>_xlfn.XLOOKUP(Customer[[#This Row],[Customer ID]],[1]!Name[ID],[1]!Name[Description(1)])</f>
        <v>KOPERASI PEGAWAI-PEGAWAI KERAJAAN</v>
      </c>
      <c r="C567" s="11" t="str">
        <f>_xlfn.XLOOKUP(Customer[[#This Row],[Customer ID]],[1]!Name[ID],[1]!Name[Description(2)])</f>
        <v>PS PKNK, ALOR SETAR</v>
      </c>
      <c r="D567" s="11" t="str">
        <f>_xlfn.XLOOKUP(Customer[[#This Row],[Customer ID]],[1]!Address[ID],[1]!Address[PIC])</f>
        <v/>
      </c>
      <c r="E567" s="11" t="str">
        <f>_xlfn.XLOOKUP(Customer[[#This Row],[Customer ID]],[1]!Address[ID],[1]!Address[Full Address])</f>
        <v>PS PKNK, ALOR SETARLOT 1768, JALAN TUN ABDUL RAZAK,ALOR SETAR, 05200 KEDAH</v>
      </c>
      <c r="F567" s="12" t="s">
        <v>4081</v>
      </c>
      <c r="G567" s="12" t="s">
        <v>4082</v>
      </c>
      <c r="H567" s="12" t="s">
        <v>4083</v>
      </c>
      <c r="I567" s="12" t="b">
        <f>ISNUMBER(VALUE(LEFT(Customer[[#This Row],[Address Line 3 (30 char)]],1)))</f>
        <v>0</v>
      </c>
      <c r="J567" s="12" t="s">
        <v>79</v>
      </c>
      <c r="K567" s="30" t="s">
        <v>3163</v>
      </c>
      <c r="L567" s="12" t="s">
        <v>35</v>
      </c>
      <c r="M567" s="13" t="e">
        <v>#N/A</v>
      </c>
      <c r="N567" s="14" t="e">
        <v>#N/A</v>
      </c>
      <c r="O567" s="14" t="e">
        <v>#N/A</v>
      </c>
      <c r="P567" s="14" t="e">
        <v>#N/A</v>
      </c>
      <c r="Q567" s="19" t="s">
        <v>4084</v>
      </c>
      <c r="R567" s="15" t="s">
        <v>4085</v>
      </c>
      <c r="S567" s="15" t="s">
        <v>74</v>
      </c>
      <c r="T567" s="16" t="s">
        <v>38</v>
      </c>
      <c r="U567" s="11" t="str">
        <f>_xlfn.XLOOKUP(Customer[[#This Row],[Customer ID]],[1]!Address[ID],[1]!Address[Phone No.(2)])</f>
        <v/>
      </c>
      <c r="V567" s="11" t="str">
        <f>_xlfn.XLOOKUP(Customer[[#This Row],[Customer ID]],[1]!Address[ID],[1]!Address[Type])</f>
        <v>PETROMART</v>
      </c>
      <c r="W567" s="11" t="str">
        <f>_xlfn.XLOOKUP(Customer[[#This Row],[Customer ID]],[1]!Address[ID],[1]!Address[CT])</f>
        <v>30 DAYS</v>
      </c>
      <c r="X567" s="11" t="s">
        <v>39</v>
      </c>
      <c r="Y567" s="17" t="s">
        <v>40</v>
      </c>
      <c r="Z567" s="17" t="e">
        <f>_xlfn.XLOOKUP(Customer[[#This Row],[NewType]],$AF$36:$AF$54,$AG$36:$AG$54)</f>
        <v>#N/A</v>
      </c>
      <c r="AA567" s="17" t="s">
        <v>4086</v>
      </c>
      <c r="AB567" s="11" t="str">
        <f>_xlfn.XLOOKUP(Customer[[#This Row],[Customer ID]],[1]!Address[ID],[1]!Address[Subtype])</f>
        <v>PETRONAS</v>
      </c>
      <c r="AC567" s="18" t="str">
        <f>_xlfn.XLOOKUP(Customer[[#This Row],[Customer ID]],[1]!Address[ID],[1]!Address[Zone])</f>
        <v>NORTH</v>
      </c>
    </row>
    <row r="568" spans="1:29" x14ac:dyDescent="0.3">
      <c r="A568" s="10" t="s">
        <v>4087</v>
      </c>
      <c r="B568" s="11" t="str">
        <f>_xlfn.XLOOKUP(Customer[[#This Row],[Customer ID]],[1]!Name[ID],[1]!Name[Description(1)])</f>
        <v>MOHD NADZRI BIN OTHMAN</v>
      </c>
      <c r="C568" s="11" t="str">
        <f>_xlfn.XLOOKUP(Customer[[#This Row],[Customer ID]],[1]!Name[ID],[1]!Name[Description(2)])</f>
        <v>PS POKOK SENA SPU</v>
      </c>
      <c r="D568" s="11" t="str">
        <f>_xlfn.XLOOKUP(Customer[[#This Row],[Customer ID]],[1]!Address[ID],[1]!Address[PIC])</f>
        <v/>
      </c>
      <c r="E568" s="11" t="str">
        <f>_xlfn.XLOOKUP(Customer[[#This Row],[Customer ID]],[1]!Address[ID],[1]!Address[Full Address])</f>
        <v>PS POKOK SENA SPULOT 3799, MUKIM 12, POKOK SENA,KEPALA BATAS, 13220, SEBERANG PERAIUTARA, PULAU PINANG</v>
      </c>
      <c r="F568" s="12" t="s">
        <v>4088</v>
      </c>
      <c r="G568" s="12" t="s">
        <v>4089</v>
      </c>
      <c r="H568" s="12" t="s">
        <v>4090</v>
      </c>
      <c r="I568" s="12" t="b">
        <f>ISNUMBER(VALUE(LEFT(Customer[[#This Row],[Address Line 3 (30 char)]],1)))</f>
        <v>0</v>
      </c>
      <c r="J568" s="12" t="s">
        <v>179</v>
      </c>
      <c r="K568" s="12">
        <v>13220</v>
      </c>
      <c r="L568" s="12" t="s">
        <v>35</v>
      </c>
      <c r="M568" s="13" t="e">
        <v>#N/A</v>
      </c>
      <c r="N568" s="14" t="e">
        <v>#N/A</v>
      </c>
      <c r="O568" s="14" t="e">
        <v>#N/A</v>
      </c>
      <c r="P568" s="14" t="e">
        <v>#N/A</v>
      </c>
      <c r="Q568" s="19" t="s">
        <v>4091</v>
      </c>
      <c r="R568" s="15" t="s">
        <v>4092</v>
      </c>
      <c r="S568" s="15" t="s">
        <v>74</v>
      </c>
      <c r="T568" s="16" t="s">
        <v>38</v>
      </c>
      <c r="U568" s="11" t="str">
        <f>_xlfn.XLOOKUP(Customer[[#This Row],[Customer ID]],[1]!Address[ID],[1]!Address[Phone No.(2)])</f>
        <v/>
      </c>
      <c r="V568" s="11" t="str">
        <f>_xlfn.XLOOKUP(Customer[[#This Row],[Customer ID]],[1]!Address[ID],[1]!Address[Type])</f>
        <v>PETROMART</v>
      </c>
      <c r="W568" s="11" t="str">
        <f>_xlfn.XLOOKUP(Customer[[#This Row],[Customer ID]],[1]!Address[ID],[1]!Address[CT])</f>
        <v>30 DAYS</v>
      </c>
      <c r="X568" s="11" t="s">
        <v>39</v>
      </c>
      <c r="Y568" s="17" t="s">
        <v>40</v>
      </c>
      <c r="Z568" s="17" t="e">
        <f>_xlfn.XLOOKUP(Customer[[#This Row],[NewType]],$AF$36:$AF$54,$AG$36:$AG$54)</f>
        <v>#N/A</v>
      </c>
      <c r="AA568" s="17" t="s">
        <v>4093</v>
      </c>
      <c r="AB568" s="11" t="str">
        <f>_xlfn.XLOOKUP(Customer[[#This Row],[Customer ID]],[1]!Address[ID],[1]!Address[Subtype])</f>
        <v>PETRONAS</v>
      </c>
      <c r="AC568" s="18" t="str">
        <f>_xlfn.XLOOKUP(Customer[[#This Row],[Customer ID]],[1]!Address[ID],[1]!Address[Zone])</f>
        <v>NORTH</v>
      </c>
    </row>
    <row r="569" spans="1:29" x14ac:dyDescent="0.3">
      <c r="A569" s="10" t="s">
        <v>4094</v>
      </c>
      <c r="B569" s="11" t="str">
        <f>_xlfn.XLOOKUP(Customer[[#This Row],[Customer ID]],[1]!Name[ID],[1]!Name[Description(1)])</f>
        <v>LAGENDA SAUJANA ENTERPRISE</v>
      </c>
      <c r="C569" s="11" t="str">
        <f>_xlfn.XLOOKUP(Customer[[#This Row],[Customer ID]],[1]!Name[ID],[1]!Name[Description(2)])</f>
        <v>PS PORT DICKSON 1 (CLOSE ACCOUNT)</v>
      </c>
      <c r="D569" s="11" t="str">
        <f>_xlfn.XLOOKUP(Customer[[#This Row],[Customer ID]],[1]!Address[ID],[1]!Address[PIC])</f>
        <v/>
      </c>
      <c r="E569" s="11" t="str">
        <f>_xlfn.XLOOKUP(Customer[[#This Row],[Customer ID]],[1]!Address[ID],[1]!Address[Full Address])</f>
        <v>PS PORT DICKSON 1LOT 2253, BATU 4 JALAN PANTAI,MUKIM SIRUSA,71050 PORT DICKSON, NEGERI SEMBILAN.</v>
      </c>
      <c r="F569" s="12" t="s">
        <v>4095</v>
      </c>
      <c r="G569" s="12" t="s">
        <v>4096</v>
      </c>
      <c r="H569" s="12" t="s">
        <v>4097</v>
      </c>
      <c r="I569" s="12" t="b">
        <f>ISNUMBER(VALUE(LEFT(Customer[[#This Row],[Address Line 3 (30 char)]],1)))</f>
        <v>0</v>
      </c>
      <c r="J569" s="12" t="s">
        <v>203</v>
      </c>
      <c r="K569" s="12">
        <v>71050</v>
      </c>
      <c r="L569" s="12" t="s">
        <v>35</v>
      </c>
      <c r="M569" s="13" t="e">
        <v>#N/A</v>
      </c>
      <c r="N569" s="14" t="e">
        <v>#N/A</v>
      </c>
      <c r="O569" s="14" t="e">
        <v>#N/A</v>
      </c>
      <c r="P569" s="14" t="e">
        <v>#N/A</v>
      </c>
      <c r="Q569" s="19" t="s">
        <v>4098</v>
      </c>
      <c r="R569" s="15" t="s">
        <v>4099</v>
      </c>
      <c r="S569" s="15" t="s">
        <v>37</v>
      </c>
      <c r="T569" s="16" t="s">
        <v>38</v>
      </c>
      <c r="U569" s="11" t="str">
        <f>_xlfn.XLOOKUP(Customer[[#This Row],[Customer ID]],[1]!Address[ID],[1]!Address[Phone No.(2)])</f>
        <v/>
      </c>
      <c r="V569" s="11" t="str">
        <f>_xlfn.XLOOKUP(Customer[[#This Row],[Customer ID]],[1]!Address[ID],[1]!Address[Type])</f>
        <v>PETROMART</v>
      </c>
      <c r="W569" s="11" t="str">
        <f>_xlfn.XLOOKUP(Customer[[#This Row],[Customer ID]],[1]!Address[ID],[1]!Address[CT])</f>
        <v>30 DAYS</v>
      </c>
      <c r="X569" s="11" t="s">
        <v>39</v>
      </c>
      <c r="Y569" s="17" t="s">
        <v>40</v>
      </c>
      <c r="Z569" s="17" t="e">
        <f>_xlfn.XLOOKUP(Customer[[#This Row],[NewType]],$AF$36:$AF$54,$AG$36:$AG$54)</f>
        <v>#N/A</v>
      </c>
      <c r="AA569" s="17" t="s">
        <v>4100</v>
      </c>
      <c r="AB569" s="11" t="str">
        <f>_xlfn.XLOOKUP(Customer[[#This Row],[Customer ID]],[1]!Address[ID],[1]!Address[Subtype])</f>
        <v>PETRONAS</v>
      </c>
      <c r="AC569" s="18" t="str">
        <f>_xlfn.XLOOKUP(Customer[[#This Row],[Customer ID]],[1]!Address[ID],[1]!Address[Zone])</f>
        <v>CENTRAL</v>
      </c>
    </row>
    <row r="570" spans="1:29" x14ac:dyDescent="0.3">
      <c r="A570" s="10" t="s">
        <v>4101</v>
      </c>
      <c r="B570" s="11" t="str">
        <f>_xlfn.XLOOKUP(Customer[[#This Row],[Customer ID]],[1]!Name[ID],[1]!Name[Description(1)])</f>
        <v>RR RAHIM ENTERPRISE</v>
      </c>
      <c r="C570" s="11" t="str">
        <f>_xlfn.XLOOKUP(Customer[[#This Row],[Customer ID]],[1]!Name[ID],[1]!Name[Description(2)])</f>
        <v>PS PORT DICKSON 2</v>
      </c>
      <c r="D570" s="11" t="str">
        <f>_xlfn.XLOOKUP(Customer[[#This Row],[Customer ID]],[1]!Address[ID],[1]!Address[PIC])</f>
        <v/>
      </c>
      <c r="E570" s="11" t="str">
        <f>_xlfn.XLOOKUP(Customer[[#This Row],[Customer ID]],[1]!Address[ID],[1]!Address[Full Address])</f>
        <v>PS PORT DICKSON 2LOT 527, BANDAR PORT DICKSON (JALAN(JLN PANTAI) BATU 1/2 - 1 JALAN PANTAI,71000 PORT DICKSON, NEGERI SEMBILAN</v>
      </c>
      <c r="F570" s="12" t="s">
        <v>4102</v>
      </c>
      <c r="G570" s="12" t="s">
        <v>4103</v>
      </c>
      <c r="H570" s="12" t="s">
        <v>4104</v>
      </c>
      <c r="I570" s="12" t="b">
        <f>ISNUMBER(VALUE(LEFT(Customer[[#This Row],[Address Line 3 (30 char)]],1)))</f>
        <v>0</v>
      </c>
      <c r="J570" s="12" t="s">
        <v>203</v>
      </c>
      <c r="K570" s="12">
        <v>71000</v>
      </c>
      <c r="L570" s="12" t="s">
        <v>35</v>
      </c>
      <c r="M570" s="13" t="s">
        <v>4105</v>
      </c>
      <c r="N570" s="14" t="s">
        <v>4106</v>
      </c>
      <c r="O570" s="14" t="s">
        <v>54</v>
      </c>
      <c r="P570" s="14">
        <v>47300</v>
      </c>
      <c r="Q570" s="19" t="s">
        <v>4107</v>
      </c>
      <c r="R570" s="15" t="s">
        <v>4108</v>
      </c>
      <c r="S570" s="15" t="s">
        <v>65</v>
      </c>
      <c r="T570" s="16" t="s">
        <v>38</v>
      </c>
      <c r="U570" s="11" t="str">
        <f>_xlfn.XLOOKUP(Customer[[#This Row],[Customer ID]],[1]!Address[ID],[1]!Address[Phone No.(2)])</f>
        <v/>
      </c>
      <c r="V570" s="11" t="str">
        <f>_xlfn.XLOOKUP(Customer[[#This Row],[Customer ID]],[1]!Address[ID],[1]!Address[Type])</f>
        <v>PETROMART</v>
      </c>
      <c r="W570" s="11" t="str">
        <f>_xlfn.XLOOKUP(Customer[[#This Row],[Customer ID]],[1]!Address[ID],[1]!Address[CT])</f>
        <v>30 DAYS</v>
      </c>
      <c r="X570" s="11" t="s">
        <v>39</v>
      </c>
      <c r="Y570" s="17" t="s">
        <v>40</v>
      </c>
      <c r="Z570" s="17" t="e">
        <f>_xlfn.XLOOKUP(Customer[[#This Row],[NewType]],$AF$36:$AF$54,$AG$36:$AG$54)</f>
        <v>#N/A</v>
      </c>
      <c r="AA570" s="17" t="s">
        <v>4109</v>
      </c>
      <c r="AB570" s="11" t="str">
        <f>_xlfn.XLOOKUP(Customer[[#This Row],[Customer ID]],[1]!Address[ID],[1]!Address[Subtype])</f>
        <v>PETRONAS</v>
      </c>
      <c r="AC570" s="18" t="str">
        <f>_xlfn.XLOOKUP(Customer[[#This Row],[Customer ID]],[1]!Address[ID],[1]!Address[Zone])</f>
        <v>CENTRAL</v>
      </c>
    </row>
    <row r="571" spans="1:29" x14ac:dyDescent="0.3">
      <c r="A571" s="10" t="s">
        <v>4110</v>
      </c>
      <c r="B571" s="11" t="str">
        <f>_xlfn.XLOOKUP(Customer[[#This Row],[Customer ID]],[1]!Name[ID],[1]!Name[Description(1)])</f>
        <v>KIMRIMA ENTERPRISE</v>
      </c>
      <c r="C571" s="11" t="str">
        <f>_xlfn.XLOOKUP(Customer[[#This Row],[Customer ID]],[1]!Name[ID],[1]!Name[Description(2)])</f>
        <v>PS PORT DICKSON 2</v>
      </c>
      <c r="D571" s="11" t="str">
        <f>_xlfn.XLOOKUP(Customer[[#This Row],[Customer ID]],[1]!Address[ID],[1]!Address[PIC])</f>
        <v/>
      </c>
      <c r="E571" s="11" t="str">
        <f>_xlfn.XLOOKUP(Customer[[#This Row],[Customer ID]],[1]!Address[ID],[1]!Address[Full Address])</f>
        <v>PS PORT DICKSON 2LOT 527, BATU 1, JALAN PANTAI,71050, PORT DICKSON,NEGERI SEMBILAN</v>
      </c>
      <c r="F571" s="12" t="s">
        <v>4111</v>
      </c>
      <c r="G571" s="12" t="s">
        <v>4112</v>
      </c>
      <c r="H571" s="24" t="s">
        <v>1438</v>
      </c>
      <c r="I571" s="24" t="b">
        <f>ISNUMBER(VALUE(LEFT(Customer[[#This Row],[Address Line 3 (30 char)]],1)))</f>
        <v>0</v>
      </c>
      <c r="J571" s="12" t="s">
        <v>203</v>
      </c>
      <c r="K571" s="12">
        <v>71050</v>
      </c>
      <c r="L571" s="12" t="s">
        <v>35</v>
      </c>
      <c r="M571" s="13" t="e">
        <v>#N/A</v>
      </c>
      <c r="N571" s="14" t="e">
        <v>#N/A</v>
      </c>
      <c r="O571" s="14" t="e">
        <v>#N/A</v>
      </c>
      <c r="P571" s="14" t="e">
        <v>#N/A</v>
      </c>
      <c r="Q571" s="19" t="s">
        <v>4113</v>
      </c>
      <c r="R571" s="15" t="s">
        <v>4114</v>
      </c>
      <c r="S571" s="15" t="s">
        <v>37</v>
      </c>
      <c r="T571" s="16" t="s">
        <v>38</v>
      </c>
      <c r="U571" s="11" t="str">
        <f>_xlfn.XLOOKUP(Customer[[#This Row],[Customer ID]],[1]!Address[ID],[1]!Address[Phone No.(2)])</f>
        <v/>
      </c>
      <c r="V571" s="11" t="str">
        <f>_xlfn.XLOOKUP(Customer[[#This Row],[Customer ID]],[1]!Address[ID],[1]!Address[Type])</f>
        <v>PETROMART</v>
      </c>
      <c r="W571" s="11" t="str">
        <f>_xlfn.XLOOKUP(Customer[[#This Row],[Customer ID]],[1]!Address[ID],[1]!Address[CT])</f>
        <v>30 DAYS</v>
      </c>
      <c r="X571" s="11" t="s">
        <v>39</v>
      </c>
      <c r="Y571" s="17" t="s">
        <v>40</v>
      </c>
      <c r="Z571" s="17" t="e">
        <f>_xlfn.XLOOKUP(Customer[[#This Row],[NewType]],$AF$36:$AF$54,$AG$36:$AG$54)</f>
        <v>#N/A</v>
      </c>
      <c r="AA571" s="17" t="s">
        <v>4115</v>
      </c>
      <c r="AB571" s="11" t="str">
        <f>_xlfn.XLOOKUP(Customer[[#This Row],[Customer ID]],[1]!Address[ID],[1]!Address[Subtype])</f>
        <v>PETRONAS</v>
      </c>
      <c r="AC571" s="18" t="str">
        <f>_xlfn.XLOOKUP(Customer[[#This Row],[Customer ID]],[1]!Address[ID],[1]!Address[Zone])</f>
        <v>CENTRAL</v>
      </c>
    </row>
    <row r="572" spans="1:29" x14ac:dyDescent="0.3">
      <c r="A572" s="10" t="s">
        <v>4116</v>
      </c>
      <c r="B572" s="11" t="str">
        <f>_xlfn.XLOOKUP(Customer[[#This Row],[Customer ID]],[1]!Name[ID],[1]!Name[Description(1)])</f>
        <v>PETROBINA ENTERPRISE</v>
      </c>
      <c r="C572" s="11" t="str">
        <f>_xlfn.XLOOKUP(Customer[[#This Row],[Customer ID]],[1]!Name[ID],[1]!Name[Description(2)])</f>
        <v>PS PRAI INDUSTRIAL PARK</v>
      </c>
      <c r="D572" s="11" t="str">
        <f>_xlfn.XLOOKUP(Customer[[#This Row],[Customer ID]],[1]!Address[ID],[1]!Address[PIC])</f>
        <v/>
      </c>
      <c r="E572" s="11" t="str">
        <f>_xlfn.XLOOKUP(Customer[[#This Row],[Customer ID]],[1]!Address[ID],[1]!Address[Full Address])</f>
        <v>PS PRAI INDUSTRIAL PARKLOT 93, KAWASAN PERINDUSTRIAN PRAI, PRAI13600, SEBERANG PERAI UTARA,PULAU PINANG</v>
      </c>
      <c r="F572" s="12" t="s">
        <v>4117</v>
      </c>
      <c r="G572" s="12" t="s">
        <v>4118</v>
      </c>
      <c r="H572" s="12" t="s">
        <v>363</v>
      </c>
      <c r="I572" s="12" t="b">
        <f>ISNUMBER(VALUE(LEFT(Customer[[#This Row],[Address Line 3 (30 char)]],1)))</f>
        <v>0</v>
      </c>
      <c r="J572" s="12" t="s">
        <v>179</v>
      </c>
      <c r="K572" s="12">
        <v>13600</v>
      </c>
      <c r="L572" s="12" t="s">
        <v>35</v>
      </c>
      <c r="M572" s="13">
        <v>199203064758</v>
      </c>
      <c r="N572" s="14" t="s">
        <v>4119</v>
      </c>
      <c r="O572" s="14" t="e">
        <v>#N/A</v>
      </c>
      <c r="P572" s="14" t="e">
        <v>#N/A</v>
      </c>
      <c r="Q572" s="19" t="s">
        <v>4120</v>
      </c>
      <c r="R572" s="15" t="s">
        <v>4121</v>
      </c>
      <c r="S572" s="15" t="s">
        <v>74</v>
      </c>
      <c r="T572" s="16" t="s">
        <v>38</v>
      </c>
      <c r="U572" s="11" t="str">
        <f>_xlfn.XLOOKUP(Customer[[#This Row],[Customer ID]],[1]!Address[ID],[1]!Address[Phone No.(2)])</f>
        <v/>
      </c>
      <c r="V572" s="11" t="str">
        <f>_xlfn.XLOOKUP(Customer[[#This Row],[Customer ID]],[1]!Address[ID],[1]!Address[Type])</f>
        <v>PETROMART</v>
      </c>
      <c r="W572" s="11" t="str">
        <f>_xlfn.XLOOKUP(Customer[[#This Row],[Customer ID]],[1]!Address[ID],[1]!Address[CT])</f>
        <v>30 DAYS</v>
      </c>
      <c r="X572" s="11" t="s">
        <v>39</v>
      </c>
      <c r="Y572" s="17" t="s">
        <v>40</v>
      </c>
      <c r="Z572" s="17" t="e">
        <f>_xlfn.XLOOKUP(Customer[[#This Row],[NewType]],$AF$36:$AF$54,$AG$36:$AG$54)</f>
        <v>#N/A</v>
      </c>
      <c r="AA572" s="17" t="s">
        <v>4122</v>
      </c>
      <c r="AB572" s="11" t="str">
        <f>_xlfn.XLOOKUP(Customer[[#This Row],[Customer ID]],[1]!Address[ID],[1]!Address[Subtype])</f>
        <v>PETRONAS</v>
      </c>
      <c r="AC572" s="18" t="str">
        <f>_xlfn.XLOOKUP(Customer[[#This Row],[Customer ID]],[1]!Address[ID],[1]!Address[Zone])</f>
        <v>NORTH</v>
      </c>
    </row>
    <row r="573" spans="1:29" x14ac:dyDescent="0.3">
      <c r="A573" s="10" t="s">
        <v>4123</v>
      </c>
      <c r="B573" s="11" t="str">
        <f>_xlfn.XLOOKUP(Customer[[#This Row],[Customer ID]],[1]!Name[ID],[1]!Name[Description(1)])</f>
        <v>EMPAYAR PRIMA ENTERPRISE</v>
      </c>
      <c r="C573" s="11" t="str">
        <f>_xlfn.XLOOKUP(Customer[[#This Row],[Customer ID]],[1]!Name[ID],[1]!Name[Description(2)])</f>
        <v>PS PRIMA SAUJANA 1</v>
      </c>
      <c r="D573" s="11" t="str">
        <f>_xlfn.XLOOKUP(Customer[[#This Row],[Customer ID]],[1]!Address[ID],[1]!Address[PIC])</f>
        <v>AISHAH</v>
      </c>
      <c r="E573" s="11" t="str">
        <f>_xlfn.XLOOKUP(Customer[[#This Row],[Customer ID]],[1]!Address[ID],[1]!Address[Full Address])</f>
        <v>PS PRIMA SAUJANA 1SUBLOT D, PRIMA SAUJANA, MUKIM KAJANG,SELANGOR, 43000, ULU LANGAT, SELANGOR</v>
      </c>
      <c r="F573" s="12" t="s">
        <v>4124</v>
      </c>
      <c r="G573" s="12" t="s">
        <v>4125</v>
      </c>
      <c r="H573" s="12" t="s">
        <v>4126</v>
      </c>
      <c r="I573" s="12" t="b">
        <f>ISNUMBER(VALUE(LEFT(Customer[[#This Row],[Address Line 3 (30 char)]],1)))</f>
        <v>0</v>
      </c>
      <c r="J573" s="12" t="s">
        <v>172</v>
      </c>
      <c r="K573" s="12">
        <v>43000</v>
      </c>
      <c r="L573" s="12" t="s">
        <v>35</v>
      </c>
      <c r="M573" s="13">
        <v>202201036582</v>
      </c>
      <c r="N573" s="14" t="s">
        <v>4127</v>
      </c>
      <c r="O573" s="14" t="e">
        <v>#N/A</v>
      </c>
      <c r="P573" s="14" t="e">
        <v>#N/A</v>
      </c>
      <c r="Q573" s="19" t="s">
        <v>4128</v>
      </c>
      <c r="R573" s="15" t="s">
        <v>4129</v>
      </c>
      <c r="S573" s="15" t="s">
        <v>65</v>
      </c>
      <c r="T573" s="16" t="s">
        <v>38</v>
      </c>
      <c r="U573" s="11" t="str">
        <f>_xlfn.XLOOKUP(Customer[[#This Row],[Customer ID]],[1]!Address[ID],[1]!Address[Phone No.(2)])</f>
        <v/>
      </c>
      <c r="V573" s="11" t="str">
        <f>_xlfn.XLOOKUP(Customer[[#This Row],[Customer ID]],[1]!Address[ID],[1]!Address[Type])</f>
        <v>PETROMART</v>
      </c>
      <c r="W573" s="11" t="str">
        <f>_xlfn.XLOOKUP(Customer[[#This Row],[Customer ID]],[1]!Address[ID],[1]!Address[CT])</f>
        <v>30 DAYS</v>
      </c>
      <c r="X573" s="11" t="s">
        <v>39</v>
      </c>
      <c r="Y573" s="17" t="s">
        <v>40</v>
      </c>
      <c r="Z573" s="17" t="e">
        <f>_xlfn.XLOOKUP(Customer[[#This Row],[NewType]],$AF$36:$AF$54,$AG$36:$AG$54)</f>
        <v>#N/A</v>
      </c>
      <c r="AA573" s="17" t="s">
        <v>4130</v>
      </c>
      <c r="AB573" s="11" t="str">
        <f>_xlfn.XLOOKUP(Customer[[#This Row],[Customer ID]],[1]!Address[ID],[1]!Address[Subtype])</f>
        <v>PETRONAS</v>
      </c>
      <c r="AC573" s="18" t="str">
        <f>_xlfn.XLOOKUP(Customer[[#This Row],[Customer ID]],[1]!Address[ID],[1]!Address[Zone])</f>
        <v>CENTRAL</v>
      </c>
    </row>
    <row r="574" spans="1:29" x14ac:dyDescent="0.3">
      <c r="A574" s="10" t="s">
        <v>4131</v>
      </c>
      <c r="B574" s="11" t="str">
        <f>_xlfn.XLOOKUP(Customer[[#This Row],[Customer ID]],[1]!Name[ID],[1]!Name[Description(1)])</f>
        <v>PERMATA SAUJANA KAJANG SDN BHD</v>
      </c>
      <c r="C574" s="11" t="str">
        <f>_xlfn.XLOOKUP(Customer[[#This Row],[Customer ID]],[1]!Name[ID],[1]!Name[Description(2)])</f>
        <v>PS PRIMA SAUJANA 2</v>
      </c>
      <c r="D574" s="11" t="str">
        <f>_xlfn.XLOOKUP(Customer[[#This Row],[Customer ID]],[1]!Address[ID],[1]!Address[PIC])</f>
        <v/>
      </c>
      <c r="E574" s="11" t="str">
        <f>_xlfn.XLOOKUP(Customer[[#This Row],[Customer ID]],[1]!Address[ID],[1]!Address[Full Address])</f>
        <v>PS PRIMA SAUJANA 2LOT 17892 SUBLOT A, TAMAN PRIMA SAUJANA,KAJANG, 43000 SELANGOR</v>
      </c>
      <c r="F574" s="12" t="s">
        <v>4132</v>
      </c>
      <c r="G574" s="12" t="s">
        <v>4133</v>
      </c>
      <c r="H574" s="12" t="s">
        <v>4134</v>
      </c>
      <c r="I574" s="12" t="b">
        <f>ISNUMBER(VALUE(LEFT(Customer[[#This Row],[Address Line 3 (30 char)]],1)))</f>
        <v>0</v>
      </c>
      <c r="J574" s="12" t="s">
        <v>172</v>
      </c>
      <c r="K574" s="12">
        <v>43000</v>
      </c>
      <c r="L574" s="12" t="s">
        <v>35</v>
      </c>
      <c r="M574" s="13" t="e">
        <v>#N/A</v>
      </c>
      <c r="N574" s="14" t="e">
        <v>#N/A</v>
      </c>
      <c r="O574" s="14" t="e">
        <v>#N/A</v>
      </c>
      <c r="P574" s="14" t="e">
        <v>#N/A</v>
      </c>
      <c r="Q574" s="19" t="s">
        <v>4135</v>
      </c>
      <c r="R574" s="15" t="s">
        <v>4136</v>
      </c>
      <c r="S574" s="15" t="s">
        <v>37</v>
      </c>
      <c r="T574" s="16" t="s">
        <v>38</v>
      </c>
      <c r="U574" s="11" t="str">
        <f>_xlfn.XLOOKUP(Customer[[#This Row],[Customer ID]],[1]!Address[ID],[1]!Address[Phone No.(2)])</f>
        <v/>
      </c>
      <c r="V574" s="11" t="str">
        <f>_xlfn.XLOOKUP(Customer[[#This Row],[Customer ID]],[1]!Address[ID],[1]!Address[Type])</f>
        <v>PETROMART</v>
      </c>
      <c r="W574" s="11" t="str">
        <f>_xlfn.XLOOKUP(Customer[[#This Row],[Customer ID]],[1]!Address[ID],[1]!Address[CT])</f>
        <v>30 DAYS</v>
      </c>
      <c r="X574" s="11" t="s">
        <v>39</v>
      </c>
      <c r="Y574" s="17" t="s">
        <v>40</v>
      </c>
      <c r="Z574" s="17" t="e">
        <f>_xlfn.XLOOKUP(Customer[[#This Row],[NewType]],$AF$36:$AF$54,$AG$36:$AG$54)</f>
        <v>#N/A</v>
      </c>
      <c r="AA574" s="17" t="s">
        <v>4137</v>
      </c>
      <c r="AB574" s="11" t="str">
        <f>_xlfn.XLOOKUP(Customer[[#This Row],[Customer ID]],[1]!Address[ID],[1]!Address[Subtype])</f>
        <v>PETRONAS</v>
      </c>
      <c r="AC574" s="18" t="str">
        <f>_xlfn.XLOOKUP(Customer[[#This Row],[Customer ID]],[1]!Address[ID],[1]!Address[Zone])</f>
        <v>CENTRAL</v>
      </c>
    </row>
    <row r="575" spans="1:29" x14ac:dyDescent="0.3">
      <c r="A575" s="10" t="s">
        <v>4138</v>
      </c>
      <c r="B575" s="11" t="str">
        <f>_xlfn.XLOOKUP(Customer[[#This Row],[Customer ID]],[1]!Name[ID],[1]!Name[Description(1)])</f>
        <v>PSS PILIHAN UTAMA ENTERPRISE</v>
      </c>
      <c r="C575" s="11" t="str">
        <f>_xlfn.XLOOKUP(Customer[[#This Row],[Customer ID]],[1]!Name[ID],[1]!Name[Description(2)])</f>
        <v>PS PUCHONG BATU 14</v>
      </c>
      <c r="D575" s="11" t="str">
        <f>_xlfn.XLOOKUP(Customer[[#This Row],[Customer ID]],[1]!Address[ID],[1]!Address[PIC])</f>
        <v/>
      </c>
      <c r="E575" s="11" t="str">
        <f>_xlfn.XLOOKUP(Customer[[#This Row],[Customer ID]],[1]!Address[ID],[1]!Address[Full Address])</f>
        <v>PS PUCHONG BATU 14LOT 6972, KG BARU, BT 14 JALAN PUCHONG,PUCHONG, 47100, SELANGOR</v>
      </c>
      <c r="F575" s="12" t="s">
        <v>4139</v>
      </c>
      <c r="G575" s="12" t="s">
        <v>4140</v>
      </c>
      <c r="H575" s="12" t="s">
        <v>4141</v>
      </c>
      <c r="I575" s="12" t="b">
        <f>ISNUMBER(VALUE(LEFT(Customer[[#This Row],[Address Line 3 (30 char)]],1)))</f>
        <v>0</v>
      </c>
      <c r="J575" s="12" t="s">
        <v>172</v>
      </c>
      <c r="K575" s="12">
        <v>47100</v>
      </c>
      <c r="L575" s="12" t="s">
        <v>35</v>
      </c>
      <c r="M575" s="13" t="e">
        <v>#N/A</v>
      </c>
      <c r="N575" s="14" t="e">
        <v>#N/A</v>
      </c>
      <c r="O575" s="14" t="e">
        <v>#N/A</v>
      </c>
      <c r="P575" s="14" t="e">
        <v>#N/A</v>
      </c>
      <c r="Q575" s="19" t="s">
        <v>4142</v>
      </c>
      <c r="R575" s="15" t="s">
        <v>4143</v>
      </c>
      <c r="S575" s="15" t="s">
        <v>37</v>
      </c>
      <c r="T575" s="16" t="s">
        <v>38</v>
      </c>
      <c r="U575" s="11" t="str">
        <f>_xlfn.XLOOKUP(Customer[[#This Row],[Customer ID]],[1]!Address[ID],[1]!Address[Phone No.(2)])</f>
        <v/>
      </c>
      <c r="V575" s="11" t="str">
        <f>_xlfn.XLOOKUP(Customer[[#This Row],[Customer ID]],[1]!Address[ID],[1]!Address[Type])</f>
        <v>PETROMART</v>
      </c>
      <c r="W575" s="11" t="str">
        <f>_xlfn.XLOOKUP(Customer[[#This Row],[Customer ID]],[1]!Address[ID],[1]!Address[CT])</f>
        <v>30 DAYS</v>
      </c>
      <c r="X575" s="11" t="s">
        <v>39</v>
      </c>
      <c r="Y575" s="17" t="s">
        <v>40</v>
      </c>
      <c r="Z575" s="17" t="e">
        <f>_xlfn.XLOOKUP(Customer[[#This Row],[NewType]],$AF$36:$AF$54,$AG$36:$AG$54)</f>
        <v>#N/A</v>
      </c>
      <c r="AA575" s="17" t="s">
        <v>4144</v>
      </c>
      <c r="AB575" s="11" t="str">
        <f>_xlfn.XLOOKUP(Customer[[#This Row],[Customer ID]],[1]!Address[ID],[1]!Address[Subtype])</f>
        <v>PETRONAS</v>
      </c>
      <c r="AC575" s="18" t="str">
        <f>_xlfn.XLOOKUP(Customer[[#This Row],[Customer ID]],[1]!Address[ID],[1]!Address[Zone])</f>
        <v>CENTRAL</v>
      </c>
    </row>
    <row r="576" spans="1:29" x14ac:dyDescent="0.3">
      <c r="A576" s="10" t="s">
        <v>4145</v>
      </c>
      <c r="B576" s="11" t="str">
        <f>_xlfn.XLOOKUP(Customer[[#This Row],[Customer ID]],[1]!Name[ID],[1]!Name[Description(1)])</f>
        <v>REZEKI NAIM ENTERPRISE</v>
      </c>
      <c r="C576" s="11" t="str">
        <f>_xlfn.XLOOKUP(Customer[[#This Row],[Customer ID]],[1]!Name[ID],[1]!Name[Description(2)])</f>
        <v>PS PUCHONG GATEWAY</v>
      </c>
      <c r="D576" s="11" t="str">
        <f>_xlfn.XLOOKUP(Customer[[#This Row],[Customer ID]],[1]!Address[ID],[1]!Address[PIC])</f>
        <v>noor azreena</v>
      </c>
      <c r="E576" s="11" t="str">
        <f>_xlfn.XLOOKUP(Customer[[#This Row],[Customer ID]],[1]!Address[ID],[1]!Address[Full Address])</f>
        <v>PS PUCHONG GATEWAYLOT PT 48733, MUKIM PETALING,(LDP PUCHONG GATEWAY),47100 PETALING, SELANGOR</v>
      </c>
      <c r="F576" s="12" t="s">
        <v>4146</v>
      </c>
      <c r="G576" s="12" t="s">
        <v>4147</v>
      </c>
      <c r="H576" s="12" t="s">
        <v>4148</v>
      </c>
      <c r="I576" s="12" t="b">
        <f>ISNUMBER(VALUE(LEFT(Customer[[#This Row],[Address Line 3 (30 char)]],1)))</f>
        <v>0</v>
      </c>
      <c r="J576" s="12" t="s">
        <v>172</v>
      </c>
      <c r="K576" s="12">
        <v>47100</v>
      </c>
      <c r="L576" s="12" t="s">
        <v>35</v>
      </c>
      <c r="M576" s="13" t="e">
        <v>#N/A</v>
      </c>
      <c r="N576" s="14" t="s">
        <v>4149</v>
      </c>
      <c r="O576" s="14" t="e">
        <v>#N/A</v>
      </c>
      <c r="P576" s="14" t="e">
        <v>#N/A</v>
      </c>
      <c r="Q576" s="19" t="s">
        <v>4150</v>
      </c>
      <c r="R576" s="15" t="s">
        <v>4151</v>
      </c>
      <c r="S576" s="15" t="s">
        <v>65</v>
      </c>
      <c r="T576" s="16" t="s">
        <v>38</v>
      </c>
      <c r="U576" s="11" t="str">
        <f>_xlfn.XLOOKUP(Customer[[#This Row],[Customer ID]],[1]!Address[ID],[1]!Address[Phone No.(2)])</f>
        <v/>
      </c>
      <c r="V576" s="11" t="str">
        <f>_xlfn.XLOOKUP(Customer[[#This Row],[Customer ID]],[1]!Address[ID],[1]!Address[Type])</f>
        <v>PETROMART</v>
      </c>
      <c r="W576" s="11" t="str">
        <f>_xlfn.XLOOKUP(Customer[[#This Row],[Customer ID]],[1]!Address[ID],[1]!Address[CT])</f>
        <v>30 DAYS</v>
      </c>
      <c r="X576" s="11" t="s">
        <v>39</v>
      </c>
      <c r="Y576" s="17" t="s">
        <v>40</v>
      </c>
      <c r="Z576" s="17" t="e">
        <f>_xlfn.XLOOKUP(Customer[[#This Row],[NewType]],$AF$36:$AF$54,$AG$36:$AG$54)</f>
        <v>#N/A</v>
      </c>
      <c r="AA576" s="17" t="s">
        <v>4152</v>
      </c>
      <c r="AB576" s="11" t="str">
        <f>_xlfn.XLOOKUP(Customer[[#This Row],[Customer ID]],[1]!Address[ID],[1]!Address[Subtype])</f>
        <v>PETRONAS</v>
      </c>
      <c r="AC576" s="18" t="str">
        <f>_xlfn.XLOOKUP(Customer[[#This Row],[Customer ID]],[1]!Address[ID],[1]!Address[Zone])</f>
        <v>CENTRAL</v>
      </c>
    </row>
    <row r="577" spans="1:29" x14ac:dyDescent="0.3">
      <c r="A577" s="10" t="s">
        <v>4153</v>
      </c>
      <c r="B577" s="11" t="str">
        <f>_xlfn.XLOOKUP(Customer[[#This Row],[Customer ID]],[1]!Name[ID],[1]!Name[Description(1)])</f>
        <v>NURAMIN RESOURCES</v>
      </c>
      <c r="C577" s="11" t="str">
        <f>_xlfn.XLOOKUP(Customer[[#This Row],[Customer ID]],[1]!Name[ID],[1]!Name[Description(2)])</f>
        <v>PS PUCHONG JAYA</v>
      </c>
      <c r="D577" s="11" t="str">
        <f>_xlfn.XLOOKUP(Customer[[#This Row],[Customer ID]],[1]!Address[ID],[1]!Address[PIC])</f>
        <v/>
      </c>
      <c r="E577" s="11" t="str">
        <f>_xlfn.XLOOKUP(Customer[[#This Row],[Customer ID]],[1]!Address[ID],[1]!Address[Full Address])</f>
        <v>PS PUCHONG JAYALOT 9428 BANDAR PUCHONG JAYA, PUCHONG,47100, PETALING, SELANGOR</v>
      </c>
      <c r="F577" s="12" t="s">
        <v>4154</v>
      </c>
      <c r="G577" s="12" t="s">
        <v>4155</v>
      </c>
      <c r="H577" s="12" t="s">
        <v>1463</v>
      </c>
      <c r="I577" s="12" t="b">
        <f>ISNUMBER(VALUE(LEFT(Customer[[#This Row],[Address Line 3 (30 char)]],1)))</f>
        <v>0</v>
      </c>
      <c r="J577" s="12" t="s">
        <v>172</v>
      </c>
      <c r="K577" s="12">
        <v>47100</v>
      </c>
      <c r="L577" s="12" t="s">
        <v>35</v>
      </c>
      <c r="M577" s="13" t="e">
        <v>#N/A</v>
      </c>
      <c r="N577" s="14" t="e">
        <v>#N/A</v>
      </c>
      <c r="O577" s="14" t="e">
        <v>#N/A</v>
      </c>
      <c r="P577" s="14" t="e">
        <v>#N/A</v>
      </c>
      <c r="Q577" s="19" t="s">
        <v>4156</v>
      </c>
      <c r="R577" s="15" t="s">
        <v>4157</v>
      </c>
      <c r="S577" s="15" t="s">
        <v>37</v>
      </c>
      <c r="T577" s="16" t="s">
        <v>38</v>
      </c>
      <c r="U577" s="11" t="str">
        <f>_xlfn.XLOOKUP(Customer[[#This Row],[Customer ID]],[1]!Address[ID],[1]!Address[Phone No.(2)])</f>
        <v/>
      </c>
      <c r="V577" s="11" t="str">
        <f>_xlfn.XLOOKUP(Customer[[#This Row],[Customer ID]],[1]!Address[ID],[1]!Address[Type])</f>
        <v>PETROMART</v>
      </c>
      <c r="W577" s="11" t="str">
        <f>_xlfn.XLOOKUP(Customer[[#This Row],[Customer ID]],[1]!Address[ID],[1]!Address[CT])</f>
        <v>30 DAYS</v>
      </c>
      <c r="X577" s="11" t="s">
        <v>39</v>
      </c>
      <c r="Y577" s="17" t="s">
        <v>40</v>
      </c>
      <c r="Z577" s="17" t="e">
        <f>_xlfn.XLOOKUP(Customer[[#This Row],[NewType]],$AF$36:$AF$54,$AG$36:$AG$54)</f>
        <v>#N/A</v>
      </c>
      <c r="AA577" s="17" t="s">
        <v>4158</v>
      </c>
      <c r="AB577" s="11" t="str">
        <f>_xlfn.XLOOKUP(Customer[[#This Row],[Customer ID]],[1]!Address[ID],[1]!Address[Subtype])</f>
        <v>PETRONAS</v>
      </c>
      <c r="AC577" s="18" t="str">
        <f>_xlfn.XLOOKUP(Customer[[#This Row],[Customer ID]],[1]!Address[ID],[1]!Address[Zone])</f>
        <v>CENTRAL</v>
      </c>
    </row>
    <row r="578" spans="1:29" x14ac:dyDescent="0.3">
      <c r="A578" s="10" t="s">
        <v>4159</v>
      </c>
      <c r="B578" s="11" t="str">
        <f>_xlfn.XLOOKUP(Customer[[#This Row],[Customer ID]],[1]!Name[ID],[1]!Name[Description(1)])</f>
        <v>MERALI ENTERPRISE</v>
      </c>
      <c r="C578" s="11" t="str">
        <f>_xlfn.XLOOKUP(Customer[[#This Row],[Customer ID]],[1]!Name[ID],[1]!Name[Description(2)])</f>
        <v>PS PUCHONG PRIMA</v>
      </c>
      <c r="D578" s="11" t="str">
        <f>_xlfn.XLOOKUP(Customer[[#This Row],[Customer ID]],[1]!Address[ID],[1]!Address[PIC])</f>
        <v>Wani</v>
      </c>
      <c r="E578" s="11" t="str">
        <f>_xlfn.XLOOKUP(Customer[[#This Row],[Customer ID]],[1]!Address[ID],[1]!Address[Full Address])</f>
        <v>PS PUCHONG PRIMALOT PT 1161, HS (D) 135350PUCHONG PERDANA, PUCHONG,47100 PETALING, SELANGOR</v>
      </c>
      <c r="F578" s="12" t="s">
        <v>4160</v>
      </c>
      <c r="G578" s="12" t="s">
        <v>4161</v>
      </c>
      <c r="H578" s="12" t="s">
        <v>4162</v>
      </c>
      <c r="I578" s="12" t="b">
        <f>ISNUMBER(VALUE(LEFT(Customer[[#This Row],[Address Line 3 (30 char)]],1)))</f>
        <v>0</v>
      </c>
      <c r="J578" s="12" t="s">
        <v>172</v>
      </c>
      <c r="K578" s="12">
        <v>47100</v>
      </c>
      <c r="L578" s="12" t="s">
        <v>35</v>
      </c>
      <c r="M578" s="13" t="e">
        <v>#N/A</v>
      </c>
      <c r="N578" s="14" t="s">
        <v>4163</v>
      </c>
      <c r="O578" s="14" t="e">
        <v>#N/A</v>
      </c>
      <c r="P578" s="14" t="e">
        <v>#N/A</v>
      </c>
      <c r="Q578" s="19" t="s">
        <v>4164</v>
      </c>
      <c r="R578" s="15" t="s">
        <v>4165</v>
      </c>
      <c r="S578" s="15" t="s">
        <v>37</v>
      </c>
      <c r="T578" s="16" t="s">
        <v>38</v>
      </c>
      <c r="U578" s="11" t="str">
        <f>_xlfn.XLOOKUP(Customer[[#This Row],[Customer ID]],[1]!Address[ID],[1]!Address[Phone No.(2)])</f>
        <v/>
      </c>
      <c r="V578" s="11" t="str">
        <f>_xlfn.XLOOKUP(Customer[[#This Row],[Customer ID]],[1]!Address[ID],[1]!Address[Type])</f>
        <v>PETROMART</v>
      </c>
      <c r="W578" s="11" t="str">
        <f>_xlfn.XLOOKUP(Customer[[#This Row],[Customer ID]],[1]!Address[ID],[1]!Address[CT])</f>
        <v>30 DAYS</v>
      </c>
      <c r="X578" s="11" t="s">
        <v>39</v>
      </c>
      <c r="Y578" s="17" t="s">
        <v>40</v>
      </c>
      <c r="Z578" s="17" t="e">
        <f>_xlfn.XLOOKUP(Customer[[#This Row],[NewType]],$AF$36:$AF$54,$AG$36:$AG$54)</f>
        <v>#N/A</v>
      </c>
      <c r="AA578" s="17" t="s">
        <v>4166</v>
      </c>
      <c r="AB578" s="11" t="str">
        <f>_xlfn.XLOOKUP(Customer[[#This Row],[Customer ID]],[1]!Address[ID],[1]!Address[Subtype])</f>
        <v>PETRONAS</v>
      </c>
      <c r="AC578" s="18" t="str">
        <f>_xlfn.XLOOKUP(Customer[[#This Row],[Customer ID]],[1]!Address[ID],[1]!Address[Zone])</f>
        <v>CENTRAL</v>
      </c>
    </row>
    <row r="579" spans="1:29" x14ac:dyDescent="0.3">
      <c r="A579" s="10" t="s">
        <v>4167</v>
      </c>
      <c r="B579" s="11" t="str">
        <f>_xlfn.XLOOKUP(Customer[[#This Row],[Customer ID]],[1]!Name[ID],[1]!Name[Description(1)])</f>
        <v>PERTUBUHAN PELADANG KAWASAN</v>
      </c>
      <c r="C579" s="11" t="str">
        <f>_xlfn.XLOOKUP(Customer[[#This Row],[Customer ID]],[1]!Name[ID],[1]!Name[Description(2)])</f>
        <v>PS PULAU SEBANG</v>
      </c>
      <c r="D579" s="11" t="str">
        <f>_xlfn.XLOOKUP(Customer[[#This Row],[Customer ID]],[1]!Address[ID],[1]!Address[PIC])</f>
        <v/>
      </c>
      <c r="E579" s="11" t="str">
        <f>_xlfn.XLOOKUP(Customer[[#This Row],[Customer ID]],[1]!Address[ID],[1]!Address[Full Address])</f>
        <v>PS PULAU SEBANGLOT 96 &amp; 97, PULAU SEBANG,78000 ALOR GAJAH,MELAKA</v>
      </c>
      <c r="F579" s="12" t="s">
        <v>4168</v>
      </c>
      <c r="G579" s="12" t="s">
        <v>4169</v>
      </c>
      <c r="H579" s="24" t="s">
        <v>1568</v>
      </c>
      <c r="I579" s="24" t="b">
        <f>ISNUMBER(VALUE(LEFT(Customer[[#This Row],[Address Line 3 (30 char)]],1)))</f>
        <v>0</v>
      </c>
      <c r="J579" s="12" t="s">
        <v>61</v>
      </c>
      <c r="K579" s="12">
        <v>78000</v>
      </c>
      <c r="L579" s="12" t="s">
        <v>35</v>
      </c>
      <c r="M579" s="13" t="e">
        <v>#N/A</v>
      </c>
      <c r="N579" s="14" t="e">
        <v>#N/A</v>
      </c>
      <c r="O579" s="14" t="e">
        <v>#N/A</v>
      </c>
      <c r="P579" s="14" t="e">
        <v>#N/A</v>
      </c>
      <c r="Q579" s="19" t="s">
        <v>4170</v>
      </c>
      <c r="R579" s="15" t="s">
        <v>4171</v>
      </c>
      <c r="S579" s="15" t="s">
        <v>37</v>
      </c>
      <c r="T579" s="16" t="s">
        <v>38</v>
      </c>
      <c r="U579" s="11" t="str">
        <f>_xlfn.XLOOKUP(Customer[[#This Row],[Customer ID]],[1]!Address[ID],[1]!Address[Phone No.(2)])</f>
        <v/>
      </c>
      <c r="V579" s="11" t="str">
        <f>_xlfn.XLOOKUP(Customer[[#This Row],[Customer ID]],[1]!Address[ID],[1]!Address[Type])</f>
        <v>PETROMART</v>
      </c>
      <c r="W579" s="11" t="str">
        <f>_xlfn.XLOOKUP(Customer[[#This Row],[Customer ID]],[1]!Address[ID],[1]!Address[CT])</f>
        <v>30 DAYS</v>
      </c>
      <c r="X579" s="11" t="s">
        <v>39</v>
      </c>
      <c r="Y579" s="17" t="s">
        <v>40</v>
      </c>
      <c r="Z579" s="17" t="e">
        <f>_xlfn.XLOOKUP(Customer[[#This Row],[NewType]],$AF$36:$AF$54,$AG$36:$AG$54)</f>
        <v>#N/A</v>
      </c>
      <c r="AA579" s="17" t="s">
        <v>4172</v>
      </c>
      <c r="AB579" s="11" t="str">
        <f>_xlfn.XLOOKUP(Customer[[#This Row],[Customer ID]],[1]!Address[ID],[1]!Address[Subtype])</f>
        <v>PETRONAS</v>
      </c>
      <c r="AC579" s="18" t="str">
        <f>_xlfn.XLOOKUP(Customer[[#This Row],[Customer ID]],[1]!Address[ID],[1]!Address[Zone])</f>
        <v>SOUTH</v>
      </c>
    </row>
    <row r="580" spans="1:29" x14ac:dyDescent="0.3">
      <c r="A580" s="10" t="s">
        <v>4173</v>
      </c>
      <c r="B580" s="11" t="str">
        <f>_xlfn.XLOOKUP(Customer[[#This Row],[Customer ID]],[1]!Name[ID],[1]!Name[Description(1)])</f>
        <v>FZ NIAGA ENTERPRISE</v>
      </c>
      <c r="C580" s="11" t="str">
        <f>_xlfn.XLOOKUP(Customer[[#This Row],[Customer ID]],[1]!Name[ID],[1]!Name[Description(2)])</f>
        <v>PS PUNCAK ALAM</v>
      </c>
      <c r="D580" s="11" t="str">
        <f>_xlfn.XLOOKUP(Customer[[#This Row],[Customer ID]],[1]!Address[ID],[1]!Address[PIC])</f>
        <v>Najwa</v>
      </c>
      <c r="E580" s="11" t="str">
        <f>_xlfn.XLOOKUP(Customer[[#This Row],[Customer ID]],[1]!Address[ID],[1]!Address[Full Address])</f>
        <v>PS PUNCAK ALAMPT 10695 BANDAR PUNCAK ALAM,MUKIM IJOK KUALA SELANGOR,42300 KUALA SELANGOR, SELANGOR</v>
      </c>
      <c r="F580" s="12" t="s">
        <v>4174</v>
      </c>
      <c r="G580" s="12" t="s">
        <v>4175</v>
      </c>
      <c r="H580" s="12" t="s">
        <v>4176</v>
      </c>
      <c r="I580" s="12" t="b">
        <f>ISNUMBER(VALUE(LEFT(Customer[[#This Row],[Address Line 3 (30 char)]],1)))</f>
        <v>0</v>
      </c>
      <c r="J580" s="12" t="s">
        <v>172</v>
      </c>
      <c r="K580" s="12">
        <v>42300</v>
      </c>
      <c r="L580" s="12" t="s">
        <v>35</v>
      </c>
      <c r="M580" s="13">
        <v>202003084946</v>
      </c>
      <c r="N580" s="14" t="s">
        <v>4177</v>
      </c>
      <c r="O580" s="14" t="s">
        <v>156</v>
      </c>
      <c r="P580" s="14">
        <v>47300</v>
      </c>
      <c r="Q580" s="19" t="s">
        <v>4178</v>
      </c>
      <c r="R580" s="15" t="s">
        <v>4179</v>
      </c>
      <c r="S580" s="15" t="s">
        <v>37</v>
      </c>
      <c r="T580" s="16" t="s">
        <v>38</v>
      </c>
      <c r="U580" s="11" t="str">
        <f>_xlfn.XLOOKUP(Customer[[#This Row],[Customer ID]],[1]!Address[ID],[1]!Address[Phone No.(2)])</f>
        <v/>
      </c>
      <c r="V580" s="11" t="str">
        <f>_xlfn.XLOOKUP(Customer[[#This Row],[Customer ID]],[1]!Address[ID],[1]!Address[Type])</f>
        <v>PETROMART</v>
      </c>
      <c r="W580" s="11" t="str">
        <f>_xlfn.XLOOKUP(Customer[[#This Row],[Customer ID]],[1]!Address[ID],[1]!Address[CT])</f>
        <v>30 DAYS</v>
      </c>
      <c r="X580" s="11" t="s">
        <v>39</v>
      </c>
      <c r="Y580" s="17" t="s">
        <v>40</v>
      </c>
      <c r="Z580" s="17" t="e">
        <f>_xlfn.XLOOKUP(Customer[[#This Row],[NewType]],$AF$36:$AF$54,$AG$36:$AG$54)</f>
        <v>#N/A</v>
      </c>
      <c r="AA580" s="17" t="s">
        <v>4180</v>
      </c>
      <c r="AB580" s="11" t="str">
        <f>_xlfn.XLOOKUP(Customer[[#This Row],[Customer ID]],[1]!Address[ID],[1]!Address[Subtype])</f>
        <v>PETRONAS</v>
      </c>
      <c r="AC580" s="18" t="str">
        <f>_xlfn.XLOOKUP(Customer[[#This Row],[Customer ID]],[1]!Address[ID],[1]!Address[Zone])</f>
        <v>CENTRAL</v>
      </c>
    </row>
    <row r="581" spans="1:29" x14ac:dyDescent="0.3">
      <c r="A581" s="10" t="s">
        <v>4181</v>
      </c>
      <c r="B581" s="11" t="str">
        <f>_xlfn.XLOOKUP(Customer[[#This Row],[Customer ID]],[1]!Name[ID],[1]!Name[Description(1)])</f>
        <v>NUSA CEKAP SDN BHD</v>
      </c>
      <c r="C581" s="11" t="str">
        <f>_xlfn.XLOOKUP(Customer[[#This Row],[Customer ID]],[1]!Name[ID],[1]!Name[Description(2)])</f>
        <v>PS PUNCAK HILLPARK</v>
      </c>
      <c r="D581" s="11" t="str">
        <f>_xlfn.XLOOKUP(Customer[[#This Row],[Customer ID]],[1]!Address[ID],[1]!Address[PIC])</f>
        <v/>
      </c>
      <c r="E581" s="11" t="str">
        <f>_xlfn.XLOOKUP(Customer[[#This Row],[Customer ID]],[1]!Address[ID],[1]!Address[Full Address])</f>
        <v>PS PUNCAK HILLPARKPT 34813 JALAN HILLPARK 11/11,PUSAT PERDAGANGAN HILLPARK,42300 BANDARHILLPARK PUNCAK ALAM,SELANGOR DARUL EHSN</v>
      </c>
      <c r="F581" s="12" t="s">
        <v>4182</v>
      </c>
      <c r="G581" s="12" t="s">
        <v>4183</v>
      </c>
      <c r="H581" s="12" t="s">
        <v>4184</v>
      </c>
      <c r="I581" s="12" t="b">
        <f>ISNUMBER(VALUE(LEFT(Customer[[#This Row],[Address Line 3 (30 char)]],1)))</f>
        <v>0</v>
      </c>
      <c r="J581" s="12" t="s">
        <v>172</v>
      </c>
      <c r="K581" s="12">
        <v>42300</v>
      </c>
      <c r="L581" s="12" t="s">
        <v>35</v>
      </c>
      <c r="M581" s="13" t="e">
        <v>#N/A</v>
      </c>
      <c r="N581" s="14" t="e">
        <v>#N/A</v>
      </c>
      <c r="O581" s="14" t="e">
        <v>#N/A</v>
      </c>
      <c r="P581" s="14" t="e">
        <v>#N/A</v>
      </c>
      <c r="Q581" s="19" t="s">
        <v>4185</v>
      </c>
      <c r="R581" s="15" t="s">
        <v>4186</v>
      </c>
      <c r="S581" s="15" t="s">
        <v>37</v>
      </c>
      <c r="T581" s="16" t="s">
        <v>38</v>
      </c>
      <c r="U581" s="11" t="str">
        <f>_xlfn.XLOOKUP(Customer[[#This Row],[Customer ID]],[1]!Address[ID],[1]!Address[Phone No.(2)])</f>
        <v/>
      </c>
      <c r="V581" s="11" t="str">
        <f>_xlfn.XLOOKUP(Customer[[#This Row],[Customer ID]],[1]!Address[ID],[1]!Address[Type])</f>
        <v>PETROMART</v>
      </c>
      <c r="W581" s="11" t="str">
        <f>_xlfn.XLOOKUP(Customer[[#This Row],[Customer ID]],[1]!Address[ID],[1]!Address[CT])</f>
        <v>30 DAYS</v>
      </c>
      <c r="X581" s="11" t="s">
        <v>39</v>
      </c>
      <c r="Y581" s="17" t="s">
        <v>40</v>
      </c>
      <c r="Z581" s="17" t="e">
        <f>_xlfn.XLOOKUP(Customer[[#This Row],[NewType]],$AF$36:$AF$54,$AG$36:$AG$54)</f>
        <v>#N/A</v>
      </c>
      <c r="AA581" s="17" t="s">
        <v>4187</v>
      </c>
      <c r="AB581" s="11" t="str">
        <f>_xlfn.XLOOKUP(Customer[[#This Row],[Customer ID]],[1]!Address[ID],[1]!Address[Subtype])</f>
        <v>PETRONAS</v>
      </c>
      <c r="AC581" s="18" t="str">
        <f>_xlfn.XLOOKUP(Customer[[#This Row],[Customer ID]],[1]!Address[ID],[1]!Address[Zone])</f>
        <v>CENTRAL</v>
      </c>
    </row>
    <row r="582" spans="1:29" x14ac:dyDescent="0.3">
      <c r="A582" s="27" t="s">
        <v>4188</v>
      </c>
      <c r="B582" s="28" t="str">
        <f>_xlfn.XLOOKUP(Customer[[#This Row],[Customer ID]],[1]!Name[ID],[1]!Name[Description(1)])</f>
        <v>KPF NIAGA SDN BHD</v>
      </c>
      <c r="C582" s="11" t="str">
        <f>_xlfn.XLOOKUP(Customer[[#This Row],[Customer ID]],[1]!Name[ID],[1]!Name[Description(2)])</f>
        <v>PS PUSPA KENCANA</v>
      </c>
      <c r="D582" s="11" t="str">
        <f>_xlfn.XLOOKUP(Customer[[#This Row],[Customer ID]],[1]!Address[ID],[1]!Address[PIC])</f>
        <v/>
      </c>
      <c r="E582" s="11" t="str">
        <f>_xlfn.XLOOKUP(Customer[[#This Row],[Customer ID]],[1]!Address[ID],[1]!Address[Full Address])</f>
        <v>PS PUSPA KENCANAPT 5193, SEKSYEN 55, HUTAN PULAI,BANDAR ALOR SETAR, KOTA SETAR,05350 ALOR SETAR, KEDAH</v>
      </c>
      <c r="F582" s="12" t="s">
        <v>4189</v>
      </c>
      <c r="G582" s="12" t="s">
        <v>4190</v>
      </c>
      <c r="H582" s="12" t="s">
        <v>4191</v>
      </c>
      <c r="I582" s="12" t="b">
        <f>ISNUMBER(VALUE(LEFT(Customer[[#This Row],[Address Line 3 (30 char)]],1)))</f>
        <v>0</v>
      </c>
      <c r="J582" s="12" t="s">
        <v>355</v>
      </c>
      <c r="K582" s="30" t="s">
        <v>2336</v>
      </c>
      <c r="L582" s="12" t="s">
        <v>35</v>
      </c>
      <c r="M582" s="13" t="e">
        <v>#N/A</v>
      </c>
      <c r="N582" s="14" t="e">
        <v>#N/A</v>
      </c>
      <c r="O582" s="14" t="e">
        <v>#N/A</v>
      </c>
      <c r="P582" s="14" t="e">
        <v>#N/A</v>
      </c>
      <c r="Q582" s="19" t="s">
        <v>4192</v>
      </c>
      <c r="R582" s="15" t="s">
        <v>4193</v>
      </c>
      <c r="S582" s="15" t="s">
        <v>74</v>
      </c>
      <c r="T582" s="16" t="s">
        <v>38</v>
      </c>
      <c r="U582" s="11" t="str">
        <f>_xlfn.XLOOKUP(Customer[[#This Row],[Customer ID]],[1]!Address[ID],[1]!Address[Phone No.(2)])</f>
        <v/>
      </c>
      <c r="V582" s="11" t="str">
        <f>_xlfn.XLOOKUP(Customer[[#This Row],[Customer ID]],[1]!Address[ID],[1]!Address[Type])</f>
        <v>PETROMART</v>
      </c>
      <c r="W582" s="11" t="str">
        <f>_xlfn.XLOOKUP(Customer[[#This Row],[Customer ID]],[1]!Address[ID],[1]!Address[CT])</f>
        <v>30 DAYS</v>
      </c>
      <c r="X582" s="11" t="s">
        <v>39</v>
      </c>
      <c r="Y582" s="17" t="s">
        <v>40</v>
      </c>
      <c r="Z582" s="17" t="e">
        <f>_xlfn.XLOOKUP(Customer[[#This Row],[NewType]],$AF$36:$AF$54,$AG$36:$AG$54)</f>
        <v>#N/A</v>
      </c>
      <c r="AA582" s="17" t="s">
        <v>4194</v>
      </c>
      <c r="AB582" s="11" t="str">
        <f>_xlfn.XLOOKUP(Customer[[#This Row],[Customer ID]],[1]!Address[ID],[1]!Address[Subtype])</f>
        <v>PETRONAS</v>
      </c>
      <c r="AC582" s="18" t="str">
        <f>_xlfn.XLOOKUP(Customer[[#This Row],[Customer ID]],[1]!Address[ID],[1]!Address[Zone])</f>
        <v>NORTH</v>
      </c>
    </row>
    <row r="583" spans="1:29" x14ac:dyDescent="0.3">
      <c r="A583" s="10" t="s">
        <v>4195</v>
      </c>
      <c r="B583" s="11" t="str">
        <f>_xlfn.XLOOKUP(Customer[[#This Row],[Customer ID]],[1]!Name[ID],[1]!Name[Description(1)])</f>
        <v>JASR STATION</v>
      </c>
      <c r="C583" s="11" t="str">
        <f>_xlfn.XLOOKUP(Customer[[#This Row],[Customer ID]],[1]!Name[ID],[1]!Name[Description(2)])</f>
        <v>PS PUTERI WANGSA</v>
      </c>
      <c r="D583" s="11" t="str">
        <f>_xlfn.XLOOKUP(Customer[[#This Row],[Customer ID]],[1]!Address[ID],[1]!Address[PIC])</f>
        <v/>
      </c>
      <c r="E583" s="11" t="str">
        <f>_xlfn.XLOOKUP(Customer[[#This Row],[Customer ID]],[1]!Address[ID],[1]!Address[Full Address])</f>
        <v>PS PUTERI WANGSALOT PTD 26080, TAMAN PUTRI WANGSA,MUKIM TEBRAU, JOHOR,81800 JOHOR BAHRU, JOHOR</v>
      </c>
      <c r="F583" s="12" t="s">
        <v>4196</v>
      </c>
      <c r="G583" s="12" t="s">
        <v>4197</v>
      </c>
      <c r="H583" s="12" t="s">
        <v>4198</v>
      </c>
      <c r="I583" s="12" t="b">
        <f>ISNUMBER(VALUE(LEFT(Customer[[#This Row],[Address Line 3 (30 char)]],1)))</f>
        <v>0</v>
      </c>
      <c r="J583" s="12" t="s">
        <v>52</v>
      </c>
      <c r="K583" s="12">
        <v>81800</v>
      </c>
      <c r="L583" s="12" t="s">
        <v>35</v>
      </c>
      <c r="M583" s="13" t="e">
        <v>#N/A</v>
      </c>
      <c r="N583" s="14" t="e">
        <v>#N/A</v>
      </c>
      <c r="O583" s="14" t="e">
        <v>#N/A</v>
      </c>
      <c r="P583" s="14" t="e">
        <v>#N/A</v>
      </c>
      <c r="Q583" s="19" t="s">
        <v>4199</v>
      </c>
      <c r="R583" s="15" t="s">
        <v>4200</v>
      </c>
      <c r="S583" s="15" t="s">
        <v>37</v>
      </c>
      <c r="T583" s="16" t="s">
        <v>38</v>
      </c>
      <c r="U583" s="11" t="str">
        <f>_xlfn.XLOOKUP(Customer[[#This Row],[Customer ID]],[1]!Address[ID],[1]!Address[Phone No.(2)])</f>
        <v/>
      </c>
      <c r="V583" s="11" t="str">
        <f>_xlfn.XLOOKUP(Customer[[#This Row],[Customer ID]],[1]!Address[ID],[1]!Address[Type])</f>
        <v>PETROMART</v>
      </c>
      <c r="W583" s="11" t="str">
        <f>_xlfn.XLOOKUP(Customer[[#This Row],[Customer ID]],[1]!Address[ID],[1]!Address[CT])</f>
        <v>30 DAYS</v>
      </c>
      <c r="X583" s="11" t="s">
        <v>39</v>
      </c>
      <c r="Y583" s="17" t="s">
        <v>40</v>
      </c>
      <c r="Z583" s="17" t="e">
        <f>_xlfn.XLOOKUP(Customer[[#This Row],[NewType]],$AF$36:$AF$54,$AG$36:$AG$54)</f>
        <v>#N/A</v>
      </c>
      <c r="AA583" s="17" t="s">
        <v>4201</v>
      </c>
      <c r="AB583" s="11" t="str">
        <f>_xlfn.XLOOKUP(Customer[[#This Row],[Customer ID]],[1]!Address[ID],[1]!Address[Subtype])</f>
        <v>PETRONAS</v>
      </c>
      <c r="AC583" s="18" t="str">
        <f>_xlfn.XLOOKUP(Customer[[#This Row],[Customer ID]],[1]!Address[ID],[1]!Address[Zone])</f>
        <v>SOUTH</v>
      </c>
    </row>
    <row r="584" spans="1:29" x14ac:dyDescent="0.3">
      <c r="A584" s="10" t="s">
        <v>4202</v>
      </c>
      <c r="B584" s="11" t="str">
        <f>_xlfn.XLOOKUP(Customer[[#This Row],[Customer ID]],[1]!Name[ID],[1]!Name[Description(1)])</f>
        <v>AYLA TRADING</v>
      </c>
      <c r="C584" s="11" t="str">
        <f>_xlfn.XLOOKUP(Customer[[#This Row],[Customer ID]],[1]!Name[ID],[1]!Name[Description(2)])</f>
        <v>PS PUTRA HEIGHTS 2 (PS PUTRA BISTARI)</v>
      </c>
      <c r="D584" s="11" t="str">
        <f>_xlfn.XLOOKUP(Customer[[#This Row],[Customer ID]],[1]!Address[ID],[1]!Address[PIC])</f>
        <v/>
      </c>
      <c r="E584" s="11" t="str">
        <f>_xlfn.XLOOKUP(Customer[[#This Row],[Customer ID]],[1]!Address[ID],[1]!Address[Full Address])</f>
        <v>PS PUTRA HEIGHTS 2 (PS PUTRA BISTARI)LOT 3612, PERSIARAN PUTRA BISTARI,PUTRA HEIGHTS SEKSYEN 2, SUBANG JAYA,47620 PETALING, SELANGOR</v>
      </c>
      <c r="F584" s="12" t="s">
        <v>4203</v>
      </c>
      <c r="G584" s="12" t="s">
        <v>4204</v>
      </c>
      <c r="H584" s="12" t="s">
        <v>4205</v>
      </c>
      <c r="I584" s="12" t="b">
        <f>ISNUMBER(VALUE(LEFT(Customer[[#This Row],[Address Line 3 (30 char)]],1)))</f>
        <v>0</v>
      </c>
      <c r="J584" s="12" t="s">
        <v>172</v>
      </c>
      <c r="K584" s="12">
        <v>47620</v>
      </c>
      <c r="L584" s="12" t="s">
        <v>35</v>
      </c>
      <c r="M584" s="13">
        <v>202203269646</v>
      </c>
      <c r="N584" s="14" t="s">
        <v>4206</v>
      </c>
      <c r="O584" s="14" t="s">
        <v>54</v>
      </c>
      <c r="P584" s="14">
        <v>47300</v>
      </c>
      <c r="Q584" s="19" t="s">
        <v>4207</v>
      </c>
      <c r="R584" s="15" t="s">
        <v>4208</v>
      </c>
      <c r="S584" s="15" t="s">
        <v>37</v>
      </c>
      <c r="T584" s="16" t="s">
        <v>38</v>
      </c>
      <c r="U584" s="11" t="str">
        <f>_xlfn.XLOOKUP(Customer[[#This Row],[Customer ID]],[1]!Address[ID],[1]!Address[Phone No.(2)])</f>
        <v/>
      </c>
      <c r="V584" s="11" t="str">
        <f>_xlfn.XLOOKUP(Customer[[#This Row],[Customer ID]],[1]!Address[ID],[1]!Address[Type])</f>
        <v>PETROMART</v>
      </c>
      <c r="W584" s="11" t="str">
        <f>_xlfn.XLOOKUP(Customer[[#This Row],[Customer ID]],[1]!Address[ID],[1]!Address[CT])</f>
        <v>30 DAYS</v>
      </c>
      <c r="X584" s="11" t="s">
        <v>39</v>
      </c>
      <c r="Y584" s="17" t="s">
        <v>40</v>
      </c>
      <c r="Z584" s="17" t="e">
        <f>_xlfn.XLOOKUP(Customer[[#This Row],[NewType]],$AF$36:$AF$54,$AG$36:$AG$54)</f>
        <v>#N/A</v>
      </c>
      <c r="AA584" s="17" t="s">
        <v>4209</v>
      </c>
      <c r="AB584" s="11" t="str">
        <f>_xlfn.XLOOKUP(Customer[[#This Row],[Customer ID]],[1]!Address[ID],[1]!Address[Subtype])</f>
        <v>PETRONAS</v>
      </c>
      <c r="AC584" s="18" t="str">
        <f>_xlfn.XLOOKUP(Customer[[#This Row],[Customer ID]],[1]!Address[ID],[1]!Address[Zone])</f>
        <v>CENTRAL</v>
      </c>
    </row>
    <row r="585" spans="1:29" x14ac:dyDescent="0.3">
      <c r="A585" s="10" t="s">
        <v>4210</v>
      </c>
      <c r="B585" s="11" t="str">
        <f>_xlfn.XLOOKUP(Customer[[#This Row],[Customer ID]],[1]!Name[ID],[1]!Name[Description(1)])</f>
        <v>ADELIA MESRA PH ENTERPRISE</v>
      </c>
      <c r="C585" s="11" t="str">
        <f>_xlfn.XLOOKUP(Customer[[#This Row],[Customer ID]],[1]!Name[ID],[1]!Name[Description(2)])</f>
        <v>PS PUTRA HEIGHT</v>
      </c>
      <c r="D585" s="11" t="str">
        <f>_xlfn.XLOOKUP(Customer[[#This Row],[Customer ID]],[1]!Address[ID],[1]!Address[PIC])</f>
        <v/>
      </c>
      <c r="E585" s="11" t="str">
        <f>_xlfn.XLOOKUP(Customer[[#This Row],[Customer ID]],[1]!Address[ID],[1]!Address[Full Address])</f>
        <v>PS PUTRA HEIGHTLOT 3612 HS (D) 108483, PUTRA HEIGHT,SUBANG JAYA, SELANGOR, 47620,PETALING, SELANGOR</v>
      </c>
      <c r="F585" s="12" t="s">
        <v>4211</v>
      </c>
      <c r="G585" s="12" t="s">
        <v>4212</v>
      </c>
      <c r="H585" s="12" t="s">
        <v>4213</v>
      </c>
      <c r="I585" s="12" t="b">
        <f>ISNUMBER(VALUE(LEFT(Customer[[#This Row],[Address Line 3 (30 char)]],1)))</f>
        <v>0</v>
      </c>
      <c r="J585" s="12" t="s">
        <v>172</v>
      </c>
      <c r="K585" s="12">
        <v>47620</v>
      </c>
      <c r="L585" s="12" t="s">
        <v>35</v>
      </c>
      <c r="M585" s="13" t="e">
        <v>#N/A</v>
      </c>
      <c r="N585" s="14" t="e">
        <v>#N/A</v>
      </c>
      <c r="O585" s="14" t="e">
        <v>#N/A</v>
      </c>
      <c r="P585" s="14" t="e">
        <v>#N/A</v>
      </c>
      <c r="Q585" s="19" t="s">
        <v>4214</v>
      </c>
      <c r="R585" s="15" t="s">
        <v>4215</v>
      </c>
      <c r="S585" s="15" t="s">
        <v>37</v>
      </c>
      <c r="T585" s="16" t="s">
        <v>38</v>
      </c>
      <c r="U585" s="11" t="str">
        <f>_xlfn.XLOOKUP(Customer[[#This Row],[Customer ID]],[1]!Address[ID],[1]!Address[Phone No.(2)])</f>
        <v/>
      </c>
      <c r="V585" s="11" t="str">
        <f>_xlfn.XLOOKUP(Customer[[#This Row],[Customer ID]],[1]!Address[ID],[1]!Address[Type])</f>
        <v>PETROMART</v>
      </c>
      <c r="W585" s="11" t="str">
        <f>_xlfn.XLOOKUP(Customer[[#This Row],[Customer ID]],[1]!Address[ID],[1]!Address[CT])</f>
        <v>30 DAYS</v>
      </c>
      <c r="X585" s="11" t="s">
        <v>39</v>
      </c>
      <c r="Y585" s="17" t="s">
        <v>40</v>
      </c>
      <c r="Z585" s="17" t="e">
        <f>_xlfn.XLOOKUP(Customer[[#This Row],[NewType]],$AF$36:$AF$54,$AG$36:$AG$54)</f>
        <v>#N/A</v>
      </c>
      <c r="AA585" s="17" t="s">
        <v>4216</v>
      </c>
      <c r="AB585" s="11" t="str">
        <f>_xlfn.XLOOKUP(Customer[[#This Row],[Customer ID]],[1]!Address[ID],[1]!Address[Subtype])</f>
        <v>PETRONAS</v>
      </c>
      <c r="AC585" s="18" t="str">
        <f>_xlfn.XLOOKUP(Customer[[#This Row],[Customer ID]],[1]!Address[ID],[1]!Address[Zone])</f>
        <v>CENTRAL</v>
      </c>
    </row>
    <row r="586" spans="1:29" x14ac:dyDescent="0.3">
      <c r="A586" s="10" t="s">
        <v>4217</v>
      </c>
      <c r="B586" s="11" t="str">
        <f>_xlfn.XLOOKUP(Customer[[#This Row],[Customer ID]],[1]!Name[ID],[1]!Name[Description(1)])</f>
        <v>MAWADDAH BAA ENTERPRISE</v>
      </c>
      <c r="C586" s="11" t="str">
        <f>_xlfn.XLOOKUP(Customer[[#This Row],[Customer ID]],[1]!Name[ID],[1]!Name[Description(2)])</f>
        <v>PS PUTRA PERDANA</v>
      </c>
      <c r="D586" s="11" t="str">
        <f>_xlfn.XLOOKUP(Customer[[#This Row],[Customer ID]],[1]!Address[ID],[1]!Address[PIC])</f>
        <v>Bachtiar Affend</v>
      </c>
      <c r="E586" s="11" t="str">
        <f>_xlfn.XLOOKUP(Customer[[#This Row],[Customer ID]],[1]!Address[ID],[1]!Address[Full Address])</f>
        <v>PS PUTRA PERDANALOT PT 46710, BANDAR PUTRA,MUKIM DENGKIL,47310 SEPANG, SELANGOR</v>
      </c>
      <c r="F586" s="12" t="s">
        <v>4218</v>
      </c>
      <c r="G586" s="12" t="s">
        <v>4219</v>
      </c>
      <c r="H586" s="12" t="s">
        <v>4220</v>
      </c>
      <c r="I586" s="12" t="b">
        <f>ISNUMBER(VALUE(LEFT(Customer[[#This Row],[Address Line 3 (30 char)]],1)))</f>
        <v>0</v>
      </c>
      <c r="J586" s="12" t="s">
        <v>172</v>
      </c>
      <c r="K586" s="12">
        <v>47310</v>
      </c>
      <c r="L586" s="12" t="s">
        <v>35</v>
      </c>
      <c r="M586" s="13">
        <v>201203276368</v>
      </c>
      <c r="N586" s="14" t="s">
        <v>4221</v>
      </c>
      <c r="O586" s="14" t="e">
        <v>#N/A</v>
      </c>
      <c r="P586" s="14" t="e">
        <v>#N/A</v>
      </c>
      <c r="Q586" s="19" t="s">
        <v>4222</v>
      </c>
      <c r="R586" s="15" t="s">
        <v>4223</v>
      </c>
      <c r="S586" s="15" t="s">
        <v>37</v>
      </c>
      <c r="T586" s="16" t="s">
        <v>38</v>
      </c>
      <c r="U586" s="11" t="str">
        <f>_xlfn.XLOOKUP(Customer[[#This Row],[Customer ID]],[1]!Address[ID],[1]!Address[Phone No.(2)])</f>
        <v/>
      </c>
      <c r="V586" s="11" t="str">
        <f>_xlfn.XLOOKUP(Customer[[#This Row],[Customer ID]],[1]!Address[ID],[1]!Address[Type])</f>
        <v>PETROMART</v>
      </c>
      <c r="W586" s="11" t="str">
        <f>_xlfn.XLOOKUP(Customer[[#This Row],[Customer ID]],[1]!Address[ID],[1]!Address[CT])</f>
        <v>30 DAYS</v>
      </c>
      <c r="X586" s="11" t="s">
        <v>39</v>
      </c>
      <c r="Y586" s="17" t="s">
        <v>40</v>
      </c>
      <c r="Z586" s="17" t="e">
        <f>_xlfn.XLOOKUP(Customer[[#This Row],[NewType]],$AF$36:$AF$54,$AG$36:$AG$54)</f>
        <v>#N/A</v>
      </c>
      <c r="AA586" s="17" t="s">
        <v>4224</v>
      </c>
      <c r="AB586" s="11" t="str">
        <f>_xlfn.XLOOKUP(Customer[[#This Row],[Customer ID]],[1]!Address[ID],[1]!Address[Subtype])</f>
        <v>PETRONAS</v>
      </c>
      <c r="AC586" s="18" t="str">
        <f>_xlfn.XLOOKUP(Customer[[#This Row],[Customer ID]],[1]!Address[ID],[1]!Address[Zone])</f>
        <v>CENTRAL</v>
      </c>
    </row>
    <row r="587" spans="1:29" x14ac:dyDescent="0.3">
      <c r="A587" s="10" t="s">
        <v>4225</v>
      </c>
      <c r="B587" s="11" t="str">
        <f>_xlfn.XLOOKUP(Customer[[#This Row],[Customer ID]],[1]!Name[ID],[1]!Name[Description(1)])</f>
        <v>RIZQYI ADN ENTERPRISE</v>
      </c>
      <c r="C587" s="11" t="str">
        <f>_xlfn.XLOOKUP(Customer[[#This Row],[Customer ID]],[1]!Name[ID],[1]!Name[Description(2)])</f>
        <v>PS PUTRAJAYA 1</v>
      </c>
      <c r="D587" s="11" t="str">
        <f>_xlfn.XLOOKUP(Customer[[#This Row],[Customer ID]],[1]!Address[ID],[1]!Address[PIC])</f>
        <v/>
      </c>
      <c r="E587" s="11" t="str">
        <f>_xlfn.XLOOKUP(Customer[[#This Row],[Customer ID]],[1]!Address[ID],[1]!Address[Full Address])</f>
        <v>PS PUTRAJAYA 1LOT PT 1442 HSC(M) MUKIM DENGKIL PRECINTPRECINT 9, 0,43900 WILAYAH PERSEKUTUAN PUTRAJAYA</v>
      </c>
      <c r="F587" s="12" t="s">
        <v>4226</v>
      </c>
      <c r="G587" s="12" t="s">
        <v>4227</v>
      </c>
      <c r="H587" s="12" t="s">
        <v>4228</v>
      </c>
      <c r="I587" s="12" t="b">
        <f>ISNUMBER(VALUE(LEFT(Customer[[#This Row],[Address Line 3 (30 char)]],1)))</f>
        <v>0</v>
      </c>
      <c r="J587" s="12" t="s">
        <v>4229</v>
      </c>
      <c r="K587" s="12">
        <v>43900</v>
      </c>
      <c r="L587" s="12" t="s">
        <v>35</v>
      </c>
      <c r="M587" s="13" t="e">
        <v>#N/A</v>
      </c>
      <c r="N587" s="14" t="e">
        <v>#N/A</v>
      </c>
      <c r="O587" s="14" t="e">
        <v>#N/A</v>
      </c>
      <c r="P587" s="14" t="e">
        <v>#N/A</v>
      </c>
      <c r="Q587" s="19" t="s">
        <v>4230</v>
      </c>
      <c r="R587" s="15" t="s">
        <v>4231</v>
      </c>
      <c r="S587" s="15" t="s">
        <v>37</v>
      </c>
      <c r="T587" s="16" t="s">
        <v>38</v>
      </c>
      <c r="U587" s="11" t="str">
        <f>_xlfn.XLOOKUP(Customer[[#This Row],[Customer ID]],[1]!Address[ID],[1]!Address[Phone No.(2)])</f>
        <v/>
      </c>
      <c r="V587" s="11" t="str">
        <f>_xlfn.XLOOKUP(Customer[[#This Row],[Customer ID]],[1]!Address[ID],[1]!Address[Type])</f>
        <v>PETROMART</v>
      </c>
      <c r="W587" s="11" t="str">
        <f>_xlfn.XLOOKUP(Customer[[#This Row],[Customer ID]],[1]!Address[ID],[1]!Address[CT])</f>
        <v>30 DAYS</v>
      </c>
      <c r="X587" s="11" t="s">
        <v>39</v>
      </c>
      <c r="Y587" s="17" t="s">
        <v>40</v>
      </c>
      <c r="Z587" s="17" t="e">
        <f>_xlfn.XLOOKUP(Customer[[#This Row],[NewType]],$AF$36:$AF$54,$AG$36:$AG$54)</f>
        <v>#N/A</v>
      </c>
      <c r="AA587" s="17" t="s">
        <v>4232</v>
      </c>
      <c r="AB587" s="11" t="str">
        <f>_xlfn.XLOOKUP(Customer[[#This Row],[Customer ID]],[1]!Address[ID],[1]!Address[Subtype])</f>
        <v>PETRONAS</v>
      </c>
      <c r="AC587" s="18" t="str">
        <f>_xlfn.XLOOKUP(Customer[[#This Row],[Customer ID]],[1]!Address[ID],[1]!Address[Zone])</f>
        <v>CENTRAL</v>
      </c>
    </row>
    <row r="588" spans="1:29" x14ac:dyDescent="0.3">
      <c r="A588" s="10" t="s">
        <v>4233</v>
      </c>
      <c r="B588" s="11" t="str">
        <f>_xlfn.XLOOKUP(Customer[[#This Row],[Customer ID]],[1]!Name[ID],[1]!Name[Description(1)])</f>
        <v>AZZKA PETRO ENTERPRISE</v>
      </c>
      <c r="C588" s="11" t="str">
        <f>_xlfn.XLOOKUP(Customer[[#This Row],[Customer ID]],[1]!Name[ID],[1]!Name[Description(2)])</f>
        <v>PS PUTRAJAYA PRECINT 11</v>
      </c>
      <c r="D588" s="11" t="str">
        <f>_xlfn.XLOOKUP(Customer[[#This Row],[Customer ID]],[1]!Address[ID],[1]!Address[PIC])</f>
        <v/>
      </c>
      <c r="E588" s="11" t="str">
        <f>_xlfn.XLOOKUP(Customer[[#This Row],[Customer ID]],[1]!Address[ID],[1]!Address[Full Address])</f>
        <v>PS PUTRAJAYA PRECINT 11LOT PT 3354, PRECINT 11, PUTRAJAYA,62300 WILAYAH PERSEKUTUAN PUTRAJAYA,W PUTRAJAYA</v>
      </c>
      <c r="F588" s="12" t="s">
        <v>4234</v>
      </c>
      <c r="G588" s="12" t="s">
        <v>4235</v>
      </c>
      <c r="H588" s="12" t="s">
        <v>4236</v>
      </c>
      <c r="I588" s="12" t="b">
        <f>ISNUMBER(VALUE(LEFT(Customer[[#This Row],[Address Line 3 (30 char)]],1)))</f>
        <v>0</v>
      </c>
      <c r="J588" s="12" t="s">
        <v>4229</v>
      </c>
      <c r="K588" s="12">
        <v>62300</v>
      </c>
      <c r="L588" s="12" t="s">
        <v>35</v>
      </c>
      <c r="M588" s="13" t="e">
        <v>#N/A</v>
      </c>
      <c r="N588" s="14" t="e">
        <v>#N/A</v>
      </c>
      <c r="O588" s="14" t="e">
        <v>#N/A</v>
      </c>
      <c r="P588" s="14" t="e">
        <v>#N/A</v>
      </c>
      <c r="Q588" s="19" t="s">
        <v>4237</v>
      </c>
      <c r="R588" s="15" t="s">
        <v>4238</v>
      </c>
      <c r="S588" s="15" t="s">
        <v>37</v>
      </c>
      <c r="T588" s="16" t="s">
        <v>38</v>
      </c>
      <c r="U588" s="11" t="str">
        <f>_xlfn.XLOOKUP(Customer[[#This Row],[Customer ID]],[1]!Address[ID],[1]!Address[Phone No.(2)])</f>
        <v/>
      </c>
      <c r="V588" s="11" t="str">
        <f>_xlfn.XLOOKUP(Customer[[#This Row],[Customer ID]],[1]!Address[ID],[1]!Address[Type])</f>
        <v>PETROMART</v>
      </c>
      <c r="W588" s="11" t="str">
        <f>_xlfn.XLOOKUP(Customer[[#This Row],[Customer ID]],[1]!Address[ID],[1]!Address[CT])</f>
        <v>30 DAYS</v>
      </c>
      <c r="X588" s="11" t="s">
        <v>39</v>
      </c>
      <c r="Y588" s="17" t="s">
        <v>40</v>
      </c>
      <c r="Z588" s="17" t="e">
        <f>_xlfn.XLOOKUP(Customer[[#This Row],[NewType]],$AF$36:$AF$54,$AG$36:$AG$54)</f>
        <v>#N/A</v>
      </c>
      <c r="AA588" s="17" t="s">
        <v>4239</v>
      </c>
      <c r="AB588" s="11" t="str">
        <f>_xlfn.XLOOKUP(Customer[[#This Row],[Customer ID]],[1]!Address[ID],[1]!Address[Subtype])</f>
        <v>PETRONAS</v>
      </c>
      <c r="AC588" s="18" t="str">
        <f>_xlfn.XLOOKUP(Customer[[#This Row],[Customer ID]],[1]!Address[ID],[1]!Address[Zone])</f>
        <v>CENTRAL</v>
      </c>
    </row>
    <row r="589" spans="1:29" x14ac:dyDescent="0.3">
      <c r="A589" s="10" t="s">
        <v>4240</v>
      </c>
      <c r="B589" s="11" t="str">
        <f>_xlfn.XLOOKUP(Customer[[#This Row],[Customer ID]],[1]!Name[ID],[1]!Name[Description(1)])</f>
        <v>NMN ENTERPRISE</v>
      </c>
      <c r="C589" s="11" t="str">
        <f>_xlfn.XLOOKUP(Customer[[#This Row],[Customer ID]],[1]!Name[ID],[1]!Name[Description(2)])</f>
        <v>PS PUTRAJAYA PRECINT 16</v>
      </c>
      <c r="D589" s="11" t="str">
        <f>_xlfn.XLOOKUP(Customer[[#This Row],[Customer ID]],[1]!Address[ID],[1]!Address[PIC])</f>
        <v/>
      </c>
      <c r="E589" s="11" t="str">
        <f>_xlfn.XLOOKUP(Customer[[#This Row],[Customer ID]],[1]!Address[ID],[1]!Address[Full Address])</f>
        <v>PS PUTRAJAYA PRECINT 16LOT PT 2495, JALAN P16, PRECINT 16,PUTRAJAYA, 62150, WILAYAH PERSEKUTUANPUTRAJAYA, W PUTRAJAYA</v>
      </c>
      <c r="F589" s="12" t="s">
        <v>4241</v>
      </c>
      <c r="G589" s="12" t="s">
        <v>4242</v>
      </c>
      <c r="H589" s="12"/>
      <c r="I589" s="12" t="b">
        <f>ISNUMBER(VALUE(LEFT(Customer[[#This Row],[Address Line 3 (30 char)]],1)))</f>
        <v>0</v>
      </c>
      <c r="J589" s="12" t="s">
        <v>4229</v>
      </c>
      <c r="K589" s="12">
        <v>62150</v>
      </c>
      <c r="L589" s="12" t="s">
        <v>35</v>
      </c>
      <c r="M589" s="13" t="e">
        <v>#N/A</v>
      </c>
      <c r="N589" s="14" t="e">
        <v>#N/A</v>
      </c>
      <c r="O589" s="14" t="e">
        <v>#N/A</v>
      </c>
      <c r="P589" s="14" t="e">
        <v>#N/A</v>
      </c>
      <c r="Q589" s="19" t="s">
        <v>4243</v>
      </c>
      <c r="R589" s="15" t="s">
        <v>4244</v>
      </c>
      <c r="S589" s="15" t="s">
        <v>37</v>
      </c>
      <c r="T589" s="16" t="s">
        <v>38</v>
      </c>
      <c r="U589" s="11" t="str">
        <f>_xlfn.XLOOKUP(Customer[[#This Row],[Customer ID]],[1]!Address[ID],[1]!Address[Phone No.(2)])</f>
        <v/>
      </c>
      <c r="V589" s="11" t="str">
        <f>_xlfn.XLOOKUP(Customer[[#This Row],[Customer ID]],[1]!Address[ID],[1]!Address[Type])</f>
        <v>PETROMART</v>
      </c>
      <c r="W589" s="11" t="str">
        <f>_xlfn.XLOOKUP(Customer[[#This Row],[Customer ID]],[1]!Address[ID],[1]!Address[CT])</f>
        <v>30 DAYS</v>
      </c>
      <c r="X589" s="11" t="s">
        <v>39</v>
      </c>
      <c r="Y589" s="17" t="s">
        <v>40</v>
      </c>
      <c r="Z589" s="17" t="e">
        <f>_xlfn.XLOOKUP(Customer[[#This Row],[NewType]],$AF$36:$AF$54,$AG$36:$AG$54)</f>
        <v>#N/A</v>
      </c>
      <c r="AA589" s="17" t="s">
        <v>4245</v>
      </c>
      <c r="AB589" s="11" t="str">
        <f>_xlfn.XLOOKUP(Customer[[#This Row],[Customer ID]],[1]!Address[ID],[1]!Address[Subtype])</f>
        <v>PETRONAS</v>
      </c>
      <c r="AC589" s="18" t="str">
        <f>_xlfn.XLOOKUP(Customer[[#This Row],[Customer ID]],[1]!Address[ID],[1]!Address[Zone])</f>
        <v>CENTRAL</v>
      </c>
    </row>
    <row r="590" spans="1:29" x14ac:dyDescent="0.3">
      <c r="A590" s="10" t="s">
        <v>4246</v>
      </c>
      <c r="B590" s="11" t="str">
        <f>_xlfn.XLOOKUP(Customer[[#This Row],[Customer ID]],[1]!Name[ID],[1]!Name[Description(1)])</f>
        <v>FADHLYN ENTERPRISE</v>
      </c>
      <c r="C590" s="11" t="str">
        <f>_xlfn.XLOOKUP(Customer[[#This Row],[Customer ID]],[1]!Name[ID],[1]!Name[Description(2)])</f>
        <v>PS PUTRAJAYA PRECINT 18</v>
      </c>
      <c r="D590" s="11" t="str">
        <f>_xlfn.XLOOKUP(Customer[[#This Row],[Customer ID]],[1]!Address[ID],[1]!Address[PIC])</f>
        <v/>
      </c>
      <c r="E590" s="11" t="str">
        <f>_xlfn.XLOOKUP(Customer[[#This Row],[Customer ID]],[1]!Address[ID],[1]!Address[Full Address])</f>
        <v>PS PUTRAJAYA PRECINT 18LOT PT 12850 HS(D) 8220 PRECINT 18,BANDAR &amp; DAERAH PUTRAJAYA, 0,62100 W. PUTRAJAYA</v>
      </c>
      <c r="F590" s="12" t="s">
        <v>4247</v>
      </c>
      <c r="G590" s="12" t="s">
        <v>4248</v>
      </c>
      <c r="H590" s="12" t="s">
        <v>4249</v>
      </c>
      <c r="I590" s="12" t="b">
        <f>ISNUMBER(VALUE(LEFT(Customer[[#This Row],[Address Line 3 (30 char)]],1)))</f>
        <v>0</v>
      </c>
      <c r="J590" s="12" t="s">
        <v>4229</v>
      </c>
      <c r="K590" s="12">
        <v>62100</v>
      </c>
      <c r="L590" s="12" t="s">
        <v>35</v>
      </c>
      <c r="M590" s="13" t="e">
        <v>#N/A</v>
      </c>
      <c r="N590" s="14" t="e">
        <v>#N/A</v>
      </c>
      <c r="O590" s="14" t="e">
        <v>#N/A</v>
      </c>
      <c r="P590" s="14" t="e">
        <v>#N/A</v>
      </c>
      <c r="Q590" s="19" t="s">
        <v>4250</v>
      </c>
      <c r="R590" s="15" t="s">
        <v>4251</v>
      </c>
      <c r="S590" s="15" t="s">
        <v>37</v>
      </c>
      <c r="T590" s="16" t="s">
        <v>38</v>
      </c>
      <c r="U590" s="11" t="str">
        <f>_xlfn.XLOOKUP(Customer[[#This Row],[Customer ID]],[1]!Address[ID],[1]!Address[Phone No.(2)])</f>
        <v/>
      </c>
      <c r="V590" s="11" t="str">
        <f>_xlfn.XLOOKUP(Customer[[#This Row],[Customer ID]],[1]!Address[ID],[1]!Address[Type])</f>
        <v>PETROMART</v>
      </c>
      <c r="W590" s="11" t="str">
        <f>_xlfn.XLOOKUP(Customer[[#This Row],[Customer ID]],[1]!Address[ID],[1]!Address[CT])</f>
        <v>30 DAYS</v>
      </c>
      <c r="X590" s="11" t="s">
        <v>39</v>
      </c>
      <c r="Y590" s="17" t="s">
        <v>40</v>
      </c>
      <c r="Z590" s="17" t="e">
        <f>_xlfn.XLOOKUP(Customer[[#This Row],[NewType]],$AF$36:$AF$54,$AG$36:$AG$54)</f>
        <v>#N/A</v>
      </c>
      <c r="AA590" s="17" t="s">
        <v>4252</v>
      </c>
      <c r="AB590" s="11" t="str">
        <f>_xlfn.XLOOKUP(Customer[[#This Row],[Customer ID]],[1]!Address[ID],[1]!Address[Subtype])</f>
        <v>PETRONAS</v>
      </c>
      <c r="AC590" s="18" t="str">
        <f>_xlfn.XLOOKUP(Customer[[#This Row],[Customer ID]],[1]!Address[ID],[1]!Address[Zone])</f>
        <v>CENTRAL</v>
      </c>
    </row>
    <row r="591" spans="1:29" x14ac:dyDescent="0.3">
      <c r="A591" s="10" t="s">
        <v>4253</v>
      </c>
      <c r="B591" s="11" t="str">
        <f>_xlfn.XLOOKUP(Customer[[#This Row],[Customer ID]],[1]!Name[ID],[1]!Name[Description(1)])</f>
        <v>IDZWAN PETROSERVICE</v>
      </c>
      <c r="C591" s="11" t="str">
        <f>_xlfn.XLOOKUP(Customer[[#This Row],[Customer ID]],[1]!Name[ID],[1]!Name[Description(2)])</f>
        <v>PS PUTRAJAYA PRECINT 9D</v>
      </c>
      <c r="D591" s="11" t="str">
        <f>_xlfn.XLOOKUP(Customer[[#This Row],[Customer ID]],[1]!Address[ID],[1]!Address[PIC])</f>
        <v/>
      </c>
      <c r="E591" s="11" t="str">
        <f>_xlfn.XLOOKUP(Customer[[#This Row],[Customer ID]],[1]!Address[ID],[1]!Address[Full Address])</f>
        <v>PS PUTRAJAYA PRECINT 9DLOT PT 836, PRECINT 9, PUTRAJAYA,62250 WILAYAH PERSEKUTUAN PUTRAJAYA,W PUTRAJAYA</v>
      </c>
      <c r="F591" s="12" t="s">
        <v>4254</v>
      </c>
      <c r="G591" s="12" t="s">
        <v>4255</v>
      </c>
      <c r="H591" s="12" t="s">
        <v>4256</v>
      </c>
      <c r="I591" s="12" t="b">
        <f>ISNUMBER(VALUE(LEFT(Customer[[#This Row],[Address Line 3 (30 char)]],1)))</f>
        <v>0</v>
      </c>
      <c r="J591" s="12" t="s">
        <v>4229</v>
      </c>
      <c r="K591" s="12">
        <v>62250</v>
      </c>
      <c r="L591" s="12" t="s">
        <v>35</v>
      </c>
      <c r="M591" s="13">
        <v>200403062090</v>
      </c>
      <c r="N591" s="14" t="s">
        <v>4257</v>
      </c>
      <c r="O591" s="14" t="e">
        <v>#N/A</v>
      </c>
      <c r="P591" s="14" t="e">
        <v>#N/A</v>
      </c>
      <c r="Q591" s="19" t="s">
        <v>4258</v>
      </c>
      <c r="R591" s="15" t="s">
        <v>4259</v>
      </c>
      <c r="S591" s="15" t="s">
        <v>37</v>
      </c>
      <c r="T591" s="16" t="s">
        <v>38</v>
      </c>
      <c r="U591" s="11" t="str">
        <f>_xlfn.XLOOKUP(Customer[[#This Row],[Customer ID]],[1]!Address[ID],[1]!Address[Phone No.(2)])</f>
        <v/>
      </c>
      <c r="V591" s="11" t="str">
        <f>_xlfn.XLOOKUP(Customer[[#This Row],[Customer ID]],[1]!Address[ID],[1]!Address[Type])</f>
        <v>PETROMART</v>
      </c>
      <c r="W591" s="11" t="str">
        <f>_xlfn.XLOOKUP(Customer[[#This Row],[Customer ID]],[1]!Address[ID],[1]!Address[CT])</f>
        <v>30 DAYS</v>
      </c>
      <c r="X591" s="11" t="s">
        <v>39</v>
      </c>
      <c r="Y591" s="17" t="s">
        <v>40</v>
      </c>
      <c r="Z591" s="17" t="e">
        <f>_xlfn.XLOOKUP(Customer[[#This Row],[NewType]],$AF$36:$AF$54,$AG$36:$AG$54)</f>
        <v>#N/A</v>
      </c>
      <c r="AA591" s="17" t="s">
        <v>4260</v>
      </c>
      <c r="AB591" s="11" t="str">
        <f>_xlfn.XLOOKUP(Customer[[#This Row],[Customer ID]],[1]!Address[ID],[1]!Address[Subtype])</f>
        <v>PETRONAS</v>
      </c>
      <c r="AC591" s="18" t="str">
        <f>_xlfn.XLOOKUP(Customer[[#This Row],[Customer ID]],[1]!Address[ID],[1]!Address[Zone])</f>
        <v>CENTRAL</v>
      </c>
    </row>
    <row r="592" spans="1:29" x14ac:dyDescent="0.3">
      <c r="A592" s="10" t="s">
        <v>4261</v>
      </c>
      <c r="B592" s="11" t="str">
        <f>_xlfn.XLOOKUP(Customer[[#This Row],[Customer ID]],[1]!Name[ID],[1]!Name[Description(1)])</f>
        <v>GASING MEWAH ENTERPRISE</v>
      </c>
      <c r="C592" s="11" t="str">
        <f>_xlfn.XLOOKUP(Customer[[#This Row],[Customer ID]],[1]!Name[ID],[1]!Name[Description(2)])</f>
        <v>PS R&amp;R SEREMBAN ARAH SELATAN</v>
      </c>
      <c r="D592" s="11" t="str">
        <f>_xlfn.XLOOKUP(Customer[[#This Row],[Customer ID]],[1]!Address[ID],[1]!Address[PIC])</f>
        <v/>
      </c>
      <c r="E592" s="11" t="str">
        <f>_xlfn.XLOOKUP(Customer[[#This Row],[Customer ID]],[1]!Address[ID],[1]!Address[Full Address])</f>
        <v>PS R&amp;R SEREMBAN ARAH SELATANKM 274.4,LEBUHRAYA KUALA LUMPUR-SEREMBAN, PETI SURAT 48,70700 SEREMBAN, NEGERI SEMBILAN</v>
      </c>
      <c r="F592" s="12" t="s">
        <v>4262</v>
      </c>
      <c r="G592" s="12" t="s">
        <v>4263</v>
      </c>
      <c r="H592" s="12" t="s">
        <v>2377</v>
      </c>
      <c r="I592" s="12" t="b">
        <f>ISNUMBER(VALUE(LEFT(Customer[[#This Row],[Address Line 3 (30 char)]],1)))</f>
        <v>0</v>
      </c>
      <c r="J592" s="12" t="s">
        <v>203</v>
      </c>
      <c r="K592" s="12">
        <v>70700</v>
      </c>
      <c r="L592" s="12" t="s">
        <v>35</v>
      </c>
      <c r="M592" s="13">
        <v>200103118536</v>
      </c>
      <c r="N592" s="14" t="s">
        <v>4264</v>
      </c>
      <c r="O592" s="14" t="e">
        <v>#N/A</v>
      </c>
      <c r="P592" s="14" t="e">
        <v>#N/A</v>
      </c>
      <c r="Q592" s="19" t="s">
        <v>3893</v>
      </c>
      <c r="R592" s="15" t="s">
        <v>4265</v>
      </c>
      <c r="S592" s="15" t="s">
        <v>37</v>
      </c>
      <c r="T592" s="16" t="s">
        <v>38</v>
      </c>
      <c r="U592" s="11" t="str">
        <f>_xlfn.XLOOKUP(Customer[[#This Row],[Customer ID]],[1]!Address[ID],[1]!Address[Phone No.(2)])</f>
        <v/>
      </c>
      <c r="V592" s="11" t="str">
        <f>_xlfn.XLOOKUP(Customer[[#This Row],[Customer ID]],[1]!Address[ID],[1]!Address[Type])</f>
        <v>PETROMART</v>
      </c>
      <c r="W592" s="11" t="str">
        <f>_xlfn.XLOOKUP(Customer[[#This Row],[Customer ID]],[1]!Address[ID],[1]!Address[CT])</f>
        <v>30 DAYS</v>
      </c>
      <c r="X592" s="11" t="s">
        <v>39</v>
      </c>
      <c r="Y592" s="17" t="s">
        <v>40</v>
      </c>
      <c r="Z592" s="17" t="e">
        <f>_xlfn.XLOOKUP(Customer[[#This Row],[NewType]],$AF$36:$AF$54,$AG$36:$AG$54)</f>
        <v>#N/A</v>
      </c>
      <c r="AA592" s="17" t="s">
        <v>4266</v>
      </c>
      <c r="AB592" s="11" t="str">
        <f>_xlfn.XLOOKUP(Customer[[#This Row],[Customer ID]],[1]!Address[ID],[1]!Address[Subtype])</f>
        <v>PETRONAS</v>
      </c>
      <c r="AC592" s="18" t="str">
        <f>_xlfn.XLOOKUP(Customer[[#This Row],[Customer ID]],[1]!Address[ID],[1]!Address[Zone])</f>
        <v>CENTRAL</v>
      </c>
    </row>
    <row r="593" spans="1:29" x14ac:dyDescent="0.3">
      <c r="A593" s="10" t="s">
        <v>4267</v>
      </c>
      <c r="B593" s="11" t="str">
        <f>_xlfn.XLOOKUP(Customer[[#This Row],[Customer ID]],[1]!Name[ID],[1]!Name[Description(1)])</f>
        <v>KAK TON (HAZIM)</v>
      </c>
      <c r="C593" s="11" t="str">
        <f>_xlfn.XLOOKUP(Customer[[#This Row],[Customer ID]],[1]!Name[ID],[1]!Name[Description(2)])</f>
        <v/>
      </c>
      <c r="D593" s="11" t="str">
        <f>_xlfn.XLOOKUP(Customer[[#This Row],[Customer ID]],[1]!Address[ID],[1]!Address[PIC])</f>
        <v/>
      </c>
      <c r="E593" s="11" t="str">
        <f>_xlfn.XLOOKUP(Customer[[#This Row],[Customer ID]],[1]!Address[ID],[1]!Address[Full Address])</f>
        <v>NO 265, JALAN DATUK SULAIMANTAMAN TUN DR ISMAIL, 60000 KUALA LUMPUR</v>
      </c>
      <c r="F593" s="12" t="s">
        <v>4268</v>
      </c>
      <c r="G593" s="12" t="s">
        <v>4269</v>
      </c>
      <c r="H593" s="12"/>
      <c r="I593" s="12" t="b">
        <f>ISNUMBER(VALUE(LEFT(Customer[[#This Row],[Address Line 3 (30 char)]],1)))</f>
        <v>0</v>
      </c>
      <c r="J593" s="12" t="s">
        <v>34</v>
      </c>
      <c r="K593" s="12">
        <v>60000</v>
      </c>
      <c r="L593" s="12" t="s">
        <v>35</v>
      </c>
      <c r="M593" s="13" t="e">
        <v>#N/A</v>
      </c>
      <c r="N593" s="14" t="e">
        <v>#N/A</v>
      </c>
      <c r="O593" s="14" t="e">
        <v>#N/A</v>
      </c>
      <c r="P593" s="14" t="e">
        <v>#N/A</v>
      </c>
      <c r="Q593" s="14" t="e">
        <v>#N/A</v>
      </c>
      <c r="R593" s="15" t="s">
        <v>4270</v>
      </c>
      <c r="S593" s="15" t="s">
        <v>4271</v>
      </c>
      <c r="T593" s="16" t="s">
        <v>89</v>
      </c>
      <c r="U593" s="11" t="str">
        <f>_xlfn.XLOOKUP(Customer[[#This Row],[Customer ID]],[1]!Address[ID],[1]!Address[Phone No.(2)])</f>
        <v/>
      </c>
      <c r="V593" s="11" t="str">
        <f>_xlfn.XLOOKUP(Customer[[#This Row],[Customer ID]],[1]!Address[ID],[1]!Address[Type])</f>
        <v>SOCMED</v>
      </c>
      <c r="W593" s="11" t="str">
        <f>_xlfn.XLOOKUP(Customer[[#This Row],[Customer ID]],[1]!Address[ID],[1]!Address[CT])</f>
        <v/>
      </c>
      <c r="X593" s="11"/>
      <c r="Y593" s="17" t="s">
        <v>90</v>
      </c>
      <c r="Z593" s="17" t="e">
        <f>_xlfn.XLOOKUP(Customer[[#This Row],[NewType]],$AF$36:$AF$54,$AG$36:$AG$54)</f>
        <v>#N/A</v>
      </c>
      <c r="AA593" s="17" t="s">
        <v>4272</v>
      </c>
      <c r="AB593" s="11" t="str">
        <f>_xlfn.XLOOKUP(Customer[[#This Row],[Customer ID]],[1]!Address[ID],[1]!Address[Subtype])</f>
        <v>WHATSAPP</v>
      </c>
      <c r="AC593" s="18" t="str">
        <f>_xlfn.XLOOKUP(Customer[[#This Row],[Customer ID]],[1]!Address[ID],[1]!Address[Zone])</f>
        <v>CENTRAL</v>
      </c>
    </row>
    <row r="594" spans="1:29" x14ac:dyDescent="0.3">
      <c r="A594" s="10" t="s">
        <v>4273</v>
      </c>
      <c r="B594" s="11" t="str">
        <f>_xlfn.XLOOKUP(Customer[[#This Row],[Customer ID]],[1]!Name[ID],[1]!Name[Description(1)])</f>
        <v>RANTAU SETIA JAYA ENTERPRISE</v>
      </c>
      <c r="C594" s="11" t="str">
        <f>_xlfn.XLOOKUP(Customer[[#This Row],[Customer ID]],[1]!Name[ID],[1]!Name[Description(2)])</f>
        <v>PS RANTAU</v>
      </c>
      <c r="D594" s="11" t="str">
        <f>_xlfn.XLOOKUP(Customer[[#This Row],[Customer ID]],[1]!Address[ID],[1]!Address[PIC])</f>
        <v/>
      </c>
      <c r="E594" s="11" t="str">
        <f>_xlfn.XLOOKUP(Customer[[#This Row],[Customer ID]],[1]!Address[ID],[1]!Address[Full Address])</f>
        <v>PS RANTAULOT 1358 PEKAN RANTAU,71200, SEREMBAN, NEGERI SEMBILAN</v>
      </c>
      <c r="F594" s="12" t="s">
        <v>4274</v>
      </c>
      <c r="G594" s="12" t="s">
        <v>4275</v>
      </c>
      <c r="H594" s="12" t="s">
        <v>1971</v>
      </c>
      <c r="I594" s="12" t="b">
        <f>ISNUMBER(VALUE(LEFT(Customer[[#This Row],[Address Line 3 (30 char)]],1)))</f>
        <v>0</v>
      </c>
      <c r="J594" s="12" t="s">
        <v>203</v>
      </c>
      <c r="K594" s="12">
        <v>71200</v>
      </c>
      <c r="L594" s="12" t="s">
        <v>35</v>
      </c>
      <c r="M594" s="13" t="e">
        <v>#N/A</v>
      </c>
      <c r="N594" s="14" t="e">
        <v>#N/A</v>
      </c>
      <c r="O594" s="14" t="e">
        <v>#N/A</v>
      </c>
      <c r="P594" s="14" t="e">
        <v>#N/A</v>
      </c>
      <c r="Q594" s="19" t="s">
        <v>4276</v>
      </c>
      <c r="R594" s="15" t="s">
        <v>4277</v>
      </c>
      <c r="S594" s="15" t="s">
        <v>37</v>
      </c>
      <c r="T594" s="16" t="s">
        <v>38</v>
      </c>
      <c r="U594" s="11" t="str">
        <f>_xlfn.XLOOKUP(Customer[[#This Row],[Customer ID]],[1]!Address[ID],[1]!Address[Phone No.(2)])</f>
        <v/>
      </c>
      <c r="V594" s="11" t="str">
        <f>_xlfn.XLOOKUP(Customer[[#This Row],[Customer ID]],[1]!Address[ID],[1]!Address[Type])</f>
        <v>PETROMART</v>
      </c>
      <c r="W594" s="11" t="str">
        <f>_xlfn.XLOOKUP(Customer[[#This Row],[Customer ID]],[1]!Address[ID],[1]!Address[CT])</f>
        <v>30 DAYS</v>
      </c>
      <c r="X594" s="11" t="s">
        <v>39</v>
      </c>
      <c r="Y594" s="17" t="s">
        <v>40</v>
      </c>
      <c r="Z594" s="17" t="e">
        <f>_xlfn.XLOOKUP(Customer[[#This Row],[NewType]],$AF$36:$AF$54,$AG$36:$AG$54)</f>
        <v>#N/A</v>
      </c>
      <c r="AA594" s="17" t="s">
        <v>4278</v>
      </c>
      <c r="AB594" s="11" t="str">
        <f>_xlfn.XLOOKUP(Customer[[#This Row],[Customer ID]],[1]!Address[ID],[1]!Address[Subtype])</f>
        <v>PETRONAS</v>
      </c>
      <c r="AC594" s="18" t="str">
        <f>_xlfn.XLOOKUP(Customer[[#This Row],[Customer ID]],[1]!Address[ID],[1]!Address[Zone])</f>
        <v>CENTRAL</v>
      </c>
    </row>
    <row r="595" spans="1:29" x14ac:dyDescent="0.3">
      <c r="A595" s="10" t="s">
        <v>4279</v>
      </c>
      <c r="B595" s="11" t="str">
        <f>_xlfn.XLOOKUP(Customer[[#This Row],[Customer ID]],[1]!Name[ID],[1]!Name[Description(1)])</f>
        <v>ARZECK 14 ENTERPRISE</v>
      </c>
      <c r="C595" s="11" t="str">
        <f>_xlfn.XLOOKUP(Customer[[#This Row],[Customer ID]],[1]!Name[ID],[1]!Name[Description(2)])</f>
        <v>PS RANTAU ABANG</v>
      </c>
      <c r="D595" s="11" t="str">
        <f>_xlfn.XLOOKUP(Customer[[#This Row],[Customer ID]],[1]!Address[ID],[1]!Address[PIC])</f>
        <v/>
      </c>
      <c r="E595" s="11" t="str">
        <f>_xlfn.XLOOKUP(Customer[[#This Row],[Customer ID]],[1]!Address[ID],[1]!Address[Full Address])</f>
        <v>PS RANTAU ABANGLOT 1722, RANTAU ABANG, DUNGUN,TERENGGANU, 23050, DUNGUN, TERENGGANU</v>
      </c>
      <c r="F595" s="12" t="s">
        <v>4280</v>
      </c>
      <c r="G595" s="12" t="s">
        <v>4281</v>
      </c>
      <c r="H595" s="12"/>
      <c r="I595" s="12" t="b">
        <f>ISNUMBER(VALUE(LEFT(Customer[[#This Row],[Address Line 3 (30 char)]],1)))</f>
        <v>0</v>
      </c>
      <c r="J595" s="12" t="s">
        <v>154</v>
      </c>
      <c r="K595" s="12">
        <v>23050</v>
      </c>
      <c r="L595" s="12" t="s">
        <v>35</v>
      </c>
      <c r="M595" s="13" t="e">
        <v>#N/A</v>
      </c>
      <c r="N595" s="14" t="e">
        <v>#N/A</v>
      </c>
      <c r="O595" s="14" t="e">
        <v>#N/A</v>
      </c>
      <c r="P595" s="14" t="e">
        <v>#N/A</v>
      </c>
      <c r="Q595" s="19" t="s">
        <v>4282</v>
      </c>
      <c r="R595" s="15" t="s">
        <v>2146</v>
      </c>
      <c r="S595" s="15" t="s">
        <v>37</v>
      </c>
      <c r="T595" s="16" t="s">
        <v>38</v>
      </c>
      <c r="U595" s="11" t="str">
        <f>_xlfn.XLOOKUP(Customer[[#This Row],[Customer ID]],[1]!Address[ID],[1]!Address[Phone No.(2)])</f>
        <v/>
      </c>
      <c r="V595" s="11" t="str">
        <f>_xlfn.XLOOKUP(Customer[[#This Row],[Customer ID]],[1]!Address[ID],[1]!Address[Type])</f>
        <v>PETROMART</v>
      </c>
      <c r="W595" s="11" t="str">
        <f>_xlfn.XLOOKUP(Customer[[#This Row],[Customer ID]],[1]!Address[ID],[1]!Address[CT])</f>
        <v>30 DAYS</v>
      </c>
      <c r="X595" s="11" t="s">
        <v>39</v>
      </c>
      <c r="Y595" s="17" t="s">
        <v>40</v>
      </c>
      <c r="Z595" s="17" t="e">
        <f>_xlfn.XLOOKUP(Customer[[#This Row],[NewType]],$AF$36:$AF$54,$AG$36:$AG$54)</f>
        <v>#N/A</v>
      </c>
      <c r="AA595" s="17" t="s">
        <v>4283</v>
      </c>
      <c r="AB595" s="11" t="str">
        <f>_xlfn.XLOOKUP(Customer[[#This Row],[Customer ID]],[1]!Address[ID],[1]!Address[Subtype])</f>
        <v>PETRONAS</v>
      </c>
      <c r="AC595" s="18" t="str">
        <f>_xlfn.XLOOKUP(Customer[[#This Row],[Customer ID]],[1]!Address[ID],[1]!Address[Zone])</f>
        <v>EAST COAST</v>
      </c>
    </row>
    <row r="596" spans="1:29" x14ac:dyDescent="0.3">
      <c r="A596" s="10" t="s">
        <v>4284</v>
      </c>
      <c r="B596" s="11" t="str">
        <f>_xlfn.XLOOKUP(Customer[[#This Row],[Customer ID]],[1]!Name[ID],[1]!Name[Description(1)])</f>
        <v>REDZMAH PETROLIUM</v>
      </c>
      <c r="C596" s="11" t="str">
        <f>_xlfn.XLOOKUP(Customer[[#This Row],[Customer ID]],[1]!Name[ID],[1]!Name[Description(2)])</f>
        <v>PS RANTAU PANJANG</v>
      </c>
      <c r="D596" s="11" t="str">
        <f>_xlfn.XLOOKUP(Customer[[#This Row],[Customer ID]],[1]!Address[ID],[1]!Address[PIC])</f>
        <v/>
      </c>
      <c r="E596" s="11" t="str">
        <f>_xlfn.XLOOKUP(Customer[[#This Row],[Customer ID]],[1]!Address[ID],[1]!Address[Full Address])</f>
        <v>PS RANTAU PANJANGLOT 140, BANDAR BARU RANTAU PANJANG,17200, PASIR MAS, KELANTAN</v>
      </c>
      <c r="F596" s="12" t="s">
        <v>4285</v>
      </c>
      <c r="G596" s="12" t="s">
        <v>4286</v>
      </c>
      <c r="H596" s="12" t="s">
        <v>4287</v>
      </c>
      <c r="I596" s="12" t="b">
        <f>ISNUMBER(VALUE(LEFT(Customer[[#This Row],[Address Line 3 (30 char)]],1)))</f>
        <v>0</v>
      </c>
      <c r="J596" s="12" t="s">
        <v>1007</v>
      </c>
      <c r="K596" s="12">
        <v>17200</v>
      </c>
      <c r="L596" s="12" t="s">
        <v>35</v>
      </c>
      <c r="M596" s="13" t="e">
        <v>#N/A</v>
      </c>
      <c r="N596" s="14" t="e">
        <v>#N/A</v>
      </c>
      <c r="O596" s="14" t="e">
        <v>#N/A</v>
      </c>
      <c r="P596" s="14" t="e">
        <v>#N/A</v>
      </c>
      <c r="Q596" s="19" t="s">
        <v>4288</v>
      </c>
      <c r="R596" s="15" t="s">
        <v>4289</v>
      </c>
      <c r="S596" s="15" t="s">
        <v>37</v>
      </c>
      <c r="T596" s="16" t="s">
        <v>38</v>
      </c>
      <c r="U596" s="11" t="str">
        <f>_xlfn.XLOOKUP(Customer[[#This Row],[Customer ID]],[1]!Address[ID],[1]!Address[Phone No.(2)])</f>
        <v/>
      </c>
      <c r="V596" s="11" t="str">
        <f>_xlfn.XLOOKUP(Customer[[#This Row],[Customer ID]],[1]!Address[ID],[1]!Address[Type])</f>
        <v>PETROMART</v>
      </c>
      <c r="W596" s="11" t="str">
        <f>_xlfn.XLOOKUP(Customer[[#This Row],[Customer ID]],[1]!Address[ID],[1]!Address[CT])</f>
        <v>30 DAYS</v>
      </c>
      <c r="X596" s="11" t="s">
        <v>39</v>
      </c>
      <c r="Y596" s="17" t="s">
        <v>40</v>
      </c>
      <c r="Z596" s="17" t="e">
        <f>_xlfn.XLOOKUP(Customer[[#This Row],[NewType]],$AF$36:$AF$54,$AG$36:$AG$54)</f>
        <v>#N/A</v>
      </c>
      <c r="AA596" s="17" t="s">
        <v>4290</v>
      </c>
      <c r="AB596" s="11" t="str">
        <f>_xlfn.XLOOKUP(Customer[[#This Row],[Customer ID]],[1]!Address[ID],[1]!Address[Subtype])</f>
        <v>PETRONAS</v>
      </c>
      <c r="AC596" s="18" t="str">
        <f>_xlfn.XLOOKUP(Customer[[#This Row],[Customer ID]],[1]!Address[ID],[1]!Address[Zone])</f>
        <v>EAST COAST</v>
      </c>
    </row>
    <row r="597" spans="1:29" x14ac:dyDescent="0.3">
      <c r="A597" s="10" t="s">
        <v>4291</v>
      </c>
      <c r="B597" s="11" t="str">
        <f>_xlfn.XLOOKUP(Customer[[#This Row],[Customer ID]],[1]!Name[ID],[1]!Name[Description(1)])</f>
        <v>RPK ONE SYNERGY</v>
      </c>
      <c r="C597" s="11" t="str">
        <f>_xlfn.XLOOKUP(Customer[[#This Row],[Customer ID]],[1]!Name[ID],[1]!Name[Description(2)])</f>
        <v>PS RANTAU PETRONAS</v>
      </c>
      <c r="D597" s="11" t="str">
        <f>_xlfn.XLOOKUP(Customer[[#This Row],[Customer ID]],[1]!Address[ID],[1]!Address[PIC])</f>
        <v>EN SAFUAN</v>
      </c>
      <c r="E597" s="11" t="str">
        <f>_xlfn.XLOOKUP(Customer[[#This Row],[Customer ID]],[1]!Address[ID],[1]!Address[Full Address])</f>
        <v>PS RANTAU PETRONASLOT 6490, RANTAU PETRONASKERTEH , 24300 KEMAMANTERENGGANU</v>
      </c>
      <c r="F597" s="12" t="s">
        <v>4292</v>
      </c>
      <c r="G597" s="12" t="s">
        <v>4293</v>
      </c>
      <c r="H597" s="12" t="s">
        <v>4294</v>
      </c>
      <c r="I597" s="12" t="b">
        <f>ISNUMBER(VALUE(LEFT(Customer[[#This Row],[Address Line 3 (30 char)]],1)))</f>
        <v>0</v>
      </c>
      <c r="J597" s="12" t="s">
        <v>154</v>
      </c>
      <c r="K597" s="12">
        <v>24300</v>
      </c>
      <c r="L597" s="12" t="s">
        <v>35</v>
      </c>
      <c r="M597" s="13">
        <v>202303266589</v>
      </c>
      <c r="N597" s="14" t="s">
        <v>4295</v>
      </c>
      <c r="O597" s="14" t="e">
        <v>#N/A</v>
      </c>
      <c r="P597" s="14" t="e">
        <v>#N/A</v>
      </c>
      <c r="Q597" s="19" t="s">
        <v>4296</v>
      </c>
      <c r="R597" s="15" t="s">
        <v>4297</v>
      </c>
      <c r="S597" s="15" t="s">
        <v>37</v>
      </c>
      <c r="T597" s="16" t="s">
        <v>38</v>
      </c>
      <c r="U597" s="11" t="str">
        <f>_xlfn.XLOOKUP(Customer[[#This Row],[Customer ID]],[1]!Address[ID],[1]!Address[Phone No.(2)])</f>
        <v/>
      </c>
      <c r="V597" s="11" t="str">
        <f>_xlfn.XLOOKUP(Customer[[#This Row],[Customer ID]],[1]!Address[ID],[1]!Address[Type])</f>
        <v>PETROMART</v>
      </c>
      <c r="W597" s="11" t="str">
        <f>_xlfn.XLOOKUP(Customer[[#This Row],[Customer ID]],[1]!Address[ID],[1]!Address[CT])</f>
        <v>30 DAYS</v>
      </c>
      <c r="X597" s="11" t="s">
        <v>39</v>
      </c>
      <c r="Y597" s="17" t="s">
        <v>40</v>
      </c>
      <c r="Z597" s="17" t="e">
        <f>_xlfn.XLOOKUP(Customer[[#This Row],[NewType]],$AF$36:$AF$54,$AG$36:$AG$54)</f>
        <v>#N/A</v>
      </c>
      <c r="AA597" s="17" t="s">
        <v>4298</v>
      </c>
      <c r="AB597" s="11" t="str">
        <f>_xlfn.XLOOKUP(Customer[[#This Row],[Customer ID]],[1]!Address[ID],[1]!Address[Subtype])</f>
        <v>PETRONAS</v>
      </c>
      <c r="AC597" s="18" t="str">
        <f>_xlfn.XLOOKUP(Customer[[#This Row],[Customer ID]],[1]!Address[ID],[1]!Address[Zone])</f>
        <v>EAST COAST</v>
      </c>
    </row>
    <row r="598" spans="1:29" x14ac:dyDescent="0.3">
      <c r="A598" s="10" t="s">
        <v>4299</v>
      </c>
      <c r="B598" s="11" t="str">
        <f>_xlfn.XLOOKUP(Customer[[#This Row],[Customer ID]],[1]!Name[ID],[1]!Name[Description(1)])</f>
        <v>SHAAMELINA ID ENTERPRISE</v>
      </c>
      <c r="C598" s="11" t="str">
        <f>_xlfn.XLOOKUP(Customer[[#This Row],[Customer ID]],[1]!Name[ID],[1]!Name[Description(2)])</f>
        <v>PS RASAH</v>
      </c>
      <c r="D598" s="11" t="str">
        <f>_xlfn.XLOOKUP(Customer[[#This Row],[Customer ID]],[1]!Address[ID],[1]!Address[PIC])</f>
        <v/>
      </c>
      <c r="E598" s="11" t="str">
        <f>_xlfn.XLOOKUP(Customer[[#This Row],[Customer ID]],[1]!Address[ID],[1]!Address[Full Address])</f>
        <v>PS RASAHLOT PT 25435, HS(D) 218453, BATU 3,MAMBAU, MUKIM RASAH,70300 SEREMBAN, NEGERI SEMBILAN</v>
      </c>
      <c r="F598" s="12" t="s">
        <v>4300</v>
      </c>
      <c r="G598" s="12" t="s">
        <v>4301</v>
      </c>
      <c r="H598" s="12" t="s">
        <v>4302</v>
      </c>
      <c r="I598" s="12" t="b">
        <f>ISNUMBER(VALUE(LEFT(Customer[[#This Row],[Address Line 3 (30 char)]],1)))</f>
        <v>0</v>
      </c>
      <c r="J598" s="12" t="s">
        <v>203</v>
      </c>
      <c r="K598" s="12">
        <v>70300</v>
      </c>
      <c r="L598" s="12" t="s">
        <v>35</v>
      </c>
      <c r="M598" s="13" t="e">
        <v>#N/A</v>
      </c>
      <c r="N598" s="14" t="e">
        <v>#N/A</v>
      </c>
      <c r="O598" s="14" t="e">
        <v>#N/A</v>
      </c>
      <c r="P598" s="14" t="e">
        <v>#N/A</v>
      </c>
      <c r="Q598" s="19" t="s">
        <v>4303</v>
      </c>
      <c r="R598" s="15" t="s">
        <v>4304</v>
      </c>
      <c r="S598" s="15" t="s">
        <v>37</v>
      </c>
      <c r="T598" s="16" t="s">
        <v>38</v>
      </c>
      <c r="U598" s="11" t="str">
        <f>_xlfn.XLOOKUP(Customer[[#This Row],[Customer ID]],[1]!Address[ID],[1]!Address[Phone No.(2)])</f>
        <v/>
      </c>
      <c r="V598" s="11" t="str">
        <f>_xlfn.XLOOKUP(Customer[[#This Row],[Customer ID]],[1]!Address[ID],[1]!Address[Type])</f>
        <v>PETROMART</v>
      </c>
      <c r="W598" s="11" t="str">
        <f>_xlfn.XLOOKUP(Customer[[#This Row],[Customer ID]],[1]!Address[ID],[1]!Address[CT])</f>
        <v>30 DAYS</v>
      </c>
      <c r="X598" s="11" t="s">
        <v>39</v>
      </c>
      <c r="Y598" s="17" t="s">
        <v>40</v>
      </c>
      <c r="Z598" s="17" t="e">
        <f>_xlfn.XLOOKUP(Customer[[#This Row],[NewType]],$AF$36:$AF$54,$AG$36:$AG$54)</f>
        <v>#N/A</v>
      </c>
      <c r="AA598" s="17" t="s">
        <v>4305</v>
      </c>
      <c r="AB598" s="11" t="str">
        <f>_xlfn.XLOOKUP(Customer[[#This Row],[Customer ID]],[1]!Address[ID],[1]!Address[Subtype])</f>
        <v>PETRONAS</v>
      </c>
      <c r="AC598" s="18" t="str">
        <f>_xlfn.XLOOKUP(Customer[[#This Row],[Customer ID]],[1]!Address[ID],[1]!Address[Zone])</f>
        <v>CENTRAL</v>
      </c>
    </row>
    <row r="599" spans="1:29" x14ac:dyDescent="0.3">
      <c r="A599" s="10" t="s">
        <v>4306</v>
      </c>
      <c r="B599" s="11" t="str">
        <f>_xlfn.XLOOKUP(Customer[[#This Row],[Customer ID]],[1]!Name[ID],[1]!Name[Description(1)])</f>
        <v>HM MAJU JAYA</v>
      </c>
      <c r="C599" s="11" t="str">
        <f>_xlfn.XLOOKUP(Customer[[#This Row],[Customer ID]],[1]!Name[ID],[1]!Name[Description(2)])</f>
        <v>PS RASAH JAYA</v>
      </c>
      <c r="D599" s="11" t="str">
        <f>_xlfn.XLOOKUP(Customer[[#This Row],[Customer ID]],[1]!Address[ID],[1]!Address[PIC])</f>
        <v/>
      </c>
      <c r="E599" s="11" t="str">
        <f>_xlfn.XLOOKUP(Customer[[#This Row],[Customer ID]],[1]!Address[ID],[1]!Address[Full Address])</f>
        <v>PS RASAH JAYALOT 10066, TAMAN RASAH JAYA, SEREMBAN,70300, SEREMBAN, NEGERI SEMBILAN</v>
      </c>
      <c r="F599" s="12" t="s">
        <v>4307</v>
      </c>
      <c r="G599" s="12" t="s">
        <v>4308</v>
      </c>
      <c r="H599" s="12" t="s">
        <v>1971</v>
      </c>
      <c r="I599" s="12" t="b">
        <f>ISNUMBER(VALUE(LEFT(Customer[[#This Row],[Address Line 3 (30 char)]],1)))</f>
        <v>0</v>
      </c>
      <c r="J599" s="12" t="s">
        <v>203</v>
      </c>
      <c r="K599" s="12">
        <v>70300</v>
      </c>
      <c r="L599" s="12" t="s">
        <v>35</v>
      </c>
      <c r="M599" s="13" t="e">
        <v>#N/A</v>
      </c>
      <c r="N599" s="14" t="e">
        <v>#N/A</v>
      </c>
      <c r="O599" s="14" t="e">
        <v>#N/A</v>
      </c>
      <c r="P599" s="14" t="e">
        <v>#N/A</v>
      </c>
      <c r="Q599" s="19" t="s">
        <v>2194</v>
      </c>
      <c r="R599" s="15" t="s">
        <v>4309</v>
      </c>
      <c r="S599" s="15" t="s">
        <v>37</v>
      </c>
      <c r="T599" s="16" t="s">
        <v>38</v>
      </c>
      <c r="U599" s="11" t="str">
        <f>_xlfn.XLOOKUP(Customer[[#This Row],[Customer ID]],[1]!Address[ID],[1]!Address[Phone No.(2)])</f>
        <v/>
      </c>
      <c r="V599" s="11" t="str">
        <f>_xlfn.XLOOKUP(Customer[[#This Row],[Customer ID]],[1]!Address[ID],[1]!Address[Type])</f>
        <v>PETROMART</v>
      </c>
      <c r="W599" s="11" t="str">
        <f>_xlfn.XLOOKUP(Customer[[#This Row],[Customer ID]],[1]!Address[ID],[1]!Address[CT])</f>
        <v>30 DAYS</v>
      </c>
      <c r="X599" s="11" t="s">
        <v>39</v>
      </c>
      <c r="Y599" s="17" t="s">
        <v>40</v>
      </c>
      <c r="Z599" s="17" t="e">
        <f>_xlfn.XLOOKUP(Customer[[#This Row],[NewType]],$AF$36:$AF$54,$AG$36:$AG$54)</f>
        <v>#N/A</v>
      </c>
      <c r="AA599" s="17" t="s">
        <v>4310</v>
      </c>
      <c r="AB599" s="11" t="str">
        <f>_xlfn.XLOOKUP(Customer[[#This Row],[Customer ID]],[1]!Address[ID],[1]!Address[Subtype])</f>
        <v>PETRONAS</v>
      </c>
      <c r="AC599" s="18" t="str">
        <f>_xlfn.XLOOKUP(Customer[[#This Row],[Customer ID]],[1]!Address[ID],[1]!Address[Zone])</f>
        <v>CENTRAL</v>
      </c>
    </row>
    <row r="600" spans="1:29" x14ac:dyDescent="0.3">
      <c r="A600" s="10" t="s">
        <v>4311</v>
      </c>
      <c r="B600" s="11" t="str">
        <f>_xlfn.XLOOKUP(Customer[[#This Row],[Customer ID]],[1]!Name[ID],[1]!Name[Description(1)])</f>
        <v>FARDZHA ENERGY PIT STOP</v>
      </c>
      <c r="C600" s="11" t="str">
        <f>_xlfn.XLOOKUP(Customer[[#This Row],[Customer ID]],[1]!Name[ID],[1]!Name[Description(2)])</f>
        <v>PS RAUB 1</v>
      </c>
      <c r="D600" s="11" t="str">
        <f>_xlfn.XLOOKUP(Customer[[#This Row],[Customer ID]],[1]!Address[ID],[1]!Address[PIC])</f>
        <v/>
      </c>
      <c r="E600" s="11" t="str">
        <f>_xlfn.XLOOKUP(Customer[[#This Row],[Customer ID]],[1]!Address[ID],[1]!Address[Full Address])</f>
        <v>PS RAUB 1KM 3 JALAN CHEROH, RAUB, 27600 PAHANG</v>
      </c>
      <c r="F600" s="12" t="s">
        <v>4312</v>
      </c>
      <c r="G600" s="12" t="s">
        <v>4313</v>
      </c>
      <c r="H600" s="12" t="s">
        <v>4314</v>
      </c>
      <c r="I600" s="12" t="b">
        <f>ISNUMBER(VALUE(LEFT(Customer[[#This Row],[Address Line 3 (30 char)]],1)))</f>
        <v>0</v>
      </c>
      <c r="J600" s="12" t="s">
        <v>339</v>
      </c>
      <c r="K600" s="12">
        <v>27600</v>
      </c>
      <c r="L600" s="12" t="s">
        <v>35</v>
      </c>
      <c r="M600" s="13">
        <v>201503136425</v>
      </c>
      <c r="N600" s="14" t="s">
        <v>4315</v>
      </c>
      <c r="O600" s="14" t="e">
        <v>#N/A</v>
      </c>
      <c r="P600" s="14" t="e">
        <v>#N/A</v>
      </c>
      <c r="Q600" s="19" t="s">
        <v>4316</v>
      </c>
      <c r="R600" s="15" t="s">
        <v>4317</v>
      </c>
      <c r="S600" s="15" t="s">
        <v>37</v>
      </c>
      <c r="T600" s="16" t="s">
        <v>38</v>
      </c>
      <c r="U600" s="11" t="str">
        <f>_xlfn.XLOOKUP(Customer[[#This Row],[Customer ID]],[1]!Address[ID],[1]!Address[Phone No.(2)])</f>
        <v/>
      </c>
      <c r="V600" s="11" t="str">
        <f>_xlfn.XLOOKUP(Customer[[#This Row],[Customer ID]],[1]!Address[ID],[1]!Address[Type])</f>
        <v>PETROMART</v>
      </c>
      <c r="W600" s="11" t="str">
        <f>_xlfn.XLOOKUP(Customer[[#This Row],[Customer ID]],[1]!Address[ID],[1]!Address[CT])</f>
        <v>30 DAYS</v>
      </c>
      <c r="X600" s="11" t="s">
        <v>39</v>
      </c>
      <c r="Y600" s="17" t="s">
        <v>40</v>
      </c>
      <c r="Z600" s="17" t="e">
        <f>_xlfn.XLOOKUP(Customer[[#This Row],[NewType]],$AF$36:$AF$54,$AG$36:$AG$54)</f>
        <v>#N/A</v>
      </c>
      <c r="AA600" s="17" t="s">
        <v>4318</v>
      </c>
      <c r="AB600" s="11" t="str">
        <f>_xlfn.XLOOKUP(Customer[[#This Row],[Customer ID]],[1]!Address[ID],[1]!Address[Subtype])</f>
        <v>PETRONAS</v>
      </c>
      <c r="AC600" s="18" t="str">
        <f>_xlfn.XLOOKUP(Customer[[#This Row],[Customer ID]],[1]!Address[ID],[1]!Address[Zone])</f>
        <v>EAST COAST</v>
      </c>
    </row>
    <row r="601" spans="1:29" x14ac:dyDescent="0.3">
      <c r="A601" s="27" t="s">
        <v>4319</v>
      </c>
      <c r="B601" s="28" t="str">
        <f>_xlfn.XLOOKUP(Customer[[#This Row],[Customer ID]],[1]!Name[ID],[1]!Name[Description(1)])</f>
        <v>TEE PETROL TRADING</v>
      </c>
      <c r="C601" s="11" t="str">
        <f>_xlfn.XLOOKUP(Customer[[#This Row],[Customer ID]],[1]!Name[ID],[1]!Name[Description(2)])</f>
        <v>PS RAUB 2 (MUKIM GALI)</v>
      </c>
      <c r="D601" s="11" t="str">
        <f>_xlfn.XLOOKUP(Customer[[#This Row],[Customer ID]],[1]!Address[ID],[1]!Address[PIC])</f>
        <v/>
      </c>
      <c r="E601" s="11" t="str">
        <f>_xlfn.XLOOKUP(Customer[[#This Row],[Customer ID]],[1]!Address[ID],[1]!Address[Full Address])</f>
        <v>PS RAUB 2 (MUKIM GALI)LOT PT 23941, HS(M) 11798,BATU 1, JALAN LIPIS,27600 RAUB, PAHANG</v>
      </c>
      <c r="F601" s="12" t="s">
        <v>4320</v>
      </c>
      <c r="G601" s="12" t="s">
        <v>4321</v>
      </c>
      <c r="H601" s="12" t="s">
        <v>4322</v>
      </c>
      <c r="I601" s="12" t="b">
        <f>ISNUMBER(VALUE(LEFT(Customer[[#This Row],[Address Line 3 (30 char)]],1)))</f>
        <v>0</v>
      </c>
      <c r="J601" s="12" t="s">
        <v>339</v>
      </c>
      <c r="K601" s="12">
        <v>27600</v>
      </c>
      <c r="L601" s="12" t="s">
        <v>35</v>
      </c>
      <c r="M601" s="13">
        <v>200803249596</v>
      </c>
      <c r="N601" s="14" t="e">
        <v>#N/A</v>
      </c>
      <c r="O601" s="14" t="e">
        <v>#N/A</v>
      </c>
      <c r="P601" s="14" t="e">
        <v>#N/A</v>
      </c>
      <c r="Q601" s="19" t="s">
        <v>4323</v>
      </c>
      <c r="R601" s="15" t="s">
        <v>4324</v>
      </c>
      <c r="S601" s="15" t="s">
        <v>37</v>
      </c>
      <c r="T601" s="16" t="s">
        <v>38</v>
      </c>
      <c r="U601" s="11" t="str">
        <f>_xlfn.XLOOKUP(Customer[[#This Row],[Customer ID]],[1]!Address[ID],[1]!Address[Phone No.(2)])</f>
        <v/>
      </c>
      <c r="V601" s="11" t="str">
        <f>_xlfn.XLOOKUP(Customer[[#This Row],[Customer ID]],[1]!Address[ID],[1]!Address[Type])</f>
        <v>PETROMART</v>
      </c>
      <c r="W601" s="11" t="str">
        <f>_xlfn.XLOOKUP(Customer[[#This Row],[Customer ID]],[1]!Address[ID],[1]!Address[CT])</f>
        <v>30 DAYS</v>
      </c>
      <c r="X601" s="11" t="s">
        <v>39</v>
      </c>
      <c r="Y601" s="17" t="s">
        <v>40</v>
      </c>
      <c r="Z601" s="17" t="e">
        <f>_xlfn.XLOOKUP(Customer[[#This Row],[NewType]],$AF$36:$AF$54,$AG$36:$AG$54)</f>
        <v>#N/A</v>
      </c>
      <c r="AA601" s="17" t="s">
        <v>4325</v>
      </c>
      <c r="AB601" s="11" t="str">
        <f>_xlfn.XLOOKUP(Customer[[#This Row],[Customer ID]],[1]!Address[ID],[1]!Address[Subtype])</f>
        <v>PETRONAS</v>
      </c>
      <c r="AC601" s="18" t="str">
        <f>_xlfn.XLOOKUP(Customer[[#This Row],[Customer ID]],[1]!Address[ID],[1]!Address[Zone])</f>
        <v>EAST COAST</v>
      </c>
    </row>
    <row r="602" spans="1:29" x14ac:dyDescent="0.3">
      <c r="A602" s="10" t="s">
        <v>4326</v>
      </c>
      <c r="B602" s="11" t="str">
        <f>_xlfn.XLOOKUP(Customer[[#This Row],[Customer ID]],[1]!Name[ID],[1]!Name[Description(1)])</f>
        <v>ENJE SERVICES</v>
      </c>
      <c r="C602" s="11" t="str">
        <f>_xlfn.XLOOKUP(Customer[[#This Row],[Customer ID]],[1]!Name[ID],[1]!Name[Description(2)])</f>
        <v>PS RAWANG INDUSTRIAL PARK 1</v>
      </c>
      <c r="D602" s="11" t="str">
        <f>_xlfn.XLOOKUP(Customer[[#This Row],[Customer ID]],[1]!Address[ID],[1]!Address[PIC])</f>
        <v/>
      </c>
      <c r="E602" s="11" t="str">
        <f>_xlfn.XLOOKUP(Customer[[#This Row],[Customer ID]],[1]!Address[ID],[1]!Address[Full Address])</f>
        <v>PS RAWANG INDUSTRIAL PARK 1LOT 1253, RAWANG INDUSTRIAL PARK,RAWANG 48000, SELANGOR</v>
      </c>
      <c r="F602" s="12" t="s">
        <v>4327</v>
      </c>
      <c r="G602" s="12" t="s">
        <v>4328</v>
      </c>
      <c r="H602" s="12" t="s">
        <v>4329</v>
      </c>
      <c r="I602" s="12" t="b">
        <f>ISNUMBER(VALUE(LEFT(Customer[[#This Row],[Address Line 3 (30 char)]],1)))</f>
        <v>0</v>
      </c>
      <c r="J602" s="12" t="s">
        <v>172</v>
      </c>
      <c r="K602" s="12">
        <v>48000</v>
      </c>
      <c r="L602" s="12" t="s">
        <v>35</v>
      </c>
      <c r="M602" s="13" t="e">
        <v>#N/A</v>
      </c>
      <c r="N602" s="14" t="e">
        <v>#N/A</v>
      </c>
      <c r="O602" s="14" t="e">
        <v>#N/A</v>
      </c>
      <c r="P602" s="14" t="e">
        <v>#N/A</v>
      </c>
      <c r="Q602" s="19" t="s">
        <v>4330</v>
      </c>
      <c r="R602" s="15" t="s">
        <v>4331</v>
      </c>
      <c r="S602" s="15" t="s">
        <v>37</v>
      </c>
      <c r="T602" s="16" t="s">
        <v>38</v>
      </c>
      <c r="U602" s="11" t="str">
        <f>_xlfn.XLOOKUP(Customer[[#This Row],[Customer ID]],[1]!Address[ID],[1]!Address[Phone No.(2)])</f>
        <v/>
      </c>
      <c r="V602" s="11" t="str">
        <f>_xlfn.XLOOKUP(Customer[[#This Row],[Customer ID]],[1]!Address[ID],[1]!Address[Type])</f>
        <v>PETROMART</v>
      </c>
      <c r="W602" s="11" t="str">
        <f>_xlfn.XLOOKUP(Customer[[#This Row],[Customer ID]],[1]!Address[ID],[1]!Address[CT])</f>
        <v>30 DAYS</v>
      </c>
      <c r="X602" s="11" t="s">
        <v>39</v>
      </c>
      <c r="Y602" s="17" t="s">
        <v>40</v>
      </c>
      <c r="Z602" s="17" t="e">
        <f>_xlfn.XLOOKUP(Customer[[#This Row],[NewType]],$AF$36:$AF$54,$AG$36:$AG$54)</f>
        <v>#N/A</v>
      </c>
      <c r="AA602" s="17" t="s">
        <v>4332</v>
      </c>
      <c r="AB602" s="11" t="str">
        <f>_xlfn.XLOOKUP(Customer[[#This Row],[Customer ID]],[1]!Address[ID],[1]!Address[Subtype])</f>
        <v>PETRONAS</v>
      </c>
      <c r="AC602" s="18" t="str">
        <f>_xlfn.XLOOKUP(Customer[[#This Row],[Customer ID]],[1]!Address[ID],[1]!Address[Zone])</f>
        <v>CENTRAL</v>
      </c>
    </row>
    <row r="603" spans="1:29" x14ac:dyDescent="0.3">
      <c r="A603" s="10" t="s">
        <v>4333</v>
      </c>
      <c r="B603" s="11" t="str">
        <f>_xlfn.XLOOKUP(Customer[[#This Row],[Customer ID]],[1]!Name[ID],[1]!Name[Description(1)])</f>
        <v>PROFIX FLEET MARKETING</v>
      </c>
      <c r="C603" s="11" t="str">
        <f>_xlfn.XLOOKUP(Customer[[#This Row],[Customer ID]],[1]!Name[ID],[1]!Name[Description(2)])</f>
        <v>PS RAWANG INDUSTRIAL PARK 2</v>
      </c>
      <c r="D603" s="11" t="str">
        <f>_xlfn.XLOOKUP(Customer[[#This Row],[Customer ID]],[1]!Address[ID],[1]!Address[PIC])</f>
        <v>Zamrina binti C</v>
      </c>
      <c r="E603" s="11" t="str">
        <f>_xlfn.XLOOKUP(Customer[[#This Row],[Customer ID]],[1]!Address[ID],[1]!Address[Full Address])</f>
        <v>PS RAWANG INDUSTRIAL PARK 2LOT PT 12953 BATU 19 3/4,JALAN RAWANG - KUNDANG,48000 RAWANG, SELANGOR</v>
      </c>
      <c r="F603" s="12" t="s">
        <v>4334</v>
      </c>
      <c r="G603" s="12" t="s">
        <v>4335</v>
      </c>
      <c r="H603" s="12" t="s">
        <v>4336</v>
      </c>
      <c r="I603" s="12" t="b">
        <f>ISNUMBER(VALUE(LEFT(Customer[[#This Row],[Address Line 3 (30 char)]],1)))</f>
        <v>0</v>
      </c>
      <c r="J603" s="12" t="s">
        <v>172</v>
      </c>
      <c r="K603" s="12">
        <v>48000</v>
      </c>
      <c r="L603" s="12" t="s">
        <v>35</v>
      </c>
      <c r="M603" s="13">
        <v>201303247004</v>
      </c>
      <c r="N603" s="14" t="s">
        <v>4337</v>
      </c>
      <c r="O603" s="14" t="e">
        <v>#N/A</v>
      </c>
      <c r="P603" s="14" t="e">
        <v>#N/A</v>
      </c>
      <c r="Q603" s="19" t="s">
        <v>4338</v>
      </c>
      <c r="R603" s="15" t="s">
        <v>4339</v>
      </c>
      <c r="S603" s="15" t="s">
        <v>65</v>
      </c>
      <c r="T603" s="16" t="s">
        <v>38</v>
      </c>
      <c r="U603" s="11" t="str">
        <f>_xlfn.XLOOKUP(Customer[[#This Row],[Customer ID]],[1]!Address[ID],[1]!Address[Phone No.(2)])</f>
        <v/>
      </c>
      <c r="V603" s="11" t="str">
        <f>_xlfn.XLOOKUP(Customer[[#This Row],[Customer ID]],[1]!Address[ID],[1]!Address[Type])</f>
        <v>PETROMART</v>
      </c>
      <c r="W603" s="11" t="str">
        <f>_xlfn.XLOOKUP(Customer[[#This Row],[Customer ID]],[1]!Address[ID],[1]!Address[CT])</f>
        <v>30 DAYS</v>
      </c>
      <c r="X603" s="11" t="s">
        <v>39</v>
      </c>
      <c r="Y603" s="17" t="s">
        <v>40</v>
      </c>
      <c r="Z603" s="17" t="e">
        <f>_xlfn.XLOOKUP(Customer[[#This Row],[NewType]],$AF$36:$AF$54,$AG$36:$AG$54)</f>
        <v>#N/A</v>
      </c>
      <c r="AA603" s="17" t="s">
        <v>4340</v>
      </c>
      <c r="AB603" s="11" t="str">
        <f>_xlfn.XLOOKUP(Customer[[#This Row],[Customer ID]],[1]!Address[ID],[1]!Address[Subtype])</f>
        <v>PETRONAS</v>
      </c>
      <c r="AC603" s="18" t="str">
        <f>_xlfn.XLOOKUP(Customer[[#This Row],[Customer ID]],[1]!Address[ID],[1]!Address[Zone])</f>
        <v>CENTRAL</v>
      </c>
    </row>
    <row r="604" spans="1:29" x14ac:dyDescent="0.3">
      <c r="A604" s="10" t="s">
        <v>4341</v>
      </c>
      <c r="B604" s="11" t="str">
        <f>_xlfn.XLOOKUP(Customer[[#This Row],[Customer ID]],[1]!Name[ID],[1]!Name[Description(1)])</f>
        <v>BIG TREE TRADING</v>
      </c>
      <c r="C604" s="11" t="str">
        <f>_xlfn.XLOOKUP(Customer[[#This Row],[Customer ID]],[1]!Name[ID],[1]!Name[Description(2)])</f>
        <v>PS RAWANG RSA</v>
      </c>
      <c r="D604" s="11" t="str">
        <f>_xlfn.XLOOKUP(Customer[[#This Row],[Customer ID]],[1]!Address[ID],[1]!Address[PIC])</f>
        <v/>
      </c>
      <c r="E604" s="11" t="str">
        <f>_xlfn.XLOOKUP(Customer[[#This Row],[Customer ID]],[1]!Address[ID],[1]!Address[Full Address])</f>
        <v>PS RAWANG RSAKAWASAN REHAT &amp; RAWAT RAWANG,LEBUHRAYA  UTARA - SELATAN( ARAH UTARA,48000 GOMBAK, SELANGOR</v>
      </c>
      <c r="F604" s="12" t="s">
        <v>4342</v>
      </c>
      <c r="G604" s="12" t="s">
        <v>4343</v>
      </c>
      <c r="H604" s="12" t="s">
        <v>4344</v>
      </c>
      <c r="I604" s="12" t="b">
        <f>ISNUMBER(VALUE(LEFT(Customer[[#This Row],[Address Line 3 (30 char)]],1)))</f>
        <v>0</v>
      </c>
      <c r="J604" s="12" t="s">
        <v>172</v>
      </c>
      <c r="K604" s="12">
        <v>48000</v>
      </c>
      <c r="L604" s="12" t="s">
        <v>35</v>
      </c>
      <c r="M604" s="13">
        <v>199803001573</v>
      </c>
      <c r="N604" s="14" t="s">
        <v>4345</v>
      </c>
      <c r="O604" s="14" t="s">
        <v>54</v>
      </c>
      <c r="P604" s="14" t="s">
        <v>4346</v>
      </c>
      <c r="Q604" s="19" t="s">
        <v>4347</v>
      </c>
      <c r="R604" s="15" t="s">
        <v>4348</v>
      </c>
      <c r="S604" s="15" t="s">
        <v>37</v>
      </c>
      <c r="T604" s="16" t="s">
        <v>38</v>
      </c>
      <c r="U604" s="11" t="str">
        <f>_xlfn.XLOOKUP(Customer[[#This Row],[Customer ID]],[1]!Address[ID],[1]!Address[Phone No.(2)])</f>
        <v/>
      </c>
      <c r="V604" s="11" t="str">
        <f>_xlfn.XLOOKUP(Customer[[#This Row],[Customer ID]],[1]!Address[ID],[1]!Address[Type])</f>
        <v>PETROMART</v>
      </c>
      <c r="W604" s="11" t="str">
        <f>_xlfn.XLOOKUP(Customer[[#This Row],[Customer ID]],[1]!Address[ID],[1]!Address[CT])</f>
        <v>30 DAYS</v>
      </c>
      <c r="X604" s="11" t="s">
        <v>39</v>
      </c>
      <c r="Y604" s="17" t="s">
        <v>40</v>
      </c>
      <c r="Z604" s="17" t="e">
        <f>_xlfn.XLOOKUP(Customer[[#This Row],[NewType]],$AF$36:$AF$54,$AG$36:$AG$54)</f>
        <v>#N/A</v>
      </c>
      <c r="AA604" s="17" t="s">
        <v>4349</v>
      </c>
      <c r="AB604" s="11" t="str">
        <f>_xlfn.XLOOKUP(Customer[[#This Row],[Customer ID]],[1]!Address[ID],[1]!Address[Subtype])</f>
        <v>PETRONAS</v>
      </c>
      <c r="AC604" s="18" t="str">
        <f>_xlfn.XLOOKUP(Customer[[#This Row],[Customer ID]],[1]!Address[ID],[1]!Address[Zone])</f>
        <v>CENTRAL</v>
      </c>
    </row>
    <row r="605" spans="1:29" x14ac:dyDescent="0.3">
      <c r="A605" s="10" t="s">
        <v>4350</v>
      </c>
      <c r="B605" s="11" t="str">
        <f>_xlfn.XLOOKUP(Customer[[#This Row],[Customer ID]],[1]!Name[ID],[1]!Name[Description(1)])</f>
        <v>RAZ PARADIGM VENTURES</v>
      </c>
      <c r="C605" s="11" t="str">
        <f>_xlfn.XLOOKUP(Customer[[#This Row],[Customer ID]],[1]!Name[ID],[1]!Name[Description(2)])</f>
        <v>PS REMBAU</v>
      </c>
      <c r="D605" s="11" t="str">
        <f>_xlfn.XLOOKUP(Customer[[#This Row],[Customer ID]],[1]!Address[ID],[1]!Address[PIC])</f>
        <v>Hifzuddin Radzi</v>
      </c>
      <c r="E605" s="11" t="str">
        <f>_xlfn.XLOOKUP(Customer[[#This Row],[Customer ID]],[1]!Address[ID],[1]!Address[Full Address])</f>
        <v>PS REMBAULOT 2509 MUKIM CHEMBONG, REMBAU,73100, REMBAU, NEGERI SEMBILAN</v>
      </c>
      <c r="F605" s="12" t="s">
        <v>4351</v>
      </c>
      <c r="G605" s="12" t="s">
        <v>4352</v>
      </c>
      <c r="H605" s="12" t="s">
        <v>4353</v>
      </c>
      <c r="I605" s="12" t="b">
        <f>ISNUMBER(VALUE(LEFT(Customer[[#This Row],[Address Line 3 (30 char)]],1)))</f>
        <v>0</v>
      </c>
      <c r="J605" s="12" t="s">
        <v>203</v>
      </c>
      <c r="K605" s="12">
        <v>73100</v>
      </c>
      <c r="L605" s="12" t="s">
        <v>35</v>
      </c>
      <c r="M605" s="13">
        <v>202103047793</v>
      </c>
      <c r="N605" s="14" t="s">
        <v>4354</v>
      </c>
      <c r="O605" s="14" t="e">
        <v>#N/A</v>
      </c>
      <c r="P605" s="14" t="e">
        <v>#N/A</v>
      </c>
      <c r="Q605" s="19" t="s">
        <v>4355</v>
      </c>
      <c r="R605" s="15" t="s">
        <v>4356</v>
      </c>
      <c r="S605" s="15" t="s">
        <v>37</v>
      </c>
      <c r="T605" s="16" t="s">
        <v>38</v>
      </c>
      <c r="U605" s="11" t="str">
        <f>_xlfn.XLOOKUP(Customer[[#This Row],[Customer ID]],[1]!Address[ID],[1]!Address[Phone No.(2)])</f>
        <v/>
      </c>
      <c r="V605" s="11" t="str">
        <f>_xlfn.XLOOKUP(Customer[[#This Row],[Customer ID]],[1]!Address[ID],[1]!Address[Type])</f>
        <v>PETROMART</v>
      </c>
      <c r="W605" s="11" t="str">
        <f>_xlfn.XLOOKUP(Customer[[#This Row],[Customer ID]],[1]!Address[ID],[1]!Address[CT])</f>
        <v>30 DAYS</v>
      </c>
      <c r="X605" s="11" t="s">
        <v>39</v>
      </c>
      <c r="Y605" s="17" t="s">
        <v>40</v>
      </c>
      <c r="Z605" s="17" t="e">
        <f>_xlfn.XLOOKUP(Customer[[#This Row],[NewType]],$AF$36:$AF$54,$AG$36:$AG$54)</f>
        <v>#N/A</v>
      </c>
      <c r="AA605" s="17" t="s">
        <v>4357</v>
      </c>
      <c r="AB605" s="11" t="str">
        <f>_xlfn.XLOOKUP(Customer[[#This Row],[Customer ID]],[1]!Address[ID],[1]!Address[Subtype])</f>
        <v>PETRONAS</v>
      </c>
      <c r="AC605" s="18" t="str">
        <f>_xlfn.XLOOKUP(Customer[[#This Row],[Customer ID]],[1]!Address[ID],[1]!Address[Zone])</f>
        <v>CENTRAL</v>
      </c>
    </row>
    <row r="606" spans="1:29" x14ac:dyDescent="0.3">
      <c r="A606" s="10" t="s">
        <v>4358</v>
      </c>
      <c r="B606" s="11" t="str">
        <f>_xlfn.XLOOKUP(Customer[[#This Row],[Customer ID]],[1]!Name[ID],[1]!Name[Description(1)])</f>
        <v>STESEN MINYAK ISMAIL</v>
      </c>
      <c r="C606" s="11" t="str">
        <f>_xlfn.XLOOKUP(Customer[[#This Row],[Customer ID]],[1]!Name[ID],[1]!Name[Description(2)])</f>
        <v>PS REMBIA</v>
      </c>
      <c r="D606" s="11" t="str">
        <f>_xlfn.XLOOKUP(Customer[[#This Row],[Customer ID]],[1]!Address[ID],[1]!Address[PIC])</f>
        <v/>
      </c>
      <c r="E606" s="11" t="str">
        <f>_xlfn.XLOOKUP(Customer[[#This Row],[Customer ID]],[1]!Address[ID],[1]!Address[Full Address])</f>
        <v>PS REMBIALOT 2289, JALAN MELAKA ALOR GAJAH,REMBIA, 78000, ALOR GAJAH, MELAKA</v>
      </c>
      <c r="F606" s="12" t="s">
        <v>4359</v>
      </c>
      <c r="G606" s="12" t="s">
        <v>4360</v>
      </c>
      <c r="H606" s="12" t="s">
        <v>4361</v>
      </c>
      <c r="I606" s="12" t="b">
        <f>ISNUMBER(VALUE(LEFT(Customer[[#This Row],[Address Line 3 (30 char)]],1)))</f>
        <v>0</v>
      </c>
      <c r="J606" s="12" t="s">
        <v>61</v>
      </c>
      <c r="K606" s="12">
        <v>78000</v>
      </c>
      <c r="L606" s="12" t="s">
        <v>35</v>
      </c>
      <c r="M606" s="13">
        <v>201203278036</v>
      </c>
      <c r="N606" s="14" t="s">
        <v>4362</v>
      </c>
      <c r="O606" s="14" t="s">
        <v>54</v>
      </c>
      <c r="P606" s="14">
        <v>47300</v>
      </c>
      <c r="Q606" s="19" t="s">
        <v>4363</v>
      </c>
      <c r="R606" s="15" t="s">
        <v>4364</v>
      </c>
      <c r="S606" s="15" t="s">
        <v>37</v>
      </c>
      <c r="T606" s="16" t="s">
        <v>38</v>
      </c>
      <c r="U606" s="11" t="str">
        <f>_xlfn.XLOOKUP(Customer[[#This Row],[Customer ID]],[1]!Address[ID],[1]!Address[Phone No.(2)])</f>
        <v/>
      </c>
      <c r="V606" s="11" t="str">
        <f>_xlfn.XLOOKUP(Customer[[#This Row],[Customer ID]],[1]!Address[ID],[1]!Address[Type])</f>
        <v>PETROMART</v>
      </c>
      <c r="W606" s="11" t="str">
        <f>_xlfn.XLOOKUP(Customer[[#This Row],[Customer ID]],[1]!Address[ID],[1]!Address[CT])</f>
        <v>30 DAYS</v>
      </c>
      <c r="X606" s="11" t="s">
        <v>39</v>
      </c>
      <c r="Y606" s="17" t="s">
        <v>40</v>
      </c>
      <c r="Z606" s="17" t="e">
        <f>_xlfn.XLOOKUP(Customer[[#This Row],[NewType]],$AF$36:$AF$54,$AG$36:$AG$54)</f>
        <v>#N/A</v>
      </c>
      <c r="AA606" s="17" t="s">
        <v>4365</v>
      </c>
      <c r="AB606" s="11" t="str">
        <f>_xlfn.XLOOKUP(Customer[[#This Row],[Customer ID]],[1]!Address[ID],[1]!Address[Subtype])</f>
        <v>PETRONAS</v>
      </c>
      <c r="AC606" s="18" t="str">
        <f>_xlfn.XLOOKUP(Customer[[#This Row],[Customer ID]],[1]!Address[ID],[1]!Address[Zone])</f>
        <v>SOUTH</v>
      </c>
    </row>
    <row r="607" spans="1:29" x14ac:dyDescent="0.3">
      <c r="A607" s="10" t="s">
        <v>4366</v>
      </c>
      <c r="B607" s="11" t="str">
        <f>_xlfn.XLOOKUP(Customer[[#This Row],[Customer ID]],[1]!Name[ID],[1]!Name[Description(1)])</f>
        <v>ZAFAR ONG STATION</v>
      </c>
      <c r="C607" s="11" t="str">
        <f>_xlfn.XLOOKUP(Customer[[#This Row],[Customer ID]],[1]!Name[ID],[1]!Name[Description(2)])</f>
        <v>PS RENGIT</v>
      </c>
      <c r="D607" s="11" t="str">
        <f>_xlfn.XLOOKUP(Customer[[#This Row],[Customer ID]],[1]!Address[ID],[1]!Address[PIC])</f>
        <v/>
      </c>
      <c r="E607" s="11" t="str">
        <f>_xlfn.XLOOKUP(Customer[[#This Row],[Customer ID]],[1]!Address[ID],[1]!Address[Full Address])</f>
        <v>PS RENGITLOT 814, PEKAN RENGIT, RENGIT,83100 BATU PAHAT, JOHOR</v>
      </c>
      <c r="F607" s="12" t="s">
        <v>4367</v>
      </c>
      <c r="G607" s="12" t="s">
        <v>4368</v>
      </c>
      <c r="H607" s="24" t="s">
        <v>4369</v>
      </c>
      <c r="I607" s="24" t="b">
        <f>ISNUMBER(VALUE(LEFT(Customer[[#This Row],[Address Line 3 (30 char)]],1)))</f>
        <v>0</v>
      </c>
      <c r="J607" s="12" t="s">
        <v>52</v>
      </c>
      <c r="K607" s="12">
        <v>83100</v>
      </c>
      <c r="L607" s="12" t="s">
        <v>35</v>
      </c>
      <c r="M607" s="13" t="e">
        <v>#N/A</v>
      </c>
      <c r="N607" s="14" t="e">
        <v>#N/A</v>
      </c>
      <c r="O607" s="14" t="e">
        <v>#N/A</v>
      </c>
      <c r="P607" s="14" t="e">
        <v>#N/A</v>
      </c>
      <c r="Q607" s="19" t="s">
        <v>4370</v>
      </c>
      <c r="R607" s="15" t="s">
        <v>4371</v>
      </c>
      <c r="S607" s="15" t="s">
        <v>37</v>
      </c>
      <c r="T607" s="16" t="s">
        <v>38</v>
      </c>
      <c r="U607" s="11" t="str">
        <f>_xlfn.XLOOKUP(Customer[[#This Row],[Customer ID]],[1]!Address[ID],[1]!Address[Phone No.(2)])</f>
        <v/>
      </c>
      <c r="V607" s="11" t="str">
        <f>_xlfn.XLOOKUP(Customer[[#This Row],[Customer ID]],[1]!Address[ID],[1]!Address[Type])</f>
        <v>PETROMART</v>
      </c>
      <c r="W607" s="11" t="str">
        <f>_xlfn.XLOOKUP(Customer[[#This Row],[Customer ID]],[1]!Address[ID],[1]!Address[CT])</f>
        <v>30 DAYS</v>
      </c>
      <c r="X607" s="11" t="s">
        <v>39</v>
      </c>
      <c r="Y607" s="17" t="s">
        <v>40</v>
      </c>
      <c r="Z607" s="17" t="e">
        <f>_xlfn.XLOOKUP(Customer[[#This Row],[NewType]],$AF$36:$AF$54,$AG$36:$AG$54)</f>
        <v>#N/A</v>
      </c>
      <c r="AA607" s="17" t="s">
        <v>4372</v>
      </c>
      <c r="AB607" s="11" t="str">
        <f>_xlfn.XLOOKUP(Customer[[#This Row],[Customer ID]],[1]!Address[ID],[1]!Address[Subtype])</f>
        <v>PETRONAS</v>
      </c>
      <c r="AC607" s="18" t="str">
        <f>_xlfn.XLOOKUP(Customer[[#This Row],[Customer ID]],[1]!Address[ID],[1]!Address[Zone])</f>
        <v>SOUTH</v>
      </c>
    </row>
    <row r="608" spans="1:29" x14ac:dyDescent="0.3">
      <c r="A608" s="10" t="s">
        <v>4373</v>
      </c>
      <c r="B608" s="11" t="str">
        <f>_xlfn.XLOOKUP(Customer[[#This Row],[Customer ID]],[1]!Name[ID],[1]!Name[Description(1)])</f>
        <v>SJ TRADE BERKAT</v>
      </c>
      <c r="C608" s="11" t="str">
        <f>_xlfn.XLOOKUP(Customer[[#This Row],[Customer ID]],[1]!Name[ID],[1]!Name[Description(2)])</f>
        <v>PS SALAK JAYA</v>
      </c>
      <c r="D608" s="11" t="str">
        <f>_xlfn.XLOOKUP(Customer[[#This Row],[Customer ID]],[1]!Address[ID],[1]!Address[PIC])</f>
        <v/>
      </c>
      <c r="E608" s="11" t="str">
        <f>_xlfn.XLOOKUP(Customer[[#This Row],[Customer ID]],[1]!Address[ID],[1]!Address[Full Address])</f>
        <v>PS SALAK JAYAKM 13.8, LEBUH RAYA SUNGAI BESI (ARAHSELATAN), KUALA LUMPUR, 57100,WILAYAH PERSEKUTUAN KUALA LUMPUR,</v>
      </c>
      <c r="F608" s="12" t="s">
        <v>4374</v>
      </c>
      <c r="G608" s="12" t="s">
        <v>4375</v>
      </c>
      <c r="H608" s="12" t="s">
        <v>4376</v>
      </c>
      <c r="I608" s="12" t="b">
        <f>ISNUMBER(VALUE(LEFT(Customer[[#This Row],[Address Line 3 (30 char)]],1)))</f>
        <v>0</v>
      </c>
      <c r="J608" s="12" t="s">
        <v>34</v>
      </c>
      <c r="K608" s="12">
        <v>57100</v>
      </c>
      <c r="L608" s="12" t="s">
        <v>35</v>
      </c>
      <c r="M608" s="13" t="e">
        <v>#N/A</v>
      </c>
      <c r="N608" s="14" t="e">
        <v>#N/A</v>
      </c>
      <c r="O608" s="14" t="e">
        <v>#N/A</v>
      </c>
      <c r="P608" s="14" t="e">
        <v>#N/A</v>
      </c>
      <c r="Q608" s="19" t="s">
        <v>2730</v>
      </c>
      <c r="R608" s="15" t="s">
        <v>2731</v>
      </c>
      <c r="S608" s="15" t="s">
        <v>65</v>
      </c>
      <c r="T608" s="16" t="s">
        <v>38</v>
      </c>
      <c r="U608" s="11" t="str">
        <f>_xlfn.XLOOKUP(Customer[[#This Row],[Customer ID]],[1]!Address[ID],[1]!Address[Phone No.(2)])</f>
        <v/>
      </c>
      <c r="V608" s="11" t="str">
        <f>_xlfn.XLOOKUP(Customer[[#This Row],[Customer ID]],[1]!Address[ID],[1]!Address[Type])</f>
        <v>PETROMART</v>
      </c>
      <c r="W608" s="11" t="str">
        <f>_xlfn.XLOOKUP(Customer[[#This Row],[Customer ID]],[1]!Address[ID],[1]!Address[CT])</f>
        <v>30 DAYS</v>
      </c>
      <c r="X608" s="11" t="s">
        <v>39</v>
      </c>
      <c r="Y608" s="17" t="s">
        <v>40</v>
      </c>
      <c r="Z608" s="17" t="e">
        <f>_xlfn.XLOOKUP(Customer[[#This Row],[NewType]],$AF$36:$AF$54,$AG$36:$AG$54)</f>
        <v>#N/A</v>
      </c>
      <c r="AA608" s="17" t="s">
        <v>4377</v>
      </c>
      <c r="AB608" s="11" t="str">
        <f>_xlfn.XLOOKUP(Customer[[#This Row],[Customer ID]],[1]!Address[ID],[1]!Address[Subtype])</f>
        <v>PETRONAS</v>
      </c>
      <c r="AC608" s="18" t="str">
        <f>_xlfn.XLOOKUP(Customer[[#This Row],[Customer ID]],[1]!Address[ID],[1]!Address[Zone])</f>
        <v>CENTRAL</v>
      </c>
    </row>
    <row r="609" spans="1:29" x14ac:dyDescent="0.3">
      <c r="A609" s="10" t="s">
        <v>4378</v>
      </c>
      <c r="B609" s="11" t="str">
        <f>_xlfn.XLOOKUP(Customer[[#This Row],[Customer ID]],[1]!Name[ID],[1]!Name[Description(1)])</f>
        <v>PESONA SYNERGY</v>
      </c>
      <c r="C609" s="11" t="str">
        <f>_xlfn.XLOOKUP(Customer[[#This Row],[Customer ID]],[1]!Name[ID],[1]!Name[Description(2)])</f>
        <v>PS SALENG</v>
      </c>
      <c r="D609" s="11" t="str">
        <f>_xlfn.XLOOKUP(Customer[[#This Row],[Customer ID]],[1]!Address[ID],[1]!Address[PIC])</f>
        <v/>
      </c>
      <c r="E609" s="11" t="str">
        <f>_xlfn.XLOOKUP(Customer[[#This Row],[Customer ID]],[1]!Address[ID],[1]!Address[Full Address])</f>
        <v>PS SALENGLOT 35579, PEKAN SALENG, JOHOR,81400, SENAI, JOHOR</v>
      </c>
      <c r="F609" s="12" t="s">
        <v>4379</v>
      </c>
      <c r="G609" s="12" t="s">
        <v>4380</v>
      </c>
      <c r="H609" s="12" t="s">
        <v>4381</v>
      </c>
      <c r="I609" s="12" t="b">
        <f>ISNUMBER(VALUE(LEFT(Customer[[#This Row],[Address Line 3 (30 char)]],1)))</f>
        <v>0</v>
      </c>
      <c r="J609" s="12" t="s">
        <v>52</v>
      </c>
      <c r="K609" s="12">
        <v>81400</v>
      </c>
      <c r="L609" s="12" t="s">
        <v>35</v>
      </c>
      <c r="M609" s="13">
        <v>201803166042</v>
      </c>
      <c r="N609" s="14" t="s">
        <v>4382</v>
      </c>
      <c r="O609" s="14" t="s">
        <v>54</v>
      </c>
      <c r="P609" s="14">
        <v>47114</v>
      </c>
      <c r="Q609" s="19" t="s">
        <v>4383</v>
      </c>
      <c r="R609" s="15" t="s">
        <v>4384</v>
      </c>
      <c r="S609" s="15" t="s">
        <v>37</v>
      </c>
      <c r="T609" s="16" t="s">
        <v>38</v>
      </c>
      <c r="U609" s="11" t="str">
        <f>_xlfn.XLOOKUP(Customer[[#This Row],[Customer ID]],[1]!Address[ID],[1]!Address[Phone No.(2)])</f>
        <v/>
      </c>
      <c r="V609" s="11" t="str">
        <f>_xlfn.XLOOKUP(Customer[[#This Row],[Customer ID]],[1]!Address[ID],[1]!Address[Type])</f>
        <v>PETROMART</v>
      </c>
      <c r="W609" s="11" t="str">
        <f>_xlfn.XLOOKUP(Customer[[#This Row],[Customer ID]],[1]!Address[ID],[1]!Address[CT])</f>
        <v>30 DAYS</v>
      </c>
      <c r="X609" s="11" t="s">
        <v>39</v>
      </c>
      <c r="Y609" s="17" t="s">
        <v>40</v>
      </c>
      <c r="Z609" s="17" t="e">
        <f>_xlfn.XLOOKUP(Customer[[#This Row],[NewType]],$AF$36:$AF$54,$AG$36:$AG$54)</f>
        <v>#N/A</v>
      </c>
      <c r="AA609" s="17" t="s">
        <v>4385</v>
      </c>
      <c r="AB609" s="11" t="str">
        <f>_xlfn.XLOOKUP(Customer[[#This Row],[Customer ID]],[1]!Address[ID],[1]!Address[Subtype])</f>
        <v>PETRONAS</v>
      </c>
      <c r="AC609" s="18" t="str">
        <f>_xlfn.XLOOKUP(Customer[[#This Row],[Customer ID]],[1]!Address[ID],[1]!Address[Zone])</f>
        <v>SOUTH</v>
      </c>
    </row>
    <row r="610" spans="1:29" x14ac:dyDescent="0.3">
      <c r="A610" s="10" t="s">
        <v>4386</v>
      </c>
      <c r="B610" s="11" t="str">
        <f>_xlfn.XLOOKUP(Customer[[#This Row],[Customer ID]],[1]!Name[ID],[1]!Name[Description(1)])</f>
        <v>SMART SERVICE STATION</v>
      </c>
      <c r="C610" s="11" t="str">
        <f>_xlfn.XLOOKUP(Customer[[#This Row],[Customer ID]],[1]!Name[ID],[1]!Name[Description(2)])</f>
        <v>PS SAUJANA PUCHONG</v>
      </c>
      <c r="D610" s="11" t="str">
        <f>_xlfn.XLOOKUP(Customer[[#This Row],[Customer ID]],[1]!Address[ID],[1]!Address[PIC])</f>
        <v/>
      </c>
      <c r="E610" s="11" t="str">
        <f>_xlfn.XLOOKUP(Customer[[#This Row],[Customer ID]],[1]!Address[ID],[1]!Address[Full Address])</f>
        <v>PS SAUJANA PUCHONGLOT PT 16928 HSD 61959TAMAN SAUJANA PUCHONG, PUCHONG,47100 PETALING, SELANGOR</v>
      </c>
      <c r="F610" s="12" t="s">
        <v>4387</v>
      </c>
      <c r="G610" s="12" t="s">
        <v>4388</v>
      </c>
      <c r="H610" s="12" t="s">
        <v>4389</v>
      </c>
      <c r="I610" s="12" t="b">
        <f>ISNUMBER(VALUE(LEFT(Customer[[#This Row],[Address Line 3 (30 char)]],1)))</f>
        <v>0</v>
      </c>
      <c r="J610" s="12" t="s">
        <v>172</v>
      </c>
      <c r="K610" s="12">
        <v>47100</v>
      </c>
      <c r="L610" s="12" t="s">
        <v>35</v>
      </c>
      <c r="M610" s="13" t="e">
        <v>#N/A</v>
      </c>
      <c r="N610" s="14" t="e">
        <v>#N/A</v>
      </c>
      <c r="O610" s="14" t="e">
        <v>#N/A</v>
      </c>
      <c r="P610" s="14" t="e">
        <v>#N/A</v>
      </c>
      <c r="Q610" s="19" t="s">
        <v>4390</v>
      </c>
      <c r="R610" s="15" t="s">
        <v>4391</v>
      </c>
      <c r="S610" s="15" t="s">
        <v>37</v>
      </c>
      <c r="T610" s="16" t="s">
        <v>38</v>
      </c>
      <c r="U610" s="11" t="str">
        <f>_xlfn.XLOOKUP(Customer[[#This Row],[Customer ID]],[1]!Address[ID],[1]!Address[Phone No.(2)])</f>
        <v/>
      </c>
      <c r="V610" s="11" t="str">
        <f>_xlfn.XLOOKUP(Customer[[#This Row],[Customer ID]],[1]!Address[ID],[1]!Address[Type])</f>
        <v>PETROMART</v>
      </c>
      <c r="W610" s="11" t="str">
        <f>_xlfn.XLOOKUP(Customer[[#This Row],[Customer ID]],[1]!Address[ID],[1]!Address[CT])</f>
        <v>30 DAYS</v>
      </c>
      <c r="X610" s="11" t="s">
        <v>39</v>
      </c>
      <c r="Y610" s="17" t="s">
        <v>40</v>
      </c>
      <c r="Z610" s="17" t="e">
        <f>_xlfn.XLOOKUP(Customer[[#This Row],[NewType]],$AF$36:$AF$54,$AG$36:$AG$54)</f>
        <v>#N/A</v>
      </c>
      <c r="AA610" s="17" t="s">
        <v>4392</v>
      </c>
      <c r="AB610" s="11" t="str">
        <f>_xlfn.XLOOKUP(Customer[[#This Row],[Customer ID]],[1]!Address[ID],[1]!Address[Subtype])</f>
        <v>PETRONAS</v>
      </c>
      <c r="AC610" s="18" t="str">
        <f>_xlfn.XLOOKUP(Customer[[#This Row],[Customer ID]],[1]!Address[ID],[1]!Address[Zone])</f>
        <v>CENTRAL</v>
      </c>
    </row>
    <row r="611" spans="1:29" x14ac:dyDescent="0.3">
      <c r="A611" s="10" t="s">
        <v>4393</v>
      </c>
      <c r="B611" s="11" t="str">
        <f>_xlfn.XLOOKUP(Customer[[#This Row],[Customer ID]],[1]!Name[ID],[1]!Name[Description(1)])</f>
        <v>NADI IMAN ENTERPRISE</v>
      </c>
      <c r="C611" s="11" t="str">
        <f>_xlfn.XLOOKUP(Customer[[#This Row],[Customer ID]],[1]!Name[ID],[1]!Name[Description(2)])</f>
        <v>PS SEK 2 WANGSA MAJU</v>
      </c>
      <c r="D611" s="11" t="str">
        <f>_xlfn.XLOOKUP(Customer[[#This Row],[Customer ID]],[1]!Address[ID],[1]!Address[PIC])</f>
        <v/>
      </c>
      <c r="E611" s="11" t="str">
        <f>_xlfn.XLOOKUP(Customer[[#This Row],[Customer ID]],[1]!Address[ID],[1]!Address[Full Address])</f>
        <v>PS SEK 2 WANGSA MAJULOT 6318, 6319, 6320, 6323, 6324 &amp; 63252/27-A, WANGSA MAJU, MUKIM SETAPAK,63300, WILAYAH PERSEKUTUAN KUALA LUMPUR</v>
      </c>
      <c r="F611" s="12" t="s">
        <v>4394</v>
      </c>
      <c r="G611" s="12" t="s">
        <v>4395</v>
      </c>
      <c r="H611" s="12" t="s">
        <v>4396</v>
      </c>
      <c r="I611" s="12" t="b">
        <f>ISNUMBER(VALUE(LEFT(Customer[[#This Row],[Address Line 3 (30 char)]],1)))</f>
        <v>0</v>
      </c>
      <c r="J611" s="12" t="s">
        <v>34</v>
      </c>
      <c r="K611" s="12">
        <v>63300</v>
      </c>
      <c r="L611" s="12" t="s">
        <v>35</v>
      </c>
      <c r="M611" s="13" t="e">
        <v>#N/A</v>
      </c>
      <c r="N611" s="14" t="e">
        <v>#N/A</v>
      </c>
      <c r="O611" s="14" t="e">
        <v>#N/A</v>
      </c>
      <c r="P611" s="14" t="e">
        <v>#N/A</v>
      </c>
      <c r="Q611" s="19" t="s">
        <v>4397</v>
      </c>
      <c r="R611" s="15" t="s">
        <v>4398</v>
      </c>
      <c r="S611" s="15" t="s">
        <v>37</v>
      </c>
      <c r="T611" s="16" t="s">
        <v>38</v>
      </c>
      <c r="U611" s="11" t="str">
        <f>_xlfn.XLOOKUP(Customer[[#This Row],[Customer ID]],[1]!Address[ID],[1]!Address[Phone No.(2)])</f>
        <v/>
      </c>
      <c r="V611" s="11" t="str">
        <f>_xlfn.XLOOKUP(Customer[[#This Row],[Customer ID]],[1]!Address[ID],[1]!Address[Type])</f>
        <v>PETROMART</v>
      </c>
      <c r="W611" s="11" t="str">
        <f>_xlfn.XLOOKUP(Customer[[#This Row],[Customer ID]],[1]!Address[ID],[1]!Address[CT])</f>
        <v>30 DAYS</v>
      </c>
      <c r="X611" s="11" t="s">
        <v>39</v>
      </c>
      <c r="Y611" s="17" t="s">
        <v>40</v>
      </c>
      <c r="Z611" s="17" t="e">
        <f>_xlfn.XLOOKUP(Customer[[#This Row],[NewType]],$AF$36:$AF$54,$AG$36:$AG$54)</f>
        <v>#N/A</v>
      </c>
      <c r="AA611" s="17" t="s">
        <v>4399</v>
      </c>
      <c r="AB611" s="11" t="str">
        <f>_xlfn.XLOOKUP(Customer[[#This Row],[Customer ID]],[1]!Address[ID],[1]!Address[Subtype])</f>
        <v>PETRONAS</v>
      </c>
      <c r="AC611" s="18" t="str">
        <f>_xlfn.XLOOKUP(Customer[[#This Row],[Customer ID]],[1]!Address[ID],[1]!Address[Zone])</f>
        <v>CENTRAL</v>
      </c>
    </row>
    <row r="612" spans="1:29" x14ac:dyDescent="0.3">
      <c r="A612" s="10" t="s">
        <v>4400</v>
      </c>
      <c r="B612" s="11" t="str">
        <f>_xlfn.XLOOKUP(Customer[[#This Row],[Customer ID]],[1]!Name[ID],[1]!Name[Description(1)])</f>
        <v>WNZ CAPITAL SDN. BHD</v>
      </c>
      <c r="C612" s="11" t="str">
        <f>_xlfn.XLOOKUP(Customer[[#This Row],[Customer ID]],[1]!Name[ID],[1]!Name[Description(2)])</f>
        <v>PS TAMAN ALAM MEGAH</v>
      </c>
      <c r="D612" s="11" t="str">
        <f>_xlfn.XLOOKUP(Customer[[#This Row],[Customer ID]],[1]!Address[ID],[1]!Address[PIC])</f>
        <v/>
      </c>
      <c r="E612" s="11" t="str">
        <f>_xlfn.XLOOKUP(Customer[[#This Row],[Customer ID]],[1]!Address[ID],[1]!Address[Full Address])</f>
        <v>PS TAMAN ALAM MEGAHLOT PT 5052, JALAN TANAH LIAT,SEKSYEN 28TAMAN ALAM MEGAH, SHAH ALAM40400, PETALING, SELANGOR</v>
      </c>
      <c r="F612" s="12" t="s">
        <v>4401</v>
      </c>
      <c r="G612" s="12" t="s">
        <v>4402</v>
      </c>
      <c r="H612" s="12" t="s">
        <v>4403</v>
      </c>
      <c r="I612" s="12" t="b">
        <f>ISNUMBER(VALUE(LEFT(Customer[[#This Row],[Address Line 3 (30 char)]],1)))</f>
        <v>0</v>
      </c>
      <c r="J612" s="12" t="s">
        <v>172</v>
      </c>
      <c r="K612" s="12">
        <v>40400</v>
      </c>
      <c r="L612" s="12" t="s">
        <v>35</v>
      </c>
      <c r="M612" s="13" t="e">
        <v>#N/A</v>
      </c>
      <c r="N612" s="14" t="e">
        <v>#N/A</v>
      </c>
      <c r="O612" s="14" t="e">
        <v>#N/A</v>
      </c>
      <c r="P612" s="14" t="e">
        <v>#N/A</v>
      </c>
      <c r="Q612" s="19" t="s">
        <v>4404</v>
      </c>
      <c r="R612" s="15" t="s">
        <v>4405</v>
      </c>
      <c r="S612" s="15" t="s">
        <v>37</v>
      </c>
      <c r="T612" s="16" t="s">
        <v>38</v>
      </c>
      <c r="U612" s="11" t="str">
        <f>_xlfn.XLOOKUP(Customer[[#This Row],[Customer ID]],[1]!Address[ID],[1]!Address[Phone No.(2)])</f>
        <v/>
      </c>
      <c r="V612" s="11" t="str">
        <f>_xlfn.XLOOKUP(Customer[[#This Row],[Customer ID]],[1]!Address[ID],[1]!Address[Type])</f>
        <v>PETROMART</v>
      </c>
      <c r="W612" s="11" t="str">
        <f>_xlfn.XLOOKUP(Customer[[#This Row],[Customer ID]],[1]!Address[ID],[1]!Address[CT])</f>
        <v>30 DAYS</v>
      </c>
      <c r="X612" s="11" t="s">
        <v>39</v>
      </c>
      <c r="Y612" s="17" t="s">
        <v>40</v>
      </c>
      <c r="Z612" s="17" t="e">
        <f>_xlfn.XLOOKUP(Customer[[#This Row],[NewType]],$AF$36:$AF$54,$AG$36:$AG$54)</f>
        <v>#N/A</v>
      </c>
      <c r="AA612" s="17" t="s">
        <v>4406</v>
      </c>
      <c r="AB612" s="11" t="str">
        <f>_xlfn.XLOOKUP(Customer[[#This Row],[Customer ID]],[1]!Address[ID],[1]!Address[Subtype])</f>
        <v>PETRONAS</v>
      </c>
      <c r="AC612" s="18" t="str">
        <f>_xlfn.XLOOKUP(Customer[[#This Row],[Customer ID]],[1]!Address[ID],[1]!Address[Zone])</f>
        <v>CENTRAL</v>
      </c>
    </row>
    <row r="613" spans="1:29" x14ac:dyDescent="0.3">
      <c r="A613" s="10" t="s">
        <v>4407</v>
      </c>
      <c r="B613" s="11" t="str">
        <f>_xlfn.XLOOKUP(Customer[[#This Row],[Customer ID]],[1]!Name[ID],[1]!Name[Description(1)])</f>
        <v>SEKINCHAN MULTI IDEA RESOURCES</v>
      </c>
      <c r="C613" s="11" t="str">
        <f>_xlfn.XLOOKUP(Customer[[#This Row],[Customer ID]],[1]!Name[ID],[1]!Name[Description(2)])</f>
        <v>PS SEKINCHAN (CENTRAL 1)</v>
      </c>
      <c r="D613" s="11" t="str">
        <f>_xlfn.XLOOKUP(Customer[[#This Row],[Customer ID]],[1]!Address[ID],[1]!Address[PIC])</f>
        <v>Mohd Zolkefle B</v>
      </c>
      <c r="E613" s="11" t="str">
        <f>_xlfn.XLOOKUP(Customer[[#This Row],[Customer ID]],[1]!Address[ID],[1]!Address[Full Address])</f>
        <v>PS SEKINCHAN (CENTRAL 1)LOT 295, JALAN BESAR, PEKAN SEKINCHAN,45400, SABAK BERNAM, SELANGOR</v>
      </c>
      <c r="F613" s="12" t="s">
        <v>4408</v>
      </c>
      <c r="G613" s="12" t="s">
        <v>4409</v>
      </c>
      <c r="H613" s="12" t="s">
        <v>4410</v>
      </c>
      <c r="I613" s="12" t="b">
        <f>ISNUMBER(VALUE(LEFT(Customer[[#This Row],[Address Line 3 (30 char)]],1)))</f>
        <v>0</v>
      </c>
      <c r="J613" s="12" t="s">
        <v>172</v>
      </c>
      <c r="K613" s="12">
        <v>45400</v>
      </c>
      <c r="L613" s="12" t="s">
        <v>35</v>
      </c>
      <c r="M613" s="13" t="e">
        <v>#N/A</v>
      </c>
      <c r="N613" s="14" t="s">
        <v>4411</v>
      </c>
      <c r="O613" s="14" t="e">
        <v>#N/A</v>
      </c>
      <c r="P613" s="14" t="e">
        <v>#N/A</v>
      </c>
      <c r="Q613" s="19" t="s">
        <v>4412</v>
      </c>
      <c r="R613" s="15" t="s">
        <v>4413</v>
      </c>
      <c r="S613" s="15" t="s">
        <v>37</v>
      </c>
      <c r="T613" s="16" t="s">
        <v>38</v>
      </c>
      <c r="U613" s="11" t="str">
        <f>_xlfn.XLOOKUP(Customer[[#This Row],[Customer ID]],[1]!Address[ID],[1]!Address[Phone No.(2)])</f>
        <v/>
      </c>
      <c r="V613" s="11" t="str">
        <f>_xlfn.XLOOKUP(Customer[[#This Row],[Customer ID]],[1]!Address[ID],[1]!Address[Type])</f>
        <v>PETROMART</v>
      </c>
      <c r="W613" s="11" t="str">
        <f>_xlfn.XLOOKUP(Customer[[#This Row],[Customer ID]],[1]!Address[ID],[1]!Address[CT])</f>
        <v>30 DAYS</v>
      </c>
      <c r="X613" s="11" t="s">
        <v>39</v>
      </c>
      <c r="Y613" s="17" t="s">
        <v>40</v>
      </c>
      <c r="Z613" s="17" t="e">
        <f>_xlfn.XLOOKUP(Customer[[#This Row],[NewType]],$AF$36:$AF$54,$AG$36:$AG$54)</f>
        <v>#N/A</v>
      </c>
      <c r="AA613" s="17" t="s">
        <v>4414</v>
      </c>
      <c r="AB613" s="11" t="str">
        <f>_xlfn.XLOOKUP(Customer[[#This Row],[Customer ID]],[1]!Address[ID],[1]!Address[Subtype])</f>
        <v>PETRONAS</v>
      </c>
      <c r="AC613" s="18" t="str">
        <f>_xlfn.XLOOKUP(Customer[[#This Row],[Customer ID]],[1]!Address[ID],[1]!Address[Zone])</f>
        <v>CENTRAL</v>
      </c>
    </row>
    <row r="614" spans="1:29" x14ac:dyDescent="0.3">
      <c r="A614" s="10" t="s">
        <v>4415</v>
      </c>
      <c r="B614" s="11" t="str">
        <f>_xlfn.XLOOKUP(Customer[[#This Row],[Customer ID]],[1]!Name[ID],[1]!Name[Description(1)])</f>
        <v>CITIONE CONVENIENCE STORE</v>
      </c>
      <c r="C614" s="11" t="str">
        <f>_xlfn.XLOOKUP(Customer[[#This Row],[Customer ID]],[1]!Name[ID],[1]!Name[Description(2)])</f>
        <v>PS SEKSYEN 15 BANDAR BARU BANGI</v>
      </c>
      <c r="D614" s="11" t="str">
        <f>_xlfn.XLOOKUP(Customer[[#This Row],[Customer ID]],[1]!Address[ID],[1]!Address[PIC])</f>
        <v/>
      </c>
      <c r="E614" s="11" t="str">
        <f>_xlfn.XLOOKUP(Customer[[#This Row],[Customer ID]],[1]!Address[ID],[1]!Address[Full Address])</f>
        <v>PS SEKSYEN 15 BANDAR BARU BANGISEKSYEN 15 BANDAR BARU BANGI,43000, ULU LANGAT, SELANGOR</v>
      </c>
      <c r="F614" s="12"/>
      <c r="G614" s="12" t="s">
        <v>4416</v>
      </c>
      <c r="H614" s="24" t="s">
        <v>862</v>
      </c>
      <c r="I614" s="24" t="b">
        <f>ISNUMBER(VALUE(LEFT(Customer[[#This Row],[Address Line 3 (30 char)]],1)))</f>
        <v>0</v>
      </c>
      <c r="J614" s="12" t="s">
        <v>172</v>
      </c>
      <c r="K614" s="12">
        <v>43000</v>
      </c>
      <c r="L614" s="12" t="s">
        <v>35</v>
      </c>
      <c r="M614" s="13" t="e">
        <v>#N/A</v>
      </c>
      <c r="N614" s="14" t="e">
        <v>#N/A</v>
      </c>
      <c r="O614" s="14" t="e">
        <v>#N/A</v>
      </c>
      <c r="P614" s="14" t="e">
        <v>#N/A</v>
      </c>
      <c r="Q614" s="19" t="s">
        <v>4417</v>
      </c>
      <c r="R614" s="15" t="s">
        <v>4418</v>
      </c>
      <c r="S614" s="15" t="s">
        <v>37</v>
      </c>
      <c r="T614" s="16" t="s">
        <v>38</v>
      </c>
      <c r="U614" s="11" t="str">
        <f>_xlfn.XLOOKUP(Customer[[#This Row],[Customer ID]],[1]!Address[ID],[1]!Address[Phone No.(2)])</f>
        <v/>
      </c>
      <c r="V614" s="11" t="str">
        <f>_xlfn.XLOOKUP(Customer[[#This Row],[Customer ID]],[1]!Address[ID],[1]!Address[Type])</f>
        <v>PETROMART</v>
      </c>
      <c r="W614" s="11" t="str">
        <f>_xlfn.XLOOKUP(Customer[[#This Row],[Customer ID]],[1]!Address[ID],[1]!Address[CT])</f>
        <v>30 DAYS</v>
      </c>
      <c r="X614" s="11" t="s">
        <v>39</v>
      </c>
      <c r="Y614" s="17" t="s">
        <v>40</v>
      </c>
      <c r="Z614" s="17" t="e">
        <f>_xlfn.XLOOKUP(Customer[[#This Row],[NewType]],$AF$36:$AF$54,$AG$36:$AG$54)</f>
        <v>#N/A</v>
      </c>
      <c r="AA614" s="17" t="s">
        <v>4419</v>
      </c>
      <c r="AB614" s="11" t="str">
        <f>_xlfn.XLOOKUP(Customer[[#This Row],[Customer ID]],[1]!Address[ID],[1]!Address[Subtype])</f>
        <v>PETRONAS</v>
      </c>
      <c r="AC614" s="18" t="str">
        <f>_xlfn.XLOOKUP(Customer[[#This Row],[Customer ID]],[1]!Address[ID],[1]!Address[Zone])</f>
        <v>CENTRAL</v>
      </c>
    </row>
    <row r="615" spans="1:29" x14ac:dyDescent="0.3">
      <c r="A615" s="10" t="s">
        <v>4420</v>
      </c>
      <c r="B615" s="11" t="str">
        <f>_xlfn.XLOOKUP(Customer[[#This Row],[Customer ID]],[1]!Name[ID],[1]!Name[Description(1)])</f>
        <v>FIZZILI SERVICES</v>
      </c>
      <c r="C615" s="11" t="str">
        <f>_xlfn.XLOOKUP(Customer[[#This Row],[Customer ID]],[1]!Name[ID],[1]!Name[Description(2)])</f>
        <v>PS SEKSYEN 15 SHAH ALAM</v>
      </c>
      <c r="D615" s="11" t="str">
        <f>_xlfn.XLOOKUP(Customer[[#This Row],[Customer ID]],[1]!Address[ID],[1]!Address[PIC])</f>
        <v>FARIDAH BINTI D</v>
      </c>
      <c r="E615" s="11" t="str">
        <f>_xlfn.XLOOKUP(Customer[[#This Row],[Customer ID]],[1]!Address[ID],[1]!Address[Full Address])</f>
        <v>PS SEKSYEN 15 SHAH ALAMLOT PT 812 HS(D) 240429, SEKSYEN 15,PERSIARAN SELANGOR, SHAH ALAM,40200, PETALING, SELANGOR</v>
      </c>
      <c r="F615" s="12" t="s">
        <v>4421</v>
      </c>
      <c r="G615" s="12" t="s">
        <v>4422</v>
      </c>
      <c r="H615" s="12" t="s">
        <v>4423</v>
      </c>
      <c r="I615" s="12" t="b">
        <f>ISNUMBER(VALUE(LEFT(Customer[[#This Row],[Address Line 3 (30 char)]],1)))</f>
        <v>0</v>
      </c>
      <c r="J615" s="12" t="s">
        <v>172</v>
      </c>
      <c r="K615" s="12">
        <v>40200</v>
      </c>
      <c r="L615" s="12" t="s">
        <v>35</v>
      </c>
      <c r="M615" s="13" t="e">
        <v>#N/A</v>
      </c>
      <c r="N615" s="14" t="s">
        <v>4424</v>
      </c>
      <c r="O615" s="14" t="e">
        <v>#N/A</v>
      </c>
      <c r="P615" s="14" t="e">
        <v>#N/A</v>
      </c>
      <c r="Q615" s="19" t="s">
        <v>4425</v>
      </c>
      <c r="R615" s="15" t="s">
        <v>4426</v>
      </c>
      <c r="S615" s="15" t="s">
        <v>37</v>
      </c>
      <c r="T615" s="16" t="s">
        <v>38</v>
      </c>
      <c r="U615" s="11" t="str">
        <f>_xlfn.XLOOKUP(Customer[[#This Row],[Customer ID]],[1]!Address[ID],[1]!Address[Phone No.(2)])</f>
        <v/>
      </c>
      <c r="V615" s="11" t="str">
        <f>_xlfn.XLOOKUP(Customer[[#This Row],[Customer ID]],[1]!Address[ID],[1]!Address[Type])</f>
        <v>PETROMART</v>
      </c>
      <c r="W615" s="11" t="str">
        <f>_xlfn.XLOOKUP(Customer[[#This Row],[Customer ID]],[1]!Address[ID],[1]!Address[CT])</f>
        <v>30 DAYS</v>
      </c>
      <c r="X615" s="11" t="s">
        <v>39</v>
      </c>
      <c r="Y615" s="17" t="s">
        <v>40</v>
      </c>
      <c r="Z615" s="17" t="e">
        <f>_xlfn.XLOOKUP(Customer[[#This Row],[NewType]],$AF$36:$AF$54,$AG$36:$AG$54)</f>
        <v>#N/A</v>
      </c>
      <c r="AA615" s="17" t="s">
        <v>4427</v>
      </c>
      <c r="AB615" s="11" t="str">
        <f>_xlfn.XLOOKUP(Customer[[#This Row],[Customer ID]],[1]!Address[ID],[1]!Address[Subtype])</f>
        <v>PETRONAS</v>
      </c>
      <c r="AC615" s="18" t="str">
        <f>_xlfn.XLOOKUP(Customer[[#This Row],[Customer ID]],[1]!Address[ID],[1]!Address[Zone])</f>
        <v>CENTRAL</v>
      </c>
    </row>
    <row r="616" spans="1:29" x14ac:dyDescent="0.3">
      <c r="A616" s="10" t="s">
        <v>4428</v>
      </c>
      <c r="B616" s="11" t="str">
        <f>_xlfn.XLOOKUP(Customer[[#This Row],[Customer ID]],[1]!Name[ID],[1]!Name[Description(1)])</f>
        <v>WANIMAS ENTERPRISE</v>
      </c>
      <c r="C616" s="11" t="str">
        <f>_xlfn.XLOOKUP(Customer[[#This Row],[Customer ID]],[1]!Name[ID],[1]!Name[Description(2)])</f>
        <v>PS SEKSYEN 16 BANGI</v>
      </c>
      <c r="D616" s="11" t="str">
        <f>_xlfn.XLOOKUP(Customer[[#This Row],[Customer ID]],[1]!Address[ID],[1]!Address[PIC])</f>
        <v/>
      </c>
      <c r="E616" s="11" t="str">
        <f>_xlfn.XLOOKUP(Customer[[#This Row],[Customer ID]],[1]!Address[ID],[1]!Address[Full Address])</f>
        <v>PS SEKSYEN 16 BANGILOT PT 71313 HSD 140427, SEKSYEN 16,BANDAR BARU BANGI,43100 ULU LANGAT, SELANGOR</v>
      </c>
      <c r="F616" s="12" t="s">
        <v>4429</v>
      </c>
      <c r="G616" s="12" t="s">
        <v>4430</v>
      </c>
      <c r="H616" s="12" t="s">
        <v>4431</v>
      </c>
      <c r="I616" s="12" t="b">
        <f>ISNUMBER(VALUE(LEFT(Customer[[#This Row],[Address Line 3 (30 char)]],1)))</f>
        <v>0</v>
      </c>
      <c r="J616" s="12" t="s">
        <v>172</v>
      </c>
      <c r="K616" s="12">
        <v>43100</v>
      </c>
      <c r="L616" s="12" t="s">
        <v>35</v>
      </c>
      <c r="M616" s="13">
        <v>200903192013</v>
      </c>
      <c r="N616" s="14" t="s">
        <v>4432</v>
      </c>
      <c r="O616" s="14" t="e">
        <v>#N/A</v>
      </c>
      <c r="P616" s="14" t="e">
        <v>#N/A</v>
      </c>
      <c r="Q616" s="19" t="s">
        <v>4433</v>
      </c>
      <c r="R616" s="15" t="s">
        <v>4434</v>
      </c>
      <c r="S616" s="15" t="s">
        <v>37</v>
      </c>
      <c r="T616" s="16" t="s">
        <v>38</v>
      </c>
      <c r="U616" s="11" t="str">
        <f>_xlfn.XLOOKUP(Customer[[#This Row],[Customer ID]],[1]!Address[ID],[1]!Address[Phone No.(2)])</f>
        <v/>
      </c>
      <c r="V616" s="11" t="str">
        <f>_xlfn.XLOOKUP(Customer[[#This Row],[Customer ID]],[1]!Address[ID],[1]!Address[Type])</f>
        <v>PETROMART</v>
      </c>
      <c r="W616" s="11" t="str">
        <f>_xlfn.XLOOKUP(Customer[[#This Row],[Customer ID]],[1]!Address[ID],[1]!Address[CT])</f>
        <v>30 DAYS</v>
      </c>
      <c r="X616" s="11" t="s">
        <v>39</v>
      </c>
      <c r="Y616" s="17" t="s">
        <v>40</v>
      </c>
      <c r="Z616" s="17" t="e">
        <f>_xlfn.XLOOKUP(Customer[[#This Row],[NewType]],$AF$36:$AF$54,$AG$36:$AG$54)</f>
        <v>#N/A</v>
      </c>
      <c r="AA616" s="17" t="s">
        <v>4435</v>
      </c>
      <c r="AB616" s="11" t="str">
        <f>_xlfn.XLOOKUP(Customer[[#This Row],[Customer ID]],[1]!Address[ID],[1]!Address[Subtype])</f>
        <v>PETRONAS</v>
      </c>
      <c r="AC616" s="18" t="str">
        <f>_xlfn.XLOOKUP(Customer[[#This Row],[Customer ID]],[1]!Address[ID],[1]!Address[Zone])</f>
        <v>CENTRAL</v>
      </c>
    </row>
    <row r="617" spans="1:29" x14ac:dyDescent="0.3">
      <c r="A617" s="10" t="s">
        <v>4436</v>
      </c>
      <c r="B617" s="11" t="str">
        <f>_xlfn.XLOOKUP(Customer[[#This Row],[Customer ID]],[1]!Name[ID],[1]!Name[Description(1)])</f>
        <v>FS HERITAGE ENTERPRISE</v>
      </c>
      <c r="C617" s="11" t="str">
        <f>_xlfn.XLOOKUP(Customer[[#This Row],[Customer ID]],[1]!Name[ID],[1]!Name[Description(2)])</f>
        <v>PS SEKSYEN 17 SUBANG JAYA</v>
      </c>
      <c r="D617" s="11" t="str">
        <f>_xlfn.XLOOKUP(Customer[[#This Row],[Customer ID]],[1]!Address[ID],[1]!Address[PIC])</f>
        <v/>
      </c>
      <c r="E617" s="11" t="str">
        <f>_xlfn.XLOOKUP(Customer[[#This Row],[Customer ID]],[1]!Address[ID],[1]!Address[Full Address])</f>
        <v>PS SEKSYEN 17 SUBANG JAYASLOT 7380 &amp; 7381, JALAN SS 17/2,SUBANG JAYA,47500 PETALING, SELANGOR</v>
      </c>
      <c r="F617" s="12" t="s">
        <v>4437</v>
      </c>
      <c r="G617" s="12" t="s">
        <v>4438</v>
      </c>
      <c r="H617" s="12" t="s">
        <v>4439</v>
      </c>
      <c r="I617" s="12" t="b">
        <f>ISNUMBER(VALUE(LEFT(Customer[[#This Row],[Address Line 3 (30 char)]],1)))</f>
        <v>0</v>
      </c>
      <c r="J617" s="12" t="s">
        <v>172</v>
      </c>
      <c r="K617" s="12">
        <v>47500</v>
      </c>
      <c r="L617" s="12" t="s">
        <v>35</v>
      </c>
      <c r="M617" s="13">
        <v>200703015931</v>
      </c>
      <c r="N617" s="14" t="s">
        <v>4440</v>
      </c>
      <c r="O617" s="14" t="s">
        <v>54</v>
      </c>
      <c r="P617" s="14">
        <v>47300</v>
      </c>
      <c r="Q617" s="19" t="s">
        <v>4441</v>
      </c>
      <c r="R617" s="15" t="s">
        <v>4442</v>
      </c>
      <c r="S617" s="15" t="s">
        <v>37</v>
      </c>
      <c r="T617" s="16" t="s">
        <v>38</v>
      </c>
      <c r="U617" s="11" t="str">
        <f>_xlfn.XLOOKUP(Customer[[#This Row],[Customer ID]],[1]!Address[ID],[1]!Address[Phone No.(2)])</f>
        <v/>
      </c>
      <c r="V617" s="11" t="str">
        <f>_xlfn.XLOOKUP(Customer[[#This Row],[Customer ID]],[1]!Address[ID],[1]!Address[Type])</f>
        <v>PETROMART</v>
      </c>
      <c r="W617" s="11" t="str">
        <f>_xlfn.XLOOKUP(Customer[[#This Row],[Customer ID]],[1]!Address[ID],[1]!Address[CT])</f>
        <v>30 DAYS</v>
      </c>
      <c r="X617" s="11" t="s">
        <v>39</v>
      </c>
      <c r="Y617" s="17" t="s">
        <v>40</v>
      </c>
      <c r="Z617" s="17" t="e">
        <f>_xlfn.XLOOKUP(Customer[[#This Row],[NewType]],$AF$36:$AF$54,$AG$36:$AG$54)</f>
        <v>#N/A</v>
      </c>
      <c r="AA617" s="17" t="s">
        <v>4443</v>
      </c>
      <c r="AB617" s="11" t="str">
        <f>_xlfn.XLOOKUP(Customer[[#This Row],[Customer ID]],[1]!Address[ID],[1]!Address[Subtype])</f>
        <v>PETRONAS</v>
      </c>
      <c r="AC617" s="18" t="str">
        <f>_xlfn.XLOOKUP(Customer[[#This Row],[Customer ID]],[1]!Address[ID],[1]!Address[Zone])</f>
        <v>CENTRAL</v>
      </c>
    </row>
    <row r="618" spans="1:29" x14ac:dyDescent="0.3">
      <c r="A618" s="10" t="s">
        <v>4444</v>
      </c>
      <c r="B618" s="11" t="str">
        <f>_xlfn.XLOOKUP(Customer[[#This Row],[Customer ID]],[1]!Name[ID],[1]!Name[Description(1)])</f>
        <v>HANZ BIZ SERVICES</v>
      </c>
      <c r="C618" s="11" t="str">
        <f>_xlfn.XLOOKUP(Customer[[#This Row],[Customer ID]],[1]!Name[ID],[1]!Name[Description(2)])</f>
        <v>PS SEKSYEN 18 , SHAH ALAM</v>
      </c>
      <c r="D618" s="11" t="str">
        <f>_xlfn.XLOOKUP(Customer[[#This Row],[Customer ID]],[1]!Address[ID],[1]!Address[PIC])</f>
        <v>Azrul</v>
      </c>
      <c r="E618" s="11" t="str">
        <f>_xlfn.XLOOKUP(Customer[[#This Row],[Customer ID]],[1]!Address[ID],[1]!Address[Full Address])</f>
        <v>PS SEKSYEN 18 , SHAH ALAMLOT PT 115, JALAN PINANG 18/A,PERSIARAN JUBLI PERAK, SEKSYEN 18,SHAH ALAM,40200, PETALING, SELANGOR</v>
      </c>
      <c r="F618" s="12" t="s">
        <v>4445</v>
      </c>
      <c r="G618" s="12" t="s">
        <v>4446</v>
      </c>
      <c r="H618" s="24" t="s">
        <v>1603</v>
      </c>
      <c r="I618" s="24" t="b">
        <f>ISNUMBER(VALUE(LEFT(Customer[[#This Row],[Address Line 3 (30 char)]],1)))</f>
        <v>0</v>
      </c>
      <c r="J618" s="12" t="s">
        <v>172</v>
      </c>
      <c r="K618" s="12">
        <v>40200</v>
      </c>
      <c r="L618" s="12" t="s">
        <v>35</v>
      </c>
      <c r="M618" s="13">
        <v>201203049241</v>
      </c>
      <c r="N618" s="14" t="s">
        <v>4447</v>
      </c>
      <c r="O618" s="14" t="e">
        <v>#N/A</v>
      </c>
      <c r="P618" s="14" t="e">
        <v>#N/A</v>
      </c>
      <c r="Q618" s="19" t="s">
        <v>4448</v>
      </c>
      <c r="R618" s="15" t="s">
        <v>4449</v>
      </c>
      <c r="S618" s="15" t="s">
        <v>37</v>
      </c>
      <c r="T618" s="16" t="s">
        <v>38</v>
      </c>
      <c r="U618" s="11" t="str">
        <f>_xlfn.XLOOKUP(Customer[[#This Row],[Customer ID]],[1]!Address[ID],[1]!Address[Phone No.(2)])</f>
        <v/>
      </c>
      <c r="V618" s="11" t="str">
        <f>_xlfn.XLOOKUP(Customer[[#This Row],[Customer ID]],[1]!Address[ID],[1]!Address[Type])</f>
        <v>PETROMART</v>
      </c>
      <c r="W618" s="11" t="str">
        <f>_xlfn.XLOOKUP(Customer[[#This Row],[Customer ID]],[1]!Address[ID],[1]!Address[CT])</f>
        <v>30 DAYS</v>
      </c>
      <c r="X618" s="11" t="s">
        <v>39</v>
      </c>
      <c r="Y618" s="17" t="s">
        <v>40</v>
      </c>
      <c r="Z618" s="17" t="e">
        <f>_xlfn.XLOOKUP(Customer[[#This Row],[NewType]],$AF$36:$AF$54,$AG$36:$AG$54)</f>
        <v>#N/A</v>
      </c>
      <c r="AA618" s="17" t="s">
        <v>4450</v>
      </c>
      <c r="AB618" s="11" t="str">
        <f>_xlfn.XLOOKUP(Customer[[#This Row],[Customer ID]],[1]!Address[ID],[1]!Address[Subtype])</f>
        <v>PETRONAS</v>
      </c>
      <c r="AC618" s="18" t="str">
        <f>_xlfn.XLOOKUP(Customer[[#This Row],[Customer ID]],[1]!Address[ID],[1]!Address[Zone])</f>
        <v>CENTRAL</v>
      </c>
    </row>
    <row r="619" spans="1:29" x14ac:dyDescent="0.3">
      <c r="A619" s="10" t="s">
        <v>4451</v>
      </c>
      <c r="B619" s="11" t="str">
        <f>_xlfn.XLOOKUP(Customer[[#This Row],[Customer ID]],[1]!Name[ID],[1]!Name[Description(1)])</f>
        <v>NUR HIJRAH SUTERA SDN. BHD.</v>
      </c>
      <c r="C619" s="11" t="str">
        <f>_xlfn.XLOOKUP(Customer[[#This Row],[Customer ID]],[1]!Name[ID],[1]!Name[Description(2)])</f>
        <v>PS SEKSYEN 20, SHAH ALAM</v>
      </c>
      <c r="D619" s="11" t="str">
        <f>_xlfn.XLOOKUP(Customer[[#This Row],[Customer ID]],[1]!Address[ID],[1]!Address[PIC])</f>
        <v/>
      </c>
      <c r="E619" s="11" t="str">
        <f>_xlfn.XLOOKUP(Customer[[#This Row],[Customer ID]],[1]!Address[ID],[1]!Address[Full Address])</f>
        <v>PS SEKSYEN 20, SHAH ALAMLOT NO. 2, JALAN 20/1, SEKSYEN 20,40300 SHAH ALAM, SELANGOR</v>
      </c>
      <c r="F619" s="12" t="s">
        <v>2630</v>
      </c>
      <c r="G619" s="12" t="s">
        <v>4452</v>
      </c>
      <c r="H619" s="12" t="s">
        <v>2668</v>
      </c>
      <c r="I619" s="12" t="b">
        <f>ISNUMBER(VALUE(LEFT(Customer[[#This Row],[Address Line 3 (30 char)]],1)))</f>
        <v>0</v>
      </c>
      <c r="J619" s="12" t="s">
        <v>172</v>
      </c>
      <c r="K619" s="12">
        <v>40300</v>
      </c>
      <c r="L619" s="12" t="s">
        <v>35</v>
      </c>
      <c r="M619" s="13" t="e">
        <v>#N/A</v>
      </c>
      <c r="N619" s="14" t="e">
        <v>#N/A</v>
      </c>
      <c r="O619" s="14" t="e">
        <v>#N/A</v>
      </c>
      <c r="P619" s="14" t="e">
        <v>#N/A</v>
      </c>
      <c r="Q619" s="19" t="s">
        <v>4453</v>
      </c>
      <c r="R619" s="15" t="s">
        <v>4454</v>
      </c>
      <c r="S619" s="15" t="s">
        <v>37</v>
      </c>
      <c r="T619" s="16" t="s">
        <v>38</v>
      </c>
      <c r="U619" s="11" t="str">
        <f>_xlfn.XLOOKUP(Customer[[#This Row],[Customer ID]],[1]!Address[ID],[1]!Address[Phone No.(2)])</f>
        <v/>
      </c>
      <c r="V619" s="11" t="str">
        <f>_xlfn.XLOOKUP(Customer[[#This Row],[Customer ID]],[1]!Address[ID],[1]!Address[Type])</f>
        <v>PETROMART</v>
      </c>
      <c r="W619" s="11" t="str">
        <f>_xlfn.XLOOKUP(Customer[[#This Row],[Customer ID]],[1]!Address[ID],[1]!Address[CT])</f>
        <v>30 DAYS</v>
      </c>
      <c r="X619" s="11" t="s">
        <v>39</v>
      </c>
      <c r="Y619" s="17" t="s">
        <v>40</v>
      </c>
      <c r="Z619" s="17" t="e">
        <f>_xlfn.XLOOKUP(Customer[[#This Row],[NewType]],$AF$36:$AF$54,$AG$36:$AG$54)</f>
        <v>#N/A</v>
      </c>
      <c r="AA619" s="17" t="s">
        <v>4455</v>
      </c>
      <c r="AB619" s="11" t="str">
        <f>_xlfn.XLOOKUP(Customer[[#This Row],[Customer ID]],[1]!Address[ID],[1]!Address[Subtype])</f>
        <v>PETRONAS</v>
      </c>
      <c r="AC619" s="18" t="str">
        <f>_xlfn.XLOOKUP(Customer[[#This Row],[Customer ID]],[1]!Address[ID],[1]!Address[Zone])</f>
        <v>CENTRAL</v>
      </c>
    </row>
    <row r="620" spans="1:29" x14ac:dyDescent="0.3">
      <c r="A620" s="10" t="s">
        <v>4456</v>
      </c>
      <c r="B620" s="11" t="str">
        <f>_xlfn.XLOOKUP(Customer[[#This Row],[Customer ID]],[1]!Name[ID],[1]!Name[Description(1)])</f>
        <v>UMIZ SERVICE STATION</v>
      </c>
      <c r="C620" s="11" t="str">
        <f>_xlfn.XLOOKUP(Customer[[#This Row],[Customer ID]],[1]!Name[ID],[1]!Name[Description(2)])</f>
        <v>PS SEKSYEN 22, SHAH ALAM</v>
      </c>
      <c r="D620" s="11" t="str">
        <f>_xlfn.XLOOKUP(Customer[[#This Row],[Customer ID]],[1]!Address[ID],[1]!Address[PIC])</f>
        <v/>
      </c>
      <c r="E620" s="11" t="str">
        <f>_xlfn.XLOOKUP(Customer[[#This Row],[Customer ID]],[1]!Address[ID],[1]!Address[Full Address])</f>
        <v>PS SEKSYEN 22, SHAH ALAMLOT 52548, 52549 &amp; 52550, SECTION 22SHAH ALAM, MUKIM DAMANSARA,40300 PETALING, SELANGOR</v>
      </c>
      <c r="F620" s="12" t="s">
        <v>4457</v>
      </c>
      <c r="G620" s="12" t="s">
        <v>4458</v>
      </c>
      <c r="H620" s="12" t="s">
        <v>3591</v>
      </c>
      <c r="I620" s="12" t="b">
        <f>ISNUMBER(VALUE(LEFT(Customer[[#This Row],[Address Line 3 (30 char)]],1)))</f>
        <v>0</v>
      </c>
      <c r="J620" s="12" t="s">
        <v>172</v>
      </c>
      <c r="K620" s="12">
        <v>40300</v>
      </c>
      <c r="L620" s="12" t="s">
        <v>35</v>
      </c>
      <c r="M620" s="13" t="s">
        <v>4459</v>
      </c>
      <c r="N620" s="14" t="s">
        <v>4460</v>
      </c>
      <c r="O620" s="14" t="s">
        <v>54</v>
      </c>
      <c r="P620" s="14">
        <v>47300</v>
      </c>
      <c r="Q620" s="19" t="s">
        <v>4461</v>
      </c>
      <c r="R620" s="15" t="s">
        <v>4462</v>
      </c>
      <c r="S620" s="15" t="s">
        <v>37</v>
      </c>
      <c r="T620" s="16" t="s">
        <v>38</v>
      </c>
      <c r="U620" s="11" t="str">
        <f>_xlfn.XLOOKUP(Customer[[#This Row],[Customer ID]],[1]!Address[ID],[1]!Address[Phone No.(2)])</f>
        <v/>
      </c>
      <c r="V620" s="11" t="str">
        <f>_xlfn.XLOOKUP(Customer[[#This Row],[Customer ID]],[1]!Address[ID],[1]!Address[Type])</f>
        <v>PETROMART</v>
      </c>
      <c r="W620" s="11" t="str">
        <f>_xlfn.XLOOKUP(Customer[[#This Row],[Customer ID]],[1]!Address[ID],[1]!Address[CT])</f>
        <v>30 DAYS</v>
      </c>
      <c r="X620" s="11" t="s">
        <v>39</v>
      </c>
      <c r="Y620" s="17" t="s">
        <v>40</v>
      </c>
      <c r="Z620" s="17" t="e">
        <f>_xlfn.XLOOKUP(Customer[[#This Row],[NewType]],$AF$36:$AF$54,$AG$36:$AG$54)</f>
        <v>#N/A</v>
      </c>
      <c r="AA620" s="17" t="s">
        <v>4463</v>
      </c>
      <c r="AB620" s="11" t="str">
        <f>_xlfn.XLOOKUP(Customer[[#This Row],[Customer ID]],[1]!Address[ID],[1]!Address[Subtype])</f>
        <v>PETRONAS</v>
      </c>
      <c r="AC620" s="18" t="str">
        <f>_xlfn.XLOOKUP(Customer[[#This Row],[Customer ID]],[1]!Address[ID],[1]!Address[Zone])</f>
        <v>CENTRAL</v>
      </c>
    </row>
    <row r="621" spans="1:29" x14ac:dyDescent="0.3">
      <c r="A621" s="10" t="s">
        <v>4464</v>
      </c>
      <c r="B621" s="11" t="str">
        <f>_xlfn.XLOOKUP(Customer[[#This Row],[Customer ID]],[1]!Name[ID],[1]!Name[Description(1)])</f>
        <v>ZD PETRO SERVICES</v>
      </c>
      <c r="C621" s="11" t="str">
        <f>_xlfn.XLOOKUP(Customer[[#This Row],[Customer ID]],[1]!Name[ID],[1]!Name[Description(2)])</f>
        <v>PS SEKSYEN 26, SHAH ALAM</v>
      </c>
      <c r="D621" s="11" t="str">
        <f>_xlfn.XLOOKUP(Customer[[#This Row],[Customer ID]],[1]!Address[ID],[1]!Address[PIC])</f>
        <v/>
      </c>
      <c r="E621" s="11" t="str">
        <f>_xlfn.XLOOKUP(Customer[[#This Row],[Customer ID]],[1]!Address[ID],[1]!Address[Full Address])</f>
        <v>PS SEKSYEN 26, SHAH ALAMLOT 73, JALAN IJUK 26/5, SEKSYEN 26,SHAH ALAM, 40400, PETALING, SELANGOR</v>
      </c>
      <c r="F621" s="12" t="s">
        <v>4465</v>
      </c>
      <c r="G621" s="12" t="s">
        <v>4466</v>
      </c>
      <c r="H621" s="12" t="s">
        <v>1603</v>
      </c>
      <c r="I621" s="12" t="b">
        <f>ISNUMBER(VALUE(LEFT(Customer[[#This Row],[Address Line 3 (30 char)]],1)))</f>
        <v>0</v>
      </c>
      <c r="J621" s="12" t="s">
        <v>172</v>
      </c>
      <c r="K621" s="12">
        <v>40400</v>
      </c>
      <c r="L621" s="12" t="s">
        <v>35</v>
      </c>
      <c r="M621" s="13" t="e">
        <v>#N/A</v>
      </c>
      <c r="N621" s="14" t="e">
        <v>#N/A</v>
      </c>
      <c r="O621" s="14" t="e">
        <v>#N/A</v>
      </c>
      <c r="P621" s="14" t="e">
        <v>#N/A</v>
      </c>
      <c r="Q621" s="19" t="s">
        <v>4467</v>
      </c>
      <c r="R621" s="15" t="s">
        <v>4468</v>
      </c>
      <c r="S621" s="15" t="s">
        <v>37</v>
      </c>
      <c r="T621" s="16" t="s">
        <v>38</v>
      </c>
      <c r="U621" s="11" t="str">
        <f>_xlfn.XLOOKUP(Customer[[#This Row],[Customer ID]],[1]!Address[ID],[1]!Address[Phone No.(2)])</f>
        <v/>
      </c>
      <c r="V621" s="11" t="str">
        <f>_xlfn.XLOOKUP(Customer[[#This Row],[Customer ID]],[1]!Address[ID],[1]!Address[Type])</f>
        <v>PETROMART</v>
      </c>
      <c r="W621" s="11" t="str">
        <f>_xlfn.XLOOKUP(Customer[[#This Row],[Customer ID]],[1]!Address[ID],[1]!Address[CT])</f>
        <v>30 DAYS</v>
      </c>
      <c r="X621" s="11" t="s">
        <v>39</v>
      </c>
      <c r="Y621" s="17" t="s">
        <v>40</v>
      </c>
      <c r="Z621" s="17" t="e">
        <f>_xlfn.XLOOKUP(Customer[[#This Row],[NewType]],$AF$36:$AF$54,$AG$36:$AG$54)</f>
        <v>#N/A</v>
      </c>
      <c r="AA621" s="17" t="s">
        <v>4469</v>
      </c>
      <c r="AB621" s="11" t="str">
        <f>_xlfn.XLOOKUP(Customer[[#This Row],[Customer ID]],[1]!Address[ID],[1]!Address[Subtype])</f>
        <v>PETRONAS</v>
      </c>
      <c r="AC621" s="18" t="str">
        <f>_xlfn.XLOOKUP(Customer[[#This Row],[Customer ID]],[1]!Address[ID],[1]!Address[Zone])</f>
        <v>CENTRAL</v>
      </c>
    </row>
    <row r="622" spans="1:29" x14ac:dyDescent="0.3">
      <c r="A622" s="10" t="s">
        <v>4470</v>
      </c>
      <c r="B622" s="11" t="str">
        <f>_xlfn.XLOOKUP(Customer[[#This Row],[Customer ID]],[1]!Name[ID],[1]!Name[Description(1)])</f>
        <v>PERMATA MAJU SDN. BHD.</v>
      </c>
      <c r="C622" s="11" t="str">
        <f>_xlfn.XLOOKUP(Customer[[#This Row],[Customer ID]],[1]!Name[ID],[1]!Name[Description(2)])</f>
        <v>PS SEKSYEN 27 SHAH ALAM-HICOM</v>
      </c>
      <c r="D622" s="11" t="str">
        <f>_xlfn.XLOOKUP(Customer[[#This Row],[Customer ID]],[1]!Address[ID],[1]!Address[PIC])</f>
        <v/>
      </c>
      <c r="E622" s="11" t="str">
        <f>_xlfn.XLOOKUP(Customer[[#This Row],[Customer ID]],[1]!Address[ID],[1]!Address[Full Address])</f>
        <v>PS SEKSYEN 27 SHAH ALAM-HICOMLOT 5121 &amp; 5123, JLN PERSIARAN KLANG,HICOM SECTOR B, SEKSYEN 27, SHAH ALAM,40400 PETALING, SELANGOR</v>
      </c>
      <c r="F622" s="12" t="s">
        <v>4471</v>
      </c>
      <c r="G622" s="12" t="s">
        <v>4472</v>
      </c>
      <c r="H622" s="12" t="s">
        <v>4473</v>
      </c>
      <c r="I622" s="12" t="b">
        <f>ISNUMBER(VALUE(LEFT(Customer[[#This Row],[Address Line 3 (30 char)]],1)))</f>
        <v>0</v>
      </c>
      <c r="J622" s="12" t="s">
        <v>172</v>
      </c>
      <c r="K622" s="12">
        <v>40400</v>
      </c>
      <c r="L622" s="12" t="s">
        <v>35</v>
      </c>
      <c r="M622" s="13" t="e">
        <v>#N/A</v>
      </c>
      <c r="N622" s="14" t="s">
        <v>4474</v>
      </c>
      <c r="O622" s="14" t="e">
        <v>#N/A</v>
      </c>
      <c r="P622" s="14" t="e">
        <v>#N/A</v>
      </c>
      <c r="Q622" s="19" t="s">
        <v>4475</v>
      </c>
      <c r="R622" s="15" t="s">
        <v>4476</v>
      </c>
      <c r="S622" s="15" t="s">
        <v>37</v>
      </c>
      <c r="T622" s="16" t="s">
        <v>38</v>
      </c>
      <c r="U622" s="11" t="str">
        <f>_xlfn.XLOOKUP(Customer[[#This Row],[Customer ID]],[1]!Address[ID],[1]!Address[Phone No.(2)])</f>
        <v/>
      </c>
      <c r="V622" s="11" t="str">
        <f>_xlfn.XLOOKUP(Customer[[#This Row],[Customer ID]],[1]!Address[ID],[1]!Address[Type])</f>
        <v>PETROMART</v>
      </c>
      <c r="W622" s="11" t="str">
        <f>_xlfn.XLOOKUP(Customer[[#This Row],[Customer ID]],[1]!Address[ID],[1]!Address[CT])</f>
        <v>30 DAYS</v>
      </c>
      <c r="X622" s="11" t="s">
        <v>39</v>
      </c>
      <c r="Y622" s="17" t="s">
        <v>40</v>
      </c>
      <c r="Z622" s="17" t="e">
        <f>_xlfn.XLOOKUP(Customer[[#This Row],[NewType]],$AF$36:$AF$54,$AG$36:$AG$54)</f>
        <v>#N/A</v>
      </c>
      <c r="AA622" s="17" t="s">
        <v>4477</v>
      </c>
      <c r="AB622" s="11" t="str">
        <f>_xlfn.XLOOKUP(Customer[[#This Row],[Customer ID]],[1]!Address[ID],[1]!Address[Subtype])</f>
        <v>PETRONAS</v>
      </c>
      <c r="AC622" s="18" t="str">
        <f>_xlfn.XLOOKUP(Customer[[#This Row],[Customer ID]],[1]!Address[ID],[1]!Address[Zone])</f>
        <v>CENTRAL</v>
      </c>
    </row>
    <row r="623" spans="1:29" x14ac:dyDescent="0.3">
      <c r="A623" s="10" t="s">
        <v>4478</v>
      </c>
      <c r="B623" s="11" t="str">
        <f>_xlfn.XLOOKUP(Customer[[#This Row],[Customer ID]],[1]!Name[ID],[1]!Name[Description(1)])</f>
        <v>BYHATIE GEMILANG SDN BHD</v>
      </c>
      <c r="C623" s="11" t="str">
        <f>_xlfn.XLOOKUP(Customer[[#This Row],[Customer ID]],[1]!Name[ID],[1]!Name[Description(2)])</f>
        <v>PS SEKSYEN 3 BANGI</v>
      </c>
      <c r="D623" s="11" t="str">
        <f>_xlfn.XLOOKUP(Customer[[#This Row],[Customer ID]],[1]!Address[ID],[1]!Address[PIC])</f>
        <v/>
      </c>
      <c r="E623" s="11" t="str">
        <f>_xlfn.XLOOKUP(Customer[[#This Row],[Customer ID]],[1]!Address[ID],[1]!Address[Full Address])</f>
        <v>PS SEKSYEN 3 BANGILOT PS 1, JALAN 3/1 SEKSYEN 3,BANDAR BARU BANGI,43650 ULU LANGAT, SELANGOR</v>
      </c>
      <c r="F623" s="12" t="s">
        <v>4479</v>
      </c>
      <c r="G623" s="12" t="s">
        <v>4480</v>
      </c>
      <c r="H623" s="12" t="s">
        <v>4481</v>
      </c>
      <c r="I623" s="12" t="b">
        <f>ISNUMBER(VALUE(LEFT(Customer[[#This Row],[Address Line 3 (30 char)]],1)))</f>
        <v>0</v>
      </c>
      <c r="J623" s="12" t="s">
        <v>172</v>
      </c>
      <c r="K623" s="12">
        <v>43650</v>
      </c>
      <c r="L623" s="12" t="s">
        <v>35</v>
      </c>
      <c r="M623" s="13" t="e">
        <v>#N/A</v>
      </c>
      <c r="N623" s="14" t="e">
        <v>#N/A</v>
      </c>
      <c r="O623" s="14" t="e">
        <v>#N/A</v>
      </c>
      <c r="P623" s="14" t="e">
        <v>#N/A</v>
      </c>
      <c r="Q623" s="19" t="s">
        <v>4482</v>
      </c>
      <c r="R623" s="15" t="s">
        <v>4483</v>
      </c>
      <c r="S623" s="15" t="s">
        <v>37</v>
      </c>
      <c r="T623" s="16" t="s">
        <v>38</v>
      </c>
      <c r="U623" s="11" t="str">
        <f>_xlfn.XLOOKUP(Customer[[#This Row],[Customer ID]],[1]!Address[ID],[1]!Address[Phone No.(2)])</f>
        <v/>
      </c>
      <c r="V623" s="11" t="str">
        <f>_xlfn.XLOOKUP(Customer[[#This Row],[Customer ID]],[1]!Address[ID],[1]!Address[Type])</f>
        <v>PETROMART</v>
      </c>
      <c r="W623" s="11" t="str">
        <f>_xlfn.XLOOKUP(Customer[[#This Row],[Customer ID]],[1]!Address[ID],[1]!Address[CT])</f>
        <v>30 DAYS</v>
      </c>
      <c r="X623" s="11" t="s">
        <v>39</v>
      </c>
      <c r="Y623" s="17" t="s">
        <v>40</v>
      </c>
      <c r="Z623" s="17" t="e">
        <f>_xlfn.XLOOKUP(Customer[[#This Row],[NewType]],$AF$36:$AF$54,$AG$36:$AG$54)</f>
        <v>#N/A</v>
      </c>
      <c r="AA623" s="17" t="s">
        <v>4484</v>
      </c>
      <c r="AB623" s="11" t="str">
        <f>_xlfn.XLOOKUP(Customer[[#This Row],[Customer ID]],[1]!Address[ID],[1]!Address[Subtype])</f>
        <v>PETRONAS</v>
      </c>
      <c r="AC623" s="18" t="str">
        <f>_xlfn.XLOOKUP(Customer[[#This Row],[Customer ID]],[1]!Address[ID],[1]!Address[Zone])</f>
        <v>CENTRAL</v>
      </c>
    </row>
    <row r="624" spans="1:29" x14ac:dyDescent="0.3">
      <c r="A624" s="27" t="s">
        <v>4485</v>
      </c>
      <c r="B624" s="28" t="str">
        <f>_xlfn.XLOOKUP(Customer[[#This Row],[Customer ID]],[1]!Name[ID],[1]!Name[Description(1)])</f>
        <v>ALYA SARA UMARUDDIN ENTERPRISE</v>
      </c>
      <c r="C624" s="11" t="str">
        <f>_xlfn.XLOOKUP(Customer[[#This Row],[Customer ID]],[1]!Name[ID],[1]!Name[Description(2)])</f>
        <v>PS SEKSYEN 6, SHAH ALAM</v>
      </c>
      <c r="D624" s="11" t="str">
        <f>_xlfn.XLOOKUP(Customer[[#This Row],[Customer ID]],[1]!Address[ID],[1]!Address[PIC])</f>
        <v/>
      </c>
      <c r="E624" s="11" t="str">
        <f>_xlfn.XLOOKUP(Customer[[#This Row],[Customer ID]],[1]!Address[ID],[1]!Address[Full Address])</f>
        <v>PS SEKSYEN 6, SHAH ALAMLOT 435, JALAN NURI 6/61,SEKSYEN 6,SHAH ALAM, 40000 SELANGOR</v>
      </c>
      <c r="F624" s="12" t="s">
        <v>4486</v>
      </c>
      <c r="G624" s="12" t="s">
        <v>4487</v>
      </c>
      <c r="H624" s="12" t="s">
        <v>4488</v>
      </c>
      <c r="I624" s="12" t="b">
        <f>ISNUMBER(VALUE(LEFT(Customer[[#This Row],[Address Line 3 (30 char)]],1)))</f>
        <v>0</v>
      </c>
      <c r="J624" s="12" t="s">
        <v>172</v>
      </c>
      <c r="K624" s="30" t="s">
        <v>4489</v>
      </c>
      <c r="L624" s="12" t="s">
        <v>35</v>
      </c>
      <c r="M624" s="13" t="e">
        <v>#N/A</v>
      </c>
      <c r="N624" s="14" t="e">
        <v>#N/A</v>
      </c>
      <c r="O624" s="14" t="e">
        <v>#N/A</v>
      </c>
      <c r="P624" s="14" t="e">
        <v>#N/A</v>
      </c>
      <c r="Q624" s="19" t="s">
        <v>4490</v>
      </c>
      <c r="R624" s="15" t="s">
        <v>4491</v>
      </c>
      <c r="S624" s="15" t="s">
        <v>37</v>
      </c>
      <c r="T624" s="16" t="s">
        <v>38</v>
      </c>
      <c r="U624" s="11" t="str">
        <f>_xlfn.XLOOKUP(Customer[[#This Row],[Customer ID]],[1]!Address[ID],[1]!Address[Phone No.(2)])</f>
        <v/>
      </c>
      <c r="V624" s="11" t="str">
        <f>_xlfn.XLOOKUP(Customer[[#This Row],[Customer ID]],[1]!Address[ID],[1]!Address[Type])</f>
        <v>PETROMART</v>
      </c>
      <c r="W624" s="11" t="str">
        <f>_xlfn.XLOOKUP(Customer[[#This Row],[Customer ID]],[1]!Address[ID],[1]!Address[CT])</f>
        <v>30 DAYS</v>
      </c>
      <c r="X624" s="11" t="s">
        <v>39</v>
      </c>
      <c r="Y624" s="17" t="s">
        <v>40</v>
      </c>
      <c r="Z624" s="17" t="e">
        <f>_xlfn.XLOOKUP(Customer[[#This Row],[NewType]],$AF$36:$AF$54,$AG$36:$AG$54)</f>
        <v>#N/A</v>
      </c>
      <c r="AA624" s="17" t="s">
        <v>4492</v>
      </c>
      <c r="AB624" s="11" t="str">
        <f>_xlfn.XLOOKUP(Customer[[#This Row],[Customer ID]],[1]!Address[ID],[1]!Address[Subtype])</f>
        <v>PETRONAS</v>
      </c>
      <c r="AC624" s="18" t="str">
        <f>_xlfn.XLOOKUP(Customer[[#This Row],[Customer ID]],[1]!Address[ID],[1]!Address[Zone])</f>
        <v>CENTRAL</v>
      </c>
    </row>
    <row r="625" spans="1:29" x14ac:dyDescent="0.3">
      <c r="A625" s="10" t="s">
        <v>4493</v>
      </c>
      <c r="B625" s="11" t="str">
        <f>_xlfn.XLOOKUP(Customer[[#This Row],[Customer ID]],[1]!Name[ID],[1]!Name[Description(1)])</f>
        <v>BANGI TUJUH ENTERPRISE</v>
      </c>
      <c r="C625" s="11" t="str">
        <f>_xlfn.XLOOKUP(Customer[[#This Row],[Customer ID]],[1]!Name[ID],[1]!Name[Description(2)])</f>
        <v>PS SEKSYEN 7 BANGI</v>
      </c>
      <c r="D625" s="11" t="str">
        <f>_xlfn.XLOOKUP(Customer[[#This Row],[Customer ID]],[1]!Address[ID],[1]!Address[PIC])</f>
        <v/>
      </c>
      <c r="E625" s="11" t="str">
        <f>_xlfn.XLOOKUP(Customer[[#This Row],[Customer ID]],[1]!Address[ID],[1]!Address[Full Address])</f>
        <v>PS SEKSYEN 7 BANGIPT 61591 HS(D) 109493 SEKSYEN 7,BANDAR BARU BANGI,43650 ULU LANGAT, SELANGOR</v>
      </c>
      <c r="F625" s="12" t="s">
        <v>4494</v>
      </c>
      <c r="G625" s="12" t="s">
        <v>4495</v>
      </c>
      <c r="H625" s="12" t="s">
        <v>4496</v>
      </c>
      <c r="I625" s="12" t="b">
        <f>ISNUMBER(VALUE(LEFT(Customer[[#This Row],[Address Line 3 (30 char)]],1)))</f>
        <v>0</v>
      </c>
      <c r="J625" s="12" t="s">
        <v>172</v>
      </c>
      <c r="K625" s="12">
        <v>43650</v>
      </c>
      <c r="L625" s="12" t="s">
        <v>35</v>
      </c>
      <c r="M625" s="13" t="e">
        <v>#N/A</v>
      </c>
      <c r="N625" s="14" t="e">
        <v>#N/A</v>
      </c>
      <c r="O625" s="14" t="e">
        <v>#N/A</v>
      </c>
      <c r="P625" s="14" t="e">
        <v>#N/A</v>
      </c>
      <c r="Q625" s="19" t="s">
        <v>4497</v>
      </c>
      <c r="R625" s="15" t="s">
        <v>4498</v>
      </c>
      <c r="S625" s="15" t="s">
        <v>37</v>
      </c>
      <c r="T625" s="16" t="s">
        <v>38</v>
      </c>
      <c r="U625" s="11" t="str">
        <f>_xlfn.XLOOKUP(Customer[[#This Row],[Customer ID]],[1]!Address[ID],[1]!Address[Phone No.(2)])</f>
        <v/>
      </c>
      <c r="V625" s="11" t="str">
        <f>_xlfn.XLOOKUP(Customer[[#This Row],[Customer ID]],[1]!Address[ID],[1]!Address[Type])</f>
        <v>PETROMART</v>
      </c>
      <c r="W625" s="11" t="str">
        <f>_xlfn.XLOOKUP(Customer[[#This Row],[Customer ID]],[1]!Address[ID],[1]!Address[CT])</f>
        <v>30 DAYS</v>
      </c>
      <c r="X625" s="11" t="s">
        <v>39</v>
      </c>
      <c r="Y625" s="17" t="s">
        <v>40</v>
      </c>
      <c r="Z625" s="17" t="e">
        <f>_xlfn.XLOOKUP(Customer[[#This Row],[NewType]],$AF$36:$AF$54,$AG$36:$AG$54)</f>
        <v>#N/A</v>
      </c>
      <c r="AA625" s="17" t="s">
        <v>4499</v>
      </c>
      <c r="AB625" s="11" t="str">
        <f>_xlfn.XLOOKUP(Customer[[#This Row],[Customer ID]],[1]!Address[ID],[1]!Address[Subtype])</f>
        <v>PETRONAS</v>
      </c>
      <c r="AC625" s="18" t="str">
        <f>_xlfn.XLOOKUP(Customer[[#This Row],[Customer ID]],[1]!Address[ID],[1]!Address[Zone])</f>
        <v>CENTRAL</v>
      </c>
    </row>
    <row r="626" spans="1:29" x14ac:dyDescent="0.3">
      <c r="A626" s="10" t="s">
        <v>4500</v>
      </c>
      <c r="B626" s="11" t="str">
        <f>_xlfn.XLOOKUP(Customer[[#This Row],[Customer ID]],[1]!Name[ID],[1]!Name[Description(1)])</f>
        <v>WARNA ALAM NIAGA</v>
      </c>
      <c r="C626" s="11" t="str">
        <f>_xlfn.XLOOKUP(Customer[[#This Row],[Customer ID]],[1]!Name[ID],[1]!Name[Description(2)])</f>
        <v>PS SEKSYEN 7 SHAH ALAM</v>
      </c>
      <c r="D626" s="11" t="str">
        <f>_xlfn.XLOOKUP(Customer[[#This Row],[Customer ID]],[1]!Address[ID],[1]!Address[PIC])</f>
        <v/>
      </c>
      <c r="E626" s="11" t="str">
        <f>_xlfn.XLOOKUP(Customer[[#This Row],[Customer ID]],[1]!Address[ID],[1]!Address[Full Address])</f>
        <v>PS SEKSYEN 7 SHAH ALAMLOT 12 OFF, PERSIARAN KAYANGAN,SEKSYEN 7,40000,SHAH ALAM,SELANGOR</v>
      </c>
      <c r="F626" s="12" t="s">
        <v>4501</v>
      </c>
      <c r="G626" s="12" t="s">
        <v>4502</v>
      </c>
      <c r="H626" s="12" t="s">
        <v>4503</v>
      </c>
      <c r="I626" s="12" t="b">
        <f>ISNUMBER(VALUE(LEFT(Customer[[#This Row],[Address Line 3 (30 char)]],1)))</f>
        <v>0</v>
      </c>
      <c r="J626" s="12" t="s">
        <v>172</v>
      </c>
      <c r="K626" s="12">
        <v>40000</v>
      </c>
      <c r="L626" s="12" t="s">
        <v>35</v>
      </c>
      <c r="M626" s="13" t="e">
        <v>#N/A</v>
      </c>
      <c r="N626" s="14" t="e">
        <v>#N/A</v>
      </c>
      <c r="O626" s="14" t="e">
        <v>#N/A</v>
      </c>
      <c r="P626" s="14" t="e">
        <v>#N/A</v>
      </c>
      <c r="Q626" s="19" t="s">
        <v>4504</v>
      </c>
      <c r="R626" s="15" t="s">
        <v>4505</v>
      </c>
      <c r="S626" s="15" t="s">
        <v>37</v>
      </c>
      <c r="T626" s="16" t="s">
        <v>38</v>
      </c>
      <c r="U626" s="11" t="str">
        <f>_xlfn.XLOOKUP(Customer[[#This Row],[Customer ID]],[1]!Address[ID],[1]!Address[Phone No.(2)])</f>
        <v/>
      </c>
      <c r="V626" s="11" t="str">
        <f>_xlfn.XLOOKUP(Customer[[#This Row],[Customer ID]],[1]!Address[ID],[1]!Address[Type])</f>
        <v>PETROMART</v>
      </c>
      <c r="W626" s="11" t="str">
        <f>_xlfn.XLOOKUP(Customer[[#This Row],[Customer ID]],[1]!Address[ID],[1]!Address[CT])</f>
        <v>30 DAYS</v>
      </c>
      <c r="X626" s="11" t="s">
        <v>39</v>
      </c>
      <c r="Y626" s="17" t="s">
        <v>40</v>
      </c>
      <c r="Z626" s="17" t="e">
        <f>_xlfn.XLOOKUP(Customer[[#This Row],[NewType]],$AF$36:$AF$54,$AG$36:$AG$54)</f>
        <v>#N/A</v>
      </c>
      <c r="AA626" s="17" t="s">
        <v>4506</v>
      </c>
      <c r="AB626" s="11" t="str">
        <f>_xlfn.XLOOKUP(Customer[[#This Row],[Customer ID]],[1]!Address[ID],[1]!Address[Subtype])</f>
        <v>PETRONAS</v>
      </c>
      <c r="AC626" s="18" t="str">
        <f>_xlfn.XLOOKUP(Customer[[#This Row],[Customer ID]],[1]!Address[ID],[1]!Address[Zone])</f>
        <v>CENTRAL</v>
      </c>
    </row>
    <row r="627" spans="1:29" x14ac:dyDescent="0.3">
      <c r="A627" s="10" t="s">
        <v>4507</v>
      </c>
      <c r="B627" s="11" t="str">
        <f>_xlfn.XLOOKUP(Customer[[#This Row],[Customer ID]],[1]!Name[ID],[1]!Name[Description(1)])</f>
        <v>PERMATA BANGI ENTERPRISE</v>
      </c>
      <c r="C627" s="11" t="str">
        <f>_xlfn.XLOOKUP(Customer[[#This Row],[Customer ID]],[1]!Name[ID],[1]!Name[Description(2)])</f>
        <v>PS SEKSYEN 9 BANGI</v>
      </c>
      <c r="D627" s="11" t="str">
        <f>_xlfn.XLOOKUP(Customer[[#This Row],[Customer ID]],[1]!Address[ID],[1]!Address[PIC])</f>
        <v/>
      </c>
      <c r="E627" s="11" t="str">
        <f>_xlfn.XLOOKUP(Customer[[#This Row],[Customer ID]],[1]!Address[ID],[1]!Address[Full Address])</f>
        <v>PS SEKSYEN 9 BANGILOT PT 55687 HS(D) 81796,JALAN PERSIARAN KEMAJUAN,SEKSYEN 9 BANDABARU BANGI,43000, ULU LANGAT, SELANGOR</v>
      </c>
      <c r="F627" s="12" t="s">
        <v>4508</v>
      </c>
      <c r="G627" s="12" t="s">
        <v>4509</v>
      </c>
      <c r="H627" s="24" t="s">
        <v>4510</v>
      </c>
      <c r="I627" s="24" t="b">
        <f>ISNUMBER(VALUE(LEFT(Customer[[#This Row],[Address Line 3 (30 char)]],1)))</f>
        <v>0</v>
      </c>
      <c r="J627" s="12" t="s">
        <v>172</v>
      </c>
      <c r="K627" s="12">
        <v>43000</v>
      </c>
      <c r="L627" s="12" t="s">
        <v>35</v>
      </c>
      <c r="M627" s="13" t="e">
        <v>#N/A</v>
      </c>
      <c r="N627" s="14" t="e">
        <v>#N/A</v>
      </c>
      <c r="O627" s="14" t="e">
        <v>#N/A</v>
      </c>
      <c r="P627" s="14" t="e">
        <v>#N/A</v>
      </c>
      <c r="Q627" s="19" t="s">
        <v>4511</v>
      </c>
      <c r="R627" s="15" t="s">
        <v>4512</v>
      </c>
      <c r="S627" s="15" t="s">
        <v>37</v>
      </c>
      <c r="T627" s="16" t="s">
        <v>38</v>
      </c>
      <c r="U627" s="11" t="str">
        <f>_xlfn.XLOOKUP(Customer[[#This Row],[Customer ID]],[1]!Address[ID],[1]!Address[Phone No.(2)])</f>
        <v/>
      </c>
      <c r="V627" s="11" t="str">
        <f>_xlfn.XLOOKUP(Customer[[#This Row],[Customer ID]],[1]!Address[ID],[1]!Address[Type])</f>
        <v>PETROMART</v>
      </c>
      <c r="W627" s="11" t="str">
        <f>_xlfn.XLOOKUP(Customer[[#This Row],[Customer ID]],[1]!Address[ID],[1]!Address[CT])</f>
        <v>30 DAYS</v>
      </c>
      <c r="X627" s="11" t="s">
        <v>39</v>
      </c>
      <c r="Y627" s="17" t="s">
        <v>40</v>
      </c>
      <c r="Z627" s="17" t="e">
        <f>_xlfn.XLOOKUP(Customer[[#This Row],[NewType]],$AF$36:$AF$54,$AG$36:$AG$54)</f>
        <v>#N/A</v>
      </c>
      <c r="AA627" s="17" t="s">
        <v>4513</v>
      </c>
      <c r="AB627" s="11" t="str">
        <f>_xlfn.XLOOKUP(Customer[[#This Row],[Customer ID]],[1]!Address[ID],[1]!Address[Subtype])</f>
        <v>PETRONAS</v>
      </c>
      <c r="AC627" s="18" t="str">
        <f>_xlfn.XLOOKUP(Customer[[#This Row],[Customer ID]],[1]!Address[ID],[1]!Address[Zone])</f>
        <v>CENTRAL</v>
      </c>
    </row>
    <row r="628" spans="1:29" x14ac:dyDescent="0.3">
      <c r="A628" s="10" t="s">
        <v>4514</v>
      </c>
      <c r="B628" s="11" t="str">
        <f>_xlfn.XLOOKUP(Customer[[#This Row],[Customer ID]],[1]!Name[ID],[1]!Name[Description(1)])</f>
        <v>ERA DAGANG SERVICE STATION</v>
      </c>
      <c r="C628" s="11" t="str">
        <f>_xlfn.XLOOKUP(Customer[[#This Row],[Customer ID]],[1]!Name[ID],[1]!Name[Description(2)])</f>
        <v>PS SELAMA</v>
      </c>
      <c r="D628" s="11" t="str">
        <f>_xlfn.XLOOKUP(Customer[[#This Row],[Customer ID]],[1]!Address[ID],[1]!Address[PIC])</f>
        <v/>
      </c>
      <c r="E628" s="11" t="str">
        <f>_xlfn.XLOOKUP(Customer[[#This Row],[Customer ID]],[1]!Address[ID],[1]!Address[Full Address])</f>
        <v>PS SELAMALOT 181, JALAN TAIPING,34100 SELAMA, PERAK</v>
      </c>
      <c r="F628" s="12" t="s">
        <v>4515</v>
      </c>
      <c r="G628" s="12" t="s">
        <v>4516</v>
      </c>
      <c r="H628" s="24" t="s">
        <v>4517</v>
      </c>
      <c r="I628" s="24" t="b">
        <f>ISNUMBER(VALUE(LEFT(Customer[[#This Row],[Address Line 3 (30 char)]],1)))</f>
        <v>0</v>
      </c>
      <c r="J628" s="12" t="s">
        <v>387</v>
      </c>
      <c r="K628" s="12">
        <v>34100</v>
      </c>
      <c r="L628" s="12" t="s">
        <v>35</v>
      </c>
      <c r="M628" s="13" t="e">
        <v>#N/A</v>
      </c>
      <c r="N628" s="14" t="e">
        <v>#N/A</v>
      </c>
      <c r="O628" s="14" t="e">
        <v>#N/A</v>
      </c>
      <c r="P628" s="14" t="e">
        <v>#N/A</v>
      </c>
      <c r="Q628" s="19" t="s">
        <v>4518</v>
      </c>
      <c r="R628" s="15" t="s">
        <v>4519</v>
      </c>
      <c r="S628" s="15" t="s">
        <v>74</v>
      </c>
      <c r="T628" s="16" t="s">
        <v>38</v>
      </c>
      <c r="U628" s="11" t="str">
        <f>_xlfn.XLOOKUP(Customer[[#This Row],[Customer ID]],[1]!Address[ID],[1]!Address[Phone No.(2)])</f>
        <v/>
      </c>
      <c r="V628" s="11" t="str">
        <f>_xlfn.XLOOKUP(Customer[[#This Row],[Customer ID]],[1]!Address[ID],[1]!Address[Type])</f>
        <v>PETROMART</v>
      </c>
      <c r="W628" s="11" t="str">
        <f>_xlfn.XLOOKUP(Customer[[#This Row],[Customer ID]],[1]!Address[ID],[1]!Address[CT])</f>
        <v>30 DAYS</v>
      </c>
      <c r="X628" s="11" t="s">
        <v>39</v>
      </c>
      <c r="Y628" s="17" t="s">
        <v>40</v>
      </c>
      <c r="Z628" s="17" t="e">
        <f>_xlfn.XLOOKUP(Customer[[#This Row],[NewType]],$AF$36:$AF$54,$AG$36:$AG$54)</f>
        <v>#N/A</v>
      </c>
      <c r="AA628" s="17" t="s">
        <v>4520</v>
      </c>
      <c r="AB628" s="11" t="str">
        <f>_xlfn.XLOOKUP(Customer[[#This Row],[Customer ID]],[1]!Address[ID],[1]!Address[Subtype])</f>
        <v>PETRONAS</v>
      </c>
      <c r="AC628" s="18" t="str">
        <f>_xlfn.XLOOKUP(Customer[[#This Row],[Customer ID]],[1]!Address[ID],[1]!Address[Zone])</f>
        <v>NORTH</v>
      </c>
    </row>
    <row r="629" spans="1:29" x14ac:dyDescent="0.3">
      <c r="A629" s="10" t="s">
        <v>4521</v>
      </c>
      <c r="B629" s="11" t="str">
        <f>_xlfn.XLOOKUP(Customer[[#This Row],[Customer ID]],[1]!Name[ID],[1]!Name[Description(1)])</f>
        <v>NORJUN ENTERPRISE</v>
      </c>
      <c r="C629" s="11" t="str">
        <f>_xlfn.XLOOKUP(Customer[[#This Row],[Customer ID]],[1]!Name[ID],[1]!Name[Description(2)])</f>
        <v>PS SELANDAR</v>
      </c>
      <c r="D629" s="11" t="str">
        <f>_xlfn.XLOOKUP(Customer[[#This Row],[Customer ID]],[1]!Address[ID],[1]!Address[PIC])</f>
        <v/>
      </c>
      <c r="E629" s="11" t="str">
        <f>_xlfn.XLOOKUP(Customer[[#This Row],[Customer ID]],[1]!Address[ID],[1]!Address[Full Address])</f>
        <v>PS SELANDARSTESYEN MINYAK PETRONAS SELANDARLOT PT 701, PEKAN SELANDAR,77500, JASIN, MELAKA</v>
      </c>
      <c r="F629" s="12" t="s">
        <v>4522</v>
      </c>
      <c r="G629" s="12" t="s">
        <v>4523</v>
      </c>
      <c r="H629" s="12" t="s">
        <v>4524</v>
      </c>
      <c r="I629" s="12" t="b">
        <f>ISNUMBER(VALUE(LEFT(Customer[[#This Row],[Address Line 3 (30 char)]],1)))</f>
        <v>0</v>
      </c>
      <c r="J629" s="12" t="s">
        <v>61</v>
      </c>
      <c r="K629" s="12">
        <v>77500</v>
      </c>
      <c r="L629" s="12" t="s">
        <v>35</v>
      </c>
      <c r="M629" s="13">
        <v>199703082328</v>
      </c>
      <c r="N629" s="14" t="s">
        <v>4525</v>
      </c>
      <c r="O629" s="14" t="s">
        <v>54</v>
      </c>
      <c r="P629" s="14">
        <v>47300</v>
      </c>
      <c r="Q629" s="19" t="s">
        <v>4526</v>
      </c>
      <c r="R629" s="15" t="s">
        <v>4527</v>
      </c>
      <c r="S629" s="15" t="s">
        <v>37</v>
      </c>
      <c r="T629" s="16" t="s">
        <v>38</v>
      </c>
      <c r="U629" s="11" t="str">
        <f>_xlfn.XLOOKUP(Customer[[#This Row],[Customer ID]],[1]!Address[ID],[1]!Address[Phone No.(2)])</f>
        <v/>
      </c>
      <c r="V629" s="11" t="str">
        <f>_xlfn.XLOOKUP(Customer[[#This Row],[Customer ID]],[1]!Address[ID],[1]!Address[Type])</f>
        <v>PETROMART</v>
      </c>
      <c r="W629" s="11" t="str">
        <f>_xlfn.XLOOKUP(Customer[[#This Row],[Customer ID]],[1]!Address[ID],[1]!Address[CT])</f>
        <v>30 DAYS</v>
      </c>
      <c r="X629" s="11" t="s">
        <v>39</v>
      </c>
      <c r="Y629" s="17" t="s">
        <v>40</v>
      </c>
      <c r="Z629" s="17" t="e">
        <f>_xlfn.XLOOKUP(Customer[[#This Row],[NewType]],$AF$36:$AF$54,$AG$36:$AG$54)</f>
        <v>#N/A</v>
      </c>
      <c r="AA629" s="17" t="s">
        <v>4528</v>
      </c>
      <c r="AB629" s="11" t="str">
        <f>_xlfn.XLOOKUP(Customer[[#This Row],[Customer ID]],[1]!Address[ID],[1]!Address[Subtype])</f>
        <v>PETRONAS</v>
      </c>
      <c r="AC629" s="18" t="str">
        <f>_xlfn.XLOOKUP(Customer[[#This Row],[Customer ID]],[1]!Address[ID],[1]!Address[Zone])</f>
        <v>SOUTH</v>
      </c>
    </row>
    <row r="630" spans="1:29" x14ac:dyDescent="0.3">
      <c r="A630" s="10" t="s">
        <v>4529</v>
      </c>
      <c r="B630" s="11" t="str">
        <f>_xlfn.XLOOKUP(Customer[[#This Row],[Customer ID]],[1]!Name[ID],[1]!Name[Description(1)])</f>
        <v>STESYEN MINYAK JAFNI</v>
      </c>
      <c r="C630" s="11" t="str">
        <f>_xlfn.XLOOKUP(Customer[[#This Row],[Customer ID]],[1]!Name[ID],[1]!Name[Description(2)])</f>
        <v>PS SELAYANG BARU</v>
      </c>
      <c r="D630" s="11" t="str">
        <f>_xlfn.XLOOKUP(Customer[[#This Row],[Customer ID]],[1]!Address[ID],[1]!Address[PIC])</f>
        <v/>
      </c>
      <c r="E630" s="11" t="str">
        <f>_xlfn.XLOOKUP(Customer[[#This Row],[Customer ID]],[1]!Address[ID],[1]!Address[Full Address])</f>
        <v>PS SELAYANG BARULOT 1051, JALAN BESAR, SELAYANG BARU,68100, GOMBAK, SELANGOR</v>
      </c>
      <c r="F630" s="12" t="s">
        <v>4530</v>
      </c>
      <c r="G630" s="12" t="s">
        <v>4531</v>
      </c>
      <c r="H630" s="12" t="s">
        <v>4532</v>
      </c>
      <c r="I630" s="12" t="b">
        <f>ISNUMBER(VALUE(LEFT(Customer[[#This Row],[Address Line 3 (30 char)]],1)))</f>
        <v>0</v>
      </c>
      <c r="J630" s="12" t="s">
        <v>172</v>
      </c>
      <c r="K630" s="12">
        <v>68100</v>
      </c>
      <c r="L630" s="12" t="s">
        <v>35</v>
      </c>
      <c r="M630" s="13">
        <v>200503148533</v>
      </c>
      <c r="N630" s="14" t="s">
        <v>4533</v>
      </c>
      <c r="O630" s="14" t="s">
        <v>54</v>
      </c>
      <c r="P630" s="14">
        <v>47114</v>
      </c>
      <c r="Q630" s="19" t="s">
        <v>4534</v>
      </c>
      <c r="R630" s="15" t="s">
        <v>4535</v>
      </c>
      <c r="S630" s="15" t="s">
        <v>37</v>
      </c>
      <c r="T630" s="16" t="s">
        <v>38</v>
      </c>
      <c r="U630" s="11" t="str">
        <f>_xlfn.XLOOKUP(Customer[[#This Row],[Customer ID]],[1]!Address[ID],[1]!Address[Phone No.(2)])</f>
        <v/>
      </c>
      <c r="V630" s="11" t="str">
        <f>_xlfn.XLOOKUP(Customer[[#This Row],[Customer ID]],[1]!Address[ID],[1]!Address[Type])</f>
        <v>PETROMART</v>
      </c>
      <c r="W630" s="11" t="str">
        <f>_xlfn.XLOOKUP(Customer[[#This Row],[Customer ID]],[1]!Address[ID],[1]!Address[CT])</f>
        <v>30 DAYS</v>
      </c>
      <c r="X630" s="11" t="s">
        <v>39</v>
      </c>
      <c r="Y630" s="17" t="s">
        <v>40</v>
      </c>
      <c r="Z630" s="17" t="e">
        <f>_xlfn.XLOOKUP(Customer[[#This Row],[NewType]],$AF$36:$AF$54,$AG$36:$AG$54)</f>
        <v>#N/A</v>
      </c>
      <c r="AA630" s="17" t="s">
        <v>4536</v>
      </c>
      <c r="AB630" s="11" t="str">
        <f>_xlfn.XLOOKUP(Customer[[#This Row],[Customer ID]],[1]!Address[ID],[1]!Address[Subtype])</f>
        <v>PETRONAS</v>
      </c>
      <c r="AC630" s="18" t="str">
        <f>_xlfn.XLOOKUP(Customer[[#This Row],[Customer ID]],[1]!Address[ID],[1]!Address[Zone])</f>
        <v>CENTRAL</v>
      </c>
    </row>
    <row r="631" spans="1:29" x14ac:dyDescent="0.3">
      <c r="A631" s="10" t="s">
        <v>4537</v>
      </c>
      <c r="B631" s="11" t="str">
        <f>_xlfn.XLOOKUP(Customer[[#This Row],[Customer ID]],[1]!Name[ID],[1]!Name[Description(1)])</f>
        <v>STESYEN SERVIS HASRAT MUDA</v>
      </c>
      <c r="C631" s="11" t="str">
        <f>_xlfn.XLOOKUP(Customer[[#This Row],[Customer ID]],[1]!Name[ID],[1]!Name[Description(2)])</f>
        <v>PS SELAYANG BY PASS</v>
      </c>
      <c r="D631" s="11" t="str">
        <f>_xlfn.XLOOKUP(Customer[[#This Row],[Customer ID]],[1]!Address[ID],[1]!Address[PIC])</f>
        <v/>
      </c>
      <c r="E631" s="11" t="str">
        <f>_xlfn.XLOOKUP(Customer[[#This Row],[Customer ID]],[1]!Address[ID],[1]!Address[Full Address])</f>
        <v>PS SELAYANG BY PASSLOT 20298, MUKIM BATU, SELAYANG,68100, BATU CAVE,SELANGOR</v>
      </c>
      <c r="F631" s="12" t="s">
        <v>4538</v>
      </c>
      <c r="G631" s="12" t="s">
        <v>4539</v>
      </c>
      <c r="H631" s="12" t="s">
        <v>4540</v>
      </c>
      <c r="I631" s="12" t="b">
        <f>ISNUMBER(VALUE(LEFT(Customer[[#This Row],[Address Line 3 (30 char)]],1)))</f>
        <v>0</v>
      </c>
      <c r="J631" s="12" t="s">
        <v>172</v>
      </c>
      <c r="K631" s="12">
        <v>68100</v>
      </c>
      <c r="L631" s="12" t="s">
        <v>35</v>
      </c>
      <c r="M631" s="13" t="e">
        <v>#N/A</v>
      </c>
      <c r="N631" s="14" t="e">
        <v>#N/A</v>
      </c>
      <c r="O631" s="14" t="e">
        <v>#N/A</v>
      </c>
      <c r="P631" s="14" t="e">
        <v>#N/A</v>
      </c>
      <c r="Q631" s="19" t="s">
        <v>4541</v>
      </c>
      <c r="R631" s="15" t="s">
        <v>4542</v>
      </c>
      <c r="S631" s="15" t="s">
        <v>37</v>
      </c>
      <c r="T631" s="16" t="s">
        <v>38</v>
      </c>
      <c r="U631" s="11" t="str">
        <f>_xlfn.XLOOKUP(Customer[[#This Row],[Customer ID]],[1]!Address[ID],[1]!Address[Phone No.(2)])</f>
        <v/>
      </c>
      <c r="V631" s="11" t="str">
        <f>_xlfn.XLOOKUP(Customer[[#This Row],[Customer ID]],[1]!Address[ID],[1]!Address[Type])</f>
        <v>PETROMART</v>
      </c>
      <c r="W631" s="11" t="str">
        <f>_xlfn.XLOOKUP(Customer[[#This Row],[Customer ID]],[1]!Address[ID],[1]!Address[CT])</f>
        <v>30 DAYS</v>
      </c>
      <c r="X631" s="11" t="s">
        <v>39</v>
      </c>
      <c r="Y631" s="17" t="s">
        <v>40</v>
      </c>
      <c r="Z631" s="17" t="e">
        <f>_xlfn.XLOOKUP(Customer[[#This Row],[NewType]],$AF$36:$AF$54,$AG$36:$AG$54)</f>
        <v>#N/A</v>
      </c>
      <c r="AA631" s="17" t="s">
        <v>4543</v>
      </c>
      <c r="AB631" s="11" t="str">
        <f>_xlfn.XLOOKUP(Customer[[#This Row],[Customer ID]],[1]!Address[ID],[1]!Address[Subtype])</f>
        <v>PETRONAS</v>
      </c>
      <c r="AC631" s="18" t="str">
        <f>_xlfn.XLOOKUP(Customer[[#This Row],[Customer ID]],[1]!Address[ID],[1]!Address[Zone])</f>
        <v>CENTRAL</v>
      </c>
    </row>
    <row r="632" spans="1:29" x14ac:dyDescent="0.3">
      <c r="A632" s="10" t="s">
        <v>4544</v>
      </c>
      <c r="B632" s="11" t="str">
        <f>_xlfn.XLOOKUP(Customer[[#This Row],[Customer ID]],[1]!Name[ID],[1]!Name[Description(1)])</f>
        <v>ACE ZEKSNI SYNERGY VENTURES</v>
      </c>
      <c r="C632" s="11" t="str">
        <f>_xlfn.XLOOKUP(Customer[[#This Row],[Customer ID]],[1]!Name[ID],[1]!Name[Description(2)])</f>
        <v>PS SEMERAH</v>
      </c>
      <c r="D632" s="11" t="str">
        <f>_xlfn.XLOOKUP(Customer[[#This Row],[Customer ID]],[1]!Address[ID],[1]!Address[PIC])</f>
        <v/>
      </c>
      <c r="E632" s="11" t="str">
        <f>_xlfn.XLOOKUP(Customer[[#This Row],[Customer ID]],[1]!Address[ID],[1]!Address[Full Address])</f>
        <v>PS SEMERAHSTESEN MINYAK PETRONAS,LOT 3302, PEKAN SEMERAH, 83600SEMERAH, BATU PAHAT, JOHOR</v>
      </c>
      <c r="F632" s="12" t="s">
        <v>4545</v>
      </c>
      <c r="G632" s="12" t="s">
        <v>4546</v>
      </c>
      <c r="H632" s="12" t="s">
        <v>4547</v>
      </c>
      <c r="I632" s="12" t="b">
        <f>ISNUMBER(VALUE(LEFT(Customer[[#This Row],[Address Line 3 (30 char)]],1)))</f>
        <v>0</v>
      </c>
      <c r="J632" s="12" t="s">
        <v>52</v>
      </c>
      <c r="K632" s="12">
        <v>83600</v>
      </c>
      <c r="L632" s="12" t="s">
        <v>35</v>
      </c>
      <c r="M632" s="13" t="e">
        <v>#N/A</v>
      </c>
      <c r="N632" s="14" t="e">
        <v>#N/A</v>
      </c>
      <c r="O632" s="14" t="e">
        <v>#N/A</v>
      </c>
      <c r="P632" s="14" t="e">
        <v>#N/A</v>
      </c>
      <c r="Q632" s="19" t="s">
        <v>4548</v>
      </c>
      <c r="R632" s="15" t="s">
        <v>4549</v>
      </c>
      <c r="S632" s="15" t="s">
        <v>37</v>
      </c>
      <c r="T632" s="16" t="s">
        <v>38</v>
      </c>
      <c r="U632" s="11" t="str">
        <f>_xlfn.XLOOKUP(Customer[[#This Row],[Customer ID]],[1]!Address[ID],[1]!Address[Phone No.(2)])</f>
        <v/>
      </c>
      <c r="V632" s="11" t="str">
        <f>_xlfn.XLOOKUP(Customer[[#This Row],[Customer ID]],[1]!Address[ID],[1]!Address[Type])</f>
        <v>PETROMART</v>
      </c>
      <c r="W632" s="11" t="str">
        <f>_xlfn.XLOOKUP(Customer[[#This Row],[Customer ID]],[1]!Address[ID],[1]!Address[CT])</f>
        <v>30 DAYS</v>
      </c>
      <c r="X632" s="11" t="s">
        <v>39</v>
      </c>
      <c r="Y632" s="17" t="s">
        <v>40</v>
      </c>
      <c r="Z632" s="17" t="e">
        <f>_xlfn.XLOOKUP(Customer[[#This Row],[NewType]],$AF$36:$AF$54,$AG$36:$AG$54)</f>
        <v>#N/A</v>
      </c>
      <c r="AA632" s="17" t="s">
        <v>4550</v>
      </c>
      <c r="AB632" s="11" t="str">
        <f>_xlfn.XLOOKUP(Customer[[#This Row],[Customer ID]],[1]!Address[ID],[1]!Address[Subtype])</f>
        <v>PETRONAS</v>
      </c>
      <c r="AC632" s="18" t="str">
        <f>_xlfn.XLOOKUP(Customer[[#This Row],[Customer ID]],[1]!Address[ID],[1]!Address[Zone])</f>
        <v>SOUTH</v>
      </c>
    </row>
    <row r="633" spans="1:29" x14ac:dyDescent="0.3">
      <c r="A633" s="10" t="s">
        <v>4551</v>
      </c>
      <c r="B633" s="11" t="str">
        <f>_xlfn.XLOOKUP(Customer[[#This Row],[Customer ID]],[1]!Name[ID],[1]!Name[Description(1)])</f>
        <v>OMMASON SIGNATURE CAFE</v>
      </c>
      <c r="C633" s="11" t="str">
        <f>_xlfn.XLOOKUP(Customer[[#This Row],[Customer ID]],[1]!Name[ID],[1]!Name[Description(2)])</f>
        <v>HANSIK MANUFACTURING</v>
      </c>
      <c r="D633" s="11" t="str">
        <f>_xlfn.XLOOKUP(Customer[[#This Row],[Customer ID]],[1]!Address[ID],[1]!Address[PIC])</f>
        <v/>
      </c>
      <c r="E633" s="11" t="str">
        <f>_xlfn.XLOOKUP(Customer[[#This Row],[Customer ID]],[1]!Address[ID],[1]!Address[Full Address])</f>
        <v>JALAN SURADA 8/24,TAMAN DESA SURADA,43650 BANDAR BARU BANGI,SELANGOR</v>
      </c>
      <c r="F633" s="12" t="s">
        <v>4552</v>
      </c>
      <c r="G633" s="12" t="s">
        <v>4553</v>
      </c>
      <c r="H633" s="24" t="s">
        <v>4431</v>
      </c>
      <c r="I633" s="24" t="b">
        <f>ISNUMBER(VALUE(LEFT(Customer[[#This Row],[Address Line 3 (30 char)]],1)))</f>
        <v>0</v>
      </c>
      <c r="J633" s="12" t="s">
        <v>172</v>
      </c>
      <c r="K633" s="12">
        <v>43650</v>
      </c>
      <c r="L633" s="12" t="s">
        <v>35</v>
      </c>
      <c r="M633" s="13" t="e">
        <v>#N/A</v>
      </c>
      <c r="N633" s="14" t="e">
        <v>#N/A</v>
      </c>
      <c r="O633" s="14" t="e">
        <v>#N/A</v>
      </c>
      <c r="P633" s="14" t="e">
        <v>#N/A</v>
      </c>
      <c r="Q633" s="14" t="e">
        <v>#N/A</v>
      </c>
      <c r="R633" s="15" t="s">
        <v>4554</v>
      </c>
      <c r="S633" s="15" t="s">
        <v>88</v>
      </c>
      <c r="T633" s="16" t="s">
        <v>89</v>
      </c>
      <c r="U633" s="11" t="str">
        <f>_xlfn.XLOOKUP(Customer[[#This Row],[Customer ID]],[1]!Address[ID],[1]!Address[Phone No.(2)])</f>
        <v/>
      </c>
      <c r="V633" s="11" t="str">
        <f>_xlfn.XLOOKUP(Customer[[#This Row],[Customer ID]],[1]!Address[ID],[1]!Address[Type])</f>
        <v>SOCMED</v>
      </c>
      <c r="W633" s="11" t="str">
        <f>_xlfn.XLOOKUP(Customer[[#This Row],[Customer ID]],[1]!Address[ID],[1]!Address[CT])</f>
        <v/>
      </c>
      <c r="X633" s="11"/>
      <c r="Y633" s="17" t="s">
        <v>90</v>
      </c>
      <c r="Z633" s="17" t="e">
        <f>_xlfn.XLOOKUP(Customer[[#This Row],[NewType]],$AF$36:$AF$54,$AG$36:$AG$54)</f>
        <v>#N/A</v>
      </c>
      <c r="AA633" s="17" t="s">
        <v>4555</v>
      </c>
      <c r="AB633" s="11" t="str">
        <f>_xlfn.XLOOKUP(Customer[[#This Row],[Customer ID]],[1]!Address[ID],[1]!Address[Subtype])</f>
        <v>ONLINE ROS</v>
      </c>
      <c r="AC633" s="18" t="str">
        <f>_xlfn.XLOOKUP(Customer[[#This Row],[Customer ID]],[1]!Address[ID],[1]!Address[Zone])</f>
        <v>CENTRAL</v>
      </c>
    </row>
    <row r="634" spans="1:29" x14ac:dyDescent="0.3">
      <c r="A634" s="10" t="s">
        <v>4556</v>
      </c>
      <c r="B634" s="11" t="str">
        <f>_xlfn.XLOOKUP(Customer[[#This Row],[Customer ID]],[1]!Name[ID],[1]!Name[Description(1)])</f>
        <v>RZ NAJAH ENTERPRISE</v>
      </c>
      <c r="C634" s="11" t="str">
        <f>_xlfn.XLOOKUP(Customer[[#This Row],[Customer ID]],[1]!Name[ID],[1]!Name[Description(2)])</f>
        <v>PS SENAI AIRPORT</v>
      </c>
      <c r="D634" s="11" t="str">
        <f>_xlfn.XLOOKUP(Customer[[#This Row],[Customer ID]],[1]!Address[ID],[1]!Address[PIC])</f>
        <v/>
      </c>
      <c r="E634" s="11" t="str">
        <f>_xlfn.XLOOKUP(Customer[[#This Row],[Customer ID]],[1]!Address[ID],[1]!Address[Full Address])</f>
        <v>PS SENAI AIRPORTLAPANGAN TERBANG SULTAN ISMAIL (PART OFLOT 23569 PTD 8797, MUKIM SENAI-KULAI,JOHOR</v>
      </c>
      <c r="F634" s="12" t="s">
        <v>4557</v>
      </c>
      <c r="G634" s="12" t="s">
        <v>4558</v>
      </c>
      <c r="H634" s="24" t="s">
        <v>629</v>
      </c>
      <c r="I634" s="24" t="b">
        <f>ISNUMBER(VALUE(LEFT(Customer[[#This Row],[Address Line 3 (30 char)]],1)))</f>
        <v>0</v>
      </c>
      <c r="J634" s="12" t="s">
        <v>52</v>
      </c>
      <c r="K634" s="12">
        <v>81400</v>
      </c>
      <c r="L634" s="12" t="s">
        <v>35</v>
      </c>
      <c r="M634" s="13">
        <v>201901010501</v>
      </c>
      <c r="N634" s="14" t="s">
        <v>4559</v>
      </c>
      <c r="O634" s="14" t="e">
        <v>#N/A</v>
      </c>
      <c r="P634" s="14" t="e">
        <v>#N/A</v>
      </c>
      <c r="Q634" s="19" t="s">
        <v>4560</v>
      </c>
      <c r="R634" s="15" t="s">
        <v>1917</v>
      </c>
      <c r="S634" s="15" t="s">
        <v>37</v>
      </c>
      <c r="T634" s="16" t="s">
        <v>38</v>
      </c>
      <c r="U634" s="11" t="str">
        <f>_xlfn.XLOOKUP(Customer[[#This Row],[Customer ID]],[1]!Address[ID],[1]!Address[Phone No.(2)])</f>
        <v/>
      </c>
      <c r="V634" s="11" t="str">
        <f>_xlfn.XLOOKUP(Customer[[#This Row],[Customer ID]],[1]!Address[ID],[1]!Address[Type])</f>
        <v>PETROMART</v>
      </c>
      <c r="W634" s="11" t="str">
        <f>_xlfn.XLOOKUP(Customer[[#This Row],[Customer ID]],[1]!Address[ID],[1]!Address[CT])</f>
        <v>30 DAYS</v>
      </c>
      <c r="X634" s="11" t="s">
        <v>39</v>
      </c>
      <c r="Y634" s="17" t="s">
        <v>40</v>
      </c>
      <c r="Z634" s="17" t="e">
        <f>_xlfn.XLOOKUP(Customer[[#This Row],[NewType]],$AF$36:$AF$54,$AG$36:$AG$54)</f>
        <v>#N/A</v>
      </c>
      <c r="AA634" s="17" t="s">
        <v>4561</v>
      </c>
      <c r="AB634" s="11" t="str">
        <f>_xlfn.XLOOKUP(Customer[[#This Row],[Customer ID]],[1]!Address[ID],[1]!Address[Subtype])</f>
        <v>PETRONAS</v>
      </c>
      <c r="AC634" s="18" t="str">
        <f>_xlfn.XLOOKUP(Customer[[#This Row],[Customer ID]],[1]!Address[ID],[1]!Address[Zone])</f>
        <v>SOUTH</v>
      </c>
    </row>
    <row r="635" spans="1:29" x14ac:dyDescent="0.3">
      <c r="A635" s="10" t="s">
        <v>4562</v>
      </c>
      <c r="B635" s="11" t="str">
        <f>_xlfn.XLOOKUP(Customer[[#This Row],[Customer ID]],[1]!Name[ID],[1]!Name[Description(1)])</f>
        <v>KHAZARS TRADING</v>
      </c>
      <c r="C635" s="11" t="str">
        <f>_xlfn.XLOOKUP(Customer[[#This Row],[Customer ID]],[1]!Name[ID],[1]!Name[Description(2)])</f>
        <v>PS SENALING</v>
      </c>
      <c r="D635" s="11" t="str">
        <f>_xlfn.XLOOKUP(Customer[[#This Row],[Customer ID]],[1]!Address[ID],[1]!Address[PIC])</f>
        <v/>
      </c>
      <c r="E635" s="11" t="str">
        <f>_xlfn.XLOOKUP(Customer[[#This Row],[Customer ID]],[1]!Address[ID],[1]!Address[Full Address])</f>
        <v>PS SENALINGLOT PT 712 KM 2, PEKAN SENALING,72000, KUALA PILAH,NEGERI SEMBILAN</v>
      </c>
      <c r="F635" s="12" t="s">
        <v>4563</v>
      </c>
      <c r="G635" s="12" t="s">
        <v>4564</v>
      </c>
      <c r="H635" s="12" t="s">
        <v>4565</v>
      </c>
      <c r="I635" s="12" t="b">
        <f>ISNUMBER(VALUE(LEFT(Customer[[#This Row],[Address Line 3 (30 char)]],1)))</f>
        <v>0</v>
      </c>
      <c r="J635" s="12" t="s">
        <v>203</v>
      </c>
      <c r="K635" s="12">
        <v>72000</v>
      </c>
      <c r="L635" s="12" t="s">
        <v>35</v>
      </c>
      <c r="M635" s="13" t="e">
        <v>#N/A</v>
      </c>
      <c r="N635" s="14" t="e">
        <v>#N/A</v>
      </c>
      <c r="O635" s="14" t="e">
        <v>#N/A</v>
      </c>
      <c r="P635" s="14" t="e">
        <v>#N/A</v>
      </c>
      <c r="Q635" s="19" t="s">
        <v>4566</v>
      </c>
      <c r="R635" s="15" t="s">
        <v>4567</v>
      </c>
      <c r="S635" s="15" t="s">
        <v>37</v>
      </c>
      <c r="T635" s="16" t="s">
        <v>38</v>
      </c>
      <c r="U635" s="11" t="str">
        <f>_xlfn.XLOOKUP(Customer[[#This Row],[Customer ID]],[1]!Address[ID],[1]!Address[Phone No.(2)])</f>
        <v/>
      </c>
      <c r="V635" s="11" t="str">
        <f>_xlfn.XLOOKUP(Customer[[#This Row],[Customer ID]],[1]!Address[ID],[1]!Address[Type])</f>
        <v>PETROMART</v>
      </c>
      <c r="W635" s="11" t="str">
        <f>_xlfn.XLOOKUP(Customer[[#This Row],[Customer ID]],[1]!Address[ID],[1]!Address[CT])</f>
        <v>30 DAYS</v>
      </c>
      <c r="X635" s="11" t="s">
        <v>39</v>
      </c>
      <c r="Y635" s="17" t="s">
        <v>40</v>
      </c>
      <c r="Z635" s="17" t="e">
        <f>_xlfn.XLOOKUP(Customer[[#This Row],[NewType]],$AF$36:$AF$54,$AG$36:$AG$54)</f>
        <v>#N/A</v>
      </c>
      <c r="AA635" s="17" t="s">
        <v>4568</v>
      </c>
      <c r="AB635" s="11" t="str">
        <f>_xlfn.XLOOKUP(Customer[[#This Row],[Customer ID]],[1]!Address[ID],[1]!Address[Subtype])</f>
        <v>PETRONAS</v>
      </c>
      <c r="AC635" s="18" t="str">
        <f>_xlfn.XLOOKUP(Customer[[#This Row],[Customer ID]],[1]!Address[ID],[1]!Address[Zone])</f>
        <v>CENTRAL</v>
      </c>
    </row>
    <row r="636" spans="1:29" x14ac:dyDescent="0.3">
      <c r="A636" s="10" t="s">
        <v>4569</v>
      </c>
      <c r="B636" s="11" t="str">
        <f>_xlfn.XLOOKUP(Customer[[#This Row],[Customer ID]],[1]!Name[ID],[1]!Name[Description(1)])</f>
        <v>GERAK DAYA ENTERPRISE (2)</v>
      </c>
      <c r="C636" s="11" t="str">
        <f>_xlfn.XLOOKUP(Customer[[#This Row],[Customer ID]],[1]!Name[ID],[1]!Name[Description(2)])</f>
        <v>PS SENAWANG 1</v>
      </c>
      <c r="D636" s="11" t="str">
        <f>_xlfn.XLOOKUP(Customer[[#This Row],[Customer ID]],[1]!Address[ID],[1]!Address[PIC])</f>
        <v/>
      </c>
      <c r="E636" s="11" t="str">
        <f>_xlfn.XLOOKUP(Customer[[#This Row],[Customer ID]],[1]!Address[ID],[1]!Address[Full Address])</f>
        <v>PS SENAWANG 1BATU 4 1/2, JALAN SEREMBAN TAMPIN,SEREMBAN,70450 NEGERI SEMBILAN.</v>
      </c>
      <c r="F636" s="12" t="s">
        <v>4570</v>
      </c>
      <c r="G636" s="12" t="s">
        <v>4571</v>
      </c>
      <c r="H636" s="12" t="s">
        <v>2411</v>
      </c>
      <c r="I636" s="12" t="b">
        <f>ISNUMBER(VALUE(LEFT(Customer[[#This Row],[Address Line 3 (30 char)]],1)))</f>
        <v>0</v>
      </c>
      <c r="J636" s="12" t="s">
        <v>203</v>
      </c>
      <c r="K636" s="12">
        <v>70450</v>
      </c>
      <c r="L636" s="12" t="s">
        <v>35</v>
      </c>
      <c r="M636" s="13" t="e">
        <v>#N/A</v>
      </c>
      <c r="N636" s="14" t="e">
        <v>#N/A</v>
      </c>
      <c r="O636" s="14" t="e">
        <v>#N/A</v>
      </c>
      <c r="P636" s="14" t="e">
        <v>#N/A</v>
      </c>
      <c r="Q636" s="19" t="s">
        <v>4572</v>
      </c>
      <c r="R636" s="15" t="s">
        <v>4573</v>
      </c>
      <c r="S636" s="15" t="s">
        <v>37</v>
      </c>
      <c r="T636" s="16" t="s">
        <v>38</v>
      </c>
      <c r="U636" s="11" t="str">
        <f>_xlfn.XLOOKUP(Customer[[#This Row],[Customer ID]],[1]!Address[ID],[1]!Address[Phone No.(2)])</f>
        <v/>
      </c>
      <c r="V636" s="11" t="str">
        <f>_xlfn.XLOOKUP(Customer[[#This Row],[Customer ID]],[1]!Address[ID],[1]!Address[Type])</f>
        <v>PETROMART</v>
      </c>
      <c r="W636" s="11" t="str">
        <f>_xlfn.XLOOKUP(Customer[[#This Row],[Customer ID]],[1]!Address[ID],[1]!Address[CT])</f>
        <v>30 DAYS</v>
      </c>
      <c r="X636" s="11" t="s">
        <v>39</v>
      </c>
      <c r="Y636" s="17" t="s">
        <v>40</v>
      </c>
      <c r="Z636" s="17" t="e">
        <f>_xlfn.XLOOKUP(Customer[[#This Row],[NewType]],$AF$36:$AF$54,$AG$36:$AG$54)</f>
        <v>#N/A</v>
      </c>
      <c r="AA636" s="17" t="s">
        <v>4574</v>
      </c>
      <c r="AB636" s="11" t="str">
        <f>_xlfn.XLOOKUP(Customer[[#This Row],[Customer ID]],[1]!Address[ID],[1]!Address[Subtype])</f>
        <v>PETRONAS</v>
      </c>
      <c r="AC636" s="18" t="str">
        <f>_xlfn.XLOOKUP(Customer[[#This Row],[Customer ID]],[1]!Address[ID],[1]!Address[Zone])</f>
        <v>CENTRAL</v>
      </c>
    </row>
    <row r="637" spans="1:29" x14ac:dyDescent="0.3">
      <c r="A637" s="10" t="s">
        <v>4575</v>
      </c>
      <c r="B637" s="11" t="str">
        <f>_xlfn.XLOOKUP(Customer[[#This Row],[Customer ID]],[1]!Name[ID],[1]!Name[Description(1)])</f>
        <v>GERAK DAYA ENTERPRISE</v>
      </c>
      <c r="C637" s="11" t="str">
        <f>_xlfn.XLOOKUP(Customer[[#This Row],[Customer ID]],[1]!Name[ID],[1]!Name[Description(2)])</f>
        <v>PS SENAWANG 2</v>
      </c>
      <c r="D637" s="11" t="str">
        <f>_xlfn.XLOOKUP(Customer[[#This Row],[Customer ID]],[1]!Address[ID],[1]!Address[PIC])</f>
        <v/>
      </c>
      <c r="E637" s="11" t="str">
        <f>_xlfn.XLOOKUP(Customer[[#This Row],[Customer ID]],[1]!Address[ID],[1]!Address[Full Address])</f>
        <v>PS SENAWANG 2LOT 2172 , JLN TAMPIN-SEREMBAN,MUKIM RANTAU,70450 SEREMBAN, NEGERI SEMBILAN</v>
      </c>
      <c r="F637" s="12" t="s">
        <v>4576</v>
      </c>
      <c r="G637" s="12" t="s">
        <v>4577</v>
      </c>
      <c r="H637" s="12" t="s">
        <v>4578</v>
      </c>
      <c r="I637" s="12" t="b">
        <f>ISNUMBER(VALUE(LEFT(Customer[[#This Row],[Address Line 3 (30 char)]],1)))</f>
        <v>0</v>
      </c>
      <c r="J637" s="12" t="s">
        <v>203</v>
      </c>
      <c r="K637" s="12">
        <v>70450</v>
      </c>
      <c r="L637" s="12" t="s">
        <v>35</v>
      </c>
      <c r="M637" s="13" t="e">
        <v>#N/A</v>
      </c>
      <c r="N637" s="14" t="s">
        <v>4579</v>
      </c>
      <c r="O637" s="14" t="e">
        <v>#N/A</v>
      </c>
      <c r="P637" s="14" t="e">
        <v>#N/A</v>
      </c>
      <c r="Q637" s="19" t="s">
        <v>4572</v>
      </c>
      <c r="R637" s="15" t="s">
        <v>4580</v>
      </c>
      <c r="S637" s="15" t="s">
        <v>37</v>
      </c>
      <c r="T637" s="16" t="s">
        <v>38</v>
      </c>
      <c r="U637" s="11" t="str">
        <f>_xlfn.XLOOKUP(Customer[[#This Row],[Customer ID]],[1]!Address[ID],[1]!Address[Phone No.(2)])</f>
        <v/>
      </c>
      <c r="V637" s="11" t="str">
        <f>_xlfn.XLOOKUP(Customer[[#This Row],[Customer ID]],[1]!Address[ID],[1]!Address[Type])</f>
        <v>PETROMART</v>
      </c>
      <c r="W637" s="11" t="str">
        <f>_xlfn.XLOOKUP(Customer[[#This Row],[Customer ID]],[1]!Address[ID],[1]!Address[CT])</f>
        <v>30 DAYS</v>
      </c>
      <c r="X637" s="11" t="s">
        <v>39</v>
      </c>
      <c r="Y637" s="17" t="s">
        <v>40</v>
      </c>
      <c r="Z637" s="17" t="e">
        <f>_xlfn.XLOOKUP(Customer[[#This Row],[NewType]],$AF$36:$AF$54,$AG$36:$AG$54)</f>
        <v>#N/A</v>
      </c>
      <c r="AA637" s="17" t="s">
        <v>4581</v>
      </c>
      <c r="AB637" s="11" t="str">
        <f>_xlfn.XLOOKUP(Customer[[#This Row],[Customer ID]],[1]!Address[ID],[1]!Address[Subtype])</f>
        <v>PETRONAS</v>
      </c>
      <c r="AC637" s="18" t="str">
        <f>_xlfn.XLOOKUP(Customer[[#This Row],[Customer ID]],[1]!Address[ID],[1]!Address[Zone])</f>
        <v>CENTRAL</v>
      </c>
    </row>
    <row r="638" spans="1:29" x14ac:dyDescent="0.3">
      <c r="A638" s="10" t="s">
        <v>4582</v>
      </c>
      <c r="B638" s="11" t="str">
        <f>_xlfn.XLOOKUP(Customer[[#This Row],[Customer ID]],[1]!Name[ID],[1]!Name[Description(1)])</f>
        <v>AKUDIA ENTERPRISE</v>
      </c>
      <c r="C638" s="11" t="str">
        <f>_xlfn.XLOOKUP(Customer[[#This Row],[Customer ID]],[1]!Name[ID],[1]!Name[Description(2)])</f>
        <v>PS SENAWANG-PAROI</v>
      </c>
      <c r="D638" s="11" t="str">
        <f>_xlfn.XLOOKUP(Customer[[#This Row],[Customer ID]],[1]!Address[ID],[1]!Address[PIC])</f>
        <v/>
      </c>
      <c r="E638" s="11" t="str">
        <f>_xlfn.XLOOKUP(Customer[[#This Row],[Customer ID]],[1]!Address[ID],[1]!Address[Full Address])</f>
        <v>PS SENAWANG-PAROILOT 1682, JALAN SENAWANG-PAROI,MUKIM AMPANGAN,70450, SEREMBAN, NEGERI SEMBILAN</v>
      </c>
      <c r="F638" s="12" t="s">
        <v>4583</v>
      </c>
      <c r="G638" s="12" t="s">
        <v>4584</v>
      </c>
      <c r="H638" s="12" t="s">
        <v>4585</v>
      </c>
      <c r="I638" s="12" t="b">
        <f>ISNUMBER(VALUE(LEFT(Customer[[#This Row],[Address Line 3 (30 char)]],1)))</f>
        <v>0</v>
      </c>
      <c r="J638" s="12" t="s">
        <v>203</v>
      </c>
      <c r="K638" s="12">
        <v>70450</v>
      </c>
      <c r="L638" s="12" t="s">
        <v>35</v>
      </c>
      <c r="M638" s="13" t="e">
        <v>#N/A</v>
      </c>
      <c r="N638" s="14" t="e">
        <v>#N/A</v>
      </c>
      <c r="O638" s="14" t="e">
        <v>#N/A</v>
      </c>
      <c r="P638" s="14" t="e">
        <v>#N/A</v>
      </c>
      <c r="Q638" s="19" t="s">
        <v>4586</v>
      </c>
      <c r="R638" s="15" t="s">
        <v>4587</v>
      </c>
      <c r="S638" s="15" t="s">
        <v>37</v>
      </c>
      <c r="T638" s="16" t="s">
        <v>38</v>
      </c>
      <c r="U638" s="11" t="str">
        <f>_xlfn.XLOOKUP(Customer[[#This Row],[Customer ID]],[1]!Address[ID],[1]!Address[Phone No.(2)])</f>
        <v/>
      </c>
      <c r="V638" s="11" t="str">
        <f>_xlfn.XLOOKUP(Customer[[#This Row],[Customer ID]],[1]!Address[ID],[1]!Address[Type])</f>
        <v>PETROMART</v>
      </c>
      <c r="W638" s="11" t="str">
        <f>_xlfn.XLOOKUP(Customer[[#This Row],[Customer ID]],[1]!Address[ID],[1]!Address[CT])</f>
        <v>30 DAYS</v>
      </c>
      <c r="X638" s="11" t="s">
        <v>39</v>
      </c>
      <c r="Y638" s="17" t="s">
        <v>40</v>
      </c>
      <c r="Z638" s="17" t="e">
        <f>_xlfn.XLOOKUP(Customer[[#This Row],[NewType]],$AF$36:$AF$54,$AG$36:$AG$54)</f>
        <v>#N/A</v>
      </c>
      <c r="AA638" s="17" t="s">
        <v>4588</v>
      </c>
      <c r="AB638" s="11" t="str">
        <f>_xlfn.XLOOKUP(Customer[[#This Row],[Customer ID]],[1]!Address[ID],[1]!Address[Subtype])</f>
        <v>PETRONAS</v>
      </c>
      <c r="AC638" s="18" t="str">
        <f>_xlfn.XLOOKUP(Customer[[#This Row],[Customer ID]],[1]!Address[ID],[1]!Address[Zone])</f>
        <v>CENTRAL</v>
      </c>
    </row>
    <row r="639" spans="1:29" x14ac:dyDescent="0.3">
      <c r="A639" s="10" t="s">
        <v>4589</v>
      </c>
      <c r="B639" s="11" t="str">
        <f>_xlfn.XLOOKUP(Customer[[#This Row],[Customer ID]],[1]!Name[ID],[1]!Name[Description(1)])</f>
        <v>ZUE BIZ ENTERPRISE</v>
      </c>
      <c r="C639" s="11" t="str">
        <f>_xlfn.XLOOKUP(Customer[[#This Row],[Customer ID]],[1]!Name[ID],[1]!Name[Description(2)])</f>
        <v>PS SEREMBAN 2</v>
      </c>
      <c r="D639" s="11" t="str">
        <f>_xlfn.XLOOKUP(Customer[[#This Row],[Customer ID]],[1]!Address[ID],[1]!Address[PIC])</f>
        <v/>
      </c>
      <c r="E639" s="11" t="str">
        <f>_xlfn.XLOOKUP(Customer[[#This Row],[Customer ID]],[1]!Address[ID],[1]!Address[Full Address])</f>
        <v>PS SEREMBAN 2LOT PT 10841 &amp; 10842, MUKIM RASAH,SEREMBAN DUA,70300 SEREMBAN,  NEGERI SEMBILAN</v>
      </c>
      <c r="F639" s="12" t="s">
        <v>4590</v>
      </c>
      <c r="G639" s="12" t="s">
        <v>4591</v>
      </c>
      <c r="H639" s="12" t="s">
        <v>4592</v>
      </c>
      <c r="I639" s="12" t="b">
        <f>ISNUMBER(VALUE(LEFT(Customer[[#This Row],[Address Line 3 (30 char)]],1)))</f>
        <v>0</v>
      </c>
      <c r="J639" s="12" t="s">
        <v>203</v>
      </c>
      <c r="K639" s="12">
        <v>70300</v>
      </c>
      <c r="L639" s="12" t="s">
        <v>35</v>
      </c>
      <c r="M639" s="13" t="e">
        <v>#N/A</v>
      </c>
      <c r="N639" s="14" t="e">
        <v>#N/A</v>
      </c>
      <c r="O639" s="14" t="e">
        <v>#N/A</v>
      </c>
      <c r="P639" s="14" t="e">
        <v>#N/A</v>
      </c>
      <c r="Q639" s="19" t="s">
        <v>4593</v>
      </c>
      <c r="R639" s="15" t="s">
        <v>4594</v>
      </c>
      <c r="S639" s="15" t="s">
        <v>37</v>
      </c>
      <c r="T639" s="16" t="s">
        <v>38</v>
      </c>
      <c r="U639" s="11" t="str">
        <f>_xlfn.XLOOKUP(Customer[[#This Row],[Customer ID]],[1]!Address[ID],[1]!Address[Phone No.(2)])</f>
        <v/>
      </c>
      <c r="V639" s="11" t="str">
        <f>_xlfn.XLOOKUP(Customer[[#This Row],[Customer ID]],[1]!Address[ID],[1]!Address[Type])</f>
        <v>PETROMART</v>
      </c>
      <c r="W639" s="11" t="str">
        <f>_xlfn.XLOOKUP(Customer[[#This Row],[Customer ID]],[1]!Address[ID],[1]!Address[CT])</f>
        <v>30 DAYS</v>
      </c>
      <c r="X639" s="11" t="s">
        <v>39</v>
      </c>
      <c r="Y639" s="17" t="s">
        <v>40</v>
      </c>
      <c r="Z639" s="17" t="e">
        <f>_xlfn.XLOOKUP(Customer[[#This Row],[NewType]],$AF$36:$AF$54,$AG$36:$AG$54)</f>
        <v>#N/A</v>
      </c>
      <c r="AA639" s="17" t="s">
        <v>4595</v>
      </c>
      <c r="AB639" s="11" t="str">
        <f>_xlfn.XLOOKUP(Customer[[#This Row],[Customer ID]],[1]!Address[ID],[1]!Address[Subtype])</f>
        <v>PETRONAS</v>
      </c>
      <c r="AC639" s="18" t="str">
        <f>_xlfn.XLOOKUP(Customer[[#This Row],[Customer ID]],[1]!Address[ID],[1]!Address[Zone])</f>
        <v>CENTRAL</v>
      </c>
    </row>
    <row r="640" spans="1:29" x14ac:dyDescent="0.3">
      <c r="A640" s="10" t="s">
        <v>4596</v>
      </c>
      <c r="B640" s="11" t="str">
        <f>_xlfn.XLOOKUP(Customer[[#This Row],[Customer ID]],[1]!Name[ID],[1]!Name[Description(1)])</f>
        <v>RICH ENERGY TRADING</v>
      </c>
      <c r="C640" s="11" t="str">
        <f>_xlfn.XLOOKUP(Customer[[#This Row],[Customer ID]],[1]!Name[ID],[1]!Name[Description(2)])</f>
        <v>PS SEREMBAN ARAH UTARA</v>
      </c>
      <c r="D640" s="11" t="str">
        <f>_xlfn.XLOOKUP(Customer[[#This Row],[Customer ID]],[1]!Address[ID],[1]!Address[PIC])</f>
        <v/>
      </c>
      <c r="E640" s="11" t="str">
        <f>_xlfn.XLOOKUP(Customer[[#This Row],[Customer ID]],[1]!Address[ID],[1]!Address[Full Address])</f>
        <v>PS SEREMBAN ARAH UTARALOT 7356, KM 53.1,LEBUHRAYA KUALA LUMPURSEREMBAN (ARAH UTARA), (RAWAT &amp; REHAT),70730 SEREMBAN, NEGERI SEMBILAN</v>
      </c>
      <c r="F640" s="12" t="s">
        <v>4597</v>
      </c>
      <c r="G640" s="12" t="s">
        <v>4598</v>
      </c>
      <c r="H640" s="12" t="s">
        <v>4599</v>
      </c>
      <c r="I640" s="12" t="b">
        <f>ISNUMBER(VALUE(LEFT(Customer[[#This Row],[Address Line 3 (30 char)]],1)))</f>
        <v>0</v>
      </c>
      <c r="J640" s="12" t="s">
        <v>203</v>
      </c>
      <c r="K640" s="12">
        <v>70730</v>
      </c>
      <c r="L640" s="12" t="s">
        <v>35</v>
      </c>
      <c r="M640" s="13" t="e">
        <v>#N/A</v>
      </c>
      <c r="N640" s="14" t="e">
        <v>#N/A</v>
      </c>
      <c r="O640" s="14" t="e">
        <v>#N/A</v>
      </c>
      <c r="P640" s="14" t="e">
        <v>#N/A</v>
      </c>
      <c r="Q640" s="19" t="s">
        <v>4600</v>
      </c>
      <c r="R640" s="15" t="s">
        <v>4601</v>
      </c>
      <c r="S640" s="15" t="s">
        <v>37</v>
      </c>
      <c r="T640" s="16" t="s">
        <v>38</v>
      </c>
      <c r="U640" s="11" t="str">
        <f>_xlfn.XLOOKUP(Customer[[#This Row],[Customer ID]],[1]!Address[ID],[1]!Address[Phone No.(2)])</f>
        <v/>
      </c>
      <c r="V640" s="11" t="str">
        <f>_xlfn.XLOOKUP(Customer[[#This Row],[Customer ID]],[1]!Address[ID],[1]!Address[Type])</f>
        <v>PETROMART</v>
      </c>
      <c r="W640" s="11" t="str">
        <f>_xlfn.XLOOKUP(Customer[[#This Row],[Customer ID]],[1]!Address[ID],[1]!Address[CT])</f>
        <v>30 DAYS</v>
      </c>
      <c r="X640" s="11" t="s">
        <v>39</v>
      </c>
      <c r="Y640" s="17" t="s">
        <v>40</v>
      </c>
      <c r="Z640" s="17" t="e">
        <f>_xlfn.XLOOKUP(Customer[[#This Row],[NewType]],$AF$36:$AF$54,$AG$36:$AG$54)</f>
        <v>#N/A</v>
      </c>
      <c r="AA640" s="17" t="s">
        <v>4602</v>
      </c>
      <c r="AB640" s="11" t="str">
        <f>_xlfn.XLOOKUP(Customer[[#This Row],[Customer ID]],[1]!Address[ID],[1]!Address[Subtype])</f>
        <v>PETRONAS</v>
      </c>
      <c r="AC640" s="18" t="str">
        <f>_xlfn.XLOOKUP(Customer[[#This Row],[Customer ID]],[1]!Address[ID],[1]!Address[Zone])</f>
        <v>CENTRAL</v>
      </c>
    </row>
    <row r="641" spans="1:29" x14ac:dyDescent="0.3">
      <c r="A641" s="10" t="s">
        <v>4603</v>
      </c>
      <c r="B641" s="11" t="str">
        <f>_xlfn.XLOOKUP(Customer[[#This Row],[Customer ID]],[1]!Name[ID],[1]!Name[Description(1)])</f>
        <v>STESEN MESRA RSH</v>
      </c>
      <c r="C641" s="11" t="str">
        <f>_xlfn.XLOOKUP(Customer[[#This Row],[Customer ID]],[1]!Name[ID],[1]!Name[Description(2)])</f>
        <v>PS SEREMBAN JAYA</v>
      </c>
      <c r="D641" s="11" t="str">
        <f>_xlfn.XLOOKUP(Customer[[#This Row],[Customer ID]],[1]!Address[ID],[1]!Address[PIC])</f>
        <v/>
      </c>
      <c r="E641" s="11" t="str">
        <f>_xlfn.XLOOKUP(Customer[[#This Row],[Customer ID]],[1]!Address[ID],[1]!Address[Full Address])</f>
        <v>PS SEREMBAN JAYALOT 13796, PEKAN SEREMBAN JAYA,70450, SEREMBAN, NEGERI 9</v>
      </c>
      <c r="F641" s="12" t="s">
        <v>4604</v>
      </c>
      <c r="G641" s="12" t="s">
        <v>4605</v>
      </c>
      <c r="H641" s="12" t="s">
        <v>2377</v>
      </c>
      <c r="I641" s="12" t="b">
        <f>ISNUMBER(VALUE(LEFT(Customer[[#This Row],[Address Line 3 (30 char)]],1)))</f>
        <v>0</v>
      </c>
      <c r="J641" s="12" t="s">
        <v>203</v>
      </c>
      <c r="K641" s="12">
        <v>70450</v>
      </c>
      <c r="L641" s="12" t="s">
        <v>35</v>
      </c>
      <c r="M641" s="13" t="e">
        <v>#N/A</v>
      </c>
      <c r="N641" s="14" t="e">
        <v>#N/A</v>
      </c>
      <c r="O641" s="14" t="e">
        <v>#N/A</v>
      </c>
      <c r="P641" s="14" t="e">
        <v>#N/A</v>
      </c>
      <c r="Q641" s="19" t="s">
        <v>4606</v>
      </c>
      <c r="R641" s="15" t="s">
        <v>4607</v>
      </c>
      <c r="S641" s="15" t="s">
        <v>37</v>
      </c>
      <c r="T641" s="16" t="s">
        <v>38</v>
      </c>
      <c r="U641" s="11" t="str">
        <f>_xlfn.XLOOKUP(Customer[[#This Row],[Customer ID]],[1]!Address[ID],[1]!Address[Phone No.(2)])</f>
        <v/>
      </c>
      <c r="V641" s="11" t="str">
        <f>_xlfn.XLOOKUP(Customer[[#This Row],[Customer ID]],[1]!Address[ID],[1]!Address[Type])</f>
        <v>PETROMART</v>
      </c>
      <c r="W641" s="11" t="str">
        <f>_xlfn.XLOOKUP(Customer[[#This Row],[Customer ID]],[1]!Address[ID],[1]!Address[CT])</f>
        <v>30 DAYS</v>
      </c>
      <c r="X641" s="11" t="s">
        <v>39</v>
      </c>
      <c r="Y641" s="17" t="s">
        <v>40</v>
      </c>
      <c r="Z641" s="17" t="e">
        <f>_xlfn.XLOOKUP(Customer[[#This Row],[NewType]],$AF$36:$AF$54,$AG$36:$AG$54)</f>
        <v>#N/A</v>
      </c>
      <c r="AA641" s="17" t="s">
        <v>4608</v>
      </c>
      <c r="AB641" s="11" t="str">
        <f>_xlfn.XLOOKUP(Customer[[#This Row],[Customer ID]],[1]!Address[ID],[1]!Address[Subtype])</f>
        <v>PETRONAS</v>
      </c>
      <c r="AC641" s="18" t="str">
        <f>_xlfn.XLOOKUP(Customer[[#This Row],[Customer ID]],[1]!Address[ID],[1]!Address[Zone])</f>
        <v>CENTRAL</v>
      </c>
    </row>
    <row r="642" spans="1:29" x14ac:dyDescent="0.3">
      <c r="A642" s="10" t="s">
        <v>4609</v>
      </c>
      <c r="B642" s="11" t="str">
        <f>_xlfn.XLOOKUP(Customer[[#This Row],[Customer ID]],[1]!Name[ID],[1]!Name[Description(1)])</f>
        <v>BE PETROL STATION</v>
      </c>
      <c r="C642" s="11" t="str">
        <f>_xlfn.XLOOKUP(Customer[[#This Row],[Customer ID]],[1]!Name[ID],[1]!Name[Description(2)])</f>
        <v>PS SERI KEMBANGAN 1</v>
      </c>
      <c r="D642" s="11" t="str">
        <f>_xlfn.XLOOKUP(Customer[[#This Row],[Customer ID]],[1]!Address[ID],[1]!Address[PIC])</f>
        <v/>
      </c>
      <c r="E642" s="11" t="str">
        <f>_xlfn.XLOOKUP(Customer[[#This Row],[Customer ID]],[1]!Address[ID],[1]!Address[Full Address])</f>
        <v>PS SERI KEMBANGAN 1LOT 3464, JALAN RAYA 2,BANDAR BARU SRI KEMBANGAN,43300 PETALING, SELANGOR</v>
      </c>
      <c r="F642" s="12" t="s">
        <v>4610</v>
      </c>
      <c r="G642" s="12" t="s">
        <v>4611</v>
      </c>
      <c r="H642" s="12" t="s">
        <v>4612</v>
      </c>
      <c r="I642" s="12" t="b">
        <f>ISNUMBER(VALUE(LEFT(Customer[[#This Row],[Address Line 3 (30 char)]],1)))</f>
        <v>0</v>
      </c>
      <c r="J642" s="12" t="s">
        <v>172</v>
      </c>
      <c r="K642" s="12">
        <v>43300</v>
      </c>
      <c r="L642" s="12" t="s">
        <v>35</v>
      </c>
      <c r="M642" s="13" t="e">
        <v>#N/A</v>
      </c>
      <c r="N642" s="14" t="e">
        <v>#N/A</v>
      </c>
      <c r="O642" s="14" t="e">
        <v>#N/A</v>
      </c>
      <c r="P642" s="14" t="e">
        <v>#N/A</v>
      </c>
      <c r="Q642" s="19" t="s">
        <v>4613</v>
      </c>
      <c r="R642" s="15" t="s">
        <v>4614</v>
      </c>
      <c r="S642" s="15" t="s">
        <v>37</v>
      </c>
      <c r="T642" s="16" t="s">
        <v>38</v>
      </c>
      <c r="U642" s="11" t="str">
        <f>_xlfn.XLOOKUP(Customer[[#This Row],[Customer ID]],[1]!Address[ID],[1]!Address[Phone No.(2)])</f>
        <v/>
      </c>
      <c r="V642" s="11" t="str">
        <f>_xlfn.XLOOKUP(Customer[[#This Row],[Customer ID]],[1]!Address[ID],[1]!Address[Type])</f>
        <v>PETROMART</v>
      </c>
      <c r="W642" s="11" t="str">
        <f>_xlfn.XLOOKUP(Customer[[#This Row],[Customer ID]],[1]!Address[ID],[1]!Address[CT])</f>
        <v>30 DAYS</v>
      </c>
      <c r="X642" s="11" t="s">
        <v>39</v>
      </c>
      <c r="Y642" s="17" t="s">
        <v>40</v>
      </c>
      <c r="Z642" s="17" t="e">
        <f>_xlfn.XLOOKUP(Customer[[#This Row],[NewType]],$AF$36:$AF$54,$AG$36:$AG$54)</f>
        <v>#N/A</v>
      </c>
      <c r="AA642" s="17" t="s">
        <v>4615</v>
      </c>
      <c r="AB642" s="11" t="str">
        <f>_xlfn.XLOOKUP(Customer[[#This Row],[Customer ID]],[1]!Address[ID],[1]!Address[Subtype])</f>
        <v>PETRONAS</v>
      </c>
      <c r="AC642" s="18" t="str">
        <f>_xlfn.XLOOKUP(Customer[[#This Row],[Customer ID]],[1]!Address[ID],[1]!Address[Zone])</f>
        <v>CENTRAL</v>
      </c>
    </row>
    <row r="643" spans="1:29" x14ac:dyDescent="0.3">
      <c r="A643" s="10" t="s">
        <v>4616</v>
      </c>
      <c r="B643" s="11" t="str">
        <f>_xlfn.XLOOKUP(Customer[[#This Row],[Customer ID]],[1]!Name[ID],[1]!Name[Description(1)])</f>
        <v>PSS NINA</v>
      </c>
      <c r="C643" s="11" t="str">
        <f>_xlfn.XLOOKUP(Customer[[#This Row],[Customer ID]],[1]!Name[ID],[1]!Name[Description(2)])</f>
        <v>PS SERI MANJUNG, SETIAWAN</v>
      </c>
      <c r="D643" s="11" t="str">
        <f>_xlfn.XLOOKUP(Customer[[#This Row],[Customer ID]],[1]!Address[ID],[1]!Address[PIC])</f>
        <v/>
      </c>
      <c r="E643" s="11" t="str">
        <f>_xlfn.XLOOKUP(Customer[[#This Row],[Customer ID]],[1]!Address[ID],[1]!Address[Full Address])</f>
        <v>PS SERI MANJUNG, SETIAWANPLOT 4, BANDAR BARU SERI MANJUNG,SETIAWAN, 32400, MANJUNG, PERAK</v>
      </c>
      <c r="F643" s="12" t="s">
        <v>4617</v>
      </c>
      <c r="G643" s="12" t="s">
        <v>4618</v>
      </c>
      <c r="H643" s="12" t="s">
        <v>4619</v>
      </c>
      <c r="I643" s="12" t="b">
        <f>ISNUMBER(VALUE(LEFT(Customer[[#This Row],[Address Line 3 (30 char)]],1)))</f>
        <v>0</v>
      </c>
      <c r="J643" s="12" t="s">
        <v>387</v>
      </c>
      <c r="K643" s="12">
        <v>32400</v>
      </c>
      <c r="L643" s="12" t="s">
        <v>35</v>
      </c>
      <c r="M643" s="13" t="e">
        <v>#N/A</v>
      </c>
      <c r="N643" s="14" t="e">
        <v>#N/A</v>
      </c>
      <c r="O643" s="14" t="e">
        <v>#N/A</v>
      </c>
      <c r="P643" s="14" t="e">
        <v>#N/A</v>
      </c>
      <c r="Q643" s="19" t="s">
        <v>4620</v>
      </c>
      <c r="R643" s="15" t="s">
        <v>4621</v>
      </c>
      <c r="S643" s="15" t="s">
        <v>37</v>
      </c>
      <c r="T643" s="16" t="s">
        <v>38</v>
      </c>
      <c r="U643" s="11" t="str">
        <f>_xlfn.XLOOKUP(Customer[[#This Row],[Customer ID]],[1]!Address[ID],[1]!Address[Phone No.(2)])</f>
        <v/>
      </c>
      <c r="V643" s="11" t="str">
        <f>_xlfn.XLOOKUP(Customer[[#This Row],[Customer ID]],[1]!Address[ID],[1]!Address[Type])</f>
        <v>PETROMART</v>
      </c>
      <c r="W643" s="11" t="str">
        <f>_xlfn.XLOOKUP(Customer[[#This Row],[Customer ID]],[1]!Address[ID],[1]!Address[CT])</f>
        <v>30 DAYS</v>
      </c>
      <c r="X643" s="11" t="s">
        <v>39</v>
      </c>
      <c r="Y643" s="17" t="s">
        <v>40</v>
      </c>
      <c r="Z643" s="17" t="e">
        <f>_xlfn.XLOOKUP(Customer[[#This Row],[NewType]],$AF$36:$AF$54,$AG$36:$AG$54)</f>
        <v>#N/A</v>
      </c>
      <c r="AA643" s="17" t="s">
        <v>4622</v>
      </c>
      <c r="AB643" s="11" t="str">
        <f>_xlfn.XLOOKUP(Customer[[#This Row],[Customer ID]],[1]!Address[ID],[1]!Address[Subtype])</f>
        <v>PETRONAS</v>
      </c>
      <c r="AC643" s="18" t="str">
        <f>_xlfn.XLOOKUP(Customer[[#This Row],[Customer ID]],[1]!Address[ID],[1]!Address[Zone])</f>
        <v>NORTH</v>
      </c>
    </row>
    <row r="644" spans="1:29" x14ac:dyDescent="0.3">
      <c r="A644" s="10" t="s">
        <v>4623</v>
      </c>
      <c r="B644" s="11" t="str">
        <f>_xlfn.XLOOKUP(Customer[[#This Row],[Customer ID]],[1]!Name[ID],[1]!Name[Description(1)])</f>
        <v>SAHABAT MESRA ENTERISE</v>
      </c>
      <c r="C644" s="11" t="str">
        <f>_xlfn.XLOOKUP(Customer[[#This Row],[Customer ID]],[1]!Name[ID],[1]!Name[Description(2)])</f>
        <v>PS SETAPAK INDAH</v>
      </c>
      <c r="D644" s="11" t="str">
        <f>_xlfn.XLOOKUP(Customer[[#This Row],[Customer ID]],[1]!Address[ID],[1]!Address[PIC])</f>
        <v/>
      </c>
      <c r="E644" s="11" t="str">
        <f>_xlfn.XLOOKUP(Customer[[#This Row],[Customer ID]],[1]!Address[ID],[1]!Address[Full Address])</f>
        <v>PS SETAPAK INDAHLOT PT 2381, JALAN 1A/6,TAMAN SETAPAK INDAH, 53000,PERSEKUTUAN KUALA LUMPUR,W PERSEKUTUAN</v>
      </c>
      <c r="F644" s="12" t="s">
        <v>4624</v>
      </c>
      <c r="G644" s="12" t="s">
        <v>4625</v>
      </c>
      <c r="H644" s="12" t="s">
        <v>4626</v>
      </c>
      <c r="I644" s="12" t="b">
        <f>ISNUMBER(VALUE(LEFT(Customer[[#This Row],[Address Line 3 (30 char)]],1)))</f>
        <v>0</v>
      </c>
      <c r="J644" s="12" t="s">
        <v>172</v>
      </c>
      <c r="K644" s="12">
        <v>53000</v>
      </c>
      <c r="L644" s="12" t="s">
        <v>35</v>
      </c>
      <c r="M644" s="13">
        <v>200503183962</v>
      </c>
      <c r="N644" s="14" t="s">
        <v>4627</v>
      </c>
      <c r="O644" s="14" t="e">
        <v>#N/A</v>
      </c>
      <c r="P644" s="14" t="e">
        <v>#N/A</v>
      </c>
      <c r="Q644" s="19" t="s">
        <v>4628</v>
      </c>
      <c r="R644" s="15" t="s">
        <v>4629</v>
      </c>
      <c r="S644" s="15" t="s">
        <v>65</v>
      </c>
      <c r="T644" s="16" t="s">
        <v>38</v>
      </c>
      <c r="U644" s="11" t="str">
        <f>_xlfn.XLOOKUP(Customer[[#This Row],[Customer ID]],[1]!Address[ID],[1]!Address[Phone No.(2)])</f>
        <v/>
      </c>
      <c r="V644" s="11" t="str">
        <f>_xlfn.XLOOKUP(Customer[[#This Row],[Customer ID]],[1]!Address[ID],[1]!Address[Type])</f>
        <v>PETROMART</v>
      </c>
      <c r="W644" s="11" t="str">
        <f>_xlfn.XLOOKUP(Customer[[#This Row],[Customer ID]],[1]!Address[ID],[1]!Address[CT])</f>
        <v>30 DAYS</v>
      </c>
      <c r="X644" s="11" t="s">
        <v>39</v>
      </c>
      <c r="Y644" s="17" t="s">
        <v>40</v>
      </c>
      <c r="Z644" s="17" t="e">
        <f>_xlfn.XLOOKUP(Customer[[#This Row],[NewType]],$AF$36:$AF$54,$AG$36:$AG$54)</f>
        <v>#N/A</v>
      </c>
      <c r="AA644" s="17" t="s">
        <v>4630</v>
      </c>
      <c r="AB644" s="11" t="str">
        <f>_xlfn.XLOOKUP(Customer[[#This Row],[Customer ID]],[1]!Address[ID],[1]!Address[Subtype])</f>
        <v>PETRONAS</v>
      </c>
      <c r="AC644" s="18" t="str">
        <f>_xlfn.XLOOKUP(Customer[[#This Row],[Customer ID]],[1]!Address[ID],[1]!Address[Zone])</f>
        <v>CENTRAL</v>
      </c>
    </row>
    <row r="645" spans="1:29" x14ac:dyDescent="0.3">
      <c r="A645" s="10" t="s">
        <v>4631</v>
      </c>
      <c r="B645" s="11" t="str">
        <f>_xlfn.XLOOKUP(Customer[[#This Row],[Customer ID]],[1]!Name[ID],[1]!Name[Description(1)])</f>
        <v>KHAUTHAR ENTERPRISE</v>
      </c>
      <c r="C645" s="11" t="str">
        <f>_xlfn.XLOOKUP(Customer[[#This Row],[Customer ID]],[1]!Name[ID],[1]!Name[Description(2)])</f>
        <v>PS SETIA TROPIKA</v>
      </c>
      <c r="D645" s="11" t="str">
        <f>_xlfn.XLOOKUP(Customer[[#This Row],[Customer ID]],[1]!Address[ID],[1]!Address[PIC])</f>
        <v>Yusairi</v>
      </c>
      <c r="E645" s="11" t="str">
        <f>_xlfn.XLOOKUP(Customer[[#This Row],[Customer ID]],[1]!Address[ID],[1]!Address[Full Address])</f>
        <v>PS SETIA TROPIKALOT 131972, HSD 437874,TAMAN SETIA TROPIKA, MUKIM TEBRAU,81200 JOHOR BAHRU, JOHOR</v>
      </c>
      <c r="F645" s="12" t="s">
        <v>4632</v>
      </c>
      <c r="G645" s="12" t="s">
        <v>4633</v>
      </c>
      <c r="H645" s="12" t="s">
        <v>4634</v>
      </c>
      <c r="I645" s="12" t="b">
        <f>ISNUMBER(VALUE(LEFT(Customer[[#This Row],[Address Line 3 (30 char)]],1)))</f>
        <v>0</v>
      </c>
      <c r="J645" s="12" t="s">
        <v>1995</v>
      </c>
      <c r="K645" s="12">
        <v>81200</v>
      </c>
      <c r="L645" s="12" t="s">
        <v>35</v>
      </c>
      <c r="M645" s="13" t="e">
        <v>#N/A</v>
      </c>
      <c r="N645" s="14" t="s">
        <v>4635</v>
      </c>
      <c r="O645" s="14" t="e">
        <v>#N/A</v>
      </c>
      <c r="P645" s="14" t="e">
        <v>#N/A</v>
      </c>
      <c r="Q645" s="19" t="s">
        <v>4636</v>
      </c>
      <c r="R645" s="15" t="s">
        <v>4637</v>
      </c>
      <c r="S645" s="15" t="s">
        <v>37</v>
      </c>
      <c r="T645" s="16" t="s">
        <v>38</v>
      </c>
      <c r="U645" s="11" t="str">
        <f>_xlfn.XLOOKUP(Customer[[#This Row],[Customer ID]],[1]!Address[ID],[1]!Address[Phone No.(2)])</f>
        <v/>
      </c>
      <c r="V645" s="11" t="str">
        <f>_xlfn.XLOOKUP(Customer[[#This Row],[Customer ID]],[1]!Address[ID],[1]!Address[Type])</f>
        <v>PETROMART</v>
      </c>
      <c r="W645" s="11" t="str">
        <f>_xlfn.XLOOKUP(Customer[[#This Row],[Customer ID]],[1]!Address[ID],[1]!Address[CT])</f>
        <v>30 DAYS</v>
      </c>
      <c r="X645" s="11" t="s">
        <v>39</v>
      </c>
      <c r="Y645" s="17" t="s">
        <v>40</v>
      </c>
      <c r="Z645" s="17" t="e">
        <f>_xlfn.XLOOKUP(Customer[[#This Row],[NewType]],$AF$36:$AF$54,$AG$36:$AG$54)</f>
        <v>#N/A</v>
      </c>
      <c r="AA645" s="17" t="s">
        <v>4638</v>
      </c>
      <c r="AB645" s="11" t="str">
        <f>_xlfn.XLOOKUP(Customer[[#This Row],[Customer ID]],[1]!Address[ID],[1]!Address[Subtype])</f>
        <v>PETRONAS</v>
      </c>
      <c r="AC645" s="18" t="str">
        <f>_xlfn.XLOOKUP(Customer[[#This Row],[Customer ID]],[1]!Address[ID],[1]!Address[Zone])</f>
        <v>SOUTH</v>
      </c>
    </row>
    <row r="646" spans="1:29" x14ac:dyDescent="0.3">
      <c r="A646" s="10" t="s">
        <v>4639</v>
      </c>
      <c r="B646" s="11" t="str">
        <f>_xlfn.XLOOKUP(Customer[[#This Row],[Customer ID]],[1]!Name[ID],[1]!Name[Description(1)])</f>
        <v>TRIDENT RESOURCES SDN BHD</v>
      </c>
      <c r="C646" s="11" t="str">
        <f>_xlfn.XLOOKUP(Customer[[#This Row],[Customer ID]],[1]!Name[ID],[1]!Name[Description(2)])</f>
        <v>PS SG BAKAP LAYBY</v>
      </c>
      <c r="D646" s="11" t="str">
        <f>_xlfn.XLOOKUP(Customer[[#This Row],[Customer ID]],[1]!Address[ID],[1]!Address[PIC])</f>
        <v/>
      </c>
      <c r="E646" s="11" t="str">
        <f>_xlfn.XLOOKUP(Customer[[#This Row],[Customer ID]],[1]!Address[ID],[1]!Address[Full Address])</f>
        <v>PS SG BAKAP LAYBYLOT 20100, BERSEBELAHAN HENTIAN REHAT SG(ARAH SELATAN), LEBUHRAYA UTARA SELATAN,MUKIM12, 14200 SUNGAI BAKAP,PULAU PINANG</v>
      </c>
      <c r="F646" s="12" t="s">
        <v>4640</v>
      </c>
      <c r="G646" s="12" t="s">
        <v>4641</v>
      </c>
      <c r="H646" s="12" t="s">
        <v>4642</v>
      </c>
      <c r="I646" s="12" t="b">
        <f>ISNUMBER(VALUE(LEFT(Customer[[#This Row],[Address Line 3 (30 char)]],1)))</f>
        <v>0</v>
      </c>
      <c r="J646" s="12" t="s">
        <v>179</v>
      </c>
      <c r="K646" s="12">
        <v>14200</v>
      </c>
      <c r="L646" s="12" t="s">
        <v>35</v>
      </c>
      <c r="M646" s="13" t="e">
        <v>#N/A</v>
      </c>
      <c r="N646" s="14" t="e">
        <v>#N/A</v>
      </c>
      <c r="O646" s="14" t="e">
        <v>#N/A</v>
      </c>
      <c r="P646" s="14" t="e">
        <v>#N/A</v>
      </c>
      <c r="Q646" s="19" t="s">
        <v>4643</v>
      </c>
      <c r="R646" s="15" t="s">
        <v>4644</v>
      </c>
      <c r="S646" s="15" t="s">
        <v>74</v>
      </c>
      <c r="T646" s="16" t="s">
        <v>38</v>
      </c>
      <c r="U646" s="11" t="str">
        <f>_xlfn.XLOOKUP(Customer[[#This Row],[Customer ID]],[1]!Address[ID],[1]!Address[Phone No.(2)])</f>
        <v/>
      </c>
      <c r="V646" s="11" t="str">
        <f>_xlfn.XLOOKUP(Customer[[#This Row],[Customer ID]],[1]!Address[ID],[1]!Address[Type])</f>
        <v>PETROMART</v>
      </c>
      <c r="W646" s="11" t="str">
        <f>_xlfn.XLOOKUP(Customer[[#This Row],[Customer ID]],[1]!Address[ID],[1]!Address[CT])</f>
        <v>30 DAYS</v>
      </c>
      <c r="X646" s="11" t="s">
        <v>39</v>
      </c>
      <c r="Y646" s="17" t="s">
        <v>40</v>
      </c>
      <c r="Z646" s="17" t="e">
        <f>_xlfn.XLOOKUP(Customer[[#This Row],[NewType]],$AF$36:$AF$54,$AG$36:$AG$54)</f>
        <v>#N/A</v>
      </c>
      <c r="AA646" s="17" t="s">
        <v>4645</v>
      </c>
      <c r="AB646" s="11" t="str">
        <f>_xlfn.XLOOKUP(Customer[[#This Row],[Customer ID]],[1]!Address[ID],[1]!Address[Subtype])</f>
        <v>PETRONAS</v>
      </c>
      <c r="AC646" s="18" t="str">
        <f>_xlfn.XLOOKUP(Customer[[#This Row],[Customer ID]],[1]!Address[ID],[1]!Address[Zone])</f>
        <v>NORTH</v>
      </c>
    </row>
    <row r="647" spans="1:29" x14ac:dyDescent="0.3">
      <c r="A647" s="10" t="s">
        <v>4646</v>
      </c>
      <c r="B647" s="11" t="str">
        <f>_xlfn.XLOOKUP(Customer[[#This Row],[Customer ID]],[1]!Name[ID],[1]!Name[Description(1)])</f>
        <v>SRI ANGGERIK ENTERPRISE</v>
      </c>
      <c r="C647" s="11" t="str">
        <f>_xlfn.XLOOKUP(Customer[[#This Row],[Customer ID]],[1]!Name[ID],[1]!Name[Description(2)])</f>
        <v>PS SG BULOH COUNTRY RESORT</v>
      </c>
      <c r="D647" s="11" t="str">
        <f>_xlfn.XLOOKUP(Customer[[#This Row],[Customer ID]],[1]!Address[ID],[1]!Address[PIC])</f>
        <v/>
      </c>
      <c r="E647" s="11" t="str">
        <f>_xlfn.XLOOKUP(Customer[[#This Row],[Customer ID]],[1]!Address[ID],[1]!Address[Full Address])</f>
        <v>PS SG BULOH COUNTRY RESORTLOT 1661 HS(D) 3142,MUKIM IJOK SUNGAI BULOH COUNTRY RESORT,SUNGAI BULOH,47000, PETALING, SELANGOR</v>
      </c>
      <c r="F647" s="12" t="s">
        <v>4647</v>
      </c>
      <c r="G647" s="12" t="s">
        <v>4648</v>
      </c>
      <c r="H647" s="12" t="s">
        <v>4649</v>
      </c>
      <c r="I647" s="12" t="b">
        <f>ISNUMBER(VALUE(LEFT(Customer[[#This Row],[Address Line 3 (30 char)]],1)))</f>
        <v>0</v>
      </c>
      <c r="J647" s="12" t="s">
        <v>172</v>
      </c>
      <c r="K647" s="12">
        <v>47000</v>
      </c>
      <c r="L647" s="12" t="s">
        <v>35</v>
      </c>
      <c r="M647" s="13" t="e">
        <v>#N/A</v>
      </c>
      <c r="N647" s="14" t="e">
        <v>#N/A</v>
      </c>
      <c r="O647" s="14" t="e">
        <v>#N/A</v>
      </c>
      <c r="P647" s="14" t="e">
        <v>#N/A</v>
      </c>
      <c r="Q647" s="19" t="s">
        <v>4650</v>
      </c>
      <c r="R647" s="15" t="s">
        <v>4651</v>
      </c>
      <c r="S647" s="15" t="s">
        <v>37</v>
      </c>
      <c r="T647" s="16" t="s">
        <v>38</v>
      </c>
      <c r="U647" s="11" t="str">
        <f>_xlfn.XLOOKUP(Customer[[#This Row],[Customer ID]],[1]!Address[ID],[1]!Address[Phone No.(2)])</f>
        <v/>
      </c>
      <c r="V647" s="11" t="str">
        <f>_xlfn.XLOOKUP(Customer[[#This Row],[Customer ID]],[1]!Address[ID],[1]!Address[Type])</f>
        <v>PETROMART</v>
      </c>
      <c r="W647" s="11" t="str">
        <f>_xlfn.XLOOKUP(Customer[[#This Row],[Customer ID]],[1]!Address[ID],[1]!Address[CT])</f>
        <v>30 DAYS</v>
      </c>
      <c r="X647" s="11" t="s">
        <v>39</v>
      </c>
      <c r="Y647" s="17" t="s">
        <v>40</v>
      </c>
      <c r="Z647" s="17" t="e">
        <f>_xlfn.XLOOKUP(Customer[[#This Row],[NewType]],$AF$36:$AF$54,$AG$36:$AG$54)</f>
        <v>#N/A</v>
      </c>
      <c r="AA647" s="17" t="s">
        <v>4652</v>
      </c>
      <c r="AB647" s="11" t="str">
        <f>_xlfn.XLOOKUP(Customer[[#This Row],[Customer ID]],[1]!Address[ID],[1]!Address[Subtype])</f>
        <v>PETRONAS</v>
      </c>
      <c r="AC647" s="18" t="str">
        <f>_xlfn.XLOOKUP(Customer[[#This Row],[Customer ID]],[1]!Address[ID],[1]!Address[Zone])</f>
        <v>CENTRAL</v>
      </c>
    </row>
    <row r="648" spans="1:29" x14ac:dyDescent="0.3">
      <c r="A648" s="10" t="s">
        <v>4653</v>
      </c>
      <c r="B648" s="11" t="str">
        <f>_xlfn.XLOOKUP(Customer[[#This Row],[Customer ID]],[1]!Name[ID],[1]!Name[Description(1)])</f>
        <v>QALIQ HS ENTERPRISE</v>
      </c>
      <c r="C648" s="11" t="str">
        <f>_xlfn.XLOOKUP(Customer[[#This Row],[Customer ID]],[1]!Name[ID],[1]!Name[Description(2)])</f>
        <v>PS SG BULOH LAYBY</v>
      </c>
      <c r="D648" s="11" t="str">
        <f>_xlfn.XLOOKUP(Customer[[#This Row],[Customer ID]],[1]!Address[ID],[1]!Address[PIC])</f>
        <v/>
      </c>
      <c r="E648" s="11" t="str">
        <f>_xlfn.XLOOKUP(Customer[[#This Row],[Customer ID]],[1]!Address[ID],[1]!Address[Full Address])</f>
        <v>PS SG BULOH LAYBYKM 453, SUNGAI BULOH LAYBY (KL BOUND),PLUS, NSE,47000 PETALING, SELANGOR</v>
      </c>
      <c r="F648" s="12" t="s">
        <v>4654</v>
      </c>
      <c r="G648" s="12" t="s">
        <v>4655</v>
      </c>
      <c r="H648" s="12" t="s">
        <v>4656</v>
      </c>
      <c r="I648" s="12" t="b">
        <f>ISNUMBER(VALUE(LEFT(Customer[[#This Row],[Address Line 3 (30 char)]],1)))</f>
        <v>0</v>
      </c>
      <c r="J648" s="12" t="s">
        <v>172</v>
      </c>
      <c r="K648" s="12">
        <v>47000</v>
      </c>
      <c r="L648" s="12" t="s">
        <v>35</v>
      </c>
      <c r="M648" s="13" t="e">
        <v>#N/A</v>
      </c>
      <c r="N648" s="14" t="e">
        <v>#N/A</v>
      </c>
      <c r="O648" s="14" t="e">
        <v>#N/A</v>
      </c>
      <c r="P648" s="14" t="e">
        <v>#N/A</v>
      </c>
      <c r="Q648" s="19" t="s">
        <v>4657</v>
      </c>
      <c r="R648" s="15" t="s">
        <v>4658</v>
      </c>
      <c r="S648" s="15" t="s">
        <v>37</v>
      </c>
      <c r="T648" s="16" t="s">
        <v>38</v>
      </c>
      <c r="U648" s="11" t="str">
        <f>_xlfn.XLOOKUP(Customer[[#This Row],[Customer ID]],[1]!Address[ID],[1]!Address[Phone No.(2)])</f>
        <v/>
      </c>
      <c r="V648" s="11" t="str">
        <f>_xlfn.XLOOKUP(Customer[[#This Row],[Customer ID]],[1]!Address[ID],[1]!Address[Type])</f>
        <v>PETROMART</v>
      </c>
      <c r="W648" s="11" t="str">
        <f>_xlfn.XLOOKUP(Customer[[#This Row],[Customer ID]],[1]!Address[ID],[1]!Address[CT])</f>
        <v>30 DAYS</v>
      </c>
      <c r="X648" s="11" t="s">
        <v>39</v>
      </c>
      <c r="Y648" s="17" t="s">
        <v>40</v>
      </c>
      <c r="Z648" s="17" t="e">
        <f>_xlfn.XLOOKUP(Customer[[#This Row],[NewType]],$AF$36:$AF$54,$AG$36:$AG$54)</f>
        <v>#N/A</v>
      </c>
      <c r="AA648" s="17" t="s">
        <v>4659</v>
      </c>
      <c r="AB648" s="11" t="str">
        <f>_xlfn.XLOOKUP(Customer[[#This Row],[Customer ID]],[1]!Address[ID],[1]!Address[Subtype])</f>
        <v>PETRONAS</v>
      </c>
      <c r="AC648" s="18" t="str">
        <f>_xlfn.XLOOKUP(Customer[[#This Row],[Customer ID]],[1]!Address[ID],[1]!Address[Zone])</f>
        <v>CENTRAL</v>
      </c>
    </row>
    <row r="649" spans="1:29" x14ac:dyDescent="0.3">
      <c r="A649" s="10" t="s">
        <v>4660</v>
      </c>
      <c r="B649" s="11" t="str">
        <f>_xlfn.XLOOKUP(Customer[[#This Row],[Customer ID]],[1]!Name[ID],[1]!Name[Description(1)])</f>
        <v>STESYEN MINYAK BONDA</v>
      </c>
      <c r="C649" s="11" t="str">
        <f>_xlfn.XLOOKUP(Customer[[#This Row],[Customer ID]],[1]!Name[ID],[1]!Name[Description(2)])</f>
        <v>PS SG PELEK</v>
      </c>
      <c r="D649" s="11" t="str">
        <f>_xlfn.XLOOKUP(Customer[[#This Row],[Customer ID]],[1]!Address[ID],[1]!Address[PIC])</f>
        <v/>
      </c>
      <c r="E649" s="11" t="str">
        <f>_xlfn.XLOOKUP(Customer[[#This Row],[Customer ID]],[1]!Address[ID],[1]!Address[Full Address])</f>
        <v>PS SG PELEKPT 9616, NO.2, JALAN H1,TAMAN HARMONI IMPIAN,PEKAN SUNGAI PELEK43950, SEPANG, SELANGO</v>
      </c>
      <c r="F649" s="12" t="s">
        <v>4661</v>
      </c>
      <c r="G649" s="12" t="s">
        <v>4662</v>
      </c>
      <c r="H649" s="12" t="s">
        <v>4663</v>
      </c>
      <c r="I649" s="12" t="b">
        <f>ISNUMBER(VALUE(LEFT(Customer[[#This Row],[Address Line 3 (30 char)]],1)))</f>
        <v>0</v>
      </c>
      <c r="J649" s="12" t="s">
        <v>172</v>
      </c>
      <c r="K649" s="12">
        <v>43950</v>
      </c>
      <c r="L649" s="12" t="s">
        <v>35</v>
      </c>
      <c r="M649" s="13">
        <v>201403035887</v>
      </c>
      <c r="N649" s="14" t="s">
        <v>4664</v>
      </c>
      <c r="O649" s="14" t="s">
        <v>54</v>
      </c>
      <c r="P649" s="14">
        <v>47300</v>
      </c>
      <c r="Q649" s="19" t="s">
        <v>4665</v>
      </c>
      <c r="R649" s="15" t="s">
        <v>4666</v>
      </c>
      <c r="S649" s="15" t="s">
        <v>37</v>
      </c>
      <c r="T649" s="16" t="s">
        <v>38</v>
      </c>
      <c r="U649" s="11" t="str">
        <f>_xlfn.XLOOKUP(Customer[[#This Row],[Customer ID]],[1]!Address[ID],[1]!Address[Phone No.(2)])</f>
        <v/>
      </c>
      <c r="V649" s="11" t="str">
        <f>_xlfn.XLOOKUP(Customer[[#This Row],[Customer ID]],[1]!Address[ID],[1]!Address[Type])</f>
        <v>PETROMART</v>
      </c>
      <c r="W649" s="11" t="str">
        <f>_xlfn.XLOOKUP(Customer[[#This Row],[Customer ID]],[1]!Address[ID],[1]!Address[CT])</f>
        <v>30 DAYS</v>
      </c>
      <c r="X649" s="11" t="s">
        <v>39</v>
      </c>
      <c r="Y649" s="17" t="s">
        <v>40</v>
      </c>
      <c r="Z649" s="17" t="e">
        <f>_xlfn.XLOOKUP(Customer[[#This Row],[NewType]],$AF$36:$AF$54,$AG$36:$AG$54)</f>
        <v>#N/A</v>
      </c>
      <c r="AA649" s="17" t="s">
        <v>4667</v>
      </c>
      <c r="AB649" s="11" t="str">
        <f>_xlfn.XLOOKUP(Customer[[#This Row],[Customer ID]],[1]!Address[ID],[1]!Address[Subtype])</f>
        <v>PETRONAS</v>
      </c>
      <c r="AC649" s="18" t="str">
        <f>_xlfn.XLOOKUP(Customer[[#This Row],[Customer ID]],[1]!Address[ID],[1]!Address[Zone])</f>
        <v>CENTRAL</v>
      </c>
    </row>
    <row r="650" spans="1:29" x14ac:dyDescent="0.3">
      <c r="A650" s="10" t="s">
        <v>4668</v>
      </c>
      <c r="B650" s="11" t="str">
        <f>_xlfn.XLOOKUP(Customer[[#This Row],[Customer ID]],[1]!Name[ID],[1]!Name[Description(1)])</f>
        <v>NAZRA RESOURCES</v>
      </c>
      <c r="C650" s="11" t="str">
        <f>_xlfn.XLOOKUP(Customer[[#This Row],[Customer ID]],[1]!Name[ID],[1]!Name[Description(2)])</f>
        <v>PS SHAPADU HIGHWAY</v>
      </c>
      <c r="D650" s="11" t="str">
        <f>_xlfn.XLOOKUP(Customer[[#This Row],[Customer ID]],[1]!Address[ID],[1]!Address[PIC])</f>
        <v/>
      </c>
      <c r="E650" s="11" t="str">
        <f>_xlfn.XLOOKUP(Customer[[#This Row],[Customer ID]],[1]!Address[ID],[1]!Address[Full Address])</f>
        <v>PS SHAPADU HIGHWAYLOT 52, KAWASAN R&amp;R,LEBUHRAYA BARU SHAPADU,41400, KLANG, SELANGOR</v>
      </c>
      <c r="F650" s="12" t="s">
        <v>4669</v>
      </c>
      <c r="G650" s="12" t="s">
        <v>4670</v>
      </c>
      <c r="H650" s="12" t="s">
        <v>4671</v>
      </c>
      <c r="I650" s="12" t="b">
        <f>ISNUMBER(VALUE(LEFT(Customer[[#This Row],[Address Line 3 (30 char)]],1)))</f>
        <v>0</v>
      </c>
      <c r="J650" s="12" t="s">
        <v>172</v>
      </c>
      <c r="K650" s="12">
        <v>41400</v>
      </c>
      <c r="L650" s="12" t="s">
        <v>35</v>
      </c>
      <c r="M650" s="13" t="e">
        <v>#N/A</v>
      </c>
      <c r="N650" s="14" t="e">
        <v>#N/A</v>
      </c>
      <c r="O650" s="14" t="e">
        <v>#N/A</v>
      </c>
      <c r="P650" s="14" t="e">
        <v>#N/A</v>
      </c>
      <c r="Q650" s="19" t="s">
        <v>4672</v>
      </c>
      <c r="R650" s="15" t="s">
        <v>4673</v>
      </c>
      <c r="S650" s="15" t="s">
        <v>37</v>
      </c>
      <c r="T650" s="16" t="s">
        <v>38</v>
      </c>
      <c r="U650" s="11" t="str">
        <f>_xlfn.XLOOKUP(Customer[[#This Row],[Customer ID]],[1]!Address[ID],[1]!Address[Phone No.(2)])</f>
        <v/>
      </c>
      <c r="V650" s="11" t="str">
        <f>_xlfn.XLOOKUP(Customer[[#This Row],[Customer ID]],[1]!Address[ID],[1]!Address[Type])</f>
        <v>PETROMART</v>
      </c>
      <c r="W650" s="11" t="str">
        <f>_xlfn.XLOOKUP(Customer[[#This Row],[Customer ID]],[1]!Address[ID],[1]!Address[CT])</f>
        <v>30 DAYS</v>
      </c>
      <c r="X650" s="11" t="s">
        <v>39</v>
      </c>
      <c r="Y650" s="17" t="s">
        <v>40</v>
      </c>
      <c r="Z650" s="17" t="e">
        <f>_xlfn.XLOOKUP(Customer[[#This Row],[NewType]],$AF$36:$AF$54,$AG$36:$AG$54)</f>
        <v>#N/A</v>
      </c>
      <c r="AA650" s="17" t="s">
        <v>4674</v>
      </c>
      <c r="AB650" s="11" t="str">
        <f>_xlfn.XLOOKUP(Customer[[#This Row],[Customer ID]],[1]!Address[ID],[1]!Address[Subtype])</f>
        <v>PETRONAS</v>
      </c>
      <c r="AC650" s="18" t="str">
        <f>_xlfn.XLOOKUP(Customer[[#This Row],[Customer ID]],[1]!Address[ID],[1]!Address[Zone])</f>
        <v>CENTRAL</v>
      </c>
    </row>
    <row r="651" spans="1:29" x14ac:dyDescent="0.3">
      <c r="A651" s="27" t="s">
        <v>4675</v>
      </c>
      <c r="B651" s="28" t="str">
        <f>_xlfn.XLOOKUP(Customer[[#This Row],[Customer ID]],[1]!Name[ID],[1]!Name[Description(1)])</f>
        <v>KOPERASI LLM BERHAD</v>
      </c>
      <c r="C651" s="11" t="str">
        <f>_xlfn.XLOOKUP(Customer[[#This Row],[Customer ID]],[1]!Name[ID],[1]!Name[Description(2)])</f>
        <v>PS SILK HIGHWAY</v>
      </c>
      <c r="D651" s="11" t="str">
        <f>_xlfn.XLOOKUP(Customer[[#This Row],[Customer ID]],[1]!Address[ID],[1]!Address[PIC])</f>
        <v>TAN LIN LIN</v>
      </c>
      <c r="E651" s="11" t="str">
        <f>_xlfn.XLOOKUP(Customer[[#This Row],[Customer ID]],[1]!Address[ID],[1]!Address[Full Address])</f>
        <v>PS SILK HIGHWAYKAWASAN HENTIAN SEBELAH L/RAYA SUNGAIRAMAL, L/RAYA LINGKARAN KAJANG,43000, ULU LANGAT, SELANGOR</v>
      </c>
      <c r="F651" s="12" t="s">
        <v>4676</v>
      </c>
      <c r="G651" s="12" t="s">
        <v>4677</v>
      </c>
      <c r="H651" s="12" t="s">
        <v>4678</v>
      </c>
      <c r="I651" s="12" t="b">
        <f>ISNUMBER(VALUE(LEFT(Customer[[#This Row],[Address Line 3 (30 char)]],1)))</f>
        <v>0</v>
      </c>
      <c r="J651" s="12" t="s">
        <v>172</v>
      </c>
      <c r="K651" s="12">
        <v>43000</v>
      </c>
      <c r="L651" s="12" t="s">
        <v>35</v>
      </c>
      <c r="M651" s="31">
        <v>200403079260</v>
      </c>
      <c r="N651" s="14" t="s">
        <v>4679</v>
      </c>
      <c r="O651" s="14" t="s">
        <v>156</v>
      </c>
      <c r="P651" s="14">
        <v>47300</v>
      </c>
      <c r="Q651" s="19" t="s">
        <v>4680</v>
      </c>
      <c r="R651" s="15" t="s">
        <v>4681</v>
      </c>
      <c r="S651" s="15" t="s">
        <v>65</v>
      </c>
      <c r="T651" s="16" t="s">
        <v>38</v>
      </c>
      <c r="U651" s="11" t="str">
        <f>_xlfn.XLOOKUP(Customer[[#This Row],[Customer ID]],[1]!Address[ID],[1]!Address[Phone No.(2)])</f>
        <v/>
      </c>
      <c r="V651" s="11" t="str">
        <f>_xlfn.XLOOKUP(Customer[[#This Row],[Customer ID]],[1]!Address[ID],[1]!Address[Type])</f>
        <v>PETROMART</v>
      </c>
      <c r="W651" s="11" t="str">
        <f>_xlfn.XLOOKUP(Customer[[#This Row],[Customer ID]],[1]!Address[ID],[1]!Address[CT])</f>
        <v>30 DAYS</v>
      </c>
      <c r="X651" s="11" t="s">
        <v>39</v>
      </c>
      <c r="Y651" s="17" t="s">
        <v>40</v>
      </c>
      <c r="Z651" s="17" t="e">
        <f>_xlfn.XLOOKUP(Customer[[#This Row],[NewType]],$AF$36:$AF$54,$AG$36:$AG$54)</f>
        <v>#N/A</v>
      </c>
      <c r="AA651" s="17" t="s">
        <v>4682</v>
      </c>
      <c r="AB651" s="11" t="str">
        <f>_xlfn.XLOOKUP(Customer[[#This Row],[Customer ID]],[1]!Address[ID],[1]!Address[Subtype])</f>
        <v>PETRONAS</v>
      </c>
      <c r="AC651" s="18" t="str">
        <f>_xlfn.XLOOKUP(Customer[[#This Row],[Customer ID]],[1]!Address[ID],[1]!Address[Zone])</f>
        <v>CENTRAL</v>
      </c>
    </row>
    <row r="652" spans="1:29" x14ac:dyDescent="0.3">
      <c r="A652" s="10" t="s">
        <v>4683</v>
      </c>
      <c r="B652" s="11" t="str">
        <f>_xlfn.XLOOKUP(Customer[[#This Row],[Customer ID]],[1]!Name[ID],[1]!Name[Description(1)])</f>
        <v>RRAZ SYNERGY SDN. BHD.</v>
      </c>
      <c r="C652" s="11" t="str">
        <f>_xlfn.XLOOKUP(Customer[[#This Row],[Customer ID]],[1]!Name[ID],[1]!Name[Description(2)])</f>
        <v>PS SILK HIGHWAY 2</v>
      </c>
      <c r="D652" s="11" t="str">
        <f>_xlfn.XLOOKUP(Customer[[#This Row],[Customer ID]],[1]!Address[ID],[1]!Address[PIC])</f>
        <v/>
      </c>
      <c r="E652" s="11" t="str">
        <f>_xlfn.XLOOKUP(Customer[[#This Row],[Customer ID]],[1]!Address[ID],[1]!Address[Full Address])</f>
        <v>PS SILK HIGHWAY 2LOT 44116, KM 26.8, LEBUHRAYA SILK(ARAH KAJANG),43300 ULU LANGAT, SELANGOR</v>
      </c>
      <c r="F652" s="12" t="s">
        <v>4684</v>
      </c>
      <c r="G652" s="12" t="s">
        <v>4685</v>
      </c>
      <c r="H652" s="12" t="s">
        <v>324</v>
      </c>
      <c r="I652" s="12" t="b">
        <f>ISNUMBER(VALUE(LEFT(Customer[[#This Row],[Address Line 3 (30 char)]],1)))</f>
        <v>0</v>
      </c>
      <c r="J652" s="12" t="s">
        <v>172</v>
      </c>
      <c r="K652" s="12">
        <v>43300</v>
      </c>
      <c r="L652" s="12" t="s">
        <v>35</v>
      </c>
      <c r="M652" s="13" t="e">
        <v>#N/A</v>
      </c>
      <c r="N652" s="14" t="e">
        <v>#N/A</v>
      </c>
      <c r="O652" s="14" t="e">
        <v>#N/A</v>
      </c>
      <c r="P652" s="14" t="e">
        <v>#N/A</v>
      </c>
      <c r="Q652" s="19" t="s">
        <v>4686</v>
      </c>
      <c r="R652" s="15" t="s">
        <v>4687</v>
      </c>
      <c r="S652" s="15" t="s">
        <v>37</v>
      </c>
      <c r="T652" s="16" t="s">
        <v>38</v>
      </c>
      <c r="U652" s="11" t="str">
        <f>_xlfn.XLOOKUP(Customer[[#This Row],[Customer ID]],[1]!Address[ID],[1]!Address[Phone No.(2)])</f>
        <v/>
      </c>
      <c r="V652" s="11" t="str">
        <f>_xlfn.XLOOKUP(Customer[[#This Row],[Customer ID]],[1]!Address[ID],[1]!Address[Type])</f>
        <v>PETROMART</v>
      </c>
      <c r="W652" s="11" t="str">
        <f>_xlfn.XLOOKUP(Customer[[#This Row],[Customer ID]],[1]!Address[ID],[1]!Address[CT])</f>
        <v>30 DAYS</v>
      </c>
      <c r="X652" s="11" t="s">
        <v>39</v>
      </c>
      <c r="Y652" s="17" t="s">
        <v>40</v>
      </c>
      <c r="Z652" s="17" t="e">
        <f>_xlfn.XLOOKUP(Customer[[#This Row],[NewType]],$AF$36:$AF$54,$AG$36:$AG$54)</f>
        <v>#N/A</v>
      </c>
      <c r="AA652" s="17" t="s">
        <v>4688</v>
      </c>
      <c r="AB652" s="11" t="str">
        <f>_xlfn.XLOOKUP(Customer[[#This Row],[Customer ID]],[1]!Address[ID],[1]!Address[Subtype])</f>
        <v>PETRONAS</v>
      </c>
      <c r="AC652" s="18" t="str">
        <f>_xlfn.XLOOKUP(Customer[[#This Row],[Customer ID]],[1]!Address[ID],[1]!Address[Zone])</f>
        <v>CENTRAL</v>
      </c>
    </row>
    <row r="653" spans="1:29" x14ac:dyDescent="0.3">
      <c r="A653" s="10" t="s">
        <v>4689</v>
      </c>
      <c r="B653" s="11" t="str">
        <f>_xlfn.XLOOKUP(Customer[[#This Row],[Customer ID]],[1]!Name[ID],[1]!Name[Description(1)])</f>
        <v>EM DYNAMIC ADVENTURE</v>
      </c>
      <c r="C653" s="11" t="str">
        <f>_xlfn.XLOOKUP(Customer[[#This Row],[Customer ID]],[1]!Name[ID],[1]!Name[Description(2)])</f>
        <v>PS SIMPANG AMPAT 2</v>
      </c>
      <c r="D653" s="11" t="str">
        <f>_xlfn.XLOOKUP(Customer[[#This Row],[Customer ID]],[1]!Address[ID],[1]!Address[PIC])</f>
        <v/>
      </c>
      <c r="E653" s="11" t="str">
        <f>_xlfn.XLOOKUP(Customer[[#This Row],[Customer ID]],[1]!Address[ID],[1]!Address[Full Address])</f>
        <v>PS SIMPANG AMPAT 2LOT 3609, MUKIM 15, SIMPANG EMPAT,14100 SEBERANG PERAI SELATAN,PULAU PINANG</v>
      </c>
      <c r="F653" s="12" t="s">
        <v>4690</v>
      </c>
      <c r="G653" s="12" t="s">
        <v>4691</v>
      </c>
      <c r="H653" s="12" t="s">
        <v>4692</v>
      </c>
      <c r="I653" s="12" t="b">
        <f>ISNUMBER(VALUE(LEFT(Customer[[#This Row],[Address Line 3 (30 char)]],1)))</f>
        <v>0</v>
      </c>
      <c r="J653" s="12" t="s">
        <v>179</v>
      </c>
      <c r="K653" s="12">
        <v>14100</v>
      </c>
      <c r="L653" s="12" t="s">
        <v>35</v>
      </c>
      <c r="M653" s="13">
        <v>199103016865</v>
      </c>
      <c r="N653" s="14" t="s">
        <v>4693</v>
      </c>
      <c r="O653" s="14" t="e">
        <v>#N/A</v>
      </c>
      <c r="P653" s="14" t="e">
        <v>#N/A</v>
      </c>
      <c r="Q653" s="19" t="s">
        <v>4694</v>
      </c>
      <c r="R653" s="15" t="s">
        <v>4695</v>
      </c>
      <c r="S653" s="15" t="s">
        <v>74</v>
      </c>
      <c r="T653" s="16" t="s">
        <v>38</v>
      </c>
      <c r="U653" s="11" t="str">
        <f>_xlfn.XLOOKUP(Customer[[#This Row],[Customer ID]],[1]!Address[ID],[1]!Address[Phone No.(2)])</f>
        <v/>
      </c>
      <c r="V653" s="11" t="str">
        <f>_xlfn.XLOOKUP(Customer[[#This Row],[Customer ID]],[1]!Address[ID],[1]!Address[Type])</f>
        <v>PETROMART</v>
      </c>
      <c r="W653" s="11" t="str">
        <f>_xlfn.XLOOKUP(Customer[[#This Row],[Customer ID]],[1]!Address[ID],[1]!Address[CT])</f>
        <v>30 DAYS</v>
      </c>
      <c r="X653" s="11" t="s">
        <v>39</v>
      </c>
      <c r="Y653" s="17" t="s">
        <v>40</v>
      </c>
      <c r="Z653" s="17" t="e">
        <f>_xlfn.XLOOKUP(Customer[[#This Row],[NewType]],$AF$36:$AF$54,$AG$36:$AG$54)</f>
        <v>#N/A</v>
      </c>
      <c r="AA653" s="17" t="s">
        <v>4696</v>
      </c>
      <c r="AB653" s="11" t="str">
        <f>_xlfn.XLOOKUP(Customer[[#This Row],[Customer ID]],[1]!Address[ID],[1]!Address[Subtype])</f>
        <v>PETRONAS</v>
      </c>
      <c r="AC653" s="18" t="str">
        <f>_xlfn.XLOOKUP(Customer[[#This Row],[Customer ID]],[1]!Address[ID],[1]!Address[Zone])</f>
        <v>NORTH</v>
      </c>
    </row>
    <row r="654" spans="1:29" x14ac:dyDescent="0.3">
      <c r="A654" s="10" t="s">
        <v>4697</v>
      </c>
      <c r="B654" s="11" t="str">
        <f>_xlfn.XLOOKUP(Customer[[#This Row],[Customer ID]],[1]!Name[ID],[1]!Name[Description(1)])</f>
        <v>AKUDIA 2 ENTERPRISE</v>
      </c>
      <c r="C654" s="11" t="str">
        <f>_xlfn.XLOOKUP(Customer[[#This Row],[Customer ID]],[1]!Name[ID],[1]!Name[Description(2)])</f>
        <v>PS SIMPANG DURIAN</v>
      </c>
      <c r="D654" s="11" t="str">
        <f>_xlfn.XLOOKUP(Customer[[#This Row],[Customer ID]],[1]!Address[ID],[1]!Address[PIC])</f>
        <v/>
      </c>
      <c r="E654" s="11" t="str">
        <f>_xlfn.XLOOKUP(Customer[[#This Row],[Customer ID]],[1]!Address[ID],[1]!Address[Full Address])</f>
        <v>PS SIMPANG DURIANLOT 3897PEKAN SIMPANG DURIAN JELEBU72400 SIMPANG DURIAN   NEGERI SEMBILAN</v>
      </c>
      <c r="F654" s="12" t="s">
        <v>4698</v>
      </c>
      <c r="G654" s="12" t="s">
        <v>4699</v>
      </c>
      <c r="H654" s="12" t="s">
        <v>4700</v>
      </c>
      <c r="I654" s="12" t="b">
        <f>ISNUMBER(VALUE(LEFT(Customer[[#This Row],[Address Line 3 (30 char)]],1)))</f>
        <v>0</v>
      </c>
      <c r="J654" s="12" t="s">
        <v>203</v>
      </c>
      <c r="K654" s="12">
        <v>72400</v>
      </c>
      <c r="L654" s="12" t="s">
        <v>35</v>
      </c>
      <c r="M654" s="13" t="e">
        <v>#N/A</v>
      </c>
      <c r="N654" s="14" t="e">
        <v>#N/A</v>
      </c>
      <c r="O654" s="14" t="e">
        <v>#N/A</v>
      </c>
      <c r="P654" s="14" t="e">
        <v>#N/A</v>
      </c>
      <c r="Q654" s="19" t="s">
        <v>4586</v>
      </c>
      <c r="R654" s="15" t="s">
        <v>4587</v>
      </c>
      <c r="S654" s="15" t="s">
        <v>37</v>
      </c>
      <c r="T654" s="16" t="s">
        <v>38</v>
      </c>
      <c r="U654" s="11" t="str">
        <f>_xlfn.XLOOKUP(Customer[[#This Row],[Customer ID]],[1]!Address[ID],[1]!Address[Phone No.(2)])</f>
        <v/>
      </c>
      <c r="V654" s="11" t="str">
        <f>_xlfn.XLOOKUP(Customer[[#This Row],[Customer ID]],[1]!Address[ID],[1]!Address[Type])</f>
        <v>PETROMART</v>
      </c>
      <c r="W654" s="11" t="str">
        <f>_xlfn.XLOOKUP(Customer[[#This Row],[Customer ID]],[1]!Address[ID],[1]!Address[CT])</f>
        <v>30 DAYS</v>
      </c>
      <c r="X654" s="11" t="s">
        <v>39</v>
      </c>
      <c r="Y654" s="17" t="s">
        <v>40</v>
      </c>
      <c r="Z654" s="17" t="e">
        <f>_xlfn.XLOOKUP(Customer[[#This Row],[NewType]],$AF$36:$AF$54,$AG$36:$AG$54)</f>
        <v>#N/A</v>
      </c>
      <c r="AA654" s="17" t="s">
        <v>4701</v>
      </c>
      <c r="AB654" s="11" t="str">
        <f>_xlfn.XLOOKUP(Customer[[#This Row],[Customer ID]],[1]!Address[ID],[1]!Address[Subtype])</f>
        <v>PETRONAS</v>
      </c>
      <c r="AC654" s="18" t="str">
        <f>_xlfn.XLOOKUP(Customer[[#This Row],[Customer ID]],[1]!Address[ID],[1]!Address[Zone])</f>
        <v>CENTRAL</v>
      </c>
    </row>
    <row r="655" spans="1:29" x14ac:dyDescent="0.3">
      <c r="A655" s="10" t="s">
        <v>4702</v>
      </c>
      <c r="B655" s="11" t="str">
        <f>_xlfn.XLOOKUP(Customer[[#This Row],[Customer ID]],[1]!Name[ID],[1]!Name[Description(1)])</f>
        <v>S/M &amp; SERVIS SERI ADUKA</v>
      </c>
      <c r="C655" s="11" t="str">
        <f>_xlfn.XLOOKUP(Customer[[#This Row],[Customer ID]],[1]!Name[ID],[1]!Name[Description(2)])</f>
        <v>PS SIMPANG EMPAT,MELAKA</v>
      </c>
      <c r="D655" s="11" t="str">
        <f>_xlfn.XLOOKUP(Customer[[#This Row],[Customer ID]],[1]!Address[ID],[1]!Address[PIC])</f>
        <v/>
      </c>
      <c r="E655" s="11" t="str">
        <f>_xlfn.XLOOKUP(Customer[[#This Row],[Customer ID]],[1]!Address[ID],[1]!Address[Full Address])</f>
        <v>PS SIMPANG EMPAT,MELAKALOT 1686, TABOH NANING,SIMPANG EMPAT,78000 ALOR GAJAH, MELAKA</v>
      </c>
      <c r="F655" s="12" t="s">
        <v>4703</v>
      </c>
      <c r="G655" s="12" t="s">
        <v>4704</v>
      </c>
      <c r="H655" s="12" t="s">
        <v>4705</v>
      </c>
      <c r="I655" s="12" t="b">
        <f>ISNUMBER(VALUE(LEFT(Customer[[#This Row],[Address Line 3 (30 char)]],1)))</f>
        <v>0</v>
      </c>
      <c r="J655" s="12" t="s">
        <v>61</v>
      </c>
      <c r="K655" s="12">
        <v>78000</v>
      </c>
      <c r="L655" s="12" t="s">
        <v>35</v>
      </c>
      <c r="M655" s="13">
        <v>199103016865</v>
      </c>
      <c r="N655" s="14" t="s">
        <v>4693</v>
      </c>
      <c r="O655" s="14" t="e">
        <v>#N/A</v>
      </c>
      <c r="P655" s="14" t="e">
        <v>#N/A</v>
      </c>
      <c r="Q655" s="19" t="s">
        <v>4706</v>
      </c>
      <c r="R655" s="15" t="s">
        <v>4707</v>
      </c>
      <c r="S655" s="15" t="s">
        <v>37</v>
      </c>
      <c r="T655" s="16" t="s">
        <v>38</v>
      </c>
      <c r="U655" s="11" t="str">
        <f>_xlfn.XLOOKUP(Customer[[#This Row],[Customer ID]],[1]!Address[ID],[1]!Address[Phone No.(2)])</f>
        <v/>
      </c>
      <c r="V655" s="11" t="str">
        <f>_xlfn.XLOOKUP(Customer[[#This Row],[Customer ID]],[1]!Address[ID],[1]!Address[Type])</f>
        <v>PETROMART</v>
      </c>
      <c r="W655" s="11" t="str">
        <f>_xlfn.XLOOKUP(Customer[[#This Row],[Customer ID]],[1]!Address[ID],[1]!Address[CT])</f>
        <v>30 DAYS</v>
      </c>
      <c r="X655" s="11" t="s">
        <v>39</v>
      </c>
      <c r="Y655" s="17" t="s">
        <v>40</v>
      </c>
      <c r="Z655" s="17" t="e">
        <f>_xlfn.XLOOKUP(Customer[[#This Row],[NewType]],$AF$36:$AF$54,$AG$36:$AG$54)</f>
        <v>#N/A</v>
      </c>
      <c r="AA655" s="17" t="s">
        <v>4708</v>
      </c>
      <c r="AB655" s="11" t="str">
        <f>_xlfn.XLOOKUP(Customer[[#This Row],[Customer ID]],[1]!Address[ID],[1]!Address[Subtype])</f>
        <v>PETRONAS</v>
      </c>
      <c r="AC655" s="18" t="str">
        <f>_xlfn.XLOOKUP(Customer[[#This Row],[Customer ID]],[1]!Address[ID],[1]!Address[Zone])</f>
        <v>SOUTH</v>
      </c>
    </row>
    <row r="656" spans="1:29" x14ac:dyDescent="0.3">
      <c r="A656" s="10" t="s">
        <v>4709</v>
      </c>
      <c r="B656" s="11" t="str">
        <f>_xlfn.XLOOKUP(Customer[[#This Row],[Customer ID]],[1]!Name[ID],[1]!Name[Description(1)])</f>
        <v>STESEN MINYAK ZAINUDDIN</v>
      </c>
      <c r="C656" s="11" t="str">
        <f>_xlfn.XLOOKUP(Customer[[#This Row],[Customer ID]],[1]!Name[ID],[1]!Name[Description(2)])</f>
        <v>PS SIMPANG KANAN 1, BATU PAHAT</v>
      </c>
      <c r="D656" s="11" t="str">
        <f>_xlfn.XLOOKUP(Customer[[#This Row],[Customer ID]],[1]!Address[ID],[1]!Address[PIC])</f>
        <v/>
      </c>
      <c r="E656" s="11" t="str">
        <f>_xlfn.XLOOKUP(Customer[[#This Row],[Customer ID]],[1]!Address[ID],[1]!Address[Full Address])</f>
        <v>PS SIMPANG KANAN 1, BATU PAHATLOT PTD 26878 MUKIM SIMPANG KANAN,JALAN KLUANG, BATU PAHAT83000 JOHOR</v>
      </c>
      <c r="F656" s="12" t="s">
        <v>4710</v>
      </c>
      <c r="G656" s="12" t="s">
        <v>4711</v>
      </c>
      <c r="H656" s="12" t="s">
        <v>4712</v>
      </c>
      <c r="I656" s="12" t="b">
        <f>ISNUMBER(VALUE(LEFT(Customer[[#This Row],[Address Line 3 (30 char)]],1)))</f>
        <v>0</v>
      </c>
      <c r="J656" s="12" t="s">
        <v>52</v>
      </c>
      <c r="K656" s="12">
        <v>83000</v>
      </c>
      <c r="L656" s="12" t="s">
        <v>35</v>
      </c>
      <c r="M656" s="13" t="e">
        <v>#N/A</v>
      </c>
      <c r="N656" s="14" t="e">
        <v>#N/A</v>
      </c>
      <c r="O656" s="14" t="e">
        <v>#N/A</v>
      </c>
      <c r="P656" s="14" t="e">
        <v>#N/A</v>
      </c>
      <c r="Q656" s="19" t="s">
        <v>4713</v>
      </c>
      <c r="R656" s="15" t="s">
        <v>4714</v>
      </c>
      <c r="S656" s="15" t="s">
        <v>37</v>
      </c>
      <c r="T656" s="16" t="s">
        <v>38</v>
      </c>
      <c r="U656" s="11" t="str">
        <f>_xlfn.XLOOKUP(Customer[[#This Row],[Customer ID]],[1]!Address[ID],[1]!Address[Phone No.(2)])</f>
        <v/>
      </c>
      <c r="V656" s="11" t="str">
        <f>_xlfn.XLOOKUP(Customer[[#This Row],[Customer ID]],[1]!Address[ID],[1]!Address[Type])</f>
        <v>PETROMART</v>
      </c>
      <c r="W656" s="11" t="str">
        <f>_xlfn.XLOOKUP(Customer[[#This Row],[Customer ID]],[1]!Address[ID],[1]!Address[CT])</f>
        <v>30 DAYS</v>
      </c>
      <c r="X656" s="11" t="s">
        <v>39</v>
      </c>
      <c r="Y656" s="17" t="s">
        <v>40</v>
      </c>
      <c r="Z656" s="17" t="e">
        <f>_xlfn.XLOOKUP(Customer[[#This Row],[NewType]],$AF$36:$AF$54,$AG$36:$AG$54)</f>
        <v>#N/A</v>
      </c>
      <c r="AA656" s="17" t="s">
        <v>4715</v>
      </c>
      <c r="AB656" s="11" t="str">
        <f>_xlfn.XLOOKUP(Customer[[#This Row],[Customer ID]],[1]!Address[ID],[1]!Address[Subtype])</f>
        <v>PETRONAS</v>
      </c>
      <c r="AC656" s="18" t="str">
        <f>_xlfn.XLOOKUP(Customer[[#This Row],[Customer ID]],[1]!Address[ID],[1]!Address[Zone])</f>
        <v>SOUTH</v>
      </c>
    </row>
    <row r="657" spans="1:29" x14ac:dyDescent="0.3">
      <c r="A657" s="10" t="s">
        <v>4716</v>
      </c>
      <c r="B657" s="11" t="str">
        <f>_xlfn.XLOOKUP(Customer[[#This Row],[Customer ID]],[1]!Name[ID],[1]!Name[Description(1)])</f>
        <v>ZAINAH HASSAN ENTERPRISE</v>
      </c>
      <c r="C657" s="11" t="str">
        <f>_xlfn.XLOOKUP(Customer[[#This Row],[Customer ID]],[1]!Name[ID],[1]!Name[Description(2)])</f>
        <v>PS SIMPANG KANAN 2 (SOUTH 2)</v>
      </c>
      <c r="D657" s="11" t="str">
        <f>_xlfn.XLOOKUP(Customer[[#This Row],[Customer ID]],[1]!Address[ID],[1]!Address[PIC])</f>
        <v/>
      </c>
      <c r="E657" s="11" t="str">
        <f>_xlfn.XLOOKUP(Customer[[#This Row],[Customer ID]],[1]!Address[ID],[1]!Address[Full Address])</f>
        <v>PS SIMPANG KANAN 2 (SOUTH 2)LOT PTD 33878, MKM SIMPANG KANAN,KM 7 JALAN KLUANG,83000, BATU PAHAT, JOHOR</v>
      </c>
      <c r="F657" s="12" t="s">
        <v>4717</v>
      </c>
      <c r="G657" s="12" t="s">
        <v>4718</v>
      </c>
      <c r="H657" s="12" t="s">
        <v>4712</v>
      </c>
      <c r="I657" s="12" t="b">
        <f>ISNUMBER(VALUE(LEFT(Customer[[#This Row],[Address Line 3 (30 char)]],1)))</f>
        <v>0</v>
      </c>
      <c r="J657" s="12" t="s">
        <v>52</v>
      </c>
      <c r="K657" s="12">
        <v>83000</v>
      </c>
      <c r="L657" s="12" t="s">
        <v>35</v>
      </c>
      <c r="M657" s="13" t="e">
        <v>#N/A</v>
      </c>
      <c r="N657" s="14" t="e">
        <v>#N/A</v>
      </c>
      <c r="O657" s="14" t="e">
        <v>#N/A</v>
      </c>
      <c r="P657" s="14" t="e">
        <v>#N/A</v>
      </c>
      <c r="Q657" s="19" t="s">
        <v>4719</v>
      </c>
      <c r="R657" s="15" t="s">
        <v>4720</v>
      </c>
      <c r="S657" s="15" t="s">
        <v>37</v>
      </c>
      <c r="T657" s="16" t="s">
        <v>38</v>
      </c>
      <c r="U657" s="11" t="str">
        <f>_xlfn.XLOOKUP(Customer[[#This Row],[Customer ID]],[1]!Address[ID],[1]!Address[Phone No.(2)])</f>
        <v/>
      </c>
      <c r="V657" s="11" t="str">
        <f>_xlfn.XLOOKUP(Customer[[#This Row],[Customer ID]],[1]!Address[ID],[1]!Address[Type])</f>
        <v>PETROMART</v>
      </c>
      <c r="W657" s="11" t="str">
        <f>_xlfn.XLOOKUP(Customer[[#This Row],[Customer ID]],[1]!Address[ID],[1]!Address[CT])</f>
        <v>30 DAYS</v>
      </c>
      <c r="X657" s="11" t="s">
        <v>39</v>
      </c>
      <c r="Y657" s="17" t="s">
        <v>40</v>
      </c>
      <c r="Z657" s="17" t="e">
        <f>_xlfn.XLOOKUP(Customer[[#This Row],[NewType]],$AF$36:$AF$54,$AG$36:$AG$54)</f>
        <v>#N/A</v>
      </c>
      <c r="AA657" s="17" t="s">
        <v>4721</v>
      </c>
      <c r="AB657" s="11" t="str">
        <f>_xlfn.XLOOKUP(Customer[[#This Row],[Customer ID]],[1]!Address[ID],[1]!Address[Subtype])</f>
        <v>PETRONAS</v>
      </c>
      <c r="AC657" s="18" t="str">
        <f>_xlfn.XLOOKUP(Customer[[#This Row],[Customer ID]],[1]!Address[ID],[1]!Address[Zone])</f>
        <v>SOUTH</v>
      </c>
    </row>
    <row r="658" spans="1:29" x14ac:dyDescent="0.3">
      <c r="A658" s="10" t="s">
        <v>4722</v>
      </c>
      <c r="B658" s="11" t="str">
        <f>_xlfn.XLOOKUP(Customer[[#This Row],[Customer ID]],[1]!Name[ID],[1]!Name[Description(1)])</f>
        <v>MESRA BIQ MOTOR FUELS (M) SDN</v>
      </c>
      <c r="C658" s="11" t="str">
        <f>_xlfn.XLOOKUP(Customer[[#This Row],[Customer ID]],[1]!Name[ID],[1]!Name[Description(2)])</f>
        <v>PS SIMPANG KANAN,JLN BUKIT PASIR</v>
      </c>
      <c r="D658" s="11" t="str">
        <f>_xlfn.XLOOKUP(Customer[[#This Row],[Customer ID]],[1]!Address[ID],[1]!Address[PIC])</f>
        <v/>
      </c>
      <c r="E658" s="11" t="str">
        <f>_xlfn.XLOOKUP(Customer[[#This Row],[Customer ID]],[1]!Address[ID],[1]!Address[Full Address])</f>
        <v>PS SIMPANG KANAN,JLN BUKIT PASIRLOTPT 44263, MUKIM SIMPANG KANAN,JALAN BUKIT PASIR,83000 BATU PAHAT, JOHOR</v>
      </c>
      <c r="F658" s="12" t="s">
        <v>4723</v>
      </c>
      <c r="G658" s="12" t="s">
        <v>4724</v>
      </c>
      <c r="H658" s="12" t="s">
        <v>4725</v>
      </c>
      <c r="I658" s="12" t="b">
        <f>ISNUMBER(VALUE(LEFT(Customer[[#This Row],[Address Line 3 (30 char)]],1)))</f>
        <v>0</v>
      </c>
      <c r="J658" s="12" t="s">
        <v>52</v>
      </c>
      <c r="K658" s="12">
        <v>83000</v>
      </c>
      <c r="L658" s="12" t="s">
        <v>35</v>
      </c>
      <c r="M658" s="13" t="e">
        <v>#N/A</v>
      </c>
      <c r="N658" s="14" t="e">
        <v>#N/A</v>
      </c>
      <c r="O658" s="14" t="e">
        <v>#N/A</v>
      </c>
      <c r="P658" s="14" t="e">
        <v>#N/A</v>
      </c>
      <c r="Q658" s="19" t="s">
        <v>4726</v>
      </c>
      <c r="R658" s="15" t="s">
        <v>3319</v>
      </c>
      <c r="S658" s="15" t="s">
        <v>37</v>
      </c>
      <c r="T658" s="16" t="s">
        <v>38</v>
      </c>
      <c r="U658" s="11" t="str">
        <f>_xlfn.XLOOKUP(Customer[[#This Row],[Customer ID]],[1]!Address[ID],[1]!Address[Phone No.(2)])</f>
        <v/>
      </c>
      <c r="V658" s="11" t="str">
        <f>_xlfn.XLOOKUP(Customer[[#This Row],[Customer ID]],[1]!Address[ID],[1]!Address[Type])</f>
        <v>PETROMART</v>
      </c>
      <c r="W658" s="11" t="str">
        <f>_xlfn.XLOOKUP(Customer[[#This Row],[Customer ID]],[1]!Address[ID],[1]!Address[CT])</f>
        <v>30 DAYS</v>
      </c>
      <c r="X658" s="11" t="s">
        <v>39</v>
      </c>
      <c r="Y658" s="17" t="s">
        <v>40</v>
      </c>
      <c r="Z658" s="17" t="e">
        <f>_xlfn.XLOOKUP(Customer[[#This Row],[NewType]],$AF$36:$AF$54,$AG$36:$AG$54)</f>
        <v>#N/A</v>
      </c>
      <c r="AA658" s="17" t="s">
        <v>4727</v>
      </c>
      <c r="AB658" s="11" t="str">
        <f>_xlfn.XLOOKUP(Customer[[#This Row],[Customer ID]],[1]!Address[ID],[1]!Address[Subtype])</f>
        <v>PETRONAS</v>
      </c>
      <c r="AC658" s="18" t="str">
        <f>_xlfn.XLOOKUP(Customer[[#This Row],[Customer ID]],[1]!Address[ID],[1]!Address[Zone])</f>
        <v>SOUTH</v>
      </c>
    </row>
    <row r="659" spans="1:29" x14ac:dyDescent="0.3">
      <c r="A659" s="10" t="s">
        <v>4728</v>
      </c>
      <c r="B659" s="11" t="str">
        <f>_xlfn.XLOOKUP(Customer[[#This Row],[Customer ID]],[1]!Name[ID],[1]!Name[Description(1)])</f>
        <v>AXFAR ENTERPRISE</v>
      </c>
      <c r="C659" s="11" t="str">
        <f>_xlfn.XLOOKUP(Customer[[#This Row],[Customer ID]],[1]!Name[ID],[1]!Name[Description(2)])</f>
        <v>PS SIMPANG PULAI (NORTH 2)</v>
      </c>
      <c r="D659" s="11" t="str">
        <f>_xlfn.XLOOKUP(Customer[[#This Row],[Customer ID]],[1]!Address[ID],[1]!Address[PIC])</f>
        <v/>
      </c>
      <c r="E659" s="11" t="str">
        <f>_xlfn.XLOOKUP(Customer[[#This Row],[Customer ID]],[1]!Address[ID],[1]!Address[Full Address])</f>
        <v>PS SIMPANG PULAI (NORTH 2)LOT 128025, TAMAN BERSATU, SIMPANG PULAIKAMPUNG KEPAYANG, 31300, KINTA, PERAK</v>
      </c>
      <c r="F659" s="12" t="s">
        <v>4729</v>
      </c>
      <c r="G659" s="12" t="s">
        <v>4730</v>
      </c>
      <c r="H659" s="12" t="s">
        <v>4731</v>
      </c>
      <c r="I659" s="12" t="b">
        <f>ISNUMBER(VALUE(LEFT(Customer[[#This Row],[Address Line 3 (30 char)]],1)))</f>
        <v>0</v>
      </c>
      <c r="J659" s="12" t="s">
        <v>387</v>
      </c>
      <c r="K659" s="12">
        <v>31300</v>
      </c>
      <c r="L659" s="12" t="s">
        <v>35</v>
      </c>
      <c r="M659" s="13" t="e">
        <v>#N/A</v>
      </c>
      <c r="N659" s="14" t="e">
        <v>#N/A</v>
      </c>
      <c r="O659" s="14" t="e">
        <v>#N/A</v>
      </c>
      <c r="P659" s="14" t="e">
        <v>#N/A</v>
      </c>
      <c r="Q659" s="19" t="s">
        <v>4732</v>
      </c>
      <c r="R659" s="15" t="s">
        <v>4733</v>
      </c>
      <c r="S659" s="15" t="s">
        <v>37</v>
      </c>
      <c r="T659" s="16" t="s">
        <v>38</v>
      </c>
      <c r="U659" s="11" t="str">
        <f>_xlfn.XLOOKUP(Customer[[#This Row],[Customer ID]],[1]!Address[ID],[1]!Address[Phone No.(2)])</f>
        <v/>
      </c>
      <c r="V659" s="11" t="str">
        <f>_xlfn.XLOOKUP(Customer[[#This Row],[Customer ID]],[1]!Address[ID],[1]!Address[Type])</f>
        <v>PETROMART</v>
      </c>
      <c r="W659" s="11" t="str">
        <f>_xlfn.XLOOKUP(Customer[[#This Row],[Customer ID]],[1]!Address[ID],[1]!Address[CT])</f>
        <v>30 DAYS</v>
      </c>
      <c r="X659" s="11" t="s">
        <v>39</v>
      </c>
      <c r="Y659" s="17" t="s">
        <v>40</v>
      </c>
      <c r="Z659" s="17" t="e">
        <f>_xlfn.XLOOKUP(Customer[[#This Row],[NewType]],$AF$36:$AF$54,$AG$36:$AG$54)</f>
        <v>#N/A</v>
      </c>
      <c r="AA659" s="17" t="s">
        <v>4734</v>
      </c>
      <c r="AB659" s="11" t="str">
        <f>_xlfn.XLOOKUP(Customer[[#This Row],[Customer ID]],[1]!Address[ID],[1]!Address[Subtype])</f>
        <v>PETRONAS</v>
      </c>
      <c r="AC659" s="18" t="str">
        <f>_xlfn.XLOOKUP(Customer[[#This Row],[Customer ID]],[1]!Address[ID],[1]!Address[Zone])</f>
        <v>NORTH</v>
      </c>
    </row>
    <row r="660" spans="1:29" x14ac:dyDescent="0.3">
      <c r="A660" s="10" t="s">
        <v>4735</v>
      </c>
      <c r="B660" s="11" t="str">
        <f>_xlfn.XLOOKUP(Customer[[#This Row],[Customer ID]],[1]!Name[ID],[1]!Name[Description(1)])</f>
        <v>ANDAMAS NIAGA</v>
      </c>
      <c r="C660" s="11" t="str">
        <f>_xlfn.XLOOKUP(Customer[[#This Row],[Customer ID]],[1]!Name[ID],[1]!Name[Description(2)])</f>
        <v>PS SIMPANG PULAI R&amp;R (NORTH BOUND)-OLD</v>
      </c>
      <c r="D660" s="11" t="str">
        <f>_xlfn.XLOOKUP(Customer[[#This Row],[Customer ID]],[1]!Address[ID],[1]!Address[PIC])</f>
        <v/>
      </c>
      <c r="E660" s="11" t="str">
        <f>_xlfn.XLOOKUP(Customer[[#This Row],[Customer ID]],[1]!Address[ID],[1]!Address[Full Address])</f>
        <v>PS SIMPANG PULAI R&amp;R (NORTH BOUND)-OLDSIMPANG PULAI LAYBY, LEBUHRAYAPLUS (ARAH UTARA),31300 IPOH, PERAK</v>
      </c>
      <c r="F660" s="12"/>
      <c r="G660" s="12" t="s">
        <v>4736</v>
      </c>
      <c r="H660" s="12" t="s">
        <v>4737</v>
      </c>
      <c r="I660" s="12" t="b">
        <f>ISNUMBER(VALUE(LEFT(Customer[[#This Row],[Address Line 3 (30 char)]],1)))</f>
        <v>0</v>
      </c>
      <c r="J660" s="12" t="s">
        <v>387</v>
      </c>
      <c r="K660" s="12">
        <v>31300</v>
      </c>
      <c r="L660" s="12" t="s">
        <v>35</v>
      </c>
      <c r="M660" s="13" t="e">
        <v>#N/A</v>
      </c>
      <c r="N660" s="14" t="e">
        <v>#N/A</v>
      </c>
      <c r="O660" s="14" t="e">
        <v>#N/A</v>
      </c>
      <c r="P660" s="14" t="e">
        <v>#N/A</v>
      </c>
      <c r="Q660" s="19" t="s">
        <v>4738</v>
      </c>
      <c r="R660" s="15" t="s">
        <v>4739</v>
      </c>
      <c r="S660" s="15" t="s">
        <v>37</v>
      </c>
      <c r="T660" s="16" t="s">
        <v>38</v>
      </c>
      <c r="U660" s="11" t="str">
        <f>_xlfn.XLOOKUP(Customer[[#This Row],[Customer ID]],[1]!Address[ID],[1]!Address[Phone No.(2)])</f>
        <v/>
      </c>
      <c r="V660" s="11" t="str">
        <f>_xlfn.XLOOKUP(Customer[[#This Row],[Customer ID]],[1]!Address[ID],[1]!Address[Type])</f>
        <v>PETROMART</v>
      </c>
      <c r="W660" s="11" t="str">
        <f>_xlfn.XLOOKUP(Customer[[#This Row],[Customer ID]],[1]!Address[ID],[1]!Address[CT])</f>
        <v>30 DAYS</v>
      </c>
      <c r="X660" s="11" t="s">
        <v>39</v>
      </c>
      <c r="Y660" s="17" t="s">
        <v>40</v>
      </c>
      <c r="Z660" s="17" t="e">
        <f>_xlfn.XLOOKUP(Customer[[#This Row],[NewType]],$AF$36:$AF$54,$AG$36:$AG$54)</f>
        <v>#N/A</v>
      </c>
      <c r="AA660" s="17" t="s">
        <v>4740</v>
      </c>
      <c r="AB660" s="11" t="str">
        <f>_xlfn.XLOOKUP(Customer[[#This Row],[Customer ID]],[1]!Address[ID],[1]!Address[Subtype])</f>
        <v>PETRONAS</v>
      </c>
      <c r="AC660" s="18" t="str">
        <f>_xlfn.XLOOKUP(Customer[[#This Row],[Customer ID]],[1]!Address[ID],[1]!Address[Zone])</f>
        <v>NORTH</v>
      </c>
    </row>
    <row r="661" spans="1:29" x14ac:dyDescent="0.3">
      <c r="A661" s="10" t="s">
        <v>4741</v>
      </c>
      <c r="B661" s="11" t="str">
        <f>_xlfn.XLOOKUP(Customer[[#This Row],[Customer ID]],[1]!Name[ID],[1]!Name[Description(1)])</f>
        <v>FASTRICHONE SDN BHD</v>
      </c>
      <c r="C661" s="11" t="str">
        <f>_xlfn.XLOOKUP(Customer[[#This Row],[Customer ID]],[1]!Name[ID],[1]!Name[Description(2)])</f>
        <v>PS SIMPANG PULAI R&amp;R (NORTH BOUND)-NEW</v>
      </c>
      <c r="D661" s="11" t="str">
        <f>_xlfn.XLOOKUP(Customer[[#This Row],[Customer ID]],[1]!Address[ID],[1]!Address[PIC])</f>
        <v/>
      </c>
      <c r="E661" s="11" t="str">
        <f>_xlfn.XLOOKUP(Customer[[#This Row],[Customer ID]],[1]!Address[ID],[1]!Address[Full Address])</f>
        <v>PS SIMPANG PULAI R&amp;R (NORTH BOUND)-NEWSIMPANG PULAI LAYBY, LEBUHRAYA PLUS(ARAH UTARA), IPOH 31300 PERAK</v>
      </c>
      <c r="F661" s="12" t="s">
        <v>4742</v>
      </c>
      <c r="G661" s="12" t="s">
        <v>4743</v>
      </c>
      <c r="H661" s="12" t="s">
        <v>4744</v>
      </c>
      <c r="I661" s="12" t="b">
        <f>ISNUMBER(VALUE(LEFT(Customer[[#This Row],[Address Line 3 (30 char)]],1)))</f>
        <v>0</v>
      </c>
      <c r="J661" s="12" t="s">
        <v>387</v>
      </c>
      <c r="K661" s="12">
        <v>31300</v>
      </c>
      <c r="L661" s="12" t="s">
        <v>35</v>
      </c>
      <c r="M661" s="13" t="e">
        <v>#N/A</v>
      </c>
      <c r="N661" s="14" t="e">
        <v>#N/A</v>
      </c>
      <c r="O661" s="14" t="e">
        <v>#N/A</v>
      </c>
      <c r="P661" s="14" t="e">
        <v>#N/A</v>
      </c>
      <c r="Q661" s="19" t="s">
        <v>4745</v>
      </c>
      <c r="R661" s="15" t="s">
        <v>4746</v>
      </c>
      <c r="S661" s="15" t="s">
        <v>37</v>
      </c>
      <c r="T661" s="16" t="s">
        <v>38</v>
      </c>
      <c r="U661" s="11" t="str">
        <f>_xlfn.XLOOKUP(Customer[[#This Row],[Customer ID]],[1]!Address[ID],[1]!Address[Phone No.(2)])</f>
        <v/>
      </c>
      <c r="V661" s="11" t="str">
        <f>_xlfn.XLOOKUP(Customer[[#This Row],[Customer ID]],[1]!Address[ID],[1]!Address[Type])</f>
        <v>PETROMART</v>
      </c>
      <c r="W661" s="11" t="str">
        <f>_xlfn.XLOOKUP(Customer[[#This Row],[Customer ID]],[1]!Address[ID],[1]!Address[CT])</f>
        <v>30 DAYS</v>
      </c>
      <c r="X661" s="11" t="s">
        <v>39</v>
      </c>
      <c r="Y661" s="17" t="s">
        <v>40</v>
      </c>
      <c r="Z661" s="17" t="e">
        <f>_xlfn.XLOOKUP(Customer[[#This Row],[NewType]],$AF$36:$AF$54,$AG$36:$AG$54)</f>
        <v>#N/A</v>
      </c>
      <c r="AA661" s="17" t="s">
        <v>4747</v>
      </c>
      <c r="AB661" s="11" t="str">
        <f>_xlfn.XLOOKUP(Customer[[#This Row],[Customer ID]],[1]!Address[ID],[1]!Address[Subtype])</f>
        <v>PETRONAS</v>
      </c>
      <c r="AC661" s="18" t="str">
        <f>_xlfn.XLOOKUP(Customer[[#This Row],[Customer ID]],[1]!Address[ID],[1]!Address[Zone])</f>
        <v>NORTH</v>
      </c>
    </row>
    <row r="662" spans="1:29" x14ac:dyDescent="0.3">
      <c r="A662" s="10" t="s">
        <v>4748</v>
      </c>
      <c r="B662" s="11" t="str">
        <f>_xlfn.XLOOKUP(Customer[[#This Row],[Customer ID]],[1]!Name[ID],[1]!Name[Description(1)])</f>
        <v>STESEN MINYAK ASYKIN IDRIS</v>
      </c>
      <c r="C662" s="11" t="str">
        <f>_xlfn.XLOOKUP(Customer[[#This Row],[Customer ID]],[1]!Name[ID],[1]!Name[Description(2)])</f>
        <v>PS SIMPANG RENGGAM</v>
      </c>
      <c r="D662" s="11" t="str">
        <f>_xlfn.XLOOKUP(Customer[[#This Row],[Customer ID]],[1]!Address[ID],[1]!Address[PIC])</f>
        <v/>
      </c>
      <c r="E662" s="11" t="str">
        <f>_xlfn.XLOOKUP(Customer[[#This Row],[Customer ID]],[1]!Address[ID],[1]!Address[Full Address])</f>
        <v>PS SIMPANG RENGGAMLOT 762 PTD 4717, JALAN JOHOR,SIMPANG RENGAM, JOHOR,86200, KLUANG, JOHOR</v>
      </c>
      <c r="F662" s="12" t="s">
        <v>4749</v>
      </c>
      <c r="G662" s="12" t="s">
        <v>4750</v>
      </c>
      <c r="H662" s="12" t="s">
        <v>4751</v>
      </c>
      <c r="I662" s="12" t="b">
        <f>ISNUMBER(VALUE(LEFT(Customer[[#This Row],[Address Line 3 (30 char)]],1)))</f>
        <v>0</v>
      </c>
      <c r="J662" s="12" t="s">
        <v>52</v>
      </c>
      <c r="K662" s="12">
        <v>86200</v>
      </c>
      <c r="L662" s="12" t="s">
        <v>35</v>
      </c>
      <c r="M662" s="13" t="e">
        <v>#N/A</v>
      </c>
      <c r="N662" s="14" t="e">
        <v>#N/A</v>
      </c>
      <c r="O662" s="14" t="e">
        <v>#N/A</v>
      </c>
      <c r="P662" s="14" t="e">
        <v>#N/A</v>
      </c>
      <c r="Q662" s="19" t="s">
        <v>4752</v>
      </c>
      <c r="R662" s="15" t="s">
        <v>4753</v>
      </c>
      <c r="S662" s="15" t="s">
        <v>37</v>
      </c>
      <c r="T662" s="16" t="s">
        <v>38</v>
      </c>
      <c r="U662" s="11" t="str">
        <f>_xlfn.XLOOKUP(Customer[[#This Row],[Customer ID]],[1]!Address[ID],[1]!Address[Phone No.(2)])</f>
        <v/>
      </c>
      <c r="V662" s="11" t="str">
        <f>_xlfn.XLOOKUP(Customer[[#This Row],[Customer ID]],[1]!Address[ID],[1]!Address[Type])</f>
        <v>PETROMART</v>
      </c>
      <c r="W662" s="11" t="str">
        <f>_xlfn.XLOOKUP(Customer[[#This Row],[Customer ID]],[1]!Address[ID],[1]!Address[CT])</f>
        <v>30 DAYS</v>
      </c>
      <c r="X662" s="11" t="s">
        <v>39</v>
      </c>
      <c r="Y662" s="17" t="s">
        <v>40</v>
      </c>
      <c r="Z662" s="17" t="e">
        <f>_xlfn.XLOOKUP(Customer[[#This Row],[NewType]],$AF$36:$AF$54,$AG$36:$AG$54)</f>
        <v>#N/A</v>
      </c>
      <c r="AA662" s="17" t="s">
        <v>4754</v>
      </c>
      <c r="AB662" s="11" t="str">
        <f>_xlfn.XLOOKUP(Customer[[#This Row],[Customer ID]],[1]!Address[ID],[1]!Address[Subtype])</f>
        <v>PETRONAS</v>
      </c>
      <c r="AC662" s="18" t="str">
        <f>_xlfn.XLOOKUP(Customer[[#This Row],[Customer ID]],[1]!Address[ID],[1]!Address[Zone])</f>
        <v>SOUTH</v>
      </c>
    </row>
    <row r="663" spans="1:29" x14ac:dyDescent="0.3">
      <c r="A663" s="10" t="s">
        <v>4755</v>
      </c>
      <c r="B663" s="11" t="str">
        <f>_xlfn.XLOOKUP(Customer[[#This Row],[Customer ID]],[1]!Name[ID],[1]!Name[Description(1)])</f>
        <v>MANJONG DEVELOPMENT SDN BHD</v>
      </c>
      <c r="C663" s="11" t="str">
        <f>_xlfn.XLOOKUP(Customer[[#This Row],[Customer ID]],[1]!Name[ID],[1]!Name[Description(2)])</f>
        <v>PS SITIAWAN</v>
      </c>
      <c r="D663" s="11" t="str">
        <f>_xlfn.XLOOKUP(Customer[[#This Row],[Customer ID]],[1]!Address[ID],[1]!Address[PIC])</f>
        <v/>
      </c>
      <c r="E663" s="11" t="str">
        <f>_xlfn.XLOOKUP(Customer[[#This Row],[Customer ID]],[1]!Address[ID],[1]!Address[Full Address])</f>
        <v>PS SITIAWANLOT 433, JALAN DATUK AHMAD YUNUS,32000 SITIAWAN PERAK</v>
      </c>
      <c r="F663" s="12" t="s">
        <v>4756</v>
      </c>
      <c r="G663" s="12" t="s">
        <v>4757</v>
      </c>
      <c r="H663" s="12" t="s">
        <v>4758</v>
      </c>
      <c r="I663" s="12" t="b">
        <f>ISNUMBER(VALUE(LEFT(Customer[[#This Row],[Address Line 3 (30 char)]],1)))</f>
        <v>0</v>
      </c>
      <c r="J663" s="12" t="s">
        <v>387</v>
      </c>
      <c r="K663" s="12">
        <v>32000</v>
      </c>
      <c r="L663" s="12" t="s">
        <v>35</v>
      </c>
      <c r="M663" s="13" t="e">
        <v>#N/A</v>
      </c>
      <c r="N663" s="14" t="e">
        <v>#N/A</v>
      </c>
      <c r="O663" s="14" t="e">
        <v>#N/A</v>
      </c>
      <c r="P663" s="14" t="e">
        <v>#N/A</v>
      </c>
      <c r="Q663" s="19" t="s">
        <v>4759</v>
      </c>
      <c r="R663" s="15" t="s">
        <v>4760</v>
      </c>
      <c r="S663" s="15" t="s">
        <v>74</v>
      </c>
      <c r="T663" s="16" t="s">
        <v>38</v>
      </c>
      <c r="U663" s="11" t="str">
        <f>_xlfn.XLOOKUP(Customer[[#This Row],[Customer ID]],[1]!Address[ID],[1]!Address[Phone No.(2)])</f>
        <v/>
      </c>
      <c r="V663" s="11" t="str">
        <f>_xlfn.XLOOKUP(Customer[[#This Row],[Customer ID]],[1]!Address[ID],[1]!Address[Type])</f>
        <v>PETROMART</v>
      </c>
      <c r="W663" s="11" t="str">
        <f>_xlfn.XLOOKUP(Customer[[#This Row],[Customer ID]],[1]!Address[ID],[1]!Address[CT])</f>
        <v>30 DAYS</v>
      </c>
      <c r="X663" s="11" t="s">
        <v>39</v>
      </c>
      <c r="Y663" s="17" t="s">
        <v>40</v>
      </c>
      <c r="Z663" s="17" t="e">
        <f>_xlfn.XLOOKUP(Customer[[#This Row],[NewType]],$AF$36:$AF$54,$AG$36:$AG$54)</f>
        <v>#N/A</v>
      </c>
      <c r="AA663" s="17" t="s">
        <v>4761</v>
      </c>
      <c r="AB663" s="11" t="str">
        <f>_xlfn.XLOOKUP(Customer[[#This Row],[Customer ID]],[1]!Address[ID],[1]!Address[Subtype])</f>
        <v>PETRONAS</v>
      </c>
      <c r="AC663" s="18" t="str">
        <f>_xlfn.XLOOKUP(Customer[[#This Row],[Customer ID]],[1]!Address[ID],[1]!Address[Zone])</f>
        <v>NORTH</v>
      </c>
    </row>
    <row r="664" spans="1:29" x14ac:dyDescent="0.3">
      <c r="A664" s="10" t="s">
        <v>4762</v>
      </c>
      <c r="B664" s="11" t="str">
        <f>_xlfn.XLOOKUP(Customer[[#This Row],[Customer ID]],[1]!Name[ID],[1]!Name[Description(1)])</f>
        <v>PENTA OIL SDN BHD</v>
      </c>
      <c r="C664" s="11" t="str">
        <f>_xlfn.XLOOKUP(Customer[[#This Row],[Customer ID]],[1]!Name[ID],[1]!Name[Description(2)])</f>
        <v>PS SKUDAI R&amp;R</v>
      </c>
      <c r="D664" s="11" t="str">
        <f>_xlfn.XLOOKUP(Customer[[#This Row],[Customer ID]],[1]!Address[ID],[1]!Address[PIC])</f>
        <v>merchandise</v>
      </c>
      <c r="E664" s="11" t="str">
        <f>_xlfn.XLOOKUP(Customer[[#This Row],[Customer ID]],[1]!Address[ID],[1]!Address[Full Address])</f>
        <v>PS SKUDAI R&amp;RNO 39, LEBUH RAYA UTARA-SELATAN ,TAMAN TEKNOLOGI JOHOR81400 SENAI, JOHOR</v>
      </c>
      <c r="F664" s="12" t="s">
        <v>4763</v>
      </c>
      <c r="G664" s="12" t="s">
        <v>4764</v>
      </c>
      <c r="H664" s="12" t="s">
        <v>4765</v>
      </c>
      <c r="I664" s="12" t="b">
        <f>ISNUMBER(VALUE(LEFT(Customer[[#This Row],[Address Line 3 (30 char)]],1)))</f>
        <v>0</v>
      </c>
      <c r="J664" s="12" t="s">
        <v>52</v>
      </c>
      <c r="K664" s="12">
        <v>81400</v>
      </c>
      <c r="L664" s="12" t="s">
        <v>35</v>
      </c>
      <c r="M664" s="13">
        <v>201303247004</v>
      </c>
      <c r="N664" s="14" t="s">
        <v>4766</v>
      </c>
      <c r="O664" s="14" t="e">
        <v>#N/A</v>
      </c>
      <c r="P664" s="14" t="e">
        <v>#N/A</v>
      </c>
      <c r="Q664" s="19" t="s">
        <v>4767</v>
      </c>
      <c r="R664" s="15" t="s">
        <v>4768</v>
      </c>
      <c r="S664" s="15" t="s">
        <v>37</v>
      </c>
      <c r="T664" s="16" t="s">
        <v>38</v>
      </c>
      <c r="U664" s="11" t="str">
        <f>_xlfn.XLOOKUP(Customer[[#This Row],[Customer ID]],[1]!Address[ID],[1]!Address[Phone No.(2)])</f>
        <v/>
      </c>
      <c r="V664" s="11" t="str">
        <f>_xlfn.XLOOKUP(Customer[[#This Row],[Customer ID]],[1]!Address[ID],[1]!Address[Type])</f>
        <v>PETROMART</v>
      </c>
      <c r="W664" s="11" t="str">
        <f>_xlfn.XLOOKUP(Customer[[#This Row],[Customer ID]],[1]!Address[ID],[1]!Address[CT])</f>
        <v>30 DAYS</v>
      </c>
      <c r="X664" s="11" t="s">
        <v>39</v>
      </c>
      <c r="Y664" s="17" t="s">
        <v>40</v>
      </c>
      <c r="Z664" s="17" t="e">
        <f>_xlfn.XLOOKUP(Customer[[#This Row],[NewType]],$AF$36:$AF$54,$AG$36:$AG$54)</f>
        <v>#N/A</v>
      </c>
      <c r="AA664" s="17" t="s">
        <v>4769</v>
      </c>
      <c r="AB664" s="11" t="str">
        <f>_xlfn.XLOOKUP(Customer[[#This Row],[Customer ID]],[1]!Address[ID],[1]!Address[Subtype])</f>
        <v>PETRONAS</v>
      </c>
      <c r="AC664" s="18" t="str">
        <f>_xlfn.XLOOKUP(Customer[[#This Row],[Customer ID]],[1]!Address[ID],[1]!Address[Zone])</f>
        <v>SOUTH</v>
      </c>
    </row>
    <row r="665" spans="1:29" x14ac:dyDescent="0.3">
      <c r="A665" s="10" t="s">
        <v>4770</v>
      </c>
      <c r="B665" s="11" t="str">
        <f>_xlfn.XLOOKUP(Customer[[#This Row],[Customer ID]],[1]!Name[ID],[1]!Name[Description(1)])</f>
        <v>VISI TUAH ENTERPRISE</v>
      </c>
      <c r="C665" s="11" t="str">
        <f>_xlfn.XLOOKUP(Customer[[#This Row],[Customer ID]],[1]!Name[ID],[1]!Name[Description(2)])</f>
        <v>PS SKVE</v>
      </c>
      <c r="D665" s="11" t="str">
        <f>_xlfn.XLOOKUP(Customer[[#This Row],[Customer ID]],[1]!Address[ID],[1]!Address[PIC])</f>
        <v/>
      </c>
      <c r="E665" s="11" t="str">
        <f>_xlfn.XLOOKUP(Customer[[#This Row],[Customer ID]],[1]!Address[ID],[1]!Address[Full Address])</f>
        <v>PS SKVEHSM NO. 12810, PT NO. 20188, AIR HITAMPUCHONG, DENGKIL, SELANGOR,43300 SEPANG, SELANGOR</v>
      </c>
      <c r="F665" s="12" t="s">
        <v>4771</v>
      </c>
      <c r="G665" s="12" t="s">
        <v>4772</v>
      </c>
      <c r="H665" s="12" t="s">
        <v>4773</v>
      </c>
      <c r="I665" s="12" t="b">
        <f>ISNUMBER(VALUE(LEFT(Customer[[#This Row],[Address Line 3 (30 char)]],1)))</f>
        <v>0</v>
      </c>
      <c r="J665" s="12" t="s">
        <v>172</v>
      </c>
      <c r="K665" s="12">
        <v>43300</v>
      </c>
      <c r="L665" s="12" t="s">
        <v>35</v>
      </c>
      <c r="M665" s="13">
        <v>200703099828</v>
      </c>
      <c r="N665" s="14" t="s">
        <v>4774</v>
      </c>
      <c r="O665" s="14" t="s">
        <v>54</v>
      </c>
      <c r="P665" s="14" t="s">
        <v>4775</v>
      </c>
      <c r="Q665" s="19" t="s">
        <v>4776</v>
      </c>
      <c r="R665" s="15" t="s">
        <v>4777</v>
      </c>
      <c r="S665" s="15" t="s">
        <v>37</v>
      </c>
      <c r="T665" s="16" t="s">
        <v>38</v>
      </c>
      <c r="U665" s="11" t="str">
        <f>_xlfn.XLOOKUP(Customer[[#This Row],[Customer ID]],[1]!Address[ID],[1]!Address[Phone No.(2)])</f>
        <v/>
      </c>
      <c r="V665" s="11" t="str">
        <f>_xlfn.XLOOKUP(Customer[[#This Row],[Customer ID]],[1]!Address[ID],[1]!Address[Type])</f>
        <v>PETROMART</v>
      </c>
      <c r="W665" s="11" t="str">
        <f>_xlfn.XLOOKUP(Customer[[#This Row],[Customer ID]],[1]!Address[ID],[1]!Address[CT])</f>
        <v>30 DAYS</v>
      </c>
      <c r="X665" s="11" t="s">
        <v>39</v>
      </c>
      <c r="Y665" s="17" t="s">
        <v>40</v>
      </c>
      <c r="Z665" s="17" t="e">
        <f>_xlfn.XLOOKUP(Customer[[#This Row],[NewType]],$AF$36:$AF$54,$AG$36:$AG$54)</f>
        <v>#N/A</v>
      </c>
      <c r="AA665" s="17" t="s">
        <v>4778</v>
      </c>
      <c r="AB665" s="11" t="str">
        <f>_xlfn.XLOOKUP(Customer[[#This Row],[Customer ID]],[1]!Address[ID],[1]!Address[Subtype])</f>
        <v>PETRONAS</v>
      </c>
      <c r="AC665" s="18" t="str">
        <f>_xlfn.XLOOKUP(Customer[[#This Row],[Customer ID]],[1]!Address[ID],[1]!Address[Zone])</f>
        <v>CENTRAL</v>
      </c>
    </row>
    <row r="666" spans="1:29" x14ac:dyDescent="0.3">
      <c r="A666" s="10" t="s">
        <v>4779</v>
      </c>
      <c r="B666" s="11" t="str">
        <f>_xlfn.XLOOKUP(Customer[[#This Row],[Customer ID]],[1]!Name[ID],[1]!Name[Description(1)])</f>
        <v>SYARIMAR SERVICES</v>
      </c>
      <c r="C666" s="11" t="str">
        <f>_xlfn.XLOOKUP(Customer[[#This Row],[Customer ID]],[1]!Name[ID],[1]!Name[Description(2)])</f>
        <v>PS SLIM RIVER</v>
      </c>
      <c r="D666" s="11" t="str">
        <f>_xlfn.XLOOKUP(Customer[[#This Row],[Customer ID]],[1]!Address[ID],[1]!Address[PIC])</f>
        <v/>
      </c>
      <c r="E666" s="11" t="str">
        <f>_xlfn.XLOOKUP(Customer[[#This Row],[Customer ID]],[1]!Address[ID],[1]!Address[Full Address])</f>
        <v>PS SLIM RIVERLOT 5739, BANDAR BARU, SLIM RIVER,35800 BATANG PADANG, PERAK</v>
      </c>
      <c r="F666" s="12" t="s">
        <v>4780</v>
      </c>
      <c r="G666" s="12" t="s">
        <v>4781</v>
      </c>
      <c r="H666" s="12" t="s">
        <v>4782</v>
      </c>
      <c r="I666" s="12" t="b">
        <f>ISNUMBER(VALUE(LEFT(Customer[[#This Row],[Address Line 3 (30 char)]],1)))</f>
        <v>0</v>
      </c>
      <c r="J666" s="12" t="s">
        <v>387</v>
      </c>
      <c r="K666" s="12">
        <v>35800</v>
      </c>
      <c r="L666" s="12" t="s">
        <v>35</v>
      </c>
      <c r="M666" s="13" t="e">
        <v>#N/A</v>
      </c>
      <c r="N666" s="14" t="e">
        <v>#N/A</v>
      </c>
      <c r="O666" s="14" t="e">
        <v>#N/A</v>
      </c>
      <c r="P666" s="14" t="e">
        <v>#N/A</v>
      </c>
      <c r="Q666" s="19" t="s">
        <v>4783</v>
      </c>
      <c r="R666" s="15" t="s">
        <v>4784</v>
      </c>
      <c r="S666" s="15" t="s">
        <v>37</v>
      </c>
      <c r="T666" s="16" t="s">
        <v>38</v>
      </c>
      <c r="U666" s="11" t="str">
        <f>_xlfn.XLOOKUP(Customer[[#This Row],[Customer ID]],[1]!Address[ID],[1]!Address[Phone No.(2)])</f>
        <v/>
      </c>
      <c r="V666" s="11" t="str">
        <f>_xlfn.XLOOKUP(Customer[[#This Row],[Customer ID]],[1]!Address[ID],[1]!Address[Type])</f>
        <v>PETROMART</v>
      </c>
      <c r="W666" s="11" t="str">
        <f>_xlfn.XLOOKUP(Customer[[#This Row],[Customer ID]],[1]!Address[ID],[1]!Address[CT])</f>
        <v>30 DAYS</v>
      </c>
      <c r="X666" s="11" t="s">
        <v>39</v>
      </c>
      <c r="Y666" s="17" t="s">
        <v>40</v>
      </c>
      <c r="Z666" s="17" t="e">
        <f>_xlfn.XLOOKUP(Customer[[#This Row],[NewType]],$AF$36:$AF$54,$AG$36:$AG$54)</f>
        <v>#N/A</v>
      </c>
      <c r="AA666" s="17" t="s">
        <v>4785</v>
      </c>
      <c r="AB666" s="11" t="str">
        <f>_xlfn.XLOOKUP(Customer[[#This Row],[Customer ID]],[1]!Address[ID],[1]!Address[Subtype])</f>
        <v>PETRONAS</v>
      </c>
      <c r="AC666" s="18" t="str">
        <f>_xlfn.XLOOKUP(Customer[[#This Row],[Customer ID]],[1]!Address[ID],[1]!Address[Zone])</f>
        <v>NORTH</v>
      </c>
    </row>
    <row r="667" spans="1:29" x14ac:dyDescent="0.3">
      <c r="A667" s="10" t="s">
        <v>4786</v>
      </c>
      <c r="B667" s="11" t="str">
        <f>_xlfn.XLOOKUP(Customer[[#This Row],[Customer ID]],[1]!Name[ID],[1]!Name[Description(1)])</f>
        <v>ZEENUN ENTERPRISE</v>
      </c>
      <c r="C667" s="11" t="str">
        <f>_xlfn.XLOOKUP(Customer[[#This Row],[Customer ID]],[1]!Name[ID],[1]!Name[Description(2)])</f>
        <v>PS SOLARIS PUTRA</v>
      </c>
      <c r="D667" s="11" t="str">
        <f>_xlfn.XLOOKUP(Customer[[#This Row],[Customer ID]],[1]!Address[ID],[1]!Address[PIC])</f>
        <v/>
      </c>
      <c r="E667" s="11" t="str">
        <f>_xlfn.XLOOKUP(Customer[[#This Row],[Customer ID]],[1]!Address[ID],[1]!Address[Full Address])</f>
        <v>PS SOLARIS PUTRAPGS KM 305, PLUS ARAH SELATAN, LOT 896,46223, MUKIM KAJANG, HULU LANGAT,43650, KAJANG , SELANGOR</v>
      </c>
      <c r="F667" s="12" t="s">
        <v>4787</v>
      </c>
      <c r="G667" s="12" t="s">
        <v>4788</v>
      </c>
      <c r="H667" s="12" t="s">
        <v>2230</v>
      </c>
      <c r="I667" s="12" t="b">
        <f>ISNUMBER(VALUE(LEFT(Customer[[#This Row],[Address Line 3 (30 char)]],1)))</f>
        <v>0</v>
      </c>
      <c r="J667" s="12" t="s">
        <v>172</v>
      </c>
      <c r="K667" s="12">
        <v>43650</v>
      </c>
      <c r="L667" s="12" t="s">
        <v>35</v>
      </c>
      <c r="M667" s="13" t="e">
        <v>#N/A</v>
      </c>
      <c r="N667" s="14" t="e">
        <v>#N/A</v>
      </c>
      <c r="O667" s="14" t="e">
        <v>#N/A</v>
      </c>
      <c r="P667" s="14" t="e">
        <v>#N/A</v>
      </c>
      <c r="Q667" s="19" t="s">
        <v>4789</v>
      </c>
      <c r="R667" s="15" t="s">
        <v>4790</v>
      </c>
      <c r="S667" s="15" t="s">
        <v>65</v>
      </c>
      <c r="T667" s="16" t="s">
        <v>38</v>
      </c>
      <c r="U667" s="11" t="str">
        <f>_xlfn.XLOOKUP(Customer[[#This Row],[Customer ID]],[1]!Address[ID],[1]!Address[Phone No.(2)])</f>
        <v/>
      </c>
      <c r="V667" s="11" t="str">
        <f>_xlfn.XLOOKUP(Customer[[#This Row],[Customer ID]],[1]!Address[ID],[1]!Address[Type])</f>
        <v>PETROMART</v>
      </c>
      <c r="W667" s="11" t="str">
        <f>_xlfn.XLOOKUP(Customer[[#This Row],[Customer ID]],[1]!Address[ID],[1]!Address[CT])</f>
        <v>30 DAYS</v>
      </c>
      <c r="X667" s="11" t="s">
        <v>39</v>
      </c>
      <c r="Y667" s="17" t="s">
        <v>40</v>
      </c>
      <c r="Z667" s="17" t="e">
        <f>_xlfn.XLOOKUP(Customer[[#This Row],[NewType]],$AF$36:$AF$54,$AG$36:$AG$54)</f>
        <v>#N/A</v>
      </c>
      <c r="AA667" s="17" t="s">
        <v>4791</v>
      </c>
      <c r="AB667" s="11" t="str">
        <f>_xlfn.XLOOKUP(Customer[[#This Row],[Customer ID]],[1]!Address[ID],[1]!Address[Subtype])</f>
        <v>PETRONAS</v>
      </c>
      <c r="AC667" s="18" t="str">
        <f>_xlfn.XLOOKUP(Customer[[#This Row],[Customer ID]],[1]!Address[ID],[1]!Address[Zone])</f>
        <v>CENTRAL</v>
      </c>
    </row>
    <row r="668" spans="1:29" x14ac:dyDescent="0.3">
      <c r="A668" s="10" t="s">
        <v>4792</v>
      </c>
      <c r="B668" s="11" t="str">
        <f>_xlfn.XLOOKUP(Customer[[#This Row],[Customer ID]],[1]!Name[ID],[1]!Name[Description(1)])</f>
        <v>BESJAYA ENTERPRISE</v>
      </c>
      <c r="C668" s="11" t="str">
        <f>_xlfn.XLOOKUP(Customer[[#This Row],[Customer ID]],[1]!Name[ID],[1]!Name[Description(2)])</f>
        <v>PS SOLARIS SERDANG</v>
      </c>
      <c r="D668" s="11" t="str">
        <f>_xlfn.XLOOKUP(Customer[[#This Row],[Customer ID]],[1]!Address[ID],[1]!Address[PIC])</f>
        <v/>
      </c>
      <c r="E668" s="11" t="str">
        <f>_xlfn.XLOOKUP(Customer[[#This Row],[Customer ID]],[1]!Address[ID],[1]!Address[Full Address])</f>
        <v>PS SOLARIS SERDANGKM 0.7, LEBUHRAYA SG. BESI,SERI KEMBANGAN,43300 PETALING, SELANGOR</v>
      </c>
      <c r="F668" s="12" t="s">
        <v>4793</v>
      </c>
      <c r="G668" s="12" t="s">
        <v>4794</v>
      </c>
      <c r="H668" s="12" t="s">
        <v>658</v>
      </c>
      <c r="I668" s="12" t="b">
        <f>ISNUMBER(VALUE(LEFT(Customer[[#This Row],[Address Line 3 (30 char)]],1)))</f>
        <v>0</v>
      </c>
      <c r="J668" s="12" t="s">
        <v>172</v>
      </c>
      <c r="K668" s="12">
        <v>43300</v>
      </c>
      <c r="L668" s="12" t="s">
        <v>35</v>
      </c>
      <c r="M668" s="13" t="e">
        <v>#N/A</v>
      </c>
      <c r="N668" s="14" t="e">
        <v>#N/A</v>
      </c>
      <c r="O668" s="14" t="e">
        <v>#N/A</v>
      </c>
      <c r="P668" s="14" t="e">
        <v>#N/A</v>
      </c>
      <c r="Q668" s="19" t="s">
        <v>4795</v>
      </c>
      <c r="R668" s="15" t="s">
        <v>4796</v>
      </c>
      <c r="S668" s="15" t="s">
        <v>37</v>
      </c>
      <c r="T668" s="16" t="s">
        <v>38</v>
      </c>
      <c r="U668" s="11" t="str">
        <f>_xlfn.XLOOKUP(Customer[[#This Row],[Customer ID]],[1]!Address[ID],[1]!Address[Phone No.(2)])</f>
        <v/>
      </c>
      <c r="V668" s="11" t="str">
        <f>_xlfn.XLOOKUP(Customer[[#This Row],[Customer ID]],[1]!Address[ID],[1]!Address[Type])</f>
        <v>PETROMART</v>
      </c>
      <c r="W668" s="11" t="str">
        <f>_xlfn.XLOOKUP(Customer[[#This Row],[Customer ID]],[1]!Address[ID],[1]!Address[CT])</f>
        <v>30 DAYS</v>
      </c>
      <c r="X668" s="11" t="s">
        <v>39</v>
      </c>
      <c r="Y668" s="17" t="s">
        <v>40</v>
      </c>
      <c r="Z668" s="17" t="e">
        <f>_xlfn.XLOOKUP(Customer[[#This Row],[NewType]],$AF$36:$AF$54,$AG$36:$AG$54)</f>
        <v>#N/A</v>
      </c>
      <c r="AA668" s="17" t="s">
        <v>4797</v>
      </c>
      <c r="AB668" s="11" t="str">
        <f>_xlfn.XLOOKUP(Customer[[#This Row],[Customer ID]],[1]!Address[ID],[1]!Address[Subtype])</f>
        <v>PETRONAS</v>
      </c>
      <c r="AC668" s="18" t="str">
        <f>_xlfn.XLOOKUP(Customer[[#This Row],[Customer ID]],[1]!Address[ID],[1]!Address[Zone])</f>
        <v>CENTRAL</v>
      </c>
    </row>
    <row r="669" spans="1:29" x14ac:dyDescent="0.3">
      <c r="A669" s="10" t="s">
        <v>4798</v>
      </c>
      <c r="B669" s="11" t="str">
        <f>_xlfn.XLOOKUP(Customer[[#This Row],[Customer ID]],[1]!Name[ID],[1]!Name[Description(1)])</f>
        <v>STESEN PETRONAS SPG SONGSANG</v>
      </c>
      <c r="C669" s="11" t="str">
        <f>_xlfn.XLOOKUP(Customer[[#This Row],[Customer ID]],[1]!Name[ID],[1]!Name[Description(2)])</f>
        <v>PS SONGSANG</v>
      </c>
      <c r="D669" s="11" t="str">
        <f>_xlfn.XLOOKUP(Customer[[#This Row],[Customer ID]],[1]!Address[ID],[1]!Address[PIC])</f>
        <v/>
      </c>
      <c r="E669" s="11" t="str">
        <f>_xlfn.XLOOKUP(Customer[[#This Row],[Customer ID]],[1]!Address[ID],[1]!Address[Full Address])</f>
        <v>PS SONGSANGLOT 2858, KAWASAN PERINDUSTRIANSONGSANG, BATU 3,28000 TEMERLOH, PAHANG</v>
      </c>
      <c r="F669" s="12" t="s">
        <v>4799</v>
      </c>
      <c r="G669" s="12" t="s">
        <v>4800</v>
      </c>
      <c r="H669" s="24" t="s">
        <v>4801</v>
      </c>
      <c r="I669" s="24" t="b">
        <f>ISNUMBER(VALUE(LEFT(Customer[[#This Row],[Address Line 3 (30 char)]],1)))</f>
        <v>0</v>
      </c>
      <c r="J669" s="12" t="s">
        <v>339</v>
      </c>
      <c r="K669" s="12">
        <v>28000</v>
      </c>
      <c r="L669" s="12" t="s">
        <v>35</v>
      </c>
      <c r="M669" s="13" t="e">
        <v>#N/A</v>
      </c>
      <c r="N669" s="14" t="e">
        <v>#N/A</v>
      </c>
      <c r="O669" s="14" t="e">
        <v>#N/A</v>
      </c>
      <c r="P669" s="14" t="e">
        <v>#N/A</v>
      </c>
      <c r="Q669" s="19" t="s">
        <v>4802</v>
      </c>
      <c r="R669" s="15" t="s">
        <v>4803</v>
      </c>
      <c r="S669" s="15" t="s">
        <v>37</v>
      </c>
      <c r="T669" s="16" t="s">
        <v>38</v>
      </c>
      <c r="U669" s="11" t="str">
        <f>_xlfn.XLOOKUP(Customer[[#This Row],[Customer ID]],[1]!Address[ID],[1]!Address[Phone No.(2)])</f>
        <v/>
      </c>
      <c r="V669" s="11" t="str">
        <f>_xlfn.XLOOKUP(Customer[[#This Row],[Customer ID]],[1]!Address[ID],[1]!Address[Type])</f>
        <v>PETROMART</v>
      </c>
      <c r="W669" s="11" t="str">
        <f>_xlfn.XLOOKUP(Customer[[#This Row],[Customer ID]],[1]!Address[ID],[1]!Address[CT])</f>
        <v>30 DAYS</v>
      </c>
      <c r="X669" s="11" t="s">
        <v>39</v>
      </c>
      <c r="Y669" s="17" t="s">
        <v>40</v>
      </c>
      <c r="Z669" s="17" t="e">
        <f>_xlfn.XLOOKUP(Customer[[#This Row],[NewType]],$AF$36:$AF$54,$AG$36:$AG$54)</f>
        <v>#N/A</v>
      </c>
      <c r="AA669" s="17" t="s">
        <v>4804</v>
      </c>
      <c r="AB669" s="11" t="str">
        <f>_xlfn.XLOOKUP(Customer[[#This Row],[Customer ID]],[1]!Address[ID],[1]!Address[Subtype])</f>
        <v>PETRONAS</v>
      </c>
      <c r="AC669" s="18" t="str">
        <f>_xlfn.XLOOKUP(Customer[[#This Row],[Customer ID]],[1]!Address[ID],[1]!Address[Zone])</f>
        <v>EAST COAST</v>
      </c>
    </row>
    <row r="670" spans="1:29" x14ac:dyDescent="0.3">
      <c r="A670" s="10" t="s">
        <v>4805</v>
      </c>
      <c r="B670" s="11" t="str">
        <f>_xlfn.XLOOKUP(Customer[[#This Row],[Customer ID]],[1]!Name[ID],[1]!Name[Description(1)])</f>
        <v>STESEN MINYAK PRIMA</v>
      </c>
      <c r="C670" s="11" t="str">
        <f>_xlfn.XLOOKUP(Customer[[#This Row],[Customer ID]],[1]!Name[ID],[1]!Name[Description(2)])</f>
        <v>PS SIMPANG PULAI R&amp;R (SOUTH BOUND)</v>
      </c>
      <c r="D670" s="11" t="str">
        <f>_xlfn.XLOOKUP(Customer[[#This Row],[Customer ID]],[1]!Address[ID],[1]!Address[PIC])</f>
        <v/>
      </c>
      <c r="E670" s="11" t="str">
        <f>_xlfn.XLOOKUP(Customer[[#This Row],[Customer ID]],[1]!Address[ID],[1]!Address[Full Address])</f>
        <v>PS SIMPANG PULAI R&amp;R (SOUTH BOUND)KAWASAN REHAT &amp; RAWAT SIMPANG PULAI(ARAHSELATAN), LEBUHRAYA UTARA-SELATAN (PLUS)IPOH, 31300, KINTA, PERAK</v>
      </c>
      <c r="F670" s="12" t="s">
        <v>4806</v>
      </c>
      <c r="G670" s="12" t="s">
        <v>4807</v>
      </c>
      <c r="H670" s="12" t="s">
        <v>4808</v>
      </c>
      <c r="I670" s="12" t="b">
        <f>ISNUMBER(VALUE(LEFT(Customer[[#This Row],[Address Line 3 (30 char)]],1)))</f>
        <v>0</v>
      </c>
      <c r="J670" s="12" t="s">
        <v>387</v>
      </c>
      <c r="K670" s="12">
        <v>31300</v>
      </c>
      <c r="L670" s="12" t="s">
        <v>35</v>
      </c>
      <c r="M670" s="13" t="e">
        <v>#N/A</v>
      </c>
      <c r="N670" s="14" t="e">
        <v>#N/A</v>
      </c>
      <c r="O670" s="14" t="e">
        <v>#N/A</v>
      </c>
      <c r="P670" s="14" t="e">
        <v>#N/A</v>
      </c>
      <c r="Q670" s="19" t="s">
        <v>4809</v>
      </c>
      <c r="R670" s="15" t="s">
        <v>4810</v>
      </c>
      <c r="S670" s="15" t="s">
        <v>37</v>
      </c>
      <c r="T670" s="16" t="s">
        <v>38</v>
      </c>
      <c r="U670" s="11" t="str">
        <f>_xlfn.XLOOKUP(Customer[[#This Row],[Customer ID]],[1]!Address[ID],[1]!Address[Phone No.(2)])</f>
        <v/>
      </c>
      <c r="V670" s="11" t="str">
        <f>_xlfn.XLOOKUP(Customer[[#This Row],[Customer ID]],[1]!Address[ID],[1]!Address[Type])</f>
        <v>PETROMART</v>
      </c>
      <c r="W670" s="11" t="str">
        <f>_xlfn.XLOOKUP(Customer[[#This Row],[Customer ID]],[1]!Address[ID],[1]!Address[CT])</f>
        <v>30 DAYS</v>
      </c>
      <c r="X670" s="11" t="s">
        <v>39</v>
      </c>
      <c r="Y670" s="17" t="s">
        <v>40</v>
      </c>
      <c r="Z670" s="17" t="e">
        <f>_xlfn.XLOOKUP(Customer[[#This Row],[NewType]],$AF$36:$AF$54,$AG$36:$AG$54)</f>
        <v>#N/A</v>
      </c>
      <c r="AA670" s="17" t="s">
        <v>4811</v>
      </c>
      <c r="AB670" s="11" t="str">
        <f>_xlfn.XLOOKUP(Customer[[#This Row],[Customer ID]],[1]!Address[ID],[1]!Address[Subtype])</f>
        <v>PETRONAS</v>
      </c>
      <c r="AC670" s="18" t="str">
        <f>_xlfn.XLOOKUP(Customer[[#This Row],[Customer ID]],[1]!Address[ID],[1]!Address[Zone])</f>
        <v>NORTH</v>
      </c>
    </row>
    <row r="671" spans="1:29" x14ac:dyDescent="0.3">
      <c r="A671" s="10" t="s">
        <v>4812</v>
      </c>
      <c r="B671" s="11" t="str">
        <f>_xlfn.XLOOKUP(Customer[[#This Row],[Customer ID]],[1]!Name[ID],[1]!Name[Description(1)])</f>
        <v>MAIBARA ENTERPRISE</v>
      </c>
      <c r="C671" s="11" t="str">
        <f>_xlfn.XLOOKUP(Customer[[#This Row],[Customer ID]],[1]!Name[ID],[1]!Name[Description(2)])</f>
        <v>PS SPRINT HIGHWAY</v>
      </c>
      <c r="D671" s="11" t="str">
        <f>_xlfn.XLOOKUP(Customer[[#This Row],[Customer ID]],[1]!Address[ID],[1]!Address[PIC])</f>
        <v/>
      </c>
      <c r="E671" s="11" t="str">
        <f>_xlfn.XLOOKUP(Customer[[#This Row],[Customer ID]],[1]!Address[ID],[1]!Address[Full Address])</f>
        <v>PS SPRINT HIGHWAYLOT 52985 LEBUHRAYA SPRINTMUKIM KUALA LUMPUR, DAMANSARA,60000 PETALING, W PERSEKUTUAN</v>
      </c>
      <c r="F671" s="12" t="s">
        <v>4813</v>
      </c>
      <c r="G671" s="12" t="s">
        <v>4814</v>
      </c>
      <c r="H671" s="12" t="s">
        <v>4815</v>
      </c>
      <c r="I671" s="12" t="b">
        <f>ISNUMBER(VALUE(LEFT(Customer[[#This Row],[Address Line 3 (30 char)]],1)))</f>
        <v>0</v>
      </c>
      <c r="J671" s="12" t="s">
        <v>172</v>
      </c>
      <c r="K671" s="12">
        <v>60000</v>
      </c>
      <c r="L671" s="12" t="s">
        <v>35</v>
      </c>
      <c r="M671" s="13" t="e">
        <v>#N/A</v>
      </c>
      <c r="N671" s="14" t="e">
        <v>#N/A</v>
      </c>
      <c r="O671" s="14" t="e">
        <v>#N/A</v>
      </c>
      <c r="P671" s="14" t="e">
        <v>#N/A</v>
      </c>
      <c r="Q671" s="19" t="s">
        <v>4816</v>
      </c>
      <c r="R671" s="15" t="s">
        <v>4817</v>
      </c>
      <c r="S671" s="15" t="s">
        <v>37</v>
      </c>
      <c r="T671" s="16" t="s">
        <v>38</v>
      </c>
      <c r="U671" s="11" t="str">
        <f>_xlfn.XLOOKUP(Customer[[#This Row],[Customer ID]],[1]!Address[ID],[1]!Address[Phone No.(2)])</f>
        <v/>
      </c>
      <c r="V671" s="11" t="str">
        <f>_xlfn.XLOOKUP(Customer[[#This Row],[Customer ID]],[1]!Address[ID],[1]!Address[Type])</f>
        <v>PETROMART</v>
      </c>
      <c r="W671" s="11" t="str">
        <f>_xlfn.XLOOKUP(Customer[[#This Row],[Customer ID]],[1]!Address[ID],[1]!Address[CT])</f>
        <v>30 DAYS</v>
      </c>
      <c r="X671" s="11" t="s">
        <v>39</v>
      </c>
      <c r="Y671" s="17" t="s">
        <v>40</v>
      </c>
      <c r="Z671" s="17" t="e">
        <f>_xlfn.XLOOKUP(Customer[[#This Row],[NewType]],$AF$36:$AF$54,$AG$36:$AG$54)</f>
        <v>#N/A</v>
      </c>
      <c r="AA671" s="17" t="s">
        <v>4818</v>
      </c>
      <c r="AB671" s="11" t="str">
        <f>_xlfn.XLOOKUP(Customer[[#This Row],[Customer ID]],[1]!Address[ID],[1]!Address[Subtype])</f>
        <v>PETRONAS</v>
      </c>
      <c r="AC671" s="18" t="str">
        <f>_xlfn.XLOOKUP(Customer[[#This Row],[Customer ID]],[1]!Address[ID],[1]!Address[Zone])</f>
        <v>CENTRAL</v>
      </c>
    </row>
    <row r="672" spans="1:29" x14ac:dyDescent="0.3">
      <c r="A672" s="10" t="s">
        <v>4819</v>
      </c>
      <c r="B672" s="11" t="str">
        <f>_xlfn.XLOOKUP(Customer[[#This Row],[Customer ID]],[1]!Name[ID],[1]!Name[Description(1)])</f>
        <v>AZZA SYNERGY</v>
      </c>
      <c r="C672" s="11" t="str">
        <f>_xlfn.XLOOKUP(Customer[[#This Row],[Customer ID]],[1]!Name[ID],[1]!Name[Description(2)])</f>
        <v>PS SRI HARTAMAS</v>
      </c>
      <c r="D672" s="11" t="str">
        <f>_xlfn.XLOOKUP(Customer[[#This Row],[Customer ID]],[1]!Address[ID],[1]!Address[PIC])</f>
        <v/>
      </c>
      <c r="E672" s="11" t="str">
        <f>_xlfn.XLOOKUP(Customer[[#This Row],[Customer ID]],[1]!Address[ID],[1]!Address[Full Address])</f>
        <v>PS SRI HARTAMASLOT 48653, JALAN HARTAMAS 1,TAMAN SRI HARTAMAS, KUALA LUMPUR, `50480 WILAYAH PERSEKUTUAN KUALA LUMPUR,</v>
      </c>
      <c r="F672" s="12" t="s">
        <v>4820</v>
      </c>
      <c r="G672" s="12" t="s">
        <v>4821</v>
      </c>
      <c r="H672" s="12" t="s">
        <v>4822</v>
      </c>
      <c r="I672" s="12" t="b">
        <f>ISNUMBER(VALUE(LEFT(Customer[[#This Row],[Address Line 3 (30 char)]],1)))</f>
        <v>0</v>
      </c>
      <c r="J672" s="12" t="s">
        <v>34</v>
      </c>
      <c r="K672" s="12">
        <v>50480</v>
      </c>
      <c r="L672" s="12" t="s">
        <v>35</v>
      </c>
      <c r="M672" s="13">
        <v>201503002018</v>
      </c>
      <c r="N672" s="14" t="s">
        <v>4823</v>
      </c>
      <c r="O672" s="14" t="s">
        <v>54</v>
      </c>
      <c r="P672" s="14">
        <v>47300</v>
      </c>
      <c r="Q672" s="19" t="s">
        <v>4824</v>
      </c>
      <c r="R672" s="15" t="s">
        <v>4825</v>
      </c>
      <c r="S672" s="15" t="s">
        <v>37</v>
      </c>
      <c r="T672" s="16" t="s">
        <v>38</v>
      </c>
      <c r="U672" s="11" t="str">
        <f>_xlfn.XLOOKUP(Customer[[#This Row],[Customer ID]],[1]!Address[ID],[1]!Address[Phone No.(2)])</f>
        <v/>
      </c>
      <c r="V672" s="11" t="str">
        <f>_xlfn.XLOOKUP(Customer[[#This Row],[Customer ID]],[1]!Address[ID],[1]!Address[Type])</f>
        <v>PETROMART</v>
      </c>
      <c r="W672" s="11" t="str">
        <f>_xlfn.XLOOKUP(Customer[[#This Row],[Customer ID]],[1]!Address[ID],[1]!Address[CT])</f>
        <v>30 DAYS</v>
      </c>
      <c r="X672" s="11" t="s">
        <v>39</v>
      </c>
      <c r="Y672" s="17" t="s">
        <v>40</v>
      </c>
      <c r="Z672" s="17" t="e">
        <f>_xlfn.XLOOKUP(Customer[[#This Row],[NewType]],$AF$36:$AF$54,$AG$36:$AG$54)</f>
        <v>#N/A</v>
      </c>
      <c r="AA672" s="17" t="s">
        <v>4826</v>
      </c>
      <c r="AB672" s="11" t="str">
        <f>_xlfn.XLOOKUP(Customer[[#This Row],[Customer ID]],[1]!Address[ID],[1]!Address[Subtype])</f>
        <v>PETRONAS</v>
      </c>
      <c r="AC672" s="18" t="str">
        <f>_xlfn.XLOOKUP(Customer[[#This Row],[Customer ID]],[1]!Address[ID],[1]!Address[Zone])</f>
        <v>CENTRAL</v>
      </c>
    </row>
    <row r="673" spans="1:29" x14ac:dyDescent="0.3">
      <c r="A673" s="10" t="s">
        <v>4827</v>
      </c>
      <c r="B673" s="11" t="str">
        <f>_xlfn.XLOOKUP(Customer[[#This Row],[Customer ID]],[1]!Name[ID],[1]!Name[Description(1)])</f>
        <v>NZ OIL ENTERPRISE</v>
      </c>
      <c r="C673" s="11" t="str">
        <f>_xlfn.XLOOKUP(Customer[[#This Row],[Customer ID]],[1]!Name[ID],[1]!Name[Description(2)])</f>
        <v>PS SRI MANJUNG 2</v>
      </c>
      <c r="D673" s="11" t="str">
        <f>_xlfn.XLOOKUP(Customer[[#This Row],[Customer ID]],[1]!Address[ID],[1]!Address[PIC])</f>
        <v/>
      </c>
      <c r="E673" s="11" t="str">
        <f>_xlfn.XLOOKUP(Customer[[#This Row],[Customer ID]],[1]!Address[ID],[1]!Address[Full Address])</f>
        <v>PS SRI MANJUNG 2PLOT 2 PT 862, MUKIM LUMUT, SERI MANJUNG32040, MANJUNG, PERAK</v>
      </c>
      <c r="F673" s="12" t="s">
        <v>4828</v>
      </c>
      <c r="G673" s="12" t="s">
        <v>4829</v>
      </c>
      <c r="H673" s="12" t="s">
        <v>4830</v>
      </c>
      <c r="I673" s="12" t="b">
        <f>ISNUMBER(VALUE(LEFT(Customer[[#This Row],[Address Line 3 (30 char)]],1)))</f>
        <v>0</v>
      </c>
      <c r="J673" s="12" t="s">
        <v>387</v>
      </c>
      <c r="K673" s="12">
        <v>32040</v>
      </c>
      <c r="L673" s="12" t="s">
        <v>35</v>
      </c>
      <c r="M673" s="13" t="e">
        <v>#N/A</v>
      </c>
      <c r="N673" s="14" t="e">
        <v>#N/A</v>
      </c>
      <c r="O673" s="14" t="e">
        <v>#N/A</v>
      </c>
      <c r="P673" s="14" t="e">
        <v>#N/A</v>
      </c>
      <c r="Q673" s="19" t="s">
        <v>689</v>
      </c>
      <c r="R673" s="15" t="s">
        <v>4831</v>
      </c>
      <c r="S673" s="15" t="s">
        <v>37</v>
      </c>
      <c r="T673" s="16" t="s">
        <v>38</v>
      </c>
      <c r="U673" s="11" t="str">
        <f>_xlfn.XLOOKUP(Customer[[#This Row],[Customer ID]],[1]!Address[ID],[1]!Address[Phone No.(2)])</f>
        <v/>
      </c>
      <c r="V673" s="11" t="str">
        <f>_xlfn.XLOOKUP(Customer[[#This Row],[Customer ID]],[1]!Address[ID],[1]!Address[Type])</f>
        <v>PETROMART</v>
      </c>
      <c r="W673" s="11" t="str">
        <f>_xlfn.XLOOKUP(Customer[[#This Row],[Customer ID]],[1]!Address[ID],[1]!Address[CT])</f>
        <v>30 DAYS</v>
      </c>
      <c r="X673" s="11" t="s">
        <v>39</v>
      </c>
      <c r="Y673" s="17" t="s">
        <v>40</v>
      </c>
      <c r="Z673" s="17" t="e">
        <f>_xlfn.XLOOKUP(Customer[[#This Row],[NewType]],$AF$36:$AF$54,$AG$36:$AG$54)</f>
        <v>#N/A</v>
      </c>
      <c r="AA673" s="17" t="s">
        <v>4832</v>
      </c>
      <c r="AB673" s="11" t="str">
        <f>_xlfn.XLOOKUP(Customer[[#This Row],[Customer ID]],[1]!Address[ID],[1]!Address[Subtype])</f>
        <v>PETRONAS</v>
      </c>
      <c r="AC673" s="18" t="str">
        <f>_xlfn.XLOOKUP(Customer[[#This Row],[Customer ID]],[1]!Address[ID],[1]!Address[Zone])</f>
        <v>NORTH</v>
      </c>
    </row>
    <row r="674" spans="1:29" x14ac:dyDescent="0.3">
      <c r="A674" s="10" t="s">
        <v>4833</v>
      </c>
      <c r="B674" s="11" t="str">
        <f>_xlfn.XLOOKUP(Customer[[#This Row],[Customer ID]],[1]!Name[ID],[1]!Name[Description(1)])</f>
        <v>DHAZIRA PETROCARE</v>
      </c>
      <c r="C674" s="11" t="str">
        <f>_xlfn.XLOOKUP(Customer[[#This Row],[Customer ID]],[1]!Name[ID],[1]!Name[Description(2)])</f>
        <v>PS SRI OKID</v>
      </c>
      <c r="D674" s="11" t="str">
        <f>_xlfn.XLOOKUP(Customer[[#This Row],[Customer ID]],[1]!Address[ID],[1]!Address[PIC])</f>
        <v/>
      </c>
      <c r="E674" s="11" t="str">
        <f>_xlfn.XLOOKUP(Customer[[#This Row],[Customer ID]],[1]!Address[ID],[1]!Address[Full Address])</f>
        <v>PS SRI OKIDLOT PTD 74903 HS(D) 263792JALAN HANG JEBAT, TAMAN SERI OKID,81300, JOHOR BAHRU, JOHOR</v>
      </c>
      <c r="F674" s="12" t="s">
        <v>4834</v>
      </c>
      <c r="G674" s="12" t="s">
        <v>4835</v>
      </c>
      <c r="H674" s="12" t="s">
        <v>4836</v>
      </c>
      <c r="I674" s="12" t="b">
        <f>ISNUMBER(VALUE(LEFT(Customer[[#This Row],[Address Line 3 (30 char)]],1)))</f>
        <v>0</v>
      </c>
      <c r="J674" s="12" t="s">
        <v>52</v>
      </c>
      <c r="K674" s="12">
        <v>81300</v>
      </c>
      <c r="L674" s="12" t="s">
        <v>35</v>
      </c>
      <c r="M674" s="13">
        <v>200703171261</v>
      </c>
      <c r="N674" s="14" t="s">
        <v>4837</v>
      </c>
      <c r="O674" s="14" t="e">
        <v>#N/A</v>
      </c>
      <c r="P674" s="14" t="e">
        <v>#N/A</v>
      </c>
      <c r="Q674" s="19" t="s">
        <v>4838</v>
      </c>
      <c r="R674" s="15" t="s">
        <v>4839</v>
      </c>
      <c r="S674" s="15" t="s">
        <v>37</v>
      </c>
      <c r="T674" s="16" t="s">
        <v>38</v>
      </c>
      <c r="U674" s="11" t="str">
        <f>_xlfn.XLOOKUP(Customer[[#This Row],[Customer ID]],[1]!Address[ID],[1]!Address[Phone No.(2)])</f>
        <v/>
      </c>
      <c r="V674" s="11" t="str">
        <f>_xlfn.XLOOKUP(Customer[[#This Row],[Customer ID]],[1]!Address[ID],[1]!Address[Type])</f>
        <v>PETROMART</v>
      </c>
      <c r="W674" s="11" t="str">
        <f>_xlfn.XLOOKUP(Customer[[#This Row],[Customer ID]],[1]!Address[ID],[1]!Address[CT])</f>
        <v>30 DAYS</v>
      </c>
      <c r="X674" s="11" t="s">
        <v>39</v>
      </c>
      <c r="Y674" s="17" t="s">
        <v>40</v>
      </c>
      <c r="Z674" s="17" t="e">
        <f>_xlfn.XLOOKUP(Customer[[#This Row],[NewType]],$AF$36:$AF$54,$AG$36:$AG$54)</f>
        <v>#N/A</v>
      </c>
      <c r="AA674" s="17" t="s">
        <v>4840</v>
      </c>
      <c r="AB674" s="11" t="str">
        <f>_xlfn.XLOOKUP(Customer[[#This Row],[Customer ID]],[1]!Address[ID],[1]!Address[Subtype])</f>
        <v>PETRONAS</v>
      </c>
      <c r="AC674" s="18" t="str">
        <f>_xlfn.XLOOKUP(Customer[[#This Row],[Customer ID]],[1]!Address[ID],[1]!Address[Zone])</f>
        <v>SOUTH</v>
      </c>
    </row>
    <row r="675" spans="1:29" x14ac:dyDescent="0.3">
      <c r="A675" s="10" t="s">
        <v>4841</v>
      </c>
      <c r="B675" s="11" t="str">
        <f>_xlfn.XLOOKUP(Customer[[#This Row],[Customer ID]],[1]!Name[ID],[1]!Name[Description(1)])</f>
        <v>POLYSAGE ENGINEERING SDN BHD</v>
      </c>
      <c r="C675" s="11" t="str">
        <f>_xlfn.XLOOKUP(Customer[[#This Row],[Customer ID]],[1]!Name[ID],[1]!Name[Description(2)])</f>
        <v>PS SRI PULAI PERDANA 2</v>
      </c>
      <c r="D675" s="11" t="str">
        <f>_xlfn.XLOOKUP(Customer[[#This Row],[Customer ID]],[1]!Address[ID],[1]!Address[PIC])</f>
        <v/>
      </c>
      <c r="E675" s="11" t="str">
        <f>_xlfn.XLOOKUP(Customer[[#This Row],[Customer ID]],[1]!Address[ID],[1]!Address[Full Address])</f>
        <v>PS SRI PULAI PERDANA 2PTD 105041, HSM1915, KANGAR PULAI,MUKIM KULAI,81300 KULAI, JOHOR</v>
      </c>
      <c r="F675" s="12" t="s">
        <v>4842</v>
      </c>
      <c r="G675" s="12" t="s">
        <v>4843</v>
      </c>
      <c r="H675" s="12" t="s">
        <v>4844</v>
      </c>
      <c r="I675" s="12" t="b">
        <f>ISNUMBER(VALUE(LEFT(Customer[[#This Row],[Address Line 3 (30 char)]],1)))</f>
        <v>0</v>
      </c>
      <c r="J675" s="12" t="s">
        <v>52</v>
      </c>
      <c r="K675" s="12">
        <v>81300</v>
      </c>
      <c r="L675" s="12" t="s">
        <v>35</v>
      </c>
      <c r="M675" s="13" t="e">
        <v>#N/A</v>
      </c>
      <c r="N675" s="14" t="e">
        <v>#N/A</v>
      </c>
      <c r="O675" s="14" t="e">
        <v>#N/A</v>
      </c>
      <c r="P675" s="14" t="e">
        <v>#N/A</v>
      </c>
      <c r="Q675" s="19" t="s">
        <v>4845</v>
      </c>
      <c r="R675" s="15" t="s">
        <v>4846</v>
      </c>
      <c r="S675" s="15" t="s">
        <v>37</v>
      </c>
      <c r="T675" s="16" t="s">
        <v>38</v>
      </c>
      <c r="U675" s="11" t="str">
        <f>_xlfn.XLOOKUP(Customer[[#This Row],[Customer ID]],[1]!Address[ID],[1]!Address[Phone No.(2)])</f>
        <v/>
      </c>
      <c r="V675" s="11" t="str">
        <f>_xlfn.XLOOKUP(Customer[[#This Row],[Customer ID]],[1]!Address[ID],[1]!Address[Type])</f>
        <v>PETROMART</v>
      </c>
      <c r="W675" s="11" t="str">
        <f>_xlfn.XLOOKUP(Customer[[#This Row],[Customer ID]],[1]!Address[ID],[1]!Address[CT])</f>
        <v>30 DAYS</v>
      </c>
      <c r="X675" s="11" t="s">
        <v>39</v>
      </c>
      <c r="Y675" s="17" t="s">
        <v>40</v>
      </c>
      <c r="Z675" s="17" t="e">
        <f>_xlfn.XLOOKUP(Customer[[#This Row],[NewType]],$AF$36:$AF$54,$AG$36:$AG$54)</f>
        <v>#N/A</v>
      </c>
      <c r="AA675" s="17" t="s">
        <v>4847</v>
      </c>
      <c r="AB675" s="11" t="str">
        <f>_xlfn.XLOOKUP(Customer[[#This Row],[Customer ID]],[1]!Address[ID],[1]!Address[Subtype])</f>
        <v>PETRONAS</v>
      </c>
      <c r="AC675" s="18" t="str">
        <f>_xlfn.XLOOKUP(Customer[[#This Row],[Customer ID]],[1]!Address[ID],[1]!Address[Zone])</f>
        <v>SOUTH</v>
      </c>
    </row>
    <row r="676" spans="1:29" x14ac:dyDescent="0.3">
      <c r="A676" s="10" t="s">
        <v>4848</v>
      </c>
      <c r="B676" s="11" t="str">
        <f>_xlfn.XLOOKUP(Customer[[#This Row],[Customer ID]],[1]!Name[ID],[1]!Name[Description(1)])</f>
        <v>MIDCITY GAS STATION</v>
      </c>
      <c r="C676" s="11" t="str">
        <f>_xlfn.XLOOKUP(Customer[[#This Row],[Customer ID]],[1]!Name[ID],[1]!Name[Description(2)])</f>
        <v>PS SUBANG AIRPORT</v>
      </c>
      <c r="D676" s="11" t="str">
        <f>_xlfn.XLOOKUP(Customer[[#This Row],[Customer ID]],[1]!Address[ID],[1]!Address[PIC])</f>
        <v/>
      </c>
      <c r="E676" s="11" t="str">
        <f>_xlfn.XLOOKUP(Customer[[#This Row],[Customer ID]],[1]!Address[ID],[1]!Address[Full Address])</f>
        <v>PS SUBANG AIRPORTLOT 1210 JALAN LAPANGAN TERBANG, SUBANG,47200, PETALING, SELANGOR</v>
      </c>
      <c r="F676" s="12" t="s">
        <v>4849</v>
      </c>
      <c r="G676" s="12" t="s">
        <v>4850</v>
      </c>
      <c r="H676" s="12" t="s">
        <v>2274</v>
      </c>
      <c r="I676" s="12" t="b">
        <f>ISNUMBER(VALUE(LEFT(Customer[[#This Row],[Address Line 3 (30 char)]],1)))</f>
        <v>0</v>
      </c>
      <c r="J676" s="12" t="s">
        <v>172</v>
      </c>
      <c r="K676" s="12">
        <v>47200</v>
      </c>
      <c r="L676" s="12" t="s">
        <v>35</v>
      </c>
      <c r="M676" s="13" t="e">
        <v>#N/A</v>
      </c>
      <c r="N676" s="14" t="e">
        <v>#N/A</v>
      </c>
      <c r="O676" s="14" t="e">
        <v>#N/A</v>
      </c>
      <c r="P676" s="14" t="e">
        <v>#N/A</v>
      </c>
      <c r="Q676" s="19" t="s">
        <v>4851</v>
      </c>
      <c r="R676" s="15" t="s">
        <v>4852</v>
      </c>
      <c r="S676" s="15" t="s">
        <v>37</v>
      </c>
      <c r="T676" s="16" t="s">
        <v>38</v>
      </c>
      <c r="U676" s="11" t="str">
        <f>_xlfn.XLOOKUP(Customer[[#This Row],[Customer ID]],[1]!Address[ID],[1]!Address[Phone No.(2)])</f>
        <v/>
      </c>
      <c r="V676" s="11" t="str">
        <f>_xlfn.XLOOKUP(Customer[[#This Row],[Customer ID]],[1]!Address[ID],[1]!Address[Type])</f>
        <v>PETROMART</v>
      </c>
      <c r="W676" s="11" t="str">
        <f>_xlfn.XLOOKUP(Customer[[#This Row],[Customer ID]],[1]!Address[ID],[1]!Address[CT])</f>
        <v>30 DAYS</v>
      </c>
      <c r="X676" s="11" t="s">
        <v>39</v>
      </c>
      <c r="Y676" s="17" t="s">
        <v>40</v>
      </c>
      <c r="Z676" s="17" t="e">
        <f>_xlfn.XLOOKUP(Customer[[#This Row],[NewType]],$AF$36:$AF$54,$AG$36:$AG$54)</f>
        <v>#N/A</v>
      </c>
      <c r="AA676" s="17" t="s">
        <v>4853</v>
      </c>
      <c r="AB676" s="11" t="str">
        <f>_xlfn.XLOOKUP(Customer[[#This Row],[Customer ID]],[1]!Address[ID],[1]!Address[Subtype])</f>
        <v>PETRONAS</v>
      </c>
      <c r="AC676" s="18" t="str">
        <f>_xlfn.XLOOKUP(Customer[[#This Row],[Customer ID]],[1]!Address[ID],[1]!Address[Zone])</f>
        <v>CENTRAL</v>
      </c>
    </row>
    <row r="677" spans="1:29" x14ac:dyDescent="0.3">
      <c r="A677" s="10" t="s">
        <v>4854</v>
      </c>
      <c r="B677" s="11" t="str">
        <f>_xlfn.XLOOKUP(Customer[[#This Row],[Customer ID]],[1]!Name[ID],[1]!Name[Description(1)])</f>
        <v>IMAN ZME SDN BHD</v>
      </c>
      <c r="C677" s="11" t="str">
        <f>_xlfn.XLOOKUP(Customer[[#This Row],[Customer ID]],[1]!Name[ID],[1]!Name[Description(2)])</f>
        <v>PS SUBANG BESTARI</v>
      </c>
      <c r="D677" s="11" t="str">
        <f>_xlfn.XLOOKUP(Customer[[#This Row],[Customer ID]],[1]!Address[ID],[1]!Address[PIC])</f>
        <v/>
      </c>
      <c r="E677" s="11" t="str">
        <f>_xlfn.XLOOKUP(Customer[[#This Row],[Customer ID]],[1]!Address[ID],[1]!Address[Full Address])</f>
        <v>PS SUBANG BESTARINO. 1 LOT PT 46023, PERSIARAN CAKERAWALASUBANG BESTARI, SEKSYEN U5, SHAH ALAM,40150 SELANGOR</v>
      </c>
      <c r="F677" s="12" t="s">
        <v>4855</v>
      </c>
      <c r="G677" s="12" t="s">
        <v>4856</v>
      </c>
      <c r="H677" s="12" t="s">
        <v>4857</v>
      </c>
      <c r="I677" s="12" t="b">
        <f>ISNUMBER(VALUE(LEFT(Customer[[#This Row],[Address Line 3 (30 char)]],1)))</f>
        <v>0</v>
      </c>
      <c r="J677" s="12" t="s">
        <v>172</v>
      </c>
      <c r="K677" s="12">
        <v>40150</v>
      </c>
      <c r="L677" s="12" t="s">
        <v>35</v>
      </c>
      <c r="M677" s="13" t="e">
        <v>#N/A</v>
      </c>
      <c r="N677" s="14" t="e">
        <v>#N/A</v>
      </c>
      <c r="O677" s="14" t="e">
        <v>#N/A</v>
      </c>
      <c r="P677" s="14" t="e">
        <v>#N/A</v>
      </c>
      <c r="Q677" s="19" t="s">
        <v>4858</v>
      </c>
      <c r="R677" s="15" t="s">
        <v>4859</v>
      </c>
      <c r="S677" s="15" t="s">
        <v>37</v>
      </c>
      <c r="T677" s="16" t="s">
        <v>38</v>
      </c>
      <c r="U677" s="11" t="str">
        <f>_xlfn.XLOOKUP(Customer[[#This Row],[Customer ID]],[1]!Address[ID],[1]!Address[Phone No.(2)])</f>
        <v/>
      </c>
      <c r="V677" s="11" t="str">
        <f>_xlfn.XLOOKUP(Customer[[#This Row],[Customer ID]],[1]!Address[ID],[1]!Address[Type])</f>
        <v>PETROMART</v>
      </c>
      <c r="W677" s="11" t="str">
        <f>_xlfn.XLOOKUP(Customer[[#This Row],[Customer ID]],[1]!Address[ID],[1]!Address[CT])</f>
        <v>30 DAYS</v>
      </c>
      <c r="X677" s="11" t="s">
        <v>39</v>
      </c>
      <c r="Y677" s="17" t="s">
        <v>40</v>
      </c>
      <c r="Z677" s="17" t="e">
        <f>_xlfn.XLOOKUP(Customer[[#This Row],[NewType]],$AF$36:$AF$54,$AG$36:$AG$54)</f>
        <v>#N/A</v>
      </c>
      <c r="AA677" s="17" t="s">
        <v>4860</v>
      </c>
      <c r="AB677" s="11" t="str">
        <f>_xlfn.XLOOKUP(Customer[[#This Row],[Customer ID]],[1]!Address[ID],[1]!Address[Subtype])</f>
        <v>PETRONAS</v>
      </c>
      <c r="AC677" s="18" t="str">
        <f>_xlfn.XLOOKUP(Customer[[#This Row],[Customer ID]],[1]!Address[ID],[1]!Address[Zone])</f>
        <v>CENTRAL</v>
      </c>
    </row>
    <row r="678" spans="1:29" x14ac:dyDescent="0.3">
      <c r="A678" s="10" t="s">
        <v>4861</v>
      </c>
      <c r="B678" s="11" t="str">
        <f>_xlfn.XLOOKUP(Customer[[#This Row],[Customer ID]],[1]!Name[ID],[1]!Name[Description(1)])</f>
        <v>SRI JAWI</v>
      </c>
      <c r="C678" s="11" t="str">
        <f>_xlfn.XLOOKUP(Customer[[#This Row],[Customer ID]],[1]!Name[ID],[1]!Name[Description(2)])</f>
        <v>PS SUNGAI BAKAP</v>
      </c>
      <c r="D678" s="11" t="str">
        <f>_xlfn.XLOOKUP(Customer[[#This Row],[Customer ID]],[1]!Address[ID],[1]!Address[PIC])</f>
        <v/>
      </c>
      <c r="E678" s="11" t="str">
        <f>_xlfn.XLOOKUP(Customer[[#This Row],[Customer ID]],[1]!Address[ID],[1]!Address[Full Address])</f>
        <v>PS SUNGAI BAKAPLOT 573 &amp; 574, MUKIM II SUNGAI BAKAP,SG JAWI, PULAU PINANG,14200 SEBERANG PERAISELATAN,PULAU PINANG</v>
      </c>
      <c r="F678" s="12" t="s">
        <v>4862</v>
      </c>
      <c r="G678" s="12" t="s">
        <v>4863</v>
      </c>
      <c r="H678" s="12" t="s">
        <v>4864</v>
      </c>
      <c r="I678" s="12" t="b">
        <f>ISNUMBER(VALUE(LEFT(Customer[[#This Row],[Address Line 3 (30 char)]],1)))</f>
        <v>0</v>
      </c>
      <c r="J678" s="12" t="s">
        <v>179</v>
      </c>
      <c r="K678" s="12">
        <v>14200</v>
      </c>
      <c r="L678" s="12" t="s">
        <v>35</v>
      </c>
      <c r="M678" s="13" t="e">
        <v>#N/A</v>
      </c>
      <c r="N678" s="14" t="e">
        <v>#N/A</v>
      </c>
      <c r="O678" s="14" t="e">
        <v>#N/A</v>
      </c>
      <c r="P678" s="14" t="e">
        <v>#N/A</v>
      </c>
      <c r="Q678" s="19" t="s">
        <v>4865</v>
      </c>
      <c r="R678" s="15" t="s">
        <v>4866</v>
      </c>
      <c r="S678" s="15" t="s">
        <v>74</v>
      </c>
      <c r="T678" s="16" t="s">
        <v>38</v>
      </c>
      <c r="U678" s="11" t="str">
        <f>_xlfn.XLOOKUP(Customer[[#This Row],[Customer ID]],[1]!Address[ID],[1]!Address[Phone No.(2)])</f>
        <v/>
      </c>
      <c r="V678" s="11" t="str">
        <f>_xlfn.XLOOKUP(Customer[[#This Row],[Customer ID]],[1]!Address[ID],[1]!Address[Type])</f>
        <v>PETROMART</v>
      </c>
      <c r="W678" s="11" t="str">
        <f>_xlfn.XLOOKUP(Customer[[#This Row],[Customer ID]],[1]!Address[ID],[1]!Address[CT])</f>
        <v>30 DAYS</v>
      </c>
      <c r="X678" s="11" t="s">
        <v>39</v>
      </c>
      <c r="Y678" s="17" t="s">
        <v>40</v>
      </c>
      <c r="Z678" s="17" t="e">
        <f>_xlfn.XLOOKUP(Customer[[#This Row],[NewType]],$AF$36:$AF$54,$AG$36:$AG$54)</f>
        <v>#N/A</v>
      </c>
      <c r="AA678" s="17" t="s">
        <v>4867</v>
      </c>
      <c r="AB678" s="11" t="str">
        <f>_xlfn.XLOOKUP(Customer[[#This Row],[Customer ID]],[1]!Address[ID],[1]!Address[Subtype])</f>
        <v>PETRONAS</v>
      </c>
      <c r="AC678" s="18" t="str">
        <f>_xlfn.XLOOKUP(Customer[[#This Row],[Customer ID]],[1]!Address[ID],[1]!Address[Zone])</f>
        <v>NORTH</v>
      </c>
    </row>
    <row r="679" spans="1:29" x14ac:dyDescent="0.3">
      <c r="A679" s="10" t="s">
        <v>4868</v>
      </c>
      <c r="B679" s="11" t="str">
        <f>_xlfn.XLOOKUP(Customer[[#This Row],[Customer ID]],[1]!Name[ID],[1]!Name[Description(1)])</f>
        <v>PETRO SB NIAGA</v>
      </c>
      <c r="C679" s="11" t="str">
        <f>_xlfn.XLOOKUP(Customer[[#This Row],[Customer ID]],[1]!Name[ID],[1]!Name[Description(2)])</f>
        <v>PS SUNGAI BESAR</v>
      </c>
      <c r="D679" s="11" t="str">
        <f>_xlfn.XLOOKUP(Customer[[#This Row],[Customer ID]],[1]!Address[ID],[1]!Address[PIC])</f>
        <v/>
      </c>
      <c r="E679" s="11" t="str">
        <f>_xlfn.XLOOKUP(Customer[[#This Row],[Customer ID]],[1]!Address[ID],[1]!Address[Full Address])</f>
        <v>PS SUNGAI BESARLOT 9197, MUKIM PANCANG BEDENA,SUNGAI BESAR BESAR, SELANGOR,45300 SABAK BERNAM, SELANGOR</v>
      </c>
      <c r="F679" s="12" t="s">
        <v>4869</v>
      </c>
      <c r="G679" s="12" t="s">
        <v>4870</v>
      </c>
      <c r="H679" s="12" t="s">
        <v>4871</v>
      </c>
      <c r="I679" s="12" t="b">
        <f>ISNUMBER(VALUE(LEFT(Customer[[#This Row],[Address Line 3 (30 char)]],1)))</f>
        <v>0</v>
      </c>
      <c r="J679" s="12" t="s">
        <v>172</v>
      </c>
      <c r="K679" s="12">
        <v>45300</v>
      </c>
      <c r="L679" s="12" t="s">
        <v>35</v>
      </c>
      <c r="M679" s="13" t="e">
        <v>#N/A</v>
      </c>
      <c r="N679" s="14" t="e">
        <v>#N/A</v>
      </c>
      <c r="O679" s="14" t="e">
        <v>#N/A</v>
      </c>
      <c r="P679" s="14" t="e">
        <v>#N/A</v>
      </c>
      <c r="Q679" s="19" t="s">
        <v>4872</v>
      </c>
      <c r="R679" s="15" t="s">
        <v>4873</v>
      </c>
      <c r="S679" s="15" t="s">
        <v>37</v>
      </c>
      <c r="T679" s="16" t="s">
        <v>38</v>
      </c>
      <c r="U679" s="11" t="str">
        <f>_xlfn.XLOOKUP(Customer[[#This Row],[Customer ID]],[1]!Address[ID],[1]!Address[Phone No.(2)])</f>
        <v/>
      </c>
      <c r="V679" s="11" t="str">
        <f>_xlfn.XLOOKUP(Customer[[#This Row],[Customer ID]],[1]!Address[ID],[1]!Address[Type])</f>
        <v>PETROMART</v>
      </c>
      <c r="W679" s="11" t="str">
        <f>_xlfn.XLOOKUP(Customer[[#This Row],[Customer ID]],[1]!Address[ID],[1]!Address[CT])</f>
        <v>30 DAYS</v>
      </c>
      <c r="X679" s="11" t="s">
        <v>39</v>
      </c>
      <c r="Y679" s="17" t="s">
        <v>40</v>
      </c>
      <c r="Z679" s="17" t="e">
        <f>_xlfn.XLOOKUP(Customer[[#This Row],[NewType]],$AF$36:$AF$54,$AG$36:$AG$54)</f>
        <v>#N/A</v>
      </c>
      <c r="AA679" s="17" t="s">
        <v>4874</v>
      </c>
      <c r="AB679" s="11" t="str">
        <f>_xlfn.XLOOKUP(Customer[[#This Row],[Customer ID]],[1]!Address[ID],[1]!Address[Subtype])</f>
        <v>PETRONAS</v>
      </c>
      <c r="AC679" s="18" t="str">
        <f>_xlfn.XLOOKUP(Customer[[#This Row],[Customer ID]],[1]!Address[ID],[1]!Address[Zone])</f>
        <v>CENTRAL</v>
      </c>
    </row>
    <row r="680" spans="1:29" x14ac:dyDescent="0.3">
      <c r="A680" s="10" t="s">
        <v>4875</v>
      </c>
      <c r="B680" s="11" t="str">
        <f>_xlfn.XLOOKUP(Customer[[#This Row],[Customer ID]],[1]!Name[ID],[1]!Name[Description(1)])</f>
        <v>PILIHAN MESRA ENTERPRISE</v>
      </c>
      <c r="C680" s="11" t="str">
        <f>_xlfn.XLOOKUP(Customer[[#This Row],[Customer ID]],[1]!Name[ID],[1]!Name[Description(2)])</f>
        <v>PS SUNGAI BESI-PUCHONG BYPASS</v>
      </c>
      <c r="D680" s="11" t="str">
        <f>_xlfn.XLOOKUP(Customer[[#This Row],[Customer ID]],[1]!Address[ID],[1]!Address[PIC])</f>
        <v/>
      </c>
      <c r="E680" s="11" t="str">
        <f>_xlfn.XLOOKUP(Customer[[#This Row],[Customer ID]],[1]!Address[ID],[1]!Address[Full Address])</f>
        <v>PS SUNGAI BESI-PUCHONG BYPASSLOT PT 17732 - 17740 SUNGAI BESI-PUCHONGBYPASS (KINRARA) MUKIM PETALING,PUCHONG 47100, SELANGOR</v>
      </c>
      <c r="F680" s="12" t="s">
        <v>4876</v>
      </c>
      <c r="G680" s="12" t="s">
        <v>4877</v>
      </c>
      <c r="H680" s="12" t="s">
        <v>4878</v>
      </c>
      <c r="I680" s="12" t="b">
        <f>ISNUMBER(VALUE(LEFT(Customer[[#This Row],[Address Line 3 (30 char)]],1)))</f>
        <v>0</v>
      </c>
      <c r="J680" s="12" t="s">
        <v>172</v>
      </c>
      <c r="K680" s="12">
        <v>47100</v>
      </c>
      <c r="L680" s="12" t="s">
        <v>35</v>
      </c>
      <c r="M680" s="13" t="e">
        <v>#N/A</v>
      </c>
      <c r="N680" s="14" t="e">
        <v>#N/A</v>
      </c>
      <c r="O680" s="14" t="e">
        <v>#N/A</v>
      </c>
      <c r="P680" s="14" t="e">
        <v>#N/A</v>
      </c>
      <c r="Q680" s="19" t="s">
        <v>4879</v>
      </c>
      <c r="R680" s="15" t="s">
        <v>4880</v>
      </c>
      <c r="S680" s="15" t="s">
        <v>37</v>
      </c>
      <c r="T680" s="16" t="s">
        <v>38</v>
      </c>
      <c r="U680" s="11" t="str">
        <f>_xlfn.XLOOKUP(Customer[[#This Row],[Customer ID]],[1]!Address[ID],[1]!Address[Phone No.(2)])</f>
        <v/>
      </c>
      <c r="V680" s="11" t="str">
        <f>_xlfn.XLOOKUP(Customer[[#This Row],[Customer ID]],[1]!Address[ID],[1]!Address[Type])</f>
        <v>PETROMART</v>
      </c>
      <c r="W680" s="11" t="str">
        <f>_xlfn.XLOOKUP(Customer[[#This Row],[Customer ID]],[1]!Address[ID],[1]!Address[CT])</f>
        <v>30 DAYS</v>
      </c>
      <c r="X680" s="11" t="s">
        <v>39</v>
      </c>
      <c r="Y680" s="17" t="s">
        <v>40</v>
      </c>
      <c r="Z680" s="17" t="e">
        <f>_xlfn.XLOOKUP(Customer[[#This Row],[NewType]],$AF$36:$AF$54,$AG$36:$AG$54)</f>
        <v>#N/A</v>
      </c>
      <c r="AA680" s="17" t="s">
        <v>4881</v>
      </c>
      <c r="AB680" s="11" t="str">
        <f>_xlfn.XLOOKUP(Customer[[#This Row],[Customer ID]],[1]!Address[ID],[1]!Address[Subtype])</f>
        <v>PETRONAS</v>
      </c>
      <c r="AC680" s="18" t="str">
        <f>_xlfn.XLOOKUP(Customer[[#This Row],[Customer ID]],[1]!Address[ID],[1]!Address[Zone])</f>
        <v>CENTRAL</v>
      </c>
    </row>
    <row r="681" spans="1:29" x14ac:dyDescent="0.3">
      <c r="A681" s="10" t="s">
        <v>4882</v>
      </c>
      <c r="B681" s="11" t="str">
        <f>_xlfn.XLOOKUP(Customer[[#This Row],[Customer ID]],[1]!Name[ID],[1]!Name[Description(1)])</f>
        <v>KB EZY ENTERPRISE</v>
      </c>
      <c r="C681" s="11" t="str">
        <f>_xlfn.XLOOKUP(Customer[[#This Row],[Customer ID]],[1]!Name[ID],[1]!Name[Description(2)])</f>
        <v>PS SUNGAI CHOH, RAWANG</v>
      </c>
      <c r="D681" s="11" t="str">
        <f>_xlfn.XLOOKUP(Customer[[#This Row],[Customer ID]],[1]!Address[ID],[1]!Address[PIC])</f>
        <v/>
      </c>
      <c r="E681" s="11" t="str">
        <f>_xlfn.XLOOKUP(Customer[[#This Row],[Customer ID]],[1]!Address[ID],[1]!Address[Full Address])</f>
        <v>PS SUNGAI CHOH, RAWANGLOT 3522 SUNGAI CHOH, MUKIM SERENDAH,HULU SELANGOR,48000 ULU SELANGOR, SELANGOR</v>
      </c>
      <c r="F681" s="12" t="s">
        <v>4883</v>
      </c>
      <c r="G681" s="12" t="s">
        <v>4884</v>
      </c>
      <c r="H681" s="12" t="s">
        <v>4885</v>
      </c>
      <c r="I681" s="12" t="b">
        <f>ISNUMBER(VALUE(LEFT(Customer[[#This Row],[Address Line 3 (30 char)]],1)))</f>
        <v>0</v>
      </c>
      <c r="J681" s="12" t="s">
        <v>172</v>
      </c>
      <c r="K681" s="12">
        <v>48000</v>
      </c>
      <c r="L681" s="12" t="s">
        <v>35</v>
      </c>
      <c r="M681" s="13" t="e">
        <v>#N/A</v>
      </c>
      <c r="N681" s="14" t="e">
        <v>#N/A</v>
      </c>
      <c r="O681" s="14" t="e">
        <v>#N/A</v>
      </c>
      <c r="P681" s="14" t="e">
        <v>#N/A</v>
      </c>
      <c r="Q681" s="19" t="s">
        <v>4886</v>
      </c>
      <c r="R681" s="15" t="s">
        <v>4887</v>
      </c>
      <c r="S681" s="15" t="s">
        <v>37</v>
      </c>
      <c r="T681" s="16" t="s">
        <v>38</v>
      </c>
      <c r="U681" s="11" t="str">
        <f>_xlfn.XLOOKUP(Customer[[#This Row],[Customer ID]],[1]!Address[ID],[1]!Address[Phone No.(2)])</f>
        <v/>
      </c>
      <c r="V681" s="11" t="str">
        <f>_xlfn.XLOOKUP(Customer[[#This Row],[Customer ID]],[1]!Address[ID],[1]!Address[Type])</f>
        <v>PETROMART</v>
      </c>
      <c r="W681" s="11" t="str">
        <f>_xlfn.XLOOKUP(Customer[[#This Row],[Customer ID]],[1]!Address[ID],[1]!Address[CT])</f>
        <v>30 DAYS</v>
      </c>
      <c r="X681" s="11" t="s">
        <v>39</v>
      </c>
      <c r="Y681" s="17" t="s">
        <v>40</v>
      </c>
      <c r="Z681" s="17" t="e">
        <f>_xlfn.XLOOKUP(Customer[[#This Row],[NewType]],$AF$36:$AF$54,$AG$36:$AG$54)</f>
        <v>#N/A</v>
      </c>
      <c r="AA681" s="17" t="s">
        <v>4888</v>
      </c>
      <c r="AB681" s="11" t="str">
        <f>_xlfn.XLOOKUP(Customer[[#This Row],[Customer ID]],[1]!Address[ID],[1]!Address[Subtype])</f>
        <v>PETRONAS</v>
      </c>
      <c r="AC681" s="18" t="str">
        <f>_xlfn.XLOOKUP(Customer[[#This Row],[Customer ID]],[1]!Address[ID],[1]!Address[Zone])</f>
        <v>CENTRAL</v>
      </c>
    </row>
    <row r="682" spans="1:29" x14ac:dyDescent="0.3">
      <c r="A682" s="10" t="s">
        <v>4889</v>
      </c>
      <c r="B682" s="11" t="str">
        <f>_xlfn.XLOOKUP(Customer[[#This Row],[Customer ID]],[1]!Name[ID],[1]!Name[Description(1)])</f>
        <v>TAIPAN MEGAH FUEL RESOURCES</v>
      </c>
      <c r="C682" s="11" t="str">
        <f>_xlfn.XLOOKUP(Customer[[#This Row],[Customer ID]],[1]!Name[ID],[1]!Name[Description(2)])</f>
        <v>PS SUNGAI DUA ARAH SELATAN</v>
      </c>
      <c r="D682" s="11" t="str">
        <f>_xlfn.XLOOKUP(Customer[[#This Row],[Customer ID]],[1]!Address[ID],[1]!Address[PIC])</f>
        <v/>
      </c>
      <c r="E682" s="11" t="str">
        <f>_xlfn.XLOOKUP(Customer[[#This Row],[Customer ID]],[1]!Address[ID],[1]!Address[Full Address])</f>
        <v>PS SUNGAI DUA ARAH SELATANARAH SELATAN,GM 1202, LOT 1973, MUKIM 02DAERAH SEBERANG PERAI TENGAHPULAU PINANG.</v>
      </c>
      <c r="F682" s="12" t="s">
        <v>4890</v>
      </c>
      <c r="G682" s="12" t="s">
        <v>4891</v>
      </c>
      <c r="H682" s="12" t="s">
        <v>4892</v>
      </c>
      <c r="I682" s="12" t="b">
        <f>ISNUMBER(VALUE(LEFT(Customer[[#This Row],[Address Line 3 (30 char)]],1)))</f>
        <v>0</v>
      </c>
      <c r="J682" s="12" t="s">
        <v>179</v>
      </c>
      <c r="K682" s="12">
        <v>13500</v>
      </c>
      <c r="L682" s="12" t="s">
        <v>35</v>
      </c>
      <c r="M682" s="13" t="e">
        <v>#N/A</v>
      </c>
      <c r="N682" s="14" t="e">
        <v>#N/A</v>
      </c>
      <c r="O682" s="14" t="e">
        <v>#N/A</v>
      </c>
      <c r="P682" s="14" t="e">
        <v>#N/A</v>
      </c>
      <c r="Q682" s="19" t="s">
        <v>4893</v>
      </c>
      <c r="R682" s="15" t="s">
        <v>4894</v>
      </c>
      <c r="S682" s="15" t="s">
        <v>74</v>
      </c>
      <c r="T682" s="16" t="s">
        <v>38</v>
      </c>
      <c r="U682" s="11" t="str">
        <f>_xlfn.XLOOKUP(Customer[[#This Row],[Customer ID]],[1]!Address[ID],[1]!Address[Phone No.(2)])</f>
        <v/>
      </c>
      <c r="V682" s="11" t="str">
        <f>_xlfn.XLOOKUP(Customer[[#This Row],[Customer ID]],[1]!Address[ID],[1]!Address[Type])</f>
        <v>PETROMART</v>
      </c>
      <c r="W682" s="11" t="str">
        <f>_xlfn.XLOOKUP(Customer[[#This Row],[Customer ID]],[1]!Address[ID],[1]!Address[CT])</f>
        <v>30 DAYS</v>
      </c>
      <c r="X682" s="11" t="s">
        <v>39</v>
      </c>
      <c r="Y682" s="17" t="s">
        <v>40</v>
      </c>
      <c r="Z682" s="17" t="e">
        <f>_xlfn.XLOOKUP(Customer[[#This Row],[NewType]],$AF$36:$AF$54,$AG$36:$AG$54)</f>
        <v>#N/A</v>
      </c>
      <c r="AA682" s="17" t="s">
        <v>4895</v>
      </c>
      <c r="AB682" s="11" t="str">
        <f>_xlfn.XLOOKUP(Customer[[#This Row],[Customer ID]],[1]!Address[ID],[1]!Address[Subtype])</f>
        <v>PETRONAS</v>
      </c>
      <c r="AC682" s="18" t="str">
        <f>_xlfn.XLOOKUP(Customer[[#This Row],[Customer ID]],[1]!Address[ID],[1]!Address[Zone])</f>
        <v>NORTH</v>
      </c>
    </row>
    <row r="683" spans="1:29" x14ac:dyDescent="0.3">
      <c r="A683" s="10" t="s">
        <v>4896</v>
      </c>
      <c r="B683" s="11" t="str">
        <f>_xlfn.XLOOKUP(Customer[[#This Row],[Customer ID]],[1]!Name[ID],[1]!Name[Description(1)])</f>
        <v>KPF NIAGA SDN BHD -  SUNGAI GURAP</v>
      </c>
      <c r="C683" s="11" t="str">
        <f>_xlfn.XLOOKUP(Customer[[#This Row],[Customer ID]],[1]!Name[ID],[1]!Name[Description(2)])</f>
        <v>PS SUNGAI GURAP</v>
      </c>
      <c r="D683" s="11" t="str">
        <f>_xlfn.XLOOKUP(Customer[[#This Row],[Customer ID]],[1]!Address[ID],[1]!Address[PIC])</f>
        <v/>
      </c>
      <c r="E683" s="11" t="str">
        <f>_xlfn.XLOOKUP(Customer[[#This Row],[Customer ID]],[1]!Address[ID],[1]!Address[Full Address])</f>
        <v>PS SUNGAI GURAPNO.262, BATU 36, JALAN JOHOR KIRI,82000 PONTIAN, JOHOR</v>
      </c>
      <c r="F683" s="12" t="s">
        <v>4897</v>
      </c>
      <c r="G683" s="12" t="s">
        <v>4898</v>
      </c>
      <c r="H683" s="12" t="s">
        <v>3886</v>
      </c>
      <c r="I683" s="12" t="b">
        <f>ISNUMBER(VALUE(LEFT(Customer[[#This Row],[Address Line 3 (30 char)]],1)))</f>
        <v>0</v>
      </c>
      <c r="J683" s="12" t="s">
        <v>52</v>
      </c>
      <c r="K683" s="12">
        <v>82000</v>
      </c>
      <c r="L683" s="12" t="s">
        <v>35</v>
      </c>
      <c r="M683" s="13" t="s">
        <v>4899</v>
      </c>
      <c r="N683" s="14" t="s">
        <v>4900</v>
      </c>
      <c r="O683" s="14" t="s">
        <v>433</v>
      </c>
      <c r="P683" s="14">
        <v>47300</v>
      </c>
      <c r="Q683" s="19" t="s">
        <v>4901</v>
      </c>
      <c r="R683" s="15" t="s">
        <v>4902</v>
      </c>
      <c r="S683" s="15" t="s">
        <v>37</v>
      </c>
      <c r="T683" s="16" t="s">
        <v>38</v>
      </c>
      <c r="U683" s="11" t="str">
        <f>_xlfn.XLOOKUP(Customer[[#This Row],[Customer ID]],[1]!Address[ID],[1]!Address[Phone No.(2)])</f>
        <v/>
      </c>
      <c r="V683" s="11" t="str">
        <f>_xlfn.XLOOKUP(Customer[[#This Row],[Customer ID]],[1]!Address[ID],[1]!Address[Type])</f>
        <v>PETROMART</v>
      </c>
      <c r="W683" s="11" t="str">
        <f>_xlfn.XLOOKUP(Customer[[#This Row],[Customer ID]],[1]!Address[ID],[1]!Address[CT])</f>
        <v>30 DAYS</v>
      </c>
      <c r="X683" s="11" t="s">
        <v>39</v>
      </c>
      <c r="Y683" s="17" t="s">
        <v>40</v>
      </c>
      <c r="Z683" s="17" t="e">
        <f>_xlfn.XLOOKUP(Customer[[#This Row],[NewType]],$AF$36:$AF$54,$AG$36:$AG$54)</f>
        <v>#N/A</v>
      </c>
      <c r="AA683" s="17" t="s">
        <v>4903</v>
      </c>
      <c r="AB683" s="11" t="str">
        <f>_xlfn.XLOOKUP(Customer[[#This Row],[Customer ID]],[1]!Address[ID],[1]!Address[Subtype])</f>
        <v>PETRONAS</v>
      </c>
      <c r="AC683" s="18" t="str">
        <f>_xlfn.XLOOKUP(Customer[[#This Row],[Customer ID]],[1]!Address[ID],[1]!Address[Zone])</f>
        <v>SOUTH</v>
      </c>
    </row>
    <row r="684" spans="1:29" x14ac:dyDescent="0.3">
      <c r="A684" s="10" t="s">
        <v>4904</v>
      </c>
      <c r="B684" s="11" t="str">
        <f>_xlfn.XLOOKUP(Customer[[#This Row],[Customer ID]],[1]!Name[ID],[1]!Name[Description(1)])</f>
        <v>DORANI MULTI IDEA RESOURCES</v>
      </c>
      <c r="C684" s="11" t="str">
        <f>_xlfn.XLOOKUP(Customer[[#This Row],[Customer ID]],[1]!Name[ID],[1]!Name[Description(2)])</f>
        <v>PS SUNGAI HAJI DORANI</v>
      </c>
      <c r="D684" s="11" t="str">
        <f>_xlfn.XLOOKUP(Customer[[#This Row],[Customer ID]],[1]!Address[ID],[1]!Address[PIC])</f>
        <v>IGSHAHRIN</v>
      </c>
      <c r="E684" s="11" t="str">
        <f>_xlfn.XLOOKUP(Customer[[#This Row],[Customer ID]],[1]!Address[ID],[1]!Address[Full Address])</f>
        <v>PS SUNGAI HAJI DORANILOT 9188 &amp; 9189 GM 80, KAMPONG SG. HAJIDORANI, SUNGAI BESAR, PANCHANG BEDENA,45300, SABAK BERNAM, SELANGOR</v>
      </c>
      <c r="F684" s="12" t="s">
        <v>4905</v>
      </c>
      <c r="G684" s="12" t="s">
        <v>4906</v>
      </c>
      <c r="H684" s="12" t="s">
        <v>4907</v>
      </c>
      <c r="I684" s="12" t="b">
        <f>ISNUMBER(VALUE(LEFT(Customer[[#This Row],[Address Line 3 (30 char)]],1)))</f>
        <v>0</v>
      </c>
      <c r="J684" s="12" t="s">
        <v>172</v>
      </c>
      <c r="K684" s="12">
        <v>45300</v>
      </c>
      <c r="L684" s="12" t="s">
        <v>35</v>
      </c>
      <c r="M684" s="13">
        <v>200903240167</v>
      </c>
      <c r="N684" s="14" t="s">
        <v>4411</v>
      </c>
      <c r="O684" s="14" t="s">
        <v>54</v>
      </c>
      <c r="P684" s="14">
        <v>46611</v>
      </c>
      <c r="Q684" s="19" t="s">
        <v>4412</v>
      </c>
      <c r="R684" s="15" t="s">
        <v>4908</v>
      </c>
      <c r="S684" s="15" t="s">
        <v>37</v>
      </c>
      <c r="T684" s="16" t="s">
        <v>38</v>
      </c>
      <c r="U684" s="11" t="str">
        <f>_xlfn.XLOOKUP(Customer[[#This Row],[Customer ID]],[1]!Address[ID],[1]!Address[Phone No.(2)])</f>
        <v/>
      </c>
      <c r="V684" s="11" t="str">
        <f>_xlfn.XLOOKUP(Customer[[#This Row],[Customer ID]],[1]!Address[ID],[1]!Address[Type])</f>
        <v>PETROMART</v>
      </c>
      <c r="W684" s="11" t="str">
        <f>_xlfn.XLOOKUP(Customer[[#This Row],[Customer ID]],[1]!Address[ID],[1]!Address[CT])</f>
        <v>30 DAYS</v>
      </c>
      <c r="X684" s="11" t="s">
        <v>39</v>
      </c>
      <c r="Y684" s="17" t="s">
        <v>40</v>
      </c>
      <c r="Z684" s="17" t="e">
        <f>_xlfn.XLOOKUP(Customer[[#This Row],[NewType]],$AF$36:$AF$54,$AG$36:$AG$54)</f>
        <v>#N/A</v>
      </c>
      <c r="AA684" s="17" t="s">
        <v>4909</v>
      </c>
      <c r="AB684" s="11" t="str">
        <f>_xlfn.XLOOKUP(Customer[[#This Row],[Customer ID]],[1]!Address[ID],[1]!Address[Subtype])</f>
        <v>PETRONAS</v>
      </c>
      <c r="AC684" s="18" t="str">
        <f>_xlfn.XLOOKUP(Customer[[#This Row],[Customer ID]],[1]!Address[ID],[1]!Address[Zone])</f>
        <v>CENTRAL</v>
      </c>
    </row>
    <row r="685" spans="1:29" x14ac:dyDescent="0.3">
      <c r="A685" s="27" t="s">
        <v>4910</v>
      </c>
      <c r="B685" s="28" t="str">
        <f>_xlfn.XLOOKUP(Customer[[#This Row],[Customer ID]],[1]!Name[ID],[1]!Name[Description(1)])</f>
        <v>AZMAZA OIL ENTERPRISE</v>
      </c>
      <c r="C685" s="11" t="str">
        <f>_xlfn.XLOOKUP(Customer[[#This Row],[Customer ID]],[1]!Name[ID],[1]!Name[Description(2)])</f>
        <v>PS SUNGAI JAGUNG</v>
      </c>
      <c r="D685" s="11" t="str">
        <f>_xlfn.XLOOKUP(Customer[[#This Row],[Customer ID]],[1]!Address[ID],[1]!Address[PIC])</f>
        <v/>
      </c>
      <c r="E685" s="11" t="str">
        <f>_xlfn.XLOOKUP(Customer[[#This Row],[Customer ID]],[1]!Address[ID],[1]!Address[Full Address])</f>
        <v>PS SUNGAI JAGUNGLOT PT 96580 HS(D) 120705,MUKIM SUNGAI PETANI,08000 KUALA MUDA, KEDAH</v>
      </c>
      <c r="F685" s="12" t="s">
        <v>4911</v>
      </c>
      <c r="G685" s="12" t="s">
        <v>4912</v>
      </c>
      <c r="H685" s="12" t="s">
        <v>4913</v>
      </c>
      <c r="I685" s="12" t="b">
        <f>ISNUMBER(VALUE(LEFT(Customer[[#This Row],[Address Line 3 (30 char)]],1)))</f>
        <v>0</v>
      </c>
      <c r="J685" s="12" t="s">
        <v>355</v>
      </c>
      <c r="K685" s="30" t="s">
        <v>296</v>
      </c>
      <c r="L685" s="12" t="s">
        <v>35</v>
      </c>
      <c r="M685" s="13" t="e">
        <v>#N/A</v>
      </c>
      <c r="N685" s="14" t="e">
        <v>#N/A</v>
      </c>
      <c r="O685" s="14" t="e">
        <v>#N/A</v>
      </c>
      <c r="P685" s="14" t="e">
        <v>#N/A</v>
      </c>
      <c r="Q685" s="19" t="s">
        <v>4914</v>
      </c>
      <c r="R685" s="15" t="s">
        <v>4915</v>
      </c>
      <c r="S685" s="15" t="s">
        <v>74</v>
      </c>
      <c r="T685" s="16" t="s">
        <v>38</v>
      </c>
      <c r="U685" s="11" t="str">
        <f>_xlfn.XLOOKUP(Customer[[#This Row],[Customer ID]],[1]!Address[ID],[1]!Address[Phone No.(2)])</f>
        <v/>
      </c>
      <c r="V685" s="11" t="str">
        <f>_xlfn.XLOOKUP(Customer[[#This Row],[Customer ID]],[1]!Address[ID],[1]!Address[Type])</f>
        <v>PETROMART</v>
      </c>
      <c r="W685" s="11" t="str">
        <f>_xlfn.XLOOKUP(Customer[[#This Row],[Customer ID]],[1]!Address[ID],[1]!Address[CT])</f>
        <v>30 DAYS</v>
      </c>
      <c r="X685" s="11" t="s">
        <v>39</v>
      </c>
      <c r="Y685" s="17" t="s">
        <v>40</v>
      </c>
      <c r="Z685" s="17" t="e">
        <f>_xlfn.XLOOKUP(Customer[[#This Row],[NewType]],$AF$36:$AF$54,$AG$36:$AG$54)</f>
        <v>#N/A</v>
      </c>
      <c r="AA685" s="17" t="s">
        <v>4916</v>
      </c>
      <c r="AB685" s="11" t="str">
        <f>_xlfn.XLOOKUP(Customer[[#This Row],[Customer ID]],[1]!Address[ID],[1]!Address[Subtype])</f>
        <v>PETRONAS</v>
      </c>
      <c r="AC685" s="18" t="str">
        <f>_xlfn.XLOOKUP(Customer[[#This Row],[Customer ID]],[1]!Address[ID],[1]!Address[Zone])</f>
        <v>NORTH</v>
      </c>
    </row>
    <row r="686" spans="1:29" x14ac:dyDescent="0.3">
      <c r="A686" s="27" t="s">
        <v>4917</v>
      </c>
      <c r="B686" s="28" t="str">
        <f>_xlfn.XLOOKUP(Customer[[#This Row],[Customer ID]],[1]!Name[ID],[1]!Name[Description(1)])</f>
        <v>RAUDHAH SERVICE</v>
      </c>
      <c r="C686" s="11" t="str">
        <f>_xlfn.XLOOKUP(Customer[[#This Row],[Customer ID]],[1]!Name[ID],[1]!Name[Description(2)])</f>
        <v>PS SUNGAI KOB / PADANG CINA</v>
      </c>
      <c r="D686" s="11" t="str">
        <f>_xlfn.XLOOKUP(Customer[[#This Row],[Customer ID]],[1]!Address[ID],[1]!Address[PIC])</f>
        <v/>
      </c>
      <c r="E686" s="11" t="str">
        <f>_xlfn.XLOOKUP(Customer[[#This Row],[Customer ID]],[1]!Address[ID],[1]!Address[Full Address])</f>
        <v>PS SUNGAI KOB / PADANG CINALOT 5840, HS(D) 5380/97MUKIM PADANG CINA DAERAH KULIM,(TAMAN MUTIARA,SUNGAI KOB), 09000 KEDAH</v>
      </c>
      <c r="F686" s="12" t="s">
        <v>4918</v>
      </c>
      <c r="G686" s="12" t="s">
        <v>4919</v>
      </c>
      <c r="H686" s="12" t="s">
        <v>4920</v>
      </c>
      <c r="I686" s="12" t="b">
        <f>ISNUMBER(VALUE(LEFT(Customer[[#This Row],[Address Line 3 (30 char)]],1)))</f>
        <v>0</v>
      </c>
      <c r="J686" s="12" t="s">
        <v>355</v>
      </c>
      <c r="K686" s="30" t="s">
        <v>2905</v>
      </c>
      <c r="L686" s="12" t="s">
        <v>35</v>
      </c>
      <c r="M686" s="13" t="e">
        <v>#N/A</v>
      </c>
      <c r="N686" s="14" t="e">
        <v>#N/A</v>
      </c>
      <c r="O686" s="14" t="e">
        <v>#N/A</v>
      </c>
      <c r="P686" s="14" t="e">
        <v>#N/A</v>
      </c>
      <c r="Q686" s="19" t="s">
        <v>4921</v>
      </c>
      <c r="R686" s="15" t="s">
        <v>4922</v>
      </c>
      <c r="S686" s="15" t="s">
        <v>74</v>
      </c>
      <c r="T686" s="16" t="s">
        <v>38</v>
      </c>
      <c r="U686" s="11" t="str">
        <f>_xlfn.XLOOKUP(Customer[[#This Row],[Customer ID]],[1]!Address[ID],[1]!Address[Phone No.(2)])</f>
        <v/>
      </c>
      <c r="V686" s="11" t="str">
        <f>_xlfn.XLOOKUP(Customer[[#This Row],[Customer ID]],[1]!Address[ID],[1]!Address[Type])</f>
        <v>PETROMART</v>
      </c>
      <c r="W686" s="11" t="str">
        <f>_xlfn.XLOOKUP(Customer[[#This Row],[Customer ID]],[1]!Address[ID],[1]!Address[CT])</f>
        <v>30 DAYS</v>
      </c>
      <c r="X686" s="11" t="s">
        <v>39</v>
      </c>
      <c r="Y686" s="17" t="s">
        <v>40</v>
      </c>
      <c r="Z686" s="17" t="e">
        <f>_xlfn.XLOOKUP(Customer[[#This Row],[NewType]],$AF$36:$AF$54,$AG$36:$AG$54)</f>
        <v>#N/A</v>
      </c>
      <c r="AA686" s="17" t="s">
        <v>4923</v>
      </c>
      <c r="AB686" s="11" t="str">
        <f>_xlfn.XLOOKUP(Customer[[#This Row],[Customer ID]],[1]!Address[ID],[1]!Address[Subtype])</f>
        <v>PETRONAS</v>
      </c>
      <c r="AC686" s="18" t="str">
        <f>_xlfn.XLOOKUP(Customer[[#This Row],[Customer ID]],[1]!Address[ID],[1]!Address[Zone])</f>
        <v>NORTH</v>
      </c>
    </row>
    <row r="687" spans="1:29" x14ac:dyDescent="0.3">
      <c r="A687" s="10" t="s">
        <v>4924</v>
      </c>
      <c r="B687" s="11" t="str">
        <f>_xlfn.XLOOKUP(Customer[[#This Row],[Customer ID]],[1]!Name[ID],[1]!Name[Description(1)])</f>
        <v>STESEN PETRONAS SUNGAI KOYAN</v>
      </c>
      <c r="C687" s="11" t="str">
        <f>_xlfn.XLOOKUP(Customer[[#This Row],[Customer ID]],[1]!Name[ID],[1]!Name[Description(2)])</f>
        <v>PS SUNGAI KOYAN</v>
      </c>
      <c r="D687" s="11" t="str">
        <f>_xlfn.XLOOKUP(Customer[[#This Row],[Customer ID]],[1]!Address[ID],[1]!Address[PIC])</f>
        <v/>
      </c>
      <c r="E687" s="11" t="str">
        <f>_xlfn.XLOOKUP(Customer[[#This Row],[Customer ID]],[1]!Address[ID],[1]!Address[Full Address])</f>
        <v>PS SUNGAI KOYANKOPERASI FELDA SG KOYAN 01 RAUB BHD27650 RAUB,PAHANG DARUL MAKMUR</v>
      </c>
      <c r="F687" s="12" t="s">
        <v>4925</v>
      </c>
      <c r="G687" s="12" t="s">
        <v>4926</v>
      </c>
      <c r="H687" s="12" t="s">
        <v>4314</v>
      </c>
      <c r="I687" s="12" t="b">
        <f>ISNUMBER(VALUE(LEFT(Customer[[#This Row],[Address Line 3 (30 char)]],1)))</f>
        <v>0</v>
      </c>
      <c r="J687" s="12" t="s">
        <v>339</v>
      </c>
      <c r="K687" s="12">
        <v>27650</v>
      </c>
      <c r="L687" s="12" t="s">
        <v>35</v>
      </c>
      <c r="M687" s="13">
        <v>197760300095</v>
      </c>
      <c r="N687" s="14" t="s">
        <v>4927</v>
      </c>
      <c r="O687" s="14" t="e">
        <v>#N/A</v>
      </c>
      <c r="P687" s="14" t="e">
        <v>#N/A</v>
      </c>
      <c r="Q687" s="19" t="s">
        <v>4928</v>
      </c>
      <c r="R687" s="15" t="s">
        <v>4929</v>
      </c>
      <c r="S687" s="15" t="s">
        <v>37</v>
      </c>
      <c r="T687" s="16" t="s">
        <v>38</v>
      </c>
      <c r="U687" s="11" t="str">
        <f>_xlfn.XLOOKUP(Customer[[#This Row],[Customer ID]],[1]!Address[ID],[1]!Address[Phone No.(2)])</f>
        <v/>
      </c>
      <c r="V687" s="11" t="str">
        <f>_xlfn.XLOOKUP(Customer[[#This Row],[Customer ID]],[1]!Address[ID],[1]!Address[Type])</f>
        <v>PETROMART</v>
      </c>
      <c r="W687" s="11" t="str">
        <f>_xlfn.XLOOKUP(Customer[[#This Row],[Customer ID]],[1]!Address[ID],[1]!Address[CT])</f>
        <v>30 DAYS</v>
      </c>
      <c r="X687" s="11" t="s">
        <v>39</v>
      </c>
      <c r="Y687" s="17" t="s">
        <v>40</v>
      </c>
      <c r="Z687" s="17" t="e">
        <f>_xlfn.XLOOKUP(Customer[[#This Row],[NewType]],$AF$36:$AF$54,$AG$36:$AG$54)</f>
        <v>#N/A</v>
      </c>
      <c r="AA687" s="17" t="s">
        <v>4930</v>
      </c>
      <c r="AB687" s="11" t="str">
        <f>_xlfn.XLOOKUP(Customer[[#This Row],[Customer ID]],[1]!Address[ID],[1]!Address[Subtype])</f>
        <v>PETRONAS</v>
      </c>
      <c r="AC687" s="18" t="str">
        <f>_xlfn.XLOOKUP(Customer[[#This Row],[Customer ID]],[1]!Address[ID],[1]!Address[Zone])</f>
        <v>EAST COAST</v>
      </c>
    </row>
    <row r="688" spans="1:29" x14ac:dyDescent="0.3">
      <c r="A688" s="10" t="s">
        <v>4931</v>
      </c>
      <c r="B688" s="11" t="str">
        <f>_xlfn.XLOOKUP(Customer[[#This Row],[Customer ID]],[1]!Name[ID],[1]!Name[Description(1)])</f>
        <v>SERVIS RIA ENTERPRISE</v>
      </c>
      <c r="C688" s="11" t="str">
        <f>_xlfn.XLOOKUP(Customer[[#This Row],[Customer ID]],[1]!Name[ID],[1]!Name[Description(2)])</f>
        <v>PS SUNGAI LOKAN, BUTTERWORTH</v>
      </c>
      <c r="D688" s="11" t="str">
        <f>_xlfn.XLOOKUP(Customer[[#This Row],[Customer ID]],[1]!Address[ID],[1]!Address[PIC])</f>
        <v/>
      </c>
      <c r="E688" s="11" t="str">
        <f>_xlfn.XLOOKUP(Customer[[#This Row],[Customer ID]],[1]!Address[ID],[1]!Address[Full Address])</f>
        <v>PS SUNGAI LOKAN, BUTTERWORTHLOT 1735 &amp; 1757 MUKIM 10, SUNGAI LOKAN,BUTTERWORTH, 13800, SEBERANG PERAIUTARA, PULAU PINANG</v>
      </c>
      <c r="F688" s="12" t="s">
        <v>4932</v>
      </c>
      <c r="G688" s="12" t="s">
        <v>4933</v>
      </c>
      <c r="H688" s="12" t="s">
        <v>2538</v>
      </c>
      <c r="I688" s="12" t="b">
        <f>ISNUMBER(VALUE(LEFT(Customer[[#This Row],[Address Line 3 (30 char)]],1)))</f>
        <v>0</v>
      </c>
      <c r="J688" s="12" t="s">
        <v>179</v>
      </c>
      <c r="K688" s="12">
        <v>13800</v>
      </c>
      <c r="L688" s="12" t="s">
        <v>35</v>
      </c>
      <c r="M688" s="13" t="e">
        <v>#N/A</v>
      </c>
      <c r="N688" s="14" t="e">
        <v>#N/A</v>
      </c>
      <c r="O688" s="14" t="e">
        <v>#N/A</v>
      </c>
      <c r="P688" s="14" t="e">
        <v>#N/A</v>
      </c>
      <c r="Q688" s="19" t="s">
        <v>4934</v>
      </c>
      <c r="R688" s="15" t="s">
        <v>4935</v>
      </c>
      <c r="S688" s="15" t="s">
        <v>74</v>
      </c>
      <c r="T688" s="16" t="s">
        <v>38</v>
      </c>
      <c r="U688" s="11" t="str">
        <f>_xlfn.XLOOKUP(Customer[[#This Row],[Customer ID]],[1]!Address[ID],[1]!Address[Phone No.(2)])</f>
        <v/>
      </c>
      <c r="V688" s="11" t="str">
        <f>_xlfn.XLOOKUP(Customer[[#This Row],[Customer ID]],[1]!Address[ID],[1]!Address[Type])</f>
        <v>PETROMART</v>
      </c>
      <c r="W688" s="11" t="str">
        <f>_xlfn.XLOOKUP(Customer[[#This Row],[Customer ID]],[1]!Address[ID],[1]!Address[CT])</f>
        <v>30 DAYS</v>
      </c>
      <c r="X688" s="11" t="s">
        <v>39</v>
      </c>
      <c r="Y688" s="17" t="s">
        <v>40</v>
      </c>
      <c r="Z688" s="17" t="e">
        <f>_xlfn.XLOOKUP(Customer[[#This Row],[NewType]],$AF$36:$AF$54,$AG$36:$AG$54)</f>
        <v>#N/A</v>
      </c>
      <c r="AA688" s="17" t="s">
        <v>4936</v>
      </c>
      <c r="AB688" s="11" t="str">
        <f>_xlfn.XLOOKUP(Customer[[#This Row],[Customer ID]],[1]!Address[ID],[1]!Address[Subtype])</f>
        <v>PETRONAS</v>
      </c>
      <c r="AC688" s="18" t="str">
        <f>_xlfn.XLOOKUP(Customer[[#This Row],[Customer ID]],[1]!Address[ID],[1]!Address[Zone])</f>
        <v>NORTH</v>
      </c>
    </row>
    <row r="689" spans="1:29" x14ac:dyDescent="0.3">
      <c r="A689" s="10" t="s">
        <v>4937</v>
      </c>
      <c r="B689" s="11" t="str">
        <f>_xlfn.XLOOKUP(Customer[[#This Row],[Customer ID]],[1]!Name[ID],[1]!Name[Description(1)])</f>
        <v>BERKAT PERKASA RESOURCES</v>
      </c>
      <c r="C689" s="11" t="str">
        <f>_xlfn.XLOOKUP(Customer[[#This Row],[Customer ID]],[1]!Name[ID],[1]!Name[Description(2)])</f>
        <v>PS SUNGAI MANGGIS</v>
      </c>
      <c r="D689" s="11" t="str">
        <f>_xlfn.XLOOKUP(Customer[[#This Row],[Customer ID]],[1]!Address[ID],[1]!Address[PIC])</f>
        <v/>
      </c>
      <c r="E689" s="11" t="str">
        <f>_xlfn.XLOOKUP(Customer[[#This Row],[Customer ID]],[1]!Address[ID],[1]!Address[Full Address])</f>
        <v>PS SUNGAI MANGGISLOT PT 4515, JALAN SUNGAIMANGGIS, BANTING, 42700,SELANGOR</v>
      </c>
      <c r="F689" s="12" t="s">
        <v>4938</v>
      </c>
      <c r="G689" s="12" t="s">
        <v>4939</v>
      </c>
      <c r="H689" s="12" t="s">
        <v>4940</v>
      </c>
      <c r="I689" s="12" t="b">
        <f>ISNUMBER(VALUE(LEFT(Customer[[#This Row],[Address Line 3 (30 char)]],1)))</f>
        <v>0</v>
      </c>
      <c r="J689" s="12" t="s">
        <v>172</v>
      </c>
      <c r="K689" s="12">
        <v>42700</v>
      </c>
      <c r="L689" s="12" t="s">
        <v>35</v>
      </c>
      <c r="M689" s="13" t="e">
        <v>#N/A</v>
      </c>
      <c r="N689" s="14" t="e">
        <v>#N/A</v>
      </c>
      <c r="O689" s="14" t="e">
        <v>#N/A</v>
      </c>
      <c r="P689" s="14" t="e">
        <v>#N/A</v>
      </c>
      <c r="Q689" s="19" t="s">
        <v>4941</v>
      </c>
      <c r="R689" s="15" t="s">
        <v>3907</v>
      </c>
      <c r="S689" s="15" t="s">
        <v>37</v>
      </c>
      <c r="T689" s="16" t="s">
        <v>38</v>
      </c>
      <c r="U689" s="11" t="str">
        <f>_xlfn.XLOOKUP(Customer[[#This Row],[Customer ID]],[1]!Address[ID],[1]!Address[Phone No.(2)])</f>
        <v/>
      </c>
      <c r="V689" s="11" t="str">
        <f>_xlfn.XLOOKUP(Customer[[#This Row],[Customer ID]],[1]!Address[ID],[1]!Address[Type])</f>
        <v>PETROMART</v>
      </c>
      <c r="W689" s="11" t="str">
        <f>_xlfn.XLOOKUP(Customer[[#This Row],[Customer ID]],[1]!Address[ID],[1]!Address[CT])</f>
        <v>30 DAYS</v>
      </c>
      <c r="X689" s="11" t="s">
        <v>39</v>
      </c>
      <c r="Y689" s="17" t="s">
        <v>40</v>
      </c>
      <c r="Z689" s="17" t="e">
        <f>_xlfn.XLOOKUP(Customer[[#This Row],[NewType]],$AF$36:$AF$54,$AG$36:$AG$54)</f>
        <v>#N/A</v>
      </c>
      <c r="AA689" s="17" t="s">
        <v>4942</v>
      </c>
      <c r="AB689" s="11" t="str">
        <f>_xlfn.XLOOKUP(Customer[[#This Row],[Customer ID]],[1]!Address[ID],[1]!Address[Subtype])</f>
        <v>PETRONAS</v>
      </c>
      <c r="AC689" s="18" t="str">
        <f>_xlfn.XLOOKUP(Customer[[#This Row],[Customer ID]],[1]!Address[ID],[1]!Address[Zone])</f>
        <v>CENTRAL</v>
      </c>
    </row>
    <row r="690" spans="1:29" x14ac:dyDescent="0.3">
      <c r="A690" s="10" t="s">
        <v>4943</v>
      </c>
      <c r="B690" s="11" t="str">
        <f>_xlfn.XLOOKUP(Customer[[#This Row],[Customer ID]],[1]!Name[ID],[1]!Name[Description(1)])</f>
        <v>CINTA KUASAPETRO SDN BHD</v>
      </c>
      <c r="C690" s="11" t="str">
        <f>_xlfn.XLOOKUP(Customer[[#This Row],[Customer ID]],[1]!Name[ID],[1]!Name[Description(2)])</f>
        <v>PS SUNGAI MERAB R&amp;R</v>
      </c>
      <c r="D690" s="11" t="str">
        <f>_xlfn.XLOOKUP(Customer[[#This Row],[Customer ID]],[1]!Address[ID],[1]!Address[PIC])</f>
        <v/>
      </c>
      <c r="E690" s="11" t="str">
        <f>_xlfn.XLOOKUP(Customer[[#This Row],[Customer ID]],[1]!Address[ID],[1]!Address[Full Address])</f>
        <v>PS SUNGAI MERAB R&amp;RPS SUNGAI MERAB R&amp;R,LOT PT 2,KM 297.9ARAH UTARA, LEBUHRAYA UTARA-SELATAN KL-SEREMBAN SG. MERAB 43000 KAJANG,SELANGOR</v>
      </c>
      <c r="F690" s="12" t="s">
        <v>4944</v>
      </c>
      <c r="G690" s="12" t="s">
        <v>4945</v>
      </c>
      <c r="H690" s="12" t="s">
        <v>4946</v>
      </c>
      <c r="I690" s="12" t="b">
        <f>ISNUMBER(VALUE(LEFT(Customer[[#This Row],[Address Line 3 (30 char)]],1)))</f>
        <v>0</v>
      </c>
      <c r="J690" s="12" t="s">
        <v>172</v>
      </c>
      <c r="K690" s="12">
        <v>43000</v>
      </c>
      <c r="L690" s="12" t="s">
        <v>35</v>
      </c>
      <c r="M690" s="13" t="e">
        <v>#N/A</v>
      </c>
      <c r="N690" s="14" t="e">
        <v>#N/A</v>
      </c>
      <c r="O690" s="14" t="e">
        <v>#N/A</v>
      </c>
      <c r="P690" s="14" t="e">
        <v>#N/A</v>
      </c>
      <c r="Q690" s="19" t="s">
        <v>4947</v>
      </c>
      <c r="R690" s="15" t="s">
        <v>4948</v>
      </c>
      <c r="S690" s="15" t="s">
        <v>37</v>
      </c>
      <c r="T690" s="16" t="s">
        <v>38</v>
      </c>
      <c r="U690" s="11" t="str">
        <f>_xlfn.XLOOKUP(Customer[[#This Row],[Customer ID]],[1]!Address[ID],[1]!Address[Phone No.(2)])</f>
        <v/>
      </c>
      <c r="V690" s="11" t="str">
        <f>_xlfn.XLOOKUP(Customer[[#This Row],[Customer ID]],[1]!Address[ID],[1]!Address[Type])</f>
        <v>PETROMART</v>
      </c>
      <c r="W690" s="11" t="str">
        <f>_xlfn.XLOOKUP(Customer[[#This Row],[Customer ID]],[1]!Address[ID],[1]!Address[CT])</f>
        <v>30 DAYS</v>
      </c>
      <c r="X690" s="11" t="s">
        <v>39</v>
      </c>
      <c r="Y690" s="17" t="s">
        <v>40</v>
      </c>
      <c r="Z690" s="17" t="e">
        <f>_xlfn.XLOOKUP(Customer[[#This Row],[NewType]],$AF$36:$AF$54,$AG$36:$AG$54)</f>
        <v>#N/A</v>
      </c>
      <c r="AA690" s="17" t="s">
        <v>4949</v>
      </c>
      <c r="AB690" s="11" t="str">
        <f>_xlfn.XLOOKUP(Customer[[#This Row],[Customer ID]],[1]!Address[ID],[1]!Address[Subtype])</f>
        <v>PETRONAS</v>
      </c>
      <c r="AC690" s="18" t="str">
        <f>_xlfn.XLOOKUP(Customer[[#This Row],[Customer ID]],[1]!Address[ID],[1]!Address[Zone])</f>
        <v>CENTRAL</v>
      </c>
    </row>
    <row r="691" spans="1:29" x14ac:dyDescent="0.3">
      <c r="A691" s="27" t="s">
        <v>4950</v>
      </c>
      <c r="B691" s="28" t="str">
        <f>_xlfn.XLOOKUP(Customer[[#This Row],[Customer ID]],[1]!Name[ID],[1]!Name[Description(1)])</f>
        <v>CGT RESOURCES</v>
      </c>
      <c r="C691" s="11" t="str">
        <f>_xlfn.XLOOKUP(Customer[[#This Row],[Customer ID]],[1]!Name[ID],[1]!Name[Description(2)])</f>
        <v>PS SUNGAI PENAGA, LEBUHRAYA DAMANSARA -</v>
      </c>
      <c r="D691" s="11" t="str">
        <f>_xlfn.XLOOKUP(Customer[[#This Row],[Customer ID]],[1]!Address[ID],[1]!Address[PIC])</f>
        <v/>
      </c>
      <c r="E691" s="11" t="str">
        <f>_xlfn.XLOOKUP(Customer[[#This Row],[Customer ID]],[1]!Address[ID],[1]!Address[Full Address])</f>
        <v>PS SUNGAI PENAGA, LEBUHRAYA DAMANSARA -LOT PT 14387 HS (M6834), LEBUHRAYADAMANSARA-PUCHONG, PUCHONG,47100 SELANGOR</v>
      </c>
      <c r="F691" s="12" t="s">
        <v>4951</v>
      </c>
      <c r="G691" s="12" t="s">
        <v>4952</v>
      </c>
      <c r="H691" s="12" t="s">
        <v>4953</v>
      </c>
      <c r="I691" s="12" t="b">
        <f>ISNUMBER(VALUE(LEFT(Customer[[#This Row],[Address Line 3 (30 char)]],1)))</f>
        <v>0</v>
      </c>
      <c r="J691" s="12" t="s">
        <v>172</v>
      </c>
      <c r="K691" s="12">
        <v>47100</v>
      </c>
      <c r="L691" s="12" t="s">
        <v>35</v>
      </c>
      <c r="M691" s="35">
        <v>200603143998</v>
      </c>
      <c r="N691" s="14" t="s">
        <v>4954</v>
      </c>
      <c r="O691" s="14" t="e">
        <v>#N/A</v>
      </c>
      <c r="P691" s="14" t="e">
        <v>#N/A</v>
      </c>
      <c r="Q691" s="19" t="s">
        <v>4955</v>
      </c>
      <c r="R691" s="15" t="s">
        <v>4956</v>
      </c>
      <c r="S691" s="15" t="s">
        <v>37</v>
      </c>
      <c r="T691" s="16" t="s">
        <v>38</v>
      </c>
      <c r="U691" s="11" t="str">
        <f>_xlfn.XLOOKUP(Customer[[#This Row],[Customer ID]],[1]!Address[ID],[1]!Address[Phone No.(2)])</f>
        <v/>
      </c>
      <c r="V691" s="11" t="str">
        <f>_xlfn.XLOOKUP(Customer[[#This Row],[Customer ID]],[1]!Address[ID],[1]!Address[Type])</f>
        <v>PETROMART</v>
      </c>
      <c r="W691" s="11" t="str">
        <f>_xlfn.XLOOKUP(Customer[[#This Row],[Customer ID]],[1]!Address[ID],[1]!Address[CT])</f>
        <v>30 DAYS</v>
      </c>
      <c r="X691" s="11" t="s">
        <v>39</v>
      </c>
      <c r="Y691" s="17" t="s">
        <v>40</v>
      </c>
      <c r="Z691" s="17" t="e">
        <f>_xlfn.XLOOKUP(Customer[[#This Row],[NewType]],$AF$36:$AF$54,$AG$36:$AG$54)</f>
        <v>#N/A</v>
      </c>
      <c r="AA691" s="17" t="s">
        <v>4957</v>
      </c>
      <c r="AB691" s="11" t="str">
        <f>_xlfn.XLOOKUP(Customer[[#This Row],[Customer ID]],[1]!Address[ID],[1]!Address[Subtype])</f>
        <v>PETRONAS</v>
      </c>
      <c r="AC691" s="18" t="str">
        <f>_xlfn.XLOOKUP(Customer[[#This Row],[Customer ID]],[1]!Address[ID],[1]!Address[Zone])</f>
        <v>CENTRAL</v>
      </c>
    </row>
    <row r="692" spans="1:29" x14ac:dyDescent="0.3">
      <c r="A692" s="10" t="s">
        <v>4958</v>
      </c>
      <c r="B692" s="11" t="str">
        <f>_xlfn.XLOOKUP(Customer[[#This Row],[Customer ID]],[1]!Name[ID],[1]!Name[Description(1)])</f>
        <v>NYONAN SDN BHD</v>
      </c>
      <c r="C692" s="11" t="str">
        <f>_xlfn.XLOOKUP(Customer[[#This Row],[Customer ID]],[1]!Name[ID],[1]!Name[Description(2)])</f>
        <v>PS SUNGAI PENCHALA</v>
      </c>
      <c r="D692" s="11" t="str">
        <f>_xlfn.XLOOKUP(Customer[[#This Row],[Customer ID]],[1]!Address[ID],[1]!Address[PIC])</f>
        <v/>
      </c>
      <c r="E692" s="11" t="str">
        <f>_xlfn.XLOOKUP(Customer[[#This Row],[Customer ID]],[1]!Address[ID],[1]!Address[Full Address])</f>
        <v>PS SUNGAI PENCHALALOT 2956, JALAN DAMANSARA,SUNGAI PENCHALA, KUALA LUMPUR,60000, PETALING, W PERSEKUTUAN</v>
      </c>
      <c r="F692" s="12" t="s">
        <v>4959</v>
      </c>
      <c r="G692" s="12" t="s">
        <v>4960</v>
      </c>
      <c r="H692" s="12" t="s">
        <v>4961</v>
      </c>
      <c r="I692" s="12" t="b">
        <f>ISNUMBER(VALUE(LEFT(Customer[[#This Row],[Address Line 3 (30 char)]],1)))</f>
        <v>0</v>
      </c>
      <c r="J692" s="12" t="s">
        <v>172</v>
      </c>
      <c r="K692" s="12">
        <v>60000</v>
      </c>
      <c r="L692" s="12" t="s">
        <v>35</v>
      </c>
      <c r="M692" s="13" t="e">
        <v>#N/A</v>
      </c>
      <c r="N692" s="14" t="e">
        <v>#N/A</v>
      </c>
      <c r="O692" s="14" t="e">
        <v>#N/A</v>
      </c>
      <c r="P692" s="14" t="e">
        <v>#N/A</v>
      </c>
      <c r="Q692" s="19" t="s">
        <v>4962</v>
      </c>
      <c r="R692" s="15" t="s">
        <v>4963</v>
      </c>
      <c r="S692" s="15" t="s">
        <v>37</v>
      </c>
      <c r="T692" s="16" t="s">
        <v>38</v>
      </c>
      <c r="U692" s="11" t="str">
        <f>_xlfn.XLOOKUP(Customer[[#This Row],[Customer ID]],[1]!Address[ID],[1]!Address[Phone No.(2)])</f>
        <v/>
      </c>
      <c r="V692" s="11" t="str">
        <f>_xlfn.XLOOKUP(Customer[[#This Row],[Customer ID]],[1]!Address[ID],[1]!Address[Type])</f>
        <v>PETROMART</v>
      </c>
      <c r="W692" s="11" t="str">
        <f>_xlfn.XLOOKUP(Customer[[#This Row],[Customer ID]],[1]!Address[ID],[1]!Address[CT])</f>
        <v>30 DAYS</v>
      </c>
      <c r="X692" s="11" t="s">
        <v>39</v>
      </c>
      <c r="Y692" s="17" t="s">
        <v>40</v>
      </c>
      <c r="Z692" s="17" t="e">
        <f>_xlfn.XLOOKUP(Customer[[#This Row],[NewType]],$AF$36:$AF$54,$AG$36:$AG$54)</f>
        <v>#N/A</v>
      </c>
      <c r="AA692" s="17" t="s">
        <v>4964</v>
      </c>
      <c r="AB692" s="11" t="str">
        <f>_xlfn.XLOOKUP(Customer[[#This Row],[Customer ID]],[1]!Address[ID],[1]!Address[Subtype])</f>
        <v>PETRONAS</v>
      </c>
      <c r="AC692" s="18" t="str">
        <f>_xlfn.XLOOKUP(Customer[[#This Row],[Customer ID]],[1]!Address[ID],[1]!Address[Zone])</f>
        <v>CENTRAL</v>
      </c>
    </row>
    <row r="693" spans="1:29" x14ac:dyDescent="0.3">
      <c r="A693" s="10" t="s">
        <v>4965</v>
      </c>
      <c r="B693" s="11" t="str">
        <f>_xlfn.XLOOKUP(Customer[[#This Row],[Customer ID]],[1]!Name[ID],[1]!Name[Description(1)])</f>
        <v>PFS K&amp;N TSAQIB ENTERPRISE</v>
      </c>
      <c r="C693" s="11" t="str">
        <f>_xlfn.XLOOKUP(Customer[[#This Row],[Customer ID]],[1]!Name[ID],[1]!Name[Description(2)])</f>
        <v>PS SUNGAI PERAK (NORTH BOUND)</v>
      </c>
      <c r="D693" s="11" t="str">
        <f>_xlfn.XLOOKUP(Customer[[#This Row],[Customer ID]],[1]!Address[ID],[1]!Address[PIC])</f>
        <v/>
      </c>
      <c r="E693" s="11" t="str">
        <f>_xlfn.XLOOKUP(Customer[[#This Row],[Customer ID]],[1]!Address[ID],[1]!Address[Full Address])</f>
        <v>PS SUNGAI PERAK (NORTH BOUND)SUNGAI PERAK (ARAH UTARA),LEBUHRAYA UTARA-SELATAN33000 KUALA KANGSAR, PERAK</v>
      </c>
      <c r="F693" s="12" t="s">
        <v>4966</v>
      </c>
      <c r="G693" s="12" t="s">
        <v>4967</v>
      </c>
      <c r="H693" s="12" t="s">
        <v>4343</v>
      </c>
      <c r="I693" s="12" t="b">
        <f>ISNUMBER(VALUE(LEFT(Customer[[#This Row],[Address Line 3 (30 char)]],1)))</f>
        <v>0</v>
      </c>
      <c r="J693" s="12" t="s">
        <v>242</v>
      </c>
      <c r="K693" s="12">
        <v>33000</v>
      </c>
      <c r="L693" s="12" t="s">
        <v>35</v>
      </c>
      <c r="M693" s="13" t="e">
        <v>#N/A</v>
      </c>
      <c r="N693" s="14" t="e">
        <v>#N/A</v>
      </c>
      <c r="O693" s="14" t="e">
        <v>#N/A</v>
      </c>
      <c r="P693" s="14" t="e">
        <v>#N/A</v>
      </c>
      <c r="Q693" s="19" t="s">
        <v>4968</v>
      </c>
      <c r="R693" s="15" t="s">
        <v>4969</v>
      </c>
      <c r="S693" s="15" t="s">
        <v>37</v>
      </c>
      <c r="T693" s="16" t="s">
        <v>38</v>
      </c>
      <c r="U693" s="11" t="str">
        <f>_xlfn.XLOOKUP(Customer[[#This Row],[Customer ID]],[1]!Address[ID],[1]!Address[Phone No.(2)])</f>
        <v/>
      </c>
      <c r="V693" s="11" t="str">
        <f>_xlfn.XLOOKUP(Customer[[#This Row],[Customer ID]],[1]!Address[ID],[1]!Address[Type])</f>
        <v>PETROMART</v>
      </c>
      <c r="W693" s="11" t="str">
        <f>_xlfn.XLOOKUP(Customer[[#This Row],[Customer ID]],[1]!Address[ID],[1]!Address[CT])</f>
        <v>30 DAYS</v>
      </c>
      <c r="X693" s="11" t="s">
        <v>39</v>
      </c>
      <c r="Y693" s="17" t="s">
        <v>40</v>
      </c>
      <c r="Z693" s="17" t="e">
        <f>_xlfn.XLOOKUP(Customer[[#This Row],[NewType]],$AF$36:$AF$54,$AG$36:$AG$54)</f>
        <v>#N/A</v>
      </c>
      <c r="AA693" s="17" t="s">
        <v>4970</v>
      </c>
      <c r="AB693" s="11" t="str">
        <f>_xlfn.XLOOKUP(Customer[[#This Row],[Customer ID]],[1]!Address[ID],[1]!Address[Subtype])</f>
        <v>PETRONAS</v>
      </c>
      <c r="AC693" s="18" t="str">
        <f>_xlfn.XLOOKUP(Customer[[#This Row],[Customer ID]],[1]!Address[ID],[1]!Address[Zone])</f>
        <v>NORTH</v>
      </c>
    </row>
    <row r="694" spans="1:29" x14ac:dyDescent="0.3">
      <c r="A694" s="10" t="s">
        <v>4971</v>
      </c>
      <c r="B694" s="11" t="str">
        <f>_xlfn.XLOOKUP(Customer[[#This Row],[Customer ID]],[1]!Name[ID],[1]!Name[Description(1)])</f>
        <v>MENORA PETROL ENTERPRISE</v>
      </c>
      <c r="C694" s="11" t="str">
        <f>_xlfn.XLOOKUP(Customer[[#This Row],[Customer ID]],[1]!Name[ID],[1]!Name[Description(2)])</f>
        <v>PS SUNGAI PERAK (SOUTH BOUND)</v>
      </c>
      <c r="D694" s="11" t="str">
        <f>_xlfn.XLOOKUP(Customer[[#This Row],[Customer ID]],[1]!Address[ID],[1]!Address[PIC])</f>
        <v/>
      </c>
      <c r="E694" s="11" t="str">
        <f>_xlfn.XLOOKUP(Customer[[#This Row],[Customer ID]],[1]!Address[ID],[1]!Address[Full Address])</f>
        <v>PS SUNGAI PERAK (SOUTH BOUND)KAWASAN REHAT &amp; RAWAT SUNGAI PERAK,LEBUHRAYA UTARA-SELATANKANGSAR, 33000 PERAK</v>
      </c>
      <c r="F694" s="12" t="s">
        <v>4972</v>
      </c>
      <c r="G694" s="12" t="s">
        <v>4343</v>
      </c>
      <c r="H694" s="12" t="s">
        <v>4973</v>
      </c>
      <c r="I694" s="12" t="b">
        <f>ISNUMBER(VALUE(LEFT(Customer[[#This Row],[Address Line 3 (30 char)]],1)))</f>
        <v>0</v>
      </c>
      <c r="J694" s="12" t="s">
        <v>387</v>
      </c>
      <c r="K694" s="12">
        <v>33000</v>
      </c>
      <c r="L694" s="12" t="s">
        <v>35</v>
      </c>
      <c r="M694" s="13" t="e">
        <v>#N/A</v>
      </c>
      <c r="N694" s="14" t="e">
        <v>#N/A</v>
      </c>
      <c r="O694" s="14" t="e">
        <v>#N/A</v>
      </c>
      <c r="P694" s="14" t="e">
        <v>#N/A</v>
      </c>
      <c r="Q694" s="19" t="s">
        <v>4974</v>
      </c>
      <c r="R694" s="15" t="s">
        <v>4975</v>
      </c>
      <c r="S694" s="15" t="s">
        <v>37</v>
      </c>
      <c r="T694" s="16" t="s">
        <v>38</v>
      </c>
      <c r="U694" s="11" t="str">
        <f>_xlfn.XLOOKUP(Customer[[#This Row],[Customer ID]],[1]!Address[ID],[1]!Address[Phone No.(2)])</f>
        <v/>
      </c>
      <c r="V694" s="11" t="str">
        <f>_xlfn.XLOOKUP(Customer[[#This Row],[Customer ID]],[1]!Address[ID],[1]!Address[Type])</f>
        <v>PETROMART</v>
      </c>
      <c r="W694" s="11" t="str">
        <f>_xlfn.XLOOKUP(Customer[[#This Row],[Customer ID]],[1]!Address[ID],[1]!Address[CT])</f>
        <v>30 DAYS</v>
      </c>
      <c r="X694" s="11" t="s">
        <v>39</v>
      </c>
      <c r="Y694" s="17" t="s">
        <v>40</v>
      </c>
      <c r="Z694" s="17" t="e">
        <f>_xlfn.XLOOKUP(Customer[[#This Row],[NewType]],$AF$36:$AF$54,$AG$36:$AG$54)</f>
        <v>#N/A</v>
      </c>
      <c r="AA694" s="17" t="s">
        <v>4976</v>
      </c>
      <c r="AB694" s="11" t="str">
        <f>_xlfn.XLOOKUP(Customer[[#This Row],[Customer ID]],[1]!Address[ID],[1]!Address[Subtype])</f>
        <v>PETRONAS</v>
      </c>
      <c r="AC694" s="18" t="str">
        <f>_xlfn.XLOOKUP(Customer[[#This Row],[Customer ID]],[1]!Address[ID],[1]!Address[Zone])</f>
        <v>NORTH</v>
      </c>
    </row>
    <row r="695" spans="1:29" x14ac:dyDescent="0.3">
      <c r="A695" s="10" t="s">
        <v>4977</v>
      </c>
      <c r="B695" s="11" t="str">
        <f>_xlfn.XLOOKUP(Customer[[#This Row],[Customer ID]],[1]!Name[ID],[1]!Name[Description(1)])</f>
        <v>KAZUMI GLOBAL ENTERPRISE</v>
      </c>
      <c r="C695" s="11" t="str">
        <f>_xlfn.XLOOKUP(Customer[[#This Row],[Customer ID]],[1]!Name[ID],[1]!Name[Description(2)])</f>
        <v>PS SUNGAI PETAI</v>
      </c>
      <c r="D695" s="11" t="str">
        <f>_xlfn.XLOOKUP(Customer[[#This Row],[Customer ID]],[1]!Address[ID],[1]!Address[PIC])</f>
        <v/>
      </c>
      <c r="E695" s="11" t="str">
        <f>_xlfn.XLOOKUP(Customer[[#This Row],[Customer ID]],[1]!Address[ID],[1]!Address[Full Address])</f>
        <v>PS SUNGAI PETAILOT 3579, MUKIM SUNGAI PETAI, ALOR GAJAH78000, ALOR GAJAH, MELAKA</v>
      </c>
      <c r="F695" s="12" t="s">
        <v>4978</v>
      </c>
      <c r="G695" s="12" t="s">
        <v>4979</v>
      </c>
      <c r="H695" s="12" t="s">
        <v>4705</v>
      </c>
      <c r="I695" s="12" t="b">
        <f>ISNUMBER(VALUE(LEFT(Customer[[#This Row],[Address Line 3 (30 char)]],1)))</f>
        <v>0</v>
      </c>
      <c r="J695" s="12" t="s">
        <v>61</v>
      </c>
      <c r="K695" s="12">
        <v>78000</v>
      </c>
      <c r="L695" s="12" t="s">
        <v>35</v>
      </c>
      <c r="M695" s="13" t="e">
        <v>#N/A</v>
      </c>
      <c r="N695" s="14" t="s">
        <v>4980</v>
      </c>
      <c r="O695" s="14" t="e">
        <v>#N/A</v>
      </c>
      <c r="P695" s="14" t="e">
        <v>#N/A</v>
      </c>
      <c r="Q695" s="19" t="s">
        <v>4981</v>
      </c>
      <c r="R695" s="15" t="s">
        <v>4982</v>
      </c>
      <c r="S695" s="15" t="s">
        <v>37</v>
      </c>
      <c r="T695" s="16" t="s">
        <v>38</v>
      </c>
      <c r="U695" s="11" t="str">
        <f>_xlfn.XLOOKUP(Customer[[#This Row],[Customer ID]],[1]!Address[ID],[1]!Address[Phone No.(2)])</f>
        <v/>
      </c>
      <c r="V695" s="11" t="str">
        <f>_xlfn.XLOOKUP(Customer[[#This Row],[Customer ID]],[1]!Address[ID],[1]!Address[Type])</f>
        <v>PETROMART</v>
      </c>
      <c r="W695" s="11" t="str">
        <f>_xlfn.XLOOKUP(Customer[[#This Row],[Customer ID]],[1]!Address[ID],[1]!Address[CT])</f>
        <v>30 DAYS</v>
      </c>
      <c r="X695" s="11" t="s">
        <v>39</v>
      </c>
      <c r="Y695" s="17" t="s">
        <v>40</v>
      </c>
      <c r="Z695" s="17" t="e">
        <f>_xlfn.XLOOKUP(Customer[[#This Row],[NewType]],$AF$36:$AF$54,$AG$36:$AG$54)</f>
        <v>#N/A</v>
      </c>
      <c r="AA695" s="17" t="s">
        <v>4983</v>
      </c>
      <c r="AB695" s="11" t="str">
        <f>_xlfn.XLOOKUP(Customer[[#This Row],[Customer ID]],[1]!Address[ID],[1]!Address[Subtype])</f>
        <v>PETRONAS</v>
      </c>
      <c r="AC695" s="18" t="str">
        <f>_xlfn.XLOOKUP(Customer[[#This Row],[Customer ID]],[1]!Address[ID],[1]!Address[Zone])</f>
        <v>SOUTH</v>
      </c>
    </row>
    <row r="696" spans="1:29" x14ac:dyDescent="0.3">
      <c r="A696" s="10" t="s">
        <v>4984</v>
      </c>
      <c r="B696" s="11" t="str">
        <f>_xlfn.XLOOKUP(Customer[[#This Row],[Customer ID]],[1]!Name[ID],[1]!Name[Description(1)])</f>
        <v>DAGANGAN RUMPUN JAYA</v>
      </c>
      <c r="C696" s="11" t="str">
        <f>_xlfn.XLOOKUP(Customer[[#This Row],[Customer ID]],[1]!Name[ID],[1]!Name[Description(2)])</f>
        <v>PS SUNGAI RAMBAI</v>
      </c>
      <c r="D696" s="11" t="str">
        <f>_xlfn.XLOOKUP(Customer[[#This Row],[Customer ID]],[1]!Address[ID],[1]!Address[PIC])</f>
        <v/>
      </c>
      <c r="E696" s="11" t="str">
        <f>_xlfn.XLOOKUP(Customer[[#This Row],[Customer ID]],[1]!Address[ID],[1]!Address[Full Address])</f>
        <v>PS SUNGAI RAMBAILOT 1464, PEKAN SUNGAI RAMBAI, MELAKA,77400, JASIN, MELAKA</v>
      </c>
      <c r="F696" s="12" t="s">
        <v>4985</v>
      </c>
      <c r="G696" s="12" t="s">
        <v>4986</v>
      </c>
      <c r="H696" s="12" t="s">
        <v>4987</v>
      </c>
      <c r="I696" s="12" t="b">
        <f>ISNUMBER(VALUE(LEFT(Customer[[#This Row],[Address Line 3 (30 char)]],1)))</f>
        <v>0</v>
      </c>
      <c r="J696" s="12" t="s">
        <v>61</v>
      </c>
      <c r="K696" s="12">
        <v>77400</v>
      </c>
      <c r="L696" s="12" t="s">
        <v>35</v>
      </c>
      <c r="M696" s="13" t="e">
        <v>#N/A</v>
      </c>
      <c r="N696" s="14" t="e">
        <v>#N/A</v>
      </c>
      <c r="O696" s="14" t="e">
        <v>#N/A</v>
      </c>
      <c r="P696" s="14" t="e">
        <v>#N/A</v>
      </c>
      <c r="Q696" s="19" t="s">
        <v>4988</v>
      </c>
      <c r="R696" s="15" t="s">
        <v>4989</v>
      </c>
      <c r="S696" s="15" t="s">
        <v>37</v>
      </c>
      <c r="T696" s="16" t="s">
        <v>38</v>
      </c>
      <c r="U696" s="11" t="str">
        <f>_xlfn.XLOOKUP(Customer[[#This Row],[Customer ID]],[1]!Address[ID],[1]!Address[Phone No.(2)])</f>
        <v/>
      </c>
      <c r="V696" s="11" t="str">
        <f>_xlfn.XLOOKUP(Customer[[#This Row],[Customer ID]],[1]!Address[ID],[1]!Address[Type])</f>
        <v>PETROMART</v>
      </c>
      <c r="W696" s="11" t="str">
        <f>_xlfn.XLOOKUP(Customer[[#This Row],[Customer ID]],[1]!Address[ID],[1]!Address[CT])</f>
        <v>30 DAYS</v>
      </c>
      <c r="X696" s="11" t="s">
        <v>39</v>
      </c>
      <c r="Y696" s="17" t="s">
        <v>40</v>
      </c>
      <c r="Z696" s="17" t="e">
        <f>_xlfn.XLOOKUP(Customer[[#This Row],[NewType]],$AF$36:$AF$54,$AG$36:$AG$54)</f>
        <v>#N/A</v>
      </c>
      <c r="AA696" s="17" t="s">
        <v>4990</v>
      </c>
      <c r="AB696" s="11" t="str">
        <f>_xlfn.XLOOKUP(Customer[[#This Row],[Customer ID]],[1]!Address[ID],[1]!Address[Subtype])</f>
        <v>PETRONAS</v>
      </c>
      <c r="AC696" s="18" t="str">
        <f>_xlfn.XLOOKUP(Customer[[#This Row],[Customer ID]],[1]!Address[ID],[1]!Address[Zone])</f>
        <v>SOUTH</v>
      </c>
    </row>
    <row r="697" spans="1:29" x14ac:dyDescent="0.3">
      <c r="A697" s="10" t="s">
        <v>4991</v>
      </c>
      <c r="B697" s="11" t="str">
        <f>_xlfn.XLOOKUP(Customer[[#This Row],[Customer ID]],[1]!Name[ID],[1]!Name[Description(1)])</f>
        <v>NAZ PETROL STATION SDN BHD</v>
      </c>
      <c r="C697" s="11" t="str">
        <f>_xlfn.XLOOKUP(Customer[[#This Row],[Customer ID]],[1]!Name[ID],[1]!Name[Description(2)])</f>
        <v>PS SUNGAI RANGGAM</v>
      </c>
      <c r="D697" s="11" t="str">
        <f>_xlfn.XLOOKUP(Customer[[#This Row],[Customer ID]],[1]!Address[ID],[1]!Address[PIC])</f>
        <v/>
      </c>
      <c r="E697" s="11" t="str">
        <f>_xlfn.XLOOKUP(Customer[[#This Row],[Customer ID]],[1]!Address[ID],[1]!Address[Full Address])</f>
        <v>PS SUNGAI RANGGAMPT 810, JALAN SUNGAI RANGGAM, KOTA SETIA36800 KAMPUNG GAJAH, PERAK, 36800,KAMPUNG GAJAH, PERAK</v>
      </c>
      <c r="F697" s="12" t="s">
        <v>4992</v>
      </c>
      <c r="G697" s="12" t="s">
        <v>4993</v>
      </c>
      <c r="H697" s="12" t="s">
        <v>4994</v>
      </c>
      <c r="I697" s="12" t="b">
        <f>ISNUMBER(VALUE(LEFT(Customer[[#This Row],[Address Line 3 (30 char)]],1)))</f>
        <v>0</v>
      </c>
      <c r="J697" s="12" t="s">
        <v>387</v>
      </c>
      <c r="K697" s="12">
        <v>36800</v>
      </c>
      <c r="L697" s="12" t="s">
        <v>35</v>
      </c>
      <c r="M697" s="13" t="e">
        <v>#N/A</v>
      </c>
      <c r="N697" s="14" t="e">
        <v>#N/A</v>
      </c>
      <c r="O697" s="14" t="e">
        <v>#N/A</v>
      </c>
      <c r="P697" s="14" t="e">
        <v>#N/A</v>
      </c>
      <c r="Q697" s="19" t="s">
        <v>4995</v>
      </c>
      <c r="R697" s="15" t="s">
        <v>4996</v>
      </c>
      <c r="S697" s="15" t="s">
        <v>37</v>
      </c>
      <c r="T697" s="16" t="s">
        <v>38</v>
      </c>
      <c r="U697" s="11" t="str">
        <f>_xlfn.XLOOKUP(Customer[[#This Row],[Customer ID]],[1]!Address[ID],[1]!Address[Phone No.(2)])</f>
        <v/>
      </c>
      <c r="V697" s="11" t="str">
        <f>_xlfn.XLOOKUP(Customer[[#This Row],[Customer ID]],[1]!Address[ID],[1]!Address[Type])</f>
        <v>PETROMART</v>
      </c>
      <c r="W697" s="11" t="str">
        <f>_xlfn.XLOOKUP(Customer[[#This Row],[Customer ID]],[1]!Address[ID],[1]!Address[CT])</f>
        <v>30 DAYS</v>
      </c>
      <c r="X697" s="11" t="s">
        <v>39</v>
      </c>
      <c r="Y697" s="17" t="s">
        <v>40</v>
      </c>
      <c r="Z697" s="17" t="e">
        <f>_xlfn.XLOOKUP(Customer[[#This Row],[NewType]],$AF$36:$AF$54,$AG$36:$AG$54)</f>
        <v>#N/A</v>
      </c>
      <c r="AA697" s="17" t="s">
        <v>4997</v>
      </c>
      <c r="AB697" s="11" t="str">
        <f>_xlfn.XLOOKUP(Customer[[#This Row],[Customer ID]],[1]!Address[ID],[1]!Address[Subtype])</f>
        <v>PETRONAS</v>
      </c>
      <c r="AC697" s="18" t="str">
        <f>_xlfn.XLOOKUP(Customer[[#This Row],[Customer ID]],[1]!Address[ID],[1]!Address[Zone])</f>
        <v>NORTH</v>
      </c>
    </row>
    <row r="698" spans="1:29" x14ac:dyDescent="0.3">
      <c r="A698" s="10" t="s">
        <v>4998</v>
      </c>
      <c r="B698" s="11" t="str">
        <f>_xlfn.XLOOKUP(Customer[[#This Row],[Customer ID]],[1]!Name[ID],[1]!Name[Description(1)])</f>
        <v>STESEN MINYAK AR RAUDHAH</v>
      </c>
      <c r="C698" s="11" t="str">
        <f>_xlfn.XLOOKUP(Customer[[#This Row],[Customer ID]],[1]!Name[ID],[1]!Name[Description(2)])</f>
        <v>PS SUNGAI RAYA (IPOH BOUND)</v>
      </c>
      <c r="D698" s="11" t="str">
        <f>_xlfn.XLOOKUP(Customer[[#This Row],[Customer ID]],[1]!Address[ID],[1]!Address[PIC])</f>
        <v/>
      </c>
      <c r="E698" s="11" t="str">
        <f>_xlfn.XLOOKUP(Customer[[#This Row],[Customer ID]],[1]!Address[ID],[1]!Address[Full Address])</f>
        <v>PS SUNGAI RAYA (IPOH BOUND)LOT PT 3137 H-S(D) MUKIM SUNGAI RAYA,IPOH, 31300, KINTA, PERAK</v>
      </c>
      <c r="F698" s="12" t="s">
        <v>4999</v>
      </c>
      <c r="G698" s="12" t="s">
        <v>5000</v>
      </c>
      <c r="H698" s="12" t="s">
        <v>5001</v>
      </c>
      <c r="I698" s="12" t="b">
        <f>ISNUMBER(VALUE(LEFT(Customer[[#This Row],[Address Line 3 (30 char)]],1)))</f>
        <v>0</v>
      </c>
      <c r="J698" s="12" t="s">
        <v>387</v>
      </c>
      <c r="K698" s="12">
        <v>31300</v>
      </c>
      <c r="L698" s="12" t="s">
        <v>35</v>
      </c>
      <c r="M698" s="13">
        <v>200303180597</v>
      </c>
      <c r="N698" s="14" t="s">
        <v>5002</v>
      </c>
      <c r="O698" s="14" t="e">
        <v>#N/A</v>
      </c>
      <c r="P698" s="14" t="e">
        <v>#N/A</v>
      </c>
      <c r="Q698" s="19" t="s">
        <v>5003</v>
      </c>
      <c r="R698" s="15" t="s">
        <v>5004</v>
      </c>
      <c r="S698" s="15" t="s">
        <v>74</v>
      </c>
      <c r="T698" s="16" t="s">
        <v>38</v>
      </c>
      <c r="U698" s="11" t="str">
        <f>_xlfn.XLOOKUP(Customer[[#This Row],[Customer ID]],[1]!Address[ID],[1]!Address[Phone No.(2)])</f>
        <v/>
      </c>
      <c r="V698" s="11" t="str">
        <f>_xlfn.XLOOKUP(Customer[[#This Row],[Customer ID]],[1]!Address[ID],[1]!Address[Type])</f>
        <v>PETROMART</v>
      </c>
      <c r="W698" s="11" t="str">
        <f>_xlfn.XLOOKUP(Customer[[#This Row],[Customer ID]],[1]!Address[ID],[1]!Address[CT])</f>
        <v>30 DAYS</v>
      </c>
      <c r="X698" s="11" t="s">
        <v>39</v>
      </c>
      <c r="Y698" s="17" t="s">
        <v>40</v>
      </c>
      <c r="Z698" s="17" t="e">
        <f>_xlfn.XLOOKUP(Customer[[#This Row],[NewType]],$AF$36:$AF$54,$AG$36:$AG$54)</f>
        <v>#N/A</v>
      </c>
      <c r="AA698" s="17" t="s">
        <v>5005</v>
      </c>
      <c r="AB698" s="11" t="str">
        <f>_xlfn.XLOOKUP(Customer[[#This Row],[Customer ID]],[1]!Address[ID],[1]!Address[Subtype])</f>
        <v>PETRONAS</v>
      </c>
      <c r="AC698" s="18" t="str">
        <f>_xlfn.XLOOKUP(Customer[[#This Row],[Customer ID]],[1]!Address[ID],[1]!Address[Zone])</f>
        <v>NORTH</v>
      </c>
    </row>
    <row r="699" spans="1:29" x14ac:dyDescent="0.3">
      <c r="A699" s="27" t="s">
        <v>5006</v>
      </c>
      <c r="B699" s="28" t="str">
        <f>_xlfn.XLOOKUP(Customer[[#This Row],[Customer ID]],[1]!Name[ID],[1]!Name[Description(1)])</f>
        <v>STESEN MINYAK MESRA SELUANG</v>
      </c>
      <c r="C699" s="11" t="str">
        <f>_xlfn.XLOOKUP(Customer[[#This Row],[Customer ID]],[1]!Name[ID],[1]!Name[Description(2)])</f>
        <v>PS SUNGAI SELUANG</v>
      </c>
      <c r="D699" s="11" t="str">
        <f>_xlfn.XLOOKUP(Customer[[#This Row],[Customer ID]],[1]!Address[ID],[1]!Address[PIC])</f>
        <v/>
      </c>
      <c r="E699" s="11" t="str">
        <f>_xlfn.XLOOKUP(Customer[[#This Row],[Customer ID]],[1]!Address[ID],[1]!Address[Full Address])</f>
        <v>PS SUNGAI SELUANGLOT 134 MUKIM SUNGAI SELUANG, KEDAH,09000, KULIM, KEDAH</v>
      </c>
      <c r="F699" s="12" t="s">
        <v>5007</v>
      </c>
      <c r="G699" s="12" t="s">
        <v>5008</v>
      </c>
      <c r="H699" s="12" t="s">
        <v>5009</v>
      </c>
      <c r="I699" s="12" t="b">
        <f>ISNUMBER(VALUE(LEFT(Customer[[#This Row],[Address Line 3 (30 char)]],1)))</f>
        <v>0</v>
      </c>
      <c r="J699" s="12" t="s">
        <v>355</v>
      </c>
      <c r="K699" s="30" t="s">
        <v>2905</v>
      </c>
      <c r="L699" s="12" t="s">
        <v>35</v>
      </c>
      <c r="M699" s="13" t="e">
        <v>#N/A</v>
      </c>
      <c r="N699" s="14" t="e">
        <v>#N/A</v>
      </c>
      <c r="O699" s="14" t="e">
        <v>#N/A</v>
      </c>
      <c r="P699" s="14" t="e">
        <v>#N/A</v>
      </c>
      <c r="Q699" s="19" t="s">
        <v>5010</v>
      </c>
      <c r="R699" s="15" t="s">
        <v>5011</v>
      </c>
      <c r="S699" s="15" t="s">
        <v>74</v>
      </c>
      <c r="T699" s="16" t="s">
        <v>38</v>
      </c>
      <c r="U699" s="11" t="str">
        <f>_xlfn.XLOOKUP(Customer[[#This Row],[Customer ID]],[1]!Address[ID],[1]!Address[Phone No.(2)])</f>
        <v/>
      </c>
      <c r="V699" s="11" t="str">
        <f>_xlfn.XLOOKUP(Customer[[#This Row],[Customer ID]],[1]!Address[ID],[1]!Address[Type])</f>
        <v>PETROMART</v>
      </c>
      <c r="W699" s="11" t="str">
        <f>_xlfn.XLOOKUP(Customer[[#This Row],[Customer ID]],[1]!Address[ID],[1]!Address[CT])</f>
        <v>30 DAYS</v>
      </c>
      <c r="X699" s="11" t="s">
        <v>39</v>
      </c>
      <c r="Y699" s="17" t="s">
        <v>40</v>
      </c>
      <c r="Z699" s="17" t="e">
        <f>_xlfn.XLOOKUP(Customer[[#This Row],[NewType]],$AF$36:$AF$54,$AG$36:$AG$54)</f>
        <v>#N/A</v>
      </c>
      <c r="AA699" s="17" t="s">
        <v>5012</v>
      </c>
      <c r="AB699" s="11" t="str">
        <f>_xlfn.XLOOKUP(Customer[[#This Row],[Customer ID]],[1]!Address[ID],[1]!Address[Subtype])</f>
        <v>PETRONAS</v>
      </c>
      <c r="AC699" s="18" t="str">
        <f>_xlfn.XLOOKUP(Customer[[#This Row],[Customer ID]],[1]!Address[ID],[1]!Address[Zone])</f>
        <v>NORTH</v>
      </c>
    </row>
    <row r="700" spans="1:29" x14ac:dyDescent="0.3">
      <c r="A700" s="10" t="s">
        <v>5013</v>
      </c>
      <c r="B700" s="11" t="str">
        <f>_xlfn.XLOOKUP(Customer[[#This Row],[Customer ID]],[1]!Name[ID],[1]!Name[Description(1)])</f>
        <v>ZAM KIMAN DYNAMIC</v>
      </c>
      <c r="C700" s="11" t="str">
        <f>_xlfn.XLOOKUP(Customer[[#This Row],[Customer ID]],[1]!Name[ID],[1]!Name[Description(2)])</f>
        <v>PS SUNGAI SIPUT</v>
      </c>
      <c r="D700" s="11" t="str">
        <f>_xlfn.XLOOKUP(Customer[[#This Row],[Customer ID]],[1]!Address[ID],[1]!Address[PIC])</f>
        <v/>
      </c>
      <c r="E700" s="11" t="str">
        <f>_xlfn.XLOOKUP(Customer[[#This Row],[Customer ID]],[1]!Address[ID],[1]!Address[Full Address])</f>
        <v>PS SUNGAI SIPUTNO. 3545, FASA 2B, KG. MUHIBBAH,SUNGAI SIPUT,31100, KUALA KANGSAR, PERAK</v>
      </c>
      <c r="F700" s="12" t="s">
        <v>5014</v>
      </c>
      <c r="G700" s="12" t="s">
        <v>5015</v>
      </c>
      <c r="H700" s="12" t="s">
        <v>5016</v>
      </c>
      <c r="I700" s="12" t="b">
        <f>ISNUMBER(VALUE(LEFT(Customer[[#This Row],[Address Line 3 (30 char)]],1)))</f>
        <v>0</v>
      </c>
      <c r="J700" s="12" t="s">
        <v>387</v>
      </c>
      <c r="K700" s="12">
        <v>31100</v>
      </c>
      <c r="L700" s="12" t="s">
        <v>35</v>
      </c>
      <c r="M700" s="13" t="e">
        <v>#N/A</v>
      </c>
      <c r="N700" s="14" t="e">
        <v>#N/A</v>
      </c>
      <c r="O700" s="14" t="e">
        <v>#N/A</v>
      </c>
      <c r="P700" s="14" t="e">
        <v>#N/A</v>
      </c>
      <c r="Q700" s="19" t="s">
        <v>1285</v>
      </c>
      <c r="R700" s="15" t="s">
        <v>5017</v>
      </c>
      <c r="S700" s="15" t="s">
        <v>65</v>
      </c>
      <c r="T700" s="16" t="s">
        <v>38</v>
      </c>
      <c r="U700" s="11" t="str">
        <f>_xlfn.XLOOKUP(Customer[[#This Row],[Customer ID]],[1]!Address[ID],[1]!Address[Phone No.(2)])</f>
        <v/>
      </c>
      <c r="V700" s="11" t="str">
        <f>_xlfn.XLOOKUP(Customer[[#This Row],[Customer ID]],[1]!Address[ID],[1]!Address[Type])</f>
        <v>PETROMART</v>
      </c>
      <c r="W700" s="11" t="str">
        <f>_xlfn.XLOOKUP(Customer[[#This Row],[Customer ID]],[1]!Address[ID],[1]!Address[CT])</f>
        <v>30 DAYS</v>
      </c>
      <c r="X700" s="11" t="s">
        <v>39</v>
      </c>
      <c r="Y700" s="17" t="s">
        <v>40</v>
      </c>
      <c r="Z700" s="17" t="e">
        <f>_xlfn.XLOOKUP(Customer[[#This Row],[NewType]],$AF$36:$AF$54,$AG$36:$AG$54)</f>
        <v>#N/A</v>
      </c>
      <c r="AA700" s="17" t="s">
        <v>5018</v>
      </c>
      <c r="AB700" s="11" t="str">
        <f>_xlfn.XLOOKUP(Customer[[#This Row],[Customer ID]],[1]!Address[ID],[1]!Address[Subtype])</f>
        <v>PETRONAS</v>
      </c>
      <c r="AC700" s="18" t="str">
        <f>_xlfn.XLOOKUP(Customer[[#This Row],[Customer ID]],[1]!Address[ID],[1]!Address[Zone])</f>
        <v>NORTH</v>
      </c>
    </row>
    <row r="701" spans="1:29" x14ac:dyDescent="0.3">
      <c r="A701" s="10" t="s">
        <v>5019</v>
      </c>
      <c r="B701" s="11" t="str">
        <f>_xlfn.XLOOKUP(Customer[[#This Row],[Customer ID]],[1]!Name[ID],[1]!Name[Description(1)])</f>
        <v>RZ PETROL &amp; SERVICE</v>
      </c>
      <c r="C701" s="11" t="str">
        <f>_xlfn.XLOOKUP(Customer[[#This Row],[Customer ID]],[1]!Name[ID],[1]!Name[Description(2)])</f>
        <v>PS SUNGAI UDANG</v>
      </c>
      <c r="D701" s="11" t="str">
        <f>_xlfn.XLOOKUP(Customer[[#This Row],[Customer ID]],[1]!Address[ID],[1]!Address[PIC])</f>
        <v/>
      </c>
      <c r="E701" s="11" t="str">
        <f>_xlfn.XLOOKUP(Customer[[#This Row],[Customer ID]],[1]!Address[ID],[1]!Address[Full Address])</f>
        <v>PS SUNGAI UDANGLOT 1317 , BATU 11, MUKIM SUNGAI UDANG,76300, MELAKA TENGAH, MELAKA</v>
      </c>
      <c r="F701" s="12" t="s">
        <v>5020</v>
      </c>
      <c r="G701" s="12" t="s">
        <v>5021</v>
      </c>
      <c r="H701" s="12" t="s">
        <v>102</v>
      </c>
      <c r="I701" s="12" t="b">
        <f>ISNUMBER(VALUE(LEFT(Customer[[#This Row],[Address Line 3 (30 char)]],1)))</f>
        <v>0</v>
      </c>
      <c r="J701" s="12" t="s">
        <v>61</v>
      </c>
      <c r="K701" s="12">
        <v>76300</v>
      </c>
      <c r="L701" s="12" t="s">
        <v>35</v>
      </c>
      <c r="M701" s="13" t="e">
        <v>#N/A</v>
      </c>
      <c r="N701" s="14" t="e">
        <v>#N/A</v>
      </c>
      <c r="O701" s="14" t="e">
        <v>#N/A</v>
      </c>
      <c r="P701" s="14" t="e">
        <v>#N/A</v>
      </c>
      <c r="Q701" s="19" t="s">
        <v>5022</v>
      </c>
      <c r="R701" s="15" t="s">
        <v>5023</v>
      </c>
      <c r="S701" s="15" t="s">
        <v>37</v>
      </c>
      <c r="T701" s="16" t="s">
        <v>38</v>
      </c>
      <c r="U701" s="11" t="str">
        <f>_xlfn.XLOOKUP(Customer[[#This Row],[Customer ID]],[1]!Address[ID],[1]!Address[Phone No.(2)])</f>
        <v/>
      </c>
      <c r="V701" s="11" t="str">
        <f>_xlfn.XLOOKUP(Customer[[#This Row],[Customer ID]],[1]!Address[ID],[1]!Address[Type])</f>
        <v>PETROMART</v>
      </c>
      <c r="W701" s="11" t="str">
        <f>_xlfn.XLOOKUP(Customer[[#This Row],[Customer ID]],[1]!Address[ID],[1]!Address[CT])</f>
        <v>30 DAYS</v>
      </c>
      <c r="X701" s="11" t="s">
        <v>39</v>
      </c>
      <c r="Y701" s="17" t="s">
        <v>40</v>
      </c>
      <c r="Z701" s="17" t="e">
        <f>_xlfn.XLOOKUP(Customer[[#This Row],[NewType]],$AF$36:$AF$54,$AG$36:$AG$54)</f>
        <v>#N/A</v>
      </c>
      <c r="AA701" s="17" t="s">
        <v>5024</v>
      </c>
      <c r="AB701" s="11" t="str">
        <f>_xlfn.XLOOKUP(Customer[[#This Row],[Customer ID]],[1]!Address[ID],[1]!Address[Subtype])</f>
        <v>PETRONAS</v>
      </c>
      <c r="AC701" s="18" t="str">
        <f>_xlfn.XLOOKUP(Customer[[#This Row],[Customer ID]],[1]!Address[ID],[1]!Address[Zone])</f>
        <v>SOUTH</v>
      </c>
    </row>
    <row r="702" spans="1:29" x14ac:dyDescent="0.3">
      <c r="A702" s="27" t="s">
        <v>5025</v>
      </c>
      <c r="B702" s="28" t="str">
        <f>_xlfn.XLOOKUP(Customer[[#This Row],[Customer ID]],[1]!Name[ID],[1]!Name[Description(1)])</f>
        <v>AFM ENTERPRISE</v>
      </c>
      <c r="C702" s="11" t="str">
        <f>_xlfn.XLOOKUP(Customer[[#This Row],[Customer ID]],[1]!Name[ID],[1]!Name[Description(2)])</f>
        <v>PS SUNGKAI</v>
      </c>
      <c r="D702" s="11" t="str">
        <f>_xlfn.XLOOKUP(Customer[[#This Row],[Customer ID]],[1]!Address[ID],[1]!Address[PIC])</f>
        <v/>
      </c>
      <c r="E702" s="11" t="str">
        <f>_xlfn.XLOOKUP(Customer[[#This Row],[Customer ID]],[1]!Address[ID],[1]!Address[Full Address])</f>
        <v>PS SUNGKAILOT 303, MUKIM SUNGKAI, SUNGKAI, 35600,BATANG PADANG, PERAK</v>
      </c>
      <c r="F702" s="12" t="s">
        <v>5026</v>
      </c>
      <c r="G702" s="12" t="s">
        <v>5027</v>
      </c>
      <c r="H702" s="12" t="s">
        <v>5028</v>
      </c>
      <c r="I702" s="12" t="b">
        <f>ISNUMBER(VALUE(LEFT(Customer[[#This Row],[Address Line 3 (30 char)]],1)))</f>
        <v>0</v>
      </c>
      <c r="J702" s="12" t="s">
        <v>387</v>
      </c>
      <c r="K702" s="12">
        <v>35600</v>
      </c>
      <c r="L702" s="12" t="s">
        <v>35</v>
      </c>
      <c r="M702" s="35">
        <v>200303147832</v>
      </c>
      <c r="N702" s="14" t="e">
        <v>#N/A</v>
      </c>
      <c r="O702" s="14" t="e">
        <v>#N/A</v>
      </c>
      <c r="P702" s="14" t="e">
        <v>#N/A</v>
      </c>
      <c r="Q702" s="19" t="s">
        <v>5029</v>
      </c>
      <c r="R702" s="15" t="s">
        <v>5030</v>
      </c>
      <c r="S702" s="15" t="s">
        <v>37</v>
      </c>
      <c r="T702" s="16" t="s">
        <v>38</v>
      </c>
      <c r="U702" s="11" t="str">
        <f>_xlfn.XLOOKUP(Customer[[#This Row],[Customer ID]],[1]!Address[ID],[1]!Address[Phone No.(2)])</f>
        <v>135181559</v>
      </c>
      <c r="V702" s="11" t="str">
        <f>_xlfn.XLOOKUP(Customer[[#This Row],[Customer ID]],[1]!Address[ID],[1]!Address[Type])</f>
        <v>PETROMART</v>
      </c>
      <c r="W702" s="11" t="str">
        <f>_xlfn.XLOOKUP(Customer[[#This Row],[Customer ID]],[1]!Address[ID],[1]!Address[CT])</f>
        <v>30 DAYS</v>
      </c>
      <c r="X702" s="11" t="s">
        <v>39</v>
      </c>
      <c r="Y702" s="17" t="s">
        <v>40</v>
      </c>
      <c r="Z702" s="17" t="e">
        <f>_xlfn.XLOOKUP(Customer[[#This Row],[NewType]],$AF$36:$AF$54,$AG$36:$AG$54)</f>
        <v>#N/A</v>
      </c>
      <c r="AA702" s="17" t="s">
        <v>5031</v>
      </c>
      <c r="AB702" s="11" t="str">
        <f>_xlfn.XLOOKUP(Customer[[#This Row],[Customer ID]],[1]!Address[ID],[1]!Address[Subtype])</f>
        <v>PETRONAS</v>
      </c>
      <c r="AC702" s="18" t="str">
        <f>_xlfn.XLOOKUP(Customer[[#This Row],[Customer ID]],[1]!Address[ID],[1]!Address[Zone])</f>
        <v>NORTH</v>
      </c>
    </row>
    <row r="703" spans="1:29" x14ac:dyDescent="0.3">
      <c r="A703" s="10" t="s">
        <v>5032</v>
      </c>
      <c r="B703" s="11" t="str">
        <f>_xlfn.XLOOKUP(Customer[[#This Row],[Customer ID]],[1]!Name[ID],[1]!Name[Description(1)])</f>
        <v>LA PETROLEUM SERVICES</v>
      </c>
      <c r="C703" s="11" t="str">
        <f>_xlfn.XLOOKUP(Customer[[#This Row],[Customer ID]],[1]!Name[ID],[1]!Name[Description(2)])</f>
        <v>PS SUNWAY BATU CAVES</v>
      </c>
      <c r="D703" s="11" t="str">
        <f>_xlfn.XLOOKUP(Customer[[#This Row],[Customer ID]],[1]!Address[ID],[1]!Address[PIC])</f>
        <v/>
      </c>
      <c r="E703" s="11" t="str">
        <f>_xlfn.XLOOKUP(Customer[[#This Row],[Customer ID]],[1]!Address[ID],[1]!Address[Full Address])</f>
        <v>PS SUNWAY BATU CAVESLOT KOMERSIAL 3, JALAN SM 1 BANDR SUNWAYBATU CAVES, GOMBAK, 68100 SELANGOR</v>
      </c>
      <c r="F703" s="12" t="s">
        <v>5033</v>
      </c>
      <c r="G703" s="12" t="s">
        <v>5034</v>
      </c>
      <c r="H703" s="12" t="s">
        <v>5035</v>
      </c>
      <c r="I703" s="12" t="b">
        <f>ISNUMBER(VALUE(LEFT(Customer[[#This Row],[Address Line 3 (30 char)]],1)))</f>
        <v>0</v>
      </c>
      <c r="J703" s="12" t="s">
        <v>172</v>
      </c>
      <c r="K703" s="12">
        <v>68100</v>
      </c>
      <c r="L703" s="12" t="s">
        <v>35</v>
      </c>
      <c r="M703" s="13" t="e">
        <v>#N/A</v>
      </c>
      <c r="N703" s="14" t="e">
        <v>#N/A</v>
      </c>
      <c r="O703" s="14" t="e">
        <v>#N/A</v>
      </c>
      <c r="P703" s="14" t="e">
        <v>#N/A</v>
      </c>
      <c r="Q703" s="19" t="s">
        <v>5036</v>
      </c>
      <c r="R703" s="15" t="s">
        <v>5037</v>
      </c>
      <c r="S703" s="15" t="s">
        <v>37</v>
      </c>
      <c r="T703" s="16" t="s">
        <v>38</v>
      </c>
      <c r="U703" s="11" t="str">
        <f>_xlfn.XLOOKUP(Customer[[#This Row],[Customer ID]],[1]!Address[ID],[1]!Address[Phone No.(2)])</f>
        <v/>
      </c>
      <c r="V703" s="11" t="str">
        <f>_xlfn.XLOOKUP(Customer[[#This Row],[Customer ID]],[1]!Address[ID],[1]!Address[Type])</f>
        <v>PETROMART</v>
      </c>
      <c r="W703" s="11" t="str">
        <f>_xlfn.XLOOKUP(Customer[[#This Row],[Customer ID]],[1]!Address[ID],[1]!Address[CT])</f>
        <v>30 DAYS</v>
      </c>
      <c r="X703" s="11" t="s">
        <v>39</v>
      </c>
      <c r="Y703" s="17" t="s">
        <v>40</v>
      </c>
      <c r="Z703" s="17" t="e">
        <f>_xlfn.XLOOKUP(Customer[[#This Row],[NewType]],$AF$36:$AF$54,$AG$36:$AG$54)</f>
        <v>#N/A</v>
      </c>
      <c r="AA703" s="17" t="s">
        <v>5038</v>
      </c>
      <c r="AB703" s="11" t="str">
        <f>_xlfn.XLOOKUP(Customer[[#This Row],[Customer ID]],[1]!Address[ID],[1]!Address[Subtype])</f>
        <v>PETRONAS</v>
      </c>
      <c r="AC703" s="18" t="str">
        <f>_xlfn.XLOOKUP(Customer[[#This Row],[Customer ID]],[1]!Address[ID],[1]!Address[Zone])</f>
        <v>CENTRAL</v>
      </c>
    </row>
    <row r="704" spans="1:29" x14ac:dyDescent="0.3">
      <c r="A704" s="10" t="s">
        <v>5039</v>
      </c>
      <c r="B704" s="11" t="str">
        <f>_xlfn.XLOOKUP(Customer[[#This Row],[Customer ID]],[1]!Name[ID],[1]!Name[Description(1)])</f>
        <v>SMARTWAY SERVICE STATION</v>
      </c>
      <c r="C704" s="11" t="str">
        <f>_xlfn.XLOOKUP(Customer[[#This Row],[Customer ID]],[1]!Name[ID],[1]!Name[Description(2)])</f>
        <v>PS SUNWAY BKE</v>
      </c>
      <c r="D704" s="11" t="str">
        <f>_xlfn.XLOOKUP(Customer[[#This Row],[Customer ID]],[1]!Address[ID],[1]!Address[PIC])</f>
        <v/>
      </c>
      <c r="E704" s="11" t="str">
        <f>_xlfn.XLOOKUP(Customer[[#This Row],[Customer ID]],[1]!Address[ID],[1]!Address[Full Address])</f>
        <v>PS SUNWAY BKELOT 5494 &amp; 5729, MUKIM 1, BANDAR SUNWAY,SEBERANG JAYA,13700 PERAI,PULAU PINANG</v>
      </c>
      <c r="F704" s="12" t="s">
        <v>5040</v>
      </c>
      <c r="G704" s="12" t="s">
        <v>5041</v>
      </c>
      <c r="H704" s="12" t="s">
        <v>5042</v>
      </c>
      <c r="I704" s="12" t="b">
        <f>ISNUMBER(VALUE(LEFT(Customer[[#This Row],[Address Line 3 (30 char)]],1)))</f>
        <v>0</v>
      </c>
      <c r="J704" s="12" t="s">
        <v>179</v>
      </c>
      <c r="K704" s="12">
        <v>13700</v>
      </c>
      <c r="L704" s="12" t="s">
        <v>35</v>
      </c>
      <c r="M704" s="13">
        <v>200203144415</v>
      </c>
      <c r="N704" s="14" t="s">
        <v>5043</v>
      </c>
      <c r="O704" s="14" t="s">
        <v>156</v>
      </c>
      <c r="P704" s="14">
        <v>47300</v>
      </c>
      <c r="Q704" s="19" t="s">
        <v>5044</v>
      </c>
      <c r="R704" s="15" t="s">
        <v>5045</v>
      </c>
      <c r="S704" s="15" t="s">
        <v>74</v>
      </c>
      <c r="T704" s="16" t="s">
        <v>38</v>
      </c>
      <c r="U704" s="11" t="str">
        <f>_xlfn.XLOOKUP(Customer[[#This Row],[Customer ID]],[1]!Address[ID],[1]!Address[Phone No.(2)])</f>
        <v/>
      </c>
      <c r="V704" s="11" t="str">
        <f>_xlfn.XLOOKUP(Customer[[#This Row],[Customer ID]],[1]!Address[ID],[1]!Address[Type])</f>
        <v>PETROMART</v>
      </c>
      <c r="W704" s="11" t="str">
        <f>_xlfn.XLOOKUP(Customer[[#This Row],[Customer ID]],[1]!Address[ID],[1]!Address[CT])</f>
        <v>30 DAYS</v>
      </c>
      <c r="X704" s="11" t="s">
        <v>39</v>
      </c>
      <c r="Y704" s="17" t="s">
        <v>40</v>
      </c>
      <c r="Z704" s="17" t="e">
        <f>_xlfn.XLOOKUP(Customer[[#This Row],[NewType]],$AF$36:$AF$54,$AG$36:$AG$54)</f>
        <v>#N/A</v>
      </c>
      <c r="AA704" s="17" t="s">
        <v>5046</v>
      </c>
      <c r="AB704" s="11" t="str">
        <f>_xlfn.XLOOKUP(Customer[[#This Row],[Customer ID]],[1]!Address[ID],[1]!Address[Subtype])</f>
        <v>PETRONAS</v>
      </c>
      <c r="AC704" s="18" t="str">
        <f>_xlfn.XLOOKUP(Customer[[#This Row],[Customer ID]],[1]!Address[ID],[1]!Address[Zone])</f>
        <v>NORTH</v>
      </c>
    </row>
    <row r="705" spans="1:29" x14ac:dyDescent="0.3">
      <c r="A705" s="10" t="s">
        <v>5047</v>
      </c>
      <c r="B705" s="11" t="str">
        <f>_xlfn.XLOOKUP(Customer[[#This Row],[Customer ID]],[1]!Name[ID],[1]!Name[Description(1)])</f>
        <v>SAI RAM PETRO</v>
      </c>
      <c r="C705" s="11" t="str">
        <f>_xlfn.XLOOKUP(Customer[[#This Row],[Customer ID]],[1]!Name[ID],[1]!Name[Description(2)])</f>
        <v>PS SUNWAY CITY, TAMBUN</v>
      </c>
      <c r="D705" s="11" t="str">
        <f>_xlfn.XLOOKUP(Customer[[#This Row],[Customer ID]],[1]!Address[ID],[1]!Address[PIC])</f>
        <v/>
      </c>
      <c r="E705" s="11" t="str">
        <f>_xlfn.XLOOKUP(Customer[[#This Row],[Customer ID]],[1]!Address[ID],[1]!Address[Full Address])</f>
        <v>PS SUNWAY CITY, TAMBUNLOT PT 303545, SUNWAY CITY TAMBUN, MUKIMHULU KINTA, 31150, KINTA, PERAK</v>
      </c>
      <c r="F705" s="12" t="s">
        <v>5048</v>
      </c>
      <c r="G705" s="12" t="s">
        <v>5049</v>
      </c>
      <c r="H705" s="12" t="s">
        <v>5050</v>
      </c>
      <c r="I705" s="12" t="b">
        <f>ISNUMBER(VALUE(LEFT(Customer[[#This Row],[Address Line 3 (30 char)]],1)))</f>
        <v>0</v>
      </c>
      <c r="J705" s="12" t="s">
        <v>387</v>
      </c>
      <c r="K705" s="12">
        <v>31150</v>
      </c>
      <c r="L705" s="12" t="s">
        <v>35</v>
      </c>
      <c r="M705" s="13" t="e">
        <v>#N/A</v>
      </c>
      <c r="N705" s="14" t="e">
        <v>#N/A</v>
      </c>
      <c r="O705" s="14" t="e">
        <v>#N/A</v>
      </c>
      <c r="P705" s="14" t="e">
        <v>#N/A</v>
      </c>
      <c r="Q705" s="19" t="s">
        <v>5051</v>
      </c>
      <c r="R705" s="15" t="s">
        <v>5052</v>
      </c>
      <c r="S705" s="15" t="s">
        <v>74</v>
      </c>
      <c r="T705" s="16" t="s">
        <v>38</v>
      </c>
      <c r="U705" s="11" t="str">
        <f>_xlfn.XLOOKUP(Customer[[#This Row],[Customer ID]],[1]!Address[ID],[1]!Address[Phone No.(2)])</f>
        <v/>
      </c>
      <c r="V705" s="11" t="str">
        <f>_xlfn.XLOOKUP(Customer[[#This Row],[Customer ID]],[1]!Address[ID],[1]!Address[Type])</f>
        <v>PETROMART</v>
      </c>
      <c r="W705" s="11" t="str">
        <f>_xlfn.XLOOKUP(Customer[[#This Row],[Customer ID]],[1]!Address[ID],[1]!Address[CT])</f>
        <v>30 DAYS</v>
      </c>
      <c r="X705" s="11" t="s">
        <v>39</v>
      </c>
      <c r="Y705" s="17" t="s">
        <v>40</v>
      </c>
      <c r="Z705" s="17" t="e">
        <f>_xlfn.XLOOKUP(Customer[[#This Row],[NewType]],$AF$36:$AF$54,$AG$36:$AG$54)</f>
        <v>#N/A</v>
      </c>
      <c r="AA705" s="17" t="s">
        <v>5053</v>
      </c>
      <c r="AB705" s="11" t="str">
        <f>_xlfn.XLOOKUP(Customer[[#This Row],[Customer ID]],[1]!Address[ID],[1]!Address[Subtype])</f>
        <v>PETRONAS</v>
      </c>
      <c r="AC705" s="18" t="str">
        <f>_xlfn.XLOOKUP(Customer[[#This Row],[Customer ID]],[1]!Address[ID],[1]!Address[Zone])</f>
        <v>NORTH</v>
      </c>
    </row>
    <row r="706" spans="1:29" x14ac:dyDescent="0.3">
      <c r="A706" s="10" t="s">
        <v>5054</v>
      </c>
      <c r="B706" s="11" t="str">
        <f>_xlfn.XLOOKUP(Customer[[#This Row],[Customer ID]],[1]!Name[ID],[1]!Name[Description(1)])</f>
        <v>TRIPLE A PETROL SERVICES</v>
      </c>
      <c r="C706" s="11" t="str">
        <f>_xlfn.XLOOKUP(Customer[[#This Row],[Customer ID]],[1]!Name[ID],[1]!Name[Description(2)])</f>
        <v>PS SURA 2</v>
      </c>
      <c r="D706" s="11" t="str">
        <f>_xlfn.XLOOKUP(Customer[[#This Row],[Customer ID]],[1]!Address[ID],[1]!Address[PIC])</f>
        <v/>
      </c>
      <c r="E706" s="11" t="str">
        <f>_xlfn.XLOOKUP(Customer[[#This Row],[Customer ID]],[1]!Address[ID],[1]!Address[Full Address])</f>
        <v>PS SURA 2LOT 785 GM 556 ( NEW LOT PT 12407 HS (M)KG PAYA DUSUN, MUKIM SURA, DUNGUN,TERENGGANU, 23000, DUNGUN, TERENGGANU</v>
      </c>
      <c r="F706" s="12" t="s">
        <v>5055</v>
      </c>
      <c r="G706" s="12" t="s">
        <v>5056</v>
      </c>
      <c r="H706" s="12" t="s">
        <v>5057</v>
      </c>
      <c r="I706" s="12" t="b">
        <f>ISNUMBER(VALUE(LEFT(Customer[[#This Row],[Address Line 3 (30 char)]],1)))</f>
        <v>0</v>
      </c>
      <c r="J706" s="12" t="s">
        <v>154</v>
      </c>
      <c r="K706" s="12">
        <v>23000</v>
      </c>
      <c r="L706" s="12" t="s">
        <v>35</v>
      </c>
      <c r="M706" s="13">
        <v>200603029713</v>
      </c>
      <c r="N706" s="14" t="s">
        <v>5058</v>
      </c>
      <c r="O706" s="14" t="s">
        <v>54</v>
      </c>
      <c r="P706" s="14">
        <v>47300</v>
      </c>
      <c r="Q706" s="19" t="s">
        <v>5059</v>
      </c>
      <c r="R706" s="15" t="s">
        <v>5060</v>
      </c>
      <c r="S706" s="15" t="s">
        <v>37</v>
      </c>
      <c r="T706" s="16" t="s">
        <v>38</v>
      </c>
      <c r="U706" s="11" t="str">
        <f>_xlfn.XLOOKUP(Customer[[#This Row],[Customer ID]],[1]!Address[ID],[1]!Address[Phone No.(2)])</f>
        <v/>
      </c>
      <c r="V706" s="11" t="str">
        <f>_xlfn.XLOOKUP(Customer[[#This Row],[Customer ID]],[1]!Address[ID],[1]!Address[Type])</f>
        <v>PETROMART</v>
      </c>
      <c r="W706" s="11" t="str">
        <f>_xlfn.XLOOKUP(Customer[[#This Row],[Customer ID]],[1]!Address[ID],[1]!Address[CT])</f>
        <v>30 DAYS</v>
      </c>
      <c r="X706" s="11" t="s">
        <v>39</v>
      </c>
      <c r="Y706" s="17" t="s">
        <v>40</v>
      </c>
      <c r="Z706" s="17" t="e">
        <f>_xlfn.XLOOKUP(Customer[[#This Row],[NewType]],$AF$36:$AF$54,$AG$36:$AG$54)</f>
        <v>#N/A</v>
      </c>
      <c r="AA706" s="17" t="s">
        <v>5061</v>
      </c>
      <c r="AB706" s="11" t="str">
        <f>_xlfn.XLOOKUP(Customer[[#This Row],[Customer ID]],[1]!Address[ID],[1]!Address[Subtype])</f>
        <v>PETRONAS</v>
      </c>
      <c r="AC706" s="18" t="str">
        <f>_xlfn.XLOOKUP(Customer[[#This Row],[Customer ID]],[1]!Address[ID],[1]!Address[Zone])</f>
        <v>EAST COAST</v>
      </c>
    </row>
    <row r="707" spans="1:29" x14ac:dyDescent="0.3">
      <c r="A707" s="10" t="s">
        <v>5062</v>
      </c>
      <c r="B707" s="11" t="str">
        <f>_xlfn.XLOOKUP(Customer[[#This Row],[Customer ID]],[1]!Name[ID],[1]!Name[Description(1)])</f>
        <v>JABAL BARQA</v>
      </c>
      <c r="C707" s="11" t="str">
        <f>_xlfn.XLOOKUP(Customer[[#This Row],[Customer ID]],[1]!Name[ID],[1]!Name[Description(2)])</f>
        <v>PS TAMAN AMAN</v>
      </c>
      <c r="D707" s="11" t="str">
        <f>_xlfn.XLOOKUP(Customer[[#This Row],[Customer ID]],[1]!Address[ID],[1]!Address[PIC])</f>
        <v/>
      </c>
      <c r="E707" s="11" t="str">
        <f>_xlfn.XLOOKUP(Customer[[#This Row],[Customer ID]],[1]!Address[ID],[1]!Address[Full Address])</f>
        <v>PS TAMAN AMANHS(M) 383 LOT PT 4611 &amp; HS(M) 1603 LOT M5520, MUKIM SENAI-KULAI, SKUDAI-SENAIHIGHWAY, TAMAN AMAN, JOHOR, 81000</v>
      </c>
      <c r="F707" s="12" t="s">
        <v>5063</v>
      </c>
      <c r="G707" s="12" t="s">
        <v>5064</v>
      </c>
      <c r="H707" s="12" t="s">
        <v>5065</v>
      </c>
      <c r="I707" s="12" t="b">
        <f>ISNUMBER(VALUE(LEFT(Customer[[#This Row],[Address Line 3 (30 char)]],1)))</f>
        <v>0</v>
      </c>
      <c r="J707" s="12" t="s">
        <v>52</v>
      </c>
      <c r="K707" s="12">
        <v>81000</v>
      </c>
      <c r="L707" s="12" t="s">
        <v>35</v>
      </c>
      <c r="M707" s="13" t="e">
        <v>#N/A</v>
      </c>
      <c r="N707" s="14" t="e">
        <v>#N/A</v>
      </c>
      <c r="O707" s="14" t="e">
        <v>#N/A</v>
      </c>
      <c r="P707" s="14" t="e">
        <v>#N/A</v>
      </c>
      <c r="Q707" s="19" t="s">
        <v>5066</v>
      </c>
      <c r="R707" s="15" t="s">
        <v>3234</v>
      </c>
      <c r="S707" s="15" t="s">
        <v>37</v>
      </c>
      <c r="T707" s="16" t="s">
        <v>38</v>
      </c>
      <c r="U707" s="11" t="str">
        <f>_xlfn.XLOOKUP(Customer[[#This Row],[Customer ID]],[1]!Address[ID],[1]!Address[Phone No.(2)])</f>
        <v/>
      </c>
      <c r="V707" s="11" t="str">
        <f>_xlfn.XLOOKUP(Customer[[#This Row],[Customer ID]],[1]!Address[ID],[1]!Address[Type])</f>
        <v>PETROMART</v>
      </c>
      <c r="W707" s="11" t="str">
        <f>_xlfn.XLOOKUP(Customer[[#This Row],[Customer ID]],[1]!Address[ID],[1]!Address[CT])</f>
        <v>30 DAYS</v>
      </c>
      <c r="X707" s="11" t="s">
        <v>39</v>
      </c>
      <c r="Y707" s="17" t="s">
        <v>40</v>
      </c>
      <c r="Z707" s="17" t="e">
        <f>_xlfn.XLOOKUP(Customer[[#This Row],[NewType]],$AF$36:$AF$54,$AG$36:$AG$54)</f>
        <v>#N/A</v>
      </c>
      <c r="AA707" s="17" t="s">
        <v>5067</v>
      </c>
      <c r="AB707" s="11" t="str">
        <f>_xlfn.XLOOKUP(Customer[[#This Row],[Customer ID]],[1]!Address[ID],[1]!Address[Subtype])</f>
        <v>PETRONAS</v>
      </c>
      <c r="AC707" s="18" t="str">
        <f>_xlfn.XLOOKUP(Customer[[#This Row],[Customer ID]],[1]!Address[ID],[1]!Address[Zone])</f>
        <v>SOUTH</v>
      </c>
    </row>
    <row r="708" spans="1:29" x14ac:dyDescent="0.3">
      <c r="A708" s="10" t="s">
        <v>5068</v>
      </c>
      <c r="B708" s="11" t="str">
        <f>_xlfn.XLOOKUP(Customer[[#This Row],[Customer ID]],[1]!Name[ID],[1]!Name[Description(1)])</f>
        <v>J FIVE EMPIRE</v>
      </c>
      <c r="C708" s="11" t="str">
        <f>_xlfn.XLOOKUP(Customer[[#This Row],[Customer ID]],[1]!Name[ID],[1]!Name[Description(2)])</f>
        <v>PS TAMAN ANDA</v>
      </c>
      <c r="D708" s="11" t="str">
        <f>_xlfn.XLOOKUP(Customer[[#This Row],[Customer ID]],[1]!Address[ID],[1]!Address[PIC])</f>
        <v/>
      </c>
      <c r="E708" s="11" t="str">
        <f>_xlfn.XLOOKUP(Customer[[#This Row],[Customer ID]],[1]!Address[ID],[1]!Address[Full Address])</f>
        <v>PS TAMAN ANDA170, JALAN TASEK, TAMAN ANDA, 31400 IPOHPERAK DARUL RIDZUAN</v>
      </c>
      <c r="F708" s="12" t="s">
        <v>5069</v>
      </c>
      <c r="G708" s="12" t="s">
        <v>5070</v>
      </c>
      <c r="H708" s="12" t="s">
        <v>5071</v>
      </c>
      <c r="I708" s="12" t="b">
        <f>ISNUMBER(VALUE(LEFT(Customer[[#This Row],[Address Line 3 (30 char)]],1)))</f>
        <v>0</v>
      </c>
      <c r="J708" s="12" t="s">
        <v>387</v>
      </c>
      <c r="K708" s="12">
        <v>31400</v>
      </c>
      <c r="L708" s="12" t="s">
        <v>35</v>
      </c>
      <c r="M708" s="13" t="e">
        <v>#N/A</v>
      </c>
      <c r="N708" s="14" t="e">
        <v>#N/A</v>
      </c>
      <c r="O708" s="14" t="e">
        <v>#N/A</v>
      </c>
      <c r="P708" s="14" t="e">
        <v>#N/A</v>
      </c>
      <c r="Q708" s="19" t="s">
        <v>5072</v>
      </c>
      <c r="R708" s="15" t="s">
        <v>5073</v>
      </c>
      <c r="S708" s="15" t="s">
        <v>37</v>
      </c>
      <c r="T708" s="16" t="s">
        <v>38</v>
      </c>
      <c r="U708" s="11" t="str">
        <f>_xlfn.XLOOKUP(Customer[[#This Row],[Customer ID]],[1]!Address[ID],[1]!Address[Phone No.(2)])</f>
        <v/>
      </c>
      <c r="V708" s="11" t="str">
        <f>_xlfn.XLOOKUP(Customer[[#This Row],[Customer ID]],[1]!Address[ID],[1]!Address[Type])</f>
        <v>PETROMART</v>
      </c>
      <c r="W708" s="11" t="str">
        <f>_xlfn.XLOOKUP(Customer[[#This Row],[Customer ID]],[1]!Address[ID],[1]!Address[CT])</f>
        <v>30 DAYS</v>
      </c>
      <c r="X708" s="11" t="s">
        <v>39</v>
      </c>
      <c r="Y708" s="17" t="s">
        <v>40</v>
      </c>
      <c r="Z708" s="17" t="e">
        <f>_xlfn.XLOOKUP(Customer[[#This Row],[NewType]],$AF$36:$AF$54,$AG$36:$AG$54)</f>
        <v>#N/A</v>
      </c>
      <c r="AA708" s="17" t="s">
        <v>5074</v>
      </c>
      <c r="AB708" s="11" t="str">
        <f>_xlfn.XLOOKUP(Customer[[#This Row],[Customer ID]],[1]!Address[ID],[1]!Address[Subtype])</f>
        <v>PETRONAS</v>
      </c>
      <c r="AC708" s="18" t="str">
        <f>_xlfn.XLOOKUP(Customer[[#This Row],[Customer ID]],[1]!Address[ID],[1]!Address[Zone])</f>
        <v>NORTH</v>
      </c>
    </row>
    <row r="709" spans="1:29" x14ac:dyDescent="0.3">
      <c r="A709" s="10" t="s">
        <v>5075</v>
      </c>
      <c r="B709" s="11" t="str">
        <f>_xlfn.XLOOKUP(Customer[[#This Row],[Customer ID]],[1]!Name[ID],[1]!Name[Description(1)])</f>
        <v>NADI SIGMA ENTERPRISE</v>
      </c>
      <c r="C709" s="11" t="str">
        <f>_xlfn.XLOOKUP(Customer[[#This Row],[Customer ID]],[1]!Name[ID],[1]!Name[Description(2)])</f>
        <v>PS TAMAN AUSTIN PERDANA</v>
      </c>
      <c r="D709" s="11" t="str">
        <f>_xlfn.XLOOKUP(Customer[[#This Row],[Customer ID]],[1]!Address[ID],[1]!Address[PIC])</f>
        <v/>
      </c>
      <c r="E709" s="11" t="str">
        <f>_xlfn.XLOOKUP(Customer[[#This Row],[Customer ID]],[1]!Address[ID],[1]!Address[Full Address])</f>
        <v>PS TAMAN AUSTIN PERDANALOT PTD 65639 HS(D) 215966, MUKIM TEBRAUTAMAN AUSTIN PERDANA, JOHOR, 81400,JOHOR BAHRU, JOHOR</v>
      </c>
      <c r="F709" s="12" t="s">
        <v>5076</v>
      </c>
      <c r="G709" s="12" t="s">
        <v>5077</v>
      </c>
      <c r="H709" s="12" t="s">
        <v>5078</v>
      </c>
      <c r="I709" s="12" t="b">
        <f>ISNUMBER(VALUE(LEFT(Customer[[#This Row],[Address Line 3 (30 char)]],1)))</f>
        <v>0</v>
      </c>
      <c r="J709" s="12" t="s">
        <v>52</v>
      </c>
      <c r="K709" s="12">
        <v>81400</v>
      </c>
      <c r="L709" s="12" t="s">
        <v>35</v>
      </c>
      <c r="M709" s="13">
        <v>200803055172</v>
      </c>
      <c r="N709" s="14" t="s">
        <v>5079</v>
      </c>
      <c r="O709" s="14"/>
      <c r="P709" s="14">
        <v>47114</v>
      </c>
      <c r="Q709" s="19" t="s">
        <v>5080</v>
      </c>
      <c r="R709" s="15" t="s">
        <v>5081</v>
      </c>
      <c r="S709" s="15" t="s">
        <v>37</v>
      </c>
      <c r="T709" s="16" t="s">
        <v>38</v>
      </c>
      <c r="U709" s="11" t="str">
        <f>_xlfn.XLOOKUP(Customer[[#This Row],[Customer ID]],[1]!Address[ID],[1]!Address[Phone No.(2)])</f>
        <v/>
      </c>
      <c r="V709" s="11" t="str">
        <f>_xlfn.XLOOKUP(Customer[[#This Row],[Customer ID]],[1]!Address[ID],[1]!Address[Type])</f>
        <v>PETROMART</v>
      </c>
      <c r="W709" s="11" t="str">
        <f>_xlfn.XLOOKUP(Customer[[#This Row],[Customer ID]],[1]!Address[ID],[1]!Address[CT])</f>
        <v>30 DAYS</v>
      </c>
      <c r="X709" s="11" t="s">
        <v>39</v>
      </c>
      <c r="Y709" s="17" t="s">
        <v>40</v>
      </c>
      <c r="Z709" s="17" t="e">
        <f>_xlfn.XLOOKUP(Customer[[#This Row],[NewType]],$AF$36:$AF$54,$AG$36:$AG$54)</f>
        <v>#N/A</v>
      </c>
      <c r="AA709" s="17" t="s">
        <v>5082</v>
      </c>
      <c r="AB709" s="11" t="str">
        <f>_xlfn.XLOOKUP(Customer[[#This Row],[Customer ID]],[1]!Address[ID],[1]!Address[Subtype])</f>
        <v>PETRONAS</v>
      </c>
      <c r="AC709" s="18" t="str">
        <f>_xlfn.XLOOKUP(Customer[[#This Row],[Customer ID]],[1]!Address[ID],[1]!Address[Zone])</f>
        <v>SOUTH</v>
      </c>
    </row>
    <row r="710" spans="1:29" x14ac:dyDescent="0.3">
      <c r="A710" s="10" t="s">
        <v>5083</v>
      </c>
      <c r="B710" s="11" t="str">
        <f>_xlfn.XLOOKUP(Customer[[#This Row],[Customer ID]],[1]!Name[ID],[1]!Name[Description(1)])</f>
        <v>STESEN MINYAK BALOK MAKMUR</v>
      </c>
      <c r="C710" s="11" t="str">
        <f>_xlfn.XLOOKUP(Customer[[#This Row],[Customer ID]],[1]!Name[ID],[1]!Name[Description(2)])</f>
        <v>PS BALOK MAKMUR</v>
      </c>
      <c r="D710" s="11" t="str">
        <f>_xlfn.XLOOKUP(Customer[[#This Row],[Customer ID]],[1]!Address[ID],[1]!Address[PIC])</f>
        <v/>
      </c>
      <c r="E710" s="11" t="str">
        <f>_xlfn.XLOOKUP(Customer[[#This Row],[Customer ID]],[1]!Address[ID],[1]!Address[Full Address])</f>
        <v>PS BALOK MAKMURLOT 4401, TAMAN BALOK MAKMUR,, 26100,KUANTAN, PAHANG</v>
      </c>
      <c r="F710" s="12" t="s">
        <v>5084</v>
      </c>
      <c r="G710" s="12" t="s">
        <v>5085</v>
      </c>
      <c r="H710" s="12" t="s">
        <v>1038</v>
      </c>
      <c r="I710" s="12" t="b">
        <f>ISNUMBER(VALUE(LEFT(Customer[[#This Row],[Address Line 3 (30 char)]],1)))</f>
        <v>0</v>
      </c>
      <c r="J710" s="12" t="s">
        <v>339</v>
      </c>
      <c r="K710" s="12">
        <v>26100</v>
      </c>
      <c r="L710" s="12" t="s">
        <v>35</v>
      </c>
      <c r="M710" s="13">
        <v>202403222090</v>
      </c>
      <c r="N710" s="14" t="s">
        <v>5086</v>
      </c>
      <c r="O710" s="14" t="s">
        <v>54</v>
      </c>
      <c r="P710" s="14">
        <v>47300</v>
      </c>
      <c r="Q710" s="19" t="s">
        <v>5087</v>
      </c>
      <c r="R710" s="15" t="s">
        <v>5088</v>
      </c>
      <c r="S710" s="15" t="s">
        <v>37</v>
      </c>
      <c r="T710" s="16" t="s">
        <v>38</v>
      </c>
      <c r="U710" s="11" t="str">
        <f>_xlfn.XLOOKUP(Customer[[#This Row],[Customer ID]],[1]!Address[ID],[1]!Address[Phone No.(2)])</f>
        <v/>
      </c>
      <c r="V710" s="11" t="str">
        <f>_xlfn.XLOOKUP(Customer[[#This Row],[Customer ID]],[1]!Address[ID],[1]!Address[Type])</f>
        <v>PETROMART</v>
      </c>
      <c r="W710" s="11" t="str">
        <f>_xlfn.XLOOKUP(Customer[[#This Row],[Customer ID]],[1]!Address[ID],[1]!Address[CT])</f>
        <v>30 DAYS</v>
      </c>
      <c r="X710" s="11" t="s">
        <v>39</v>
      </c>
      <c r="Y710" s="17" t="s">
        <v>40</v>
      </c>
      <c r="Z710" s="17" t="e">
        <f>_xlfn.XLOOKUP(Customer[[#This Row],[NewType]],$AF$36:$AF$54,$AG$36:$AG$54)</f>
        <v>#N/A</v>
      </c>
      <c r="AA710" s="17" t="s">
        <v>5089</v>
      </c>
      <c r="AB710" s="11" t="str">
        <f>_xlfn.XLOOKUP(Customer[[#This Row],[Customer ID]],[1]!Address[ID],[1]!Address[Subtype])</f>
        <v>PETRONAS</v>
      </c>
      <c r="AC710" s="18" t="str">
        <f>_xlfn.XLOOKUP(Customer[[#This Row],[Customer ID]],[1]!Address[ID],[1]!Address[Zone])</f>
        <v>EAST COAST</v>
      </c>
    </row>
    <row r="711" spans="1:29" x14ac:dyDescent="0.3">
      <c r="A711" s="10" t="s">
        <v>5090</v>
      </c>
      <c r="B711" s="11" t="str">
        <f>_xlfn.XLOOKUP(Customer[[#This Row],[Customer ID]],[1]!Name[ID],[1]!Name[Description(1)])</f>
        <v>STESEN MINYAK SOLEH JAMAL</v>
      </c>
      <c r="C711" s="11" t="str">
        <f>_xlfn.XLOOKUP(Customer[[#This Row],[Customer ID]],[1]!Name[ID],[1]!Name[Description(2)])</f>
        <v>PS TAMAN BANANG JAYA</v>
      </c>
      <c r="D711" s="11" t="str">
        <f>_xlfn.XLOOKUP(Customer[[#This Row],[Customer ID]],[1]!Address[ID],[1]!Address[PIC])</f>
        <v/>
      </c>
      <c r="E711" s="11" t="str">
        <f>_xlfn.XLOOKUP(Customer[[#This Row],[Customer ID]],[1]!Address[ID],[1]!Address[Full Address])</f>
        <v>PS TAMAN BANANG JAYANO. LOT. 28541, GERAN 298383,MUKIM SIMPANG KANAN,83000, BATU PAHAT, JOHOR</v>
      </c>
      <c r="F711" s="12" t="s">
        <v>5091</v>
      </c>
      <c r="G711" s="12" t="s">
        <v>5092</v>
      </c>
      <c r="H711" s="12" t="s">
        <v>5093</v>
      </c>
      <c r="I711" s="12" t="b">
        <f>ISNUMBER(VALUE(LEFT(Customer[[#This Row],[Address Line 3 (30 char)]],1)))</f>
        <v>0</v>
      </c>
      <c r="J711" s="12" t="s">
        <v>1995</v>
      </c>
      <c r="K711" s="12">
        <v>83000</v>
      </c>
      <c r="L711" s="12" t="s">
        <v>35</v>
      </c>
      <c r="M711" s="13" t="e">
        <v>#N/A</v>
      </c>
      <c r="N711" s="14" t="e">
        <v>#N/A</v>
      </c>
      <c r="O711" s="14" t="e">
        <v>#N/A</v>
      </c>
      <c r="P711" s="14" t="e">
        <v>#N/A</v>
      </c>
      <c r="Q711" s="14" t="e">
        <v>#N/A</v>
      </c>
      <c r="R711" s="15" t="s">
        <v>5094</v>
      </c>
      <c r="S711" s="15" t="s">
        <v>37</v>
      </c>
      <c r="T711" s="16" t="s">
        <v>38</v>
      </c>
      <c r="U711" s="11" t="str">
        <f>_xlfn.XLOOKUP(Customer[[#This Row],[Customer ID]],[1]!Address[ID],[1]!Address[Phone No.(2)])</f>
        <v/>
      </c>
      <c r="V711" s="11" t="str">
        <f>_xlfn.XLOOKUP(Customer[[#This Row],[Customer ID]],[1]!Address[ID],[1]!Address[Type])</f>
        <v>PETROMART</v>
      </c>
      <c r="W711" s="11" t="str">
        <f>_xlfn.XLOOKUP(Customer[[#This Row],[Customer ID]],[1]!Address[ID],[1]!Address[CT])</f>
        <v>30 DAYS</v>
      </c>
      <c r="X711" s="11" t="s">
        <v>39</v>
      </c>
      <c r="Y711" s="17" t="s">
        <v>40</v>
      </c>
      <c r="Z711" s="17" t="e">
        <f>_xlfn.XLOOKUP(Customer[[#This Row],[NewType]],$AF$36:$AF$54,$AG$36:$AG$54)</f>
        <v>#N/A</v>
      </c>
      <c r="AA711" s="17" t="s">
        <v>5095</v>
      </c>
      <c r="AB711" s="11" t="str">
        <f>_xlfn.XLOOKUP(Customer[[#This Row],[Customer ID]],[1]!Address[ID],[1]!Address[Subtype])</f>
        <v>PETRONAS</v>
      </c>
      <c r="AC711" s="18" t="str">
        <f>_xlfn.XLOOKUP(Customer[[#This Row],[Customer ID]],[1]!Address[ID],[1]!Address[Zone])</f>
        <v>SOUTH</v>
      </c>
    </row>
    <row r="712" spans="1:29" x14ac:dyDescent="0.3">
      <c r="A712" s="10" t="s">
        <v>5096</v>
      </c>
      <c r="B712" s="11" t="str">
        <f>_xlfn.XLOOKUP(Customer[[#This Row],[Customer ID]],[1]!Name[ID],[1]!Name[Description(1)])</f>
        <v>KIMIBABA PETROL STATION</v>
      </c>
      <c r="C712" s="11" t="str">
        <f>_xlfn.XLOOKUP(Customer[[#This Row],[Customer ID]],[1]!Name[ID],[1]!Name[Description(2)])</f>
        <v>PS TAMAN BANDAR SENAWANG</v>
      </c>
      <c r="D712" s="11" t="str">
        <f>_xlfn.XLOOKUP(Customer[[#This Row],[Customer ID]],[1]!Address[ID],[1]!Address[PIC])</f>
        <v/>
      </c>
      <c r="E712" s="11" t="str">
        <f>_xlfn.XLOOKUP(Customer[[#This Row],[Customer ID]],[1]!Address[ID],[1]!Address[Full Address])</f>
        <v>PS TAMAN BANDAR SENAWANGJALAN TAMPIN, PUSAT PERINDUSTRIAN RINGANLOT 23323 HS(D) 192429, MUKIM AMPANGAN,SRI SENAWANG, NEGERI SEMBILAN, 70450,</v>
      </c>
      <c r="F712" s="12" t="s">
        <v>5097</v>
      </c>
      <c r="G712" s="12" t="s">
        <v>5098</v>
      </c>
      <c r="H712" s="12" t="s">
        <v>5099</v>
      </c>
      <c r="I712" s="12" t="b">
        <f>ISNUMBER(VALUE(LEFT(Customer[[#This Row],[Address Line 3 (30 char)]],1)))</f>
        <v>0</v>
      </c>
      <c r="J712" s="12" t="s">
        <v>2004</v>
      </c>
      <c r="K712" s="12">
        <v>70450</v>
      </c>
      <c r="L712" s="12" t="s">
        <v>35</v>
      </c>
      <c r="M712" s="13">
        <v>201103264223</v>
      </c>
      <c r="N712" s="14" t="s">
        <v>5100</v>
      </c>
      <c r="O712" s="14" t="e">
        <v>#N/A</v>
      </c>
      <c r="P712" s="14" t="e">
        <v>#N/A</v>
      </c>
      <c r="Q712" s="19" t="s">
        <v>5101</v>
      </c>
      <c r="R712" s="15" t="s">
        <v>5102</v>
      </c>
      <c r="S712" s="15" t="s">
        <v>37</v>
      </c>
      <c r="T712" s="16" t="s">
        <v>38</v>
      </c>
      <c r="U712" s="11" t="str">
        <f>_xlfn.XLOOKUP(Customer[[#This Row],[Customer ID]],[1]!Address[ID],[1]!Address[Phone No.(2)])</f>
        <v/>
      </c>
      <c r="V712" s="11" t="str">
        <f>_xlfn.XLOOKUP(Customer[[#This Row],[Customer ID]],[1]!Address[ID],[1]!Address[Type])</f>
        <v>PETROMART</v>
      </c>
      <c r="W712" s="11" t="str">
        <f>_xlfn.XLOOKUP(Customer[[#This Row],[Customer ID]],[1]!Address[ID],[1]!Address[CT])</f>
        <v>30 DAYS</v>
      </c>
      <c r="X712" s="11" t="s">
        <v>39</v>
      </c>
      <c r="Y712" s="17" t="s">
        <v>40</v>
      </c>
      <c r="Z712" s="17" t="e">
        <f>_xlfn.XLOOKUP(Customer[[#This Row],[NewType]],$AF$36:$AF$54,$AG$36:$AG$54)</f>
        <v>#N/A</v>
      </c>
      <c r="AA712" s="17" t="s">
        <v>5103</v>
      </c>
      <c r="AB712" s="11" t="str">
        <f>_xlfn.XLOOKUP(Customer[[#This Row],[Customer ID]],[1]!Address[ID],[1]!Address[Subtype])</f>
        <v>PETRONAS</v>
      </c>
      <c r="AC712" s="18" t="str">
        <f>_xlfn.XLOOKUP(Customer[[#This Row],[Customer ID]],[1]!Address[ID],[1]!Address[Zone])</f>
        <v>CENTRAL</v>
      </c>
    </row>
    <row r="713" spans="1:29" x14ac:dyDescent="0.3">
      <c r="A713" s="10" t="s">
        <v>5104</v>
      </c>
      <c r="B713" s="11" t="str">
        <f>_xlfn.XLOOKUP(Customer[[#This Row],[Customer ID]],[1]!Name[ID],[1]!Name[Description(1)])</f>
        <v>SNM SYNERGY (M) SDN BHD</v>
      </c>
      <c r="C713" s="11" t="str">
        <f>_xlfn.XLOOKUP(Customer[[#This Row],[Customer ID]],[1]!Name[ID],[1]!Name[Description(2)])</f>
        <v>PS TAMAN BAYU PUTERI</v>
      </c>
      <c r="D713" s="11" t="str">
        <f>_xlfn.XLOOKUP(Customer[[#This Row],[Customer ID]],[1]!Address[ID],[1]!Address[PIC])</f>
        <v/>
      </c>
      <c r="E713" s="11" t="str">
        <f>_xlfn.XLOOKUP(Customer[[#This Row],[Customer ID]],[1]!Address[ID],[1]!Address[Full Address])</f>
        <v>PS TAMAN BAYU PUTERIPTD 181563, JALAN BAKAR BATU, TAMAN BAYUPUTERI, 80150 JOHOR BAHRU, JOHOR.</v>
      </c>
      <c r="F713" s="12" t="s">
        <v>5105</v>
      </c>
      <c r="G713" s="12" t="s">
        <v>5106</v>
      </c>
      <c r="H713" s="12" t="s">
        <v>1155</v>
      </c>
      <c r="I713" s="12" t="b">
        <f>ISNUMBER(VALUE(LEFT(Customer[[#This Row],[Address Line 3 (30 char)]],1)))</f>
        <v>0</v>
      </c>
      <c r="J713" s="12" t="s">
        <v>1995</v>
      </c>
      <c r="K713" s="12">
        <v>80150</v>
      </c>
      <c r="L713" s="12" t="s">
        <v>35</v>
      </c>
      <c r="M713" s="13" t="e">
        <v>#N/A</v>
      </c>
      <c r="N713" s="14" t="e">
        <v>#N/A</v>
      </c>
      <c r="O713" s="14" t="e">
        <v>#N/A</v>
      </c>
      <c r="P713" s="14" t="e">
        <v>#N/A</v>
      </c>
      <c r="Q713" s="19" t="s">
        <v>5107</v>
      </c>
      <c r="R713" s="15" t="s">
        <v>5108</v>
      </c>
      <c r="S713" s="15" t="s">
        <v>37</v>
      </c>
      <c r="T713" s="16" t="s">
        <v>38</v>
      </c>
      <c r="U713" s="11" t="str">
        <f>_xlfn.XLOOKUP(Customer[[#This Row],[Customer ID]],[1]!Address[ID],[1]!Address[Phone No.(2)])</f>
        <v/>
      </c>
      <c r="V713" s="11" t="str">
        <f>_xlfn.XLOOKUP(Customer[[#This Row],[Customer ID]],[1]!Address[ID],[1]!Address[Type])</f>
        <v>PETROMART</v>
      </c>
      <c r="W713" s="11" t="str">
        <f>_xlfn.XLOOKUP(Customer[[#This Row],[Customer ID]],[1]!Address[ID],[1]!Address[CT])</f>
        <v>30 DAYS</v>
      </c>
      <c r="X713" s="11" t="s">
        <v>39</v>
      </c>
      <c r="Y713" s="17" t="s">
        <v>40</v>
      </c>
      <c r="Z713" s="17" t="e">
        <f>_xlfn.XLOOKUP(Customer[[#This Row],[NewType]],$AF$36:$AF$54,$AG$36:$AG$54)</f>
        <v>#N/A</v>
      </c>
      <c r="AA713" s="17" t="s">
        <v>5109</v>
      </c>
      <c r="AB713" s="11" t="str">
        <f>_xlfn.XLOOKUP(Customer[[#This Row],[Customer ID]],[1]!Address[ID],[1]!Address[Subtype])</f>
        <v>PETRONAS</v>
      </c>
      <c r="AC713" s="18" t="str">
        <f>_xlfn.XLOOKUP(Customer[[#This Row],[Customer ID]],[1]!Address[ID],[1]!Address[Zone])</f>
        <v>SOUTH</v>
      </c>
    </row>
    <row r="714" spans="1:29" x14ac:dyDescent="0.3">
      <c r="A714" s="27" t="s">
        <v>5110</v>
      </c>
      <c r="B714" s="28" t="str">
        <f>_xlfn.XLOOKUP(Customer[[#This Row],[Customer ID]],[1]!Name[ID],[1]!Name[Description(1)])</f>
        <v>MSBZ SERVICE STATION</v>
      </c>
      <c r="C714" s="11" t="str">
        <f>_xlfn.XLOOKUP(Customer[[#This Row],[Customer ID]],[1]!Name[ID],[1]!Name[Description(2)])</f>
        <v>PS TAMAN BERSATU</v>
      </c>
      <c r="D714" s="11" t="str">
        <f>_xlfn.XLOOKUP(Customer[[#This Row],[Customer ID]],[1]!Address[ID],[1]!Address[PIC])</f>
        <v/>
      </c>
      <c r="E714" s="11" t="str">
        <f>_xlfn.XLOOKUP(Customer[[#This Row],[Customer ID]],[1]!Address[ID],[1]!Address[Full Address])</f>
        <v>PS TAMAN BERSATULOT 527, TAMAN BERSATU, KULIM, KEDAH,09000, KULIM, KEDAH</v>
      </c>
      <c r="F714" s="12" t="s">
        <v>5111</v>
      </c>
      <c r="G714" s="12" t="s">
        <v>5112</v>
      </c>
      <c r="H714" s="12" t="s">
        <v>5009</v>
      </c>
      <c r="I714" s="12" t="b">
        <f>ISNUMBER(VALUE(LEFT(Customer[[#This Row],[Address Line 3 (30 char)]],1)))</f>
        <v>0</v>
      </c>
      <c r="J714" s="12" t="s">
        <v>79</v>
      </c>
      <c r="K714" s="30" t="s">
        <v>2905</v>
      </c>
      <c r="L714" s="12" t="s">
        <v>35</v>
      </c>
      <c r="M714" s="13" t="e">
        <v>#N/A</v>
      </c>
      <c r="N714" s="14" t="e">
        <v>#N/A</v>
      </c>
      <c r="O714" s="14" t="e">
        <v>#N/A</v>
      </c>
      <c r="P714" s="14" t="e">
        <v>#N/A</v>
      </c>
      <c r="Q714" s="19" t="s">
        <v>5113</v>
      </c>
      <c r="R714" s="15" t="s">
        <v>5114</v>
      </c>
      <c r="S714" s="15" t="s">
        <v>37</v>
      </c>
      <c r="T714" s="16" t="s">
        <v>38</v>
      </c>
      <c r="U714" s="11" t="str">
        <f>_xlfn.XLOOKUP(Customer[[#This Row],[Customer ID]],[1]!Address[ID],[1]!Address[Phone No.(2)])</f>
        <v/>
      </c>
      <c r="V714" s="11" t="str">
        <f>_xlfn.XLOOKUP(Customer[[#This Row],[Customer ID]],[1]!Address[ID],[1]!Address[Type])</f>
        <v>PETROMART</v>
      </c>
      <c r="W714" s="11" t="str">
        <f>_xlfn.XLOOKUP(Customer[[#This Row],[Customer ID]],[1]!Address[ID],[1]!Address[CT])</f>
        <v>30 DAYS</v>
      </c>
      <c r="X714" s="11" t="s">
        <v>39</v>
      </c>
      <c r="Y714" s="17" t="s">
        <v>40</v>
      </c>
      <c r="Z714" s="17" t="e">
        <f>_xlfn.XLOOKUP(Customer[[#This Row],[NewType]],$AF$36:$AF$54,$AG$36:$AG$54)</f>
        <v>#N/A</v>
      </c>
      <c r="AA714" s="17" t="s">
        <v>5115</v>
      </c>
      <c r="AB714" s="11" t="str">
        <f>_xlfn.XLOOKUP(Customer[[#This Row],[Customer ID]],[1]!Address[ID],[1]!Address[Subtype])</f>
        <v>PETRONAS</v>
      </c>
      <c r="AC714" s="18" t="str">
        <f>_xlfn.XLOOKUP(Customer[[#This Row],[Customer ID]],[1]!Address[ID],[1]!Address[Zone])</f>
        <v>NORTH</v>
      </c>
    </row>
    <row r="715" spans="1:29" x14ac:dyDescent="0.3">
      <c r="A715" s="10" t="s">
        <v>5116</v>
      </c>
      <c r="B715" s="11" t="str">
        <f>_xlfn.XLOOKUP(Customer[[#This Row],[Customer ID]],[1]!Name[ID],[1]!Name[Description(1)])</f>
        <v>ZAHARIN EMAS ENTERPRISE</v>
      </c>
      <c r="C715" s="11" t="str">
        <f>_xlfn.XLOOKUP(Customer[[#This Row],[Customer ID]],[1]!Name[ID],[1]!Name[Description(2)])</f>
        <v>PS TAMAN BERSATU, RAWANG</v>
      </c>
      <c r="D715" s="11" t="str">
        <f>_xlfn.XLOOKUP(Customer[[#This Row],[Customer ID]],[1]!Address[ID],[1]!Address[PIC])</f>
        <v/>
      </c>
      <c r="E715" s="11" t="str">
        <f>_xlfn.XLOOKUP(Customer[[#This Row],[Customer ID]],[1]!Address[ID],[1]!Address[Full Address])</f>
        <v>PS TAMAN BERSATU, RAWANGLOT PT 10295 HS(M) 5549, TAMAN BERSATU,BATU 17 1/2, JALAN RAWANG, RAWANG, 48000SELANGOR</v>
      </c>
      <c r="F715" s="12" t="s">
        <v>5117</v>
      </c>
      <c r="G715" s="12" t="s">
        <v>5118</v>
      </c>
      <c r="H715" s="12" t="s">
        <v>5119</v>
      </c>
      <c r="I715" s="12" t="b">
        <f>ISNUMBER(VALUE(LEFT(Customer[[#This Row],[Address Line 3 (30 char)]],1)))</f>
        <v>0</v>
      </c>
      <c r="J715" s="12" t="s">
        <v>172</v>
      </c>
      <c r="K715" s="12">
        <v>48000</v>
      </c>
      <c r="L715" s="12" t="s">
        <v>35</v>
      </c>
      <c r="M715" s="13" t="e">
        <v>#N/A</v>
      </c>
      <c r="N715" s="14" t="e">
        <v>#N/A</v>
      </c>
      <c r="O715" s="14" t="e">
        <v>#N/A</v>
      </c>
      <c r="P715" s="14" t="e">
        <v>#N/A</v>
      </c>
      <c r="Q715" s="19" t="s">
        <v>792</v>
      </c>
      <c r="R715" s="15" t="s">
        <v>5120</v>
      </c>
      <c r="S715" s="15" t="s">
        <v>37</v>
      </c>
      <c r="T715" s="16" t="s">
        <v>38</v>
      </c>
      <c r="U715" s="11" t="str">
        <f>_xlfn.XLOOKUP(Customer[[#This Row],[Customer ID]],[1]!Address[ID],[1]!Address[Phone No.(2)])</f>
        <v/>
      </c>
      <c r="V715" s="11" t="str">
        <f>_xlfn.XLOOKUP(Customer[[#This Row],[Customer ID]],[1]!Address[ID],[1]!Address[Type])</f>
        <v>PETROMART</v>
      </c>
      <c r="W715" s="11" t="str">
        <f>_xlfn.XLOOKUP(Customer[[#This Row],[Customer ID]],[1]!Address[ID],[1]!Address[CT])</f>
        <v>30 DAYS</v>
      </c>
      <c r="X715" s="11" t="s">
        <v>39</v>
      </c>
      <c r="Y715" s="17" t="s">
        <v>40</v>
      </c>
      <c r="Z715" s="17" t="e">
        <f>_xlfn.XLOOKUP(Customer[[#This Row],[NewType]],$AF$36:$AF$54,$AG$36:$AG$54)</f>
        <v>#N/A</v>
      </c>
      <c r="AA715" s="17" t="s">
        <v>5121</v>
      </c>
      <c r="AB715" s="11" t="str">
        <f>_xlfn.XLOOKUP(Customer[[#This Row],[Customer ID]],[1]!Address[ID],[1]!Address[Subtype])</f>
        <v>PETRONAS</v>
      </c>
      <c r="AC715" s="18" t="str">
        <f>_xlfn.XLOOKUP(Customer[[#This Row],[Customer ID]],[1]!Address[ID],[1]!Address[Zone])</f>
        <v>CENTRAL</v>
      </c>
    </row>
    <row r="716" spans="1:29" x14ac:dyDescent="0.3">
      <c r="A716" s="10" t="s">
        <v>5122</v>
      </c>
      <c r="B716" s="11" t="str">
        <f>_xlfn.XLOOKUP(Customer[[#This Row],[Customer ID]],[1]!Name[ID],[1]!Name[Description(1)])</f>
        <v>KULIS AUTO SDN BHD</v>
      </c>
      <c r="C716" s="11" t="str">
        <f>_xlfn.XLOOKUP(Customer[[#This Row],[Customer ID]],[1]!Name[ID],[1]!Name[Description(2)])</f>
        <v>PS TAMAN BUKIT DAHLIA, JB</v>
      </c>
      <c r="D716" s="11" t="str">
        <f>_xlfn.XLOOKUP(Customer[[#This Row],[Customer ID]],[1]!Address[ID],[1]!Address[PIC])</f>
        <v/>
      </c>
      <c r="E716" s="11" t="str">
        <f>_xlfn.XLOOKUP(Customer[[#This Row],[Customer ID]],[1]!Address[ID],[1]!Address[Full Address])</f>
        <v>PS TAMAN BUKIT DAHLIA, JBLOT PTD 166495 MUKIM PLENTONG, TAMANBUKIT DAHLIA, JOHOR, 81100, JOHOR BAHRU,JOHOR</v>
      </c>
      <c r="F716" s="12" t="s">
        <v>5123</v>
      </c>
      <c r="G716" s="12" t="s">
        <v>5124</v>
      </c>
      <c r="H716" s="12" t="s">
        <v>5125</v>
      </c>
      <c r="I716" s="12" t="b">
        <f>ISNUMBER(VALUE(LEFT(Customer[[#This Row],[Address Line 3 (30 char)]],1)))</f>
        <v>0</v>
      </c>
      <c r="J716" s="12" t="s">
        <v>1995</v>
      </c>
      <c r="K716" s="12">
        <v>81100</v>
      </c>
      <c r="L716" s="12" t="s">
        <v>35</v>
      </c>
      <c r="M716" s="13" t="e">
        <v>#N/A</v>
      </c>
      <c r="N716" s="14" t="e">
        <v>#N/A</v>
      </c>
      <c r="O716" s="14" t="e">
        <v>#N/A</v>
      </c>
      <c r="P716" s="14" t="e">
        <v>#N/A</v>
      </c>
      <c r="Q716" s="19" t="s">
        <v>5126</v>
      </c>
      <c r="R716" s="15" t="s">
        <v>5127</v>
      </c>
      <c r="S716" s="15" t="s">
        <v>37</v>
      </c>
      <c r="T716" s="16" t="s">
        <v>38</v>
      </c>
      <c r="U716" s="11" t="str">
        <f>_xlfn.XLOOKUP(Customer[[#This Row],[Customer ID]],[1]!Address[ID],[1]!Address[Phone No.(2)])</f>
        <v/>
      </c>
      <c r="V716" s="11" t="str">
        <f>_xlfn.XLOOKUP(Customer[[#This Row],[Customer ID]],[1]!Address[ID],[1]!Address[Type])</f>
        <v>PETROMART</v>
      </c>
      <c r="W716" s="11" t="str">
        <f>_xlfn.XLOOKUP(Customer[[#This Row],[Customer ID]],[1]!Address[ID],[1]!Address[CT])</f>
        <v>30 DAYS</v>
      </c>
      <c r="X716" s="11" t="s">
        <v>39</v>
      </c>
      <c r="Y716" s="17" t="s">
        <v>40</v>
      </c>
      <c r="Z716" s="17" t="e">
        <f>_xlfn.XLOOKUP(Customer[[#This Row],[NewType]],$AF$36:$AF$54,$AG$36:$AG$54)</f>
        <v>#N/A</v>
      </c>
      <c r="AA716" s="17" t="s">
        <v>5128</v>
      </c>
      <c r="AB716" s="11" t="str">
        <f>_xlfn.XLOOKUP(Customer[[#This Row],[Customer ID]],[1]!Address[ID],[1]!Address[Subtype])</f>
        <v>PETRONAS</v>
      </c>
      <c r="AC716" s="18" t="str">
        <f>_xlfn.XLOOKUP(Customer[[#This Row],[Customer ID]],[1]!Address[ID],[1]!Address[Zone])</f>
        <v>SOUTH</v>
      </c>
    </row>
    <row r="717" spans="1:29" x14ac:dyDescent="0.3">
      <c r="A717" s="10" t="s">
        <v>5129</v>
      </c>
      <c r="B717" s="11" t="str">
        <f>_xlfn.XLOOKUP(Customer[[#This Row],[Customer ID]],[1]!Name[ID],[1]!Name[Description(1)])</f>
        <v>CAHAYA MESRA</v>
      </c>
      <c r="C717" s="11" t="str">
        <f>_xlfn.XLOOKUP(Customer[[#This Row],[Customer ID]],[1]!Name[ID],[1]!Name[Description(2)])</f>
        <v>PS TAMAN CAHAYA MASAI,JB</v>
      </c>
      <c r="D717" s="11" t="str">
        <f>_xlfn.XLOOKUP(Customer[[#This Row],[Customer ID]],[1]!Address[ID],[1]!Address[PIC])</f>
        <v/>
      </c>
      <c r="E717" s="11" t="str">
        <f>_xlfn.XLOOKUP(Customer[[#This Row],[Customer ID]],[1]!Address[ID],[1]!Address[Full Address])</f>
        <v>PS TAMAN CAHAYA MASAI,JBNEW LOT PTD 160926 HS (D) 338709, TAMANCAHAYA MASAI, MUKIM PLENTONG, JOHOR,81750, JOHOR BAHRU, JOHOR</v>
      </c>
      <c r="F717" s="12" t="s">
        <v>5130</v>
      </c>
      <c r="G717" s="12" t="s">
        <v>5131</v>
      </c>
      <c r="H717" s="12" t="s">
        <v>5132</v>
      </c>
      <c r="I717" s="12" t="b">
        <f>ISNUMBER(VALUE(LEFT(Customer[[#This Row],[Address Line 3 (30 char)]],1)))</f>
        <v>0</v>
      </c>
      <c r="J717" s="12" t="s">
        <v>1995</v>
      </c>
      <c r="K717" s="12">
        <v>81750</v>
      </c>
      <c r="L717" s="12" t="s">
        <v>35</v>
      </c>
      <c r="M717" s="13">
        <v>200403138810</v>
      </c>
      <c r="N717" s="14" t="s">
        <v>5133</v>
      </c>
      <c r="O717" s="14" t="e">
        <v>#N/A</v>
      </c>
      <c r="P717" s="14" t="e">
        <v>#N/A</v>
      </c>
      <c r="Q717" s="19" t="s">
        <v>5134</v>
      </c>
      <c r="R717" s="15" t="s">
        <v>5135</v>
      </c>
      <c r="S717" s="15" t="s">
        <v>37</v>
      </c>
      <c r="T717" s="16" t="s">
        <v>38</v>
      </c>
      <c r="U717" s="11" t="str">
        <f>_xlfn.XLOOKUP(Customer[[#This Row],[Customer ID]],[1]!Address[ID],[1]!Address[Phone No.(2)])</f>
        <v/>
      </c>
      <c r="V717" s="11" t="str">
        <f>_xlfn.XLOOKUP(Customer[[#This Row],[Customer ID]],[1]!Address[ID],[1]!Address[Type])</f>
        <v>PETROMART</v>
      </c>
      <c r="W717" s="11" t="str">
        <f>_xlfn.XLOOKUP(Customer[[#This Row],[Customer ID]],[1]!Address[ID],[1]!Address[CT])</f>
        <v>30 DAYS</v>
      </c>
      <c r="X717" s="11" t="s">
        <v>39</v>
      </c>
      <c r="Y717" s="17" t="s">
        <v>40</v>
      </c>
      <c r="Z717" s="17" t="e">
        <f>_xlfn.XLOOKUP(Customer[[#This Row],[NewType]],$AF$36:$AF$54,$AG$36:$AG$54)</f>
        <v>#N/A</v>
      </c>
      <c r="AA717" s="17" t="s">
        <v>5136</v>
      </c>
      <c r="AB717" s="11" t="str">
        <f>_xlfn.XLOOKUP(Customer[[#This Row],[Customer ID]],[1]!Address[ID],[1]!Address[Subtype])</f>
        <v>PETRONAS</v>
      </c>
      <c r="AC717" s="18" t="str">
        <f>_xlfn.XLOOKUP(Customer[[#This Row],[Customer ID]],[1]!Address[ID],[1]!Address[Zone])</f>
        <v>SOUTH</v>
      </c>
    </row>
    <row r="718" spans="1:29" x14ac:dyDescent="0.3">
      <c r="A718" s="10" t="s">
        <v>5137</v>
      </c>
      <c r="B718" s="11" t="str">
        <f>_xlfn.XLOOKUP(Customer[[#This Row],[Customer ID]],[1]!Name[ID],[1]!Name[Description(1)])</f>
        <v>S/S CEMPAKA SARI ENTERPRISE</v>
      </c>
      <c r="C718" s="11" t="str">
        <f>_xlfn.XLOOKUP(Customer[[#This Row],[Customer ID]],[1]!Name[ID],[1]!Name[Description(2)])</f>
        <v>PS TAMAN CEMPAKA</v>
      </c>
      <c r="D718" s="11" t="str">
        <f>_xlfn.XLOOKUP(Customer[[#This Row],[Customer ID]],[1]!Address[ID],[1]!Address[PIC])</f>
        <v/>
      </c>
      <c r="E718" s="11" t="str">
        <f>_xlfn.XLOOKUP(Customer[[#This Row],[Customer ID]],[1]!Address[ID],[1]!Address[Full Address])</f>
        <v>PS TAMAN CEMPAKALOT 1859, TAMAN CHEMPAKA, AMPANG,SELANGOR, 68000, SELANGOR</v>
      </c>
      <c r="F718" s="12" t="s">
        <v>5138</v>
      </c>
      <c r="G718" s="12" t="s">
        <v>5139</v>
      </c>
      <c r="H718" s="12"/>
      <c r="I718" s="12" t="b">
        <f>ISNUMBER(VALUE(LEFT(Customer[[#This Row],[Address Line 3 (30 char)]],1)))</f>
        <v>0</v>
      </c>
      <c r="J718" s="12" t="s">
        <v>172</v>
      </c>
      <c r="K718" s="12">
        <v>68000</v>
      </c>
      <c r="L718" s="12" t="s">
        <v>35</v>
      </c>
      <c r="M718" s="13" t="e">
        <v>#N/A</v>
      </c>
      <c r="N718" s="14" t="e">
        <v>#N/A</v>
      </c>
      <c r="O718" s="14" t="e">
        <v>#N/A</v>
      </c>
      <c r="P718" s="14" t="e">
        <v>#N/A</v>
      </c>
      <c r="Q718" s="19" t="s">
        <v>5140</v>
      </c>
      <c r="R718" s="15" t="s">
        <v>5141</v>
      </c>
      <c r="S718" s="15" t="s">
        <v>37</v>
      </c>
      <c r="T718" s="16" t="s">
        <v>38</v>
      </c>
      <c r="U718" s="11" t="str">
        <f>_xlfn.XLOOKUP(Customer[[#This Row],[Customer ID]],[1]!Address[ID],[1]!Address[Phone No.(2)])</f>
        <v/>
      </c>
      <c r="V718" s="11" t="str">
        <f>_xlfn.XLOOKUP(Customer[[#This Row],[Customer ID]],[1]!Address[ID],[1]!Address[Type])</f>
        <v>PETROMART</v>
      </c>
      <c r="W718" s="11" t="str">
        <f>_xlfn.XLOOKUP(Customer[[#This Row],[Customer ID]],[1]!Address[ID],[1]!Address[CT])</f>
        <v>30 DAYS</v>
      </c>
      <c r="X718" s="11" t="s">
        <v>39</v>
      </c>
      <c r="Y718" s="17" t="s">
        <v>40</v>
      </c>
      <c r="Z718" s="17" t="e">
        <f>_xlfn.XLOOKUP(Customer[[#This Row],[NewType]],$AF$36:$AF$54,$AG$36:$AG$54)</f>
        <v>#N/A</v>
      </c>
      <c r="AA718" s="17" t="s">
        <v>5142</v>
      </c>
      <c r="AB718" s="11" t="str">
        <f>_xlfn.XLOOKUP(Customer[[#This Row],[Customer ID]],[1]!Address[ID],[1]!Address[Subtype])</f>
        <v>PETRONAS</v>
      </c>
      <c r="AC718" s="18" t="str">
        <f>_xlfn.XLOOKUP(Customer[[#This Row],[Customer ID]],[1]!Address[ID],[1]!Address[Zone])</f>
        <v>CENTRAL</v>
      </c>
    </row>
    <row r="719" spans="1:29" x14ac:dyDescent="0.3">
      <c r="A719" s="10" t="s">
        <v>5143</v>
      </c>
      <c r="B719" s="11" t="str">
        <f>_xlfn.XLOOKUP(Customer[[#This Row],[Customer ID]],[1]!Name[ID],[1]!Name[Description(1)])</f>
        <v>LEGASI MS ENTERPRISE</v>
      </c>
      <c r="C719" s="11" t="str">
        <f>_xlfn.XLOOKUP(Customer[[#This Row],[Customer ID]],[1]!Name[ID],[1]!Name[Description(2)])</f>
        <v>PS TAMAN CEMPAKA, JOHOR</v>
      </c>
      <c r="D719" s="11" t="str">
        <f>_xlfn.XLOOKUP(Customer[[#This Row],[Customer ID]],[1]!Address[ID],[1]!Address[PIC])</f>
        <v/>
      </c>
      <c r="E719" s="11" t="str">
        <f>_xlfn.XLOOKUP(Customer[[#This Row],[Customer ID]],[1]!Address[ID],[1]!Address[Full Address])</f>
        <v>PS TAMAN CEMPAKA, JOHORLOT PTD 65787 MUKIM TEBRAU, JALANPERSIARAN TANJUNG, TAMAN CEMPAKA,JOHOR, 81200, JOHOR BAHRU, JOHOR</v>
      </c>
      <c r="F719" s="12" t="s">
        <v>5144</v>
      </c>
      <c r="G719" s="12" t="s">
        <v>5145</v>
      </c>
      <c r="H719" s="12" t="s">
        <v>5146</v>
      </c>
      <c r="I719" s="12" t="b">
        <f>ISNUMBER(VALUE(LEFT(Customer[[#This Row],[Address Line 3 (30 char)]],1)))</f>
        <v>0</v>
      </c>
      <c r="J719" s="12" t="s">
        <v>1995</v>
      </c>
      <c r="K719" s="12">
        <v>81200</v>
      </c>
      <c r="L719" s="12" t="s">
        <v>35</v>
      </c>
      <c r="M719" s="13" t="e">
        <v>#N/A</v>
      </c>
      <c r="N719" s="14" t="e">
        <v>#N/A</v>
      </c>
      <c r="O719" s="14" t="e">
        <v>#N/A</v>
      </c>
      <c r="P719" s="14" t="e">
        <v>#N/A</v>
      </c>
      <c r="Q719" s="19" t="s">
        <v>5147</v>
      </c>
      <c r="R719" s="15" t="s">
        <v>5148</v>
      </c>
      <c r="S719" s="15" t="s">
        <v>37</v>
      </c>
      <c r="T719" s="16" t="s">
        <v>38</v>
      </c>
      <c r="U719" s="11" t="str">
        <f>_xlfn.XLOOKUP(Customer[[#This Row],[Customer ID]],[1]!Address[ID],[1]!Address[Phone No.(2)])</f>
        <v/>
      </c>
      <c r="V719" s="11" t="str">
        <f>_xlfn.XLOOKUP(Customer[[#This Row],[Customer ID]],[1]!Address[ID],[1]!Address[Type])</f>
        <v>PETROMART</v>
      </c>
      <c r="W719" s="11" t="str">
        <f>_xlfn.XLOOKUP(Customer[[#This Row],[Customer ID]],[1]!Address[ID],[1]!Address[CT])</f>
        <v>30 DAYS</v>
      </c>
      <c r="X719" s="11" t="s">
        <v>39</v>
      </c>
      <c r="Y719" s="17" t="s">
        <v>40</v>
      </c>
      <c r="Z719" s="17" t="e">
        <f>_xlfn.XLOOKUP(Customer[[#This Row],[NewType]],$AF$36:$AF$54,$AG$36:$AG$54)</f>
        <v>#N/A</v>
      </c>
      <c r="AA719" s="17" t="s">
        <v>5149</v>
      </c>
      <c r="AB719" s="11" t="str">
        <f>_xlfn.XLOOKUP(Customer[[#This Row],[Customer ID]],[1]!Address[ID],[1]!Address[Subtype])</f>
        <v>PETRONAS</v>
      </c>
      <c r="AC719" s="18" t="str">
        <f>_xlfn.XLOOKUP(Customer[[#This Row],[Customer ID]],[1]!Address[ID],[1]!Address[Zone])</f>
        <v>SOUTH</v>
      </c>
    </row>
    <row r="720" spans="1:29" x14ac:dyDescent="0.3">
      <c r="A720" s="10" t="s">
        <v>5150</v>
      </c>
      <c r="B720" s="11" t="str">
        <f>_xlfn.XLOOKUP(Customer[[#This Row],[Customer ID]],[1]!Name[ID],[1]!Name[Description(1)])</f>
        <v>FAS MESRA SDN.BHD</v>
      </c>
      <c r="C720" s="11" t="str">
        <f>_xlfn.XLOOKUP(Customer[[#This Row],[Customer ID]],[1]!Name[ID],[1]!Name[Description(2)])</f>
        <v>PS TAMAN DAGANG</v>
      </c>
      <c r="D720" s="11" t="str">
        <f>_xlfn.XLOOKUP(Customer[[#This Row],[Customer ID]],[1]!Address[ID],[1]!Address[PIC])</f>
        <v/>
      </c>
      <c r="E720" s="11" t="str">
        <f>_xlfn.XLOOKUP(Customer[[#This Row],[Customer ID]],[1]!Address[ID],[1]!Address[Full Address])</f>
        <v>PS TAMAN DAGANGLOT 44706 (PT 12671 HS(D) 130125), TAMANDAGANG, AMPANG, SELANGOR, 68000,GOMBAK, SELANGOR</v>
      </c>
      <c r="F720" s="12" t="s">
        <v>5151</v>
      </c>
      <c r="G720" s="12" t="s">
        <v>5152</v>
      </c>
      <c r="H720" s="12" t="s">
        <v>3837</v>
      </c>
      <c r="I720" s="12" t="b">
        <f>ISNUMBER(VALUE(LEFT(Customer[[#This Row],[Address Line 3 (30 char)]],1)))</f>
        <v>0</v>
      </c>
      <c r="J720" s="12" t="s">
        <v>172</v>
      </c>
      <c r="K720" s="12">
        <v>68000</v>
      </c>
      <c r="L720" s="12" t="s">
        <v>35</v>
      </c>
      <c r="M720" s="13" t="e">
        <v>#N/A</v>
      </c>
      <c r="N720" s="14" t="e">
        <v>#N/A</v>
      </c>
      <c r="O720" s="14" t="e">
        <v>#N/A</v>
      </c>
      <c r="P720" s="14" t="e">
        <v>#N/A</v>
      </c>
      <c r="Q720" s="19" t="s">
        <v>5153</v>
      </c>
      <c r="R720" s="15" t="s">
        <v>5154</v>
      </c>
      <c r="S720" s="15" t="s">
        <v>37</v>
      </c>
      <c r="T720" s="16" t="s">
        <v>38</v>
      </c>
      <c r="U720" s="11" t="str">
        <f>_xlfn.XLOOKUP(Customer[[#This Row],[Customer ID]],[1]!Address[ID],[1]!Address[Phone No.(2)])</f>
        <v/>
      </c>
      <c r="V720" s="11" t="str">
        <f>_xlfn.XLOOKUP(Customer[[#This Row],[Customer ID]],[1]!Address[ID],[1]!Address[Type])</f>
        <v>PETROMART</v>
      </c>
      <c r="W720" s="11" t="str">
        <f>_xlfn.XLOOKUP(Customer[[#This Row],[Customer ID]],[1]!Address[ID],[1]!Address[CT])</f>
        <v>30 DAYS</v>
      </c>
      <c r="X720" s="11" t="s">
        <v>39</v>
      </c>
      <c r="Y720" s="17" t="s">
        <v>40</v>
      </c>
      <c r="Z720" s="17" t="e">
        <f>_xlfn.XLOOKUP(Customer[[#This Row],[NewType]],$AF$36:$AF$54,$AG$36:$AG$54)</f>
        <v>#N/A</v>
      </c>
      <c r="AA720" s="17" t="s">
        <v>5155</v>
      </c>
      <c r="AB720" s="11" t="str">
        <f>_xlfn.XLOOKUP(Customer[[#This Row],[Customer ID]],[1]!Address[ID],[1]!Address[Subtype])</f>
        <v>PETRONAS</v>
      </c>
      <c r="AC720" s="18" t="str">
        <f>_xlfn.XLOOKUP(Customer[[#This Row],[Customer ID]],[1]!Address[ID],[1]!Address[Zone])</f>
        <v>CENTRAL</v>
      </c>
    </row>
    <row r="721" spans="1:29" x14ac:dyDescent="0.3">
      <c r="A721" s="10" t="s">
        <v>5156</v>
      </c>
      <c r="B721" s="11" t="str">
        <f>_xlfn.XLOOKUP(Customer[[#This Row],[Customer ID]],[1]!Name[ID],[1]!Name[Description(1)])</f>
        <v>WIRDA ISMA DUA ENTERPRISE</v>
      </c>
      <c r="C721" s="11" t="str">
        <f>_xlfn.XLOOKUP(Customer[[#This Row],[Customer ID]],[1]!Name[ID],[1]!Name[Description(2)])</f>
        <v>PS TAMAN DAYA</v>
      </c>
      <c r="D721" s="11" t="str">
        <f>_xlfn.XLOOKUP(Customer[[#This Row],[Customer ID]],[1]!Address[ID],[1]!Address[PIC])</f>
        <v/>
      </c>
      <c r="E721" s="11" t="str">
        <f>_xlfn.XLOOKUP(Customer[[#This Row],[Customer ID]],[1]!Address[ID],[1]!Address[Full Address])</f>
        <v>PS TAMAN DAYALOT 436, MUKIM PLENTONG, JALAN BERTAM 23TAMAN DAYA, JOHOR, 81100, JOHOR BAHRU,JOHOR</v>
      </c>
      <c r="F721" s="12" t="s">
        <v>5157</v>
      </c>
      <c r="G721" s="12" t="s">
        <v>5158</v>
      </c>
      <c r="H721" s="12" t="s">
        <v>1155</v>
      </c>
      <c r="I721" s="12" t="b">
        <f>ISNUMBER(VALUE(LEFT(Customer[[#This Row],[Address Line 3 (30 char)]],1)))</f>
        <v>0</v>
      </c>
      <c r="J721" s="12" t="s">
        <v>1995</v>
      </c>
      <c r="K721" s="12">
        <v>81100</v>
      </c>
      <c r="L721" s="12" t="s">
        <v>35</v>
      </c>
      <c r="M721" s="13" t="e">
        <v>#N/A</v>
      </c>
      <c r="N721" s="14" t="e">
        <v>#N/A</v>
      </c>
      <c r="O721" s="14" t="e">
        <v>#N/A</v>
      </c>
      <c r="P721" s="14" t="e">
        <v>#N/A</v>
      </c>
      <c r="Q721" s="19" t="s">
        <v>856</v>
      </c>
      <c r="R721" s="15" t="s">
        <v>857</v>
      </c>
      <c r="S721" s="15" t="s">
        <v>37</v>
      </c>
      <c r="T721" s="16" t="s">
        <v>38</v>
      </c>
      <c r="U721" s="11" t="str">
        <f>_xlfn.XLOOKUP(Customer[[#This Row],[Customer ID]],[1]!Address[ID],[1]!Address[Phone No.(2)])</f>
        <v/>
      </c>
      <c r="V721" s="11" t="str">
        <f>_xlfn.XLOOKUP(Customer[[#This Row],[Customer ID]],[1]!Address[ID],[1]!Address[Type])</f>
        <v>PETROMART</v>
      </c>
      <c r="W721" s="11" t="str">
        <f>_xlfn.XLOOKUP(Customer[[#This Row],[Customer ID]],[1]!Address[ID],[1]!Address[CT])</f>
        <v>30 DAYS</v>
      </c>
      <c r="X721" s="11" t="s">
        <v>39</v>
      </c>
      <c r="Y721" s="17" t="s">
        <v>40</v>
      </c>
      <c r="Z721" s="17" t="e">
        <f>_xlfn.XLOOKUP(Customer[[#This Row],[NewType]],$AF$36:$AF$54,$AG$36:$AG$54)</f>
        <v>#N/A</v>
      </c>
      <c r="AA721" s="17" t="s">
        <v>5159</v>
      </c>
      <c r="AB721" s="11" t="str">
        <f>_xlfn.XLOOKUP(Customer[[#This Row],[Customer ID]],[1]!Address[ID],[1]!Address[Subtype])</f>
        <v>PETRONAS</v>
      </c>
      <c r="AC721" s="18" t="str">
        <f>_xlfn.XLOOKUP(Customer[[#This Row],[Customer ID]],[1]!Address[ID],[1]!Address[Zone])</f>
        <v>SOUTH</v>
      </c>
    </row>
    <row r="722" spans="1:29" x14ac:dyDescent="0.3">
      <c r="A722" s="10" t="s">
        <v>5160</v>
      </c>
      <c r="B722" s="11" t="str">
        <f>_xlfn.XLOOKUP(Customer[[#This Row],[Customer ID]],[1]!Name[ID],[1]!Name[Description(1)])</f>
        <v>AL HUDA MESRA PETROL</v>
      </c>
      <c r="C722" s="11" t="str">
        <f>_xlfn.XLOOKUP(Customer[[#This Row],[Customer ID]],[1]!Name[ID],[1]!Name[Description(2)])</f>
        <v>PS TAMAN DAYA, KEPONG</v>
      </c>
      <c r="D722" s="11" t="str">
        <f>_xlfn.XLOOKUP(Customer[[#This Row],[Customer ID]],[1]!Address[ID],[1]!Address[PIC])</f>
        <v/>
      </c>
      <c r="E722" s="11" t="str">
        <f>_xlfn.XLOOKUP(Customer[[#This Row],[Customer ID]],[1]!Address[ID],[1]!Address[Full Address])</f>
        <v>PS TAMAN DAYA, KEPONGLOT 39684, TAMAN DAYA, KEPONG, SELANGOR,52100, GOMBAK, SELANGOR</v>
      </c>
      <c r="F722" s="12" t="s">
        <v>5161</v>
      </c>
      <c r="G722" s="12" t="s">
        <v>5162</v>
      </c>
      <c r="H722" s="12" t="s">
        <v>875</v>
      </c>
      <c r="I722" s="12" t="b">
        <f>ISNUMBER(VALUE(LEFT(Customer[[#This Row],[Address Line 3 (30 char)]],1)))</f>
        <v>0</v>
      </c>
      <c r="J722" s="12" t="s">
        <v>172</v>
      </c>
      <c r="K722" s="12">
        <v>52100</v>
      </c>
      <c r="L722" s="12" t="s">
        <v>35</v>
      </c>
      <c r="M722" s="13" t="e">
        <v>#N/A</v>
      </c>
      <c r="N722" s="14" t="e">
        <v>#N/A</v>
      </c>
      <c r="O722" s="14" t="e">
        <v>#N/A</v>
      </c>
      <c r="P722" s="14" t="e">
        <v>#N/A</v>
      </c>
      <c r="Q722" s="19" t="s">
        <v>5163</v>
      </c>
      <c r="R722" s="15" t="s">
        <v>5164</v>
      </c>
      <c r="S722" s="15" t="s">
        <v>37</v>
      </c>
      <c r="T722" s="16" t="s">
        <v>38</v>
      </c>
      <c r="U722" s="11" t="str">
        <f>_xlfn.XLOOKUP(Customer[[#This Row],[Customer ID]],[1]!Address[ID],[1]!Address[Phone No.(2)])</f>
        <v/>
      </c>
      <c r="V722" s="11" t="str">
        <f>_xlfn.XLOOKUP(Customer[[#This Row],[Customer ID]],[1]!Address[ID],[1]!Address[Type])</f>
        <v>PETROMART</v>
      </c>
      <c r="W722" s="11" t="str">
        <f>_xlfn.XLOOKUP(Customer[[#This Row],[Customer ID]],[1]!Address[ID],[1]!Address[CT])</f>
        <v>30 DAYS</v>
      </c>
      <c r="X722" s="11" t="s">
        <v>39</v>
      </c>
      <c r="Y722" s="17" t="s">
        <v>40</v>
      </c>
      <c r="Z722" s="17" t="e">
        <f>_xlfn.XLOOKUP(Customer[[#This Row],[NewType]],$AF$36:$AF$54,$AG$36:$AG$54)</f>
        <v>#N/A</v>
      </c>
      <c r="AA722" s="17" t="s">
        <v>5165</v>
      </c>
      <c r="AB722" s="11" t="str">
        <f>_xlfn.XLOOKUP(Customer[[#This Row],[Customer ID]],[1]!Address[ID],[1]!Address[Subtype])</f>
        <v>PETRONAS</v>
      </c>
      <c r="AC722" s="18" t="str">
        <f>_xlfn.XLOOKUP(Customer[[#This Row],[Customer ID]],[1]!Address[ID],[1]!Address[Zone])</f>
        <v>CENTRAL</v>
      </c>
    </row>
    <row r="723" spans="1:29" x14ac:dyDescent="0.3">
      <c r="A723" s="10" t="s">
        <v>5166</v>
      </c>
      <c r="B723" s="11" t="str">
        <f>_xlfn.XLOOKUP(Customer[[#This Row],[Customer ID]],[1]!Name[ID],[1]!Name[Description(1)])</f>
        <v>RADEN EMBUN SDN BHD (1391838-M)</v>
      </c>
      <c r="C723" s="11" t="str">
        <f>_xlfn.XLOOKUP(Customer[[#This Row],[Customer ID]],[1]!Name[ID],[1]!Name[Description(2)])</f>
        <v>DAMANSARA DAMAI</v>
      </c>
      <c r="D723" s="11" t="str">
        <f>_xlfn.XLOOKUP(Customer[[#This Row],[Customer ID]],[1]!Address[ID],[1]!Address[PIC])</f>
        <v/>
      </c>
      <c r="E723" s="11" t="str">
        <f>_xlfn.XLOOKUP(Customer[[#This Row],[Customer ID]],[1]!Address[ID],[1]!Address[Full Address])</f>
        <v>B-01-19 ONE DAMANSARA CONDO,JALAN PJU 10/3C DAMANSARA DAMAI 47830PETALING JAYA, SELANGOR</v>
      </c>
      <c r="F723" s="12" t="s">
        <v>5167</v>
      </c>
      <c r="G723" s="12" t="s">
        <v>5168</v>
      </c>
      <c r="H723" s="12" t="s">
        <v>5169</v>
      </c>
      <c r="I723" s="12" t="b">
        <f>ISNUMBER(VALUE(LEFT(Customer[[#This Row],[Address Line 3 (30 char)]],1)))</f>
        <v>0</v>
      </c>
      <c r="J723" s="12" t="s">
        <v>172</v>
      </c>
      <c r="K723" s="12">
        <v>47830</v>
      </c>
      <c r="L723" s="12" t="s">
        <v>35</v>
      </c>
      <c r="M723" s="13" t="e">
        <v>#N/A</v>
      </c>
      <c r="N723" s="14" t="e">
        <v>#N/A</v>
      </c>
      <c r="O723" s="14" t="e">
        <v>#N/A</v>
      </c>
      <c r="P723" s="14" t="e">
        <v>#N/A</v>
      </c>
      <c r="Q723" s="19" t="s">
        <v>5170</v>
      </c>
      <c r="R723" s="15" t="s">
        <v>5171</v>
      </c>
      <c r="S723" s="15" t="s">
        <v>3212</v>
      </c>
      <c r="T723" s="16" t="s">
        <v>89</v>
      </c>
      <c r="U723" s="11" t="str">
        <f>_xlfn.XLOOKUP(Customer[[#This Row],[Customer ID]],[1]!Address[ID],[1]!Address[Phone No.(2)])</f>
        <v/>
      </c>
      <c r="V723" s="11" t="str">
        <f>_xlfn.XLOOKUP(Customer[[#This Row],[Customer ID]],[1]!Address[ID],[1]!Address[Type])</f>
        <v>SOCMED</v>
      </c>
      <c r="W723" s="11" t="str">
        <f>_xlfn.XLOOKUP(Customer[[#This Row],[Customer ID]],[1]!Address[ID],[1]!Address[CT])</f>
        <v/>
      </c>
      <c r="X723" s="11"/>
      <c r="Y723" s="17" t="s">
        <v>90</v>
      </c>
      <c r="Z723" s="17" t="e">
        <f>_xlfn.XLOOKUP(Customer[[#This Row],[NewType]],$AF$36:$AF$54,$AG$36:$AG$54)</f>
        <v>#N/A</v>
      </c>
      <c r="AA723" s="17" t="s">
        <v>5172</v>
      </c>
      <c r="AB723" s="11" t="str">
        <f>_xlfn.XLOOKUP(Customer[[#This Row],[Customer ID]],[1]!Address[ID],[1]!Address[Subtype])</f>
        <v>ONLINE HAJAR</v>
      </c>
      <c r="AC723" s="18" t="str">
        <f>_xlfn.XLOOKUP(Customer[[#This Row],[Customer ID]],[1]!Address[ID],[1]!Address[Zone])</f>
        <v>AMANSARAAULANH</v>
      </c>
    </row>
    <row r="724" spans="1:29" x14ac:dyDescent="0.3">
      <c r="A724" s="10" t="s">
        <v>5173</v>
      </c>
      <c r="B724" s="11" t="str">
        <f>_xlfn.XLOOKUP(Customer[[#This Row],[Customer ID]],[1]!Name[ID],[1]!Name[Description(1)])</f>
        <v>MA RIZQ ENTERPRISE</v>
      </c>
      <c r="C724" s="11" t="str">
        <f>_xlfn.XLOOKUP(Customer[[#This Row],[Customer ID]],[1]!Name[ID],[1]!Name[Description(2)])</f>
        <v>PS TAMAN DESA CEMERLANG</v>
      </c>
      <c r="D724" s="11" t="str">
        <f>_xlfn.XLOOKUP(Customer[[#This Row],[Customer ID]],[1]!Address[ID],[1]!Address[PIC])</f>
        <v/>
      </c>
      <c r="E724" s="11" t="str">
        <f>_xlfn.XLOOKUP(Customer[[#This Row],[Customer ID]],[1]!Address[ID],[1]!Address[Full Address])</f>
        <v>PS TAMAN DESA CEMERLANGSTESEN PETRONAS TAMAN DESA CEMERLANG,LOT 84376, TAMAN DESA CEMERLANG, JALANKOTA TINGGI, 81800 ULU TIRAM, JOHOR.</v>
      </c>
      <c r="F724" s="12" t="s">
        <v>5174</v>
      </c>
      <c r="G724" s="12" t="s">
        <v>5175</v>
      </c>
      <c r="H724" s="12" t="s">
        <v>5176</v>
      </c>
      <c r="I724" s="12" t="b">
        <f>ISNUMBER(VALUE(LEFT(Customer[[#This Row],[Address Line 3 (30 char)]],1)))</f>
        <v>0</v>
      </c>
      <c r="J724" s="12" t="s">
        <v>1995</v>
      </c>
      <c r="K724" s="12">
        <v>81800</v>
      </c>
      <c r="L724" s="12" t="s">
        <v>35</v>
      </c>
      <c r="M724" s="13">
        <v>202003370288</v>
      </c>
      <c r="N724" s="14" t="s">
        <v>5177</v>
      </c>
      <c r="O724" s="14" t="e">
        <v>#N/A</v>
      </c>
      <c r="P724" s="14" t="e">
        <v>#N/A</v>
      </c>
      <c r="Q724" s="19" t="s">
        <v>1521</v>
      </c>
      <c r="R724" s="15" t="s">
        <v>5178</v>
      </c>
      <c r="S724" s="15" t="s">
        <v>37</v>
      </c>
      <c r="T724" s="16" t="s">
        <v>38</v>
      </c>
      <c r="U724" s="11" t="str">
        <f>_xlfn.XLOOKUP(Customer[[#This Row],[Customer ID]],[1]!Address[ID],[1]!Address[Phone No.(2)])</f>
        <v/>
      </c>
      <c r="V724" s="11" t="str">
        <f>_xlfn.XLOOKUP(Customer[[#This Row],[Customer ID]],[1]!Address[ID],[1]!Address[Type])</f>
        <v>PETROMART</v>
      </c>
      <c r="W724" s="11" t="str">
        <f>_xlfn.XLOOKUP(Customer[[#This Row],[Customer ID]],[1]!Address[ID],[1]!Address[CT])</f>
        <v>30 DAYS</v>
      </c>
      <c r="X724" s="11" t="s">
        <v>39</v>
      </c>
      <c r="Y724" s="17" t="s">
        <v>40</v>
      </c>
      <c r="Z724" s="17" t="e">
        <f>_xlfn.XLOOKUP(Customer[[#This Row],[NewType]],$AF$36:$AF$54,$AG$36:$AG$54)</f>
        <v>#N/A</v>
      </c>
      <c r="AA724" s="17" t="s">
        <v>5179</v>
      </c>
      <c r="AB724" s="11" t="str">
        <f>_xlfn.XLOOKUP(Customer[[#This Row],[Customer ID]],[1]!Address[ID],[1]!Address[Subtype])</f>
        <v>PETRONAS</v>
      </c>
      <c r="AC724" s="18" t="str">
        <f>_xlfn.XLOOKUP(Customer[[#This Row],[Customer ID]],[1]!Address[ID],[1]!Address[Zone])</f>
        <v>SOUTH</v>
      </c>
    </row>
    <row r="725" spans="1:29" x14ac:dyDescent="0.3">
      <c r="A725" s="10" t="s">
        <v>5180</v>
      </c>
      <c r="B725" s="11" t="str">
        <f>_xlfn.XLOOKUP(Customer[[#This Row],[Customer ID]],[1]!Name[ID],[1]!Name[Description(1)])</f>
        <v>PERNIAGAAN WARLIFF</v>
      </c>
      <c r="C725" s="11" t="str">
        <f>_xlfn.XLOOKUP(Customer[[#This Row],[Customer ID]],[1]!Name[ID],[1]!Name[Description(2)])</f>
        <v>PS TAMAN DESA DAMAI</v>
      </c>
      <c r="D725" s="11" t="str">
        <f>_xlfn.XLOOKUP(Customer[[#This Row],[Customer ID]],[1]!Address[ID],[1]!Address[PIC])</f>
        <v/>
      </c>
      <c r="E725" s="11" t="str">
        <f>_xlfn.XLOOKUP(Customer[[#This Row],[Customer ID]],[1]!Address[ID],[1]!Address[Full Address])</f>
        <v>PS TAMAN DESA DAMAILOT 2360, TAMAN DESA DAMAI, BUKIT   H,MERTAJAM, 14000, SEBERANG PERAI TENGAH,PULAU PINANG</v>
      </c>
      <c r="F725" s="12" t="s">
        <v>5181</v>
      </c>
      <c r="G725" s="12" t="s">
        <v>5182</v>
      </c>
      <c r="H725" s="12" t="s">
        <v>1400</v>
      </c>
      <c r="I725" s="12" t="b">
        <f>ISNUMBER(VALUE(LEFT(Customer[[#This Row],[Address Line 3 (30 char)]],1)))</f>
        <v>0</v>
      </c>
      <c r="J725" s="12" t="s">
        <v>179</v>
      </c>
      <c r="K725" s="12">
        <v>14000</v>
      </c>
      <c r="L725" s="12" t="s">
        <v>35</v>
      </c>
      <c r="M725" s="13">
        <v>199501003654</v>
      </c>
      <c r="N725" s="14" t="s">
        <v>5183</v>
      </c>
      <c r="O725" s="14" t="e">
        <v>#N/A</v>
      </c>
      <c r="P725" s="14" t="e">
        <v>#N/A</v>
      </c>
      <c r="Q725" s="19" t="s">
        <v>5184</v>
      </c>
      <c r="R725" s="15" t="s">
        <v>5185</v>
      </c>
      <c r="S725" s="15" t="s">
        <v>74</v>
      </c>
      <c r="T725" s="16" t="s">
        <v>38</v>
      </c>
      <c r="U725" s="11" t="str">
        <f>_xlfn.XLOOKUP(Customer[[#This Row],[Customer ID]],[1]!Address[ID],[1]!Address[Phone No.(2)])</f>
        <v/>
      </c>
      <c r="V725" s="11" t="str">
        <f>_xlfn.XLOOKUP(Customer[[#This Row],[Customer ID]],[1]!Address[ID],[1]!Address[Type])</f>
        <v>PETROMART</v>
      </c>
      <c r="W725" s="11" t="str">
        <f>_xlfn.XLOOKUP(Customer[[#This Row],[Customer ID]],[1]!Address[ID],[1]!Address[CT])</f>
        <v>30 DAYS</v>
      </c>
      <c r="X725" s="11" t="s">
        <v>39</v>
      </c>
      <c r="Y725" s="17" t="s">
        <v>40</v>
      </c>
      <c r="Z725" s="17" t="e">
        <f>_xlfn.XLOOKUP(Customer[[#This Row],[NewType]],$AF$36:$AF$54,$AG$36:$AG$54)</f>
        <v>#N/A</v>
      </c>
      <c r="AA725" s="17" t="s">
        <v>5186</v>
      </c>
      <c r="AB725" s="11" t="str">
        <f>_xlfn.XLOOKUP(Customer[[#This Row],[Customer ID]],[1]!Address[ID],[1]!Address[Subtype])</f>
        <v>PETRONAS</v>
      </c>
      <c r="AC725" s="18" t="str">
        <f>_xlfn.XLOOKUP(Customer[[#This Row],[Customer ID]],[1]!Address[ID],[1]!Address[Zone])</f>
        <v>NORTH</v>
      </c>
    </row>
    <row r="726" spans="1:29" x14ac:dyDescent="0.3">
      <c r="A726" s="10" t="s">
        <v>5187</v>
      </c>
      <c r="B726" s="11" t="str">
        <f>_xlfn.XLOOKUP(Customer[[#This Row],[Customer ID]],[1]!Name[ID],[1]!Name[Description(1)])</f>
        <v>IPTB DAGANG SDN BHD</v>
      </c>
      <c r="C726" s="11" t="str">
        <f>_xlfn.XLOOKUP(Customer[[#This Row],[Customer ID]],[1]!Name[ID],[1]!Name[Description(2)])</f>
        <v>PS TAMAN DESA JAYA</v>
      </c>
      <c r="D726" s="11" t="str">
        <f>_xlfn.XLOOKUP(Customer[[#This Row],[Customer ID]],[1]!Address[ID],[1]!Address[PIC])</f>
        <v/>
      </c>
      <c r="E726" s="11" t="str">
        <f>_xlfn.XLOOKUP(Customer[[#This Row],[Customer ID]],[1]!Address[ID],[1]!Address[Full Address])</f>
        <v>PS TAMAN DESA JAYALOT 69921, TAMAN DESA JAYA, JOHOR, 81100JOHOR BAHRU, JOHOR</v>
      </c>
      <c r="F726" s="12" t="s">
        <v>5188</v>
      </c>
      <c r="G726" s="12" t="s">
        <v>5189</v>
      </c>
      <c r="H726" s="12" t="s">
        <v>1155</v>
      </c>
      <c r="I726" s="12" t="b">
        <f>ISNUMBER(VALUE(LEFT(Customer[[#This Row],[Address Line 3 (30 char)]],1)))</f>
        <v>0</v>
      </c>
      <c r="J726" s="12" t="s">
        <v>1995</v>
      </c>
      <c r="K726" s="12">
        <v>81100</v>
      </c>
      <c r="L726" s="12" t="s">
        <v>35</v>
      </c>
      <c r="M726" s="13">
        <v>201001033771</v>
      </c>
      <c r="N726" s="14" t="s">
        <v>5190</v>
      </c>
      <c r="O726" s="14" t="e">
        <v>#N/A</v>
      </c>
      <c r="P726" s="14" t="e">
        <v>#N/A</v>
      </c>
      <c r="Q726" s="19" t="s">
        <v>5191</v>
      </c>
      <c r="R726" s="15" t="s">
        <v>5192</v>
      </c>
      <c r="S726" s="15" t="s">
        <v>37</v>
      </c>
      <c r="T726" s="16" t="s">
        <v>38</v>
      </c>
      <c r="U726" s="11" t="str">
        <f>_xlfn.XLOOKUP(Customer[[#This Row],[Customer ID]],[1]!Address[ID],[1]!Address[Phone No.(2)])</f>
        <v/>
      </c>
      <c r="V726" s="11" t="str">
        <f>_xlfn.XLOOKUP(Customer[[#This Row],[Customer ID]],[1]!Address[ID],[1]!Address[Type])</f>
        <v>PETROMART</v>
      </c>
      <c r="W726" s="11" t="str">
        <f>_xlfn.XLOOKUP(Customer[[#This Row],[Customer ID]],[1]!Address[ID],[1]!Address[CT])</f>
        <v>30 DAYS</v>
      </c>
      <c r="X726" s="11" t="s">
        <v>39</v>
      </c>
      <c r="Y726" s="17" t="s">
        <v>40</v>
      </c>
      <c r="Z726" s="17" t="e">
        <f>_xlfn.XLOOKUP(Customer[[#This Row],[NewType]],$AF$36:$AF$54,$AG$36:$AG$54)</f>
        <v>#N/A</v>
      </c>
      <c r="AA726" s="17" t="s">
        <v>5193</v>
      </c>
      <c r="AB726" s="11" t="str">
        <f>_xlfn.XLOOKUP(Customer[[#This Row],[Customer ID]],[1]!Address[ID],[1]!Address[Subtype])</f>
        <v>PETRONAS</v>
      </c>
      <c r="AC726" s="18" t="str">
        <f>_xlfn.XLOOKUP(Customer[[#This Row],[Customer ID]],[1]!Address[ID],[1]!Address[Zone])</f>
        <v>SOUTH</v>
      </c>
    </row>
    <row r="727" spans="1:29" x14ac:dyDescent="0.3">
      <c r="A727" s="10" t="s">
        <v>5194</v>
      </c>
      <c r="B727" s="11" t="str">
        <f>_xlfn.XLOOKUP(Customer[[#This Row],[Customer ID]],[1]!Name[ID],[1]!Name[Description(1)])</f>
        <v>D ZAINAH ENTERPRISE</v>
      </c>
      <c r="C727" s="11" t="str">
        <f>_xlfn.XLOOKUP(Customer[[#This Row],[Customer ID]],[1]!Name[ID],[1]!Name[Description(2)])</f>
        <v>PS TAMAN DESA KLUANG</v>
      </c>
      <c r="D727" s="11" t="str">
        <f>_xlfn.XLOOKUP(Customer[[#This Row],[Customer ID]],[1]!Address[ID],[1]!Address[PIC])</f>
        <v/>
      </c>
      <c r="E727" s="11" t="str">
        <f>_xlfn.XLOOKUP(Customer[[#This Row],[Customer ID]],[1]!Address[ID],[1]!Address[Full Address])</f>
        <v>PS TAMAN DESA KLUANGLOT 37211, TAMAN DESA, JALAN BATU PAHAT,KLUANG, JOHOR, 86000, KLUANG, JOHOR</v>
      </c>
      <c r="F727" s="12" t="s">
        <v>5195</v>
      </c>
      <c r="G727" s="12" t="s">
        <v>5196</v>
      </c>
      <c r="H727" s="12" t="s">
        <v>5197</v>
      </c>
      <c r="I727" s="12" t="b">
        <f>ISNUMBER(VALUE(LEFT(Customer[[#This Row],[Address Line 3 (30 char)]],1)))</f>
        <v>0</v>
      </c>
      <c r="J727" s="12" t="s">
        <v>1995</v>
      </c>
      <c r="K727" s="12">
        <v>86000</v>
      </c>
      <c r="L727" s="12" t="s">
        <v>35</v>
      </c>
      <c r="M727" s="13">
        <v>201403330166</v>
      </c>
      <c r="N727" s="14" t="s">
        <v>5198</v>
      </c>
      <c r="O727" s="14" t="e">
        <v>#N/A</v>
      </c>
      <c r="P727" s="14" t="e">
        <v>#N/A</v>
      </c>
      <c r="Q727" s="19" t="s">
        <v>5199</v>
      </c>
      <c r="R727" s="15" t="s">
        <v>5200</v>
      </c>
      <c r="S727" s="15" t="s">
        <v>37</v>
      </c>
      <c r="T727" s="16" t="s">
        <v>38</v>
      </c>
      <c r="U727" s="11" t="str">
        <f>_xlfn.XLOOKUP(Customer[[#This Row],[Customer ID]],[1]!Address[ID],[1]!Address[Phone No.(2)])</f>
        <v/>
      </c>
      <c r="V727" s="11" t="str">
        <f>_xlfn.XLOOKUP(Customer[[#This Row],[Customer ID]],[1]!Address[ID],[1]!Address[Type])</f>
        <v>PETROMART</v>
      </c>
      <c r="W727" s="11" t="str">
        <f>_xlfn.XLOOKUP(Customer[[#This Row],[Customer ID]],[1]!Address[ID],[1]!Address[CT])</f>
        <v>30 DAYS</v>
      </c>
      <c r="X727" s="11" t="s">
        <v>39</v>
      </c>
      <c r="Y727" s="17" t="s">
        <v>40</v>
      </c>
      <c r="Z727" s="17" t="e">
        <f>_xlfn.XLOOKUP(Customer[[#This Row],[NewType]],$AF$36:$AF$54,$AG$36:$AG$54)</f>
        <v>#N/A</v>
      </c>
      <c r="AA727" s="17" t="s">
        <v>5201</v>
      </c>
      <c r="AB727" s="11" t="str">
        <f>_xlfn.XLOOKUP(Customer[[#This Row],[Customer ID]],[1]!Address[ID],[1]!Address[Subtype])</f>
        <v>PETRONAS</v>
      </c>
      <c r="AC727" s="18" t="str">
        <f>_xlfn.XLOOKUP(Customer[[#This Row],[Customer ID]],[1]!Address[ID],[1]!Address[Zone])</f>
        <v>SOUTH</v>
      </c>
    </row>
    <row r="728" spans="1:29" x14ac:dyDescent="0.3">
      <c r="A728" s="10" t="s">
        <v>5202</v>
      </c>
      <c r="B728" s="11" t="str">
        <f>_xlfn.XLOOKUP(Customer[[#This Row],[Customer ID]],[1]!Name[ID],[1]!Name[Description(1)])</f>
        <v>MNK RAUDHAH TEBRAU</v>
      </c>
      <c r="C728" s="11" t="str">
        <f>_xlfn.XLOOKUP(Customer[[#This Row],[Customer ID]],[1]!Name[ID],[1]!Name[Description(2)])</f>
        <v>PS TAMAN DESA TEBRAU</v>
      </c>
      <c r="D728" s="11" t="str">
        <f>_xlfn.XLOOKUP(Customer[[#This Row],[Customer ID]],[1]!Address[ID],[1]!Address[PIC])</f>
        <v/>
      </c>
      <c r="E728" s="11" t="str">
        <f>_xlfn.XLOOKUP(Customer[[#This Row],[Customer ID]],[1]!Address[ID],[1]!Address[Full Address])</f>
        <v>PS TAMAN DESA TEBRAULOT PTD 93016 HSD 329339, MUKIM TEBRAU,TAMAN DESA TEBRAU, JOHOR, 81100,JOHOR BAHRU, JOHOR</v>
      </c>
      <c r="F728" s="12" t="s">
        <v>5203</v>
      </c>
      <c r="G728" s="12" t="s">
        <v>5204</v>
      </c>
      <c r="H728" s="12" t="s">
        <v>5205</v>
      </c>
      <c r="I728" s="12" t="b">
        <f>ISNUMBER(VALUE(LEFT(Customer[[#This Row],[Address Line 3 (30 char)]],1)))</f>
        <v>0</v>
      </c>
      <c r="J728" s="12" t="s">
        <v>1995</v>
      </c>
      <c r="K728" s="12">
        <v>81100</v>
      </c>
      <c r="L728" s="12" t="s">
        <v>35</v>
      </c>
      <c r="M728" s="13" t="e">
        <v>#N/A</v>
      </c>
      <c r="N728" s="14" t="e">
        <v>#N/A</v>
      </c>
      <c r="O728" s="14" t="e">
        <v>#N/A</v>
      </c>
      <c r="P728" s="14" t="e">
        <v>#N/A</v>
      </c>
      <c r="Q728" s="19" t="s">
        <v>5206</v>
      </c>
      <c r="R728" s="15" t="s">
        <v>5207</v>
      </c>
      <c r="S728" s="15" t="s">
        <v>37</v>
      </c>
      <c r="T728" s="16" t="s">
        <v>38</v>
      </c>
      <c r="U728" s="11" t="str">
        <f>_xlfn.XLOOKUP(Customer[[#This Row],[Customer ID]],[1]!Address[ID],[1]!Address[Phone No.(2)])</f>
        <v/>
      </c>
      <c r="V728" s="11" t="str">
        <f>_xlfn.XLOOKUP(Customer[[#This Row],[Customer ID]],[1]!Address[ID],[1]!Address[Type])</f>
        <v>PETROMART</v>
      </c>
      <c r="W728" s="11" t="str">
        <f>_xlfn.XLOOKUP(Customer[[#This Row],[Customer ID]],[1]!Address[ID],[1]!Address[CT])</f>
        <v>30 DAYS</v>
      </c>
      <c r="X728" s="11" t="s">
        <v>39</v>
      </c>
      <c r="Y728" s="17" t="s">
        <v>40</v>
      </c>
      <c r="Z728" s="17" t="e">
        <f>_xlfn.XLOOKUP(Customer[[#This Row],[NewType]],$AF$36:$AF$54,$AG$36:$AG$54)</f>
        <v>#N/A</v>
      </c>
      <c r="AA728" s="17" t="s">
        <v>5208</v>
      </c>
      <c r="AB728" s="11" t="str">
        <f>_xlfn.XLOOKUP(Customer[[#This Row],[Customer ID]],[1]!Address[ID],[1]!Address[Subtype])</f>
        <v>PETRONAS</v>
      </c>
      <c r="AC728" s="18" t="str">
        <f>_xlfn.XLOOKUP(Customer[[#This Row],[Customer ID]],[1]!Address[ID],[1]!Address[Zone])</f>
        <v>SOUTH</v>
      </c>
    </row>
    <row r="729" spans="1:29" x14ac:dyDescent="0.3">
      <c r="A729" s="27" t="s">
        <v>5209</v>
      </c>
      <c r="B729" s="28" t="str">
        <f>_xlfn.XLOOKUP(Customer[[#This Row],[Customer ID]],[1]!Name[ID],[1]!Name[Description(1)])</f>
        <v>POTNAS MAJU ENTERPRISE</v>
      </c>
      <c r="C729" s="11" t="str">
        <f>_xlfn.XLOOKUP(Customer[[#This Row],[Customer ID]],[1]!Name[ID],[1]!Name[Description(2)])</f>
        <v>PS TAMAN GASING INDAH, PJ</v>
      </c>
      <c r="D729" s="11" t="str">
        <f>_xlfn.XLOOKUP(Customer[[#This Row],[Customer ID]],[1]!Address[ID],[1]!Address[PIC])</f>
        <v/>
      </c>
      <c r="E729" s="11" t="str">
        <f>_xlfn.XLOOKUP(Customer[[#This Row],[Customer ID]],[1]!Address[ID],[1]!Address[Full Address])</f>
        <v>PS TAMAN GASING INDAH, PJLOT PT 13173 JALAN 5/46 TAMAN GASING INDPETALING JAYA, 46000, PETALING, SELANGOR</v>
      </c>
      <c r="F729" s="12" t="s">
        <v>5210</v>
      </c>
      <c r="G729" s="12" t="s">
        <v>5211</v>
      </c>
      <c r="H729" s="12" t="s">
        <v>5212</v>
      </c>
      <c r="I729" s="12" t="b">
        <f>ISNUMBER(VALUE(LEFT(Customer[[#This Row],[Address Line 3 (30 char)]],1)))</f>
        <v>0</v>
      </c>
      <c r="J729" s="12" t="s">
        <v>1907</v>
      </c>
      <c r="K729" s="12">
        <v>46000</v>
      </c>
      <c r="L729" s="12" t="s">
        <v>35</v>
      </c>
      <c r="M729" s="13">
        <v>201303223931</v>
      </c>
      <c r="N729" s="14" t="e">
        <v>#N/A</v>
      </c>
      <c r="O729" s="14" t="e">
        <v>#N/A</v>
      </c>
      <c r="P729" s="14" t="e">
        <v>#N/A</v>
      </c>
      <c r="Q729" s="19" t="s">
        <v>5213</v>
      </c>
      <c r="R729" s="15" t="s">
        <v>5214</v>
      </c>
      <c r="S729" s="15" t="s">
        <v>37</v>
      </c>
      <c r="T729" s="16" t="s">
        <v>38</v>
      </c>
      <c r="U729" s="11" t="str">
        <f>_xlfn.XLOOKUP(Customer[[#This Row],[Customer ID]],[1]!Address[ID],[1]!Address[Phone No.(2)])</f>
        <v/>
      </c>
      <c r="V729" s="11" t="str">
        <f>_xlfn.XLOOKUP(Customer[[#This Row],[Customer ID]],[1]!Address[ID],[1]!Address[Type])</f>
        <v>PETROMART</v>
      </c>
      <c r="W729" s="11" t="str">
        <f>_xlfn.XLOOKUP(Customer[[#This Row],[Customer ID]],[1]!Address[ID],[1]!Address[CT])</f>
        <v>30 DAYS</v>
      </c>
      <c r="X729" s="11" t="s">
        <v>39</v>
      </c>
      <c r="Y729" s="17" t="s">
        <v>40</v>
      </c>
      <c r="Z729" s="17" t="e">
        <f>_xlfn.XLOOKUP(Customer[[#This Row],[NewType]],$AF$36:$AF$54,$AG$36:$AG$54)</f>
        <v>#N/A</v>
      </c>
      <c r="AA729" s="17" t="s">
        <v>5215</v>
      </c>
      <c r="AB729" s="11" t="str">
        <f>_xlfn.XLOOKUP(Customer[[#This Row],[Customer ID]],[1]!Address[ID],[1]!Address[Subtype])</f>
        <v>PETRONAS</v>
      </c>
      <c r="AC729" s="18" t="str">
        <f>_xlfn.XLOOKUP(Customer[[#This Row],[Customer ID]],[1]!Address[ID],[1]!Address[Zone])</f>
        <v>CENTRAL</v>
      </c>
    </row>
    <row r="730" spans="1:29" x14ac:dyDescent="0.3">
      <c r="A730" s="10" t="s">
        <v>5216</v>
      </c>
      <c r="B730" s="11" t="str">
        <f>_xlfn.XLOOKUP(Customer[[#This Row],[Customer ID]],[1]!Name[ID],[1]!Name[Description(1)])</f>
        <v>AT TAWHID STATION</v>
      </c>
      <c r="C730" s="11" t="str">
        <f>_xlfn.XLOOKUP(Customer[[#This Row],[Customer ID]],[1]!Name[ID],[1]!Name[Description(2)])</f>
        <v>PS GUCHIL JAYA, KUALA KRAI</v>
      </c>
      <c r="D730" s="11" t="str">
        <f>_xlfn.XLOOKUP(Customer[[#This Row],[Customer ID]],[1]!Address[ID],[1]!Address[PIC])</f>
        <v/>
      </c>
      <c r="E730" s="11" t="str">
        <f>_xlfn.XLOOKUP(Customer[[#This Row],[Customer ID]],[1]!Address[ID],[1]!Address[Full Address])</f>
        <v>PS GUCHIL JAYA, KUALA KRAILOT 2781, TAMAN GUCHIL JAYA, KUALA KRAI-GUA MUSANG HIGHWAY, KUALA KRAI,KELANTAN, 18300, KUALA KRAI, KELANTAN</v>
      </c>
      <c r="F730" s="12" t="s">
        <v>5217</v>
      </c>
      <c r="G730" s="12" t="s">
        <v>5218</v>
      </c>
      <c r="H730" s="12" t="s">
        <v>5219</v>
      </c>
      <c r="I730" s="12" t="b">
        <f>ISNUMBER(VALUE(LEFT(Customer[[#This Row],[Address Line 3 (30 char)]],1)))</f>
        <v>0</v>
      </c>
      <c r="J730" s="12" t="s">
        <v>1007</v>
      </c>
      <c r="K730" s="12">
        <v>18300</v>
      </c>
      <c r="L730" s="12" t="s">
        <v>35</v>
      </c>
      <c r="M730" s="13" t="e">
        <v>#N/A</v>
      </c>
      <c r="N730" s="14" t="e">
        <v>#N/A</v>
      </c>
      <c r="O730" s="14" t="e">
        <v>#N/A</v>
      </c>
      <c r="P730" s="14" t="e">
        <v>#N/A</v>
      </c>
      <c r="Q730" s="19" t="s">
        <v>5220</v>
      </c>
      <c r="R730" s="15" t="s">
        <v>5221</v>
      </c>
      <c r="S730" s="15" t="s">
        <v>37</v>
      </c>
      <c r="T730" s="16" t="s">
        <v>38</v>
      </c>
      <c r="U730" s="11" t="str">
        <f>_xlfn.XLOOKUP(Customer[[#This Row],[Customer ID]],[1]!Address[ID],[1]!Address[Phone No.(2)])</f>
        <v/>
      </c>
      <c r="V730" s="11" t="str">
        <f>_xlfn.XLOOKUP(Customer[[#This Row],[Customer ID]],[1]!Address[ID],[1]!Address[Type])</f>
        <v>PETROMART</v>
      </c>
      <c r="W730" s="11" t="str">
        <f>_xlfn.XLOOKUP(Customer[[#This Row],[Customer ID]],[1]!Address[ID],[1]!Address[CT])</f>
        <v>30 DAYS</v>
      </c>
      <c r="X730" s="11" t="s">
        <v>39</v>
      </c>
      <c r="Y730" s="17" t="s">
        <v>40</v>
      </c>
      <c r="Z730" s="17" t="e">
        <f>_xlfn.XLOOKUP(Customer[[#This Row],[NewType]],$AF$36:$AF$54,$AG$36:$AG$54)</f>
        <v>#N/A</v>
      </c>
      <c r="AA730" s="17" t="s">
        <v>5222</v>
      </c>
      <c r="AB730" s="11" t="str">
        <f>_xlfn.XLOOKUP(Customer[[#This Row],[Customer ID]],[1]!Address[ID],[1]!Address[Subtype])</f>
        <v>PETRONAS</v>
      </c>
      <c r="AC730" s="18" t="str">
        <f>_xlfn.XLOOKUP(Customer[[#This Row],[Customer ID]],[1]!Address[ID],[1]!Address[Zone])</f>
        <v>EAST COAST</v>
      </c>
    </row>
    <row r="731" spans="1:29" x14ac:dyDescent="0.3">
      <c r="A731" s="10" t="s">
        <v>5223</v>
      </c>
      <c r="B731" s="11" t="str">
        <f>_xlfn.XLOOKUP(Customer[[#This Row],[Customer ID]],[1]!Name[ID],[1]!Name[Description(1)])</f>
        <v>SYNERGY IDEAL STATION</v>
      </c>
      <c r="C731" s="11" t="str">
        <f>_xlfn.XLOOKUP(Customer[[#This Row],[Customer ID]],[1]!Name[ID],[1]!Name[Description(2)])</f>
        <v>PS TAMAN IMPIAN EMAS</v>
      </c>
      <c r="D731" s="11" t="str">
        <f>_xlfn.XLOOKUP(Customer[[#This Row],[Customer ID]],[1]!Address[ID],[1]!Address[PIC])</f>
        <v/>
      </c>
      <c r="E731" s="11" t="str">
        <f>_xlfn.XLOOKUP(Customer[[#This Row],[Customer ID]],[1]!Address[ID],[1]!Address[Full Address])</f>
        <v>PS TAMAN IMPIAN EMASLOT PTD 107116, JALAN IMPIAN EMAS 8, TAMIMPIAN EMAS, JOHOR, 80100, JOHOR BAHRU,JOHOR</v>
      </c>
      <c r="F731" s="12" t="s">
        <v>5224</v>
      </c>
      <c r="G731" s="12" t="s">
        <v>5225</v>
      </c>
      <c r="H731" s="12" t="s">
        <v>5226</v>
      </c>
      <c r="I731" s="12" t="b">
        <f>ISNUMBER(VALUE(LEFT(Customer[[#This Row],[Address Line 3 (30 char)]],1)))</f>
        <v>0</v>
      </c>
      <c r="J731" s="12" t="s">
        <v>1995</v>
      </c>
      <c r="K731" s="12">
        <v>80100</v>
      </c>
      <c r="L731" s="12" t="s">
        <v>35</v>
      </c>
      <c r="M731" s="13" t="e">
        <v>#N/A</v>
      </c>
      <c r="N731" s="14" t="e">
        <v>#N/A</v>
      </c>
      <c r="O731" s="14" t="e">
        <v>#N/A</v>
      </c>
      <c r="P731" s="14" t="e">
        <v>#N/A</v>
      </c>
      <c r="Q731" s="19" t="s">
        <v>5227</v>
      </c>
      <c r="R731" s="15" t="s">
        <v>5228</v>
      </c>
      <c r="S731" s="15" t="s">
        <v>37</v>
      </c>
      <c r="T731" s="16" t="s">
        <v>38</v>
      </c>
      <c r="U731" s="11" t="str">
        <f>_xlfn.XLOOKUP(Customer[[#This Row],[Customer ID]],[1]!Address[ID],[1]!Address[Phone No.(2)])</f>
        <v/>
      </c>
      <c r="V731" s="11" t="str">
        <f>_xlfn.XLOOKUP(Customer[[#This Row],[Customer ID]],[1]!Address[ID],[1]!Address[Type])</f>
        <v>PETROMART</v>
      </c>
      <c r="W731" s="11" t="str">
        <f>_xlfn.XLOOKUP(Customer[[#This Row],[Customer ID]],[1]!Address[ID],[1]!Address[CT])</f>
        <v>30 DAYS</v>
      </c>
      <c r="X731" s="11" t="s">
        <v>39</v>
      </c>
      <c r="Y731" s="17" t="s">
        <v>40</v>
      </c>
      <c r="Z731" s="17" t="e">
        <f>_xlfn.XLOOKUP(Customer[[#This Row],[NewType]],$AF$36:$AF$54,$AG$36:$AG$54)</f>
        <v>#N/A</v>
      </c>
      <c r="AA731" s="17" t="s">
        <v>5229</v>
      </c>
      <c r="AB731" s="11" t="str">
        <f>_xlfn.XLOOKUP(Customer[[#This Row],[Customer ID]],[1]!Address[ID],[1]!Address[Subtype])</f>
        <v>PETRONAS</v>
      </c>
      <c r="AC731" s="18" t="str">
        <f>_xlfn.XLOOKUP(Customer[[#This Row],[Customer ID]],[1]!Address[ID],[1]!Address[Zone])</f>
        <v>SOUTH</v>
      </c>
    </row>
    <row r="732" spans="1:29" x14ac:dyDescent="0.3">
      <c r="A732" s="27" t="s">
        <v>5230</v>
      </c>
      <c r="B732" s="28" t="str">
        <f>_xlfn.XLOOKUP(Customer[[#This Row],[Customer ID]],[1]!Name[ID],[1]!Name[Description(1)])</f>
        <v>WARLIFF GEE ENTERPRISE</v>
      </c>
      <c r="C732" s="11" t="str">
        <f>_xlfn.XLOOKUP(Customer[[#This Row],[Customer ID]],[1]!Name[ID],[1]!Name[Description(2)])</f>
        <v>PS TAMAN KELADI</v>
      </c>
      <c r="D732" s="11" t="str">
        <f>_xlfn.XLOOKUP(Customer[[#This Row],[Customer ID]],[1]!Address[ID],[1]!Address[PIC])</f>
        <v/>
      </c>
      <c r="E732" s="11" t="str">
        <f>_xlfn.XLOOKUP(Customer[[#This Row],[Customer ID]],[1]!Address[ID],[1]!Address[Full Address])</f>
        <v>PS TAMAN KELADIPT 11615 TAMAN KELADI, SUNGAI PETANI,DAERAH KUALA MUDA, KEDAH, 08000,KUALA MUDA, KEDAH</v>
      </c>
      <c r="F732" s="12" t="s">
        <v>5231</v>
      </c>
      <c r="G732" s="12" t="s">
        <v>5232</v>
      </c>
      <c r="H732" s="12" t="s">
        <v>5233</v>
      </c>
      <c r="I732" s="12" t="b">
        <f>ISNUMBER(VALUE(LEFT(Customer[[#This Row],[Address Line 3 (30 char)]],1)))</f>
        <v>0</v>
      </c>
      <c r="J732" s="12" t="s">
        <v>79</v>
      </c>
      <c r="K732" s="30" t="s">
        <v>296</v>
      </c>
      <c r="L732" s="12" t="s">
        <v>35</v>
      </c>
      <c r="M732" s="13" t="e">
        <v>#N/A</v>
      </c>
      <c r="N732" s="14" t="e">
        <v>#N/A</v>
      </c>
      <c r="O732" s="14" t="e">
        <v>#N/A</v>
      </c>
      <c r="P732" s="14" t="e">
        <v>#N/A</v>
      </c>
      <c r="Q732" s="19" t="s">
        <v>5184</v>
      </c>
      <c r="R732" s="15" t="s">
        <v>5234</v>
      </c>
      <c r="S732" s="15" t="s">
        <v>74</v>
      </c>
      <c r="T732" s="16" t="s">
        <v>38</v>
      </c>
      <c r="U732" s="11" t="str">
        <f>_xlfn.XLOOKUP(Customer[[#This Row],[Customer ID]],[1]!Address[ID],[1]!Address[Phone No.(2)])</f>
        <v/>
      </c>
      <c r="V732" s="11" t="str">
        <f>_xlfn.XLOOKUP(Customer[[#This Row],[Customer ID]],[1]!Address[ID],[1]!Address[Type])</f>
        <v>PETROMART</v>
      </c>
      <c r="W732" s="11" t="str">
        <f>_xlfn.XLOOKUP(Customer[[#This Row],[Customer ID]],[1]!Address[ID],[1]!Address[CT])</f>
        <v>30 DAYS</v>
      </c>
      <c r="X732" s="11" t="s">
        <v>39</v>
      </c>
      <c r="Y732" s="17" t="s">
        <v>40</v>
      </c>
      <c r="Z732" s="17" t="e">
        <f>_xlfn.XLOOKUP(Customer[[#This Row],[NewType]],$AF$36:$AF$54,$AG$36:$AG$54)</f>
        <v>#N/A</v>
      </c>
      <c r="AA732" s="17" t="s">
        <v>5235</v>
      </c>
      <c r="AB732" s="11" t="str">
        <f>_xlfn.XLOOKUP(Customer[[#This Row],[Customer ID]],[1]!Address[ID],[1]!Address[Subtype])</f>
        <v>PETRONAS</v>
      </c>
      <c r="AC732" s="18" t="str">
        <f>_xlfn.XLOOKUP(Customer[[#This Row],[Customer ID]],[1]!Address[ID],[1]!Address[Zone])</f>
        <v>NORTH</v>
      </c>
    </row>
    <row r="733" spans="1:29" x14ac:dyDescent="0.3">
      <c r="A733" s="10" t="s">
        <v>5236</v>
      </c>
      <c r="B733" s="11" t="str">
        <f>_xlfn.XLOOKUP(Customer[[#This Row],[Customer ID]],[1]!Name[ID],[1]!Name[Description(1)])</f>
        <v>ABADAN ENTERPRISE</v>
      </c>
      <c r="C733" s="11" t="str">
        <f>_xlfn.XLOOKUP(Customer[[#This Row],[Customer ID]],[1]!Name[ID],[1]!Name[Description(2)])</f>
        <v>PS TAMAN KLANG UTAMA, KLANG</v>
      </c>
      <c r="D733" s="11" t="str">
        <f>_xlfn.XLOOKUP(Customer[[#This Row],[Customer ID]],[1]!Address[ID],[1]!Address[PIC])</f>
        <v/>
      </c>
      <c r="E733" s="11" t="str">
        <f>_xlfn.XLOOKUP(Customer[[#This Row],[Customer ID]],[1]!Address[ID],[1]!Address[Full Address])</f>
        <v>PS TAMAN KLANG UTAMA, KLANGLOT PT 12911, TMN KELANG UTAMA, JLN HJSIRAT, KLANG, 42100, KLANG, SELANGOR</v>
      </c>
      <c r="F733" s="12" t="s">
        <v>5237</v>
      </c>
      <c r="G733" s="12" t="s">
        <v>5238</v>
      </c>
      <c r="H733" s="12" t="s">
        <v>5239</v>
      </c>
      <c r="I733" s="12" t="b">
        <f>ISNUMBER(VALUE(LEFT(Customer[[#This Row],[Address Line 3 (30 char)]],1)))</f>
        <v>0</v>
      </c>
      <c r="J733" s="12" t="s">
        <v>1907</v>
      </c>
      <c r="K733" s="12">
        <v>42100</v>
      </c>
      <c r="L733" s="12" t="s">
        <v>35</v>
      </c>
      <c r="M733" s="13">
        <v>199203033093</v>
      </c>
      <c r="N733" s="14" t="s">
        <v>5240</v>
      </c>
      <c r="O733" s="14" t="e">
        <v>#N/A</v>
      </c>
      <c r="P733" s="14" t="e">
        <v>#N/A</v>
      </c>
      <c r="Q733" s="19" t="s">
        <v>5241</v>
      </c>
      <c r="R733" s="15" t="s">
        <v>5242</v>
      </c>
      <c r="S733" s="15" t="s">
        <v>37</v>
      </c>
      <c r="T733" s="16" t="s">
        <v>38</v>
      </c>
      <c r="U733" s="11" t="str">
        <f>_xlfn.XLOOKUP(Customer[[#This Row],[Customer ID]],[1]!Address[ID],[1]!Address[Phone No.(2)])</f>
        <v/>
      </c>
      <c r="V733" s="11" t="str">
        <f>_xlfn.XLOOKUP(Customer[[#This Row],[Customer ID]],[1]!Address[ID],[1]!Address[Type])</f>
        <v>PETROMART</v>
      </c>
      <c r="W733" s="11" t="str">
        <f>_xlfn.XLOOKUP(Customer[[#This Row],[Customer ID]],[1]!Address[ID],[1]!Address[CT])</f>
        <v>30 DAYS</v>
      </c>
      <c r="X733" s="11" t="s">
        <v>39</v>
      </c>
      <c r="Y733" s="17" t="s">
        <v>40</v>
      </c>
      <c r="Z733" s="17" t="e">
        <f>_xlfn.XLOOKUP(Customer[[#This Row],[NewType]],$AF$36:$AF$54,$AG$36:$AG$54)</f>
        <v>#N/A</v>
      </c>
      <c r="AA733" s="17" t="s">
        <v>5243</v>
      </c>
      <c r="AB733" s="11" t="str">
        <f>_xlfn.XLOOKUP(Customer[[#This Row],[Customer ID]],[1]!Address[ID],[1]!Address[Subtype])</f>
        <v>PETRONAS</v>
      </c>
      <c r="AC733" s="18" t="str">
        <f>_xlfn.XLOOKUP(Customer[[#This Row],[Customer ID]],[1]!Address[ID],[1]!Address[Zone])</f>
        <v>CENTRAL</v>
      </c>
    </row>
    <row r="734" spans="1:29" x14ac:dyDescent="0.3">
      <c r="A734" s="10" t="s">
        <v>5244</v>
      </c>
      <c r="B734" s="11" t="str">
        <f>_xlfn.XLOOKUP(Customer[[#This Row],[Customer ID]],[1]!Name[ID],[1]!Name[Description(1)])</f>
        <v>STESEN MINYAK ALAM KASTURI</v>
      </c>
      <c r="C734" s="11" t="str">
        <f>_xlfn.XLOOKUP(Customer[[#This Row],[Customer ID]],[1]!Name[ID],[1]!Name[Description(2)])</f>
        <v>PS TAMAN KOTA MASAI, MUKIM PLENTONG</v>
      </c>
      <c r="D734" s="11" t="str">
        <f>_xlfn.XLOOKUP(Customer[[#This Row],[Customer ID]],[1]!Address[ID],[1]!Address[PIC])</f>
        <v/>
      </c>
      <c r="E734" s="11" t="str">
        <f>_xlfn.XLOOKUP(Customer[[#This Row],[Customer ID]],[1]!Address[ID],[1]!Address[Full Address])</f>
        <v>PS TAMAN KOTA MASAI, MUKIM PLENTONGLOT 136202, JALAN KOTA MASAI 2,TAMAN KOTA MASAI,81700 PASIR GUDANG,    JOHOR</v>
      </c>
      <c r="F734" s="12" t="s">
        <v>5245</v>
      </c>
      <c r="G734" s="12" t="s">
        <v>5246</v>
      </c>
      <c r="H734" s="12" t="s">
        <v>5247</v>
      </c>
      <c r="I734" s="12" t="b">
        <f>ISNUMBER(VALUE(LEFT(Customer[[#This Row],[Address Line 3 (30 char)]],1)))</f>
        <v>0</v>
      </c>
      <c r="J734" s="12" t="s">
        <v>1995</v>
      </c>
      <c r="K734" s="12">
        <v>81700</v>
      </c>
      <c r="L734" s="12" t="s">
        <v>35</v>
      </c>
      <c r="M734" s="13">
        <v>201901030750</v>
      </c>
      <c r="N734" s="14" t="s">
        <v>5248</v>
      </c>
      <c r="O734" s="14" t="s">
        <v>54</v>
      </c>
      <c r="P734" s="14">
        <v>46611</v>
      </c>
      <c r="Q734" s="19" t="s">
        <v>5249</v>
      </c>
      <c r="R734" s="15" t="s">
        <v>5250</v>
      </c>
      <c r="S734" s="15" t="s">
        <v>37</v>
      </c>
      <c r="T734" s="16" t="s">
        <v>38</v>
      </c>
      <c r="U734" s="11" t="str">
        <f>_xlfn.XLOOKUP(Customer[[#This Row],[Customer ID]],[1]!Address[ID],[1]!Address[Phone No.(2)])</f>
        <v/>
      </c>
      <c r="V734" s="11" t="str">
        <f>_xlfn.XLOOKUP(Customer[[#This Row],[Customer ID]],[1]!Address[ID],[1]!Address[Type])</f>
        <v>PETROMART</v>
      </c>
      <c r="W734" s="11" t="str">
        <f>_xlfn.XLOOKUP(Customer[[#This Row],[Customer ID]],[1]!Address[ID],[1]!Address[CT])</f>
        <v>30 DAYS</v>
      </c>
      <c r="X734" s="11" t="s">
        <v>39</v>
      </c>
      <c r="Y734" s="17" t="s">
        <v>40</v>
      </c>
      <c r="Z734" s="17" t="e">
        <f>_xlfn.XLOOKUP(Customer[[#This Row],[NewType]],$AF$36:$AF$54,$AG$36:$AG$54)</f>
        <v>#N/A</v>
      </c>
      <c r="AA734" s="17" t="s">
        <v>5251</v>
      </c>
      <c r="AB734" s="11" t="str">
        <f>_xlfn.XLOOKUP(Customer[[#This Row],[Customer ID]],[1]!Address[ID],[1]!Address[Subtype])</f>
        <v>PETRONAS</v>
      </c>
      <c r="AC734" s="18" t="str">
        <f>_xlfn.XLOOKUP(Customer[[#This Row],[Customer ID]],[1]!Address[ID],[1]!Address[Zone])</f>
        <v>SOUTH</v>
      </c>
    </row>
    <row r="735" spans="1:29" x14ac:dyDescent="0.3">
      <c r="A735" s="10" t="s">
        <v>5252</v>
      </c>
      <c r="B735" s="11" t="str">
        <f>_xlfn.XLOOKUP(Customer[[#This Row],[Customer ID]],[1]!Name[ID],[1]!Name[Description(1)])</f>
        <v>THAQIF KEM SERVICES</v>
      </c>
      <c r="C735" s="11" t="str">
        <f>_xlfn.XLOOKUP(Customer[[#This Row],[Customer ID]],[1]!Name[ID],[1]!Name[Description(2)])</f>
        <v>PS TAMAN KOTA PENDAMAR</v>
      </c>
      <c r="D735" s="11" t="str">
        <f>_xlfn.XLOOKUP(Customer[[#This Row],[Customer ID]],[1]!Address[ID],[1]!Address[PIC])</f>
        <v/>
      </c>
      <c r="E735" s="11" t="str">
        <f>_xlfn.XLOOKUP(Customer[[#This Row],[Customer ID]],[1]!Address[ID],[1]!Address[Full Address])</f>
        <v>PS TAMAN KOTA PENDAMARLOT 137939, LEBUHRAYA PELABUHANBARAT/KS05, TAMAN KOTA PENDAMAR, 42000,KLANG, SELANGOR</v>
      </c>
      <c r="F735" s="12" t="s">
        <v>5253</v>
      </c>
      <c r="G735" s="12" t="s">
        <v>5254</v>
      </c>
      <c r="H735" s="12" t="s">
        <v>5255</v>
      </c>
      <c r="I735" s="12" t="b">
        <f>ISNUMBER(VALUE(LEFT(Customer[[#This Row],[Address Line 3 (30 char)]],1)))</f>
        <v>0</v>
      </c>
      <c r="J735" s="12" t="s">
        <v>1907</v>
      </c>
      <c r="K735" s="12">
        <v>42000</v>
      </c>
      <c r="L735" s="12" t="s">
        <v>35</v>
      </c>
      <c r="M735" s="13" t="s">
        <v>5256</v>
      </c>
      <c r="N735" s="14" t="s">
        <v>5257</v>
      </c>
      <c r="O735" s="14" t="s">
        <v>2245</v>
      </c>
      <c r="P735" s="14" t="s">
        <v>890</v>
      </c>
      <c r="Q735" s="19" t="s">
        <v>5258</v>
      </c>
      <c r="R735" s="15" t="s">
        <v>5259</v>
      </c>
      <c r="S735" s="15" t="s">
        <v>37</v>
      </c>
      <c r="T735" s="16" t="s">
        <v>38</v>
      </c>
      <c r="U735" s="11" t="str">
        <f>_xlfn.XLOOKUP(Customer[[#This Row],[Customer ID]],[1]!Address[ID],[1]!Address[Phone No.(2)])</f>
        <v/>
      </c>
      <c r="V735" s="11" t="str">
        <f>_xlfn.XLOOKUP(Customer[[#This Row],[Customer ID]],[1]!Address[ID],[1]!Address[Type])</f>
        <v>PETROMART</v>
      </c>
      <c r="W735" s="11" t="str">
        <f>_xlfn.XLOOKUP(Customer[[#This Row],[Customer ID]],[1]!Address[ID],[1]!Address[CT])</f>
        <v>30 DAYS</v>
      </c>
      <c r="X735" s="11" t="s">
        <v>39</v>
      </c>
      <c r="Y735" s="17" t="s">
        <v>40</v>
      </c>
      <c r="Z735" s="17" t="e">
        <f>_xlfn.XLOOKUP(Customer[[#This Row],[NewType]],$AF$36:$AF$54,$AG$36:$AG$54)</f>
        <v>#N/A</v>
      </c>
      <c r="AA735" s="17" t="s">
        <v>5260</v>
      </c>
      <c r="AB735" s="11" t="str">
        <f>_xlfn.XLOOKUP(Customer[[#This Row],[Customer ID]],[1]!Address[ID],[1]!Address[Subtype])</f>
        <v>PETRONAS</v>
      </c>
      <c r="AC735" s="18" t="str">
        <f>_xlfn.XLOOKUP(Customer[[#This Row],[Customer ID]],[1]!Address[ID],[1]!Address[Zone])</f>
        <v>CENTRAL</v>
      </c>
    </row>
    <row r="736" spans="1:29" x14ac:dyDescent="0.3">
      <c r="A736" s="10" t="s">
        <v>5261</v>
      </c>
      <c r="B736" s="11" t="str">
        <f>_xlfn.XLOOKUP(Customer[[#This Row],[Customer ID]],[1]!Name[ID],[1]!Name[Description(1)])</f>
        <v>TOMMY SHIRLEY STATION</v>
      </c>
      <c r="C736" s="11" t="str">
        <f>_xlfn.XLOOKUP(Customer[[#This Row],[Customer ID]],[1]!Name[ID],[1]!Name[Description(2)])</f>
        <v>PS TAMAN KULAI PERMAI</v>
      </c>
      <c r="D736" s="11" t="str">
        <f>_xlfn.XLOOKUP(Customer[[#This Row],[Customer ID]],[1]!Address[ID],[1]!Address[PIC])</f>
        <v>Encik Chong Kok</v>
      </c>
      <c r="E736" s="11" t="str">
        <f>_xlfn.XLOOKUP(Customer[[#This Row],[Customer ID]],[1]!Address[ID],[1]!Address[Full Address])</f>
        <v>PS TAMAN KULAI PERMAIPTD 105979, HSD 57897, TAMAN KULAI PERMAMKM KULAI, KULAIJAYA, JOHOR, 81000, KULAJOHOR</v>
      </c>
      <c r="F736" s="12" t="s">
        <v>5262</v>
      </c>
      <c r="G736" s="12" t="s">
        <v>5263</v>
      </c>
      <c r="H736" s="12" t="s">
        <v>5264</v>
      </c>
      <c r="I736" s="12" t="b">
        <f>ISNUMBER(VALUE(LEFT(Customer[[#This Row],[Address Line 3 (30 char)]],1)))</f>
        <v>0</v>
      </c>
      <c r="J736" s="12" t="s">
        <v>1995</v>
      </c>
      <c r="K736" s="12">
        <v>81000</v>
      </c>
      <c r="L736" s="12" t="s">
        <v>35</v>
      </c>
      <c r="M736" s="13">
        <v>201203233102</v>
      </c>
      <c r="N736" s="14" t="s">
        <v>5265</v>
      </c>
      <c r="O736" s="14" t="e">
        <v>#N/A</v>
      </c>
      <c r="P736" s="14" t="e">
        <v>#N/A</v>
      </c>
      <c r="Q736" s="19" t="s">
        <v>5266</v>
      </c>
      <c r="R736" s="15" t="s">
        <v>5267</v>
      </c>
      <c r="S736" s="15" t="s">
        <v>37</v>
      </c>
      <c r="T736" s="16" t="s">
        <v>38</v>
      </c>
      <c r="U736" s="11" t="str">
        <f>_xlfn.XLOOKUP(Customer[[#This Row],[Customer ID]],[1]!Address[ID],[1]!Address[Phone No.(2)])</f>
        <v/>
      </c>
      <c r="V736" s="11" t="str">
        <f>_xlfn.XLOOKUP(Customer[[#This Row],[Customer ID]],[1]!Address[ID],[1]!Address[Type])</f>
        <v>PETROMART</v>
      </c>
      <c r="W736" s="11" t="str">
        <f>_xlfn.XLOOKUP(Customer[[#This Row],[Customer ID]],[1]!Address[ID],[1]!Address[CT])</f>
        <v>30 DAYS</v>
      </c>
      <c r="X736" s="11" t="s">
        <v>39</v>
      </c>
      <c r="Y736" s="17" t="s">
        <v>40</v>
      </c>
      <c r="Z736" s="17" t="e">
        <f>_xlfn.XLOOKUP(Customer[[#This Row],[NewType]],$AF$36:$AF$54,$AG$36:$AG$54)</f>
        <v>#N/A</v>
      </c>
      <c r="AA736" s="17" t="s">
        <v>5268</v>
      </c>
      <c r="AB736" s="11" t="str">
        <f>_xlfn.XLOOKUP(Customer[[#This Row],[Customer ID]],[1]!Address[ID],[1]!Address[Subtype])</f>
        <v>PETRONAS</v>
      </c>
      <c r="AC736" s="18" t="str">
        <f>_xlfn.XLOOKUP(Customer[[#This Row],[Customer ID]],[1]!Address[ID],[1]!Address[Zone])</f>
        <v>SOUTH</v>
      </c>
    </row>
    <row r="737" spans="1:29" x14ac:dyDescent="0.3">
      <c r="A737" s="10" t="s">
        <v>5269</v>
      </c>
      <c r="B737" s="11" t="str">
        <f>_xlfn.XLOOKUP(Customer[[#This Row],[Customer ID]],[1]!Name[ID],[1]!Name[Description(1)])</f>
        <v>STESEN MINYAK YZ</v>
      </c>
      <c r="C737" s="11" t="str">
        <f>_xlfn.XLOOKUP(Customer[[#This Row],[Customer ID]],[1]!Name[ID],[1]!Name[Description(2)])</f>
        <v>PS TAMAN MALURI</v>
      </c>
      <c r="D737" s="11" t="str">
        <f>_xlfn.XLOOKUP(Customer[[#This Row],[Customer ID]],[1]!Address[ID],[1]!Address[PIC])</f>
        <v/>
      </c>
      <c r="E737" s="11" t="str">
        <f>_xlfn.XLOOKUP(Customer[[#This Row],[Customer ID]],[1]!Address[ID],[1]!Address[Full Address])</f>
        <v>PS TAMAN MALURILOT PT 128, JALAN KG PANDAN, TMN MALURIKUALA LUMPUR, 54200, WILAYAH PERSEKUTUANKUALA LUMPUR, W PERSEKUTUAN</v>
      </c>
      <c r="F737" s="12" t="s">
        <v>5270</v>
      </c>
      <c r="G737" s="12" t="s">
        <v>5271</v>
      </c>
      <c r="H737" s="12" t="s">
        <v>2639</v>
      </c>
      <c r="I737" s="12" t="b">
        <f>ISNUMBER(VALUE(LEFT(Customer[[#This Row],[Address Line 3 (30 char)]],1)))</f>
        <v>0</v>
      </c>
      <c r="J737" s="12" t="s">
        <v>34</v>
      </c>
      <c r="K737" s="12">
        <v>54200</v>
      </c>
      <c r="L737" s="12" t="s">
        <v>35</v>
      </c>
      <c r="M737" s="13">
        <v>200503159045</v>
      </c>
      <c r="N737" s="14" t="s">
        <v>5272</v>
      </c>
      <c r="O737" s="14"/>
      <c r="P737" s="14">
        <v>47300</v>
      </c>
      <c r="Q737" s="19" t="s">
        <v>5273</v>
      </c>
      <c r="R737" s="15" t="s">
        <v>5274</v>
      </c>
      <c r="S737" s="15" t="s">
        <v>37</v>
      </c>
      <c r="T737" s="16" t="s">
        <v>38</v>
      </c>
      <c r="U737" s="11" t="str">
        <f>_xlfn.XLOOKUP(Customer[[#This Row],[Customer ID]],[1]!Address[ID],[1]!Address[Phone No.(2)])</f>
        <v/>
      </c>
      <c r="V737" s="11" t="str">
        <f>_xlfn.XLOOKUP(Customer[[#This Row],[Customer ID]],[1]!Address[ID],[1]!Address[Type])</f>
        <v>PETROMART</v>
      </c>
      <c r="W737" s="11" t="str">
        <f>_xlfn.XLOOKUP(Customer[[#This Row],[Customer ID]],[1]!Address[ID],[1]!Address[CT])</f>
        <v>30 DAYS</v>
      </c>
      <c r="X737" s="11" t="s">
        <v>39</v>
      </c>
      <c r="Y737" s="17" t="s">
        <v>40</v>
      </c>
      <c r="Z737" s="17" t="e">
        <f>_xlfn.XLOOKUP(Customer[[#This Row],[NewType]],$AF$36:$AF$54,$AG$36:$AG$54)</f>
        <v>#N/A</v>
      </c>
      <c r="AA737" s="17" t="s">
        <v>5275</v>
      </c>
      <c r="AB737" s="11" t="str">
        <f>_xlfn.XLOOKUP(Customer[[#This Row],[Customer ID]],[1]!Address[ID],[1]!Address[Subtype])</f>
        <v>PETRONAS</v>
      </c>
      <c r="AC737" s="18" t="str">
        <f>_xlfn.XLOOKUP(Customer[[#This Row],[Customer ID]],[1]!Address[ID],[1]!Address[Zone])</f>
        <v>CENTRAL</v>
      </c>
    </row>
    <row r="738" spans="1:29" x14ac:dyDescent="0.3">
      <c r="A738" s="10" t="s">
        <v>5276</v>
      </c>
      <c r="B738" s="11" t="str">
        <f>_xlfn.XLOOKUP(Customer[[#This Row],[Customer ID]],[1]!Name[ID],[1]!Name[Description(1)])</f>
        <v>HANIDA HADI ENTERPRISE</v>
      </c>
      <c r="C738" s="11" t="str">
        <f>_xlfn.XLOOKUP(Customer[[#This Row],[Customer ID]],[1]!Name[ID],[1]!Name[Description(2)])</f>
        <v>PS TAMAN MARIDA</v>
      </c>
      <c r="D738" s="11" t="str">
        <f>_xlfn.XLOOKUP(Customer[[#This Row],[Customer ID]],[1]!Address[ID],[1]!Address[PIC])</f>
        <v/>
      </c>
      <c r="E738" s="11" t="str">
        <f>_xlfn.XLOOKUP(Customer[[#This Row],[Customer ID]],[1]!Address[ID],[1]!Address[Full Address])</f>
        <v>PS TAMAN MARIDALOT 278 TAMAN MARIDA, SENAWANG, NEGERISEMBILAN, 70450, SEREMBAN, NEGERI 9</v>
      </c>
      <c r="F738" s="12" t="s">
        <v>5277</v>
      </c>
      <c r="G738" s="12" t="s">
        <v>5278</v>
      </c>
      <c r="H738" s="12" t="s">
        <v>2411</v>
      </c>
      <c r="I738" s="12" t="b">
        <f>ISNUMBER(VALUE(LEFT(Customer[[#This Row],[Address Line 3 (30 char)]],1)))</f>
        <v>0</v>
      </c>
      <c r="J738" s="12" t="s">
        <v>2004</v>
      </c>
      <c r="K738" s="12">
        <v>70450</v>
      </c>
      <c r="L738" s="12" t="s">
        <v>35</v>
      </c>
      <c r="M738" s="13">
        <v>200303084342</v>
      </c>
      <c r="N738" s="14" t="s">
        <v>5279</v>
      </c>
      <c r="O738" s="14" t="s">
        <v>54</v>
      </c>
      <c r="P738" s="14">
        <v>47300</v>
      </c>
      <c r="Q738" s="19" t="s">
        <v>5280</v>
      </c>
      <c r="R738" s="15" t="s">
        <v>5281</v>
      </c>
      <c r="S738" s="15" t="s">
        <v>37</v>
      </c>
      <c r="T738" s="16" t="s">
        <v>38</v>
      </c>
      <c r="U738" s="11" t="str">
        <f>_xlfn.XLOOKUP(Customer[[#This Row],[Customer ID]],[1]!Address[ID],[1]!Address[Phone No.(2)])</f>
        <v/>
      </c>
      <c r="V738" s="11" t="str">
        <f>_xlfn.XLOOKUP(Customer[[#This Row],[Customer ID]],[1]!Address[ID],[1]!Address[Type])</f>
        <v>PETROMART</v>
      </c>
      <c r="W738" s="11" t="str">
        <f>_xlfn.XLOOKUP(Customer[[#This Row],[Customer ID]],[1]!Address[ID],[1]!Address[CT])</f>
        <v>30 DAYS</v>
      </c>
      <c r="X738" s="11" t="s">
        <v>39</v>
      </c>
      <c r="Y738" s="17" t="s">
        <v>40</v>
      </c>
      <c r="Z738" s="17" t="e">
        <f>_xlfn.XLOOKUP(Customer[[#This Row],[NewType]],$AF$36:$AF$54,$AG$36:$AG$54)</f>
        <v>#N/A</v>
      </c>
      <c r="AA738" s="17" t="s">
        <v>5282</v>
      </c>
      <c r="AB738" s="11" t="str">
        <f>_xlfn.XLOOKUP(Customer[[#This Row],[Customer ID]],[1]!Address[ID],[1]!Address[Subtype])</f>
        <v>PETRONAS</v>
      </c>
      <c r="AC738" s="18" t="str">
        <f>_xlfn.XLOOKUP(Customer[[#This Row],[Customer ID]],[1]!Address[ID],[1]!Address[Zone])</f>
        <v>CENTRAL</v>
      </c>
    </row>
    <row r="739" spans="1:29" x14ac:dyDescent="0.3">
      <c r="A739" s="10" t="s">
        <v>5283</v>
      </c>
      <c r="B739" s="11" t="str">
        <f>_xlfn.XLOOKUP(Customer[[#This Row],[Customer ID]],[1]!Name[ID],[1]!Name[Description(1)])</f>
        <v>FARHAN ENTERPRISE</v>
      </c>
      <c r="C739" s="11" t="str">
        <f>_xlfn.XLOOKUP(Customer[[#This Row],[Customer ID]],[1]!Name[ID],[1]!Name[Description(2)])</f>
        <v>PS TAMAN MEDAN</v>
      </c>
      <c r="D739" s="11" t="str">
        <f>_xlfn.XLOOKUP(Customer[[#This Row],[Customer ID]],[1]!Address[ID],[1]!Address[PIC])</f>
        <v/>
      </c>
      <c r="E739" s="11" t="str">
        <f>_xlfn.XLOOKUP(Customer[[#This Row],[Customer ID]],[1]!Address[ID],[1]!Address[Full Address])</f>
        <v>PS TAMAN MEDANLOT PT 3164, JALAN MEDAN II, TAMAN MEDAN46000, PETALING, SELANGOR</v>
      </c>
      <c r="F739" s="12" t="s">
        <v>5284</v>
      </c>
      <c r="G739" s="12" t="s">
        <v>5285</v>
      </c>
      <c r="H739" s="12" t="s">
        <v>2273</v>
      </c>
      <c r="I739" s="12" t="b">
        <f>ISNUMBER(VALUE(LEFT(Customer[[#This Row],[Address Line 3 (30 char)]],1)))</f>
        <v>0</v>
      </c>
      <c r="J739" s="12" t="s">
        <v>1907</v>
      </c>
      <c r="K739" s="12">
        <v>46000</v>
      </c>
      <c r="L739" s="12" t="s">
        <v>35</v>
      </c>
      <c r="M739" s="13">
        <v>199303014115</v>
      </c>
      <c r="N739" s="14" t="s">
        <v>5286</v>
      </c>
      <c r="O739" s="14" t="s">
        <v>54</v>
      </c>
      <c r="P739" s="14">
        <v>46611</v>
      </c>
      <c r="Q739" s="19" t="s">
        <v>5287</v>
      </c>
      <c r="R739" s="15" t="s">
        <v>5288</v>
      </c>
      <c r="S739" s="15" t="s">
        <v>37</v>
      </c>
      <c r="T739" s="16" t="s">
        <v>38</v>
      </c>
      <c r="U739" s="11" t="str">
        <f>_xlfn.XLOOKUP(Customer[[#This Row],[Customer ID]],[1]!Address[ID],[1]!Address[Phone No.(2)])</f>
        <v/>
      </c>
      <c r="V739" s="11" t="str">
        <f>_xlfn.XLOOKUP(Customer[[#This Row],[Customer ID]],[1]!Address[ID],[1]!Address[Type])</f>
        <v>PETROMART</v>
      </c>
      <c r="W739" s="11" t="str">
        <f>_xlfn.XLOOKUP(Customer[[#This Row],[Customer ID]],[1]!Address[ID],[1]!Address[CT])</f>
        <v>30 DAYS</v>
      </c>
      <c r="X739" s="11" t="s">
        <v>39</v>
      </c>
      <c r="Y739" s="17" t="s">
        <v>40</v>
      </c>
      <c r="Z739" s="17" t="e">
        <f>_xlfn.XLOOKUP(Customer[[#This Row],[NewType]],$AF$36:$AF$54,$AG$36:$AG$54)</f>
        <v>#N/A</v>
      </c>
      <c r="AA739" s="17" t="s">
        <v>5289</v>
      </c>
      <c r="AB739" s="11" t="str">
        <f>_xlfn.XLOOKUP(Customer[[#This Row],[Customer ID]],[1]!Address[ID],[1]!Address[Subtype])</f>
        <v>PETRONAS</v>
      </c>
      <c r="AC739" s="18" t="str">
        <f>_xlfn.XLOOKUP(Customer[[#This Row],[Customer ID]],[1]!Address[ID],[1]!Address[Zone])</f>
        <v>CENTRAL</v>
      </c>
    </row>
    <row r="740" spans="1:29" x14ac:dyDescent="0.3">
      <c r="A740" s="10" t="s">
        <v>5290</v>
      </c>
      <c r="B740" s="11" t="str">
        <f>_xlfn.XLOOKUP(Customer[[#This Row],[Customer ID]],[1]!Name[ID],[1]!Name[Description(1)])</f>
        <v>CEMERLANG PETROSERVICE</v>
      </c>
      <c r="C740" s="11" t="str">
        <f>_xlfn.XLOOKUP(Customer[[#This Row],[Customer ID]],[1]!Name[ID],[1]!Name[Description(2)])</f>
        <v>PS TAMAN MELATI</v>
      </c>
      <c r="D740" s="11" t="str">
        <f>_xlfn.XLOOKUP(Customer[[#This Row],[Customer ID]],[1]!Address[ID],[1]!Address[PIC])</f>
        <v/>
      </c>
      <c r="E740" s="11" t="str">
        <f>_xlfn.XLOOKUP(Customer[[#This Row],[Customer ID]],[1]!Address[ID],[1]!Address[Full Address])</f>
        <v>PS TAMAN MELATILOT PT 9094, TAMAN MELATI, KUALA LUMPUR,53000, WILAYAH PERSEKUTUAN KUALA LUMPURW PERSEKUTUAN</v>
      </c>
      <c r="F740" s="12" t="s">
        <v>5291</v>
      </c>
      <c r="G740" s="12" t="s">
        <v>5292</v>
      </c>
      <c r="H740" s="12" t="s">
        <v>775</v>
      </c>
      <c r="I740" s="12" t="b">
        <f>ISNUMBER(VALUE(LEFT(Customer[[#This Row],[Address Line 3 (30 char)]],1)))</f>
        <v>0</v>
      </c>
      <c r="J740" s="12" t="s">
        <v>34</v>
      </c>
      <c r="K740" s="12">
        <v>53000</v>
      </c>
      <c r="L740" s="12" t="s">
        <v>35</v>
      </c>
      <c r="M740" s="13" t="e">
        <v>#N/A</v>
      </c>
      <c r="N740" s="14" t="e">
        <v>#N/A</v>
      </c>
      <c r="O740" s="14" t="e">
        <v>#N/A</v>
      </c>
      <c r="P740" s="14" t="e">
        <v>#N/A</v>
      </c>
      <c r="Q740" s="19" t="s">
        <v>5293</v>
      </c>
      <c r="R740" s="15" t="s">
        <v>5294</v>
      </c>
      <c r="S740" s="15" t="s">
        <v>37</v>
      </c>
      <c r="T740" s="16" t="s">
        <v>38</v>
      </c>
      <c r="U740" s="11" t="str">
        <f>_xlfn.XLOOKUP(Customer[[#This Row],[Customer ID]],[1]!Address[ID],[1]!Address[Phone No.(2)])</f>
        <v/>
      </c>
      <c r="V740" s="11" t="str">
        <f>_xlfn.XLOOKUP(Customer[[#This Row],[Customer ID]],[1]!Address[ID],[1]!Address[Type])</f>
        <v>PETROMART</v>
      </c>
      <c r="W740" s="11" t="str">
        <f>_xlfn.XLOOKUP(Customer[[#This Row],[Customer ID]],[1]!Address[ID],[1]!Address[CT])</f>
        <v>30 DAYS</v>
      </c>
      <c r="X740" s="11" t="s">
        <v>39</v>
      </c>
      <c r="Y740" s="17" t="s">
        <v>40</v>
      </c>
      <c r="Z740" s="17" t="e">
        <f>_xlfn.XLOOKUP(Customer[[#This Row],[NewType]],$AF$36:$AF$54,$AG$36:$AG$54)</f>
        <v>#N/A</v>
      </c>
      <c r="AA740" s="17" t="s">
        <v>5295</v>
      </c>
      <c r="AB740" s="11" t="str">
        <f>_xlfn.XLOOKUP(Customer[[#This Row],[Customer ID]],[1]!Address[ID],[1]!Address[Subtype])</f>
        <v>PETRONAS</v>
      </c>
      <c r="AC740" s="18" t="str">
        <f>_xlfn.XLOOKUP(Customer[[#This Row],[Customer ID]],[1]!Address[ID],[1]!Address[Zone])</f>
        <v>CENTRAL</v>
      </c>
    </row>
    <row r="741" spans="1:29" x14ac:dyDescent="0.3">
      <c r="A741" s="10" t="s">
        <v>5296</v>
      </c>
      <c r="B741" s="11" t="str">
        <f>_xlfn.XLOOKUP(Customer[[#This Row],[Customer ID]],[1]!Name[ID],[1]!Name[Description(1)])</f>
        <v>STESYEN MINYAK MERANTI JAYA</v>
      </c>
      <c r="C741" s="11" t="str">
        <f>_xlfn.XLOOKUP(Customer[[#This Row],[Customer ID]],[1]!Name[ID],[1]!Name[Description(2)])</f>
        <v>PS TAMAN MERANTI JAYA</v>
      </c>
      <c r="D741" s="11" t="str">
        <f>_xlfn.XLOOKUP(Customer[[#This Row],[Customer ID]],[1]!Address[ID],[1]!Address[PIC])</f>
        <v/>
      </c>
      <c r="E741" s="11" t="str">
        <f>_xlfn.XLOOKUP(Customer[[#This Row],[Customer ID]],[1]!Address[ID],[1]!Address[Full Address])</f>
        <v>PS TAMAN MERANTI JAYALOT 13985, TAMAN MERANTI JAYA, PUCHONG,SELANGOR, 47100, PETALING, SELANGOR</v>
      </c>
      <c r="F741" s="12" t="s">
        <v>5297</v>
      </c>
      <c r="G741" s="12" t="s">
        <v>5298</v>
      </c>
      <c r="H741" s="12" t="s">
        <v>2273</v>
      </c>
      <c r="I741" s="12" t="b">
        <f>ISNUMBER(VALUE(LEFT(Customer[[#This Row],[Address Line 3 (30 char)]],1)))</f>
        <v>0</v>
      </c>
      <c r="J741" s="12" t="s">
        <v>1907</v>
      </c>
      <c r="K741" s="12">
        <v>47100</v>
      </c>
      <c r="L741" s="12" t="s">
        <v>35</v>
      </c>
      <c r="M741" s="13">
        <v>200503125412</v>
      </c>
      <c r="N741" s="14" t="s">
        <v>5299</v>
      </c>
      <c r="O741" s="14" t="s">
        <v>54</v>
      </c>
      <c r="P741" s="14">
        <v>47300</v>
      </c>
      <c r="Q741" s="19" t="s">
        <v>5300</v>
      </c>
      <c r="R741" s="15" t="s">
        <v>5301</v>
      </c>
      <c r="S741" s="15" t="s">
        <v>37</v>
      </c>
      <c r="T741" s="16" t="s">
        <v>38</v>
      </c>
      <c r="U741" s="11" t="str">
        <f>_xlfn.XLOOKUP(Customer[[#This Row],[Customer ID]],[1]!Address[ID],[1]!Address[Phone No.(2)])</f>
        <v/>
      </c>
      <c r="V741" s="11" t="str">
        <f>_xlfn.XLOOKUP(Customer[[#This Row],[Customer ID]],[1]!Address[ID],[1]!Address[Type])</f>
        <v>PETROMART</v>
      </c>
      <c r="W741" s="11" t="str">
        <f>_xlfn.XLOOKUP(Customer[[#This Row],[Customer ID]],[1]!Address[ID],[1]!Address[CT])</f>
        <v>30 DAYS</v>
      </c>
      <c r="X741" s="11" t="s">
        <v>39</v>
      </c>
      <c r="Y741" s="17" t="s">
        <v>40</v>
      </c>
      <c r="Z741" s="17" t="e">
        <f>_xlfn.XLOOKUP(Customer[[#This Row],[NewType]],$AF$36:$AF$54,$AG$36:$AG$54)</f>
        <v>#N/A</v>
      </c>
      <c r="AA741" s="17" t="s">
        <v>5302</v>
      </c>
      <c r="AB741" s="11" t="str">
        <f>_xlfn.XLOOKUP(Customer[[#This Row],[Customer ID]],[1]!Address[ID],[1]!Address[Subtype])</f>
        <v>PETRONAS</v>
      </c>
      <c r="AC741" s="18" t="str">
        <f>_xlfn.XLOOKUP(Customer[[#This Row],[Customer ID]],[1]!Address[ID],[1]!Address[Zone])</f>
        <v>CENTRAL</v>
      </c>
    </row>
    <row r="742" spans="1:29" x14ac:dyDescent="0.3">
      <c r="A742" s="10" t="s">
        <v>5303</v>
      </c>
      <c r="B742" s="11" t="str">
        <f>_xlfn.XLOOKUP(Customer[[#This Row],[Customer ID]],[1]!Name[ID],[1]!Name[Description(1)])</f>
        <v>WANFIZILINA KIOSK</v>
      </c>
      <c r="C742" s="11" t="str">
        <f>_xlfn.XLOOKUP(Customer[[#This Row],[Customer ID]],[1]!Name[ID],[1]!Name[Description(2)])</f>
        <v>PS TAMAN MOLEK, JB</v>
      </c>
      <c r="D742" s="11" t="str">
        <f>_xlfn.XLOOKUP(Customer[[#This Row],[Customer ID]],[1]!Address[ID],[1]!Address[PIC])</f>
        <v/>
      </c>
      <c r="E742" s="11" t="str">
        <f>_xlfn.XLOOKUP(Customer[[#This Row],[Customer ID]],[1]!Address[ID],[1]!Address[Full Address])</f>
        <v>PS TAMAN MOLEK, JBPTD 88326 MUKIM PLENTONG, TAMAN MOLEK,JOHOR, 81100, JOHOR BAHRU, JOHOR</v>
      </c>
      <c r="F742" s="12" t="s">
        <v>5304</v>
      </c>
      <c r="G742" s="12" t="s">
        <v>5305</v>
      </c>
      <c r="H742" s="12" t="s">
        <v>1155</v>
      </c>
      <c r="I742" s="12" t="b">
        <f>ISNUMBER(VALUE(LEFT(Customer[[#This Row],[Address Line 3 (30 char)]],1)))</f>
        <v>0</v>
      </c>
      <c r="J742" s="12" t="s">
        <v>1995</v>
      </c>
      <c r="K742" s="12">
        <v>81100</v>
      </c>
      <c r="L742" s="12" t="s">
        <v>35</v>
      </c>
      <c r="M742" s="13">
        <v>200003078222</v>
      </c>
      <c r="N742" s="14" t="s">
        <v>2123</v>
      </c>
      <c r="O742" s="14" t="s">
        <v>5306</v>
      </c>
      <c r="P742" s="14">
        <v>47300</v>
      </c>
      <c r="Q742" s="19" t="s">
        <v>5307</v>
      </c>
      <c r="R742" s="15" t="s">
        <v>5308</v>
      </c>
      <c r="S742" s="15" t="s">
        <v>37</v>
      </c>
      <c r="T742" s="16" t="s">
        <v>38</v>
      </c>
      <c r="U742" s="11" t="str">
        <f>_xlfn.XLOOKUP(Customer[[#This Row],[Customer ID]],[1]!Address[ID],[1]!Address[Phone No.(2)])</f>
        <v/>
      </c>
      <c r="V742" s="11" t="str">
        <f>_xlfn.XLOOKUP(Customer[[#This Row],[Customer ID]],[1]!Address[ID],[1]!Address[Type])</f>
        <v>PETROMART</v>
      </c>
      <c r="W742" s="11" t="str">
        <f>_xlfn.XLOOKUP(Customer[[#This Row],[Customer ID]],[1]!Address[ID],[1]!Address[CT])</f>
        <v>30 DAYS</v>
      </c>
      <c r="X742" s="11" t="s">
        <v>39</v>
      </c>
      <c r="Y742" s="17" t="s">
        <v>40</v>
      </c>
      <c r="Z742" s="17" t="e">
        <f>_xlfn.XLOOKUP(Customer[[#This Row],[NewType]],$AF$36:$AF$54,$AG$36:$AG$54)</f>
        <v>#N/A</v>
      </c>
      <c r="AA742" s="17" t="s">
        <v>5309</v>
      </c>
      <c r="AB742" s="11" t="str">
        <f>_xlfn.XLOOKUP(Customer[[#This Row],[Customer ID]],[1]!Address[ID],[1]!Address[Subtype])</f>
        <v>PETRONAS</v>
      </c>
      <c r="AC742" s="18" t="str">
        <f>_xlfn.XLOOKUP(Customer[[#This Row],[Customer ID]],[1]!Address[ID],[1]!Address[Zone])</f>
        <v>SOUTH</v>
      </c>
    </row>
    <row r="743" spans="1:29" x14ac:dyDescent="0.3">
      <c r="A743" s="27" t="s">
        <v>5310</v>
      </c>
      <c r="B743" s="28" t="str">
        <f>_xlfn.XLOOKUP(Customer[[#This Row],[Customer ID]],[1]!Name[ID],[1]!Name[Description(1)])</f>
        <v>AZAH BERKAT ENTERPRISE</v>
      </c>
      <c r="C743" s="11" t="str">
        <f>_xlfn.XLOOKUP(Customer[[#This Row],[Customer ID]],[1]!Name[ID],[1]!Name[Description(2)])</f>
        <v>PS TAMAN NILAM SARI</v>
      </c>
      <c r="D743" s="11" t="str">
        <f>_xlfn.XLOOKUP(Customer[[#This Row],[Customer ID]],[1]!Address[ID],[1]!Address[PIC])</f>
        <v>NOR AZAH BINTI</v>
      </c>
      <c r="E743" s="11" t="str">
        <f>_xlfn.XLOOKUP(Customer[[#This Row],[Customer ID]],[1]!Address[ID],[1]!Address[Full Address])</f>
        <v>PS TAMAN NILAM SARILOT PT 23743, HSM 1700,MUKIM SUNGAI PASIR, SUNGAI PETANI,08000, KUALA MUDA, KEDAH</v>
      </c>
      <c r="F743" s="12" t="s">
        <v>5311</v>
      </c>
      <c r="G743" s="12" t="s">
        <v>5312</v>
      </c>
      <c r="H743" s="12" t="s">
        <v>5313</v>
      </c>
      <c r="I743" s="12" t="b">
        <f>ISNUMBER(VALUE(LEFT(Customer[[#This Row],[Address Line 3 (30 char)]],1)))</f>
        <v>0</v>
      </c>
      <c r="J743" s="12" t="s">
        <v>79</v>
      </c>
      <c r="K743" s="30" t="s">
        <v>296</v>
      </c>
      <c r="L743" s="12" t="s">
        <v>35</v>
      </c>
      <c r="M743" s="13">
        <v>200603119695</v>
      </c>
      <c r="N743" s="31" t="s">
        <v>5314</v>
      </c>
      <c r="O743" s="14" t="s">
        <v>54</v>
      </c>
      <c r="P743" s="14">
        <v>47300</v>
      </c>
      <c r="Q743" s="19" t="s">
        <v>5315</v>
      </c>
      <c r="R743" s="15" t="s">
        <v>5316</v>
      </c>
      <c r="S743" s="15" t="s">
        <v>74</v>
      </c>
      <c r="T743" s="16" t="s">
        <v>38</v>
      </c>
      <c r="U743" s="11" t="str">
        <f>_xlfn.XLOOKUP(Customer[[#This Row],[Customer ID]],[1]!Address[ID],[1]!Address[Phone No.(2)])</f>
        <v/>
      </c>
      <c r="V743" s="11" t="str">
        <f>_xlfn.XLOOKUP(Customer[[#This Row],[Customer ID]],[1]!Address[ID],[1]!Address[Type])</f>
        <v>PETROMART</v>
      </c>
      <c r="W743" s="11" t="str">
        <f>_xlfn.XLOOKUP(Customer[[#This Row],[Customer ID]],[1]!Address[ID],[1]!Address[CT])</f>
        <v>30 DAYS</v>
      </c>
      <c r="X743" s="11" t="s">
        <v>39</v>
      </c>
      <c r="Y743" s="17" t="s">
        <v>40</v>
      </c>
      <c r="Z743" s="17" t="e">
        <f>_xlfn.XLOOKUP(Customer[[#This Row],[NewType]],$AF$36:$AF$54,$AG$36:$AG$54)</f>
        <v>#N/A</v>
      </c>
      <c r="AA743" s="17" t="s">
        <v>5317</v>
      </c>
      <c r="AB743" s="11" t="str">
        <f>_xlfn.XLOOKUP(Customer[[#This Row],[Customer ID]],[1]!Address[ID],[1]!Address[Subtype])</f>
        <v>PETRONAS</v>
      </c>
      <c r="AC743" s="18" t="str">
        <f>_xlfn.XLOOKUP(Customer[[#This Row],[Customer ID]],[1]!Address[ID],[1]!Address[Zone])</f>
        <v>NORTH</v>
      </c>
    </row>
    <row r="744" spans="1:29" x14ac:dyDescent="0.3">
      <c r="A744" s="10" t="s">
        <v>5318</v>
      </c>
      <c r="B744" s="11" t="str">
        <f>_xlfn.XLOOKUP(Customer[[#This Row],[Customer ID]],[1]!Name[ID],[1]!Name[Description(1)])</f>
        <v>STESEN SERVIS KULIS BISTARI</v>
      </c>
      <c r="C744" s="11" t="str">
        <f>_xlfn.XLOOKUP(Customer[[#This Row],[Customer ID]],[1]!Name[ID],[1]!Name[Description(2)])</f>
        <v>PS TAMAN NUSA BESTARI</v>
      </c>
      <c r="D744" s="11" t="str">
        <f>_xlfn.XLOOKUP(Customer[[#This Row],[Customer ID]],[1]!Address[ID],[1]!Address[PIC])</f>
        <v/>
      </c>
      <c r="E744" s="11" t="str">
        <f>_xlfn.XLOOKUP(Customer[[#This Row],[Customer ID]],[1]!Address[ID],[1]!Address[Full Address])</f>
        <v>PS TAMAN NUSA BESTARILOT PTD 12351 TAMAN TAN SRI YAAKOB MUKIMPULAI, JOHOR, 81200, JOHOR BAHRU, JOHOR</v>
      </c>
      <c r="F744" s="12" t="s">
        <v>5319</v>
      </c>
      <c r="G744" s="12" t="s">
        <v>5320</v>
      </c>
      <c r="H744" s="12" t="s">
        <v>5321</v>
      </c>
      <c r="I744" s="12" t="b">
        <f>ISNUMBER(VALUE(LEFT(Customer[[#This Row],[Address Line 3 (30 char)]],1)))</f>
        <v>0</v>
      </c>
      <c r="J744" s="12" t="s">
        <v>1995</v>
      </c>
      <c r="K744" s="12">
        <v>81200</v>
      </c>
      <c r="L744" s="12" t="s">
        <v>35</v>
      </c>
      <c r="M744" s="13" t="e">
        <v>#N/A</v>
      </c>
      <c r="N744" s="14" t="e">
        <v>#N/A</v>
      </c>
      <c r="O744" s="14" t="e">
        <v>#N/A</v>
      </c>
      <c r="P744" s="14" t="e">
        <v>#N/A</v>
      </c>
      <c r="Q744" s="19" t="s">
        <v>5322</v>
      </c>
      <c r="R744" s="15" t="s">
        <v>5323</v>
      </c>
      <c r="S744" s="15" t="s">
        <v>37</v>
      </c>
      <c r="T744" s="16" t="s">
        <v>38</v>
      </c>
      <c r="U744" s="11" t="str">
        <f>_xlfn.XLOOKUP(Customer[[#This Row],[Customer ID]],[1]!Address[ID],[1]!Address[Phone No.(2)])</f>
        <v/>
      </c>
      <c r="V744" s="11" t="str">
        <f>_xlfn.XLOOKUP(Customer[[#This Row],[Customer ID]],[1]!Address[ID],[1]!Address[Type])</f>
        <v>PETROMART</v>
      </c>
      <c r="W744" s="11" t="str">
        <f>_xlfn.XLOOKUP(Customer[[#This Row],[Customer ID]],[1]!Address[ID],[1]!Address[CT])</f>
        <v>30 DAYS</v>
      </c>
      <c r="X744" s="11" t="s">
        <v>39</v>
      </c>
      <c r="Y744" s="17" t="s">
        <v>40</v>
      </c>
      <c r="Z744" s="17" t="e">
        <f>_xlfn.XLOOKUP(Customer[[#This Row],[NewType]],$AF$36:$AF$54,$AG$36:$AG$54)</f>
        <v>#N/A</v>
      </c>
      <c r="AA744" s="17" t="s">
        <v>5324</v>
      </c>
      <c r="AB744" s="11" t="str">
        <f>_xlfn.XLOOKUP(Customer[[#This Row],[Customer ID]],[1]!Address[ID],[1]!Address[Subtype])</f>
        <v>PETRONAS</v>
      </c>
      <c r="AC744" s="18" t="str">
        <f>_xlfn.XLOOKUP(Customer[[#This Row],[Customer ID]],[1]!Address[ID],[1]!Address[Zone])</f>
        <v>SOUTH</v>
      </c>
    </row>
    <row r="745" spans="1:29" x14ac:dyDescent="0.3">
      <c r="A745" s="10" t="s">
        <v>5325</v>
      </c>
      <c r="B745" s="11" t="str">
        <f>_xlfn.XLOOKUP(Customer[[#This Row],[Customer ID]],[1]!Name[ID],[1]!Name[Description(1)])</f>
        <v>IMANTAQWA SERVICE STATION</v>
      </c>
      <c r="C745" s="11" t="str">
        <f>_xlfn.XLOOKUP(Customer[[#This Row],[Customer ID]],[1]!Name[ID],[1]!Name[Description(2)])</f>
        <v>PS TAMAN PAUH, BUKIT MERTAJAM</v>
      </c>
      <c r="D745" s="11" t="str">
        <f>_xlfn.XLOOKUP(Customer[[#This Row],[Customer ID]],[1]!Address[ID],[1]!Address[PIC])</f>
        <v/>
      </c>
      <c r="E745" s="11" t="str">
        <f>_xlfn.XLOOKUP(Customer[[#This Row],[Customer ID]],[1]!Address[ID],[1]!Address[Full Address])</f>
        <v>PS TAMAN PAUH, BUKIT MERTAJAMPT 1612, HS(D) 1965, TAMAN PAUH JAYA, JAPERMATANG PAUH, BUKIT MERTAJAM, 13500,SEBERANG PERAI TENGAH, PULAU PINANG</v>
      </c>
      <c r="F745" s="12" t="s">
        <v>5326</v>
      </c>
      <c r="G745" s="12" t="s">
        <v>5327</v>
      </c>
      <c r="H745" s="12" t="s">
        <v>5328</v>
      </c>
      <c r="I745" s="12" t="b">
        <f>ISNUMBER(VALUE(LEFT(Customer[[#This Row],[Address Line 3 (30 char)]],1)))</f>
        <v>0</v>
      </c>
      <c r="J745" s="12" t="s">
        <v>179</v>
      </c>
      <c r="K745" s="12">
        <v>13500</v>
      </c>
      <c r="L745" s="12" t="s">
        <v>35</v>
      </c>
      <c r="M745" s="13" t="e">
        <v>#N/A</v>
      </c>
      <c r="N745" s="14" t="e">
        <v>#N/A</v>
      </c>
      <c r="O745" s="14" t="e">
        <v>#N/A</v>
      </c>
      <c r="P745" s="14" t="e">
        <v>#N/A</v>
      </c>
      <c r="Q745" s="19" t="s">
        <v>5329</v>
      </c>
      <c r="R745" s="15" t="s">
        <v>5330</v>
      </c>
      <c r="S745" s="15" t="s">
        <v>74</v>
      </c>
      <c r="T745" s="16" t="s">
        <v>38</v>
      </c>
      <c r="U745" s="11" t="str">
        <f>_xlfn.XLOOKUP(Customer[[#This Row],[Customer ID]],[1]!Address[ID],[1]!Address[Phone No.(2)])</f>
        <v/>
      </c>
      <c r="V745" s="11" t="str">
        <f>_xlfn.XLOOKUP(Customer[[#This Row],[Customer ID]],[1]!Address[ID],[1]!Address[Type])</f>
        <v>PETROMART</v>
      </c>
      <c r="W745" s="11" t="str">
        <f>_xlfn.XLOOKUP(Customer[[#This Row],[Customer ID]],[1]!Address[ID],[1]!Address[CT])</f>
        <v>30 DAYS</v>
      </c>
      <c r="X745" s="11" t="s">
        <v>39</v>
      </c>
      <c r="Y745" s="17" t="s">
        <v>40</v>
      </c>
      <c r="Z745" s="17" t="e">
        <f>_xlfn.XLOOKUP(Customer[[#This Row],[NewType]],$AF$36:$AF$54,$AG$36:$AG$54)</f>
        <v>#N/A</v>
      </c>
      <c r="AA745" s="17" t="s">
        <v>5331</v>
      </c>
      <c r="AB745" s="11" t="str">
        <f>_xlfn.XLOOKUP(Customer[[#This Row],[Customer ID]],[1]!Address[ID],[1]!Address[Subtype])</f>
        <v>PETRONAS</v>
      </c>
      <c r="AC745" s="18" t="str">
        <f>_xlfn.XLOOKUP(Customer[[#This Row],[Customer ID]],[1]!Address[ID],[1]!Address[Zone])</f>
        <v>NORTH</v>
      </c>
    </row>
    <row r="746" spans="1:29" x14ac:dyDescent="0.3">
      <c r="A746" s="10" t="s">
        <v>5332</v>
      </c>
      <c r="B746" s="11" t="str">
        <f>_xlfn.XLOOKUP(Customer[[#This Row],[Customer ID]],[1]!Name[ID],[1]!Name[Description(1)])</f>
        <v>NANI SURIANI KHAN ENTERPRISE</v>
      </c>
      <c r="C746" s="11" t="str">
        <f>_xlfn.XLOOKUP(Customer[[#This Row],[Customer ID]],[1]!Name[ID],[1]!Name[Description(2)])</f>
        <v>PS TAMAN PENGKALAN JAYA, IPOH</v>
      </c>
      <c r="D746" s="11" t="str">
        <f>_xlfn.XLOOKUP(Customer[[#This Row],[Customer ID]],[1]!Address[ID],[1]!Address[PIC])</f>
        <v/>
      </c>
      <c r="E746" s="11" t="str">
        <f>_xlfn.XLOOKUP(Customer[[#This Row],[Customer ID]],[1]!Address[ID],[1]!Address[Full Address])</f>
        <v>PS TAMAN PENGKALAN JAYA, IPOHLOT 89905 JALAN PASIR PUTEH,TAMAN PENGKALAN JAYA, IPOH,31650 PERAK</v>
      </c>
      <c r="F746" s="12" t="s">
        <v>5333</v>
      </c>
      <c r="G746" s="12" t="s">
        <v>5334</v>
      </c>
      <c r="H746" s="12" t="s">
        <v>5335</v>
      </c>
      <c r="I746" s="12" t="b">
        <f>ISNUMBER(VALUE(LEFT(Customer[[#This Row],[Address Line 3 (30 char)]],1)))</f>
        <v>0</v>
      </c>
      <c r="J746" s="12" t="s">
        <v>387</v>
      </c>
      <c r="K746" s="12">
        <v>31650</v>
      </c>
      <c r="L746" s="12" t="s">
        <v>35</v>
      </c>
      <c r="M746" s="13" t="e">
        <v>#N/A</v>
      </c>
      <c r="N746" s="14" t="s">
        <v>5336</v>
      </c>
      <c r="O746" s="14" t="e">
        <v>#N/A</v>
      </c>
      <c r="P746" s="14" t="e">
        <v>#N/A</v>
      </c>
      <c r="Q746" s="19" t="s">
        <v>5337</v>
      </c>
      <c r="R746" s="15" t="s">
        <v>5338</v>
      </c>
      <c r="S746" s="15" t="s">
        <v>74</v>
      </c>
      <c r="T746" s="16" t="s">
        <v>38</v>
      </c>
      <c r="U746" s="11" t="str">
        <f>_xlfn.XLOOKUP(Customer[[#This Row],[Customer ID]],[1]!Address[ID],[1]!Address[Phone No.(2)])</f>
        <v/>
      </c>
      <c r="V746" s="11" t="str">
        <f>_xlfn.XLOOKUP(Customer[[#This Row],[Customer ID]],[1]!Address[ID],[1]!Address[Type])</f>
        <v>PETROMART</v>
      </c>
      <c r="W746" s="11" t="str">
        <f>_xlfn.XLOOKUP(Customer[[#This Row],[Customer ID]],[1]!Address[ID],[1]!Address[CT])</f>
        <v>30 DAYS</v>
      </c>
      <c r="X746" s="11" t="s">
        <v>39</v>
      </c>
      <c r="Y746" s="17" t="s">
        <v>40</v>
      </c>
      <c r="Z746" s="17" t="e">
        <f>_xlfn.XLOOKUP(Customer[[#This Row],[NewType]],$AF$36:$AF$54,$AG$36:$AG$54)</f>
        <v>#N/A</v>
      </c>
      <c r="AA746" s="17" t="s">
        <v>5339</v>
      </c>
      <c r="AB746" s="11" t="str">
        <f>_xlfn.XLOOKUP(Customer[[#This Row],[Customer ID]],[1]!Address[ID],[1]!Address[Subtype])</f>
        <v>PETRONAS</v>
      </c>
      <c r="AC746" s="18" t="str">
        <f>_xlfn.XLOOKUP(Customer[[#This Row],[Customer ID]],[1]!Address[ID],[1]!Address[Zone])</f>
        <v>NORTH</v>
      </c>
    </row>
    <row r="747" spans="1:29" x14ac:dyDescent="0.3">
      <c r="A747" s="10" t="s">
        <v>5340</v>
      </c>
      <c r="B747" s="11" t="str">
        <f>_xlfn.XLOOKUP(Customer[[#This Row],[Customer ID]],[1]!Name[ID],[1]!Name[Description(1)])</f>
        <v>SHAZADIYANA ENTERPRISE</v>
      </c>
      <c r="C747" s="11" t="str">
        <f>_xlfn.XLOOKUP(Customer[[#This Row],[Customer ID]],[1]!Name[ID],[1]!Name[Description(2)])</f>
        <v>PS TAMAN PENGKALAN UTAMA, IPOH</v>
      </c>
      <c r="D747" s="11" t="str">
        <f>_xlfn.XLOOKUP(Customer[[#This Row],[Customer ID]],[1]!Address[ID],[1]!Address[PIC])</f>
        <v/>
      </c>
      <c r="E747" s="11" t="str">
        <f>_xlfn.XLOOKUP(Customer[[#This Row],[Customer ID]],[1]!Address[ID],[1]!Address[Full Address])</f>
        <v>PS TAMAN PENGKALAN UTAMA, IPOHLOT 191532, JALAN PASIR PUTIH, TAMANPENGKALAN UTAMA, IPOH, 31650,KINTA,PERAK</v>
      </c>
      <c r="F747" s="12" t="s">
        <v>5341</v>
      </c>
      <c r="G747" s="12" t="s">
        <v>5342</v>
      </c>
      <c r="H747" s="12" t="s">
        <v>5001</v>
      </c>
      <c r="I747" s="12" t="b">
        <f>ISNUMBER(VALUE(LEFT(Customer[[#This Row],[Address Line 3 (30 char)]],1)))</f>
        <v>0</v>
      </c>
      <c r="J747" s="12" t="s">
        <v>387</v>
      </c>
      <c r="K747" s="12">
        <v>31650</v>
      </c>
      <c r="L747" s="12" t="s">
        <v>35</v>
      </c>
      <c r="M747" s="13">
        <v>200303032348</v>
      </c>
      <c r="N747" s="14" t="s">
        <v>5343</v>
      </c>
      <c r="O747" s="14" t="e">
        <v>#N/A</v>
      </c>
      <c r="P747" s="14" t="e">
        <v>#N/A</v>
      </c>
      <c r="Q747" s="19" t="s">
        <v>5344</v>
      </c>
      <c r="R747" s="15" t="s">
        <v>5345</v>
      </c>
      <c r="S747" s="15" t="s">
        <v>37</v>
      </c>
      <c r="T747" s="16" t="s">
        <v>38</v>
      </c>
      <c r="U747" s="11" t="str">
        <f>_xlfn.XLOOKUP(Customer[[#This Row],[Customer ID]],[1]!Address[ID],[1]!Address[Phone No.(2)])</f>
        <v/>
      </c>
      <c r="V747" s="11" t="str">
        <f>_xlfn.XLOOKUP(Customer[[#This Row],[Customer ID]],[1]!Address[ID],[1]!Address[Type])</f>
        <v>PETROMART</v>
      </c>
      <c r="W747" s="11" t="str">
        <f>_xlfn.XLOOKUP(Customer[[#This Row],[Customer ID]],[1]!Address[ID],[1]!Address[CT])</f>
        <v>30 DAYS</v>
      </c>
      <c r="X747" s="11" t="s">
        <v>39</v>
      </c>
      <c r="Y747" s="17" t="s">
        <v>40</v>
      </c>
      <c r="Z747" s="17" t="e">
        <f>_xlfn.XLOOKUP(Customer[[#This Row],[NewType]],$AF$36:$AF$54,$AG$36:$AG$54)</f>
        <v>#N/A</v>
      </c>
      <c r="AA747" s="17" t="s">
        <v>5346</v>
      </c>
      <c r="AB747" s="11" t="str">
        <f>_xlfn.XLOOKUP(Customer[[#This Row],[Customer ID]],[1]!Address[ID],[1]!Address[Subtype])</f>
        <v>PETRONAS</v>
      </c>
      <c r="AC747" s="18" t="str">
        <f>_xlfn.XLOOKUP(Customer[[#This Row],[Customer ID]],[1]!Address[ID],[1]!Address[Zone])</f>
        <v>NORTH</v>
      </c>
    </row>
    <row r="748" spans="1:29" x14ac:dyDescent="0.3">
      <c r="A748" s="10" t="s">
        <v>5347</v>
      </c>
      <c r="B748" s="11" t="str">
        <f>_xlfn.XLOOKUP(Customer[[#This Row],[Customer ID]],[1]!Name[ID],[1]!Name[Description(1)])</f>
        <v>POLYSAGE TRADING PERLING SDN BHD</v>
      </c>
      <c r="C748" s="11" t="str">
        <f>_xlfn.XLOOKUP(Customer[[#This Row],[Customer ID]],[1]!Name[ID],[1]!Name[Description(2)])</f>
        <v>PS TAMAN PERLING, MUKIM PULAI</v>
      </c>
      <c r="D748" s="11" t="str">
        <f>_xlfn.XLOOKUP(Customer[[#This Row],[Customer ID]],[1]!Address[ID],[1]!Address[PIC])</f>
        <v/>
      </c>
      <c r="E748" s="11" t="str">
        <f>_xlfn.XLOOKUP(Customer[[#This Row],[Customer ID]],[1]!Address[ID],[1]!Address[Full Address])</f>
        <v>PS TAMAN PERLING, MUKIM PULAILOT 31222, HS (D) 114738,LOT 50844,JALANLAYANG 16, TAMAN PERLING, MUKIM PULAI,JOHOR BAHRU, 81200, JOHOR BAHRU, JOHOR</v>
      </c>
      <c r="F748" s="12" t="s">
        <v>5348</v>
      </c>
      <c r="G748" s="12" t="s">
        <v>5349</v>
      </c>
      <c r="H748" s="24" t="s">
        <v>5350</v>
      </c>
      <c r="I748" s="24" t="b">
        <f>ISNUMBER(VALUE(LEFT(Customer[[#This Row],[Address Line 3 (30 char)]],1)))</f>
        <v>0</v>
      </c>
      <c r="J748" s="12" t="s">
        <v>1995</v>
      </c>
      <c r="K748" s="12">
        <v>81200</v>
      </c>
      <c r="L748" s="12" t="s">
        <v>35</v>
      </c>
      <c r="M748" s="13" t="e">
        <v>#N/A</v>
      </c>
      <c r="N748" s="14" t="e">
        <v>#N/A</v>
      </c>
      <c r="O748" s="14" t="e">
        <v>#N/A</v>
      </c>
      <c r="P748" s="14" t="e">
        <v>#N/A</v>
      </c>
      <c r="Q748" s="19" t="s">
        <v>5351</v>
      </c>
      <c r="R748" s="15" t="s">
        <v>5352</v>
      </c>
      <c r="S748" s="15" t="s">
        <v>37</v>
      </c>
      <c r="T748" s="16" t="s">
        <v>38</v>
      </c>
      <c r="U748" s="11" t="str">
        <f>_xlfn.XLOOKUP(Customer[[#This Row],[Customer ID]],[1]!Address[ID],[1]!Address[Phone No.(2)])</f>
        <v/>
      </c>
      <c r="V748" s="11" t="str">
        <f>_xlfn.XLOOKUP(Customer[[#This Row],[Customer ID]],[1]!Address[ID],[1]!Address[Type])</f>
        <v>PETROMART</v>
      </c>
      <c r="W748" s="11" t="str">
        <f>_xlfn.XLOOKUP(Customer[[#This Row],[Customer ID]],[1]!Address[ID],[1]!Address[CT])</f>
        <v>30 DAYS</v>
      </c>
      <c r="X748" s="11" t="s">
        <v>39</v>
      </c>
      <c r="Y748" s="17" t="s">
        <v>40</v>
      </c>
      <c r="Z748" s="17" t="e">
        <f>_xlfn.XLOOKUP(Customer[[#This Row],[NewType]],$AF$36:$AF$54,$AG$36:$AG$54)</f>
        <v>#N/A</v>
      </c>
      <c r="AA748" s="17" t="s">
        <v>5353</v>
      </c>
      <c r="AB748" s="11" t="str">
        <f>_xlfn.XLOOKUP(Customer[[#This Row],[Customer ID]],[1]!Address[ID],[1]!Address[Subtype])</f>
        <v>PETRONAS</v>
      </c>
      <c r="AC748" s="18" t="str">
        <f>_xlfn.XLOOKUP(Customer[[#This Row],[Customer ID]],[1]!Address[ID],[1]!Address[Zone])</f>
        <v>SOUTH</v>
      </c>
    </row>
    <row r="749" spans="1:29" x14ac:dyDescent="0.3">
      <c r="A749" s="27" t="s">
        <v>5354</v>
      </c>
      <c r="B749" s="28" t="str">
        <f>_xlfn.XLOOKUP(Customer[[#This Row],[Customer ID]],[1]!Name[ID],[1]!Name[Description(1)])</f>
        <v>FZM GLOBAL RESOURCES</v>
      </c>
      <c r="C749" s="11" t="str">
        <f>_xlfn.XLOOKUP(Customer[[#This Row],[Customer ID]],[1]!Name[ID],[1]!Name[Description(2)])</f>
        <v>PS TAMAN PERMAI JAYA</v>
      </c>
      <c r="D749" s="11" t="str">
        <f>_xlfn.XLOOKUP(Customer[[#This Row],[Customer ID]],[1]!Address[ID],[1]!Address[PIC])</f>
        <v/>
      </c>
      <c r="E749" s="11" t="str">
        <f>_xlfn.XLOOKUP(Customer[[#This Row],[Customer ID]],[1]!Address[ID],[1]!Address[Full Address])</f>
        <v>PS TAMAN PERMAI JAYAGM 9376,LOT 31636 MUKIM 14, SEBERANG PERTENGAH, 14000, BUKIT MERTAJAM,PULAU PINANG.</v>
      </c>
      <c r="F749" s="12" t="s">
        <v>5355</v>
      </c>
      <c r="G749" s="12" t="s">
        <v>5356</v>
      </c>
      <c r="H749" s="12" t="s">
        <v>5357</v>
      </c>
      <c r="I749" s="12" t="b">
        <f>ISNUMBER(VALUE(LEFT(Customer[[#This Row],[Address Line 3 (30 char)]],1)))</f>
        <v>0</v>
      </c>
      <c r="J749" s="12" t="s">
        <v>179</v>
      </c>
      <c r="K749" s="12">
        <v>14000</v>
      </c>
      <c r="L749" s="12" t="s">
        <v>35</v>
      </c>
      <c r="M749" s="35">
        <v>202003031004</v>
      </c>
      <c r="N749" s="33" t="s">
        <v>5358</v>
      </c>
      <c r="O749" s="14" t="e">
        <v>#N/A</v>
      </c>
      <c r="P749" s="14" t="e">
        <v>#N/A</v>
      </c>
      <c r="Q749" s="19" t="s">
        <v>5359</v>
      </c>
      <c r="R749" s="15" t="s">
        <v>5360</v>
      </c>
      <c r="S749" s="15" t="s">
        <v>74</v>
      </c>
      <c r="T749" s="16" t="s">
        <v>38</v>
      </c>
      <c r="U749" s="11" t="str">
        <f>_xlfn.XLOOKUP(Customer[[#This Row],[Customer ID]],[1]!Address[ID],[1]!Address[Phone No.(2)])</f>
        <v/>
      </c>
      <c r="V749" s="11" t="str">
        <f>_xlfn.XLOOKUP(Customer[[#This Row],[Customer ID]],[1]!Address[ID],[1]!Address[Type])</f>
        <v>PETROMART</v>
      </c>
      <c r="W749" s="11" t="str">
        <f>_xlfn.XLOOKUP(Customer[[#This Row],[Customer ID]],[1]!Address[ID],[1]!Address[CT])</f>
        <v>30 DAYS</v>
      </c>
      <c r="X749" s="11" t="s">
        <v>39</v>
      </c>
      <c r="Y749" s="17" t="s">
        <v>40</v>
      </c>
      <c r="Z749" s="17" t="e">
        <f>_xlfn.XLOOKUP(Customer[[#This Row],[NewType]],$AF$36:$AF$54,$AG$36:$AG$54)</f>
        <v>#N/A</v>
      </c>
      <c r="AA749" s="17" t="s">
        <v>5361</v>
      </c>
      <c r="AB749" s="11" t="str">
        <f>_xlfn.XLOOKUP(Customer[[#This Row],[Customer ID]],[1]!Address[ID],[1]!Address[Subtype])</f>
        <v>PETRONAS</v>
      </c>
      <c r="AC749" s="18" t="str">
        <f>_xlfn.XLOOKUP(Customer[[#This Row],[Customer ID]],[1]!Address[ID],[1]!Address[Zone])</f>
        <v>NORTH</v>
      </c>
    </row>
    <row r="750" spans="1:29" x14ac:dyDescent="0.3">
      <c r="A750" s="10" t="s">
        <v>5362</v>
      </c>
      <c r="B750" s="11" t="str">
        <f>_xlfn.XLOOKUP(Customer[[#This Row],[Customer ID]],[1]!Name[ID],[1]!Name[Description(1)])</f>
        <v>TELAGA QAUSAR RESOURCES</v>
      </c>
      <c r="C750" s="11" t="str">
        <f>_xlfn.XLOOKUP(Customer[[#This Row],[Customer ID]],[1]!Name[ID],[1]!Name[Description(2)])</f>
        <v>PS TAMAN PUTERA BUDIMAN</v>
      </c>
      <c r="D750" s="11" t="str">
        <f>_xlfn.XLOOKUP(Customer[[#This Row],[Customer ID]],[1]!Address[ID],[1]!Address[PIC])</f>
        <v/>
      </c>
      <c r="E750" s="11" t="str">
        <f>_xlfn.XLOOKUP(Customer[[#This Row],[Customer ID]],[1]!Address[ID],[1]!Address[Full Address])</f>
        <v>PS TAMAN PUTERA BUDIMANLOT PT 41658, HS(D) 53482, TAMAN PUTERABUDIMAN, KAJANG, SELANGOR, 43000,ULU LANGAT, SELANGOR</v>
      </c>
      <c r="F750" s="12" t="s">
        <v>5363</v>
      </c>
      <c r="G750" s="12" t="s">
        <v>5364</v>
      </c>
      <c r="H750" s="12" t="s">
        <v>5365</v>
      </c>
      <c r="I750" s="12" t="b">
        <f>ISNUMBER(VALUE(LEFT(Customer[[#This Row],[Address Line 3 (30 char)]],1)))</f>
        <v>0</v>
      </c>
      <c r="J750" s="12" t="s">
        <v>1907</v>
      </c>
      <c r="K750" s="12">
        <v>43000</v>
      </c>
      <c r="L750" s="12" t="s">
        <v>35</v>
      </c>
      <c r="M750" s="13" t="e">
        <v>#N/A</v>
      </c>
      <c r="N750" s="14" t="e">
        <v>#N/A</v>
      </c>
      <c r="O750" s="14" t="e">
        <v>#N/A</v>
      </c>
      <c r="P750" s="14" t="e">
        <v>#N/A</v>
      </c>
      <c r="Q750" s="19" t="s">
        <v>5366</v>
      </c>
      <c r="R750" s="15" t="s">
        <v>5367</v>
      </c>
      <c r="S750" s="15" t="s">
        <v>37</v>
      </c>
      <c r="T750" s="16" t="s">
        <v>38</v>
      </c>
      <c r="U750" s="11" t="str">
        <f>_xlfn.XLOOKUP(Customer[[#This Row],[Customer ID]],[1]!Address[ID],[1]!Address[Phone No.(2)])</f>
        <v/>
      </c>
      <c r="V750" s="11" t="str">
        <f>_xlfn.XLOOKUP(Customer[[#This Row],[Customer ID]],[1]!Address[ID],[1]!Address[Type])</f>
        <v>PETROMART</v>
      </c>
      <c r="W750" s="11" t="str">
        <f>_xlfn.XLOOKUP(Customer[[#This Row],[Customer ID]],[1]!Address[ID],[1]!Address[CT])</f>
        <v>30 DAYS</v>
      </c>
      <c r="X750" s="11" t="s">
        <v>39</v>
      </c>
      <c r="Y750" s="17" t="s">
        <v>40</v>
      </c>
      <c r="Z750" s="17" t="e">
        <f>_xlfn.XLOOKUP(Customer[[#This Row],[NewType]],$AF$36:$AF$54,$AG$36:$AG$54)</f>
        <v>#N/A</v>
      </c>
      <c r="AA750" s="17" t="s">
        <v>5368</v>
      </c>
      <c r="AB750" s="11" t="str">
        <f>_xlfn.XLOOKUP(Customer[[#This Row],[Customer ID]],[1]!Address[ID],[1]!Address[Subtype])</f>
        <v>PETRONAS</v>
      </c>
      <c r="AC750" s="18" t="str">
        <f>_xlfn.XLOOKUP(Customer[[#This Row],[Customer ID]],[1]!Address[ID],[1]!Address[Zone])</f>
        <v>CENTRAL</v>
      </c>
    </row>
    <row r="751" spans="1:29" x14ac:dyDescent="0.3">
      <c r="A751" s="10" t="s">
        <v>5369</v>
      </c>
      <c r="B751" s="11" t="str">
        <f>_xlfn.XLOOKUP(Customer[[#This Row],[Customer ID]],[1]!Name[ID],[1]!Name[Description(1)])</f>
        <v>ARH DAGANG VENTURE</v>
      </c>
      <c r="C751" s="11" t="str">
        <f>_xlfn.XLOOKUP(Customer[[#This Row],[Customer ID]],[1]!Name[ID],[1]!Name[Description(2)])</f>
        <v>PS TAMAN PUTRA AMPANG</v>
      </c>
      <c r="D751" s="11" t="str">
        <f>_xlfn.XLOOKUP(Customer[[#This Row],[Customer ID]],[1]!Address[ID],[1]!Address[PIC])</f>
        <v/>
      </c>
      <c r="E751" s="11" t="str">
        <f>_xlfn.XLOOKUP(Customer[[#This Row],[Customer ID]],[1]!Address[ID],[1]!Address[Full Address])</f>
        <v>PS TAMAN PUTRA AMPANGLOT 25150, TAMAN PUTRA, AMPANG,SELANGOR, 68000, GOMBAK, SELANGOR</v>
      </c>
      <c r="F751" s="12" t="s">
        <v>5370</v>
      </c>
      <c r="G751" s="12" t="s">
        <v>5371</v>
      </c>
      <c r="H751" s="12" t="s">
        <v>5372</v>
      </c>
      <c r="I751" s="12" t="b">
        <f>ISNUMBER(VALUE(LEFT(Customer[[#This Row],[Address Line 3 (30 char)]],1)))</f>
        <v>0</v>
      </c>
      <c r="J751" s="12" t="s">
        <v>1907</v>
      </c>
      <c r="K751" s="12">
        <v>68000</v>
      </c>
      <c r="L751" s="12" t="s">
        <v>35</v>
      </c>
      <c r="M751" s="13" t="s">
        <v>5373</v>
      </c>
      <c r="N751" s="14" t="s">
        <v>5374</v>
      </c>
      <c r="O751" s="14" t="s">
        <v>156</v>
      </c>
      <c r="P751" s="14" t="s">
        <v>54</v>
      </c>
      <c r="Q751" s="19" t="s">
        <v>5375</v>
      </c>
      <c r="R751" s="15" t="s">
        <v>5376</v>
      </c>
      <c r="S751" s="15" t="s">
        <v>37</v>
      </c>
      <c r="T751" s="16" t="s">
        <v>38</v>
      </c>
      <c r="U751" s="11" t="str">
        <f>_xlfn.XLOOKUP(Customer[[#This Row],[Customer ID]],[1]!Address[ID],[1]!Address[Phone No.(2)])</f>
        <v/>
      </c>
      <c r="V751" s="11" t="str">
        <f>_xlfn.XLOOKUP(Customer[[#This Row],[Customer ID]],[1]!Address[ID],[1]!Address[Type])</f>
        <v>PETROMART</v>
      </c>
      <c r="W751" s="11" t="str">
        <f>_xlfn.XLOOKUP(Customer[[#This Row],[Customer ID]],[1]!Address[ID],[1]!Address[CT])</f>
        <v>30 DAYS</v>
      </c>
      <c r="X751" s="11" t="s">
        <v>39</v>
      </c>
      <c r="Y751" s="17" t="s">
        <v>40</v>
      </c>
      <c r="Z751" s="17" t="e">
        <f>_xlfn.XLOOKUP(Customer[[#This Row],[NewType]],$AF$36:$AF$54,$AG$36:$AG$54)</f>
        <v>#N/A</v>
      </c>
      <c r="AA751" s="17" t="s">
        <v>5377</v>
      </c>
      <c r="AB751" s="11" t="str">
        <f>_xlfn.XLOOKUP(Customer[[#This Row],[Customer ID]],[1]!Address[ID],[1]!Address[Subtype])</f>
        <v>PETRONAS</v>
      </c>
      <c r="AC751" s="18" t="str">
        <f>_xlfn.XLOOKUP(Customer[[#This Row],[Customer ID]],[1]!Address[ID],[1]!Address[Zone])</f>
        <v>CENTRAL</v>
      </c>
    </row>
    <row r="752" spans="1:29" x14ac:dyDescent="0.3">
      <c r="A752" s="10" t="s">
        <v>5378</v>
      </c>
      <c r="B752" s="11" t="str">
        <f>_xlfn.XLOOKUP(Customer[[#This Row],[Customer ID]],[1]!Name[ID],[1]!Name[Description(1)])</f>
        <v>SURABAYA ENTERPRISE</v>
      </c>
      <c r="C752" s="11" t="str">
        <f>_xlfn.XLOOKUP(Customer[[#This Row],[Customer ID]],[1]!Name[ID],[1]!Name[Description(2)])</f>
        <v>PS TAMAN PUTRA INDAH, BERCHAM</v>
      </c>
      <c r="D752" s="11" t="str">
        <f>_xlfn.XLOOKUP(Customer[[#This Row],[Customer ID]],[1]!Address[ID],[1]!Address[PIC])</f>
        <v/>
      </c>
      <c r="E752" s="11" t="str">
        <f>_xlfn.XLOOKUP(Customer[[#This Row],[Customer ID]],[1]!Address[ID],[1]!Address[Full Address])</f>
        <v>PS TAMAN PUTRA INDAH, BERCHAMLOT PT 187383, HS (D) 12200, TAMAN PUTRAINDAH, JLN BERCHAM-TG. RAMBUTAN, IPOH,31250, KINTA, PERAK</v>
      </c>
      <c r="F752" s="12" t="s">
        <v>5379</v>
      </c>
      <c r="G752" s="12" t="s">
        <v>5380</v>
      </c>
      <c r="H752" s="12" t="s">
        <v>5381</v>
      </c>
      <c r="I752" s="12" t="b">
        <f>ISNUMBER(VALUE(LEFT(Customer[[#This Row],[Address Line 3 (30 char)]],1)))</f>
        <v>0</v>
      </c>
      <c r="J752" s="12" t="s">
        <v>387</v>
      </c>
      <c r="K752" s="12">
        <v>31250</v>
      </c>
      <c r="L752" s="12" t="s">
        <v>35</v>
      </c>
      <c r="M752" s="13" t="e">
        <v>#N/A</v>
      </c>
      <c r="N752" s="14" t="e">
        <v>#N/A</v>
      </c>
      <c r="O752" s="14" t="e">
        <v>#N/A</v>
      </c>
      <c r="P752" s="14" t="e">
        <v>#N/A</v>
      </c>
      <c r="Q752" s="19" t="s">
        <v>5382</v>
      </c>
      <c r="R752" s="15" t="s">
        <v>5383</v>
      </c>
      <c r="S752" s="15" t="s">
        <v>37</v>
      </c>
      <c r="T752" s="16" t="s">
        <v>38</v>
      </c>
      <c r="U752" s="11" t="str">
        <f>_xlfn.XLOOKUP(Customer[[#This Row],[Customer ID]],[1]!Address[ID],[1]!Address[Phone No.(2)])</f>
        <v/>
      </c>
      <c r="V752" s="11" t="str">
        <f>_xlfn.XLOOKUP(Customer[[#This Row],[Customer ID]],[1]!Address[ID],[1]!Address[Type])</f>
        <v>PETROMART</v>
      </c>
      <c r="W752" s="11" t="str">
        <f>_xlfn.XLOOKUP(Customer[[#This Row],[Customer ID]],[1]!Address[ID],[1]!Address[CT])</f>
        <v>30 DAYS</v>
      </c>
      <c r="X752" s="11" t="s">
        <v>39</v>
      </c>
      <c r="Y752" s="17" t="s">
        <v>40</v>
      </c>
      <c r="Z752" s="17" t="e">
        <f>_xlfn.XLOOKUP(Customer[[#This Row],[NewType]],$AF$36:$AF$54,$AG$36:$AG$54)</f>
        <v>#N/A</v>
      </c>
      <c r="AA752" s="17" t="s">
        <v>5384</v>
      </c>
      <c r="AB752" s="11" t="str">
        <f>_xlfn.XLOOKUP(Customer[[#This Row],[Customer ID]],[1]!Address[ID],[1]!Address[Subtype])</f>
        <v>PETRONAS</v>
      </c>
      <c r="AC752" s="18" t="str">
        <f>_xlfn.XLOOKUP(Customer[[#This Row],[Customer ID]],[1]!Address[ID],[1]!Address[Zone])</f>
        <v>NORTH</v>
      </c>
    </row>
    <row r="753" spans="1:29" x14ac:dyDescent="0.3">
      <c r="A753" s="10" t="s">
        <v>5385</v>
      </c>
      <c r="B753" s="11" t="str">
        <f>_xlfn.XLOOKUP(Customer[[#This Row],[Customer ID]],[1]!Name[ID],[1]!Name[Description(1)])</f>
        <v>AL QADR ENTERPRISE</v>
      </c>
      <c r="C753" s="11" t="str">
        <f>_xlfn.XLOOKUP(Customer[[#This Row],[Customer ID]],[1]!Name[ID],[1]!Name[Description(2)])</f>
        <v>PS TAMAN RAKAN</v>
      </c>
      <c r="D753" s="11" t="str">
        <f>_xlfn.XLOOKUP(Customer[[#This Row],[Customer ID]],[1]!Address[ID],[1]!Address[PIC])</f>
        <v/>
      </c>
      <c r="E753" s="11" t="str">
        <f>_xlfn.XLOOKUP(Customer[[#This Row],[Customer ID]],[1]!Address[ID],[1]!Address[Full Address])</f>
        <v>PS TAMAN RAKANPT 47809 HS(D) 125476 BANDAR (JALAN) SUNLONG (TAMAN RAKAN), MUKIM CHERAS,SELANGOR, 43100, ULU LANGAT, SELANGOR</v>
      </c>
      <c r="F753" s="12" t="s">
        <v>5386</v>
      </c>
      <c r="G753" s="12" t="s">
        <v>5387</v>
      </c>
      <c r="H753" s="12" t="s">
        <v>5388</v>
      </c>
      <c r="I753" s="12" t="b">
        <f>ISNUMBER(VALUE(LEFT(Customer[[#This Row],[Address Line 3 (30 char)]],1)))</f>
        <v>0</v>
      </c>
      <c r="J753" s="12" t="s">
        <v>1907</v>
      </c>
      <c r="K753" s="12">
        <v>43100</v>
      </c>
      <c r="L753" s="12" t="s">
        <v>35</v>
      </c>
      <c r="M753" s="13" t="e">
        <v>#N/A</v>
      </c>
      <c r="N753" s="14" t="e">
        <v>#N/A</v>
      </c>
      <c r="O753" s="14" t="e">
        <v>#N/A</v>
      </c>
      <c r="P753" s="14" t="e">
        <v>#N/A</v>
      </c>
      <c r="Q753" s="19" t="s">
        <v>5389</v>
      </c>
      <c r="R753" s="15" t="s">
        <v>5390</v>
      </c>
      <c r="S753" s="15" t="s">
        <v>65</v>
      </c>
      <c r="T753" s="16" t="s">
        <v>38</v>
      </c>
      <c r="U753" s="11" t="str">
        <f>_xlfn.XLOOKUP(Customer[[#This Row],[Customer ID]],[1]!Address[ID],[1]!Address[Phone No.(2)])</f>
        <v/>
      </c>
      <c r="V753" s="11" t="str">
        <f>_xlfn.XLOOKUP(Customer[[#This Row],[Customer ID]],[1]!Address[ID],[1]!Address[Type])</f>
        <v>PETROMART</v>
      </c>
      <c r="W753" s="11" t="str">
        <f>_xlfn.XLOOKUP(Customer[[#This Row],[Customer ID]],[1]!Address[ID],[1]!Address[CT])</f>
        <v>30 DAYS</v>
      </c>
      <c r="X753" s="11" t="s">
        <v>39</v>
      </c>
      <c r="Y753" s="17" t="s">
        <v>40</v>
      </c>
      <c r="Z753" s="17" t="e">
        <f>_xlfn.XLOOKUP(Customer[[#This Row],[NewType]],$AF$36:$AF$54,$AG$36:$AG$54)</f>
        <v>#N/A</v>
      </c>
      <c r="AA753" s="17" t="s">
        <v>5391</v>
      </c>
      <c r="AB753" s="11" t="str">
        <f>_xlfn.XLOOKUP(Customer[[#This Row],[Customer ID]],[1]!Address[ID],[1]!Address[Subtype])</f>
        <v>PETRONAS</v>
      </c>
      <c r="AC753" s="18" t="str">
        <f>_xlfn.XLOOKUP(Customer[[#This Row],[Customer ID]],[1]!Address[ID],[1]!Address[Zone])</f>
        <v>CENTRAL</v>
      </c>
    </row>
    <row r="754" spans="1:29" x14ac:dyDescent="0.3">
      <c r="A754" s="27" t="s">
        <v>5392</v>
      </c>
      <c r="B754" s="28" t="str">
        <f>_xlfn.XLOOKUP(Customer[[#This Row],[Customer ID]],[1]!Name[ID],[1]!Name[Description(1)])</f>
        <v>AZ MESRA UTAMA ENTERPRISE</v>
      </c>
      <c r="C754" s="11" t="str">
        <f>_xlfn.XLOOKUP(Customer[[#This Row],[Customer ID]],[1]!Name[ID],[1]!Name[Description(2)])</f>
        <v>PS TAMAN RAKYAT MERGONG</v>
      </c>
      <c r="D754" s="11" t="str">
        <f>_xlfn.XLOOKUP(Customer[[#This Row],[Customer ID]],[1]!Address[ID],[1]!Address[PIC])</f>
        <v/>
      </c>
      <c r="E754" s="11" t="str">
        <f>_xlfn.XLOOKUP(Customer[[#This Row],[Customer ID]],[1]!Address[ID],[1]!Address[Full Address])</f>
        <v>PS TAMAN RAKYAT MERGONGLOT PT 4234, HSD 21586, MUKIM MERGONG,ALOR SETAR, KEDAH, 05150, KOTA SETAR,KEDAH</v>
      </c>
      <c r="F754" s="12" t="s">
        <v>5393</v>
      </c>
      <c r="G754" s="12" t="s">
        <v>5394</v>
      </c>
      <c r="H754" s="12" t="s">
        <v>5395</v>
      </c>
      <c r="I754" s="12" t="b">
        <f>ISNUMBER(VALUE(LEFT(Customer[[#This Row],[Address Line 3 (30 char)]],1)))</f>
        <v>0</v>
      </c>
      <c r="J754" s="12" t="s">
        <v>79</v>
      </c>
      <c r="K754" s="30" t="s">
        <v>3421</v>
      </c>
      <c r="L754" s="12" t="s">
        <v>35</v>
      </c>
      <c r="M754" s="13" t="e">
        <v>#N/A</v>
      </c>
      <c r="N754" s="14" t="e">
        <v>#N/A</v>
      </c>
      <c r="O754" s="14" t="e">
        <v>#N/A</v>
      </c>
      <c r="P754" s="14" t="e">
        <v>#N/A</v>
      </c>
      <c r="Q754" s="19" t="s">
        <v>5396</v>
      </c>
      <c r="R754" s="15" t="s">
        <v>5397</v>
      </c>
      <c r="S754" s="15" t="s">
        <v>74</v>
      </c>
      <c r="T754" s="16" t="s">
        <v>38</v>
      </c>
      <c r="U754" s="11" t="str">
        <f>_xlfn.XLOOKUP(Customer[[#This Row],[Customer ID]],[1]!Address[ID],[1]!Address[Phone No.(2)])</f>
        <v/>
      </c>
      <c r="V754" s="11" t="str">
        <f>_xlfn.XLOOKUP(Customer[[#This Row],[Customer ID]],[1]!Address[ID],[1]!Address[Type])</f>
        <v>PETROMART</v>
      </c>
      <c r="W754" s="11" t="str">
        <f>_xlfn.XLOOKUP(Customer[[#This Row],[Customer ID]],[1]!Address[ID],[1]!Address[CT])</f>
        <v>30 DAYS</v>
      </c>
      <c r="X754" s="11" t="s">
        <v>39</v>
      </c>
      <c r="Y754" s="17" t="s">
        <v>40</v>
      </c>
      <c r="Z754" s="17" t="e">
        <f>_xlfn.XLOOKUP(Customer[[#This Row],[NewType]],$AF$36:$AF$54,$AG$36:$AG$54)</f>
        <v>#N/A</v>
      </c>
      <c r="AA754" s="17" t="s">
        <v>5398</v>
      </c>
      <c r="AB754" s="11" t="str">
        <f>_xlfn.XLOOKUP(Customer[[#This Row],[Customer ID]],[1]!Address[ID],[1]!Address[Subtype])</f>
        <v>PETRONAS</v>
      </c>
      <c r="AC754" s="18" t="str">
        <f>_xlfn.XLOOKUP(Customer[[#This Row],[Customer ID]],[1]!Address[ID],[1]!Address[Zone])</f>
        <v>NORTH</v>
      </c>
    </row>
    <row r="755" spans="1:29" x14ac:dyDescent="0.3">
      <c r="A755" s="10" t="s">
        <v>5399</v>
      </c>
      <c r="B755" s="11" t="str">
        <f>_xlfn.XLOOKUP(Customer[[#This Row],[Customer ID]],[1]!Name[ID],[1]!Name[Description(1)])</f>
        <v>RU MUTIARA ENTERPRISE</v>
      </c>
      <c r="C755" s="11" t="str">
        <f>_xlfn.XLOOKUP(Customer[[#This Row],[Customer ID]],[1]!Name[ID],[1]!Name[Description(2)])</f>
        <v>PS TAMAN RAMBAI UTAMA</v>
      </c>
      <c r="D755" s="11" t="str">
        <f>_xlfn.XLOOKUP(Customer[[#This Row],[Customer ID]],[1]!Address[ID],[1]!Address[PIC])</f>
        <v/>
      </c>
      <c r="E755" s="11" t="str">
        <f>_xlfn.XLOOKUP(Customer[[#This Row],[Customer ID]],[1]!Address[ID],[1]!Address[Full Address])</f>
        <v>PS TAMAN RAMBAI UTAMALOT PT 4033 HS(M) 1201, MKM TANJUNGMINYAK, TMN RAMBAI UTAMA, MELAKA, 75250,MELAKA TENGAH, MELAKA</v>
      </c>
      <c r="F755" s="12" t="s">
        <v>5400</v>
      </c>
      <c r="G755" s="12" t="s">
        <v>5401</v>
      </c>
      <c r="H755" s="12" t="s">
        <v>5402</v>
      </c>
      <c r="I755" s="12" t="b">
        <f>ISNUMBER(VALUE(LEFT(Customer[[#This Row],[Address Line 3 (30 char)]],1)))</f>
        <v>0</v>
      </c>
      <c r="J755" s="12" t="s">
        <v>61</v>
      </c>
      <c r="K755" s="12">
        <v>75250</v>
      </c>
      <c r="L755" s="12" t="s">
        <v>35</v>
      </c>
      <c r="M755" s="13">
        <v>200503054067</v>
      </c>
      <c r="N755" s="14" t="s">
        <v>5403</v>
      </c>
      <c r="O755" s="14"/>
      <c r="P755" s="14" t="s">
        <v>5404</v>
      </c>
      <c r="Q755" s="19" t="s">
        <v>5405</v>
      </c>
      <c r="R755" s="15" t="s">
        <v>5406</v>
      </c>
      <c r="S755" s="15" t="s">
        <v>37</v>
      </c>
      <c r="T755" s="16" t="s">
        <v>38</v>
      </c>
      <c r="U755" s="11" t="str">
        <f>_xlfn.XLOOKUP(Customer[[#This Row],[Customer ID]],[1]!Address[ID],[1]!Address[Phone No.(2)])</f>
        <v/>
      </c>
      <c r="V755" s="11" t="str">
        <f>_xlfn.XLOOKUP(Customer[[#This Row],[Customer ID]],[1]!Address[ID],[1]!Address[Type])</f>
        <v>PETROMART</v>
      </c>
      <c r="W755" s="11" t="str">
        <f>_xlfn.XLOOKUP(Customer[[#This Row],[Customer ID]],[1]!Address[ID],[1]!Address[CT])</f>
        <v>30 DAYS</v>
      </c>
      <c r="X755" s="11" t="s">
        <v>39</v>
      </c>
      <c r="Y755" s="17" t="s">
        <v>40</v>
      </c>
      <c r="Z755" s="17" t="e">
        <f>_xlfn.XLOOKUP(Customer[[#This Row],[NewType]],$AF$36:$AF$54,$AG$36:$AG$54)</f>
        <v>#N/A</v>
      </c>
      <c r="AA755" s="17" t="s">
        <v>5407</v>
      </c>
      <c r="AB755" s="11" t="str">
        <f>_xlfn.XLOOKUP(Customer[[#This Row],[Customer ID]],[1]!Address[ID],[1]!Address[Subtype])</f>
        <v>PETRONAS</v>
      </c>
      <c r="AC755" s="18" t="str">
        <f>_xlfn.XLOOKUP(Customer[[#This Row],[Customer ID]],[1]!Address[ID],[1]!Address[Zone])</f>
        <v>SOUTH</v>
      </c>
    </row>
    <row r="756" spans="1:29" x14ac:dyDescent="0.3">
      <c r="A756" s="10" t="s">
        <v>5408</v>
      </c>
      <c r="B756" s="11" t="str">
        <f>_xlfn.XLOOKUP(Customer[[#This Row],[Customer ID]],[1]!Name[ID],[1]!Name[Description(1)])</f>
        <v>DAYARIA SERVICES</v>
      </c>
      <c r="C756" s="11" t="str">
        <f>_xlfn.XLOOKUP(Customer[[#This Row],[Customer ID]],[1]!Name[ID],[1]!Name[Description(2)])</f>
        <v>PS TAMAN RASHNA, KLANG</v>
      </c>
      <c r="D756" s="11" t="str">
        <f>_xlfn.XLOOKUP(Customer[[#This Row],[Customer ID]],[1]!Address[ID],[1]!Address[PIC])</f>
        <v/>
      </c>
      <c r="E756" s="11" t="str">
        <f>_xlfn.XLOOKUP(Customer[[#This Row],[Customer ID]],[1]!Address[ID],[1]!Address[Full Address])</f>
        <v>PS TAMAN RASHNA, KLANGLOT 544, JALAN BATU TIGA LAMA, TAMANRASHNA, KLANG, 41300, KLANG, SELANGOR</v>
      </c>
      <c r="F756" s="12" t="s">
        <v>5409</v>
      </c>
      <c r="G756" s="12" t="s">
        <v>5410</v>
      </c>
      <c r="H756" s="12" t="s">
        <v>827</v>
      </c>
      <c r="I756" s="12" t="b">
        <f>ISNUMBER(VALUE(LEFT(Customer[[#This Row],[Address Line 3 (30 char)]],1)))</f>
        <v>0</v>
      </c>
      <c r="J756" s="12" t="s">
        <v>1907</v>
      </c>
      <c r="K756" s="12">
        <v>41300</v>
      </c>
      <c r="L756" s="12" t="s">
        <v>35</v>
      </c>
      <c r="M756" s="13" t="e">
        <v>#N/A</v>
      </c>
      <c r="N756" s="14" t="e">
        <v>#N/A</v>
      </c>
      <c r="O756" s="14" t="e">
        <v>#N/A</v>
      </c>
      <c r="P756" s="14" t="e">
        <v>#N/A</v>
      </c>
      <c r="Q756" s="19" t="s">
        <v>5411</v>
      </c>
      <c r="R756" s="15" t="s">
        <v>5412</v>
      </c>
      <c r="S756" s="15" t="s">
        <v>37</v>
      </c>
      <c r="T756" s="16" t="s">
        <v>38</v>
      </c>
      <c r="U756" s="11" t="str">
        <f>_xlfn.XLOOKUP(Customer[[#This Row],[Customer ID]],[1]!Address[ID],[1]!Address[Phone No.(2)])</f>
        <v/>
      </c>
      <c r="V756" s="11" t="str">
        <f>_xlfn.XLOOKUP(Customer[[#This Row],[Customer ID]],[1]!Address[ID],[1]!Address[Type])</f>
        <v>PETROMART</v>
      </c>
      <c r="W756" s="11" t="str">
        <f>_xlfn.XLOOKUP(Customer[[#This Row],[Customer ID]],[1]!Address[ID],[1]!Address[CT])</f>
        <v>30 DAYS</v>
      </c>
      <c r="X756" s="11" t="s">
        <v>39</v>
      </c>
      <c r="Y756" s="17" t="s">
        <v>40</v>
      </c>
      <c r="Z756" s="17" t="e">
        <f>_xlfn.XLOOKUP(Customer[[#This Row],[NewType]],$AF$36:$AF$54,$AG$36:$AG$54)</f>
        <v>#N/A</v>
      </c>
      <c r="AA756" s="17" t="s">
        <v>5413</v>
      </c>
      <c r="AB756" s="11" t="str">
        <f>_xlfn.XLOOKUP(Customer[[#This Row],[Customer ID]],[1]!Address[ID],[1]!Address[Subtype])</f>
        <v>PETRONAS</v>
      </c>
      <c r="AC756" s="18" t="str">
        <f>_xlfn.XLOOKUP(Customer[[#This Row],[Customer ID]],[1]!Address[ID],[1]!Address[Zone])</f>
        <v>CENTRAL</v>
      </c>
    </row>
    <row r="757" spans="1:29" x14ac:dyDescent="0.3">
      <c r="A757" s="27" t="s">
        <v>5414</v>
      </c>
      <c r="B757" s="28" t="str">
        <f>_xlfn.XLOOKUP(Customer[[#This Row],[Customer ID]],[1]!Name[ID],[1]!Name[Description(1)])</f>
        <v>GERBANG MONE GLOBAL</v>
      </c>
      <c r="C757" s="11" t="str">
        <f>_xlfn.XLOOKUP(Customer[[#This Row],[Customer ID]],[1]!Name[ID],[1]!Name[Description(2)])</f>
        <v>PS TAMAN RIA</v>
      </c>
      <c r="D757" s="11" t="str">
        <f>_xlfn.XLOOKUP(Customer[[#This Row],[Customer ID]],[1]!Address[ID],[1]!Address[PIC])</f>
        <v/>
      </c>
      <c r="E757" s="11" t="str">
        <f>_xlfn.XLOOKUP(Customer[[#This Row],[Customer ID]],[1]!Address[ID],[1]!Address[Full Address])</f>
        <v>PS TAMAN RIALOT PT 9290, TAMAN RIA, SUNGAI PETANI,08000 KUALA MUDA, KEDAH</v>
      </c>
      <c r="F757" s="12" t="s">
        <v>5415</v>
      </c>
      <c r="G757" s="12" t="s">
        <v>5416</v>
      </c>
      <c r="H757" s="12" t="s">
        <v>5313</v>
      </c>
      <c r="I757" s="12" t="b">
        <f>ISNUMBER(VALUE(LEFT(Customer[[#This Row],[Address Line 3 (30 char)]],1)))</f>
        <v>0</v>
      </c>
      <c r="J757" s="12" t="s">
        <v>79</v>
      </c>
      <c r="K757" s="30" t="s">
        <v>296</v>
      </c>
      <c r="L757" s="12" t="s">
        <v>35</v>
      </c>
      <c r="M757" s="13" t="e">
        <v>#N/A</v>
      </c>
      <c r="N757" s="14" t="e">
        <v>#N/A</v>
      </c>
      <c r="O757" s="14" t="e">
        <v>#N/A</v>
      </c>
      <c r="P757" s="14" t="e">
        <v>#N/A</v>
      </c>
      <c r="Q757" s="19" t="s">
        <v>5417</v>
      </c>
      <c r="R757" s="15" t="s">
        <v>5418</v>
      </c>
      <c r="S757" s="15" t="s">
        <v>74</v>
      </c>
      <c r="T757" s="16" t="s">
        <v>38</v>
      </c>
      <c r="U757" s="11" t="str">
        <f>_xlfn.XLOOKUP(Customer[[#This Row],[Customer ID]],[1]!Address[ID],[1]!Address[Phone No.(2)])</f>
        <v/>
      </c>
      <c r="V757" s="11" t="str">
        <f>_xlfn.XLOOKUP(Customer[[#This Row],[Customer ID]],[1]!Address[ID],[1]!Address[Type])</f>
        <v>PETROMART</v>
      </c>
      <c r="W757" s="11" t="str">
        <f>_xlfn.XLOOKUP(Customer[[#This Row],[Customer ID]],[1]!Address[ID],[1]!Address[CT])</f>
        <v>30 DAYS</v>
      </c>
      <c r="X757" s="11" t="s">
        <v>39</v>
      </c>
      <c r="Y757" s="17" t="s">
        <v>40</v>
      </c>
      <c r="Z757" s="17" t="e">
        <f>_xlfn.XLOOKUP(Customer[[#This Row],[NewType]],$AF$36:$AF$54,$AG$36:$AG$54)</f>
        <v>#N/A</v>
      </c>
      <c r="AA757" s="17" t="s">
        <v>5419</v>
      </c>
      <c r="AB757" s="11" t="str">
        <f>_xlfn.XLOOKUP(Customer[[#This Row],[Customer ID]],[1]!Address[ID],[1]!Address[Subtype])</f>
        <v>PETRONAS</v>
      </c>
      <c r="AC757" s="18" t="str">
        <f>_xlfn.XLOOKUP(Customer[[#This Row],[Customer ID]],[1]!Address[ID],[1]!Address[Zone])</f>
        <v>NORTH</v>
      </c>
    </row>
    <row r="758" spans="1:29" x14ac:dyDescent="0.3">
      <c r="A758" s="27" t="s">
        <v>5420</v>
      </c>
      <c r="B758" s="28" t="str">
        <f>_xlfn.XLOOKUP(Customer[[#This Row],[Customer ID]],[1]!Name[ID],[1]!Name[Description(1)])</f>
        <v>GERBANG MONE GLOBAL ENTERPRISE</v>
      </c>
      <c r="C758" s="11" t="str">
        <f>_xlfn.XLOOKUP(Customer[[#This Row],[Customer ID]],[1]!Name[ID],[1]!Name[Description(2)])</f>
        <v>PS TAMAN RIA SUNGAI PETANI</v>
      </c>
      <c r="D758" s="11" t="str">
        <f>_xlfn.XLOOKUP(Customer[[#This Row],[Customer ID]],[1]!Address[ID],[1]!Address[PIC])</f>
        <v/>
      </c>
      <c r="E758" s="11" t="str">
        <f>_xlfn.XLOOKUP(Customer[[#This Row],[Customer ID]],[1]!Address[ID],[1]!Address[Full Address])</f>
        <v>PS TAMAN RIA SUNGAI PETANILOT PT 9290, TAMAN RIA, SUNGAI PETANI,08000 KUALA MUDA, KEDAH</v>
      </c>
      <c r="F758" s="12" t="s">
        <v>5415</v>
      </c>
      <c r="G758" s="12" t="s">
        <v>5416</v>
      </c>
      <c r="H758" s="12" t="s">
        <v>5313</v>
      </c>
      <c r="I758" s="12" t="b">
        <f>ISNUMBER(VALUE(LEFT(Customer[[#This Row],[Address Line 3 (30 char)]],1)))</f>
        <v>0</v>
      </c>
      <c r="J758" s="12" t="s">
        <v>79</v>
      </c>
      <c r="K758" s="30" t="s">
        <v>296</v>
      </c>
      <c r="L758" s="12" t="s">
        <v>35</v>
      </c>
      <c r="M758" s="13" t="e">
        <v>#N/A</v>
      </c>
      <c r="N758" s="14" t="e">
        <v>#N/A</v>
      </c>
      <c r="O758" s="14" t="e">
        <v>#N/A</v>
      </c>
      <c r="P758" s="14" t="e">
        <v>#N/A</v>
      </c>
      <c r="Q758" s="19" t="s">
        <v>5417</v>
      </c>
      <c r="R758" s="15" t="s">
        <v>5421</v>
      </c>
      <c r="S758" s="15" t="s">
        <v>74</v>
      </c>
      <c r="T758" s="16" t="s">
        <v>38</v>
      </c>
      <c r="U758" s="11" t="str">
        <f>_xlfn.XLOOKUP(Customer[[#This Row],[Customer ID]],[1]!Address[ID],[1]!Address[Phone No.(2)])</f>
        <v/>
      </c>
      <c r="V758" s="11" t="str">
        <f>_xlfn.XLOOKUP(Customer[[#This Row],[Customer ID]],[1]!Address[ID],[1]!Address[Type])</f>
        <v>PETROMART</v>
      </c>
      <c r="W758" s="11" t="str">
        <f>_xlfn.XLOOKUP(Customer[[#This Row],[Customer ID]],[1]!Address[ID],[1]!Address[CT])</f>
        <v>30 DAYS</v>
      </c>
      <c r="X758" s="11" t="s">
        <v>39</v>
      </c>
      <c r="Y758" s="17" t="s">
        <v>40</v>
      </c>
      <c r="Z758" s="17" t="e">
        <f>_xlfn.XLOOKUP(Customer[[#This Row],[NewType]],$AF$36:$AF$54,$AG$36:$AG$54)</f>
        <v>#N/A</v>
      </c>
      <c r="AA758" s="17" t="s">
        <v>5422</v>
      </c>
      <c r="AB758" s="11" t="str">
        <f>_xlfn.XLOOKUP(Customer[[#This Row],[Customer ID]],[1]!Address[ID],[1]!Address[Subtype])</f>
        <v>PETRONAS</v>
      </c>
      <c r="AC758" s="18" t="str">
        <f>_xlfn.XLOOKUP(Customer[[#This Row],[Customer ID]],[1]!Address[ID],[1]!Address[Zone])</f>
        <v>NORTH</v>
      </c>
    </row>
    <row r="759" spans="1:29" x14ac:dyDescent="0.3">
      <c r="A759" s="10" t="s">
        <v>5423</v>
      </c>
      <c r="B759" s="11" t="str">
        <f>_xlfn.XLOOKUP(Customer[[#This Row],[Customer ID]],[1]!Name[ID],[1]!Name[Description(1)])</f>
        <v>BINJAAFAR TRADING</v>
      </c>
      <c r="C759" s="11" t="str">
        <f>_xlfn.XLOOKUP(Customer[[#This Row],[Customer ID]],[1]!Name[ID],[1]!Name[Description(2)])</f>
        <v>PS TAMAN RINTING</v>
      </c>
      <c r="D759" s="11" t="str">
        <f>_xlfn.XLOOKUP(Customer[[#This Row],[Customer ID]],[1]!Address[ID],[1]!Address[PIC])</f>
        <v/>
      </c>
      <c r="E759" s="11" t="str">
        <f>_xlfn.XLOOKUP(Customer[[#This Row],[Customer ID]],[1]!Address[ID],[1]!Address[Full Address])</f>
        <v>PS TAMAN RINTINGLOT PTD 205161 HSD 484338, TAMAN RINTINGMUKIM PLENTONG, JOHOR, 81750,JOHOR BAHRU, JOHOR</v>
      </c>
      <c r="F759" s="12" t="s">
        <v>5424</v>
      </c>
      <c r="G759" s="12" t="s">
        <v>5425</v>
      </c>
      <c r="H759" s="12" t="s">
        <v>5426</v>
      </c>
      <c r="I759" s="12" t="b">
        <f>ISNUMBER(VALUE(LEFT(Customer[[#This Row],[Address Line 3 (30 char)]],1)))</f>
        <v>0</v>
      </c>
      <c r="J759" s="12" t="s">
        <v>1995</v>
      </c>
      <c r="K759" s="12">
        <v>81750</v>
      </c>
      <c r="L759" s="12" t="s">
        <v>35</v>
      </c>
      <c r="M759" s="13">
        <v>201203149152</v>
      </c>
      <c r="N759" s="14" t="s">
        <v>5427</v>
      </c>
      <c r="O759" s="14" t="s">
        <v>54</v>
      </c>
      <c r="P759" s="14" t="s">
        <v>54</v>
      </c>
      <c r="Q759" s="19" t="s">
        <v>5428</v>
      </c>
      <c r="R759" s="15" t="s">
        <v>5429</v>
      </c>
      <c r="S759" s="15" t="s">
        <v>37</v>
      </c>
      <c r="T759" s="16" t="s">
        <v>38</v>
      </c>
      <c r="U759" s="11" t="str">
        <f>_xlfn.XLOOKUP(Customer[[#This Row],[Customer ID]],[1]!Address[ID],[1]!Address[Phone No.(2)])</f>
        <v/>
      </c>
      <c r="V759" s="11" t="str">
        <f>_xlfn.XLOOKUP(Customer[[#This Row],[Customer ID]],[1]!Address[ID],[1]!Address[Type])</f>
        <v>PETROMART</v>
      </c>
      <c r="W759" s="11" t="str">
        <f>_xlfn.XLOOKUP(Customer[[#This Row],[Customer ID]],[1]!Address[ID],[1]!Address[CT])</f>
        <v>30 DAYS</v>
      </c>
      <c r="X759" s="11" t="s">
        <v>39</v>
      </c>
      <c r="Y759" s="17" t="s">
        <v>40</v>
      </c>
      <c r="Z759" s="17" t="e">
        <f>_xlfn.XLOOKUP(Customer[[#This Row],[NewType]],$AF$36:$AF$54,$AG$36:$AG$54)</f>
        <v>#N/A</v>
      </c>
      <c r="AA759" s="17" t="s">
        <v>5430</v>
      </c>
      <c r="AB759" s="11" t="str">
        <f>_xlfn.XLOOKUP(Customer[[#This Row],[Customer ID]],[1]!Address[ID],[1]!Address[Subtype])</f>
        <v>PETRONAS</v>
      </c>
      <c r="AC759" s="18" t="str">
        <f>_xlfn.XLOOKUP(Customer[[#This Row],[Customer ID]],[1]!Address[ID],[1]!Address[Zone])</f>
        <v>SOUTH</v>
      </c>
    </row>
    <row r="760" spans="1:29" x14ac:dyDescent="0.3">
      <c r="A760" s="10" t="s">
        <v>5431</v>
      </c>
      <c r="B760" s="11" t="str">
        <f>_xlfn.XLOOKUP(Customer[[#This Row],[Customer ID]],[1]!Name[ID],[1]!Name[Description(1)])</f>
        <v>ZAIKAMA ENTERPRISE</v>
      </c>
      <c r="C760" s="11" t="str">
        <f>_xlfn.XLOOKUP(Customer[[#This Row],[Customer ID]],[1]!Name[ID],[1]!Name[Description(2)])</f>
        <v>PS TAMAN SAMUDERA</v>
      </c>
      <c r="D760" s="11" t="str">
        <f>_xlfn.XLOOKUP(Customer[[#This Row],[Customer ID]],[1]!Address[ID],[1]!Address[PIC])</f>
        <v/>
      </c>
      <c r="E760" s="11" t="str">
        <f>_xlfn.XLOOKUP(Customer[[#This Row],[Customer ID]],[1]!Address[ID],[1]!Address[Full Address])</f>
        <v>PS TAMAN SAMUDERALOT 6985-7010 TAMAN SAMUDERA, SERIMANJUNG, 32040, MANJUNG, PERAK</v>
      </c>
      <c r="F760" s="12" t="s">
        <v>5432</v>
      </c>
      <c r="G760" s="12" t="s">
        <v>5433</v>
      </c>
      <c r="H760" s="12" t="s">
        <v>5434</v>
      </c>
      <c r="I760" s="12" t="b">
        <f>ISNUMBER(VALUE(LEFT(Customer[[#This Row],[Address Line 3 (30 char)]],1)))</f>
        <v>0</v>
      </c>
      <c r="J760" s="12" t="s">
        <v>387</v>
      </c>
      <c r="K760" s="12">
        <v>32040</v>
      </c>
      <c r="L760" s="12" t="s">
        <v>35</v>
      </c>
      <c r="M760" s="13" t="e">
        <v>#N/A</v>
      </c>
      <c r="N760" s="14" t="s">
        <v>5435</v>
      </c>
      <c r="O760" s="14" t="e">
        <v>#N/A</v>
      </c>
      <c r="P760" s="14" t="e">
        <v>#N/A</v>
      </c>
      <c r="Q760" s="19" t="s">
        <v>5436</v>
      </c>
      <c r="R760" s="15" t="s">
        <v>5437</v>
      </c>
      <c r="S760" s="15" t="s">
        <v>37</v>
      </c>
      <c r="T760" s="16" t="s">
        <v>38</v>
      </c>
      <c r="U760" s="11" t="str">
        <f>_xlfn.XLOOKUP(Customer[[#This Row],[Customer ID]],[1]!Address[ID],[1]!Address[Phone No.(2)])</f>
        <v/>
      </c>
      <c r="V760" s="11" t="str">
        <f>_xlfn.XLOOKUP(Customer[[#This Row],[Customer ID]],[1]!Address[ID],[1]!Address[Type])</f>
        <v>PETROMART</v>
      </c>
      <c r="W760" s="11" t="str">
        <f>_xlfn.XLOOKUP(Customer[[#This Row],[Customer ID]],[1]!Address[ID],[1]!Address[CT])</f>
        <v>30 DAYS</v>
      </c>
      <c r="X760" s="11" t="s">
        <v>39</v>
      </c>
      <c r="Y760" s="17" t="s">
        <v>40</v>
      </c>
      <c r="Z760" s="17" t="e">
        <f>_xlfn.XLOOKUP(Customer[[#This Row],[NewType]],$AF$36:$AF$54,$AG$36:$AG$54)</f>
        <v>#N/A</v>
      </c>
      <c r="AA760" s="17" t="s">
        <v>5438</v>
      </c>
      <c r="AB760" s="11" t="str">
        <f>_xlfn.XLOOKUP(Customer[[#This Row],[Customer ID]],[1]!Address[ID],[1]!Address[Subtype])</f>
        <v>PETRONAS</v>
      </c>
      <c r="AC760" s="18" t="str">
        <f>_xlfn.XLOOKUP(Customer[[#This Row],[Customer ID]],[1]!Address[ID],[1]!Address[Zone])</f>
        <v>NORTH</v>
      </c>
    </row>
    <row r="761" spans="1:29" x14ac:dyDescent="0.3">
      <c r="A761" s="10" t="s">
        <v>5439</v>
      </c>
      <c r="B761" s="11" t="str">
        <f>_xlfn.XLOOKUP(Customer[[#This Row],[Customer ID]],[1]!Name[ID],[1]!Name[Description(1)])</f>
        <v>STESYEN MINYAK GEMILANG</v>
      </c>
      <c r="C761" s="11" t="str">
        <f>_xlfn.XLOOKUP(Customer[[#This Row],[Customer ID]],[1]!Name[ID],[1]!Name[Description(2)])</f>
        <v>PS TAMAN SAMUDRA</v>
      </c>
      <c r="D761" s="11" t="str">
        <f>_xlfn.XLOOKUP(Customer[[#This Row],[Customer ID]],[1]!Address[ID],[1]!Address[PIC])</f>
        <v/>
      </c>
      <c r="E761" s="11" t="str">
        <f>_xlfn.XLOOKUP(Customer[[#This Row],[Customer ID]],[1]!Address[ID],[1]!Address[Full Address])</f>
        <v>PS TAMAN SAMUDRALOT 29071 - 29072, TAMAN SAMUDRA,SELANGOR, 68100, GOMBAK, SELANGOR</v>
      </c>
      <c r="F761" s="12" t="s">
        <v>5440</v>
      </c>
      <c r="G761" s="12" t="s">
        <v>5441</v>
      </c>
      <c r="H761" s="12" t="s">
        <v>875</v>
      </c>
      <c r="I761" s="12" t="b">
        <f>ISNUMBER(VALUE(LEFT(Customer[[#This Row],[Address Line 3 (30 char)]],1)))</f>
        <v>0</v>
      </c>
      <c r="J761" s="12" t="s">
        <v>1907</v>
      </c>
      <c r="K761" s="12">
        <v>68100</v>
      </c>
      <c r="L761" s="12" t="s">
        <v>35</v>
      </c>
      <c r="M761" s="13">
        <v>199703001344</v>
      </c>
      <c r="N761" s="14" t="s">
        <v>5442</v>
      </c>
      <c r="O761" s="14" t="e">
        <v>#N/A</v>
      </c>
      <c r="P761" s="14" t="e">
        <v>#N/A</v>
      </c>
      <c r="Q761" s="19" t="s">
        <v>5443</v>
      </c>
      <c r="R761" s="15" t="s">
        <v>5444</v>
      </c>
      <c r="S761" s="15" t="s">
        <v>65</v>
      </c>
      <c r="T761" s="16" t="s">
        <v>38</v>
      </c>
      <c r="U761" s="11" t="str">
        <f>_xlfn.XLOOKUP(Customer[[#This Row],[Customer ID]],[1]!Address[ID],[1]!Address[Phone No.(2)])</f>
        <v/>
      </c>
      <c r="V761" s="11" t="str">
        <f>_xlfn.XLOOKUP(Customer[[#This Row],[Customer ID]],[1]!Address[ID],[1]!Address[Type])</f>
        <v>PETROMART</v>
      </c>
      <c r="W761" s="11" t="str">
        <f>_xlfn.XLOOKUP(Customer[[#This Row],[Customer ID]],[1]!Address[ID],[1]!Address[CT])</f>
        <v>30 DAYS</v>
      </c>
      <c r="X761" s="11" t="s">
        <v>39</v>
      </c>
      <c r="Y761" s="17" t="s">
        <v>40</v>
      </c>
      <c r="Z761" s="17" t="e">
        <f>_xlfn.XLOOKUP(Customer[[#This Row],[NewType]],$AF$36:$AF$54,$AG$36:$AG$54)</f>
        <v>#N/A</v>
      </c>
      <c r="AA761" s="17" t="s">
        <v>5445</v>
      </c>
      <c r="AB761" s="11" t="str">
        <f>_xlfn.XLOOKUP(Customer[[#This Row],[Customer ID]],[1]!Address[ID],[1]!Address[Subtype])</f>
        <v>PETRONAS</v>
      </c>
      <c r="AC761" s="18" t="str">
        <f>_xlfn.XLOOKUP(Customer[[#This Row],[Customer ID]],[1]!Address[ID],[1]!Address[Zone])</f>
        <v>CENTRAL</v>
      </c>
    </row>
    <row r="762" spans="1:29" x14ac:dyDescent="0.3">
      <c r="A762" s="10" t="s">
        <v>5446</v>
      </c>
      <c r="B762" s="11" t="str">
        <f>_xlfn.XLOOKUP(Customer[[#This Row],[Customer ID]],[1]!Name[ID],[1]!Name[Description(1)])</f>
        <v>SUNSHINE ENERGY ENTERPRISE</v>
      </c>
      <c r="C762" s="11" t="str">
        <f>_xlfn.XLOOKUP(Customer[[#This Row],[Customer ID]],[1]!Name[ID],[1]!Name[Description(2)])</f>
        <v>PS TAMAN SAUJANA</v>
      </c>
      <c r="D762" s="11" t="str">
        <f>_xlfn.XLOOKUP(Customer[[#This Row],[Customer ID]],[1]!Address[ID],[1]!Address[PIC])</f>
        <v/>
      </c>
      <c r="E762" s="11" t="str">
        <f>_xlfn.XLOOKUP(Customer[[#This Row],[Customer ID]],[1]!Address[ID],[1]!Address[Full Address])</f>
        <v>PS TAMAN SAUJANALOT PT 10158 HS (D) KA 73633, LALUANSAUJANA 1,TAMAN SAUJANA, BATU GAJAH,31000, KINTA, PERAK</v>
      </c>
      <c r="F762" s="12" t="s">
        <v>5447</v>
      </c>
      <c r="G762" s="12" t="s">
        <v>5448</v>
      </c>
      <c r="H762" s="12" t="s">
        <v>5449</v>
      </c>
      <c r="I762" s="12" t="b">
        <f>ISNUMBER(VALUE(LEFT(Customer[[#This Row],[Address Line 3 (30 char)]],1)))</f>
        <v>0</v>
      </c>
      <c r="J762" s="12" t="s">
        <v>387</v>
      </c>
      <c r="K762" s="12">
        <v>31000</v>
      </c>
      <c r="L762" s="12" t="s">
        <v>35</v>
      </c>
      <c r="M762" s="13" t="e">
        <v>#N/A</v>
      </c>
      <c r="N762" s="14" t="e">
        <v>#N/A</v>
      </c>
      <c r="O762" s="14" t="e">
        <v>#N/A</v>
      </c>
      <c r="P762" s="14" t="e">
        <v>#N/A</v>
      </c>
      <c r="Q762" s="19" t="s">
        <v>5450</v>
      </c>
      <c r="R762" s="15" t="s">
        <v>5451</v>
      </c>
      <c r="S762" s="15" t="s">
        <v>37</v>
      </c>
      <c r="T762" s="16" t="s">
        <v>38</v>
      </c>
      <c r="U762" s="11" t="str">
        <f>_xlfn.XLOOKUP(Customer[[#This Row],[Customer ID]],[1]!Address[ID],[1]!Address[Phone No.(2)])</f>
        <v/>
      </c>
      <c r="V762" s="11" t="str">
        <f>_xlfn.XLOOKUP(Customer[[#This Row],[Customer ID]],[1]!Address[ID],[1]!Address[Type])</f>
        <v>PETROMART</v>
      </c>
      <c r="W762" s="11" t="str">
        <f>_xlfn.XLOOKUP(Customer[[#This Row],[Customer ID]],[1]!Address[ID],[1]!Address[CT])</f>
        <v>30 DAYS</v>
      </c>
      <c r="X762" s="11" t="s">
        <v>39</v>
      </c>
      <c r="Y762" s="17" t="s">
        <v>40</v>
      </c>
      <c r="Z762" s="17" t="e">
        <f>_xlfn.XLOOKUP(Customer[[#This Row],[NewType]],$AF$36:$AF$54,$AG$36:$AG$54)</f>
        <v>#N/A</v>
      </c>
      <c r="AA762" s="17" t="s">
        <v>5452</v>
      </c>
      <c r="AB762" s="11" t="str">
        <f>_xlfn.XLOOKUP(Customer[[#This Row],[Customer ID]],[1]!Address[ID],[1]!Address[Subtype])</f>
        <v>PETRONAS</v>
      </c>
      <c r="AC762" s="18" t="str">
        <f>_xlfn.XLOOKUP(Customer[[#This Row],[Customer ID]],[1]!Address[ID],[1]!Address[Zone])</f>
        <v>NORTH</v>
      </c>
    </row>
    <row r="763" spans="1:29" x14ac:dyDescent="0.3">
      <c r="A763" s="27" t="s">
        <v>5453</v>
      </c>
      <c r="B763" s="28" t="str">
        <f>_xlfn.XLOOKUP(Customer[[#This Row],[Customer ID]],[1]!Name[ID],[1]!Name[Description(1)])</f>
        <v>DIWANIS ENTERPRISE</v>
      </c>
      <c r="C763" s="11" t="str">
        <f>_xlfn.XLOOKUP(Customer[[#This Row],[Customer ID]],[1]!Name[ID],[1]!Name[Description(2)])</f>
        <v>PS TAMAN SEGAR</v>
      </c>
      <c r="D763" s="11" t="str">
        <f>_xlfn.XLOOKUP(Customer[[#This Row],[Customer ID]],[1]!Address[ID],[1]!Address[PIC])</f>
        <v>WAN NABIHAH</v>
      </c>
      <c r="E763" s="11" t="str">
        <f>_xlfn.XLOOKUP(Customer[[#This Row],[Customer ID]],[1]!Address[ID],[1]!Address[Full Address])</f>
        <v>PS TAMAN SEGARLOT 39732, JALAN MANIS,TAMAN SEGAR,56100 KUALA LUMPUR, WILAYAH PERSEKUTUAN</v>
      </c>
      <c r="F763" s="12" t="s">
        <v>5454</v>
      </c>
      <c r="G763" s="12" t="s">
        <v>5455</v>
      </c>
      <c r="H763" s="12" t="s">
        <v>5456</v>
      </c>
      <c r="I763" s="12" t="b">
        <f>ISNUMBER(VALUE(LEFT(Customer[[#This Row],[Address Line 3 (30 char)]],1)))</f>
        <v>0</v>
      </c>
      <c r="J763" s="12" t="s">
        <v>34</v>
      </c>
      <c r="K763" s="12">
        <v>56100</v>
      </c>
      <c r="L763" s="12" t="s">
        <v>35</v>
      </c>
      <c r="M763" s="13" t="s">
        <v>5457</v>
      </c>
      <c r="N763" s="36" t="s">
        <v>5458</v>
      </c>
      <c r="O763" s="14" t="e">
        <v>#N/A</v>
      </c>
      <c r="P763" s="14" t="e">
        <v>#N/A</v>
      </c>
      <c r="Q763" s="19" t="s">
        <v>5459</v>
      </c>
      <c r="R763" s="15" t="s">
        <v>5460</v>
      </c>
      <c r="S763" s="15" t="s">
        <v>65</v>
      </c>
      <c r="T763" s="16" t="s">
        <v>38</v>
      </c>
      <c r="U763" s="11" t="str">
        <f>_xlfn.XLOOKUP(Customer[[#This Row],[Customer ID]],[1]!Address[ID],[1]!Address[Phone No.(2)])</f>
        <v/>
      </c>
      <c r="V763" s="11" t="str">
        <f>_xlfn.XLOOKUP(Customer[[#This Row],[Customer ID]],[1]!Address[ID],[1]!Address[Type])</f>
        <v>PETROMART</v>
      </c>
      <c r="W763" s="11" t="str">
        <f>_xlfn.XLOOKUP(Customer[[#This Row],[Customer ID]],[1]!Address[ID],[1]!Address[CT])</f>
        <v>30 DAYS</v>
      </c>
      <c r="X763" s="11" t="s">
        <v>39</v>
      </c>
      <c r="Y763" s="17" t="s">
        <v>40</v>
      </c>
      <c r="Z763" s="17" t="e">
        <f>_xlfn.XLOOKUP(Customer[[#This Row],[NewType]],$AF$36:$AF$54,$AG$36:$AG$54)</f>
        <v>#N/A</v>
      </c>
      <c r="AA763" s="17" t="s">
        <v>5461</v>
      </c>
      <c r="AB763" s="11" t="str">
        <f>_xlfn.XLOOKUP(Customer[[#This Row],[Customer ID]],[1]!Address[ID],[1]!Address[Subtype])</f>
        <v>PETRONAS</v>
      </c>
      <c r="AC763" s="18" t="str">
        <f>_xlfn.XLOOKUP(Customer[[#This Row],[Customer ID]],[1]!Address[ID],[1]!Address[Zone])</f>
        <v>CENTRAL</v>
      </c>
    </row>
    <row r="764" spans="1:29" x14ac:dyDescent="0.3">
      <c r="A764" s="27" t="s">
        <v>5462</v>
      </c>
      <c r="B764" s="28" t="str">
        <f>_xlfn.XLOOKUP(Customer[[#This Row],[Customer ID]],[1]!Name[ID],[1]!Name[Description(1)])</f>
        <v>ANNAS MUSTAFA ENTERPRISE</v>
      </c>
      <c r="C764" s="11" t="str">
        <f>_xlfn.XLOOKUP(Customer[[#This Row],[Customer ID]],[1]!Name[ID],[1]!Name[Description(2)])</f>
        <v>PS TAMAN SELASIH, KULIM</v>
      </c>
      <c r="D764" s="11" t="str">
        <f>_xlfn.XLOOKUP(Customer[[#This Row],[Customer ID]],[1]!Address[ID],[1]!Address[PIC])</f>
        <v/>
      </c>
      <c r="E764" s="11" t="str">
        <f>_xlfn.XLOOKUP(Customer[[#This Row],[Customer ID]],[1]!Address[ID],[1]!Address[Full Address])</f>
        <v>PS TAMAN SELASIH, KULIMNO. 3672A, LORONG SELASIH 1/3, TAMANSELASIH, KULIM, KEDAH, 09000, KULIM, KED</v>
      </c>
      <c r="F764" s="12" t="s">
        <v>5463</v>
      </c>
      <c r="G764" s="12" t="s">
        <v>5464</v>
      </c>
      <c r="H764" s="12" t="s">
        <v>5009</v>
      </c>
      <c r="I764" s="12" t="b">
        <f>ISNUMBER(VALUE(LEFT(Customer[[#This Row],[Address Line 3 (30 char)]],1)))</f>
        <v>0</v>
      </c>
      <c r="J764" s="12" t="s">
        <v>79</v>
      </c>
      <c r="K764" s="30" t="s">
        <v>2905</v>
      </c>
      <c r="L764" s="12" t="s">
        <v>35</v>
      </c>
      <c r="M764" s="13" t="e">
        <v>#N/A</v>
      </c>
      <c r="N764" s="14" t="e">
        <v>#N/A</v>
      </c>
      <c r="O764" s="14" t="e">
        <v>#N/A</v>
      </c>
      <c r="P764" s="14" t="e">
        <v>#N/A</v>
      </c>
      <c r="Q764" s="19" t="s">
        <v>5465</v>
      </c>
      <c r="R764" s="15" t="s">
        <v>5466</v>
      </c>
      <c r="S764" s="15" t="s">
        <v>74</v>
      </c>
      <c r="T764" s="16" t="s">
        <v>38</v>
      </c>
      <c r="U764" s="11" t="str">
        <f>_xlfn.XLOOKUP(Customer[[#This Row],[Customer ID]],[1]!Address[ID],[1]!Address[Phone No.(2)])</f>
        <v/>
      </c>
      <c r="V764" s="11" t="str">
        <f>_xlfn.XLOOKUP(Customer[[#This Row],[Customer ID]],[1]!Address[ID],[1]!Address[Type])</f>
        <v>PETROMART</v>
      </c>
      <c r="W764" s="11" t="str">
        <f>_xlfn.XLOOKUP(Customer[[#This Row],[Customer ID]],[1]!Address[ID],[1]!Address[CT])</f>
        <v>30 DAYS</v>
      </c>
      <c r="X764" s="11" t="s">
        <v>39</v>
      </c>
      <c r="Y764" s="17" t="s">
        <v>40</v>
      </c>
      <c r="Z764" s="17" t="e">
        <f>_xlfn.XLOOKUP(Customer[[#This Row],[NewType]],$AF$36:$AF$54,$AG$36:$AG$54)</f>
        <v>#N/A</v>
      </c>
      <c r="AA764" s="17" t="s">
        <v>5467</v>
      </c>
      <c r="AB764" s="11" t="str">
        <f>_xlfn.XLOOKUP(Customer[[#This Row],[Customer ID]],[1]!Address[ID],[1]!Address[Subtype])</f>
        <v>PETRONAS</v>
      </c>
      <c r="AC764" s="18" t="str">
        <f>_xlfn.XLOOKUP(Customer[[#This Row],[Customer ID]],[1]!Address[ID],[1]!Address[Zone])</f>
        <v>NORTH</v>
      </c>
    </row>
    <row r="765" spans="1:29" x14ac:dyDescent="0.3">
      <c r="A765" s="10" t="s">
        <v>5468</v>
      </c>
      <c r="B765" s="11" t="str">
        <f>_xlfn.XLOOKUP(Customer[[#This Row],[Customer ID]],[1]!Name[ID],[1]!Name[Description(1)])</f>
        <v>PETROSETIA STATION</v>
      </c>
      <c r="C765" s="11" t="str">
        <f>_xlfn.XLOOKUP(Customer[[#This Row],[Customer ID]],[1]!Name[ID],[1]!Name[Description(2)])</f>
        <v>PS TAMAN SETIA INDAH</v>
      </c>
      <c r="D765" s="11" t="str">
        <f>_xlfn.XLOOKUP(Customer[[#This Row],[Customer ID]],[1]!Address[ID],[1]!Address[PIC])</f>
        <v/>
      </c>
      <c r="E765" s="11" t="str">
        <f>_xlfn.XLOOKUP(Customer[[#This Row],[Customer ID]],[1]!Address[ID],[1]!Address[Full Address])</f>
        <v>PS TAMAN SETIA INDAHLOT PTD 95704 HS(D) 34290, TMN SETIA IND(SITE 1) MK TEBRAU, JOHOR, 81100, JOHORBAHRU, JOHOR</v>
      </c>
      <c r="F765" s="12" t="s">
        <v>5469</v>
      </c>
      <c r="G765" s="12" t="s">
        <v>5470</v>
      </c>
      <c r="H765" s="12" t="s">
        <v>5471</v>
      </c>
      <c r="I765" s="12" t="b">
        <f>ISNUMBER(VALUE(LEFT(Customer[[#This Row],[Address Line 3 (30 char)]],1)))</f>
        <v>0</v>
      </c>
      <c r="J765" s="12" t="s">
        <v>1995</v>
      </c>
      <c r="K765" s="12">
        <v>81100</v>
      </c>
      <c r="L765" s="12" t="s">
        <v>35</v>
      </c>
      <c r="M765" s="13">
        <v>200503053423</v>
      </c>
      <c r="N765" s="14" t="s">
        <v>5472</v>
      </c>
      <c r="O765" s="14" t="e">
        <v>#N/A</v>
      </c>
      <c r="P765" s="14" t="e">
        <v>#N/A</v>
      </c>
      <c r="Q765" s="19" t="s">
        <v>5473</v>
      </c>
      <c r="R765" s="15" t="s">
        <v>5474</v>
      </c>
      <c r="S765" s="15" t="s">
        <v>37</v>
      </c>
      <c r="T765" s="16" t="s">
        <v>38</v>
      </c>
      <c r="U765" s="11" t="str">
        <f>_xlfn.XLOOKUP(Customer[[#This Row],[Customer ID]],[1]!Address[ID],[1]!Address[Phone No.(2)])</f>
        <v/>
      </c>
      <c r="V765" s="11" t="str">
        <f>_xlfn.XLOOKUP(Customer[[#This Row],[Customer ID]],[1]!Address[ID],[1]!Address[Type])</f>
        <v>PETROMART</v>
      </c>
      <c r="W765" s="11" t="str">
        <f>_xlfn.XLOOKUP(Customer[[#This Row],[Customer ID]],[1]!Address[ID],[1]!Address[CT])</f>
        <v>30 DAYS</v>
      </c>
      <c r="X765" s="11" t="s">
        <v>39</v>
      </c>
      <c r="Y765" s="17" t="s">
        <v>40</v>
      </c>
      <c r="Z765" s="17" t="e">
        <f>_xlfn.XLOOKUP(Customer[[#This Row],[NewType]],$AF$36:$AF$54,$AG$36:$AG$54)</f>
        <v>#N/A</v>
      </c>
      <c r="AA765" s="17" t="s">
        <v>5475</v>
      </c>
      <c r="AB765" s="11" t="str">
        <f>_xlfn.XLOOKUP(Customer[[#This Row],[Customer ID]],[1]!Address[ID],[1]!Address[Subtype])</f>
        <v>PETRONAS</v>
      </c>
      <c r="AC765" s="18" t="str">
        <f>_xlfn.XLOOKUP(Customer[[#This Row],[Customer ID]],[1]!Address[ID],[1]!Address[Zone])</f>
        <v>SOUTH</v>
      </c>
    </row>
    <row r="766" spans="1:29" x14ac:dyDescent="0.3">
      <c r="A766" s="10" t="s">
        <v>5476</v>
      </c>
      <c r="B766" s="11" t="str">
        <f>_xlfn.XLOOKUP(Customer[[#This Row],[Customer ID]],[1]!Name[ID],[1]!Name[Description(1)])</f>
        <v>MARZ DUA SERVICES SDN BHD</v>
      </c>
      <c r="C766" s="11" t="str">
        <f>_xlfn.XLOOKUP(Customer[[#This Row],[Customer ID]],[1]!Name[ID],[1]!Name[Description(2)])</f>
        <v>PS TAMAN SETIAWANGSA</v>
      </c>
      <c r="D766" s="11" t="str">
        <f>_xlfn.XLOOKUP(Customer[[#This Row],[Customer ID]],[1]!Address[ID],[1]!Address[PIC])</f>
        <v/>
      </c>
      <c r="E766" s="11" t="str">
        <f>_xlfn.XLOOKUP(Customer[[#This Row],[Customer ID]],[1]!Address[ID],[1]!Address[Full Address])</f>
        <v>PS TAMAN SETIAWANGSALOT 16794, JALAN BUKIT SETIAWANGSA, TMNSETIAWANGSA, KUALA LUMPUR, 54200,WILAYAH PERSEKUTUAN KUALA LUMPUR,</v>
      </c>
      <c r="F766" s="12" t="s">
        <v>5477</v>
      </c>
      <c r="G766" s="12" t="s">
        <v>5478</v>
      </c>
      <c r="H766" s="12" t="s">
        <v>5479</v>
      </c>
      <c r="I766" s="12" t="b">
        <f>ISNUMBER(VALUE(LEFT(Customer[[#This Row],[Address Line 3 (30 char)]],1)))</f>
        <v>0</v>
      </c>
      <c r="J766" s="12" t="s">
        <v>34</v>
      </c>
      <c r="K766" s="12">
        <v>54200</v>
      </c>
      <c r="L766" s="12" t="s">
        <v>35</v>
      </c>
      <c r="M766" s="13" t="e">
        <v>#N/A</v>
      </c>
      <c r="N766" s="14" t="e">
        <v>#N/A</v>
      </c>
      <c r="O766" s="14" t="e">
        <v>#N/A</v>
      </c>
      <c r="P766" s="14" t="e">
        <v>#N/A</v>
      </c>
      <c r="Q766" s="19" t="s">
        <v>5480</v>
      </c>
      <c r="R766" s="15" t="s">
        <v>5481</v>
      </c>
      <c r="S766" s="15" t="s">
        <v>37</v>
      </c>
      <c r="T766" s="16" t="s">
        <v>38</v>
      </c>
      <c r="U766" s="11" t="str">
        <f>_xlfn.XLOOKUP(Customer[[#This Row],[Customer ID]],[1]!Address[ID],[1]!Address[Phone No.(2)])</f>
        <v/>
      </c>
      <c r="V766" s="11" t="str">
        <f>_xlfn.XLOOKUP(Customer[[#This Row],[Customer ID]],[1]!Address[ID],[1]!Address[Type])</f>
        <v>PETROMART</v>
      </c>
      <c r="W766" s="11" t="str">
        <f>_xlfn.XLOOKUP(Customer[[#This Row],[Customer ID]],[1]!Address[ID],[1]!Address[CT])</f>
        <v>30 DAYS</v>
      </c>
      <c r="X766" s="11" t="s">
        <v>39</v>
      </c>
      <c r="Y766" s="17" t="s">
        <v>40</v>
      </c>
      <c r="Z766" s="17" t="e">
        <f>_xlfn.XLOOKUP(Customer[[#This Row],[NewType]],$AF$36:$AF$54,$AG$36:$AG$54)</f>
        <v>#N/A</v>
      </c>
      <c r="AA766" s="17" t="s">
        <v>5482</v>
      </c>
      <c r="AB766" s="11" t="str">
        <f>_xlfn.XLOOKUP(Customer[[#This Row],[Customer ID]],[1]!Address[ID],[1]!Address[Subtype])</f>
        <v>PETRONAS</v>
      </c>
      <c r="AC766" s="18" t="str">
        <f>_xlfn.XLOOKUP(Customer[[#This Row],[Customer ID]],[1]!Address[ID],[1]!Address[Zone])</f>
        <v>CENTRAL</v>
      </c>
    </row>
    <row r="767" spans="1:29" x14ac:dyDescent="0.3">
      <c r="A767" s="10" t="s">
        <v>5483</v>
      </c>
      <c r="B767" s="11" t="str">
        <f>_xlfn.XLOOKUP(Customer[[#This Row],[Customer ID]],[1]!Name[ID],[1]!Name[Description(1)])</f>
        <v>STESEN MINYAK ADIL ABADI</v>
      </c>
      <c r="C767" s="11" t="str">
        <f>_xlfn.XLOOKUP(Customer[[#This Row],[Customer ID]],[1]!Name[ID],[1]!Name[Description(2)])</f>
        <v>PS TAMAN SRI ANDALAS, KLANG</v>
      </c>
      <c r="D767" s="11" t="str">
        <f>_xlfn.XLOOKUP(Customer[[#This Row],[Customer ID]],[1]!Address[ID],[1]!Address[PIC])</f>
        <v/>
      </c>
      <c r="E767" s="11" t="str">
        <f>_xlfn.XLOOKUP(Customer[[#This Row],[Customer ID]],[1]!Address[ID],[1]!Address[Full Address])</f>
        <v>PS TAMAN SRI ANDALAS, KLANGLOT 17100 - 17102, TAMAN SRI ANDALAS, JABANTING, KLANG, 41300, KLANG, SELANGOR</v>
      </c>
      <c r="F767" s="12" t="s">
        <v>5484</v>
      </c>
      <c r="G767" s="12" t="s">
        <v>5485</v>
      </c>
      <c r="H767" s="12" t="s">
        <v>5486</v>
      </c>
      <c r="I767" s="12" t="b">
        <f>ISNUMBER(VALUE(LEFT(Customer[[#This Row],[Address Line 3 (30 char)]],1)))</f>
        <v>0</v>
      </c>
      <c r="J767" s="12" t="s">
        <v>1907</v>
      </c>
      <c r="K767" s="12">
        <v>41300</v>
      </c>
      <c r="L767" s="12" t="s">
        <v>35</v>
      </c>
      <c r="M767" s="13" t="e">
        <v>#N/A</v>
      </c>
      <c r="N767" s="14" t="e">
        <v>#N/A</v>
      </c>
      <c r="O767" s="14" t="e">
        <v>#N/A</v>
      </c>
      <c r="P767" s="14" t="e">
        <v>#N/A</v>
      </c>
      <c r="Q767" s="19" t="s">
        <v>5487</v>
      </c>
      <c r="R767" s="15" t="s">
        <v>5488</v>
      </c>
      <c r="S767" s="15" t="s">
        <v>37</v>
      </c>
      <c r="T767" s="16" t="s">
        <v>38</v>
      </c>
      <c r="U767" s="11" t="str">
        <f>_xlfn.XLOOKUP(Customer[[#This Row],[Customer ID]],[1]!Address[ID],[1]!Address[Phone No.(2)])</f>
        <v/>
      </c>
      <c r="V767" s="11" t="str">
        <f>_xlfn.XLOOKUP(Customer[[#This Row],[Customer ID]],[1]!Address[ID],[1]!Address[Type])</f>
        <v>PETROMART</v>
      </c>
      <c r="W767" s="11" t="str">
        <f>_xlfn.XLOOKUP(Customer[[#This Row],[Customer ID]],[1]!Address[ID],[1]!Address[CT])</f>
        <v>30 DAYS</v>
      </c>
      <c r="X767" s="11" t="s">
        <v>39</v>
      </c>
      <c r="Y767" s="17" t="s">
        <v>40</v>
      </c>
      <c r="Z767" s="17" t="e">
        <f>_xlfn.XLOOKUP(Customer[[#This Row],[NewType]],$AF$36:$AF$54,$AG$36:$AG$54)</f>
        <v>#N/A</v>
      </c>
      <c r="AA767" s="17" t="s">
        <v>5489</v>
      </c>
      <c r="AB767" s="11" t="str">
        <f>_xlfn.XLOOKUP(Customer[[#This Row],[Customer ID]],[1]!Address[ID],[1]!Address[Subtype])</f>
        <v>PETRONAS</v>
      </c>
      <c r="AC767" s="18" t="str">
        <f>_xlfn.XLOOKUP(Customer[[#This Row],[Customer ID]],[1]!Address[ID],[1]!Address[Zone])</f>
        <v>CENTRAL</v>
      </c>
    </row>
    <row r="768" spans="1:29" x14ac:dyDescent="0.3">
      <c r="A768" s="10" t="s">
        <v>5490</v>
      </c>
      <c r="B768" s="11" t="str">
        <f>_xlfn.XLOOKUP(Customer[[#This Row],[Customer ID]],[1]!Name[ID],[1]!Name[Description(1)])</f>
        <v>KULIS MIEZA SERVICES</v>
      </c>
      <c r="C768" s="11" t="str">
        <f>_xlfn.XLOOKUP(Customer[[#This Row],[Customer ID]],[1]!Name[ID],[1]!Name[Description(2)])</f>
        <v>PS TAMAN SRI GOMBAK</v>
      </c>
      <c r="D768" s="11" t="str">
        <f>_xlfn.XLOOKUP(Customer[[#This Row],[Customer ID]],[1]!Address[ID],[1]!Address[PIC])</f>
        <v/>
      </c>
      <c r="E768" s="11" t="str">
        <f>_xlfn.XLOOKUP(Customer[[#This Row],[Customer ID]],[1]!Address[ID],[1]!Address[Full Address])</f>
        <v>PS TAMAN SRI GOMBAKLOT PT 8266 HSD 193816, JALAN MAKMUR,TAMAN SRI GOMBAK, BATU CAVES, SELANGOR,68100, GOMBAK, SELANGOR</v>
      </c>
      <c r="F768" s="12" t="s">
        <v>5491</v>
      </c>
      <c r="G768" s="12" t="s">
        <v>5492</v>
      </c>
      <c r="H768" s="12" t="s">
        <v>5493</v>
      </c>
      <c r="I768" s="12" t="b">
        <f>ISNUMBER(VALUE(LEFT(Customer[[#This Row],[Address Line 3 (30 char)]],1)))</f>
        <v>0</v>
      </c>
      <c r="J768" s="12" t="s">
        <v>1907</v>
      </c>
      <c r="K768" s="12">
        <v>68100</v>
      </c>
      <c r="L768" s="12" t="s">
        <v>35</v>
      </c>
      <c r="M768" s="13" t="e">
        <v>#N/A</v>
      </c>
      <c r="N768" s="14" t="e">
        <v>#N/A</v>
      </c>
      <c r="O768" s="14" t="e">
        <v>#N/A</v>
      </c>
      <c r="P768" s="14" t="e">
        <v>#N/A</v>
      </c>
      <c r="Q768" s="19" t="s">
        <v>5494</v>
      </c>
      <c r="R768" s="15" t="s">
        <v>5495</v>
      </c>
      <c r="S768" s="15" t="s">
        <v>37</v>
      </c>
      <c r="T768" s="16" t="s">
        <v>38</v>
      </c>
      <c r="U768" s="11" t="str">
        <f>_xlfn.XLOOKUP(Customer[[#This Row],[Customer ID]],[1]!Address[ID],[1]!Address[Phone No.(2)])</f>
        <v/>
      </c>
      <c r="V768" s="11" t="str">
        <f>_xlfn.XLOOKUP(Customer[[#This Row],[Customer ID]],[1]!Address[ID],[1]!Address[Type])</f>
        <v>PETROMART</v>
      </c>
      <c r="W768" s="11" t="str">
        <f>_xlfn.XLOOKUP(Customer[[#This Row],[Customer ID]],[1]!Address[ID],[1]!Address[CT])</f>
        <v>30 DAYS</v>
      </c>
      <c r="X768" s="11" t="s">
        <v>39</v>
      </c>
      <c r="Y768" s="17" t="s">
        <v>40</v>
      </c>
      <c r="Z768" s="17" t="e">
        <f>_xlfn.XLOOKUP(Customer[[#This Row],[NewType]],$AF$36:$AF$54,$AG$36:$AG$54)</f>
        <v>#N/A</v>
      </c>
      <c r="AA768" s="17" t="s">
        <v>5496</v>
      </c>
      <c r="AB768" s="11" t="str">
        <f>_xlfn.XLOOKUP(Customer[[#This Row],[Customer ID]],[1]!Address[ID],[1]!Address[Subtype])</f>
        <v>PETRONAS</v>
      </c>
      <c r="AC768" s="18" t="str">
        <f>_xlfn.XLOOKUP(Customer[[#This Row],[Customer ID]],[1]!Address[ID],[1]!Address[Zone])</f>
        <v>CENTRAL</v>
      </c>
    </row>
    <row r="769" spans="1:29" x14ac:dyDescent="0.3">
      <c r="A769" s="10" t="s">
        <v>5497</v>
      </c>
      <c r="B769" s="11" t="str">
        <f>_xlfn.XLOOKUP(Customer[[#This Row],[Customer ID]],[1]!Name[ID],[1]!Name[Description(1)])</f>
        <v>ONE QUEST SUPER KIOSK</v>
      </c>
      <c r="C769" s="11" t="str">
        <f>_xlfn.XLOOKUP(Customer[[#This Row],[Customer ID]],[1]!Name[ID],[1]!Name[Description(2)])</f>
        <v>PS TAMAN SRI PULAI PERDANA</v>
      </c>
      <c r="D769" s="11" t="str">
        <f>_xlfn.XLOOKUP(Customer[[#This Row],[Customer ID]],[1]!Address[ID],[1]!Address[PIC])</f>
        <v/>
      </c>
      <c r="E769" s="11" t="str">
        <f>_xlfn.XLOOKUP(Customer[[#This Row],[Customer ID]],[1]!Address[ID],[1]!Address[Full Address])</f>
        <v>PS TAMAN SRI PULAI PERDANAPTD 111148, TAMAN SRI PULAIPERDANA,JOHOR BHARU, 81110, JOHOR</v>
      </c>
      <c r="F769" s="12" t="s">
        <v>5498</v>
      </c>
      <c r="G769" s="12" t="s">
        <v>5499</v>
      </c>
      <c r="H769" s="12" t="s">
        <v>2444</v>
      </c>
      <c r="I769" s="12" t="b">
        <f>ISNUMBER(VALUE(LEFT(Customer[[#This Row],[Address Line 3 (30 char)]],1)))</f>
        <v>0</v>
      </c>
      <c r="J769" s="12" t="s">
        <v>1995</v>
      </c>
      <c r="K769" s="12">
        <v>81110</v>
      </c>
      <c r="L769" s="12" t="s">
        <v>35</v>
      </c>
      <c r="M769" s="13" t="e">
        <v>#N/A</v>
      </c>
      <c r="N769" s="14" t="e">
        <v>#N/A</v>
      </c>
      <c r="O769" s="14" t="e">
        <v>#N/A</v>
      </c>
      <c r="P769" s="14" t="e">
        <v>#N/A</v>
      </c>
      <c r="Q769" s="19" t="s">
        <v>5500</v>
      </c>
      <c r="R769" s="15" t="s">
        <v>1201</v>
      </c>
      <c r="S769" s="15" t="s">
        <v>37</v>
      </c>
      <c r="T769" s="16" t="s">
        <v>38</v>
      </c>
      <c r="U769" s="11" t="str">
        <f>_xlfn.XLOOKUP(Customer[[#This Row],[Customer ID]],[1]!Address[ID],[1]!Address[Phone No.(2)])</f>
        <v/>
      </c>
      <c r="V769" s="11" t="str">
        <f>_xlfn.XLOOKUP(Customer[[#This Row],[Customer ID]],[1]!Address[ID],[1]!Address[Type])</f>
        <v>PETROMART</v>
      </c>
      <c r="W769" s="11" t="str">
        <f>_xlfn.XLOOKUP(Customer[[#This Row],[Customer ID]],[1]!Address[ID],[1]!Address[CT])</f>
        <v>30 DAYS</v>
      </c>
      <c r="X769" s="11" t="s">
        <v>39</v>
      </c>
      <c r="Y769" s="17" t="s">
        <v>40</v>
      </c>
      <c r="Z769" s="17" t="e">
        <f>_xlfn.XLOOKUP(Customer[[#This Row],[NewType]],$AF$36:$AF$54,$AG$36:$AG$54)</f>
        <v>#N/A</v>
      </c>
      <c r="AA769" s="17" t="s">
        <v>5501</v>
      </c>
      <c r="AB769" s="11" t="str">
        <f>_xlfn.XLOOKUP(Customer[[#This Row],[Customer ID]],[1]!Address[ID],[1]!Address[Subtype])</f>
        <v>PETRONAS</v>
      </c>
      <c r="AC769" s="18" t="str">
        <f>_xlfn.XLOOKUP(Customer[[#This Row],[Customer ID]],[1]!Address[ID],[1]!Address[Zone])</f>
        <v>SOUTH</v>
      </c>
    </row>
    <row r="770" spans="1:29" x14ac:dyDescent="0.3">
      <c r="A770" s="10" t="s">
        <v>5502</v>
      </c>
      <c r="B770" s="11" t="str">
        <f>_xlfn.XLOOKUP(Customer[[#This Row],[Customer ID]],[1]!Name[ID],[1]!Name[Description(1)])</f>
        <v>ROSHAN JAAN ENTERPRISE</v>
      </c>
      <c r="C770" s="11" t="str">
        <f>_xlfn.XLOOKUP(Customer[[#This Row],[Customer ID]],[1]!Name[ID],[1]!Name[Description(2)])</f>
        <v>PS TAMAN SRI SENTOSA, PJ</v>
      </c>
      <c r="D770" s="11" t="str">
        <f>_xlfn.XLOOKUP(Customer[[#This Row],[Customer ID]],[1]!Address[ID],[1]!Address[PIC])</f>
        <v/>
      </c>
      <c r="E770" s="11" t="str">
        <f>_xlfn.XLOOKUP(Customer[[#This Row],[Customer ID]],[1]!Address[ID],[1]!Address[Full Address])</f>
        <v>PS TAMAN SRI SENTOSA, PJLOT PT 737, TAMAN SRI SENTOSA, OFF JALANKLANG LAMA, KUALA LUMPUR, 58000, WILAYAHPERSEKUTUAN KUALA LUMPUR,</v>
      </c>
      <c r="F770" s="12" t="s">
        <v>5503</v>
      </c>
      <c r="G770" s="12" t="s">
        <v>5504</v>
      </c>
      <c r="H770" s="12" t="s">
        <v>775</v>
      </c>
      <c r="I770" s="12" t="b">
        <f>ISNUMBER(VALUE(LEFT(Customer[[#This Row],[Address Line 3 (30 char)]],1)))</f>
        <v>0</v>
      </c>
      <c r="J770" s="12" t="s">
        <v>34</v>
      </c>
      <c r="K770" s="12">
        <v>58000</v>
      </c>
      <c r="L770" s="12" t="s">
        <v>35</v>
      </c>
      <c r="M770" s="13">
        <v>201103269645</v>
      </c>
      <c r="N770" s="14" t="s">
        <v>5505</v>
      </c>
      <c r="O770" s="14" t="s">
        <v>54</v>
      </c>
      <c r="P770" s="14">
        <v>47300</v>
      </c>
      <c r="Q770" s="19" t="s">
        <v>5506</v>
      </c>
      <c r="R770" s="15" t="s">
        <v>5507</v>
      </c>
      <c r="S770" s="15" t="s">
        <v>37</v>
      </c>
      <c r="T770" s="16" t="s">
        <v>38</v>
      </c>
      <c r="U770" s="11" t="str">
        <f>_xlfn.XLOOKUP(Customer[[#This Row],[Customer ID]],[1]!Address[ID],[1]!Address[Phone No.(2)])</f>
        <v/>
      </c>
      <c r="V770" s="11" t="str">
        <f>_xlfn.XLOOKUP(Customer[[#This Row],[Customer ID]],[1]!Address[ID],[1]!Address[Type])</f>
        <v>PETROMART</v>
      </c>
      <c r="W770" s="11" t="str">
        <f>_xlfn.XLOOKUP(Customer[[#This Row],[Customer ID]],[1]!Address[ID],[1]!Address[CT])</f>
        <v>30 DAYS</v>
      </c>
      <c r="X770" s="11" t="s">
        <v>39</v>
      </c>
      <c r="Y770" s="17" t="s">
        <v>40</v>
      </c>
      <c r="Z770" s="17" t="e">
        <f>_xlfn.XLOOKUP(Customer[[#This Row],[NewType]],$AF$36:$AF$54,$AG$36:$AG$54)</f>
        <v>#N/A</v>
      </c>
      <c r="AA770" s="17" t="s">
        <v>5508</v>
      </c>
      <c r="AB770" s="11" t="str">
        <f>_xlfn.XLOOKUP(Customer[[#This Row],[Customer ID]],[1]!Address[ID],[1]!Address[Subtype])</f>
        <v>PETRONAS</v>
      </c>
      <c r="AC770" s="18" t="str">
        <f>_xlfn.XLOOKUP(Customer[[#This Row],[Customer ID]],[1]!Address[ID],[1]!Address[Zone])</f>
        <v>CENTRAL</v>
      </c>
    </row>
    <row r="771" spans="1:29" x14ac:dyDescent="0.3">
      <c r="A771" s="10" t="s">
        <v>5509</v>
      </c>
      <c r="B771" s="11" t="str">
        <f>_xlfn.XLOOKUP(Customer[[#This Row],[Customer ID]],[1]!Name[ID],[1]!Name[Description(1)])</f>
        <v>MULTAZAM AHZA ENTERPRISE</v>
      </c>
      <c r="C771" s="11" t="str">
        <f>_xlfn.XLOOKUP(Customer[[#This Row],[Customer ID]],[1]!Name[ID],[1]!Name[Description(2)])</f>
        <v>PS TAMAN SUBANG MEWAH</v>
      </c>
      <c r="D771" s="11" t="str">
        <f>_xlfn.XLOOKUP(Customer[[#This Row],[Customer ID]],[1]!Address[ID],[1]!Address[PIC])</f>
        <v/>
      </c>
      <c r="E771" s="11" t="str">
        <f>_xlfn.XLOOKUP(Customer[[#This Row],[Customer ID]],[1]!Address[ID],[1]!Address[Full Address])</f>
        <v>PS TAMAN SUBANG MEWAHLOT HS(D) 216848, PT 36061 PEKAN PENAGA,TAMAN SUBANG MEWAH, 36061, PETALING,SELANGOR</v>
      </c>
      <c r="F771" s="12" t="s">
        <v>5510</v>
      </c>
      <c r="G771" s="12" t="s">
        <v>5511</v>
      </c>
      <c r="H771" s="12" t="s">
        <v>5512</v>
      </c>
      <c r="I771" s="12" t="b">
        <f>ISNUMBER(VALUE(LEFT(Customer[[#This Row],[Address Line 3 (30 char)]],1)))</f>
        <v>0</v>
      </c>
      <c r="J771" s="12" t="s">
        <v>1907</v>
      </c>
      <c r="K771" s="12">
        <v>36061</v>
      </c>
      <c r="L771" s="12" t="s">
        <v>35</v>
      </c>
      <c r="M771" s="13" t="e">
        <v>#N/A</v>
      </c>
      <c r="N771" s="14" t="e">
        <v>#N/A</v>
      </c>
      <c r="O771" s="14" t="e">
        <v>#N/A</v>
      </c>
      <c r="P771" s="14" t="e">
        <v>#N/A</v>
      </c>
      <c r="Q771" s="19" t="s">
        <v>5513</v>
      </c>
      <c r="R771" s="15" t="s">
        <v>5514</v>
      </c>
      <c r="S771" s="15" t="s">
        <v>37</v>
      </c>
      <c r="T771" s="16" t="s">
        <v>38</v>
      </c>
      <c r="U771" s="11" t="str">
        <f>_xlfn.XLOOKUP(Customer[[#This Row],[Customer ID]],[1]!Address[ID],[1]!Address[Phone No.(2)])</f>
        <v/>
      </c>
      <c r="V771" s="11" t="str">
        <f>_xlfn.XLOOKUP(Customer[[#This Row],[Customer ID]],[1]!Address[ID],[1]!Address[Type])</f>
        <v>PETROMART</v>
      </c>
      <c r="W771" s="11" t="str">
        <f>_xlfn.XLOOKUP(Customer[[#This Row],[Customer ID]],[1]!Address[ID],[1]!Address[CT])</f>
        <v>30 DAYS</v>
      </c>
      <c r="X771" s="11" t="s">
        <v>39</v>
      </c>
      <c r="Y771" s="17" t="s">
        <v>40</v>
      </c>
      <c r="Z771" s="17" t="e">
        <f>_xlfn.XLOOKUP(Customer[[#This Row],[NewType]],$AF$36:$AF$54,$AG$36:$AG$54)</f>
        <v>#N/A</v>
      </c>
      <c r="AA771" s="17" t="s">
        <v>5515</v>
      </c>
      <c r="AB771" s="11" t="str">
        <f>_xlfn.XLOOKUP(Customer[[#This Row],[Customer ID]],[1]!Address[ID],[1]!Address[Subtype])</f>
        <v>PETRONAS</v>
      </c>
      <c r="AC771" s="18" t="str">
        <f>_xlfn.XLOOKUP(Customer[[#This Row],[Customer ID]],[1]!Address[ID],[1]!Address[Zone])</f>
        <v>CENTRAL</v>
      </c>
    </row>
    <row r="772" spans="1:29" x14ac:dyDescent="0.3">
      <c r="A772" s="10" t="s">
        <v>5516</v>
      </c>
      <c r="B772" s="11" t="str">
        <f>_xlfn.XLOOKUP(Customer[[#This Row],[Customer ID]],[1]!Name[ID],[1]!Name[Description(1)])</f>
        <v>KAPAR CITY CONVENIENCE STORE</v>
      </c>
      <c r="C772" s="11" t="str">
        <f>_xlfn.XLOOKUP(Customer[[#This Row],[Customer ID]],[1]!Name[ID],[1]!Name[Description(2)])</f>
        <v>PS TAMAN SUNGAI KAPAR INDAH</v>
      </c>
      <c r="D772" s="11" t="str">
        <f>_xlfn.XLOOKUP(Customer[[#This Row],[Customer ID]],[1]!Address[ID],[1]!Address[PIC])</f>
        <v/>
      </c>
      <c r="E772" s="11" t="str">
        <f>_xlfn.XLOOKUP(Customer[[#This Row],[Customer ID]],[1]!Address[ID],[1]!Address[Full Address])</f>
        <v>PS TAMAN SUNGAI KAPAR INDAHLOT 40846 TAMAN SG KAPAR INDAH, BATU 7JALAN KAPAR, KLANG,SELANGOR, 42200,KLANG, SELANGOR</v>
      </c>
      <c r="F772" s="12" t="s">
        <v>5517</v>
      </c>
      <c r="G772" s="12" t="s">
        <v>5518</v>
      </c>
      <c r="H772" s="12" t="s">
        <v>5519</v>
      </c>
      <c r="I772" s="12" t="b">
        <f>ISNUMBER(VALUE(LEFT(Customer[[#This Row],[Address Line 3 (30 char)]],1)))</f>
        <v>0</v>
      </c>
      <c r="J772" s="12" t="s">
        <v>1907</v>
      </c>
      <c r="K772" s="12">
        <v>42200</v>
      </c>
      <c r="L772" s="12" t="s">
        <v>35</v>
      </c>
      <c r="M772" s="13" t="e">
        <v>#N/A</v>
      </c>
      <c r="N772" s="14" t="e">
        <v>#N/A</v>
      </c>
      <c r="O772" s="14" t="e">
        <v>#N/A</v>
      </c>
      <c r="P772" s="14" t="e">
        <v>#N/A</v>
      </c>
      <c r="Q772" s="19" t="s">
        <v>5520</v>
      </c>
      <c r="R772" s="15" t="s">
        <v>5521</v>
      </c>
      <c r="S772" s="15" t="s">
        <v>37</v>
      </c>
      <c r="T772" s="16" t="s">
        <v>38</v>
      </c>
      <c r="U772" s="11" t="str">
        <f>_xlfn.XLOOKUP(Customer[[#This Row],[Customer ID]],[1]!Address[ID],[1]!Address[Phone No.(2)])</f>
        <v/>
      </c>
      <c r="V772" s="11" t="str">
        <f>_xlfn.XLOOKUP(Customer[[#This Row],[Customer ID]],[1]!Address[ID],[1]!Address[Type])</f>
        <v>PETROMART</v>
      </c>
      <c r="W772" s="11" t="str">
        <f>_xlfn.XLOOKUP(Customer[[#This Row],[Customer ID]],[1]!Address[ID],[1]!Address[CT])</f>
        <v>30 DAYS</v>
      </c>
      <c r="X772" s="11" t="s">
        <v>39</v>
      </c>
      <c r="Y772" s="17" t="s">
        <v>40</v>
      </c>
      <c r="Z772" s="17" t="e">
        <f>_xlfn.XLOOKUP(Customer[[#This Row],[NewType]],$AF$36:$AF$54,$AG$36:$AG$54)</f>
        <v>#N/A</v>
      </c>
      <c r="AA772" s="17" t="s">
        <v>5522</v>
      </c>
      <c r="AB772" s="11" t="str">
        <f>_xlfn.XLOOKUP(Customer[[#This Row],[Customer ID]],[1]!Address[ID],[1]!Address[Subtype])</f>
        <v>PETRONAS</v>
      </c>
      <c r="AC772" s="18" t="str">
        <f>_xlfn.XLOOKUP(Customer[[#This Row],[Customer ID]],[1]!Address[ID],[1]!Address[Zone])</f>
        <v>CENTRAL</v>
      </c>
    </row>
    <row r="773" spans="1:29" x14ac:dyDescent="0.3">
      <c r="A773" s="10" t="s">
        <v>5523</v>
      </c>
      <c r="B773" s="11" t="str">
        <f>_xlfn.XLOOKUP(Customer[[#This Row],[Customer ID]],[1]!Name[ID],[1]!Name[Description(1)])</f>
        <v>NASJJA 83 ENTERPRISE</v>
      </c>
      <c r="C773" s="11" t="str">
        <f>_xlfn.XLOOKUP(Customer[[#This Row],[Customer ID]],[1]!Name[ID],[1]!Name[Description(2)])</f>
        <v>PS TAMAN TAMPOI UTAMA</v>
      </c>
      <c r="D773" s="11" t="str">
        <f>_xlfn.XLOOKUP(Customer[[#This Row],[Customer ID]],[1]!Address[ID],[1]!Address[PIC])</f>
        <v/>
      </c>
      <c r="E773" s="11" t="str">
        <f>_xlfn.XLOOKUP(Customer[[#This Row],[Customer ID]],[1]!Address[ID],[1]!Address[Full Address])</f>
        <v>PS TAMAN TAMPOI UTAMANO 1, JALAN SRI PERKASA UTAMA, TAMANTAMPOI UTAMA, 81200 JOHOR BAHRU, JOHOR.</v>
      </c>
      <c r="F773" s="12" t="s">
        <v>5524</v>
      </c>
      <c r="G773" s="12" t="s">
        <v>5525</v>
      </c>
      <c r="H773" s="12" t="s">
        <v>1155</v>
      </c>
      <c r="I773" s="12" t="b">
        <f>ISNUMBER(VALUE(LEFT(Customer[[#This Row],[Address Line 3 (30 char)]],1)))</f>
        <v>0</v>
      </c>
      <c r="J773" s="12" t="s">
        <v>1995</v>
      </c>
      <c r="K773" s="12">
        <v>81200</v>
      </c>
      <c r="L773" s="12" t="s">
        <v>35</v>
      </c>
      <c r="M773" s="13" t="e">
        <v>#N/A</v>
      </c>
      <c r="N773" s="14" t="e">
        <v>#N/A</v>
      </c>
      <c r="O773" s="14" t="e">
        <v>#N/A</v>
      </c>
      <c r="P773" s="14" t="e">
        <v>#N/A</v>
      </c>
      <c r="Q773" s="19" t="s">
        <v>5526</v>
      </c>
      <c r="R773" s="15" t="s">
        <v>5527</v>
      </c>
      <c r="S773" s="15" t="s">
        <v>37</v>
      </c>
      <c r="T773" s="16" t="s">
        <v>38</v>
      </c>
      <c r="U773" s="11" t="str">
        <f>_xlfn.XLOOKUP(Customer[[#This Row],[Customer ID]],[1]!Address[ID],[1]!Address[Phone No.(2)])</f>
        <v/>
      </c>
      <c r="V773" s="11" t="str">
        <f>_xlfn.XLOOKUP(Customer[[#This Row],[Customer ID]],[1]!Address[ID],[1]!Address[Type])</f>
        <v>PETROMART</v>
      </c>
      <c r="W773" s="11" t="str">
        <f>_xlfn.XLOOKUP(Customer[[#This Row],[Customer ID]],[1]!Address[ID],[1]!Address[CT])</f>
        <v>30 DAYS</v>
      </c>
      <c r="X773" s="11" t="s">
        <v>39</v>
      </c>
      <c r="Y773" s="17" t="s">
        <v>40</v>
      </c>
      <c r="Z773" s="17" t="e">
        <f>_xlfn.XLOOKUP(Customer[[#This Row],[NewType]],$AF$36:$AF$54,$AG$36:$AG$54)</f>
        <v>#N/A</v>
      </c>
      <c r="AA773" s="17" t="s">
        <v>5528</v>
      </c>
      <c r="AB773" s="11" t="str">
        <f>_xlfn.XLOOKUP(Customer[[#This Row],[Customer ID]],[1]!Address[ID],[1]!Address[Subtype])</f>
        <v>PETRONAS</v>
      </c>
      <c r="AC773" s="18" t="str">
        <f>_xlfn.XLOOKUP(Customer[[#This Row],[Customer ID]],[1]!Address[ID],[1]!Address[Zone])</f>
        <v>SOUTH</v>
      </c>
    </row>
    <row r="774" spans="1:29" x14ac:dyDescent="0.3">
      <c r="A774" s="10" t="s">
        <v>5529</v>
      </c>
      <c r="B774" s="11" t="str">
        <f>_xlfn.XLOOKUP(Customer[[#This Row],[Customer ID]],[1]!Name[ID],[1]!Name[Description(1)])</f>
        <v>TENAGA CEKAP ENTERPRISE</v>
      </c>
      <c r="C774" s="11" t="str">
        <f>_xlfn.XLOOKUP(Customer[[#This Row],[Customer ID]],[1]!Name[ID],[1]!Name[Description(2)])</f>
        <v>PS TAMAN TENAGA</v>
      </c>
      <c r="D774" s="11" t="str">
        <f>_xlfn.XLOOKUP(Customer[[#This Row],[Customer ID]],[1]!Address[ID],[1]!Address[PIC])</f>
        <v/>
      </c>
      <c r="E774" s="11" t="str">
        <f>_xlfn.XLOOKUP(Customer[[#This Row],[Customer ID]],[1]!Address[ID],[1]!Address[Full Address])</f>
        <v>PS TAMAN TENAGALOT 3643, BATU 3 1/2 ,TAMAN TENAGA,KUALALUMPUR, 52100, ULU LANGAT,W PERSEKUTUAN</v>
      </c>
      <c r="F774" s="12" t="s">
        <v>5530</v>
      </c>
      <c r="G774" s="12" t="s">
        <v>5531</v>
      </c>
      <c r="H774" s="12" t="s">
        <v>5532</v>
      </c>
      <c r="I774" s="12" t="b">
        <f>ISNUMBER(VALUE(LEFT(Customer[[#This Row],[Address Line 3 (30 char)]],1)))</f>
        <v>0</v>
      </c>
      <c r="J774" s="12" t="s">
        <v>34</v>
      </c>
      <c r="K774" s="12">
        <v>52100</v>
      </c>
      <c r="L774" s="12" t="s">
        <v>35</v>
      </c>
      <c r="M774" s="13" t="e">
        <v>#N/A</v>
      </c>
      <c r="N774" s="14" t="e">
        <v>#N/A</v>
      </c>
      <c r="O774" s="14" t="e">
        <v>#N/A</v>
      </c>
      <c r="P774" s="14" t="e">
        <v>#N/A</v>
      </c>
      <c r="Q774" s="19" t="s">
        <v>5533</v>
      </c>
      <c r="R774" s="15" t="s">
        <v>5534</v>
      </c>
      <c r="S774" s="15" t="s">
        <v>37</v>
      </c>
      <c r="T774" s="16" t="s">
        <v>38</v>
      </c>
      <c r="U774" s="11" t="str">
        <f>_xlfn.XLOOKUP(Customer[[#This Row],[Customer ID]],[1]!Address[ID],[1]!Address[Phone No.(2)])</f>
        <v/>
      </c>
      <c r="V774" s="11" t="str">
        <f>_xlfn.XLOOKUP(Customer[[#This Row],[Customer ID]],[1]!Address[ID],[1]!Address[Type])</f>
        <v>PETROMART</v>
      </c>
      <c r="W774" s="11" t="str">
        <f>_xlfn.XLOOKUP(Customer[[#This Row],[Customer ID]],[1]!Address[ID],[1]!Address[CT])</f>
        <v>30 DAYS</v>
      </c>
      <c r="X774" s="11" t="s">
        <v>39</v>
      </c>
      <c r="Y774" s="17" t="s">
        <v>40</v>
      </c>
      <c r="Z774" s="17" t="e">
        <f>_xlfn.XLOOKUP(Customer[[#This Row],[NewType]],$AF$36:$AF$54,$AG$36:$AG$54)</f>
        <v>#N/A</v>
      </c>
      <c r="AA774" s="17" t="s">
        <v>5535</v>
      </c>
      <c r="AB774" s="11" t="str">
        <f>_xlfn.XLOOKUP(Customer[[#This Row],[Customer ID]],[1]!Address[ID],[1]!Address[Subtype])</f>
        <v>PETRONAS</v>
      </c>
      <c r="AC774" s="18" t="str">
        <f>_xlfn.XLOOKUP(Customer[[#This Row],[Customer ID]],[1]!Address[ID],[1]!Address[Zone])</f>
        <v>CENTRAL</v>
      </c>
    </row>
    <row r="775" spans="1:29" x14ac:dyDescent="0.3">
      <c r="A775" s="10" t="s">
        <v>5536</v>
      </c>
      <c r="B775" s="11" t="str">
        <f>_xlfn.XLOOKUP(Customer[[#This Row],[Customer ID]],[1]!Name[ID],[1]!Name[Description(1)])</f>
        <v>ERA PETROLEUM</v>
      </c>
      <c r="C775" s="11" t="str">
        <f>_xlfn.XLOOKUP(Customer[[#This Row],[Customer ID]],[1]!Name[ID],[1]!Name[Description(2)])</f>
        <v>PS TAMAN TUALANG INDAH</v>
      </c>
      <c r="D775" s="11" t="str">
        <f>_xlfn.XLOOKUP(Customer[[#This Row],[Customer ID]],[1]!Address[ID],[1]!Address[PIC])</f>
        <v/>
      </c>
      <c r="E775" s="11" t="str">
        <f>_xlfn.XLOOKUP(Customer[[#This Row],[Customer ID]],[1]!Address[ID],[1]!Address[Full Address])</f>
        <v>PS TAMAN TUALANG INDAHPT 10852 &amp; 10853, HS(D) 13529 &amp; 13530,MUKIM OF MENTAKAB,28400, TEMERLOH, PAHANG</v>
      </c>
      <c r="F775" s="12" t="s">
        <v>5537</v>
      </c>
      <c r="G775" s="12" t="s">
        <v>5538</v>
      </c>
      <c r="H775" s="12" t="s">
        <v>5539</v>
      </c>
      <c r="I775" s="12" t="b">
        <f>ISNUMBER(VALUE(LEFT(Customer[[#This Row],[Address Line 3 (30 char)]],1)))</f>
        <v>0</v>
      </c>
      <c r="J775" s="12" t="s">
        <v>339</v>
      </c>
      <c r="K775" s="12">
        <v>28400</v>
      </c>
      <c r="L775" s="12" t="s">
        <v>35</v>
      </c>
      <c r="M775" s="13" t="e">
        <v>#N/A</v>
      </c>
      <c r="N775" s="14" t="e">
        <v>#N/A</v>
      </c>
      <c r="O775" s="14" t="e">
        <v>#N/A</v>
      </c>
      <c r="P775" s="14" t="e">
        <v>#N/A</v>
      </c>
      <c r="Q775" s="19" t="s">
        <v>5540</v>
      </c>
      <c r="R775" s="15" t="s">
        <v>5541</v>
      </c>
      <c r="S775" s="15" t="s">
        <v>37</v>
      </c>
      <c r="T775" s="16" t="s">
        <v>38</v>
      </c>
      <c r="U775" s="11" t="str">
        <f>_xlfn.XLOOKUP(Customer[[#This Row],[Customer ID]],[1]!Address[ID],[1]!Address[Phone No.(2)])</f>
        <v/>
      </c>
      <c r="V775" s="11" t="str">
        <f>_xlfn.XLOOKUP(Customer[[#This Row],[Customer ID]],[1]!Address[ID],[1]!Address[Type])</f>
        <v>PETROMART</v>
      </c>
      <c r="W775" s="11" t="str">
        <f>_xlfn.XLOOKUP(Customer[[#This Row],[Customer ID]],[1]!Address[ID],[1]!Address[CT])</f>
        <v>30 DAYS</v>
      </c>
      <c r="X775" s="11" t="s">
        <v>39</v>
      </c>
      <c r="Y775" s="17" t="s">
        <v>40</v>
      </c>
      <c r="Z775" s="17" t="e">
        <f>_xlfn.XLOOKUP(Customer[[#This Row],[NewType]],$AF$36:$AF$54,$AG$36:$AG$54)</f>
        <v>#N/A</v>
      </c>
      <c r="AA775" s="17" t="s">
        <v>5542</v>
      </c>
      <c r="AB775" s="11" t="str">
        <f>_xlfn.XLOOKUP(Customer[[#This Row],[Customer ID]],[1]!Address[ID],[1]!Address[Subtype])</f>
        <v>PETRONAS</v>
      </c>
      <c r="AC775" s="18" t="str">
        <f>_xlfn.XLOOKUP(Customer[[#This Row],[Customer ID]],[1]!Address[ID],[1]!Address[Zone])</f>
        <v>EAST COAST</v>
      </c>
    </row>
    <row r="776" spans="1:29" x14ac:dyDescent="0.3">
      <c r="A776" s="10" t="s">
        <v>5543</v>
      </c>
      <c r="B776" s="11" t="str">
        <f>_xlfn.XLOOKUP(Customer[[#This Row],[Customer ID]],[1]!Name[ID],[1]!Name[Description(1)])</f>
        <v>STESEN MINYAK PETRONAS ABIE</v>
      </c>
      <c r="C776" s="11" t="str">
        <f>_xlfn.XLOOKUP(Customer[[#This Row],[Customer ID]],[1]!Name[ID],[1]!Name[Description(2)])</f>
        <v>PS TAMAN UNIVERSITI</v>
      </c>
      <c r="D776" s="11" t="str">
        <f>_xlfn.XLOOKUP(Customer[[#This Row],[Customer ID]],[1]!Address[ID],[1]!Address[PIC])</f>
        <v/>
      </c>
      <c r="E776" s="11" t="str">
        <f>_xlfn.XLOOKUP(Customer[[#This Row],[Customer ID]],[1]!Address[ID],[1]!Address[Full Address])</f>
        <v>PS TAMAN UNIVERSITILOT PTD 44992, JALAN PENDIDIKAN, TAMANUNIVERSITI, JOHOR, 81300, JOHOR BAHRU,</v>
      </c>
      <c r="F776" s="12" t="s">
        <v>5544</v>
      </c>
      <c r="G776" s="12" t="s">
        <v>5545</v>
      </c>
      <c r="H776" s="12" t="s">
        <v>1155</v>
      </c>
      <c r="I776" s="12" t="b">
        <f>ISNUMBER(VALUE(LEFT(Customer[[#This Row],[Address Line 3 (30 char)]],1)))</f>
        <v>0</v>
      </c>
      <c r="J776" s="12" t="s">
        <v>1995</v>
      </c>
      <c r="K776" s="12">
        <v>81300</v>
      </c>
      <c r="L776" s="12" t="s">
        <v>35</v>
      </c>
      <c r="M776" s="13">
        <v>200203068841</v>
      </c>
      <c r="N776" s="14" t="s">
        <v>5546</v>
      </c>
      <c r="O776" s="14" t="s">
        <v>54</v>
      </c>
      <c r="P776" s="14">
        <v>47300</v>
      </c>
      <c r="Q776" s="19" t="s">
        <v>5547</v>
      </c>
      <c r="R776" s="15" t="s">
        <v>5548</v>
      </c>
      <c r="S776" s="15" t="s">
        <v>37</v>
      </c>
      <c r="T776" s="16" t="s">
        <v>38</v>
      </c>
      <c r="U776" s="11" t="str">
        <f>_xlfn.XLOOKUP(Customer[[#This Row],[Customer ID]],[1]!Address[ID],[1]!Address[Phone No.(2)])</f>
        <v/>
      </c>
      <c r="V776" s="11" t="str">
        <f>_xlfn.XLOOKUP(Customer[[#This Row],[Customer ID]],[1]!Address[ID],[1]!Address[Type])</f>
        <v>PETROMART</v>
      </c>
      <c r="W776" s="11" t="str">
        <f>_xlfn.XLOOKUP(Customer[[#This Row],[Customer ID]],[1]!Address[ID],[1]!Address[CT])</f>
        <v>30 DAYS</v>
      </c>
      <c r="X776" s="11" t="s">
        <v>39</v>
      </c>
      <c r="Y776" s="17" t="s">
        <v>40</v>
      </c>
      <c r="Z776" s="17" t="e">
        <f>_xlfn.XLOOKUP(Customer[[#This Row],[NewType]],$AF$36:$AF$54,$AG$36:$AG$54)</f>
        <v>#N/A</v>
      </c>
      <c r="AA776" s="17" t="s">
        <v>5549</v>
      </c>
      <c r="AB776" s="11" t="str">
        <f>_xlfn.XLOOKUP(Customer[[#This Row],[Customer ID]],[1]!Address[ID],[1]!Address[Subtype])</f>
        <v>PETRONAS</v>
      </c>
      <c r="AC776" s="18" t="str">
        <f>_xlfn.XLOOKUP(Customer[[#This Row],[Customer ID]],[1]!Address[ID],[1]!Address[Zone])</f>
        <v>SOUTH</v>
      </c>
    </row>
    <row r="777" spans="1:29" x14ac:dyDescent="0.3">
      <c r="A777" s="10" t="s">
        <v>5550</v>
      </c>
      <c r="B777" s="11" t="str">
        <f>_xlfn.XLOOKUP(Customer[[#This Row],[Customer ID]],[1]!Name[ID],[1]!Name[Description(1)])</f>
        <v>KULIS AM INDUK SERVISES</v>
      </c>
      <c r="C777" s="11" t="str">
        <f>_xlfn.XLOOKUP(Customer[[#This Row],[Customer ID]],[1]!Name[ID],[1]!Name[Description(2)])</f>
        <v>PS TAMAN UNIVERSITI 2</v>
      </c>
      <c r="D777" s="11" t="str">
        <f>_xlfn.XLOOKUP(Customer[[#This Row],[Customer ID]],[1]!Address[ID],[1]!Address[PIC])</f>
        <v/>
      </c>
      <c r="E777" s="11" t="str">
        <f>_xlfn.XLOOKUP(Customer[[#This Row],[Customer ID]],[1]!Address[ID],[1]!Address[Full Address])</f>
        <v>PS TAMAN UNIVERSITI 2LOT PTD 55821 TAMAN UNIVERSITI, MUKIMPULAI, JOHOR BAHRU, 81300 JOHOR</v>
      </c>
      <c r="F777" s="12" t="s">
        <v>5551</v>
      </c>
      <c r="G777" s="12" t="s">
        <v>5552</v>
      </c>
      <c r="H777" s="12" t="s">
        <v>1155</v>
      </c>
      <c r="I777" s="12" t="b">
        <f>ISNUMBER(VALUE(LEFT(Customer[[#This Row],[Address Line 3 (30 char)]],1)))</f>
        <v>0</v>
      </c>
      <c r="J777" s="12" t="s">
        <v>1995</v>
      </c>
      <c r="K777" s="12">
        <v>81300</v>
      </c>
      <c r="L777" s="12" t="s">
        <v>35</v>
      </c>
      <c r="M777" s="13" t="e">
        <v>#N/A</v>
      </c>
      <c r="N777" s="14" t="e">
        <v>#N/A</v>
      </c>
      <c r="O777" s="14" t="e">
        <v>#N/A</v>
      </c>
      <c r="P777" s="14" t="e">
        <v>#N/A</v>
      </c>
      <c r="Q777" s="19" t="s">
        <v>5553</v>
      </c>
      <c r="R777" s="15" t="s">
        <v>5554</v>
      </c>
      <c r="S777" s="15" t="s">
        <v>37</v>
      </c>
      <c r="T777" s="16" t="s">
        <v>38</v>
      </c>
      <c r="U777" s="11" t="str">
        <f>_xlfn.XLOOKUP(Customer[[#This Row],[Customer ID]],[1]!Address[ID],[1]!Address[Phone No.(2)])</f>
        <v/>
      </c>
      <c r="V777" s="11" t="str">
        <f>_xlfn.XLOOKUP(Customer[[#This Row],[Customer ID]],[1]!Address[ID],[1]!Address[Type])</f>
        <v>PETROMART</v>
      </c>
      <c r="W777" s="11" t="str">
        <f>_xlfn.XLOOKUP(Customer[[#This Row],[Customer ID]],[1]!Address[ID],[1]!Address[CT])</f>
        <v>30 DAYS</v>
      </c>
      <c r="X777" s="11" t="s">
        <v>39</v>
      </c>
      <c r="Y777" s="17" t="s">
        <v>40</v>
      </c>
      <c r="Z777" s="17" t="e">
        <f>_xlfn.XLOOKUP(Customer[[#This Row],[NewType]],$AF$36:$AF$54,$AG$36:$AG$54)</f>
        <v>#N/A</v>
      </c>
      <c r="AA777" s="17" t="s">
        <v>5555</v>
      </c>
      <c r="AB777" s="11" t="str">
        <f>_xlfn.XLOOKUP(Customer[[#This Row],[Customer ID]],[1]!Address[ID],[1]!Address[Subtype])</f>
        <v>PETRONAS</v>
      </c>
      <c r="AC777" s="18" t="str">
        <f>_xlfn.XLOOKUP(Customer[[#This Row],[Customer ID]],[1]!Address[ID],[1]!Address[Zone])</f>
        <v>SOUTH</v>
      </c>
    </row>
    <row r="778" spans="1:29" x14ac:dyDescent="0.3">
      <c r="A778" s="10" t="s">
        <v>5556</v>
      </c>
      <c r="B778" s="11" t="str">
        <f>_xlfn.XLOOKUP(Customer[[#This Row],[Customer ID]],[1]!Name[ID],[1]!Name[Description(1)])</f>
        <v>KPF NIAGA SDN BHD</v>
      </c>
      <c r="C778" s="11" t="str">
        <f>_xlfn.XLOOKUP(Customer[[#This Row],[Customer ID]],[1]!Name[ID],[1]!Name[Description(2)])</f>
        <v>PS TAMAN WAWASAN</v>
      </c>
      <c r="D778" s="11" t="str">
        <f>_xlfn.XLOOKUP(Customer[[#This Row],[Customer ID]],[1]!Address[ID],[1]!Address[PIC])</f>
        <v/>
      </c>
      <c r="E778" s="11" t="str">
        <f>_xlfn.XLOOKUP(Customer[[#This Row],[Customer ID]],[1]!Address[ID],[1]!Address[Full Address])</f>
        <v>PS TAMAN WAWASANPS TAMAN WAWASANLOT 9556, GRN 124948, MUKIM &amp; DAERAHMERSING,, 86800, MERSING, JOHOR</v>
      </c>
      <c r="F778" s="12" t="s">
        <v>5557</v>
      </c>
      <c r="G778" s="12" t="s">
        <v>5558</v>
      </c>
      <c r="H778" s="12" t="s">
        <v>3433</v>
      </c>
      <c r="I778" s="12" t="b">
        <f>ISNUMBER(VALUE(LEFT(Customer[[#This Row],[Address Line 3 (30 char)]],1)))</f>
        <v>0</v>
      </c>
      <c r="J778" s="12" t="s">
        <v>1995</v>
      </c>
      <c r="K778" s="12">
        <v>86800</v>
      </c>
      <c r="L778" s="12" t="s">
        <v>35</v>
      </c>
      <c r="M778" s="13" t="e">
        <v>#N/A</v>
      </c>
      <c r="N778" s="14" t="e">
        <v>#N/A</v>
      </c>
      <c r="O778" s="14" t="e">
        <v>#N/A</v>
      </c>
      <c r="P778" s="14" t="e">
        <v>#N/A</v>
      </c>
      <c r="Q778" s="19" t="s">
        <v>5559</v>
      </c>
      <c r="R778" s="15" t="s">
        <v>5560</v>
      </c>
      <c r="S778" s="15" t="s">
        <v>37</v>
      </c>
      <c r="T778" s="16" t="s">
        <v>38</v>
      </c>
      <c r="U778" s="11" t="str">
        <f>_xlfn.XLOOKUP(Customer[[#This Row],[Customer ID]],[1]!Address[ID],[1]!Address[Phone No.(2)])</f>
        <v/>
      </c>
      <c r="V778" s="11" t="str">
        <f>_xlfn.XLOOKUP(Customer[[#This Row],[Customer ID]],[1]!Address[ID],[1]!Address[Type])</f>
        <v>PETROMART</v>
      </c>
      <c r="W778" s="11" t="str">
        <f>_xlfn.XLOOKUP(Customer[[#This Row],[Customer ID]],[1]!Address[ID],[1]!Address[CT])</f>
        <v>30 DAYS</v>
      </c>
      <c r="X778" s="11" t="s">
        <v>39</v>
      </c>
      <c r="Y778" s="17" t="s">
        <v>40</v>
      </c>
      <c r="Z778" s="17" t="e">
        <f>_xlfn.XLOOKUP(Customer[[#This Row],[NewType]],$AF$36:$AF$54,$AG$36:$AG$54)</f>
        <v>#N/A</v>
      </c>
      <c r="AA778" s="17" t="s">
        <v>5561</v>
      </c>
      <c r="AB778" s="11" t="str">
        <f>_xlfn.XLOOKUP(Customer[[#This Row],[Customer ID]],[1]!Address[ID],[1]!Address[Subtype])</f>
        <v>PETRONAS</v>
      </c>
      <c r="AC778" s="18" t="str">
        <f>_xlfn.XLOOKUP(Customer[[#This Row],[Customer ID]],[1]!Address[ID],[1]!Address[Zone])</f>
        <v>SOUTH</v>
      </c>
    </row>
    <row r="779" spans="1:29" x14ac:dyDescent="0.3">
      <c r="A779" s="10" t="s">
        <v>5562</v>
      </c>
      <c r="B779" s="11" t="str">
        <f>_xlfn.XLOOKUP(Customer[[#This Row],[Customer ID]],[1]!Name[ID],[1]!Name[Description(1)])</f>
        <v>STESYEN WILAYAH GEMILANG</v>
      </c>
      <c r="C779" s="11" t="str">
        <f>_xlfn.XLOOKUP(Customer[[#This Row],[Customer ID]],[1]!Name[ID],[1]!Name[Description(2)])</f>
        <v>PS TAMAN WILAYAH</v>
      </c>
      <c r="D779" s="11" t="str">
        <f>_xlfn.XLOOKUP(Customer[[#This Row],[Customer ID]],[1]!Address[ID],[1]!Address[PIC])</f>
        <v/>
      </c>
      <c r="E779" s="11" t="str">
        <f>_xlfn.XLOOKUP(Customer[[#This Row],[Customer ID]],[1]!Address[ID],[1]!Address[Full Address])</f>
        <v>PS TAMAN WILAYAHLOT 55602 &amp; 55603, JALAN 4/2B, TAMANWILAYAH, SELAYANG, BATU CAVES, 68100,SELANGOR, W PERSEKUTUAN</v>
      </c>
      <c r="F779" s="12" t="s">
        <v>5563</v>
      </c>
      <c r="G779" s="12" t="s">
        <v>5564</v>
      </c>
      <c r="H779" s="12" t="s">
        <v>5565</v>
      </c>
      <c r="I779" s="12" t="b">
        <f>ISNUMBER(VALUE(LEFT(Customer[[#This Row],[Address Line 3 (30 char)]],1)))</f>
        <v>0</v>
      </c>
      <c r="J779" s="12" t="s">
        <v>1907</v>
      </c>
      <c r="K779" s="12">
        <v>68100</v>
      </c>
      <c r="L779" s="12" t="s">
        <v>35</v>
      </c>
      <c r="M779" s="13" t="e">
        <v>#N/A</v>
      </c>
      <c r="N779" s="14" t="e">
        <v>#N/A</v>
      </c>
      <c r="O779" s="14" t="e">
        <v>#N/A</v>
      </c>
      <c r="P779" s="14" t="e">
        <v>#N/A</v>
      </c>
      <c r="Q779" s="19" t="s">
        <v>5566</v>
      </c>
      <c r="R779" s="15" t="s">
        <v>5567</v>
      </c>
      <c r="S779" s="15" t="s">
        <v>37</v>
      </c>
      <c r="T779" s="16" t="s">
        <v>38</v>
      </c>
      <c r="U779" s="11" t="str">
        <f>_xlfn.XLOOKUP(Customer[[#This Row],[Customer ID]],[1]!Address[ID],[1]!Address[Phone No.(2)])</f>
        <v/>
      </c>
      <c r="V779" s="11" t="str">
        <f>_xlfn.XLOOKUP(Customer[[#This Row],[Customer ID]],[1]!Address[ID],[1]!Address[Type])</f>
        <v>PETROMART</v>
      </c>
      <c r="W779" s="11" t="str">
        <f>_xlfn.XLOOKUP(Customer[[#This Row],[Customer ID]],[1]!Address[ID],[1]!Address[CT])</f>
        <v>30 DAYS</v>
      </c>
      <c r="X779" s="11" t="s">
        <v>39</v>
      </c>
      <c r="Y779" s="17" t="s">
        <v>40</v>
      </c>
      <c r="Z779" s="17" t="e">
        <f>_xlfn.XLOOKUP(Customer[[#This Row],[NewType]],$AF$36:$AF$54,$AG$36:$AG$54)</f>
        <v>#N/A</v>
      </c>
      <c r="AA779" s="17" t="s">
        <v>5568</v>
      </c>
      <c r="AB779" s="11" t="str">
        <f>_xlfn.XLOOKUP(Customer[[#This Row],[Customer ID]],[1]!Address[ID],[1]!Address[Subtype])</f>
        <v>PETRONAS</v>
      </c>
      <c r="AC779" s="18" t="str">
        <f>_xlfn.XLOOKUP(Customer[[#This Row],[Customer ID]],[1]!Address[ID],[1]!Address[Zone])</f>
        <v>CENTRAL</v>
      </c>
    </row>
    <row r="780" spans="1:29" x14ac:dyDescent="0.3">
      <c r="A780" s="10" t="s">
        <v>5569</v>
      </c>
      <c r="B780" s="11" t="str">
        <f>_xlfn.XLOOKUP(Customer[[#This Row],[Customer ID]],[1]!Name[ID],[1]!Name[Description(1)])</f>
        <v>STESEN MINYAK ROSLI</v>
      </c>
      <c r="C780" s="11" t="str">
        <f>_xlfn.XLOOKUP(Customer[[#This Row],[Customer ID]],[1]!Name[ID],[1]!Name[Description(2)])</f>
        <v>PS TAMAN YAYASAN, SEGAMAT</v>
      </c>
      <c r="D780" s="11" t="str">
        <f>_xlfn.XLOOKUP(Customer[[#This Row],[Customer ID]],[1]!Address[ID],[1]!Address[PIC])</f>
        <v/>
      </c>
      <c r="E780" s="11" t="str">
        <f>_xlfn.XLOOKUP(Customer[[#This Row],[Customer ID]],[1]!Address[ID],[1]!Address[Full Address])</f>
        <v>PS TAMAN YAYASAN, SEGAMATLOT PTD 8255 TAMAN YAYASAN, SEGAMAT,JOHOR, 85000, SEGAMAT, JOHOR</v>
      </c>
      <c r="F780" s="12" t="s">
        <v>5570</v>
      </c>
      <c r="G780" s="12" t="s">
        <v>5571</v>
      </c>
      <c r="H780" s="12"/>
      <c r="I780" s="12" t="b">
        <f>ISNUMBER(VALUE(LEFT(Customer[[#This Row],[Address Line 3 (30 char)]],1)))</f>
        <v>0</v>
      </c>
      <c r="J780" s="12" t="s">
        <v>1995</v>
      </c>
      <c r="K780" s="12">
        <v>85000</v>
      </c>
      <c r="L780" s="12" t="s">
        <v>35</v>
      </c>
      <c r="M780" s="13">
        <v>201603041780</v>
      </c>
      <c r="N780" s="14" t="s">
        <v>5572</v>
      </c>
      <c r="O780" s="14" t="e">
        <v>#N/A</v>
      </c>
      <c r="P780" s="14" t="e">
        <v>#N/A</v>
      </c>
      <c r="Q780" s="19" t="s">
        <v>5573</v>
      </c>
      <c r="R780" s="15" t="s">
        <v>5574</v>
      </c>
      <c r="S780" s="15" t="s">
        <v>37</v>
      </c>
      <c r="T780" s="16" t="s">
        <v>38</v>
      </c>
      <c r="U780" s="11" t="str">
        <f>_xlfn.XLOOKUP(Customer[[#This Row],[Customer ID]],[1]!Address[ID],[1]!Address[Phone No.(2)])</f>
        <v/>
      </c>
      <c r="V780" s="11" t="str">
        <f>_xlfn.XLOOKUP(Customer[[#This Row],[Customer ID]],[1]!Address[ID],[1]!Address[Type])</f>
        <v>PETROMART</v>
      </c>
      <c r="W780" s="11" t="str">
        <f>_xlfn.XLOOKUP(Customer[[#This Row],[Customer ID]],[1]!Address[ID],[1]!Address[CT])</f>
        <v>30 DAYS</v>
      </c>
      <c r="X780" s="11" t="s">
        <v>39</v>
      </c>
      <c r="Y780" s="17" t="s">
        <v>40</v>
      </c>
      <c r="Z780" s="17" t="e">
        <f>_xlfn.XLOOKUP(Customer[[#This Row],[NewType]],$AF$36:$AF$54,$AG$36:$AG$54)</f>
        <v>#N/A</v>
      </c>
      <c r="AA780" s="17" t="s">
        <v>5575</v>
      </c>
      <c r="AB780" s="11" t="str">
        <f>_xlfn.XLOOKUP(Customer[[#This Row],[Customer ID]],[1]!Address[ID],[1]!Address[Subtype])</f>
        <v>PETRONAS</v>
      </c>
      <c r="AC780" s="18" t="str">
        <f>_xlfn.XLOOKUP(Customer[[#This Row],[Customer ID]],[1]!Address[ID],[1]!Address[Zone])</f>
        <v>SOUTH</v>
      </c>
    </row>
    <row r="781" spans="1:29" x14ac:dyDescent="0.3">
      <c r="A781" s="10" t="s">
        <v>5576</v>
      </c>
      <c r="B781" s="11" t="str">
        <f>_xlfn.XLOOKUP(Customer[[#This Row],[Customer ID]],[1]!Name[ID],[1]!Name[Description(1)])</f>
        <v>SHAZIMAN ENTERPRISE</v>
      </c>
      <c r="C781" s="11" t="str">
        <f>_xlfn.XLOOKUP(Customer[[#This Row],[Customer ID]],[1]!Name[ID],[1]!Name[Description(2)])</f>
        <v>PS TAMPIN</v>
      </c>
      <c r="D781" s="11" t="str">
        <f>_xlfn.XLOOKUP(Customer[[#This Row],[Customer ID]],[1]!Address[ID],[1]!Address[PIC])</f>
        <v/>
      </c>
      <c r="E781" s="11" t="str">
        <f>_xlfn.XLOOKUP(Customer[[#This Row],[Customer ID]],[1]!Address[ID],[1]!Address[Full Address])</f>
        <v>PS TAMPINLOT 448, JALAN TAMPIN - SEREMBAN, NEGERISEMBILAN, 73000, TAMPIN, NEGERI 9</v>
      </c>
      <c r="F781" s="12" t="s">
        <v>5577</v>
      </c>
      <c r="G781" s="12" t="s">
        <v>5578</v>
      </c>
      <c r="H781" s="12" t="s">
        <v>5579</v>
      </c>
      <c r="I781" s="12" t="b">
        <f>ISNUMBER(VALUE(LEFT(Customer[[#This Row],[Address Line 3 (30 char)]],1)))</f>
        <v>0</v>
      </c>
      <c r="J781" s="12" t="s">
        <v>203</v>
      </c>
      <c r="K781" s="12">
        <v>73000</v>
      </c>
      <c r="L781" s="12" t="s">
        <v>35</v>
      </c>
      <c r="M781" s="13" t="e">
        <v>#N/A</v>
      </c>
      <c r="N781" s="14" t="e">
        <v>#N/A</v>
      </c>
      <c r="O781" s="14" t="e">
        <v>#N/A</v>
      </c>
      <c r="P781" s="14" t="e">
        <v>#N/A</v>
      </c>
      <c r="Q781" s="19" t="s">
        <v>5580</v>
      </c>
      <c r="R781" s="15" t="s">
        <v>5581</v>
      </c>
      <c r="S781" s="15" t="s">
        <v>37</v>
      </c>
      <c r="T781" s="16" t="s">
        <v>38</v>
      </c>
      <c r="U781" s="11" t="str">
        <f>_xlfn.XLOOKUP(Customer[[#This Row],[Customer ID]],[1]!Address[ID],[1]!Address[Phone No.(2)])</f>
        <v/>
      </c>
      <c r="V781" s="11" t="str">
        <f>_xlfn.XLOOKUP(Customer[[#This Row],[Customer ID]],[1]!Address[ID],[1]!Address[Type])</f>
        <v>PETROMART</v>
      </c>
      <c r="W781" s="11" t="str">
        <f>_xlfn.XLOOKUP(Customer[[#This Row],[Customer ID]],[1]!Address[ID],[1]!Address[CT])</f>
        <v>30 DAYS</v>
      </c>
      <c r="X781" s="11" t="s">
        <v>39</v>
      </c>
      <c r="Y781" s="17" t="s">
        <v>40</v>
      </c>
      <c r="Z781" s="17" t="e">
        <f>_xlfn.XLOOKUP(Customer[[#This Row],[NewType]],$AF$36:$AF$54,$AG$36:$AG$54)</f>
        <v>#N/A</v>
      </c>
      <c r="AA781" s="17" t="s">
        <v>5582</v>
      </c>
      <c r="AB781" s="11" t="str">
        <f>_xlfn.XLOOKUP(Customer[[#This Row],[Customer ID]],[1]!Address[ID],[1]!Address[Subtype])</f>
        <v>PETRONAS</v>
      </c>
      <c r="AC781" s="18" t="str">
        <f>_xlfn.XLOOKUP(Customer[[#This Row],[Customer ID]],[1]!Address[ID],[1]!Address[Zone])</f>
        <v>CENTRAL</v>
      </c>
    </row>
    <row r="782" spans="1:29" x14ac:dyDescent="0.3">
      <c r="A782" s="10" t="s">
        <v>5583</v>
      </c>
      <c r="B782" s="11" t="str">
        <f>_xlfn.XLOOKUP(Customer[[#This Row],[Customer ID]],[1]!Name[ID],[1]!Name[Description(1)])</f>
        <v>HJAY OASIS</v>
      </c>
      <c r="C782" s="11" t="str">
        <f>_xlfn.XLOOKUP(Customer[[#This Row],[Customer ID]],[1]!Name[ID],[1]!Name[Description(2)])</f>
        <v>PS TAMPOI 3</v>
      </c>
      <c r="D782" s="11" t="str">
        <f>_xlfn.XLOOKUP(Customer[[#This Row],[Customer ID]],[1]!Address[ID],[1]!Address[PIC])</f>
        <v/>
      </c>
      <c r="E782" s="11" t="str">
        <f>_xlfn.XLOOKUP(Customer[[#This Row],[Customer ID]],[1]!Address[ID],[1]!Address[Full Address])</f>
        <v>PS TAMPOI 3LOT PTB 20802 PART OF LOT 6197, GERAN89960, JALAN TAMPOI, JOHOR, 81200,JOHOR BAHRU, JOHOR</v>
      </c>
      <c r="F782" s="12" t="s">
        <v>5584</v>
      </c>
      <c r="G782" s="12" t="s">
        <v>5585</v>
      </c>
      <c r="H782" s="24" t="s">
        <v>2391</v>
      </c>
      <c r="I782" s="24" t="b">
        <f>ISNUMBER(VALUE(LEFT(Customer[[#This Row],[Address Line 3 (30 char)]],1)))</f>
        <v>0</v>
      </c>
      <c r="J782" s="12" t="s">
        <v>1995</v>
      </c>
      <c r="K782" s="12">
        <v>81200</v>
      </c>
      <c r="L782" s="12" t="s">
        <v>35</v>
      </c>
      <c r="M782" s="13" t="e">
        <v>#N/A</v>
      </c>
      <c r="N782" s="14" t="e">
        <v>#N/A</v>
      </c>
      <c r="O782" s="14" t="e">
        <v>#N/A</v>
      </c>
      <c r="P782" s="14" t="e">
        <v>#N/A</v>
      </c>
      <c r="Q782" s="19" t="s">
        <v>2771</v>
      </c>
      <c r="R782" s="15" t="s">
        <v>5586</v>
      </c>
      <c r="S782" s="15" t="s">
        <v>37</v>
      </c>
      <c r="T782" s="16" t="s">
        <v>38</v>
      </c>
      <c r="U782" s="11" t="str">
        <f>_xlfn.XLOOKUP(Customer[[#This Row],[Customer ID]],[1]!Address[ID],[1]!Address[Phone No.(2)])</f>
        <v/>
      </c>
      <c r="V782" s="11" t="str">
        <f>_xlfn.XLOOKUP(Customer[[#This Row],[Customer ID]],[1]!Address[ID],[1]!Address[Type])</f>
        <v>PETROMART</v>
      </c>
      <c r="W782" s="11" t="str">
        <f>_xlfn.XLOOKUP(Customer[[#This Row],[Customer ID]],[1]!Address[ID],[1]!Address[CT])</f>
        <v>30 DAYS</v>
      </c>
      <c r="X782" s="11" t="s">
        <v>39</v>
      </c>
      <c r="Y782" s="17" t="s">
        <v>40</v>
      </c>
      <c r="Z782" s="17" t="e">
        <f>_xlfn.XLOOKUP(Customer[[#This Row],[NewType]],$AF$36:$AF$54,$AG$36:$AG$54)</f>
        <v>#N/A</v>
      </c>
      <c r="AA782" s="17" t="s">
        <v>5587</v>
      </c>
      <c r="AB782" s="11" t="str">
        <f>_xlfn.XLOOKUP(Customer[[#This Row],[Customer ID]],[1]!Address[ID],[1]!Address[Subtype])</f>
        <v>PETRONAS</v>
      </c>
      <c r="AC782" s="18" t="str">
        <f>_xlfn.XLOOKUP(Customer[[#This Row],[Customer ID]],[1]!Address[ID],[1]!Address[Zone])</f>
        <v>SOUTH</v>
      </c>
    </row>
    <row r="783" spans="1:29" x14ac:dyDescent="0.3">
      <c r="A783" s="10" t="s">
        <v>5588</v>
      </c>
      <c r="B783" s="11" t="str">
        <f>_xlfn.XLOOKUP(Customer[[#This Row],[Customer ID]],[1]!Name[ID],[1]!Name[Description(1)])</f>
        <v>AHSANA SDN BHD</v>
      </c>
      <c r="C783" s="11" t="str">
        <f>_xlfn.XLOOKUP(Customer[[#This Row],[Customer ID]],[1]!Name[ID],[1]!Name[Description(2)])</f>
        <v>PS TANAH LIAT</v>
      </c>
      <c r="D783" s="11" t="str">
        <f>_xlfn.XLOOKUP(Customer[[#This Row],[Customer ID]],[1]!Address[ID],[1]!Address[PIC])</f>
        <v/>
      </c>
      <c r="E783" s="11" t="str">
        <f>_xlfn.XLOOKUP(Customer[[#This Row],[Customer ID]],[1]!Address[ID],[1]!Address[Full Address])</f>
        <v>PS TANAH LIATLOT 112, SEKSYEN 1, JALAN TANAH LIAT, 14BUKIT MERTAJAM, PULAU PINANG</v>
      </c>
      <c r="F783" s="12" t="s">
        <v>5589</v>
      </c>
      <c r="G783" s="12" t="s">
        <v>5590</v>
      </c>
      <c r="H783" s="12" t="s">
        <v>5591</v>
      </c>
      <c r="I783" s="12" t="b">
        <f>ISNUMBER(VALUE(LEFT(Customer[[#This Row],[Address Line 3 (30 char)]],1)))</f>
        <v>0</v>
      </c>
      <c r="J783" s="12" t="s">
        <v>179</v>
      </c>
      <c r="K783" s="12">
        <v>14000</v>
      </c>
      <c r="L783" s="12" t="s">
        <v>35</v>
      </c>
      <c r="M783" s="13">
        <v>200403093030</v>
      </c>
      <c r="N783" s="14" t="s">
        <v>5592</v>
      </c>
      <c r="O783" s="14" t="s">
        <v>54</v>
      </c>
      <c r="P783" s="14">
        <v>47300</v>
      </c>
      <c r="Q783" s="19" t="s">
        <v>5593</v>
      </c>
      <c r="R783" s="15" t="s">
        <v>5594</v>
      </c>
      <c r="S783" s="15" t="s">
        <v>74</v>
      </c>
      <c r="T783" s="16" t="s">
        <v>38</v>
      </c>
      <c r="U783" s="11" t="str">
        <f>_xlfn.XLOOKUP(Customer[[#This Row],[Customer ID]],[1]!Address[ID],[1]!Address[Phone No.(2)])</f>
        <v/>
      </c>
      <c r="V783" s="11" t="str">
        <f>_xlfn.XLOOKUP(Customer[[#This Row],[Customer ID]],[1]!Address[ID],[1]!Address[Type])</f>
        <v>PETROMART</v>
      </c>
      <c r="W783" s="11" t="str">
        <f>_xlfn.XLOOKUP(Customer[[#This Row],[Customer ID]],[1]!Address[ID],[1]!Address[CT])</f>
        <v>30 DAYS</v>
      </c>
      <c r="X783" s="11" t="s">
        <v>39</v>
      </c>
      <c r="Y783" s="17" t="s">
        <v>40</v>
      </c>
      <c r="Z783" s="17" t="e">
        <f>_xlfn.XLOOKUP(Customer[[#This Row],[NewType]],$AF$36:$AF$54,$AG$36:$AG$54)</f>
        <v>#N/A</v>
      </c>
      <c r="AA783" s="17" t="s">
        <v>5595</v>
      </c>
      <c r="AB783" s="11" t="str">
        <f>_xlfn.XLOOKUP(Customer[[#This Row],[Customer ID]],[1]!Address[ID],[1]!Address[Subtype])</f>
        <v>PETRONAS</v>
      </c>
      <c r="AC783" s="18" t="str">
        <f>_xlfn.XLOOKUP(Customer[[#This Row],[Customer ID]],[1]!Address[ID],[1]!Address[Zone])</f>
        <v>NORTH</v>
      </c>
    </row>
    <row r="784" spans="1:29" x14ac:dyDescent="0.3">
      <c r="A784" s="27" t="s">
        <v>5596</v>
      </c>
      <c r="B784" s="28" t="str">
        <f>_xlfn.XLOOKUP(Customer[[#This Row],[Customer ID]],[1]!Name[ID],[1]!Name[Description(1)])</f>
        <v>DARUL FALAH TRADING</v>
      </c>
      <c r="C784" s="11" t="str">
        <f>_xlfn.XLOOKUP(Customer[[#This Row],[Customer ID]],[1]!Name[ID],[1]!Name[Description(2)])</f>
        <v>PS TANGGA BATU</v>
      </c>
      <c r="D784" s="11" t="str">
        <f>_xlfn.XLOOKUP(Customer[[#This Row],[Customer ID]],[1]!Address[ID],[1]!Address[PIC])</f>
        <v/>
      </c>
      <c r="E784" s="11" t="str">
        <f>_xlfn.XLOOKUP(Customer[[#This Row],[Customer ID]],[1]!Address[ID],[1]!Address[Full Address])</f>
        <v>PS TANGGA BATULOT 215, MUKIM TANGGA BATU, MELAKA, 7640MELAKA TENGAH, MELAKA</v>
      </c>
      <c r="F784" s="12" t="s">
        <v>5597</v>
      </c>
      <c r="G784" s="12" t="s">
        <v>5598</v>
      </c>
      <c r="H784" s="12" t="s">
        <v>102</v>
      </c>
      <c r="I784" s="12" t="b">
        <f>ISNUMBER(VALUE(LEFT(Customer[[#This Row],[Address Line 3 (30 char)]],1)))</f>
        <v>0</v>
      </c>
      <c r="J784" s="12" t="s">
        <v>61</v>
      </c>
      <c r="K784" s="30" t="s">
        <v>5599</v>
      </c>
      <c r="L784" s="12" t="s">
        <v>35</v>
      </c>
      <c r="M784" s="13" t="e">
        <v>#N/A</v>
      </c>
      <c r="N784" s="14" t="e">
        <v>#N/A</v>
      </c>
      <c r="O784" s="14" t="e">
        <v>#N/A</v>
      </c>
      <c r="P784" s="14" t="e">
        <v>#N/A</v>
      </c>
      <c r="Q784" s="19" t="s">
        <v>5600</v>
      </c>
      <c r="R784" s="15" t="s">
        <v>5601</v>
      </c>
      <c r="S784" s="15" t="s">
        <v>37</v>
      </c>
      <c r="T784" s="16" t="s">
        <v>38</v>
      </c>
      <c r="U784" s="11" t="str">
        <f>_xlfn.XLOOKUP(Customer[[#This Row],[Customer ID]],[1]!Address[ID],[1]!Address[Phone No.(2)])</f>
        <v/>
      </c>
      <c r="V784" s="11" t="str">
        <f>_xlfn.XLOOKUP(Customer[[#This Row],[Customer ID]],[1]!Address[ID],[1]!Address[Type])</f>
        <v>PETROMART</v>
      </c>
      <c r="W784" s="11" t="str">
        <f>_xlfn.XLOOKUP(Customer[[#This Row],[Customer ID]],[1]!Address[ID],[1]!Address[CT])</f>
        <v>30 DAYS</v>
      </c>
      <c r="X784" s="11" t="s">
        <v>39</v>
      </c>
      <c r="Y784" s="17" t="s">
        <v>40</v>
      </c>
      <c r="Z784" s="17" t="e">
        <f>_xlfn.XLOOKUP(Customer[[#This Row],[NewType]],$AF$36:$AF$54,$AG$36:$AG$54)</f>
        <v>#N/A</v>
      </c>
      <c r="AA784" s="17" t="s">
        <v>5602</v>
      </c>
      <c r="AB784" s="11" t="str">
        <f>_xlfn.XLOOKUP(Customer[[#This Row],[Customer ID]],[1]!Address[ID],[1]!Address[Subtype])</f>
        <v>PETRONAS</v>
      </c>
      <c r="AC784" s="18" t="str">
        <f>_xlfn.XLOOKUP(Customer[[#This Row],[Customer ID]],[1]!Address[ID],[1]!Address[Zone])</f>
        <v>SOUTH</v>
      </c>
    </row>
    <row r="785" spans="1:29" x14ac:dyDescent="0.3">
      <c r="A785" s="10" t="s">
        <v>5603</v>
      </c>
      <c r="B785" s="11" t="str">
        <f>_xlfn.XLOOKUP(Customer[[#This Row],[Customer ID]],[1]!Name[ID],[1]!Name[Description(1)])</f>
        <v>STESEN MINYAK GEMINI TIGA</v>
      </c>
      <c r="C785" s="11" t="str">
        <f>_xlfn.XLOOKUP(Customer[[#This Row],[Customer ID]],[1]!Name[ID],[1]!Name[Description(2)])</f>
        <v>PS TANGKAK</v>
      </c>
      <c r="D785" s="11" t="str">
        <f>_xlfn.XLOOKUP(Customer[[#This Row],[Customer ID]],[1]!Address[ID],[1]!Address[PIC])</f>
        <v/>
      </c>
      <c r="E785" s="11" t="str">
        <f>_xlfn.XLOOKUP(Customer[[#This Row],[Customer ID]],[1]!Address[ID],[1]!Address[Full Address])</f>
        <v>PS TANGKAKLOT 1205, KM 25, JALAN MUAR, TANGKAK,JOHOR, 84900, TANGKAK, JOHOR</v>
      </c>
      <c r="F785" s="12" t="s">
        <v>5604</v>
      </c>
      <c r="G785" s="12" t="s">
        <v>5605</v>
      </c>
      <c r="H785" s="12"/>
      <c r="I785" s="12" t="b">
        <f>ISNUMBER(VALUE(LEFT(Customer[[#This Row],[Address Line 3 (30 char)]],1)))</f>
        <v>0</v>
      </c>
      <c r="J785" s="12" t="s">
        <v>1995</v>
      </c>
      <c r="K785" s="12">
        <v>84900</v>
      </c>
      <c r="L785" s="12" t="s">
        <v>35</v>
      </c>
      <c r="M785" s="13" t="e">
        <v>#N/A</v>
      </c>
      <c r="N785" s="14" t="e">
        <v>#N/A</v>
      </c>
      <c r="O785" s="14" t="e">
        <v>#N/A</v>
      </c>
      <c r="P785" s="14" t="e">
        <v>#N/A</v>
      </c>
      <c r="Q785" s="19" t="s">
        <v>5606</v>
      </c>
      <c r="R785" s="15" t="s">
        <v>5607</v>
      </c>
      <c r="S785" s="15" t="s">
        <v>37</v>
      </c>
      <c r="T785" s="16" t="s">
        <v>38</v>
      </c>
      <c r="U785" s="11" t="str">
        <f>_xlfn.XLOOKUP(Customer[[#This Row],[Customer ID]],[1]!Address[ID],[1]!Address[Phone No.(2)])</f>
        <v/>
      </c>
      <c r="V785" s="11" t="str">
        <f>_xlfn.XLOOKUP(Customer[[#This Row],[Customer ID]],[1]!Address[ID],[1]!Address[Type])</f>
        <v>PETROMART</v>
      </c>
      <c r="W785" s="11" t="str">
        <f>_xlfn.XLOOKUP(Customer[[#This Row],[Customer ID]],[1]!Address[ID],[1]!Address[CT])</f>
        <v>30 DAYS</v>
      </c>
      <c r="X785" s="11" t="s">
        <v>39</v>
      </c>
      <c r="Y785" s="17" t="s">
        <v>40</v>
      </c>
      <c r="Z785" s="17" t="e">
        <f>_xlfn.XLOOKUP(Customer[[#This Row],[NewType]],$AF$36:$AF$54,$AG$36:$AG$54)</f>
        <v>#N/A</v>
      </c>
      <c r="AA785" s="17" t="s">
        <v>5608</v>
      </c>
      <c r="AB785" s="11" t="str">
        <f>_xlfn.XLOOKUP(Customer[[#This Row],[Customer ID]],[1]!Address[ID],[1]!Address[Subtype])</f>
        <v>PETRONAS</v>
      </c>
      <c r="AC785" s="18" t="str">
        <f>_xlfn.XLOOKUP(Customer[[#This Row],[Customer ID]],[1]!Address[ID],[1]!Address[Zone])</f>
        <v>SOUTH</v>
      </c>
    </row>
    <row r="786" spans="1:29" x14ac:dyDescent="0.3">
      <c r="A786" s="10" t="s">
        <v>5609</v>
      </c>
      <c r="B786" s="11" t="str">
        <f>_xlfn.XLOOKUP(Customer[[#This Row],[Customer ID]],[1]!Name[ID],[1]!Name[Description(1)])</f>
        <v>DISINI MSW ENTERPRISE</v>
      </c>
      <c r="C786" s="11" t="str">
        <f>_xlfn.XLOOKUP(Customer[[#This Row],[Customer ID]],[1]!Name[ID],[1]!Name[Description(2)])</f>
        <v>PS TANJONG LABOH</v>
      </c>
      <c r="D786" s="11" t="str">
        <f>_xlfn.XLOOKUP(Customer[[#This Row],[Customer ID]],[1]!Address[ID],[1]!Address[PIC])</f>
        <v/>
      </c>
      <c r="E786" s="11" t="str">
        <f>_xlfn.XLOOKUP(Customer[[#This Row],[Customer ID]],[1]!Address[ID],[1]!Address[Full Address])</f>
        <v>PS TANJONG LABOHLOT 18502, GERAN 32042, MUKIM SIMPANGKANAN, JALAN TANJUNG LABOH, BATU PAHAT,83000 JOHOR</v>
      </c>
      <c r="F786" s="12" t="s">
        <v>5610</v>
      </c>
      <c r="G786" s="12" t="s">
        <v>5611</v>
      </c>
      <c r="H786" s="12" t="s">
        <v>5612</v>
      </c>
      <c r="I786" s="12" t="b">
        <f>ISNUMBER(VALUE(LEFT(Customer[[#This Row],[Address Line 3 (30 char)]],1)))</f>
        <v>0</v>
      </c>
      <c r="J786" s="12" t="s">
        <v>1995</v>
      </c>
      <c r="K786" s="12">
        <v>83000</v>
      </c>
      <c r="L786" s="12" t="s">
        <v>35</v>
      </c>
      <c r="M786" s="13">
        <v>200603008253</v>
      </c>
      <c r="N786" s="14" t="s">
        <v>5613</v>
      </c>
      <c r="O786" s="14" t="e">
        <v>#N/A</v>
      </c>
      <c r="P786" s="14" t="e">
        <v>#N/A</v>
      </c>
      <c r="Q786" s="19" t="s">
        <v>5614</v>
      </c>
      <c r="R786" s="15" t="s">
        <v>5615</v>
      </c>
      <c r="S786" s="15" t="s">
        <v>37</v>
      </c>
      <c r="T786" s="16" t="s">
        <v>38</v>
      </c>
      <c r="U786" s="11" t="str">
        <f>_xlfn.XLOOKUP(Customer[[#This Row],[Customer ID]],[1]!Address[ID],[1]!Address[Phone No.(2)])</f>
        <v/>
      </c>
      <c r="V786" s="11" t="str">
        <f>_xlfn.XLOOKUP(Customer[[#This Row],[Customer ID]],[1]!Address[ID],[1]!Address[Type])</f>
        <v>PETROMART</v>
      </c>
      <c r="W786" s="11" t="str">
        <f>_xlfn.XLOOKUP(Customer[[#This Row],[Customer ID]],[1]!Address[ID],[1]!Address[CT])</f>
        <v>30 DAYS</v>
      </c>
      <c r="X786" s="11" t="s">
        <v>39</v>
      </c>
      <c r="Y786" s="17" t="s">
        <v>40</v>
      </c>
      <c r="Z786" s="17" t="e">
        <f>_xlfn.XLOOKUP(Customer[[#This Row],[NewType]],$AF$36:$AF$54,$AG$36:$AG$54)</f>
        <v>#N/A</v>
      </c>
      <c r="AA786" s="17" t="s">
        <v>5616</v>
      </c>
      <c r="AB786" s="11" t="str">
        <f>_xlfn.XLOOKUP(Customer[[#This Row],[Customer ID]],[1]!Address[ID],[1]!Address[Subtype])</f>
        <v>PETRONAS</v>
      </c>
      <c r="AC786" s="18" t="str">
        <f>_xlfn.XLOOKUP(Customer[[#This Row],[Customer ID]],[1]!Address[ID],[1]!Address[Zone])</f>
        <v>SOUTH</v>
      </c>
    </row>
    <row r="787" spans="1:29" x14ac:dyDescent="0.3">
      <c r="A787" s="10" t="s">
        <v>5617</v>
      </c>
      <c r="B787" s="11" t="str">
        <f>_xlfn.XLOOKUP(Customer[[#This Row],[Customer ID]],[1]!Name[ID],[1]!Name[Description(1)])</f>
        <v>ID NUR NIAGA</v>
      </c>
      <c r="C787" s="11" t="str">
        <f>_xlfn.XLOOKUP(Customer[[#This Row],[Customer ID]],[1]!Name[ID],[1]!Name[Description(2)])</f>
        <v>PS TANJUNG AGAS</v>
      </c>
      <c r="D787" s="11" t="str">
        <f>_xlfn.XLOOKUP(Customer[[#This Row],[Customer ID]],[1]!Address[ID],[1]!Address[PIC])</f>
        <v/>
      </c>
      <c r="E787" s="11" t="str">
        <f>_xlfn.XLOOKUP(Customer[[#This Row],[Customer ID]],[1]!Address[ID],[1]!Address[Full Address])</f>
        <v>PS TANJUNG AGASLOT PTK 32, MUKIM KESANG, KAWPERINDUSRTIAN TG AGAS, MUAR, JOHOR,84000, MUAR, JOHOR</v>
      </c>
      <c r="F787" s="12" t="s">
        <v>5618</v>
      </c>
      <c r="G787" s="12" t="s">
        <v>5619</v>
      </c>
      <c r="H787" s="12" t="s">
        <v>5620</v>
      </c>
      <c r="I787" s="12" t="b">
        <f>ISNUMBER(VALUE(LEFT(Customer[[#This Row],[Address Line 3 (30 char)]],1)))</f>
        <v>0</v>
      </c>
      <c r="J787" s="12" t="s">
        <v>1995</v>
      </c>
      <c r="K787" s="12">
        <v>84000</v>
      </c>
      <c r="L787" s="12" t="s">
        <v>35</v>
      </c>
      <c r="M787" s="13" t="e">
        <v>#N/A</v>
      </c>
      <c r="N787" s="14" t="e">
        <v>#N/A</v>
      </c>
      <c r="O787" s="14" t="e">
        <v>#N/A</v>
      </c>
      <c r="P787" s="14" t="e">
        <v>#N/A</v>
      </c>
      <c r="Q787" s="19" t="s">
        <v>5621</v>
      </c>
      <c r="R787" s="15" t="s">
        <v>5622</v>
      </c>
      <c r="S787" s="15" t="s">
        <v>37</v>
      </c>
      <c r="T787" s="16" t="s">
        <v>38</v>
      </c>
      <c r="U787" s="11" t="str">
        <f>_xlfn.XLOOKUP(Customer[[#This Row],[Customer ID]],[1]!Address[ID],[1]!Address[Phone No.(2)])</f>
        <v/>
      </c>
      <c r="V787" s="11" t="str">
        <f>_xlfn.XLOOKUP(Customer[[#This Row],[Customer ID]],[1]!Address[ID],[1]!Address[Type])</f>
        <v>PETROMART</v>
      </c>
      <c r="W787" s="11" t="str">
        <f>_xlfn.XLOOKUP(Customer[[#This Row],[Customer ID]],[1]!Address[ID],[1]!Address[CT])</f>
        <v>30 DAYS</v>
      </c>
      <c r="X787" s="11" t="s">
        <v>39</v>
      </c>
      <c r="Y787" s="17" t="s">
        <v>40</v>
      </c>
      <c r="Z787" s="17" t="e">
        <f>_xlfn.XLOOKUP(Customer[[#This Row],[NewType]],$AF$36:$AF$54,$AG$36:$AG$54)</f>
        <v>#N/A</v>
      </c>
      <c r="AA787" s="17" t="s">
        <v>5623</v>
      </c>
      <c r="AB787" s="11" t="str">
        <f>_xlfn.XLOOKUP(Customer[[#This Row],[Customer ID]],[1]!Address[ID],[1]!Address[Subtype])</f>
        <v>PETRONAS</v>
      </c>
      <c r="AC787" s="18" t="str">
        <f>_xlfn.XLOOKUP(Customer[[#This Row],[Customer ID]],[1]!Address[ID],[1]!Address[Zone])</f>
        <v>SOUTH</v>
      </c>
    </row>
    <row r="788" spans="1:29" x14ac:dyDescent="0.3">
      <c r="A788" s="10" t="s">
        <v>5624</v>
      </c>
      <c r="B788" s="11" t="str">
        <f>_xlfn.XLOOKUP(Customer[[#This Row],[Customer ID]],[1]!Name[ID],[1]!Name[Description(1)])</f>
        <v>EDI RESOURCES</v>
      </c>
      <c r="C788" s="11" t="str">
        <f>_xlfn.XLOOKUP(Customer[[#This Row],[Customer ID]],[1]!Name[ID],[1]!Name[Description(2)])</f>
        <v>PS TANJUNG GADING</v>
      </c>
      <c r="D788" s="11" t="str">
        <f>_xlfn.XLOOKUP(Customer[[#This Row],[Customer ID]],[1]!Address[ID],[1]!Address[PIC])</f>
        <v/>
      </c>
      <c r="E788" s="11" t="str">
        <f>_xlfn.XLOOKUP(Customer[[#This Row],[Customer ID]],[1]!Address[ID],[1]!Address[Full Address])</f>
        <v>PS TANJUNG GADINGLOT 799, HS (M) 758, TANAH KERAJAANTANJUNG GEMOK, ENDAU, 26800, ROMPIN,PAHANG</v>
      </c>
      <c r="F788" s="12" t="s">
        <v>5625</v>
      </c>
      <c r="G788" s="12" t="s">
        <v>5626</v>
      </c>
      <c r="H788" s="12" t="s">
        <v>5627</v>
      </c>
      <c r="I788" s="12" t="b">
        <f>ISNUMBER(VALUE(LEFT(Customer[[#This Row],[Address Line 3 (30 char)]],1)))</f>
        <v>0</v>
      </c>
      <c r="J788" s="12" t="s">
        <v>339</v>
      </c>
      <c r="K788" s="12">
        <v>26800</v>
      </c>
      <c r="L788" s="12" t="s">
        <v>35</v>
      </c>
      <c r="M788" s="13" t="e">
        <v>#N/A</v>
      </c>
      <c r="N788" s="14" t="e">
        <v>#N/A</v>
      </c>
      <c r="O788" s="14" t="e">
        <v>#N/A</v>
      </c>
      <c r="P788" s="14" t="e">
        <v>#N/A</v>
      </c>
      <c r="Q788" s="19" t="s">
        <v>5628</v>
      </c>
      <c r="R788" s="15" t="s">
        <v>5629</v>
      </c>
      <c r="S788" s="15" t="s">
        <v>37</v>
      </c>
      <c r="T788" s="16" t="s">
        <v>38</v>
      </c>
      <c r="U788" s="11" t="str">
        <f>_xlfn.XLOOKUP(Customer[[#This Row],[Customer ID]],[1]!Address[ID],[1]!Address[Phone No.(2)])</f>
        <v/>
      </c>
      <c r="V788" s="11" t="str">
        <f>_xlfn.XLOOKUP(Customer[[#This Row],[Customer ID]],[1]!Address[ID],[1]!Address[Type])</f>
        <v>PETROMART</v>
      </c>
      <c r="W788" s="11" t="str">
        <f>_xlfn.XLOOKUP(Customer[[#This Row],[Customer ID]],[1]!Address[ID],[1]!Address[CT])</f>
        <v>30 DAYS</v>
      </c>
      <c r="X788" s="11" t="s">
        <v>39</v>
      </c>
      <c r="Y788" s="17" t="s">
        <v>40</v>
      </c>
      <c r="Z788" s="17" t="e">
        <f>_xlfn.XLOOKUP(Customer[[#This Row],[NewType]],$AF$36:$AF$54,$AG$36:$AG$54)</f>
        <v>#N/A</v>
      </c>
      <c r="AA788" s="17" t="s">
        <v>5630</v>
      </c>
      <c r="AB788" s="11" t="str">
        <f>_xlfn.XLOOKUP(Customer[[#This Row],[Customer ID]],[1]!Address[ID],[1]!Address[Subtype])</f>
        <v>PETRONAS</v>
      </c>
      <c r="AC788" s="18" t="str">
        <f>_xlfn.XLOOKUP(Customer[[#This Row],[Customer ID]],[1]!Address[ID],[1]!Address[Zone])</f>
        <v>EAST COAST</v>
      </c>
    </row>
    <row r="789" spans="1:29" x14ac:dyDescent="0.3">
      <c r="A789" s="10" t="s">
        <v>5631</v>
      </c>
      <c r="B789" s="11" t="str">
        <f>_xlfn.XLOOKUP(Customer[[#This Row],[Customer ID]],[1]!Name[ID],[1]!Name[Description(1)])</f>
        <v>ONE CITY SUPERSTATION</v>
      </c>
      <c r="C789" s="11" t="str">
        <f>_xlfn.XLOOKUP(Customer[[#This Row],[Customer ID]],[1]!Name[ID],[1]!Name[Description(2)])</f>
        <v>PS TANJUNG KARANG 1</v>
      </c>
      <c r="D789" s="11" t="str">
        <f>_xlfn.XLOOKUP(Customer[[#This Row],[Customer ID]],[1]!Address[ID],[1]!Address[PIC])</f>
        <v/>
      </c>
      <c r="E789" s="11" t="str">
        <f>_xlfn.XLOOKUP(Customer[[#This Row],[Customer ID]],[1]!Address[ID],[1]!Address[Full Address])</f>
        <v>PS TANJUNG KARANG 1LOT, PT 81 BATU 9, JALAN BESAR, 45500TANJUNG KARANG, SELANGOR.</v>
      </c>
      <c r="F789" s="12" t="s">
        <v>5632</v>
      </c>
      <c r="G789" s="12" t="s">
        <v>2995</v>
      </c>
      <c r="H789" s="12" t="s">
        <v>5633</v>
      </c>
      <c r="I789" s="12" t="b">
        <f>ISNUMBER(VALUE(LEFT(Customer[[#This Row],[Address Line 3 (30 char)]],1)))</f>
        <v>0</v>
      </c>
      <c r="J789" s="12" t="s">
        <v>1907</v>
      </c>
      <c r="K789" s="12">
        <v>45500</v>
      </c>
      <c r="L789" s="12" t="s">
        <v>35</v>
      </c>
      <c r="M789" s="13" t="e">
        <v>#N/A</v>
      </c>
      <c r="N789" s="14" t="e">
        <v>#N/A</v>
      </c>
      <c r="O789" s="14" t="e">
        <v>#N/A</v>
      </c>
      <c r="P789" s="14" t="e">
        <v>#N/A</v>
      </c>
      <c r="Q789" s="19" t="s">
        <v>5634</v>
      </c>
      <c r="R789" s="15" t="s">
        <v>5635</v>
      </c>
      <c r="S789" s="15" t="s">
        <v>37</v>
      </c>
      <c r="T789" s="16" t="s">
        <v>38</v>
      </c>
      <c r="U789" s="11" t="str">
        <f>_xlfn.XLOOKUP(Customer[[#This Row],[Customer ID]],[1]!Address[ID],[1]!Address[Phone No.(2)])</f>
        <v/>
      </c>
      <c r="V789" s="11" t="str">
        <f>_xlfn.XLOOKUP(Customer[[#This Row],[Customer ID]],[1]!Address[ID],[1]!Address[Type])</f>
        <v>PETROMART</v>
      </c>
      <c r="W789" s="11" t="str">
        <f>_xlfn.XLOOKUP(Customer[[#This Row],[Customer ID]],[1]!Address[ID],[1]!Address[CT])</f>
        <v>30 DAYS</v>
      </c>
      <c r="X789" s="11" t="s">
        <v>39</v>
      </c>
      <c r="Y789" s="17" t="s">
        <v>40</v>
      </c>
      <c r="Z789" s="17" t="e">
        <f>_xlfn.XLOOKUP(Customer[[#This Row],[NewType]],$AF$36:$AF$54,$AG$36:$AG$54)</f>
        <v>#N/A</v>
      </c>
      <c r="AA789" s="17" t="s">
        <v>5636</v>
      </c>
      <c r="AB789" s="11" t="str">
        <f>_xlfn.XLOOKUP(Customer[[#This Row],[Customer ID]],[1]!Address[ID],[1]!Address[Subtype])</f>
        <v>PETRONAS</v>
      </c>
      <c r="AC789" s="18" t="str">
        <f>_xlfn.XLOOKUP(Customer[[#This Row],[Customer ID]],[1]!Address[ID],[1]!Address[Zone])</f>
        <v>CENTRAL</v>
      </c>
    </row>
    <row r="790" spans="1:29" x14ac:dyDescent="0.3">
      <c r="A790" s="10" t="s">
        <v>5637</v>
      </c>
      <c r="B790" s="11" t="str">
        <f>_xlfn.XLOOKUP(Customer[[#This Row],[Customer ID]],[1]!Name[ID],[1]!Name[Description(1)])</f>
        <v>ABADAN ENTERPRISE</v>
      </c>
      <c r="C790" s="11" t="str">
        <f>_xlfn.XLOOKUP(Customer[[#This Row],[Customer ID]],[1]!Name[ID],[1]!Name[Description(2)])</f>
        <v>PS TANJUNG KARANG 2</v>
      </c>
      <c r="D790" s="11" t="str">
        <f>_xlfn.XLOOKUP(Customer[[#This Row],[Customer ID]],[1]!Address[ID],[1]!Address[PIC])</f>
        <v/>
      </c>
      <c r="E790" s="11" t="str">
        <f>_xlfn.XLOOKUP(Customer[[#This Row],[Customer ID]],[1]!Address[ID],[1]!Address[Full Address])</f>
        <v>PS TANJUNG KARANG 2LOT 5, GM 627(PT 25 HSM 2948)MUKIM HUJUNG PERMATANG, TANJONG KARANG,45500 SELANGOR.</v>
      </c>
      <c r="F790" s="12" t="s">
        <v>5638</v>
      </c>
      <c r="G790" s="12" t="s">
        <v>5639</v>
      </c>
      <c r="H790" s="12" t="s">
        <v>5640</v>
      </c>
      <c r="I790" s="12" t="b">
        <f>ISNUMBER(VALUE(LEFT(Customer[[#This Row],[Address Line 3 (30 char)]],1)))</f>
        <v>0</v>
      </c>
      <c r="J790" s="12" t="s">
        <v>1907</v>
      </c>
      <c r="K790" s="12">
        <v>45500</v>
      </c>
      <c r="L790" s="12" t="s">
        <v>35</v>
      </c>
      <c r="M790" s="13">
        <v>202103266913</v>
      </c>
      <c r="N790" s="14" t="s">
        <v>5641</v>
      </c>
      <c r="O790" s="14" t="s">
        <v>54</v>
      </c>
      <c r="P790" s="14">
        <v>47300</v>
      </c>
      <c r="Q790" s="19" t="s">
        <v>5642</v>
      </c>
      <c r="R790" s="15" t="s">
        <v>5643</v>
      </c>
      <c r="S790" s="15" t="s">
        <v>37</v>
      </c>
      <c r="T790" s="16" t="s">
        <v>38</v>
      </c>
      <c r="U790" s="11" t="str">
        <f>_xlfn.XLOOKUP(Customer[[#This Row],[Customer ID]],[1]!Address[ID],[1]!Address[Phone No.(2)])</f>
        <v/>
      </c>
      <c r="V790" s="11" t="str">
        <f>_xlfn.XLOOKUP(Customer[[#This Row],[Customer ID]],[1]!Address[ID],[1]!Address[Type])</f>
        <v>PETROMART</v>
      </c>
      <c r="W790" s="11" t="str">
        <f>_xlfn.XLOOKUP(Customer[[#This Row],[Customer ID]],[1]!Address[ID],[1]!Address[CT])</f>
        <v>30 DAYS</v>
      </c>
      <c r="X790" s="11" t="s">
        <v>39</v>
      </c>
      <c r="Y790" s="17" t="s">
        <v>40</v>
      </c>
      <c r="Z790" s="17" t="e">
        <f>_xlfn.XLOOKUP(Customer[[#This Row],[NewType]],$AF$36:$AF$54,$AG$36:$AG$54)</f>
        <v>#N/A</v>
      </c>
      <c r="AA790" s="17" t="s">
        <v>5644</v>
      </c>
      <c r="AB790" s="11" t="str">
        <f>_xlfn.XLOOKUP(Customer[[#This Row],[Customer ID]],[1]!Address[ID],[1]!Address[Subtype])</f>
        <v>PETRONAS</v>
      </c>
      <c r="AC790" s="18" t="str">
        <f>_xlfn.XLOOKUP(Customer[[#This Row],[Customer ID]],[1]!Address[ID],[1]!Address[Zone])</f>
        <v>CENTRAL</v>
      </c>
    </row>
    <row r="791" spans="1:29" x14ac:dyDescent="0.3">
      <c r="A791" s="10" t="s">
        <v>5645</v>
      </c>
      <c r="B791" s="11" t="str">
        <f>_xlfn.XLOOKUP(Customer[[#This Row],[Customer ID]],[1]!Name[ID],[1]!Name[Description(1)])</f>
        <v>ARIANA PETROL STATION</v>
      </c>
      <c r="C791" s="11" t="str">
        <f>_xlfn.XLOOKUP(Customer[[#This Row],[Customer ID]],[1]!Name[ID],[1]!Name[Description(2)])</f>
        <v>PS TANJUNG RAMBUTAN</v>
      </c>
      <c r="D791" s="11" t="str">
        <f>_xlfn.XLOOKUP(Customer[[#This Row],[Customer ID]],[1]!Address[ID],[1]!Address[PIC])</f>
        <v/>
      </c>
      <c r="E791" s="11" t="str">
        <f>_xlfn.XLOOKUP(Customer[[#This Row],[Customer ID]],[1]!Address[ID],[1]!Address[Full Address])</f>
        <v>PS TANJUNG RAMBUTANLOT 55218, BATU 9,JALAN TANJUNG RAMBUTAN31250 TANJUNG RAMBUTAN,PERAK DARUL RIDHUAN</v>
      </c>
      <c r="F791" s="12" t="s">
        <v>5646</v>
      </c>
      <c r="G791" s="12" t="s">
        <v>5647</v>
      </c>
      <c r="H791" s="12" t="s">
        <v>5648</v>
      </c>
      <c r="I791" s="12" t="b">
        <f>ISNUMBER(VALUE(LEFT(Customer[[#This Row],[Address Line 3 (30 char)]],1)))</f>
        <v>0</v>
      </c>
      <c r="J791" s="12" t="s">
        <v>387</v>
      </c>
      <c r="K791" s="12">
        <v>31250</v>
      </c>
      <c r="L791" s="12" t="s">
        <v>35</v>
      </c>
      <c r="M791" s="13">
        <v>202303206911</v>
      </c>
      <c r="N791" s="14" t="s">
        <v>5649</v>
      </c>
      <c r="O791" s="14" t="e">
        <v>#N/A</v>
      </c>
      <c r="P791" s="14" t="e">
        <v>#N/A</v>
      </c>
      <c r="Q791" s="14" t="e">
        <v>#N/A</v>
      </c>
      <c r="R791" s="15" t="s">
        <v>5650</v>
      </c>
      <c r="S791" s="15" t="s">
        <v>37</v>
      </c>
      <c r="T791" s="16" t="s">
        <v>38</v>
      </c>
      <c r="U791" s="11" t="str">
        <f>_xlfn.XLOOKUP(Customer[[#This Row],[Customer ID]],[1]!Address[ID],[1]!Address[Phone No.(2)])</f>
        <v/>
      </c>
      <c r="V791" s="11" t="str">
        <f>_xlfn.XLOOKUP(Customer[[#This Row],[Customer ID]],[1]!Address[ID],[1]!Address[Type])</f>
        <v>PETROMART</v>
      </c>
      <c r="W791" s="11" t="str">
        <f>_xlfn.XLOOKUP(Customer[[#This Row],[Customer ID]],[1]!Address[ID],[1]!Address[CT])</f>
        <v>30 DAYS</v>
      </c>
      <c r="X791" s="11" t="s">
        <v>39</v>
      </c>
      <c r="Y791" s="17" t="s">
        <v>40</v>
      </c>
      <c r="Z791" s="17" t="e">
        <f>_xlfn.XLOOKUP(Customer[[#This Row],[NewType]],$AF$36:$AF$54,$AG$36:$AG$54)</f>
        <v>#N/A</v>
      </c>
      <c r="AA791" s="17" t="s">
        <v>5651</v>
      </c>
      <c r="AB791" s="11" t="str">
        <f>_xlfn.XLOOKUP(Customer[[#This Row],[Customer ID]],[1]!Address[ID],[1]!Address[Subtype])</f>
        <v>PETRONAS</v>
      </c>
      <c r="AC791" s="18" t="str">
        <f>_xlfn.XLOOKUP(Customer[[#This Row],[Customer ID]],[1]!Address[ID],[1]!Address[Zone])</f>
        <v>NORTH</v>
      </c>
    </row>
    <row r="792" spans="1:29" x14ac:dyDescent="0.3">
      <c r="A792" s="10" t="s">
        <v>5652</v>
      </c>
      <c r="B792" s="11" t="str">
        <f>_xlfn.XLOOKUP(Customer[[#This Row],[Customer ID]],[1]!Name[ID],[1]!Name[Description(1)])</f>
        <v>SALISYA NIAGA</v>
      </c>
      <c r="C792" s="11" t="str">
        <f>_xlfn.XLOOKUP(Customer[[#This Row],[Customer ID]],[1]!Name[ID],[1]!Name[Description(2)])</f>
        <v>PS TAPAH ARAH UTARA</v>
      </c>
      <c r="D792" s="11" t="str">
        <f>_xlfn.XLOOKUP(Customer[[#This Row],[Customer ID]],[1]!Address[ID],[1]!Address[PIC])</f>
        <v/>
      </c>
      <c r="E792" s="11" t="str">
        <f>_xlfn.XLOOKUP(Customer[[#This Row],[Customer ID]],[1]!Address[ID],[1]!Address[Full Address])</f>
        <v>PS TAPAH ARAH UTARAKAWASAN REHAT &amp; RAWAT TAPAH - ARAHUTARA, LEBUHRAYA UTARA-SELATAN (PLUS),TAPAH, 35000, BATANG PADANG, PERAK</v>
      </c>
      <c r="F792" s="12" t="s">
        <v>5653</v>
      </c>
      <c r="G792" s="12" t="s">
        <v>5654</v>
      </c>
      <c r="H792" s="12" t="s">
        <v>5655</v>
      </c>
      <c r="I792" s="12" t="b">
        <f>ISNUMBER(VALUE(LEFT(Customer[[#This Row],[Address Line 3 (30 char)]],1)))</f>
        <v>0</v>
      </c>
      <c r="J792" s="12" t="s">
        <v>387</v>
      </c>
      <c r="K792" s="12">
        <v>35000</v>
      </c>
      <c r="L792" s="12" t="s">
        <v>35</v>
      </c>
      <c r="M792" s="13" t="e">
        <v>#N/A</v>
      </c>
      <c r="N792" s="14" t="e">
        <v>#N/A</v>
      </c>
      <c r="O792" s="14" t="e">
        <v>#N/A</v>
      </c>
      <c r="P792" s="14" t="e">
        <v>#N/A</v>
      </c>
      <c r="Q792" s="19" t="s">
        <v>5656</v>
      </c>
      <c r="R792" s="15" t="s">
        <v>4739</v>
      </c>
      <c r="S792" s="15" t="s">
        <v>37</v>
      </c>
      <c r="T792" s="16" t="s">
        <v>38</v>
      </c>
      <c r="U792" s="11" t="str">
        <f>_xlfn.XLOOKUP(Customer[[#This Row],[Customer ID]],[1]!Address[ID],[1]!Address[Phone No.(2)])</f>
        <v/>
      </c>
      <c r="V792" s="11" t="str">
        <f>_xlfn.XLOOKUP(Customer[[#This Row],[Customer ID]],[1]!Address[ID],[1]!Address[Type])</f>
        <v>PETROMART</v>
      </c>
      <c r="W792" s="11" t="str">
        <f>_xlfn.XLOOKUP(Customer[[#This Row],[Customer ID]],[1]!Address[ID],[1]!Address[CT])</f>
        <v>30 DAYS</v>
      </c>
      <c r="X792" s="11" t="s">
        <v>39</v>
      </c>
      <c r="Y792" s="17" t="s">
        <v>40</v>
      </c>
      <c r="Z792" s="17" t="e">
        <f>_xlfn.XLOOKUP(Customer[[#This Row],[NewType]],$AF$36:$AF$54,$AG$36:$AG$54)</f>
        <v>#N/A</v>
      </c>
      <c r="AA792" s="17" t="s">
        <v>5657</v>
      </c>
      <c r="AB792" s="11" t="str">
        <f>_xlfn.XLOOKUP(Customer[[#This Row],[Customer ID]],[1]!Address[ID],[1]!Address[Subtype])</f>
        <v>PETRONAS</v>
      </c>
      <c r="AC792" s="18" t="str">
        <f>_xlfn.XLOOKUP(Customer[[#This Row],[Customer ID]],[1]!Address[ID],[1]!Address[Zone])</f>
        <v>NORTH</v>
      </c>
    </row>
    <row r="793" spans="1:29" x14ac:dyDescent="0.3">
      <c r="A793" s="10" t="s">
        <v>5658</v>
      </c>
      <c r="B793" s="11" t="str">
        <f>_xlfn.XLOOKUP(Customer[[#This Row],[Customer ID]],[1]!Name[ID],[1]!Name[Description(1)])</f>
        <v>TASEK MUTIARA PETROL STATION</v>
      </c>
      <c r="C793" s="11" t="str">
        <f>_xlfn.XLOOKUP(Customer[[#This Row],[Customer ID]],[1]!Name[ID],[1]!Name[Description(2)])</f>
        <v>PS TASEK BOULEVARD</v>
      </c>
      <c r="D793" s="11" t="str">
        <f>_xlfn.XLOOKUP(Customer[[#This Row],[Customer ID]],[1]!Address[ID],[1]!Address[PIC])</f>
        <v/>
      </c>
      <c r="E793" s="11" t="str">
        <f>_xlfn.XLOOKUP(Customer[[#This Row],[Customer ID]],[1]!Address[ID],[1]!Address[Full Address])</f>
        <v>PS TASEK BOULEVARDLot 9930,Jalan Kuala Kangsar,30010 Ipoh, Perak.</v>
      </c>
      <c r="F793" s="12" t="s">
        <v>5659</v>
      </c>
      <c r="G793" s="12" t="s">
        <v>5660</v>
      </c>
      <c r="H793" s="12" t="s">
        <v>5661</v>
      </c>
      <c r="I793" s="12" t="b">
        <f>ISNUMBER(VALUE(LEFT(Customer[[#This Row],[Address Line 3 (30 char)]],1)))</f>
        <v>0</v>
      </c>
      <c r="J793" s="12" t="s">
        <v>387</v>
      </c>
      <c r="K793" s="12">
        <v>30010</v>
      </c>
      <c r="L793" s="12" t="s">
        <v>35</v>
      </c>
      <c r="M793" s="13">
        <v>200703074988</v>
      </c>
      <c r="N793" s="14" t="s">
        <v>5662</v>
      </c>
      <c r="O793" s="14" t="s">
        <v>54</v>
      </c>
      <c r="P793" s="14">
        <v>46611</v>
      </c>
      <c r="Q793" s="19" t="s">
        <v>5663</v>
      </c>
      <c r="R793" s="15" t="s">
        <v>5664</v>
      </c>
      <c r="S793" s="15" t="s">
        <v>37</v>
      </c>
      <c r="T793" s="16" t="s">
        <v>38</v>
      </c>
      <c r="U793" s="11" t="str">
        <f>_xlfn.XLOOKUP(Customer[[#This Row],[Customer ID]],[1]!Address[ID],[1]!Address[Phone No.(2)])</f>
        <v/>
      </c>
      <c r="V793" s="11" t="str">
        <f>_xlfn.XLOOKUP(Customer[[#This Row],[Customer ID]],[1]!Address[ID],[1]!Address[Type])</f>
        <v>PETROMART</v>
      </c>
      <c r="W793" s="11" t="str">
        <f>_xlfn.XLOOKUP(Customer[[#This Row],[Customer ID]],[1]!Address[ID],[1]!Address[CT])</f>
        <v>30 DAYS</v>
      </c>
      <c r="X793" s="11" t="s">
        <v>39</v>
      </c>
      <c r="Y793" s="17" t="s">
        <v>40</v>
      </c>
      <c r="Z793" s="17" t="e">
        <f>_xlfn.XLOOKUP(Customer[[#This Row],[NewType]],$AF$36:$AF$54,$AG$36:$AG$54)</f>
        <v>#N/A</v>
      </c>
      <c r="AA793" s="17" t="s">
        <v>5665</v>
      </c>
      <c r="AB793" s="11" t="str">
        <f>_xlfn.XLOOKUP(Customer[[#This Row],[Customer ID]],[1]!Address[ID],[1]!Address[Subtype])</f>
        <v>PETRONAS</v>
      </c>
      <c r="AC793" s="18" t="str">
        <f>_xlfn.XLOOKUP(Customer[[#This Row],[Customer ID]],[1]!Address[ID],[1]!Address[Zone])</f>
        <v>NORTH</v>
      </c>
    </row>
    <row r="794" spans="1:29" x14ac:dyDescent="0.3">
      <c r="A794" s="10" t="s">
        <v>5666</v>
      </c>
      <c r="B794" s="11" t="str">
        <f>_xlfn.XLOOKUP(Customer[[#This Row],[Customer ID]],[1]!Name[ID],[1]!Name[Description(1)])</f>
        <v>SITIHAM ENTERPRISE</v>
      </c>
      <c r="C794" s="11" t="str">
        <f>_xlfn.XLOOKUP(Customer[[#This Row],[Customer ID]],[1]!Name[ID],[1]!Name[Description(2)])</f>
        <v>PS TEBRAU 1</v>
      </c>
      <c r="D794" s="11" t="str">
        <f>_xlfn.XLOOKUP(Customer[[#This Row],[Customer ID]],[1]!Address[ID],[1]!Address[PIC])</f>
        <v/>
      </c>
      <c r="E794" s="11" t="str">
        <f>_xlfn.XLOOKUP(Customer[[#This Row],[Customer ID]],[1]!Address[ID],[1]!Address[Full Address])</f>
        <v>PS TEBRAU 1LOT 10220, BATU 4 1/2, JALAN TEBRAU,JOHOR BAHRU, 81100 JOHOR</v>
      </c>
      <c r="F794" s="12" t="s">
        <v>5667</v>
      </c>
      <c r="G794" s="12" t="s">
        <v>5668</v>
      </c>
      <c r="H794" s="12" t="s">
        <v>1155</v>
      </c>
      <c r="I794" s="12" t="b">
        <f>ISNUMBER(VALUE(LEFT(Customer[[#This Row],[Address Line 3 (30 char)]],1)))</f>
        <v>0</v>
      </c>
      <c r="J794" s="12" t="s">
        <v>1995</v>
      </c>
      <c r="K794" s="12">
        <v>81100</v>
      </c>
      <c r="L794" s="12" t="s">
        <v>35</v>
      </c>
      <c r="M794" s="13">
        <v>198503047565</v>
      </c>
      <c r="N794" s="14" t="s">
        <v>5669</v>
      </c>
      <c r="O794" s="14" t="e">
        <v>#N/A</v>
      </c>
      <c r="P794" s="14" t="e">
        <v>#N/A</v>
      </c>
      <c r="Q794" s="19" t="s">
        <v>5670</v>
      </c>
      <c r="R794" s="15" t="s">
        <v>5671</v>
      </c>
      <c r="S794" s="15" t="s">
        <v>37</v>
      </c>
      <c r="T794" s="16" t="s">
        <v>38</v>
      </c>
      <c r="U794" s="11" t="str">
        <f>_xlfn.XLOOKUP(Customer[[#This Row],[Customer ID]],[1]!Address[ID],[1]!Address[Phone No.(2)])</f>
        <v/>
      </c>
      <c r="V794" s="11" t="str">
        <f>_xlfn.XLOOKUP(Customer[[#This Row],[Customer ID]],[1]!Address[ID],[1]!Address[Type])</f>
        <v>PETROMART</v>
      </c>
      <c r="W794" s="11" t="str">
        <f>_xlfn.XLOOKUP(Customer[[#This Row],[Customer ID]],[1]!Address[ID],[1]!Address[CT])</f>
        <v>30 DAYS</v>
      </c>
      <c r="X794" s="11" t="s">
        <v>39</v>
      </c>
      <c r="Y794" s="17" t="s">
        <v>40</v>
      </c>
      <c r="Z794" s="17" t="e">
        <f>_xlfn.XLOOKUP(Customer[[#This Row],[NewType]],$AF$36:$AF$54,$AG$36:$AG$54)</f>
        <v>#N/A</v>
      </c>
      <c r="AA794" s="17" t="s">
        <v>5672</v>
      </c>
      <c r="AB794" s="11" t="str">
        <f>_xlfn.XLOOKUP(Customer[[#This Row],[Customer ID]],[1]!Address[ID],[1]!Address[Subtype])</f>
        <v>PETRONAS</v>
      </c>
      <c r="AC794" s="18" t="str">
        <f>_xlfn.XLOOKUP(Customer[[#This Row],[Customer ID]],[1]!Address[ID],[1]!Address[Zone])</f>
        <v>SOUTH</v>
      </c>
    </row>
    <row r="795" spans="1:29" x14ac:dyDescent="0.3">
      <c r="A795" s="10" t="s">
        <v>5673</v>
      </c>
      <c r="B795" s="11" t="str">
        <f>_xlfn.XLOOKUP(Customer[[#This Row],[Customer ID]],[1]!Name[ID],[1]!Name[Description(1)])</f>
        <v>MRANTI CORPORATION</v>
      </c>
      <c r="C795" s="11" t="str">
        <f>_xlfn.XLOOKUP(Customer[[#This Row],[Customer ID]],[1]!Name[ID],[1]!Name[Description(2)])</f>
        <v>PS TECHNOLOGY PARK MALAYSIA</v>
      </c>
      <c r="D795" s="11" t="str">
        <f>_xlfn.XLOOKUP(Customer[[#This Row],[Customer ID]],[1]!Address[ID],[1]!Address[PIC])</f>
        <v/>
      </c>
      <c r="E795" s="11" t="str">
        <f>_xlfn.XLOOKUP(Customer[[#This Row],[Customer ID]],[1]!Address[ID],[1]!Address[Full Address])</f>
        <v>PS TECHNOLOGY PARK MALAYSIALOT PT 4783 &amp; 3064,  LEBUHRAYA SEREMBANKUALA LUMPUR, BUKIT JALIL, KUALA LUMPUR57000, WILAYAH PERSEKUTUAN</v>
      </c>
      <c r="F795" s="12" t="s">
        <v>5674</v>
      </c>
      <c r="G795" s="12" t="s">
        <v>5675</v>
      </c>
      <c r="H795" s="12" t="s">
        <v>5676</v>
      </c>
      <c r="I795" s="12" t="b">
        <f>ISNUMBER(VALUE(LEFT(Customer[[#This Row],[Address Line 3 (30 char)]],1)))</f>
        <v>0</v>
      </c>
      <c r="J795" s="12" t="s">
        <v>34</v>
      </c>
      <c r="K795" s="12">
        <v>57000</v>
      </c>
      <c r="L795" s="12" t="s">
        <v>35</v>
      </c>
      <c r="M795" s="13" t="e">
        <v>#N/A</v>
      </c>
      <c r="N795" s="14" t="e">
        <v>#N/A</v>
      </c>
      <c r="O795" s="14" t="e">
        <v>#N/A</v>
      </c>
      <c r="P795" s="14" t="e">
        <v>#N/A</v>
      </c>
      <c r="Q795" s="19" t="s">
        <v>5677</v>
      </c>
      <c r="R795" s="15" t="s">
        <v>5678</v>
      </c>
      <c r="S795" s="15" t="s">
        <v>37</v>
      </c>
      <c r="T795" s="16" t="s">
        <v>38</v>
      </c>
      <c r="U795" s="11" t="str">
        <f>_xlfn.XLOOKUP(Customer[[#This Row],[Customer ID]],[1]!Address[ID],[1]!Address[Phone No.(2)])</f>
        <v/>
      </c>
      <c r="V795" s="11" t="str">
        <f>_xlfn.XLOOKUP(Customer[[#This Row],[Customer ID]],[1]!Address[ID],[1]!Address[Type])</f>
        <v>PETROMART</v>
      </c>
      <c r="W795" s="11" t="str">
        <f>_xlfn.XLOOKUP(Customer[[#This Row],[Customer ID]],[1]!Address[ID],[1]!Address[CT])</f>
        <v>30 DAYS</v>
      </c>
      <c r="X795" s="11" t="s">
        <v>39</v>
      </c>
      <c r="Y795" s="17" t="s">
        <v>40</v>
      </c>
      <c r="Z795" s="17" t="e">
        <f>_xlfn.XLOOKUP(Customer[[#This Row],[NewType]],$AF$36:$AF$54,$AG$36:$AG$54)</f>
        <v>#N/A</v>
      </c>
      <c r="AA795" s="17" t="s">
        <v>5679</v>
      </c>
      <c r="AB795" s="11" t="str">
        <f>_xlfn.XLOOKUP(Customer[[#This Row],[Customer ID]],[1]!Address[ID],[1]!Address[Subtype])</f>
        <v>PETRONAS</v>
      </c>
      <c r="AC795" s="18" t="str">
        <f>_xlfn.XLOOKUP(Customer[[#This Row],[Customer ID]],[1]!Address[ID],[1]!Address[Zone])</f>
        <v>CENTRAL</v>
      </c>
    </row>
    <row r="796" spans="1:29" x14ac:dyDescent="0.3">
      <c r="A796" s="10" t="s">
        <v>5680</v>
      </c>
      <c r="B796" s="11" t="str">
        <f>_xlfn.XLOOKUP(Customer[[#This Row],[Customer ID]],[1]!Name[ID],[1]!Name[Description(1)])</f>
        <v>AKRAB PADU ENTERPRISE</v>
      </c>
      <c r="C796" s="11" t="str">
        <f>_xlfn.XLOOKUP(Customer[[#This Row],[Customer ID]],[1]!Name[ID],[1]!Name[Description(2)])</f>
        <v>PS TELOK PANGLIMA GARANG</v>
      </c>
      <c r="D796" s="11" t="str">
        <f>_xlfn.XLOOKUP(Customer[[#This Row],[Customer ID]],[1]!Address[ID],[1]!Address[PIC])</f>
        <v/>
      </c>
      <c r="E796" s="11" t="str">
        <f>_xlfn.XLOOKUP(Customer[[#This Row],[Customer ID]],[1]!Address[ID],[1]!Address[Full Address])</f>
        <v>PS TELOK PANGLIMA GARANGLOT 3020 MUKIM TELOK PANGLIMA GARANG,42500, KUALA LANGAT, SELANGOR</v>
      </c>
      <c r="F796" s="12" t="s">
        <v>5681</v>
      </c>
      <c r="G796" s="12" t="s">
        <v>5682</v>
      </c>
      <c r="H796" s="12" t="s">
        <v>783</v>
      </c>
      <c r="I796" s="12" t="b">
        <f>ISNUMBER(VALUE(LEFT(Customer[[#This Row],[Address Line 3 (30 char)]],1)))</f>
        <v>0</v>
      </c>
      <c r="J796" s="12" t="s">
        <v>1907</v>
      </c>
      <c r="K796" s="12">
        <v>42500</v>
      </c>
      <c r="L796" s="12" t="s">
        <v>35</v>
      </c>
      <c r="M796" s="13" t="e">
        <v>#N/A</v>
      </c>
      <c r="N796" s="14" t="e">
        <v>#N/A</v>
      </c>
      <c r="O796" s="14" t="e">
        <v>#N/A</v>
      </c>
      <c r="P796" s="14" t="e">
        <v>#N/A</v>
      </c>
      <c r="Q796" s="19" t="s">
        <v>5683</v>
      </c>
      <c r="R796" s="15" t="s">
        <v>5684</v>
      </c>
      <c r="S796" s="15" t="s">
        <v>37</v>
      </c>
      <c r="T796" s="16" t="s">
        <v>38</v>
      </c>
      <c r="U796" s="11" t="str">
        <f>_xlfn.XLOOKUP(Customer[[#This Row],[Customer ID]],[1]!Address[ID],[1]!Address[Phone No.(2)])</f>
        <v/>
      </c>
      <c r="V796" s="11" t="str">
        <f>_xlfn.XLOOKUP(Customer[[#This Row],[Customer ID]],[1]!Address[ID],[1]!Address[Type])</f>
        <v>PETROMART</v>
      </c>
      <c r="W796" s="11" t="str">
        <f>_xlfn.XLOOKUP(Customer[[#This Row],[Customer ID]],[1]!Address[ID],[1]!Address[CT])</f>
        <v>30 DAYS</v>
      </c>
      <c r="X796" s="11" t="s">
        <v>39</v>
      </c>
      <c r="Y796" s="17" t="s">
        <v>40</v>
      </c>
      <c r="Z796" s="17" t="e">
        <f>_xlfn.XLOOKUP(Customer[[#This Row],[NewType]],$AF$36:$AF$54,$AG$36:$AG$54)</f>
        <v>#N/A</v>
      </c>
      <c r="AA796" s="17" t="s">
        <v>5685</v>
      </c>
      <c r="AB796" s="11" t="str">
        <f>_xlfn.XLOOKUP(Customer[[#This Row],[Customer ID]],[1]!Address[ID],[1]!Address[Subtype])</f>
        <v>PETRONAS</v>
      </c>
      <c r="AC796" s="18" t="str">
        <f>_xlfn.XLOOKUP(Customer[[#This Row],[Customer ID]],[1]!Address[ID],[1]!Address[Zone])</f>
        <v>CENTRAL</v>
      </c>
    </row>
    <row r="797" spans="1:29" x14ac:dyDescent="0.3">
      <c r="A797" s="10" t="s">
        <v>5686</v>
      </c>
      <c r="B797" s="11" t="str">
        <f>_xlfn.XLOOKUP(Customer[[#This Row],[Customer ID]],[1]!Name[ID],[1]!Name[Description(1)])</f>
        <v>BKFS LEGACY</v>
      </c>
      <c r="C797" s="11" t="str">
        <f>_xlfn.XLOOKUP(Customer[[#This Row],[Customer ID]],[1]!Name[ID],[1]!Name[Description(2)])</f>
        <v>PS TELUK KALONG</v>
      </c>
      <c r="D797" s="11" t="str">
        <f>_xlfn.XLOOKUP(Customer[[#This Row],[Customer ID]],[1]!Address[ID],[1]!Address[PIC])</f>
        <v/>
      </c>
      <c r="E797" s="11" t="str">
        <f>_xlfn.XLOOKUP(Customer[[#This Row],[Customer ID]],[1]!Address[ID],[1]!Address[Full Address])</f>
        <v>PS TELUK KALONGPT 5010, KAMPONG BUKIT KUANG, 24000CHUKAI, KEMAMAN, TERENGGANU.</v>
      </c>
      <c r="F797" s="12" t="s">
        <v>5687</v>
      </c>
      <c r="G797" s="12" t="s">
        <v>5688</v>
      </c>
      <c r="H797" s="12" t="s">
        <v>5689</v>
      </c>
      <c r="I797" s="12" t="b">
        <f>ISNUMBER(VALUE(LEFT(Customer[[#This Row],[Address Line 3 (30 char)]],1)))</f>
        <v>0</v>
      </c>
      <c r="J797" s="12" t="s">
        <v>1056</v>
      </c>
      <c r="K797" s="12">
        <v>24000</v>
      </c>
      <c r="L797" s="12" t="s">
        <v>35</v>
      </c>
      <c r="M797" s="13" t="e">
        <v>#N/A</v>
      </c>
      <c r="N797" s="14" t="e">
        <v>#N/A</v>
      </c>
      <c r="O797" s="14" t="e">
        <v>#N/A</v>
      </c>
      <c r="P797" s="14" t="e">
        <v>#N/A</v>
      </c>
      <c r="Q797" s="19" t="s">
        <v>5690</v>
      </c>
      <c r="R797" s="15" t="s">
        <v>5691</v>
      </c>
      <c r="S797" s="15" t="s">
        <v>37</v>
      </c>
      <c r="T797" s="16" t="s">
        <v>38</v>
      </c>
      <c r="U797" s="11" t="str">
        <f>_xlfn.XLOOKUP(Customer[[#This Row],[Customer ID]],[1]!Address[ID],[1]!Address[Phone No.(2)])</f>
        <v/>
      </c>
      <c r="V797" s="11" t="str">
        <f>_xlfn.XLOOKUP(Customer[[#This Row],[Customer ID]],[1]!Address[ID],[1]!Address[Type])</f>
        <v>PETROMART</v>
      </c>
      <c r="W797" s="11" t="str">
        <f>_xlfn.XLOOKUP(Customer[[#This Row],[Customer ID]],[1]!Address[ID],[1]!Address[CT])</f>
        <v>30 DAYS</v>
      </c>
      <c r="X797" s="11" t="s">
        <v>39</v>
      </c>
      <c r="Y797" s="17" t="s">
        <v>40</v>
      </c>
      <c r="Z797" s="17" t="e">
        <f>_xlfn.XLOOKUP(Customer[[#This Row],[NewType]],$AF$36:$AF$54,$AG$36:$AG$54)</f>
        <v>#N/A</v>
      </c>
      <c r="AA797" s="17" t="s">
        <v>5692</v>
      </c>
      <c r="AB797" s="11" t="str">
        <f>_xlfn.XLOOKUP(Customer[[#This Row],[Customer ID]],[1]!Address[ID],[1]!Address[Subtype])</f>
        <v>PETRONAS</v>
      </c>
      <c r="AC797" s="18" t="str">
        <f>_xlfn.XLOOKUP(Customer[[#This Row],[Customer ID]],[1]!Address[ID],[1]!Address[Zone])</f>
        <v>EAST COAST</v>
      </c>
    </row>
    <row r="798" spans="1:29" x14ac:dyDescent="0.3">
      <c r="A798" s="10" t="s">
        <v>5693</v>
      </c>
      <c r="B798" s="11" t="str">
        <f>_xlfn.XLOOKUP(Customer[[#This Row],[Customer ID]],[1]!Name[ID],[1]!Name[Description(1)])</f>
        <v>MESRA RETAIL &amp; CAFE SDN BHD</v>
      </c>
      <c r="C798" s="11" t="str">
        <f>_xlfn.XLOOKUP(Customer[[#This Row],[Customer ID]],[1]!Name[ID],[1]!Name[Description(2)])</f>
        <v>PS TEMASYA FEDERAL HIGHWAY (MRCSB</v>
      </c>
      <c r="D798" s="11" t="str">
        <f>_xlfn.XLOOKUP(Customer[[#This Row],[Customer ID]],[1]!Address[ID],[1]!Address[PIC])</f>
        <v/>
      </c>
      <c r="E798" s="11" t="str">
        <f>_xlfn.XLOOKUP(Customer[[#This Row],[Customer ID]],[1]!Address[ID],[1]!Address[Full Address])</f>
        <v>PS TEMASYA FEDERAL HIGHWAY (MRCSBKM18.5 LEBUHRAYA PERSEKUTUAN SUBANG   EXSEKSYEN U1,KAWASAN  PERINDUSTRIANPERINDUSTRIAN TEMASYA,40150 SHAHALAM,Slr</v>
      </c>
      <c r="F798" s="12" t="s">
        <v>5694</v>
      </c>
      <c r="G798" s="12" t="s">
        <v>5695</v>
      </c>
      <c r="H798" s="12" t="s">
        <v>5696</v>
      </c>
      <c r="I798" s="12" t="b">
        <f>ISNUMBER(VALUE(LEFT(Customer[[#This Row],[Address Line 3 (30 char)]],1)))</f>
        <v>0</v>
      </c>
      <c r="J798" s="12" t="s">
        <v>1907</v>
      </c>
      <c r="K798" s="12">
        <v>40150</v>
      </c>
      <c r="L798" s="12" t="s">
        <v>35</v>
      </c>
      <c r="M798" s="13" t="e">
        <v>#N/A</v>
      </c>
      <c r="N798" s="14" t="e">
        <v>#N/A</v>
      </c>
      <c r="O798" s="14" t="e">
        <v>#N/A</v>
      </c>
      <c r="P798" s="14" t="e">
        <v>#N/A</v>
      </c>
      <c r="Q798" s="19" t="s">
        <v>5697</v>
      </c>
      <c r="R798" s="15" t="s">
        <v>5698</v>
      </c>
      <c r="S798" s="15" t="s">
        <v>37</v>
      </c>
      <c r="T798" s="16" t="s">
        <v>38</v>
      </c>
      <c r="U798" s="11" t="str">
        <f>_xlfn.XLOOKUP(Customer[[#This Row],[Customer ID]],[1]!Address[ID],[1]!Address[Phone No.(2)])</f>
        <v/>
      </c>
      <c r="V798" s="11" t="str">
        <f>_xlfn.XLOOKUP(Customer[[#This Row],[Customer ID]],[1]!Address[ID],[1]!Address[Type])</f>
        <v>PETROMART</v>
      </c>
      <c r="W798" s="11" t="str">
        <f>_xlfn.XLOOKUP(Customer[[#This Row],[Customer ID]],[1]!Address[ID],[1]!Address[CT])</f>
        <v>30 DAYS</v>
      </c>
      <c r="X798" s="11" t="s">
        <v>39</v>
      </c>
      <c r="Y798" s="17" t="s">
        <v>40</v>
      </c>
      <c r="Z798" s="17" t="e">
        <f>_xlfn.XLOOKUP(Customer[[#This Row],[NewType]],$AF$36:$AF$54,$AG$36:$AG$54)</f>
        <v>#N/A</v>
      </c>
      <c r="AA798" s="17" t="s">
        <v>5699</v>
      </c>
      <c r="AB798" s="11" t="str">
        <f>_xlfn.XLOOKUP(Customer[[#This Row],[Customer ID]],[1]!Address[ID],[1]!Address[Subtype])</f>
        <v>PETRONAS</v>
      </c>
      <c r="AC798" s="18" t="str">
        <f>_xlfn.XLOOKUP(Customer[[#This Row],[Customer ID]],[1]!Address[ID],[1]!Address[Zone])</f>
        <v>CENTRAL</v>
      </c>
    </row>
    <row r="799" spans="1:29" x14ac:dyDescent="0.3">
      <c r="A799" s="10" t="s">
        <v>5700</v>
      </c>
      <c r="B799" s="11" t="str">
        <f>_xlfn.XLOOKUP(Customer[[#This Row],[Customer ID]],[1]!Name[ID],[1]!Name[Description(1)])</f>
        <v>STESYEN SERVIS CARISTRA</v>
      </c>
      <c r="C799" s="11" t="str">
        <f>_xlfn.XLOOKUP(Customer[[#This Row],[Customer ID]],[1]!Name[ID],[1]!Name[Description(2)])</f>
        <v>PS TEMPLER PARK, RAWANG</v>
      </c>
      <c r="D799" s="11" t="str">
        <f>_xlfn.XLOOKUP(Customer[[#This Row],[Customer ID]],[1]!Address[ID],[1]!Address[PIC])</f>
        <v/>
      </c>
      <c r="E799" s="11" t="str">
        <f>_xlfn.XLOOKUP(Customer[[#This Row],[Customer ID]],[1]!Address[ID],[1]!Address[Full Address])</f>
        <v>PS TEMPLER PARK, RAWANGLOT 597-A, BATU 15, TAMAN TEMPLER,RAWANG, SELANGOR, 48000, GOMBAK,SELANGOR</v>
      </c>
      <c r="F799" s="12" t="s">
        <v>5701</v>
      </c>
      <c r="G799" s="12" t="s">
        <v>5702</v>
      </c>
      <c r="H799" s="12" t="s">
        <v>875</v>
      </c>
      <c r="I799" s="12" t="b">
        <f>ISNUMBER(VALUE(LEFT(Customer[[#This Row],[Address Line 3 (30 char)]],1)))</f>
        <v>0</v>
      </c>
      <c r="J799" s="12" t="s">
        <v>1907</v>
      </c>
      <c r="K799" s="12">
        <v>48000</v>
      </c>
      <c r="L799" s="12" t="s">
        <v>35</v>
      </c>
      <c r="M799" s="13" t="e">
        <v>#N/A</v>
      </c>
      <c r="N799" s="14" t="e">
        <v>#N/A</v>
      </c>
      <c r="O799" s="14" t="e">
        <v>#N/A</v>
      </c>
      <c r="P799" s="14" t="e">
        <v>#N/A</v>
      </c>
      <c r="Q799" s="19" t="s">
        <v>5703</v>
      </c>
      <c r="R799" s="15" t="s">
        <v>5704</v>
      </c>
      <c r="S799" s="15" t="s">
        <v>37</v>
      </c>
      <c r="T799" s="16" t="s">
        <v>38</v>
      </c>
      <c r="U799" s="11" t="str">
        <f>_xlfn.XLOOKUP(Customer[[#This Row],[Customer ID]],[1]!Address[ID],[1]!Address[Phone No.(2)])</f>
        <v/>
      </c>
      <c r="V799" s="11" t="str">
        <f>_xlfn.XLOOKUP(Customer[[#This Row],[Customer ID]],[1]!Address[ID],[1]!Address[Type])</f>
        <v>PETROMART</v>
      </c>
      <c r="W799" s="11" t="str">
        <f>_xlfn.XLOOKUP(Customer[[#This Row],[Customer ID]],[1]!Address[ID],[1]!Address[CT])</f>
        <v>30 DAYS</v>
      </c>
      <c r="X799" s="11" t="s">
        <v>39</v>
      </c>
      <c r="Y799" s="17" t="s">
        <v>40</v>
      </c>
      <c r="Z799" s="17" t="e">
        <f>_xlfn.XLOOKUP(Customer[[#This Row],[NewType]],$AF$36:$AF$54,$AG$36:$AG$54)</f>
        <v>#N/A</v>
      </c>
      <c r="AA799" s="17" t="s">
        <v>5705</v>
      </c>
      <c r="AB799" s="11" t="str">
        <f>_xlfn.XLOOKUP(Customer[[#This Row],[Customer ID]],[1]!Address[ID],[1]!Address[Subtype])</f>
        <v>PETRONAS</v>
      </c>
      <c r="AC799" s="18" t="str">
        <f>_xlfn.XLOOKUP(Customer[[#This Row],[Customer ID]],[1]!Address[ID],[1]!Address[Zone])</f>
        <v>CENTRAL</v>
      </c>
    </row>
    <row r="800" spans="1:29" x14ac:dyDescent="0.3">
      <c r="A800" s="10" t="s">
        <v>5706</v>
      </c>
      <c r="B800" s="11" t="str">
        <f>_xlfn.XLOOKUP(Customer[[#This Row],[Customer ID]],[1]!Name[ID],[1]!Name[Description(1)])</f>
        <v>GHAZ PETROL SERVICE STATION</v>
      </c>
      <c r="C800" s="11" t="str">
        <f>_xlfn.XLOOKUP(Customer[[#This Row],[Customer ID]],[1]!Name[ID],[1]!Name[Description(2)])</f>
        <v>PS TG LUMPUR, KUANTAN</v>
      </c>
      <c r="D800" s="11" t="str">
        <f>_xlfn.XLOOKUP(Customer[[#This Row],[Customer ID]],[1]!Address[ID],[1]!Address[PIC])</f>
        <v/>
      </c>
      <c r="E800" s="11" t="str">
        <f>_xlfn.XLOOKUP(Customer[[#This Row],[Customer ID]],[1]!Address[ID],[1]!Address[Full Address])</f>
        <v>PS TG LUMPUR, KUANTANLOT 36622, TANJUNG LUMPUR, 26060,KUANTAN, PAHANG</v>
      </c>
      <c r="F800" s="12" t="s">
        <v>5707</v>
      </c>
      <c r="G800" s="12" t="s">
        <v>5708</v>
      </c>
      <c r="H800" s="12" t="s">
        <v>1038</v>
      </c>
      <c r="I800" s="12" t="b">
        <f>ISNUMBER(VALUE(LEFT(Customer[[#This Row],[Address Line 3 (30 char)]],1)))</f>
        <v>0</v>
      </c>
      <c r="J800" s="12" t="s">
        <v>339</v>
      </c>
      <c r="K800" s="12">
        <v>26060</v>
      </c>
      <c r="L800" s="12" t="s">
        <v>35</v>
      </c>
      <c r="M800" s="13">
        <v>200403070486</v>
      </c>
      <c r="N800" s="14" t="s">
        <v>5709</v>
      </c>
      <c r="O800" s="14" t="s">
        <v>156</v>
      </c>
      <c r="P800" s="14" t="s">
        <v>54</v>
      </c>
      <c r="Q800" s="19" t="s">
        <v>5710</v>
      </c>
      <c r="R800" s="15" t="s">
        <v>5711</v>
      </c>
      <c r="S800" s="15" t="s">
        <v>37</v>
      </c>
      <c r="T800" s="16" t="s">
        <v>38</v>
      </c>
      <c r="U800" s="11" t="str">
        <f>_xlfn.XLOOKUP(Customer[[#This Row],[Customer ID]],[1]!Address[ID],[1]!Address[Phone No.(2)])</f>
        <v/>
      </c>
      <c r="V800" s="11" t="str">
        <f>_xlfn.XLOOKUP(Customer[[#This Row],[Customer ID]],[1]!Address[ID],[1]!Address[Type])</f>
        <v>PETROMART</v>
      </c>
      <c r="W800" s="11" t="str">
        <f>_xlfn.XLOOKUP(Customer[[#This Row],[Customer ID]],[1]!Address[ID],[1]!Address[CT])</f>
        <v>30 DAYS</v>
      </c>
      <c r="X800" s="11" t="s">
        <v>39</v>
      </c>
      <c r="Y800" s="17" t="s">
        <v>40</v>
      </c>
      <c r="Z800" s="17" t="e">
        <f>_xlfn.XLOOKUP(Customer[[#This Row],[NewType]],$AF$36:$AF$54,$AG$36:$AG$54)</f>
        <v>#N/A</v>
      </c>
      <c r="AA800" s="17" t="s">
        <v>5712</v>
      </c>
      <c r="AB800" s="11" t="str">
        <f>_xlfn.XLOOKUP(Customer[[#This Row],[Customer ID]],[1]!Address[ID],[1]!Address[Subtype])</f>
        <v>PETRONAS</v>
      </c>
      <c r="AC800" s="18" t="str">
        <f>_xlfn.XLOOKUP(Customer[[#This Row],[Customer ID]],[1]!Address[ID],[1]!Address[Zone])</f>
        <v>EAST COAST</v>
      </c>
    </row>
    <row r="801" spans="1:29" x14ac:dyDescent="0.3">
      <c r="A801" s="10" t="s">
        <v>5713</v>
      </c>
      <c r="B801" s="11" t="str">
        <f>_xlfn.XLOOKUP(Customer[[#This Row],[Customer ID]],[1]!Name[ID],[1]!Name[Description(1)])</f>
        <v>NEKUCHEE RESOURCES</v>
      </c>
      <c r="C801" s="11" t="str">
        <f>_xlfn.XLOOKUP(Customer[[#This Row],[Customer ID]],[1]!Name[ID],[1]!Name[Description(2)])</f>
        <v>PS TG MALIM</v>
      </c>
      <c r="D801" s="11" t="str">
        <f>_xlfn.XLOOKUP(Customer[[#This Row],[Customer ID]],[1]!Address[ID],[1]!Address[PIC])</f>
        <v/>
      </c>
      <c r="E801" s="11" t="str">
        <f>_xlfn.XLOOKUP(Customer[[#This Row],[Customer ID]],[1]!Address[ID],[1]!Address[Full Address])</f>
        <v>PS TG MALIMLOT 4609, MUKIM ULU BERNAM, TANJUNGMALIM, 35900, PERAK</v>
      </c>
      <c r="F801" s="12" t="s">
        <v>5714</v>
      </c>
      <c r="G801" s="12" t="s">
        <v>5715</v>
      </c>
      <c r="H801" s="12" t="s">
        <v>5716</v>
      </c>
      <c r="I801" s="12" t="b">
        <f>ISNUMBER(VALUE(LEFT(Customer[[#This Row],[Address Line 3 (30 char)]],1)))</f>
        <v>0</v>
      </c>
      <c r="J801" s="12" t="s">
        <v>387</v>
      </c>
      <c r="K801" s="12">
        <v>35900</v>
      </c>
      <c r="L801" s="12" t="s">
        <v>35</v>
      </c>
      <c r="M801" s="13" t="e">
        <v>#N/A</v>
      </c>
      <c r="N801" s="14" t="e">
        <v>#N/A</v>
      </c>
      <c r="O801" s="14" t="e">
        <v>#N/A</v>
      </c>
      <c r="P801" s="14" t="e">
        <v>#N/A</v>
      </c>
      <c r="Q801" s="19" t="s">
        <v>5717</v>
      </c>
      <c r="R801" s="15" t="s">
        <v>5718</v>
      </c>
      <c r="S801" s="15" t="s">
        <v>37</v>
      </c>
      <c r="T801" s="16" t="s">
        <v>38</v>
      </c>
      <c r="U801" s="11" t="str">
        <f>_xlfn.XLOOKUP(Customer[[#This Row],[Customer ID]],[1]!Address[ID],[1]!Address[Phone No.(2)])</f>
        <v/>
      </c>
      <c r="V801" s="11" t="str">
        <f>_xlfn.XLOOKUP(Customer[[#This Row],[Customer ID]],[1]!Address[ID],[1]!Address[Type])</f>
        <v>PETROMART</v>
      </c>
      <c r="W801" s="11" t="str">
        <f>_xlfn.XLOOKUP(Customer[[#This Row],[Customer ID]],[1]!Address[ID],[1]!Address[CT])</f>
        <v>30 DAYS</v>
      </c>
      <c r="X801" s="11" t="s">
        <v>39</v>
      </c>
      <c r="Y801" s="17" t="s">
        <v>40</v>
      </c>
      <c r="Z801" s="17" t="e">
        <f>_xlfn.XLOOKUP(Customer[[#This Row],[NewType]],$AF$36:$AF$54,$AG$36:$AG$54)</f>
        <v>#N/A</v>
      </c>
      <c r="AA801" s="17" t="s">
        <v>5719</v>
      </c>
      <c r="AB801" s="11" t="str">
        <f>_xlfn.XLOOKUP(Customer[[#This Row],[Customer ID]],[1]!Address[ID],[1]!Address[Subtype])</f>
        <v>PETRONAS</v>
      </c>
      <c r="AC801" s="18" t="str">
        <f>_xlfn.XLOOKUP(Customer[[#This Row],[Customer ID]],[1]!Address[ID],[1]!Address[Zone])</f>
        <v>NORTH</v>
      </c>
    </row>
    <row r="802" spans="1:29" x14ac:dyDescent="0.3">
      <c r="A802" s="10" t="s">
        <v>5720</v>
      </c>
      <c r="B802" s="11" t="str">
        <f>_xlfn.XLOOKUP(Customer[[#This Row],[Customer ID]],[1]!Name[ID],[1]!Name[Description(1)])</f>
        <v>BIN SALIM STATION</v>
      </c>
      <c r="C802" s="11" t="str">
        <f>_xlfn.XLOOKUP(Customer[[#This Row],[Customer ID]],[1]!Name[ID],[1]!Name[Description(2)])</f>
        <v>PS TIARA SENDAYAN</v>
      </c>
      <c r="D802" s="11" t="str">
        <f>_xlfn.XLOOKUP(Customer[[#This Row],[Customer ID]],[1]!Address[ID],[1]!Address[PIC])</f>
        <v/>
      </c>
      <c r="E802" s="11" t="str">
        <f>_xlfn.XLOOKUP(Customer[[#This Row],[Customer ID]],[1]!Address[ID],[1]!Address[Full Address])</f>
        <v>PS TIARA SENDAYANHS(D) 167302, PT 27856 MUKIM LABU DAERAHSEREMBAN, NEGERI SEMBILAN, 71900,SEREMBAN, NEGERI 9</v>
      </c>
      <c r="F802" s="12" t="s">
        <v>5721</v>
      </c>
      <c r="G802" s="12" t="s">
        <v>5722</v>
      </c>
      <c r="H802" s="12" t="s">
        <v>2411</v>
      </c>
      <c r="I802" s="12" t="b">
        <f>ISNUMBER(VALUE(LEFT(Customer[[#This Row],[Address Line 3 (30 char)]],1)))</f>
        <v>0</v>
      </c>
      <c r="J802" s="12" t="s">
        <v>203</v>
      </c>
      <c r="K802" s="12">
        <v>71900</v>
      </c>
      <c r="L802" s="12" t="s">
        <v>35</v>
      </c>
      <c r="M802" s="13">
        <v>201703126862</v>
      </c>
      <c r="N802" s="14" t="s">
        <v>5723</v>
      </c>
      <c r="O802" s="14" t="s">
        <v>54</v>
      </c>
      <c r="P802" s="14">
        <v>47300</v>
      </c>
      <c r="Q802" s="19" t="s">
        <v>5724</v>
      </c>
      <c r="R802" s="15" t="s">
        <v>5725</v>
      </c>
      <c r="S802" s="15" t="s">
        <v>37</v>
      </c>
      <c r="T802" s="16" t="s">
        <v>38</v>
      </c>
      <c r="U802" s="11" t="str">
        <f>_xlfn.XLOOKUP(Customer[[#This Row],[Customer ID]],[1]!Address[ID],[1]!Address[Phone No.(2)])</f>
        <v/>
      </c>
      <c r="V802" s="11" t="str">
        <f>_xlfn.XLOOKUP(Customer[[#This Row],[Customer ID]],[1]!Address[ID],[1]!Address[Type])</f>
        <v>PETROMART</v>
      </c>
      <c r="W802" s="11" t="str">
        <f>_xlfn.XLOOKUP(Customer[[#This Row],[Customer ID]],[1]!Address[ID],[1]!Address[CT])</f>
        <v>30 DAYS</v>
      </c>
      <c r="X802" s="11" t="s">
        <v>39</v>
      </c>
      <c r="Y802" s="17" t="s">
        <v>40</v>
      </c>
      <c r="Z802" s="17" t="e">
        <f>_xlfn.XLOOKUP(Customer[[#This Row],[NewType]],$AF$36:$AF$54,$AG$36:$AG$54)</f>
        <v>#N/A</v>
      </c>
      <c r="AA802" s="17" t="s">
        <v>5726</v>
      </c>
      <c r="AB802" s="11" t="str">
        <f>_xlfn.XLOOKUP(Customer[[#This Row],[Customer ID]],[1]!Address[ID],[1]!Address[Subtype])</f>
        <v>PETRONAS</v>
      </c>
      <c r="AC802" s="18" t="str">
        <f>_xlfn.XLOOKUP(Customer[[#This Row],[Customer ID]],[1]!Address[ID],[1]!Address[Zone])</f>
        <v>CENTRAL</v>
      </c>
    </row>
    <row r="803" spans="1:29" x14ac:dyDescent="0.3">
      <c r="A803" s="27" t="s">
        <v>5727</v>
      </c>
      <c r="B803" s="28" t="str">
        <f>_xlfn.XLOOKUP(Customer[[#This Row],[Customer ID]],[1]!Name[ID],[1]!Name[Description(1)])</f>
        <v>HEIZA SK2 SDN BHD</v>
      </c>
      <c r="C803" s="11" t="str">
        <f>_xlfn.XLOOKUP(Customer[[#This Row],[Customer ID]],[1]!Name[ID],[1]!Name[Description(2)])</f>
        <v>PS TMN TENGKU MAHERAN</v>
      </c>
      <c r="D803" s="11" t="str">
        <f>_xlfn.XLOOKUP(Customer[[#This Row],[Customer ID]],[1]!Address[ID],[1]!Address[PIC])</f>
        <v/>
      </c>
      <c r="E803" s="11" t="str">
        <f>_xlfn.XLOOKUP(Customer[[#This Row],[Customer ID]],[1]!Address[ID],[1]!Address[Full Address])</f>
        <v>PS TMN TENGKU MAHERANLOT NO.4606 GRN 1277723, BANDAR DARULAMAN, DAERAH KUBANG PASU, KEDAH, 06000,KUBANG PASU, KEDAH</v>
      </c>
      <c r="F803" s="12" t="s">
        <v>5728</v>
      </c>
      <c r="G803" s="12" t="s">
        <v>5729</v>
      </c>
      <c r="H803" s="12" t="s">
        <v>5730</v>
      </c>
      <c r="I803" s="12" t="b">
        <f>ISNUMBER(VALUE(LEFT(Customer[[#This Row],[Address Line 3 (30 char)]],1)))</f>
        <v>0</v>
      </c>
      <c r="J803" s="12" t="s">
        <v>79</v>
      </c>
      <c r="K803" s="30" t="s">
        <v>5731</v>
      </c>
      <c r="L803" s="12" t="s">
        <v>35</v>
      </c>
      <c r="M803" s="13" t="e">
        <v>#N/A</v>
      </c>
      <c r="N803" s="14" t="e">
        <v>#N/A</v>
      </c>
      <c r="O803" s="14" t="e">
        <v>#N/A</v>
      </c>
      <c r="P803" s="14" t="e">
        <v>#N/A</v>
      </c>
      <c r="Q803" s="19" t="s">
        <v>364</v>
      </c>
      <c r="R803" s="15" t="s">
        <v>365</v>
      </c>
      <c r="S803" s="15" t="s">
        <v>74</v>
      </c>
      <c r="T803" s="16" t="s">
        <v>38</v>
      </c>
      <c r="U803" s="11" t="str">
        <f>_xlfn.XLOOKUP(Customer[[#This Row],[Customer ID]],[1]!Address[ID],[1]!Address[Phone No.(2)])</f>
        <v/>
      </c>
      <c r="V803" s="11" t="str">
        <f>_xlfn.XLOOKUP(Customer[[#This Row],[Customer ID]],[1]!Address[ID],[1]!Address[Type])</f>
        <v>PETROMART</v>
      </c>
      <c r="W803" s="11" t="str">
        <f>_xlfn.XLOOKUP(Customer[[#This Row],[Customer ID]],[1]!Address[ID],[1]!Address[CT])</f>
        <v>30 DAYS</v>
      </c>
      <c r="X803" s="11" t="s">
        <v>39</v>
      </c>
      <c r="Y803" s="17" t="s">
        <v>40</v>
      </c>
      <c r="Z803" s="17" t="e">
        <f>_xlfn.XLOOKUP(Customer[[#This Row],[NewType]],$AF$36:$AF$54,$AG$36:$AG$54)</f>
        <v>#N/A</v>
      </c>
      <c r="AA803" s="17" t="s">
        <v>5732</v>
      </c>
      <c r="AB803" s="11" t="str">
        <f>_xlfn.XLOOKUP(Customer[[#This Row],[Customer ID]],[1]!Address[ID],[1]!Address[Subtype])</f>
        <v>PETRONAS</v>
      </c>
      <c r="AC803" s="18" t="str">
        <f>_xlfn.XLOOKUP(Customer[[#This Row],[Customer ID]],[1]!Address[ID],[1]!Address[Zone])</f>
        <v>NORTH</v>
      </c>
    </row>
    <row r="804" spans="1:29" x14ac:dyDescent="0.3">
      <c r="A804" s="10" t="s">
        <v>5733</v>
      </c>
      <c r="B804" s="11" t="str">
        <f>_xlfn.XLOOKUP(Customer[[#This Row],[Customer ID]],[1]!Name[ID],[1]!Name[Description(1)])</f>
        <v>VOLLGAS SERVICE STATION</v>
      </c>
      <c r="C804" s="11" t="str">
        <f>_xlfn.XLOOKUP(Customer[[#This Row],[Customer ID]],[1]!Name[ID],[1]!Name[Description(2)])</f>
        <v>PS TOK ADIS</v>
      </c>
      <c r="D804" s="11" t="str">
        <f>_xlfn.XLOOKUP(Customer[[#This Row],[Customer ID]],[1]!Address[ID],[1]!Address[PIC])</f>
        <v/>
      </c>
      <c r="E804" s="11" t="str">
        <f>_xlfn.XLOOKUP(Customer[[#This Row],[Customer ID]],[1]!Address[ID],[1]!Address[Full Address])</f>
        <v>PS TOK ADISLOT 60195 MUKIM KUALA IBAI,204000 KUALA TERENGGANU, TERENGGANU</v>
      </c>
      <c r="F804" s="12" t="s">
        <v>5734</v>
      </c>
      <c r="G804" s="12" t="s">
        <v>5735</v>
      </c>
      <c r="H804" s="12" t="s">
        <v>5736</v>
      </c>
      <c r="I804" s="12" t="b">
        <f>ISNUMBER(VALUE(LEFT(Customer[[#This Row],[Address Line 3 (30 char)]],1)))</f>
        <v>0</v>
      </c>
      <c r="J804" s="12" t="s">
        <v>1056</v>
      </c>
      <c r="K804" s="12">
        <v>204000</v>
      </c>
      <c r="L804" s="12" t="s">
        <v>35</v>
      </c>
      <c r="M804" s="13">
        <v>201903110027</v>
      </c>
      <c r="N804" s="14" t="s">
        <v>5737</v>
      </c>
      <c r="O804" s="14" t="s">
        <v>54</v>
      </c>
      <c r="P804" s="14" t="s">
        <v>1048</v>
      </c>
      <c r="Q804" s="19" t="s">
        <v>5738</v>
      </c>
      <c r="R804" s="15" t="s">
        <v>5739</v>
      </c>
      <c r="S804" s="15" t="s">
        <v>37</v>
      </c>
      <c r="T804" s="16" t="s">
        <v>38</v>
      </c>
      <c r="U804" s="11" t="str">
        <f>_xlfn.XLOOKUP(Customer[[#This Row],[Customer ID]],[1]!Address[ID],[1]!Address[Phone No.(2)])</f>
        <v/>
      </c>
      <c r="V804" s="11" t="str">
        <f>_xlfn.XLOOKUP(Customer[[#This Row],[Customer ID]],[1]!Address[ID],[1]!Address[Type])</f>
        <v>PETROMART</v>
      </c>
      <c r="W804" s="11" t="str">
        <f>_xlfn.XLOOKUP(Customer[[#This Row],[Customer ID]],[1]!Address[ID],[1]!Address[CT])</f>
        <v>30 DAYS</v>
      </c>
      <c r="X804" s="11" t="s">
        <v>39</v>
      </c>
      <c r="Y804" s="17" t="s">
        <v>40</v>
      </c>
      <c r="Z804" s="17" t="e">
        <f>_xlfn.XLOOKUP(Customer[[#This Row],[NewType]],$AF$36:$AF$54,$AG$36:$AG$54)</f>
        <v>#N/A</v>
      </c>
      <c r="AA804" s="17" t="s">
        <v>5740</v>
      </c>
      <c r="AB804" s="11" t="str">
        <f>_xlfn.XLOOKUP(Customer[[#This Row],[Customer ID]],[1]!Address[ID],[1]!Address[Subtype])</f>
        <v>PETRONAS</v>
      </c>
      <c r="AC804" s="18" t="str">
        <f>_xlfn.XLOOKUP(Customer[[#This Row],[Customer ID]],[1]!Address[ID],[1]!Address[Zone])</f>
        <v>EAST COAST</v>
      </c>
    </row>
    <row r="805" spans="1:29" x14ac:dyDescent="0.3">
      <c r="A805" s="10" t="s">
        <v>5741</v>
      </c>
      <c r="B805" s="11" t="str">
        <f>_xlfn.XLOOKUP(Customer[[#This Row],[Customer ID]],[1]!Name[ID],[1]!Name[Description(1)])</f>
        <v>ALAM DAMAI TEGUH SDN BHD</v>
      </c>
      <c r="C805" s="11" t="str">
        <f>_xlfn.XLOOKUP(Customer[[#This Row],[Customer ID]],[1]!Name[ID],[1]!Name[Description(2)])</f>
        <v>PS TOK KANGAR</v>
      </c>
      <c r="D805" s="11" t="str">
        <f>_xlfn.XLOOKUP(Customer[[#This Row],[Customer ID]],[1]!Address[ID],[1]!Address[PIC])</f>
        <v/>
      </c>
      <c r="E805" s="11" t="str">
        <f>_xlfn.XLOOKUP(Customer[[#This Row],[Customer ID]],[1]!Address[ID],[1]!Address[Full Address])</f>
        <v>PS TOK KANGARLOT 6642, JALAN TOK KANGAR, JURU,SIMPANGAMPAT, PULAU PINANG, 14100, SEBERANGPERAI TENGAH, PULAU PINANG</v>
      </c>
      <c r="F805" s="12" t="s">
        <v>5742</v>
      </c>
      <c r="G805" s="12" t="s">
        <v>5743</v>
      </c>
      <c r="H805" s="12" t="s">
        <v>5744</v>
      </c>
      <c r="I805" s="12" t="b">
        <f>ISNUMBER(VALUE(LEFT(Customer[[#This Row],[Address Line 3 (30 char)]],1)))</f>
        <v>0</v>
      </c>
      <c r="J805" s="12" t="s">
        <v>179</v>
      </c>
      <c r="K805" s="12">
        <v>14100</v>
      </c>
      <c r="L805" s="12" t="s">
        <v>35</v>
      </c>
      <c r="M805" s="13" t="e">
        <v>#N/A</v>
      </c>
      <c r="N805" s="14" t="e">
        <v>#N/A</v>
      </c>
      <c r="O805" s="14" t="e">
        <v>#N/A</v>
      </c>
      <c r="P805" s="14" t="e">
        <v>#N/A</v>
      </c>
      <c r="Q805" s="19" t="s">
        <v>5745</v>
      </c>
      <c r="R805" s="15" t="s">
        <v>5746</v>
      </c>
      <c r="S805" s="15" t="s">
        <v>74</v>
      </c>
      <c r="T805" s="16" t="s">
        <v>38</v>
      </c>
      <c r="U805" s="11" t="str">
        <f>_xlfn.XLOOKUP(Customer[[#This Row],[Customer ID]],[1]!Address[ID],[1]!Address[Phone No.(2)])</f>
        <v/>
      </c>
      <c r="V805" s="11" t="str">
        <f>_xlfn.XLOOKUP(Customer[[#This Row],[Customer ID]],[1]!Address[ID],[1]!Address[Type])</f>
        <v>PETROMART</v>
      </c>
      <c r="W805" s="11" t="str">
        <f>_xlfn.XLOOKUP(Customer[[#This Row],[Customer ID]],[1]!Address[ID],[1]!Address[CT])</f>
        <v>30 DAYS</v>
      </c>
      <c r="X805" s="11" t="s">
        <v>39</v>
      </c>
      <c r="Y805" s="17" t="s">
        <v>40</v>
      </c>
      <c r="Z805" s="17" t="e">
        <f>_xlfn.XLOOKUP(Customer[[#This Row],[NewType]],$AF$36:$AF$54,$AG$36:$AG$54)</f>
        <v>#N/A</v>
      </c>
      <c r="AA805" s="17" t="s">
        <v>5747</v>
      </c>
      <c r="AB805" s="11" t="str">
        <f>_xlfn.XLOOKUP(Customer[[#This Row],[Customer ID]],[1]!Address[ID],[1]!Address[Subtype])</f>
        <v>PETRONAS</v>
      </c>
      <c r="AC805" s="18" t="str">
        <f>_xlfn.XLOOKUP(Customer[[#This Row],[Customer ID]],[1]!Address[ID],[1]!Address[Zone])</f>
        <v>CENTRAL</v>
      </c>
    </row>
    <row r="806" spans="1:29" x14ac:dyDescent="0.3">
      <c r="A806" s="10" t="s">
        <v>5748</v>
      </c>
      <c r="B806" s="11" t="str">
        <f>_xlfn.XLOOKUP(Customer[[#This Row],[Customer ID]],[1]!Name[ID],[1]!Name[Description(1)])</f>
        <v>NASAIM TRADING</v>
      </c>
      <c r="C806" s="11" t="str">
        <f>_xlfn.XLOOKUP(Customer[[#This Row],[Customer ID]],[1]!Name[ID],[1]!Name[Description(2)])</f>
        <v>PS TOK KENALI</v>
      </c>
      <c r="D806" s="11" t="str">
        <f>_xlfn.XLOOKUP(Customer[[#This Row],[Customer ID]],[1]!Address[ID],[1]!Address[PIC])</f>
        <v/>
      </c>
      <c r="E806" s="11" t="str">
        <f>_xlfn.XLOOKUP(Customer[[#This Row],[Customer ID]],[1]!Address[ID],[1]!Address[Full Address])</f>
        <v>PS TOK KENALIS/55, LOT PT 416, 372 KAMPUNG PULAU,MUKIM PULAU, DAERAH KUBANG KERIAN,16150 KOTA BHARU, KELANTAN</v>
      </c>
      <c r="F806" s="12" t="s">
        <v>5749</v>
      </c>
      <c r="G806" s="12" t="s">
        <v>5750</v>
      </c>
      <c r="H806" s="12" t="s">
        <v>5751</v>
      </c>
      <c r="I806" s="12" t="b">
        <f>ISNUMBER(VALUE(LEFT(Customer[[#This Row],[Address Line 3 (30 char)]],1)))</f>
        <v>0</v>
      </c>
      <c r="J806" s="12" t="s">
        <v>1007</v>
      </c>
      <c r="K806" s="12">
        <v>16150</v>
      </c>
      <c r="L806" s="12" t="s">
        <v>35</v>
      </c>
      <c r="M806" s="13" t="e">
        <v>#N/A</v>
      </c>
      <c r="N806" s="14" t="e">
        <v>#N/A</v>
      </c>
      <c r="O806" s="14" t="e">
        <v>#N/A</v>
      </c>
      <c r="P806" s="14" t="e">
        <v>#N/A</v>
      </c>
      <c r="Q806" s="19" t="s">
        <v>5752</v>
      </c>
      <c r="R806" s="15" t="s">
        <v>1763</v>
      </c>
      <c r="S806" s="15" t="s">
        <v>37</v>
      </c>
      <c r="T806" s="16" t="s">
        <v>38</v>
      </c>
      <c r="U806" s="11" t="str">
        <f>_xlfn.XLOOKUP(Customer[[#This Row],[Customer ID]],[1]!Address[ID],[1]!Address[Phone No.(2)])</f>
        <v/>
      </c>
      <c r="V806" s="11" t="str">
        <f>_xlfn.XLOOKUP(Customer[[#This Row],[Customer ID]],[1]!Address[ID],[1]!Address[Type])</f>
        <v>PETROMART</v>
      </c>
      <c r="W806" s="11" t="str">
        <f>_xlfn.XLOOKUP(Customer[[#This Row],[Customer ID]],[1]!Address[ID],[1]!Address[CT])</f>
        <v>30 DAYS</v>
      </c>
      <c r="X806" s="11" t="s">
        <v>39</v>
      </c>
      <c r="Y806" s="17" t="s">
        <v>40</v>
      </c>
      <c r="Z806" s="17" t="e">
        <f>_xlfn.XLOOKUP(Customer[[#This Row],[NewType]],$AF$36:$AF$54,$AG$36:$AG$54)</f>
        <v>#N/A</v>
      </c>
      <c r="AA806" s="17" t="s">
        <v>5753</v>
      </c>
      <c r="AB806" s="11" t="str">
        <f>_xlfn.XLOOKUP(Customer[[#This Row],[Customer ID]],[1]!Address[ID],[1]!Address[Subtype])</f>
        <v>PETRONAS</v>
      </c>
      <c r="AC806" s="18" t="str">
        <f>_xlfn.XLOOKUP(Customer[[#This Row],[Customer ID]],[1]!Address[ID],[1]!Address[Zone])</f>
        <v>EAST COAST</v>
      </c>
    </row>
    <row r="807" spans="1:29" x14ac:dyDescent="0.3">
      <c r="A807" s="27" t="s">
        <v>5754</v>
      </c>
      <c r="B807" s="28" t="str">
        <f>_xlfn.XLOOKUP(Customer[[#This Row],[Customer ID]],[1]!Name[ID],[1]!Name[Description(1)])</f>
        <v>BAYUSABRINA OIL SDN. BHD.</v>
      </c>
      <c r="C807" s="11" t="str">
        <f>_xlfn.XLOOKUP(Customer[[#This Row],[Customer ID]],[1]!Name[ID],[1]!Name[Description(2)])</f>
        <v>PS TOK SENIK</v>
      </c>
      <c r="D807" s="11" t="str">
        <f>_xlfn.XLOOKUP(Customer[[#This Row],[Customer ID]],[1]!Address[ID],[1]!Address[PIC])</f>
        <v/>
      </c>
      <c r="E807" s="11" t="str">
        <f>_xlfn.XLOOKUP(Customer[[#This Row],[Customer ID]],[1]!Address[ID],[1]!Address[Full Address])</f>
        <v>PS TOK SENIKLOT PT 3555 HS(M) 95-95, MUKIM KUAH,LANGKAWI, KEDAH , 07000, LANGKAWI, KEDAH</v>
      </c>
      <c r="F807" s="12" t="s">
        <v>5755</v>
      </c>
      <c r="G807" s="12" t="s">
        <v>5756</v>
      </c>
      <c r="H807" s="12" t="s">
        <v>5757</v>
      </c>
      <c r="I807" s="12" t="b">
        <f>ISNUMBER(VALUE(LEFT(Customer[[#This Row],[Address Line 3 (30 char)]],1)))</f>
        <v>0</v>
      </c>
      <c r="J807" s="12" t="s">
        <v>79</v>
      </c>
      <c r="K807" s="30" t="s">
        <v>1847</v>
      </c>
      <c r="L807" s="12" t="s">
        <v>35</v>
      </c>
      <c r="M807" s="13" t="e">
        <v>#N/A</v>
      </c>
      <c r="N807" s="14" t="e">
        <v>#N/A</v>
      </c>
      <c r="O807" s="14" t="e">
        <v>#N/A</v>
      </c>
      <c r="P807" s="14" t="e">
        <v>#N/A</v>
      </c>
      <c r="Q807" s="19" t="s">
        <v>5758</v>
      </c>
      <c r="R807" s="15" t="s">
        <v>5759</v>
      </c>
      <c r="S807" s="15" t="s">
        <v>74</v>
      </c>
      <c r="T807" s="16" t="s">
        <v>38</v>
      </c>
      <c r="U807" s="11" t="str">
        <f>_xlfn.XLOOKUP(Customer[[#This Row],[Customer ID]],[1]!Address[ID],[1]!Address[Phone No.(2)])</f>
        <v/>
      </c>
      <c r="V807" s="11" t="str">
        <f>_xlfn.XLOOKUP(Customer[[#This Row],[Customer ID]],[1]!Address[ID],[1]!Address[Type])</f>
        <v>PETROMART</v>
      </c>
      <c r="W807" s="11" t="str">
        <f>_xlfn.XLOOKUP(Customer[[#This Row],[Customer ID]],[1]!Address[ID],[1]!Address[CT])</f>
        <v>30 DAYS</v>
      </c>
      <c r="X807" s="11" t="s">
        <v>39</v>
      </c>
      <c r="Y807" s="17" t="s">
        <v>40</v>
      </c>
      <c r="Z807" s="17" t="e">
        <f>_xlfn.XLOOKUP(Customer[[#This Row],[NewType]],$AF$36:$AF$54,$AG$36:$AG$54)</f>
        <v>#N/A</v>
      </c>
      <c r="AA807" s="17" t="s">
        <v>5760</v>
      </c>
      <c r="AB807" s="11" t="str">
        <f>_xlfn.XLOOKUP(Customer[[#This Row],[Customer ID]],[1]!Address[ID],[1]!Address[Subtype])</f>
        <v>PETRONAS</v>
      </c>
      <c r="AC807" s="18" t="str">
        <f>_xlfn.XLOOKUP(Customer[[#This Row],[Customer ID]],[1]!Address[ID],[1]!Address[Zone])</f>
        <v>NORTH</v>
      </c>
    </row>
    <row r="808" spans="1:29" x14ac:dyDescent="0.3">
      <c r="A808" s="10" t="s">
        <v>5761</v>
      </c>
      <c r="B808" s="11" t="str">
        <f>_xlfn.XLOOKUP(Customer[[#This Row],[Customer ID]],[1]!Name[ID],[1]!Name[Description(1)])</f>
        <v>RR DAGANGAN ENTERPRISE</v>
      </c>
      <c r="C808" s="11" t="str">
        <f>_xlfn.XLOOKUP(Customer[[#This Row],[Customer ID]],[1]!Name[ID],[1]!Name[Description(2)])</f>
        <v>PS TONGKANG PECAH</v>
      </c>
      <c r="D808" s="11" t="str">
        <f>_xlfn.XLOOKUP(Customer[[#This Row],[Customer ID]],[1]!Address[ID],[1]!Address[PIC])</f>
        <v/>
      </c>
      <c r="E808" s="11" t="str">
        <f>_xlfn.XLOOKUP(Customer[[#This Row],[Customer ID]],[1]!Address[ID],[1]!Address[Full Address])</f>
        <v>PS TONGKANG PECAHLOT 32, JALAN TONGKANG PECAH, BATUPAHAT, JOHOR, 83010, BATU PAHAT, JOHOR</v>
      </c>
      <c r="F808" s="12" t="s">
        <v>5762</v>
      </c>
      <c r="G808" s="12" t="s">
        <v>5763</v>
      </c>
      <c r="H808" s="12" t="s">
        <v>5764</v>
      </c>
      <c r="I808" s="12" t="b">
        <f>ISNUMBER(VALUE(LEFT(Customer[[#This Row],[Address Line 3 (30 char)]],1)))</f>
        <v>0</v>
      </c>
      <c r="J808" s="12" t="s">
        <v>1995</v>
      </c>
      <c r="K808" s="12">
        <v>83010</v>
      </c>
      <c r="L808" s="12" t="s">
        <v>35</v>
      </c>
      <c r="M808" s="13">
        <v>200903045390</v>
      </c>
      <c r="N808" s="14" t="s">
        <v>5765</v>
      </c>
      <c r="O808" s="14" t="s">
        <v>54</v>
      </c>
      <c r="P808" s="14">
        <v>47300</v>
      </c>
      <c r="Q808" s="19" t="s">
        <v>5766</v>
      </c>
      <c r="R808" s="15" t="s">
        <v>5767</v>
      </c>
      <c r="S808" s="15" t="s">
        <v>37</v>
      </c>
      <c r="T808" s="16" t="s">
        <v>38</v>
      </c>
      <c r="U808" s="11" t="str">
        <f>_xlfn.XLOOKUP(Customer[[#This Row],[Customer ID]],[1]!Address[ID],[1]!Address[Phone No.(2)])</f>
        <v/>
      </c>
      <c r="V808" s="11" t="str">
        <f>_xlfn.XLOOKUP(Customer[[#This Row],[Customer ID]],[1]!Address[ID],[1]!Address[Type])</f>
        <v>PETROMART</v>
      </c>
      <c r="W808" s="11" t="str">
        <f>_xlfn.XLOOKUP(Customer[[#This Row],[Customer ID]],[1]!Address[ID],[1]!Address[CT])</f>
        <v>30 DAYS</v>
      </c>
      <c r="X808" s="11" t="s">
        <v>39</v>
      </c>
      <c r="Y808" s="17" t="s">
        <v>40</v>
      </c>
      <c r="Z808" s="17" t="e">
        <f>_xlfn.XLOOKUP(Customer[[#This Row],[NewType]],$AF$36:$AF$54,$AG$36:$AG$54)</f>
        <v>#N/A</v>
      </c>
      <c r="AA808" s="17" t="s">
        <v>5768</v>
      </c>
      <c r="AB808" s="11" t="str">
        <f>_xlfn.XLOOKUP(Customer[[#This Row],[Customer ID]],[1]!Address[ID],[1]!Address[Subtype])</f>
        <v>PETRONAS</v>
      </c>
      <c r="AC808" s="18" t="str">
        <f>_xlfn.XLOOKUP(Customer[[#This Row],[Customer ID]],[1]!Address[ID],[1]!Address[Zone])</f>
        <v>SOUTH</v>
      </c>
    </row>
    <row r="809" spans="1:29" x14ac:dyDescent="0.3">
      <c r="A809" s="10" t="s">
        <v>5769</v>
      </c>
      <c r="B809" s="11" t="str">
        <f>_xlfn.XLOOKUP(Customer[[#This Row],[Customer ID]],[1]!Name[ID],[1]!Name[Description(1)])</f>
        <v>MRANTI CORPORATION</v>
      </c>
      <c r="C809" s="11" t="str">
        <f>_xlfn.XLOOKUP(Customer[[#This Row],[Customer ID]],[1]!Name[ID],[1]!Name[Description(2)])</f>
        <v>PS TPM 1</v>
      </c>
      <c r="D809" s="11" t="str">
        <f>_xlfn.XLOOKUP(Customer[[#This Row],[Customer ID]],[1]!Address[ID],[1]!Address[PIC])</f>
        <v/>
      </c>
      <c r="E809" s="11" t="str">
        <f>_xlfn.XLOOKUP(Customer[[#This Row],[Customer ID]],[1]!Address[ID],[1]!Address[Full Address])</f>
        <v>PS TPM 1LOT PT 4783, &amp; 3064,LEBUHRAYA SEREMBAN-KUALA LUMPUR,BUKIT JALIL,57000,WLIAYAH PERSEKUTUAN</v>
      </c>
      <c r="F809" s="12" t="s">
        <v>5674</v>
      </c>
      <c r="G809" s="12" t="s">
        <v>5770</v>
      </c>
      <c r="H809" s="12" t="s">
        <v>5771</v>
      </c>
      <c r="I809" s="12" t="b">
        <f>ISNUMBER(VALUE(LEFT(Customer[[#This Row],[Address Line 3 (30 char)]],1)))</f>
        <v>0</v>
      </c>
      <c r="J809" s="12" t="s">
        <v>1907</v>
      </c>
      <c r="K809" s="12">
        <v>57000</v>
      </c>
      <c r="L809" s="12" t="s">
        <v>35</v>
      </c>
      <c r="M809" s="13" t="e">
        <v>#N/A</v>
      </c>
      <c r="N809" s="14" t="e">
        <v>#N/A</v>
      </c>
      <c r="O809" s="14" t="e">
        <v>#N/A</v>
      </c>
      <c r="P809" s="14" t="e">
        <v>#N/A</v>
      </c>
      <c r="Q809" s="19" t="s">
        <v>5772</v>
      </c>
      <c r="R809" s="15" t="s">
        <v>5773</v>
      </c>
      <c r="S809" s="15" t="s">
        <v>37</v>
      </c>
      <c r="T809" s="16" t="s">
        <v>38</v>
      </c>
      <c r="U809" s="11" t="str">
        <f>_xlfn.XLOOKUP(Customer[[#This Row],[Customer ID]],[1]!Address[ID],[1]!Address[Phone No.(2)])</f>
        <v/>
      </c>
      <c r="V809" s="11" t="str">
        <f>_xlfn.XLOOKUP(Customer[[#This Row],[Customer ID]],[1]!Address[ID],[1]!Address[Type])</f>
        <v>PETROMART</v>
      </c>
      <c r="W809" s="11" t="str">
        <f>_xlfn.XLOOKUP(Customer[[#This Row],[Customer ID]],[1]!Address[ID],[1]!Address[CT])</f>
        <v>30 DAYS</v>
      </c>
      <c r="X809" s="11" t="s">
        <v>39</v>
      </c>
      <c r="Y809" s="17" t="s">
        <v>40</v>
      </c>
      <c r="Z809" s="17" t="e">
        <f>_xlfn.XLOOKUP(Customer[[#This Row],[NewType]],$AF$36:$AF$54,$AG$36:$AG$54)</f>
        <v>#N/A</v>
      </c>
      <c r="AA809" s="17" t="s">
        <v>5774</v>
      </c>
      <c r="AB809" s="11" t="str">
        <f>_xlfn.XLOOKUP(Customer[[#This Row],[Customer ID]],[1]!Address[ID],[1]!Address[Subtype])</f>
        <v>PETRONAS</v>
      </c>
      <c r="AC809" s="18" t="str">
        <f>_xlfn.XLOOKUP(Customer[[#This Row],[Customer ID]],[1]!Address[ID],[1]!Address[Zone])</f>
        <v>CENTRAL</v>
      </c>
    </row>
    <row r="810" spans="1:29" x14ac:dyDescent="0.3">
      <c r="A810" s="10" t="s">
        <v>5775</v>
      </c>
      <c r="B810" s="11" t="str">
        <f>_xlfn.XLOOKUP(Customer[[#This Row],[Customer ID]],[1]!Name[ID],[1]!Name[Description(1)])</f>
        <v>MRANTI CORPORATION</v>
      </c>
      <c r="C810" s="11" t="str">
        <f>_xlfn.XLOOKUP(Customer[[#This Row],[Customer ID]],[1]!Name[ID],[1]!Name[Description(2)])</f>
        <v>PS TPM 2</v>
      </c>
      <c r="D810" s="11" t="str">
        <f>_xlfn.XLOOKUP(Customer[[#This Row],[Customer ID]],[1]!Address[ID],[1]!Address[PIC])</f>
        <v>Ms Mira</v>
      </c>
      <c r="E810" s="11" t="str">
        <f>_xlfn.XLOOKUP(Customer[[#This Row],[Customer ID]],[1]!Address[ID],[1]!Address[Full Address])</f>
        <v>PS TPM 2LOT PT 7004 H.S.(D) 95960 MUKIM PETALINGBUKIT JALIL 57000 KUALA LUMPUR, MUKIMPETALING, 57000, W PERSEKUTUAN</v>
      </c>
      <c r="F810" s="12" t="s">
        <v>5776</v>
      </c>
      <c r="G810" s="12" t="s">
        <v>5777</v>
      </c>
      <c r="H810" s="12" t="s">
        <v>5676</v>
      </c>
      <c r="I810" s="12" t="b">
        <f>ISNUMBER(VALUE(LEFT(Customer[[#This Row],[Address Line 3 (30 char)]],1)))</f>
        <v>0</v>
      </c>
      <c r="J810" s="12" t="s">
        <v>1907</v>
      </c>
      <c r="K810" s="12">
        <v>57000</v>
      </c>
      <c r="L810" s="12" t="s">
        <v>35</v>
      </c>
      <c r="M810" s="13" t="s">
        <v>5778</v>
      </c>
      <c r="N810" s="14" t="s">
        <v>5779</v>
      </c>
      <c r="O810" s="14" t="s">
        <v>5780</v>
      </c>
      <c r="P810" s="14" t="e">
        <v>#N/A</v>
      </c>
      <c r="Q810" s="19" t="s">
        <v>5781</v>
      </c>
      <c r="R810" s="15" t="s">
        <v>5782</v>
      </c>
      <c r="S810" s="15" t="s">
        <v>37</v>
      </c>
      <c r="T810" s="16" t="s">
        <v>38</v>
      </c>
      <c r="U810" s="11" t="str">
        <f>_xlfn.XLOOKUP(Customer[[#This Row],[Customer ID]],[1]!Address[ID],[1]!Address[Phone No.(2)])</f>
        <v/>
      </c>
      <c r="V810" s="11" t="str">
        <f>_xlfn.XLOOKUP(Customer[[#This Row],[Customer ID]],[1]!Address[ID],[1]!Address[Type])</f>
        <v>PETROMART</v>
      </c>
      <c r="W810" s="11" t="str">
        <f>_xlfn.XLOOKUP(Customer[[#This Row],[Customer ID]],[1]!Address[ID],[1]!Address[CT])</f>
        <v>30 DAYS</v>
      </c>
      <c r="X810" s="11" t="s">
        <v>39</v>
      </c>
      <c r="Y810" s="17" t="s">
        <v>40</v>
      </c>
      <c r="Z810" s="17" t="e">
        <f>_xlfn.XLOOKUP(Customer[[#This Row],[NewType]],$AF$36:$AF$54,$AG$36:$AG$54)</f>
        <v>#N/A</v>
      </c>
      <c r="AA810" s="17" t="s">
        <v>5783</v>
      </c>
      <c r="AB810" s="11" t="str">
        <f>_xlfn.XLOOKUP(Customer[[#This Row],[Customer ID]],[1]!Address[ID],[1]!Address[Subtype])</f>
        <v>PETRONAS</v>
      </c>
      <c r="AC810" s="18" t="str">
        <f>_xlfn.XLOOKUP(Customer[[#This Row],[Customer ID]],[1]!Address[ID],[1]!Address[Zone])</f>
        <v>CENTRAL</v>
      </c>
    </row>
    <row r="811" spans="1:29" x14ac:dyDescent="0.3">
      <c r="A811" s="10" t="s">
        <v>5784</v>
      </c>
      <c r="B811" s="11" t="str">
        <f>_xlfn.XLOOKUP(Customer[[#This Row],[Customer ID]],[1]!Name[ID],[1]!Name[Description(1)])</f>
        <v>STESEN MINYAK TTDI</v>
      </c>
      <c r="C811" s="11" t="str">
        <f>_xlfn.XLOOKUP(Customer[[#This Row],[Customer ID]],[1]!Name[ID],[1]!Name[Description(2)])</f>
        <v>PS TTDI</v>
      </c>
      <c r="D811" s="11" t="str">
        <f>_xlfn.XLOOKUP(Customer[[#This Row],[Customer ID]],[1]!Address[ID],[1]!Address[PIC])</f>
        <v/>
      </c>
      <c r="E811" s="11" t="str">
        <f>_xlfn.XLOOKUP(Customer[[#This Row],[Customer ID]],[1]!Address[ID],[1]!Address[Full Address])</f>
        <v>PS TTDILOT 29395 &amp; 29396, PERSIARAN ZAABA,TAMAN TUN DR ISMAIL, KUALA LUMPUR,60000, WILAYAH PERSEKUTUAN kl</v>
      </c>
      <c r="F811" s="12" t="s">
        <v>5785</v>
      </c>
      <c r="G811" s="12" t="s">
        <v>5786</v>
      </c>
      <c r="H811" s="12" t="s">
        <v>4269</v>
      </c>
      <c r="I811" s="12" t="b">
        <f>ISNUMBER(VALUE(LEFT(Customer[[#This Row],[Address Line 3 (30 char)]],1)))</f>
        <v>0</v>
      </c>
      <c r="J811" s="12" t="s">
        <v>34</v>
      </c>
      <c r="K811" s="12">
        <v>60000</v>
      </c>
      <c r="L811" s="12" t="s">
        <v>35</v>
      </c>
      <c r="M811" s="13">
        <v>200003004093</v>
      </c>
      <c r="N811" s="14" t="s">
        <v>5787</v>
      </c>
      <c r="O811" s="14" t="e">
        <v>#N/A</v>
      </c>
      <c r="P811" s="14" t="e">
        <v>#N/A</v>
      </c>
      <c r="Q811" s="19" t="s">
        <v>5788</v>
      </c>
      <c r="R811" s="15" t="s">
        <v>5789</v>
      </c>
      <c r="S811" s="15" t="s">
        <v>37</v>
      </c>
      <c r="T811" s="16" t="s">
        <v>38</v>
      </c>
      <c r="U811" s="11" t="str">
        <f>_xlfn.XLOOKUP(Customer[[#This Row],[Customer ID]],[1]!Address[ID],[1]!Address[Phone No.(2)])</f>
        <v/>
      </c>
      <c r="V811" s="11" t="str">
        <f>_xlfn.XLOOKUP(Customer[[#This Row],[Customer ID]],[1]!Address[ID],[1]!Address[Type])</f>
        <v>PETROMART</v>
      </c>
      <c r="W811" s="11" t="str">
        <f>_xlfn.XLOOKUP(Customer[[#This Row],[Customer ID]],[1]!Address[ID],[1]!Address[CT])</f>
        <v>30 DAYS</v>
      </c>
      <c r="X811" s="11" t="s">
        <v>39</v>
      </c>
      <c r="Y811" s="17" t="s">
        <v>40</v>
      </c>
      <c r="Z811" s="17" t="e">
        <f>_xlfn.XLOOKUP(Customer[[#This Row],[NewType]],$AF$36:$AF$54,$AG$36:$AG$54)</f>
        <v>#N/A</v>
      </c>
      <c r="AA811" s="17" t="s">
        <v>5790</v>
      </c>
      <c r="AB811" s="11" t="str">
        <f>_xlfn.XLOOKUP(Customer[[#This Row],[Customer ID]],[1]!Address[ID],[1]!Address[Subtype])</f>
        <v>PETRONAS</v>
      </c>
      <c r="AC811" s="18" t="str">
        <f>_xlfn.XLOOKUP(Customer[[#This Row],[Customer ID]],[1]!Address[ID],[1]!Address[Zone])</f>
        <v>CENTRAL</v>
      </c>
    </row>
    <row r="812" spans="1:29" x14ac:dyDescent="0.3">
      <c r="A812" s="27" t="s">
        <v>5791</v>
      </c>
      <c r="B812" s="28" t="str">
        <f>_xlfn.XLOOKUP(Customer[[#This Row],[Customer ID]],[1]!Name[ID],[1]!Name[Description(1)])</f>
        <v>NIASA GEMILANG SDN BHD</v>
      </c>
      <c r="C812" s="11" t="str">
        <f>_xlfn.XLOOKUP(Customer[[#This Row],[Customer ID]],[1]!Name[ID],[1]!Name[Description(2)])</f>
        <v>PS TUN KUDU</v>
      </c>
      <c r="D812" s="11" t="str">
        <f>_xlfn.XLOOKUP(Customer[[#This Row],[Customer ID]],[1]!Address[ID],[1]!Address[PIC])</f>
        <v/>
      </c>
      <c r="E812" s="11" t="str">
        <f>_xlfn.XLOOKUP(Customer[[#This Row],[Customer ID]],[1]!Address[ID],[1]!Address[Full Address])</f>
        <v>PS TUN KUDULOT 1764 GMM 957, JALAN TUN KUDU,MUKIM AYER MOLEK,75460 MELAKA TENGAH, MELAKA</v>
      </c>
      <c r="F812" s="12" t="s">
        <v>5792</v>
      </c>
      <c r="G812" s="12" t="s">
        <v>5793</v>
      </c>
      <c r="H812" s="12" t="s">
        <v>5794</v>
      </c>
      <c r="I812" s="12" t="b">
        <f>ISNUMBER(VALUE(LEFT(Customer[[#This Row],[Address Line 3 (30 char)]],1)))</f>
        <v>0</v>
      </c>
      <c r="J812" s="12" t="s">
        <v>61</v>
      </c>
      <c r="K812" s="12">
        <v>75460</v>
      </c>
      <c r="L812" s="12" t="s">
        <v>35</v>
      </c>
      <c r="M812" s="13">
        <v>201801011624</v>
      </c>
      <c r="N812" s="36" t="e">
        <v>#N/A</v>
      </c>
      <c r="O812" s="14" t="s">
        <v>2245</v>
      </c>
      <c r="P812" s="14">
        <v>46611</v>
      </c>
      <c r="Q812" s="19" t="s">
        <v>5795</v>
      </c>
      <c r="R812" s="15" t="s">
        <v>5796</v>
      </c>
      <c r="S812" s="15" t="s">
        <v>37</v>
      </c>
      <c r="T812" s="16" t="s">
        <v>38</v>
      </c>
      <c r="U812" s="11" t="str">
        <f>_xlfn.XLOOKUP(Customer[[#This Row],[Customer ID]],[1]!Address[ID],[1]!Address[Phone No.(2)])</f>
        <v/>
      </c>
      <c r="V812" s="11" t="str">
        <f>_xlfn.XLOOKUP(Customer[[#This Row],[Customer ID]],[1]!Address[ID],[1]!Address[Type])</f>
        <v>PETROMART</v>
      </c>
      <c r="W812" s="11" t="str">
        <f>_xlfn.XLOOKUP(Customer[[#This Row],[Customer ID]],[1]!Address[ID],[1]!Address[CT])</f>
        <v>30 DAYS</v>
      </c>
      <c r="X812" s="11" t="s">
        <v>39</v>
      </c>
      <c r="Y812" s="17" t="s">
        <v>40</v>
      </c>
      <c r="Z812" s="17" t="e">
        <f>_xlfn.XLOOKUP(Customer[[#This Row],[NewType]],$AF$36:$AF$54,$AG$36:$AG$54)</f>
        <v>#N/A</v>
      </c>
      <c r="AA812" s="17" t="s">
        <v>5797</v>
      </c>
      <c r="AB812" s="11" t="str">
        <f>_xlfn.XLOOKUP(Customer[[#This Row],[Customer ID]],[1]!Address[ID],[1]!Address[Subtype])</f>
        <v>PETRONAS</v>
      </c>
      <c r="AC812" s="18" t="str">
        <f>_xlfn.XLOOKUP(Customer[[#This Row],[Customer ID]],[1]!Address[ID],[1]!Address[Zone])</f>
        <v>SOUTH</v>
      </c>
    </row>
    <row r="813" spans="1:29" x14ac:dyDescent="0.3">
      <c r="A813" s="10" t="s">
        <v>5798</v>
      </c>
      <c r="B813" s="11" t="str">
        <f>_xlfn.XLOOKUP(Customer[[#This Row],[Customer ID]],[1]!Name[ID],[1]!Name[Description(1)])</f>
        <v>JY BERKAT JAYA ENTERPRISE</v>
      </c>
      <c r="C813" s="11" t="str">
        <f>_xlfn.XLOOKUP(Customer[[#This Row],[Customer ID]],[1]!Name[ID],[1]!Name[Description(2)])</f>
        <v>PS UJONG PASIR</v>
      </c>
      <c r="D813" s="11" t="str">
        <f>_xlfn.XLOOKUP(Customer[[#This Row],[Customer ID]],[1]!Address[ID],[1]!Address[PIC])</f>
        <v/>
      </c>
      <c r="E813" s="11" t="str">
        <f>_xlfn.XLOOKUP(Customer[[#This Row],[Customer ID]],[1]!Address[ID],[1]!Address[Full Address])</f>
        <v>PS UJONG PASIRLOT 175 &amp; 1456, JLN UJONG PASIR, MELAKA,75050, MELAKA TENGAH, MELAKA</v>
      </c>
      <c r="F813" s="12" t="s">
        <v>5799</v>
      </c>
      <c r="G813" s="12" t="s">
        <v>5800</v>
      </c>
      <c r="H813" s="12" t="s">
        <v>102</v>
      </c>
      <c r="I813" s="12" t="b">
        <f>ISNUMBER(VALUE(LEFT(Customer[[#This Row],[Address Line 3 (30 char)]],1)))</f>
        <v>0</v>
      </c>
      <c r="J813" s="12" t="s">
        <v>61</v>
      </c>
      <c r="K813" s="12">
        <v>75050</v>
      </c>
      <c r="L813" s="12" t="s">
        <v>35</v>
      </c>
      <c r="M813" s="13">
        <v>200403051087</v>
      </c>
      <c r="N813" s="14" t="s">
        <v>5801</v>
      </c>
      <c r="O813" s="14" t="s">
        <v>54</v>
      </c>
      <c r="P813" s="14">
        <v>47300</v>
      </c>
      <c r="Q813" s="19" t="s">
        <v>5802</v>
      </c>
      <c r="R813" s="15" t="s">
        <v>5803</v>
      </c>
      <c r="S813" s="15" t="s">
        <v>37</v>
      </c>
      <c r="T813" s="16" t="s">
        <v>38</v>
      </c>
      <c r="U813" s="11" t="str">
        <f>_xlfn.XLOOKUP(Customer[[#This Row],[Customer ID]],[1]!Address[ID],[1]!Address[Phone No.(2)])</f>
        <v/>
      </c>
      <c r="V813" s="11" t="str">
        <f>_xlfn.XLOOKUP(Customer[[#This Row],[Customer ID]],[1]!Address[ID],[1]!Address[Type])</f>
        <v>PETROMART</v>
      </c>
      <c r="W813" s="11" t="str">
        <f>_xlfn.XLOOKUP(Customer[[#This Row],[Customer ID]],[1]!Address[ID],[1]!Address[CT])</f>
        <v>30 DAYS</v>
      </c>
      <c r="X813" s="11" t="s">
        <v>39</v>
      </c>
      <c r="Y813" s="17" t="s">
        <v>40</v>
      </c>
      <c r="Z813" s="17" t="e">
        <f>_xlfn.XLOOKUP(Customer[[#This Row],[NewType]],$AF$36:$AF$54,$AG$36:$AG$54)</f>
        <v>#N/A</v>
      </c>
      <c r="AA813" s="17" t="s">
        <v>5804</v>
      </c>
      <c r="AB813" s="11" t="str">
        <f>_xlfn.XLOOKUP(Customer[[#This Row],[Customer ID]],[1]!Address[ID],[1]!Address[Subtype])</f>
        <v>PETRONAS</v>
      </c>
      <c r="AC813" s="18" t="str">
        <f>_xlfn.XLOOKUP(Customer[[#This Row],[Customer ID]],[1]!Address[ID],[1]!Address[Zone])</f>
        <v>SOUTH</v>
      </c>
    </row>
    <row r="814" spans="1:29" x14ac:dyDescent="0.3">
      <c r="A814" s="10" t="s">
        <v>5805</v>
      </c>
      <c r="B814" s="11" t="str">
        <f>_xlfn.XLOOKUP(Customer[[#This Row],[Customer ID]],[1]!Name[ID],[1]!Name[Description(1)])</f>
        <v>AMZASS PETROPLUS SERVICES</v>
      </c>
      <c r="C814" s="11" t="str">
        <f>_xlfn.XLOOKUP(Customer[[#This Row],[Customer ID]],[1]!Name[ID],[1]!Name[Description(2)])</f>
        <v>PS ULU BERNAM-SABAK BERNAM</v>
      </c>
      <c r="D814" s="11" t="str">
        <f>_xlfn.XLOOKUP(Customer[[#This Row],[Customer ID]],[1]!Address[ID],[1]!Address[PIC])</f>
        <v/>
      </c>
      <c r="E814" s="11" t="str">
        <f>_xlfn.XLOOKUP(Customer[[#This Row],[Customer ID]],[1]!Address[ID],[1]!Address[Full Address])</f>
        <v>PS ULU BERNAM-SABAK BERNAMKM 124, KAWASAN REHAT &amp; RAWAT LEBUHRAYABUTARA SELATAN (PLUS) ARAH SELATAN, ULU,BERNAM, SELANGOR, 35800, ULU SELANGOR</v>
      </c>
      <c r="F814" s="12" t="s">
        <v>5806</v>
      </c>
      <c r="G814" s="12" t="s">
        <v>5807</v>
      </c>
      <c r="H814" s="12" t="s">
        <v>5808</v>
      </c>
      <c r="I814" s="12" t="b">
        <f>ISNUMBER(VALUE(LEFT(Customer[[#This Row],[Address Line 3 (30 char)]],1)))</f>
        <v>0</v>
      </c>
      <c r="J814" s="12" t="s">
        <v>1907</v>
      </c>
      <c r="K814" s="12">
        <v>35800</v>
      </c>
      <c r="L814" s="12" t="s">
        <v>35</v>
      </c>
      <c r="M814" s="13" t="e">
        <v>#N/A</v>
      </c>
      <c r="N814" s="14" t="e">
        <v>#N/A</v>
      </c>
      <c r="O814" s="14" t="e">
        <v>#N/A</v>
      </c>
      <c r="P814" s="14" t="e">
        <v>#N/A</v>
      </c>
      <c r="Q814" s="19" t="s">
        <v>5809</v>
      </c>
      <c r="R814" s="15" t="s">
        <v>5810</v>
      </c>
      <c r="S814" s="15" t="s">
        <v>37</v>
      </c>
      <c r="T814" s="16" t="s">
        <v>38</v>
      </c>
      <c r="U814" s="11" t="str">
        <f>_xlfn.XLOOKUP(Customer[[#This Row],[Customer ID]],[1]!Address[ID],[1]!Address[Phone No.(2)])</f>
        <v>193116996</v>
      </c>
      <c r="V814" s="11" t="str">
        <f>_xlfn.XLOOKUP(Customer[[#This Row],[Customer ID]],[1]!Address[ID],[1]!Address[Type])</f>
        <v>PETROMART</v>
      </c>
      <c r="W814" s="11" t="str">
        <f>_xlfn.XLOOKUP(Customer[[#This Row],[Customer ID]],[1]!Address[ID],[1]!Address[CT])</f>
        <v>30 DAYS</v>
      </c>
      <c r="X814" s="11" t="s">
        <v>39</v>
      </c>
      <c r="Y814" s="17" t="s">
        <v>40</v>
      </c>
      <c r="Z814" s="17" t="e">
        <f>_xlfn.XLOOKUP(Customer[[#This Row],[NewType]],$AF$36:$AF$54,$AG$36:$AG$54)</f>
        <v>#N/A</v>
      </c>
      <c r="AA814" s="17" t="s">
        <v>5811</v>
      </c>
      <c r="AB814" s="11" t="str">
        <f>_xlfn.XLOOKUP(Customer[[#This Row],[Customer ID]],[1]!Address[ID],[1]!Address[Subtype])</f>
        <v>PETRONAS</v>
      </c>
      <c r="AC814" s="18" t="str">
        <f>_xlfn.XLOOKUP(Customer[[#This Row],[Customer ID]],[1]!Address[ID],[1]!Address[Zone])</f>
        <v>CENTRAL</v>
      </c>
    </row>
    <row r="815" spans="1:29" x14ac:dyDescent="0.3">
      <c r="A815" s="10" t="s">
        <v>5812</v>
      </c>
      <c r="B815" s="11" t="str">
        <f>_xlfn.XLOOKUP(Customer[[#This Row],[Customer ID]],[1]!Name[ID],[1]!Name[Description(1)])</f>
        <v>ANH MART</v>
      </c>
      <c r="C815" s="11" t="str">
        <f>_xlfn.XLOOKUP(Customer[[#This Row],[Customer ID]],[1]!Name[ID],[1]!Name[Description(2)])</f>
        <v>PS ULU TIRAM</v>
      </c>
      <c r="D815" s="11" t="str">
        <f>_xlfn.XLOOKUP(Customer[[#This Row],[Customer ID]],[1]!Address[ID],[1]!Address[PIC])</f>
        <v/>
      </c>
      <c r="E815" s="11" t="str">
        <f>_xlfn.XLOOKUP(Customer[[#This Row],[Customer ID]],[1]!Address[ID],[1]!Address[Full Address])</f>
        <v>PS ULU TIRAMLOT 10872, MUKIM TEBRAU, ULU TIRAM,KOTA TINGGI,81800 JOHOR</v>
      </c>
      <c r="F815" s="12" t="s">
        <v>5813</v>
      </c>
      <c r="G815" s="12" t="s">
        <v>5814</v>
      </c>
      <c r="H815" s="12" t="s">
        <v>5815</v>
      </c>
      <c r="I815" s="12" t="b">
        <f>ISNUMBER(VALUE(LEFT(Customer[[#This Row],[Address Line 3 (30 char)]],1)))</f>
        <v>0</v>
      </c>
      <c r="J815" s="12" t="s">
        <v>1995</v>
      </c>
      <c r="K815" s="12">
        <v>81800</v>
      </c>
      <c r="L815" s="12" t="s">
        <v>35</v>
      </c>
      <c r="M815" s="13">
        <v>200503096910</v>
      </c>
      <c r="N815" s="14" t="s">
        <v>5816</v>
      </c>
      <c r="O815" s="14" t="s">
        <v>54</v>
      </c>
      <c r="P815" s="14">
        <v>47300</v>
      </c>
      <c r="Q815" s="19" t="s">
        <v>5817</v>
      </c>
      <c r="R815" s="15" t="s">
        <v>5818</v>
      </c>
      <c r="S815" s="15" t="s">
        <v>37</v>
      </c>
      <c r="T815" s="16" t="s">
        <v>38</v>
      </c>
      <c r="U815" s="11" t="str">
        <f>_xlfn.XLOOKUP(Customer[[#This Row],[Customer ID]],[1]!Address[ID],[1]!Address[Phone No.(2)])</f>
        <v/>
      </c>
      <c r="V815" s="11" t="str">
        <f>_xlfn.XLOOKUP(Customer[[#This Row],[Customer ID]],[1]!Address[ID],[1]!Address[Type])</f>
        <v>PETROMART</v>
      </c>
      <c r="W815" s="11" t="str">
        <f>_xlfn.XLOOKUP(Customer[[#This Row],[Customer ID]],[1]!Address[ID],[1]!Address[CT])</f>
        <v>30 DAYS</v>
      </c>
      <c r="X815" s="11" t="s">
        <v>39</v>
      </c>
      <c r="Y815" s="17" t="s">
        <v>40</v>
      </c>
      <c r="Z815" s="17" t="e">
        <f>_xlfn.XLOOKUP(Customer[[#This Row],[NewType]],$AF$36:$AF$54,$AG$36:$AG$54)</f>
        <v>#N/A</v>
      </c>
      <c r="AA815" s="17" t="s">
        <v>5819</v>
      </c>
      <c r="AB815" s="11" t="str">
        <f>_xlfn.XLOOKUP(Customer[[#This Row],[Customer ID]],[1]!Address[ID],[1]!Address[Subtype])</f>
        <v>PETRONAS</v>
      </c>
      <c r="AC815" s="18" t="str">
        <f>_xlfn.XLOOKUP(Customer[[#This Row],[Customer ID]],[1]!Address[ID],[1]!Address[Zone])</f>
        <v>SOUTH</v>
      </c>
    </row>
    <row r="816" spans="1:29" x14ac:dyDescent="0.3">
      <c r="A816" s="10" t="s">
        <v>5820</v>
      </c>
      <c r="B816" s="11" t="str">
        <f>_xlfn.XLOOKUP(Customer[[#This Row],[Customer ID]],[1]!Name[ID],[1]!Name[Description(1)])</f>
        <v>HBY ENTERPRISE</v>
      </c>
      <c r="C816" s="11" t="str">
        <f>_xlfn.XLOOKUP(Customer[[#This Row],[Customer ID]],[1]!Name[ID],[1]!Name[Description(2)])</f>
        <v>PS UNIKEB 1</v>
      </c>
      <c r="D816" s="11" t="str">
        <f>_xlfn.XLOOKUP(Customer[[#This Row],[Customer ID]],[1]!Address[ID],[1]!Address[PIC])</f>
        <v/>
      </c>
      <c r="E816" s="11" t="str">
        <f>_xlfn.XLOOKUP(Customer[[#This Row],[Customer ID]],[1]!Address[ID],[1]!Address[Full Address])</f>
        <v>PS UNIKEB 1LOT 1, JALAN 1/1, PERINGKAT 1,BANDAR BARU BANGI,43000 KAJANG, SELANGOR</v>
      </c>
      <c r="F816" s="12" t="s">
        <v>5821</v>
      </c>
      <c r="G816" s="12" t="s">
        <v>5822</v>
      </c>
      <c r="H816" s="12" t="s">
        <v>4481</v>
      </c>
      <c r="I816" s="12" t="b">
        <f>ISNUMBER(VALUE(LEFT(Customer[[#This Row],[Address Line 3 (30 char)]],1)))</f>
        <v>0</v>
      </c>
      <c r="J816" s="12" t="s">
        <v>1907</v>
      </c>
      <c r="K816" s="12">
        <v>43000</v>
      </c>
      <c r="L816" s="12" t="s">
        <v>35</v>
      </c>
      <c r="M816" s="13" t="e">
        <v>#N/A</v>
      </c>
      <c r="N816" s="14" t="e">
        <v>#N/A</v>
      </c>
      <c r="O816" s="14" t="e">
        <v>#N/A</v>
      </c>
      <c r="P816" s="14" t="e">
        <v>#N/A</v>
      </c>
      <c r="Q816" s="19" t="s">
        <v>4482</v>
      </c>
      <c r="R816" s="15" t="s">
        <v>5823</v>
      </c>
      <c r="S816" s="15" t="s">
        <v>37</v>
      </c>
      <c r="T816" s="16" t="s">
        <v>38</v>
      </c>
      <c r="U816" s="11" t="str">
        <f>_xlfn.XLOOKUP(Customer[[#This Row],[Customer ID]],[1]!Address[ID],[1]!Address[Phone No.(2)])</f>
        <v>104016063</v>
      </c>
      <c r="V816" s="11" t="str">
        <f>_xlfn.XLOOKUP(Customer[[#This Row],[Customer ID]],[1]!Address[ID],[1]!Address[Type])</f>
        <v>PETROMART</v>
      </c>
      <c r="W816" s="11" t="str">
        <f>_xlfn.XLOOKUP(Customer[[#This Row],[Customer ID]],[1]!Address[ID],[1]!Address[CT])</f>
        <v>30 DAYS</v>
      </c>
      <c r="X816" s="11" t="s">
        <v>39</v>
      </c>
      <c r="Y816" s="17" t="s">
        <v>40</v>
      </c>
      <c r="Z816" s="17" t="e">
        <f>_xlfn.XLOOKUP(Customer[[#This Row],[NewType]],$AF$36:$AF$54,$AG$36:$AG$54)</f>
        <v>#N/A</v>
      </c>
      <c r="AA816" s="17" t="s">
        <v>5824</v>
      </c>
      <c r="AB816" s="11" t="str">
        <f>_xlfn.XLOOKUP(Customer[[#This Row],[Customer ID]],[1]!Address[ID],[1]!Address[Subtype])</f>
        <v>PETRONAS</v>
      </c>
      <c r="AC816" s="18" t="str">
        <f>_xlfn.XLOOKUP(Customer[[#This Row],[Customer ID]],[1]!Address[ID],[1]!Address[Zone])</f>
        <v>CENTRAL</v>
      </c>
    </row>
    <row r="817" spans="1:29" x14ac:dyDescent="0.3">
      <c r="A817" s="10" t="s">
        <v>5825</v>
      </c>
      <c r="B817" s="11" t="str">
        <f>_xlfn.XLOOKUP(Customer[[#This Row],[Customer ID]],[1]!Name[ID],[1]!Name[Description(1)])</f>
        <v>KOPERASI UNIKEB BERHAD</v>
      </c>
      <c r="C817" s="11" t="str">
        <f>_xlfn.XLOOKUP(Customer[[#This Row],[Customer ID]],[1]!Name[ID],[1]!Name[Description(2)])</f>
        <v>PS UNIKEB 2</v>
      </c>
      <c r="D817" s="11" t="str">
        <f>_xlfn.XLOOKUP(Customer[[#This Row],[Customer ID]],[1]!Address[ID],[1]!Address[PIC])</f>
        <v/>
      </c>
      <c r="E817" s="11" t="str">
        <f>_xlfn.XLOOKUP(Customer[[#This Row],[Customer ID]],[1]!Address[ID],[1]!Address[Full Address])</f>
        <v>PS UNIKEB 2LOT 7 &amp; 9 JALAN 4/1 SEKSYEN 4,BANDAR BARU BANGI43650 BANGI, SELANGOR</v>
      </c>
      <c r="F817" s="12" t="s">
        <v>5826</v>
      </c>
      <c r="G817" s="12" t="s">
        <v>5827</v>
      </c>
      <c r="H817" s="12" t="s">
        <v>4431</v>
      </c>
      <c r="I817" s="12" t="b">
        <f>ISNUMBER(VALUE(LEFT(Customer[[#This Row],[Address Line 3 (30 char)]],1)))</f>
        <v>0</v>
      </c>
      <c r="J817" s="12" t="s">
        <v>1907</v>
      </c>
      <c r="K817" s="12">
        <v>43650</v>
      </c>
      <c r="L817" s="12" t="s">
        <v>35</v>
      </c>
      <c r="M817" s="13" t="e">
        <v>#N/A</v>
      </c>
      <c r="N817" s="14" t="e">
        <v>#N/A</v>
      </c>
      <c r="O817" s="14" t="e">
        <v>#N/A</v>
      </c>
      <c r="P817" s="14" t="e">
        <v>#N/A</v>
      </c>
      <c r="Q817" s="19" t="s">
        <v>5828</v>
      </c>
      <c r="R817" s="15" t="s">
        <v>5829</v>
      </c>
      <c r="S817" s="15" t="s">
        <v>37</v>
      </c>
      <c r="T817" s="16" t="s">
        <v>38</v>
      </c>
      <c r="U817" s="11" t="str">
        <f>_xlfn.XLOOKUP(Customer[[#This Row],[Customer ID]],[1]!Address[ID],[1]!Address[Phone No.(2)])</f>
        <v/>
      </c>
      <c r="V817" s="11" t="str">
        <f>_xlfn.XLOOKUP(Customer[[#This Row],[Customer ID]],[1]!Address[ID],[1]!Address[Type])</f>
        <v>PETROMART</v>
      </c>
      <c r="W817" s="11" t="str">
        <f>_xlfn.XLOOKUP(Customer[[#This Row],[Customer ID]],[1]!Address[ID],[1]!Address[CT])</f>
        <v>30 DAYS</v>
      </c>
      <c r="X817" s="11" t="s">
        <v>39</v>
      </c>
      <c r="Y817" s="17" t="s">
        <v>40</v>
      </c>
      <c r="Z817" s="17" t="e">
        <f>_xlfn.XLOOKUP(Customer[[#This Row],[NewType]],$AF$36:$AF$54,$AG$36:$AG$54)</f>
        <v>#N/A</v>
      </c>
      <c r="AA817" s="17" t="s">
        <v>5830</v>
      </c>
      <c r="AB817" s="11" t="str">
        <f>_xlfn.XLOOKUP(Customer[[#This Row],[Customer ID]],[1]!Address[ID],[1]!Address[Subtype])</f>
        <v>PETRONAS</v>
      </c>
      <c r="AC817" s="18" t="str">
        <f>_xlfn.XLOOKUP(Customer[[#This Row],[Customer ID]],[1]!Address[ID],[1]!Address[Zone])</f>
        <v>CENTRAL</v>
      </c>
    </row>
    <row r="818" spans="1:29" x14ac:dyDescent="0.3">
      <c r="A818" s="10" t="s">
        <v>5831</v>
      </c>
      <c r="B818" s="11" t="str">
        <f>_xlfn.XLOOKUP(Customer[[#This Row],[Customer ID]],[1]!Name[ID],[1]!Name[Description(1)])</f>
        <v>KOPERASI UNIVERSITI PUTRA MALAYSIA</v>
      </c>
      <c r="C818" s="11" t="str">
        <f>_xlfn.XLOOKUP(Customer[[#This Row],[Customer ID]],[1]!Name[ID],[1]!Name[Description(2)])</f>
        <v>PS UPM</v>
      </c>
      <c r="D818" s="11" t="str">
        <f>_xlfn.XLOOKUP(Customer[[#This Row],[Customer ID]],[1]!Address[ID],[1]!Address[PIC])</f>
        <v/>
      </c>
      <c r="E818" s="11" t="str">
        <f>_xlfn.XLOOKUP(Customer[[#This Row],[Customer ID]],[1]!Address[ID],[1]!Address[Full Address])</f>
        <v>PS UPMLOT 6306, JALAN BESAR, MUKIM DENGKIL,SERDANG, 43400, PETALING, SELANGOR</v>
      </c>
      <c r="F818" s="12" t="s">
        <v>5832</v>
      </c>
      <c r="G818" s="12" t="s">
        <v>5833</v>
      </c>
      <c r="H818" s="12" t="s">
        <v>5834</v>
      </c>
      <c r="I818" s="12" t="b">
        <f>ISNUMBER(VALUE(LEFT(Customer[[#This Row],[Address Line 3 (30 char)]],1)))</f>
        <v>0</v>
      </c>
      <c r="J818" s="12" t="s">
        <v>1907</v>
      </c>
      <c r="K818" s="12">
        <v>43400</v>
      </c>
      <c r="L818" s="12" t="s">
        <v>35</v>
      </c>
      <c r="M818" s="13" t="e">
        <v>#N/A</v>
      </c>
      <c r="N818" s="14" t="e">
        <v>#N/A</v>
      </c>
      <c r="O818" s="14" t="e">
        <v>#N/A</v>
      </c>
      <c r="P818" s="14" t="e">
        <v>#N/A</v>
      </c>
      <c r="Q818" s="19" t="s">
        <v>5835</v>
      </c>
      <c r="R818" s="15" t="s">
        <v>5836</v>
      </c>
      <c r="S818" s="15" t="s">
        <v>37</v>
      </c>
      <c r="T818" s="16" t="s">
        <v>38</v>
      </c>
      <c r="U818" s="11" t="str">
        <f>_xlfn.XLOOKUP(Customer[[#This Row],[Customer ID]],[1]!Address[ID],[1]!Address[Phone No.(2)])</f>
        <v/>
      </c>
      <c r="V818" s="11" t="str">
        <f>_xlfn.XLOOKUP(Customer[[#This Row],[Customer ID]],[1]!Address[ID],[1]!Address[Type])</f>
        <v>PETROMART</v>
      </c>
      <c r="W818" s="11" t="str">
        <f>_xlfn.XLOOKUP(Customer[[#This Row],[Customer ID]],[1]!Address[ID],[1]!Address[CT])</f>
        <v>30 DAYS</v>
      </c>
      <c r="X818" s="11" t="s">
        <v>39</v>
      </c>
      <c r="Y818" s="17" t="s">
        <v>40</v>
      </c>
      <c r="Z818" s="17" t="e">
        <f>_xlfn.XLOOKUP(Customer[[#This Row],[NewType]],$AF$36:$AF$54,$AG$36:$AG$54)</f>
        <v>#N/A</v>
      </c>
      <c r="AA818" s="17" t="s">
        <v>5837</v>
      </c>
      <c r="AB818" s="11" t="str">
        <f>_xlfn.XLOOKUP(Customer[[#This Row],[Customer ID]],[1]!Address[ID],[1]!Address[Subtype])</f>
        <v>PETRONAS</v>
      </c>
      <c r="AC818" s="18" t="str">
        <f>_xlfn.XLOOKUP(Customer[[#This Row],[Customer ID]],[1]!Address[ID],[1]!Address[Zone])</f>
        <v>CENTRAL</v>
      </c>
    </row>
    <row r="819" spans="1:29" x14ac:dyDescent="0.3">
      <c r="A819" s="10" t="s">
        <v>5838</v>
      </c>
      <c r="B819" s="11" t="str">
        <f>_xlfn.XLOOKUP(Customer[[#This Row],[Customer ID]],[1]!Name[ID],[1]!Name[Description(1)])</f>
        <v>ALCC OIL &amp; GAS</v>
      </c>
      <c r="C819" s="11" t="str">
        <f>_xlfn.XLOOKUP(Customer[[#This Row],[Customer ID]],[1]!Name[ID],[1]!Name[Description(2)])</f>
        <v>PS USJ 14, UEP SUBANG JAYA</v>
      </c>
      <c r="D819" s="11" t="str">
        <f>_xlfn.XLOOKUP(Customer[[#This Row],[Customer ID]],[1]!Address[ID],[1]!Address[PIC])</f>
        <v/>
      </c>
      <c r="E819" s="11" t="str">
        <f>_xlfn.XLOOKUP(Customer[[#This Row],[Customer ID]],[1]!Address[ID],[1]!Address[Full Address])</f>
        <v>PS USJ 14, UEP SUBANG JAYAPETALING JAYA,SELANGOR, SUBANG JAYA,PETALING JAYA,SELANGOR, SUBANG JAYA,47600, SUBANG JAYA, SELANGOR</v>
      </c>
      <c r="F819" s="12" t="s">
        <v>5169</v>
      </c>
      <c r="G819" s="12"/>
      <c r="H819" s="12" t="s">
        <v>5839</v>
      </c>
      <c r="I819" s="12" t="b">
        <f>ISNUMBER(VALUE(LEFT(Customer[[#This Row],[Address Line 3 (30 char)]],1)))</f>
        <v>0</v>
      </c>
      <c r="J819" s="12" t="s">
        <v>1907</v>
      </c>
      <c r="K819" s="12">
        <v>47600</v>
      </c>
      <c r="L819" s="12" t="s">
        <v>35</v>
      </c>
      <c r="M819" s="13">
        <v>201603006638</v>
      </c>
      <c r="N819" s="14" t="s">
        <v>5840</v>
      </c>
      <c r="O819" s="14" t="s">
        <v>54</v>
      </c>
      <c r="P819" s="14">
        <v>47630</v>
      </c>
      <c r="Q819" s="19" t="s">
        <v>5841</v>
      </c>
      <c r="R819" s="15" t="s">
        <v>5842</v>
      </c>
      <c r="S819" s="15" t="s">
        <v>37</v>
      </c>
      <c r="T819" s="16" t="s">
        <v>38</v>
      </c>
      <c r="U819" s="11" t="str">
        <f>_xlfn.XLOOKUP(Customer[[#This Row],[Customer ID]],[1]!Address[ID],[1]!Address[Phone No.(2)])</f>
        <v/>
      </c>
      <c r="V819" s="11" t="str">
        <f>_xlfn.XLOOKUP(Customer[[#This Row],[Customer ID]],[1]!Address[ID],[1]!Address[Type])</f>
        <v>PETROMART</v>
      </c>
      <c r="W819" s="11" t="str">
        <f>_xlfn.XLOOKUP(Customer[[#This Row],[Customer ID]],[1]!Address[ID],[1]!Address[CT])</f>
        <v>30 DAYS</v>
      </c>
      <c r="X819" s="11" t="s">
        <v>39</v>
      </c>
      <c r="Y819" s="17" t="s">
        <v>40</v>
      </c>
      <c r="Z819" s="17" t="e">
        <f>_xlfn.XLOOKUP(Customer[[#This Row],[NewType]],$AF$36:$AF$54,$AG$36:$AG$54)</f>
        <v>#N/A</v>
      </c>
      <c r="AA819" s="17" t="s">
        <v>5843</v>
      </c>
      <c r="AB819" s="11" t="str">
        <f>_xlfn.XLOOKUP(Customer[[#This Row],[Customer ID]],[1]!Address[ID],[1]!Address[Subtype])</f>
        <v>PETRONAS</v>
      </c>
      <c r="AC819" s="18" t="str">
        <f>_xlfn.XLOOKUP(Customer[[#This Row],[Customer ID]],[1]!Address[ID],[1]!Address[Zone])</f>
        <v>CENTRAL</v>
      </c>
    </row>
    <row r="820" spans="1:29" x14ac:dyDescent="0.3">
      <c r="A820" s="27" t="s">
        <v>5844</v>
      </c>
      <c r="B820" s="28" t="str">
        <f>_xlfn.XLOOKUP(Customer[[#This Row],[Customer ID]],[1]!Name[ID],[1]!Name[Description(1)])</f>
        <v>ALI ALEES ENTERPRISE</v>
      </c>
      <c r="C820" s="11" t="str">
        <f>_xlfn.XLOOKUP(Customer[[#This Row],[Customer ID]],[1]!Name[ID],[1]!Name[Description(2)])</f>
        <v>PS USJ 2</v>
      </c>
      <c r="D820" s="11" t="str">
        <f>_xlfn.XLOOKUP(Customer[[#This Row],[Customer ID]],[1]!Address[ID],[1]!Address[PIC])</f>
        <v/>
      </c>
      <c r="E820" s="11" t="str">
        <f>_xlfn.XLOOKUP(Customer[[#This Row],[Customer ID]],[1]!Address[ID],[1]!Address[Full Address])</f>
        <v>PS USJ 2LOT PT 2781, JALAN USJ 2/2D, SUBANG UEP,SUBANG JAYA, 47600, PETALING, SELANGOR</v>
      </c>
      <c r="F820" s="12" t="s">
        <v>5845</v>
      </c>
      <c r="G820" s="12" t="s">
        <v>5846</v>
      </c>
      <c r="H820" s="12" t="s">
        <v>5847</v>
      </c>
      <c r="I820" s="12" t="b">
        <f>ISNUMBER(VALUE(LEFT(Customer[[#This Row],[Address Line 3 (30 char)]],1)))</f>
        <v>0</v>
      </c>
      <c r="J820" s="12" t="s">
        <v>1907</v>
      </c>
      <c r="K820" s="12">
        <v>47600</v>
      </c>
      <c r="L820" s="12" t="s">
        <v>35</v>
      </c>
      <c r="M820" s="13">
        <v>202303040595</v>
      </c>
      <c r="N820" s="36" t="e">
        <v>#N/A</v>
      </c>
      <c r="O820" s="14" t="s">
        <v>54</v>
      </c>
      <c r="P820" s="14">
        <v>47300</v>
      </c>
      <c r="Q820" s="19" t="s">
        <v>5848</v>
      </c>
      <c r="R820" s="15" t="s">
        <v>5849</v>
      </c>
      <c r="S820" s="15" t="s">
        <v>65</v>
      </c>
      <c r="T820" s="16" t="s">
        <v>38</v>
      </c>
      <c r="U820" s="11" t="str">
        <f>_xlfn.XLOOKUP(Customer[[#This Row],[Customer ID]],[1]!Address[ID],[1]!Address[Phone No.(2)])</f>
        <v/>
      </c>
      <c r="V820" s="11" t="str">
        <f>_xlfn.XLOOKUP(Customer[[#This Row],[Customer ID]],[1]!Address[ID],[1]!Address[Type])</f>
        <v>PETROMART</v>
      </c>
      <c r="W820" s="11" t="str">
        <f>_xlfn.XLOOKUP(Customer[[#This Row],[Customer ID]],[1]!Address[ID],[1]!Address[CT])</f>
        <v>30 DAYS</v>
      </c>
      <c r="X820" s="11" t="s">
        <v>39</v>
      </c>
      <c r="Y820" s="17" t="s">
        <v>40</v>
      </c>
      <c r="Z820" s="17" t="e">
        <f>_xlfn.XLOOKUP(Customer[[#This Row],[NewType]],$AF$36:$AF$54,$AG$36:$AG$54)</f>
        <v>#N/A</v>
      </c>
      <c r="AA820" s="17" t="s">
        <v>5850</v>
      </c>
      <c r="AB820" s="11" t="str">
        <f>_xlfn.XLOOKUP(Customer[[#This Row],[Customer ID]],[1]!Address[ID],[1]!Address[Subtype])</f>
        <v>PETRONAS</v>
      </c>
      <c r="AC820" s="18" t="str">
        <f>_xlfn.XLOOKUP(Customer[[#This Row],[Customer ID]],[1]!Address[ID],[1]!Address[Zone])</f>
        <v>CENTRAL</v>
      </c>
    </row>
    <row r="821" spans="1:29" x14ac:dyDescent="0.3">
      <c r="A821" s="10" t="s">
        <v>5851</v>
      </c>
      <c r="B821" s="11" t="str">
        <f>_xlfn.XLOOKUP(Customer[[#This Row],[Customer ID]],[1]!Name[ID],[1]!Name[Description(1)])</f>
        <v>ADELIA MESRA DUA ENTERPRISE</v>
      </c>
      <c r="C821" s="11" t="str">
        <f>_xlfn.XLOOKUP(Customer[[#This Row],[Customer ID]],[1]!Name[ID],[1]!Name[Description(2)])</f>
        <v>PS USJ 20, UEP SUBANG JAYA</v>
      </c>
      <c r="D821" s="11" t="str">
        <f>_xlfn.XLOOKUP(Customer[[#This Row],[Customer ID]],[1]!Address[ID],[1]!Address[PIC])</f>
        <v/>
      </c>
      <c r="E821" s="11" t="str">
        <f>_xlfn.XLOOKUP(Customer[[#This Row],[Customer ID]],[1]!Address[ID],[1]!Address[Full Address])</f>
        <v>PS USJ 20, UEP SUBANG JAYALOT 49946 USJ 20 MUKIM DAMANSARA,SELANGOR, 47630, PETALING, SELANGOR</v>
      </c>
      <c r="F821" s="12" t="s">
        <v>5852</v>
      </c>
      <c r="G821" s="12" t="s">
        <v>5853</v>
      </c>
      <c r="H821" s="12" t="s">
        <v>2273</v>
      </c>
      <c r="I821" s="12" t="b">
        <f>ISNUMBER(VALUE(LEFT(Customer[[#This Row],[Address Line 3 (30 char)]],1)))</f>
        <v>0</v>
      </c>
      <c r="J821" s="12" t="s">
        <v>1907</v>
      </c>
      <c r="K821" s="12">
        <v>47630</v>
      </c>
      <c r="L821" s="12" t="s">
        <v>35</v>
      </c>
      <c r="M821" s="13" t="e">
        <v>#N/A</v>
      </c>
      <c r="N821" s="14" t="e">
        <v>#N/A</v>
      </c>
      <c r="O821" s="14" t="e">
        <v>#N/A</v>
      </c>
      <c r="P821" s="14" t="e">
        <v>#N/A</v>
      </c>
      <c r="Q821" s="19" t="s">
        <v>5854</v>
      </c>
      <c r="R821" s="15" t="s">
        <v>5855</v>
      </c>
      <c r="S821" s="15" t="s">
        <v>37</v>
      </c>
      <c r="T821" s="16" t="s">
        <v>38</v>
      </c>
      <c r="U821" s="11" t="str">
        <f>_xlfn.XLOOKUP(Customer[[#This Row],[Customer ID]],[1]!Address[ID],[1]!Address[Phone No.(2)])</f>
        <v/>
      </c>
      <c r="V821" s="11" t="str">
        <f>_xlfn.XLOOKUP(Customer[[#This Row],[Customer ID]],[1]!Address[ID],[1]!Address[Type])</f>
        <v>PETROMART</v>
      </c>
      <c r="W821" s="11" t="str">
        <f>_xlfn.XLOOKUP(Customer[[#This Row],[Customer ID]],[1]!Address[ID],[1]!Address[CT])</f>
        <v>30 DAYS</v>
      </c>
      <c r="X821" s="11" t="s">
        <v>39</v>
      </c>
      <c r="Y821" s="17" t="s">
        <v>40</v>
      </c>
      <c r="Z821" s="17" t="e">
        <f>_xlfn.XLOOKUP(Customer[[#This Row],[NewType]],$AF$36:$AF$54,$AG$36:$AG$54)</f>
        <v>#N/A</v>
      </c>
      <c r="AA821" s="17" t="s">
        <v>5856</v>
      </c>
      <c r="AB821" s="11" t="str">
        <f>_xlfn.XLOOKUP(Customer[[#This Row],[Customer ID]],[1]!Address[ID],[1]!Address[Subtype])</f>
        <v>PETRONAS</v>
      </c>
      <c r="AC821" s="18" t="str">
        <f>_xlfn.XLOOKUP(Customer[[#This Row],[Customer ID]],[1]!Address[ID],[1]!Address[Zone])</f>
        <v>CENTRAL</v>
      </c>
    </row>
    <row r="822" spans="1:29" x14ac:dyDescent="0.3">
      <c r="A822" s="10" t="s">
        <v>5857</v>
      </c>
      <c r="B822" s="11" t="str">
        <f>_xlfn.XLOOKUP(Customer[[#This Row],[Customer ID]],[1]!Name[ID],[1]!Name[Description(1)])</f>
        <v>MY IMPIANA SDN BHD</v>
      </c>
      <c r="C822" s="11" t="str">
        <f>_xlfn.XLOOKUP(Customer[[#This Row],[Customer ID]],[1]!Name[ID],[1]!Name[Description(2)])</f>
        <v>PS USJ 4, UEP SUBANG JAYA</v>
      </c>
      <c r="D822" s="11" t="str">
        <f>_xlfn.XLOOKUP(Customer[[#This Row],[Customer ID]],[1]!Address[ID],[1]!Address[PIC])</f>
        <v/>
      </c>
      <c r="E822" s="11" t="str">
        <f>_xlfn.XLOOKUP(Customer[[#This Row],[Customer ID]],[1]!Address[ID],[1]!Address[Full Address])</f>
        <v>PS USJ 4, UEP SUBANG JAYALOT 3870, JLN USJ 4/1, SUBANG UEP, SUBANJAYA, 47600, PETALING, SELANGOR</v>
      </c>
      <c r="F822" s="12" t="s">
        <v>5858</v>
      </c>
      <c r="G822" s="12" t="s">
        <v>5859</v>
      </c>
      <c r="H822" s="12" t="s">
        <v>5860</v>
      </c>
      <c r="I822" s="12" t="b">
        <f>ISNUMBER(VALUE(LEFT(Customer[[#This Row],[Address Line 3 (30 char)]],1)))</f>
        <v>0</v>
      </c>
      <c r="J822" s="12" t="s">
        <v>1907</v>
      </c>
      <c r="K822" s="12">
        <v>47600</v>
      </c>
      <c r="L822" s="12" t="s">
        <v>35</v>
      </c>
      <c r="M822" s="13">
        <v>202301035934</v>
      </c>
      <c r="N822" s="14" t="s">
        <v>5861</v>
      </c>
      <c r="O822" s="14" t="e">
        <v>#N/A</v>
      </c>
      <c r="P822" s="14" t="e">
        <v>#N/A</v>
      </c>
      <c r="Q822" s="19" t="s">
        <v>5862</v>
      </c>
      <c r="R822" s="15" t="s">
        <v>5863</v>
      </c>
      <c r="S822" s="15" t="s">
        <v>65</v>
      </c>
      <c r="T822" s="16" t="s">
        <v>38</v>
      </c>
      <c r="U822" s="11" t="str">
        <f>_xlfn.XLOOKUP(Customer[[#This Row],[Customer ID]],[1]!Address[ID],[1]!Address[Phone No.(2)])</f>
        <v/>
      </c>
      <c r="V822" s="11" t="str">
        <f>_xlfn.XLOOKUP(Customer[[#This Row],[Customer ID]],[1]!Address[ID],[1]!Address[Type])</f>
        <v>PETROMART</v>
      </c>
      <c r="W822" s="11" t="str">
        <f>_xlfn.XLOOKUP(Customer[[#This Row],[Customer ID]],[1]!Address[ID],[1]!Address[CT])</f>
        <v>30 DAYS</v>
      </c>
      <c r="X822" s="11" t="s">
        <v>39</v>
      </c>
      <c r="Y822" s="17" t="s">
        <v>40</v>
      </c>
      <c r="Z822" s="17" t="e">
        <f>_xlfn.XLOOKUP(Customer[[#This Row],[NewType]],$AF$36:$AF$54,$AG$36:$AG$54)</f>
        <v>#N/A</v>
      </c>
      <c r="AA822" s="17" t="s">
        <v>5864</v>
      </c>
      <c r="AB822" s="11" t="str">
        <f>_xlfn.XLOOKUP(Customer[[#This Row],[Customer ID]],[1]!Address[ID],[1]!Address[Subtype])</f>
        <v>PETRONAS</v>
      </c>
      <c r="AC822" s="18" t="str">
        <f>_xlfn.XLOOKUP(Customer[[#This Row],[Customer ID]],[1]!Address[ID],[1]!Address[Zone])</f>
        <v>CENTRAL</v>
      </c>
    </row>
    <row r="823" spans="1:29" x14ac:dyDescent="0.3">
      <c r="A823" s="10" t="s">
        <v>5865</v>
      </c>
      <c r="B823" s="11" t="str">
        <f>_xlfn.XLOOKUP(Customer[[#This Row],[Customer ID]],[1]!Name[ID],[1]!Name[Description(1)])</f>
        <v>STESEN SERVIS FAZA</v>
      </c>
      <c r="C823" s="11" t="str">
        <f>_xlfn.XLOOKUP(Customer[[#This Row],[Customer ID]],[1]!Name[ID],[1]!Name[Description(2)])</f>
        <v>PS USJ 6,UEP SUBANG JAYA</v>
      </c>
      <c r="D823" s="11" t="str">
        <f>_xlfn.XLOOKUP(Customer[[#This Row],[Customer ID]],[1]!Address[ID],[1]!Address[PIC])</f>
        <v/>
      </c>
      <c r="E823" s="11" t="str">
        <f>_xlfn.XLOOKUP(Customer[[#This Row],[Customer ID]],[1]!Address[ID],[1]!Address[Full Address])</f>
        <v>PS USJ 6,UEP SUBANG JAYALOT 7003, JALAN USJ 6/2J SUBANG UEP, 475SUBANG JAYA,SELANGOR</v>
      </c>
      <c r="F823" s="12" t="s">
        <v>5866</v>
      </c>
      <c r="G823" s="12" t="s">
        <v>5867</v>
      </c>
      <c r="H823" s="12" t="s">
        <v>4439</v>
      </c>
      <c r="I823" s="12" t="b">
        <f>ISNUMBER(VALUE(LEFT(Customer[[#This Row],[Address Line 3 (30 char)]],1)))</f>
        <v>0</v>
      </c>
      <c r="J823" s="12" t="s">
        <v>1907</v>
      </c>
      <c r="K823" s="12">
        <v>47500</v>
      </c>
      <c r="L823" s="12" t="s">
        <v>35</v>
      </c>
      <c r="M823" s="13" t="e">
        <v>#N/A</v>
      </c>
      <c r="N823" s="14" t="e">
        <v>#N/A</v>
      </c>
      <c r="O823" s="14" t="e">
        <v>#N/A</v>
      </c>
      <c r="P823" s="14" t="e">
        <v>#N/A</v>
      </c>
      <c r="Q823" s="19" t="s">
        <v>5868</v>
      </c>
      <c r="R823" s="15" t="s">
        <v>5869</v>
      </c>
      <c r="S823" s="15" t="s">
        <v>37</v>
      </c>
      <c r="T823" s="16" t="s">
        <v>38</v>
      </c>
      <c r="U823" s="11" t="str">
        <f>_xlfn.XLOOKUP(Customer[[#This Row],[Customer ID]],[1]!Address[ID],[1]!Address[Phone No.(2)])</f>
        <v/>
      </c>
      <c r="V823" s="11" t="str">
        <f>_xlfn.XLOOKUP(Customer[[#This Row],[Customer ID]],[1]!Address[ID],[1]!Address[Type])</f>
        <v>PETROMART</v>
      </c>
      <c r="W823" s="11" t="str">
        <f>_xlfn.XLOOKUP(Customer[[#This Row],[Customer ID]],[1]!Address[ID],[1]!Address[CT])</f>
        <v>30 DAYS</v>
      </c>
      <c r="X823" s="11" t="s">
        <v>39</v>
      </c>
      <c r="Y823" s="17" t="s">
        <v>40</v>
      </c>
      <c r="Z823" s="17" t="e">
        <f>_xlfn.XLOOKUP(Customer[[#This Row],[NewType]],$AF$36:$AF$54,$AG$36:$AG$54)</f>
        <v>#N/A</v>
      </c>
      <c r="AA823" s="17" t="s">
        <v>5870</v>
      </c>
      <c r="AB823" s="11" t="str">
        <f>_xlfn.XLOOKUP(Customer[[#This Row],[Customer ID]],[1]!Address[ID],[1]!Address[Subtype])</f>
        <v>PETRONAS</v>
      </c>
      <c r="AC823" s="18" t="str">
        <f>_xlfn.XLOOKUP(Customer[[#This Row],[Customer ID]],[1]!Address[ID],[1]!Address[Zone])</f>
        <v>CENTRAL</v>
      </c>
    </row>
    <row r="824" spans="1:29" x14ac:dyDescent="0.3">
      <c r="A824" s="10" t="s">
        <v>5871</v>
      </c>
      <c r="B824" s="11" t="str">
        <f>_xlfn.XLOOKUP(Customer[[#This Row],[Customer ID]],[1]!Name[ID],[1]!Name[Description(1)])</f>
        <v>PETROL KIOSK AHS</v>
      </c>
      <c r="C824" s="11" t="str">
        <f>_xlfn.XLOOKUP(Customer[[#This Row],[Customer ID]],[1]!Name[ID],[1]!Name[Description(2)])</f>
        <v>PS USJ 9</v>
      </c>
      <c r="D824" s="11" t="str">
        <f>_xlfn.XLOOKUP(Customer[[#This Row],[Customer ID]],[1]!Address[ID],[1]!Address[PIC])</f>
        <v/>
      </c>
      <c r="E824" s="11" t="str">
        <f>_xlfn.XLOOKUP(Customer[[#This Row],[Customer ID]],[1]!Address[ID],[1]!Address[Full Address])</f>
        <v>PS USJ 9LOT 10446, JALAN BAKTI, SUBANG USJ 9/3,SUBANG JAYA, 47600, PETALING, SELANGOR</v>
      </c>
      <c r="F824" s="12" t="s">
        <v>5872</v>
      </c>
      <c r="G824" s="12" t="s">
        <v>5873</v>
      </c>
      <c r="H824" s="12" t="s">
        <v>5847</v>
      </c>
      <c r="I824" s="12" t="b">
        <f>ISNUMBER(VALUE(LEFT(Customer[[#This Row],[Address Line 3 (30 char)]],1)))</f>
        <v>0</v>
      </c>
      <c r="J824" s="12" t="s">
        <v>1907</v>
      </c>
      <c r="K824" s="12">
        <v>47600</v>
      </c>
      <c r="L824" s="12" t="s">
        <v>35</v>
      </c>
      <c r="M824" s="13">
        <v>200703071354</v>
      </c>
      <c r="N824" s="14" t="s">
        <v>5874</v>
      </c>
      <c r="O824" s="14" t="s">
        <v>54</v>
      </c>
      <c r="P824" s="14">
        <v>47300</v>
      </c>
      <c r="Q824" s="19" t="s">
        <v>5875</v>
      </c>
      <c r="R824" s="15" t="s">
        <v>5876</v>
      </c>
      <c r="S824" s="15" t="s">
        <v>37</v>
      </c>
      <c r="T824" s="16" t="s">
        <v>38</v>
      </c>
      <c r="U824" s="11" t="str">
        <f>_xlfn.XLOOKUP(Customer[[#This Row],[Customer ID]],[1]!Address[ID],[1]!Address[Phone No.(2)])</f>
        <v/>
      </c>
      <c r="V824" s="11" t="str">
        <f>_xlfn.XLOOKUP(Customer[[#This Row],[Customer ID]],[1]!Address[ID],[1]!Address[Type])</f>
        <v>PETROMART</v>
      </c>
      <c r="W824" s="11" t="str">
        <f>_xlfn.XLOOKUP(Customer[[#This Row],[Customer ID]],[1]!Address[ID],[1]!Address[CT])</f>
        <v>30 DAYS</v>
      </c>
      <c r="X824" s="11" t="s">
        <v>39</v>
      </c>
      <c r="Y824" s="17" t="s">
        <v>40</v>
      </c>
      <c r="Z824" s="17" t="e">
        <f>_xlfn.XLOOKUP(Customer[[#This Row],[NewType]],$AF$36:$AF$54,$AG$36:$AG$54)</f>
        <v>#N/A</v>
      </c>
      <c r="AA824" s="17" t="s">
        <v>5877</v>
      </c>
      <c r="AB824" s="11" t="str">
        <f>_xlfn.XLOOKUP(Customer[[#This Row],[Customer ID]],[1]!Address[ID],[1]!Address[Subtype])</f>
        <v>PETRONAS</v>
      </c>
      <c r="AC824" s="18" t="str">
        <f>_xlfn.XLOOKUP(Customer[[#This Row],[Customer ID]],[1]!Address[ID],[1]!Address[Zone])</f>
        <v>CENTRAL</v>
      </c>
    </row>
    <row r="825" spans="1:29" x14ac:dyDescent="0.3">
      <c r="A825" s="10" t="s">
        <v>5878</v>
      </c>
      <c r="B825" s="11" t="str">
        <f>_xlfn.XLOOKUP(Customer[[#This Row],[Customer ID]],[1]!Name[ID],[1]!Name[Description(1)])</f>
        <v>BASHAPASYA ENTERPRISE</v>
      </c>
      <c r="C825" s="11" t="str">
        <f>_xlfn.XLOOKUP(Customer[[#This Row],[Customer ID]],[1]!Name[ID],[1]!Name[Description(2)])</f>
        <v>PS UTP TRONOH</v>
      </c>
      <c r="D825" s="11" t="str">
        <f>_xlfn.XLOOKUP(Customer[[#This Row],[Customer ID]],[1]!Address[ID],[1]!Address[PIC])</f>
        <v/>
      </c>
      <c r="E825" s="11" t="str">
        <f>_xlfn.XLOOKUP(Customer[[#This Row],[Customer ID]],[1]!Address[ID],[1]!Address[Full Address])</f>
        <v>PS UTP TRONOHLOT PT 13157, UNIVERSITI TEKNOLOGIPETRONAS LEBUHRAYA IPOH-LUMUT (ARAHIPOH), DAERAH IPOH TENGAH, 31750 TRONOH,</v>
      </c>
      <c r="F825" s="12" t="s">
        <v>5879</v>
      </c>
      <c r="G825" s="12" t="s">
        <v>5880</v>
      </c>
      <c r="H825" s="12" t="s">
        <v>5881</v>
      </c>
      <c r="I825" s="12" t="b">
        <f>ISNUMBER(VALUE(LEFT(Customer[[#This Row],[Address Line 3 (30 char)]],1)))</f>
        <v>0</v>
      </c>
      <c r="J825" s="12" t="s">
        <v>242</v>
      </c>
      <c r="K825" s="12">
        <v>31750</v>
      </c>
      <c r="L825" s="12" t="s">
        <v>35</v>
      </c>
      <c r="M825" s="13" t="e">
        <v>#N/A</v>
      </c>
      <c r="N825" s="14" t="e">
        <v>#N/A</v>
      </c>
      <c r="O825" s="14" t="e">
        <v>#N/A</v>
      </c>
      <c r="P825" s="14" t="e">
        <v>#N/A</v>
      </c>
      <c r="Q825" s="19" t="s">
        <v>5882</v>
      </c>
      <c r="R825" s="15" t="s">
        <v>5883</v>
      </c>
      <c r="S825" s="15" t="s">
        <v>37</v>
      </c>
      <c r="T825" s="16" t="s">
        <v>38</v>
      </c>
      <c r="U825" s="11" t="str">
        <f>_xlfn.XLOOKUP(Customer[[#This Row],[Customer ID]],[1]!Address[ID],[1]!Address[Phone No.(2)])</f>
        <v/>
      </c>
      <c r="V825" s="11" t="str">
        <f>_xlfn.XLOOKUP(Customer[[#This Row],[Customer ID]],[1]!Address[ID],[1]!Address[Type])</f>
        <v>PETROMART</v>
      </c>
      <c r="W825" s="11" t="str">
        <f>_xlfn.XLOOKUP(Customer[[#This Row],[Customer ID]],[1]!Address[ID],[1]!Address[CT])</f>
        <v>30 DAYS</v>
      </c>
      <c r="X825" s="11" t="s">
        <v>39</v>
      </c>
      <c r="Y825" s="17" t="s">
        <v>40</v>
      </c>
      <c r="Z825" s="17" t="e">
        <f>_xlfn.XLOOKUP(Customer[[#This Row],[NewType]],$AF$36:$AF$54,$AG$36:$AG$54)</f>
        <v>#N/A</v>
      </c>
      <c r="AA825" s="17" t="s">
        <v>5884</v>
      </c>
      <c r="AB825" s="11" t="str">
        <f>_xlfn.XLOOKUP(Customer[[#This Row],[Customer ID]],[1]!Address[ID],[1]!Address[Subtype])</f>
        <v>PETRONAS</v>
      </c>
      <c r="AC825" s="18" t="str">
        <f>_xlfn.XLOOKUP(Customer[[#This Row],[Customer ID]],[1]!Address[ID],[1]!Address[Zone])</f>
        <v>NORTH</v>
      </c>
    </row>
    <row r="826" spans="1:29" x14ac:dyDescent="0.3">
      <c r="A826" s="10" t="s">
        <v>5885</v>
      </c>
      <c r="B826" s="11" t="str">
        <f>_xlfn.XLOOKUP(Customer[[#This Row],[Customer ID]],[1]!Name[ID],[1]!Name[Description(1)])</f>
        <v>NAZXUMIE ENTERPRISE</v>
      </c>
      <c r="C826" s="11" t="str">
        <f>_xlfn.XLOOKUP(Customer[[#This Row],[Customer ID]],[1]!Name[ID],[1]!Name[Description(2)])</f>
        <v>PS WAKAF BHARU</v>
      </c>
      <c r="D826" s="11" t="str">
        <f>_xlfn.XLOOKUP(Customer[[#This Row],[Customer ID]],[1]!Address[ID],[1]!Address[PIC])</f>
        <v/>
      </c>
      <c r="E826" s="11" t="str">
        <f>_xlfn.XLOOKUP(Customer[[#This Row],[Customer ID]],[1]!Address[ID],[1]!Address[Full Address])</f>
        <v>PS WAKAF BHARULOT PT 36982, HS(M)25510, WAKAF BHARU,MUKIM KUALA NERUS, TERENGGANU, 21300,KUALA TERENGGANU, TERENGGANU</v>
      </c>
      <c r="F826" s="12" t="s">
        <v>5886</v>
      </c>
      <c r="G826" s="12" t="s">
        <v>5887</v>
      </c>
      <c r="H826" s="12" t="s">
        <v>5888</v>
      </c>
      <c r="I826" s="12" t="b">
        <f>ISNUMBER(VALUE(LEFT(Customer[[#This Row],[Address Line 3 (30 char)]],1)))</f>
        <v>0</v>
      </c>
      <c r="J826" s="12" t="s">
        <v>1056</v>
      </c>
      <c r="K826" s="12">
        <v>21300</v>
      </c>
      <c r="L826" s="12" t="s">
        <v>35</v>
      </c>
      <c r="M826" s="13">
        <v>201003058496</v>
      </c>
      <c r="N826" s="14" t="s">
        <v>5889</v>
      </c>
      <c r="O826" s="14" t="s">
        <v>54</v>
      </c>
      <c r="P826" s="14">
        <v>47300</v>
      </c>
      <c r="Q826" s="19" t="s">
        <v>5890</v>
      </c>
      <c r="R826" s="15" t="s">
        <v>5891</v>
      </c>
      <c r="S826" s="15" t="s">
        <v>37</v>
      </c>
      <c r="T826" s="16" t="s">
        <v>38</v>
      </c>
      <c r="U826" s="11" t="str">
        <f>_xlfn.XLOOKUP(Customer[[#This Row],[Customer ID]],[1]!Address[ID],[1]!Address[Phone No.(2)])</f>
        <v/>
      </c>
      <c r="V826" s="11" t="str">
        <f>_xlfn.XLOOKUP(Customer[[#This Row],[Customer ID]],[1]!Address[ID],[1]!Address[Type])</f>
        <v>PETROMART</v>
      </c>
      <c r="W826" s="11" t="str">
        <f>_xlfn.XLOOKUP(Customer[[#This Row],[Customer ID]],[1]!Address[ID],[1]!Address[CT])</f>
        <v>30 DAYS</v>
      </c>
      <c r="X826" s="11" t="s">
        <v>39</v>
      </c>
      <c r="Y826" s="17" t="s">
        <v>40</v>
      </c>
      <c r="Z826" s="17" t="e">
        <f>_xlfn.XLOOKUP(Customer[[#This Row],[NewType]],$AF$36:$AF$54,$AG$36:$AG$54)</f>
        <v>#N/A</v>
      </c>
      <c r="AA826" s="17" t="s">
        <v>5892</v>
      </c>
      <c r="AB826" s="11" t="str">
        <f>_xlfn.XLOOKUP(Customer[[#This Row],[Customer ID]],[1]!Address[ID],[1]!Address[Subtype])</f>
        <v>PETRONAS</v>
      </c>
      <c r="AC826" s="18" t="str">
        <f>_xlfn.XLOOKUP(Customer[[#This Row],[Customer ID]],[1]!Address[ID],[1]!Address[Zone])</f>
        <v>EAST COAST</v>
      </c>
    </row>
    <row r="827" spans="1:29" x14ac:dyDescent="0.3">
      <c r="A827" s="10" t="s">
        <v>5893</v>
      </c>
      <c r="B827" s="11" t="str">
        <f>_xlfn.XLOOKUP(Customer[[#This Row],[Customer ID]],[1]!Name[ID],[1]!Name[Description(1)])</f>
        <v>SMN PETROSERVICE</v>
      </c>
      <c r="C827" s="11" t="str">
        <f>_xlfn.XLOOKUP(Customer[[#This Row],[Customer ID]],[1]!Name[ID],[1]!Name[Description(2)])</f>
        <v>PS WANGSA MELAWATI</v>
      </c>
      <c r="D827" s="11" t="str">
        <f>_xlfn.XLOOKUP(Customer[[#This Row],[Customer ID]],[1]!Address[ID],[1]!Address[PIC])</f>
        <v/>
      </c>
      <c r="E827" s="11" t="str">
        <f>_xlfn.XLOOKUP(Customer[[#This Row],[Customer ID]],[1]!Address[ID],[1]!Address[Full Address])</f>
        <v>PS WANGSA MELAWATILOT 20271 &amp; 20272, WANGSA MELAWATI,JALANHULU KELANG, KUALA LUMPUR, 53300,GOMBAK, W PERSEKUTUAN</v>
      </c>
      <c r="F827" s="12" t="s">
        <v>5894</v>
      </c>
      <c r="G827" s="12" t="s">
        <v>5895</v>
      </c>
      <c r="H827" s="12" t="s">
        <v>5896</v>
      </c>
      <c r="I827" s="12" t="b">
        <f>ISNUMBER(VALUE(LEFT(Customer[[#This Row],[Address Line 3 (30 char)]],1)))</f>
        <v>0</v>
      </c>
      <c r="J827" s="12" t="s">
        <v>1907</v>
      </c>
      <c r="K827" s="12">
        <v>53300</v>
      </c>
      <c r="L827" s="12" t="s">
        <v>35</v>
      </c>
      <c r="M827" s="13" t="e">
        <v>#N/A</v>
      </c>
      <c r="N827" s="14" t="e">
        <v>#N/A</v>
      </c>
      <c r="O827" s="14" t="e">
        <v>#N/A</v>
      </c>
      <c r="P827" s="14" t="e">
        <v>#N/A</v>
      </c>
      <c r="Q827" s="19" t="s">
        <v>5897</v>
      </c>
      <c r="R827" s="15" t="s">
        <v>5898</v>
      </c>
      <c r="S827" s="15" t="s">
        <v>65</v>
      </c>
      <c r="T827" s="16" t="s">
        <v>38</v>
      </c>
      <c r="U827" s="11" t="str">
        <f>_xlfn.XLOOKUP(Customer[[#This Row],[Customer ID]],[1]!Address[ID],[1]!Address[Phone No.(2)])</f>
        <v/>
      </c>
      <c r="V827" s="11" t="str">
        <f>_xlfn.XLOOKUP(Customer[[#This Row],[Customer ID]],[1]!Address[ID],[1]!Address[Type])</f>
        <v>PETROMART</v>
      </c>
      <c r="W827" s="11" t="str">
        <f>_xlfn.XLOOKUP(Customer[[#This Row],[Customer ID]],[1]!Address[ID],[1]!Address[CT])</f>
        <v>30 DAYS</v>
      </c>
      <c r="X827" s="11" t="s">
        <v>39</v>
      </c>
      <c r="Y827" s="17" t="s">
        <v>40</v>
      </c>
      <c r="Z827" s="17" t="e">
        <f>_xlfn.XLOOKUP(Customer[[#This Row],[NewType]],$AF$36:$AF$54,$AG$36:$AG$54)</f>
        <v>#N/A</v>
      </c>
      <c r="AA827" s="17" t="s">
        <v>5899</v>
      </c>
      <c r="AB827" s="11" t="str">
        <f>_xlfn.XLOOKUP(Customer[[#This Row],[Customer ID]],[1]!Address[ID],[1]!Address[Subtype])</f>
        <v>PETRONAS</v>
      </c>
      <c r="AC827" s="18" t="str">
        <f>_xlfn.XLOOKUP(Customer[[#This Row],[Customer ID]],[1]!Address[ID],[1]!Address[Zone])</f>
        <v>CENTRAL</v>
      </c>
    </row>
    <row r="828" spans="1:29" x14ac:dyDescent="0.3">
      <c r="A828" s="10" t="s">
        <v>5900</v>
      </c>
      <c r="B828" s="11" t="str">
        <f>_xlfn.XLOOKUP(Customer[[#This Row],[Customer ID]],[1]!Name[ID],[1]!Name[Description(1)])</f>
        <v>FORTUNE GAIN SDN BHD</v>
      </c>
      <c r="C828" s="11" t="str">
        <f>_xlfn.XLOOKUP(Customer[[#This Row],[Customer ID]],[1]!Name[ID],[1]!Name[Description(2)])</f>
        <v>PS YONG PENG</v>
      </c>
      <c r="D828" s="11" t="str">
        <f>_xlfn.XLOOKUP(Customer[[#This Row],[Customer ID]],[1]!Address[ID],[1]!Address[PIC])</f>
        <v/>
      </c>
      <c r="E828" s="11" t="str">
        <f>_xlfn.XLOOKUP(Customer[[#This Row],[Customer ID]],[1]!Address[ID],[1]!Address[Full Address])</f>
        <v>PS YONG PENGLOT PT 3553, JALAN LABIS,TAMAN TIMOR, YONG PENG, JOHOR</v>
      </c>
      <c r="F828" s="12" t="s">
        <v>5901</v>
      </c>
      <c r="G828" s="12" t="s">
        <v>5902</v>
      </c>
      <c r="H828" s="12" t="s">
        <v>5903</v>
      </c>
      <c r="I828" s="12" t="b">
        <f>ISNUMBER(VALUE(LEFT(Customer[[#This Row],[Address Line 3 (30 char)]],1)))</f>
        <v>0</v>
      </c>
      <c r="J828" s="12" t="s">
        <v>1995</v>
      </c>
      <c r="K828" s="12">
        <v>83700</v>
      </c>
      <c r="L828" s="12" t="s">
        <v>35</v>
      </c>
      <c r="M828" s="13" t="e">
        <v>#N/A</v>
      </c>
      <c r="N828" s="14" t="e">
        <v>#N/A</v>
      </c>
      <c r="O828" s="14" t="e">
        <v>#N/A</v>
      </c>
      <c r="P828" s="14" t="e">
        <v>#N/A</v>
      </c>
      <c r="Q828" s="19" t="s">
        <v>5904</v>
      </c>
      <c r="R828" s="15" t="s">
        <v>5905</v>
      </c>
      <c r="S828" s="15" t="s">
        <v>37</v>
      </c>
      <c r="T828" s="16" t="s">
        <v>38</v>
      </c>
      <c r="U828" s="11" t="str">
        <f>_xlfn.XLOOKUP(Customer[[#This Row],[Customer ID]],[1]!Address[ID],[1]!Address[Phone No.(2)])</f>
        <v/>
      </c>
      <c r="V828" s="11" t="str">
        <f>_xlfn.XLOOKUP(Customer[[#This Row],[Customer ID]],[1]!Address[ID],[1]!Address[Type])</f>
        <v>PETROMART</v>
      </c>
      <c r="W828" s="11" t="str">
        <f>_xlfn.XLOOKUP(Customer[[#This Row],[Customer ID]],[1]!Address[ID],[1]!Address[CT])</f>
        <v>30 DAYS</v>
      </c>
      <c r="X828" s="11" t="s">
        <v>39</v>
      </c>
      <c r="Y828" s="17" t="s">
        <v>40</v>
      </c>
      <c r="Z828" s="17" t="e">
        <f>_xlfn.XLOOKUP(Customer[[#This Row],[NewType]],$AF$36:$AF$54,$AG$36:$AG$54)</f>
        <v>#N/A</v>
      </c>
      <c r="AA828" s="17" t="s">
        <v>5906</v>
      </c>
      <c r="AB828" s="11" t="str">
        <f>_xlfn.XLOOKUP(Customer[[#This Row],[Customer ID]],[1]!Address[ID],[1]!Address[Subtype])</f>
        <v>PETRONAS</v>
      </c>
      <c r="AC828" s="18" t="str">
        <f>_xlfn.XLOOKUP(Customer[[#This Row],[Customer ID]],[1]!Address[ID],[1]!Address[Zone])</f>
        <v>SOUTH</v>
      </c>
    </row>
    <row r="829" spans="1:29" x14ac:dyDescent="0.3">
      <c r="A829" s="37" t="s">
        <v>5907</v>
      </c>
      <c r="B829" s="38" t="str">
        <f>_xlfn.XLOOKUP(Customer[[#This Row],[Customer ID]],[1]!Name[ID],[1]!Name[Description(1)])</f>
        <v>AKN AL IDRUS RESOURCES</v>
      </c>
      <c r="C829" s="38" t="str">
        <f>_xlfn.XLOOKUP(Customer[[#This Row],[Customer ID]],[1]!Name[ID],[1]!Name[Description(2)])</f>
        <v>PS JALAN BAYAM</v>
      </c>
      <c r="D829" s="38" t="str">
        <f>_xlfn.XLOOKUP(Customer[[#This Row],[Customer ID]],[1]!Address[ID],[1]!Address[PIC])</f>
        <v/>
      </c>
      <c r="E829" s="38" t="str">
        <f>_xlfn.XLOOKUP(Customer[[#This Row],[Customer ID]],[1]!Address[ID],[1]!Address[Full Address])</f>
        <v>PS JALAN BAYAMKOTA BHARU, KELANTANLOT 2712, GM1783, JALAN BAYAM, PAYA RAMBAI,MUKIM LANGGAR, 15200,KOTA BHARU,KELANTAN</v>
      </c>
      <c r="F829" s="12" t="s">
        <v>5908</v>
      </c>
      <c r="G829" s="12" t="s">
        <v>5909</v>
      </c>
      <c r="H829" s="12" t="s">
        <v>5910</v>
      </c>
      <c r="I829" s="12" t="b">
        <f>ISNUMBER(VALUE(LEFT(Customer[[#This Row],[Address Line 3 (30 char)]],1)))</f>
        <v>0</v>
      </c>
      <c r="J829" s="12" t="s">
        <v>1007</v>
      </c>
      <c r="K829" s="12">
        <v>15200</v>
      </c>
      <c r="L829" s="12" t="s">
        <v>35</v>
      </c>
      <c r="M829" s="13" t="e">
        <v>#N/A</v>
      </c>
      <c r="N829" s="14" t="e">
        <v>#N/A</v>
      </c>
      <c r="O829" s="14" t="e">
        <v>#N/A</v>
      </c>
      <c r="P829" s="14" t="e">
        <v>#N/A</v>
      </c>
      <c r="Q829" s="19" t="s">
        <v>5911</v>
      </c>
      <c r="R829" s="15" t="s">
        <v>1410</v>
      </c>
      <c r="S829" s="15" t="s">
        <v>37</v>
      </c>
      <c r="T829" s="16" t="s">
        <v>38</v>
      </c>
      <c r="U829" s="11" t="str">
        <f>_xlfn.XLOOKUP(Customer[[#This Row],[Customer ID]],[1]!Address[ID],[1]!Address[Phone No.(2)])</f>
        <v/>
      </c>
      <c r="V829" s="11" t="str">
        <f>_xlfn.XLOOKUP(Customer[[#This Row],[Customer ID]],[1]!Address[ID],[1]!Address[Type])</f>
        <v>PETROMART</v>
      </c>
      <c r="W829" s="11" t="str">
        <f>_xlfn.XLOOKUP(Customer[[#This Row],[Customer ID]],[1]!Address[ID],[1]!Address[CT])</f>
        <v>30 DAYS</v>
      </c>
      <c r="X829" s="11" t="s">
        <v>39</v>
      </c>
      <c r="Y829" s="17" t="s">
        <v>40</v>
      </c>
      <c r="Z829" s="17" t="e">
        <f>_xlfn.XLOOKUP(Customer[[#This Row],[NewType]],$AF$36:$AF$54,$AG$36:$AG$54)</f>
        <v>#N/A</v>
      </c>
      <c r="AA829" s="17" t="s">
        <v>5912</v>
      </c>
      <c r="AB829" s="11" t="str">
        <f>_xlfn.XLOOKUP(Customer[[#This Row],[Customer ID]],[1]!Address[ID],[1]!Address[Subtype])</f>
        <v>PETRONAS</v>
      </c>
      <c r="AC829" s="18" t="str">
        <f>_xlfn.XLOOKUP(Customer[[#This Row],[Customer ID]],[1]!Address[ID],[1]!Address[Zone])</f>
        <v>EAST COAST</v>
      </c>
    </row>
    <row r="830" spans="1:29" x14ac:dyDescent="0.3">
      <c r="A830" s="39" t="s">
        <v>5913</v>
      </c>
      <c r="B830" s="40" t="str">
        <f>_xlfn.XLOOKUP(Customer[[#This Row],[Customer ID]],[1]!Name[ID],[1]!Name[Description(1)])</f>
        <v>24 XPRESS SDN BHD- HQ</v>
      </c>
      <c r="C830" s="38" t="str">
        <f>_xlfn.XLOOKUP(Customer[[#This Row],[Customer ID]],[1]!Name[ID],[1]!Name[Description(2)])</f>
        <v>24 XPRESS SDN BHD (986427-K)</v>
      </c>
      <c r="D830" s="38" t="str">
        <f>_xlfn.XLOOKUP(Customer[[#This Row],[Customer ID]],[1]!Address[ID],[1]!Address[PIC])</f>
        <v/>
      </c>
      <c r="E830" s="38" t="str">
        <f>_xlfn.XLOOKUP(Customer[[#This Row],[Customer ID]],[1]!Address[ID],[1]!Address[Full Address])</f>
        <v>8-G-2S, 8-1-2SKOMPLEKS PULAU MUTIARA</v>
      </c>
      <c r="F830" s="12" t="s">
        <v>5914</v>
      </c>
      <c r="G830" s="12" t="s">
        <v>5915</v>
      </c>
      <c r="H830" s="12" t="s">
        <v>36</v>
      </c>
      <c r="I830" s="12" t="b">
        <f>ISNUMBER(VALUE(LEFT(Customer[[#This Row],[Address Line 3 (30 char)]],1)))</f>
        <v>0</v>
      </c>
      <c r="J830" s="12" t="s">
        <v>179</v>
      </c>
      <c r="K830" s="12">
        <v>10300</v>
      </c>
      <c r="L830" s="12" t="s">
        <v>35</v>
      </c>
      <c r="M830" s="13" t="e">
        <v>#N/A</v>
      </c>
      <c r="N830" s="14" t="e">
        <v>#N/A</v>
      </c>
      <c r="O830" s="14" t="e">
        <v>#N/A</v>
      </c>
      <c r="P830" s="14" t="e">
        <v>#N/A</v>
      </c>
      <c r="Q830" s="14" t="e">
        <v>#N/A</v>
      </c>
      <c r="R830" s="15" t="s">
        <v>5916</v>
      </c>
      <c r="S830" s="15" t="s">
        <v>5917</v>
      </c>
      <c r="T830" s="16" t="s">
        <v>3477</v>
      </c>
      <c r="U830" s="11" t="str">
        <f>_xlfn.XLOOKUP(Customer[[#This Row],[Customer ID]],[1]!Address[ID],[1]!Address[Phone No.(2)])</f>
        <v/>
      </c>
      <c r="V830" s="11" t="str">
        <f>_xlfn.XLOOKUP(Customer[[#This Row],[Customer ID]],[1]!Address[ID],[1]!Address[Type])</f>
        <v>CM</v>
      </c>
      <c r="W830" s="11" t="str">
        <f>_xlfn.XLOOKUP(Customer[[#This Row],[Customer ID]],[1]!Address[ID],[1]!Address[CT])</f>
        <v>30 DAYS</v>
      </c>
      <c r="X830" s="11"/>
      <c r="Y830" s="17" t="s">
        <v>5918</v>
      </c>
      <c r="Z830" s="17" t="e">
        <f>_xlfn.XLOOKUP(Customer[[#This Row],[NewType]],$AF$36:$AF$54,$AG$36:$AG$54)</f>
        <v>#N/A</v>
      </c>
      <c r="AA830" s="17" t="s">
        <v>5919</v>
      </c>
      <c r="AB830" s="11" t="str">
        <f>_xlfn.XLOOKUP(Customer[[#This Row],[Customer ID]],[1]!Address[ID],[1]!Address[Subtype])</f>
        <v>24 XPRESS</v>
      </c>
      <c r="AC830" s="18">
        <f>_xlfn.XLOOKUP(Customer[[#This Row],[Customer ID]],[1]!Address[ID],[1]!Address[Zone])</f>
        <v>0</v>
      </c>
    </row>
    <row r="831" spans="1:29" x14ac:dyDescent="0.3">
      <c r="A831" s="37" t="s">
        <v>5920</v>
      </c>
      <c r="B831" s="38" t="str">
        <f>_xlfn.XLOOKUP(Customer[[#This Row],[Customer ID]],[1]!Name[ID],[1]!Name[Description(1)])</f>
        <v>4 CUPS CAFE</v>
      </c>
      <c r="C831" s="38" t="str">
        <f>_xlfn.XLOOKUP(Customer[[#This Row],[Customer ID]],[1]!Name[ID],[1]!Name[Description(2)])</f>
        <v>A&amp;A FARHANI ENTERPRISE (PLUS)</v>
      </c>
      <c r="D831" s="38" t="str">
        <f>_xlfn.XLOOKUP(Customer[[#This Row],[Customer ID]],[1]!Address[ID],[1]!Address[PIC])</f>
        <v/>
      </c>
      <c r="E831" s="38" t="str">
        <f>_xlfn.XLOOKUP(Customer[[#This Row],[Customer ID]],[1]!Address[ID],[1]!Address[Full Address])</f>
        <v>NO 1 KM209,RSA AYER KEROH ARAH SELATAN75450 AYER KEROH , MELAKA</v>
      </c>
      <c r="F831" s="12" t="s">
        <v>5921</v>
      </c>
      <c r="G831" s="12" t="s">
        <v>5922</v>
      </c>
      <c r="H831" s="24" t="s">
        <v>5923</v>
      </c>
      <c r="I831" s="24" t="b">
        <f>ISNUMBER(VALUE(LEFT(Customer[[#This Row],[Address Line 3 (30 char)]],1)))</f>
        <v>0</v>
      </c>
      <c r="J831" s="12" t="s">
        <v>61</v>
      </c>
      <c r="K831" s="12">
        <v>75450</v>
      </c>
      <c r="L831" s="12" t="s">
        <v>35</v>
      </c>
      <c r="M831" s="13" t="e">
        <v>#N/A</v>
      </c>
      <c r="N831" s="14" t="e">
        <v>#N/A</v>
      </c>
      <c r="O831" s="14" t="e">
        <v>#N/A</v>
      </c>
      <c r="P831" s="14" t="e">
        <v>#N/A</v>
      </c>
      <c r="Q831" s="14" t="e">
        <v>#N/A</v>
      </c>
      <c r="R831" s="15" t="s">
        <v>5924</v>
      </c>
      <c r="S831" s="15" t="s">
        <v>5925</v>
      </c>
      <c r="T831" s="16" t="s">
        <v>3477</v>
      </c>
      <c r="U831" s="11" t="str">
        <f>_xlfn.XLOOKUP(Customer[[#This Row],[Customer ID]],[1]!Address[ID],[1]!Address[Phone No.(2)])</f>
        <v/>
      </c>
      <c r="V831" s="11" t="str">
        <f>_xlfn.XLOOKUP(Customer[[#This Row],[Customer ID]],[1]!Address[ID],[1]!Address[Type])</f>
        <v>CAFE</v>
      </c>
      <c r="W831" s="11" t="str">
        <f>_xlfn.XLOOKUP(Customer[[#This Row],[Customer ID]],[1]!Address[ID],[1]!Address[CT])</f>
        <v>30 DAYS</v>
      </c>
      <c r="X831" s="11"/>
      <c r="Y831" s="17" t="s">
        <v>5926</v>
      </c>
      <c r="Z831" s="17" t="e">
        <f>_xlfn.XLOOKUP(Customer[[#This Row],[NewType]],$AF$36:$AF$54,$AG$36:$AG$54)</f>
        <v>#N/A</v>
      </c>
      <c r="AA831" s="17" t="s">
        <v>5927</v>
      </c>
      <c r="AB831" s="11" t="str">
        <f>_xlfn.XLOOKUP(Customer[[#This Row],[Customer ID]],[1]!Address[ID],[1]!Address[Subtype])</f>
        <v>PLUS</v>
      </c>
      <c r="AC831" s="18" t="str">
        <f>_xlfn.XLOOKUP(Customer[[#This Row],[Customer ID]],[1]!Address[ID],[1]!Address[Zone])</f>
        <v>SOUTH</v>
      </c>
    </row>
    <row r="832" spans="1:29" x14ac:dyDescent="0.3">
      <c r="A832" s="39" t="s">
        <v>5928</v>
      </c>
      <c r="B832" s="40" t="str">
        <f>_xlfn.XLOOKUP(Customer[[#This Row],[Customer ID]],[1]!Name[ID],[1]!Name[Description(1)])</f>
        <v>JADDA TRADING SDN BHD (571752-X)</v>
      </c>
      <c r="C832" s="38" t="str">
        <f>_xlfn.XLOOKUP(Customer[[#This Row],[Customer ID]],[1]!Name[ID],[1]!Name[Description(2)])</f>
        <v/>
      </c>
      <c r="D832" s="38" t="str">
        <f>_xlfn.XLOOKUP(Customer[[#This Row],[Customer ID]],[1]!Address[ID],[1]!Address[PIC])</f>
        <v/>
      </c>
      <c r="E832" s="38" t="str">
        <f>_xlfn.XLOOKUP(Customer[[#This Row],[Customer ID]],[1]!Address[ID],[1]!Address[Full Address])</f>
        <v/>
      </c>
      <c r="F832" s="12" t="s">
        <v>36</v>
      </c>
      <c r="G832" s="12" t="s">
        <v>36</v>
      </c>
      <c r="H832" s="12" t="s">
        <v>36</v>
      </c>
      <c r="I832" s="12" t="b">
        <f>ISNUMBER(VALUE(LEFT(Customer[[#This Row],[Address Line 3 (30 char)]],1)))</f>
        <v>0</v>
      </c>
      <c r="J832" s="12" t="s">
        <v>1907</v>
      </c>
      <c r="K832" s="12">
        <v>43000</v>
      </c>
      <c r="L832" s="12" t="s">
        <v>35</v>
      </c>
      <c r="M832" s="13" t="e">
        <v>#N/A</v>
      </c>
      <c r="N832" s="14" t="e">
        <v>#N/A</v>
      </c>
      <c r="O832" s="14" t="e">
        <v>#N/A</v>
      </c>
      <c r="P832" s="14" t="e">
        <v>#N/A</v>
      </c>
      <c r="Q832" s="14" t="e">
        <v>#N/A</v>
      </c>
      <c r="R832" s="15" t="s">
        <v>36</v>
      </c>
      <c r="S832" s="15" t="s">
        <v>3476</v>
      </c>
      <c r="T832" s="16" t="s">
        <v>3477</v>
      </c>
      <c r="U832" s="11" t="str">
        <f>_xlfn.XLOOKUP(Customer[[#This Row],[Customer ID]],[1]!Address[ID],[1]!Address[Phone No.(2)])</f>
        <v/>
      </c>
      <c r="V832" s="11" t="str">
        <f>_xlfn.XLOOKUP(Customer[[#This Row],[Customer ID]],[1]!Address[ID],[1]!Address[Type])</f>
        <v>CM</v>
      </c>
      <c r="W832" s="11" t="str">
        <f>_xlfn.XLOOKUP(Customer[[#This Row],[Customer ID]],[1]!Address[ID],[1]!Address[CT])</f>
        <v>30 DAYS</v>
      </c>
      <c r="X832" s="11"/>
      <c r="Y832" s="17" t="s">
        <v>5918</v>
      </c>
      <c r="Z832" s="17" t="e">
        <f>_xlfn.XLOOKUP(Customer[[#This Row],[NewType]],$AF$36:$AF$54,$AG$36:$AG$54)</f>
        <v>#N/A</v>
      </c>
      <c r="AA832" s="17" t="s">
        <v>5929</v>
      </c>
      <c r="AB832" s="11" t="str">
        <f>_xlfn.XLOOKUP(Customer[[#This Row],[Customer ID]],[1]!Address[ID],[1]!Address[Subtype])</f>
        <v>THB</v>
      </c>
      <c r="AC832" s="18">
        <f>_xlfn.XLOOKUP(Customer[[#This Row],[Customer ID]],[1]!Address[ID],[1]!Address[Zone])</f>
        <v>0</v>
      </c>
    </row>
    <row r="833" spans="1:29" x14ac:dyDescent="0.3">
      <c r="A833" s="37" t="s">
        <v>5930</v>
      </c>
      <c r="B833" s="38" t="str">
        <f>_xlfn.XLOOKUP(Customer[[#This Row],[Customer ID]],[1]!Name[ID],[1]!Name[Description(1)])</f>
        <v>9599 - CENTRAL DISTRIBUTION CENTRE</v>
      </c>
      <c r="C833" s="38" t="str">
        <f>_xlfn.XLOOKUP(Customer[[#This Row],[Customer ID]],[1]!Name[ID],[1]!Name[Description(2)])</f>
        <v>7-ELEVEN MALAYSIA SDN. BHD.</v>
      </c>
      <c r="D833" s="38" t="str">
        <f>_xlfn.XLOOKUP(Customer[[#This Row],[Customer ID]],[1]!Address[ID],[1]!Address[PIC])</f>
        <v/>
      </c>
      <c r="E833" s="38" t="str">
        <f>_xlfn.XLOOKUP(Customer[[#This Row],[Customer ID]],[1]!Address[ID],[1]!Address[Full Address])</f>
        <v>LOT NO. 1, JALAN U10/99A, 40170, SEKSYEN U10, SHAH ALAM SELANGOR</v>
      </c>
      <c r="F833" s="12" t="s">
        <v>5931</v>
      </c>
      <c r="G833" s="12" t="s">
        <v>5932</v>
      </c>
      <c r="H833" s="41" t="s">
        <v>4488</v>
      </c>
      <c r="I833" s="41" t="b">
        <f>ISNUMBER(VALUE(LEFT(Customer[[#This Row],[Address Line 3 (30 char)]],1)))</f>
        <v>0</v>
      </c>
      <c r="J833" s="12" t="s">
        <v>1907</v>
      </c>
      <c r="K833" s="12">
        <v>40170</v>
      </c>
      <c r="L833" s="12" t="s">
        <v>35</v>
      </c>
      <c r="M833" s="13" t="e">
        <v>#N/A</v>
      </c>
      <c r="N833" s="14" t="e">
        <v>#N/A</v>
      </c>
      <c r="O833" s="14" t="e">
        <v>#N/A</v>
      </c>
      <c r="P833" s="14" t="e">
        <v>#N/A</v>
      </c>
      <c r="Q833" s="14" t="e">
        <v>#N/A</v>
      </c>
      <c r="R833" s="15" t="s">
        <v>5933</v>
      </c>
      <c r="S833" s="15" t="s">
        <v>5934</v>
      </c>
      <c r="T833" s="16" t="s">
        <v>3477</v>
      </c>
      <c r="U833" s="11" t="str">
        <f>_xlfn.XLOOKUP(Customer[[#This Row],[Customer ID]],[1]!Address[ID],[1]!Address[Phone No.(2)])</f>
        <v/>
      </c>
      <c r="V833" s="11" t="str">
        <f>_xlfn.XLOOKUP(Customer[[#This Row],[Customer ID]],[1]!Address[ID],[1]!Address[Type])</f>
        <v>CM</v>
      </c>
      <c r="W833" s="11" t="str">
        <f>_xlfn.XLOOKUP(Customer[[#This Row],[Customer ID]],[1]!Address[ID],[1]!Address[CT])</f>
        <v>90 DAYS</v>
      </c>
      <c r="X833" s="11"/>
      <c r="Y833" s="17" t="s">
        <v>5918</v>
      </c>
      <c r="Z833" s="17" t="e">
        <f>_xlfn.XLOOKUP(Customer[[#This Row],[NewType]],$AF$36:$AF$54,$AG$36:$AG$54)</f>
        <v>#N/A</v>
      </c>
      <c r="AA833" s="17" t="s">
        <v>5935</v>
      </c>
      <c r="AB833" s="11" t="str">
        <f>_xlfn.XLOOKUP(Customer[[#This Row],[Customer ID]],[1]!Address[ID],[1]!Address[Subtype])</f>
        <v>7-ELEVEN</v>
      </c>
      <c r="AC833" s="18" t="str">
        <f>_xlfn.XLOOKUP(Customer[[#This Row],[Customer ID]],[1]!Address[ID],[1]!Address[Zone])</f>
        <v>CENTRAL</v>
      </c>
    </row>
    <row r="834" spans="1:29" x14ac:dyDescent="0.3">
      <c r="A834" s="37" t="s">
        <v>5936</v>
      </c>
      <c r="B834" s="38" t="str">
        <f>_xlfn.XLOOKUP(Customer[[#This Row],[Customer ID]],[1]!Name[ID],[1]!Name[Description(1)])</f>
        <v>9899 - DISTRIBUTION CENTER JB- STORE REC</v>
      </c>
      <c r="C834" s="38" t="str">
        <f>_xlfn.XLOOKUP(Customer[[#This Row],[Customer ID]],[1]!Name[ID],[1]!Name[Description(2)])</f>
        <v>7-ELEVEN MALAYSIA SDN. BHD.</v>
      </c>
      <c r="D834" s="38" t="str">
        <f>_xlfn.XLOOKUP(Customer[[#This Row],[Customer ID]],[1]!Address[ID],[1]!Address[PIC])</f>
        <v/>
      </c>
      <c r="E834" s="38" t="str">
        <f>_xlfn.XLOOKUP(Customer[[#This Row],[Customer ID]],[1]!Address[ID],[1]!Address[Full Address])</f>
        <v>TASCO SENAI SEELONG LOGISTICS CENTRELOT 5646 JALAN SEELONG,81400, JOHOR BAHRU</v>
      </c>
      <c r="F834" s="12" t="s">
        <v>5937</v>
      </c>
      <c r="G834" s="12" t="s">
        <v>5938</v>
      </c>
      <c r="H834" s="12" t="s">
        <v>5939</v>
      </c>
      <c r="I834" s="12" t="b">
        <f>ISNUMBER(VALUE(LEFT(Customer[[#This Row],[Address Line 3 (30 char)]],1)))</f>
        <v>0</v>
      </c>
      <c r="J834" s="12" t="s">
        <v>52</v>
      </c>
      <c r="K834" s="12">
        <v>81400</v>
      </c>
      <c r="L834" s="12" t="s">
        <v>35</v>
      </c>
      <c r="M834" s="13" t="e">
        <v>#N/A</v>
      </c>
      <c r="N834" s="14" t="e">
        <v>#N/A</v>
      </c>
      <c r="O834" s="14" t="e">
        <v>#N/A</v>
      </c>
      <c r="P834" s="14" t="e">
        <v>#N/A</v>
      </c>
      <c r="Q834" s="19" t="s">
        <v>5940</v>
      </c>
      <c r="R834" s="15" t="s">
        <v>5941</v>
      </c>
      <c r="S834" s="15" t="s">
        <v>5934</v>
      </c>
      <c r="T834" s="16" t="s">
        <v>3477</v>
      </c>
      <c r="U834" s="11" t="str">
        <f>_xlfn.XLOOKUP(Customer[[#This Row],[Customer ID]],[1]!Address[ID],[1]!Address[Phone No.(2)])</f>
        <v/>
      </c>
      <c r="V834" s="11" t="str">
        <f>_xlfn.XLOOKUP(Customer[[#This Row],[Customer ID]],[1]!Address[ID],[1]!Address[Type])</f>
        <v>CM</v>
      </c>
      <c r="W834" s="11" t="str">
        <f>_xlfn.XLOOKUP(Customer[[#This Row],[Customer ID]],[1]!Address[ID],[1]!Address[CT])</f>
        <v>90 DAYS</v>
      </c>
      <c r="X834" s="11"/>
      <c r="Y834" s="17" t="s">
        <v>5918</v>
      </c>
      <c r="Z834" s="17" t="e">
        <f>_xlfn.XLOOKUP(Customer[[#This Row],[NewType]],$AF$36:$AF$54,$AG$36:$AG$54)</f>
        <v>#N/A</v>
      </c>
      <c r="AA834" s="17" t="s">
        <v>5942</v>
      </c>
      <c r="AB834" s="11" t="str">
        <f>_xlfn.XLOOKUP(Customer[[#This Row],[Customer ID]],[1]!Address[ID],[1]!Address[Subtype])</f>
        <v>7-ELEVEN</v>
      </c>
      <c r="AC834" s="18" t="str">
        <f>_xlfn.XLOOKUP(Customer[[#This Row],[Customer ID]],[1]!Address[ID],[1]!Address[Zone])</f>
        <v>SOUTH</v>
      </c>
    </row>
    <row r="835" spans="1:29" x14ac:dyDescent="0.3">
      <c r="A835" s="37" t="s">
        <v>5943</v>
      </c>
      <c r="B835" s="38" t="str">
        <f>_xlfn.XLOOKUP(Customer[[#This Row],[Customer ID]],[1]!Name[ID],[1]!Name[Description(1)])</f>
        <v>7-ELEVEN MALAYSIA SDN. BHD.</v>
      </c>
      <c r="C835" s="38" t="str">
        <f>_xlfn.XLOOKUP(Customer[[#This Row],[Customer ID]],[1]!Name[ID],[1]!Name[Description(2)])</f>
        <v>HQ</v>
      </c>
      <c r="D835" s="38" t="str">
        <f>_xlfn.XLOOKUP(Customer[[#This Row],[Customer ID]],[1]!Address[ID],[1]!Address[PIC])</f>
        <v>SITI AISHAH</v>
      </c>
      <c r="E835" s="38" t="str">
        <f>_xlfn.XLOOKUP(Customer[[#This Row],[Customer ID]],[1]!Address[ID],[1]!Address[Full Address])</f>
        <v>08-66, LEVEL 8,BERJAYA TIME SQUARE,NO 1, JALAN IMBI,55100 KUALA LUMPUR</v>
      </c>
      <c r="F835" s="12" t="s">
        <v>5944</v>
      </c>
      <c r="G835" s="12" t="s">
        <v>5945</v>
      </c>
      <c r="H835" s="12" t="s">
        <v>5946</v>
      </c>
      <c r="I835" s="12" t="b">
        <f>ISNUMBER(VALUE(LEFT(Customer[[#This Row],[Address Line 3 (30 char)]],1)))</f>
        <v>0</v>
      </c>
      <c r="J835" s="12" t="s">
        <v>34</v>
      </c>
      <c r="K835" s="12">
        <v>81400</v>
      </c>
      <c r="L835" s="12" t="s">
        <v>35</v>
      </c>
      <c r="M835" s="13">
        <v>198401008445</v>
      </c>
      <c r="N835" s="14" t="s">
        <v>5947</v>
      </c>
      <c r="O835" s="14" t="e">
        <v>#N/A</v>
      </c>
      <c r="P835" s="14" t="e">
        <v>#N/A</v>
      </c>
      <c r="Q835" s="19" t="s">
        <v>5948</v>
      </c>
      <c r="R835" s="15" t="s">
        <v>5933</v>
      </c>
      <c r="S835" s="15" t="s">
        <v>5934</v>
      </c>
      <c r="T835" s="16" t="s">
        <v>3477</v>
      </c>
      <c r="U835" s="11" t="str">
        <f>_xlfn.XLOOKUP(Customer[[#This Row],[Customer ID]],[1]!Address[ID],[1]!Address[Phone No.(2)])</f>
        <v/>
      </c>
      <c r="V835" s="11" t="str">
        <f>_xlfn.XLOOKUP(Customer[[#This Row],[Customer ID]],[1]!Address[ID],[1]!Address[Type])</f>
        <v>CM</v>
      </c>
      <c r="W835" s="11" t="str">
        <f>_xlfn.XLOOKUP(Customer[[#This Row],[Customer ID]],[1]!Address[ID],[1]!Address[CT])</f>
        <v>90 DAYS</v>
      </c>
      <c r="X835" s="11"/>
      <c r="Y835" s="17" t="s">
        <v>5918</v>
      </c>
      <c r="Z835" s="17" t="e">
        <f>_xlfn.XLOOKUP(Customer[[#This Row],[NewType]],$AF$36:$AF$54,$AG$36:$AG$54)</f>
        <v>#N/A</v>
      </c>
      <c r="AA835" s="17" t="s">
        <v>5949</v>
      </c>
      <c r="AB835" s="11" t="str">
        <f>_xlfn.XLOOKUP(Customer[[#This Row],[Customer ID]],[1]!Address[ID],[1]!Address[Subtype])</f>
        <v>7-ELEVEN</v>
      </c>
      <c r="AC835" s="18" t="str">
        <f>_xlfn.XLOOKUP(Customer[[#This Row],[Customer ID]],[1]!Address[ID],[1]!Address[Zone])</f>
        <v>CENTRAL</v>
      </c>
    </row>
    <row r="836" spans="1:29" x14ac:dyDescent="0.3">
      <c r="A836" s="37" t="s">
        <v>5950</v>
      </c>
      <c r="B836" s="38" t="str">
        <f>_xlfn.XLOOKUP(Customer[[#This Row],[Customer ID]],[1]!Name[ID],[1]!Name[Description(1)])</f>
        <v>AA PHARMACY HEALTHCARE SDN BHD (HQ)</v>
      </c>
      <c r="C836" s="38" t="str">
        <f>_xlfn.XLOOKUP(Customer[[#This Row],[Customer ID]],[1]!Name[ID],[1]!Name[Description(2)])</f>
        <v>(1131633P)</v>
      </c>
      <c r="D836" s="38" t="str">
        <f>_xlfn.XLOOKUP(Customer[[#This Row],[Customer ID]],[1]!Address[ID],[1]!Address[PIC])</f>
        <v/>
      </c>
      <c r="E836" s="38" t="str">
        <f>_xlfn.XLOOKUP(Customer[[#This Row],[Customer ID]],[1]!Address[ID],[1]!Address[Full Address])</f>
        <v>NO. 11, JALAN PEMAJU U1/15, SEKSYEN U1,HICOM GLENMARIE INDUSTRIAL PARK,40150 SHAH ALAM,</v>
      </c>
      <c r="F836" s="12" t="s">
        <v>5951</v>
      </c>
      <c r="G836" s="12" t="s">
        <v>5952</v>
      </c>
      <c r="H836" s="12" t="s">
        <v>5953</v>
      </c>
      <c r="I836" s="12" t="b">
        <f>ISNUMBER(VALUE(LEFT(Customer[[#This Row],[Address Line 3 (30 char)]],1)))</f>
        <v>0</v>
      </c>
      <c r="J836" s="12" t="s">
        <v>172</v>
      </c>
      <c r="K836" s="12">
        <v>40150</v>
      </c>
      <c r="L836" s="12" t="s">
        <v>35</v>
      </c>
      <c r="M836" s="13" t="e">
        <v>#N/A</v>
      </c>
      <c r="N836" s="14" t="e">
        <v>#N/A</v>
      </c>
      <c r="O836" s="14" t="e">
        <v>#N/A</v>
      </c>
      <c r="P836" s="14" t="e">
        <v>#N/A</v>
      </c>
      <c r="Q836" s="14" t="e">
        <v>#N/A</v>
      </c>
      <c r="R836" s="15" t="s">
        <v>5954</v>
      </c>
      <c r="S836" s="15" t="s">
        <v>3476</v>
      </c>
      <c r="T836" s="16" t="s">
        <v>3477</v>
      </c>
      <c r="U836" s="11" t="str">
        <f>_xlfn.XLOOKUP(Customer[[#This Row],[Customer ID]],[1]!Address[ID],[1]!Address[Phone No.(2)])</f>
        <v/>
      </c>
      <c r="V836" s="11" t="str">
        <f>_xlfn.XLOOKUP(Customer[[#This Row],[Customer ID]],[1]!Address[ID],[1]!Address[Type])</f>
        <v>PH</v>
      </c>
      <c r="W836" s="11" t="str">
        <f>_xlfn.XLOOKUP(Customer[[#This Row],[Customer ID]],[1]!Address[ID],[1]!Address[CT])</f>
        <v>30 DAYS</v>
      </c>
      <c r="X836" s="11"/>
      <c r="Y836" s="17" t="s">
        <v>5955</v>
      </c>
      <c r="Z836" s="17" t="e">
        <f>_xlfn.XLOOKUP(Customer[[#This Row],[NewType]],$AF$36:$AF$54,$AG$36:$AG$54)</f>
        <v>#N/A</v>
      </c>
      <c r="AA836" s="17" t="s">
        <v>5956</v>
      </c>
      <c r="AB836" s="11" t="str">
        <f>_xlfn.XLOOKUP(Customer[[#This Row],[Customer ID]],[1]!Address[ID],[1]!Address[Subtype])</f>
        <v>AA PHARMACY</v>
      </c>
      <c r="AC836" s="18" t="str">
        <f>_xlfn.XLOOKUP(Customer[[#This Row],[Customer ID]],[1]!Address[ID],[1]!Address[Zone])</f>
        <v>CENTRAL</v>
      </c>
    </row>
    <row r="837" spans="1:29" x14ac:dyDescent="0.3">
      <c r="A837" s="37" t="s">
        <v>5957</v>
      </c>
      <c r="B837" s="38" t="str">
        <f>_xlfn.XLOOKUP(Customer[[#This Row],[Customer ID]],[1]!Name[ID],[1]!Name[Description(1)])</f>
        <v>ADIPOLABS</v>
      </c>
      <c r="C837" s="38" t="str">
        <f>_xlfn.XLOOKUP(Customer[[#This Row],[Customer ID]],[1]!Name[ID],[1]!Name[Description(2)])</f>
        <v>LE MERIDIAN PUTRAJAYA</v>
      </c>
      <c r="D837" s="38" t="str">
        <f>_xlfn.XLOOKUP(Customer[[#This Row],[Customer ID]],[1]!Address[ID],[1]!Address[PIC])</f>
        <v/>
      </c>
      <c r="E837" s="38" t="str">
        <f>_xlfn.XLOOKUP(Customer[[#This Row],[Customer ID]],[1]!Address[ID],[1]!Address[Full Address])</f>
        <v>LEBUH IRC IOI RESORT CITY, 62502 PUTRAJA</v>
      </c>
      <c r="F837" s="12" t="s">
        <v>5958</v>
      </c>
      <c r="G837" s="12" t="s">
        <v>36</v>
      </c>
      <c r="H837" s="12"/>
      <c r="I837" s="12" t="b">
        <f>ISNUMBER(VALUE(LEFT(Customer[[#This Row],[Address Line 3 (30 char)]],1)))</f>
        <v>0</v>
      </c>
      <c r="J837" s="12" t="s">
        <v>4229</v>
      </c>
      <c r="K837" s="12">
        <v>62502</v>
      </c>
      <c r="L837" s="12" t="s">
        <v>35</v>
      </c>
      <c r="M837" s="13" t="e">
        <v>#N/A</v>
      </c>
      <c r="N837" s="14" t="e">
        <v>#N/A</v>
      </c>
      <c r="O837" s="14" t="e">
        <v>#N/A</v>
      </c>
      <c r="P837" s="14" t="e">
        <v>#N/A</v>
      </c>
      <c r="Q837" s="14" t="e">
        <v>#N/A</v>
      </c>
      <c r="R837" s="15" t="s">
        <v>5959</v>
      </c>
      <c r="S837" s="15" t="s">
        <v>3476</v>
      </c>
      <c r="T837" s="16" t="s">
        <v>3477</v>
      </c>
      <c r="U837" s="11" t="str">
        <f>_xlfn.XLOOKUP(Customer[[#This Row],[Customer ID]],[1]!Address[ID],[1]!Address[Phone No.(2)])</f>
        <v/>
      </c>
      <c r="V837" s="11" t="str">
        <f>_xlfn.XLOOKUP(Customer[[#This Row],[Customer ID]],[1]!Address[ID],[1]!Address[Type])</f>
        <v>PH</v>
      </c>
      <c r="W837" s="11" t="str">
        <f>_xlfn.XLOOKUP(Customer[[#This Row],[Customer ID]],[1]!Address[ID],[1]!Address[CT])</f>
        <v>30 DAYS</v>
      </c>
      <c r="X837" s="11"/>
      <c r="Y837" s="17" t="s">
        <v>5955</v>
      </c>
      <c r="Z837" s="17" t="e">
        <f>_xlfn.XLOOKUP(Customer[[#This Row],[NewType]],$AF$36:$AF$54,$AG$36:$AG$54)</f>
        <v>#N/A</v>
      </c>
      <c r="AA837" s="17" t="s">
        <v>5960</v>
      </c>
      <c r="AB837" s="11" t="str">
        <f>_xlfn.XLOOKUP(Customer[[#This Row],[Customer ID]],[1]!Address[ID],[1]!Address[Subtype])</f>
        <v>ADIPOLABS</v>
      </c>
      <c r="AC837" s="18" t="str">
        <f>_xlfn.XLOOKUP(Customer[[#This Row],[Customer ID]],[1]!Address[ID],[1]!Address[Zone])</f>
        <v>CENTRAL</v>
      </c>
    </row>
    <row r="838" spans="1:29" x14ac:dyDescent="0.3">
      <c r="A838" s="37" t="s">
        <v>5961</v>
      </c>
      <c r="B838" s="38" t="str">
        <f>_xlfn.XLOOKUP(Customer[[#This Row],[Customer ID]],[1]!Name[ID],[1]!Name[Description(1)])</f>
        <v>AEON BIG (M) SDN BHD</v>
      </c>
      <c r="C838" s="38" t="str">
        <f>_xlfn.XLOOKUP(Customer[[#This Row],[Customer ID]],[1]!Name[ID],[1]!Name[Description(2)])</f>
        <v>AEON KL RDC</v>
      </c>
      <c r="D838" s="38" t="str">
        <f>_xlfn.XLOOKUP(Customer[[#This Row],[Customer ID]],[1]!Address[ID],[1]!Address[PIC])</f>
        <v>TANG FOO WUEN</v>
      </c>
      <c r="E838" s="38" t="str">
        <f>_xlfn.XLOOKUP(Customer[[#This Row],[Customer ID]],[1]!Address[ID],[1]!Address[Full Address])</f>
        <v>LOT 3, JALAN 6C/12, SEKSYEN 16,43650, BANDAR BARU BANGI SELANGOR DARUL</v>
      </c>
      <c r="F838" s="12" t="s">
        <v>5962</v>
      </c>
      <c r="G838" s="12" t="s">
        <v>5963</v>
      </c>
      <c r="H838" s="12" t="s">
        <v>5964</v>
      </c>
      <c r="I838" s="12" t="b">
        <f>ISNUMBER(VALUE(LEFT(Customer[[#This Row],[Address Line 3 (30 char)]],1)))</f>
        <v>0</v>
      </c>
      <c r="J838" s="12" t="s">
        <v>172</v>
      </c>
      <c r="K838" s="12">
        <v>43650</v>
      </c>
      <c r="L838" s="12" t="s">
        <v>35</v>
      </c>
      <c r="M838" s="13">
        <v>199201011156</v>
      </c>
      <c r="N838" s="14" t="s">
        <v>5965</v>
      </c>
      <c r="O838" s="14" t="e">
        <v>#N/A</v>
      </c>
      <c r="P838" s="14" t="e">
        <v>#N/A</v>
      </c>
      <c r="Q838" s="19" t="s">
        <v>5966</v>
      </c>
      <c r="R838" s="15" t="s">
        <v>5967</v>
      </c>
      <c r="S838" s="15" t="s">
        <v>5934</v>
      </c>
      <c r="T838" s="16" t="s">
        <v>3477</v>
      </c>
      <c r="U838" s="11" t="str">
        <f>_xlfn.XLOOKUP(Customer[[#This Row],[Customer ID]],[1]!Address[ID],[1]!Address[Phone No.(2)])</f>
        <v/>
      </c>
      <c r="V838" s="11" t="str">
        <f>_xlfn.XLOOKUP(Customer[[#This Row],[Customer ID]],[1]!Address[ID],[1]!Address[Type])</f>
        <v>HM</v>
      </c>
      <c r="W838" s="11" t="str">
        <f>_xlfn.XLOOKUP(Customer[[#This Row],[Customer ID]],[1]!Address[ID],[1]!Address[CT])</f>
        <v>60 DAYS</v>
      </c>
      <c r="X838" s="11"/>
      <c r="Y838" s="17" t="s">
        <v>5968</v>
      </c>
      <c r="Z838" s="17" t="e">
        <f>_xlfn.XLOOKUP(Customer[[#This Row],[NewType]],$AF$36:$AF$54,$AG$36:$AG$54)</f>
        <v>#N/A</v>
      </c>
      <c r="AA838" s="17" t="s">
        <v>5969</v>
      </c>
      <c r="AB838" s="11" t="str">
        <f>_xlfn.XLOOKUP(Customer[[#This Row],[Customer ID]],[1]!Address[ID],[1]!Address[Subtype])</f>
        <v>AEON BIG</v>
      </c>
      <c r="AC838" s="18" t="str">
        <f>_xlfn.XLOOKUP(Customer[[#This Row],[Customer ID]],[1]!Address[ID],[1]!Address[Zone])</f>
        <v>CENTRAL</v>
      </c>
    </row>
    <row r="839" spans="1:29" x14ac:dyDescent="0.3">
      <c r="A839" s="37" t="s">
        <v>5970</v>
      </c>
      <c r="B839" s="38" t="str">
        <f>_xlfn.XLOOKUP(Customer[[#This Row],[Customer ID]],[1]!Name[ID],[1]!Name[Description(1)])</f>
        <v>AEON CO. (M) BHD</v>
      </c>
      <c r="C839" s="38" t="str">
        <f>_xlfn.XLOOKUP(Customer[[#This Row],[Customer ID]],[1]!Name[ID],[1]!Name[Description(2)])</f>
        <v>AEON CO. (M) BHD</v>
      </c>
      <c r="D839" s="38" t="str">
        <f>_xlfn.XLOOKUP(Customer[[#This Row],[Customer ID]],[1]!Address[ID],[1]!Address[PIC])</f>
        <v>HASLIZA HASHIM</v>
      </c>
      <c r="E839" s="38" t="str">
        <f>_xlfn.XLOOKUP(Customer[[#This Row],[Customer ID]],[1]!Address[ID],[1]!Address[Full Address])</f>
        <v>LEVEL 3,AEON TAMAN MALURI SHOPPING CENTRE, JALAN55100 CHERAS, SELANGOR</v>
      </c>
      <c r="F839" s="12" t="s">
        <v>5971</v>
      </c>
      <c r="G839" s="12" t="s">
        <v>5972</v>
      </c>
      <c r="H839" s="12" t="s">
        <v>5973</v>
      </c>
      <c r="I839" s="12" t="b">
        <f>ISNUMBER(VALUE(LEFT(Customer[[#This Row],[Address Line 3 (30 char)]],1)))</f>
        <v>0</v>
      </c>
      <c r="J839" s="12" t="s">
        <v>1907</v>
      </c>
      <c r="K839" s="12">
        <v>55100</v>
      </c>
      <c r="L839" s="12" t="s">
        <v>35</v>
      </c>
      <c r="M839" s="13">
        <v>198401014370</v>
      </c>
      <c r="N839" s="14" t="s">
        <v>5974</v>
      </c>
      <c r="O839" s="14" t="e">
        <v>#N/A</v>
      </c>
      <c r="P839" s="14" t="e">
        <v>#N/A</v>
      </c>
      <c r="Q839" s="19" t="s">
        <v>5975</v>
      </c>
      <c r="R839" s="15" t="s">
        <v>5967</v>
      </c>
      <c r="S839" s="15" t="s">
        <v>5934</v>
      </c>
      <c r="T839" s="16" t="s">
        <v>3477</v>
      </c>
      <c r="U839" s="11" t="str">
        <f>_xlfn.XLOOKUP(Customer[[#This Row],[Customer ID]],[1]!Address[ID],[1]!Address[Phone No.(2)])</f>
        <v/>
      </c>
      <c r="V839" s="11" t="str">
        <f>_xlfn.XLOOKUP(Customer[[#This Row],[Customer ID]],[1]!Address[ID],[1]!Address[Type])</f>
        <v>HM</v>
      </c>
      <c r="W839" s="11" t="str">
        <f>_xlfn.XLOOKUP(Customer[[#This Row],[Customer ID]],[1]!Address[ID],[1]!Address[CT])</f>
        <v>60 DAYS</v>
      </c>
      <c r="X839" s="11"/>
      <c r="Y839" s="17" t="s">
        <v>5968</v>
      </c>
      <c r="Z839" s="17" t="e">
        <f>_xlfn.XLOOKUP(Customer[[#This Row],[NewType]],$AF$36:$AF$54,$AG$36:$AG$54)</f>
        <v>#N/A</v>
      </c>
      <c r="AA839" s="17" t="s">
        <v>5976</v>
      </c>
      <c r="AB839" s="11" t="str">
        <f>_xlfn.XLOOKUP(Customer[[#This Row],[Customer ID]],[1]!Address[ID],[1]!Address[Subtype])</f>
        <v>AEON CO</v>
      </c>
      <c r="AC839" s="18" t="str">
        <f>_xlfn.XLOOKUP(Customer[[#This Row],[Customer ID]],[1]!Address[ID],[1]!Address[Zone])</f>
        <v>CENTRAL</v>
      </c>
    </row>
    <row r="840" spans="1:29" x14ac:dyDescent="0.3">
      <c r="A840" s="37" t="s">
        <v>5977</v>
      </c>
      <c r="B840" s="38" t="str">
        <f>_xlfn.XLOOKUP(Customer[[#This Row],[Customer ID]],[1]!Name[ID],[1]!Name[Description(1)])</f>
        <v>AFIENA ENTERPRISE</v>
      </c>
      <c r="C840" s="38" t="str">
        <f>_xlfn.XLOOKUP(Customer[[#This Row],[Customer ID]],[1]!Name[ID],[1]!Name[Description(2)])</f>
        <v>PLUS</v>
      </c>
      <c r="D840" s="38" t="str">
        <f>_xlfn.XLOOKUP(Customer[[#This Row],[Customer ID]],[1]!Address[ID],[1]!Address[PIC])</f>
        <v/>
      </c>
      <c r="E840" s="38" t="str">
        <f>_xlfn.XLOOKUP(Customer[[#This Row],[Customer ID]],[1]!Address[ID],[1]!Address[Full Address])</f>
        <v>NO.4,HENTIAN SIMPANG PULAIARAH SELATANLEBUHRAYA UTARA SELATAN31300 KG.KEPAYANG,PERAK</v>
      </c>
      <c r="F840" s="12" t="s">
        <v>5978</v>
      </c>
      <c r="G840" s="12" t="s">
        <v>5979</v>
      </c>
      <c r="H840" s="12" t="s">
        <v>2573</v>
      </c>
      <c r="I840" s="12" t="b">
        <f>ISNUMBER(VALUE(LEFT(Customer[[#This Row],[Address Line 3 (30 char)]],1)))</f>
        <v>0</v>
      </c>
      <c r="J840" s="12" t="s">
        <v>387</v>
      </c>
      <c r="K840" s="12">
        <v>31300</v>
      </c>
      <c r="L840" s="12" t="s">
        <v>35</v>
      </c>
      <c r="M840" s="13" t="e">
        <v>#N/A</v>
      </c>
      <c r="N840" s="14" t="e">
        <v>#N/A</v>
      </c>
      <c r="O840" s="14" t="e">
        <v>#N/A</v>
      </c>
      <c r="P840" s="14" t="e">
        <v>#N/A</v>
      </c>
      <c r="Q840" s="14" t="e">
        <v>#N/A</v>
      </c>
      <c r="R840" s="15" t="s">
        <v>5980</v>
      </c>
      <c r="S840" s="15" t="s">
        <v>5925</v>
      </c>
      <c r="T840" s="16" t="s">
        <v>3477</v>
      </c>
      <c r="U840" s="11" t="str">
        <f>_xlfn.XLOOKUP(Customer[[#This Row],[Customer ID]],[1]!Address[ID],[1]!Address[Phone No.(2)])</f>
        <v/>
      </c>
      <c r="V840" s="11" t="str">
        <f>_xlfn.XLOOKUP(Customer[[#This Row],[Customer ID]],[1]!Address[ID],[1]!Address[Type])</f>
        <v>CAFE</v>
      </c>
      <c r="W840" s="11" t="str">
        <f>_xlfn.XLOOKUP(Customer[[#This Row],[Customer ID]],[1]!Address[ID],[1]!Address[CT])</f>
        <v>30 DAYS</v>
      </c>
      <c r="X840" s="11"/>
      <c r="Y840" s="17" t="s">
        <v>5926</v>
      </c>
      <c r="Z840" s="17" t="e">
        <f>_xlfn.XLOOKUP(Customer[[#This Row],[NewType]],$AF$36:$AF$54,$AG$36:$AG$54)</f>
        <v>#N/A</v>
      </c>
      <c r="AA840" s="17" t="s">
        <v>5981</v>
      </c>
      <c r="AB840" s="11" t="str">
        <f>_xlfn.XLOOKUP(Customer[[#This Row],[Customer ID]],[1]!Address[ID],[1]!Address[Subtype])</f>
        <v>PLUS</v>
      </c>
      <c r="AC840" s="18" t="str">
        <f>_xlfn.XLOOKUP(Customer[[#This Row],[Customer ID]],[1]!Address[ID],[1]!Address[Zone])</f>
        <v>NORTH</v>
      </c>
    </row>
    <row r="841" spans="1:29" x14ac:dyDescent="0.3">
      <c r="A841" s="37" t="s">
        <v>5982</v>
      </c>
      <c r="B841" s="38" t="str">
        <f>_xlfn.XLOOKUP(Customer[[#This Row],[Customer ID]],[1]!Name[ID],[1]!Name[Description(1)])</f>
        <v>AFNAN MAJU ENTERPRISE</v>
      </c>
      <c r="C841" s="38" t="str">
        <f>_xlfn.XLOOKUP(Customer[[#This Row],[Customer ID]],[1]!Name[ID],[1]!Name[Description(2)])</f>
        <v>PLUS</v>
      </c>
      <c r="D841" s="38" t="str">
        <f>_xlfn.XLOOKUP(Customer[[#This Row],[Customer ID]],[1]!Address[ID],[1]!Address[PIC])</f>
        <v/>
      </c>
      <c r="E841" s="38" t="str">
        <f>_xlfn.XLOOKUP(Customer[[#This Row],[Customer ID]],[1]!Address[ID],[1]!Address[Full Address])</f>
        <v>NO 12,KAWASAN R&amp;R RAWANG ARAH UTARA,LEBUHRAYA UTARA SELATAN,48000 SELANGOR</v>
      </c>
      <c r="F841" s="12" t="s">
        <v>5983</v>
      </c>
      <c r="G841" s="12" t="s">
        <v>5984</v>
      </c>
      <c r="H841" s="12" t="s">
        <v>5985</v>
      </c>
      <c r="I841" s="12" t="b">
        <f>ISNUMBER(VALUE(LEFT(Customer[[#This Row],[Address Line 3 (30 char)]],1)))</f>
        <v>0</v>
      </c>
      <c r="J841" s="12" t="s">
        <v>172</v>
      </c>
      <c r="K841" s="12">
        <v>48000</v>
      </c>
      <c r="L841" s="12" t="s">
        <v>35</v>
      </c>
      <c r="M841" s="13" t="e">
        <v>#N/A</v>
      </c>
      <c r="N841" s="14" t="e">
        <v>#N/A</v>
      </c>
      <c r="O841" s="14" t="e">
        <v>#N/A</v>
      </c>
      <c r="P841" s="14" t="e">
        <v>#N/A</v>
      </c>
      <c r="Q841" s="14" t="e">
        <v>#N/A</v>
      </c>
      <c r="R841" s="15" t="s">
        <v>5986</v>
      </c>
      <c r="S841" s="15" t="s">
        <v>5925</v>
      </c>
      <c r="T841" s="16" t="s">
        <v>3477</v>
      </c>
      <c r="U841" s="11" t="str">
        <f>_xlfn.XLOOKUP(Customer[[#This Row],[Customer ID]],[1]!Address[ID],[1]!Address[Phone No.(2)])</f>
        <v/>
      </c>
      <c r="V841" s="11" t="str">
        <f>_xlfn.XLOOKUP(Customer[[#This Row],[Customer ID]],[1]!Address[ID],[1]!Address[Type])</f>
        <v>CAFE</v>
      </c>
      <c r="W841" s="11" t="str">
        <f>_xlfn.XLOOKUP(Customer[[#This Row],[Customer ID]],[1]!Address[ID],[1]!Address[CT])</f>
        <v>30 DAYS</v>
      </c>
      <c r="X841" s="11"/>
      <c r="Y841" s="17" t="s">
        <v>5926</v>
      </c>
      <c r="Z841" s="17" t="e">
        <f>_xlfn.XLOOKUP(Customer[[#This Row],[NewType]],$AF$36:$AF$54,$AG$36:$AG$54)</f>
        <v>#N/A</v>
      </c>
      <c r="AA841" s="17" t="s">
        <v>5987</v>
      </c>
      <c r="AB841" s="11" t="str">
        <f>_xlfn.XLOOKUP(Customer[[#This Row],[Customer ID]],[1]!Address[ID],[1]!Address[Subtype])</f>
        <v>PLUS</v>
      </c>
      <c r="AC841" s="18" t="str">
        <f>_xlfn.XLOOKUP(Customer[[#This Row],[Customer ID]],[1]!Address[ID],[1]!Address[Zone])</f>
        <v>CENTRAL</v>
      </c>
    </row>
    <row r="842" spans="1:29" x14ac:dyDescent="0.3">
      <c r="A842" s="37" t="s">
        <v>5988</v>
      </c>
      <c r="B842" s="38" t="str">
        <f>_xlfn.XLOOKUP(Customer[[#This Row],[Customer ID]],[1]!Name[ID],[1]!Name[Description(1)])</f>
        <v>AGROBAZAAR (FAMA) NO. 1</v>
      </c>
      <c r="C842" s="38" t="str">
        <f>_xlfn.XLOOKUP(Customer[[#This Row],[Customer ID]],[1]!Name[ID],[1]!Name[Description(2)])</f>
        <v>LAZARIA R&amp;R SEREMBAN UTARA (PLUS)</v>
      </c>
      <c r="D842" s="38" t="str">
        <f>_xlfn.XLOOKUP(Customer[[#This Row],[Customer ID]],[1]!Address[ID],[1]!Address[PIC])</f>
        <v/>
      </c>
      <c r="E842" s="38" t="str">
        <f>_xlfn.XLOOKUP(Customer[[#This Row],[Customer ID]],[1]!Address[ID],[1]!Address[Full Address])</f>
        <v>AGRO BAZAR,NO. 1, R&amp;R SEREMBAN ARAH UTARA,LEBUHRAYA UTARA SELATAN,71900 SEREMBAN, NEGERI SEMBILAN</v>
      </c>
      <c r="F842" s="12" t="s">
        <v>5989</v>
      </c>
      <c r="G842" s="12" t="s">
        <v>5990</v>
      </c>
      <c r="H842" s="12" t="s">
        <v>5985</v>
      </c>
      <c r="I842" s="12" t="b">
        <f>ISNUMBER(VALUE(LEFT(Customer[[#This Row],[Address Line 3 (30 char)]],1)))</f>
        <v>0</v>
      </c>
      <c r="J842" s="12" t="s">
        <v>203</v>
      </c>
      <c r="K842" s="12">
        <v>71900</v>
      </c>
      <c r="L842" s="12" t="s">
        <v>35</v>
      </c>
      <c r="M842" s="13" t="e">
        <v>#N/A</v>
      </c>
      <c r="N842" s="14" t="e">
        <v>#N/A</v>
      </c>
      <c r="O842" s="14" t="e">
        <v>#N/A</v>
      </c>
      <c r="P842" s="14" t="e">
        <v>#N/A</v>
      </c>
      <c r="Q842" s="14" t="e">
        <v>#N/A</v>
      </c>
      <c r="R842" s="15" t="s">
        <v>5991</v>
      </c>
      <c r="S842" s="15" t="s">
        <v>5925</v>
      </c>
      <c r="T842" s="16" t="s">
        <v>3477</v>
      </c>
      <c r="U842" s="11" t="str">
        <f>_xlfn.XLOOKUP(Customer[[#This Row],[Customer ID]],[1]!Address[ID],[1]!Address[Phone No.(2)])</f>
        <v/>
      </c>
      <c r="V842" s="11" t="str">
        <f>_xlfn.XLOOKUP(Customer[[#This Row],[Customer ID]],[1]!Address[ID],[1]!Address[Type])</f>
        <v>CAFE</v>
      </c>
      <c r="W842" s="11" t="str">
        <f>_xlfn.XLOOKUP(Customer[[#This Row],[Customer ID]],[1]!Address[ID],[1]!Address[CT])</f>
        <v>30 DAYS</v>
      </c>
      <c r="X842" s="11"/>
      <c r="Y842" s="17" t="s">
        <v>5926</v>
      </c>
      <c r="Z842" s="17" t="e">
        <f>_xlfn.XLOOKUP(Customer[[#This Row],[NewType]],$AF$36:$AF$54,$AG$36:$AG$54)</f>
        <v>#N/A</v>
      </c>
      <c r="AA842" s="17" t="s">
        <v>5992</v>
      </c>
      <c r="AB842" s="11" t="str">
        <f>_xlfn.XLOOKUP(Customer[[#This Row],[Customer ID]],[1]!Address[ID],[1]!Address[Subtype])</f>
        <v>PLUS</v>
      </c>
      <c r="AC842" s="18" t="str">
        <f>_xlfn.XLOOKUP(Customer[[#This Row],[Customer ID]],[1]!Address[ID],[1]!Address[Zone])</f>
        <v>SOUTH</v>
      </c>
    </row>
    <row r="843" spans="1:29" x14ac:dyDescent="0.3">
      <c r="A843" s="37" t="s">
        <v>5993</v>
      </c>
      <c r="B843" s="38" t="str">
        <f>_xlfn.XLOOKUP(Customer[[#This Row],[Customer ID]],[1]!Name[ID],[1]!Name[Description(1)])</f>
        <v>AIDA TEGUH UTARA ENTERPRISE</v>
      </c>
      <c r="C843" s="38" t="str">
        <f>_xlfn.XLOOKUP(Customer[[#This Row],[Customer ID]],[1]!Name[ID],[1]!Name[Description(2)])</f>
        <v>PLUS</v>
      </c>
      <c r="D843" s="38" t="str">
        <f>_xlfn.XLOOKUP(Customer[[#This Row],[Customer ID]],[1]!Address[ID],[1]!Address[PIC])</f>
        <v/>
      </c>
      <c r="E843" s="38" t="str">
        <f>_xlfn.XLOOKUP(Customer[[#This Row],[Customer ID]],[1]!Address[ID],[1]!Address[Full Address])</f>
        <v>NO 2 DATARAN GURUN (ARAH UTARA)LEBUHRAYA UTARA SELATAN 08300 GURUN SELA</v>
      </c>
      <c r="F843" s="12" t="s">
        <v>5994</v>
      </c>
      <c r="G843" s="12" t="s">
        <v>5995</v>
      </c>
      <c r="H843" s="12" t="s">
        <v>5996</v>
      </c>
      <c r="I843" s="12" t="b">
        <f>ISNUMBER(VALUE(LEFT(Customer[[#This Row],[Address Line 3 (30 char)]],1)))</f>
        <v>0</v>
      </c>
      <c r="J843" s="12" t="s">
        <v>355</v>
      </c>
      <c r="K843" s="42" t="s">
        <v>5997</v>
      </c>
      <c r="L843" s="12" t="s">
        <v>35</v>
      </c>
      <c r="M843" s="13" t="e">
        <v>#N/A</v>
      </c>
      <c r="N843" s="14" t="e">
        <v>#N/A</v>
      </c>
      <c r="O843" s="14" t="e">
        <v>#N/A</v>
      </c>
      <c r="P843" s="14" t="e">
        <v>#N/A</v>
      </c>
      <c r="Q843" s="14" t="e">
        <v>#N/A</v>
      </c>
      <c r="R843" s="15" t="s">
        <v>5998</v>
      </c>
      <c r="S843" s="15" t="s">
        <v>5925</v>
      </c>
      <c r="T843" s="16" t="s">
        <v>3477</v>
      </c>
      <c r="U843" s="11" t="str">
        <f>_xlfn.XLOOKUP(Customer[[#This Row],[Customer ID]],[1]!Address[ID],[1]!Address[Phone No.(2)])</f>
        <v/>
      </c>
      <c r="V843" s="11" t="str">
        <f>_xlfn.XLOOKUP(Customer[[#This Row],[Customer ID]],[1]!Address[ID],[1]!Address[Type])</f>
        <v>CAFE</v>
      </c>
      <c r="W843" s="11" t="str">
        <f>_xlfn.XLOOKUP(Customer[[#This Row],[Customer ID]],[1]!Address[ID],[1]!Address[CT])</f>
        <v>30 DAYS</v>
      </c>
      <c r="X843" s="11"/>
      <c r="Y843" s="17" t="s">
        <v>5926</v>
      </c>
      <c r="Z843" s="17" t="e">
        <f>_xlfn.XLOOKUP(Customer[[#This Row],[NewType]],$AF$36:$AF$54,$AG$36:$AG$54)</f>
        <v>#N/A</v>
      </c>
      <c r="AA843" s="17" t="s">
        <v>5999</v>
      </c>
      <c r="AB843" s="11" t="str">
        <f>_xlfn.XLOOKUP(Customer[[#This Row],[Customer ID]],[1]!Address[ID],[1]!Address[Subtype])</f>
        <v>PLUS</v>
      </c>
      <c r="AC843" s="18" t="str">
        <f>_xlfn.XLOOKUP(Customer[[#This Row],[Customer ID]],[1]!Address[ID],[1]!Address[Zone])</f>
        <v>NORTH</v>
      </c>
    </row>
    <row r="844" spans="1:29" x14ac:dyDescent="0.3">
      <c r="A844" s="37" t="s">
        <v>6000</v>
      </c>
      <c r="B844" s="38" t="str">
        <f>_xlfn.XLOOKUP(Customer[[#This Row],[Customer ID]],[1]!Name[ID],[1]!Name[Description(1)])</f>
        <v>AHMAD YANI BIN AMINUDDIN</v>
      </c>
      <c r="C844" s="38" t="str">
        <f>_xlfn.XLOOKUP(Customer[[#This Row],[Customer ID]],[1]!Name[ID],[1]!Name[Description(2)])</f>
        <v>PLUS</v>
      </c>
      <c r="D844" s="38" t="str">
        <f>_xlfn.XLOOKUP(Customer[[#This Row],[Customer ID]],[1]!Address[ID],[1]!Address[PIC])</f>
        <v/>
      </c>
      <c r="E844" s="38" t="str">
        <f>_xlfn.XLOOKUP(Customer[[#This Row],[Customer ID]],[1]!Address[ID],[1]!Address[Full Address])</f>
        <v>GERAI 17 HENTIAN SEBELAH BUKIT GANTANG A</v>
      </c>
      <c r="F844" s="12" t="s">
        <v>6001</v>
      </c>
      <c r="G844" s="12" t="s">
        <v>6002</v>
      </c>
      <c r="H844" s="12" t="s">
        <v>6003</v>
      </c>
      <c r="I844" s="12" t="b">
        <f>ISNUMBER(VALUE(LEFT(Customer[[#This Row],[Address Line 3 (30 char)]],1)))</f>
        <v>0</v>
      </c>
      <c r="J844" s="12" t="s">
        <v>242</v>
      </c>
      <c r="K844" s="12">
        <v>34850</v>
      </c>
      <c r="L844" s="12" t="s">
        <v>35</v>
      </c>
      <c r="M844" s="13" t="e">
        <v>#N/A</v>
      </c>
      <c r="N844" s="14" t="e">
        <v>#N/A</v>
      </c>
      <c r="O844" s="14" t="e">
        <v>#N/A</v>
      </c>
      <c r="P844" s="14" t="e">
        <v>#N/A</v>
      </c>
      <c r="Q844" s="14" t="e">
        <v>#N/A</v>
      </c>
      <c r="R844" s="15" t="s">
        <v>6004</v>
      </c>
      <c r="S844" s="15" t="s">
        <v>5925</v>
      </c>
      <c r="T844" s="16" t="s">
        <v>3477</v>
      </c>
      <c r="U844" s="11" t="str">
        <f>_xlfn.XLOOKUP(Customer[[#This Row],[Customer ID]],[1]!Address[ID],[1]!Address[Phone No.(2)])</f>
        <v/>
      </c>
      <c r="V844" s="11" t="str">
        <f>_xlfn.XLOOKUP(Customer[[#This Row],[Customer ID]],[1]!Address[ID],[1]!Address[Type])</f>
        <v>CAFE</v>
      </c>
      <c r="W844" s="11" t="str">
        <f>_xlfn.XLOOKUP(Customer[[#This Row],[Customer ID]],[1]!Address[ID],[1]!Address[CT])</f>
        <v>30 DAYS</v>
      </c>
      <c r="X844" s="11"/>
      <c r="Y844" s="17" t="s">
        <v>5926</v>
      </c>
      <c r="Z844" s="17" t="e">
        <f>_xlfn.XLOOKUP(Customer[[#This Row],[NewType]],$AF$36:$AF$54,$AG$36:$AG$54)</f>
        <v>#N/A</v>
      </c>
      <c r="AA844" s="17" t="s">
        <v>6005</v>
      </c>
      <c r="AB844" s="11" t="str">
        <f>_xlfn.XLOOKUP(Customer[[#This Row],[Customer ID]],[1]!Address[ID],[1]!Address[Subtype])</f>
        <v>PLUS</v>
      </c>
      <c r="AC844" s="18" t="str">
        <f>_xlfn.XLOOKUP(Customer[[#This Row],[Customer ID]],[1]!Address[ID],[1]!Address[Zone])</f>
        <v>NORTH</v>
      </c>
    </row>
    <row r="845" spans="1:29" x14ac:dyDescent="0.3">
      <c r="A845" s="37" t="s">
        <v>6006</v>
      </c>
      <c r="B845" s="38" t="str">
        <f>_xlfn.XLOOKUP(Customer[[#This Row],[Customer ID]],[1]!Name[ID],[1]!Name[Description(1)])</f>
        <v>AIDCARE PHARMACY</v>
      </c>
      <c r="C845" s="38" t="str">
        <f>_xlfn.XLOOKUP(Customer[[#This Row],[Customer ID]],[1]!Name[ID],[1]!Name[Description(2)])</f>
        <v/>
      </c>
      <c r="D845" s="38" t="str">
        <f>_xlfn.XLOOKUP(Customer[[#This Row],[Customer ID]],[1]!Address[ID],[1]!Address[PIC])</f>
        <v/>
      </c>
      <c r="E845" s="38" t="str">
        <f>_xlfn.XLOOKUP(Customer[[#This Row],[Customer ID]],[1]!Address[ID],[1]!Address[Full Address])</f>
        <v>NO. 26-G, JALAN AMAN SINARIA 6BANDAR TROPICANA AMANTELOK PANGLIMA GARANG SELANGOR, 42500 SE</v>
      </c>
      <c r="F845" s="12" t="s">
        <v>6007</v>
      </c>
      <c r="G845" s="12" t="s">
        <v>6008</v>
      </c>
      <c r="H845" s="12" t="s">
        <v>6009</v>
      </c>
      <c r="I845" s="12" t="b">
        <f>ISNUMBER(VALUE(LEFT(Customer[[#This Row],[Address Line 3 (30 char)]],1)))</f>
        <v>0</v>
      </c>
      <c r="J845" s="12" t="s">
        <v>1907</v>
      </c>
      <c r="K845" s="12">
        <v>42500</v>
      </c>
      <c r="L845" s="12" t="s">
        <v>35</v>
      </c>
      <c r="M845" s="13" t="e">
        <v>#N/A</v>
      </c>
      <c r="N845" s="14" t="e">
        <v>#N/A</v>
      </c>
      <c r="O845" s="14" t="e">
        <v>#N/A</v>
      </c>
      <c r="P845" s="14" t="e">
        <v>#N/A</v>
      </c>
      <c r="Q845" s="14" t="e">
        <v>#N/A</v>
      </c>
      <c r="R845" s="15" t="s">
        <v>36</v>
      </c>
      <c r="S845" s="15" t="s">
        <v>3476</v>
      </c>
      <c r="T845" s="16" t="s">
        <v>3477</v>
      </c>
      <c r="U845" s="11" t="str">
        <f>_xlfn.XLOOKUP(Customer[[#This Row],[Customer ID]],[1]!Address[ID],[1]!Address[Phone No.(2)])</f>
        <v/>
      </c>
      <c r="V845" s="11" t="str">
        <f>_xlfn.XLOOKUP(Customer[[#This Row],[Customer ID]],[1]!Address[ID],[1]!Address[Type])</f>
        <v>PH</v>
      </c>
      <c r="W845" s="11" t="str">
        <f>_xlfn.XLOOKUP(Customer[[#This Row],[Customer ID]],[1]!Address[ID],[1]!Address[CT])</f>
        <v>30 DAYS</v>
      </c>
      <c r="X845" s="11"/>
      <c r="Y845" s="17" t="s">
        <v>5955</v>
      </c>
      <c r="Z845" s="17" t="e">
        <f>_xlfn.XLOOKUP(Customer[[#This Row],[NewType]],$AF$36:$AF$54,$AG$36:$AG$54)</f>
        <v>#N/A</v>
      </c>
      <c r="AA845" s="17" t="s">
        <v>6010</v>
      </c>
      <c r="AB845" s="11" t="str">
        <f>_xlfn.XLOOKUP(Customer[[#This Row],[Customer ID]],[1]!Address[ID],[1]!Address[Subtype])</f>
        <v>AIDCARE PH</v>
      </c>
      <c r="AC845" s="18" t="str">
        <f>_xlfn.XLOOKUP(Customer[[#This Row],[Customer ID]],[1]!Address[ID],[1]!Address[Zone])</f>
        <v>CENTRAL</v>
      </c>
    </row>
    <row r="846" spans="1:29" x14ac:dyDescent="0.3">
      <c r="A846" s="37" t="s">
        <v>6011</v>
      </c>
      <c r="B846" s="38" t="str">
        <f>_xlfn.XLOOKUP(Customer[[#This Row],[Customer ID]],[1]!Name[ID],[1]!Name[Description(1)])</f>
        <v>AL-QANAAH PHARMACY SDN BHD</v>
      </c>
      <c r="C846" s="38" t="str">
        <f>_xlfn.XLOOKUP(Customer[[#This Row],[Customer ID]],[1]!Name[ID],[1]!Name[Description(2)])</f>
        <v/>
      </c>
      <c r="D846" s="38" t="str">
        <f>_xlfn.XLOOKUP(Customer[[#This Row],[Customer ID]],[1]!Address[ID],[1]!Address[PIC])</f>
        <v/>
      </c>
      <c r="E846" s="38" t="str">
        <f>_xlfn.XLOOKUP(Customer[[#This Row],[Customer ID]],[1]!Address[ID],[1]!Address[Full Address])</f>
        <v>NO. 30A, JALAN BELATUK 4 TAMAN SCIENTEX81700 PASIR GUDANG, JOHOR</v>
      </c>
      <c r="F846" s="12" t="s">
        <v>6012</v>
      </c>
      <c r="G846" s="12" t="s">
        <v>6013</v>
      </c>
      <c r="H846" s="24" t="s">
        <v>3772</v>
      </c>
      <c r="I846" s="24" t="b">
        <f>ISNUMBER(VALUE(LEFT(Customer[[#This Row],[Address Line 3 (30 char)]],1)))</f>
        <v>0</v>
      </c>
      <c r="J846" s="12" t="s">
        <v>52</v>
      </c>
      <c r="K846" s="12">
        <v>81700</v>
      </c>
      <c r="L846" s="12" t="s">
        <v>35</v>
      </c>
      <c r="M846" s="13" t="e">
        <v>#N/A</v>
      </c>
      <c r="N846" s="14" t="e">
        <v>#N/A</v>
      </c>
      <c r="O846" s="14" t="e">
        <v>#N/A</v>
      </c>
      <c r="P846" s="14" t="e">
        <v>#N/A</v>
      </c>
      <c r="Q846" s="14" t="e">
        <v>#N/A</v>
      </c>
      <c r="R846" s="15" t="s">
        <v>6014</v>
      </c>
      <c r="S846" s="15" t="s">
        <v>3476</v>
      </c>
      <c r="T846" s="16" t="s">
        <v>3477</v>
      </c>
      <c r="U846" s="11" t="str">
        <f>_xlfn.XLOOKUP(Customer[[#This Row],[Customer ID]],[1]!Address[ID],[1]!Address[Phone No.(2)])</f>
        <v/>
      </c>
      <c r="V846" s="11" t="str">
        <f>_xlfn.XLOOKUP(Customer[[#This Row],[Customer ID]],[1]!Address[ID],[1]!Address[Type])</f>
        <v>PH</v>
      </c>
      <c r="W846" s="11" t="str">
        <f>_xlfn.XLOOKUP(Customer[[#This Row],[Customer ID]],[1]!Address[ID],[1]!Address[CT])</f>
        <v>30 DAYS</v>
      </c>
      <c r="X846" s="11"/>
      <c r="Y846" s="17" t="s">
        <v>5955</v>
      </c>
      <c r="Z846" s="17" t="e">
        <f>_xlfn.XLOOKUP(Customer[[#This Row],[NewType]],$AF$36:$AF$54,$AG$36:$AG$54)</f>
        <v>#N/A</v>
      </c>
      <c r="AA846" s="17" t="s">
        <v>6015</v>
      </c>
      <c r="AB846" s="11" t="str">
        <f>_xlfn.XLOOKUP(Customer[[#This Row],[Customer ID]],[1]!Address[ID],[1]!Address[Subtype])</f>
        <v>QANAAH PH</v>
      </c>
      <c r="AC846" s="18" t="str">
        <f>_xlfn.XLOOKUP(Customer[[#This Row],[Customer ID]],[1]!Address[ID],[1]!Address[Zone])</f>
        <v>SOUTH</v>
      </c>
    </row>
    <row r="847" spans="1:29" x14ac:dyDescent="0.3">
      <c r="A847" s="37" t="s">
        <v>6016</v>
      </c>
      <c r="B847" s="38" t="str">
        <f>_xlfn.XLOOKUP(Customer[[#This Row],[Customer ID]],[1]!Name[ID],[1]!Name[Description(1)])</f>
        <v>AMAL SERBANIKA</v>
      </c>
      <c r="C847" s="38" t="str">
        <f>_xlfn.XLOOKUP(Customer[[#This Row],[Customer ID]],[1]!Name[ID],[1]!Name[Description(2)])</f>
        <v>PLUS</v>
      </c>
      <c r="D847" s="38" t="str">
        <f>_xlfn.XLOOKUP(Customer[[#This Row],[Customer ID]],[1]!Address[ID],[1]!Address[PIC])</f>
        <v/>
      </c>
      <c r="E847" s="38" t="str">
        <f>_xlfn.XLOOKUP(Customer[[#This Row],[Customer ID]],[1]!Address[ID],[1]!Address[Full Address])</f>
        <v>RESTORAN JEJANTAS SUNGAI BULOH,S09 ARAH UTARA,LEBUHRAYA UTARA - SELATAN47000 SUNGAI BULOH, SELANGOR</v>
      </c>
      <c r="F847" s="12" t="s">
        <v>6017</v>
      </c>
      <c r="G847" s="12" t="s">
        <v>6018</v>
      </c>
      <c r="H847" s="12" t="s">
        <v>6019</v>
      </c>
      <c r="I847" s="12" t="b">
        <f>ISNUMBER(VALUE(LEFT(Customer[[#This Row],[Address Line 3 (30 char)]],1)))</f>
        <v>0</v>
      </c>
      <c r="J847" s="12" t="s">
        <v>172</v>
      </c>
      <c r="K847" s="12">
        <v>47000</v>
      </c>
      <c r="L847" s="12" t="s">
        <v>35</v>
      </c>
      <c r="M847" s="13" t="e">
        <v>#N/A</v>
      </c>
      <c r="N847" s="14" t="e">
        <v>#N/A</v>
      </c>
      <c r="O847" s="14" t="e">
        <v>#N/A</v>
      </c>
      <c r="P847" s="14" t="e">
        <v>#N/A</v>
      </c>
      <c r="Q847" s="14" t="e">
        <v>#N/A</v>
      </c>
      <c r="R847" s="15" t="s">
        <v>6020</v>
      </c>
      <c r="S847" s="15" t="s">
        <v>5925</v>
      </c>
      <c r="T847" s="16" t="s">
        <v>3477</v>
      </c>
      <c r="U847" s="11" t="str">
        <f>_xlfn.XLOOKUP(Customer[[#This Row],[Customer ID]],[1]!Address[ID],[1]!Address[Phone No.(2)])</f>
        <v/>
      </c>
      <c r="V847" s="11" t="str">
        <f>_xlfn.XLOOKUP(Customer[[#This Row],[Customer ID]],[1]!Address[ID],[1]!Address[Type])</f>
        <v>CAFE</v>
      </c>
      <c r="W847" s="11" t="str">
        <f>_xlfn.XLOOKUP(Customer[[#This Row],[Customer ID]],[1]!Address[ID],[1]!Address[CT])</f>
        <v>30 DAYS</v>
      </c>
      <c r="X847" s="11"/>
      <c r="Y847" s="17" t="s">
        <v>5926</v>
      </c>
      <c r="Z847" s="17" t="e">
        <f>_xlfn.XLOOKUP(Customer[[#This Row],[NewType]],$AF$36:$AF$54,$AG$36:$AG$54)</f>
        <v>#N/A</v>
      </c>
      <c r="AA847" s="17" t="s">
        <v>6021</v>
      </c>
      <c r="AB847" s="11" t="str">
        <f>_xlfn.XLOOKUP(Customer[[#This Row],[Customer ID]],[1]!Address[ID],[1]!Address[Subtype])</f>
        <v>PLUS</v>
      </c>
      <c r="AC847" s="18" t="str">
        <f>_xlfn.XLOOKUP(Customer[[#This Row],[Customer ID]],[1]!Address[ID],[1]!Address[Zone])</f>
        <v>CENTRAL</v>
      </c>
    </row>
    <row r="848" spans="1:29" x14ac:dyDescent="0.3">
      <c r="A848" s="37" t="s">
        <v>6022</v>
      </c>
      <c r="B848" s="38" t="str">
        <f>_xlfn.XLOOKUP(Customer[[#This Row],[Customer ID]],[1]!Name[ID],[1]!Name[Description(1)])</f>
        <v>AMVERTON COVE GOLF &amp; ISLAND RESORT SDN B</v>
      </c>
      <c r="C848" s="38" t="str">
        <f>_xlfn.XLOOKUP(Customer[[#This Row],[Customer ID]],[1]!Name[ID],[1]!Name[Description(2)])</f>
        <v/>
      </c>
      <c r="D848" s="38" t="str">
        <f>_xlfn.XLOOKUP(Customer[[#This Row],[Customer ID]],[1]!Address[ID],[1]!Address[PIC])</f>
        <v/>
      </c>
      <c r="E848" s="38" t="str">
        <f>_xlfn.XLOOKUP(Customer[[#This Row],[Customer ID]],[1]!Address[ID],[1]!Address[Full Address])</f>
        <v>PT 673, JALAN PULAU CAREY, MUKIM JUGRA,42960 PULAU CAREY, SELANGOR DARUL EHSAN.</v>
      </c>
      <c r="F848" s="12" t="s">
        <v>6023</v>
      </c>
      <c r="G848" s="12" t="s">
        <v>6024</v>
      </c>
      <c r="H848" s="12" t="s">
        <v>6025</v>
      </c>
      <c r="I848" s="12" t="b">
        <f>ISNUMBER(VALUE(LEFT(Customer[[#This Row],[Address Line 3 (30 char)]],1)))</f>
        <v>0</v>
      </c>
      <c r="J848" s="12" t="s">
        <v>1907</v>
      </c>
      <c r="K848" s="12">
        <v>42960</v>
      </c>
      <c r="L848" s="12" t="s">
        <v>35</v>
      </c>
      <c r="M848" s="13" t="e">
        <v>#N/A</v>
      </c>
      <c r="N848" s="14" t="e">
        <v>#N/A</v>
      </c>
      <c r="O848" s="14" t="e">
        <v>#N/A</v>
      </c>
      <c r="P848" s="14" t="e">
        <v>#N/A</v>
      </c>
      <c r="Q848" s="19" t="s">
        <v>6026</v>
      </c>
      <c r="R848" s="15" t="s">
        <v>6027</v>
      </c>
      <c r="S848" s="15" t="s">
        <v>5934</v>
      </c>
      <c r="T848" s="16" t="s">
        <v>3477</v>
      </c>
      <c r="U848" s="11" t="str">
        <f>_xlfn.XLOOKUP(Customer[[#This Row],[Customer ID]],[1]!Address[ID],[1]!Address[Phone No.(2)])</f>
        <v/>
      </c>
      <c r="V848" s="11" t="str">
        <f>_xlfn.XLOOKUP(Customer[[#This Row],[Customer ID]],[1]!Address[ID],[1]!Address[Type])</f>
        <v>HOCA</v>
      </c>
      <c r="W848" s="11" t="str">
        <f>_xlfn.XLOOKUP(Customer[[#This Row],[Customer ID]],[1]!Address[ID],[1]!Address[CT])</f>
        <v>30 DAYS</v>
      </c>
      <c r="X848" s="11"/>
      <c r="Y848" s="17" t="s">
        <v>6028</v>
      </c>
      <c r="Z848" s="17" t="e">
        <f>_xlfn.XLOOKUP(Customer[[#This Row],[NewType]],$AF$36:$AF$54,$AG$36:$AG$54)</f>
        <v>#N/A</v>
      </c>
      <c r="AA848" s="17" t="s">
        <v>6029</v>
      </c>
      <c r="AB848" s="11" t="str">
        <f>_xlfn.XLOOKUP(Customer[[#This Row],[Customer ID]],[1]!Address[ID],[1]!Address[Subtype])</f>
        <v>AMVERTON</v>
      </c>
      <c r="AC848" s="18" t="str">
        <f>_xlfn.XLOOKUP(Customer[[#This Row],[Customer ID]],[1]!Address[ID],[1]!Address[Zone])</f>
        <v>CENTRAL</v>
      </c>
    </row>
    <row r="849" spans="1:29" x14ac:dyDescent="0.3">
      <c r="A849" s="37" t="s">
        <v>6030</v>
      </c>
      <c r="B849" s="38" t="str">
        <f>_xlfn.XLOOKUP(Customer[[#This Row],[Customer ID]],[1]!Name[ID],[1]!Name[Description(1)])</f>
        <v>AN-NUR REZEKI</v>
      </c>
      <c r="C849" s="38" t="str">
        <f>_xlfn.XLOOKUP(Customer[[#This Row],[Customer ID]],[1]!Name[ID],[1]!Name[Description(2)])</f>
        <v>PLUS</v>
      </c>
      <c r="D849" s="38" t="str">
        <f>_xlfn.XLOOKUP(Customer[[#This Row],[Customer ID]],[1]!Address[ID],[1]!Address[PIC])</f>
        <v/>
      </c>
      <c r="E849" s="38" t="str">
        <f>_xlfn.XLOOKUP(Customer[[#This Row],[Customer ID]],[1]!Address[ID],[1]!Address[Full Address])</f>
        <v>GERAI NO 9, HENTIAN SEBELAH NILAI ARAHSELATAN LEBUHRAYA UTARA-SELATAN,71800 NEGERI SEMBILAN</v>
      </c>
      <c r="F849" s="12" t="s">
        <v>6031</v>
      </c>
      <c r="G849" s="12" t="s">
        <v>6032</v>
      </c>
      <c r="H849" s="12" t="s">
        <v>6033</v>
      </c>
      <c r="I849" s="12" t="b">
        <f>ISNUMBER(VALUE(LEFT(Customer[[#This Row],[Address Line 3 (30 char)]],1)))</f>
        <v>0</v>
      </c>
      <c r="J849" s="12" t="s">
        <v>203</v>
      </c>
      <c r="K849" s="12">
        <v>71800</v>
      </c>
      <c r="L849" s="12" t="s">
        <v>35</v>
      </c>
      <c r="M849" s="13" t="e">
        <v>#N/A</v>
      </c>
      <c r="N849" s="14" t="e">
        <v>#N/A</v>
      </c>
      <c r="O849" s="14" t="e">
        <v>#N/A</v>
      </c>
      <c r="P849" s="14" t="e">
        <v>#N/A</v>
      </c>
      <c r="Q849" s="14" t="e">
        <v>#N/A</v>
      </c>
      <c r="R849" s="15" t="s">
        <v>6034</v>
      </c>
      <c r="S849" s="15" t="s">
        <v>5925</v>
      </c>
      <c r="T849" s="16" t="s">
        <v>3477</v>
      </c>
      <c r="U849" s="11" t="str">
        <f>_xlfn.XLOOKUP(Customer[[#This Row],[Customer ID]],[1]!Address[ID],[1]!Address[Phone No.(2)])</f>
        <v/>
      </c>
      <c r="V849" s="11" t="str">
        <f>_xlfn.XLOOKUP(Customer[[#This Row],[Customer ID]],[1]!Address[ID],[1]!Address[Type])</f>
        <v>CAFE</v>
      </c>
      <c r="W849" s="11" t="str">
        <f>_xlfn.XLOOKUP(Customer[[#This Row],[Customer ID]],[1]!Address[ID],[1]!Address[CT])</f>
        <v>30 DAYS</v>
      </c>
      <c r="X849" s="11"/>
      <c r="Y849" s="17" t="s">
        <v>5926</v>
      </c>
      <c r="Z849" s="17" t="e">
        <f>_xlfn.XLOOKUP(Customer[[#This Row],[NewType]],$AF$36:$AF$54,$AG$36:$AG$54)</f>
        <v>#N/A</v>
      </c>
      <c r="AA849" s="17" t="s">
        <v>6035</v>
      </c>
      <c r="AB849" s="11" t="str">
        <f>_xlfn.XLOOKUP(Customer[[#This Row],[Customer ID]],[1]!Address[ID],[1]!Address[Subtype])</f>
        <v>PLUS</v>
      </c>
      <c r="AC849" s="18" t="str">
        <f>_xlfn.XLOOKUP(Customer[[#This Row],[Customer ID]],[1]!Address[ID],[1]!Address[Zone])</f>
        <v>CENTRAL</v>
      </c>
    </row>
    <row r="850" spans="1:29" x14ac:dyDescent="0.3">
      <c r="A850" s="37" t="s">
        <v>6036</v>
      </c>
      <c r="B850" s="38" t="str">
        <f>_xlfn.XLOOKUP(Customer[[#This Row],[Customer ID]],[1]!Name[ID],[1]!Name[Description(1)])</f>
        <v>ARIEEF KAFE</v>
      </c>
      <c r="C850" s="38" t="str">
        <f>_xlfn.XLOOKUP(Customer[[#This Row],[Customer ID]],[1]!Name[ID],[1]!Name[Description(2)])</f>
        <v>PLUS</v>
      </c>
      <c r="D850" s="38" t="str">
        <f>_xlfn.XLOOKUP(Customer[[#This Row],[Customer ID]],[1]!Address[ID],[1]!Address[PIC])</f>
        <v/>
      </c>
      <c r="E850" s="38" t="str">
        <f>_xlfn.XLOOKUP(Customer[[#This Row],[Customer ID]],[1]!Address[ID],[1]!Address[Full Address])</f>
        <v>NO.5, KAWASAN REHAT &amp; RAWAT DENGKIL ARAHKM23 LEBUHRAYA PLUS,47590 DENGKIL</v>
      </c>
      <c r="F850" s="12" t="s">
        <v>6037</v>
      </c>
      <c r="G850" s="12" t="s">
        <v>6038</v>
      </c>
      <c r="H850" s="12" t="s">
        <v>6039</v>
      </c>
      <c r="I850" s="12" t="b">
        <f>ISNUMBER(VALUE(LEFT(Customer[[#This Row],[Address Line 3 (30 char)]],1)))</f>
        <v>0</v>
      </c>
      <c r="J850" s="12" t="s">
        <v>172</v>
      </c>
      <c r="K850" s="12">
        <v>47590</v>
      </c>
      <c r="L850" s="12" t="s">
        <v>35</v>
      </c>
      <c r="M850" s="13" t="e">
        <v>#N/A</v>
      </c>
      <c r="N850" s="14" t="e">
        <v>#N/A</v>
      </c>
      <c r="O850" s="14" t="e">
        <v>#N/A</v>
      </c>
      <c r="P850" s="14" t="e">
        <v>#N/A</v>
      </c>
      <c r="Q850" s="14" t="e">
        <v>#N/A</v>
      </c>
      <c r="R850" s="15" t="s">
        <v>6040</v>
      </c>
      <c r="S850" s="15" t="s">
        <v>5925</v>
      </c>
      <c r="T850" s="16" t="s">
        <v>3477</v>
      </c>
      <c r="U850" s="11" t="str">
        <f>_xlfn.XLOOKUP(Customer[[#This Row],[Customer ID]],[1]!Address[ID],[1]!Address[Phone No.(2)])</f>
        <v/>
      </c>
      <c r="V850" s="11" t="str">
        <f>_xlfn.XLOOKUP(Customer[[#This Row],[Customer ID]],[1]!Address[ID],[1]!Address[Type])</f>
        <v>CAFE</v>
      </c>
      <c r="W850" s="11" t="str">
        <f>_xlfn.XLOOKUP(Customer[[#This Row],[Customer ID]],[1]!Address[ID],[1]!Address[CT])</f>
        <v>30 DAYS</v>
      </c>
      <c r="X850" s="11"/>
      <c r="Y850" s="17" t="s">
        <v>5926</v>
      </c>
      <c r="Z850" s="17" t="e">
        <f>_xlfn.XLOOKUP(Customer[[#This Row],[NewType]],$AF$36:$AF$54,$AG$36:$AG$54)</f>
        <v>#N/A</v>
      </c>
      <c r="AA850" s="17" t="s">
        <v>6041</v>
      </c>
      <c r="AB850" s="11" t="str">
        <f>_xlfn.XLOOKUP(Customer[[#This Row],[Customer ID]],[1]!Address[ID],[1]!Address[Subtype])</f>
        <v>PLUS</v>
      </c>
      <c r="AC850" s="18" t="str">
        <f>_xlfn.XLOOKUP(Customer[[#This Row],[Customer ID]],[1]!Address[ID],[1]!Address[Zone])</f>
        <v>CENTRAL</v>
      </c>
    </row>
    <row r="851" spans="1:29" x14ac:dyDescent="0.3">
      <c r="A851" s="43" t="s">
        <v>6042</v>
      </c>
      <c r="B851" s="44" t="str">
        <f>_xlfn.XLOOKUP(Customer[[#This Row],[Customer ID]],[1]!Name[ID],[1]!Name[Description(1)])</f>
        <v>ARISHA CAFE</v>
      </c>
      <c r="C851" s="38" t="str">
        <f>_xlfn.XLOOKUP(Customer[[#This Row],[Customer ID]],[1]!Name[ID],[1]!Name[Description(2)])</f>
        <v>ALONG MESRA CAFE (NON PLUS)</v>
      </c>
      <c r="D851" s="38" t="str">
        <f>_xlfn.XLOOKUP(Customer[[#This Row],[Customer ID]],[1]!Address[ID],[1]!Address[PIC])</f>
        <v/>
      </c>
      <c r="E851" s="38" t="str">
        <f>_xlfn.XLOOKUP(Customer[[#This Row],[Customer ID]],[1]!Address[ID],[1]!Address[Full Address])</f>
        <v>R&amp;R ELIMINA UTARA,KM14.4, GUTHRIE CORRIDOR EXPRESSWAY47000 SG BULUH,SELANGOR.</v>
      </c>
      <c r="F851" s="12" t="s">
        <v>6043</v>
      </c>
      <c r="G851" s="12" t="s">
        <v>6044</v>
      </c>
      <c r="H851" s="12" t="s">
        <v>6045</v>
      </c>
      <c r="I851" s="12" t="b">
        <f>ISNUMBER(VALUE(LEFT(Customer[[#This Row],[Address Line 3 (30 char)]],1)))</f>
        <v>0</v>
      </c>
      <c r="J851" s="12" t="s">
        <v>1907</v>
      </c>
      <c r="K851" s="30" t="s">
        <v>6046</v>
      </c>
      <c r="L851" s="12" t="s">
        <v>35</v>
      </c>
      <c r="M851" s="13" t="e">
        <v>#N/A</v>
      </c>
      <c r="N851" s="14" t="e">
        <v>#N/A</v>
      </c>
      <c r="O851" s="14" t="e">
        <v>#N/A</v>
      </c>
      <c r="P851" s="14" t="e">
        <v>#N/A</v>
      </c>
      <c r="Q851" s="14" t="e">
        <v>#N/A</v>
      </c>
      <c r="R851" s="15" t="s">
        <v>6047</v>
      </c>
      <c r="S851" s="15" t="s">
        <v>5925</v>
      </c>
      <c r="T851" s="16" t="s">
        <v>3477</v>
      </c>
      <c r="U851" s="11" t="str">
        <f>_xlfn.XLOOKUP(Customer[[#This Row],[Customer ID]],[1]!Address[ID],[1]!Address[Phone No.(2)])</f>
        <v/>
      </c>
      <c r="V851" s="11" t="str">
        <f>_xlfn.XLOOKUP(Customer[[#This Row],[Customer ID]],[1]!Address[ID],[1]!Address[Type])</f>
        <v>CAFE</v>
      </c>
      <c r="W851" s="11" t="str">
        <f>_xlfn.XLOOKUP(Customer[[#This Row],[Customer ID]],[1]!Address[ID],[1]!Address[CT])</f>
        <v>30 DAYS</v>
      </c>
      <c r="X851" s="11"/>
      <c r="Y851" s="17" t="s">
        <v>5926</v>
      </c>
      <c r="Z851" s="17" t="e">
        <f>_xlfn.XLOOKUP(Customer[[#This Row],[NewType]],$AF$36:$AF$54,$AG$36:$AG$54)</f>
        <v>#N/A</v>
      </c>
      <c r="AA851" s="17" t="s">
        <v>6048</v>
      </c>
      <c r="AB851" s="11" t="str">
        <f>_xlfn.XLOOKUP(Customer[[#This Row],[Customer ID]],[1]!Address[ID],[1]!Address[Subtype])</f>
        <v>PLUS</v>
      </c>
      <c r="AC851" s="18" t="str">
        <f>_xlfn.XLOOKUP(Customer[[#This Row],[Customer ID]],[1]!Address[ID],[1]!Address[Zone])</f>
        <v>CENTRAL</v>
      </c>
    </row>
    <row r="852" spans="1:29" x14ac:dyDescent="0.3">
      <c r="A852" s="37" t="s">
        <v>6049</v>
      </c>
      <c r="B852" s="38" t="str">
        <f>_xlfn.XLOOKUP(Customer[[#This Row],[Customer ID]],[1]!Name[ID],[1]!Name[Description(1)])</f>
        <v>ARIVA CAFE</v>
      </c>
      <c r="C852" s="38" t="str">
        <f>_xlfn.XLOOKUP(Customer[[#This Row],[Customer ID]],[1]!Name[ID],[1]!Name[Description(2)])</f>
        <v>PLUS</v>
      </c>
      <c r="D852" s="38" t="str">
        <f>_xlfn.XLOOKUP(Customer[[#This Row],[Customer ID]],[1]!Address[ID],[1]!Address[PIC])</f>
        <v/>
      </c>
      <c r="E852" s="38" t="str">
        <f>_xlfn.XLOOKUP(Customer[[#This Row],[Customer ID]],[1]!Address[ID],[1]!Address[Full Address])</f>
        <v>NO.11, KAWASAN REHAT &amp; RAWAT DENGKILARAH SELATAN,45600 DENGKIL SELANGOR.</v>
      </c>
      <c r="F852" s="12" t="s">
        <v>6050</v>
      </c>
      <c r="G852" s="12" t="s">
        <v>6051</v>
      </c>
      <c r="H852" s="12" t="s">
        <v>6052</v>
      </c>
      <c r="I852" s="12" t="b">
        <f>ISNUMBER(VALUE(LEFT(Customer[[#This Row],[Address Line 3 (30 char)]],1)))</f>
        <v>0</v>
      </c>
      <c r="J852" s="12" t="s">
        <v>172</v>
      </c>
      <c r="K852" s="12">
        <v>45600</v>
      </c>
      <c r="L852" s="12" t="s">
        <v>35</v>
      </c>
      <c r="M852" s="13" t="e">
        <v>#N/A</v>
      </c>
      <c r="N852" s="14" t="e">
        <v>#N/A</v>
      </c>
      <c r="O852" s="14" t="e">
        <v>#N/A</v>
      </c>
      <c r="P852" s="14" t="e">
        <v>#N/A</v>
      </c>
      <c r="Q852" s="14" t="e">
        <v>#N/A</v>
      </c>
      <c r="R852" s="15" t="s">
        <v>6053</v>
      </c>
      <c r="S852" s="15" t="s">
        <v>5925</v>
      </c>
      <c r="T852" s="16" t="s">
        <v>3477</v>
      </c>
      <c r="U852" s="11" t="str">
        <f>_xlfn.XLOOKUP(Customer[[#This Row],[Customer ID]],[1]!Address[ID],[1]!Address[Phone No.(2)])</f>
        <v/>
      </c>
      <c r="V852" s="11" t="str">
        <f>_xlfn.XLOOKUP(Customer[[#This Row],[Customer ID]],[1]!Address[ID],[1]!Address[Type])</f>
        <v>CAFE</v>
      </c>
      <c r="W852" s="11" t="str">
        <f>_xlfn.XLOOKUP(Customer[[#This Row],[Customer ID]],[1]!Address[ID],[1]!Address[CT])</f>
        <v>30 DAYS</v>
      </c>
      <c r="X852" s="11"/>
      <c r="Y852" s="17" t="s">
        <v>5926</v>
      </c>
      <c r="Z852" s="17" t="e">
        <f>_xlfn.XLOOKUP(Customer[[#This Row],[NewType]],$AF$36:$AF$54,$AG$36:$AG$54)</f>
        <v>#N/A</v>
      </c>
      <c r="AA852" s="17" t="s">
        <v>6054</v>
      </c>
      <c r="AB852" s="11" t="str">
        <f>_xlfn.XLOOKUP(Customer[[#This Row],[Customer ID]],[1]!Address[ID],[1]!Address[Subtype])</f>
        <v>PLUS</v>
      </c>
      <c r="AC852" s="18" t="str">
        <f>_xlfn.XLOOKUP(Customer[[#This Row],[Customer ID]],[1]!Address[ID],[1]!Address[Zone])</f>
        <v>CENTRAL</v>
      </c>
    </row>
    <row r="853" spans="1:29" x14ac:dyDescent="0.3">
      <c r="A853" s="37" t="s">
        <v>6055</v>
      </c>
      <c r="B853" s="38" t="str">
        <f>_xlfn.XLOOKUP(Customer[[#This Row],[Customer ID]],[1]!Name[ID],[1]!Name[Description(1)])</f>
        <v>ASIA SUPERMART (M) SDN. BHD</v>
      </c>
      <c r="C853" s="38" t="str">
        <f>_xlfn.XLOOKUP(Customer[[#This Row],[Customer ID]],[1]!Name[ID],[1]!Name[Description(2)])</f>
        <v>(1513435-P)</v>
      </c>
      <c r="D853" s="38" t="str">
        <f>_xlfn.XLOOKUP(Customer[[#This Row],[Customer ID]],[1]!Address[ID],[1]!Address[PIC])</f>
        <v/>
      </c>
      <c r="E853" s="38" t="str">
        <f>_xlfn.XLOOKUP(Customer[[#This Row],[Customer ID]],[1]!Address[ID],[1]!Address[Full Address])</f>
        <v>99 (ASIA MART WAREHOUSE HQ),NO 412, 414 &amp; 418 JALAN TAHIR MANAN,TAMAN EMAS KAPAR, 42200 KLANG SELANGOR.</v>
      </c>
      <c r="F853" s="12" t="s">
        <v>6056</v>
      </c>
      <c r="G853" s="12" t="s">
        <v>6057</v>
      </c>
      <c r="H853" s="12" t="s">
        <v>6058</v>
      </c>
      <c r="I853" s="12" t="b">
        <f>ISNUMBER(VALUE(LEFT(Customer[[#This Row],[Address Line 3 (30 char)]],1)))</f>
        <v>0</v>
      </c>
      <c r="J853" s="12" t="s">
        <v>1907</v>
      </c>
      <c r="K853" s="12">
        <v>42200</v>
      </c>
      <c r="L853" s="12" t="s">
        <v>35</v>
      </c>
      <c r="M853" s="13" t="e">
        <v>#N/A</v>
      </c>
      <c r="N853" s="14" t="e">
        <v>#N/A</v>
      </c>
      <c r="O853" s="14" t="e">
        <v>#N/A</v>
      </c>
      <c r="P853" s="14" t="e">
        <v>#N/A</v>
      </c>
      <c r="Q853" s="14" t="e">
        <v>#N/A</v>
      </c>
      <c r="R853" s="15" t="s">
        <v>6059</v>
      </c>
      <c r="S853" s="15" t="s">
        <v>5934</v>
      </c>
      <c r="T853" s="16" t="s">
        <v>3477</v>
      </c>
      <c r="U853" s="11" t="str">
        <f>_xlfn.XLOOKUP(Customer[[#This Row],[Customer ID]],[1]!Address[ID],[1]!Address[Phone No.(2)])</f>
        <v/>
      </c>
      <c r="V853" s="11" t="str">
        <f>_xlfn.XLOOKUP(Customer[[#This Row],[Customer ID]],[1]!Address[ID],[1]!Address[Type])</f>
        <v>HM</v>
      </c>
      <c r="W853" s="11" t="str">
        <f>_xlfn.XLOOKUP(Customer[[#This Row],[Customer ID]],[1]!Address[ID],[1]!Address[CT])</f>
        <v>CASH</v>
      </c>
      <c r="X853" s="11"/>
      <c r="Y853" s="17" t="s">
        <v>5968</v>
      </c>
      <c r="Z853" s="17" t="e">
        <f>_xlfn.XLOOKUP(Customer[[#This Row],[NewType]],$AF$36:$AF$54,$AG$36:$AG$54)</f>
        <v>#N/A</v>
      </c>
      <c r="AA853" s="17" t="s">
        <v>6060</v>
      </c>
      <c r="AB853" s="11" t="str">
        <f>_xlfn.XLOOKUP(Customer[[#This Row],[Customer ID]],[1]!Address[ID],[1]!Address[Subtype])</f>
        <v>ASIA</v>
      </c>
      <c r="AC853" s="18" t="str">
        <f>_xlfn.XLOOKUP(Customer[[#This Row],[Customer ID]],[1]!Address[ID],[1]!Address[Zone])</f>
        <v>CENTRAL</v>
      </c>
    </row>
    <row r="854" spans="1:29" x14ac:dyDescent="0.3">
      <c r="A854" s="37" t="s">
        <v>6061</v>
      </c>
      <c r="B854" s="38" t="str">
        <f>_xlfn.XLOOKUP(Customer[[#This Row],[Customer ID]],[1]!Name[ID],[1]!Name[Description(1)])</f>
        <v>AUNTY AINIS CAFE</v>
      </c>
      <c r="C854" s="38" t="str">
        <f>_xlfn.XLOOKUP(Customer[[#This Row],[Customer ID]],[1]!Name[ID],[1]!Name[Description(2)])</f>
        <v>200703017956 (NS0024121-M)</v>
      </c>
      <c r="D854" s="38" t="str">
        <f>_xlfn.XLOOKUP(Customer[[#This Row],[Customer ID]],[1]!Address[ID],[1]!Address[PIC])</f>
        <v/>
      </c>
      <c r="E854" s="38" t="str">
        <f>_xlfn.XLOOKUP(Customer[[#This Row],[Customer ID]],[1]!Address[ID],[1]!Address[Full Address])</f>
        <v>BATU 16, JALAN SEPANG, KANPUNG CHELET,71800 NILAI, NEGERI SEMBILAN.</v>
      </c>
      <c r="F854" s="12" t="s">
        <v>6062</v>
      </c>
      <c r="G854" s="12" t="s">
        <v>6063</v>
      </c>
      <c r="H854" s="12" t="s">
        <v>6064</v>
      </c>
      <c r="I854" s="12" t="b">
        <f>ISNUMBER(VALUE(LEFT(Customer[[#This Row],[Address Line 3 (30 char)]],1)))</f>
        <v>0</v>
      </c>
      <c r="J854" s="12" t="s">
        <v>203</v>
      </c>
      <c r="K854" s="12">
        <v>71800</v>
      </c>
      <c r="L854" s="12" t="s">
        <v>35</v>
      </c>
      <c r="M854" s="13" t="s">
        <v>6065</v>
      </c>
      <c r="N854" s="14" t="s">
        <v>6066</v>
      </c>
      <c r="O854" s="14" t="s">
        <v>54</v>
      </c>
      <c r="P854" s="14" t="s">
        <v>54</v>
      </c>
      <c r="Q854" s="14" t="s">
        <v>6067</v>
      </c>
      <c r="R854" s="15" t="s">
        <v>6068</v>
      </c>
      <c r="S854" s="15" t="s">
        <v>5925</v>
      </c>
      <c r="T854" s="16" t="s">
        <v>3477</v>
      </c>
      <c r="U854" s="11" t="str">
        <f>_xlfn.XLOOKUP(Customer[[#This Row],[Customer ID]],[1]!Address[ID],[1]!Address[Phone No.(2)])</f>
        <v/>
      </c>
      <c r="V854" s="11" t="str">
        <f>_xlfn.XLOOKUP(Customer[[#This Row],[Customer ID]],[1]!Address[ID],[1]!Address[Type])</f>
        <v>CAFE</v>
      </c>
      <c r="W854" s="11" t="str">
        <f>_xlfn.XLOOKUP(Customer[[#This Row],[Customer ID]],[1]!Address[ID],[1]!Address[CT])</f>
        <v>30 DAYS</v>
      </c>
      <c r="X854" s="11"/>
      <c r="Y854" s="17" t="s">
        <v>5926</v>
      </c>
      <c r="Z854" s="17" t="e">
        <f>_xlfn.XLOOKUP(Customer[[#This Row],[NewType]],$AF$36:$AF$54,$AG$36:$AG$54)</f>
        <v>#N/A</v>
      </c>
      <c r="AA854" s="17" t="s">
        <v>6069</v>
      </c>
      <c r="AB854" s="11" t="str">
        <f>_xlfn.XLOOKUP(Customer[[#This Row],[Customer ID]],[1]!Address[ID],[1]!Address[Subtype])</f>
        <v>PLUS</v>
      </c>
      <c r="AC854" s="18" t="str">
        <f>_xlfn.XLOOKUP(Customer[[#This Row],[Customer ID]],[1]!Address[ID],[1]!Address[Zone])</f>
        <v>CENTRAL</v>
      </c>
    </row>
    <row r="855" spans="1:29" x14ac:dyDescent="0.3">
      <c r="A855" s="37" t="s">
        <v>6070</v>
      </c>
      <c r="B855" s="38" t="str">
        <f>_xlfn.XLOOKUP(Customer[[#This Row],[Customer ID]],[1]!Name[ID],[1]!Name[Description(1)])</f>
        <v>BAHAGIAN TEKNOLOGI KOMUNIKASI</v>
      </c>
      <c r="C855" s="38" t="str">
        <f>_xlfn.XLOOKUP(Customer[[#This Row],[Customer ID]],[1]!Name[ID],[1]!Name[Description(2)])</f>
        <v/>
      </c>
      <c r="D855" s="38" t="str">
        <f>_xlfn.XLOOKUP(Customer[[#This Row],[Customer ID]],[1]!Address[ID],[1]!Address[PIC])</f>
        <v/>
      </c>
      <c r="E855" s="38" t="str">
        <f>_xlfn.XLOOKUP(Customer[[#This Row],[Customer ID]],[1]!Address[ID],[1]!Address[Full Address])</f>
        <v>KEMENTERIAN KOMUNIKASI DAN DIGITAL, TINGTINGKAT 31, LINGKARAN GEMILANG SATU,PRECINT 4, 62100 PUTRAJAYA,WILAYAH PERSEKUTUAN PUTRAJAYA</v>
      </c>
      <c r="F855" s="12" t="s">
        <v>6071</v>
      </c>
      <c r="G855" s="12" t="s">
        <v>6072</v>
      </c>
      <c r="H855" s="12" t="s">
        <v>6073</v>
      </c>
      <c r="I855" s="12" t="b">
        <f>ISNUMBER(VALUE(LEFT(Customer[[#This Row],[Address Line 3 (30 char)]],1)))</f>
        <v>0</v>
      </c>
      <c r="J855" s="12" t="s">
        <v>4229</v>
      </c>
      <c r="K855" s="12">
        <v>62100</v>
      </c>
      <c r="L855" s="12" t="s">
        <v>35</v>
      </c>
      <c r="M855" s="13" t="e">
        <v>#N/A</v>
      </c>
      <c r="N855" s="14" t="e">
        <v>#N/A</v>
      </c>
      <c r="O855" s="14" t="e">
        <v>#N/A</v>
      </c>
      <c r="P855" s="14" t="e">
        <v>#N/A</v>
      </c>
      <c r="Q855" s="14" t="e">
        <v>#N/A</v>
      </c>
      <c r="R855" s="15" t="s">
        <v>6074</v>
      </c>
      <c r="S855" s="15" t="s">
        <v>5917</v>
      </c>
      <c r="T855" s="16" t="s">
        <v>3477</v>
      </c>
      <c r="U855" s="11" t="str">
        <f>_xlfn.XLOOKUP(Customer[[#This Row],[Customer ID]],[1]!Address[ID],[1]!Address[Phone No.(2)])</f>
        <v/>
      </c>
      <c r="V855" s="11" t="str">
        <f>_xlfn.XLOOKUP(Customer[[#This Row],[Customer ID]],[1]!Address[ID],[1]!Address[Type])</f>
        <v>CM</v>
      </c>
      <c r="W855" s="11" t="str">
        <f>_xlfn.XLOOKUP(Customer[[#This Row],[Customer ID]],[1]!Address[ID],[1]!Address[CT])</f>
        <v>30 DAYS</v>
      </c>
      <c r="X855" s="11"/>
      <c r="Y855" s="17" t="s">
        <v>5918</v>
      </c>
      <c r="Z855" s="17" t="e">
        <f>_xlfn.XLOOKUP(Customer[[#This Row],[NewType]],$AF$36:$AF$54,$AG$36:$AG$54)</f>
        <v>#N/A</v>
      </c>
      <c r="AA855" s="17" t="s">
        <v>6075</v>
      </c>
      <c r="AB855" s="11" t="str">
        <f>_xlfn.XLOOKUP(Customer[[#This Row],[Customer ID]],[1]!Address[ID],[1]!Address[Subtype])</f>
        <v>BHGN TEK</v>
      </c>
      <c r="AC855" s="18" t="str">
        <f>_xlfn.XLOOKUP(Customer[[#This Row],[Customer ID]],[1]!Address[ID],[1]!Address[Zone])</f>
        <v>CENTRAL</v>
      </c>
    </row>
    <row r="856" spans="1:29" x14ac:dyDescent="0.3">
      <c r="A856" s="37" t="s">
        <v>6076</v>
      </c>
      <c r="B856" s="38" t="str">
        <f>_xlfn.XLOOKUP(Customer[[#This Row],[Customer ID]],[1]!Name[ID],[1]!Name[Description(1)])</f>
        <v>BAHULU PANAS SERI FARIDAH(HANIM RESOURCE</v>
      </c>
      <c r="C856" s="38" t="str">
        <f>_xlfn.XLOOKUP(Customer[[#This Row],[Customer ID]],[1]!Name[ID],[1]!Name[Description(2)])</f>
        <v>PLUS</v>
      </c>
      <c r="D856" s="38" t="str">
        <f>_xlfn.XLOOKUP(Customer[[#This Row],[Customer ID]],[1]!Address[ID],[1]!Address[PIC])</f>
        <v/>
      </c>
      <c r="E856" s="38" t="str">
        <f>_xlfn.XLOOKUP(Customer[[#This Row],[Customer ID]],[1]!Address[ID],[1]!Address[Full Address])</f>
        <v>NO.3, MINI PEKAN RABU R&amp;R GURUN ARAH SEL08300 GURUN, KEDAH</v>
      </c>
      <c r="F856" s="12" t="s">
        <v>6077</v>
      </c>
      <c r="G856" s="12" t="s">
        <v>6078</v>
      </c>
      <c r="H856" s="12" t="s">
        <v>1780</v>
      </c>
      <c r="I856" s="12" t="b">
        <f>ISNUMBER(VALUE(LEFT(Customer[[#This Row],[Address Line 3 (30 char)]],1)))</f>
        <v>0</v>
      </c>
      <c r="J856" s="12" t="s">
        <v>355</v>
      </c>
      <c r="K856" s="42" t="s">
        <v>1336</v>
      </c>
      <c r="L856" s="12" t="s">
        <v>35</v>
      </c>
      <c r="M856" s="13" t="e">
        <v>#N/A</v>
      </c>
      <c r="N856" s="14" t="e">
        <v>#N/A</v>
      </c>
      <c r="O856" s="14" t="e">
        <v>#N/A</v>
      </c>
      <c r="P856" s="14" t="e">
        <v>#N/A</v>
      </c>
      <c r="Q856" s="14" t="e">
        <v>#N/A</v>
      </c>
      <c r="R856" s="15" t="s">
        <v>6079</v>
      </c>
      <c r="S856" s="15" t="s">
        <v>5925</v>
      </c>
      <c r="T856" s="16" t="s">
        <v>3477</v>
      </c>
      <c r="U856" s="11" t="str">
        <f>_xlfn.XLOOKUP(Customer[[#This Row],[Customer ID]],[1]!Address[ID],[1]!Address[Phone No.(2)])</f>
        <v/>
      </c>
      <c r="V856" s="11" t="str">
        <f>_xlfn.XLOOKUP(Customer[[#This Row],[Customer ID]],[1]!Address[ID],[1]!Address[Type])</f>
        <v>CAFE</v>
      </c>
      <c r="W856" s="11" t="str">
        <f>_xlfn.XLOOKUP(Customer[[#This Row],[Customer ID]],[1]!Address[ID],[1]!Address[CT])</f>
        <v>30 DAYS</v>
      </c>
      <c r="X856" s="11"/>
      <c r="Y856" s="17" t="s">
        <v>5926</v>
      </c>
      <c r="Z856" s="17" t="e">
        <f>_xlfn.XLOOKUP(Customer[[#This Row],[NewType]],$AF$36:$AF$54,$AG$36:$AG$54)</f>
        <v>#N/A</v>
      </c>
      <c r="AA856" s="17" t="s">
        <v>6080</v>
      </c>
      <c r="AB856" s="11" t="str">
        <f>_xlfn.XLOOKUP(Customer[[#This Row],[Customer ID]],[1]!Address[ID],[1]!Address[Subtype])</f>
        <v>PLUS</v>
      </c>
      <c r="AC856" s="18" t="str">
        <f>_xlfn.XLOOKUP(Customer[[#This Row],[Customer ID]],[1]!Address[ID],[1]!Address[Zone])</f>
        <v>NORTH</v>
      </c>
    </row>
    <row r="857" spans="1:29" x14ac:dyDescent="0.3">
      <c r="A857" s="37" t="s">
        <v>6081</v>
      </c>
      <c r="B857" s="38" t="str">
        <f>_xlfn.XLOOKUP(Customer[[#This Row],[Customer ID]],[1]!Name[ID],[1]!Name[Description(1)])</f>
        <v>BELIA MUAFAKAT</v>
      </c>
      <c r="C857" s="38" t="str">
        <f>_xlfn.XLOOKUP(Customer[[#This Row],[Customer ID]],[1]!Name[ID],[1]!Name[Description(2)])</f>
        <v>PLUS</v>
      </c>
      <c r="D857" s="38" t="str">
        <f>_xlfn.XLOOKUP(Customer[[#This Row],[Customer ID]],[1]!Address[ID],[1]!Address[PIC])</f>
        <v/>
      </c>
      <c r="E857" s="38" t="str">
        <f>_xlfn.XLOOKUP(Customer[[#This Row],[Customer ID]],[1]!Address[ID],[1]!Address[Full Address])</f>
        <v>NO 10, RSA ARAH UTARA GELANG PATAH, 8155</v>
      </c>
      <c r="F857" s="12" t="s">
        <v>6082</v>
      </c>
      <c r="G857" s="12" t="s">
        <v>6083</v>
      </c>
      <c r="H857" s="12" t="s">
        <v>36</v>
      </c>
      <c r="I857" s="12" t="b">
        <f>ISNUMBER(VALUE(LEFT(Customer[[#This Row],[Address Line 3 (30 char)]],1)))</f>
        <v>0</v>
      </c>
      <c r="J857" s="12" t="s">
        <v>52</v>
      </c>
      <c r="K857" s="42">
        <v>81550</v>
      </c>
      <c r="L857" s="12" t="s">
        <v>35</v>
      </c>
      <c r="M857" s="13" t="e">
        <v>#N/A</v>
      </c>
      <c r="N857" s="14" t="e">
        <v>#N/A</v>
      </c>
      <c r="O857" s="14" t="e">
        <v>#N/A</v>
      </c>
      <c r="P857" s="14" t="e">
        <v>#N/A</v>
      </c>
      <c r="Q857" s="14" t="e">
        <v>#N/A</v>
      </c>
      <c r="R857" s="15" t="s">
        <v>6084</v>
      </c>
      <c r="S857" s="15" t="s">
        <v>5925</v>
      </c>
      <c r="T857" s="16" t="s">
        <v>3477</v>
      </c>
      <c r="U857" s="11" t="str">
        <f>_xlfn.XLOOKUP(Customer[[#This Row],[Customer ID]],[1]!Address[ID],[1]!Address[Phone No.(2)])</f>
        <v/>
      </c>
      <c r="V857" s="11" t="str">
        <f>_xlfn.XLOOKUP(Customer[[#This Row],[Customer ID]],[1]!Address[ID],[1]!Address[Type])</f>
        <v>CAFE</v>
      </c>
      <c r="W857" s="11" t="str">
        <f>_xlfn.XLOOKUP(Customer[[#This Row],[Customer ID]],[1]!Address[ID],[1]!Address[CT])</f>
        <v>30 DAYS</v>
      </c>
      <c r="X857" s="11"/>
      <c r="Y857" s="17" t="s">
        <v>5926</v>
      </c>
      <c r="Z857" s="17" t="e">
        <f>_xlfn.XLOOKUP(Customer[[#This Row],[NewType]],$AF$36:$AF$54,$AG$36:$AG$54)</f>
        <v>#N/A</v>
      </c>
      <c r="AA857" s="17" t="s">
        <v>6085</v>
      </c>
      <c r="AB857" s="11" t="str">
        <f>_xlfn.XLOOKUP(Customer[[#This Row],[Customer ID]],[1]!Address[ID],[1]!Address[Subtype])</f>
        <v>PLUS</v>
      </c>
      <c r="AC857" s="18" t="str">
        <f>_xlfn.XLOOKUP(Customer[[#This Row],[Customer ID]],[1]!Address[ID],[1]!Address[Zone])</f>
        <v>NORTH</v>
      </c>
    </row>
    <row r="858" spans="1:29" x14ac:dyDescent="0.3">
      <c r="A858" s="37" t="s">
        <v>6086</v>
      </c>
      <c r="B858" s="38" t="str">
        <f>_xlfn.XLOOKUP(Customer[[#This Row],[Customer ID]],[1]!Name[ID],[1]!Name[Description(1)])</f>
        <v>BIZ A PARK SOLUTION</v>
      </c>
      <c r="C858" s="38" t="str">
        <f>_xlfn.XLOOKUP(Customer[[#This Row],[Customer ID]],[1]!Name[ID],[1]!Name[Description(2)])</f>
        <v/>
      </c>
      <c r="D858" s="38" t="str">
        <f>_xlfn.XLOOKUP(Customer[[#This Row],[Customer ID]],[1]!Address[ID],[1]!Address[PIC])</f>
        <v/>
      </c>
      <c r="E858" s="38" t="str">
        <f>_xlfn.XLOOKUP(Customer[[#This Row],[Customer ID]],[1]!Address[ID],[1]!Address[Full Address])</f>
        <v>NO:21 JALAN REKO MUTIARA 1/6ATAMAN REKO MUTIARA43300 KAJANG SELANGOR</v>
      </c>
      <c r="F858" s="12" t="s">
        <v>6087</v>
      </c>
      <c r="G858" s="12" t="s">
        <v>6088</v>
      </c>
      <c r="H858" s="24" t="s">
        <v>6089</v>
      </c>
      <c r="I858" s="24" t="b">
        <f>ISNUMBER(VALUE(LEFT(Customer[[#This Row],[Address Line 3 (30 char)]],1)))</f>
        <v>0</v>
      </c>
      <c r="J858" s="12" t="s">
        <v>1907</v>
      </c>
      <c r="K858" s="12">
        <v>43300</v>
      </c>
      <c r="L858" s="12" t="s">
        <v>35</v>
      </c>
      <c r="M858" s="13" t="e">
        <v>#N/A</v>
      </c>
      <c r="N858" s="14" t="e">
        <v>#N/A</v>
      </c>
      <c r="O858" s="14" t="e">
        <v>#N/A</v>
      </c>
      <c r="P858" s="14" t="e">
        <v>#N/A</v>
      </c>
      <c r="Q858" s="14" t="e">
        <v>#N/A</v>
      </c>
      <c r="R858" s="15" t="s">
        <v>6090</v>
      </c>
      <c r="S858" s="15" t="s">
        <v>5917</v>
      </c>
      <c r="T858" s="16" t="s">
        <v>3477</v>
      </c>
      <c r="U858" s="11" t="str">
        <f>_xlfn.XLOOKUP(Customer[[#This Row],[Customer ID]],[1]!Address[ID],[1]!Address[Phone No.(2)])</f>
        <v/>
      </c>
      <c r="V858" s="11" t="str">
        <f>_xlfn.XLOOKUP(Customer[[#This Row],[Customer ID]],[1]!Address[ID],[1]!Address[Type])</f>
        <v>CM</v>
      </c>
      <c r="W858" s="11" t="str">
        <f>_xlfn.XLOOKUP(Customer[[#This Row],[Customer ID]],[1]!Address[ID],[1]!Address[CT])</f>
        <v>30 DAYS</v>
      </c>
      <c r="X858" s="11"/>
      <c r="Y858" s="17" t="s">
        <v>5918</v>
      </c>
      <c r="Z858" s="17" t="e">
        <f>_xlfn.XLOOKUP(Customer[[#This Row],[NewType]],$AF$36:$AF$54,$AG$36:$AG$54)</f>
        <v>#N/A</v>
      </c>
      <c r="AA858" s="17" t="s">
        <v>6091</v>
      </c>
      <c r="AB858" s="11" t="str">
        <f>_xlfn.XLOOKUP(Customer[[#This Row],[Customer ID]],[1]!Address[ID],[1]!Address[Subtype])</f>
        <v>BIZ A PARK</v>
      </c>
      <c r="AC858" s="18" t="str">
        <f>_xlfn.XLOOKUP(Customer[[#This Row],[Customer ID]],[1]!Address[ID],[1]!Address[Zone])</f>
        <v>CENTRAL</v>
      </c>
    </row>
    <row r="859" spans="1:29" x14ac:dyDescent="0.3">
      <c r="A859" s="37" t="s">
        <v>6092</v>
      </c>
      <c r="B859" s="38" t="str">
        <f>_xlfn.XLOOKUP(Customer[[#This Row],[Customer ID]],[1]!Name[ID],[1]!Name[Description(1)])</f>
        <v>BONBON STORY CAFE</v>
      </c>
      <c r="C859" s="38" t="str">
        <f>_xlfn.XLOOKUP(Customer[[#This Row],[Customer ID]],[1]!Name[ID],[1]!Name[Description(2)])</f>
        <v/>
      </c>
      <c r="D859" s="38" t="str">
        <f>_xlfn.XLOOKUP(Customer[[#This Row],[Customer ID]],[1]!Address[ID],[1]!Address[PIC])</f>
        <v/>
      </c>
      <c r="E859" s="38" t="str">
        <f>_xlfn.XLOOKUP(Customer[[#This Row],[Customer ID]],[1]!Address[ID],[1]!Address[Full Address])</f>
        <v>32-A JALAN 3/70, SEKSYEN 3,43650 BANDAR BARU BANGI, SELANGOR DARUL</v>
      </c>
      <c r="F859" s="12" t="s">
        <v>6093</v>
      </c>
      <c r="G859" s="12" t="s">
        <v>6094</v>
      </c>
      <c r="H859" s="12" t="s">
        <v>36</v>
      </c>
      <c r="I859" s="12" t="b">
        <f>ISNUMBER(VALUE(LEFT(Customer[[#This Row],[Address Line 3 (30 char)]],1)))</f>
        <v>0</v>
      </c>
      <c r="J859" s="12" t="s">
        <v>1907</v>
      </c>
      <c r="K859" s="12">
        <v>43650</v>
      </c>
      <c r="L859" s="12" t="s">
        <v>35</v>
      </c>
      <c r="M859" s="13" t="e">
        <v>#N/A</v>
      </c>
      <c r="N859" s="14" t="e">
        <v>#N/A</v>
      </c>
      <c r="O859" s="14" t="e">
        <v>#N/A</v>
      </c>
      <c r="P859" s="14" t="e">
        <v>#N/A</v>
      </c>
      <c r="Q859" s="14" t="e">
        <v>#N/A</v>
      </c>
      <c r="R859" s="15" t="s">
        <v>36</v>
      </c>
      <c r="S859" s="15" t="s">
        <v>5925</v>
      </c>
      <c r="T859" s="16" t="s">
        <v>3477</v>
      </c>
      <c r="U859" s="11" t="str">
        <f>_xlfn.XLOOKUP(Customer[[#This Row],[Customer ID]],[1]!Address[ID],[1]!Address[Phone No.(2)])</f>
        <v/>
      </c>
      <c r="V859" s="11" t="str">
        <f>_xlfn.XLOOKUP(Customer[[#This Row],[Customer ID]],[1]!Address[ID],[1]!Address[Type])</f>
        <v>CAFE</v>
      </c>
      <c r="W859" s="11" t="str">
        <f>_xlfn.XLOOKUP(Customer[[#This Row],[Customer ID]],[1]!Address[ID],[1]!Address[CT])</f>
        <v>30 DAYS</v>
      </c>
      <c r="X859" s="11"/>
      <c r="Y859" s="17" t="s">
        <v>5926</v>
      </c>
      <c r="Z859" s="17" t="e">
        <f>_xlfn.XLOOKUP(Customer[[#This Row],[NewType]],$AF$36:$AF$54,$AG$36:$AG$54)</f>
        <v>#N/A</v>
      </c>
      <c r="AA859" s="17" t="s">
        <v>6095</v>
      </c>
      <c r="AB859" s="11" t="str">
        <f>_xlfn.XLOOKUP(Customer[[#This Row],[Customer ID]],[1]!Address[ID],[1]!Address[Subtype])</f>
        <v>BONBON CAFE</v>
      </c>
      <c r="AC859" s="18" t="str">
        <f>_xlfn.XLOOKUP(Customer[[#This Row],[Customer ID]],[1]!Address[ID],[1]!Address[Zone])</f>
        <v>CENTRAL</v>
      </c>
    </row>
    <row r="860" spans="1:29" x14ac:dyDescent="0.3">
      <c r="A860" s="37" t="s">
        <v>6096</v>
      </c>
      <c r="B860" s="38" t="str">
        <f>_xlfn.XLOOKUP(Customer[[#This Row],[Customer ID]],[1]!Name[ID],[1]!Name[Description(1)])</f>
        <v>CAFE 241</v>
      </c>
      <c r="C860" s="38" t="str">
        <f>_xlfn.XLOOKUP(Customer[[#This Row],[Customer ID]],[1]!Name[ID],[1]!Name[Description(2)])</f>
        <v>R&amp;R ELMINA SELATAN (NON PLUS)</v>
      </c>
      <c r="D860" s="38" t="str">
        <f>_xlfn.XLOOKUP(Customer[[#This Row],[Customer ID]],[1]!Address[ID],[1]!Address[PIC])</f>
        <v/>
      </c>
      <c r="E860" s="38" t="str">
        <f>_xlfn.XLOOKUP(Customer[[#This Row],[Customer ID]],[1]!Address[ID],[1]!Address[Full Address])</f>
        <v>SB 1, KAWASAN REHAT &amp; RAWAT ELMINASELATAN, GUTHRIE CORRIDOR EXPRESSWAY40160 SHAH ALAM</v>
      </c>
      <c r="F860" s="12" t="s">
        <v>6097</v>
      </c>
      <c r="G860" s="12" t="s">
        <v>6098</v>
      </c>
      <c r="H860" s="12" t="s">
        <v>6099</v>
      </c>
      <c r="I860" s="12" t="b">
        <f>ISNUMBER(VALUE(LEFT(Customer[[#This Row],[Address Line 3 (30 char)]],1)))</f>
        <v>0</v>
      </c>
      <c r="J860" s="12" t="s">
        <v>172</v>
      </c>
      <c r="K860" s="12">
        <v>40160</v>
      </c>
      <c r="L860" s="12" t="s">
        <v>35</v>
      </c>
      <c r="M860" s="13" t="e">
        <v>#N/A</v>
      </c>
      <c r="N860" s="14" t="e">
        <v>#N/A</v>
      </c>
      <c r="O860" s="14" t="e">
        <v>#N/A</v>
      </c>
      <c r="P860" s="14" t="e">
        <v>#N/A</v>
      </c>
      <c r="Q860" s="14" t="e">
        <v>#N/A</v>
      </c>
      <c r="R860" s="15" t="s">
        <v>6100</v>
      </c>
      <c r="S860" s="15" t="s">
        <v>5925</v>
      </c>
      <c r="T860" s="16" t="s">
        <v>3477</v>
      </c>
      <c r="U860" s="11" t="str">
        <f>_xlfn.XLOOKUP(Customer[[#This Row],[Customer ID]],[1]!Address[ID],[1]!Address[Phone No.(2)])</f>
        <v/>
      </c>
      <c r="V860" s="11" t="str">
        <f>_xlfn.XLOOKUP(Customer[[#This Row],[Customer ID]],[1]!Address[ID],[1]!Address[Type])</f>
        <v>CAFE</v>
      </c>
      <c r="W860" s="11" t="str">
        <f>_xlfn.XLOOKUP(Customer[[#This Row],[Customer ID]],[1]!Address[ID],[1]!Address[CT])</f>
        <v>30 DAYS</v>
      </c>
      <c r="X860" s="11"/>
      <c r="Y860" s="17" t="s">
        <v>5926</v>
      </c>
      <c r="Z860" s="17" t="e">
        <f>_xlfn.XLOOKUP(Customer[[#This Row],[NewType]],$AF$36:$AF$54,$AG$36:$AG$54)</f>
        <v>#N/A</v>
      </c>
      <c r="AA860" s="17" t="s">
        <v>6101</v>
      </c>
      <c r="AB860" s="11" t="str">
        <f>_xlfn.XLOOKUP(Customer[[#This Row],[Customer ID]],[1]!Address[ID],[1]!Address[Subtype])</f>
        <v>PLUS</v>
      </c>
      <c r="AC860" s="18" t="str">
        <f>_xlfn.XLOOKUP(Customer[[#This Row],[Customer ID]],[1]!Address[ID],[1]!Address[Zone])</f>
        <v>CENTRAL</v>
      </c>
    </row>
    <row r="861" spans="1:29" x14ac:dyDescent="0.3">
      <c r="A861" s="37" t="s">
        <v>6102</v>
      </c>
      <c r="B861" s="38" t="str">
        <f>_xlfn.XLOOKUP(Customer[[#This Row],[Customer ID]],[1]!Name[ID],[1]!Name[Description(1)])</f>
        <v>CARE SHOPPE, SELAYANG</v>
      </c>
      <c r="C861" s="38" t="str">
        <f>_xlfn.XLOOKUP(Customer[[#This Row],[Customer ID]],[1]!Name[ID],[1]!Name[Description(2)])</f>
        <v>THB GLOBAL VENTURE (M) SDN BHD (542036-M</v>
      </c>
      <c r="D861" s="38" t="str">
        <f>_xlfn.XLOOKUP(Customer[[#This Row],[Customer ID]],[1]!Address[ID],[1]!Address[PIC])</f>
        <v/>
      </c>
      <c r="E861" s="38" t="str">
        <f>_xlfn.XLOOKUP(Customer[[#This Row],[Customer ID]],[1]!Address[ID],[1]!Address[Full Address])</f>
        <v>LOT ME003 , HOSPITAL SELAYANG,LEBUHRAYA SELAYANG,68100 BATU CAVES , SELANGOR DARUL EHSAN</v>
      </c>
      <c r="F861" s="12" t="s">
        <v>6103</v>
      </c>
      <c r="G861" s="12" t="s">
        <v>6104</v>
      </c>
      <c r="H861" s="12" t="s">
        <v>6105</v>
      </c>
      <c r="I861" s="12" t="b">
        <f>ISNUMBER(VALUE(LEFT(Customer[[#This Row],[Address Line 3 (30 char)]],1)))</f>
        <v>0</v>
      </c>
      <c r="J861" s="12" t="s">
        <v>1907</v>
      </c>
      <c r="K861" s="12">
        <v>68100</v>
      </c>
      <c r="L861" s="12" t="s">
        <v>35</v>
      </c>
      <c r="M861" s="13" t="e">
        <v>#N/A</v>
      </c>
      <c r="N861" s="14" t="e">
        <v>#N/A</v>
      </c>
      <c r="O861" s="14" t="e">
        <v>#N/A</v>
      </c>
      <c r="P861" s="14" t="e">
        <v>#N/A</v>
      </c>
      <c r="Q861" s="14" t="e">
        <v>#N/A</v>
      </c>
      <c r="R861" s="15" t="s">
        <v>6106</v>
      </c>
      <c r="S861" s="15" t="s">
        <v>3476</v>
      </c>
      <c r="T861" s="16" t="s">
        <v>3477</v>
      </c>
      <c r="U861" s="11" t="str">
        <f>_xlfn.XLOOKUP(Customer[[#This Row],[Customer ID]],[1]!Address[ID],[1]!Address[Phone No.(2)])</f>
        <v/>
      </c>
      <c r="V861" s="11" t="str">
        <f>_xlfn.XLOOKUP(Customer[[#This Row],[Customer ID]],[1]!Address[ID],[1]!Address[Type])</f>
        <v>CM</v>
      </c>
      <c r="W861" s="11" t="str">
        <f>_xlfn.XLOOKUP(Customer[[#This Row],[Customer ID]],[1]!Address[ID],[1]!Address[CT])</f>
        <v>30 DAYS</v>
      </c>
      <c r="X861" s="11"/>
      <c r="Y861" s="17" t="s">
        <v>5918</v>
      </c>
      <c r="Z861" s="17" t="e">
        <f>_xlfn.XLOOKUP(Customer[[#This Row],[NewType]],$AF$36:$AF$54,$AG$36:$AG$54)</f>
        <v>#N/A</v>
      </c>
      <c r="AA861" s="17" t="s">
        <v>6107</v>
      </c>
      <c r="AB861" s="11" t="str">
        <f>_xlfn.XLOOKUP(Customer[[#This Row],[Customer ID]],[1]!Address[ID],[1]!Address[Subtype])</f>
        <v>THB</v>
      </c>
      <c r="AC861" s="18" t="str">
        <f>_xlfn.XLOOKUP(Customer[[#This Row],[Customer ID]],[1]!Address[ID],[1]!Address[Zone])</f>
        <v>CENTRAL</v>
      </c>
    </row>
    <row r="862" spans="1:29" x14ac:dyDescent="0.3">
      <c r="A862" s="37" t="s">
        <v>6108</v>
      </c>
      <c r="B862" s="38" t="str">
        <f>_xlfn.XLOOKUP(Customer[[#This Row],[Customer ID]],[1]!Name[ID],[1]!Name[Description(1)])</f>
        <v>CAREPHARM SDN BHD</v>
      </c>
      <c r="C862" s="38" t="str">
        <f>_xlfn.XLOOKUP(Customer[[#This Row],[Customer ID]],[1]!Name[ID],[1]!Name[Description(2)])</f>
        <v>(1284616-X)</v>
      </c>
      <c r="D862" s="38" t="str">
        <f>_xlfn.XLOOKUP(Customer[[#This Row],[Customer ID]],[1]!Address[ID],[1]!Address[PIC])</f>
        <v/>
      </c>
      <c r="E862" s="38" t="str">
        <f>_xlfn.XLOOKUP(Customer[[#This Row],[Customer ID]],[1]!Address[ID],[1]!Address[Full Address])</f>
        <v>1ST FLOOR, RIGHT PORTION, LOT 16,BLOCK CSEDCO SHOPHOUSE PHASE 1, JALAN LILY,9110</v>
      </c>
      <c r="F862" s="12" t="s">
        <v>6109</v>
      </c>
      <c r="G862" s="12" t="s">
        <v>6110</v>
      </c>
      <c r="H862" s="12" t="s">
        <v>6111</v>
      </c>
      <c r="I862" s="12" t="b">
        <f>ISNUMBER(VALUE(LEFT(Customer[[#This Row],[Address Line 3 (30 char)]],1)))</f>
        <v>0</v>
      </c>
      <c r="J862" s="12" t="s">
        <v>355</v>
      </c>
      <c r="K862" s="42" t="s">
        <v>6112</v>
      </c>
      <c r="L862" s="12" t="s">
        <v>35</v>
      </c>
      <c r="M862" s="13" t="e">
        <v>#N/A</v>
      </c>
      <c r="N862" s="14" t="e">
        <v>#N/A</v>
      </c>
      <c r="O862" s="14" t="e">
        <v>#N/A</v>
      </c>
      <c r="P862" s="14" t="e">
        <v>#N/A</v>
      </c>
      <c r="Q862" s="14" t="e">
        <v>#N/A</v>
      </c>
      <c r="R862" s="15" t="s">
        <v>6113</v>
      </c>
      <c r="S862" s="15" t="s">
        <v>3476</v>
      </c>
      <c r="T862" s="16" t="s">
        <v>3477</v>
      </c>
      <c r="U862" s="11" t="str">
        <f>_xlfn.XLOOKUP(Customer[[#This Row],[Customer ID]],[1]!Address[ID],[1]!Address[Phone No.(2)])</f>
        <v/>
      </c>
      <c r="V862" s="11" t="str">
        <f>_xlfn.XLOOKUP(Customer[[#This Row],[Customer ID]],[1]!Address[ID],[1]!Address[Type])</f>
        <v>PH</v>
      </c>
      <c r="W862" s="11" t="str">
        <f>_xlfn.XLOOKUP(Customer[[#This Row],[Customer ID]],[1]!Address[ID],[1]!Address[CT])</f>
        <v>30 DAYS</v>
      </c>
      <c r="X862" s="11"/>
      <c r="Y862" s="17" t="s">
        <v>5955</v>
      </c>
      <c r="Z862" s="17" t="e">
        <f>_xlfn.XLOOKUP(Customer[[#This Row],[NewType]],$AF$36:$AF$54,$AG$36:$AG$54)</f>
        <v>#N/A</v>
      </c>
      <c r="AA862" s="17" t="s">
        <v>6114</v>
      </c>
      <c r="AB862" s="11" t="str">
        <f>_xlfn.XLOOKUP(Customer[[#This Row],[Customer ID]],[1]!Address[ID],[1]!Address[Subtype])</f>
        <v>CAREPHARM</v>
      </c>
      <c r="AC862" s="18" t="str">
        <f>_xlfn.XLOOKUP(Customer[[#This Row],[Customer ID]],[1]!Address[ID],[1]!Address[Zone])</f>
        <v>1284616-XEUDCOH</v>
      </c>
    </row>
    <row r="863" spans="1:29" x14ac:dyDescent="0.3">
      <c r="A863" s="37" t="s">
        <v>6115</v>
      </c>
      <c r="B863" s="38" t="str">
        <f>_xlfn.XLOOKUP(Customer[[#This Row],[Customer ID]],[1]!Name[ID],[1]!Name[Description(1)])</f>
        <v>CATERING THE PUYUH</v>
      </c>
      <c r="C863" s="38" t="str">
        <f>_xlfn.XLOOKUP(Customer[[#This Row],[Customer ID]],[1]!Name[ID],[1]!Name[Description(2)])</f>
        <v/>
      </c>
      <c r="D863" s="38" t="str">
        <f>_xlfn.XLOOKUP(Customer[[#This Row],[Customer ID]],[1]!Address[ID],[1]!Address[PIC])</f>
        <v/>
      </c>
      <c r="E863" s="38" t="str">
        <f>_xlfn.XLOOKUP(Customer[[#This Row],[Customer ID]],[1]!Address[ID],[1]!Address[Full Address])</f>
        <v>NO.9 JALAN SUADAMAI 2/2ABANDAR TUN HUSSIEN ONN CHERAS,.</v>
      </c>
      <c r="F863" s="12" t="s">
        <v>6116</v>
      </c>
      <c r="G863" s="12" t="s">
        <v>6117</v>
      </c>
      <c r="H863" s="12" t="s">
        <v>5973</v>
      </c>
      <c r="I863" s="12" t="b">
        <f>ISNUMBER(VALUE(LEFT(Customer[[#This Row],[Address Line 3 (30 char)]],1)))</f>
        <v>0</v>
      </c>
      <c r="J863" s="12" t="s">
        <v>172</v>
      </c>
      <c r="K863" s="12">
        <v>43200</v>
      </c>
      <c r="L863" s="12" t="s">
        <v>35</v>
      </c>
      <c r="M863" s="13" t="e">
        <v>#N/A</v>
      </c>
      <c r="N863" s="14" t="e">
        <v>#N/A</v>
      </c>
      <c r="O863" s="14" t="e">
        <v>#N/A</v>
      </c>
      <c r="P863" s="14" t="e">
        <v>#N/A</v>
      </c>
      <c r="Q863" s="19" t="s">
        <v>6118</v>
      </c>
      <c r="R863" s="15" t="s">
        <v>6119</v>
      </c>
      <c r="S863" s="15" t="s">
        <v>5934</v>
      </c>
      <c r="T863" s="16" t="s">
        <v>3477</v>
      </c>
      <c r="U863" s="11" t="str">
        <f>_xlfn.XLOOKUP(Customer[[#This Row],[Customer ID]],[1]!Address[ID],[1]!Address[Phone No.(2)])</f>
        <v/>
      </c>
      <c r="V863" s="11" t="str">
        <f>_xlfn.XLOOKUP(Customer[[#This Row],[Customer ID]],[1]!Address[ID],[1]!Address[Type])</f>
        <v>HOCA</v>
      </c>
      <c r="W863" s="11" t="str">
        <f>_xlfn.XLOOKUP(Customer[[#This Row],[Customer ID]],[1]!Address[ID],[1]!Address[CT])</f>
        <v>30 DAYS</v>
      </c>
      <c r="X863" s="11"/>
      <c r="Y863" s="17" t="s">
        <v>6028</v>
      </c>
      <c r="Z863" s="17" t="e">
        <f>_xlfn.XLOOKUP(Customer[[#This Row],[NewType]],$AF$36:$AF$54,$AG$36:$AG$54)</f>
        <v>#N/A</v>
      </c>
      <c r="AA863" s="17" t="s">
        <v>6120</v>
      </c>
      <c r="AB863" s="11" t="str">
        <f>_xlfn.XLOOKUP(Customer[[#This Row],[Customer ID]],[1]!Address[ID],[1]!Address[Subtype])</f>
        <v>CATERING</v>
      </c>
      <c r="AC863" s="18" t="str">
        <f>_xlfn.XLOOKUP(Customer[[#This Row],[Customer ID]],[1]!Address[ID],[1]!Address[Zone])</f>
        <v>CENTRAL</v>
      </c>
    </row>
    <row r="864" spans="1:29" x14ac:dyDescent="0.3">
      <c r="A864" s="37" t="s">
        <v>6121</v>
      </c>
      <c r="B864" s="38" t="str">
        <f>_xlfn.XLOOKUP(Customer[[#This Row],[Customer ID]],[1]!Name[ID],[1]!Name[Description(1)])</f>
        <v>COOP MART</v>
      </c>
      <c r="C864" s="38" t="str">
        <f>_xlfn.XLOOKUP(Customer[[#This Row],[Customer ID]],[1]!Name[ID],[1]!Name[Description(2)])</f>
        <v>KOPERASI MATRADE KUALA LUMPUR BERHAD MEN</v>
      </c>
      <c r="D864" s="38" t="str">
        <f>_xlfn.XLOOKUP(Customer[[#This Row],[Customer ID]],[1]!Address[ID],[1]!Address[PIC])</f>
        <v/>
      </c>
      <c r="E864" s="38" t="str">
        <f>_xlfn.XLOOKUP(Customer[[#This Row],[Customer ID]],[1]!Address[ID],[1]!Address[Full Address])</f>
        <v>GROUND FLOOR, WEST WING,MENARA MATRADE,JALAN SULTAN HAJI AHMAD SHAH,50480 KUALA LUMPUR</v>
      </c>
      <c r="F864" s="12" t="s">
        <v>6122</v>
      </c>
      <c r="G864" s="12" t="s">
        <v>6123</v>
      </c>
      <c r="H864" s="12" t="s">
        <v>6124</v>
      </c>
      <c r="I864" s="12" t="b">
        <f>ISNUMBER(VALUE(LEFT(Customer[[#This Row],[Address Line 3 (30 char)]],1)))</f>
        <v>0</v>
      </c>
      <c r="J864" s="12" t="s">
        <v>34</v>
      </c>
      <c r="K864" s="12">
        <v>50480</v>
      </c>
      <c r="L864" s="12" t="s">
        <v>35</v>
      </c>
      <c r="M864" s="13" t="e">
        <v>#N/A</v>
      </c>
      <c r="N864" s="14" t="e">
        <v>#N/A</v>
      </c>
      <c r="O864" s="14" t="e">
        <v>#N/A</v>
      </c>
      <c r="P864" s="14" t="e">
        <v>#N/A</v>
      </c>
      <c r="Q864" s="14" t="e">
        <v>#N/A</v>
      </c>
      <c r="R864" s="15" t="s">
        <v>6125</v>
      </c>
      <c r="S864" s="15" t="s">
        <v>5925</v>
      </c>
      <c r="T864" s="16" t="s">
        <v>3477</v>
      </c>
      <c r="U864" s="11" t="str">
        <f>_xlfn.XLOOKUP(Customer[[#This Row],[Customer ID]],[1]!Address[ID],[1]!Address[Phone No.(2)])</f>
        <v/>
      </c>
      <c r="V864" s="11" t="str">
        <f>_xlfn.XLOOKUP(Customer[[#This Row],[Customer ID]],[1]!Address[ID],[1]!Address[Type])</f>
        <v>KOOP</v>
      </c>
      <c r="W864" s="11" t="str">
        <f>_xlfn.XLOOKUP(Customer[[#This Row],[Customer ID]],[1]!Address[ID],[1]!Address[CT])</f>
        <v>30 DAYS</v>
      </c>
      <c r="X864" s="11"/>
      <c r="Y864" s="17" t="s">
        <v>6126</v>
      </c>
      <c r="Z864" s="17" t="e">
        <f>_xlfn.XLOOKUP(Customer[[#This Row],[NewType]],$AF$36:$AF$54,$AG$36:$AG$54)</f>
        <v>#N/A</v>
      </c>
      <c r="AA864" s="17" t="s">
        <v>6127</v>
      </c>
      <c r="AB864" s="11" t="str">
        <f>_xlfn.XLOOKUP(Customer[[#This Row],[Customer ID]],[1]!Address[ID],[1]!Address[Subtype])</f>
        <v>COOP MART</v>
      </c>
      <c r="AC864" s="18" t="str">
        <f>_xlfn.XLOOKUP(Customer[[#This Row],[Customer ID]],[1]!Address[ID],[1]!Address[Zone])</f>
        <v>CENTRAL</v>
      </c>
    </row>
    <row r="865" spans="1:29" x14ac:dyDescent="0.3">
      <c r="A865" s="37" t="s">
        <v>6128</v>
      </c>
      <c r="B865" s="38" t="str">
        <f>_xlfn.XLOOKUP(Customer[[#This Row],[Customer ID]],[1]!Name[ID],[1]!Name[Description(1)])</f>
        <v>COPA CAFE</v>
      </c>
      <c r="C865" s="38" t="str">
        <f>_xlfn.XLOOKUP(Customer[[#This Row],[Customer ID]],[1]!Name[ID],[1]!Name[Description(2)])</f>
        <v>PLUS</v>
      </c>
      <c r="D865" s="38" t="str">
        <f>_xlfn.XLOOKUP(Customer[[#This Row],[Customer ID]],[1]!Address[ID],[1]!Address[PIC])</f>
        <v/>
      </c>
      <c r="E865" s="38" t="str">
        <f>_xlfn.XLOOKUP(Customer[[#This Row],[Customer ID]],[1]!Address[ID],[1]!Address[Full Address])</f>
        <v>NO.5, R&amp;R NILAI ARAH SELATAN,LEBUHRAYA PLUS UTARA-SELATAN,71800 NEGERI SEMBILAN</v>
      </c>
      <c r="F865" s="12" t="s">
        <v>6129</v>
      </c>
      <c r="G865" s="12" t="s">
        <v>6130</v>
      </c>
      <c r="H865" s="24" t="s">
        <v>6131</v>
      </c>
      <c r="I865" s="24" t="b">
        <f>ISNUMBER(VALUE(LEFT(Customer[[#This Row],[Address Line 3 (30 char)]],1)))</f>
        <v>0</v>
      </c>
      <c r="J865" s="12" t="s">
        <v>203</v>
      </c>
      <c r="K865" s="12">
        <v>71800</v>
      </c>
      <c r="L865" s="12" t="s">
        <v>35</v>
      </c>
      <c r="M865" s="13" t="e">
        <v>#N/A</v>
      </c>
      <c r="N865" s="14" t="e">
        <v>#N/A</v>
      </c>
      <c r="O865" s="14" t="e">
        <v>#N/A</v>
      </c>
      <c r="P865" s="14" t="e">
        <v>#N/A</v>
      </c>
      <c r="Q865" s="14" t="e">
        <v>#N/A</v>
      </c>
      <c r="R865" s="15" t="s">
        <v>36</v>
      </c>
      <c r="S865" s="15" t="s">
        <v>5925</v>
      </c>
      <c r="T865" s="16" t="s">
        <v>3477</v>
      </c>
      <c r="U865" s="11" t="str">
        <f>_xlfn.XLOOKUP(Customer[[#This Row],[Customer ID]],[1]!Address[ID],[1]!Address[Phone No.(2)])</f>
        <v/>
      </c>
      <c r="V865" s="11" t="str">
        <f>_xlfn.XLOOKUP(Customer[[#This Row],[Customer ID]],[1]!Address[ID],[1]!Address[Type])</f>
        <v>CAFE</v>
      </c>
      <c r="W865" s="11" t="str">
        <f>_xlfn.XLOOKUP(Customer[[#This Row],[Customer ID]],[1]!Address[ID],[1]!Address[CT])</f>
        <v>30 DAYS</v>
      </c>
      <c r="X865" s="11"/>
      <c r="Y865" s="17" t="s">
        <v>5926</v>
      </c>
      <c r="Z865" s="17" t="e">
        <f>_xlfn.XLOOKUP(Customer[[#This Row],[NewType]],$AF$36:$AF$54,$AG$36:$AG$54)</f>
        <v>#N/A</v>
      </c>
      <c r="AA865" s="17" t="s">
        <v>6132</v>
      </c>
      <c r="AB865" s="11" t="str">
        <f>_xlfn.XLOOKUP(Customer[[#This Row],[Customer ID]],[1]!Address[ID],[1]!Address[Subtype])</f>
        <v>PLUS</v>
      </c>
      <c r="AC865" s="18" t="str">
        <f>_xlfn.XLOOKUP(Customer[[#This Row],[Customer ID]],[1]!Address[ID],[1]!Address[Zone])</f>
        <v>CENTRAL</v>
      </c>
    </row>
    <row r="866" spans="1:29" x14ac:dyDescent="0.3">
      <c r="A866" s="37" t="s">
        <v>6133</v>
      </c>
      <c r="B866" s="38" t="str">
        <f>_xlfn.XLOOKUP(Customer[[#This Row],[Customer ID]],[1]!Name[ID],[1]!Name[Description(1)])</f>
        <v>COSMOS 165 PHARMACY</v>
      </c>
      <c r="C866" s="38" t="str">
        <f>_xlfn.XLOOKUP(Customer[[#This Row],[Customer ID]],[1]!Name[ID],[1]!Name[Description(2)])</f>
        <v/>
      </c>
      <c r="D866" s="38" t="str">
        <f>_xlfn.XLOOKUP(Customer[[#This Row],[Customer ID]],[1]!Address[ID],[1]!Address[PIC])</f>
        <v/>
      </c>
      <c r="E866" s="38" t="str">
        <f>_xlfn.XLOOKUP(Customer[[#This Row],[Customer ID]],[1]!Address[ID],[1]!Address[Full Address])</f>
        <v>9-1, JALAN ELEKTRON U16/D, DENAI ALAM,40160 SHAH ALAM SELANGOR</v>
      </c>
      <c r="F866" s="12" t="s">
        <v>6134</v>
      </c>
      <c r="G866" s="12" t="s">
        <v>6135</v>
      </c>
      <c r="H866" s="12" t="s">
        <v>6136</v>
      </c>
      <c r="I866" s="12" t="b">
        <f>ISNUMBER(VALUE(LEFT(Customer[[#This Row],[Address Line 3 (30 char)]],1)))</f>
        <v>0</v>
      </c>
      <c r="J866" s="12" t="s">
        <v>172</v>
      </c>
      <c r="K866" s="12">
        <v>40160</v>
      </c>
      <c r="L866" s="12" t="s">
        <v>35</v>
      </c>
      <c r="M866" s="13" t="e">
        <v>#N/A</v>
      </c>
      <c r="N866" s="14" t="e">
        <v>#N/A</v>
      </c>
      <c r="O866" s="14" t="e">
        <v>#N/A</v>
      </c>
      <c r="P866" s="14" t="e">
        <v>#N/A</v>
      </c>
      <c r="Q866" s="14" t="e">
        <v>#N/A</v>
      </c>
      <c r="R866" s="15" t="s">
        <v>6137</v>
      </c>
      <c r="S866" s="15" t="s">
        <v>3476</v>
      </c>
      <c r="T866" s="16" t="s">
        <v>3477</v>
      </c>
      <c r="U866" s="11" t="str">
        <f>_xlfn.XLOOKUP(Customer[[#This Row],[Customer ID]],[1]!Address[ID],[1]!Address[Phone No.(2)])</f>
        <v/>
      </c>
      <c r="V866" s="11" t="str">
        <f>_xlfn.XLOOKUP(Customer[[#This Row],[Customer ID]],[1]!Address[ID],[1]!Address[Type])</f>
        <v>PH</v>
      </c>
      <c r="W866" s="11" t="str">
        <f>_xlfn.XLOOKUP(Customer[[#This Row],[Customer ID]],[1]!Address[ID],[1]!Address[CT])</f>
        <v>30 DAYS</v>
      </c>
      <c r="X866" s="11"/>
      <c r="Y866" s="17" t="s">
        <v>5955</v>
      </c>
      <c r="Z866" s="17" t="e">
        <f>_xlfn.XLOOKUP(Customer[[#This Row],[NewType]],$AF$36:$AF$54,$AG$36:$AG$54)</f>
        <v>#N/A</v>
      </c>
      <c r="AA866" s="17" t="s">
        <v>6138</v>
      </c>
      <c r="AB866" s="11" t="str">
        <f>_xlfn.XLOOKUP(Customer[[#This Row],[Customer ID]],[1]!Address[ID],[1]!Address[Subtype])</f>
        <v>COSMOS</v>
      </c>
      <c r="AC866" s="18">
        <f>_xlfn.XLOOKUP(Customer[[#This Row],[Customer ID]],[1]!Address[ID],[1]!Address[Zone])</f>
        <v>0</v>
      </c>
    </row>
    <row r="867" spans="1:29" x14ac:dyDescent="0.3">
      <c r="A867" s="37" t="s">
        <v>6139</v>
      </c>
      <c r="B867" s="38" t="str">
        <f>_xlfn.XLOOKUP(Customer[[#This Row],[Customer ID]],[1]!Name[ID],[1]!Name[Description(1)])</f>
        <v>D'IMPIAN , LOT ME004 , HOSPITAL SELAYANG</v>
      </c>
      <c r="C867" s="38" t="str">
        <f>_xlfn.XLOOKUP(Customer[[#This Row],[Customer ID]],[1]!Name[ID],[1]!Name[Description(2)])</f>
        <v>THB GLOBAL VENTURE (M) SDN BHD (542036-M</v>
      </c>
      <c r="D867" s="38" t="str">
        <f>_xlfn.XLOOKUP(Customer[[#This Row],[Customer ID]],[1]!Address[ID],[1]!Address[PIC])</f>
        <v/>
      </c>
      <c r="E867" s="38" t="str">
        <f>_xlfn.XLOOKUP(Customer[[#This Row],[Customer ID]],[1]!Address[ID],[1]!Address[Full Address])</f>
        <v>LEBUHRAYA SELAYANG , KEPONG68100 SELAYANG, SELANGOR DARUL EHSAN</v>
      </c>
      <c r="F867" s="12" t="s">
        <v>6140</v>
      </c>
      <c r="G867" s="12" t="s">
        <v>6141</v>
      </c>
      <c r="H867" s="12" t="s">
        <v>36</v>
      </c>
      <c r="I867" s="12" t="b">
        <f>ISNUMBER(VALUE(LEFT(Customer[[#This Row],[Address Line 3 (30 char)]],1)))</f>
        <v>0</v>
      </c>
      <c r="J867" s="12" t="s">
        <v>1907</v>
      </c>
      <c r="K867" s="12">
        <v>68100</v>
      </c>
      <c r="L867" s="12" t="s">
        <v>35</v>
      </c>
      <c r="M867" s="13" t="e">
        <v>#N/A</v>
      </c>
      <c r="N867" s="14" t="e">
        <v>#N/A</v>
      </c>
      <c r="O867" s="14" t="e">
        <v>#N/A</v>
      </c>
      <c r="P867" s="14" t="e">
        <v>#N/A</v>
      </c>
      <c r="Q867" s="14" t="e">
        <v>#N/A</v>
      </c>
      <c r="R867" s="15" t="s">
        <v>6106</v>
      </c>
      <c r="S867" s="15" t="s">
        <v>3476</v>
      </c>
      <c r="T867" s="16" t="s">
        <v>3477</v>
      </c>
      <c r="U867" s="11" t="str">
        <f>_xlfn.XLOOKUP(Customer[[#This Row],[Customer ID]],[1]!Address[ID],[1]!Address[Phone No.(2)])</f>
        <v/>
      </c>
      <c r="V867" s="11" t="str">
        <f>_xlfn.XLOOKUP(Customer[[#This Row],[Customer ID]],[1]!Address[ID],[1]!Address[Type])</f>
        <v>CM</v>
      </c>
      <c r="W867" s="11" t="str">
        <f>_xlfn.XLOOKUP(Customer[[#This Row],[Customer ID]],[1]!Address[ID],[1]!Address[CT])</f>
        <v>30 DAYS</v>
      </c>
      <c r="X867" s="11"/>
      <c r="Y867" s="17" t="s">
        <v>5918</v>
      </c>
      <c r="Z867" s="17" t="e">
        <f>_xlfn.XLOOKUP(Customer[[#This Row],[NewType]],$AF$36:$AF$54,$AG$36:$AG$54)</f>
        <v>#N/A</v>
      </c>
      <c r="AA867" s="17" t="s">
        <v>6142</v>
      </c>
      <c r="AB867" s="11" t="str">
        <f>_xlfn.XLOOKUP(Customer[[#This Row],[Customer ID]],[1]!Address[ID],[1]!Address[Subtype])</f>
        <v>THB</v>
      </c>
      <c r="AC867" s="18" t="str">
        <f>_xlfn.XLOOKUP(Customer[[#This Row],[Customer ID]],[1]!Address[ID],[1]!Address[Zone])</f>
        <v>CENTRAL</v>
      </c>
    </row>
    <row r="868" spans="1:29" x14ac:dyDescent="0.3">
      <c r="A868" s="37" t="s">
        <v>6143</v>
      </c>
      <c r="B868" s="38" t="str">
        <f>_xlfn.XLOOKUP(Customer[[#This Row],[Customer ID]],[1]!Name[ID],[1]!Name[Description(1)])</f>
        <v>D'PUTRA SHOPPE, SG BULOH</v>
      </c>
      <c r="C868" s="38" t="str">
        <f>_xlfn.XLOOKUP(Customer[[#This Row],[Customer ID]],[1]!Name[ID],[1]!Name[Description(2)])</f>
        <v>THB GLOBAL VENTURE (M) SDN BHD (542036-M</v>
      </c>
      <c r="D868" s="38" t="str">
        <f>_xlfn.XLOOKUP(Customer[[#This Row],[Customer ID]],[1]!Address[ID],[1]!Address[PIC])</f>
        <v/>
      </c>
      <c r="E868" s="38" t="str">
        <f>_xlfn.XLOOKUP(Customer[[#This Row],[Customer ID]],[1]!Address[ID],[1]!Address[Full Address])</f>
        <v>BLOK G, ARAS 1, HOSPITAL SUNGAI BULOH,JALAN HOSPITAL, 47000 SUNGAI BULOH,SELANGOR</v>
      </c>
      <c r="F868" s="12" t="s">
        <v>6144</v>
      </c>
      <c r="G868" s="12" t="s">
        <v>6145</v>
      </c>
      <c r="H868" s="12" t="s">
        <v>6146</v>
      </c>
      <c r="I868" s="12" t="b">
        <f>ISNUMBER(VALUE(LEFT(Customer[[#This Row],[Address Line 3 (30 char)]],1)))</f>
        <v>0</v>
      </c>
      <c r="J868" s="12" t="s">
        <v>172</v>
      </c>
      <c r="K868" s="12">
        <v>47000</v>
      </c>
      <c r="L868" s="12" t="s">
        <v>35</v>
      </c>
      <c r="M868" s="13" t="e">
        <v>#N/A</v>
      </c>
      <c r="N868" s="14" t="e">
        <v>#N/A</v>
      </c>
      <c r="O868" s="14" t="e">
        <v>#N/A</v>
      </c>
      <c r="P868" s="14" t="e">
        <v>#N/A</v>
      </c>
      <c r="Q868" s="14" t="e">
        <v>#N/A</v>
      </c>
      <c r="R868" s="15" t="s">
        <v>6147</v>
      </c>
      <c r="S868" s="15" t="s">
        <v>3476</v>
      </c>
      <c r="T868" s="16" t="s">
        <v>3477</v>
      </c>
      <c r="U868" s="11" t="str">
        <f>_xlfn.XLOOKUP(Customer[[#This Row],[Customer ID]],[1]!Address[ID],[1]!Address[Phone No.(2)])</f>
        <v/>
      </c>
      <c r="V868" s="11" t="str">
        <f>_xlfn.XLOOKUP(Customer[[#This Row],[Customer ID]],[1]!Address[ID],[1]!Address[Type])</f>
        <v>CM</v>
      </c>
      <c r="W868" s="11" t="str">
        <f>_xlfn.XLOOKUP(Customer[[#This Row],[Customer ID]],[1]!Address[ID],[1]!Address[CT])</f>
        <v>30 DAYS</v>
      </c>
      <c r="X868" s="11"/>
      <c r="Y868" s="17" t="s">
        <v>5918</v>
      </c>
      <c r="Z868" s="17" t="e">
        <f>_xlfn.XLOOKUP(Customer[[#This Row],[NewType]],$AF$36:$AF$54,$AG$36:$AG$54)</f>
        <v>#N/A</v>
      </c>
      <c r="AA868" s="17" t="s">
        <v>6148</v>
      </c>
      <c r="AB868" s="11" t="str">
        <f>_xlfn.XLOOKUP(Customer[[#This Row],[Customer ID]],[1]!Address[ID],[1]!Address[Subtype])</f>
        <v>THB</v>
      </c>
      <c r="AC868" s="18" t="str">
        <f>_xlfn.XLOOKUP(Customer[[#This Row],[Customer ID]],[1]!Address[ID],[1]!Address[Zone])</f>
        <v>HBAULANH</v>
      </c>
    </row>
    <row r="869" spans="1:29" x14ac:dyDescent="0.3">
      <c r="A869" s="37" t="s">
        <v>6149</v>
      </c>
      <c r="B869" s="38" t="str">
        <f>_xlfn.XLOOKUP(Customer[[#This Row],[Customer ID]],[1]!Name[ID],[1]!Name[Description(1)])</f>
        <v>DEENONA CAFE</v>
      </c>
      <c r="C869" s="38" t="str">
        <f>_xlfn.XLOOKUP(Customer[[#This Row],[Customer ID]],[1]!Name[ID],[1]!Name[Description(2)])</f>
        <v>SELIHUDIN ENTERPRISE (PLUS)</v>
      </c>
      <c r="D869" s="38" t="str">
        <f>_xlfn.XLOOKUP(Customer[[#This Row],[Customer ID]],[1]!Address[ID],[1]!Address[PIC])</f>
        <v/>
      </c>
      <c r="E869" s="38" t="str">
        <f>_xlfn.XLOOKUP(Customer[[#This Row],[Customer ID]],[1]!Address[ID],[1]!Address[Full Address])</f>
        <v>NO 5, HENTIAN SEBELAH TAIPINGARAH SELATAN, 34700 TAIPING, PERAK</v>
      </c>
      <c r="F869" s="12" t="s">
        <v>6150</v>
      </c>
      <c r="G869" s="12" t="s">
        <v>6151</v>
      </c>
      <c r="H869" s="12" t="s">
        <v>36</v>
      </c>
      <c r="I869" s="12" t="b">
        <f>ISNUMBER(VALUE(LEFT(Customer[[#This Row],[Address Line 3 (30 char)]],1)))</f>
        <v>0</v>
      </c>
      <c r="J869" s="12" t="s">
        <v>387</v>
      </c>
      <c r="K869" s="12">
        <v>34700</v>
      </c>
      <c r="L869" s="12" t="s">
        <v>35</v>
      </c>
      <c r="M869" s="13" t="e">
        <v>#N/A</v>
      </c>
      <c r="N869" s="14" t="e">
        <v>#N/A</v>
      </c>
      <c r="O869" s="14" t="e">
        <v>#N/A</v>
      </c>
      <c r="P869" s="14" t="e">
        <v>#N/A</v>
      </c>
      <c r="Q869" s="14" t="e">
        <v>#N/A</v>
      </c>
      <c r="R869" s="15" t="s">
        <v>6152</v>
      </c>
      <c r="S869" s="15" t="s">
        <v>5925</v>
      </c>
      <c r="T869" s="16" t="s">
        <v>3477</v>
      </c>
      <c r="U869" s="11" t="str">
        <f>_xlfn.XLOOKUP(Customer[[#This Row],[Customer ID]],[1]!Address[ID],[1]!Address[Phone No.(2)])</f>
        <v/>
      </c>
      <c r="V869" s="11" t="str">
        <f>_xlfn.XLOOKUP(Customer[[#This Row],[Customer ID]],[1]!Address[ID],[1]!Address[Type])</f>
        <v>CAFE</v>
      </c>
      <c r="W869" s="11" t="str">
        <f>_xlfn.XLOOKUP(Customer[[#This Row],[Customer ID]],[1]!Address[ID],[1]!Address[CT])</f>
        <v>30 DAYS</v>
      </c>
      <c r="X869" s="11"/>
      <c r="Y869" s="17" t="s">
        <v>5926</v>
      </c>
      <c r="Z869" s="17" t="e">
        <f>_xlfn.XLOOKUP(Customer[[#This Row],[NewType]],$AF$36:$AF$54,$AG$36:$AG$54)</f>
        <v>#N/A</v>
      </c>
      <c r="AA869" s="17" t="s">
        <v>6153</v>
      </c>
      <c r="AB869" s="11" t="str">
        <f>_xlfn.XLOOKUP(Customer[[#This Row],[Customer ID]],[1]!Address[ID],[1]!Address[Subtype])</f>
        <v>PLUS</v>
      </c>
      <c r="AC869" s="18" t="str">
        <f>_xlfn.XLOOKUP(Customer[[#This Row],[Customer ID]],[1]!Address[ID],[1]!Address[Zone])</f>
        <v>NORTH</v>
      </c>
    </row>
    <row r="870" spans="1:29" x14ac:dyDescent="0.3">
      <c r="A870" s="37" t="s">
        <v>6154</v>
      </c>
      <c r="B870" s="38" t="str">
        <f>_xlfn.XLOOKUP(Customer[[#This Row],[Customer ID]],[1]!Name[ID],[1]!Name[Description(1)])</f>
        <v>THB GLOBAL VENTURE (M) SDN BHD (542036-M</v>
      </c>
      <c r="C870" s="38" t="str">
        <f>_xlfn.XLOOKUP(Customer[[#This Row],[Customer ID]],[1]!Name[ID],[1]!Name[Description(2)])</f>
        <v>KOTA WARISAN</v>
      </c>
      <c r="D870" s="38" t="str">
        <f>_xlfn.XLOOKUP(Customer[[#This Row],[Customer ID]],[1]!Address[ID],[1]!Address[PIC])</f>
        <v/>
      </c>
      <c r="E870" s="38" t="str">
        <f>_xlfn.XLOOKUP(Customer[[#This Row],[Customer ID]],[1]!Address[ID],[1]!Address[Full Address])</f>
        <v>DISTRIBUTION CENTER KOTA WARISANNO.65 JALAN GEMILANG 1, PUSAT PERNIAGAAN43900 SEPANG, SELANGOR.</v>
      </c>
      <c r="F870" s="12" t="s">
        <v>6155</v>
      </c>
      <c r="G870" s="12" t="s">
        <v>6156</v>
      </c>
      <c r="H870" s="12" t="s">
        <v>6157</v>
      </c>
      <c r="I870" s="12" t="b">
        <f>ISNUMBER(VALUE(LEFT(Customer[[#This Row],[Address Line 3 (30 char)]],1)))</f>
        <v>0</v>
      </c>
      <c r="J870" s="12" t="s">
        <v>172</v>
      </c>
      <c r="K870" s="12">
        <v>43900</v>
      </c>
      <c r="L870" s="12" t="s">
        <v>35</v>
      </c>
      <c r="M870" s="13" t="e">
        <v>#N/A</v>
      </c>
      <c r="N870" s="14" t="e">
        <v>#N/A</v>
      </c>
      <c r="O870" s="14" t="e">
        <v>#N/A</v>
      </c>
      <c r="P870" s="14" t="e">
        <v>#N/A</v>
      </c>
      <c r="Q870" s="19" t="s">
        <v>6158</v>
      </c>
      <c r="R870" s="15" t="s">
        <v>6159</v>
      </c>
      <c r="S870" s="15" t="s">
        <v>3476</v>
      </c>
      <c r="T870" s="16" t="s">
        <v>3477</v>
      </c>
      <c r="U870" s="11" t="str">
        <f>_xlfn.XLOOKUP(Customer[[#This Row],[Customer ID]],[1]!Address[ID],[1]!Address[Phone No.(2)])</f>
        <v/>
      </c>
      <c r="V870" s="11" t="str">
        <f>_xlfn.XLOOKUP(Customer[[#This Row],[Customer ID]],[1]!Address[ID],[1]!Address[Type])</f>
        <v>CM</v>
      </c>
      <c r="W870" s="11" t="str">
        <f>_xlfn.XLOOKUP(Customer[[#This Row],[Customer ID]],[1]!Address[ID],[1]!Address[CT])</f>
        <v>30 DAYS</v>
      </c>
      <c r="X870" s="11"/>
      <c r="Y870" s="17" t="s">
        <v>5918</v>
      </c>
      <c r="Z870" s="17" t="e">
        <f>_xlfn.XLOOKUP(Customer[[#This Row],[NewType]],$AF$36:$AF$54,$AG$36:$AG$54)</f>
        <v>#N/A</v>
      </c>
      <c r="AA870" s="17" t="s">
        <v>6160</v>
      </c>
      <c r="AB870" s="11" t="str">
        <f>_xlfn.XLOOKUP(Customer[[#This Row],[Customer ID]],[1]!Address[ID],[1]!Address[Subtype])</f>
        <v>THB</v>
      </c>
      <c r="AC870" s="18" t="str">
        <f>_xlfn.XLOOKUP(Customer[[#This Row],[Customer ID]],[1]!Address[ID],[1]!Address[Zone])</f>
        <v>CENTRAL</v>
      </c>
    </row>
    <row r="871" spans="1:29" x14ac:dyDescent="0.3">
      <c r="A871" s="10" t="s">
        <v>6161</v>
      </c>
      <c r="B871" s="11" t="str">
        <f>_xlfn.XLOOKUP(Customer[[#This Row],[Customer ID]],[1]!Name[ID],[1]!Name[Description(1)])</f>
        <v>DR KHAIRUL HILMI - TOURISM</v>
      </c>
      <c r="C871" s="38" t="str">
        <f>_xlfn.XLOOKUP(Customer[[#This Row],[Customer ID]],[1]!Name[ID],[1]!Name[Description(2)])</f>
        <v/>
      </c>
      <c r="D871" s="38" t="str">
        <f>_xlfn.XLOOKUP(Customer[[#This Row],[Customer ID]],[1]!Address[ID],[1]!Address[PIC])</f>
        <v/>
      </c>
      <c r="E871" s="38" t="str">
        <f>_xlfn.XLOOKUP(Customer[[#This Row],[Customer ID]],[1]!Address[ID],[1]!Address[Full Address])</f>
        <v>NO 55 JALAN WIRAWATI 8,TAMAN MALURI,55100 KUALA LUMPUR</v>
      </c>
      <c r="F871" s="12" t="s">
        <v>6162</v>
      </c>
      <c r="G871" s="12" t="s">
        <v>6163</v>
      </c>
      <c r="H871" s="24"/>
      <c r="I871" s="24" t="b">
        <f>ISNUMBER(VALUE(LEFT(Customer[[#This Row],[Address Line 3 (30 char)]],1)))</f>
        <v>0</v>
      </c>
      <c r="J871" s="12" t="s">
        <v>34</v>
      </c>
      <c r="K871" s="12">
        <v>55100</v>
      </c>
      <c r="L871" s="12" t="s">
        <v>35</v>
      </c>
      <c r="M871" s="13" t="e">
        <v>#N/A</v>
      </c>
      <c r="N871" s="14" t="e">
        <v>#N/A</v>
      </c>
      <c r="O871" s="14" t="e">
        <v>#N/A</v>
      </c>
      <c r="P871" s="14" t="e">
        <v>#N/A</v>
      </c>
      <c r="Q871" s="19" t="s">
        <v>6164</v>
      </c>
      <c r="R871" s="15" t="s">
        <v>6165</v>
      </c>
      <c r="S871" s="15" t="s">
        <v>5934</v>
      </c>
      <c r="T871" s="16" t="s">
        <v>3477</v>
      </c>
      <c r="U871" s="11" t="str">
        <f>_xlfn.XLOOKUP(Customer[[#This Row],[Customer ID]],[1]!Address[ID],[1]!Address[Phone No.(2)])</f>
        <v/>
      </c>
      <c r="V871" s="11" t="str">
        <f>_xlfn.XLOOKUP(Customer[[#This Row],[Customer ID]],[1]!Address[ID],[1]!Address[Type])</f>
        <v>SOCMED</v>
      </c>
      <c r="W871" s="11" t="str">
        <f>_xlfn.XLOOKUP(Customer[[#This Row],[Customer ID]],[1]!Address[ID],[1]!Address[CT])</f>
        <v>30 DAYS</v>
      </c>
      <c r="X871" s="11"/>
      <c r="Y871" s="17" t="s">
        <v>90</v>
      </c>
      <c r="Z871" s="17" t="e">
        <f>_xlfn.XLOOKUP(Customer[[#This Row],[NewType]],$AF$36:$AF$54,$AG$36:$AG$54)</f>
        <v>#N/A</v>
      </c>
      <c r="AA871" s="17" t="s">
        <v>6166</v>
      </c>
      <c r="AB871" s="11" t="str">
        <f>_xlfn.XLOOKUP(Customer[[#This Row],[Customer ID]],[1]!Address[ID],[1]!Address[Subtype])</f>
        <v>WHATSAPP</v>
      </c>
      <c r="AC871" s="18" t="str">
        <f>_xlfn.XLOOKUP(Customer[[#This Row],[Customer ID]],[1]!Address[ID],[1]!Address[Zone])</f>
        <v>CENTRAL</v>
      </c>
    </row>
    <row r="872" spans="1:29" x14ac:dyDescent="0.3">
      <c r="A872" s="37" t="s">
        <v>6167</v>
      </c>
      <c r="B872" s="38" t="str">
        <f>_xlfn.XLOOKUP(Customer[[#This Row],[Customer ID]],[1]!Name[ID],[1]!Name[Description(1)])</f>
        <v>ECO EXPERT RESOURCES</v>
      </c>
      <c r="C872" s="38" t="str">
        <f>_xlfn.XLOOKUP(Customer[[#This Row],[Customer ID]],[1]!Name[ID],[1]!Name[Description(2)])</f>
        <v/>
      </c>
      <c r="D872" s="38" t="str">
        <f>_xlfn.XLOOKUP(Customer[[#This Row],[Customer ID]],[1]!Address[ID],[1]!Address[PIC])</f>
        <v/>
      </c>
      <c r="E872" s="38" t="str">
        <f>_xlfn.XLOOKUP(Customer[[#This Row],[Customer ID]],[1]!Address[ID],[1]!Address[Full Address])</f>
        <v>NO 212, BLOK 12, PANGSAPURI RIMAUPERDANA, SEKSYEN 32, 40460 SHAH ALAM,SELANGOR</v>
      </c>
      <c r="F872" s="12" t="s">
        <v>6168</v>
      </c>
      <c r="G872" s="12" t="s">
        <v>6169</v>
      </c>
      <c r="H872" s="12" t="s">
        <v>6170</v>
      </c>
      <c r="I872" s="12" t="b">
        <f>ISNUMBER(VALUE(LEFT(Customer[[#This Row],[Address Line 3 (30 char)]],1)))</f>
        <v>0</v>
      </c>
      <c r="J872" s="12" t="s">
        <v>172</v>
      </c>
      <c r="K872" s="12">
        <v>40460</v>
      </c>
      <c r="L872" s="12" t="s">
        <v>35</v>
      </c>
      <c r="M872" s="13" t="e">
        <v>#N/A</v>
      </c>
      <c r="N872" s="14" t="e">
        <v>#N/A</v>
      </c>
      <c r="O872" s="14" t="e">
        <v>#N/A</v>
      </c>
      <c r="P872" s="14" t="e">
        <v>#N/A</v>
      </c>
      <c r="Q872" s="19" t="s">
        <v>6171</v>
      </c>
      <c r="R872" s="15" t="s">
        <v>6172</v>
      </c>
      <c r="S872" s="15" t="s">
        <v>5934</v>
      </c>
      <c r="T872" s="16" t="s">
        <v>3477</v>
      </c>
      <c r="U872" s="11" t="str">
        <f>_xlfn.XLOOKUP(Customer[[#This Row],[Customer ID]],[1]!Address[ID],[1]!Address[Phone No.(2)])</f>
        <v/>
      </c>
      <c r="V872" s="11" t="str">
        <f>_xlfn.XLOOKUP(Customer[[#This Row],[Customer ID]],[1]!Address[ID],[1]!Address[Type])</f>
        <v>CM</v>
      </c>
      <c r="W872" s="11" t="str">
        <f>_xlfn.XLOOKUP(Customer[[#This Row],[Customer ID]],[1]!Address[ID],[1]!Address[CT])</f>
        <v>CASH</v>
      </c>
      <c r="X872" s="11"/>
      <c r="Y872" s="17" t="s">
        <v>5918</v>
      </c>
      <c r="Z872" s="17" t="e">
        <f>_xlfn.XLOOKUP(Customer[[#This Row],[NewType]],$AF$36:$AF$54,$AG$36:$AG$54)</f>
        <v>#N/A</v>
      </c>
      <c r="AA872" s="17" t="s">
        <v>6173</v>
      </c>
      <c r="AB872" s="11" t="str">
        <f>_xlfn.XLOOKUP(Customer[[#This Row],[Customer ID]],[1]!Address[ID],[1]!Address[Subtype])</f>
        <v>ECO EXPERT</v>
      </c>
      <c r="AC872" s="18">
        <f>_xlfn.XLOOKUP(Customer[[#This Row],[Customer ID]],[1]!Address[ID],[1]!Address[Zone])</f>
        <v>0</v>
      </c>
    </row>
    <row r="873" spans="1:29" x14ac:dyDescent="0.3">
      <c r="A873" s="37" t="s">
        <v>6174</v>
      </c>
      <c r="B873" s="38" t="str">
        <f>_xlfn.XLOOKUP(Customer[[#This Row],[Customer ID]],[1]!Name[ID],[1]!Name[Description(1)])</f>
        <v>EMART24 - TASCO BERHAD SALC C</v>
      </c>
      <c r="C873" s="38" t="str">
        <f>_xlfn.XLOOKUP(Customer[[#This Row],[Customer ID]],[1]!Name[ID],[1]!Name[Description(2)])</f>
        <v>EMART24 HOLDINGS SDN BHD</v>
      </c>
      <c r="D873" s="38" t="str">
        <f>_xlfn.XLOOKUP(Customer[[#This Row],[Customer ID]],[1]!Address[ID],[1]!Address[PIC])</f>
        <v/>
      </c>
      <c r="E873" s="38" t="str">
        <f>_xlfn.XLOOKUP(Customer[[#This Row],[Customer ID]],[1]!Address[ID],[1]!Address[Full Address])</f>
        <v>LOT NO. 1A, PERSIARAN JUBLI PERAK,JALAN 22/1, SEKSYEN 22,40300 SHAH ALAM,</v>
      </c>
      <c r="F873" s="12" t="s">
        <v>6175</v>
      </c>
      <c r="G873" s="12" t="s">
        <v>6176</v>
      </c>
      <c r="H873" s="12" t="s">
        <v>6177</v>
      </c>
      <c r="I873" s="12" t="b">
        <f>ISNUMBER(VALUE(LEFT(Customer[[#This Row],[Address Line 3 (30 char)]],1)))</f>
        <v>0</v>
      </c>
      <c r="J873" s="12" t="s">
        <v>1907</v>
      </c>
      <c r="K873" s="12">
        <v>40300</v>
      </c>
      <c r="L873" s="12" t="s">
        <v>35</v>
      </c>
      <c r="M873" s="13" t="e">
        <v>#N/A</v>
      </c>
      <c r="N873" s="14" t="e">
        <v>#N/A</v>
      </c>
      <c r="O873" s="14" t="e">
        <v>#N/A</v>
      </c>
      <c r="P873" s="14" t="e">
        <v>#N/A</v>
      </c>
      <c r="Q873" s="14" t="e">
        <v>#N/A</v>
      </c>
      <c r="R873" s="15" t="s">
        <v>6178</v>
      </c>
      <c r="S873" s="15" t="s">
        <v>5934</v>
      </c>
      <c r="T873" s="16" t="s">
        <v>3477</v>
      </c>
      <c r="U873" s="11" t="str">
        <f>_xlfn.XLOOKUP(Customer[[#This Row],[Customer ID]],[1]!Address[ID],[1]!Address[Phone No.(2)])</f>
        <v/>
      </c>
      <c r="V873" s="11" t="str">
        <f>_xlfn.XLOOKUP(Customer[[#This Row],[Customer ID]],[1]!Address[ID],[1]!Address[Type])</f>
        <v>CM</v>
      </c>
      <c r="W873" s="11" t="str">
        <f>_xlfn.XLOOKUP(Customer[[#This Row],[Customer ID]],[1]!Address[ID],[1]!Address[CT])</f>
        <v>30 DAYS</v>
      </c>
      <c r="X873" s="11"/>
      <c r="Y873" s="17" t="s">
        <v>5918</v>
      </c>
      <c r="Z873" s="17" t="e">
        <f>_xlfn.XLOOKUP(Customer[[#This Row],[NewType]],$AF$36:$AF$54,$AG$36:$AG$54)</f>
        <v>#N/A</v>
      </c>
      <c r="AA873" s="17" t="s">
        <v>6179</v>
      </c>
      <c r="AB873" s="11" t="str">
        <f>_xlfn.XLOOKUP(Customer[[#This Row],[Customer ID]],[1]!Address[ID],[1]!Address[Subtype])</f>
        <v>EMART24</v>
      </c>
      <c r="AC873" s="18" t="str">
        <f>_xlfn.XLOOKUP(Customer[[#This Row],[Customer ID]],[1]!Address[ID],[1]!Address[Zone])</f>
        <v>MARTAULANH</v>
      </c>
    </row>
    <row r="874" spans="1:29" x14ac:dyDescent="0.3">
      <c r="A874" s="37" t="s">
        <v>6180</v>
      </c>
      <c r="B874" s="38" t="str">
        <f>_xlfn.XLOOKUP(Customer[[#This Row],[Customer ID]],[1]!Name[ID],[1]!Name[Description(1)])</f>
        <v>EMELIE HANIF CAFE</v>
      </c>
      <c r="C874" s="38" t="str">
        <f>_xlfn.XLOOKUP(Customer[[#This Row],[Customer ID]],[1]!Name[ID],[1]!Name[Description(2)])</f>
        <v>SALEMA ENTERPRISE (PLUS)</v>
      </c>
      <c r="D874" s="38" t="str">
        <f>_xlfn.XLOOKUP(Customer[[#This Row],[Customer ID]],[1]!Address[ID],[1]!Address[PIC])</f>
        <v/>
      </c>
      <c r="E874" s="38" t="str">
        <f>_xlfn.XLOOKUP(Customer[[#This Row],[Customer ID]],[1]!Address[ID],[1]!Address[Full Address])</f>
        <v>NO.1, R&amp;R SUNGAI PERAK ARAH SELATAN,3300</v>
      </c>
      <c r="F874" s="12" t="s">
        <v>6181</v>
      </c>
      <c r="G874" s="12" t="s">
        <v>6182</v>
      </c>
      <c r="H874" s="12" t="s">
        <v>36</v>
      </c>
      <c r="I874" s="12" t="b">
        <f>ISNUMBER(VALUE(LEFT(Customer[[#This Row],[Address Line 3 (30 char)]],1)))</f>
        <v>0</v>
      </c>
      <c r="J874" s="12" t="s">
        <v>242</v>
      </c>
      <c r="K874" s="12">
        <v>33000</v>
      </c>
      <c r="L874" s="12" t="s">
        <v>35</v>
      </c>
      <c r="M874" s="13" t="e">
        <v>#N/A</v>
      </c>
      <c r="N874" s="14" t="e">
        <v>#N/A</v>
      </c>
      <c r="O874" s="14" t="e">
        <v>#N/A</v>
      </c>
      <c r="P874" s="14" t="e">
        <v>#N/A</v>
      </c>
      <c r="Q874" s="14" t="e">
        <v>#N/A</v>
      </c>
      <c r="R874" s="15" t="s">
        <v>6183</v>
      </c>
      <c r="S874" s="15" t="s">
        <v>5925</v>
      </c>
      <c r="T874" s="16" t="s">
        <v>3477</v>
      </c>
      <c r="U874" s="11" t="str">
        <f>_xlfn.XLOOKUP(Customer[[#This Row],[Customer ID]],[1]!Address[ID],[1]!Address[Phone No.(2)])</f>
        <v/>
      </c>
      <c r="V874" s="11" t="str">
        <f>_xlfn.XLOOKUP(Customer[[#This Row],[Customer ID]],[1]!Address[ID],[1]!Address[Type])</f>
        <v>CAFE</v>
      </c>
      <c r="W874" s="11" t="str">
        <f>_xlfn.XLOOKUP(Customer[[#This Row],[Customer ID]],[1]!Address[ID],[1]!Address[CT])</f>
        <v>30 DAYS</v>
      </c>
      <c r="X874" s="11"/>
      <c r="Y874" s="17" t="s">
        <v>5926</v>
      </c>
      <c r="Z874" s="17" t="e">
        <f>_xlfn.XLOOKUP(Customer[[#This Row],[NewType]],$AF$36:$AF$54,$AG$36:$AG$54)</f>
        <v>#N/A</v>
      </c>
      <c r="AA874" s="17" t="s">
        <v>6184</v>
      </c>
      <c r="AB874" s="11" t="str">
        <f>_xlfn.XLOOKUP(Customer[[#This Row],[Customer ID]],[1]!Address[ID],[1]!Address[Subtype])</f>
        <v>PLUS</v>
      </c>
      <c r="AC874" s="18">
        <f>_xlfn.XLOOKUP(Customer[[#This Row],[Customer ID]],[1]!Address[ID],[1]!Address[Zone])</f>
        <v>0</v>
      </c>
    </row>
    <row r="875" spans="1:29" x14ac:dyDescent="0.3">
      <c r="A875" s="37" t="s">
        <v>6185</v>
      </c>
      <c r="B875" s="38" t="str">
        <f>_xlfn.XLOOKUP(Customer[[#This Row],[Customer ID]],[1]!Name[ID],[1]!Name[Description(1)])</f>
        <v>FAIZUL HILMY BIN AHMAD ZAMRI</v>
      </c>
      <c r="C875" s="38" t="str">
        <f>_xlfn.XLOOKUP(Customer[[#This Row],[Customer ID]],[1]!Name[ID],[1]!Name[Description(2)])</f>
        <v>PLUS</v>
      </c>
      <c r="D875" s="38" t="str">
        <f>_xlfn.XLOOKUP(Customer[[#This Row],[Customer ID]],[1]!Address[ID],[1]!Address[PIC])</f>
        <v/>
      </c>
      <c r="E875" s="38" t="str">
        <f>_xlfn.XLOOKUP(Customer[[#This Row],[Customer ID]],[1]!Address[ID],[1]!Address[Full Address])</f>
        <v>GERAI NO.1, KAWASAN REHAT &amp; RAWAT SUNGAI33000 KUALA KANGSAR,PERAK</v>
      </c>
      <c r="F875" s="12" t="s">
        <v>6186</v>
      </c>
      <c r="G875" s="12" t="s">
        <v>6187</v>
      </c>
      <c r="H875" s="12" t="s">
        <v>6188</v>
      </c>
      <c r="I875" s="12" t="b">
        <f>ISNUMBER(VALUE(LEFT(Customer[[#This Row],[Address Line 3 (30 char)]],1)))</f>
        <v>0</v>
      </c>
      <c r="J875" s="12" t="s">
        <v>242</v>
      </c>
      <c r="K875" s="12">
        <v>33000</v>
      </c>
      <c r="L875" s="12" t="s">
        <v>35</v>
      </c>
      <c r="M875" s="13" t="e">
        <v>#N/A</v>
      </c>
      <c r="N875" s="14" t="e">
        <v>#N/A</v>
      </c>
      <c r="O875" s="14" t="e">
        <v>#N/A</v>
      </c>
      <c r="P875" s="14" t="e">
        <v>#N/A</v>
      </c>
      <c r="Q875" s="14" t="e">
        <v>#N/A</v>
      </c>
      <c r="R875" s="15" t="s">
        <v>6189</v>
      </c>
      <c r="S875" s="15" t="s">
        <v>5925</v>
      </c>
      <c r="T875" s="16" t="s">
        <v>3477</v>
      </c>
      <c r="U875" s="11" t="str">
        <f>_xlfn.XLOOKUP(Customer[[#This Row],[Customer ID]],[1]!Address[ID],[1]!Address[Phone No.(2)])</f>
        <v/>
      </c>
      <c r="V875" s="11" t="str">
        <f>_xlfn.XLOOKUP(Customer[[#This Row],[Customer ID]],[1]!Address[ID],[1]!Address[Type])</f>
        <v>CAFE</v>
      </c>
      <c r="W875" s="11" t="str">
        <f>_xlfn.XLOOKUP(Customer[[#This Row],[Customer ID]],[1]!Address[ID],[1]!Address[CT])</f>
        <v>30 DAYS</v>
      </c>
      <c r="X875" s="11"/>
      <c r="Y875" s="17" t="s">
        <v>5926</v>
      </c>
      <c r="Z875" s="17" t="e">
        <f>_xlfn.XLOOKUP(Customer[[#This Row],[NewType]],$AF$36:$AF$54,$AG$36:$AG$54)</f>
        <v>#N/A</v>
      </c>
      <c r="AA875" s="17" t="s">
        <v>6190</v>
      </c>
      <c r="AB875" s="11" t="str">
        <f>_xlfn.XLOOKUP(Customer[[#This Row],[Customer ID]],[1]!Address[ID],[1]!Address[Subtype])</f>
        <v>PLUS</v>
      </c>
      <c r="AC875" s="18" t="str">
        <f>_xlfn.XLOOKUP(Customer[[#This Row],[Customer ID]],[1]!Address[ID],[1]!Address[Zone])</f>
        <v>NORTH</v>
      </c>
    </row>
    <row r="876" spans="1:29" x14ac:dyDescent="0.3">
      <c r="A876" s="37" t="s">
        <v>6191</v>
      </c>
      <c r="B876" s="38" t="str">
        <f>_xlfn.XLOOKUP(Customer[[#This Row],[Customer ID]],[1]!Name[ID],[1]!Name[Description(1)])</f>
        <v>FARMASI AL ARIF</v>
      </c>
      <c r="C876" s="38" t="str">
        <f>_xlfn.XLOOKUP(Customer[[#This Row],[Customer ID]],[1]!Name[ID],[1]!Name[Description(2)])</f>
        <v>(1340922-P)</v>
      </c>
      <c r="D876" s="38" t="str">
        <f>_xlfn.XLOOKUP(Customer[[#This Row],[Customer ID]],[1]!Address[ID],[1]!Address[PIC])</f>
        <v/>
      </c>
      <c r="E876" s="38" t="str">
        <f>_xlfn.XLOOKUP(Customer[[#This Row],[Customer ID]],[1]!Address[ID],[1]!Address[Full Address])</f>
        <v>G-39,SAVILLE KAJANG, JALAN REKO,43000 KAJANG SELANGOR</v>
      </c>
      <c r="F876" s="12" t="s">
        <v>6192</v>
      </c>
      <c r="G876" s="12" t="s">
        <v>6193</v>
      </c>
      <c r="H876" s="12" t="s">
        <v>6194</v>
      </c>
      <c r="I876" s="12" t="b">
        <f>ISNUMBER(VALUE(LEFT(Customer[[#This Row],[Address Line 3 (30 char)]],1)))</f>
        <v>0</v>
      </c>
      <c r="J876" s="12" t="s">
        <v>172</v>
      </c>
      <c r="K876" s="12">
        <v>43000</v>
      </c>
      <c r="L876" s="12" t="s">
        <v>35</v>
      </c>
      <c r="M876" s="13" t="e">
        <v>#N/A</v>
      </c>
      <c r="N876" s="14" t="e">
        <v>#N/A</v>
      </c>
      <c r="O876" s="14" t="e">
        <v>#N/A</v>
      </c>
      <c r="P876" s="14" t="e">
        <v>#N/A</v>
      </c>
      <c r="Q876" s="14" t="e">
        <v>#N/A</v>
      </c>
      <c r="R876" s="15" t="s">
        <v>6195</v>
      </c>
      <c r="S876" s="15" t="s">
        <v>3476</v>
      </c>
      <c r="T876" s="16" t="s">
        <v>3477</v>
      </c>
      <c r="U876" s="11" t="str">
        <f>_xlfn.XLOOKUP(Customer[[#This Row],[Customer ID]],[1]!Address[ID],[1]!Address[Phone No.(2)])</f>
        <v/>
      </c>
      <c r="V876" s="11" t="str">
        <f>_xlfn.XLOOKUP(Customer[[#This Row],[Customer ID]],[1]!Address[ID],[1]!Address[Type])</f>
        <v>PH</v>
      </c>
      <c r="W876" s="11" t="str">
        <f>_xlfn.XLOOKUP(Customer[[#This Row],[Customer ID]],[1]!Address[ID],[1]!Address[CT])</f>
        <v>30 DAYS</v>
      </c>
      <c r="X876" s="11"/>
      <c r="Y876" s="17" t="s">
        <v>5955</v>
      </c>
      <c r="Z876" s="17" t="e">
        <f>_xlfn.XLOOKUP(Customer[[#This Row],[NewType]],$AF$36:$AF$54,$AG$36:$AG$54)</f>
        <v>#N/A</v>
      </c>
      <c r="AA876" s="17" t="s">
        <v>6196</v>
      </c>
      <c r="AB876" s="11" t="str">
        <f>_xlfn.XLOOKUP(Customer[[#This Row],[Customer ID]],[1]!Address[ID],[1]!Address[Subtype])</f>
        <v>AL-ARIF</v>
      </c>
      <c r="AC876" s="18">
        <f>_xlfn.XLOOKUP(Customer[[#This Row],[Customer ID]],[1]!Address[ID],[1]!Address[Zone])</f>
        <v>0</v>
      </c>
    </row>
    <row r="877" spans="1:29" x14ac:dyDescent="0.3">
      <c r="A877" s="37" t="s">
        <v>6197</v>
      </c>
      <c r="B877" s="38" t="str">
        <f>_xlfn.XLOOKUP(Customer[[#This Row],[Customer ID]],[1]!Name[ID],[1]!Name[Description(1)])</f>
        <v>FARMASI AL ARIF SDN BHD - JEMPOL</v>
      </c>
      <c r="C877" s="38" t="str">
        <f>_xlfn.XLOOKUP(Customer[[#This Row],[Customer ID]],[1]!Name[ID],[1]!Name[Description(2)])</f>
        <v>(1340922-P)</v>
      </c>
      <c r="D877" s="38" t="str">
        <f>_xlfn.XLOOKUP(Customer[[#This Row],[Customer ID]],[1]!Address[ID],[1]!Address[PIC])</f>
        <v/>
      </c>
      <c r="E877" s="38" t="str">
        <f>_xlfn.XLOOKUP(Customer[[#This Row],[Customer ID]],[1]!Address[ID],[1]!Address[Full Address])</f>
        <v>D'MART MINIMARKET SERTING, NO. 7-2, KEDA72120 BANDAR SERI JEMPOL, NEGERI SEMBILA</v>
      </c>
      <c r="F877" s="12" t="s">
        <v>6198</v>
      </c>
      <c r="G877" s="12" t="s">
        <v>6199</v>
      </c>
      <c r="H877" s="12" t="s">
        <v>6200</v>
      </c>
      <c r="I877" s="12" t="b">
        <f>ISNUMBER(VALUE(LEFT(Customer[[#This Row],[Address Line 3 (30 char)]],1)))</f>
        <v>0</v>
      </c>
      <c r="J877" s="12" t="s">
        <v>203</v>
      </c>
      <c r="K877" s="12">
        <v>72120</v>
      </c>
      <c r="L877" s="12" t="s">
        <v>35</v>
      </c>
      <c r="M877" s="13" t="e">
        <v>#N/A</v>
      </c>
      <c r="N877" s="14" t="e">
        <v>#N/A</v>
      </c>
      <c r="O877" s="14" t="e">
        <v>#N/A</v>
      </c>
      <c r="P877" s="14" t="e">
        <v>#N/A</v>
      </c>
      <c r="Q877" s="14" t="e">
        <v>#N/A</v>
      </c>
      <c r="R877" s="15" t="s">
        <v>6201</v>
      </c>
      <c r="S877" s="15" t="s">
        <v>3476</v>
      </c>
      <c r="T877" s="16" t="s">
        <v>3477</v>
      </c>
      <c r="U877" s="11" t="str">
        <f>_xlfn.XLOOKUP(Customer[[#This Row],[Customer ID]],[1]!Address[ID],[1]!Address[Phone No.(2)])</f>
        <v/>
      </c>
      <c r="V877" s="11" t="str">
        <f>_xlfn.XLOOKUP(Customer[[#This Row],[Customer ID]],[1]!Address[ID],[1]!Address[Type])</f>
        <v>PH</v>
      </c>
      <c r="W877" s="11" t="str">
        <f>_xlfn.XLOOKUP(Customer[[#This Row],[Customer ID]],[1]!Address[ID],[1]!Address[CT])</f>
        <v>30 DAYS</v>
      </c>
      <c r="X877" s="11"/>
      <c r="Y877" s="17" t="s">
        <v>5955</v>
      </c>
      <c r="Z877" s="17" t="e">
        <f>_xlfn.XLOOKUP(Customer[[#This Row],[NewType]],$AF$36:$AF$54,$AG$36:$AG$54)</f>
        <v>#N/A</v>
      </c>
      <c r="AA877" s="17" t="s">
        <v>6202</v>
      </c>
      <c r="AB877" s="11" t="str">
        <f>_xlfn.XLOOKUP(Customer[[#This Row],[Customer ID]],[1]!Address[ID],[1]!Address[Subtype])</f>
        <v>AL-ARIF</v>
      </c>
      <c r="AC877" s="18" t="str">
        <f>_xlfn.XLOOKUP(Customer[[#This Row],[Customer ID]],[1]!Address[ID],[1]!Address[Zone])</f>
        <v>CENTRAL</v>
      </c>
    </row>
    <row r="878" spans="1:29" x14ac:dyDescent="0.3">
      <c r="A878" s="37" t="s">
        <v>6203</v>
      </c>
      <c r="B878" s="38" t="str">
        <f>_xlfn.XLOOKUP(Customer[[#This Row],[Customer ID]],[1]!Name[ID],[1]!Name[Description(1)])</f>
        <v>FARMASI KOPEN PHARMA BUKIT MAHKOTA</v>
      </c>
      <c r="C878" s="38" t="str">
        <f>_xlfn.XLOOKUP(Customer[[#This Row],[Customer ID]],[1]!Name[ID],[1]!Name[Description(2)])</f>
        <v>KOPERASI JABATAN PENJARA MALAYSIA BERHAD</v>
      </c>
      <c r="D878" s="38" t="str">
        <f>_xlfn.XLOOKUP(Customer[[#This Row],[Customer ID]],[1]!Address[ID],[1]!Address[PIC])</f>
        <v/>
      </c>
      <c r="E878" s="38" t="str">
        <f>_xlfn.XLOOKUP(Customer[[#This Row],[Customer ID]],[1]!Address[ID],[1]!Address[Full Address])</f>
        <v>NO.46 JLN BM 4/1,BANDAR BUKIT MAHKOTA,SEKSYEN 4,43000 KAJANG SELANGOR</v>
      </c>
      <c r="F878" s="12" t="s">
        <v>6204</v>
      </c>
      <c r="G878" s="12" t="s">
        <v>6205</v>
      </c>
      <c r="H878" s="12" t="s">
        <v>6206</v>
      </c>
      <c r="I878" s="12" t="b">
        <f>ISNUMBER(VALUE(LEFT(Customer[[#This Row],[Address Line 3 (30 char)]],1)))</f>
        <v>0</v>
      </c>
      <c r="J878" s="12" t="s">
        <v>1907</v>
      </c>
      <c r="K878" s="12">
        <v>43000</v>
      </c>
      <c r="L878" s="12" t="s">
        <v>35</v>
      </c>
      <c r="M878" s="13" t="e">
        <v>#N/A</v>
      </c>
      <c r="N878" s="14" t="e">
        <v>#N/A</v>
      </c>
      <c r="O878" s="14" t="e">
        <v>#N/A</v>
      </c>
      <c r="P878" s="14" t="e">
        <v>#N/A</v>
      </c>
      <c r="Q878" s="19" t="s">
        <v>6207</v>
      </c>
      <c r="R878" s="15" t="s">
        <v>6208</v>
      </c>
      <c r="S878" s="15" t="s">
        <v>3476</v>
      </c>
      <c r="T878" s="16" t="s">
        <v>3477</v>
      </c>
      <c r="U878" s="11" t="str">
        <f>_xlfn.XLOOKUP(Customer[[#This Row],[Customer ID]],[1]!Address[ID],[1]!Address[Phone No.(2)])</f>
        <v/>
      </c>
      <c r="V878" s="11" t="str">
        <f>_xlfn.XLOOKUP(Customer[[#This Row],[Customer ID]],[1]!Address[ID],[1]!Address[Type])</f>
        <v>PH</v>
      </c>
      <c r="W878" s="11" t="str">
        <f>_xlfn.XLOOKUP(Customer[[#This Row],[Customer ID]],[1]!Address[ID],[1]!Address[CT])</f>
        <v>30 DAYS</v>
      </c>
      <c r="X878" s="11"/>
      <c r="Y878" s="17" t="s">
        <v>5955</v>
      </c>
      <c r="Z878" s="17" t="e">
        <f>_xlfn.XLOOKUP(Customer[[#This Row],[NewType]],$AF$36:$AF$54,$AG$36:$AG$54)</f>
        <v>#N/A</v>
      </c>
      <c r="AA878" s="17" t="s">
        <v>6209</v>
      </c>
      <c r="AB878" s="11" t="str">
        <f>_xlfn.XLOOKUP(Customer[[#This Row],[Customer ID]],[1]!Address[ID],[1]!Address[Subtype])</f>
        <v>KOPEN</v>
      </c>
      <c r="AC878" s="18">
        <f>_xlfn.XLOOKUP(Customer[[#This Row],[Customer ID]],[1]!Address[ID],[1]!Address[Zone])</f>
        <v>0</v>
      </c>
    </row>
    <row r="879" spans="1:29" x14ac:dyDescent="0.3">
      <c r="A879" s="37" t="s">
        <v>6210</v>
      </c>
      <c r="B879" s="38" t="str">
        <f>_xlfn.XLOOKUP(Customer[[#This Row],[Customer ID]],[1]!Name[ID],[1]!Name[Description(1)])</f>
        <v>FARMASI AL ARIF, HPKK UKM</v>
      </c>
      <c r="C879" s="38" t="str">
        <f>_xlfn.XLOOKUP(Customer[[#This Row],[Customer ID]],[1]!Name[ID],[1]!Name[Description(2)])</f>
        <v>(1340922-P)</v>
      </c>
      <c r="D879" s="38" t="str">
        <f>_xlfn.XLOOKUP(Customer[[#This Row],[Customer ID]],[1]!Address[ID],[1]!Address[PIC])</f>
        <v/>
      </c>
      <c r="E879" s="38" t="str">
        <f>_xlfn.XLOOKUP(Customer[[#This Row],[Customer ID]],[1]!Address[ID],[1]!Address[Full Address])</f>
        <v>NO. 26,HOSPITAL TUNKU AMPUAN BESAR AISHAROHANI HOSPITAL PAKAR KANAK-KANAK UKM,56000, CHERAS,WILAYAH PERSEKUTUAN KUALA LUMPUR</v>
      </c>
      <c r="F879" s="12" t="s">
        <v>6211</v>
      </c>
      <c r="G879" s="12" t="s">
        <v>6212</v>
      </c>
      <c r="H879" s="12" t="s">
        <v>6213</v>
      </c>
      <c r="I879" s="12" t="b">
        <f>ISNUMBER(VALUE(LEFT(Customer[[#This Row],[Address Line 3 (30 char)]],1)))</f>
        <v>0</v>
      </c>
      <c r="J879" s="12" t="s">
        <v>34</v>
      </c>
      <c r="K879" s="12">
        <v>56000</v>
      </c>
      <c r="L879" s="12" t="s">
        <v>35</v>
      </c>
      <c r="M879" s="13" t="e">
        <v>#N/A</v>
      </c>
      <c r="N879" s="14" t="e">
        <v>#N/A</v>
      </c>
      <c r="O879" s="14" t="e">
        <v>#N/A</v>
      </c>
      <c r="P879" s="14" t="e">
        <v>#N/A</v>
      </c>
      <c r="Q879" s="14" t="e">
        <v>#N/A</v>
      </c>
      <c r="R879" s="15" t="s">
        <v>6214</v>
      </c>
      <c r="S879" s="15" t="s">
        <v>3476</v>
      </c>
      <c r="T879" s="16" t="s">
        <v>3477</v>
      </c>
      <c r="U879" s="11" t="str">
        <f>_xlfn.XLOOKUP(Customer[[#This Row],[Customer ID]],[1]!Address[ID],[1]!Address[Phone No.(2)])</f>
        <v/>
      </c>
      <c r="V879" s="11" t="str">
        <f>_xlfn.XLOOKUP(Customer[[#This Row],[Customer ID]],[1]!Address[ID],[1]!Address[Type])</f>
        <v>PH</v>
      </c>
      <c r="W879" s="11" t="str">
        <f>_xlfn.XLOOKUP(Customer[[#This Row],[Customer ID]],[1]!Address[ID],[1]!Address[CT])</f>
        <v>30 DAYS</v>
      </c>
      <c r="X879" s="11"/>
      <c r="Y879" s="17" t="s">
        <v>5955</v>
      </c>
      <c r="Z879" s="17" t="e">
        <f>_xlfn.XLOOKUP(Customer[[#This Row],[NewType]],$AF$36:$AF$54,$AG$36:$AG$54)</f>
        <v>#N/A</v>
      </c>
      <c r="AA879" s="17" t="s">
        <v>6215</v>
      </c>
      <c r="AB879" s="11" t="str">
        <f>_xlfn.XLOOKUP(Customer[[#This Row],[Customer ID]],[1]!Address[ID],[1]!Address[Subtype])</f>
        <v>AL-ARIF</v>
      </c>
      <c r="AC879" s="18" t="str">
        <f>_xlfn.XLOOKUP(Customer[[#This Row],[Customer ID]],[1]!Address[ID],[1]!Address[Zone])</f>
        <v>1340922-POUHANIH</v>
      </c>
    </row>
    <row r="880" spans="1:29" x14ac:dyDescent="0.3">
      <c r="A880" s="37" t="s">
        <v>6216</v>
      </c>
      <c r="B880" s="38" t="str">
        <f>_xlfn.XLOOKUP(Customer[[#This Row],[Customer ID]],[1]!Name[ID],[1]!Name[Description(1)])</f>
        <v>FARMASI ALDE SDN BHD</v>
      </c>
      <c r="C880" s="38" t="str">
        <f>_xlfn.XLOOKUP(Customer[[#This Row],[Customer ID]],[1]!Name[ID],[1]!Name[Description(2)])</f>
        <v/>
      </c>
      <c r="D880" s="38" t="str">
        <f>_xlfn.XLOOKUP(Customer[[#This Row],[Customer ID]],[1]!Address[ID],[1]!Address[PIC])</f>
        <v/>
      </c>
      <c r="E880" s="38" t="str">
        <f>_xlfn.XLOOKUP(Customer[[#This Row],[Customer ID]],[1]!Address[ID],[1]!Address[Full Address])</f>
        <v>FARMASI ALDE, NO. 3, JLN SD1 1/1,TAMAN SERI DAGANG, BUKIT CHANGGANG,42700 BANTING, SELANGOR</v>
      </c>
      <c r="F880" s="12" t="s">
        <v>6217</v>
      </c>
      <c r="G880" s="12" t="s">
        <v>6218</v>
      </c>
      <c r="H880" s="12" t="s">
        <v>6219</v>
      </c>
      <c r="I880" s="12" t="b">
        <f>ISNUMBER(VALUE(LEFT(Customer[[#This Row],[Address Line 3 (30 char)]],1)))</f>
        <v>0</v>
      </c>
      <c r="J880" s="12" t="s">
        <v>172</v>
      </c>
      <c r="K880" s="12">
        <v>42700</v>
      </c>
      <c r="L880" s="12" t="s">
        <v>35</v>
      </c>
      <c r="M880" s="13" t="e">
        <v>#N/A</v>
      </c>
      <c r="N880" s="14" t="e">
        <v>#N/A</v>
      </c>
      <c r="O880" s="14" t="e">
        <v>#N/A</v>
      </c>
      <c r="P880" s="14" t="e">
        <v>#N/A</v>
      </c>
      <c r="Q880" s="14" t="e">
        <v>#N/A</v>
      </c>
      <c r="R880" s="15" t="s">
        <v>6220</v>
      </c>
      <c r="S880" s="15" t="s">
        <v>88</v>
      </c>
      <c r="T880" s="16" t="s">
        <v>89</v>
      </c>
      <c r="U880" s="11" t="str">
        <f>_xlfn.XLOOKUP(Customer[[#This Row],[Customer ID]],[1]!Address[ID],[1]!Address[Phone No.(2)])</f>
        <v/>
      </c>
      <c r="V880" s="11" t="str">
        <f>_xlfn.XLOOKUP(Customer[[#This Row],[Customer ID]],[1]!Address[ID],[1]!Address[Type])</f>
        <v>SOCMED</v>
      </c>
      <c r="W880" s="11" t="str">
        <f>_xlfn.XLOOKUP(Customer[[#This Row],[Customer ID]],[1]!Address[ID],[1]!Address[CT])</f>
        <v>30 DAYS</v>
      </c>
      <c r="X880" s="11"/>
      <c r="Y880" s="17" t="s">
        <v>90</v>
      </c>
      <c r="Z880" s="17" t="e">
        <f>_xlfn.XLOOKUP(Customer[[#This Row],[NewType]],$AF$36:$AF$54,$AG$36:$AG$54)</f>
        <v>#N/A</v>
      </c>
      <c r="AA880" s="17" t="s">
        <v>6221</v>
      </c>
      <c r="AB880" s="11" t="str">
        <f>_xlfn.XLOOKUP(Customer[[#This Row],[Customer ID]],[1]!Address[ID],[1]!Address[Subtype])</f>
        <v>ONLINE ROS</v>
      </c>
      <c r="AC880" s="18" t="str">
        <f>_xlfn.XLOOKUP(Customer[[#This Row],[Customer ID]],[1]!Address[ID],[1]!Address[Zone])</f>
        <v>SOUTH</v>
      </c>
    </row>
    <row r="881" spans="1:29" x14ac:dyDescent="0.3">
      <c r="A881" s="37" t="s">
        <v>6222</v>
      </c>
      <c r="B881" s="38" t="str">
        <f>_xlfn.XLOOKUP(Customer[[#This Row],[Customer ID]],[1]!Name[ID],[1]!Name[Description(1)])</f>
        <v>FARMASI DUYONG SDN BHD</v>
      </c>
      <c r="C881" s="38" t="str">
        <f>_xlfn.XLOOKUP(Customer[[#This Row],[Customer ID]],[1]!Name[ID],[1]!Name[Description(2)])</f>
        <v/>
      </c>
      <c r="D881" s="38" t="str">
        <f>_xlfn.XLOOKUP(Customer[[#This Row],[Customer ID]],[1]!Address[ID],[1]!Address[PIC])</f>
        <v/>
      </c>
      <c r="E881" s="38" t="str">
        <f>_xlfn.XLOOKUP(Customer[[#This Row],[Customer ID]],[1]!Address[ID],[1]!Address[Full Address])</f>
        <v>NO. 32, JALAN TDB 6, TAMAN DUYONG BESTAR75460 MELAKA,</v>
      </c>
      <c r="F881" s="12" t="s">
        <v>6223</v>
      </c>
      <c r="G881" s="12" t="s">
        <v>6224</v>
      </c>
      <c r="H881" s="12" t="s">
        <v>36</v>
      </c>
      <c r="I881" s="12" t="b">
        <f>ISNUMBER(VALUE(LEFT(Customer[[#This Row],[Address Line 3 (30 char)]],1)))</f>
        <v>0</v>
      </c>
      <c r="J881" s="12" t="s">
        <v>61</v>
      </c>
      <c r="K881" s="12">
        <v>75460</v>
      </c>
      <c r="L881" s="12" t="s">
        <v>35</v>
      </c>
      <c r="M881" s="13">
        <v>201401011544</v>
      </c>
      <c r="N881" s="14" t="s">
        <v>6225</v>
      </c>
      <c r="O881" s="14" t="s">
        <v>54</v>
      </c>
      <c r="P881" s="14">
        <v>47721</v>
      </c>
      <c r="Q881" s="14" t="s">
        <v>6226</v>
      </c>
      <c r="R881" s="15" t="s">
        <v>6227</v>
      </c>
      <c r="S881" s="15" t="s">
        <v>3476</v>
      </c>
      <c r="T881" s="16" t="s">
        <v>3477</v>
      </c>
      <c r="U881" s="11" t="str">
        <f>_xlfn.XLOOKUP(Customer[[#This Row],[Customer ID]],[1]!Address[ID],[1]!Address[Phone No.(2)])</f>
        <v/>
      </c>
      <c r="V881" s="11" t="str">
        <f>_xlfn.XLOOKUP(Customer[[#This Row],[Customer ID]],[1]!Address[ID],[1]!Address[Type])</f>
        <v>PH</v>
      </c>
      <c r="W881" s="11" t="str">
        <f>_xlfn.XLOOKUP(Customer[[#This Row],[Customer ID]],[1]!Address[ID],[1]!Address[CT])</f>
        <v>30 DAYS</v>
      </c>
      <c r="X881" s="11"/>
      <c r="Y881" s="17" t="s">
        <v>5955</v>
      </c>
      <c r="Z881" s="17" t="e">
        <f>_xlfn.XLOOKUP(Customer[[#This Row],[NewType]],$AF$36:$AF$54,$AG$36:$AG$54)</f>
        <v>#N/A</v>
      </c>
      <c r="AA881" s="17" t="s">
        <v>6228</v>
      </c>
      <c r="AB881" s="11" t="str">
        <f>_xlfn.XLOOKUP(Customer[[#This Row],[Customer ID]],[1]!Address[ID],[1]!Address[Subtype])</f>
        <v>FAR DUYONG</v>
      </c>
      <c r="AC881" s="18" t="str">
        <f>_xlfn.XLOOKUP(Customer[[#This Row],[Customer ID]],[1]!Address[ID],[1]!Address[Zone])</f>
        <v>SOUTH</v>
      </c>
    </row>
    <row r="882" spans="1:29" x14ac:dyDescent="0.3">
      <c r="A882" s="37" t="s">
        <v>6229</v>
      </c>
      <c r="B882" s="38" t="str">
        <f>_xlfn.XLOOKUP(Customer[[#This Row],[Customer ID]],[1]!Name[ID],[1]!Name[Description(1)])</f>
        <v>AL FATEH PHARMAHEALTH PLT</v>
      </c>
      <c r="C882" s="38" t="str">
        <f>_xlfn.XLOOKUP(Customer[[#This Row],[Customer ID]],[1]!Name[ID],[1]!Name[Description(2)])</f>
        <v>FARMASI FALAH</v>
      </c>
      <c r="D882" s="38" t="str">
        <f>_xlfn.XLOOKUP(Customer[[#This Row],[Customer ID]],[1]!Address[ID],[1]!Address[PIC])</f>
        <v/>
      </c>
      <c r="E882" s="38" t="str">
        <f>_xlfn.XLOOKUP(Customer[[#This Row],[Customer ID]],[1]!Address[ID],[1]!Address[Full Address])</f>
        <v>9-1, JALAN ELEKTRON U16/D, DENAI ALAM40160 SHAH ALAM SELANGOR.</v>
      </c>
      <c r="F882" s="12" t="s">
        <v>6134</v>
      </c>
      <c r="G882" s="12" t="s">
        <v>6230</v>
      </c>
      <c r="H882" s="12" t="s">
        <v>6231</v>
      </c>
      <c r="I882" s="12" t="b">
        <f>ISNUMBER(VALUE(LEFT(Customer[[#This Row],[Address Line 3 (30 char)]],1)))</f>
        <v>0</v>
      </c>
      <c r="J882" s="12" t="s">
        <v>172</v>
      </c>
      <c r="K882" s="12">
        <v>40160</v>
      </c>
      <c r="L882" s="12" t="s">
        <v>35</v>
      </c>
      <c r="M882" s="13" t="e">
        <v>#N/A</v>
      </c>
      <c r="N882" s="14" t="e">
        <v>#N/A</v>
      </c>
      <c r="O882" s="14" t="e">
        <v>#N/A</v>
      </c>
      <c r="P882" s="14" t="e">
        <v>#N/A</v>
      </c>
      <c r="Q882" s="14" t="e">
        <v>#N/A</v>
      </c>
      <c r="R882" s="15" t="s">
        <v>6137</v>
      </c>
      <c r="S882" s="15" t="s">
        <v>3476</v>
      </c>
      <c r="T882" s="16" t="s">
        <v>3477</v>
      </c>
      <c r="U882" s="11" t="str">
        <f>_xlfn.XLOOKUP(Customer[[#This Row],[Customer ID]],[1]!Address[ID],[1]!Address[Phone No.(2)])</f>
        <v/>
      </c>
      <c r="V882" s="11" t="str">
        <f>_xlfn.XLOOKUP(Customer[[#This Row],[Customer ID]],[1]!Address[ID],[1]!Address[Type])</f>
        <v>PH</v>
      </c>
      <c r="W882" s="11" t="str">
        <f>_xlfn.XLOOKUP(Customer[[#This Row],[Customer ID]],[1]!Address[ID],[1]!Address[CT])</f>
        <v>30 DAYS</v>
      </c>
      <c r="X882" s="11"/>
      <c r="Y882" s="17" t="s">
        <v>5955</v>
      </c>
      <c r="Z882" s="17" t="e">
        <f>_xlfn.XLOOKUP(Customer[[#This Row],[NewType]],$AF$36:$AF$54,$AG$36:$AG$54)</f>
        <v>#N/A</v>
      </c>
      <c r="AA882" s="17" t="s">
        <v>6232</v>
      </c>
      <c r="AB882" s="11" t="str">
        <f>_xlfn.XLOOKUP(Customer[[#This Row],[Customer ID]],[1]!Address[ID],[1]!Address[Subtype])</f>
        <v>FAR FALAH</v>
      </c>
      <c r="AC882" s="18" t="str">
        <f>_xlfn.XLOOKUP(Customer[[#This Row],[Customer ID]],[1]!Address[ID],[1]!Address[Zone])</f>
        <v>A0PHH</v>
      </c>
    </row>
    <row r="883" spans="1:29" x14ac:dyDescent="0.3">
      <c r="A883" s="37" t="s">
        <v>6233</v>
      </c>
      <c r="B883" s="38" t="str">
        <f>_xlfn.XLOOKUP(Customer[[#This Row],[Customer ID]],[1]!Name[ID],[1]!Name[Description(1)])</f>
        <v>FARMASI HARMONI SHIFA-PENAGA</v>
      </c>
      <c r="C883" s="38" t="str">
        <f>_xlfn.XLOOKUP(Customer[[#This Row],[Customer ID]],[1]!Name[ID],[1]!Name[Description(2)])</f>
        <v>CAWANGAN PENAGA</v>
      </c>
      <c r="D883" s="38" t="str">
        <f>_xlfn.XLOOKUP(Customer[[#This Row],[Customer ID]],[1]!Address[ID],[1]!Address[PIC])</f>
        <v/>
      </c>
      <c r="E883" s="38" t="str">
        <f>_xlfn.XLOOKUP(Customer[[#This Row],[Customer ID]],[1]!Address[ID],[1]!Address[Full Address])</f>
        <v>NO.9, JALAN PENAGA RIA,TAMAN PENAGA RIA,13100 PENAGA, PULAU PINANG.</v>
      </c>
      <c r="F883" s="12" t="s">
        <v>6234</v>
      </c>
      <c r="G883" s="12" t="s">
        <v>6235</v>
      </c>
      <c r="H883" s="24" t="s">
        <v>6236</v>
      </c>
      <c r="I883" s="24" t="b">
        <f>ISNUMBER(VALUE(LEFT(Customer[[#This Row],[Address Line 3 (30 char)]],1)))</f>
        <v>0</v>
      </c>
      <c r="J883" s="12" t="s">
        <v>179</v>
      </c>
      <c r="K883" s="12">
        <v>13100</v>
      </c>
      <c r="L883" s="12" t="s">
        <v>35</v>
      </c>
      <c r="M883" s="13" t="e">
        <v>#N/A</v>
      </c>
      <c r="N883" s="14" t="e">
        <v>#N/A</v>
      </c>
      <c r="O883" s="14" t="e">
        <v>#N/A</v>
      </c>
      <c r="P883" s="14" t="e">
        <v>#N/A</v>
      </c>
      <c r="Q883" s="14" t="e">
        <v>#N/A</v>
      </c>
      <c r="R883" s="15" t="s">
        <v>6237</v>
      </c>
      <c r="S883" s="15" t="s">
        <v>3476</v>
      </c>
      <c r="T883" s="16" t="s">
        <v>3477</v>
      </c>
      <c r="U883" s="11" t="str">
        <f>_xlfn.XLOOKUP(Customer[[#This Row],[Customer ID]],[1]!Address[ID],[1]!Address[Phone No.(2)])</f>
        <v/>
      </c>
      <c r="V883" s="11" t="str">
        <f>_xlfn.XLOOKUP(Customer[[#This Row],[Customer ID]],[1]!Address[ID],[1]!Address[Type])</f>
        <v>PH</v>
      </c>
      <c r="W883" s="11" t="str">
        <f>_xlfn.XLOOKUP(Customer[[#This Row],[Customer ID]],[1]!Address[ID],[1]!Address[CT])</f>
        <v>30 DAYS</v>
      </c>
      <c r="X883" s="11"/>
      <c r="Y883" s="17" t="s">
        <v>5955</v>
      </c>
      <c r="Z883" s="17" t="e">
        <f>_xlfn.XLOOKUP(Customer[[#This Row],[NewType]],$AF$36:$AF$54,$AG$36:$AG$54)</f>
        <v>#N/A</v>
      </c>
      <c r="AA883" s="17" t="s">
        <v>6238</v>
      </c>
      <c r="AB883" s="11" t="str">
        <f>_xlfn.XLOOKUP(Customer[[#This Row],[Customer ID]],[1]!Address[ID],[1]!Address[Subtype])</f>
        <v>FAR HARMONI</v>
      </c>
      <c r="AC883" s="18" t="str">
        <f>_xlfn.XLOOKUP(Customer[[#This Row],[Customer ID]],[1]!Address[ID],[1]!Address[Zone])</f>
        <v>NORTH</v>
      </c>
    </row>
    <row r="884" spans="1:29" x14ac:dyDescent="0.3">
      <c r="A884" s="37" t="s">
        <v>6239</v>
      </c>
      <c r="B884" s="38" t="str">
        <f>_xlfn.XLOOKUP(Customer[[#This Row],[Customer ID]],[1]!Name[ID],[1]!Name[Description(1)])</f>
        <v>FARMASI IKHWAN</v>
      </c>
      <c r="C884" s="38" t="str">
        <f>_xlfn.XLOOKUP(Customer[[#This Row],[Customer ID]],[1]!Name[ID],[1]!Name[Description(2)])</f>
        <v/>
      </c>
      <c r="D884" s="38" t="str">
        <f>_xlfn.XLOOKUP(Customer[[#This Row],[Customer ID]],[1]!Address[ID],[1]!Address[PIC])</f>
        <v>DAZIANA AZNI AB</v>
      </c>
      <c r="E884" s="38" t="str">
        <f>_xlfn.XLOOKUP(Customer[[#This Row],[Customer ID]],[1]!Address[ID],[1]!Address[Full Address])</f>
        <v>NO 47, JALAN MEDAN GOPENG,MEDAN GOPENG, 31350 IPOH,PERAK</v>
      </c>
      <c r="F884" s="12" t="s">
        <v>6240</v>
      </c>
      <c r="G884" s="12" t="s">
        <v>6241</v>
      </c>
      <c r="H884" s="12" t="s">
        <v>36</v>
      </c>
      <c r="I884" s="12" t="b">
        <f>ISNUMBER(VALUE(LEFT(Customer[[#This Row],[Address Line 3 (30 char)]],1)))</f>
        <v>0</v>
      </c>
      <c r="J884" s="12" t="s">
        <v>387</v>
      </c>
      <c r="K884" s="12">
        <v>31350</v>
      </c>
      <c r="L884" s="12" t="s">
        <v>35</v>
      </c>
      <c r="M884" s="13">
        <v>200303131164</v>
      </c>
      <c r="N884" s="14" t="s">
        <v>6242</v>
      </c>
      <c r="O884" s="14" t="e">
        <v>#N/A</v>
      </c>
      <c r="P884" s="14" t="e">
        <v>#N/A</v>
      </c>
      <c r="Q884" s="14" t="e">
        <v>#N/A</v>
      </c>
      <c r="R884" s="15" t="s">
        <v>6243</v>
      </c>
      <c r="S884" s="15" t="s">
        <v>3476</v>
      </c>
      <c r="T884" s="16" t="s">
        <v>3477</v>
      </c>
      <c r="U884" s="11" t="str">
        <f>_xlfn.XLOOKUP(Customer[[#This Row],[Customer ID]],[1]!Address[ID],[1]!Address[Phone No.(2)])</f>
        <v/>
      </c>
      <c r="V884" s="11" t="str">
        <f>_xlfn.XLOOKUP(Customer[[#This Row],[Customer ID]],[1]!Address[ID],[1]!Address[Type])</f>
        <v>PH</v>
      </c>
      <c r="W884" s="11" t="str">
        <f>_xlfn.XLOOKUP(Customer[[#This Row],[Customer ID]],[1]!Address[ID],[1]!Address[CT])</f>
        <v>30 DAYS</v>
      </c>
      <c r="X884" s="11"/>
      <c r="Y884" s="17" t="s">
        <v>5955</v>
      </c>
      <c r="Z884" s="17" t="e">
        <f>_xlfn.XLOOKUP(Customer[[#This Row],[NewType]],$AF$36:$AF$54,$AG$36:$AG$54)</f>
        <v>#N/A</v>
      </c>
      <c r="AA884" s="17" t="s">
        <v>6244</v>
      </c>
      <c r="AB884" s="11" t="str">
        <f>_xlfn.XLOOKUP(Customer[[#This Row],[Customer ID]],[1]!Address[ID],[1]!Address[Subtype])</f>
        <v>FAR IKHWAN</v>
      </c>
      <c r="AC884" s="18" t="str">
        <f>_xlfn.XLOOKUP(Customer[[#This Row],[Customer ID]],[1]!Address[ID],[1]!Address[Zone])</f>
        <v>NORTH</v>
      </c>
    </row>
    <row r="885" spans="1:29" x14ac:dyDescent="0.3">
      <c r="A885" s="43" t="s">
        <v>6245</v>
      </c>
      <c r="B885" s="44" t="str">
        <f>_xlfn.XLOOKUP(Customer[[#This Row],[Customer ID]],[1]!Name[ID],[1]!Name[Description(1)])</f>
        <v>FARMASI KELADI</v>
      </c>
      <c r="C885" s="38" t="str">
        <f>_xlfn.XLOOKUP(Customer[[#This Row],[Customer ID]],[1]!Name[ID],[1]!Name[Description(2)])</f>
        <v>AMNIS RX MEDICARE</v>
      </c>
      <c r="D885" s="38" t="str">
        <f>_xlfn.XLOOKUP(Customer[[#This Row],[Customer ID]],[1]!Address[ID],[1]!Address[PIC])</f>
        <v/>
      </c>
      <c r="E885" s="38" t="str">
        <f>_xlfn.XLOOKUP(Customer[[#This Row],[Customer ID]],[1]!Address[ID],[1]!Address[Full Address])</f>
        <v>368, LORONG ANGSANA 1,08000 SUNGAI PETANI, KEDAH</v>
      </c>
      <c r="F885" s="12" t="s">
        <v>6246</v>
      </c>
      <c r="G885" s="12" t="s">
        <v>6247</v>
      </c>
      <c r="H885" s="12" t="s">
        <v>36</v>
      </c>
      <c r="I885" s="12" t="b">
        <f>ISNUMBER(VALUE(LEFT(Customer[[#This Row],[Address Line 3 (30 char)]],1)))</f>
        <v>0</v>
      </c>
      <c r="J885" s="12" t="s">
        <v>355</v>
      </c>
      <c r="K885" s="30" t="s">
        <v>296</v>
      </c>
      <c r="L885" s="12" t="s">
        <v>35</v>
      </c>
      <c r="M885" s="13" t="e">
        <v>#N/A</v>
      </c>
      <c r="N885" s="14" t="e">
        <v>#N/A</v>
      </c>
      <c r="O885" s="14" t="e">
        <v>#N/A</v>
      </c>
      <c r="P885" s="14" t="e">
        <v>#N/A</v>
      </c>
      <c r="Q885" s="14" t="e">
        <v>#N/A</v>
      </c>
      <c r="R885" s="15" t="s">
        <v>6248</v>
      </c>
      <c r="S885" s="15" t="s">
        <v>3476</v>
      </c>
      <c r="T885" s="16" t="s">
        <v>3477</v>
      </c>
      <c r="U885" s="11" t="str">
        <f>_xlfn.XLOOKUP(Customer[[#This Row],[Customer ID]],[1]!Address[ID],[1]!Address[Phone No.(2)])</f>
        <v/>
      </c>
      <c r="V885" s="11" t="str">
        <f>_xlfn.XLOOKUP(Customer[[#This Row],[Customer ID]],[1]!Address[ID],[1]!Address[Type])</f>
        <v>PH</v>
      </c>
      <c r="W885" s="11" t="str">
        <f>_xlfn.XLOOKUP(Customer[[#This Row],[Customer ID]],[1]!Address[ID],[1]!Address[CT])</f>
        <v>CASH</v>
      </c>
      <c r="X885" s="11"/>
      <c r="Y885" s="17" t="s">
        <v>5955</v>
      </c>
      <c r="Z885" s="17" t="e">
        <f>_xlfn.XLOOKUP(Customer[[#This Row],[NewType]],$AF$36:$AF$54,$AG$36:$AG$54)</f>
        <v>#N/A</v>
      </c>
      <c r="AA885" s="17" t="s">
        <v>6249</v>
      </c>
      <c r="AB885" s="11" t="str">
        <f>_xlfn.XLOOKUP(Customer[[#This Row],[Customer ID]],[1]!Address[ID],[1]!Address[Subtype])</f>
        <v>FAR KELADI</v>
      </c>
      <c r="AC885" s="18" t="str">
        <f>_xlfn.XLOOKUP(Customer[[#This Row],[Customer ID]],[1]!Address[ID],[1]!Address[Zone])</f>
        <v>NORTH</v>
      </c>
    </row>
    <row r="886" spans="1:29" x14ac:dyDescent="0.3">
      <c r="A886" s="37" t="s">
        <v>6250</v>
      </c>
      <c r="B886" s="38" t="str">
        <f>_xlfn.XLOOKUP(Customer[[#This Row],[Customer ID]],[1]!Name[ID],[1]!Name[Description(1)])</f>
        <v>FARMASI KUNAK SDN BHD</v>
      </c>
      <c r="C886" s="38" t="str">
        <f>_xlfn.XLOOKUP(Customer[[#This Row],[Customer ID]],[1]!Name[ID],[1]!Name[Description(2)])</f>
        <v>CAREFARM SDN BHD</v>
      </c>
      <c r="D886" s="38" t="str">
        <f>_xlfn.XLOOKUP(Customer[[#This Row],[Customer ID]],[1]!Address[ID],[1]!Address[PIC])</f>
        <v>IVAN WONG</v>
      </c>
      <c r="E886" s="38" t="str">
        <f>_xlfn.XLOOKUP(Customer[[#This Row],[Customer ID]],[1]!Address[ID],[1]!Address[Full Address])</f>
        <v>K000-01-016, GROUND FLOOR,BANGUNAN BATU PEKAN KUNAKJALAN TERATAI,KUNAK,91207 SABAH</v>
      </c>
      <c r="F886" s="12" t="s">
        <v>6251</v>
      </c>
      <c r="G886" s="12" t="s">
        <v>6252</v>
      </c>
      <c r="H886" s="12" t="s">
        <v>6253</v>
      </c>
      <c r="I886" s="12" t="b">
        <f>ISNUMBER(VALUE(LEFT(Customer[[#This Row],[Address Line 3 (30 char)]],1)))</f>
        <v>0</v>
      </c>
      <c r="J886" s="12" t="s">
        <v>6254</v>
      </c>
      <c r="K886" s="12">
        <v>91207</v>
      </c>
      <c r="L886" s="12" t="s">
        <v>35</v>
      </c>
      <c r="M886" s="13">
        <v>202201004120</v>
      </c>
      <c r="N886" s="14" t="s">
        <v>6255</v>
      </c>
      <c r="O886" s="14" t="e">
        <v>#N/A</v>
      </c>
      <c r="P886" s="14" t="e">
        <v>#N/A</v>
      </c>
      <c r="Q886" s="14" t="e">
        <v>#N/A</v>
      </c>
      <c r="R886" s="15" t="s">
        <v>6113</v>
      </c>
      <c r="S886" s="15" t="s">
        <v>3476</v>
      </c>
      <c r="T886" s="16" t="s">
        <v>3477</v>
      </c>
      <c r="U886" s="11" t="str">
        <f>_xlfn.XLOOKUP(Customer[[#This Row],[Customer ID]],[1]!Address[ID],[1]!Address[Phone No.(2)])</f>
        <v/>
      </c>
      <c r="V886" s="11" t="str">
        <f>_xlfn.XLOOKUP(Customer[[#This Row],[Customer ID]],[1]!Address[ID],[1]!Address[Type])</f>
        <v>PH</v>
      </c>
      <c r="W886" s="11" t="str">
        <f>_xlfn.XLOOKUP(Customer[[#This Row],[Customer ID]],[1]!Address[ID],[1]!Address[CT])</f>
        <v>30 DAYS</v>
      </c>
      <c r="X886" s="11"/>
      <c r="Y886" s="17" t="s">
        <v>5955</v>
      </c>
      <c r="Z886" s="17" t="e">
        <f>_xlfn.XLOOKUP(Customer[[#This Row],[NewType]],$AF$36:$AF$54,$AG$36:$AG$54)</f>
        <v>#N/A</v>
      </c>
      <c r="AA886" s="17" t="s">
        <v>6256</v>
      </c>
      <c r="AB886" s="11" t="str">
        <f>_xlfn.XLOOKUP(Customer[[#This Row],[Customer ID]],[1]!Address[ID],[1]!Address[Subtype])</f>
        <v>FAR KUNAK</v>
      </c>
      <c r="AC886" s="18">
        <f>_xlfn.XLOOKUP(Customer[[#This Row],[Customer ID]],[1]!Address[ID],[1]!Address[Zone])</f>
        <v>0</v>
      </c>
    </row>
    <row r="887" spans="1:29" x14ac:dyDescent="0.3">
      <c r="A887" s="37" t="s">
        <v>6257</v>
      </c>
      <c r="B887" s="38" t="str">
        <f>_xlfn.XLOOKUP(Customer[[#This Row],[Customer ID]],[1]!Name[ID],[1]!Name[Description(1)])</f>
        <v>FARMASI MURNI WAREHOUSE</v>
      </c>
      <c r="C887" s="38" t="str">
        <f>_xlfn.XLOOKUP(Customer[[#This Row],[Customer ID]],[1]!Name[ID],[1]!Name[Description(2)])</f>
        <v>FARMASI MURNI MARKETINGSDN BHD</v>
      </c>
      <c r="D887" s="38" t="str">
        <f>_xlfn.XLOOKUP(Customer[[#This Row],[Customer ID]],[1]!Address[ID],[1]!Address[PIC])</f>
        <v>ALIAA</v>
      </c>
      <c r="E887" s="38" t="str">
        <f>_xlfn.XLOOKUP(Customer[[#This Row],[Customer ID]],[1]!Address[ID],[1]!Address[Full Address])</f>
        <v>19 JALAN MURNI 2, TAMAN MURNI83000 BATU PAHAT,JOHOR</v>
      </c>
      <c r="F887" s="12" t="s">
        <v>6258</v>
      </c>
      <c r="G887" s="12" t="s">
        <v>6259</v>
      </c>
      <c r="H887" s="12" t="s">
        <v>36</v>
      </c>
      <c r="I887" s="12" t="b">
        <f>ISNUMBER(VALUE(LEFT(Customer[[#This Row],[Address Line 3 (30 char)]],1)))</f>
        <v>0</v>
      </c>
      <c r="J887" s="12" t="s">
        <v>52</v>
      </c>
      <c r="K887" s="12">
        <v>83000</v>
      </c>
      <c r="L887" s="12" t="s">
        <v>35</v>
      </c>
      <c r="M887" s="13">
        <v>200101024286</v>
      </c>
      <c r="N887" s="14" t="s">
        <v>6260</v>
      </c>
      <c r="O887" s="14" t="e">
        <v>#N/A</v>
      </c>
      <c r="P887" s="14" t="e">
        <v>#N/A</v>
      </c>
      <c r="Q887" s="14" t="e">
        <v>#N/A</v>
      </c>
      <c r="R887" s="15" t="s">
        <v>6261</v>
      </c>
      <c r="S887" s="15" t="s">
        <v>3476</v>
      </c>
      <c r="T887" s="16" t="s">
        <v>3477</v>
      </c>
      <c r="U887" s="11" t="str">
        <f>_xlfn.XLOOKUP(Customer[[#This Row],[Customer ID]],[1]!Address[ID],[1]!Address[Phone No.(2)])</f>
        <v/>
      </c>
      <c r="V887" s="11" t="str">
        <f>_xlfn.XLOOKUP(Customer[[#This Row],[Customer ID]],[1]!Address[ID],[1]!Address[Type])</f>
        <v>PH</v>
      </c>
      <c r="W887" s="11" t="str">
        <f>_xlfn.XLOOKUP(Customer[[#This Row],[Customer ID]],[1]!Address[ID],[1]!Address[CT])</f>
        <v>30 DAYS</v>
      </c>
      <c r="X887" s="11"/>
      <c r="Y887" s="17" t="s">
        <v>5955</v>
      </c>
      <c r="Z887" s="17" t="e">
        <f>_xlfn.XLOOKUP(Customer[[#This Row],[NewType]],$AF$36:$AF$54,$AG$36:$AG$54)</f>
        <v>#N/A</v>
      </c>
      <c r="AA887" s="17" t="s">
        <v>6262</v>
      </c>
      <c r="AB887" s="11" t="str">
        <f>_xlfn.XLOOKUP(Customer[[#This Row],[Customer ID]],[1]!Address[ID],[1]!Address[Subtype])</f>
        <v>FAR MURNI</v>
      </c>
      <c r="AC887" s="18" t="str">
        <f>_xlfn.XLOOKUP(Customer[[#This Row],[Customer ID]],[1]!Address[ID],[1]!Address[Zone])</f>
        <v>SOUTH</v>
      </c>
    </row>
    <row r="888" spans="1:29" x14ac:dyDescent="0.3">
      <c r="A888" s="37" t="s">
        <v>6263</v>
      </c>
      <c r="B888" s="38" t="str">
        <f>_xlfn.XLOOKUP(Customer[[#This Row],[Customer ID]],[1]!Name[ID],[1]!Name[Description(1)])</f>
        <v>FARMASI QPHARMA</v>
      </c>
      <c r="C888" s="38" t="str">
        <f>_xlfn.XLOOKUP(Customer[[#This Row],[Customer ID]],[1]!Name[ID],[1]!Name[Description(2)])</f>
        <v>(693308-D)</v>
      </c>
      <c r="D888" s="38" t="str">
        <f>_xlfn.XLOOKUP(Customer[[#This Row],[Customer ID]],[1]!Address[ID],[1]!Address[PIC])</f>
        <v/>
      </c>
      <c r="E888" s="38" t="str">
        <f>_xlfn.XLOOKUP(Customer[[#This Row],[Customer ID]],[1]!Address[ID],[1]!Address[Full Address])</f>
        <v>NO-2, G-PA-20, HOSPITAL PUTRAJAYA,PUSAT PENTADBIRAN KERAJAAN PERSEKUTUAN,PRESINT 7,WILAYAH</v>
      </c>
      <c r="F888" s="12" t="s">
        <v>6264</v>
      </c>
      <c r="G888" s="12" t="s">
        <v>6265</v>
      </c>
      <c r="H888" s="12" t="s">
        <v>6266</v>
      </c>
      <c r="I888" s="12" t="b">
        <f>ISNUMBER(VALUE(LEFT(Customer[[#This Row],[Address Line 3 (30 char)]],1)))</f>
        <v>0</v>
      </c>
      <c r="J888" s="12" t="s">
        <v>4229</v>
      </c>
      <c r="K888" s="12">
        <v>59100</v>
      </c>
      <c r="L888" s="12" t="s">
        <v>35</v>
      </c>
      <c r="M888" s="13" t="e">
        <v>#N/A</v>
      </c>
      <c r="N888" s="14" t="e">
        <v>#N/A</v>
      </c>
      <c r="O888" s="14" t="e">
        <v>#N/A</v>
      </c>
      <c r="P888" s="14" t="e">
        <v>#N/A</v>
      </c>
      <c r="Q888" s="14" t="e">
        <v>#N/A</v>
      </c>
      <c r="R888" s="15" t="s">
        <v>6267</v>
      </c>
      <c r="S888" s="15" t="s">
        <v>3476</v>
      </c>
      <c r="T888" s="16" t="s">
        <v>3477</v>
      </c>
      <c r="U888" s="11" t="str">
        <f>_xlfn.XLOOKUP(Customer[[#This Row],[Customer ID]],[1]!Address[ID],[1]!Address[Phone No.(2)])</f>
        <v/>
      </c>
      <c r="V888" s="11" t="str">
        <f>_xlfn.XLOOKUP(Customer[[#This Row],[Customer ID]],[1]!Address[ID],[1]!Address[Type])</f>
        <v>PH</v>
      </c>
      <c r="W888" s="11" t="str">
        <f>_xlfn.XLOOKUP(Customer[[#This Row],[Customer ID]],[1]!Address[ID],[1]!Address[CT])</f>
        <v>30 DAYS</v>
      </c>
      <c r="X888" s="11"/>
      <c r="Y888" s="17" t="s">
        <v>5955</v>
      </c>
      <c r="Z888" s="17" t="e">
        <f>_xlfn.XLOOKUP(Customer[[#This Row],[NewType]],$AF$36:$AF$54,$AG$36:$AG$54)</f>
        <v>#N/A</v>
      </c>
      <c r="AA888" s="17" t="s">
        <v>6268</v>
      </c>
      <c r="AB888" s="11" t="str">
        <f>_xlfn.XLOOKUP(Customer[[#This Row],[Customer ID]],[1]!Address[ID],[1]!Address[Subtype])</f>
        <v>QPHARMA</v>
      </c>
      <c r="AC888" s="18" t="str">
        <f>_xlfn.XLOOKUP(Customer[[#This Row],[Customer ID]],[1]!Address[ID],[1]!Address[Zone])</f>
        <v>CENTRAL</v>
      </c>
    </row>
    <row r="889" spans="1:29" x14ac:dyDescent="0.3">
      <c r="A889" s="37" t="s">
        <v>6269</v>
      </c>
      <c r="B889" s="38" t="str">
        <f>_xlfn.XLOOKUP(Customer[[#This Row],[Customer ID]],[1]!Name[ID],[1]!Name[Description(1)])</f>
        <v>FARMASI REMEDI</v>
      </c>
      <c r="C889" s="38" t="str">
        <f>_xlfn.XLOOKUP(Customer[[#This Row],[Customer ID]],[1]!Name[ID],[1]!Name[Description(2)])</f>
        <v/>
      </c>
      <c r="D889" s="38" t="str">
        <f>_xlfn.XLOOKUP(Customer[[#This Row],[Customer ID]],[1]!Address[ID],[1]!Address[PIC])</f>
        <v/>
      </c>
      <c r="E889" s="38" t="str">
        <f>_xlfn.XLOOKUP(Customer[[#This Row],[Customer ID]],[1]!Address[ID],[1]!Address[Full Address])</f>
        <v>JC529 JALAN BESTARI 5 SEKSYEN 2BANDAR JASIN BESTARI 77200 JASIN MELAKA</v>
      </c>
      <c r="F889" s="12" t="s">
        <v>6270</v>
      </c>
      <c r="G889" s="12" t="s">
        <v>6271</v>
      </c>
      <c r="H889" s="12" t="s">
        <v>3427</v>
      </c>
      <c r="I889" s="12" t="b">
        <f>ISNUMBER(VALUE(LEFT(Customer[[#This Row],[Address Line 3 (30 char)]],1)))</f>
        <v>0</v>
      </c>
      <c r="J889" s="12" t="s">
        <v>6272</v>
      </c>
      <c r="K889" s="12">
        <v>77200</v>
      </c>
      <c r="L889" s="12" t="s">
        <v>35</v>
      </c>
      <c r="M889" s="13" t="e">
        <v>#N/A</v>
      </c>
      <c r="N889" s="14" t="e">
        <v>#N/A</v>
      </c>
      <c r="O889" s="14" t="e">
        <v>#N/A</v>
      </c>
      <c r="P889" s="14" t="e">
        <v>#N/A</v>
      </c>
      <c r="Q889" s="14" t="e">
        <v>#N/A</v>
      </c>
      <c r="R889" s="15" t="s">
        <v>6273</v>
      </c>
      <c r="S889" s="15" t="s">
        <v>3476</v>
      </c>
      <c r="T889" s="16" t="s">
        <v>3477</v>
      </c>
      <c r="U889" s="11" t="str">
        <f>_xlfn.XLOOKUP(Customer[[#This Row],[Customer ID]],[1]!Address[ID],[1]!Address[Phone No.(2)])</f>
        <v/>
      </c>
      <c r="V889" s="11" t="str">
        <f>_xlfn.XLOOKUP(Customer[[#This Row],[Customer ID]],[1]!Address[ID],[1]!Address[Type])</f>
        <v>PH</v>
      </c>
      <c r="W889" s="11" t="str">
        <f>_xlfn.XLOOKUP(Customer[[#This Row],[Customer ID]],[1]!Address[ID],[1]!Address[CT])</f>
        <v>30 DAYS</v>
      </c>
      <c r="X889" s="11"/>
      <c r="Y889" s="17" t="s">
        <v>5955</v>
      </c>
      <c r="Z889" s="17" t="e">
        <f>_xlfn.XLOOKUP(Customer[[#This Row],[NewType]],$AF$36:$AF$54,$AG$36:$AG$54)</f>
        <v>#N/A</v>
      </c>
      <c r="AA889" s="17" t="s">
        <v>6274</v>
      </c>
      <c r="AB889" s="11" t="str">
        <f>_xlfn.XLOOKUP(Customer[[#This Row],[Customer ID]],[1]!Address[ID],[1]!Address[Subtype])</f>
        <v>REMEDI</v>
      </c>
      <c r="AC889" s="18" t="str">
        <f>_xlfn.XLOOKUP(Customer[[#This Row],[Customer ID]],[1]!Address[ID],[1]!Address[Zone])</f>
        <v>SOUTH</v>
      </c>
    </row>
    <row r="890" spans="1:29" x14ac:dyDescent="0.3">
      <c r="A890" s="37" t="s">
        <v>6275</v>
      </c>
      <c r="B890" s="38" t="str">
        <f>_xlfn.XLOOKUP(Customer[[#This Row],[Customer ID]],[1]!Name[ID],[1]!Name[Description(1)])</f>
        <v>FARMASI SAIZA</v>
      </c>
      <c r="C890" s="38" t="str">
        <f>_xlfn.XLOOKUP(Customer[[#This Row],[Customer ID]],[1]!Name[ID],[1]!Name[Description(2)])</f>
        <v/>
      </c>
      <c r="D890" s="38" t="str">
        <f>_xlfn.XLOOKUP(Customer[[#This Row],[Customer ID]],[1]!Address[ID],[1]!Address[PIC])</f>
        <v>NOR HAYATI</v>
      </c>
      <c r="E890" s="38" t="str">
        <f>_xlfn.XLOOKUP(Customer[[#This Row],[Customer ID]],[1]!Address[ID],[1]!Address[Full Address])</f>
        <v>NO.40, JALAN ANGGERIKTAMAN SERI BAYU, 78000 ALOR GAJAH,MELAKA</v>
      </c>
      <c r="F890" s="12" t="s">
        <v>6276</v>
      </c>
      <c r="G890" s="12" t="s">
        <v>6277</v>
      </c>
      <c r="H890" s="12"/>
      <c r="I890" s="12" t="b">
        <f>ISNUMBER(VALUE(LEFT(Customer[[#This Row],[Address Line 3 (30 char)]],1)))</f>
        <v>0</v>
      </c>
      <c r="J890" s="12" t="s">
        <v>61</v>
      </c>
      <c r="K890" s="12">
        <v>78000</v>
      </c>
      <c r="L890" s="12" t="s">
        <v>35</v>
      </c>
      <c r="M890" s="13">
        <v>199803098622</v>
      </c>
      <c r="N890" s="14" t="s">
        <v>6278</v>
      </c>
      <c r="O890" s="14" t="e">
        <v>#N/A</v>
      </c>
      <c r="P890" s="14" t="e">
        <v>#N/A</v>
      </c>
      <c r="Q890" s="14" t="e">
        <v>#N/A</v>
      </c>
      <c r="R890" s="15" t="s">
        <v>6279</v>
      </c>
      <c r="S890" s="15" t="s">
        <v>3476</v>
      </c>
      <c r="T890" s="16" t="s">
        <v>3477</v>
      </c>
      <c r="U890" s="11" t="str">
        <f>_xlfn.XLOOKUP(Customer[[#This Row],[Customer ID]],[1]!Address[ID],[1]!Address[Phone No.(2)])</f>
        <v/>
      </c>
      <c r="V890" s="11" t="str">
        <f>_xlfn.XLOOKUP(Customer[[#This Row],[Customer ID]],[1]!Address[ID],[1]!Address[Type])</f>
        <v>PH</v>
      </c>
      <c r="W890" s="11" t="str">
        <f>_xlfn.XLOOKUP(Customer[[#This Row],[Customer ID]],[1]!Address[ID],[1]!Address[CT])</f>
        <v>30 DAYS</v>
      </c>
      <c r="X890" s="11"/>
      <c r="Y890" s="17" t="s">
        <v>5955</v>
      </c>
      <c r="Z890" s="17" t="e">
        <f>_xlfn.XLOOKUP(Customer[[#This Row],[NewType]],$AF$36:$AF$54,$AG$36:$AG$54)</f>
        <v>#N/A</v>
      </c>
      <c r="AA890" s="17" t="s">
        <v>6280</v>
      </c>
      <c r="AB890" s="11" t="str">
        <f>_xlfn.XLOOKUP(Customer[[#This Row],[Customer ID]],[1]!Address[ID],[1]!Address[Subtype])</f>
        <v>FAR SAIZA</v>
      </c>
      <c r="AC890" s="18" t="str">
        <f>_xlfn.XLOOKUP(Customer[[#This Row],[Customer ID]],[1]!Address[ID],[1]!Address[Zone])</f>
        <v>SOUTH</v>
      </c>
    </row>
    <row r="891" spans="1:29" x14ac:dyDescent="0.3">
      <c r="A891" s="45" t="s">
        <v>6281</v>
      </c>
      <c r="B891" s="32" t="str">
        <f>_xlfn.XLOOKUP(Customer[[#This Row],[Customer ID]],[1]!Name[ID],[1]!Name[Description(1)])</f>
        <v>AZMAN</v>
      </c>
      <c r="C891" s="32" t="str">
        <f>_xlfn.XLOOKUP(Customer[[#This Row],[Customer ID]],[1]!Name[ID],[1]!Name[Description(2)])</f>
        <v/>
      </c>
      <c r="D891" s="38" t="str">
        <f>_xlfn.XLOOKUP(Customer[[#This Row],[Customer ID]],[1]!Address[ID],[1]!Address[PIC])</f>
        <v/>
      </c>
      <c r="E891" s="38" t="str">
        <f>_xlfn.XLOOKUP(Customer[[#This Row],[Customer ID]],[1]!Address[ID],[1]!Address[Full Address])</f>
        <v/>
      </c>
      <c r="F891" s="12" t="s">
        <v>36</v>
      </c>
      <c r="G891" s="12" t="s">
        <v>36</v>
      </c>
      <c r="H891" s="12" t="s">
        <v>36</v>
      </c>
      <c r="I891" s="12" t="b">
        <f>ISNUMBER(VALUE(LEFT(Customer[[#This Row],[Address Line 3 (30 char)]],1)))</f>
        <v>0</v>
      </c>
      <c r="J891" s="32"/>
      <c r="K891" s="32"/>
      <c r="L891" s="12" t="s">
        <v>35</v>
      </c>
      <c r="M891" s="13" t="e">
        <v>#N/A</v>
      </c>
      <c r="N891" s="14" t="e">
        <v>#N/A</v>
      </c>
      <c r="O891" s="14" t="e">
        <v>#N/A</v>
      </c>
      <c r="P891" s="14" t="e">
        <v>#N/A</v>
      </c>
      <c r="Q891" s="14" t="e">
        <v>#N/A</v>
      </c>
      <c r="R891" s="15" t="s">
        <v>6282</v>
      </c>
      <c r="S891" s="16" t="s">
        <v>6283</v>
      </c>
      <c r="T891" s="16"/>
      <c r="U891" s="11" t="str">
        <f>_xlfn.XLOOKUP(Customer[[#This Row],[Customer ID]],[1]!Address[ID],[1]!Address[Phone No.(2)])</f>
        <v/>
      </c>
      <c r="V891" s="11" t="str">
        <f>_xlfn.XLOOKUP(Customer[[#This Row],[Customer ID]],[1]!Address[ID],[1]!Address[Type])</f>
        <v>WALK IN</v>
      </c>
      <c r="W891" s="11" t="str">
        <f>_xlfn.XLOOKUP(Customer[[#This Row],[Customer ID]],[1]!Address[ID],[1]!Address[CT])</f>
        <v/>
      </c>
      <c r="X891" s="11"/>
      <c r="Y891" s="17" t="s">
        <v>6284</v>
      </c>
      <c r="Z891" s="17" t="e">
        <f>_xlfn.XLOOKUP(Customer[[#This Row],[NewType]],$AF$36:$AF$54,$AG$36:$AG$54)</f>
        <v>#N/A</v>
      </c>
      <c r="AA891" s="17" t="s">
        <v>6285</v>
      </c>
      <c r="AB891" s="11" t="str">
        <f>_xlfn.XLOOKUP(Customer[[#This Row],[Customer ID]],[1]!Address[ID],[1]!Address[Subtype])</f>
        <v>RANTAU</v>
      </c>
      <c r="AC891" s="18" t="str">
        <f>_xlfn.XLOOKUP(Customer[[#This Row],[Customer ID]],[1]!Address[ID],[1]!Address[Zone])</f>
        <v>U H</v>
      </c>
    </row>
    <row r="892" spans="1:29" x14ac:dyDescent="0.3">
      <c r="A892" s="37" t="s">
        <v>6286</v>
      </c>
      <c r="B892" s="38" t="str">
        <f>_xlfn.XLOOKUP(Customer[[#This Row],[Customer ID]],[1]!Name[ID],[1]!Name[Description(1)])</f>
        <v>BIDAISARI RESORT SDN BHD</v>
      </c>
      <c r="C892" s="38" t="str">
        <f>_xlfn.XLOOKUP(Customer[[#This Row],[Customer ID]],[1]!Name[ID],[1]!Name[Description(2)])</f>
        <v/>
      </c>
      <c r="D892" s="38" t="str">
        <f>_xlfn.XLOOKUP(Customer[[#This Row],[Customer ID]],[1]!Address[ID],[1]!Address[PIC])</f>
        <v/>
      </c>
      <c r="E892" s="38" t="str">
        <f>_xlfn.XLOOKUP(Customer[[#This Row],[Customer ID]],[1]!Address[ID],[1]!Address[Full Address])</f>
        <v>LORONG CHERINGIN 1,KAMPUNG CHERINGIN JANDA BAIK,28750 BENTONGPAHANG</v>
      </c>
      <c r="F892" s="12" t="s">
        <v>6287</v>
      </c>
      <c r="G892" s="12" t="s">
        <v>6288</v>
      </c>
      <c r="H892" s="24" t="s">
        <v>1014</v>
      </c>
      <c r="I892" s="24" t="b">
        <f>ISNUMBER(VALUE(LEFT(Customer[[#This Row],[Address Line 3 (30 char)]],1)))</f>
        <v>0</v>
      </c>
      <c r="J892" s="12" t="s">
        <v>339</v>
      </c>
      <c r="K892" s="12">
        <v>28750</v>
      </c>
      <c r="L892" s="12" t="s">
        <v>35</v>
      </c>
      <c r="M892" s="13" t="e">
        <v>#N/A</v>
      </c>
      <c r="N892" s="14" t="e">
        <v>#N/A</v>
      </c>
      <c r="O892" s="14" t="e">
        <v>#N/A</v>
      </c>
      <c r="P892" s="14" t="e">
        <v>#N/A</v>
      </c>
      <c r="Q892" s="19" t="s">
        <v>6289</v>
      </c>
      <c r="R892" s="15" t="s">
        <v>6290</v>
      </c>
      <c r="S892" s="15" t="s">
        <v>5934</v>
      </c>
      <c r="T892" s="16"/>
      <c r="U892" s="11" t="str">
        <f>_xlfn.XLOOKUP(Customer[[#This Row],[Customer ID]],[1]!Address[ID],[1]!Address[Phone No.(2)])</f>
        <v/>
      </c>
      <c r="V892" s="11" t="str">
        <f>_xlfn.XLOOKUP(Customer[[#This Row],[Customer ID]],[1]!Address[ID],[1]!Address[Type])</f>
        <v>HOCA</v>
      </c>
      <c r="W892" s="11" t="str">
        <f>_xlfn.XLOOKUP(Customer[[#This Row],[Customer ID]],[1]!Address[ID],[1]!Address[CT])</f>
        <v/>
      </c>
      <c r="X892" s="11"/>
      <c r="Y892" s="17" t="s">
        <v>6028</v>
      </c>
      <c r="Z892" s="17" t="e">
        <f>_xlfn.XLOOKUP(Customer[[#This Row],[NewType]],$AF$36:$AF$54,$AG$36:$AG$54)</f>
        <v>#N/A</v>
      </c>
      <c r="AA892" s="17" t="s">
        <v>6291</v>
      </c>
      <c r="AB892" s="11" t="str">
        <f>_xlfn.XLOOKUP(Customer[[#This Row],[Customer ID]],[1]!Address[ID],[1]!Address[Subtype])</f>
        <v>BIDAISARI</v>
      </c>
      <c r="AC892" s="18" t="str">
        <f>_xlfn.XLOOKUP(Customer[[#This Row],[Customer ID]],[1]!Address[ID],[1]!Address[Zone])</f>
        <v>EAST COAST</v>
      </c>
    </row>
    <row r="893" spans="1:29" x14ac:dyDescent="0.3">
      <c r="A893" s="37" t="s">
        <v>6292</v>
      </c>
      <c r="B893" s="38" t="str">
        <f>_xlfn.XLOOKUP(Customer[[#This Row],[Customer ID]],[1]!Name[ID],[1]!Name[Description(1)])</f>
        <v>SENAWANG ZEMART SDN. BHD</v>
      </c>
      <c r="C893" s="38" t="str">
        <f>_xlfn.XLOOKUP(Customer[[#This Row],[Customer ID]],[1]!Name[ID],[1]!Name[Description(2)])</f>
        <v/>
      </c>
      <c r="D893" s="38" t="str">
        <f>_xlfn.XLOOKUP(Customer[[#This Row],[Customer ID]],[1]!Address[ID],[1]!Address[PIC])</f>
        <v/>
      </c>
      <c r="E893" s="38" t="str">
        <f>_xlfn.XLOOKUP(Customer[[#This Row],[Customer ID]],[1]!Address[ID],[1]!Address[Full Address])</f>
        <v>NO. 25, PERSIARAN BUNGA TANJUNG 2,PUSAT BANDAR SENAWANG,70450 SENAWANGNEGERI SEMBILAN</v>
      </c>
      <c r="F893" s="12" t="s">
        <v>6293</v>
      </c>
      <c r="G893" s="12" t="s">
        <v>6294</v>
      </c>
      <c r="H893" s="12" t="s">
        <v>6295</v>
      </c>
      <c r="I893" s="12" t="b">
        <f>ISNUMBER(VALUE(LEFT(Customer[[#This Row],[Address Line 3 (30 char)]],1)))</f>
        <v>0</v>
      </c>
      <c r="J893" s="12" t="s">
        <v>203</v>
      </c>
      <c r="K893" s="12">
        <v>70450</v>
      </c>
      <c r="L893" s="12" t="s">
        <v>35</v>
      </c>
      <c r="M893" s="13" t="e">
        <v>#N/A</v>
      </c>
      <c r="N893" s="14" t="e">
        <v>#N/A</v>
      </c>
      <c r="O893" s="14" t="e">
        <v>#N/A</v>
      </c>
      <c r="P893" s="14" t="e">
        <v>#N/A</v>
      </c>
      <c r="Q893" s="19" t="s">
        <v>6296</v>
      </c>
      <c r="R893" s="15" t="s">
        <v>6297</v>
      </c>
      <c r="S893" s="15" t="s">
        <v>5934</v>
      </c>
      <c r="T893" s="16" t="s">
        <v>3477</v>
      </c>
      <c r="U893" s="11" t="str">
        <f>_xlfn.XLOOKUP(Customer[[#This Row],[Customer ID]],[1]!Address[ID],[1]!Address[Phone No.(2)])</f>
        <v/>
      </c>
      <c r="V893" s="11" t="str">
        <f>_xlfn.XLOOKUP(Customer[[#This Row],[Customer ID]],[1]!Address[ID],[1]!Address[Type])</f>
        <v>HM</v>
      </c>
      <c r="W893" s="11" t="str">
        <f>_xlfn.XLOOKUP(Customer[[#This Row],[Customer ID]],[1]!Address[ID],[1]!Address[CT])</f>
        <v>7 DAYS</v>
      </c>
      <c r="X893" s="11"/>
      <c r="Y893" s="17" t="s">
        <v>5968</v>
      </c>
      <c r="Z893" s="17" t="e">
        <f>_xlfn.XLOOKUP(Customer[[#This Row],[NewType]],$AF$36:$AF$54,$AG$36:$AG$54)</f>
        <v>#N/A</v>
      </c>
      <c r="AA893" s="17" t="s">
        <v>6298</v>
      </c>
      <c r="AB893" s="11" t="str">
        <f>_xlfn.XLOOKUP(Customer[[#This Row],[Customer ID]],[1]!Address[ID],[1]!Address[Subtype])</f>
        <v>ZEMART</v>
      </c>
      <c r="AC893" s="18" t="str">
        <f>_xlfn.XLOOKUP(Customer[[#This Row],[Customer ID]],[1]!Address[ID],[1]!Address[Zone])</f>
        <v>CENTRAL</v>
      </c>
    </row>
    <row r="894" spans="1:29" x14ac:dyDescent="0.3">
      <c r="A894" s="37" t="s">
        <v>6299</v>
      </c>
      <c r="B894" s="38" t="str">
        <f>_xlfn.XLOOKUP(Customer[[#This Row],[Customer ID]],[1]!Name[ID],[1]!Name[Description(1)])</f>
        <v>FARMASI SIHAT SDN BHD</v>
      </c>
      <c r="C894" s="38" t="str">
        <f>_xlfn.XLOOKUP(Customer[[#This Row],[Customer ID]],[1]!Name[ID],[1]!Name[Description(2)])</f>
        <v>(RENGIT)</v>
      </c>
      <c r="D894" s="38" t="str">
        <f>_xlfn.XLOOKUP(Customer[[#This Row],[Customer ID]],[1]!Address[ID],[1]!Address[PIC])</f>
        <v/>
      </c>
      <c r="E894" s="38" t="str">
        <f>_xlfn.XLOOKUP(Customer[[#This Row],[Customer ID]],[1]!Address[ID],[1]!Address[Full Address])</f>
        <v>NO. 7.7A &amp; 8 JLN MUHIBAH,RENGIT, 83100 BATU PAHAT, JOHOR</v>
      </c>
      <c r="F894" s="12" t="s">
        <v>6300</v>
      </c>
      <c r="G894" s="12" t="s">
        <v>6301</v>
      </c>
      <c r="H894" s="12" t="s">
        <v>36</v>
      </c>
      <c r="I894" s="12" t="b">
        <f>ISNUMBER(VALUE(LEFT(Customer[[#This Row],[Address Line 3 (30 char)]],1)))</f>
        <v>0</v>
      </c>
      <c r="J894" s="12" t="s">
        <v>52</v>
      </c>
      <c r="K894" s="12">
        <v>83100</v>
      </c>
      <c r="L894" s="12" t="s">
        <v>35</v>
      </c>
      <c r="M894" s="13" t="e">
        <v>#N/A</v>
      </c>
      <c r="N894" s="14" t="e">
        <v>#N/A</v>
      </c>
      <c r="O894" s="14" t="e">
        <v>#N/A</v>
      </c>
      <c r="P894" s="14" t="e">
        <v>#N/A</v>
      </c>
      <c r="Q894" s="14" t="e">
        <v>#N/A</v>
      </c>
      <c r="R894" s="15" t="s">
        <v>6302</v>
      </c>
      <c r="S894" s="15" t="s">
        <v>88</v>
      </c>
      <c r="T894" s="16" t="s">
        <v>89</v>
      </c>
      <c r="U894" s="11" t="str">
        <f>_xlfn.XLOOKUP(Customer[[#This Row],[Customer ID]],[1]!Address[ID],[1]!Address[Phone No.(2)])</f>
        <v/>
      </c>
      <c r="V894" s="11" t="str">
        <f>_xlfn.XLOOKUP(Customer[[#This Row],[Customer ID]],[1]!Address[ID],[1]!Address[Type])</f>
        <v>SOCMED</v>
      </c>
      <c r="W894" s="11" t="str">
        <f>_xlfn.XLOOKUP(Customer[[#This Row],[Customer ID]],[1]!Address[ID],[1]!Address[CT])</f>
        <v/>
      </c>
      <c r="X894" s="11"/>
      <c r="Y894" s="17" t="s">
        <v>90</v>
      </c>
      <c r="Z894" s="17" t="e">
        <f>_xlfn.XLOOKUP(Customer[[#This Row],[NewType]],$AF$36:$AF$54,$AG$36:$AG$54)</f>
        <v>#N/A</v>
      </c>
      <c r="AA894" s="17" t="s">
        <v>6303</v>
      </c>
      <c r="AB894" s="11" t="str">
        <f>_xlfn.XLOOKUP(Customer[[#This Row],[Customer ID]],[1]!Address[ID],[1]!Address[Subtype])</f>
        <v>ONLINE ROS</v>
      </c>
      <c r="AC894" s="18" t="str">
        <f>_xlfn.XLOOKUP(Customer[[#This Row],[Customer ID]],[1]!Address[ID],[1]!Address[Zone])</f>
        <v>SOUTH</v>
      </c>
    </row>
    <row r="895" spans="1:29" x14ac:dyDescent="0.3">
      <c r="A895" s="45" t="s">
        <v>6304</v>
      </c>
      <c r="B895" s="32" t="str">
        <f>_xlfn.XLOOKUP(Customer[[#This Row],[Customer ID]],[1]!Name[ID],[1]!Name[Description(1)])</f>
        <v>ASP NORBAITI TISAN</v>
      </c>
      <c r="C895" s="32" t="str">
        <f>_xlfn.XLOOKUP(Customer[[#This Row],[Customer ID]],[1]!Name[ID],[1]!Name[Description(2)])</f>
        <v/>
      </c>
      <c r="D895" s="38" t="str">
        <f>_xlfn.XLOOKUP(Customer[[#This Row],[Customer ID]],[1]!Address[ID],[1]!Address[PIC])</f>
        <v/>
      </c>
      <c r="E895" s="38" t="str">
        <f>_xlfn.XLOOKUP(Customer[[#This Row],[Customer ID]],[1]!Address[ID],[1]!Address[Full Address])</f>
        <v>KG KANCHONG</v>
      </c>
      <c r="F895" s="12" t="s">
        <v>6305</v>
      </c>
      <c r="G895" s="12" t="s">
        <v>36</v>
      </c>
      <c r="H895" s="12" t="s">
        <v>36</v>
      </c>
      <c r="I895" s="12" t="b">
        <f>ISNUMBER(VALUE(LEFT(Customer[[#This Row],[Address Line 3 (30 char)]],1)))</f>
        <v>0</v>
      </c>
      <c r="J895" s="32" t="s">
        <v>203</v>
      </c>
      <c r="K895" s="32"/>
      <c r="L895" s="12" t="s">
        <v>35</v>
      </c>
      <c r="M895" s="13" t="e">
        <v>#N/A</v>
      </c>
      <c r="N895" s="14" t="e">
        <v>#N/A</v>
      </c>
      <c r="O895" s="14" t="e">
        <v>#N/A</v>
      </c>
      <c r="P895" s="14" t="e">
        <v>#N/A</v>
      </c>
      <c r="Q895" s="14" t="e">
        <v>#N/A</v>
      </c>
      <c r="R895" s="15" t="s">
        <v>6306</v>
      </c>
      <c r="S895" s="16" t="s">
        <v>6283</v>
      </c>
      <c r="T895" s="16"/>
      <c r="U895" s="11" t="str">
        <f>_xlfn.XLOOKUP(Customer[[#This Row],[Customer ID]],[1]!Address[ID],[1]!Address[Phone No.(2)])</f>
        <v/>
      </c>
      <c r="V895" s="11" t="str">
        <f>_xlfn.XLOOKUP(Customer[[#This Row],[Customer ID]],[1]!Address[ID],[1]!Address[Type])</f>
        <v>WALK IN</v>
      </c>
      <c r="W895" s="11" t="str">
        <f>_xlfn.XLOOKUP(Customer[[#This Row],[Customer ID]],[1]!Address[ID],[1]!Address[CT])</f>
        <v/>
      </c>
      <c r="X895" s="11"/>
      <c r="Y895" s="17" t="s">
        <v>6284</v>
      </c>
      <c r="Z895" s="17" t="e">
        <f>_xlfn.XLOOKUP(Customer[[#This Row],[NewType]],$AF$36:$AF$54,$AG$36:$AG$54)</f>
        <v>#N/A</v>
      </c>
      <c r="AA895" s="17" t="s">
        <v>6307</v>
      </c>
      <c r="AB895" s="11" t="str">
        <f>_xlfn.XLOOKUP(Customer[[#This Row],[Customer ID]],[1]!Address[ID],[1]!Address[Subtype])</f>
        <v>RANTAU</v>
      </c>
      <c r="AC895" s="18" t="str">
        <f>_xlfn.XLOOKUP(Customer[[#This Row],[Customer ID]],[1]!Address[ID],[1]!Address[Zone])</f>
        <v>CENTRAL</v>
      </c>
    </row>
    <row r="896" spans="1:29" x14ac:dyDescent="0.3">
      <c r="A896" s="10" t="s">
        <v>6308</v>
      </c>
      <c r="B896" s="11" t="str">
        <f>_xlfn.XLOOKUP(Customer[[#This Row],[Customer ID]],[1]!Name[ID],[1]!Name[Description(1)])</f>
        <v>PMG PHARMACY SAMUDERA</v>
      </c>
      <c r="C896" s="38" t="str">
        <f>_xlfn.XLOOKUP(Customer[[#This Row],[Customer ID]],[1]!Name[ID],[1]!Name[Description(2)])</f>
        <v/>
      </c>
      <c r="D896" s="38" t="str">
        <f>_xlfn.XLOOKUP(Customer[[#This Row],[Customer ID]],[1]!Address[ID],[1]!Address[PIC])</f>
        <v/>
      </c>
      <c r="E896" s="38" t="str">
        <f>_xlfn.XLOOKUP(Customer[[#This Row],[Customer ID]],[1]!Address[ID],[1]!Address[Full Address])</f>
        <v>PMG PHARMACY SDN BHD,NO. 396, JALAN SAMUDERA 2,TAMAN SAMUDERA, 32040SERI MANJUNG,PERAK DARUL RIDZUAN.</v>
      </c>
      <c r="F896" s="12" t="s">
        <v>6309</v>
      </c>
      <c r="G896" s="12" t="s">
        <v>6310</v>
      </c>
      <c r="H896" s="12" t="s">
        <v>6311</v>
      </c>
      <c r="I896" s="12" t="b">
        <f>ISNUMBER(VALUE(LEFT(Customer[[#This Row],[Address Line 3 (30 char)]],1)))</f>
        <v>0</v>
      </c>
      <c r="J896" s="12" t="s">
        <v>387</v>
      </c>
      <c r="K896" s="12">
        <v>32040</v>
      </c>
      <c r="L896" s="12" t="s">
        <v>35</v>
      </c>
      <c r="M896" s="13" t="e">
        <v>#N/A</v>
      </c>
      <c r="N896" s="14" t="e">
        <v>#N/A</v>
      </c>
      <c r="O896" s="14" t="e">
        <v>#N/A</v>
      </c>
      <c r="P896" s="14" t="e">
        <v>#N/A</v>
      </c>
      <c r="Q896" s="19" t="s">
        <v>6312</v>
      </c>
      <c r="R896" s="15" t="s">
        <v>6313</v>
      </c>
      <c r="S896" s="15" t="s">
        <v>89</v>
      </c>
      <c r="T896" s="16" t="s">
        <v>89</v>
      </c>
      <c r="U896" s="11" t="str">
        <f>_xlfn.XLOOKUP(Customer[[#This Row],[Customer ID]],[1]!Address[ID],[1]!Address[Phone No.(2)])</f>
        <v/>
      </c>
      <c r="V896" s="11" t="str">
        <f>_xlfn.XLOOKUP(Customer[[#This Row],[Customer ID]],[1]!Address[ID],[1]!Address[Type])</f>
        <v>SOCMED</v>
      </c>
      <c r="W896" s="11" t="str">
        <f>_xlfn.XLOOKUP(Customer[[#This Row],[Customer ID]],[1]!Address[ID],[1]!Address[CT])</f>
        <v>30 DAYS</v>
      </c>
      <c r="X896" s="11"/>
      <c r="Y896" s="17" t="s">
        <v>90</v>
      </c>
      <c r="Z896" s="17" t="e">
        <f>_xlfn.XLOOKUP(Customer[[#This Row],[NewType]],$AF$36:$AF$54,$AG$36:$AG$54)</f>
        <v>#N/A</v>
      </c>
      <c r="AA896" s="17" t="s">
        <v>6314</v>
      </c>
      <c r="AB896" s="11" t="str">
        <f>_xlfn.XLOOKUP(Customer[[#This Row],[Customer ID]],[1]!Address[ID],[1]!Address[Subtype])</f>
        <v>WHATSAPP</v>
      </c>
      <c r="AC896" s="18" t="str">
        <f>_xlfn.XLOOKUP(Customer[[#This Row],[Customer ID]],[1]!Address[ID],[1]!Address[Zone])</f>
        <v>NORTH</v>
      </c>
    </row>
    <row r="897" spans="1:29" x14ac:dyDescent="0.3">
      <c r="A897" s="37" t="s">
        <v>6315</v>
      </c>
      <c r="B897" s="38" t="str">
        <f>_xlfn.XLOOKUP(Customer[[#This Row],[Customer ID]],[1]!Name[ID],[1]!Name[Description(1)])</f>
        <v>STAFF UST HARUN</v>
      </c>
      <c r="C897" s="38" t="str">
        <f>_xlfn.XLOOKUP(Customer[[#This Row],[Customer ID]],[1]!Name[ID],[1]!Name[Description(2)])</f>
        <v/>
      </c>
      <c r="D897" s="38" t="str">
        <f>_xlfn.XLOOKUP(Customer[[#This Row],[Customer ID]],[1]!Address[ID],[1]!Address[PIC])</f>
        <v/>
      </c>
      <c r="E897" s="38" t="str">
        <f>_xlfn.XLOOKUP(Customer[[#This Row],[Customer ID]],[1]!Address[ID],[1]!Address[Full Address])</f>
        <v>KOMPLEK AL AMMAR, KG KANCHONG</v>
      </c>
      <c r="F897" s="12" t="s">
        <v>6316</v>
      </c>
      <c r="G897" s="12" t="s">
        <v>36</v>
      </c>
      <c r="H897" s="12" t="s">
        <v>36</v>
      </c>
      <c r="I897" s="12" t="b">
        <f>ISNUMBER(VALUE(LEFT(Customer[[#This Row],[Address Line 3 (30 char)]],1)))</f>
        <v>0</v>
      </c>
      <c r="J897" s="12" t="s">
        <v>203</v>
      </c>
      <c r="K897" s="12">
        <v>71200</v>
      </c>
      <c r="L897" s="12" t="s">
        <v>35</v>
      </c>
      <c r="M897" s="13" t="e">
        <v>#N/A</v>
      </c>
      <c r="N897" s="14" t="e">
        <v>#N/A</v>
      </c>
      <c r="O897" s="14" t="e">
        <v>#N/A</v>
      </c>
      <c r="P897" s="14" t="e">
        <v>#N/A</v>
      </c>
      <c r="Q897" s="14" t="e">
        <v>#N/A</v>
      </c>
      <c r="R897" s="15" t="s">
        <v>6317</v>
      </c>
      <c r="S897" s="16" t="s">
        <v>6283</v>
      </c>
      <c r="T897" s="16"/>
      <c r="U897" s="11" t="str">
        <f>_xlfn.XLOOKUP(Customer[[#This Row],[Customer ID]],[1]!Address[ID],[1]!Address[Phone No.(2)])</f>
        <v/>
      </c>
      <c r="V897" s="11" t="str">
        <f>_xlfn.XLOOKUP(Customer[[#This Row],[Customer ID]],[1]!Address[ID],[1]!Address[Type])</f>
        <v>WALK IN</v>
      </c>
      <c r="W897" s="11" t="str">
        <f>_xlfn.XLOOKUP(Customer[[#This Row],[Customer ID]],[1]!Address[ID],[1]!Address[CT])</f>
        <v/>
      </c>
      <c r="X897" s="11"/>
      <c r="Y897" s="17" t="s">
        <v>6284</v>
      </c>
      <c r="Z897" s="17" t="e">
        <f>_xlfn.XLOOKUP(Customer[[#This Row],[NewType]],$AF$36:$AF$54,$AG$36:$AG$54)</f>
        <v>#N/A</v>
      </c>
      <c r="AA897" s="17" t="s">
        <v>6318</v>
      </c>
      <c r="AB897" s="11" t="str">
        <f>_xlfn.XLOOKUP(Customer[[#This Row],[Customer ID]],[1]!Address[ID],[1]!Address[Subtype])</f>
        <v>RANTAU</v>
      </c>
      <c r="AC897" s="18" t="str">
        <f>_xlfn.XLOOKUP(Customer[[#This Row],[Customer ID]],[1]!Address[ID],[1]!Address[Zone])</f>
        <v>CENTRAL</v>
      </c>
    </row>
    <row r="898" spans="1:29" x14ac:dyDescent="0.3">
      <c r="A898" s="37" t="s">
        <v>6319</v>
      </c>
      <c r="B898" s="38" t="str">
        <f>_xlfn.XLOOKUP(Customer[[#This Row],[Customer ID]],[1]!Name[ID],[1]!Name[Description(1)])</f>
        <v>ABD HALIM BIN MAHMUD</v>
      </c>
      <c r="C898" s="38" t="str">
        <f>_xlfn.XLOOKUP(Customer[[#This Row],[Customer ID]],[1]!Name[ID],[1]!Name[Description(2)])</f>
        <v/>
      </c>
      <c r="D898" s="38" t="str">
        <f>_xlfn.XLOOKUP(Customer[[#This Row],[Customer ID]],[1]!Address[ID],[1]!Address[PIC])</f>
        <v/>
      </c>
      <c r="E898" s="38" t="str">
        <f>_xlfn.XLOOKUP(Customer[[#This Row],[Customer ID]],[1]!Address[ID],[1]!Address[Full Address])</f>
        <v>RANTAU SELAMAT ENTERPRISE 37545,JALAN LAPANGAN TERBANG,21300 KUALA TERENGGANU.</v>
      </c>
      <c r="F898" s="12" t="s">
        <v>6320</v>
      </c>
      <c r="G898" s="12" t="s">
        <v>6321</v>
      </c>
      <c r="H898" s="12" t="s">
        <v>6322</v>
      </c>
      <c r="I898" s="12" t="b">
        <f>ISNUMBER(VALUE(LEFT(Customer[[#This Row],[Address Line 3 (30 char)]],1)))</f>
        <v>0</v>
      </c>
      <c r="J898" s="12" t="s">
        <v>1056</v>
      </c>
      <c r="K898" s="12">
        <v>21300</v>
      </c>
      <c r="L898" s="12" t="s">
        <v>35</v>
      </c>
      <c r="M898" s="13" t="e">
        <v>#N/A</v>
      </c>
      <c r="N898" s="14" t="e">
        <v>#N/A</v>
      </c>
      <c r="O898" s="14" t="e">
        <v>#N/A</v>
      </c>
      <c r="P898" s="14" t="e">
        <v>#N/A</v>
      </c>
      <c r="Q898" s="14" t="e">
        <v>#N/A</v>
      </c>
      <c r="R898" s="15" t="s">
        <v>6323</v>
      </c>
      <c r="S898" s="15" t="s">
        <v>88</v>
      </c>
      <c r="T898" s="16" t="s">
        <v>89</v>
      </c>
      <c r="U898" s="11" t="str">
        <f>_xlfn.XLOOKUP(Customer[[#This Row],[Customer ID]],[1]!Address[ID],[1]!Address[Phone No.(2)])</f>
        <v/>
      </c>
      <c r="V898" s="11" t="str">
        <f>_xlfn.XLOOKUP(Customer[[#This Row],[Customer ID]],[1]!Address[ID],[1]!Address[Type])</f>
        <v>SOCMED</v>
      </c>
      <c r="W898" s="11" t="str">
        <f>_xlfn.XLOOKUP(Customer[[#This Row],[Customer ID]],[1]!Address[ID],[1]!Address[CT])</f>
        <v/>
      </c>
      <c r="X898" s="11"/>
      <c r="Y898" s="17" t="s">
        <v>90</v>
      </c>
      <c r="Z898" s="17" t="e">
        <f>_xlfn.XLOOKUP(Customer[[#This Row],[NewType]],$AF$36:$AF$54,$AG$36:$AG$54)</f>
        <v>#N/A</v>
      </c>
      <c r="AA898" s="17" t="s">
        <v>6324</v>
      </c>
      <c r="AB898" s="11" t="str">
        <f>_xlfn.XLOOKUP(Customer[[#This Row],[Customer ID]],[1]!Address[ID],[1]!Address[Subtype])</f>
        <v>ONLINE ROS</v>
      </c>
      <c r="AC898" s="18" t="str">
        <f>_xlfn.XLOOKUP(Customer[[#This Row],[Customer ID]],[1]!Address[ID],[1]!Address[Zone])</f>
        <v>EAST COAST</v>
      </c>
    </row>
    <row r="899" spans="1:29" x14ac:dyDescent="0.3">
      <c r="A899" s="37" t="s">
        <v>6325</v>
      </c>
      <c r="B899" s="38" t="str">
        <f>_xlfn.XLOOKUP(Customer[[#This Row],[Customer ID]],[1]!Name[ID],[1]!Name[Description(1)])</f>
        <v>ROSCORN SDN BHD (1033289U)</v>
      </c>
      <c r="C899" s="38" t="str">
        <f>_xlfn.XLOOKUP(Customer[[#This Row],[Customer ID]],[1]!Name[ID],[1]!Name[Description(2)])</f>
        <v/>
      </c>
      <c r="D899" s="38" t="str">
        <f>_xlfn.XLOOKUP(Customer[[#This Row],[Customer ID]],[1]!Address[ID],[1]!Address[PIC])</f>
        <v/>
      </c>
      <c r="E899" s="38" t="str">
        <f>_xlfn.XLOOKUP(Customer[[#This Row],[Customer ID]],[1]!Address[ID],[1]!Address[Full Address])</f>
        <v>PUSAT OPERASI SDSI DAERAH REMBAU,BIP KUNDUR JABATAN PERTANIAN,71300 REMBAU, NEGERI SEMBILAN</v>
      </c>
      <c r="F899" s="12" t="s">
        <v>6326</v>
      </c>
      <c r="G899" s="12" t="s">
        <v>6327</v>
      </c>
      <c r="H899" s="12" t="s">
        <v>6328</v>
      </c>
      <c r="I899" s="12" t="b">
        <f>ISNUMBER(VALUE(LEFT(Customer[[#This Row],[Address Line 3 (30 char)]],1)))</f>
        <v>0</v>
      </c>
      <c r="J899" s="12" t="s">
        <v>203</v>
      </c>
      <c r="K899" s="12">
        <v>71300</v>
      </c>
      <c r="L899" s="12" t="s">
        <v>35</v>
      </c>
      <c r="M899" s="13" t="e">
        <v>#N/A</v>
      </c>
      <c r="N899" s="14" t="e">
        <v>#N/A</v>
      </c>
      <c r="O899" s="14" t="e">
        <v>#N/A</v>
      </c>
      <c r="P899" s="14" t="e">
        <v>#N/A</v>
      </c>
      <c r="Q899" s="19" t="s">
        <v>6329</v>
      </c>
      <c r="R899" s="15" t="s">
        <v>6330</v>
      </c>
      <c r="S899" s="15" t="s">
        <v>88</v>
      </c>
      <c r="T899" s="16" t="s">
        <v>89</v>
      </c>
      <c r="U899" s="11" t="str">
        <f>_xlfn.XLOOKUP(Customer[[#This Row],[Customer ID]],[1]!Address[ID],[1]!Address[Phone No.(2)])</f>
        <v/>
      </c>
      <c r="V899" s="11" t="str">
        <f>_xlfn.XLOOKUP(Customer[[#This Row],[Customer ID]],[1]!Address[ID],[1]!Address[Type])</f>
        <v>SOCMED</v>
      </c>
      <c r="W899" s="11" t="str">
        <f>_xlfn.XLOOKUP(Customer[[#This Row],[Customer ID]],[1]!Address[ID],[1]!Address[CT])</f>
        <v/>
      </c>
      <c r="X899" s="11"/>
      <c r="Y899" s="17" t="s">
        <v>90</v>
      </c>
      <c r="Z899" s="17" t="e">
        <f>_xlfn.XLOOKUP(Customer[[#This Row],[NewType]],$AF$36:$AF$54,$AG$36:$AG$54)</f>
        <v>#N/A</v>
      </c>
      <c r="AA899" s="17" t="s">
        <v>6331</v>
      </c>
      <c r="AB899" s="11" t="str">
        <f>_xlfn.XLOOKUP(Customer[[#This Row],[Customer ID]],[1]!Address[ID],[1]!Address[Subtype])</f>
        <v>ONLINE ROS</v>
      </c>
      <c r="AC899" s="18" t="str">
        <f>_xlfn.XLOOKUP(Customer[[#This Row],[Customer ID]],[1]!Address[ID],[1]!Address[Zone])</f>
        <v>CENTRAL</v>
      </c>
    </row>
    <row r="900" spans="1:29" x14ac:dyDescent="0.3">
      <c r="A900" s="37" t="s">
        <v>6332</v>
      </c>
      <c r="B900" s="38" t="str">
        <f>_xlfn.XLOOKUP(Customer[[#This Row],[Customer ID]],[1]!Name[ID],[1]!Name[Description(1)])</f>
        <v>LOTUSS STORES (MALAYSIA) SDN BHD</v>
      </c>
      <c r="C900" s="38" t="str">
        <f>_xlfn.XLOOKUP(Customer[[#This Row],[Customer ID]],[1]!Name[ID],[1]!Name[Description(2)])</f>
        <v/>
      </c>
      <c r="D900" s="38" t="str">
        <f>_xlfn.XLOOKUP(Customer[[#This Row],[Customer ID]],[1]!Address[ID],[1]!Address[PIC])</f>
        <v/>
      </c>
      <c r="E900" s="38" t="str">
        <f>_xlfn.XLOOKUP(Customer[[#This Row],[Customer ID]],[1]!Address[ID],[1]!Address[Full Address])</f>
        <v>HEAD OFFICE,LEVEL 3,NO 3,JALAN 7A/62A, BANDAR MENJALARA, 5A52200 KUALA LUMPUR</v>
      </c>
      <c r="F900" s="12" t="s">
        <v>6333</v>
      </c>
      <c r="G900" s="12" t="s">
        <v>6334</v>
      </c>
      <c r="H900" s="41" t="s">
        <v>6335</v>
      </c>
      <c r="I900" s="41" t="b">
        <f>ISNUMBER(VALUE(LEFT(Customer[[#This Row],[Address Line 3 (30 char)]],1)))</f>
        <v>0</v>
      </c>
      <c r="J900" s="12" t="s">
        <v>34</v>
      </c>
      <c r="K900" s="12">
        <v>52200</v>
      </c>
      <c r="L900" s="12" t="s">
        <v>35</v>
      </c>
      <c r="M900" s="13" t="e">
        <v>#N/A</v>
      </c>
      <c r="N900" s="14" t="e">
        <v>#N/A</v>
      </c>
      <c r="O900" s="14" t="e">
        <v>#N/A</v>
      </c>
      <c r="P900" s="14" t="e">
        <v>#N/A</v>
      </c>
      <c r="Q900" s="19" t="s">
        <v>6336</v>
      </c>
      <c r="R900" s="15" t="s">
        <v>6337</v>
      </c>
      <c r="S900" s="15" t="s">
        <v>5934</v>
      </c>
      <c r="T900" s="16" t="s">
        <v>3477</v>
      </c>
      <c r="U900" s="11" t="str">
        <f>_xlfn.XLOOKUP(Customer[[#This Row],[Customer ID]],[1]!Address[ID],[1]!Address[Phone No.(2)])</f>
        <v/>
      </c>
      <c r="V900" s="11" t="str">
        <f>_xlfn.XLOOKUP(Customer[[#This Row],[Customer ID]],[1]!Address[ID],[1]!Address[Type])</f>
        <v>HM</v>
      </c>
      <c r="W900" s="11" t="str">
        <f>_xlfn.XLOOKUP(Customer[[#This Row],[Customer ID]],[1]!Address[ID],[1]!Address[CT])</f>
        <v>45 DAYS</v>
      </c>
      <c r="X900" s="11"/>
      <c r="Y900" s="17" t="s">
        <v>5968</v>
      </c>
      <c r="Z900" s="17" t="e">
        <f>_xlfn.XLOOKUP(Customer[[#This Row],[NewType]],$AF$36:$AF$54,$AG$36:$AG$54)</f>
        <v>#N/A</v>
      </c>
      <c r="AA900" s="17" t="s">
        <v>6338</v>
      </c>
      <c r="AB900" s="11" t="str">
        <f>_xlfn.XLOOKUP(Customer[[#This Row],[Customer ID]],[1]!Address[ID],[1]!Address[Subtype])</f>
        <v>LOTUS</v>
      </c>
      <c r="AC900" s="18" t="str">
        <f>_xlfn.XLOOKUP(Customer[[#This Row],[Customer ID]],[1]!Address[ID],[1]!Address[Zone])</f>
        <v>CENTRAL</v>
      </c>
    </row>
    <row r="901" spans="1:29" x14ac:dyDescent="0.3">
      <c r="A901" s="37" t="s">
        <v>6339</v>
      </c>
      <c r="B901" s="38" t="str">
        <f>_xlfn.XLOOKUP(Customer[[#This Row],[Customer ID]],[1]!Name[ID],[1]!Name[Description(1)])</f>
        <v>AUFIMART PAKA</v>
      </c>
      <c r="C901" s="38" t="str">
        <f>_xlfn.XLOOKUP(Customer[[#This Row],[Customer ID]],[1]!Name[ID],[1]!Name[Description(2)])</f>
        <v/>
      </c>
      <c r="D901" s="38" t="str">
        <f>_xlfn.XLOOKUP(Customer[[#This Row],[Customer ID]],[1]!Address[ID],[1]!Address[PIC])</f>
        <v/>
      </c>
      <c r="E901" s="38" t="str">
        <f>_xlfn.XLOOKUP(Customer[[#This Row],[Customer ID]],[1]!Address[ID],[1]!Address[Full Address])</f>
        <v>LOT 5514 JALAN BESAR PAKA,23100 PAKA</v>
      </c>
      <c r="F901" s="12" t="s">
        <v>6340</v>
      </c>
      <c r="G901" s="12" t="s">
        <v>6341</v>
      </c>
      <c r="H901" s="12" t="s">
        <v>36</v>
      </c>
      <c r="I901" s="12" t="b">
        <f>ISNUMBER(VALUE(LEFT(Customer[[#This Row],[Address Line 3 (30 char)]],1)))</f>
        <v>0</v>
      </c>
      <c r="J901" s="12" t="s">
        <v>1056</v>
      </c>
      <c r="K901" s="12">
        <v>23100</v>
      </c>
      <c r="L901" s="12" t="s">
        <v>35</v>
      </c>
      <c r="M901" s="13" t="e">
        <v>#N/A</v>
      </c>
      <c r="N901" s="14" t="e">
        <v>#N/A</v>
      </c>
      <c r="O901" s="14" t="e">
        <v>#N/A</v>
      </c>
      <c r="P901" s="14" t="e">
        <v>#N/A</v>
      </c>
      <c r="Q901" s="14" t="e">
        <v>#N/A</v>
      </c>
      <c r="R901" s="15" t="s">
        <v>6342</v>
      </c>
      <c r="S901" s="15" t="s">
        <v>3212</v>
      </c>
      <c r="T901" s="16" t="s">
        <v>89</v>
      </c>
      <c r="U901" s="11" t="str">
        <f>_xlfn.XLOOKUP(Customer[[#This Row],[Customer ID]],[1]!Address[ID],[1]!Address[Phone No.(2)])</f>
        <v/>
      </c>
      <c r="V901" s="11" t="str">
        <f>_xlfn.XLOOKUP(Customer[[#This Row],[Customer ID]],[1]!Address[ID],[1]!Address[Type])</f>
        <v>SOCMED</v>
      </c>
      <c r="W901" s="11" t="str">
        <f>_xlfn.XLOOKUP(Customer[[#This Row],[Customer ID]],[1]!Address[ID],[1]!Address[CT])</f>
        <v/>
      </c>
      <c r="X901" s="11"/>
      <c r="Y901" s="17" t="s">
        <v>90</v>
      </c>
      <c r="Z901" s="17" t="e">
        <f>_xlfn.XLOOKUP(Customer[[#This Row],[NewType]],$AF$36:$AF$54,$AG$36:$AG$54)</f>
        <v>#N/A</v>
      </c>
      <c r="AA901" s="17" t="s">
        <v>6343</v>
      </c>
      <c r="AB901" s="11" t="str">
        <f>_xlfn.XLOOKUP(Customer[[#This Row],[Customer ID]],[1]!Address[ID],[1]!Address[Subtype])</f>
        <v>ONLINE HAJAR</v>
      </c>
      <c r="AC901" s="18" t="str">
        <f>_xlfn.XLOOKUP(Customer[[#This Row],[Customer ID]],[1]!Address[ID],[1]!Address[Zone])</f>
        <v>P3EDH</v>
      </c>
    </row>
    <row r="902" spans="1:29" x14ac:dyDescent="0.3">
      <c r="A902" s="37" t="s">
        <v>6344</v>
      </c>
      <c r="B902" s="38" t="str">
        <f>_xlfn.XLOOKUP(Customer[[#This Row],[Customer ID]],[1]!Name[ID],[1]!Name[Description(1)])</f>
        <v>THE LINDA LICIOUS</v>
      </c>
      <c r="C902" s="38" t="str">
        <f>_xlfn.XLOOKUP(Customer[[#This Row],[Customer ID]],[1]!Name[ID],[1]!Name[Description(2)])</f>
        <v/>
      </c>
      <c r="D902" s="38" t="str">
        <f>_xlfn.XLOOKUP(Customer[[#This Row],[Customer ID]],[1]!Address[ID],[1]!Address[PIC])</f>
        <v/>
      </c>
      <c r="E902" s="38" t="str">
        <f>_xlfn.XLOOKUP(Customer[[#This Row],[Customer ID]],[1]!Address[ID],[1]!Address[Full Address])</f>
        <v>NO 4 , KAW RNR MACHAP ARAH UTARA86000 KLUANG,JOHOR</v>
      </c>
      <c r="F902" s="12" t="s">
        <v>6345</v>
      </c>
      <c r="G902" s="12" t="s">
        <v>6346</v>
      </c>
      <c r="H902" s="12" t="s">
        <v>6347</v>
      </c>
      <c r="I902" s="12" t="b">
        <f>ISNUMBER(VALUE(LEFT(Customer[[#This Row],[Address Line 3 (30 char)]],1)))</f>
        <v>0</v>
      </c>
      <c r="J902" s="12" t="s">
        <v>52</v>
      </c>
      <c r="K902" s="12">
        <v>86000</v>
      </c>
      <c r="L902" s="12" t="s">
        <v>35</v>
      </c>
      <c r="M902" s="13" t="e">
        <v>#N/A</v>
      </c>
      <c r="N902" s="14" t="e">
        <v>#N/A</v>
      </c>
      <c r="O902" s="14" t="e">
        <v>#N/A</v>
      </c>
      <c r="P902" s="14" t="e">
        <v>#N/A</v>
      </c>
      <c r="Q902" s="14" t="e">
        <v>#N/A</v>
      </c>
      <c r="R902" s="15" t="s">
        <v>6348</v>
      </c>
      <c r="S902" s="15" t="s">
        <v>5925</v>
      </c>
      <c r="T902" s="16" t="s">
        <v>3477</v>
      </c>
      <c r="U902" s="11" t="str">
        <f>_xlfn.XLOOKUP(Customer[[#This Row],[Customer ID]],[1]!Address[ID],[1]!Address[Phone No.(2)])</f>
        <v/>
      </c>
      <c r="V902" s="11" t="str">
        <f>_xlfn.XLOOKUP(Customer[[#This Row],[Customer ID]],[1]!Address[ID],[1]!Address[Type])</f>
        <v>CAFE</v>
      </c>
      <c r="W902" s="11" t="str">
        <f>_xlfn.XLOOKUP(Customer[[#This Row],[Customer ID]],[1]!Address[ID],[1]!Address[CT])</f>
        <v>30 DAYS</v>
      </c>
      <c r="X902" s="11"/>
      <c r="Y902" s="17" t="s">
        <v>5926</v>
      </c>
      <c r="Z902" s="17" t="e">
        <f>_xlfn.XLOOKUP(Customer[[#This Row],[NewType]],$AF$36:$AF$54,$AG$36:$AG$54)</f>
        <v>#N/A</v>
      </c>
      <c r="AA902" s="17" t="s">
        <v>6349</v>
      </c>
      <c r="AB902" s="11" t="str">
        <f>_xlfn.XLOOKUP(Customer[[#This Row],[Customer ID]],[1]!Address[ID],[1]!Address[Subtype])</f>
        <v>PLUS</v>
      </c>
      <c r="AC902" s="18" t="str">
        <f>_xlfn.XLOOKUP(Customer[[#This Row],[Customer ID]],[1]!Address[ID],[1]!Address[Zone])</f>
        <v>SOUTH</v>
      </c>
    </row>
    <row r="903" spans="1:29" x14ac:dyDescent="0.3">
      <c r="A903" s="37" t="s">
        <v>6350</v>
      </c>
      <c r="B903" s="38" t="str">
        <f>_xlfn.XLOOKUP(Customer[[#This Row],[Customer ID]],[1]!Name[ID],[1]!Name[Description(1)])</f>
        <v>KOPERASI PUDINA PUTRAJAYA BERHAD</v>
      </c>
      <c r="C903" s="38" t="str">
        <f>_xlfn.XLOOKUP(Customer[[#This Row],[Customer ID]],[1]!Name[ID],[1]!Name[Description(2)])</f>
        <v/>
      </c>
      <c r="D903" s="38" t="str">
        <f>_xlfn.XLOOKUP(Customer[[#This Row],[Customer ID]],[1]!Address[ID],[1]!Address[PIC])</f>
        <v/>
      </c>
      <c r="E903" s="38" t="str">
        <f>_xlfn.XLOOKUP(Customer[[#This Row],[Customer ID]],[1]!Address[ID],[1]!Address[Full Address])</f>
        <v>LOT 1 &amp; 2 ARAH BAWAH BLOK H PPAM PUDINA,NO 2 JALAN KASTURI, PRESINT 17,62150 PUTRAJAYA</v>
      </c>
      <c r="F903" s="12" t="s">
        <v>6351</v>
      </c>
      <c r="G903" s="12" t="s">
        <v>6352</v>
      </c>
      <c r="H903" s="12" t="s">
        <v>6353</v>
      </c>
      <c r="I903" s="12" t="b">
        <f>ISNUMBER(VALUE(LEFT(Customer[[#This Row],[Address Line 3 (30 char)]],1)))</f>
        <v>0</v>
      </c>
      <c r="J903" s="12" t="s">
        <v>4229</v>
      </c>
      <c r="K903" s="12">
        <v>62150</v>
      </c>
      <c r="L903" s="12" t="s">
        <v>35</v>
      </c>
      <c r="M903" s="13" t="e">
        <v>#N/A</v>
      </c>
      <c r="N903" s="14" t="e">
        <v>#N/A</v>
      </c>
      <c r="O903" s="14" t="e">
        <v>#N/A</v>
      </c>
      <c r="P903" s="14" t="e">
        <v>#N/A</v>
      </c>
      <c r="Q903" s="14" t="e">
        <v>#N/A</v>
      </c>
      <c r="R903" s="15" t="s">
        <v>6354</v>
      </c>
      <c r="S903" s="15" t="s">
        <v>88</v>
      </c>
      <c r="T903" s="16" t="s">
        <v>89</v>
      </c>
      <c r="U903" s="11" t="str">
        <f>_xlfn.XLOOKUP(Customer[[#This Row],[Customer ID]],[1]!Address[ID],[1]!Address[Phone No.(2)])</f>
        <v/>
      </c>
      <c r="V903" s="11" t="str">
        <f>_xlfn.XLOOKUP(Customer[[#This Row],[Customer ID]],[1]!Address[ID],[1]!Address[Type])</f>
        <v>SOCMED</v>
      </c>
      <c r="W903" s="11" t="str">
        <f>_xlfn.XLOOKUP(Customer[[#This Row],[Customer ID]],[1]!Address[ID],[1]!Address[CT])</f>
        <v/>
      </c>
      <c r="X903" s="11"/>
      <c r="Y903" s="17" t="s">
        <v>90</v>
      </c>
      <c r="Z903" s="17" t="e">
        <f>_xlfn.XLOOKUP(Customer[[#This Row],[NewType]],$AF$36:$AF$54,$AG$36:$AG$54)</f>
        <v>#N/A</v>
      </c>
      <c r="AA903" s="17" t="s">
        <v>6355</v>
      </c>
      <c r="AB903" s="11" t="str">
        <f>_xlfn.XLOOKUP(Customer[[#This Row],[Customer ID]],[1]!Address[ID],[1]!Address[Subtype])</f>
        <v>ONLINE ROS</v>
      </c>
      <c r="AC903" s="18" t="str">
        <f>_xlfn.XLOOKUP(Customer[[#This Row],[Customer ID]],[1]!Address[ID],[1]!Address[Zone])</f>
        <v>CENTRAL</v>
      </c>
    </row>
    <row r="904" spans="1:29" x14ac:dyDescent="0.3">
      <c r="A904" s="37" t="s">
        <v>6356</v>
      </c>
      <c r="B904" s="38" t="str">
        <f>_xlfn.XLOOKUP(Customer[[#This Row],[Customer ID]],[1]!Name[ID],[1]!Name[Description(1)])</f>
        <v>NORSURIANA AMIRA HUSSIN</v>
      </c>
      <c r="C904" s="38" t="str">
        <f>_xlfn.XLOOKUP(Customer[[#This Row],[Customer ID]],[1]!Name[ID],[1]!Name[Description(2)])</f>
        <v>MIRASU EMPIRE</v>
      </c>
      <c r="D904" s="38" t="str">
        <f>_xlfn.XLOOKUP(Customer[[#This Row],[Customer ID]],[1]!Address[ID],[1]!Address[PIC])</f>
        <v>NORSURIANA</v>
      </c>
      <c r="E904" s="38" t="str">
        <f>_xlfn.XLOOKUP(Customer[[#This Row],[Customer ID]],[1]!Address[ID],[1]!Address[Full Address])</f>
        <v>RIVERSIDE JANDA BAIK, LOT 5506,JALAN SUM-SUM HILIR KAMPUNGJANDA BAIK 28750 BENTONG, PAHANG</v>
      </c>
      <c r="F904" s="12" t="s">
        <v>6357</v>
      </c>
      <c r="G904" s="12" t="s">
        <v>6358</v>
      </c>
      <c r="H904" s="12" t="s">
        <v>6359</v>
      </c>
      <c r="I904" s="12" t="b">
        <f>ISNUMBER(VALUE(LEFT(Customer[[#This Row],[Address Line 3 (30 char)]],1)))</f>
        <v>0</v>
      </c>
      <c r="J904" s="12" t="s">
        <v>339</v>
      </c>
      <c r="K904" s="12">
        <v>28750</v>
      </c>
      <c r="L904" s="12" t="s">
        <v>35</v>
      </c>
      <c r="M904" s="13" t="s">
        <v>6360</v>
      </c>
      <c r="N904" s="14" t="s">
        <v>6361</v>
      </c>
      <c r="O904" s="14" t="e">
        <v>#N/A</v>
      </c>
      <c r="P904" s="14" t="e">
        <v>#N/A</v>
      </c>
      <c r="Q904" s="14" t="e">
        <v>#N/A</v>
      </c>
      <c r="R904" s="15" t="s">
        <v>6362</v>
      </c>
      <c r="S904" s="15" t="s">
        <v>3212</v>
      </c>
      <c r="T904" s="16" t="s">
        <v>89</v>
      </c>
      <c r="U904" s="11" t="str">
        <f>_xlfn.XLOOKUP(Customer[[#This Row],[Customer ID]],[1]!Address[ID],[1]!Address[Phone No.(2)])</f>
        <v/>
      </c>
      <c r="V904" s="11" t="str">
        <f>_xlfn.XLOOKUP(Customer[[#This Row],[Customer ID]],[1]!Address[ID],[1]!Address[Type])</f>
        <v>SOCMED</v>
      </c>
      <c r="W904" s="11" t="str">
        <f>_xlfn.XLOOKUP(Customer[[#This Row],[Customer ID]],[1]!Address[ID],[1]!Address[CT])</f>
        <v/>
      </c>
      <c r="X904" s="11"/>
      <c r="Y904" s="17" t="s">
        <v>90</v>
      </c>
      <c r="Z904" s="17" t="e">
        <f>_xlfn.XLOOKUP(Customer[[#This Row],[NewType]],$AF$36:$AF$54,$AG$36:$AG$54)</f>
        <v>#N/A</v>
      </c>
      <c r="AA904" s="17" t="s">
        <v>6363</v>
      </c>
      <c r="AB904" s="11" t="str">
        <f>_xlfn.XLOOKUP(Customer[[#This Row],[Customer ID]],[1]!Address[ID],[1]!Address[Subtype])</f>
        <v>ONLINE HAJAR</v>
      </c>
      <c r="AC904" s="18" t="str">
        <f>_xlfn.XLOOKUP(Customer[[#This Row],[Customer ID]],[1]!Address[ID],[1]!Address[Zone])</f>
        <v>ROUTH</v>
      </c>
    </row>
    <row r="905" spans="1:29" x14ac:dyDescent="0.3">
      <c r="A905" s="37" t="s">
        <v>6364</v>
      </c>
      <c r="B905" s="38" t="str">
        <f>_xlfn.XLOOKUP(Customer[[#This Row],[Customer ID]],[1]!Name[ID],[1]!Name[Description(1)])</f>
        <v>MYDIN CENTRAL DISTRIBUTION CENTRE</v>
      </c>
      <c r="C905" s="38" t="str">
        <f>_xlfn.XLOOKUP(Customer[[#This Row],[Customer ID]],[1]!Name[ID],[1]!Name[Description(2)])</f>
        <v/>
      </c>
      <c r="D905" s="38" t="str">
        <f>_xlfn.XLOOKUP(Customer[[#This Row],[Customer ID]],[1]!Address[ID],[1]!Address[PIC])</f>
        <v/>
      </c>
      <c r="E905" s="38" t="str">
        <f>_xlfn.XLOOKUP(Customer[[#This Row],[Customer ID]],[1]!Address[ID],[1]!Address[Full Address])</f>
        <v>LOT 1 &amp; LOT 5,JALAN U10/100,40170 SHAH ALAM,SELANGOR</v>
      </c>
      <c r="F905" s="12" t="s">
        <v>6365</v>
      </c>
      <c r="G905" s="12" t="s">
        <v>6366</v>
      </c>
      <c r="H905" s="24" t="s">
        <v>4488</v>
      </c>
      <c r="I905" s="24" t="b">
        <f>ISNUMBER(VALUE(LEFT(Customer[[#This Row],[Address Line 3 (30 char)]],1)))</f>
        <v>0</v>
      </c>
      <c r="J905" s="12" t="s">
        <v>1907</v>
      </c>
      <c r="K905" s="12">
        <v>40170</v>
      </c>
      <c r="L905" s="12" t="s">
        <v>35</v>
      </c>
      <c r="M905" s="13" t="e">
        <v>#N/A</v>
      </c>
      <c r="N905" s="14" t="e">
        <v>#N/A</v>
      </c>
      <c r="O905" s="14" t="e">
        <v>#N/A</v>
      </c>
      <c r="P905" s="14" t="e">
        <v>#N/A</v>
      </c>
      <c r="Q905" s="19" t="s">
        <v>6367</v>
      </c>
      <c r="R905" s="15" t="s">
        <v>6368</v>
      </c>
      <c r="S905" s="15" t="s">
        <v>5934</v>
      </c>
      <c r="T905" s="16" t="s">
        <v>3477</v>
      </c>
      <c r="U905" s="11" t="str">
        <f>_xlfn.XLOOKUP(Customer[[#This Row],[Customer ID]],[1]!Address[ID],[1]!Address[Phone No.(2)])</f>
        <v/>
      </c>
      <c r="V905" s="11" t="str">
        <f>_xlfn.XLOOKUP(Customer[[#This Row],[Customer ID]],[1]!Address[ID],[1]!Address[Type])</f>
        <v>HM</v>
      </c>
      <c r="W905" s="11" t="str">
        <f>_xlfn.XLOOKUP(Customer[[#This Row],[Customer ID]],[1]!Address[ID],[1]!Address[CT])</f>
        <v>60 DAYS</v>
      </c>
      <c r="X905" s="11"/>
      <c r="Y905" s="17" t="s">
        <v>5968</v>
      </c>
      <c r="Z905" s="17" t="e">
        <f>_xlfn.XLOOKUP(Customer[[#This Row],[NewType]],$AF$36:$AF$54,$AG$36:$AG$54)</f>
        <v>#N/A</v>
      </c>
      <c r="AA905" s="17" t="s">
        <v>6369</v>
      </c>
      <c r="AB905" s="11" t="str">
        <f>_xlfn.XLOOKUP(Customer[[#This Row],[Customer ID]],[1]!Address[ID],[1]!Address[Subtype])</f>
        <v>MYDIN</v>
      </c>
      <c r="AC905" s="18">
        <f>_xlfn.XLOOKUP(Customer[[#This Row],[Customer ID]],[1]!Address[ID],[1]!Address[Zone])</f>
        <v>0</v>
      </c>
    </row>
    <row r="906" spans="1:29" x14ac:dyDescent="0.3">
      <c r="A906" s="37" t="s">
        <v>6370</v>
      </c>
      <c r="B906" s="38" t="str">
        <f>_xlfn.XLOOKUP(Customer[[#This Row],[Customer ID]],[1]!Name[ID],[1]!Name[Description(1)])</f>
        <v>GO GO MART</v>
      </c>
      <c r="C906" s="38" t="str">
        <f>_xlfn.XLOOKUP(Customer[[#This Row],[Customer ID]],[1]!Name[ID],[1]!Name[Description(2)])</f>
        <v/>
      </c>
      <c r="D906" s="38" t="str">
        <f>_xlfn.XLOOKUP(Customer[[#This Row],[Customer ID]],[1]!Address[ID],[1]!Address[PIC])</f>
        <v/>
      </c>
      <c r="E906" s="38" t="str">
        <f>_xlfn.XLOOKUP(Customer[[#This Row],[Customer ID]],[1]!Address[ID],[1]!Address[Full Address])</f>
        <v>1-4, TOWER B, LEVEL 1,JALAN KSB 11A,PANGSAPURI ATLANTIS KOTA SYAHBANDAR,75200 MELAKA.</v>
      </c>
      <c r="F906" s="12" t="s">
        <v>6371</v>
      </c>
      <c r="G906" s="12" t="s">
        <v>6372</v>
      </c>
      <c r="H906" s="12" t="s">
        <v>6373</v>
      </c>
      <c r="I906" s="12" t="b">
        <f>ISNUMBER(VALUE(LEFT(Customer[[#This Row],[Address Line 3 (30 char)]],1)))</f>
        <v>0</v>
      </c>
      <c r="J906" s="12" t="s">
        <v>61</v>
      </c>
      <c r="K906" s="12">
        <v>75200</v>
      </c>
      <c r="L906" s="12" t="s">
        <v>35</v>
      </c>
      <c r="M906" s="13" t="e">
        <v>#N/A</v>
      </c>
      <c r="N906" s="14" t="e">
        <v>#N/A</v>
      </c>
      <c r="O906" s="14" t="e">
        <v>#N/A</v>
      </c>
      <c r="P906" s="14" t="e">
        <v>#N/A</v>
      </c>
      <c r="Q906" s="14" t="e">
        <v>#N/A</v>
      </c>
      <c r="R906" s="15" t="s">
        <v>6374</v>
      </c>
      <c r="S906" s="15" t="s">
        <v>3212</v>
      </c>
      <c r="T906" s="16" t="s">
        <v>89</v>
      </c>
      <c r="U906" s="11" t="str">
        <f>_xlfn.XLOOKUP(Customer[[#This Row],[Customer ID]],[1]!Address[ID],[1]!Address[Phone No.(2)])</f>
        <v/>
      </c>
      <c r="V906" s="11" t="str">
        <f>_xlfn.XLOOKUP(Customer[[#This Row],[Customer ID]],[1]!Address[ID],[1]!Address[Type])</f>
        <v>SOCMED</v>
      </c>
      <c r="W906" s="11" t="str">
        <f>_xlfn.XLOOKUP(Customer[[#This Row],[Customer ID]],[1]!Address[ID],[1]!Address[CT])</f>
        <v/>
      </c>
      <c r="X906" s="11"/>
      <c r="Y906" s="17" t="s">
        <v>90</v>
      </c>
      <c r="Z906" s="17" t="e">
        <f>_xlfn.XLOOKUP(Customer[[#This Row],[NewType]],$AF$36:$AF$54,$AG$36:$AG$54)</f>
        <v>#N/A</v>
      </c>
      <c r="AA906" s="17" t="s">
        <v>6375</v>
      </c>
      <c r="AB906" s="11" t="str">
        <f>_xlfn.XLOOKUP(Customer[[#This Row],[Customer ID]],[1]!Address[ID],[1]!Address[Subtype])</f>
        <v>ONLINE HAJAR</v>
      </c>
      <c r="AC906" s="18" t="str">
        <f>_xlfn.XLOOKUP(Customer[[#This Row],[Customer ID]],[1]!Address[ID],[1]!Address[Zone])</f>
        <v>SOUTH</v>
      </c>
    </row>
    <row r="907" spans="1:29" x14ac:dyDescent="0.3">
      <c r="A907" s="37" t="s">
        <v>6376</v>
      </c>
      <c r="B907" s="38" t="str">
        <f>_xlfn.XLOOKUP(Customer[[#This Row],[Customer ID]],[1]!Name[ID],[1]!Name[Description(1)])</f>
        <v>R&amp;R CAFE</v>
      </c>
      <c r="C907" s="38" t="str">
        <f>_xlfn.XLOOKUP(Customer[[#This Row],[Customer ID]],[1]!Name[ID],[1]!Name[Description(2)])</f>
        <v/>
      </c>
      <c r="D907" s="38" t="str">
        <f>_xlfn.XLOOKUP(Customer[[#This Row],[Customer ID]],[1]!Address[ID],[1]!Address[PIC])</f>
        <v>SITI AZLINA BT</v>
      </c>
      <c r="E907" s="38" t="str">
        <f>_xlfn.XLOOKUP(Customer[[#This Row],[Customer ID]],[1]!Address[ID],[1]!Address[Full Address])</f>
        <v>NO 8 ARAH UTARAKAWASAN R&amp;R LEBUHRAYA UTARA SELATAN35000 TAPAH PERAK</v>
      </c>
      <c r="F907" s="12" t="s">
        <v>6377</v>
      </c>
      <c r="G907" s="12" t="s">
        <v>6378</v>
      </c>
      <c r="H907" s="12" t="s">
        <v>6379</v>
      </c>
      <c r="I907" s="12" t="b">
        <f>ISNUMBER(VALUE(LEFT(Customer[[#This Row],[Address Line 3 (30 char)]],1)))</f>
        <v>0</v>
      </c>
      <c r="J907" s="12" t="s">
        <v>242</v>
      </c>
      <c r="K907" s="12">
        <v>35000</v>
      </c>
      <c r="L907" s="12" t="s">
        <v>35</v>
      </c>
      <c r="M907" s="13">
        <v>200003040830</v>
      </c>
      <c r="N907" s="14" t="s">
        <v>6380</v>
      </c>
      <c r="O907" s="14" t="e">
        <v>#N/A</v>
      </c>
      <c r="P907" s="14" t="e">
        <v>#N/A</v>
      </c>
      <c r="Q907" s="19" t="s">
        <v>6381</v>
      </c>
      <c r="R907" s="15" t="s">
        <v>6382</v>
      </c>
      <c r="S907" s="15" t="s">
        <v>5925</v>
      </c>
      <c r="T907" s="16" t="s">
        <v>3477</v>
      </c>
      <c r="U907" s="11" t="str">
        <f>_xlfn.XLOOKUP(Customer[[#This Row],[Customer ID]],[1]!Address[ID],[1]!Address[Phone No.(2)])</f>
        <v/>
      </c>
      <c r="V907" s="11" t="str">
        <f>_xlfn.XLOOKUP(Customer[[#This Row],[Customer ID]],[1]!Address[ID],[1]!Address[Type])</f>
        <v>CAFE</v>
      </c>
      <c r="W907" s="11" t="str">
        <f>_xlfn.XLOOKUP(Customer[[#This Row],[Customer ID]],[1]!Address[ID],[1]!Address[CT])</f>
        <v/>
      </c>
      <c r="X907" s="11"/>
      <c r="Y907" s="17" t="s">
        <v>5926</v>
      </c>
      <c r="Z907" s="17" t="e">
        <f>_xlfn.XLOOKUP(Customer[[#This Row],[NewType]],$AF$36:$AF$54,$AG$36:$AG$54)</f>
        <v>#N/A</v>
      </c>
      <c r="AA907" s="17" t="s">
        <v>6383</v>
      </c>
      <c r="AB907" s="11" t="str">
        <f>_xlfn.XLOOKUP(Customer[[#This Row],[Customer ID]],[1]!Address[ID],[1]!Address[Subtype])</f>
        <v>PLUS</v>
      </c>
      <c r="AC907" s="18" t="str">
        <f>_xlfn.XLOOKUP(Customer[[#This Row],[Customer ID]],[1]!Address[ID],[1]!Address[Zone])</f>
        <v>NORTH</v>
      </c>
    </row>
    <row r="908" spans="1:29" x14ac:dyDescent="0.3">
      <c r="A908" s="37" t="s">
        <v>6384</v>
      </c>
      <c r="B908" s="38" t="str">
        <f>_xlfn.XLOOKUP(Customer[[#This Row],[Customer ID]],[1]!Name[ID],[1]!Name[Description(1)])</f>
        <v>NUR ATIQAH BINTI ILYAS</v>
      </c>
      <c r="C908" s="38" t="str">
        <f>_xlfn.XLOOKUP(Customer[[#This Row],[Customer ID]],[1]!Name[ID],[1]!Name[Description(2)])</f>
        <v/>
      </c>
      <c r="D908" s="38" t="str">
        <f>_xlfn.XLOOKUP(Customer[[#This Row],[Customer ID]],[1]!Address[ID],[1]!Address[PIC])</f>
        <v/>
      </c>
      <c r="E908" s="38" t="str">
        <f>_xlfn.XLOOKUP(Customer[[#This Row],[Customer ID]],[1]!Address[ID],[1]!Address[Full Address])</f>
        <v>STESEN CALTEX JALAN KAMPUNG PADANGMELANGIT 01000 KANGAR, PERLIS</v>
      </c>
      <c r="F908" s="12" t="s">
        <v>6385</v>
      </c>
      <c r="G908" s="12" t="s">
        <v>6386</v>
      </c>
      <c r="H908" s="12" t="s">
        <v>6387</v>
      </c>
      <c r="I908" s="12" t="b">
        <f>ISNUMBER(VALUE(LEFT(Customer[[#This Row],[Address Line 3 (30 char)]],1)))</f>
        <v>0</v>
      </c>
      <c r="J908" s="12" t="s">
        <v>984</v>
      </c>
      <c r="K908" s="42" t="s">
        <v>6388</v>
      </c>
      <c r="L908" s="12" t="s">
        <v>35</v>
      </c>
      <c r="M908" s="13" t="e">
        <v>#N/A</v>
      </c>
      <c r="N908" s="14" t="e">
        <v>#N/A</v>
      </c>
      <c r="O908" s="14" t="e">
        <v>#N/A</v>
      </c>
      <c r="P908" s="14" t="e">
        <v>#N/A</v>
      </c>
      <c r="Q908" s="14" t="e">
        <v>#N/A</v>
      </c>
      <c r="R908" s="15" t="s">
        <v>6389</v>
      </c>
      <c r="S908" s="15" t="s">
        <v>3212</v>
      </c>
      <c r="T908" s="16" t="s">
        <v>89</v>
      </c>
      <c r="U908" s="11" t="str">
        <f>_xlfn.XLOOKUP(Customer[[#This Row],[Customer ID]],[1]!Address[ID],[1]!Address[Phone No.(2)])</f>
        <v/>
      </c>
      <c r="V908" s="11" t="str">
        <f>_xlfn.XLOOKUP(Customer[[#This Row],[Customer ID]],[1]!Address[ID],[1]!Address[Type])</f>
        <v>SOCMED</v>
      </c>
      <c r="W908" s="11" t="str">
        <f>_xlfn.XLOOKUP(Customer[[#This Row],[Customer ID]],[1]!Address[ID],[1]!Address[CT])</f>
        <v/>
      </c>
      <c r="X908" s="11"/>
      <c r="Y908" s="17" t="s">
        <v>90</v>
      </c>
      <c r="Z908" s="17" t="e">
        <f>_xlfn.XLOOKUP(Customer[[#This Row],[NewType]],$AF$36:$AF$54,$AG$36:$AG$54)</f>
        <v>#N/A</v>
      </c>
      <c r="AA908" s="17" t="s">
        <v>6390</v>
      </c>
      <c r="AB908" s="11" t="str">
        <f>_xlfn.XLOOKUP(Customer[[#This Row],[Customer ID]],[1]!Address[ID],[1]!Address[Subtype])</f>
        <v>ONLINE HAJAR</v>
      </c>
      <c r="AC908" s="18" t="str">
        <f>_xlfn.XLOOKUP(Customer[[#This Row],[Customer ID]],[1]!Address[ID],[1]!Address[Zone])</f>
        <v>NORTH</v>
      </c>
    </row>
    <row r="909" spans="1:29" x14ac:dyDescent="0.3">
      <c r="A909" s="46" t="s">
        <v>6391</v>
      </c>
      <c r="B909" s="24" t="str">
        <f>_xlfn.XLOOKUP(Customer[[#This Row],[Customer ID]],[1]!Name[ID],[1]!Name[Description(1)])</f>
        <v>CUSTOMER WALK IN RANTAU</v>
      </c>
      <c r="C909" s="24" t="str">
        <f>_xlfn.XLOOKUP(Customer[[#This Row],[Customer ID]],[1]!Name[ID],[1]!Name[Description(2)])</f>
        <v/>
      </c>
      <c r="D909" s="38" t="str">
        <f>_xlfn.XLOOKUP(Customer[[#This Row],[Customer ID]],[1]!Address[ID],[1]!Address[PIC])</f>
        <v/>
      </c>
      <c r="E909" s="38" t="str">
        <f>_xlfn.XLOOKUP(Customer[[#This Row],[Customer ID]],[1]!Address[ID],[1]!Address[Full Address])</f>
        <v>CUSTOMER WALK IN RANTAU</v>
      </c>
      <c r="F909" s="12" t="s">
        <v>6392</v>
      </c>
      <c r="G909" s="12" t="s">
        <v>36</v>
      </c>
      <c r="H909" s="12" t="s">
        <v>36</v>
      </c>
      <c r="I909" s="12" t="b">
        <f>ISNUMBER(VALUE(LEFT(Customer[[#This Row],[Address Line 3 (30 char)]],1)))</f>
        <v>0</v>
      </c>
      <c r="J909" s="24" t="s">
        <v>203</v>
      </c>
      <c r="K909" s="47"/>
      <c r="L909" s="12" t="s">
        <v>35</v>
      </c>
      <c r="M909" s="13" t="e">
        <v>#N/A</v>
      </c>
      <c r="N909" s="14" t="e">
        <v>#N/A</v>
      </c>
      <c r="O909" s="14" t="e">
        <v>#N/A</v>
      </c>
      <c r="P909" s="14" t="e">
        <v>#N/A</v>
      </c>
      <c r="Q909" s="14" t="e">
        <v>#N/A</v>
      </c>
      <c r="R909" s="15" t="s">
        <v>36</v>
      </c>
      <c r="S909" s="16" t="s">
        <v>6283</v>
      </c>
      <c r="T909" s="16"/>
      <c r="U909" s="11" t="str">
        <f>_xlfn.XLOOKUP(Customer[[#This Row],[Customer ID]],[1]!Address[ID],[1]!Address[Phone No.(2)])</f>
        <v/>
      </c>
      <c r="V909" s="11" t="str">
        <f>_xlfn.XLOOKUP(Customer[[#This Row],[Customer ID]],[1]!Address[ID],[1]!Address[Type])</f>
        <v>WALK IN</v>
      </c>
      <c r="W909" s="11" t="str">
        <f>_xlfn.XLOOKUP(Customer[[#This Row],[Customer ID]],[1]!Address[ID],[1]!Address[CT])</f>
        <v/>
      </c>
      <c r="X909" s="11"/>
      <c r="Y909" s="17" t="s">
        <v>6284</v>
      </c>
      <c r="Z909" s="17" t="e">
        <f>_xlfn.XLOOKUP(Customer[[#This Row],[NewType]],$AF$36:$AF$54,$AG$36:$AG$54)</f>
        <v>#N/A</v>
      </c>
      <c r="AA909" s="17" t="s">
        <v>6393</v>
      </c>
      <c r="AB909" s="11" t="str">
        <f>_xlfn.XLOOKUP(Customer[[#This Row],[Customer ID]],[1]!Address[ID],[1]!Address[Subtype])</f>
        <v>RANTAU</v>
      </c>
      <c r="AC909" s="18" t="str">
        <f>_xlfn.XLOOKUP(Customer[[#This Row],[Customer ID]],[1]!Address[ID],[1]!Address[Zone])</f>
        <v>U H</v>
      </c>
    </row>
    <row r="910" spans="1:29" x14ac:dyDescent="0.3">
      <c r="A910" s="46" t="s">
        <v>6394</v>
      </c>
      <c r="B910" s="24" t="str">
        <f>_xlfn.XLOOKUP(Customer[[#This Row],[Customer ID]],[1]!Name[ID],[1]!Name[Description(1)])</f>
        <v>CUSTOMER ONLINE SITI HAJAR</v>
      </c>
      <c r="C910" s="24" t="str">
        <f>_xlfn.XLOOKUP(Customer[[#This Row],[Customer ID]],[1]!Name[ID],[1]!Name[Description(2)])</f>
        <v/>
      </c>
      <c r="D910" s="38" t="str">
        <f>_xlfn.XLOOKUP(Customer[[#This Row],[Customer ID]],[1]!Address[ID],[1]!Address[PIC])</f>
        <v/>
      </c>
      <c r="E910" s="38" t="str">
        <f>_xlfn.XLOOKUP(Customer[[#This Row],[Customer ID]],[1]!Address[ID],[1]!Address[Full Address])</f>
        <v/>
      </c>
      <c r="F910" s="12" t="s">
        <v>36</v>
      </c>
      <c r="G910" s="12" t="s">
        <v>36</v>
      </c>
      <c r="H910" s="12" t="s">
        <v>36</v>
      </c>
      <c r="I910" s="12" t="b">
        <f>ISNUMBER(VALUE(LEFT(Customer[[#This Row],[Address Line 3 (30 char)]],1)))</f>
        <v>0</v>
      </c>
      <c r="J910" s="24"/>
      <c r="K910" s="24"/>
      <c r="L910" s="12" t="s">
        <v>35</v>
      </c>
      <c r="M910" s="13" t="e">
        <v>#N/A</v>
      </c>
      <c r="N910" s="14" t="e">
        <v>#N/A</v>
      </c>
      <c r="O910" s="14" t="e">
        <v>#N/A</v>
      </c>
      <c r="P910" s="14" t="e">
        <v>#N/A</v>
      </c>
      <c r="Q910" s="14" t="e">
        <v>#N/A</v>
      </c>
      <c r="R910" s="15" t="s">
        <v>36</v>
      </c>
      <c r="S910" s="15" t="s">
        <v>89</v>
      </c>
      <c r="T910" s="16" t="s">
        <v>89</v>
      </c>
      <c r="U910" s="11" t="str">
        <f>_xlfn.XLOOKUP(Customer[[#This Row],[Customer ID]],[1]!Address[ID],[1]!Address[Phone No.(2)])</f>
        <v/>
      </c>
      <c r="V910" s="11" t="str">
        <f>_xlfn.XLOOKUP(Customer[[#This Row],[Customer ID]],[1]!Address[ID],[1]!Address[Type])</f>
        <v>SOCMED</v>
      </c>
      <c r="W910" s="11" t="str">
        <f>_xlfn.XLOOKUP(Customer[[#This Row],[Customer ID]],[1]!Address[ID],[1]!Address[CT])</f>
        <v/>
      </c>
      <c r="X910" s="11"/>
      <c r="Y910" s="17" t="s">
        <v>90</v>
      </c>
      <c r="Z910" s="17" t="e">
        <f>_xlfn.XLOOKUP(Customer[[#This Row],[NewType]],$AF$36:$AF$54,$AG$36:$AG$54)</f>
        <v>#N/A</v>
      </c>
      <c r="AA910" s="17" t="s">
        <v>6395</v>
      </c>
      <c r="AB910" s="11" t="str">
        <f>_xlfn.XLOOKUP(Customer[[#This Row],[Customer ID]],[1]!Address[ID],[1]!Address[Subtype])</f>
        <v>ONLINE HAJAR</v>
      </c>
      <c r="AC910" s="18" t="str">
        <f>_xlfn.XLOOKUP(Customer[[#This Row],[Customer ID]],[1]!Address[ID],[1]!Address[Zone])</f>
        <v>EEEDH</v>
      </c>
    </row>
    <row r="911" spans="1:29" x14ac:dyDescent="0.3">
      <c r="A911" s="37" t="s">
        <v>6396</v>
      </c>
      <c r="B911" s="38" t="str">
        <f>_xlfn.XLOOKUP(Customer[[#This Row],[Customer ID]],[1]!Name[ID],[1]!Name[Description(1)])</f>
        <v>NORLAILA BINTI NAZIB</v>
      </c>
      <c r="C911" s="38" t="str">
        <f>_xlfn.XLOOKUP(Customer[[#This Row],[Customer ID]],[1]!Name[ID],[1]!Name[Description(2)])</f>
        <v/>
      </c>
      <c r="D911" s="38" t="str">
        <f>_xlfn.XLOOKUP(Customer[[#This Row],[Customer ID]],[1]!Address[ID],[1]!Address[PIC])</f>
        <v/>
      </c>
      <c r="E911" s="38" t="str">
        <f>_xlfn.XLOOKUP(Customer[[#This Row],[Customer ID]],[1]!Address[ID],[1]!Address[Full Address])</f>
        <v>NO 193, JALAN SEREMBAN TIGA 4,SEREMBAN 3, 70300 SEREMBAN,NEGERI SEMBILAN</v>
      </c>
      <c r="F911" s="12" t="s">
        <v>6397</v>
      </c>
      <c r="G911" s="12" t="s">
        <v>6398</v>
      </c>
      <c r="H911" s="12"/>
      <c r="I911" s="12" t="b">
        <f>ISNUMBER(VALUE(LEFT(Customer[[#This Row],[Address Line 3 (30 char)]],1)))</f>
        <v>0</v>
      </c>
      <c r="J911" s="12" t="s">
        <v>203</v>
      </c>
      <c r="K911" s="12">
        <v>70300</v>
      </c>
      <c r="L911" s="12" t="s">
        <v>35</v>
      </c>
      <c r="M911" s="13" t="e">
        <v>#N/A</v>
      </c>
      <c r="N911" s="14" t="e">
        <v>#N/A</v>
      </c>
      <c r="O911" s="14" t="e">
        <v>#N/A</v>
      </c>
      <c r="P911" s="14" t="e">
        <v>#N/A</v>
      </c>
      <c r="Q911" s="14" t="e">
        <v>#N/A</v>
      </c>
      <c r="R911" s="15" t="s">
        <v>6399</v>
      </c>
      <c r="S911" s="16" t="s">
        <v>6283</v>
      </c>
      <c r="T911" s="16"/>
      <c r="U911" s="11" t="str">
        <f>_xlfn.XLOOKUP(Customer[[#This Row],[Customer ID]],[1]!Address[ID],[1]!Address[Phone No.(2)])</f>
        <v/>
      </c>
      <c r="V911" s="11" t="str">
        <f>_xlfn.XLOOKUP(Customer[[#This Row],[Customer ID]],[1]!Address[ID],[1]!Address[Type])</f>
        <v>WALK IN</v>
      </c>
      <c r="W911" s="11" t="str">
        <f>_xlfn.XLOOKUP(Customer[[#This Row],[Customer ID]],[1]!Address[ID],[1]!Address[CT])</f>
        <v/>
      </c>
      <c r="X911" s="11"/>
      <c r="Y911" s="17" t="s">
        <v>6284</v>
      </c>
      <c r="Z911" s="17" t="e">
        <f>_xlfn.XLOOKUP(Customer[[#This Row],[NewType]],$AF$36:$AF$54,$AG$36:$AG$54)</f>
        <v>#N/A</v>
      </c>
      <c r="AA911" s="17" t="s">
        <v>6400</v>
      </c>
      <c r="AB911" s="11" t="str">
        <f>_xlfn.XLOOKUP(Customer[[#This Row],[Customer ID]],[1]!Address[ID],[1]!Address[Subtype])</f>
        <v>RANTAU</v>
      </c>
      <c r="AC911" s="18" t="str">
        <f>_xlfn.XLOOKUP(Customer[[#This Row],[Customer ID]],[1]!Address[ID],[1]!Address[Zone])</f>
        <v>CENTRAL</v>
      </c>
    </row>
    <row r="912" spans="1:29" x14ac:dyDescent="0.3">
      <c r="A912" s="45" t="s">
        <v>6401</v>
      </c>
      <c r="B912" s="32" t="str">
        <f>_xlfn.XLOOKUP(Customer[[#This Row],[Customer ID]],[1]!Name[ID],[1]!Name[Description(1)])</f>
        <v>NORAZIZAH HJ ARSHAD</v>
      </c>
      <c r="C912" s="32" t="str">
        <f>_xlfn.XLOOKUP(Customer[[#This Row],[Customer ID]],[1]!Name[ID],[1]!Name[Description(2)])</f>
        <v/>
      </c>
      <c r="D912" s="38" t="str">
        <f>_xlfn.XLOOKUP(Customer[[#This Row],[Customer ID]],[1]!Address[ID],[1]!Address[PIC])</f>
        <v/>
      </c>
      <c r="E912" s="38" t="str">
        <f>_xlfn.XLOOKUP(Customer[[#This Row],[Customer ID]],[1]!Address[ID],[1]!Address[Full Address])</f>
        <v>KG SOLOK</v>
      </c>
      <c r="F912" s="12" t="s">
        <v>6402</v>
      </c>
      <c r="G912" s="12" t="s">
        <v>36</v>
      </c>
      <c r="H912" s="12" t="s">
        <v>36</v>
      </c>
      <c r="I912" s="12" t="b">
        <f>ISNUMBER(VALUE(LEFT(Customer[[#This Row],[Address Line 3 (30 char)]],1)))</f>
        <v>0</v>
      </c>
      <c r="J912" s="32"/>
      <c r="K912" s="32"/>
      <c r="L912" s="12" t="s">
        <v>35</v>
      </c>
      <c r="M912" s="13" t="e">
        <v>#N/A</v>
      </c>
      <c r="N912" s="14" t="e">
        <v>#N/A</v>
      </c>
      <c r="O912" s="14" t="e">
        <v>#N/A</v>
      </c>
      <c r="P912" s="14" t="e">
        <v>#N/A</v>
      </c>
      <c r="Q912" s="14" t="e">
        <v>#N/A</v>
      </c>
      <c r="R912" s="15" t="s">
        <v>6403</v>
      </c>
      <c r="S912" s="16" t="s">
        <v>6283</v>
      </c>
      <c r="T912" s="16"/>
      <c r="U912" s="11" t="str">
        <f>_xlfn.XLOOKUP(Customer[[#This Row],[Customer ID]],[1]!Address[ID],[1]!Address[Phone No.(2)])</f>
        <v/>
      </c>
      <c r="V912" s="11" t="str">
        <f>_xlfn.XLOOKUP(Customer[[#This Row],[Customer ID]],[1]!Address[ID],[1]!Address[Type])</f>
        <v>WALK IN</v>
      </c>
      <c r="W912" s="11" t="str">
        <f>_xlfn.XLOOKUP(Customer[[#This Row],[Customer ID]],[1]!Address[ID],[1]!Address[CT])</f>
        <v/>
      </c>
      <c r="X912" s="11"/>
      <c r="Y912" s="17" t="s">
        <v>6284</v>
      </c>
      <c r="Z912" s="17" t="e">
        <f>_xlfn.XLOOKUP(Customer[[#This Row],[NewType]],$AF$36:$AF$54,$AG$36:$AG$54)</f>
        <v>#N/A</v>
      </c>
      <c r="AA912" s="17" t="s">
        <v>6404</v>
      </c>
      <c r="AB912" s="11" t="str">
        <f>_xlfn.XLOOKUP(Customer[[#This Row],[Customer ID]],[1]!Address[ID],[1]!Address[Subtype])</f>
        <v>RANTAU</v>
      </c>
      <c r="AC912" s="18" t="str">
        <f>_xlfn.XLOOKUP(Customer[[#This Row],[Customer ID]],[1]!Address[ID],[1]!Address[Zone])</f>
        <v>U H</v>
      </c>
    </row>
    <row r="913" spans="1:29" x14ac:dyDescent="0.3">
      <c r="A913" s="45" t="s">
        <v>6405</v>
      </c>
      <c r="B913" s="32" t="str">
        <f>_xlfn.XLOOKUP(Customer[[#This Row],[Customer ID]],[1]!Name[ID],[1]!Name[Description(1)])</f>
        <v>NORMAZNIWATI BINTI SAIDIN</v>
      </c>
      <c r="C913" s="32" t="str">
        <f>_xlfn.XLOOKUP(Customer[[#This Row],[Customer ID]],[1]!Name[ID],[1]!Name[Description(2)])</f>
        <v/>
      </c>
      <c r="D913" s="38" t="str">
        <f>_xlfn.XLOOKUP(Customer[[#This Row],[Customer ID]],[1]!Address[ID],[1]!Address[PIC])</f>
        <v/>
      </c>
      <c r="E913" s="38" t="str">
        <f>_xlfn.XLOOKUP(Customer[[#This Row],[Customer ID]],[1]!Address[ID],[1]!Address[Full Address])</f>
        <v>BANDAR BARU WARISAN PUTERI, SIKAMAT</v>
      </c>
      <c r="F913" s="12" t="s">
        <v>6406</v>
      </c>
      <c r="G913" s="12" t="s">
        <v>6407</v>
      </c>
      <c r="H913" s="12" t="s">
        <v>36</v>
      </c>
      <c r="I913" s="12" t="b">
        <f>ISNUMBER(VALUE(LEFT(Customer[[#This Row],[Address Line 3 (30 char)]],1)))</f>
        <v>0</v>
      </c>
      <c r="J913" s="32" t="s">
        <v>203</v>
      </c>
      <c r="K913" s="32"/>
      <c r="L913" s="12" t="s">
        <v>35</v>
      </c>
      <c r="M913" s="13" t="e">
        <v>#N/A</v>
      </c>
      <c r="N913" s="14" t="e">
        <v>#N/A</v>
      </c>
      <c r="O913" s="14" t="e">
        <v>#N/A</v>
      </c>
      <c r="P913" s="14" t="e">
        <v>#N/A</v>
      </c>
      <c r="Q913" s="14" t="e">
        <v>#N/A</v>
      </c>
      <c r="R913" s="15" t="s">
        <v>6408</v>
      </c>
      <c r="S913" s="16" t="s">
        <v>6283</v>
      </c>
      <c r="T913" s="16"/>
      <c r="U913" s="11" t="str">
        <f>_xlfn.XLOOKUP(Customer[[#This Row],[Customer ID]],[1]!Address[ID],[1]!Address[Phone No.(2)])</f>
        <v/>
      </c>
      <c r="V913" s="11" t="str">
        <f>_xlfn.XLOOKUP(Customer[[#This Row],[Customer ID]],[1]!Address[ID],[1]!Address[Type])</f>
        <v>WALK IN</v>
      </c>
      <c r="W913" s="11" t="str">
        <f>_xlfn.XLOOKUP(Customer[[#This Row],[Customer ID]],[1]!Address[ID],[1]!Address[CT])</f>
        <v/>
      </c>
      <c r="X913" s="11"/>
      <c r="Y913" s="17" t="s">
        <v>6284</v>
      </c>
      <c r="Z913" s="17" t="e">
        <f>_xlfn.XLOOKUP(Customer[[#This Row],[NewType]],$AF$36:$AF$54,$AG$36:$AG$54)</f>
        <v>#N/A</v>
      </c>
      <c r="AA913" s="17" t="s">
        <v>6409</v>
      </c>
      <c r="AB913" s="11" t="str">
        <f>_xlfn.XLOOKUP(Customer[[#This Row],[Customer ID]],[1]!Address[ID],[1]!Address[Subtype])</f>
        <v>RANTAU</v>
      </c>
      <c r="AC913" s="18" t="str">
        <f>_xlfn.XLOOKUP(Customer[[#This Row],[Customer ID]],[1]!Address[ID],[1]!Address[Zone])</f>
        <v>U H</v>
      </c>
    </row>
    <row r="914" spans="1:29" x14ac:dyDescent="0.3">
      <c r="A914" s="43" t="s">
        <v>6410</v>
      </c>
      <c r="B914" s="44" t="str">
        <f>_xlfn.XLOOKUP(Customer[[#This Row],[Customer ID]],[1]!Name[ID],[1]!Name[Description(1)])</f>
        <v>STALLION AGENCY SDN BHD</v>
      </c>
      <c r="C914" s="38" t="str">
        <f>_xlfn.XLOOKUP(Customer[[#This Row],[Customer ID]],[1]!Name[ID],[1]!Name[Description(2)])</f>
        <v/>
      </c>
      <c r="D914" s="38" t="str">
        <f>_xlfn.XLOOKUP(Customer[[#This Row],[Customer ID]],[1]!Address[ID],[1]!Address[PIC])</f>
        <v>EN.DAUD MARICAN</v>
      </c>
      <c r="E914" s="38" t="str">
        <f>_xlfn.XLOOKUP(Customer[[#This Row],[Customer ID]],[1]!Address[ID],[1]!Address[Full Address])</f>
        <v>F-20-2, JALAN SERAI WANGI N16/N,ALAM AVENUE 2,SEKSYEN 16,40200 SHAH ALAM</v>
      </c>
      <c r="F914" s="12" t="s">
        <v>6411</v>
      </c>
      <c r="G914" s="12" t="s">
        <v>6412</v>
      </c>
      <c r="H914" s="12" t="s">
        <v>6413</v>
      </c>
      <c r="I914" s="12" t="b">
        <f>ISNUMBER(VALUE(LEFT(Customer[[#This Row],[Address Line 3 (30 char)]],1)))</f>
        <v>0</v>
      </c>
      <c r="J914" s="12" t="s">
        <v>172</v>
      </c>
      <c r="K914" s="12">
        <v>40200</v>
      </c>
      <c r="L914" s="12" t="s">
        <v>35</v>
      </c>
      <c r="M914" s="31" t="e">
        <v>#N/A</v>
      </c>
      <c r="N914" s="33" t="s">
        <v>6414</v>
      </c>
      <c r="O914" s="14" t="s">
        <v>6415</v>
      </c>
      <c r="P914" s="14">
        <v>46909</v>
      </c>
      <c r="Q914" s="19" t="s">
        <v>6416</v>
      </c>
      <c r="R914" s="15" t="s">
        <v>6417</v>
      </c>
      <c r="S914" s="15" t="s">
        <v>5934</v>
      </c>
      <c r="T914" s="16" t="s">
        <v>3477</v>
      </c>
      <c r="U914" s="11" t="str">
        <f>_xlfn.XLOOKUP(Customer[[#This Row],[Customer ID]],[1]!Address[ID],[1]!Address[Phone No.(2)])</f>
        <v/>
      </c>
      <c r="V914" s="11" t="str">
        <f>_xlfn.XLOOKUP(Customer[[#This Row],[Customer ID]],[1]!Address[ID],[1]!Address[Type])</f>
        <v>CORPORATE</v>
      </c>
      <c r="W914" s="11" t="str">
        <f>_xlfn.XLOOKUP(Customer[[#This Row],[Customer ID]],[1]!Address[ID],[1]!Address[CT])</f>
        <v>30 DAYS</v>
      </c>
      <c r="X914" s="11"/>
      <c r="Y914" s="17" t="s">
        <v>6418</v>
      </c>
      <c r="Z914" s="17" t="e">
        <f>_xlfn.XLOOKUP(Customer[[#This Row],[NewType]],$AF$36:$AF$54,$AG$36:$AG$54)</f>
        <v>#N/A</v>
      </c>
      <c r="AA914" s="17" t="s">
        <v>6419</v>
      </c>
      <c r="AB914" s="11" t="str">
        <f>_xlfn.XLOOKUP(Customer[[#This Row],[Customer ID]],[1]!Address[ID],[1]!Address[Subtype])</f>
        <v>STALLION</v>
      </c>
      <c r="AC914" s="18" t="str">
        <f>_xlfn.XLOOKUP(Customer[[#This Row],[Customer ID]],[1]!Address[ID],[1]!Address[Zone])</f>
        <v>IOTEH</v>
      </c>
    </row>
    <row r="915" spans="1:29" x14ac:dyDescent="0.3">
      <c r="A915" s="37" t="s">
        <v>6420</v>
      </c>
      <c r="B915" s="38" t="str">
        <f>_xlfn.XLOOKUP(Customer[[#This Row],[Customer ID]],[1]!Name[ID],[1]!Name[Description(1)])</f>
        <v>WISMA UNIKEB BANGI</v>
      </c>
      <c r="C915" s="38" t="str">
        <f>_xlfn.XLOOKUP(Customer[[#This Row],[Customer ID]],[1]!Name[ID],[1]!Name[Description(2)])</f>
        <v/>
      </c>
      <c r="D915" s="38" t="str">
        <f>_xlfn.XLOOKUP(Customer[[#This Row],[Customer ID]],[1]!Address[ID],[1]!Address[PIC])</f>
        <v/>
      </c>
      <c r="E915" s="38" t="str">
        <f>_xlfn.XLOOKUP(Customer[[#This Row],[Customer ID]],[1]!Address[ID],[1]!Address[Full Address])</f>
        <v>ARAS 1, KOPERASI UNIKEB BERHAD, WISMA UN</v>
      </c>
      <c r="F915" s="12" t="s">
        <v>6421</v>
      </c>
      <c r="G915" s="12" t="s">
        <v>6422</v>
      </c>
      <c r="H915" s="12" t="s">
        <v>6423</v>
      </c>
      <c r="I915" s="12" t="b">
        <f>ISNUMBER(VALUE(LEFT(Customer[[#This Row],[Address Line 3 (30 char)]],1)))</f>
        <v>0</v>
      </c>
      <c r="J915" s="12" t="s">
        <v>172</v>
      </c>
      <c r="K915" s="12">
        <v>43600</v>
      </c>
      <c r="L915" s="12" t="s">
        <v>35</v>
      </c>
      <c r="M915" s="13" t="e">
        <v>#N/A</v>
      </c>
      <c r="N915" s="14" t="e">
        <v>#N/A</v>
      </c>
      <c r="O915" s="14" t="e">
        <v>#N/A</v>
      </c>
      <c r="P915" s="14" t="e">
        <v>#N/A</v>
      </c>
      <c r="Q915" s="19" t="s">
        <v>6424</v>
      </c>
      <c r="R915" s="15" t="s">
        <v>6425</v>
      </c>
      <c r="S915" s="15" t="s">
        <v>3476</v>
      </c>
      <c r="T915" s="16" t="s">
        <v>3477</v>
      </c>
      <c r="U915" s="11" t="str">
        <f>_xlfn.XLOOKUP(Customer[[#This Row],[Customer ID]],[1]!Address[ID],[1]!Address[Phone No.(2)])</f>
        <v/>
      </c>
      <c r="V915" s="11" t="str">
        <f>_xlfn.XLOOKUP(Customer[[#This Row],[Customer ID]],[1]!Address[ID],[1]!Address[Type])</f>
        <v>CM</v>
      </c>
      <c r="W915" s="11" t="str">
        <f>_xlfn.XLOOKUP(Customer[[#This Row],[Customer ID]],[1]!Address[ID],[1]!Address[CT])</f>
        <v/>
      </c>
      <c r="X915" s="11"/>
      <c r="Y915" s="17" t="s">
        <v>5918</v>
      </c>
      <c r="Z915" s="17" t="e">
        <f>_xlfn.XLOOKUP(Customer[[#This Row],[NewType]],$AF$36:$AF$54,$AG$36:$AG$54)</f>
        <v>#N/A</v>
      </c>
      <c r="AA915" s="17" t="s">
        <v>6426</v>
      </c>
      <c r="AB915" s="11" t="str">
        <f>_xlfn.XLOOKUP(Customer[[#This Row],[Customer ID]],[1]!Address[ID],[1]!Address[Subtype])</f>
        <v>UNIKEB</v>
      </c>
      <c r="AC915" s="18">
        <f>_xlfn.XLOOKUP(Customer[[#This Row],[Customer ID]],[1]!Address[ID],[1]!Address[Zone])</f>
        <v>0</v>
      </c>
    </row>
    <row r="916" spans="1:29" x14ac:dyDescent="0.3">
      <c r="A916" s="45" t="s">
        <v>6427</v>
      </c>
      <c r="B916" s="32" t="str">
        <f>_xlfn.XLOOKUP(Customer[[#This Row],[Customer ID]],[1]!Name[ID],[1]!Name[Description(1)])</f>
        <v>SHAMSIAH SURADIN</v>
      </c>
      <c r="C916" s="32" t="str">
        <f>_xlfn.XLOOKUP(Customer[[#This Row],[Customer ID]],[1]!Name[ID],[1]!Name[Description(2)])</f>
        <v/>
      </c>
      <c r="D916" s="38" t="str">
        <f>_xlfn.XLOOKUP(Customer[[#This Row],[Customer ID]],[1]!Address[ID],[1]!Address[PIC])</f>
        <v/>
      </c>
      <c r="E916" s="38" t="str">
        <f>_xlfn.XLOOKUP(Customer[[#This Row],[Customer ID]],[1]!Address[ID],[1]!Address[Full Address])</f>
        <v>RANTAU</v>
      </c>
      <c r="F916" s="12" t="s">
        <v>6428</v>
      </c>
      <c r="G916" s="12" t="s">
        <v>36</v>
      </c>
      <c r="H916" s="12" t="s">
        <v>36</v>
      </c>
      <c r="I916" s="12" t="b">
        <f>ISNUMBER(VALUE(LEFT(Customer[[#This Row],[Address Line 3 (30 char)]],1)))</f>
        <v>0</v>
      </c>
      <c r="J916" s="32"/>
      <c r="K916" s="32"/>
      <c r="L916" s="12" t="s">
        <v>35</v>
      </c>
      <c r="M916" s="13" t="e">
        <v>#N/A</v>
      </c>
      <c r="N916" s="14" t="e">
        <v>#N/A</v>
      </c>
      <c r="O916" s="14" t="e">
        <v>#N/A</v>
      </c>
      <c r="P916" s="14" t="e">
        <v>#N/A</v>
      </c>
      <c r="Q916" s="14" t="e">
        <v>#N/A</v>
      </c>
      <c r="R916" s="15" t="s">
        <v>6429</v>
      </c>
      <c r="S916" s="16" t="s">
        <v>6283</v>
      </c>
      <c r="T916" s="16"/>
      <c r="U916" s="11" t="str">
        <f>_xlfn.XLOOKUP(Customer[[#This Row],[Customer ID]],[1]!Address[ID],[1]!Address[Phone No.(2)])</f>
        <v/>
      </c>
      <c r="V916" s="11" t="str">
        <f>_xlfn.XLOOKUP(Customer[[#This Row],[Customer ID]],[1]!Address[ID],[1]!Address[Type])</f>
        <v>WALK IN</v>
      </c>
      <c r="W916" s="11" t="str">
        <f>_xlfn.XLOOKUP(Customer[[#This Row],[Customer ID]],[1]!Address[ID],[1]!Address[CT])</f>
        <v/>
      </c>
      <c r="X916" s="11"/>
      <c r="Y916" s="17" t="s">
        <v>6284</v>
      </c>
      <c r="Z916" s="17" t="e">
        <f>_xlfn.XLOOKUP(Customer[[#This Row],[NewType]],$AF$36:$AF$54,$AG$36:$AG$54)</f>
        <v>#N/A</v>
      </c>
      <c r="AA916" s="17" t="s">
        <v>6430</v>
      </c>
      <c r="AB916" s="11" t="str">
        <f>_xlfn.XLOOKUP(Customer[[#This Row],[Customer ID]],[1]!Address[ID],[1]!Address[Subtype])</f>
        <v>RANTAU</v>
      </c>
      <c r="AC916" s="18" t="str">
        <f>_xlfn.XLOOKUP(Customer[[#This Row],[Customer ID]],[1]!Address[ID],[1]!Address[Zone])</f>
        <v>U H</v>
      </c>
    </row>
    <row r="917" spans="1:29" x14ac:dyDescent="0.3">
      <c r="A917" s="37" t="s">
        <v>6431</v>
      </c>
      <c r="B917" s="38" t="str">
        <f>_xlfn.XLOOKUP(Customer[[#This Row],[Customer ID]],[1]!Name[ID],[1]!Name[Description(1)])</f>
        <v>DANIE ONE STOP KLANG</v>
      </c>
      <c r="C917" s="38" t="str">
        <f>_xlfn.XLOOKUP(Customer[[#This Row],[Customer ID]],[1]!Name[ID],[1]!Name[Description(2)])</f>
        <v/>
      </c>
      <c r="D917" s="38" t="str">
        <f>_xlfn.XLOOKUP(Customer[[#This Row],[Customer ID]],[1]!Address[ID],[1]!Address[PIC])</f>
        <v/>
      </c>
      <c r="E917" s="38" t="str">
        <f>_xlfn.XLOOKUP(Customer[[#This Row],[Customer ID]],[1]!Address[ID],[1]!Address[Full Address])</f>
        <v>NO.9 LORONG RAJA NONG 18A,OFF JALAN PENGHULU ABU BAKAR,41000 KLANG, SELANGOR</v>
      </c>
      <c r="F917" s="12" t="s">
        <v>6432</v>
      </c>
      <c r="G917" s="12" t="s">
        <v>6433</v>
      </c>
      <c r="H917" s="24" t="s">
        <v>827</v>
      </c>
      <c r="I917" s="24" t="b">
        <f>ISNUMBER(VALUE(LEFT(Customer[[#This Row],[Address Line 3 (30 char)]],1)))</f>
        <v>0</v>
      </c>
      <c r="J917" s="12" t="s">
        <v>1907</v>
      </c>
      <c r="K917" s="12">
        <v>41000</v>
      </c>
      <c r="L917" s="12" t="s">
        <v>35</v>
      </c>
      <c r="M917" s="13" t="e">
        <v>#N/A</v>
      </c>
      <c r="N917" s="14" t="e">
        <v>#N/A</v>
      </c>
      <c r="O917" s="14" t="e">
        <v>#N/A</v>
      </c>
      <c r="P917" s="14" t="e">
        <v>#N/A</v>
      </c>
      <c r="Q917" s="14" t="e">
        <v>#N/A</v>
      </c>
      <c r="R917" s="15" t="s">
        <v>6434</v>
      </c>
      <c r="S917" s="15" t="s">
        <v>88</v>
      </c>
      <c r="T917" s="16" t="s">
        <v>89</v>
      </c>
      <c r="U917" s="11" t="str">
        <f>_xlfn.XLOOKUP(Customer[[#This Row],[Customer ID]],[1]!Address[ID],[1]!Address[Phone No.(2)])</f>
        <v/>
      </c>
      <c r="V917" s="11" t="str">
        <f>_xlfn.XLOOKUP(Customer[[#This Row],[Customer ID]],[1]!Address[ID],[1]!Address[Type])</f>
        <v>SOCMED</v>
      </c>
      <c r="W917" s="11" t="str">
        <f>_xlfn.XLOOKUP(Customer[[#This Row],[Customer ID]],[1]!Address[ID],[1]!Address[CT])</f>
        <v/>
      </c>
      <c r="X917" s="11"/>
      <c r="Y917" s="17" t="s">
        <v>90</v>
      </c>
      <c r="Z917" s="17" t="e">
        <f>_xlfn.XLOOKUP(Customer[[#This Row],[NewType]],$AF$36:$AF$54,$AG$36:$AG$54)</f>
        <v>#N/A</v>
      </c>
      <c r="AA917" s="17" t="s">
        <v>6435</v>
      </c>
      <c r="AB917" s="11" t="str">
        <f>_xlfn.XLOOKUP(Customer[[#This Row],[Customer ID]],[1]!Address[ID],[1]!Address[Subtype])</f>
        <v>ONLINE ROS</v>
      </c>
      <c r="AC917" s="18" t="str">
        <f>_xlfn.XLOOKUP(Customer[[#This Row],[Customer ID]],[1]!Address[ID],[1]!Address[Zone])</f>
        <v>CENTRAL</v>
      </c>
    </row>
    <row r="918" spans="1:29" x14ac:dyDescent="0.3">
      <c r="A918" s="45" t="s">
        <v>6436</v>
      </c>
      <c r="B918" s="32" t="str">
        <f>_xlfn.XLOOKUP(Customer[[#This Row],[Customer ID]],[1]!Name[ID],[1]!Name[Description(1)])</f>
        <v>NORLELA ISMAIL</v>
      </c>
      <c r="C918" s="32" t="str">
        <f>_xlfn.XLOOKUP(Customer[[#This Row],[Customer ID]],[1]!Name[ID],[1]!Name[Description(2)])</f>
        <v/>
      </c>
      <c r="D918" s="38" t="str">
        <f>_xlfn.XLOOKUP(Customer[[#This Row],[Customer ID]],[1]!Address[ID],[1]!Address[PIC])</f>
        <v/>
      </c>
      <c r="E918" s="38" t="str">
        <f>_xlfn.XLOOKUP(Customer[[#This Row],[Customer ID]],[1]!Address[ID],[1]!Address[Full Address])</f>
        <v>KG SEGA HILIR, RANTAUNEGERI SEMBILAN</v>
      </c>
      <c r="F918" s="12" t="s">
        <v>6437</v>
      </c>
      <c r="G918" s="12"/>
      <c r="H918" s="12" t="s">
        <v>36</v>
      </c>
      <c r="I918" s="12" t="b">
        <f>ISNUMBER(VALUE(LEFT(Customer[[#This Row],[Address Line 3 (30 char)]],1)))</f>
        <v>0</v>
      </c>
      <c r="J918" s="32"/>
      <c r="K918" s="32"/>
      <c r="L918" s="12" t="s">
        <v>35</v>
      </c>
      <c r="M918" s="13" t="e">
        <v>#N/A</v>
      </c>
      <c r="N918" s="14" t="e">
        <v>#N/A</v>
      </c>
      <c r="O918" s="14" t="e">
        <v>#N/A</v>
      </c>
      <c r="P918" s="14" t="e">
        <v>#N/A</v>
      </c>
      <c r="Q918" s="14" t="e">
        <v>#N/A</v>
      </c>
      <c r="R918" s="15" t="s">
        <v>6438</v>
      </c>
      <c r="S918" s="16" t="s">
        <v>6283</v>
      </c>
      <c r="T918" s="16"/>
      <c r="U918" s="11" t="str">
        <f>_xlfn.XLOOKUP(Customer[[#This Row],[Customer ID]],[1]!Address[ID],[1]!Address[Phone No.(2)])</f>
        <v/>
      </c>
      <c r="V918" s="11" t="str">
        <f>_xlfn.XLOOKUP(Customer[[#This Row],[Customer ID]],[1]!Address[ID],[1]!Address[Type])</f>
        <v>WALK IN</v>
      </c>
      <c r="W918" s="11" t="str">
        <f>_xlfn.XLOOKUP(Customer[[#This Row],[Customer ID]],[1]!Address[ID],[1]!Address[CT])</f>
        <v/>
      </c>
      <c r="X918" s="11"/>
      <c r="Y918" s="17" t="s">
        <v>6284</v>
      </c>
      <c r="Z918" s="17" t="e">
        <f>_xlfn.XLOOKUP(Customer[[#This Row],[NewType]],$AF$36:$AF$54,$AG$36:$AG$54)</f>
        <v>#N/A</v>
      </c>
      <c r="AA918" s="17" t="s">
        <v>6439</v>
      </c>
      <c r="AB918" s="11" t="str">
        <f>_xlfn.XLOOKUP(Customer[[#This Row],[Customer ID]],[1]!Address[ID],[1]!Address[Subtype])</f>
        <v>RANTAU</v>
      </c>
      <c r="AC918" s="18" t="str">
        <f>_xlfn.XLOOKUP(Customer[[#This Row],[Customer ID]],[1]!Address[ID],[1]!Address[Zone])</f>
        <v>CENTRAL</v>
      </c>
    </row>
    <row r="919" spans="1:29" x14ac:dyDescent="0.3">
      <c r="A919" s="37" t="s">
        <v>6440</v>
      </c>
      <c r="B919" s="38" t="str">
        <f>_xlfn.XLOOKUP(Customer[[#This Row],[Customer ID]],[1]!Name[ID],[1]!Name[Description(1)])</f>
        <v>ZULAIKHA AHMAD</v>
      </c>
      <c r="C919" s="38" t="str">
        <f>_xlfn.XLOOKUP(Customer[[#This Row],[Customer ID]],[1]!Name[ID],[1]!Name[Description(2)])</f>
        <v/>
      </c>
      <c r="D919" s="38" t="str">
        <f>_xlfn.XLOOKUP(Customer[[#This Row],[Customer ID]],[1]!Address[ID],[1]!Address[PIC])</f>
        <v/>
      </c>
      <c r="E919" s="38" t="str">
        <f>_xlfn.XLOOKUP(Customer[[#This Row],[Customer ID]],[1]!Address[ID],[1]!Address[Full Address])</f>
        <v>LOT 2149, KG SRI LALANG,71200 RANTAU,NEGERI SEMBILAN</v>
      </c>
      <c r="F919" s="12" t="s">
        <v>6441</v>
      </c>
      <c r="G919" s="12" t="s">
        <v>6442</v>
      </c>
      <c r="H919" s="12"/>
      <c r="I919" s="12" t="b">
        <f>ISNUMBER(VALUE(LEFT(Customer[[#This Row],[Address Line 3 (30 char)]],1)))</f>
        <v>0</v>
      </c>
      <c r="J919" s="12" t="s">
        <v>203</v>
      </c>
      <c r="K919" s="12">
        <v>71200</v>
      </c>
      <c r="L919" s="12" t="s">
        <v>35</v>
      </c>
      <c r="M919" s="13" t="e">
        <v>#N/A</v>
      </c>
      <c r="N919" s="14" t="e">
        <v>#N/A</v>
      </c>
      <c r="O919" s="14" t="e">
        <v>#N/A</v>
      </c>
      <c r="P919" s="14" t="e">
        <v>#N/A</v>
      </c>
      <c r="Q919" s="14" t="e">
        <v>#N/A</v>
      </c>
      <c r="R919" s="15" t="s">
        <v>6443</v>
      </c>
      <c r="S919" s="16" t="s">
        <v>6283</v>
      </c>
      <c r="T919" s="16"/>
      <c r="U919" s="11" t="str">
        <f>_xlfn.XLOOKUP(Customer[[#This Row],[Customer ID]],[1]!Address[ID],[1]!Address[Phone No.(2)])</f>
        <v/>
      </c>
      <c r="V919" s="11" t="str">
        <f>_xlfn.XLOOKUP(Customer[[#This Row],[Customer ID]],[1]!Address[ID],[1]!Address[Type])</f>
        <v>WALK IN</v>
      </c>
      <c r="W919" s="11" t="str">
        <f>_xlfn.XLOOKUP(Customer[[#This Row],[Customer ID]],[1]!Address[ID],[1]!Address[CT])</f>
        <v/>
      </c>
      <c r="X919" s="11"/>
      <c r="Y919" s="17" t="s">
        <v>6284</v>
      </c>
      <c r="Z919" s="17" t="e">
        <f>_xlfn.XLOOKUP(Customer[[#This Row],[NewType]],$AF$36:$AF$54,$AG$36:$AG$54)</f>
        <v>#N/A</v>
      </c>
      <c r="AA919" s="17" t="s">
        <v>6444</v>
      </c>
      <c r="AB919" s="11" t="str">
        <f>_xlfn.XLOOKUP(Customer[[#This Row],[Customer ID]],[1]!Address[ID],[1]!Address[Subtype])</f>
        <v>RANTAU</v>
      </c>
      <c r="AC919" s="18" t="str">
        <f>_xlfn.XLOOKUP(Customer[[#This Row],[Customer ID]],[1]!Address[ID],[1]!Address[Zone])</f>
        <v>CENTRAL</v>
      </c>
    </row>
    <row r="920" spans="1:29" x14ac:dyDescent="0.3">
      <c r="A920" s="45" t="s">
        <v>6445</v>
      </c>
      <c r="B920" s="32" t="str">
        <f>_xlfn.XLOOKUP(Customer[[#This Row],[Customer ID]],[1]!Name[ID],[1]!Name[Description(1)])</f>
        <v>PUAN BARIZAH(RHB)</v>
      </c>
      <c r="C920" s="32" t="str">
        <f>_xlfn.XLOOKUP(Customer[[#This Row],[Customer ID]],[1]!Name[ID],[1]!Name[Description(2)])</f>
        <v/>
      </c>
      <c r="D920" s="38" t="str">
        <f>_xlfn.XLOOKUP(Customer[[#This Row],[Customer ID]],[1]!Address[ID],[1]!Address[PIC])</f>
        <v/>
      </c>
      <c r="E920" s="38" t="str">
        <f>_xlfn.XLOOKUP(Customer[[#This Row],[Customer ID]],[1]!Address[ID],[1]!Address[Full Address])</f>
        <v>RANTAU</v>
      </c>
      <c r="F920" s="12" t="s">
        <v>6428</v>
      </c>
      <c r="G920" s="12" t="s">
        <v>36</v>
      </c>
      <c r="H920" s="12" t="s">
        <v>36</v>
      </c>
      <c r="I920" s="12" t="b">
        <f>ISNUMBER(VALUE(LEFT(Customer[[#This Row],[Address Line 3 (30 char)]],1)))</f>
        <v>0</v>
      </c>
      <c r="J920" s="32"/>
      <c r="K920" s="32"/>
      <c r="L920" s="12" t="s">
        <v>35</v>
      </c>
      <c r="M920" s="13" t="e">
        <v>#N/A</v>
      </c>
      <c r="N920" s="14" t="e">
        <v>#N/A</v>
      </c>
      <c r="O920" s="14" t="e">
        <v>#N/A</v>
      </c>
      <c r="P920" s="14" t="e">
        <v>#N/A</v>
      </c>
      <c r="Q920" s="14" t="e">
        <v>#N/A</v>
      </c>
      <c r="R920" s="15" t="s">
        <v>6446</v>
      </c>
      <c r="S920" s="16" t="s">
        <v>6283</v>
      </c>
      <c r="T920" s="16"/>
      <c r="U920" s="11" t="str">
        <f>_xlfn.XLOOKUP(Customer[[#This Row],[Customer ID]],[1]!Address[ID],[1]!Address[Phone No.(2)])</f>
        <v/>
      </c>
      <c r="V920" s="11" t="str">
        <f>_xlfn.XLOOKUP(Customer[[#This Row],[Customer ID]],[1]!Address[ID],[1]!Address[Type])</f>
        <v>WALK IN</v>
      </c>
      <c r="W920" s="11" t="str">
        <f>_xlfn.XLOOKUP(Customer[[#This Row],[Customer ID]],[1]!Address[ID],[1]!Address[CT])</f>
        <v/>
      </c>
      <c r="X920" s="11"/>
      <c r="Y920" s="17" t="s">
        <v>6284</v>
      </c>
      <c r="Z920" s="17" t="e">
        <f>_xlfn.XLOOKUP(Customer[[#This Row],[NewType]],$AF$36:$AF$54,$AG$36:$AG$54)</f>
        <v>#N/A</v>
      </c>
      <c r="AA920" s="17" t="s">
        <v>6447</v>
      </c>
      <c r="AB920" s="11" t="str">
        <f>_xlfn.XLOOKUP(Customer[[#This Row],[Customer ID]],[1]!Address[ID],[1]!Address[Subtype])</f>
        <v>RANTAU</v>
      </c>
      <c r="AC920" s="18" t="str">
        <f>_xlfn.XLOOKUP(Customer[[#This Row],[Customer ID]],[1]!Address[ID],[1]!Address[Zone])</f>
        <v>U H</v>
      </c>
    </row>
    <row r="921" spans="1:29" x14ac:dyDescent="0.3">
      <c r="A921" s="45" t="s">
        <v>6448</v>
      </c>
      <c r="B921" s="32" t="str">
        <f>_xlfn.XLOOKUP(Customer[[#This Row],[Customer ID]],[1]!Name[ID],[1]!Name[Description(1)])</f>
        <v>PAKCIK ROBERT</v>
      </c>
      <c r="C921" s="32" t="str">
        <f>_xlfn.XLOOKUP(Customer[[#This Row],[Customer ID]],[1]!Name[ID],[1]!Name[Description(2)])</f>
        <v/>
      </c>
      <c r="D921" s="38" t="str">
        <f>_xlfn.XLOOKUP(Customer[[#This Row],[Customer ID]],[1]!Address[ID],[1]!Address[PIC])</f>
        <v/>
      </c>
      <c r="E921" s="38" t="str">
        <f>_xlfn.XLOOKUP(Customer[[#This Row],[Customer ID]],[1]!Address[ID],[1]!Address[Full Address])</f>
        <v>KG KANCHONG</v>
      </c>
      <c r="F921" s="12" t="s">
        <v>6305</v>
      </c>
      <c r="G921" s="12" t="s">
        <v>36</v>
      </c>
      <c r="H921" s="12" t="s">
        <v>36</v>
      </c>
      <c r="I921" s="12" t="b">
        <f>ISNUMBER(VALUE(LEFT(Customer[[#This Row],[Address Line 3 (30 char)]],1)))</f>
        <v>0</v>
      </c>
      <c r="J921" s="32"/>
      <c r="K921" s="32"/>
      <c r="L921" s="12" t="s">
        <v>35</v>
      </c>
      <c r="M921" s="13" t="e">
        <v>#N/A</v>
      </c>
      <c r="N921" s="14" t="e">
        <v>#N/A</v>
      </c>
      <c r="O921" s="14" t="e">
        <v>#N/A</v>
      </c>
      <c r="P921" s="14" t="e">
        <v>#N/A</v>
      </c>
      <c r="Q921" s="14" t="e">
        <v>#N/A</v>
      </c>
      <c r="R921" s="15" t="s">
        <v>6449</v>
      </c>
      <c r="S921" s="16" t="s">
        <v>6283</v>
      </c>
      <c r="T921" s="16"/>
      <c r="U921" s="11" t="str">
        <f>_xlfn.XLOOKUP(Customer[[#This Row],[Customer ID]],[1]!Address[ID],[1]!Address[Phone No.(2)])</f>
        <v/>
      </c>
      <c r="V921" s="11" t="str">
        <f>_xlfn.XLOOKUP(Customer[[#This Row],[Customer ID]],[1]!Address[ID],[1]!Address[Type])</f>
        <v>WALK IN</v>
      </c>
      <c r="W921" s="11" t="str">
        <f>_xlfn.XLOOKUP(Customer[[#This Row],[Customer ID]],[1]!Address[ID],[1]!Address[CT])</f>
        <v/>
      </c>
      <c r="X921" s="11"/>
      <c r="Y921" s="17" t="s">
        <v>6284</v>
      </c>
      <c r="Z921" s="17" t="e">
        <f>_xlfn.XLOOKUP(Customer[[#This Row],[NewType]],$AF$36:$AF$54,$AG$36:$AG$54)</f>
        <v>#N/A</v>
      </c>
      <c r="AA921" s="17" t="s">
        <v>6450</v>
      </c>
      <c r="AB921" s="11" t="str">
        <f>_xlfn.XLOOKUP(Customer[[#This Row],[Customer ID]],[1]!Address[ID],[1]!Address[Subtype])</f>
        <v>RANTAU</v>
      </c>
      <c r="AC921" s="18" t="str">
        <f>_xlfn.XLOOKUP(Customer[[#This Row],[Customer ID]],[1]!Address[ID],[1]!Address[Zone])</f>
        <v>CENTRAL</v>
      </c>
    </row>
    <row r="922" spans="1:29" x14ac:dyDescent="0.3">
      <c r="A922" s="37" t="s">
        <v>6451</v>
      </c>
      <c r="B922" s="38" t="str">
        <f>_xlfn.XLOOKUP(Customer[[#This Row],[Customer ID]],[1]!Name[ID],[1]!Name[Description(1)])</f>
        <v>YNS EVENT MANAGEMENT SDN BHD</v>
      </c>
      <c r="C922" s="38" t="str">
        <f>_xlfn.XLOOKUP(Customer[[#This Row],[Customer ID]],[1]!Name[ID],[1]!Name[Description(2)])</f>
        <v/>
      </c>
      <c r="D922" s="38" t="str">
        <f>_xlfn.XLOOKUP(Customer[[#This Row],[Customer ID]],[1]!Address[ID],[1]!Address[PIC])</f>
        <v>HAZRA FAZREENDA</v>
      </c>
      <c r="E922" s="38" t="str">
        <f>_xlfn.XLOOKUP(Customer[[#This Row],[Customer ID]],[1]!Address[ID],[1]!Address[Full Address])</f>
        <v>YNS EVENT MANAGEMENT SDN BHDYAYASAN NEGERI SEMBILAN, TINGKAT 4,BANGUNAN YNS JALAN YAM TUAN</v>
      </c>
      <c r="F922" s="12" t="s">
        <v>6452</v>
      </c>
      <c r="G922" s="12" t="s">
        <v>6453</v>
      </c>
      <c r="H922" s="12" t="s">
        <v>6454</v>
      </c>
      <c r="I922" s="12" t="b">
        <f>ISNUMBER(VALUE(LEFT(Customer[[#This Row],[Address Line 3 (30 char)]],1)))</f>
        <v>0</v>
      </c>
      <c r="J922" s="12" t="s">
        <v>203</v>
      </c>
      <c r="K922" s="12">
        <v>71800</v>
      </c>
      <c r="L922" s="12" t="s">
        <v>35</v>
      </c>
      <c r="M922" s="13">
        <v>202001023750</v>
      </c>
      <c r="N922" s="14" t="s">
        <v>6455</v>
      </c>
      <c r="O922" s="14" t="e">
        <v>#N/A</v>
      </c>
      <c r="P922" s="14" t="e">
        <v>#N/A</v>
      </c>
      <c r="Q922" s="14" t="e">
        <v>#N/A</v>
      </c>
      <c r="R922" s="15" t="s">
        <v>6456</v>
      </c>
      <c r="S922" s="15" t="s">
        <v>5934</v>
      </c>
      <c r="T922" s="16" t="s">
        <v>3477</v>
      </c>
      <c r="U922" s="11" t="str">
        <f>_xlfn.XLOOKUP(Customer[[#This Row],[Customer ID]],[1]!Address[ID],[1]!Address[Phone No.(2)])</f>
        <v/>
      </c>
      <c r="V922" s="11" t="str">
        <f>_xlfn.XLOOKUP(Customer[[#This Row],[Customer ID]],[1]!Address[ID],[1]!Address[Type])</f>
        <v>CORPORATE</v>
      </c>
      <c r="W922" s="11" t="str">
        <f>_xlfn.XLOOKUP(Customer[[#This Row],[Customer ID]],[1]!Address[ID],[1]!Address[CT])</f>
        <v>30 DAYS</v>
      </c>
      <c r="X922" s="11"/>
      <c r="Y922" s="17" t="s">
        <v>6418</v>
      </c>
      <c r="Z922" s="17" t="e">
        <f>_xlfn.XLOOKUP(Customer[[#This Row],[NewType]],$AF$36:$AF$54,$AG$36:$AG$54)</f>
        <v>#N/A</v>
      </c>
      <c r="AA922" s="17" t="s">
        <v>6457</v>
      </c>
      <c r="AB922" s="11" t="str">
        <f>_xlfn.XLOOKUP(Customer[[#This Row],[Customer ID]],[1]!Address[ID],[1]!Address[Subtype])</f>
        <v>YNS</v>
      </c>
      <c r="AC922" s="18" t="str">
        <f>_xlfn.XLOOKUP(Customer[[#This Row],[Customer ID]],[1]!Address[ID],[1]!Address[Zone])</f>
        <v>SOUTH</v>
      </c>
    </row>
    <row r="923" spans="1:29" x14ac:dyDescent="0.3">
      <c r="A923" s="45" t="s">
        <v>6458</v>
      </c>
      <c r="B923" s="32" t="str">
        <f>_xlfn.XLOOKUP(Customer[[#This Row],[Customer ID]],[1]!Name[ID],[1]!Name[Description(1)])</f>
        <v>ZAINAL ZAINAB</v>
      </c>
      <c r="C923" s="32" t="str">
        <f>_xlfn.XLOOKUP(Customer[[#This Row],[Customer ID]],[1]!Name[ID],[1]!Name[Description(2)])</f>
        <v/>
      </c>
      <c r="D923" s="38" t="str">
        <f>_xlfn.XLOOKUP(Customer[[#This Row],[Customer ID]],[1]!Address[ID],[1]!Address[PIC])</f>
        <v/>
      </c>
      <c r="E923" s="38" t="str">
        <f>_xlfn.XLOOKUP(Customer[[#This Row],[Customer ID]],[1]!Address[ID],[1]!Address[Full Address])</f>
        <v>KG KANCHONG</v>
      </c>
      <c r="F923" s="12" t="s">
        <v>6305</v>
      </c>
      <c r="G923" s="12" t="s">
        <v>36</v>
      </c>
      <c r="H923" s="12" t="s">
        <v>36</v>
      </c>
      <c r="I923" s="12" t="b">
        <f>ISNUMBER(VALUE(LEFT(Customer[[#This Row],[Address Line 3 (30 char)]],1)))</f>
        <v>0</v>
      </c>
      <c r="J923" s="32"/>
      <c r="K923" s="32"/>
      <c r="L923" s="12" t="s">
        <v>35</v>
      </c>
      <c r="M923" s="13" t="e">
        <v>#N/A</v>
      </c>
      <c r="N923" s="14" t="e">
        <v>#N/A</v>
      </c>
      <c r="O923" s="14" t="e">
        <v>#N/A</v>
      </c>
      <c r="P923" s="14" t="e">
        <v>#N/A</v>
      </c>
      <c r="Q923" s="14" t="e">
        <v>#N/A</v>
      </c>
      <c r="R923" s="15" t="s">
        <v>6459</v>
      </c>
      <c r="S923" s="16" t="s">
        <v>6283</v>
      </c>
      <c r="T923" s="16"/>
      <c r="U923" s="11" t="str">
        <f>_xlfn.XLOOKUP(Customer[[#This Row],[Customer ID]],[1]!Address[ID],[1]!Address[Phone No.(2)])</f>
        <v/>
      </c>
      <c r="V923" s="11" t="str">
        <f>_xlfn.XLOOKUP(Customer[[#This Row],[Customer ID]],[1]!Address[ID],[1]!Address[Type])</f>
        <v>WALK IN</v>
      </c>
      <c r="W923" s="11" t="str">
        <f>_xlfn.XLOOKUP(Customer[[#This Row],[Customer ID]],[1]!Address[ID],[1]!Address[CT])</f>
        <v/>
      </c>
      <c r="X923" s="11"/>
      <c r="Y923" s="17" t="s">
        <v>6284</v>
      </c>
      <c r="Z923" s="17" t="e">
        <f>_xlfn.XLOOKUP(Customer[[#This Row],[NewType]],$AF$36:$AF$54,$AG$36:$AG$54)</f>
        <v>#N/A</v>
      </c>
      <c r="AA923" s="17" t="s">
        <v>6460</v>
      </c>
      <c r="AB923" s="11" t="str">
        <f>_xlfn.XLOOKUP(Customer[[#This Row],[Customer ID]],[1]!Address[ID],[1]!Address[Subtype])</f>
        <v>RANTAU</v>
      </c>
      <c r="AC923" s="18" t="str">
        <f>_xlfn.XLOOKUP(Customer[[#This Row],[Customer ID]],[1]!Address[ID],[1]!Address[Zone])</f>
        <v>CENTRAL</v>
      </c>
    </row>
    <row r="924" spans="1:29" x14ac:dyDescent="0.3">
      <c r="A924" s="45" t="s">
        <v>6461</v>
      </c>
      <c r="B924" s="32" t="str">
        <f>_xlfn.XLOOKUP(Customer[[#This Row],[Customer ID]],[1]!Name[ID],[1]!Name[Description(1)])</f>
        <v>HAJI SAMSUDIN</v>
      </c>
      <c r="C924" s="32" t="str">
        <f>_xlfn.XLOOKUP(Customer[[#This Row],[Customer ID]],[1]!Name[ID],[1]!Name[Description(2)])</f>
        <v/>
      </c>
      <c r="D924" s="38" t="str">
        <f>_xlfn.XLOOKUP(Customer[[#This Row],[Customer ID]],[1]!Address[ID],[1]!Address[PIC])</f>
        <v/>
      </c>
      <c r="E924" s="38" t="str">
        <f>_xlfn.XLOOKUP(Customer[[#This Row],[Customer ID]],[1]!Address[ID],[1]!Address[Full Address])</f>
        <v>KG KANCHONG</v>
      </c>
      <c r="F924" s="12" t="s">
        <v>6305</v>
      </c>
      <c r="G924" s="12" t="s">
        <v>36</v>
      </c>
      <c r="H924" s="12" t="s">
        <v>36</v>
      </c>
      <c r="I924" s="12" t="b">
        <f>ISNUMBER(VALUE(LEFT(Customer[[#This Row],[Address Line 3 (30 char)]],1)))</f>
        <v>0</v>
      </c>
      <c r="J924" s="32"/>
      <c r="K924" s="32"/>
      <c r="L924" s="12" t="s">
        <v>35</v>
      </c>
      <c r="M924" s="13" t="e">
        <v>#N/A</v>
      </c>
      <c r="N924" s="14" t="e">
        <v>#N/A</v>
      </c>
      <c r="O924" s="14" t="e">
        <v>#N/A</v>
      </c>
      <c r="P924" s="14" t="e">
        <v>#N/A</v>
      </c>
      <c r="Q924" s="14" t="e">
        <v>#N/A</v>
      </c>
      <c r="R924" s="15" t="s">
        <v>6462</v>
      </c>
      <c r="S924" s="16" t="s">
        <v>6283</v>
      </c>
      <c r="T924" s="16"/>
      <c r="U924" s="11" t="str">
        <f>_xlfn.XLOOKUP(Customer[[#This Row],[Customer ID]],[1]!Address[ID],[1]!Address[Phone No.(2)])</f>
        <v/>
      </c>
      <c r="V924" s="11" t="str">
        <f>_xlfn.XLOOKUP(Customer[[#This Row],[Customer ID]],[1]!Address[ID],[1]!Address[Type])</f>
        <v>WALK IN</v>
      </c>
      <c r="W924" s="11" t="str">
        <f>_xlfn.XLOOKUP(Customer[[#This Row],[Customer ID]],[1]!Address[ID],[1]!Address[CT])</f>
        <v/>
      </c>
      <c r="X924" s="11"/>
      <c r="Y924" s="17" t="s">
        <v>6284</v>
      </c>
      <c r="Z924" s="17" t="e">
        <f>_xlfn.XLOOKUP(Customer[[#This Row],[NewType]],$AF$36:$AF$54,$AG$36:$AG$54)</f>
        <v>#N/A</v>
      </c>
      <c r="AA924" s="17" t="s">
        <v>6463</v>
      </c>
      <c r="AB924" s="11" t="str">
        <f>_xlfn.XLOOKUP(Customer[[#This Row],[Customer ID]],[1]!Address[ID],[1]!Address[Subtype])</f>
        <v>RANTAU</v>
      </c>
      <c r="AC924" s="18" t="str">
        <f>_xlfn.XLOOKUP(Customer[[#This Row],[Customer ID]],[1]!Address[ID],[1]!Address[Zone])</f>
        <v>CENTRAL</v>
      </c>
    </row>
    <row r="925" spans="1:29" x14ac:dyDescent="0.3">
      <c r="A925" s="37" t="s">
        <v>6464</v>
      </c>
      <c r="B925" s="38" t="str">
        <f>_xlfn.XLOOKUP(Customer[[#This Row],[Customer ID]],[1]!Name[ID],[1]!Name[Description(1)])</f>
        <v>ROSILA IDRUS</v>
      </c>
      <c r="C925" s="38" t="str">
        <f>_xlfn.XLOOKUP(Customer[[#This Row],[Customer ID]],[1]!Name[ID],[1]!Name[Description(2)])</f>
        <v/>
      </c>
      <c r="D925" s="38" t="str">
        <f>_xlfn.XLOOKUP(Customer[[#This Row],[Customer ID]],[1]!Address[ID],[1]!Address[PIC])</f>
        <v/>
      </c>
      <c r="E925" s="38" t="str">
        <f>_xlfn.XLOOKUP(Customer[[#This Row],[Customer ID]],[1]!Address[ID],[1]!Address[Full Address])</f>
        <v>NO 41 JLN RU4, TMN REMBAU UTAMA71300 REMBAU, NEGERI SEMBILAN</v>
      </c>
      <c r="F925" s="12" t="s">
        <v>6465</v>
      </c>
      <c r="G925" s="12" t="s">
        <v>6466</v>
      </c>
      <c r="H925" s="12" t="s">
        <v>6467</v>
      </c>
      <c r="I925" s="12" t="b">
        <f>ISNUMBER(VALUE(LEFT(Customer[[#This Row],[Address Line 3 (30 char)]],1)))</f>
        <v>0</v>
      </c>
      <c r="J925" s="12" t="s">
        <v>203</v>
      </c>
      <c r="K925" s="12">
        <v>71300</v>
      </c>
      <c r="L925" s="12" t="s">
        <v>35</v>
      </c>
      <c r="M925" s="13" t="e">
        <v>#N/A</v>
      </c>
      <c r="N925" s="14" t="e">
        <v>#N/A</v>
      </c>
      <c r="O925" s="14" t="e">
        <v>#N/A</v>
      </c>
      <c r="P925" s="14" t="e">
        <v>#N/A</v>
      </c>
      <c r="Q925" s="14" t="e">
        <v>#N/A</v>
      </c>
      <c r="R925" s="15" t="s">
        <v>6468</v>
      </c>
      <c r="S925" s="15" t="s">
        <v>88</v>
      </c>
      <c r="T925" s="16" t="s">
        <v>89</v>
      </c>
      <c r="U925" s="11" t="str">
        <f>_xlfn.XLOOKUP(Customer[[#This Row],[Customer ID]],[1]!Address[ID],[1]!Address[Phone No.(2)])</f>
        <v/>
      </c>
      <c r="V925" s="11" t="str">
        <f>_xlfn.XLOOKUP(Customer[[#This Row],[Customer ID]],[1]!Address[ID],[1]!Address[Type])</f>
        <v>SOCMED</v>
      </c>
      <c r="W925" s="11" t="str">
        <f>_xlfn.XLOOKUP(Customer[[#This Row],[Customer ID]],[1]!Address[ID],[1]!Address[CT])</f>
        <v/>
      </c>
      <c r="X925" s="11"/>
      <c r="Y925" s="17" t="s">
        <v>90</v>
      </c>
      <c r="Z925" s="17" t="e">
        <f>_xlfn.XLOOKUP(Customer[[#This Row],[NewType]],$AF$36:$AF$54,$AG$36:$AG$54)</f>
        <v>#N/A</v>
      </c>
      <c r="AA925" s="17" t="s">
        <v>6469</v>
      </c>
      <c r="AB925" s="11" t="str">
        <f>_xlfn.XLOOKUP(Customer[[#This Row],[Customer ID]],[1]!Address[ID],[1]!Address[Subtype])</f>
        <v>ONLINE ROS</v>
      </c>
      <c r="AC925" s="18" t="str">
        <f>_xlfn.XLOOKUP(Customer[[#This Row],[Customer ID]],[1]!Address[ID],[1]!Address[Zone])</f>
        <v>CENTRAL</v>
      </c>
    </row>
    <row r="926" spans="1:29" x14ac:dyDescent="0.3">
      <c r="A926" s="10" t="s">
        <v>6470</v>
      </c>
      <c r="B926" s="11" t="str">
        <f>_xlfn.XLOOKUP(Customer[[#This Row],[Customer ID]],[1]!Name[ID],[1]!Name[Description(1)])</f>
        <v>PMG PHARMACY TELUK INTAN</v>
      </c>
      <c r="C926" s="38" t="str">
        <f>_xlfn.XLOOKUP(Customer[[#This Row],[Customer ID]],[1]!Name[ID],[1]!Name[Description(2)])</f>
        <v/>
      </c>
      <c r="D926" s="38" t="str">
        <f>_xlfn.XLOOKUP(Customer[[#This Row],[Customer ID]],[1]!Address[ID],[1]!Address[PIC])</f>
        <v/>
      </c>
      <c r="E926" s="38" t="str">
        <f>_xlfn.XLOOKUP(Customer[[#This Row],[Customer ID]],[1]!Address[ID],[1]!Address[Full Address])</f>
        <v>PMG PHARMACY SDN BHDNO.7A JALAN LAMAN INTAN,BANDAR BARU TELUK INTAN,36000 TELUK INTAN, PERAK</v>
      </c>
      <c r="F926" s="12" t="s">
        <v>6471</v>
      </c>
      <c r="G926" s="12" t="s">
        <v>6472</v>
      </c>
      <c r="H926" s="12" t="s">
        <v>6473</v>
      </c>
      <c r="I926" s="12" t="b">
        <f>ISNUMBER(VALUE(LEFT(Customer[[#This Row],[Address Line 3 (30 char)]],1)))</f>
        <v>0</v>
      </c>
      <c r="J926" s="12" t="s">
        <v>387</v>
      </c>
      <c r="K926" s="12">
        <v>36000</v>
      </c>
      <c r="L926" s="12" t="s">
        <v>35</v>
      </c>
      <c r="M926" s="13" t="e">
        <v>#N/A</v>
      </c>
      <c r="N926" s="14" t="e">
        <v>#N/A</v>
      </c>
      <c r="O926" s="14" t="e">
        <v>#N/A</v>
      </c>
      <c r="P926" s="14" t="e">
        <v>#N/A</v>
      </c>
      <c r="Q926" s="14" t="e">
        <v>#N/A</v>
      </c>
      <c r="R926" s="15" t="s">
        <v>6474</v>
      </c>
      <c r="S926" s="15" t="s">
        <v>89</v>
      </c>
      <c r="T926" s="16" t="s">
        <v>89</v>
      </c>
      <c r="U926" s="11" t="str">
        <f>_xlfn.XLOOKUP(Customer[[#This Row],[Customer ID]],[1]!Address[ID],[1]!Address[Phone No.(2)])</f>
        <v/>
      </c>
      <c r="V926" s="11" t="str">
        <f>_xlfn.XLOOKUP(Customer[[#This Row],[Customer ID]],[1]!Address[ID],[1]!Address[Type])</f>
        <v>SOCMED</v>
      </c>
      <c r="W926" s="11" t="str">
        <f>_xlfn.XLOOKUP(Customer[[#This Row],[Customer ID]],[1]!Address[ID],[1]!Address[CT])</f>
        <v/>
      </c>
      <c r="X926" s="11"/>
      <c r="Y926" s="17" t="s">
        <v>90</v>
      </c>
      <c r="Z926" s="17" t="e">
        <f>_xlfn.XLOOKUP(Customer[[#This Row],[NewType]],$AF$36:$AF$54,$AG$36:$AG$54)</f>
        <v>#N/A</v>
      </c>
      <c r="AA926" s="17" t="s">
        <v>6475</v>
      </c>
      <c r="AB926" s="11" t="str">
        <f>_xlfn.XLOOKUP(Customer[[#This Row],[Customer ID]],[1]!Address[ID],[1]!Address[Subtype])</f>
        <v>WHATSAPP</v>
      </c>
      <c r="AC926" s="18" t="str">
        <f>_xlfn.XLOOKUP(Customer[[#This Row],[Customer ID]],[1]!Address[ID],[1]!Address[Zone])</f>
        <v>NORTH</v>
      </c>
    </row>
    <row r="927" spans="1:29" x14ac:dyDescent="0.3">
      <c r="A927" s="46" t="s">
        <v>6476</v>
      </c>
      <c r="B927" s="24" t="str">
        <f>_xlfn.XLOOKUP(Customer[[#This Row],[Customer ID]],[1]!Name[ID],[1]!Name[Description(1)])</f>
        <v>CUSTOMER ONLINE ROSMAWATI</v>
      </c>
      <c r="C927" s="24" t="str">
        <f>_xlfn.XLOOKUP(Customer[[#This Row],[Customer ID]],[1]!Name[ID],[1]!Name[Description(2)])</f>
        <v/>
      </c>
      <c r="D927" s="38" t="str">
        <f>_xlfn.XLOOKUP(Customer[[#This Row],[Customer ID]],[1]!Address[ID],[1]!Address[PIC])</f>
        <v/>
      </c>
      <c r="E927" s="38" t="str">
        <f>_xlfn.XLOOKUP(Customer[[#This Row],[Customer ID]],[1]!Address[ID],[1]!Address[Full Address])</f>
        <v/>
      </c>
      <c r="F927" s="12" t="s">
        <v>36</v>
      </c>
      <c r="G927" s="12" t="s">
        <v>36</v>
      </c>
      <c r="H927" s="12" t="s">
        <v>36</v>
      </c>
      <c r="I927" s="12" t="b">
        <f>ISNUMBER(VALUE(LEFT(Customer[[#This Row],[Address Line 3 (30 char)]],1)))</f>
        <v>0</v>
      </c>
      <c r="J927" s="24"/>
      <c r="K927" s="24"/>
      <c r="L927" s="12" t="s">
        <v>35</v>
      </c>
      <c r="M927" s="13" t="e">
        <v>#N/A</v>
      </c>
      <c r="N927" s="14" t="e">
        <v>#N/A</v>
      </c>
      <c r="O927" s="14" t="e">
        <v>#N/A</v>
      </c>
      <c r="P927" s="14" t="e">
        <v>#N/A</v>
      </c>
      <c r="Q927" s="14" t="e">
        <v>#N/A</v>
      </c>
      <c r="R927" s="15" t="s">
        <v>36</v>
      </c>
      <c r="S927" s="15" t="s">
        <v>89</v>
      </c>
      <c r="T927" s="16" t="s">
        <v>89</v>
      </c>
      <c r="U927" s="11" t="str">
        <f>_xlfn.XLOOKUP(Customer[[#This Row],[Customer ID]],[1]!Address[ID],[1]!Address[Phone No.(2)])</f>
        <v/>
      </c>
      <c r="V927" s="11" t="str">
        <f>_xlfn.XLOOKUP(Customer[[#This Row],[Customer ID]],[1]!Address[ID],[1]!Address[Type])</f>
        <v>SOCMED</v>
      </c>
      <c r="W927" s="11" t="str">
        <f>_xlfn.XLOOKUP(Customer[[#This Row],[Customer ID]],[1]!Address[ID],[1]!Address[CT])</f>
        <v/>
      </c>
      <c r="X927" s="11"/>
      <c r="Y927" s="17" t="s">
        <v>90</v>
      </c>
      <c r="Z927" s="17" t="e">
        <f>_xlfn.XLOOKUP(Customer[[#This Row],[NewType]],$AF$36:$AF$54,$AG$36:$AG$54)</f>
        <v>#N/A</v>
      </c>
      <c r="AA927" s="17" t="s">
        <v>6477</v>
      </c>
      <c r="AB927" s="11" t="str">
        <f>_xlfn.XLOOKUP(Customer[[#This Row],[Customer ID]],[1]!Address[ID],[1]!Address[Subtype])</f>
        <v>ONLINE ROS</v>
      </c>
      <c r="AC927" s="18" t="str">
        <f>_xlfn.XLOOKUP(Customer[[#This Row],[Customer ID]],[1]!Address[ID],[1]!Address[Zone])</f>
        <v>EEEDH</v>
      </c>
    </row>
    <row r="928" spans="1:29" x14ac:dyDescent="0.3">
      <c r="A928" s="10" t="s">
        <v>6478</v>
      </c>
      <c r="B928" s="11" t="str">
        <f>_xlfn.XLOOKUP(Customer[[#This Row],[Customer ID]],[1]!Name[ID],[1]!Name[Description(1)])</f>
        <v>NENEK FATIMAH</v>
      </c>
      <c r="C928" s="32" t="str">
        <f>_xlfn.XLOOKUP(Customer[[#This Row],[Customer ID]],[1]!Name[ID],[1]!Name[Description(2)])</f>
        <v/>
      </c>
      <c r="D928" s="38" t="str">
        <f>_xlfn.XLOOKUP(Customer[[#This Row],[Customer ID]],[1]!Address[ID],[1]!Address[PIC])</f>
        <v/>
      </c>
      <c r="E928" s="38" t="str">
        <f>_xlfn.XLOOKUP(Customer[[#This Row],[Customer ID]],[1]!Address[ID],[1]!Address[Full Address])</f>
        <v>NO 78 TAMAN RANTAU</v>
      </c>
      <c r="F928" s="12" t="s">
        <v>6479</v>
      </c>
      <c r="G928" s="12" t="s">
        <v>36</v>
      </c>
      <c r="H928" s="12" t="s">
        <v>36</v>
      </c>
      <c r="I928" s="12" t="b">
        <f>ISNUMBER(VALUE(LEFT(Customer[[#This Row],[Address Line 3 (30 char)]],1)))</f>
        <v>0</v>
      </c>
      <c r="J928" s="32"/>
      <c r="K928" s="32"/>
      <c r="L928" s="12" t="s">
        <v>35</v>
      </c>
      <c r="M928" s="13" t="e">
        <v>#N/A</v>
      </c>
      <c r="N928" s="14" t="e">
        <v>#N/A</v>
      </c>
      <c r="O928" s="14" t="e">
        <v>#N/A</v>
      </c>
      <c r="P928" s="14" t="e">
        <v>#N/A</v>
      </c>
      <c r="Q928" s="14" t="e">
        <v>#N/A</v>
      </c>
      <c r="R928" s="15" t="s">
        <v>6480</v>
      </c>
      <c r="S928" s="15" t="s">
        <v>89</v>
      </c>
      <c r="T928" s="16" t="s">
        <v>89</v>
      </c>
      <c r="U928" s="11" t="str">
        <f>_xlfn.XLOOKUP(Customer[[#This Row],[Customer ID]],[1]!Address[ID],[1]!Address[Phone No.(2)])</f>
        <v/>
      </c>
      <c r="V928" s="11" t="str">
        <f>_xlfn.XLOOKUP(Customer[[#This Row],[Customer ID]],[1]!Address[ID],[1]!Address[Type])</f>
        <v>WHATSAPP</v>
      </c>
      <c r="W928" s="11" t="str">
        <f>_xlfn.XLOOKUP(Customer[[#This Row],[Customer ID]],[1]!Address[ID],[1]!Address[CT])</f>
        <v/>
      </c>
      <c r="X928" s="11"/>
      <c r="Y928" s="17" t="s">
        <v>90</v>
      </c>
      <c r="Z928" s="17" t="e">
        <f>_xlfn.XLOOKUP(Customer[[#This Row],[NewType]],$AF$36:$AF$54,$AG$36:$AG$54)</f>
        <v>#N/A</v>
      </c>
      <c r="AA928" s="17" t="s">
        <v>6481</v>
      </c>
      <c r="AB928" s="11" t="str">
        <f>_xlfn.XLOOKUP(Customer[[#This Row],[Customer ID]],[1]!Address[ID],[1]!Address[Subtype])</f>
        <v>WHATSAPP</v>
      </c>
      <c r="AC928" s="18" t="str">
        <f>_xlfn.XLOOKUP(Customer[[#This Row],[Customer ID]],[1]!Address[ID],[1]!Address[Zone])</f>
        <v>ASPH</v>
      </c>
    </row>
    <row r="929" spans="1:30" x14ac:dyDescent="0.3">
      <c r="A929" s="45" t="s">
        <v>6482</v>
      </c>
      <c r="B929" s="32" t="str">
        <f>_xlfn.XLOOKUP(Customer[[#This Row],[Customer ID]],[1]!Name[ID],[1]!Name[Description(1)])</f>
        <v>SANIAH BINTI MAT BAHAR</v>
      </c>
      <c r="C929" s="32" t="str">
        <f>_xlfn.XLOOKUP(Customer[[#This Row],[Customer ID]],[1]!Name[ID],[1]!Name[Description(2)])</f>
        <v/>
      </c>
      <c r="D929" s="38" t="str">
        <f>_xlfn.XLOOKUP(Customer[[#This Row],[Customer ID]],[1]!Address[ID],[1]!Address[PIC])</f>
        <v/>
      </c>
      <c r="E929" s="38" t="str">
        <f>_xlfn.XLOOKUP(Customer[[#This Row],[Customer ID]],[1]!Address[ID],[1]!Address[Full Address])</f>
        <v>NO 25, KG ULU LALANG</v>
      </c>
      <c r="F929" s="12" t="s">
        <v>6483</v>
      </c>
      <c r="G929" s="12" t="s">
        <v>36</v>
      </c>
      <c r="H929" s="12" t="s">
        <v>36</v>
      </c>
      <c r="I929" s="12" t="b">
        <f>ISNUMBER(VALUE(LEFT(Customer[[#This Row],[Address Line 3 (30 char)]],1)))</f>
        <v>0</v>
      </c>
      <c r="J929" s="32"/>
      <c r="K929" s="32"/>
      <c r="L929" s="12" t="s">
        <v>35</v>
      </c>
      <c r="M929" s="13" t="e">
        <v>#N/A</v>
      </c>
      <c r="N929" s="14" t="e">
        <v>#N/A</v>
      </c>
      <c r="O929" s="14" t="e">
        <v>#N/A</v>
      </c>
      <c r="P929" s="14" t="e">
        <v>#N/A</v>
      </c>
      <c r="Q929" s="14" t="e">
        <v>#N/A</v>
      </c>
      <c r="R929" s="15" t="s">
        <v>6484</v>
      </c>
      <c r="S929" s="16" t="s">
        <v>6283</v>
      </c>
      <c r="T929" s="16"/>
      <c r="U929" s="11" t="str">
        <f>_xlfn.XLOOKUP(Customer[[#This Row],[Customer ID]],[1]!Address[ID],[1]!Address[Phone No.(2)])</f>
        <v/>
      </c>
      <c r="V929" s="11" t="str">
        <f>_xlfn.XLOOKUP(Customer[[#This Row],[Customer ID]],[1]!Address[ID],[1]!Address[Type])</f>
        <v>WALK IN</v>
      </c>
      <c r="W929" s="11" t="str">
        <f>_xlfn.XLOOKUP(Customer[[#This Row],[Customer ID]],[1]!Address[ID],[1]!Address[CT])</f>
        <v/>
      </c>
      <c r="X929" s="11"/>
      <c r="Y929" s="17" t="s">
        <v>6284</v>
      </c>
      <c r="Z929" s="17" t="e">
        <f>_xlfn.XLOOKUP(Customer[[#This Row],[NewType]],$AF$36:$AF$54,$AG$36:$AG$54)</f>
        <v>#N/A</v>
      </c>
      <c r="AA929" s="17" t="s">
        <v>6485</v>
      </c>
      <c r="AB929" s="11" t="str">
        <f>_xlfn.XLOOKUP(Customer[[#This Row],[Customer ID]],[1]!Address[ID],[1]!Address[Subtype])</f>
        <v>RANTAU</v>
      </c>
      <c r="AC929" s="18" t="str">
        <f>_xlfn.XLOOKUP(Customer[[#This Row],[Customer ID]],[1]!Address[ID],[1]!Address[Zone])</f>
        <v>CENTRAL</v>
      </c>
    </row>
    <row r="930" spans="1:30" x14ac:dyDescent="0.3">
      <c r="A930" s="45" t="s">
        <v>6486</v>
      </c>
      <c r="B930" s="32" t="str">
        <f>_xlfn.XLOOKUP(Customer[[#This Row],[Customer ID]],[1]!Name[ID],[1]!Name[Description(1)])</f>
        <v>NORAINI/PAKCIK ROBERT</v>
      </c>
      <c r="C930" s="32" t="str">
        <f>_xlfn.XLOOKUP(Customer[[#This Row],[Customer ID]],[1]!Name[ID],[1]!Name[Description(2)])</f>
        <v/>
      </c>
      <c r="D930" s="38" t="str">
        <f>_xlfn.XLOOKUP(Customer[[#This Row],[Customer ID]],[1]!Address[ID],[1]!Address[PIC])</f>
        <v/>
      </c>
      <c r="E930" s="38" t="str">
        <f>_xlfn.XLOOKUP(Customer[[#This Row],[Customer ID]],[1]!Address[ID],[1]!Address[Full Address])</f>
        <v>KG MASJID SOLOK</v>
      </c>
      <c r="F930" s="12" t="s">
        <v>6487</v>
      </c>
      <c r="G930" s="12" t="s">
        <v>36</v>
      </c>
      <c r="H930" s="12" t="s">
        <v>36</v>
      </c>
      <c r="I930" s="12" t="b">
        <f>ISNUMBER(VALUE(LEFT(Customer[[#This Row],[Address Line 3 (30 char)]],1)))</f>
        <v>0</v>
      </c>
      <c r="J930" s="32"/>
      <c r="K930" s="32"/>
      <c r="L930" s="12" t="s">
        <v>35</v>
      </c>
      <c r="M930" s="13" t="e">
        <v>#N/A</v>
      </c>
      <c r="N930" s="14" t="e">
        <v>#N/A</v>
      </c>
      <c r="O930" s="14" t="e">
        <v>#N/A</v>
      </c>
      <c r="P930" s="14" t="e">
        <v>#N/A</v>
      </c>
      <c r="Q930" s="14" t="e">
        <v>#N/A</v>
      </c>
      <c r="R930" s="15" t="s">
        <v>6488</v>
      </c>
      <c r="S930" s="16" t="s">
        <v>6283</v>
      </c>
      <c r="T930" s="16"/>
      <c r="U930" s="11" t="str">
        <f>_xlfn.XLOOKUP(Customer[[#This Row],[Customer ID]],[1]!Address[ID],[1]!Address[Phone No.(2)])</f>
        <v/>
      </c>
      <c r="V930" s="11" t="str">
        <f>_xlfn.XLOOKUP(Customer[[#This Row],[Customer ID]],[1]!Address[ID],[1]!Address[Type])</f>
        <v>WALK IN</v>
      </c>
      <c r="W930" s="11" t="str">
        <f>_xlfn.XLOOKUP(Customer[[#This Row],[Customer ID]],[1]!Address[ID],[1]!Address[CT])</f>
        <v/>
      </c>
      <c r="X930" s="11"/>
      <c r="Y930" s="17" t="s">
        <v>6284</v>
      </c>
      <c r="Z930" s="17" t="e">
        <f>_xlfn.XLOOKUP(Customer[[#This Row],[NewType]],$AF$36:$AF$54,$AG$36:$AG$54)</f>
        <v>#N/A</v>
      </c>
      <c r="AA930" s="17" t="s">
        <v>6489</v>
      </c>
      <c r="AB930" s="11" t="str">
        <f>_xlfn.XLOOKUP(Customer[[#This Row],[Customer ID]],[1]!Address[ID],[1]!Address[Subtype])</f>
        <v>RANTAU</v>
      </c>
      <c r="AC930" s="18" t="str">
        <f>_xlfn.XLOOKUP(Customer[[#This Row],[Customer ID]],[1]!Address[ID],[1]!Address[Zone])</f>
        <v>U H</v>
      </c>
    </row>
    <row r="931" spans="1:30" x14ac:dyDescent="0.3">
      <c r="A931" s="45" t="s">
        <v>6490</v>
      </c>
      <c r="B931" s="32" t="str">
        <f>_xlfn.XLOOKUP(Customer[[#This Row],[Customer ID]],[1]!Name[ID],[1]!Name[Description(1)])</f>
        <v>NURMUNIRAH</v>
      </c>
      <c r="C931" s="32" t="str">
        <f>_xlfn.XLOOKUP(Customer[[#This Row],[Customer ID]],[1]!Name[ID],[1]!Name[Description(2)])</f>
        <v/>
      </c>
      <c r="D931" s="38" t="str">
        <f>_xlfn.XLOOKUP(Customer[[#This Row],[Customer ID]],[1]!Address[ID],[1]!Address[PIC])</f>
        <v/>
      </c>
      <c r="E931" s="38" t="str">
        <f>_xlfn.XLOOKUP(Customer[[#This Row],[Customer ID]],[1]!Address[ID],[1]!Address[Full Address])</f>
        <v>KG TANJUNG</v>
      </c>
      <c r="F931" s="12" t="s">
        <v>6491</v>
      </c>
      <c r="G931" s="12" t="s">
        <v>36</v>
      </c>
      <c r="H931" s="12" t="s">
        <v>36</v>
      </c>
      <c r="I931" s="12" t="b">
        <f>ISNUMBER(VALUE(LEFT(Customer[[#This Row],[Address Line 3 (30 char)]],1)))</f>
        <v>0</v>
      </c>
      <c r="J931" s="32"/>
      <c r="K931" s="32"/>
      <c r="L931" s="12" t="s">
        <v>35</v>
      </c>
      <c r="M931" s="13" t="e">
        <v>#N/A</v>
      </c>
      <c r="N931" s="14" t="e">
        <v>#N/A</v>
      </c>
      <c r="O931" s="14" t="e">
        <v>#N/A</v>
      </c>
      <c r="P931" s="14" t="e">
        <v>#N/A</v>
      </c>
      <c r="Q931" s="14" t="e">
        <v>#N/A</v>
      </c>
      <c r="R931" s="15" t="s">
        <v>6492</v>
      </c>
      <c r="S931" s="16" t="s">
        <v>6283</v>
      </c>
      <c r="T931" s="16"/>
      <c r="U931" s="11" t="str">
        <f>_xlfn.XLOOKUP(Customer[[#This Row],[Customer ID]],[1]!Address[ID],[1]!Address[Phone No.(2)])</f>
        <v/>
      </c>
      <c r="V931" s="11" t="str">
        <f>_xlfn.XLOOKUP(Customer[[#This Row],[Customer ID]],[1]!Address[ID],[1]!Address[Type])</f>
        <v>WALK IN</v>
      </c>
      <c r="W931" s="11" t="str">
        <f>_xlfn.XLOOKUP(Customer[[#This Row],[Customer ID]],[1]!Address[ID],[1]!Address[CT])</f>
        <v/>
      </c>
      <c r="X931" s="11"/>
      <c r="Y931" s="17" t="s">
        <v>6284</v>
      </c>
      <c r="Z931" s="17" t="e">
        <f>_xlfn.XLOOKUP(Customer[[#This Row],[NewType]],$AF$36:$AF$54,$AG$36:$AG$54)</f>
        <v>#N/A</v>
      </c>
      <c r="AA931" s="17" t="s">
        <v>6493</v>
      </c>
      <c r="AB931" s="11" t="str">
        <f>_xlfn.XLOOKUP(Customer[[#This Row],[Customer ID]],[1]!Address[ID],[1]!Address[Subtype])</f>
        <v>RANTAU</v>
      </c>
      <c r="AC931" s="18" t="str">
        <f>_xlfn.XLOOKUP(Customer[[#This Row],[Customer ID]],[1]!Address[ID],[1]!Address[Zone])</f>
        <v>U H</v>
      </c>
    </row>
    <row r="932" spans="1:30" x14ac:dyDescent="0.3">
      <c r="A932" s="37" t="s">
        <v>6494</v>
      </c>
      <c r="B932" s="38" t="str">
        <f>_xlfn.XLOOKUP(Customer[[#This Row],[Customer ID]],[1]!Name[ID],[1]!Name[Description(1)])</f>
        <v>WIRAWANG SDN BHD</v>
      </c>
      <c r="C932" s="38" t="str">
        <f>_xlfn.XLOOKUP(Customer[[#This Row],[Customer ID]],[1]!Name[ID],[1]!Name[Description(2)])</f>
        <v>CALTEX KAMPUNG BARU SUBANG</v>
      </c>
      <c r="D932" s="38" t="str">
        <f>_xlfn.XLOOKUP(Customer[[#This Row],[Customer ID]],[1]!Address[ID],[1]!Address[PIC])</f>
        <v/>
      </c>
      <c r="E932" s="38" t="str">
        <f>_xlfn.XLOOKUP(Customer[[#This Row],[Customer ID]],[1]!Address[ID],[1]!Address[Full Address])</f>
        <v>CALTEX KAMPUNG BARU SUBANGLOT 4216 JALAN BESAR,KAMPUNG BARU SUBANG,40150 SHAH ALAM, SELANGOR</v>
      </c>
      <c r="F932" s="12" t="s">
        <v>6495</v>
      </c>
      <c r="G932" s="12" t="s">
        <v>6496</v>
      </c>
      <c r="H932" s="12" t="s">
        <v>6497</v>
      </c>
      <c r="I932" s="12" t="b">
        <f>ISNUMBER(VALUE(LEFT(Customer[[#This Row],[Address Line 3 (30 char)]],1)))</f>
        <v>0</v>
      </c>
      <c r="J932" s="12" t="s">
        <v>1907</v>
      </c>
      <c r="K932" s="12">
        <v>40150</v>
      </c>
      <c r="L932" s="12" t="s">
        <v>35</v>
      </c>
      <c r="M932" s="13" t="e">
        <v>#N/A</v>
      </c>
      <c r="N932" s="14" t="e">
        <v>#N/A</v>
      </c>
      <c r="O932" s="14" t="e">
        <v>#N/A</v>
      </c>
      <c r="P932" s="14" t="e">
        <v>#N/A</v>
      </c>
      <c r="Q932" s="14" t="e">
        <v>#N/A</v>
      </c>
      <c r="R932" s="15" t="s">
        <v>36</v>
      </c>
      <c r="S932" s="15" t="s">
        <v>37</v>
      </c>
      <c r="T932" s="16" t="s">
        <v>38</v>
      </c>
      <c r="U932" s="11" t="str">
        <f>_xlfn.XLOOKUP(Customer[[#This Row],[Customer ID]],[1]!Address[ID],[1]!Address[Phone No.(2)])</f>
        <v/>
      </c>
      <c r="V932" s="11" t="str">
        <f>_xlfn.XLOOKUP(Customer[[#This Row],[Customer ID]],[1]!Address[ID],[1]!Address[Type])</f>
        <v>PETROMART</v>
      </c>
      <c r="W932" s="11" t="str">
        <f>_xlfn.XLOOKUP(Customer[[#This Row],[Customer ID]],[1]!Address[ID],[1]!Address[CT])</f>
        <v>30 DAYS</v>
      </c>
      <c r="X932" s="11" t="s">
        <v>39</v>
      </c>
      <c r="Y932" s="17" t="s">
        <v>40</v>
      </c>
      <c r="Z932" s="17" t="e">
        <f>_xlfn.XLOOKUP(Customer[[#This Row],[NewType]],$AF$36:$AF$54,$AG$36:$AG$54)</f>
        <v>#N/A</v>
      </c>
      <c r="AA932" s="17" t="s">
        <v>6498</v>
      </c>
      <c r="AB932" s="11" t="str">
        <f>_xlfn.XLOOKUP(Customer[[#This Row],[Customer ID]],[1]!Address[ID],[1]!Address[Subtype])</f>
        <v>CALTEX</v>
      </c>
      <c r="AC932" s="18" t="str">
        <f>_xlfn.XLOOKUP(Customer[[#This Row],[Customer ID]],[1]!Address[ID],[1]!Address[Zone])</f>
        <v>CENTRAL</v>
      </c>
    </row>
    <row r="933" spans="1:30" x14ac:dyDescent="0.3">
      <c r="A933" s="45" t="s">
        <v>6499</v>
      </c>
      <c r="B933" s="32" t="str">
        <f>_xlfn.XLOOKUP(Customer[[#This Row],[Customer ID]],[1]!Name[ID],[1]!Name[Description(1)])</f>
        <v>MUHAMMAD KHALIF</v>
      </c>
      <c r="C933" s="32" t="str">
        <f>_xlfn.XLOOKUP(Customer[[#This Row],[Customer ID]],[1]!Name[ID],[1]!Name[Description(2)])</f>
        <v/>
      </c>
      <c r="D933" s="38" t="str">
        <f>_xlfn.XLOOKUP(Customer[[#This Row],[Customer ID]],[1]!Address[ID],[1]!Address[PIC])</f>
        <v/>
      </c>
      <c r="E933" s="38" t="str">
        <f>_xlfn.XLOOKUP(Customer[[#This Row],[Customer ID]],[1]!Address[ID],[1]!Address[Full Address])</f>
        <v/>
      </c>
      <c r="F933" s="12" t="s">
        <v>36</v>
      </c>
      <c r="G933" s="12" t="s">
        <v>36</v>
      </c>
      <c r="H933" s="12" t="s">
        <v>36</v>
      </c>
      <c r="I933" s="12" t="b">
        <f>ISNUMBER(VALUE(LEFT(Customer[[#This Row],[Address Line 3 (30 char)]],1)))</f>
        <v>0</v>
      </c>
      <c r="J933" s="32"/>
      <c r="K933" s="32"/>
      <c r="L933" s="12" t="s">
        <v>35</v>
      </c>
      <c r="M933" s="13" t="e">
        <v>#N/A</v>
      </c>
      <c r="N933" s="14" t="e">
        <v>#N/A</v>
      </c>
      <c r="O933" s="14" t="e">
        <v>#N/A</v>
      </c>
      <c r="P933" s="14" t="e">
        <v>#N/A</v>
      </c>
      <c r="Q933" s="14" t="e">
        <v>#N/A</v>
      </c>
      <c r="R933" s="15" t="s">
        <v>6500</v>
      </c>
      <c r="S933" s="16" t="s">
        <v>6283</v>
      </c>
      <c r="T933" s="16"/>
      <c r="U933" s="11" t="str">
        <f>_xlfn.XLOOKUP(Customer[[#This Row],[Customer ID]],[1]!Address[ID],[1]!Address[Phone No.(2)])</f>
        <v/>
      </c>
      <c r="V933" s="11" t="str">
        <f>_xlfn.XLOOKUP(Customer[[#This Row],[Customer ID]],[1]!Address[ID],[1]!Address[Type])</f>
        <v>WALK IN</v>
      </c>
      <c r="W933" s="11" t="str">
        <f>_xlfn.XLOOKUP(Customer[[#This Row],[Customer ID]],[1]!Address[ID],[1]!Address[CT])</f>
        <v/>
      </c>
      <c r="X933" s="11"/>
      <c r="Y933" s="17" t="s">
        <v>6284</v>
      </c>
      <c r="Z933" s="17" t="e">
        <f>_xlfn.XLOOKUP(Customer[[#This Row],[NewType]],$AF$36:$AF$54,$AG$36:$AG$54)</f>
        <v>#N/A</v>
      </c>
      <c r="AA933" s="17" t="s">
        <v>6501</v>
      </c>
      <c r="AB933" s="11" t="str">
        <f>_xlfn.XLOOKUP(Customer[[#This Row],[Customer ID]],[1]!Address[ID],[1]!Address[Subtype])</f>
        <v>RANTAU</v>
      </c>
      <c r="AC933" s="18" t="str">
        <f>_xlfn.XLOOKUP(Customer[[#This Row],[Customer ID]],[1]!Address[ID],[1]!Address[Zone])</f>
        <v>U H</v>
      </c>
    </row>
    <row r="934" spans="1:30" x14ac:dyDescent="0.3">
      <c r="A934" s="37" t="s">
        <v>6502</v>
      </c>
      <c r="B934" s="38" t="str">
        <f>_xlfn.XLOOKUP(Customer[[#This Row],[Customer ID]],[1]!Name[ID],[1]!Name[Description(1)])</f>
        <v>FARMASI RAWDAH</v>
      </c>
      <c r="C934" s="38" t="str">
        <f>_xlfn.XLOOKUP(Customer[[#This Row],[Customer ID]],[1]!Name[ID],[1]!Name[Description(2)])</f>
        <v>FD PHARMAHEALTH ENTE</v>
      </c>
      <c r="D934" s="38" t="str">
        <f>_xlfn.XLOOKUP(Customer[[#This Row],[Customer ID]],[1]!Address[ID],[1]!Address[PIC])</f>
        <v/>
      </c>
      <c r="E934" s="38" t="str">
        <f>_xlfn.XLOOKUP(Customer[[#This Row],[Customer ID]],[1]!Address[ID],[1]!Address[Full Address])</f>
        <v>NO. 49, JALAN TIMUR 6/1B,TIMUR @ ENSTEK,71760 BANDAR ENSTEK,NEGERI SEMBILAN</v>
      </c>
      <c r="F934" s="12" t="s">
        <v>6503</v>
      </c>
      <c r="G934" s="12" t="s">
        <v>6504</v>
      </c>
      <c r="H934" s="24" t="s">
        <v>6505</v>
      </c>
      <c r="I934" s="24" t="b">
        <f>ISNUMBER(VALUE(LEFT(Customer[[#This Row],[Address Line 3 (30 char)]],1)))</f>
        <v>0</v>
      </c>
      <c r="J934" s="12" t="s">
        <v>2004</v>
      </c>
      <c r="K934" s="12">
        <v>71760</v>
      </c>
      <c r="L934" s="12" t="s">
        <v>35</v>
      </c>
      <c r="M934" s="13" t="e">
        <v>#N/A</v>
      </c>
      <c r="N934" s="14" t="e">
        <v>#N/A</v>
      </c>
      <c r="O934" s="14" t="e">
        <v>#N/A</v>
      </c>
      <c r="P934" s="14" t="e">
        <v>#N/A</v>
      </c>
      <c r="Q934" s="14" t="e">
        <v>#N/A</v>
      </c>
      <c r="R934" s="15" t="s">
        <v>6506</v>
      </c>
      <c r="S934" s="15" t="s">
        <v>88</v>
      </c>
      <c r="T934" s="16" t="s">
        <v>89</v>
      </c>
      <c r="U934" s="11" t="str">
        <f>_xlfn.XLOOKUP(Customer[[#This Row],[Customer ID]],[1]!Address[ID],[1]!Address[Phone No.(2)])</f>
        <v/>
      </c>
      <c r="V934" s="11" t="str">
        <f>_xlfn.XLOOKUP(Customer[[#This Row],[Customer ID]],[1]!Address[ID],[1]!Address[Type])</f>
        <v>SOCMED</v>
      </c>
      <c r="W934" s="11" t="str">
        <f>_xlfn.XLOOKUP(Customer[[#This Row],[Customer ID]],[1]!Address[ID],[1]!Address[CT])</f>
        <v/>
      </c>
      <c r="X934" s="11"/>
      <c r="Y934" s="17" t="s">
        <v>90</v>
      </c>
      <c r="Z934" s="17" t="e">
        <f>_xlfn.XLOOKUP(Customer[[#This Row],[NewType]],$AF$36:$AF$54,$AG$36:$AG$54)</f>
        <v>#N/A</v>
      </c>
      <c r="AA934" s="17" t="s">
        <v>6507</v>
      </c>
      <c r="AB934" s="11" t="str">
        <f>_xlfn.XLOOKUP(Customer[[#This Row],[Customer ID]],[1]!Address[ID],[1]!Address[Subtype])</f>
        <v>ONLINE ROS</v>
      </c>
      <c r="AC934" s="18" t="str">
        <f>_xlfn.XLOOKUP(Customer[[#This Row],[Customer ID]],[1]!Address[ID],[1]!Address[Zone])</f>
        <v>CENTRAL</v>
      </c>
    </row>
    <row r="935" spans="1:30" x14ac:dyDescent="0.3">
      <c r="A935" s="48" t="s">
        <v>6508</v>
      </c>
      <c r="B935" s="49" t="str">
        <f>_xlfn.XLOOKUP(Customer[[#This Row],[Customer ID]],[1]!Name[ID],[1]!Name[Description(1)])</f>
        <v>MUHAMMAD SAFAROV</v>
      </c>
      <c r="C935" s="50" t="str">
        <f>_xlfn.XLOOKUP(Customer[[#This Row],[Customer ID]],[1]!Name[ID],[1]!Name[Description(2)])</f>
        <v/>
      </c>
      <c r="D935" s="50" t="str">
        <f>_xlfn.XLOOKUP(Customer[[#This Row],[Customer ID]],[1]!Address[ID],[1]!Address[PIC])</f>
        <v/>
      </c>
      <c r="E935" s="38" t="str">
        <f>_xlfn.XLOOKUP(Customer[[#This Row],[Customer ID]],[1]!Address[ID],[1]!Address[Full Address])</f>
        <v>NO 524 , JALAN 6 , TAMAN AMPANG UTAMA,68000 AMPANG, SELANGOR, KUALA LUMPUR</v>
      </c>
      <c r="F935" s="12" t="s">
        <v>6509</v>
      </c>
      <c r="G935" s="12" t="s">
        <v>6510</v>
      </c>
      <c r="H935" s="12" t="s">
        <v>6511</v>
      </c>
      <c r="I935" s="12" t="b">
        <f>ISNUMBER(VALUE(LEFT(Customer[[#This Row],[Address Line 3 (30 char)]],1)))</f>
        <v>0</v>
      </c>
      <c r="J935" s="12" t="s">
        <v>172</v>
      </c>
      <c r="K935" s="12">
        <v>68000</v>
      </c>
      <c r="L935" s="12" t="s">
        <v>35</v>
      </c>
      <c r="M935" s="13" t="e">
        <v>#N/A</v>
      </c>
      <c r="N935" s="14" t="e">
        <v>#N/A</v>
      </c>
      <c r="O935" s="14" t="e">
        <v>#N/A</v>
      </c>
      <c r="P935" s="14" t="e">
        <v>#N/A</v>
      </c>
      <c r="Q935" s="14" t="e">
        <v>#N/A</v>
      </c>
      <c r="R935" s="51" t="s">
        <v>6512</v>
      </c>
      <c r="S935" s="51" t="s">
        <v>6418</v>
      </c>
      <c r="T935" s="52" t="s">
        <v>3477</v>
      </c>
      <c r="U935" s="49" t="str">
        <f>_xlfn.XLOOKUP(Customer[[#This Row],[Customer ID]],[1]!Address[ID],[1]!Address[Phone No.(2)])</f>
        <v/>
      </c>
      <c r="V935" s="49" t="str">
        <f>_xlfn.XLOOKUP(Customer[[#This Row],[Customer ID]],[1]!Address[ID],[1]!Address[Type])</f>
        <v>SOCMED</v>
      </c>
      <c r="W935" s="49" t="str">
        <f>_xlfn.XLOOKUP(Customer[[#This Row],[Customer ID]],[1]!Address[ID],[1]!Address[CT])</f>
        <v>CASH</v>
      </c>
      <c r="X935" s="49"/>
      <c r="Y935" s="53" t="s">
        <v>90</v>
      </c>
      <c r="Z935" s="53" t="e">
        <f>_xlfn.XLOOKUP(Customer[[#This Row],[NewType]],$AF$36:$AF$54,$AG$36:$AG$54)</f>
        <v>#N/A</v>
      </c>
      <c r="AA935" s="53" t="s">
        <v>6513</v>
      </c>
      <c r="AB935" s="49" t="str">
        <f>_xlfn.XLOOKUP(Customer[[#This Row],[Customer ID]],[1]!Address[ID],[1]!Address[Subtype])</f>
        <v>WHATSAPP</v>
      </c>
      <c r="AC935" s="54" t="str">
        <f>_xlfn.XLOOKUP(Customer[[#This Row],[Customer ID]],[1]!Address[ID],[1]!Address[Zone])</f>
        <v>CENTRAL</v>
      </c>
      <c r="AD935" s="55"/>
    </row>
    <row r="936" spans="1:30" x14ac:dyDescent="0.3">
      <c r="A936" s="37" t="s">
        <v>6514</v>
      </c>
      <c r="B936" s="38" t="str">
        <f>_xlfn.XLOOKUP(Customer[[#This Row],[Customer ID]],[1]!Name[ID],[1]!Name[Description(1)])</f>
        <v>FJ GLOBAL AEROPARTS (M) SDN BHD</v>
      </c>
      <c r="C936" s="38" t="str">
        <f>_xlfn.XLOOKUP(Customer[[#This Row],[Customer ID]],[1]!Name[ID],[1]!Name[Description(2)])</f>
        <v/>
      </c>
      <c r="D936" s="38" t="str">
        <f>_xlfn.XLOOKUP(Customer[[#This Row],[Customer ID]],[1]!Address[ID],[1]!Address[PIC])</f>
        <v/>
      </c>
      <c r="E936" s="38" t="str">
        <f>_xlfn.XLOOKUP(Customer[[#This Row],[Customer ID]],[1]!Address[ID],[1]!Address[Full Address])</f>
        <v>NO.38-40, JALAN PULAU LUMUT QU10/Q,SEKSYEN U10, ALAM BUDIMAN PUNCAK ALAM, .</v>
      </c>
      <c r="F936" s="12" t="s">
        <v>6515</v>
      </c>
      <c r="G936" s="12" t="s">
        <v>6516</v>
      </c>
      <c r="H936" s="12" t="s">
        <v>6517</v>
      </c>
      <c r="I936" s="12" t="b">
        <f>ISNUMBER(VALUE(LEFT(Customer[[#This Row],[Address Line 3 (30 char)]],1)))</f>
        <v>0</v>
      </c>
      <c r="J936" s="12" t="s">
        <v>172</v>
      </c>
      <c r="K936" s="12">
        <v>40170</v>
      </c>
      <c r="L936" s="12" t="s">
        <v>35</v>
      </c>
      <c r="M936" s="13" t="e">
        <v>#N/A</v>
      </c>
      <c r="N936" s="14" t="e">
        <v>#N/A</v>
      </c>
      <c r="O936" s="14" t="e">
        <v>#N/A</v>
      </c>
      <c r="P936" s="14" t="e">
        <v>#N/A</v>
      </c>
      <c r="Q936" s="14" t="e">
        <v>#N/A</v>
      </c>
      <c r="R936" s="15" t="s">
        <v>6518</v>
      </c>
      <c r="S936" s="15" t="s">
        <v>5934</v>
      </c>
      <c r="T936" s="16" t="s">
        <v>3477</v>
      </c>
      <c r="U936" s="11" t="str">
        <f>_xlfn.XLOOKUP(Customer[[#This Row],[Customer ID]],[1]!Address[ID],[1]!Address[Phone No.(2)])</f>
        <v/>
      </c>
      <c r="V936" s="11" t="str">
        <f>_xlfn.XLOOKUP(Customer[[#This Row],[Customer ID]],[1]!Address[ID],[1]!Address[Type])</f>
        <v>CORPORATE</v>
      </c>
      <c r="W936" s="11" t="str">
        <f>_xlfn.XLOOKUP(Customer[[#This Row],[Customer ID]],[1]!Address[ID],[1]!Address[CT])</f>
        <v>CASH</v>
      </c>
      <c r="X936" s="11"/>
      <c r="Y936" s="17" t="s">
        <v>6418</v>
      </c>
      <c r="Z936" s="17" t="e">
        <f>_xlfn.XLOOKUP(Customer[[#This Row],[NewType]],$AF$36:$AF$54,$AG$36:$AG$54)</f>
        <v>#N/A</v>
      </c>
      <c r="AA936" s="17" t="s">
        <v>6519</v>
      </c>
      <c r="AB936" s="11" t="str">
        <f>_xlfn.XLOOKUP(Customer[[#This Row],[Customer ID]],[1]!Address[ID],[1]!Address[Subtype])</f>
        <v>FJ GLOBAL</v>
      </c>
      <c r="AC936" s="18" t="str">
        <f>_xlfn.XLOOKUP(Customer[[#This Row],[Customer ID]],[1]!Address[ID],[1]!Address[Zone])</f>
        <v>CENTRAL</v>
      </c>
    </row>
    <row r="937" spans="1:30" x14ac:dyDescent="0.3">
      <c r="A937" s="46" t="s">
        <v>6520</v>
      </c>
      <c r="B937" s="24" t="str">
        <f>_xlfn.XLOOKUP(Customer[[#This Row],[Customer ID]],[1]!Name[ID],[1]!Name[Description(1)])</f>
        <v>STAFF</v>
      </c>
      <c r="C937" s="24" t="str">
        <f>_xlfn.XLOOKUP(Customer[[#This Row],[Customer ID]],[1]!Name[ID],[1]!Name[Description(2)])</f>
        <v/>
      </c>
      <c r="D937" s="38" t="str">
        <f>_xlfn.XLOOKUP(Customer[[#This Row],[Customer ID]],[1]!Address[ID],[1]!Address[PIC])</f>
        <v/>
      </c>
      <c r="E937" s="38" t="str">
        <f>_xlfn.XLOOKUP(Customer[[#This Row],[Customer ID]],[1]!Address[ID],[1]!Address[Full Address])</f>
        <v>BUBBLES O2</v>
      </c>
      <c r="F937" s="12" t="s">
        <v>6521</v>
      </c>
      <c r="G937" s="12" t="s">
        <v>36</v>
      </c>
      <c r="H937" s="12" t="s">
        <v>36</v>
      </c>
      <c r="I937" s="12" t="b">
        <f>ISNUMBER(VALUE(LEFT(Customer[[#This Row],[Address Line 3 (30 char)]],1)))</f>
        <v>0</v>
      </c>
      <c r="J937" s="24"/>
      <c r="K937" s="24"/>
      <c r="L937" s="12" t="s">
        <v>35</v>
      </c>
      <c r="M937" s="13" t="e">
        <v>#N/A</v>
      </c>
      <c r="N937" s="14" t="e">
        <v>#N/A</v>
      </c>
      <c r="O937" s="14" t="e">
        <v>#N/A</v>
      </c>
      <c r="P937" s="14" t="e">
        <v>#N/A</v>
      </c>
      <c r="Q937" s="14" t="e">
        <v>#N/A</v>
      </c>
      <c r="R937" s="15" t="s">
        <v>36</v>
      </c>
      <c r="S937" s="16" t="s">
        <v>89</v>
      </c>
      <c r="T937" s="16" t="s">
        <v>89</v>
      </c>
      <c r="U937" s="11" t="str">
        <f>_xlfn.XLOOKUP(Customer[[#This Row],[Customer ID]],[1]!Address[ID],[1]!Address[Phone No.(2)])</f>
        <v/>
      </c>
      <c r="V937" s="11" t="str">
        <f>_xlfn.XLOOKUP(Customer[[#This Row],[Customer ID]],[1]!Address[ID],[1]!Address[Type])</f>
        <v>WALK IN</v>
      </c>
      <c r="W937" s="11" t="str">
        <f>_xlfn.XLOOKUP(Customer[[#This Row],[Customer ID]],[1]!Address[ID],[1]!Address[CT])</f>
        <v>CASH</v>
      </c>
      <c r="X937" s="11"/>
      <c r="Y937" s="17" t="s">
        <v>6284</v>
      </c>
      <c r="Z937" s="17" t="e">
        <f>_xlfn.XLOOKUP(Customer[[#This Row],[NewType]],$AF$36:$AF$54,$AG$36:$AG$54)</f>
        <v>#N/A</v>
      </c>
      <c r="AA937" s="17" t="s">
        <v>6522</v>
      </c>
      <c r="AB937" s="11" t="str">
        <f>_xlfn.XLOOKUP(Customer[[#This Row],[Customer ID]],[1]!Address[ID],[1]!Address[Subtype])</f>
        <v>STAFF</v>
      </c>
      <c r="AC937" s="18" t="str">
        <f>_xlfn.XLOOKUP(Customer[[#This Row],[Customer ID]],[1]!Address[ID],[1]!Address[Zone])</f>
        <v>A H</v>
      </c>
    </row>
    <row r="938" spans="1:30" x14ac:dyDescent="0.3">
      <c r="A938" s="37" t="s">
        <v>6523</v>
      </c>
      <c r="B938" s="38" t="str">
        <f>_xlfn.XLOOKUP(Customer[[#This Row],[Customer ID]],[1]!Name[ID],[1]!Name[Description(1)])</f>
        <v>RICHIAMO MART-BANGI</v>
      </c>
      <c r="C938" s="38" t="str">
        <f>_xlfn.XLOOKUP(Customer[[#This Row],[Customer ID]],[1]!Name[ID],[1]!Name[Description(2)])</f>
        <v/>
      </c>
      <c r="D938" s="38" t="str">
        <f>_xlfn.XLOOKUP(Customer[[#This Row],[Customer ID]],[1]!Address[ID],[1]!Address[PIC])</f>
        <v>NORDINMAHAMUD</v>
      </c>
      <c r="E938" s="38" t="str">
        <f>_xlfn.XLOOKUP(Customer[[#This Row],[Customer ID]],[1]!Address[ID],[1]!Address[Full Address])</f>
        <v>LOT G-08, PLAZA BANGI PERDANA,JALAN GERBANG WAWASAN 1,SEKSYEN 15, 43650 BANDAR BARU BANGI,SELANGOR</v>
      </c>
      <c r="F938" s="12" t="s">
        <v>6524</v>
      </c>
      <c r="G938" s="12" t="s">
        <v>6525</v>
      </c>
      <c r="H938" s="12" t="s">
        <v>6526</v>
      </c>
      <c r="I938" s="12" t="b">
        <f>ISNUMBER(VALUE(LEFT(Customer[[#This Row],[Address Line 3 (30 char)]],1)))</f>
        <v>0</v>
      </c>
      <c r="J938" s="12" t="s">
        <v>1907</v>
      </c>
      <c r="K938" s="12">
        <v>43650</v>
      </c>
      <c r="L938" s="12" t="s">
        <v>35</v>
      </c>
      <c r="M938" s="13" t="e">
        <v>#N/A</v>
      </c>
      <c r="N938" s="14" t="e">
        <v>#N/A</v>
      </c>
      <c r="O938" s="14" t="e">
        <v>#N/A</v>
      </c>
      <c r="P938" s="14" t="e">
        <v>#N/A</v>
      </c>
      <c r="Q938" s="19" t="s">
        <v>6527</v>
      </c>
      <c r="R938" s="15" t="s">
        <v>6528</v>
      </c>
      <c r="S938" s="15" t="s">
        <v>5925</v>
      </c>
      <c r="T938" s="16" t="s">
        <v>3477</v>
      </c>
      <c r="U938" s="11" t="str">
        <f>_xlfn.XLOOKUP(Customer[[#This Row],[Customer ID]],[1]!Address[ID],[1]!Address[Phone No.(2)])</f>
        <v/>
      </c>
      <c r="V938" s="11" t="str">
        <f>_xlfn.XLOOKUP(Customer[[#This Row],[Customer ID]],[1]!Address[ID],[1]!Address[Type])</f>
        <v>CAFE</v>
      </c>
      <c r="W938" s="11" t="str">
        <f>_xlfn.XLOOKUP(Customer[[#This Row],[Customer ID]],[1]!Address[ID],[1]!Address[CT])</f>
        <v>30 DAYS</v>
      </c>
      <c r="X938" s="11"/>
      <c r="Y938" s="17" t="s">
        <v>5926</v>
      </c>
      <c r="Z938" s="17" t="e">
        <f>_xlfn.XLOOKUP(Customer[[#This Row],[NewType]],$AF$36:$AF$54,$AG$36:$AG$54)</f>
        <v>#N/A</v>
      </c>
      <c r="AA938" s="17" t="s">
        <v>6529</v>
      </c>
      <c r="AB938" s="11" t="str">
        <f>_xlfn.XLOOKUP(Customer[[#This Row],[Customer ID]],[1]!Address[ID],[1]!Address[Subtype])</f>
        <v>RICHIAMO</v>
      </c>
      <c r="AC938" s="18" t="str">
        <f>_xlfn.XLOOKUP(Customer[[#This Row],[Customer ID]],[1]!Address[ID],[1]!Address[Zone])</f>
        <v>MAFEH</v>
      </c>
    </row>
    <row r="939" spans="1:30" x14ac:dyDescent="0.3">
      <c r="A939" s="39" t="s">
        <v>6530</v>
      </c>
      <c r="B939" s="40" t="str">
        <f>_xlfn.XLOOKUP(Customer[[#This Row],[Customer ID]],[1]!Name[ID],[1]!Name[Description(1)])</f>
        <v>MAHANI AALA</v>
      </c>
      <c r="C939" s="38" t="str">
        <f>_xlfn.XLOOKUP(Customer[[#This Row],[Customer ID]],[1]!Name[ID],[1]!Name[Description(2)])</f>
        <v/>
      </c>
      <c r="D939" s="38" t="str">
        <f>_xlfn.XLOOKUP(Customer[[#This Row],[Customer ID]],[1]!Address[ID],[1]!Address[PIC])</f>
        <v/>
      </c>
      <c r="E939" s="38" t="str">
        <f>_xlfn.XLOOKUP(Customer[[#This Row],[Customer ID]],[1]!Address[ID],[1]!Address[Full Address])</f>
        <v>NO 1, KG SEGA 71200 RANTAU</v>
      </c>
      <c r="F939" s="12" t="s">
        <v>6531</v>
      </c>
      <c r="G939" s="12" t="s">
        <v>36</v>
      </c>
      <c r="H939" s="12" t="s">
        <v>36</v>
      </c>
      <c r="I939" s="12" t="b">
        <f>ISNUMBER(VALUE(LEFT(Customer[[#This Row],[Address Line 3 (30 char)]],1)))</f>
        <v>0</v>
      </c>
      <c r="J939" s="12"/>
      <c r="K939" s="12">
        <v>71200</v>
      </c>
      <c r="L939" s="12" t="s">
        <v>35</v>
      </c>
      <c r="M939" s="13" t="e">
        <v>#N/A</v>
      </c>
      <c r="N939" s="14" t="e">
        <v>#N/A</v>
      </c>
      <c r="O939" s="14" t="e">
        <v>#N/A</v>
      </c>
      <c r="P939" s="14" t="e">
        <v>#N/A</v>
      </c>
      <c r="Q939" s="14" t="e">
        <v>#N/A</v>
      </c>
      <c r="R939" s="15" t="s">
        <v>6532</v>
      </c>
      <c r="S939" s="16" t="s">
        <v>6283</v>
      </c>
      <c r="T939" s="16"/>
      <c r="U939" s="11" t="str">
        <f>_xlfn.XLOOKUP(Customer[[#This Row],[Customer ID]],[1]!Address[ID],[1]!Address[Phone No.(2)])</f>
        <v/>
      </c>
      <c r="V939" s="11" t="str">
        <f>_xlfn.XLOOKUP(Customer[[#This Row],[Customer ID]],[1]!Address[ID],[1]!Address[Type])</f>
        <v>WALK IN</v>
      </c>
      <c r="W939" s="11" t="str">
        <f>_xlfn.XLOOKUP(Customer[[#This Row],[Customer ID]],[1]!Address[ID],[1]!Address[CT])</f>
        <v/>
      </c>
      <c r="X939" s="11"/>
      <c r="Y939" s="17" t="s">
        <v>6284</v>
      </c>
      <c r="Z939" s="17" t="e">
        <f>_xlfn.XLOOKUP(Customer[[#This Row],[NewType]],$AF$36:$AF$54,$AG$36:$AG$54)</f>
        <v>#N/A</v>
      </c>
      <c r="AA939" s="17" t="s">
        <v>6533</v>
      </c>
      <c r="AB939" s="11" t="str">
        <f>_xlfn.XLOOKUP(Customer[[#This Row],[Customer ID]],[1]!Address[ID],[1]!Address[Subtype])</f>
        <v>RANTAU</v>
      </c>
      <c r="AC939" s="18" t="str">
        <f>_xlfn.XLOOKUP(Customer[[#This Row],[Customer ID]],[1]!Address[ID],[1]!Address[Zone])</f>
        <v>U H</v>
      </c>
    </row>
    <row r="940" spans="1:30" x14ac:dyDescent="0.3">
      <c r="A940" s="37" t="s">
        <v>6534</v>
      </c>
      <c r="B940" s="38" t="str">
        <f>_xlfn.XLOOKUP(Customer[[#This Row],[Customer ID]],[1]!Name[ID],[1]!Name[Description(1)])</f>
        <v>DISTRIBUTION CENTER KOTA WARISAN</v>
      </c>
      <c r="C940" s="38" t="str">
        <f>_xlfn.XLOOKUP(Customer[[#This Row],[Customer ID]],[1]!Name[ID],[1]!Name[Description(2)])</f>
        <v/>
      </c>
      <c r="D940" s="38" t="str">
        <f>_xlfn.XLOOKUP(Customer[[#This Row],[Customer ID]],[1]!Address[ID],[1]!Address[PIC])</f>
        <v>KAMARUL</v>
      </c>
      <c r="E940" s="38" t="str">
        <f>_xlfn.XLOOKUP(Customer[[#This Row],[Customer ID]],[1]!Address[ID],[1]!Address[Full Address])</f>
        <v>NO.65 JALAN GEMILANG 1,PUSAT PERNIAGAAN GEMILANG43900 SEPANG, SELANGOR</v>
      </c>
      <c r="F940" s="12" t="s">
        <v>6535</v>
      </c>
      <c r="G940" s="12" t="s">
        <v>6536</v>
      </c>
      <c r="H940" s="24" t="s">
        <v>6537</v>
      </c>
      <c r="I940" s="24" t="b">
        <f>ISNUMBER(VALUE(LEFT(Customer[[#This Row],[Address Line 3 (30 char)]],1)))</f>
        <v>0</v>
      </c>
      <c r="J940" s="12" t="s">
        <v>1907</v>
      </c>
      <c r="K940" s="12">
        <v>43900</v>
      </c>
      <c r="L940" s="12" t="s">
        <v>35</v>
      </c>
      <c r="M940" s="13" t="e">
        <v>#N/A</v>
      </c>
      <c r="N940" s="14" t="e">
        <v>#N/A</v>
      </c>
      <c r="O940" s="14" t="e">
        <v>#N/A</v>
      </c>
      <c r="P940" s="14" t="e">
        <v>#N/A</v>
      </c>
      <c r="Q940" s="14" t="e">
        <v>#N/A</v>
      </c>
      <c r="R940" s="15" t="s">
        <v>6159</v>
      </c>
      <c r="S940" s="15" t="s">
        <v>3476</v>
      </c>
      <c r="T940" s="16" t="s">
        <v>3477</v>
      </c>
      <c r="U940" s="11" t="str">
        <f>_xlfn.XLOOKUP(Customer[[#This Row],[Customer ID]],[1]!Address[ID],[1]!Address[Phone No.(2)])</f>
        <v/>
      </c>
      <c r="V940" s="11" t="str">
        <f>_xlfn.XLOOKUP(Customer[[#This Row],[Customer ID]],[1]!Address[ID],[1]!Address[Type])</f>
        <v>CM</v>
      </c>
      <c r="W940" s="11" t="str">
        <f>_xlfn.XLOOKUP(Customer[[#This Row],[Customer ID]],[1]!Address[ID],[1]!Address[CT])</f>
        <v>30 DAYS</v>
      </c>
      <c r="X940" s="11"/>
      <c r="Y940" s="17" t="s">
        <v>5918</v>
      </c>
      <c r="Z940" s="17" t="e">
        <f>_xlfn.XLOOKUP(Customer[[#This Row],[NewType]],$AF$36:$AF$54,$AG$36:$AG$54)</f>
        <v>#N/A</v>
      </c>
      <c r="AA940" s="17" t="s">
        <v>6538</v>
      </c>
      <c r="AB940" s="11" t="str">
        <f>_xlfn.XLOOKUP(Customer[[#This Row],[Customer ID]],[1]!Address[ID],[1]!Address[Subtype])</f>
        <v>THB</v>
      </c>
      <c r="AC940" s="18" t="str">
        <f>_xlfn.XLOOKUP(Customer[[#This Row],[Customer ID]],[1]!Address[ID],[1]!Address[Zone])</f>
        <v>CENTRAL</v>
      </c>
    </row>
    <row r="941" spans="1:30" x14ac:dyDescent="0.3">
      <c r="A941" s="37" t="s">
        <v>6539</v>
      </c>
      <c r="B941" s="38" t="str">
        <f>_xlfn.XLOOKUP(Customer[[#This Row],[Customer ID]],[1]!Name[ID],[1]!Name[Description(1)])</f>
        <v>IMPIAN, SG BULOH</v>
      </c>
      <c r="C941" s="38" t="str">
        <f>_xlfn.XLOOKUP(Customer[[#This Row],[Customer ID]],[1]!Name[ID],[1]!Name[Description(2)])</f>
        <v/>
      </c>
      <c r="D941" s="38" t="str">
        <f>_xlfn.XLOOKUP(Customer[[#This Row],[Customer ID]],[1]!Address[ID],[1]!Address[PIC])</f>
        <v>EN, ADDY</v>
      </c>
      <c r="E941" s="38" t="str">
        <f>_xlfn.XLOOKUP(Customer[[#This Row],[Customer ID]],[1]!Address[ID],[1]!Address[Full Address])</f>
        <v>BLOK B, ARAS 2, LOBI UTAMA,HOSPITAL SUNGAI BULOH,JALAN HOSPITAL,47000 SUNGAI BULOH,SELANGOR</v>
      </c>
      <c r="F941" s="12" t="s">
        <v>6540</v>
      </c>
      <c r="G941" s="12" t="s">
        <v>6145</v>
      </c>
      <c r="H941" s="12" t="s">
        <v>6541</v>
      </c>
      <c r="I941" s="12" t="b">
        <f>ISNUMBER(VALUE(LEFT(Customer[[#This Row],[Address Line 3 (30 char)]],1)))</f>
        <v>0</v>
      </c>
      <c r="J941" s="12" t="s">
        <v>1907</v>
      </c>
      <c r="K941" s="12">
        <v>47000</v>
      </c>
      <c r="L941" s="12" t="s">
        <v>35</v>
      </c>
      <c r="M941" s="13" t="e">
        <v>#N/A</v>
      </c>
      <c r="N941" s="14" t="e">
        <v>#N/A</v>
      </c>
      <c r="O941" s="14" t="e">
        <v>#N/A</v>
      </c>
      <c r="P941" s="14" t="e">
        <v>#N/A</v>
      </c>
      <c r="Q941" s="14" t="e">
        <v>#N/A</v>
      </c>
      <c r="R941" s="15" t="s">
        <v>6542</v>
      </c>
      <c r="S941" s="15" t="s">
        <v>3476</v>
      </c>
      <c r="T941" s="16" t="s">
        <v>3477</v>
      </c>
      <c r="U941" s="11" t="str">
        <f>_xlfn.XLOOKUP(Customer[[#This Row],[Customer ID]],[1]!Address[ID],[1]!Address[Phone No.(2)])</f>
        <v/>
      </c>
      <c r="V941" s="11" t="str">
        <f>_xlfn.XLOOKUP(Customer[[#This Row],[Customer ID]],[1]!Address[ID],[1]!Address[Type])</f>
        <v>CM</v>
      </c>
      <c r="W941" s="11" t="str">
        <f>_xlfn.XLOOKUP(Customer[[#This Row],[Customer ID]],[1]!Address[ID],[1]!Address[CT])</f>
        <v>30 DAYS</v>
      </c>
      <c r="X941" s="11"/>
      <c r="Y941" s="17" t="s">
        <v>5918</v>
      </c>
      <c r="Z941" s="17" t="e">
        <f>_xlfn.XLOOKUP(Customer[[#This Row],[NewType]],$AF$36:$AF$54,$AG$36:$AG$54)</f>
        <v>#N/A</v>
      </c>
      <c r="AA941" s="17" t="s">
        <v>6543</v>
      </c>
      <c r="AB941" s="11" t="str">
        <f>_xlfn.XLOOKUP(Customer[[#This Row],[Customer ID]],[1]!Address[ID],[1]!Address[Subtype])</f>
        <v>THB</v>
      </c>
      <c r="AC941" s="18">
        <f>_xlfn.XLOOKUP(Customer[[#This Row],[Customer ID]],[1]!Address[ID],[1]!Address[Zone])</f>
        <v>0</v>
      </c>
    </row>
    <row r="942" spans="1:30" x14ac:dyDescent="0.3">
      <c r="A942" s="37" t="s">
        <v>6544</v>
      </c>
      <c r="B942" s="38" t="str">
        <f>_xlfn.XLOOKUP(Customer[[#This Row],[Customer ID]],[1]!Name[ID],[1]!Name[Description(1)])</f>
        <v>KEDAI SERBANEKA TOK MAD , KUALA LUMPUR</v>
      </c>
      <c r="C942" s="38" t="str">
        <f>_xlfn.XLOOKUP(Customer[[#This Row],[Customer ID]],[1]!Name[ID],[1]!Name[Description(2)])</f>
        <v/>
      </c>
      <c r="D942" s="38" t="str">
        <f>_xlfn.XLOOKUP(Customer[[#This Row],[Customer ID]],[1]!Address[ID],[1]!Address[PIC])</f>
        <v>NAJIHA</v>
      </c>
      <c r="E942" s="38" t="str">
        <f>_xlfn.XLOOKUP(Customer[[#This Row],[Customer ID]],[1]!Address[ID],[1]!Address[Full Address])</f>
        <v>N0.1, JALAN DUTAMAS 3,PUSAT KOMUNITI,KOMPLEKS KEDIAMAN KAKITANGAN AWAM,JALAN DUTA, 52000 KUALA LUMPUR</v>
      </c>
      <c r="F942" s="12" t="s">
        <v>6545</v>
      </c>
      <c r="G942" s="12" t="s">
        <v>6546</v>
      </c>
      <c r="H942" s="12" t="s">
        <v>6547</v>
      </c>
      <c r="I942" s="12" t="b">
        <f>ISNUMBER(VALUE(LEFT(Customer[[#This Row],[Address Line 3 (30 char)]],1)))</f>
        <v>0</v>
      </c>
      <c r="J942" s="12" t="s">
        <v>34</v>
      </c>
      <c r="K942" s="12">
        <v>52000</v>
      </c>
      <c r="L942" s="12" t="s">
        <v>35</v>
      </c>
      <c r="M942" s="13" t="e">
        <v>#N/A</v>
      </c>
      <c r="N942" s="14" t="e">
        <v>#N/A</v>
      </c>
      <c r="O942" s="14" t="e">
        <v>#N/A</v>
      </c>
      <c r="P942" s="14" t="e">
        <v>#N/A</v>
      </c>
      <c r="Q942" s="14" t="e">
        <v>#N/A</v>
      </c>
      <c r="R942" s="15" t="s">
        <v>6548</v>
      </c>
      <c r="S942" s="15" t="s">
        <v>5917</v>
      </c>
      <c r="T942" s="16" t="s">
        <v>3477</v>
      </c>
      <c r="U942" s="11" t="str">
        <f>_xlfn.XLOOKUP(Customer[[#This Row],[Customer ID]],[1]!Address[ID],[1]!Address[Phone No.(2)])</f>
        <v/>
      </c>
      <c r="V942" s="11" t="str">
        <f>_xlfn.XLOOKUP(Customer[[#This Row],[Customer ID]],[1]!Address[ID],[1]!Address[Type])</f>
        <v>CM</v>
      </c>
      <c r="W942" s="11" t="str">
        <f>_xlfn.XLOOKUP(Customer[[#This Row],[Customer ID]],[1]!Address[ID],[1]!Address[CT])</f>
        <v>30 DAYS</v>
      </c>
      <c r="X942" s="11"/>
      <c r="Y942" s="17" t="s">
        <v>5918</v>
      </c>
      <c r="Z942" s="17" t="e">
        <f>_xlfn.XLOOKUP(Customer[[#This Row],[NewType]],$AF$36:$AF$54,$AG$36:$AG$54)</f>
        <v>#N/A</v>
      </c>
      <c r="AA942" s="17" t="s">
        <v>6549</v>
      </c>
      <c r="AB942" s="11" t="str">
        <f>_xlfn.XLOOKUP(Customer[[#This Row],[Customer ID]],[1]!Address[ID],[1]!Address[Subtype])</f>
        <v>THB</v>
      </c>
      <c r="AC942" s="18" t="str">
        <f>_xlfn.XLOOKUP(Customer[[#This Row],[Customer ID]],[1]!Address[ID],[1]!Address[Zone])</f>
        <v>CENTRAL</v>
      </c>
    </row>
    <row r="943" spans="1:30" x14ac:dyDescent="0.3">
      <c r="A943" s="37" t="s">
        <v>6550</v>
      </c>
      <c r="B943" s="38" t="str">
        <f>_xlfn.XLOOKUP(Customer[[#This Row],[Customer ID]],[1]!Name[ID],[1]!Name[Description(1)])</f>
        <v>PASARAYA DARUSSALAM SDN BHD</v>
      </c>
      <c r="C943" s="38" t="str">
        <f>_xlfn.XLOOKUP(Customer[[#This Row],[Customer ID]],[1]!Name[ID],[1]!Name[Description(2)])</f>
        <v>(PDS 6)</v>
      </c>
      <c r="D943" s="38" t="str">
        <f>_xlfn.XLOOKUP(Customer[[#This Row],[Customer ID]],[1]!Address[ID],[1]!Address[PIC])</f>
        <v/>
      </c>
      <c r="E943" s="38" t="str">
        <f>_xlfn.XLOOKUP(Customer[[#This Row],[Customer ID]],[1]!Address[ID],[1]!Address[Full Address])</f>
        <v>LOT K02 TEMPAT LETAK KERETA BERTINGKAT,PRESINT 4 62250 PUTRAJAYA</v>
      </c>
      <c r="F943" s="12" t="s">
        <v>6551</v>
      </c>
      <c r="G943" s="12" t="s">
        <v>6552</v>
      </c>
      <c r="H943" s="12" t="s">
        <v>6553</v>
      </c>
      <c r="I943" s="12" t="b">
        <f>ISNUMBER(VALUE(LEFT(Customer[[#This Row],[Address Line 3 (30 char)]],1)))</f>
        <v>0</v>
      </c>
      <c r="J943" s="12" t="s">
        <v>4229</v>
      </c>
      <c r="K943" s="12">
        <v>62250</v>
      </c>
      <c r="L943" s="12" t="s">
        <v>35</v>
      </c>
      <c r="M943" s="13">
        <v>200701036421</v>
      </c>
      <c r="N943" s="14" t="s">
        <v>6554</v>
      </c>
      <c r="O943" s="14" t="e">
        <v>#N/A</v>
      </c>
      <c r="P943" s="14" t="e">
        <v>#N/A</v>
      </c>
      <c r="Q943" s="14" t="e">
        <v>#N/A</v>
      </c>
      <c r="R943" s="15" t="s">
        <v>6555</v>
      </c>
      <c r="S943" s="15" t="s">
        <v>5934</v>
      </c>
      <c r="T943" s="16" t="s">
        <v>3477</v>
      </c>
      <c r="U943" s="11" t="str">
        <f>_xlfn.XLOOKUP(Customer[[#This Row],[Customer ID]],[1]!Address[ID],[1]!Address[Phone No.(2)])</f>
        <v/>
      </c>
      <c r="V943" s="11" t="str">
        <f>_xlfn.XLOOKUP(Customer[[#This Row],[Customer ID]],[1]!Address[ID],[1]!Address[Type])</f>
        <v>CM</v>
      </c>
      <c r="W943" s="11" t="str">
        <f>_xlfn.XLOOKUP(Customer[[#This Row],[Customer ID]],[1]!Address[ID],[1]!Address[CT])</f>
        <v>30 DAYS</v>
      </c>
      <c r="X943" s="11"/>
      <c r="Y943" s="17" t="s">
        <v>5918</v>
      </c>
      <c r="Z943" s="17" t="e">
        <f>_xlfn.XLOOKUP(Customer[[#This Row],[NewType]],$AF$36:$AF$54,$AG$36:$AG$54)</f>
        <v>#N/A</v>
      </c>
      <c r="AA943" s="17" t="s">
        <v>6556</v>
      </c>
      <c r="AB943" s="11" t="str">
        <f>_xlfn.XLOOKUP(Customer[[#This Row],[Customer ID]],[1]!Address[ID],[1]!Address[Subtype])</f>
        <v>DARUSSALAM</v>
      </c>
      <c r="AC943" s="18" t="str">
        <f>_xlfn.XLOOKUP(Customer[[#This Row],[Customer ID]],[1]!Address[ID],[1]!Address[Zone])</f>
        <v>CENTRAL</v>
      </c>
    </row>
    <row r="944" spans="1:30" x14ac:dyDescent="0.3">
      <c r="A944" s="37" t="s">
        <v>6557</v>
      </c>
      <c r="B944" s="38" t="str">
        <f>_xlfn.XLOOKUP(Customer[[#This Row],[Customer ID]],[1]!Name[ID],[1]!Name[Description(1)])</f>
        <v>SODAKOQ MART</v>
      </c>
      <c r="C944" s="38" t="str">
        <f>_xlfn.XLOOKUP(Customer[[#This Row],[Customer ID]],[1]!Name[ID],[1]!Name[Description(2)])</f>
        <v>MSUK SOLUTIONS SND BHD</v>
      </c>
      <c r="D944" s="38" t="str">
        <f>_xlfn.XLOOKUP(Customer[[#This Row],[Customer ID]],[1]!Address[ID],[1]!Address[PIC])</f>
        <v>SUKRI/SHAH</v>
      </c>
      <c r="E944" s="38" t="str">
        <f>_xlfn.XLOOKUP(Customer[[#This Row],[Customer ID]],[1]!Address[ID],[1]!Address[Full Address])</f>
        <v>NO. 87-G, JALAN PUJ 3/9,TAMAN PUNCAK JALIL,BANDAR PUTRA PERMAI,43300 SERI KEMBANGAN, SELANGOR,</v>
      </c>
      <c r="F944" s="12" t="s">
        <v>6558</v>
      </c>
      <c r="G944" s="12" t="s">
        <v>6559</v>
      </c>
      <c r="H944" s="12" t="s">
        <v>6560</v>
      </c>
      <c r="I944" s="12" t="b">
        <f>ISNUMBER(VALUE(LEFT(Customer[[#This Row],[Address Line 3 (30 char)]],1)))</f>
        <v>0</v>
      </c>
      <c r="J944" s="12" t="s">
        <v>1907</v>
      </c>
      <c r="K944" s="12">
        <v>43300</v>
      </c>
      <c r="L944" s="12" t="s">
        <v>35</v>
      </c>
      <c r="M944" s="13" t="e">
        <v>#N/A</v>
      </c>
      <c r="N944" s="14" t="e">
        <v>#N/A</v>
      </c>
      <c r="O944" s="14" t="e">
        <v>#N/A</v>
      </c>
      <c r="P944" s="14" t="e">
        <v>#N/A</v>
      </c>
      <c r="Q944" s="19" t="s">
        <v>6561</v>
      </c>
      <c r="R944" s="15" t="s">
        <v>6562</v>
      </c>
      <c r="S944" s="15" t="s">
        <v>3476</v>
      </c>
      <c r="T944" s="16" t="s">
        <v>3477</v>
      </c>
      <c r="U944" s="11" t="str">
        <f>_xlfn.XLOOKUP(Customer[[#This Row],[Customer ID]],[1]!Address[ID],[1]!Address[Phone No.(2)])</f>
        <v/>
      </c>
      <c r="V944" s="11" t="str">
        <f>_xlfn.XLOOKUP(Customer[[#This Row],[Customer ID]],[1]!Address[ID],[1]!Address[Type])</f>
        <v>CM</v>
      </c>
      <c r="W944" s="11" t="str">
        <f>_xlfn.XLOOKUP(Customer[[#This Row],[Customer ID]],[1]!Address[ID],[1]!Address[CT])</f>
        <v>30 DAYS</v>
      </c>
      <c r="X944" s="11"/>
      <c r="Y944" s="17" t="s">
        <v>5918</v>
      </c>
      <c r="Z944" s="17" t="e">
        <f>_xlfn.XLOOKUP(Customer[[#This Row],[NewType]],$AF$36:$AF$54,$AG$36:$AG$54)</f>
        <v>#N/A</v>
      </c>
      <c r="AA944" s="17" t="s">
        <v>6563</v>
      </c>
      <c r="AB944" s="11" t="str">
        <f>_xlfn.XLOOKUP(Customer[[#This Row],[Customer ID]],[1]!Address[ID],[1]!Address[Subtype])</f>
        <v>SODAKOQ</v>
      </c>
      <c r="AC944" s="18" t="str">
        <f>_xlfn.XLOOKUP(Customer[[#This Row],[Customer ID]],[1]!Address[ID],[1]!Address[Zone])</f>
        <v>AACMH</v>
      </c>
    </row>
    <row r="945" spans="1:29" x14ac:dyDescent="0.3">
      <c r="A945" s="37" t="s">
        <v>6564</v>
      </c>
      <c r="B945" s="38" t="str">
        <f>_xlfn.XLOOKUP(Customer[[#This Row],[Customer ID]],[1]!Name[ID],[1]!Name[Description(1)])</f>
        <v>SENSES WELLNESS</v>
      </c>
      <c r="C945" s="38" t="str">
        <f>_xlfn.XLOOKUP(Customer[[#This Row],[Customer ID]],[1]!Name[ID],[1]!Name[Description(2)])</f>
        <v>ANTARA KEKAL NIAGA S</v>
      </c>
      <c r="D945" s="38" t="str">
        <f>_xlfn.XLOOKUP(Customer[[#This Row],[Customer ID]],[1]!Address[ID],[1]!Address[PIC])</f>
        <v/>
      </c>
      <c r="E945" s="38" t="str">
        <f>_xlfn.XLOOKUP(Customer[[#This Row],[Customer ID]],[1]!Address[ID],[1]!Address[Full Address])</f>
        <v>K2018-1,MRT HOSPITAL KUALA LUMPUR STATION TITI,JALAN KUANTAN TITIWANGSA,50694 KUALA LUMPUR</v>
      </c>
      <c r="F945" s="12" t="s">
        <v>6565</v>
      </c>
      <c r="G945" s="12" t="s">
        <v>6566</v>
      </c>
      <c r="H945" s="12" t="s">
        <v>6567</v>
      </c>
      <c r="I945" s="12" t="b">
        <f>ISNUMBER(VALUE(LEFT(Customer[[#This Row],[Address Line 3 (30 char)]],1)))</f>
        <v>0</v>
      </c>
      <c r="J945" s="12" t="s">
        <v>34</v>
      </c>
      <c r="K945" s="12">
        <v>50694</v>
      </c>
      <c r="L945" s="12" t="s">
        <v>35</v>
      </c>
      <c r="M945" s="13" t="e">
        <v>#N/A</v>
      </c>
      <c r="N945" s="14" t="e">
        <v>#N/A</v>
      </c>
      <c r="O945" s="14" t="e">
        <v>#N/A</v>
      </c>
      <c r="P945" s="14" t="e">
        <v>#N/A</v>
      </c>
      <c r="Q945" s="14" t="e">
        <v>#N/A</v>
      </c>
      <c r="R945" s="15" t="s">
        <v>36</v>
      </c>
      <c r="S945" s="15" t="s">
        <v>3476</v>
      </c>
      <c r="T945" s="16" t="s">
        <v>3477</v>
      </c>
      <c r="U945" s="11" t="str">
        <f>_xlfn.XLOOKUP(Customer[[#This Row],[Customer ID]],[1]!Address[ID],[1]!Address[Phone No.(2)])</f>
        <v/>
      </c>
      <c r="V945" s="11" t="str">
        <f>_xlfn.XLOOKUP(Customer[[#This Row],[Customer ID]],[1]!Address[ID],[1]!Address[Type])</f>
        <v>PH</v>
      </c>
      <c r="W945" s="11" t="str">
        <f>_xlfn.XLOOKUP(Customer[[#This Row],[Customer ID]],[1]!Address[ID],[1]!Address[CT])</f>
        <v>30 DAYS</v>
      </c>
      <c r="X945" s="11"/>
      <c r="Y945" s="17" t="s">
        <v>5955</v>
      </c>
      <c r="Z945" s="17" t="e">
        <f>_xlfn.XLOOKUP(Customer[[#This Row],[NewType]],$AF$36:$AF$54,$AG$36:$AG$54)</f>
        <v>#N/A</v>
      </c>
      <c r="AA945" s="17" t="s">
        <v>6568</v>
      </c>
      <c r="AB945" s="11" t="str">
        <f>_xlfn.XLOOKUP(Customer[[#This Row],[Customer ID]],[1]!Address[ID],[1]!Address[Subtype])</f>
        <v>SENSES</v>
      </c>
      <c r="AC945" s="18" t="str">
        <f>_xlfn.XLOOKUP(Customer[[#This Row],[Customer ID]],[1]!Address[ID],[1]!Address[Zone])</f>
        <v>CENTRAL</v>
      </c>
    </row>
    <row r="946" spans="1:29" x14ac:dyDescent="0.3">
      <c r="A946" s="37" t="s">
        <v>6569</v>
      </c>
      <c r="B946" s="38" t="str">
        <f>_xlfn.XLOOKUP(Customer[[#This Row],[Customer ID]],[1]!Name[ID],[1]!Name[Description(1)])</f>
        <v>QPHARMA SERDANG</v>
      </c>
      <c r="C946" s="38" t="str">
        <f>_xlfn.XLOOKUP(Customer[[#This Row],[Customer ID]],[1]!Name[ID],[1]!Name[Description(2)])</f>
        <v/>
      </c>
      <c r="D946" s="38" t="str">
        <f>_xlfn.XLOOKUP(Customer[[#This Row],[Customer ID]],[1]!Address[ID],[1]!Address[PIC])</f>
        <v>NABILAH</v>
      </c>
      <c r="E946" s="38" t="str">
        <f>_xlfn.XLOOKUP(Customer[[#This Row],[Customer ID]],[1]!Address[ID],[1]!Address[Full Address])</f>
        <v>NO. 1, LOBI UTAMA,ARAS 2,HOSPITAL SERDANG,JALAN PUCHONG,43000 KAJANG SELANGOR</v>
      </c>
      <c r="F946" s="12" t="s">
        <v>6570</v>
      </c>
      <c r="G946" s="12" t="s">
        <v>6571</v>
      </c>
      <c r="H946" s="12" t="s">
        <v>6572</v>
      </c>
      <c r="I946" s="12" t="b">
        <f>ISNUMBER(VALUE(LEFT(Customer[[#This Row],[Address Line 3 (30 char)]],1)))</f>
        <v>0</v>
      </c>
      <c r="J946" s="12" t="s">
        <v>172</v>
      </c>
      <c r="K946" s="12">
        <v>43000</v>
      </c>
      <c r="L946" s="12" t="s">
        <v>35</v>
      </c>
      <c r="M946" s="13" t="e">
        <v>#N/A</v>
      </c>
      <c r="N946" s="14" t="e">
        <v>#N/A</v>
      </c>
      <c r="O946" s="14" t="e">
        <v>#N/A</v>
      </c>
      <c r="P946" s="14" t="e">
        <v>#N/A</v>
      </c>
      <c r="Q946" s="14" t="e">
        <v>#N/A</v>
      </c>
      <c r="R946" s="15" t="s">
        <v>6573</v>
      </c>
      <c r="S946" s="15" t="s">
        <v>3476</v>
      </c>
      <c r="T946" s="16" t="s">
        <v>3477</v>
      </c>
      <c r="U946" s="11" t="str">
        <f>_xlfn.XLOOKUP(Customer[[#This Row],[Customer ID]],[1]!Address[ID],[1]!Address[Phone No.(2)])</f>
        <v/>
      </c>
      <c r="V946" s="11" t="str">
        <f>_xlfn.XLOOKUP(Customer[[#This Row],[Customer ID]],[1]!Address[ID],[1]!Address[Type])</f>
        <v>PH</v>
      </c>
      <c r="W946" s="11" t="str">
        <f>_xlfn.XLOOKUP(Customer[[#This Row],[Customer ID]],[1]!Address[ID],[1]!Address[CT])</f>
        <v>30 DAYS</v>
      </c>
      <c r="X946" s="11"/>
      <c r="Y946" s="17" t="s">
        <v>5955</v>
      </c>
      <c r="Z946" s="17" t="e">
        <f>_xlfn.XLOOKUP(Customer[[#This Row],[NewType]],$AF$36:$AF$54,$AG$36:$AG$54)</f>
        <v>#N/A</v>
      </c>
      <c r="AA946" s="17" t="s">
        <v>6574</v>
      </c>
      <c r="AB946" s="11" t="str">
        <f>_xlfn.XLOOKUP(Customer[[#This Row],[Customer ID]],[1]!Address[ID],[1]!Address[Subtype])</f>
        <v>PHARMACY</v>
      </c>
      <c r="AC946" s="18" t="str">
        <f>_xlfn.XLOOKUP(Customer[[#This Row],[Customer ID]],[1]!Address[ID],[1]!Address[Zone])</f>
        <v>CENTRAL</v>
      </c>
    </row>
    <row r="947" spans="1:29" x14ac:dyDescent="0.3">
      <c r="A947" s="37" t="s">
        <v>6575</v>
      </c>
      <c r="B947" s="38" t="str">
        <f>_xlfn.XLOOKUP(Customer[[#This Row],[Customer ID]],[1]!Name[ID],[1]!Name[Description(1)])</f>
        <v>SA SPORTREC VENTURE SDN. BHD.</v>
      </c>
      <c r="C947" s="38" t="str">
        <f>_xlfn.XLOOKUP(Customer[[#This Row],[Customer ID]],[1]!Name[ID],[1]!Name[Description(2)])</f>
        <v/>
      </c>
      <c r="D947" s="38" t="str">
        <f>_xlfn.XLOOKUP(Customer[[#This Row],[Customer ID]],[1]!Address[ID],[1]!Address[PIC])</f>
        <v>EN.HASSNOL</v>
      </c>
      <c r="E947" s="38" t="str">
        <f>_xlfn.XLOOKUP(Customer[[#This Row],[Customer ID]],[1]!Address[ID],[1]!Address[Full Address])</f>
        <v>SIC LAKESIDE,KOMPLEKS BELIA &amp; KEBUDAYAAN SELANGORSEKSYEN 7, 40000 SHAH ALAM.</v>
      </c>
      <c r="F947" s="12" t="s">
        <v>6576</v>
      </c>
      <c r="G947" s="12" t="s">
        <v>6577</v>
      </c>
      <c r="H947" s="12" t="s">
        <v>6578</v>
      </c>
      <c r="I947" s="12" t="b">
        <f>ISNUMBER(VALUE(LEFT(Customer[[#This Row],[Address Line 3 (30 char)]],1)))</f>
        <v>0</v>
      </c>
      <c r="J947" s="12" t="s">
        <v>1907</v>
      </c>
      <c r="K947" s="12">
        <v>40000</v>
      </c>
      <c r="L947" s="12" t="s">
        <v>35</v>
      </c>
      <c r="M947" s="13" t="e">
        <v>#N/A</v>
      </c>
      <c r="N947" s="14" t="e">
        <v>#N/A</v>
      </c>
      <c r="O947" s="14" t="e">
        <v>#N/A</v>
      </c>
      <c r="P947" s="14" t="e">
        <v>#N/A</v>
      </c>
      <c r="Q947" s="14" t="e">
        <v>#N/A</v>
      </c>
      <c r="R947" s="15" t="s">
        <v>6579</v>
      </c>
      <c r="S947" s="15" t="s">
        <v>5917</v>
      </c>
      <c r="T947" s="16" t="s">
        <v>3477</v>
      </c>
      <c r="U947" s="11" t="str">
        <f>_xlfn.XLOOKUP(Customer[[#This Row],[Customer ID]],[1]!Address[ID],[1]!Address[Phone No.(2)])</f>
        <v/>
      </c>
      <c r="V947" s="11" t="str">
        <f>_xlfn.XLOOKUP(Customer[[#This Row],[Customer ID]],[1]!Address[ID],[1]!Address[Type])</f>
        <v>CM</v>
      </c>
      <c r="W947" s="11" t="str">
        <f>_xlfn.XLOOKUP(Customer[[#This Row],[Customer ID]],[1]!Address[ID],[1]!Address[CT])</f>
        <v>60 DAYS</v>
      </c>
      <c r="X947" s="11"/>
      <c r="Y947" s="17" t="s">
        <v>5918</v>
      </c>
      <c r="Z947" s="17" t="e">
        <f>_xlfn.XLOOKUP(Customer[[#This Row],[NewType]],$AF$36:$AF$54,$AG$36:$AG$54)</f>
        <v>#N/A</v>
      </c>
      <c r="AA947" s="17" t="s">
        <v>6580</v>
      </c>
      <c r="AB947" s="11" t="str">
        <f>_xlfn.XLOOKUP(Customer[[#This Row],[Customer ID]],[1]!Address[ID],[1]!Address[Subtype])</f>
        <v>SA SPORT</v>
      </c>
      <c r="AC947" s="18" t="str">
        <f>_xlfn.XLOOKUP(Customer[[#This Row],[Customer ID]],[1]!Address[ID],[1]!Address[Zone])</f>
        <v>CENTRAL</v>
      </c>
    </row>
    <row r="948" spans="1:29" x14ac:dyDescent="0.3">
      <c r="A948" s="10" t="s">
        <v>6581</v>
      </c>
      <c r="B948" s="11" t="str">
        <f>_xlfn.XLOOKUP(Customer[[#This Row],[Customer ID]],[1]!Name[ID],[1]!Name[Description(1)])</f>
        <v>DATO HAZIMAH</v>
      </c>
      <c r="C948" s="38" t="str">
        <f>_xlfn.XLOOKUP(Customer[[#This Row],[Customer ID]],[1]!Name[ID],[1]!Name[Description(2)])</f>
        <v/>
      </c>
      <c r="D948" s="38" t="str">
        <f>_xlfn.XLOOKUP(Customer[[#This Row],[Customer ID]],[1]!Address[ID],[1]!Address[PIC])</f>
        <v/>
      </c>
      <c r="E948" s="38" t="str">
        <f>_xlfn.XLOOKUP(Customer[[#This Row],[Customer ID]],[1]!Address[ID],[1]!Address[Full Address])</f>
        <v>NO.27 JALAN KENT 3 OFF JALAN MAKTAB,54000 WILAYAH PERSEKUTUAN KUALA LUMPUR</v>
      </c>
      <c r="F948" s="12" t="s">
        <v>6582</v>
      </c>
      <c r="G948" s="12" t="s">
        <v>6583</v>
      </c>
      <c r="H948" s="12" t="s">
        <v>36</v>
      </c>
      <c r="I948" s="12" t="b">
        <f>ISNUMBER(VALUE(LEFT(Customer[[#This Row],[Address Line 3 (30 char)]],1)))</f>
        <v>0</v>
      </c>
      <c r="J948" s="12" t="s">
        <v>34</v>
      </c>
      <c r="K948" s="12">
        <v>54000</v>
      </c>
      <c r="L948" s="12" t="s">
        <v>35</v>
      </c>
      <c r="M948" s="13" t="e">
        <v>#N/A</v>
      </c>
      <c r="N948" s="14" t="e">
        <v>#N/A</v>
      </c>
      <c r="O948" s="14" t="e">
        <v>#N/A</v>
      </c>
      <c r="P948" s="14" t="e">
        <v>#N/A</v>
      </c>
      <c r="Q948" s="14" t="e">
        <v>#N/A</v>
      </c>
      <c r="R948" s="15" t="s">
        <v>6584</v>
      </c>
      <c r="S948" s="15" t="s">
        <v>89</v>
      </c>
      <c r="T948" s="16" t="s">
        <v>89</v>
      </c>
      <c r="U948" s="11" t="str">
        <f>_xlfn.XLOOKUP(Customer[[#This Row],[Customer ID]],[1]!Address[ID],[1]!Address[Phone No.(2)])</f>
        <v/>
      </c>
      <c r="V948" s="11" t="str">
        <f>_xlfn.XLOOKUP(Customer[[#This Row],[Customer ID]],[1]!Address[ID],[1]!Address[Type])</f>
        <v>SOCMED</v>
      </c>
      <c r="W948" s="11" t="str">
        <f>_xlfn.XLOOKUP(Customer[[#This Row],[Customer ID]],[1]!Address[ID],[1]!Address[CT])</f>
        <v>CASH</v>
      </c>
      <c r="X948" s="11"/>
      <c r="Y948" s="17" t="s">
        <v>90</v>
      </c>
      <c r="Z948" s="17" t="e">
        <f>_xlfn.XLOOKUP(Customer[[#This Row],[NewType]],$AF$36:$AF$54,$AG$36:$AG$54)</f>
        <v>#N/A</v>
      </c>
      <c r="AA948" s="17" t="s">
        <v>6585</v>
      </c>
      <c r="AB948" s="11" t="str">
        <f>_xlfn.XLOOKUP(Customer[[#This Row],[Customer ID]],[1]!Address[ID],[1]!Address[Subtype])</f>
        <v>WHATSAPP</v>
      </c>
      <c r="AC948" s="18" t="str">
        <f>_xlfn.XLOOKUP(Customer[[#This Row],[Customer ID]],[1]!Address[ID],[1]!Address[Zone])</f>
        <v>CENTRAL</v>
      </c>
    </row>
    <row r="949" spans="1:29" x14ac:dyDescent="0.3">
      <c r="A949" s="37" t="s">
        <v>6586</v>
      </c>
      <c r="B949" s="38" t="str">
        <f>_xlfn.XLOOKUP(Customer[[#This Row],[Customer ID]],[1]!Name[ID],[1]!Name[Description(1)])</f>
        <v>IMPIAN, PUNCAK ALAM</v>
      </c>
      <c r="C949" s="38" t="str">
        <f>_xlfn.XLOOKUP(Customer[[#This Row],[Customer ID]],[1]!Name[ID],[1]!Name[Description(2)])</f>
        <v/>
      </c>
      <c r="D949" s="38" t="str">
        <f>_xlfn.XLOOKUP(Customer[[#This Row],[Customer ID]],[1]!Address[ID],[1]!Address[PIC])</f>
        <v>SYAIMI/FIRDAUS</v>
      </c>
      <c r="E949" s="38" t="str">
        <f>_xlfn.XLOOKUP(Customer[[#This Row],[Customer ID]],[1]!Address[ID],[1]!Address[Full Address])</f>
        <v>LOT KEDAI S7, ARAS 2,HOSPITAL UNIVERSITI TEKNOLOGI MARA(UITM)42300 Puncak Alam, Selangor.</v>
      </c>
      <c r="F949" s="12" t="s">
        <v>6587</v>
      </c>
      <c r="G949" s="12" t="s">
        <v>6588</v>
      </c>
      <c r="H949" s="12" t="s">
        <v>6589</v>
      </c>
      <c r="I949" s="12" t="b">
        <f>ISNUMBER(VALUE(LEFT(Customer[[#This Row],[Address Line 3 (30 char)]],1)))</f>
        <v>0</v>
      </c>
      <c r="J949" s="12" t="s">
        <v>1907</v>
      </c>
      <c r="K949" s="12">
        <v>42300</v>
      </c>
      <c r="L949" s="12" t="s">
        <v>35</v>
      </c>
      <c r="M949" s="13" t="e">
        <v>#N/A</v>
      </c>
      <c r="N949" s="14" t="e">
        <v>#N/A</v>
      </c>
      <c r="O949" s="14" t="e">
        <v>#N/A</v>
      </c>
      <c r="P949" s="14" t="e">
        <v>#N/A</v>
      </c>
      <c r="Q949" s="14" t="e">
        <v>#N/A</v>
      </c>
      <c r="R949" s="15" t="s">
        <v>6590</v>
      </c>
      <c r="S949" s="15" t="s">
        <v>5917</v>
      </c>
      <c r="T949" s="16" t="s">
        <v>3477</v>
      </c>
      <c r="U949" s="11" t="str">
        <f>_xlfn.XLOOKUP(Customer[[#This Row],[Customer ID]],[1]!Address[ID],[1]!Address[Phone No.(2)])</f>
        <v/>
      </c>
      <c r="V949" s="11" t="str">
        <f>_xlfn.XLOOKUP(Customer[[#This Row],[Customer ID]],[1]!Address[ID],[1]!Address[Type])</f>
        <v>CM</v>
      </c>
      <c r="W949" s="11" t="str">
        <f>_xlfn.XLOOKUP(Customer[[#This Row],[Customer ID]],[1]!Address[ID],[1]!Address[CT])</f>
        <v>30 DAYS</v>
      </c>
      <c r="X949" s="11"/>
      <c r="Y949" s="17" t="s">
        <v>5918</v>
      </c>
      <c r="Z949" s="17" t="e">
        <f>_xlfn.XLOOKUP(Customer[[#This Row],[NewType]],$AF$36:$AF$54,$AG$36:$AG$54)</f>
        <v>#N/A</v>
      </c>
      <c r="AA949" s="17" t="s">
        <v>6591</v>
      </c>
      <c r="AB949" s="11" t="str">
        <f>_xlfn.XLOOKUP(Customer[[#This Row],[Customer ID]],[1]!Address[ID],[1]!Address[Subtype])</f>
        <v>THB</v>
      </c>
      <c r="AC949" s="18" t="str">
        <f>_xlfn.XLOOKUP(Customer[[#This Row],[Customer ID]],[1]!Address[ID],[1]!Address[Zone])</f>
        <v>CENTRAL</v>
      </c>
    </row>
    <row r="950" spans="1:29" x14ac:dyDescent="0.3">
      <c r="A950" s="37" t="s">
        <v>6592</v>
      </c>
      <c r="B950" s="38" t="str">
        <f>_xlfn.XLOOKUP(Customer[[#This Row],[Customer ID]],[1]!Name[ID],[1]!Name[Description(1)])</f>
        <v>SUFI HERB</v>
      </c>
      <c r="C950" s="38" t="str">
        <f>_xlfn.XLOOKUP(Customer[[#This Row],[Customer ID]],[1]!Name[ID],[1]!Name[Description(2)])</f>
        <v/>
      </c>
      <c r="D950" s="38" t="str">
        <f>_xlfn.XLOOKUP(Customer[[#This Row],[Customer ID]],[1]!Address[ID],[1]!Address[PIC])</f>
        <v>EN.JAMALUDDIN</v>
      </c>
      <c r="E950" s="38" t="str">
        <f>_xlfn.XLOOKUP(Customer[[#This Row],[Customer ID]],[1]!Address[ID],[1]!Address[Full Address])</f>
        <v>47, MEDAN MAKAN JALAN DUTA,50480 KUALA LUMPUR WILAYAH PERSEKUTUAN</v>
      </c>
      <c r="F950" s="12" t="s">
        <v>6593</v>
      </c>
      <c r="G950" s="12"/>
      <c r="H950" s="41" t="s">
        <v>2797</v>
      </c>
      <c r="I950" s="41" t="b">
        <f>ISNUMBER(VALUE(LEFT(Customer[[#This Row],[Address Line 3 (30 char)]],1)))</f>
        <v>0</v>
      </c>
      <c r="J950" s="12" t="s">
        <v>34</v>
      </c>
      <c r="K950" s="12">
        <v>50480</v>
      </c>
      <c r="L950" s="12" t="s">
        <v>35</v>
      </c>
      <c r="M950" s="13" t="e">
        <v>#N/A</v>
      </c>
      <c r="N950" s="14" t="e">
        <v>#N/A</v>
      </c>
      <c r="O950" s="14" t="e">
        <v>#N/A</v>
      </c>
      <c r="P950" s="14" t="e">
        <v>#N/A</v>
      </c>
      <c r="Q950" s="14" t="e">
        <v>#N/A</v>
      </c>
      <c r="R950" s="15" t="s">
        <v>6594</v>
      </c>
      <c r="S950" s="15" t="s">
        <v>5925</v>
      </c>
      <c r="T950" s="16" t="s">
        <v>3477</v>
      </c>
      <c r="U950" s="11" t="str">
        <f>_xlfn.XLOOKUP(Customer[[#This Row],[Customer ID]],[1]!Address[ID],[1]!Address[Phone No.(2)])</f>
        <v/>
      </c>
      <c r="V950" s="11" t="str">
        <f>_xlfn.XLOOKUP(Customer[[#This Row],[Customer ID]],[1]!Address[ID],[1]!Address[Type])</f>
        <v>CAFE</v>
      </c>
      <c r="W950" s="11" t="str">
        <f>_xlfn.XLOOKUP(Customer[[#This Row],[Customer ID]],[1]!Address[ID],[1]!Address[CT])</f>
        <v>30 DAYS</v>
      </c>
      <c r="X950" s="11"/>
      <c r="Y950" s="17" t="s">
        <v>5926</v>
      </c>
      <c r="Z950" s="17" t="e">
        <f>_xlfn.XLOOKUP(Customer[[#This Row],[NewType]],$AF$36:$AF$54,$AG$36:$AG$54)</f>
        <v>#N/A</v>
      </c>
      <c r="AA950" s="17" t="s">
        <v>6595</v>
      </c>
      <c r="AB950" s="11" t="str">
        <f>_xlfn.XLOOKUP(Customer[[#This Row],[Customer ID]],[1]!Address[ID],[1]!Address[Subtype])</f>
        <v>SUFI HERB</v>
      </c>
      <c r="AC950" s="18" t="str">
        <f>_xlfn.XLOOKUP(Customer[[#This Row],[Customer ID]],[1]!Address[ID],[1]!Address[Zone])</f>
        <v>CENTRAL</v>
      </c>
    </row>
    <row r="951" spans="1:29" x14ac:dyDescent="0.3">
      <c r="A951" s="37" t="s">
        <v>6596</v>
      </c>
      <c r="B951" s="38" t="str">
        <f>_xlfn.XLOOKUP(Customer[[#This Row],[Customer ID]],[1]!Name[ID],[1]!Name[Description(1)])</f>
        <v>CARE SHOPPE, PUTRAJAYA</v>
      </c>
      <c r="C951" s="38" t="str">
        <f>_xlfn.XLOOKUP(Customer[[#This Row],[Customer ID]],[1]!Name[ID],[1]!Name[Description(2)])</f>
        <v/>
      </c>
      <c r="D951" s="38" t="str">
        <f>_xlfn.XLOOKUP(Customer[[#This Row],[Customer ID]],[1]!Address[ID],[1]!Address[PIC])</f>
        <v>SITI</v>
      </c>
      <c r="E951" s="38" t="str">
        <f>_xlfn.XLOOKUP(Customer[[#This Row],[Customer ID]],[1]!Address[ID],[1]!Address[Full Address])</f>
        <v>PUSAT PENTADBIRAN KERAJAAN PERSEKUTUAN,PRESINT 7,62250 PUTRAJAYA,WILAYAH PERSEKUTUAN</v>
      </c>
      <c r="F951" s="12" t="s">
        <v>6597</v>
      </c>
      <c r="G951" s="12" t="s">
        <v>6598</v>
      </c>
      <c r="H951" s="12" t="s">
        <v>6599</v>
      </c>
      <c r="I951" s="12" t="b">
        <f>ISNUMBER(VALUE(LEFT(Customer[[#This Row],[Address Line 3 (30 char)]],1)))</f>
        <v>0</v>
      </c>
      <c r="J951" s="12" t="s">
        <v>4229</v>
      </c>
      <c r="K951" s="12">
        <v>62250</v>
      </c>
      <c r="L951" s="12" t="s">
        <v>35</v>
      </c>
      <c r="M951" s="13" t="e">
        <v>#N/A</v>
      </c>
      <c r="N951" s="14" t="e">
        <v>#N/A</v>
      </c>
      <c r="O951" s="14" t="e">
        <v>#N/A</v>
      </c>
      <c r="P951" s="14" t="e">
        <v>#N/A</v>
      </c>
      <c r="Q951" s="14" t="e">
        <v>#N/A</v>
      </c>
      <c r="R951" s="15" t="s">
        <v>6600</v>
      </c>
      <c r="S951" s="15" t="s">
        <v>3476</v>
      </c>
      <c r="T951" s="16" t="s">
        <v>3477</v>
      </c>
      <c r="U951" s="11" t="str">
        <f>_xlfn.XLOOKUP(Customer[[#This Row],[Customer ID]],[1]!Address[ID],[1]!Address[Phone No.(2)])</f>
        <v/>
      </c>
      <c r="V951" s="11" t="str">
        <f>_xlfn.XLOOKUP(Customer[[#This Row],[Customer ID]],[1]!Address[ID],[1]!Address[Type])</f>
        <v>CM</v>
      </c>
      <c r="W951" s="11" t="str">
        <f>_xlfn.XLOOKUP(Customer[[#This Row],[Customer ID]],[1]!Address[ID],[1]!Address[CT])</f>
        <v>30 DAYS</v>
      </c>
      <c r="X951" s="11"/>
      <c r="Y951" s="17" t="s">
        <v>5918</v>
      </c>
      <c r="Z951" s="17" t="e">
        <f>_xlfn.XLOOKUP(Customer[[#This Row],[NewType]],$AF$36:$AF$54,$AG$36:$AG$54)</f>
        <v>#N/A</v>
      </c>
      <c r="AA951" s="17" t="s">
        <v>6601</v>
      </c>
      <c r="AB951" s="11" t="str">
        <f>_xlfn.XLOOKUP(Customer[[#This Row],[Customer ID]],[1]!Address[ID],[1]!Address[Subtype])</f>
        <v>THB</v>
      </c>
      <c r="AC951" s="18" t="str">
        <f>_xlfn.XLOOKUP(Customer[[#This Row],[Customer ID]],[1]!Address[ID],[1]!Address[Zone])</f>
        <v>CENTRAL</v>
      </c>
    </row>
    <row r="952" spans="1:29" x14ac:dyDescent="0.3">
      <c r="A952" s="37" t="s">
        <v>6602</v>
      </c>
      <c r="B952" s="38" t="str">
        <f>_xlfn.XLOOKUP(Customer[[#This Row],[Customer ID]],[1]!Name[ID],[1]!Name[Description(1)])</f>
        <v>THE FLAVOURIST BLUSMOKE</v>
      </c>
      <c r="C952" s="38" t="str">
        <f>_xlfn.XLOOKUP(Customer[[#This Row],[Customer ID]],[1]!Name[ID],[1]!Name[Description(2)])</f>
        <v/>
      </c>
      <c r="D952" s="38" t="str">
        <f>_xlfn.XLOOKUP(Customer[[#This Row],[Customer ID]],[1]!Address[ID],[1]!Address[PIC])</f>
        <v/>
      </c>
      <c r="E952" s="38" t="str">
        <f>_xlfn.XLOOKUP(Customer[[#This Row],[Customer ID]],[1]!Address[ID],[1]!Address[Full Address])</f>
        <v>B7-G1 &amp; B7-G2,GAYA COMMERCIAL CENTRE,TAMAN MELAWATI, 53100 KUALA LUMPUR.</v>
      </c>
      <c r="F952" s="12" t="s">
        <v>6603</v>
      </c>
      <c r="G952" s="12" t="s">
        <v>6604</v>
      </c>
      <c r="H952" s="12" t="s">
        <v>6605</v>
      </c>
      <c r="I952" s="12" t="b">
        <f>ISNUMBER(VALUE(LEFT(Customer[[#This Row],[Address Line 3 (30 char)]],1)))</f>
        <v>0</v>
      </c>
      <c r="J952" s="12" t="s">
        <v>34</v>
      </c>
      <c r="K952" s="12">
        <v>53100</v>
      </c>
      <c r="L952" s="12" t="s">
        <v>35</v>
      </c>
      <c r="M952" s="13" t="e">
        <v>#N/A</v>
      </c>
      <c r="N952" s="14" t="e">
        <v>#N/A</v>
      </c>
      <c r="O952" s="14" t="e">
        <v>#N/A</v>
      </c>
      <c r="P952" s="14" t="e">
        <v>#N/A</v>
      </c>
      <c r="Q952" s="14" t="e">
        <v>#N/A</v>
      </c>
      <c r="R952" s="15" t="s">
        <v>6606</v>
      </c>
      <c r="S952" s="15" t="s">
        <v>5925</v>
      </c>
      <c r="T952" s="16" t="s">
        <v>3477</v>
      </c>
      <c r="U952" s="11" t="str">
        <f>_xlfn.XLOOKUP(Customer[[#This Row],[Customer ID]],[1]!Address[ID],[1]!Address[Phone No.(2)])</f>
        <v/>
      </c>
      <c r="V952" s="11" t="str">
        <f>_xlfn.XLOOKUP(Customer[[#This Row],[Customer ID]],[1]!Address[ID],[1]!Address[Type])</f>
        <v>CAFE</v>
      </c>
      <c r="W952" s="11" t="str">
        <f>_xlfn.XLOOKUP(Customer[[#This Row],[Customer ID]],[1]!Address[ID],[1]!Address[CT])</f>
        <v>CASH</v>
      </c>
      <c r="X952" s="11"/>
      <c r="Y952" s="17" t="s">
        <v>5926</v>
      </c>
      <c r="Z952" s="17" t="e">
        <f>_xlfn.XLOOKUP(Customer[[#This Row],[NewType]],$AF$36:$AF$54,$AG$36:$AG$54)</f>
        <v>#N/A</v>
      </c>
      <c r="AA952" s="17" t="s">
        <v>6607</v>
      </c>
      <c r="AB952" s="11" t="str">
        <f>_xlfn.XLOOKUP(Customer[[#This Row],[Customer ID]],[1]!Address[ID],[1]!Address[Subtype])</f>
        <v>FLAVOURIST</v>
      </c>
      <c r="AC952" s="18" t="str">
        <f>_xlfn.XLOOKUP(Customer[[#This Row],[Customer ID]],[1]!Address[ID],[1]!Address[Zone])</f>
        <v>CENTRAL</v>
      </c>
    </row>
    <row r="953" spans="1:29" x14ac:dyDescent="0.3">
      <c r="A953" s="37" t="s">
        <v>6608</v>
      </c>
      <c r="B953" s="38" t="str">
        <f>_xlfn.XLOOKUP(Customer[[#This Row],[Customer ID]],[1]!Name[ID],[1]!Name[Description(1)])</f>
        <v>D'SASTHA CAFE</v>
      </c>
      <c r="C953" s="38" t="str">
        <f>_xlfn.XLOOKUP(Customer[[#This Row],[Customer ID]],[1]!Name[ID],[1]!Name[Description(2)])</f>
        <v/>
      </c>
      <c r="D953" s="38" t="str">
        <f>_xlfn.XLOOKUP(Customer[[#This Row],[Customer ID]],[1]!Address[ID],[1]!Address[PIC])</f>
        <v/>
      </c>
      <c r="E953" s="38" t="str">
        <f>_xlfn.XLOOKUP(Customer[[#This Row],[Customer ID]],[1]!Address[ID],[1]!Address[Full Address])</f>
        <v>NO 12,KAWASAN REHAT &amp;RAWAT DENGKIL UTARA,KM23 L/RAYA UTARA SELATAN42700 DENGKIL. SELANGOR</v>
      </c>
      <c r="F953" s="12" t="s">
        <v>6609</v>
      </c>
      <c r="G953" s="12" t="s">
        <v>6610</v>
      </c>
      <c r="H953" s="12" t="s">
        <v>6611</v>
      </c>
      <c r="I953" s="12" t="b">
        <f>ISNUMBER(VALUE(LEFT(Customer[[#This Row],[Address Line 3 (30 char)]],1)))</f>
        <v>0</v>
      </c>
      <c r="J953" s="12" t="s">
        <v>1907</v>
      </c>
      <c r="K953" s="12">
        <v>42700</v>
      </c>
      <c r="L953" s="12" t="s">
        <v>35</v>
      </c>
      <c r="M953" s="13" t="e">
        <v>#N/A</v>
      </c>
      <c r="N953" s="14" t="e">
        <v>#N/A</v>
      </c>
      <c r="O953" s="14" t="e">
        <v>#N/A</v>
      </c>
      <c r="P953" s="14" t="e">
        <v>#N/A</v>
      </c>
      <c r="Q953" s="14" t="e">
        <v>#N/A</v>
      </c>
      <c r="R953" s="15" t="s">
        <v>6612</v>
      </c>
      <c r="S953" s="15" t="s">
        <v>5925</v>
      </c>
      <c r="T953" s="16" t="s">
        <v>3477</v>
      </c>
      <c r="U953" s="11" t="str">
        <f>_xlfn.XLOOKUP(Customer[[#This Row],[Customer ID]],[1]!Address[ID],[1]!Address[Phone No.(2)])</f>
        <v/>
      </c>
      <c r="V953" s="11" t="str">
        <f>_xlfn.XLOOKUP(Customer[[#This Row],[Customer ID]],[1]!Address[ID],[1]!Address[Type])</f>
        <v>CAFE</v>
      </c>
      <c r="W953" s="11" t="str">
        <f>_xlfn.XLOOKUP(Customer[[#This Row],[Customer ID]],[1]!Address[ID],[1]!Address[CT])</f>
        <v>30 DAYS</v>
      </c>
      <c r="X953" s="11"/>
      <c r="Y953" s="17" t="s">
        <v>5926</v>
      </c>
      <c r="Z953" s="17" t="e">
        <f>_xlfn.XLOOKUP(Customer[[#This Row],[NewType]],$AF$36:$AF$54,$AG$36:$AG$54)</f>
        <v>#N/A</v>
      </c>
      <c r="AA953" s="17" t="s">
        <v>6613</v>
      </c>
      <c r="AB953" s="11" t="str">
        <f>_xlfn.XLOOKUP(Customer[[#This Row],[Customer ID]],[1]!Address[ID],[1]!Address[Subtype])</f>
        <v>PLUS</v>
      </c>
      <c r="AC953" s="18" t="str">
        <f>_xlfn.XLOOKUP(Customer[[#This Row],[Customer ID]],[1]!Address[ID],[1]!Address[Zone])</f>
        <v>FUS23 AAUS</v>
      </c>
    </row>
    <row r="954" spans="1:29" x14ac:dyDescent="0.3">
      <c r="A954" s="37" t="s">
        <v>6614</v>
      </c>
      <c r="B954" s="38" t="str">
        <f>_xlfn.XLOOKUP(Customer[[#This Row],[Customer ID]],[1]!Name[ID],[1]!Name[Description(1)])</f>
        <v>D'PUTRA SHOPPE, SELAYANG</v>
      </c>
      <c r="C954" s="38" t="str">
        <f>_xlfn.XLOOKUP(Customer[[#This Row],[Customer ID]],[1]!Name[ID],[1]!Name[Description(2)])</f>
        <v/>
      </c>
      <c r="D954" s="38" t="str">
        <f>_xlfn.XLOOKUP(Customer[[#This Row],[Customer ID]],[1]!Address[ID],[1]!Address[PIC])</f>
        <v>SYED/ROSMAWATI</v>
      </c>
      <c r="E954" s="38" t="str">
        <f>_xlfn.XLOOKUP(Customer[[#This Row],[Customer ID]],[1]!Address[ID],[1]!Address[Full Address])</f>
        <v>HOSPITAL SELAYANG,JALAN LEBUHRAYA SELAYANG-KEPONG,68100 BATU CAVES, SELAYANG,SELANGOR</v>
      </c>
      <c r="F954" s="12" t="s">
        <v>6615</v>
      </c>
      <c r="G954" s="12" t="s">
        <v>6616</v>
      </c>
      <c r="H954" s="12" t="s">
        <v>6617</v>
      </c>
      <c r="I954" s="12" t="b">
        <f>ISNUMBER(VALUE(LEFT(Customer[[#This Row],[Address Line 3 (30 char)]],1)))</f>
        <v>0</v>
      </c>
      <c r="J954" s="12" t="s">
        <v>1907</v>
      </c>
      <c r="K954" s="12">
        <v>68100</v>
      </c>
      <c r="L954" s="12" t="s">
        <v>35</v>
      </c>
      <c r="M954" s="13" t="e">
        <v>#N/A</v>
      </c>
      <c r="N954" s="14" t="e">
        <v>#N/A</v>
      </c>
      <c r="O954" s="14" t="e">
        <v>#N/A</v>
      </c>
      <c r="P954" s="14" t="e">
        <v>#N/A</v>
      </c>
      <c r="Q954" s="14" t="e">
        <v>#N/A</v>
      </c>
      <c r="R954" s="15" t="s">
        <v>6618</v>
      </c>
      <c r="S954" s="15" t="s">
        <v>3476</v>
      </c>
      <c r="T954" s="16" t="s">
        <v>3477</v>
      </c>
      <c r="U954" s="11" t="str">
        <f>_xlfn.XLOOKUP(Customer[[#This Row],[Customer ID]],[1]!Address[ID],[1]!Address[Phone No.(2)])</f>
        <v/>
      </c>
      <c r="V954" s="11" t="str">
        <f>_xlfn.XLOOKUP(Customer[[#This Row],[Customer ID]],[1]!Address[ID],[1]!Address[Type])</f>
        <v>CM</v>
      </c>
      <c r="W954" s="11" t="str">
        <f>_xlfn.XLOOKUP(Customer[[#This Row],[Customer ID]],[1]!Address[ID],[1]!Address[CT])</f>
        <v>30 DAYS</v>
      </c>
      <c r="X954" s="11"/>
      <c r="Y954" s="17" t="s">
        <v>5918</v>
      </c>
      <c r="Z954" s="17" t="e">
        <f>_xlfn.XLOOKUP(Customer[[#This Row],[NewType]],$AF$36:$AF$54,$AG$36:$AG$54)</f>
        <v>#N/A</v>
      </c>
      <c r="AA954" s="17" t="s">
        <v>6619</v>
      </c>
      <c r="AB954" s="11" t="str">
        <f>_xlfn.XLOOKUP(Customer[[#This Row],[Customer ID]],[1]!Address[ID],[1]!Address[Subtype])</f>
        <v>THB</v>
      </c>
      <c r="AC954" s="18" t="str">
        <f>_xlfn.XLOOKUP(Customer[[#This Row],[Customer ID]],[1]!Address[ID],[1]!Address[Zone])</f>
        <v>PHB100 SEHB100 BATU</v>
      </c>
    </row>
    <row r="955" spans="1:29" x14ac:dyDescent="0.3">
      <c r="A955" s="45" t="s">
        <v>6620</v>
      </c>
      <c r="B955" s="32" t="str">
        <f>_xlfn.XLOOKUP(Customer[[#This Row],[Customer ID]],[1]!Name[ID],[1]!Name[Description(1)])</f>
        <v>PUAN ASNORSAZANA BT MOHD SALLEH</v>
      </c>
      <c r="C955" s="32" t="str">
        <f>_xlfn.XLOOKUP(Customer[[#This Row],[Customer ID]],[1]!Name[ID],[1]!Name[Description(2)])</f>
        <v/>
      </c>
      <c r="D955" s="38" t="str">
        <f>_xlfn.XLOOKUP(Customer[[#This Row],[Customer ID]],[1]!Address[ID],[1]!Address[PIC])</f>
        <v/>
      </c>
      <c r="E955" s="38" t="str">
        <f>_xlfn.XLOOKUP(Customer[[#This Row],[Customer ID]],[1]!Address[ID],[1]!Address[Full Address])</f>
        <v>KG SELIAU, RANTAU</v>
      </c>
      <c r="F955" s="12" t="s">
        <v>6621</v>
      </c>
      <c r="G955" s="12" t="s">
        <v>36</v>
      </c>
      <c r="H955" s="12" t="s">
        <v>36</v>
      </c>
      <c r="I955" s="12" t="b">
        <f>ISNUMBER(VALUE(LEFT(Customer[[#This Row],[Address Line 3 (30 char)]],1)))</f>
        <v>0</v>
      </c>
      <c r="J955" s="32"/>
      <c r="K955" s="32"/>
      <c r="L955" s="12" t="s">
        <v>35</v>
      </c>
      <c r="M955" s="13" t="e">
        <v>#N/A</v>
      </c>
      <c r="N955" s="14" t="e">
        <v>#N/A</v>
      </c>
      <c r="O955" s="14" t="e">
        <v>#N/A</v>
      </c>
      <c r="P955" s="14" t="e">
        <v>#N/A</v>
      </c>
      <c r="Q955" s="14" t="e">
        <v>#N/A</v>
      </c>
      <c r="R955" s="15" t="s">
        <v>6622</v>
      </c>
      <c r="S955" s="16" t="s">
        <v>6283</v>
      </c>
      <c r="T955" s="16"/>
      <c r="U955" s="11" t="str">
        <f>_xlfn.XLOOKUP(Customer[[#This Row],[Customer ID]],[1]!Address[ID],[1]!Address[Phone No.(2)])</f>
        <v/>
      </c>
      <c r="V955" s="11" t="str">
        <f>_xlfn.XLOOKUP(Customer[[#This Row],[Customer ID]],[1]!Address[ID],[1]!Address[Type])</f>
        <v>WALK IN</v>
      </c>
      <c r="W955" s="11" t="str">
        <f>_xlfn.XLOOKUP(Customer[[#This Row],[Customer ID]],[1]!Address[ID],[1]!Address[CT])</f>
        <v/>
      </c>
      <c r="X955" s="11"/>
      <c r="Y955" s="17" t="s">
        <v>6284</v>
      </c>
      <c r="Z955" s="17" t="e">
        <f>_xlfn.XLOOKUP(Customer[[#This Row],[NewType]],$AF$36:$AF$54,$AG$36:$AG$54)</f>
        <v>#N/A</v>
      </c>
      <c r="AA955" s="17" t="s">
        <v>6623</v>
      </c>
      <c r="AB955" s="11" t="str">
        <f>_xlfn.XLOOKUP(Customer[[#This Row],[Customer ID]],[1]!Address[ID],[1]!Address[Subtype])</f>
        <v>RANTAU</v>
      </c>
      <c r="AC955" s="18" t="str">
        <f>_xlfn.XLOOKUP(Customer[[#This Row],[Customer ID]],[1]!Address[ID],[1]!Address[Zone])</f>
        <v>U H</v>
      </c>
    </row>
    <row r="956" spans="1:29" x14ac:dyDescent="0.3">
      <c r="A956" s="45" t="s">
        <v>6624</v>
      </c>
      <c r="B956" s="32" t="str">
        <f>_xlfn.XLOOKUP(Customer[[#This Row],[Customer ID]],[1]!Name[ID],[1]!Name[Description(1)])</f>
        <v>AZLINDA ABAS</v>
      </c>
      <c r="C956" s="32" t="str">
        <f>_xlfn.XLOOKUP(Customer[[#This Row],[Customer ID]],[1]!Name[ID],[1]!Name[Description(2)])</f>
        <v/>
      </c>
      <c r="D956" s="38" t="str">
        <f>_xlfn.XLOOKUP(Customer[[#This Row],[Customer ID]],[1]!Address[ID],[1]!Address[PIC])</f>
        <v/>
      </c>
      <c r="E956" s="38" t="str">
        <f>_xlfn.XLOOKUP(Customer[[#This Row],[Customer ID]],[1]!Address[ID],[1]!Address[Full Address])</f>
        <v>KEMAS RANTAU</v>
      </c>
      <c r="F956" s="12" t="s">
        <v>6625</v>
      </c>
      <c r="G956" s="12" t="s">
        <v>36</v>
      </c>
      <c r="H956" s="12" t="s">
        <v>36</v>
      </c>
      <c r="I956" s="12" t="b">
        <f>ISNUMBER(VALUE(LEFT(Customer[[#This Row],[Address Line 3 (30 char)]],1)))</f>
        <v>0</v>
      </c>
      <c r="J956" s="32"/>
      <c r="K956" s="32"/>
      <c r="L956" s="12" t="s">
        <v>35</v>
      </c>
      <c r="M956" s="13" t="e">
        <v>#N/A</v>
      </c>
      <c r="N956" s="14" t="e">
        <v>#N/A</v>
      </c>
      <c r="O956" s="14" t="e">
        <v>#N/A</v>
      </c>
      <c r="P956" s="14" t="e">
        <v>#N/A</v>
      </c>
      <c r="Q956" s="14" t="e">
        <v>#N/A</v>
      </c>
      <c r="R956" s="15" t="s">
        <v>6626</v>
      </c>
      <c r="S956" s="16" t="s">
        <v>6283</v>
      </c>
      <c r="T956" s="16"/>
      <c r="U956" s="11" t="str">
        <f>_xlfn.XLOOKUP(Customer[[#This Row],[Customer ID]],[1]!Address[ID],[1]!Address[Phone No.(2)])</f>
        <v/>
      </c>
      <c r="V956" s="11" t="str">
        <f>_xlfn.XLOOKUP(Customer[[#This Row],[Customer ID]],[1]!Address[ID],[1]!Address[Type])</f>
        <v>WALK IN</v>
      </c>
      <c r="W956" s="11" t="str">
        <f>_xlfn.XLOOKUP(Customer[[#This Row],[Customer ID]],[1]!Address[ID],[1]!Address[CT])</f>
        <v/>
      </c>
      <c r="X956" s="11"/>
      <c r="Y956" s="17" t="s">
        <v>6284</v>
      </c>
      <c r="Z956" s="17" t="e">
        <f>_xlfn.XLOOKUP(Customer[[#This Row],[NewType]],$AF$36:$AF$54,$AG$36:$AG$54)</f>
        <v>#N/A</v>
      </c>
      <c r="AA956" s="17" t="s">
        <v>6627</v>
      </c>
      <c r="AB956" s="11" t="str">
        <f>_xlfn.XLOOKUP(Customer[[#This Row],[Customer ID]],[1]!Address[ID],[1]!Address[Subtype])</f>
        <v>RANTAU</v>
      </c>
      <c r="AC956" s="18" t="str">
        <f>_xlfn.XLOOKUP(Customer[[#This Row],[Customer ID]],[1]!Address[ID],[1]!Address[Zone])</f>
        <v>U H</v>
      </c>
    </row>
    <row r="957" spans="1:29" x14ac:dyDescent="0.3">
      <c r="A957" s="45" t="s">
        <v>6628</v>
      </c>
      <c r="B957" s="32" t="str">
        <f>_xlfn.XLOOKUP(Customer[[#This Row],[Customer ID]],[1]!Name[ID],[1]!Name[Description(1)])</f>
        <v>YUNUS ALI</v>
      </c>
      <c r="C957" s="32" t="str">
        <f>_xlfn.XLOOKUP(Customer[[#This Row],[Customer ID]],[1]!Name[ID],[1]!Name[Description(2)])</f>
        <v/>
      </c>
      <c r="D957" s="38" t="str">
        <f>_xlfn.XLOOKUP(Customer[[#This Row],[Customer ID]],[1]!Address[ID],[1]!Address[PIC])</f>
        <v/>
      </c>
      <c r="E957" s="38" t="str">
        <f>_xlfn.XLOOKUP(Customer[[#This Row],[Customer ID]],[1]!Address[ID],[1]!Address[Full Address])</f>
        <v>TAMAN TUANKU JAAFAR, SENAWANG</v>
      </c>
      <c r="F957" s="12" t="s">
        <v>6629</v>
      </c>
      <c r="G957" s="12" t="s">
        <v>36</v>
      </c>
      <c r="H957" s="12" t="s">
        <v>36</v>
      </c>
      <c r="I957" s="12" t="b">
        <f>ISNUMBER(VALUE(LEFT(Customer[[#This Row],[Address Line 3 (30 char)]],1)))</f>
        <v>0</v>
      </c>
      <c r="J957" s="32"/>
      <c r="K957" s="32"/>
      <c r="L957" s="12" t="s">
        <v>35</v>
      </c>
      <c r="M957" s="13" t="e">
        <v>#N/A</v>
      </c>
      <c r="N957" s="14" t="e">
        <v>#N/A</v>
      </c>
      <c r="O957" s="14" t="e">
        <v>#N/A</v>
      </c>
      <c r="P957" s="14" t="e">
        <v>#N/A</v>
      </c>
      <c r="Q957" s="14" t="e">
        <v>#N/A</v>
      </c>
      <c r="R957" s="15" t="s">
        <v>6630</v>
      </c>
      <c r="S957" s="16" t="s">
        <v>6283</v>
      </c>
      <c r="T957" s="16"/>
      <c r="U957" s="11" t="str">
        <f>_xlfn.XLOOKUP(Customer[[#This Row],[Customer ID]],[1]!Address[ID],[1]!Address[Phone No.(2)])</f>
        <v/>
      </c>
      <c r="V957" s="11" t="str">
        <f>_xlfn.XLOOKUP(Customer[[#This Row],[Customer ID]],[1]!Address[ID],[1]!Address[Type])</f>
        <v>WALK IN</v>
      </c>
      <c r="W957" s="11" t="str">
        <f>_xlfn.XLOOKUP(Customer[[#This Row],[Customer ID]],[1]!Address[ID],[1]!Address[CT])</f>
        <v/>
      </c>
      <c r="X957" s="11"/>
      <c r="Y957" s="17" t="s">
        <v>6284</v>
      </c>
      <c r="Z957" s="17" t="e">
        <f>_xlfn.XLOOKUP(Customer[[#This Row],[NewType]],$AF$36:$AF$54,$AG$36:$AG$54)</f>
        <v>#N/A</v>
      </c>
      <c r="AA957" s="17" t="s">
        <v>6631</v>
      </c>
      <c r="AB957" s="11" t="str">
        <f>_xlfn.XLOOKUP(Customer[[#This Row],[Customer ID]],[1]!Address[ID],[1]!Address[Subtype])</f>
        <v>RANTAU</v>
      </c>
      <c r="AC957" s="18" t="str">
        <f>_xlfn.XLOOKUP(Customer[[#This Row],[Customer ID]],[1]!Address[ID],[1]!Address[Zone])</f>
        <v>U H</v>
      </c>
    </row>
    <row r="958" spans="1:29" x14ac:dyDescent="0.3">
      <c r="A958" s="37" t="s">
        <v>6632</v>
      </c>
      <c r="B958" s="38" t="str">
        <f>_xlfn.XLOOKUP(Customer[[#This Row],[Customer ID]],[1]!Name[ID],[1]!Name[Description(1)])</f>
        <v>AGENT TAMMA TRADITIONAL</v>
      </c>
      <c r="C958" s="38" t="str">
        <f>_xlfn.XLOOKUP(Customer[[#This Row],[Customer ID]],[1]!Name[ID],[1]!Name[Description(2)])</f>
        <v/>
      </c>
      <c r="D958" s="38" t="str">
        <f>_xlfn.XLOOKUP(Customer[[#This Row],[Customer ID]],[1]!Address[ID],[1]!Address[PIC])</f>
        <v/>
      </c>
      <c r="E958" s="38" t="str">
        <f>_xlfn.XLOOKUP(Customer[[#This Row],[Customer ID]],[1]!Address[ID],[1]!Address[Full Address])</f>
        <v>BG 03/04, BLOCK B, GROUND FLOOR,WISMA MUIS, 88100 KOTA KINABALU,SABAH</v>
      </c>
      <c r="F958" s="12" t="s">
        <v>6633</v>
      </c>
      <c r="G958" s="12" t="s">
        <v>6634</v>
      </c>
      <c r="H958" s="12" t="s">
        <v>6635</v>
      </c>
      <c r="I958" s="12" t="b">
        <f>ISNUMBER(VALUE(LEFT(Customer[[#This Row],[Address Line 3 (30 char)]],1)))</f>
        <v>0</v>
      </c>
      <c r="J958" s="12" t="s">
        <v>6636</v>
      </c>
      <c r="K958" s="12">
        <v>88100</v>
      </c>
      <c r="L958" s="12" t="s">
        <v>35</v>
      </c>
      <c r="M958" s="13" t="e">
        <v>#N/A</v>
      </c>
      <c r="N958" s="14" t="e">
        <v>#N/A</v>
      </c>
      <c r="O958" s="14" t="e">
        <v>#N/A</v>
      </c>
      <c r="P958" s="14" t="e">
        <v>#N/A</v>
      </c>
      <c r="Q958" s="19" t="s">
        <v>6637</v>
      </c>
      <c r="R958" s="15" t="s">
        <v>6638</v>
      </c>
      <c r="S958" s="15" t="s">
        <v>6418</v>
      </c>
      <c r="T958" s="16" t="s">
        <v>3477</v>
      </c>
      <c r="U958" s="11" t="str">
        <f>_xlfn.XLOOKUP(Customer[[#This Row],[Customer ID]],[1]!Address[ID],[1]!Address[Phone No.(2)])</f>
        <v/>
      </c>
      <c r="V958" s="11" t="str">
        <f>_xlfn.XLOOKUP(Customer[[#This Row],[Customer ID]],[1]!Address[ID],[1]!Address[Type])</f>
        <v>AGENT</v>
      </c>
      <c r="W958" s="11" t="str">
        <f>_xlfn.XLOOKUP(Customer[[#This Row],[Customer ID]],[1]!Address[ID],[1]!Address[CT])</f>
        <v>CASH</v>
      </c>
      <c r="X958" s="11"/>
      <c r="Y958" s="17" t="s">
        <v>6639</v>
      </c>
      <c r="Z958" s="17" t="e">
        <f>_xlfn.XLOOKUP(Customer[[#This Row],[NewType]],$AF$36:$AF$54,$AG$36:$AG$54)</f>
        <v>#N/A</v>
      </c>
      <c r="AA958" s="17" t="s">
        <v>6640</v>
      </c>
      <c r="AB958" s="11" t="str">
        <f>_xlfn.XLOOKUP(Customer[[#This Row],[Customer ID]],[1]!Address[ID],[1]!Address[Subtype])</f>
        <v>AGENT HQ</v>
      </c>
      <c r="AC958" s="18" t="str">
        <f>_xlfn.XLOOKUP(Customer[[#This Row],[Customer ID]],[1]!Address[ID],[1]!Address[Zone])</f>
        <v>CENTRAL</v>
      </c>
    </row>
    <row r="959" spans="1:29" x14ac:dyDescent="0.3">
      <c r="A959" s="37" t="s">
        <v>6641</v>
      </c>
      <c r="B959" s="38" t="str">
        <f>_xlfn.XLOOKUP(Customer[[#This Row],[Customer ID]],[1]!Name[ID],[1]!Name[Description(1)])</f>
        <v>AGENT KHAIRI</v>
      </c>
      <c r="C959" s="38" t="str">
        <f>_xlfn.XLOOKUP(Customer[[#This Row],[Customer ID]],[1]!Name[ID],[1]!Name[Description(2)])</f>
        <v/>
      </c>
      <c r="D959" s="38" t="str">
        <f>_xlfn.XLOOKUP(Customer[[#This Row],[Customer ID]],[1]!Address[ID],[1]!Address[PIC])</f>
        <v/>
      </c>
      <c r="E959" s="38" t="str">
        <f>_xlfn.XLOOKUP(Customer[[#This Row],[Customer ID]],[1]!Address[ID],[1]!Address[Full Address])</f>
        <v>NO.21, JALAN PADI MALINJA9, BANDAR BARU UDA81200, JOHOR BAHRUJOHOR DARUL TAKZIM</v>
      </c>
      <c r="F959" s="12" t="s">
        <v>6642</v>
      </c>
      <c r="G959" s="12" t="s">
        <v>6643</v>
      </c>
      <c r="H959" s="24" t="s">
        <v>1155</v>
      </c>
      <c r="I959" s="24" t="b">
        <f>ISNUMBER(VALUE(LEFT(Customer[[#This Row],[Address Line 3 (30 char)]],1)))</f>
        <v>0</v>
      </c>
      <c r="J959" s="12" t="s">
        <v>52</v>
      </c>
      <c r="K959" s="12">
        <v>81200</v>
      </c>
      <c r="L959" s="12" t="s">
        <v>35</v>
      </c>
      <c r="M959" s="13" t="e">
        <v>#N/A</v>
      </c>
      <c r="N959" s="14" t="e">
        <v>#N/A</v>
      </c>
      <c r="O959" s="14" t="e">
        <v>#N/A</v>
      </c>
      <c r="P959" s="14" t="e">
        <v>#N/A</v>
      </c>
      <c r="Q959" s="14" t="e">
        <v>#N/A</v>
      </c>
      <c r="R959" s="15" t="s">
        <v>6644</v>
      </c>
      <c r="S959" s="15" t="s">
        <v>6645</v>
      </c>
      <c r="T959" s="16" t="s">
        <v>38</v>
      </c>
      <c r="U959" s="11" t="str">
        <f>_xlfn.XLOOKUP(Customer[[#This Row],[Customer ID]],[1]!Address[ID],[1]!Address[Phone No.(2)])</f>
        <v/>
      </c>
      <c r="V959" s="11" t="str">
        <f>_xlfn.XLOOKUP(Customer[[#This Row],[Customer ID]],[1]!Address[ID],[1]!Address[Type])</f>
        <v>AGENT</v>
      </c>
      <c r="W959" s="11" t="str">
        <f>_xlfn.XLOOKUP(Customer[[#This Row],[Customer ID]],[1]!Address[ID],[1]!Address[CT])</f>
        <v/>
      </c>
      <c r="X959" s="11"/>
      <c r="Y959" s="17" t="s">
        <v>6639</v>
      </c>
      <c r="Z959" s="17" t="e">
        <f>_xlfn.XLOOKUP(Customer[[#This Row],[NewType]],$AF$36:$AF$54,$AG$36:$AG$54)</f>
        <v>#N/A</v>
      </c>
      <c r="AA959" s="17" t="s">
        <v>6646</v>
      </c>
      <c r="AB959" s="11" t="str">
        <f>_xlfn.XLOOKUP(Customer[[#This Row],[Customer ID]],[1]!Address[ID],[1]!Address[Subtype])</f>
        <v>AGENT HQ</v>
      </c>
      <c r="AC959" s="18" t="str">
        <f>_xlfn.XLOOKUP(Customer[[#This Row],[Customer ID]],[1]!Address[ID],[1]!Address[Zone])</f>
        <v>CENTRAL</v>
      </c>
    </row>
    <row r="960" spans="1:29" x14ac:dyDescent="0.3">
      <c r="A960" s="37" t="s">
        <v>6647</v>
      </c>
      <c r="B960" s="38" t="str">
        <f>_xlfn.XLOOKUP(Customer[[#This Row],[Customer ID]],[1]!Name[ID],[1]!Name[Description(1)])</f>
        <v>BALAI POLIS RANTAU</v>
      </c>
      <c r="C960" s="38" t="str">
        <f>_xlfn.XLOOKUP(Customer[[#This Row],[Customer ID]],[1]!Name[ID],[1]!Name[Description(2)])</f>
        <v/>
      </c>
      <c r="D960" s="38" t="str">
        <f>_xlfn.XLOOKUP(Customer[[#This Row],[Customer ID]],[1]!Address[ID],[1]!Address[PIC])</f>
        <v/>
      </c>
      <c r="E960" s="38" t="str">
        <f>_xlfn.XLOOKUP(Customer[[#This Row],[Customer ID]],[1]!Address[ID],[1]!Address[Full Address])</f>
        <v>RANTAU 71200 NEGERI SEMBILAN</v>
      </c>
      <c r="F960" s="12" t="s">
        <v>6648</v>
      </c>
      <c r="G960" s="12" t="s">
        <v>36</v>
      </c>
      <c r="H960" s="12" t="s">
        <v>36</v>
      </c>
      <c r="I960" s="12" t="b">
        <f>ISNUMBER(VALUE(LEFT(Customer[[#This Row],[Address Line 3 (30 char)]],1)))</f>
        <v>0</v>
      </c>
      <c r="J960" s="12" t="s">
        <v>203</v>
      </c>
      <c r="K960" s="12">
        <v>71200</v>
      </c>
      <c r="L960" s="12" t="s">
        <v>35</v>
      </c>
      <c r="M960" s="13" t="e">
        <v>#N/A</v>
      </c>
      <c r="N960" s="14" t="e">
        <v>#N/A</v>
      </c>
      <c r="O960" s="14" t="e">
        <v>#N/A</v>
      </c>
      <c r="P960" s="14" t="e">
        <v>#N/A</v>
      </c>
      <c r="Q960" s="14" t="e">
        <v>#N/A</v>
      </c>
      <c r="R960" s="15" t="s">
        <v>6649</v>
      </c>
      <c r="S960" s="16" t="s">
        <v>6283</v>
      </c>
      <c r="T960" s="16"/>
      <c r="U960" s="11" t="str">
        <f>_xlfn.XLOOKUP(Customer[[#This Row],[Customer ID]],[1]!Address[ID],[1]!Address[Phone No.(2)])</f>
        <v/>
      </c>
      <c r="V960" s="11" t="str">
        <f>_xlfn.XLOOKUP(Customer[[#This Row],[Customer ID]],[1]!Address[ID],[1]!Address[Type])</f>
        <v>WALK IN</v>
      </c>
      <c r="W960" s="11" t="str">
        <f>_xlfn.XLOOKUP(Customer[[#This Row],[Customer ID]],[1]!Address[ID],[1]!Address[CT])</f>
        <v/>
      </c>
      <c r="X960" s="11"/>
      <c r="Y960" s="17" t="s">
        <v>6284</v>
      </c>
      <c r="Z960" s="17" t="e">
        <f>_xlfn.XLOOKUP(Customer[[#This Row],[NewType]],$AF$36:$AF$54,$AG$36:$AG$54)</f>
        <v>#N/A</v>
      </c>
      <c r="AA960" s="17" t="s">
        <v>6650</v>
      </c>
      <c r="AB960" s="11" t="str">
        <f>_xlfn.XLOOKUP(Customer[[#This Row],[Customer ID]],[1]!Address[ID],[1]!Address[Subtype])</f>
        <v>RANTAU</v>
      </c>
      <c r="AC960" s="18" t="str">
        <f>_xlfn.XLOOKUP(Customer[[#This Row],[Customer ID]],[1]!Address[ID],[1]!Address[Zone])</f>
        <v>CENTRAL</v>
      </c>
    </row>
    <row r="961" spans="1:30" x14ac:dyDescent="0.3">
      <c r="A961" s="45" t="s">
        <v>6651</v>
      </c>
      <c r="B961" s="32" t="str">
        <f>_xlfn.XLOOKUP(Customer[[#This Row],[Customer ID]],[1]!Name[ID],[1]!Name[Description(1)])</f>
        <v>KPL SHAH (IPK NS)</v>
      </c>
      <c r="C961" s="32" t="str">
        <f>_xlfn.XLOOKUP(Customer[[#This Row],[Customer ID]],[1]!Name[ID],[1]!Name[Description(2)])</f>
        <v/>
      </c>
      <c r="D961" s="38" t="str">
        <f>_xlfn.XLOOKUP(Customer[[#This Row],[Customer ID]],[1]!Address[ID],[1]!Address[PIC])</f>
        <v/>
      </c>
      <c r="E961" s="38" t="str">
        <f>_xlfn.XLOOKUP(Customer[[#This Row],[Customer ID]],[1]!Address[ID],[1]!Address[Full Address])</f>
        <v>IPK NEGERI SEMBILAN</v>
      </c>
      <c r="F961" s="12" t="s">
        <v>6652</v>
      </c>
      <c r="G961" s="12" t="s">
        <v>36</v>
      </c>
      <c r="H961" s="12" t="s">
        <v>36</v>
      </c>
      <c r="I961" s="12" t="b">
        <f>ISNUMBER(VALUE(LEFT(Customer[[#This Row],[Address Line 3 (30 char)]],1)))</f>
        <v>0</v>
      </c>
      <c r="J961" s="32" t="s">
        <v>203</v>
      </c>
      <c r="K961" s="32"/>
      <c r="L961" s="12" t="s">
        <v>35</v>
      </c>
      <c r="M961" s="13" t="e">
        <v>#N/A</v>
      </c>
      <c r="N961" s="14" t="e">
        <v>#N/A</v>
      </c>
      <c r="O961" s="14" t="e">
        <v>#N/A</v>
      </c>
      <c r="P961" s="14" t="e">
        <v>#N/A</v>
      </c>
      <c r="Q961" s="14" t="e">
        <v>#N/A</v>
      </c>
      <c r="R961" s="15" t="s">
        <v>6653</v>
      </c>
      <c r="S961" s="16" t="s">
        <v>6283</v>
      </c>
      <c r="T961" s="16"/>
      <c r="U961" s="11" t="str">
        <f>_xlfn.XLOOKUP(Customer[[#This Row],[Customer ID]],[1]!Address[ID],[1]!Address[Phone No.(2)])</f>
        <v/>
      </c>
      <c r="V961" s="11" t="str">
        <f>_xlfn.XLOOKUP(Customer[[#This Row],[Customer ID]],[1]!Address[ID],[1]!Address[Type])</f>
        <v>WALK IN</v>
      </c>
      <c r="W961" s="11" t="str">
        <f>_xlfn.XLOOKUP(Customer[[#This Row],[Customer ID]],[1]!Address[ID],[1]!Address[CT])</f>
        <v/>
      </c>
      <c r="X961" s="11"/>
      <c r="Y961" s="17" t="s">
        <v>6284</v>
      </c>
      <c r="Z961" s="17" t="e">
        <f>_xlfn.XLOOKUP(Customer[[#This Row],[NewType]],$AF$36:$AF$54,$AG$36:$AG$54)</f>
        <v>#N/A</v>
      </c>
      <c r="AA961" s="17" t="s">
        <v>6654</v>
      </c>
      <c r="AB961" s="11" t="str">
        <f>_xlfn.XLOOKUP(Customer[[#This Row],[Customer ID]],[1]!Address[ID],[1]!Address[Subtype])</f>
        <v>RANTAU</v>
      </c>
      <c r="AC961" s="18" t="str">
        <f>_xlfn.XLOOKUP(Customer[[#This Row],[Customer ID]],[1]!Address[ID],[1]!Address[Zone])</f>
        <v>CENTRAL</v>
      </c>
    </row>
    <row r="962" spans="1:30" x14ac:dyDescent="0.3">
      <c r="A962" s="45" t="s">
        <v>6655</v>
      </c>
      <c r="B962" s="32" t="str">
        <f>_xlfn.XLOOKUP(Customer[[#This Row],[Customer ID]],[1]!Name[ID],[1]!Name[Description(1)])</f>
        <v>FAKHRUDIN</v>
      </c>
      <c r="C962" s="32" t="str">
        <f>_xlfn.XLOOKUP(Customer[[#This Row],[Customer ID]],[1]!Name[ID],[1]!Name[Description(2)])</f>
        <v/>
      </c>
      <c r="D962" s="38" t="str">
        <f>_xlfn.XLOOKUP(Customer[[#This Row],[Customer ID]],[1]!Address[ID],[1]!Address[PIC])</f>
        <v/>
      </c>
      <c r="E962" s="38" t="str">
        <f>_xlfn.XLOOKUP(Customer[[#This Row],[Customer ID]],[1]!Address[ID],[1]!Address[Full Address])</f>
        <v>PORT DICKSON</v>
      </c>
      <c r="F962" s="12" t="s">
        <v>1438</v>
      </c>
      <c r="G962" s="12" t="s">
        <v>36</v>
      </c>
      <c r="H962" s="12" t="s">
        <v>36</v>
      </c>
      <c r="I962" s="12" t="b">
        <f>ISNUMBER(VALUE(LEFT(Customer[[#This Row],[Address Line 3 (30 char)]],1)))</f>
        <v>0</v>
      </c>
      <c r="J962" s="32" t="s">
        <v>203</v>
      </c>
      <c r="K962" s="32"/>
      <c r="L962" s="12" t="s">
        <v>35</v>
      </c>
      <c r="M962" s="13" t="e">
        <v>#N/A</v>
      </c>
      <c r="N962" s="14" t="e">
        <v>#N/A</v>
      </c>
      <c r="O962" s="14" t="e">
        <v>#N/A</v>
      </c>
      <c r="P962" s="14" t="e">
        <v>#N/A</v>
      </c>
      <c r="Q962" s="14" t="e">
        <v>#N/A</v>
      </c>
      <c r="R962" s="15" t="s">
        <v>6656</v>
      </c>
      <c r="S962" s="16" t="s">
        <v>6283</v>
      </c>
      <c r="T962" s="16"/>
      <c r="U962" s="11" t="str">
        <f>_xlfn.XLOOKUP(Customer[[#This Row],[Customer ID]],[1]!Address[ID],[1]!Address[Phone No.(2)])</f>
        <v/>
      </c>
      <c r="V962" s="11" t="str">
        <f>_xlfn.XLOOKUP(Customer[[#This Row],[Customer ID]],[1]!Address[ID],[1]!Address[Type])</f>
        <v>WALK IN</v>
      </c>
      <c r="W962" s="11" t="str">
        <f>_xlfn.XLOOKUP(Customer[[#This Row],[Customer ID]],[1]!Address[ID],[1]!Address[CT])</f>
        <v/>
      </c>
      <c r="X962" s="11"/>
      <c r="Y962" s="17" t="s">
        <v>6284</v>
      </c>
      <c r="Z962" s="17" t="e">
        <f>_xlfn.XLOOKUP(Customer[[#This Row],[NewType]],$AF$36:$AF$54,$AG$36:$AG$54)</f>
        <v>#N/A</v>
      </c>
      <c r="AA962" s="17" t="s">
        <v>6657</v>
      </c>
      <c r="AB962" s="11" t="str">
        <f>_xlfn.XLOOKUP(Customer[[#This Row],[Customer ID]],[1]!Address[ID],[1]!Address[Subtype])</f>
        <v>RANTAU</v>
      </c>
      <c r="AC962" s="18" t="str">
        <f>_xlfn.XLOOKUP(Customer[[#This Row],[Customer ID]],[1]!Address[ID],[1]!Address[Zone])</f>
        <v>CENTRAL</v>
      </c>
    </row>
    <row r="963" spans="1:30" x14ac:dyDescent="0.3">
      <c r="A963" s="45" t="s">
        <v>6658</v>
      </c>
      <c r="B963" s="32" t="str">
        <f>_xlfn.XLOOKUP(Customer[[#This Row],[Customer ID]],[1]!Name[ID],[1]!Name[Description(1)])</f>
        <v>DATO ZAKARIA</v>
      </c>
      <c r="C963" s="32" t="str">
        <f>_xlfn.XLOOKUP(Customer[[#This Row],[Customer ID]],[1]!Name[ID],[1]!Name[Description(2)])</f>
        <v/>
      </c>
      <c r="D963" s="38" t="str">
        <f>_xlfn.XLOOKUP(Customer[[#This Row],[Customer ID]],[1]!Address[ID],[1]!Address[PIC])</f>
        <v/>
      </c>
      <c r="E963" s="38" t="str">
        <f>_xlfn.XLOOKUP(Customer[[#This Row],[Customer ID]],[1]!Address[ID],[1]!Address[Full Address])</f>
        <v/>
      </c>
      <c r="F963" s="12" t="s">
        <v>36</v>
      </c>
      <c r="G963" s="12" t="s">
        <v>36</v>
      </c>
      <c r="H963" s="12" t="s">
        <v>36</v>
      </c>
      <c r="I963" s="12" t="b">
        <f>ISNUMBER(VALUE(LEFT(Customer[[#This Row],[Address Line 3 (30 char)]],1)))</f>
        <v>0</v>
      </c>
      <c r="J963" s="32"/>
      <c r="K963" s="32"/>
      <c r="L963" s="12" t="s">
        <v>35</v>
      </c>
      <c r="M963" s="13" t="e">
        <v>#N/A</v>
      </c>
      <c r="N963" s="14" t="e">
        <v>#N/A</v>
      </c>
      <c r="O963" s="14" t="e">
        <v>#N/A</v>
      </c>
      <c r="P963" s="14" t="e">
        <v>#N/A</v>
      </c>
      <c r="Q963" s="14" t="e">
        <v>#N/A</v>
      </c>
      <c r="R963" s="15" t="s">
        <v>6659</v>
      </c>
      <c r="S963" s="16" t="s">
        <v>6283</v>
      </c>
      <c r="T963" s="16"/>
      <c r="U963" s="11" t="str">
        <f>_xlfn.XLOOKUP(Customer[[#This Row],[Customer ID]],[1]!Address[ID],[1]!Address[Phone No.(2)])</f>
        <v/>
      </c>
      <c r="V963" s="11" t="str">
        <f>_xlfn.XLOOKUP(Customer[[#This Row],[Customer ID]],[1]!Address[ID],[1]!Address[Type])</f>
        <v>WALK IN</v>
      </c>
      <c r="W963" s="11" t="str">
        <f>_xlfn.XLOOKUP(Customer[[#This Row],[Customer ID]],[1]!Address[ID],[1]!Address[CT])</f>
        <v/>
      </c>
      <c r="X963" s="11"/>
      <c r="Y963" s="17" t="s">
        <v>6284</v>
      </c>
      <c r="Z963" s="17" t="e">
        <f>_xlfn.XLOOKUP(Customer[[#This Row],[NewType]],$AF$36:$AF$54,$AG$36:$AG$54)</f>
        <v>#N/A</v>
      </c>
      <c r="AA963" s="17" t="s">
        <v>6660</v>
      </c>
      <c r="AB963" s="11" t="str">
        <f>_xlfn.XLOOKUP(Customer[[#This Row],[Customer ID]],[1]!Address[ID],[1]!Address[Subtype])</f>
        <v>RANTAU</v>
      </c>
      <c r="AC963" s="18" t="str">
        <f>_xlfn.XLOOKUP(Customer[[#This Row],[Customer ID]],[1]!Address[ID],[1]!Address[Zone])</f>
        <v>U H</v>
      </c>
    </row>
    <row r="964" spans="1:30" x14ac:dyDescent="0.3">
      <c r="A964" s="37" t="s">
        <v>6661</v>
      </c>
      <c r="B964" s="38" t="str">
        <f>_xlfn.XLOOKUP(Customer[[#This Row],[Customer ID]],[1]!Name[ID],[1]!Name[Description(1)])</f>
        <v>STAR GROCER BANDAR TASIK PUTERI</v>
      </c>
      <c r="C964" s="38" t="str">
        <f>_xlfn.XLOOKUP(Customer[[#This Row],[Customer ID]],[1]!Name[ID],[1]!Name[Description(2)])</f>
        <v/>
      </c>
      <c r="D964" s="38" t="str">
        <f>_xlfn.XLOOKUP(Customer[[#This Row],[Customer ID]],[1]!Address[ID],[1]!Address[PIC])</f>
        <v/>
      </c>
      <c r="E964" s="38" t="str">
        <f>_xlfn.XLOOKUP(Customer[[#This Row],[Customer ID]],[1]!Address[ID],[1]!Address[Full Address])</f>
        <v>STAR GROCERNO 2, JALAN TASIK PUTERI 4, BTP32,BANDAR TASIK PUTERI 48020 RAWANG,SELABGOR DARUL EHSAN</v>
      </c>
      <c r="F964" s="12" t="s">
        <v>6662</v>
      </c>
      <c r="G964" s="12" t="s">
        <v>6663</v>
      </c>
      <c r="H964" s="12" t="s">
        <v>6664</v>
      </c>
      <c r="I964" s="12" t="b">
        <f>ISNUMBER(VALUE(LEFT(Customer[[#This Row],[Address Line 3 (30 char)]],1)))</f>
        <v>0</v>
      </c>
      <c r="J964" s="12" t="s">
        <v>172</v>
      </c>
      <c r="K964" s="12">
        <v>48020</v>
      </c>
      <c r="L964" s="12" t="s">
        <v>35</v>
      </c>
      <c r="M964" s="13" t="e">
        <v>#N/A</v>
      </c>
      <c r="N964" s="14" t="e">
        <v>#N/A</v>
      </c>
      <c r="O964" s="14" t="e">
        <v>#N/A</v>
      </c>
      <c r="P964" s="14" t="e">
        <v>#N/A</v>
      </c>
      <c r="Q964" s="19" t="s">
        <v>6665</v>
      </c>
      <c r="R964" s="15" t="s">
        <v>6666</v>
      </c>
      <c r="S964" s="15" t="s">
        <v>5925</v>
      </c>
      <c r="T964" s="16" t="s">
        <v>3477</v>
      </c>
      <c r="U964" s="11" t="str">
        <f>_xlfn.XLOOKUP(Customer[[#This Row],[Customer ID]],[1]!Address[ID],[1]!Address[Phone No.(2)])</f>
        <v/>
      </c>
      <c r="V964" s="11" t="str">
        <f>_xlfn.XLOOKUP(Customer[[#This Row],[Customer ID]],[1]!Address[ID],[1]!Address[Type])</f>
        <v>HM</v>
      </c>
      <c r="W964" s="11" t="str">
        <f>_xlfn.XLOOKUP(Customer[[#This Row],[Customer ID]],[1]!Address[ID],[1]!Address[CT])</f>
        <v>60 DAYS</v>
      </c>
      <c r="X964" s="11"/>
      <c r="Y964" s="17" t="s">
        <v>5968</v>
      </c>
      <c r="Z964" s="17" t="e">
        <f>_xlfn.XLOOKUP(Customer[[#This Row],[NewType]],$AF$36:$AF$54,$AG$36:$AG$54)</f>
        <v>#N/A</v>
      </c>
      <c r="AA964" s="17" t="s">
        <v>6667</v>
      </c>
      <c r="AB964" s="11" t="str">
        <f>_xlfn.XLOOKUP(Customer[[#This Row],[Customer ID]],[1]!Address[ID],[1]!Address[Subtype])</f>
        <v>STAR GROCER</v>
      </c>
      <c r="AC964" s="18" t="str">
        <f>_xlfn.XLOOKUP(Customer[[#This Row],[Customer ID]],[1]!Address[ID],[1]!Address[Zone])</f>
        <v>CENTRAL</v>
      </c>
    </row>
    <row r="965" spans="1:30" x14ac:dyDescent="0.3">
      <c r="A965" s="56" t="s">
        <v>6668</v>
      </c>
      <c r="B965" s="50" t="str">
        <f>_xlfn.XLOOKUP(Customer[[#This Row],[Customer ID]],[1]!Name[ID],[1]!Name[Description(1)])</f>
        <v>SITI FAUZIAH BINTI ABD AZIZ</v>
      </c>
      <c r="C965" s="50" t="str">
        <f>_xlfn.XLOOKUP(Customer[[#This Row],[Customer ID]],[1]!Name[ID],[1]!Name[Description(2)])</f>
        <v/>
      </c>
      <c r="D965" s="50" t="str">
        <f>_xlfn.XLOOKUP(Customer[[#This Row],[Customer ID]],[1]!Address[ID],[1]!Address[PIC])</f>
        <v/>
      </c>
      <c r="E965" s="38" t="str">
        <f>_xlfn.XLOOKUP(Customer[[#This Row],[Customer ID]],[1]!Address[ID],[1]!Address[Full Address])</f>
        <v>NO 311, JALAN WARISAN PUTERI A11,TAMAN WARISAN PUTERI SIKAMAT,70400 SEREMBAN, NEGERI SEMBILAN</v>
      </c>
      <c r="F965" s="57" t="s">
        <v>6669</v>
      </c>
      <c r="G965" s="57" t="s">
        <v>6670</v>
      </c>
      <c r="H965" s="57" t="s">
        <v>6671</v>
      </c>
      <c r="I965" s="57" t="b">
        <f>ISNUMBER(VALUE(LEFT(Customer[[#This Row],[Address Line 3 (30 char)]],1)))</f>
        <v>0</v>
      </c>
      <c r="J965" s="57" t="s">
        <v>203</v>
      </c>
      <c r="K965" s="57">
        <v>70400</v>
      </c>
      <c r="L965" s="57" t="s">
        <v>35</v>
      </c>
      <c r="M965" s="58" t="e">
        <v>#N/A</v>
      </c>
      <c r="N965" s="59" t="e">
        <v>#N/A</v>
      </c>
      <c r="O965" s="59" t="e">
        <v>#N/A</v>
      </c>
      <c r="P965" s="59" t="e">
        <v>#N/A</v>
      </c>
      <c r="Q965" s="59" t="e">
        <v>#N/A</v>
      </c>
      <c r="R965" s="51" t="s">
        <v>6672</v>
      </c>
      <c r="S965" s="51" t="s">
        <v>88</v>
      </c>
      <c r="T965" s="52" t="s">
        <v>89</v>
      </c>
      <c r="U965" s="49" t="str">
        <f>_xlfn.XLOOKUP(Customer[[#This Row],[Customer ID]],[1]!Address[ID],[1]!Address[Phone No.(2)])</f>
        <v/>
      </c>
      <c r="V965" s="49" t="str">
        <f>_xlfn.XLOOKUP(Customer[[#This Row],[Customer ID]],[1]!Address[ID],[1]!Address[Type])</f>
        <v>SOCMED</v>
      </c>
      <c r="W965" s="49" t="str">
        <f>_xlfn.XLOOKUP(Customer[[#This Row],[Customer ID]],[1]!Address[ID],[1]!Address[CT])</f>
        <v/>
      </c>
      <c r="X965" s="49"/>
      <c r="Y965" s="53" t="s">
        <v>90</v>
      </c>
      <c r="Z965" s="53" t="e">
        <f>_xlfn.XLOOKUP(Customer[[#This Row],[NewType]],$AF$36:$AF$54,$AG$36:$AG$54)</f>
        <v>#N/A</v>
      </c>
      <c r="AA965" s="53" t="s">
        <v>6673</v>
      </c>
      <c r="AB965" s="49" t="str">
        <f>_xlfn.XLOOKUP(Customer[[#This Row],[Customer ID]],[1]!Address[ID],[1]!Address[Subtype])</f>
        <v>ONLINE ROS</v>
      </c>
      <c r="AC965" s="54" t="str">
        <f>_xlfn.XLOOKUP(Customer[[#This Row],[Customer ID]],[1]!Address[ID],[1]!Address[Zone])</f>
        <v>CENTRAL</v>
      </c>
      <c r="AD965" s="55"/>
    </row>
    <row r="966" spans="1:30" x14ac:dyDescent="0.3">
      <c r="A966" s="37" t="s">
        <v>6674</v>
      </c>
      <c r="B966" s="38" t="str">
        <f>_xlfn.XLOOKUP(Customer[[#This Row],[Customer ID]],[1]!Name[ID],[1]!Name[Description(1)])</f>
        <v>EN MOHD SHAZLI SHAIK MOHD</v>
      </c>
      <c r="C966" s="38" t="str">
        <f>_xlfn.XLOOKUP(Customer[[#This Row],[Customer ID]],[1]!Name[ID],[1]!Name[Description(2)])</f>
        <v/>
      </c>
      <c r="D966" s="38" t="str">
        <f>_xlfn.XLOOKUP(Customer[[#This Row],[Customer ID]],[1]!Address[ID],[1]!Address[PIC])</f>
        <v/>
      </c>
      <c r="E966" s="38" t="str">
        <f>_xlfn.XLOOKUP(Customer[[#This Row],[Customer ID]],[1]!Address[ID],[1]!Address[Full Address])</f>
        <v>163-0-10, GROUND FLOOR, WISMA MAH SING,163,WP, JLN SUNGAI BESI, PUDU, 57100KUALA LUMPUR, FEDERAL TERRITORYOF KUALA LUMPUR</v>
      </c>
      <c r="F966" s="12" t="s">
        <v>6675</v>
      </c>
      <c r="G966" s="12" t="s">
        <v>6676</v>
      </c>
      <c r="H966" s="12" t="s">
        <v>6677</v>
      </c>
      <c r="I966" s="12" t="b">
        <f>ISNUMBER(VALUE(LEFT(Customer[[#This Row],[Address Line 3 (30 char)]],1)))</f>
        <v>0</v>
      </c>
      <c r="J966" s="12" t="s">
        <v>34</v>
      </c>
      <c r="K966" s="12">
        <v>57100</v>
      </c>
      <c r="L966" s="12" t="s">
        <v>35</v>
      </c>
      <c r="M966" s="13" t="e">
        <v>#N/A</v>
      </c>
      <c r="N966" s="14" t="e">
        <v>#N/A</v>
      </c>
      <c r="O966" s="14" t="e">
        <v>#N/A</v>
      </c>
      <c r="P966" s="14" t="e">
        <v>#N/A</v>
      </c>
      <c r="Q966" s="14" t="e">
        <v>#N/A</v>
      </c>
      <c r="R966" s="15" t="s">
        <v>6678</v>
      </c>
      <c r="S966" s="15" t="s">
        <v>6418</v>
      </c>
      <c r="T966" s="16" t="s">
        <v>3477</v>
      </c>
      <c r="U966" s="11" t="str">
        <f>_xlfn.XLOOKUP(Customer[[#This Row],[Customer ID]],[1]!Address[ID],[1]!Address[Phone No.(2)])</f>
        <v/>
      </c>
      <c r="V966" s="11" t="str">
        <f>_xlfn.XLOOKUP(Customer[[#This Row],[Customer ID]],[1]!Address[ID],[1]!Address[Type])</f>
        <v>CORPORATE</v>
      </c>
      <c r="W966" s="11" t="str">
        <f>_xlfn.XLOOKUP(Customer[[#This Row],[Customer ID]],[1]!Address[ID],[1]!Address[CT])</f>
        <v/>
      </c>
      <c r="X966" s="11"/>
      <c r="Y966" s="17" t="s">
        <v>6418</v>
      </c>
      <c r="Z966" s="17" t="e">
        <f>_xlfn.XLOOKUP(Customer[[#This Row],[NewType]],$AF$36:$AF$54,$AG$36:$AG$54)</f>
        <v>#N/A</v>
      </c>
      <c r="AA966" s="17" t="s">
        <v>6679</v>
      </c>
      <c r="AB966" s="11" t="str">
        <f>_xlfn.XLOOKUP(Customer[[#This Row],[Customer ID]],[1]!Address[ID],[1]!Address[Subtype])</f>
        <v>MFL</v>
      </c>
      <c r="AC966" s="18" t="str">
        <f>_xlfn.XLOOKUP(Customer[[#This Row],[Customer ID]],[1]!Address[ID],[1]!Address[Zone])</f>
        <v>CENTRAL</v>
      </c>
    </row>
    <row r="967" spans="1:30" x14ac:dyDescent="0.3">
      <c r="A967" s="37" t="s">
        <v>6680</v>
      </c>
      <c r="B967" s="38" t="str">
        <f>_xlfn.XLOOKUP(Customer[[#This Row],[Customer ID]],[1]!Name[ID],[1]!Name[Description(1)])</f>
        <v>HOSPIMART SHOPPE, KUANTAN</v>
      </c>
      <c r="C967" s="38" t="str">
        <f>_xlfn.XLOOKUP(Customer[[#This Row],[Customer ID]],[1]!Name[ID],[1]!Name[Description(2)])</f>
        <v/>
      </c>
      <c r="D967" s="38" t="str">
        <f>_xlfn.XLOOKUP(Customer[[#This Row],[Customer ID]],[1]!Address[ID],[1]!Address[PIC])</f>
        <v/>
      </c>
      <c r="E967" s="38" t="str">
        <f>_xlfn.XLOOKUP(Customer[[#This Row],[Customer ID]],[1]!Address[ID],[1]!Address[Full Address])</f>
        <v>HOSPIMART SHOPPE, Aras BawahBangunan Utama, Hospital TengkuAmpuan Afzan, 25100 Kuantan, Pahang</v>
      </c>
      <c r="F967" s="12" t="s">
        <v>6681</v>
      </c>
      <c r="G967" s="12" t="s">
        <v>6682</v>
      </c>
      <c r="H967" s="12" t="s">
        <v>6683</v>
      </c>
      <c r="I967" s="12" t="b">
        <f>ISNUMBER(VALUE(LEFT(Customer[[#This Row],[Address Line 3 (30 char)]],1)))</f>
        <v>0</v>
      </c>
      <c r="J967" s="12" t="s">
        <v>339</v>
      </c>
      <c r="K967" s="12">
        <v>25100</v>
      </c>
      <c r="L967" s="12" t="s">
        <v>35</v>
      </c>
      <c r="M967" s="13" t="e">
        <v>#N/A</v>
      </c>
      <c r="N967" s="14" t="e">
        <v>#N/A</v>
      </c>
      <c r="O967" s="14" t="e">
        <v>#N/A</v>
      </c>
      <c r="P967" s="14" t="e">
        <v>#N/A</v>
      </c>
      <c r="Q967" s="14" t="e">
        <v>#N/A</v>
      </c>
      <c r="R967" s="15" t="s">
        <v>6684</v>
      </c>
      <c r="S967" s="15" t="s">
        <v>3476</v>
      </c>
      <c r="T967" s="16" t="s">
        <v>3477</v>
      </c>
      <c r="U967" s="11" t="str">
        <f>_xlfn.XLOOKUP(Customer[[#This Row],[Customer ID]],[1]!Address[ID],[1]!Address[Phone No.(2)])</f>
        <v/>
      </c>
      <c r="V967" s="11" t="str">
        <f>_xlfn.XLOOKUP(Customer[[#This Row],[Customer ID]],[1]!Address[ID],[1]!Address[Type])</f>
        <v>CM</v>
      </c>
      <c r="W967" s="11" t="str">
        <f>_xlfn.XLOOKUP(Customer[[#This Row],[Customer ID]],[1]!Address[ID],[1]!Address[CT])</f>
        <v>30 DAYS</v>
      </c>
      <c r="X967" s="11"/>
      <c r="Y967" s="17" t="s">
        <v>5918</v>
      </c>
      <c r="Z967" s="17" t="e">
        <f>_xlfn.XLOOKUP(Customer[[#This Row],[NewType]],$AF$36:$AF$54,$AG$36:$AG$54)</f>
        <v>#N/A</v>
      </c>
      <c r="AA967" s="17" t="s">
        <v>6685</v>
      </c>
      <c r="AB967" s="11" t="str">
        <f>_xlfn.XLOOKUP(Customer[[#This Row],[Customer ID]],[1]!Address[ID],[1]!Address[Subtype])</f>
        <v>THB</v>
      </c>
      <c r="AC967" s="18">
        <f>_xlfn.XLOOKUP(Customer[[#This Row],[Customer ID]],[1]!Address[ID],[1]!Address[Zone])</f>
        <v>0</v>
      </c>
    </row>
    <row r="968" spans="1:30" x14ac:dyDescent="0.3">
      <c r="A968" s="37" t="s">
        <v>6686</v>
      </c>
      <c r="B968" s="38" t="str">
        <f>_xlfn.XLOOKUP(Customer[[#This Row],[Customer ID]],[1]!Name[ID],[1]!Name[Description(1)])</f>
        <v>HAJI HADI</v>
      </c>
      <c r="C968" s="38" t="str">
        <f>_xlfn.XLOOKUP(Customer[[#This Row],[Customer ID]],[1]!Name[ID],[1]!Name[Description(2)])</f>
        <v/>
      </c>
      <c r="D968" s="38" t="str">
        <f>_xlfn.XLOOKUP(Customer[[#This Row],[Customer ID]],[1]!Address[ID],[1]!Address[PIC])</f>
        <v/>
      </c>
      <c r="E968" s="38" t="str">
        <f>_xlfn.XLOOKUP(Customer[[#This Row],[Customer ID]],[1]!Address[ID],[1]!Address[Full Address])</f>
        <v>RANTAU</v>
      </c>
      <c r="F968" s="12" t="s">
        <v>6428</v>
      </c>
      <c r="G968" s="12" t="s">
        <v>36</v>
      </c>
      <c r="H968" s="12" t="s">
        <v>36</v>
      </c>
      <c r="I968" s="12" t="b">
        <f>ISNUMBER(VALUE(LEFT(Customer[[#This Row],[Address Line 3 (30 char)]],1)))</f>
        <v>0</v>
      </c>
      <c r="J968" s="12" t="s">
        <v>339</v>
      </c>
      <c r="K968" s="12">
        <v>25100</v>
      </c>
      <c r="L968" s="12" t="s">
        <v>35</v>
      </c>
      <c r="M968" s="13" t="e">
        <v>#N/A</v>
      </c>
      <c r="N968" s="14" t="e">
        <v>#N/A</v>
      </c>
      <c r="O968" s="14" t="e">
        <v>#N/A</v>
      </c>
      <c r="P968" s="14" t="e">
        <v>#N/A</v>
      </c>
      <c r="Q968" s="14" t="e">
        <v>#N/A</v>
      </c>
      <c r="R968" s="15" t="s">
        <v>6687</v>
      </c>
      <c r="S968" s="16" t="s">
        <v>6283</v>
      </c>
      <c r="T968" s="16"/>
      <c r="U968" s="11" t="str">
        <f>_xlfn.XLOOKUP(Customer[[#This Row],[Customer ID]],[1]!Address[ID],[1]!Address[Phone No.(2)])</f>
        <v/>
      </c>
      <c r="V968" s="11" t="str">
        <f>_xlfn.XLOOKUP(Customer[[#This Row],[Customer ID]],[1]!Address[ID],[1]!Address[Type])</f>
        <v>WALK IN</v>
      </c>
      <c r="W968" s="11" t="str">
        <f>_xlfn.XLOOKUP(Customer[[#This Row],[Customer ID]],[1]!Address[ID],[1]!Address[CT])</f>
        <v/>
      </c>
      <c r="X968" s="11"/>
      <c r="Y968" s="17" t="s">
        <v>6284</v>
      </c>
      <c r="Z968" s="17" t="e">
        <f>_xlfn.XLOOKUP(Customer[[#This Row],[NewType]],$AF$36:$AF$54,$AG$36:$AG$54)</f>
        <v>#N/A</v>
      </c>
      <c r="AA968" s="17" t="s">
        <v>6688</v>
      </c>
      <c r="AB968" s="11" t="str">
        <f>_xlfn.XLOOKUP(Customer[[#This Row],[Customer ID]],[1]!Address[ID],[1]!Address[Subtype])</f>
        <v>RANTAU</v>
      </c>
      <c r="AC968" s="18" t="str">
        <f>_xlfn.XLOOKUP(Customer[[#This Row],[Customer ID]],[1]!Address[ID],[1]!Address[Zone])</f>
        <v>U H</v>
      </c>
    </row>
    <row r="969" spans="1:30" x14ac:dyDescent="0.3">
      <c r="A969" s="45" t="s">
        <v>6689</v>
      </c>
      <c r="B969" s="32" t="str">
        <f>_xlfn.XLOOKUP(Customer[[#This Row],[Customer ID]],[1]!Name[ID],[1]!Name[Description(1)])</f>
        <v>FARAH</v>
      </c>
      <c r="C969" s="32" t="str">
        <f>_xlfn.XLOOKUP(Customer[[#This Row],[Customer ID]],[1]!Name[ID],[1]!Name[Description(2)])</f>
        <v/>
      </c>
      <c r="D969" s="38" t="str">
        <f>_xlfn.XLOOKUP(Customer[[#This Row],[Customer ID]],[1]!Address[ID],[1]!Address[PIC])</f>
        <v/>
      </c>
      <c r="E969" s="38" t="str">
        <f>_xlfn.XLOOKUP(Customer[[#This Row],[Customer ID]],[1]!Address[ID],[1]!Address[Full Address])</f>
        <v>NYATOH</v>
      </c>
      <c r="F969" s="12" t="s">
        <v>6690</v>
      </c>
      <c r="G969" s="12" t="s">
        <v>36</v>
      </c>
      <c r="H969" s="12" t="s">
        <v>36</v>
      </c>
      <c r="I969" s="12" t="b">
        <f>ISNUMBER(VALUE(LEFT(Customer[[#This Row],[Address Line 3 (30 char)]],1)))</f>
        <v>0</v>
      </c>
      <c r="J969" s="32"/>
      <c r="K969" s="32"/>
      <c r="L969" s="12" t="s">
        <v>35</v>
      </c>
      <c r="M969" s="13" t="e">
        <v>#N/A</v>
      </c>
      <c r="N969" s="14" t="e">
        <v>#N/A</v>
      </c>
      <c r="O969" s="14" t="e">
        <v>#N/A</v>
      </c>
      <c r="P969" s="14" t="e">
        <v>#N/A</v>
      </c>
      <c r="Q969" s="14" t="e">
        <v>#N/A</v>
      </c>
      <c r="R969" s="15" t="s">
        <v>6691</v>
      </c>
      <c r="S969" s="16" t="s">
        <v>6283</v>
      </c>
      <c r="T969" s="16"/>
      <c r="U969" s="11" t="str">
        <f>_xlfn.XLOOKUP(Customer[[#This Row],[Customer ID]],[1]!Address[ID],[1]!Address[Phone No.(2)])</f>
        <v/>
      </c>
      <c r="V969" s="11" t="str">
        <f>_xlfn.XLOOKUP(Customer[[#This Row],[Customer ID]],[1]!Address[ID],[1]!Address[Type])</f>
        <v>WALK IN</v>
      </c>
      <c r="W969" s="11" t="str">
        <f>_xlfn.XLOOKUP(Customer[[#This Row],[Customer ID]],[1]!Address[ID],[1]!Address[CT])</f>
        <v/>
      </c>
      <c r="X969" s="11"/>
      <c r="Y969" s="17" t="s">
        <v>6284</v>
      </c>
      <c r="Z969" s="17" t="e">
        <f>_xlfn.XLOOKUP(Customer[[#This Row],[NewType]],$AF$36:$AF$54,$AG$36:$AG$54)</f>
        <v>#N/A</v>
      </c>
      <c r="AA969" s="17" t="s">
        <v>6692</v>
      </c>
      <c r="AB969" s="11" t="str">
        <f>_xlfn.XLOOKUP(Customer[[#This Row],[Customer ID]],[1]!Address[ID],[1]!Address[Subtype])</f>
        <v>RANTAU</v>
      </c>
      <c r="AC969" s="18" t="str">
        <f>_xlfn.XLOOKUP(Customer[[#This Row],[Customer ID]],[1]!Address[ID],[1]!Address[Zone])</f>
        <v>U H</v>
      </c>
    </row>
    <row r="970" spans="1:30" x14ac:dyDescent="0.3">
      <c r="A970" s="45" t="s">
        <v>6693</v>
      </c>
      <c r="B970" s="32" t="str">
        <f>_xlfn.XLOOKUP(Customer[[#This Row],[Customer ID]],[1]!Name[ID],[1]!Name[Description(1)])</f>
        <v>WATI</v>
      </c>
      <c r="C970" s="32" t="str">
        <f>_xlfn.XLOOKUP(Customer[[#This Row],[Customer ID]],[1]!Name[ID],[1]!Name[Description(2)])</f>
        <v/>
      </c>
      <c r="D970" s="38" t="str">
        <f>_xlfn.XLOOKUP(Customer[[#This Row],[Customer ID]],[1]!Address[ID],[1]!Address[PIC])</f>
        <v/>
      </c>
      <c r="E970" s="38" t="str">
        <f>_xlfn.XLOOKUP(Customer[[#This Row],[Customer ID]],[1]!Address[ID],[1]!Address[Full Address])</f>
        <v>RANTAU</v>
      </c>
      <c r="F970" s="12" t="s">
        <v>6428</v>
      </c>
      <c r="G970" s="12" t="s">
        <v>36</v>
      </c>
      <c r="H970" s="12" t="s">
        <v>36</v>
      </c>
      <c r="I970" s="12" t="b">
        <f>ISNUMBER(VALUE(LEFT(Customer[[#This Row],[Address Line 3 (30 char)]],1)))</f>
        <v>0</v>
      </c>
      <c r="J970" s="32"/>
      <c r="K970" s="32"/>
      <c r="L970" s="12" t="s">
        <v>35</v>
      </c>
      <c r="M970" s="13" t="e">
        <v>#N/A</v>
      </c>
      <c r="N970" s="14" t="e">
        <v>#N/A</v>
      </c>
      <c r="O970" s="14" t="e">
        <v>#N/A</v>
      </c>
      <c r="P970" s="14" t="e">
        <v>#N/A</v>
      </c>
      <c r="Q970" s="14" t="e">
        <v>#N/A</v>
      </c>
      <c r="R970" s="15" t="s">
        <v>6694</v>
      </c>
      <c r="S970" s="16" t="s">
        <v>6283</v>
      </c>
      <c r="T970" s="16"/>
      <c r="U970" s="11" t="str">
        <f>_xlfn.XLOOKUP(Customer[[#This Row],[Customer ID]],[1]!Address[ID],[1]!Address[Phone No.(2)])</f>
        <v/>
      </c>
      <c r="V970" s="11" t="str">
        <f>_xlfn.XLOOKUP(Customer[[#This Row],[Customer ID]],[1]!Address[ID],[1]!Address[Type])</f>
        <v>WALK IN</v>
      </c>
      <c r="W970" s="11" t="str">
        <f>_xlfn.XLOOKUP(Customer[[#This Row],[Customer ID]],[1]!Address[ID],[1]!Address[CT])</f>
        <v/>
      </c>
      <c r="X970" s="11"/>
      <c r="Y970" s="17" t="s">
        <v>6284</v>
      </c>
      <c r="Z970" s="17" t="e">
        <f>_xlfn.XLOOKUP(Customer[[#This Row],[NewType]],$AF$36:$AF$54,$AG$36:$AG$54)</f>
        <v>#N/A</v>
      </c>
      <c r="AA970" s="17" t="s">
        <v>6695</v>
      </c>
      <c r="AB970" s="11" t="str">
        <f>_xlfn.XLOOKUP(Customer[[#This Row],[Customer ID]],[1]!Address[ID],[1]!Address[Subtype])</f>
        <v>RANTAU</v>
      </c>
      <c r="AC970" s="18" t="str">
        <f>_xlfn.XLOOKUP(Customer[[#This Row],[Customer ID]],[1]!Address[ID],[1]!Address[Zone])</f>
        <v>U H</v>
      </c>
    </row>
    <row r="971" spans="1:30" x14ac:dyDescent="0.3">
      <c r="A971" s="45" t="s">
        <v>6696</v>
      </c>
      <c r="B971" s="32" t="str">
        <f>_xlfn.XLOOKUP(Customer[[#This Row],[Customer ID]],[1]!Name[ID],[1]!Name[Description(1)])</f>
        <v>MUHAMMAD KHIR BIN ABD MAJID</v>
      </c>
      <c r="C971" s="32" t="str">
        <f>_xlfn.XLOOKUP(Customer[[#This Row],[Customer ID]],[1]!Name[ID],[1]!Name[Description(2)])</f>
        <v/>
      </c>
      <c r="D971" s="38" t="str">
        <f>_xlfn.XLOOKUP(Customer[[#This Row],[Customer ID]],[1]!Address[ID],[1]!Address[PIC])</f>
        <v/>
      </c>
      <c r="E971" s="38" t="str">
        <f>_xlfn.XLOOKUP(Customer[[#This Row],[Customer ID]],[1]!Address[ID],[1]!Address[Full Address])</f>
        <v>PINGGIRAN SENAWANG</v>
      </c>
      <c r="F971" s="12" t="s">
        <v>6697</v>
      </c>
      <c r="G971" s="12" t="s">
        <v>36</v>
      </c>
      <c r="H971" s="12" t="s">
        <v>36</v>
      </c>
      <c r="I971" s="12" t="b">
        <f>ISNUMBER(VALUE(LEFT(Customer[[#This Row],[Address Line 3 (30 char)]],1)))</f>
        <v>0</v>
      </c>
      <c r="J971" s="32"/>
      <c r="K971" s="32"/>
      <c r="L971" s="12" t="s">
        <v>35</v>
      </c>
      <c r="M971" s="13" t="e">
        <v>#N/A</v>
      </c>
      <c r="N971" s="14" t="e">
        <v>#N/A</v>
      </c>
      <c r="O971" s="14" t="e">
        <v>#N/A</v>
      </c>
      <c r="P971" s="14" t="e">
        <v>#N/A</v>
      </c>
      <c r="Q971" s="14" t="e">
        <v>#N/A</v>
      </c>
      <c r="R971" s="15" t="s">
        <v>6698</v>
      </c>
      <c r="S971" s="16" t="s">
        <v>6283</v>
      </c>
      <c r="T971" s="16"/>
      <c r="U971" s="11" t="str">
        <f>_xlfn.XLOOKUP(Customer[[#This Row],[Customer ID]],[1]!Address[ID],[1]!Address[Phone No.(2)])</f>
        <v/>
      </c>
      <c r="V971" s="11" t="str">
        <f>_xlfn.XLOOKUP(Customer[[#This Row],[Customer ID]],[1]!Address[ID],[1]!Address[Type])</f>
        <v>WALK IN</v>
      </c>
      <c r="W971" s="11" t="str">
        <f>_xlfn.XLOOKUP(Customer[[#This Row],[Customer ID]],[1]!Address[ID],[1]!Address[CT])</f>
        <v/>
      </c>
      <c r="X971" s="11"/>
      <c r="Y971" s="17" t="s">
        <v>6284</v>
      </c>
      <c r="Z971" s="17" t="e">
        <f>_xlfn.XLOOKUP(Customer[[#This Row],[NewType]],$AF$36:$AF$54,$AG$36:$AG$54)</f>
        <v>#N/A</v>
      </c>
      <c r="AA971" s="17" t="s">
        <v>6699</v>
      </c>
      <c r="AB971" s="11" t="str">
        <f>_xlfn.XLOOKUP(Customer[[#This Row],[Customer ID]],[1]!Address[ID],[1]!Address[Subtype])</f>
        <v>RANTAU</v>
      </c>
      <c r="AC971" s="18" t="str">
        <f>_xlfn.XLOOKUP(Customer[[#This Row],[Customer ID]],[1]!Address[ID],[1]!Address[Zone])</f>
        <v>U H</v>
      </c>
    </row>
    <row r="972" spans="1:30" x14ac:dyDescent="0.3">
      <c r="A972" s="46" t="s">
        <v>6700</v>
      </c>
      <c r="B972" s="24" t="str">
        <f>_xlfn.XLOOKUP(Customer[[#This Row],[Customer ID]],[1]!Name[ID],[1]!Name[Description(1)])</f>
        <v>ORDER CUSTOMER SHOPEE</v>
      </c>
      <c r="C972" s="24" t="str">
        <f>_xlfn.XLOOKUP(Customer[[#This Row],[Customer ID]],[1]!Name[ID],[1]!Name[Description(2)])</f>
        <v/>
      </c>
      <c r="D972" s="38" t="str">
        <f>_xlfn.XLOOKUP(Customer[[#This Row],[Customer ID]],[1]!Address[ID],[1]!Address[PIC])</f>
        <v/>
      </c>
      <c r="E972" s="38" t="str">
        <f>_xlfn.XLOOKUP(Customer[[#This Row],[Customer ID]],[1]!Address[ID],[1]!Address[Full Address])</f>
        <v/>
      </c>
      <c r="F972" s="12" t="s">
        <v>36</v>
      </c>
      <c r="G972" s="12" t="s">
        <v>36</v>
      </c>
      <c r="H972" s="12" t="s">
        <v>36</v>
      </c>
      <c r="I972" s="12" t="b">
        <f>ISNUMBER(VALUE(LEFT(Customer[[#This Row],[Address Line 3 (30 char)]],1)))</f>
        <v>0</v>
      </c>
      <c r="J972" s="24"/>
      <c r="K972" s="24"/>
      <c r="L972" s="12" t="s">
        <v>35</v>
      </c>
      <c r="M972" s="13" t="e">
        <v>#N/A</v>
      </c>
      <c r="N972" s="14" t="e">
        <v>#N/A</v>
      </c>
      <c r="O972" s="14" t="e">
        <v>#N/A</v>
      </c>
      <c r="P972" s="14" t="e">
        <v>#N/A</v>
      </c>
      <c r="Q972" s="14" t="e">
        <v>#N/A</v>
      </c>
      <c r="R972" s="15" t="s">
        <v>36</v>
      </c>
      <c r="S972" s="16" t="s">
        <v>89</v>
      </c>
      <c r="T972" s="16" t="s">
        <v>6283</v>
      </c>
      <c r="U972" s="11" t="str">
        <f>_xlfn.XLOOKUP(Customer[[#This Row],[Customer ID]],[1]!Address[ID],[1]!Address[Phone No.(2)])</f>
        <v/>
      </c>
      <c r="V972" s="11" t="str">
        <f>_xlfn.XLOOKUP(Customer[[#This Row],[Customer ID]],[1]!Address[ID],[1]!Address[Type])</f>
        <v>SOCMED</v>
      </c>
      <c r="W972" s="11" t="str">
        <f>_xlfn.XLOOKUP(Customer[[#This Row],[Customer ID]],[1]!Address[ID],[1]!Address[CT])</f>
        <v/>
      </c>
      <c r="X972" s="11"/>
      <c r="Y972" s="17" t="s">
        <v>90</v>
      </c>
      <c r="Z972" s="17" t="e">
        <f>_xlfn.XLOOKUP(Customer[[#This Row],[NewType]],$AF$36:$AF$54,$AG$36:$AG$54)</f>
        <v>#N/A</v>
      </c>
      <c r="AA972" s="17" t="s">
        <v>6701</v>
      </c>
      <c r="AB972" s="11" t="str">
        <f>_xlfn.XLOOKUP(Customer[[#This Row],[Customer ID]],[1]!Address[ID],[1]!Address[Subtype])</f>
        <v>SHOPEE</v>
      </c>
      <c r="AC972" s="18" t="str">
        <f>_xlfn.XLOOKUP(Customer[[#This Row],[Customer ID]],[1]!Address[ID],[1]!Address[Zone])</f>
        <v>EEEDH</v>
      </c>
    </row>
    <row r="973" spans="1:30" x14ac:dyDescent="0.3">
      <c r="A973" s="45" t="s">
        <v>6702</v>
      </c>
      <c r="B973" s="32" t="str">
        <f>_xlfn.XLOOKUP(Customer[[#This Row],[Customer ID]],[1]!Name[ID],[1]!Name[Description(1)])</f>
        <v>ZAFIAN BIN MOHD RASIDI</v>
      </c>
      <c r="C973" s="32" t="str">
        <f>_xlfn.XLOOKUP(Customer[[#This Row],[Customer ID]],[1]!Name[ID],[1]!Name[Description(2)])</f>
        <v/>
      </c>
      <c r="D973" s="38" t="str">
        <f>_xlfn.XLOOKUP(Customer[[#This Row],[Customer ID]],[1]!Address[ID],[1]!Address[PIC])</f>
        <v/>
      </c>
      <c r="E973" s="38" t="str">
        <f>_xlfn.XLOOKUP(Customer[[#This Row],[Customer ID]],[1]!Address[ID],[1]!Address[Full Address])</f>
        <v>PINGGIRAN SENAWANG</v>
      </c>
      <c r="F973" s="12" t="s">
        <v>6697</v>
      </c>
      <c r="G973" s="12" t="s">
        <v>36</v>
      </c>
      <c r="H973" s="12" t="s">
        <v>36</v>
      </c>
      <c r="I973" s="12" t="b">
        <f>ISNUMBER(VALUE(LEFT(Customer[[#This Row],[Address Line 3 (30 char)]],1)))</f>
        <v>0</v>
      </c>
      <c r="J973" s="32"/>
      <c r="K973" s="32"/>
      <c r="L973" s="12" t="s">
        <v>35</v>
      </c>
      <c r="M973" s="13" t="e">
        <v>#N/A</v>
      </c>
      <c r="N973" s="14" t="e">
        <v>#N/A</v>
      </c>
      <c r="O973" s="14" t="e">
        <v>#N/A</v>
      </c>
      <c r="P973" s="14" t="e">
        <v>#N/A</v>
      </c>
      <c r="Q973" s="14" t="e">
        <v>#N/A</v>
      </c>
      <c r="R973" s="15" t="s">
        <v>6703</v>
      </c>
      <c r="S973" s="16" t="s">
        <v>6283</v>
      </c>
      <c r="T973" s="16"/>
      <c r="U973" s="11" t="str">
        <f>_xlfn.XLOOKUP(Customer[[#This Row],[Customer ID]],[1]!Address[ID],[1]!Address[Phone No.(2)])</f>
        <v/>
      </c>
      <c r="V973" s="11" t="str">
        <f>_xlfn.XLOOKUP(Customer[[#This Row],[Customer ID]],[1]!Address[ID],[1]!Address[Type])</f>
        <v>WALK IN</v>
      </c>
      <c r="W973" s="11" t="str">
        <f>_xlfn.XLOOKUP(Customer[[#This Row],[Customer ID]],[1]!Address[ID],[1]!Address[CT])</f>
        <v/>
      </c>
      <c r="X973" s="11"/>
      <c r="Y973" s="17" t="s">
        <v>6284</v>
      </c>
      <c r="Z973" s="17" t="e">
        <f>_xlfn.XLOOKUP(Customer[[#This Row],[NewType]],$AF$36:$AF$54,$AG$36:$AG$54)</f>
        <v>#N/A</v>
      </c>
      <c r="AA973" s="17" t="s">
        <v>6704</v>
      </c>
      <c r="AB973" s="11" t="str">
        <f>_xlfn.XLOOKUP(Customer[[#This Row],[Customer ID]],[1]!Address[ID],[1]!Address[Subtype])</f>
        <v>RANTAU</v>
      </c>
      <c r="AC973" s="18" t="str">
        <f>_xlfn.XLOOKUP(Customer[[#This Row],[Customer ID]],[1]!Address[ID],[1]!Address[Zone])</f>
        <v>U H</v>
      </c>
    </row>
    <row r="974" spans="1:30" x14ac:dyDescent="0.3">
      <c r="A974" s="10" t="s">
        <v>6705</v>
      </c>
      <c r="B974" s="11" t="str">
        <f>_xlfn.XLOOKUP(Customer[[#This Row],[Customer ID]],[1]!Name[ID],[1]!Name[Description(1)])</f>
        <v>PUAN SAADIAH BT IDRUS</v>
      </c>
      <c r="C974" s="38" t="str">
        <f>_xlfn.XLOOKUP(Customer[[#This Row],[Customer ID]],[1]!Name[ID],[1]!Name[Description(2)])</f>
        <v/>
      </c>
      <c r="D974" s="38" t="str">
        <f>_xlfn.XLOOKUP(Customer[[#This Row],[Customer ID]],[1]!Address[ID],[1]!Address[PIC])</f>
        <v>SAADIAH</v>
      </c>
      <c r="E974" s="38" t="str">
        <f>_xlfn.XLOOKUP(Customer[[#This Row],[Customer ID]],[1]!Address[ID],[1]!Address[Full Address])</f>
        <v>NO 5, JALAN MERANTI 3,TMN BUKIT CHEDANG70300 SEREMBAN</v>
      </c>
      <c r="F974" s="12" t="s">
        <v>6706</v>
      </c>
      <c r="G974" s="12" t="s">
        <v>6707</v>
      </c>
      <c r="H974" s="24" t="s">
        <v>2411</v>
      </c>
      <c r="I974" s="24" t="b">
        <f>ISNUMBER(VALUE(LEFT(Customer[[#This Row],[Address Line 3 (30 char)]],1)))</f>
        <v>0</v>
      </c>
      <c r="J974" s="12" t="s">
        <v>203</v>
      </c>
      <c r="K974" s="12">
        <v>70300</v>
      </c>
      <c r="L974" s="12" t="s">
        <v>35</v>
      </c>
      <c r="M974" s="13">
        <v>540327055394</v>
      </c>
      <c r="N974" s="14" t="s">
        <v>6708</v>
      </c>
      <c r="O974" s="14" t="e">
        <v>#N/A</v>
      </c>
      <c r="P974" s="14" t="e">
        <v>#N/A</v>
      </c>
      <c r="Q974" s="14" t="e">
        <v>#N/A</v>
      </c>
      <c r="R974" s="15" t="s">
        <v>6709</v>
      </c>
      <c r="S974" s="16" t="s">
        <v>89</v>
      </c>
      <c r="T974" s="16" t="s">
        <v>89</v>
      </c>
      <c r="U974" s="11" t="str">
        <f>_xlfn.XLOOKUP(Customer[[#This Row],[Customer ID]],[1]!Address[ID],[1]!Address[Phone No.(2)])</f>
        <v/>
      </c>
      <c r="V974" s="11" t="str">
        <f>_xlfn.XLOOKUP(Customer[[#This Row],[Customer ID]],[1]!Address[ID],[1]!Address[Type])</f>
        <v>SOCMED</v>
      </c>
      <c r="W974" s="11" t="str">
        <f>_xlfn.XLOOKUP(Customer[[#This Row],[Customer ID]],[1]!Address[ID],[1]!Address[CT])</f>
        <v/>
      </c>
      <c r="X974" s="11"/>
      <c r="Y974" s="17" t="s">
        <v>90</v>
      </c>
      <c r="Z974" s="17" t="e">
        <f>_xlfn.XLOOKUP(Customer[[#This Row],[NewType]],$AF$36:$AF$54,$AG$36:$AG$54)</f>
        <v>#N/A</v>
      </c>
      <c r="AA974" s="17" t="s">
        <v>6710</v>
      </c>
      <c r="AB974" s="11" t="str">
        <f>_xlfn.XLOOKUP(Customer[[#This Row],[Customer ID]],[1]!Address[ID],[1]!Address[Subtype])</f>
        <v>WHATSAPP</v>
      </c>
      <c r="AC974" s="18" t="str">
        <f>_xlfn.XLOOKUP(Customer[[#This Row],[Customer ID]],[1]!Address[ID],[1]!Address[Zone])</f>
        <v>CENTRAL</v>
      </c>
    </row>
    <row r="975" spans="1:30" x14ac:dyDescent="0.3">
      <c r="A975" s="37" t="s">
        <v>6711</v>
      </c>
      <c r="B975" s="38" t="str">
        <f>_xlfn.XLOOKUP(Customer[[#This Row],[Customer ID]],[1]!Name[ID],[1]!Name[Description(1)])</f>
        <v>SHELL JET MELATI</v>
      </c>
      <c r="C975" s="38" t="str">
        <f>_xlfn.XLOOKUP(Customer[[#This Row],[Customer ID]],[1]!Name[ID],[1]!Name[Description(2)])</f>
        <v/>
      </c>
      <c r="D975" s="38" t="str">
        <f>_xlfn.XLOOKUP(Customer[[#This Row],[Customer ID]],[1]!Address[ID],[1]!Address[PIC])</f>
        <v/>
      </c>
      <c r="E975" s="38" t="str">
        <f>_xlfn.XLOOKUP(Customer[[#This Row],[Customer ID]],[1]!Address[ID],[1]!Address[Full Address])</f>
        <v>5729, Jalan Lingkaran Tengah 1lNbakT 68100Gombak, Selangor</v>
      </c>
      <c r="F975" s="12" t="s">
        <v>6712</v>
      </c>
      <c r="G975" s="12" t="s">
        <v>6713</v>
      </c>
      <c r="H975" s="12" t="s">
        <v>6714</v>
      </c>
      <c r="I975" s="12" t="b">
        <f>ISNUMBER(VALUE(LEFT(Customer[[#This Row],[Address Line 3 (30 char)]],1)))</f>
        <v>0</v>
      </c>
      <c r="J975" s="12" t="s">
        <v>6715</v>
      </c>
      <c r="K975" s="12">
        <v>68100</v>
      </c>
      <c r="L975" s="12" t="s">
        <v>35</v>
      </c>
      <c r="M975" s="13">
        <v>200101020439</v>
      </c>
      <c r="N975" s="14" t="s">
        <v>6716</v>
      </c>
      <c r="O975" s="14" t="e">
        <v>#N/A</v>
      </c>
      <c r="P975" s="14" t="e">
        <v>#N/A</v>
      </c>
      <c r="Q975" s="14" t="e">
        <v>#N/A</v>
      </c>
      <c r="R975" s="15" t="s">
        <v>6717</v>
      </c>
      <c r="S975" s="15" t="s">
        <v>37</v>
      </c>
      <c r="T975" s="16" t="s">
        <v>38</v>
      </c>
      <c r="U975" s="11" t="str">
        <f>_xlfn.XLOOKUP(Customer[[#This Row],[Customer ID]],[1]!Address[ID],[1]!Address[Phone No.(2)])</f>
        <v/>
      </c>
      <c r="V975" s="11" t="str">
        <f>_xlfn.XLOOKUP(Customer[[#This Row],[Customer ID]],[1]!Address[ID],[1]!Address[Type])</f>
        <v>PETROMART</v>
      </c>
      <c r="W975" s="11" t="str">
        <f>_xlfn.XLOOKUP(Customer[[#This Row],[Customer ID]],[1]!Address[ID],[1]!Address[CT])</f>
        <v>30 DAYS</v>
      </c>
      <c r="X975" s="11" t="s">
        <v>39</v>
      </c>
      <c r="Y975" s="17" t="s">
        <v>40</v>
      </c>
      <c r="Z975" s="17" t="e">
        <f>_xlfn.XLOOKUP(Customer[[#This Row],[NewType]],$AF$36:$AF$54,$AG$36:$AG$54)</f>
        <v>#N/A</v>
      </c>
      <c r="AA975" s="17" t="s">
        <v>6718</v>
      </c>
      <c r="AB975" s="11" t="str">
        <f>_xlfn.XLOOKUP(Customer[[#This Row],[Customer ID]],[1]!Address[ID],[1]!Address[Subtype])</f>
        <v>SHELL</v>
      </c>
      <c r="AC975" s="18" t="str">
        <f>_xlfn.XLOOKUP(Customer[[#This Row],[Customer ID]],[1]!Address[ID],[1]!Address[Zone])</f>
        <v>CENTRAL</v>
      </c>
    </row>
    <row r="976" spans="1:30" x14ac:dyDescent="0.3">
      <c r="A976" s="45" t="s">
        <v>6719</v>
      </c>
      <c r="B976" s="32" t="str">
        <f>_xlfn.XLOOKUP(Customer[[#This Row],[Customer ID]],[1]!Name[ID],[1]!Name[Description(1)])</f>
        <v>BIBI ZURAIDAH</v>
      </c>
      <c r="C976" s="32" t="str">
        <f>_xlfn.XLOOKUP(Customer[[#This Row],[Customer ID]],[1]!Name[ID],[1]!Name[Description(2)])</f>
        <v/>
      </c>
      <c r="D976" s="38" t="str">
        <f>_xlfn.XLOOKUP(Customer[[#This Row],[Customer ID]],[1]!Address[ID],[1]!Address[PIC])</f>
        <v/>
      </c>
      <c r="E976" s="38" t="str">
        <f>_xlfn.XLOOKUP(Customer[[#This Row],[Customer ID]],[1]!Address[ID],[1]!Address[Full Address])</f>
        <v>TAMAN MARIDA, SENAWANG</v>
      </c>
      <c r="F976" s="12" t="s">
        <v>6720</v>
      </c>
      <c r="G976" s="12" t="s">
        <v>36</v>
      </c>
      <c r="H976" s="12" t="s">
        <v>36</v>
      </c>
      <c r="I976" s="12" t="b">
        <f>ISNUMBER(VALUE(LEFT(Customer[[#This Row],[Address Line 3 (30 char)]],1)))</f>
        <v>0</v>
      </c>
      <c r="J976" s="32"/>
      <c r="K976" s="32"/>
      <c r="L976" s="12" t="s">
        <v>35</v>
      </c>
      <c r="M976" s="13" t="e">
        <v>#N/A</v>
      </c>
      <c r="N976" s="14" t="e">
        <v>#N/A</v>
      </c>
      <c r="O976" s="14" t="e">
        <v>#N/A</v>
      </c>
      <c r="P976" s="14" t="e">
        <v>#N/A</v>
      </c>
      <c r="Q976" s="14" t="e">
        <v>#N/A</v>
      </c>
      <c r="R976" s="15" t="s">
        <v>6721</v>
      </c>
      <c r="S976" s="16" t="s">
        <v>6283</v>
      </c>
      <c r="T976" s="16"/>
      <c r="U976" s="11" t="str">
        <f>_xlfn.XLOOKUP(Customer[[#This Row],[Customer ID]],[1]!Address[ID],[1]!Address[Phone No.(2)])</f>
        <v/>
      </c>
      <c r="V976" s="11" t="str">
        <f>_xlfn.XLOOKUP(Customer[[#This Row],[Customer ID]],[1]!Address[ID],[1]!Address[Type])</f>
        <v>WALK IN</v>
      </c>
      <c r="W976" s="11" t="str">
        <f>_xlfn.XLOOKUP(Customer[[#This Row],[Customer ID]],[1]!Address[ID],[1]!Address[CT])</f>
        <v/>
      </c>
      <c r="X976" s="11"/>
      <c r="Y976" s="17" t="s">
        <v>6284</v>
      </c>
      <c r="Z976" s="17" t="e">
        <f>_xlfn.XLOOKUP(Customer[[#This Row],[NewType]],$AF$36:$AF$54,$AG$36:$AG$54)</f>
        <v>#N/A</v>
      </c>
      <c r="AA976" s="17" t="s">
        <v>6722</v>
      </c>
      <c r="AB976" s="11" t="str">
        <f>_xlfn.XLOOKUP(Customer[[#This Row],[Customer ID]],[1]!Address[ID],[1]!Address[Subtype])</f>
        <v>RANTAU</v>
      </c>
      <c r="AC976" s="18" t="str">
        <f>_xlfn.XLOOKUP(Customer[[#This Row],[Customer ID]],[1]!Address[ID],[1]!Address[Zone])</f>
        <v>U H</v>
      </c>
    </row>
    <row r="977" spans="1:29" x14ac:dyDescent="0.3">
      <c r="A977" s="45" t="s">
        <v>6723</v>
      </c>
      <c r="B977" s="32" t="str">
        <f>_xlfn.XLOOKUP(Customer[[#This Row],[Customer ID]],[1]!Name[ID],[1]!Name[Description(1)])</f>
        <v>PUAN FILA (IBU PELAJAR ANMAR)</v>
      </c>
      <c r="C977" s="32" t="str">
        <f>_xlfn.XLOOKUP(Customer[[#This Row],[Customer ID]],[1]!Name[ID],[1]!Name[Description(2)])</f>
        <v/>
      </c>
      <c r="D977" s="38" t="str">
        <f>_xlfn.XLOOKUP(Customer[[#This Row],[Customer ID]],[1]!Address[ID],[1]!Address[PIC])</f>
        <v/>
      </c>
      <c r="E977" s="38" t="str">
        <f>_xlfn.XLOOKUP(Customer[[#This Row],[Customer ID]],[1]!Address[ID],[1]!Address[Full Address])</f>
        <v>KUALA LUMPUR</v>
      </c>
      <c r="F977" s="12" t="s">
        <v>34</v>
      </c>
      <c r="G977" s="12" t="s">
        <v>36</v>
      </c>
      <c r="H977" s="12" t="s">
        <v>36</v>
      </c>
      <c r="I977" s="12" t="b">
        <f>ISNUMBER(VALUE(LEFT(Customer[[#This Row],[Address Line 3 (30 char)]],1)))</f>
        <v>0</v>
      </c>
      <c r="J977" s="32"/>
      <c r="K977" s="32"/>
      <c r="L977" s="12" t="s">
        <v>35</v>
      </c>
      <c r="M977" s="13" t="e">
        <v>#N/A</v>
      </c>
      <c r="N977" s="14" t="e">
        <v>#N/A</v>
      </c>
      <c r="O977" s="14" t="e">
        <v>#N/A</v>
      </c>
      <c r="P977" s="14" t="e">
        <v>#N/A</v>
      </c>
      <c r="Q977" s="14" t="e">
        <v>#N/A</v>
      </c>
      <c r="R977" s="15" t="s">
        <v>6724</v>
      </c>
      <c r="S977" s="16" t="s">
        <v>6283</v>
      </c>
      <c r="T977" s="16"/>
      <c r="U977" s="11" t="str">
        <f>_xlfn.XLOOKUP(Customer[[#This Row],[Customer ID]],[1]!Address[ID],[1]!Address[Phone No.(2)])</f>
        <v/>
      </c>
      <c r="V977" s="11" t="str">
        <f>_xlfn.XLOOKUP(Customer[[#This Row],[Customer ID]],[1]!Address[ID],[1]!Address[Type])</f>
        <v>WALK IN</v>
      </c>
      <c r="W977" s="11" t="str">
        <f>_xlfn.XLOOKUP(Customer[[#This Row],[Customer ID]],[1]!Address[ID],[1]!Address[CT])</f>
        <v/>
      </c>
      <c r="X977" s="11"/>
      <c r="Y977" s="17" t="s">
        <v>6284</v>
      </c>
      <c r="Z977" s="17" t="e">
        <f>_xlfn.XLOOKUP(Customer[[#This Row],[NewType]],$AF$36:$AF$54,$AG$36:$AG$54)</f>
        <v>#N/A</v>
      </c>
      <c r="AA977" s="17" t="s">
        <v>6725</v>
      </c>
      <c r="AB977" s="11" t="str">
        <f>_xlfn.XLOOKUP(Customer[[#This Row],[Customer ID]],[1]!Address[ID],[1]!Address[Subtype])</f>
        <v>RANTAU</v>
      </c>
      <c r="AC977" s="18" t="str">
        <f>_xlfn.XLOOKUP(Customer[[#This Row],[Customer ID]],[1]!Address[ID],[1]!Address[Zone])</f>
        <v>CENTRAL</v>
      </c>
    </row>
    <row r="978" spans="1:29" x14ac:dyDescent="0.3">
      <c r="A978" s="45" t="s">
        <v>6726</v>
      </c>
      <c r="B978" s="32" t="str">
        <f>_xlfn.XLOOKUP(Customer[[#This Row],[Customer ID]],[1]!Name[ID],[1]!Name[Description(1)])</f>
        <v>RAHMAN</v>
      </c>
      <c r="C978" s="32" t="str">
        <f>_xlfn.XLOOKUP(Customer[[#This Row],[Customer ID]],[1]!Name[ID],[1]!Name[Description(2)])</f>
        <v/>
      </c>
      <c r="D978" s="38" t="str">
        <f>_xlfn.XLOOKUP(Customer[[#This Row],[Customer ID]],[1]!Address[ID],[1]!Address[PIC])</f>
        <v/>
      </c>
      <c r="E978" s="38" t="str">
        <f>_xlfn.XLOOKUP(Customer[[#This Row],[Customer ID]],[1]!Address[ID],[1]!Address[Full Address])</f>
        <v>SDAR SG GADUT</v>
      </c>
      <c r="F978" s="12" t="s">
        <v>6727</v>
      </c>
      <c r="G978" s="12" t="s">
        <v>36</v>
      </c>
      <c r="H978" s="12" t="s">
        <v>36</v>
      </c>
      <c r="I978" s="12" t="b">
        <f>ISNUMBER(VALUE(LEFT(Customer[[#This Row],[Address Line 3 (30 char)]],1)))</f>
        <v>0</v>
      </c>
      <c r="J978" s="32"/>
      <c r="K978" s="32"/>
      <c r="L978" s="12" t="s">
        <v>35</v>
      </c>
      <c r="M978" s="13" t="e">
        <v>#N/A</v>
      </c>
      <c r="N978" s="14" t="e">
        <v>#N/A</v>
      </c>
      <c r="O978" s="14" t="e">
        <v>#N/A</v>
      </c>
      <c r="P978" s="14" t="e">
        <v>#N/A</v>
      </c>
      <c r="Q978" s="14" t="e">
        <v>#N/A</v>
      </c>
      <c r="R978" s="15" t="s">
        <v>6728</v>
      </c>
      <c r="S978" s="16" t="s">
        <v>6283</v>
      </c>
      <c r="T978" s="16"/>
      <c r="U978" s="11" t="str">
        <f>_xlfn.XLOOKUP(Customer[[#This Row],[Customer ID]],[1]!Address[ID],[1]!Address[Phone No.(2)])</f>
        <v/>
      </c>
      <c r="V978" s="11" t="str">
        <f>_xlfn.XLOOKUP(Customer[[#This Row],[Customer ID]],[1]!Address[ID],[1]!Address[Type])</f>
        <v>WALK IN</v>
      </c>
      <c r="W978" s="11" t="str">
        <f>_xlfn.XLOOKUP(Customer[[#This Row],[Customer ID]],[1]!Address[ID],[1]!Address[CT])</f>
        <v/>
      </c>
      <c r="X978" s="11"/>
      <c r="Y978" s="17" t="s">
        <v>6284</v>
      </c>
      <c r="Z978" s="17" t="e">
        <f>_xlfn.XLOOKUP(Customer[[#This Row],[NewType]],$AF$36:$AF$54,$AG$36:$AG$54)</f>
        <v>#N/A</v>
      </c>
      <c r="AA978" s="17" t="s">
        <v>6729</v>
      </c>
      <c r="AB978" s="11" t="str">
        <f>_xlfn.XLOOKUP(Customer[[#This Row],[Customer ID]],[1]!Address[ID],[1]!Address[Subtype])</f>
        <v>RANTAU</v>
      </c>
      <c r="AC978" s="18" t="str">
        <f>_xlfn.XLOOKUP(Customer[[#This Row],[Customer ID]],[1]!Address[ID],[1]!Address[Zone])</f>
        <v>CENTRAL</v>
      </c>
    </row>
    <row r="979" spans="1:29" x14ac:dyDescent="0.3">
      <c r="A979" s="45" t="s">
        <v>6730</v>
      </c>
      <c r="B979" s="32" t="str">
        <f>_xlfn.XLOOKUP(Customer[[#This Row],[Customer ID]],[1]!Name[ID],[1]!Name[Description(1)])</f>
        <v>MD HELMIMA</v>
      </c>
      <c r="C979" s="32" t="str">
        <f>_xlfn.XLOOKUP(Customer[[#This Row],[Customer ID]],[1]!Name[ID],[1]!Name[Description(2)])</f>
        <v/>
      </c>
      <c r="D979" s="38" t="str">
        <f>_xlfn.XLOOKUP(Customer[[#This Row],[Customer ID]],[1]!Address[ID],[1]!Address[PIC])</f>
        <v/>
      </c>
      <c r="E979" s="38" t="str">
        <f>_xlfn.XLOOKUP(Customer[[#This Row],[Customer ID]],[1]!Address[ID],[1]!Address[Full Address])</f>
        <v>ULU LALANG</v>
      </c>
      <c r="F979" s="12" t="s">
        <v>6731</v>
      </c>
      <c r="G979" s="12" t="s">
        <v>36</v>
      </c>
      <c r="H979" s="12" t="s">
        <v>36</v>
      </c>
      <c r="I979" s="12" t="b">
        <f>ISNUMBER(VALUE(LEFT(Customer[[#This Row],[Address Line 3 (30 char)]],1)))</f>
        <v>0</v>
      </c>
      <c r="J979" s="32"/>
      <c r="K979" s="32"/>
      <c r="L979" s="12" t="s">
        <v>35</v>
      </c>
      <c r="M979" s="13" t="e">
        <v>#N/A</v>
      </c>
      <c r="N979" s="14" t="e">
        <v>#N/A</v>
      </c>
      <c r="O979" s="14" t="e">
        <v>#N/A</v>
      </c>
      <c r="P979" s="14" t="e">
        <v>#N/A</v>
      </c>
      <c r="Q979" s="14" t="e">
        <v>#N/A</v>
      </c>
      <c r="R979" s="15" t="s">
        <v>6732</v>
      </c>
      <c r="S979" s="16" t="s">
        <v>6283</v>
      </c>
      <c r="T979" s="16"/>
      <c r="U979" s="11" t="str">
        <f>_xlfn.XLOOKUP(Customer[[#This Row],[Customer ID]],[1]!Address[ID],[1]!Address[Phone No.(2)])</f>
        <v/>
      </c>
      <c r="V979" s="11" t="str">
        <f>_xlfn.XLOOKUP(Customer[[#This Row],[Customer ID]],[1]!Address[ID],[1]!Address[Type])</f>
        <v>WALK IN</v>
      </c>
      <c r="W979" s="11" t="str">
        <f>_xlfn.XLOOKUP(Customer[[#This Row],[Customer ID]],[1]!Address[ID],[1]!Address[CT])</f>
        <v/>
      </c>
      <c r="X979" s="11"/>
      <c r="Y979" s="17" t="s">
        <v>6284</v>
      </c>
      <c r="Z979" s="17" t="e">
        <f>_xlfn.XLOOKUP(Customer[[#This Row],[NewType]],$AF$36:$AF$54,$AG$36:$AG$54)</f>
        <v>#N/A</v>
      </c>
      <c r="AA979" s="17" t="s">
        <v>6733</v>
      </c>
      <c r="AB979" s="11" t="str">
        <f>_xlfn.XLOOKUP(Customer[[#This Row],[Customer ID]],[1]!Address[ID],[1]!Address[Subtype])</f>
        <v>RANTAU</v>
      </c>
      <c r="AC979" s="18" t="str">
        <f>_xlfn.XLOOKUP(Customer[[#This Row],[Customer ID]],[1]!Address[ID],[1]!Address[Zone])</f>
        <v>CENTRAL</v>
      </c>
    </row>
    <row r="980" spans="1:29" x14ac:dyDescent="0.3">
      <c r="A980" s="45" t="s">
        <v>6734</v>
      </c>
      <c r="B980" s="32" t="str">
        <f>_xlfn.XLOOKUP(Customer[[#This Row],[Customer ID]],[1]!Name[ID],[1]!Name[Description(1)])</f>
        <v>HISHAMUDDIN</v>
      </c>
      <c r="C980" s="32" t="str">
        <f>_xlfn.XLOOKUP(Customer[[#This Row],[Customer ID]],[1]!Name[ID],[1]!Name[Description(2)])</f>
        <v/>
      </c>
      <c r="D980" s="38" t="str">
        <f>_xlfn.XLOOKUP(Customer[[#This Row],[Customer ID]],[1]!Address[ID],[1]!Address[PIC])</f>
        <v/>
      </c>
      <c r="E980" s="38" t="str">
        <f>_xlfn.XLOOKUP(Customer[[#This Row],[Customer ID]],[1]!Address[ID],[1]!Address[Full Address])</f>
        <v>KUALA SAWAH</v>
      </c>
      <c r="F980" s="12" t="s">
        <v>6735</v>
      </c>
      <c r="G980" s="12" t="s">
        <v>36</v>
      </c>
      <c r="H980" s="12" t="s">
        <v>36</v>
      </c>
      <c r="I980" s="12" t="b">
        <f>ISNUMBER(VALUE(LEFT(Customer[[#This Row],[Address Line 3 (30 char)]],1)))</f>
        <v>0</v>
      </c>
      <c r="J980" s="32"/>
      <c r="K980" s="32"/>
      <c r="L980" s="12" t="s">
        <v>35</v>
      </c>
      <c r="M980" s="13" t="e">
        <v>#N/A</v>
      </c>
      <c r="N980" s="14" t="e">
        <v>#N/A</v>
      </c>
      <c r="O980" s="14" t="e">
        <v>#N/A</v>
      </c>
      <c r="P980" s="14" t="e">
        <v>#N/A</v>
      </c>
      <c r="Q980" s="14" t="e">
        <v>#N/A</v>
      </c>
      <c r="R980" s="15" t="s">
        <v>6736</v>
      </c>
      <c r="S980" s="16" t="s">
        <v>6283</v>
      </c>
      <c r="T980" s="16"/>
      <c r="U980" s="11" t="str">
        <f>_xlfn.XLOOKUP(Customer[[#This Row],[Customer ID]],[1]!Address[ID],[1]!Address[Phone No.(2)])</f>
        <v/>
      </c>
      <c r="V980" s="11" t="str">
        <f>_xlfn.XLOOKUP(Customer[[#This Row],[Customer ID]],[1]!Address[ID],[1]!Address[Type])</f>
        <v>WALK IN</v>
      </c>
      <c r="W980" s="11" t="str">
        <f>_xlfn.XLOOKUP(Customer[[#This Row],[Customer ID]],[1]!Address[ID],[1]!Address[CT])</f>
        <v/>
      </c>
      <c r="X980" s="11"/>
      <c r="Y980" s="17" t="s">
        <v>6284</v>
      </c>
      <c r="Z980" s="17" t="e">
        <f>_xlfn.XLOOKUP(Customer[[#This Row],[NewType]],$AF$36:$AF$54,$AG$36:$AG$54)</f>
        <v>#N/A</v>
      </c>
      <c r="AA980" s="17" t="s">
        <v>6737</v>
      </c>
      <c r="AB980" s="11" t="str">
        <f>_xlfn.XLOOKUP(Customer[[#This Row],[Customer ID]],[1]!Address[ID],[1]!Address[Subtype])</f>
        <v>RANTAU</v>
      </c>
      <c r="AC980" s="18" t="str">
        <f>_xlfn.XLOOKUP(Customer[[#This Row],[Customer ID]],[1]!Address[ID],[1]!Address[Zone])</f>
        <v>U H</v>
      </c>
    </row>
    <row r="981" spans="1:29" x14ac:dyDescent="0.3">
      <c r="A981" s="45" t="s">
        <v>6738</v>
      </c>
      <c r="B981" s="32" t="str">
        <f>_xlfn.XLOOKUP(Customer[[#This Row],[Customer ID]],[1]!Name[ID],[1]!Name[Description(1)])</f>
        <v>RUSLINA BINTI IDRIS</v>
      </c>
      <c r="C981" s="32" t="str">
        <f>_xlfn.XLOOKUP(Customer[[#This Row],[Customer ID]],[1]!Name[ID],[1]!Name[Description(2)])</f>
        <v/>
      </c>
      <c r="D981" s="38" t="str">
        <f>_xlfn.XLOOKUP(Customer[[#This Row],[Customer ID]],[1]!Address[ID],[1]!Address[PIC])</f>
        <v/>
      </c>
      <c r="E981" s="38" t="str">
        <f>_xlfn.XLOOKUP(Customer[[#This Row],[Customer ID]],[1]!Address[ID],[1]!Address[Full Address])</f>
        <v>TAMAN PINGGIRAN SENAWANG</v>
      </c>
      <c r="F981" s="12" t="s">
        <v>6739</v>
      </c>
      <c r="G981" s="12" t="s">
        <v>36</v>
      </c>
      <c r="H981" s="12" t="s">
        <v>36</v>
      </c>
      <c r="I981" s="12" t="b">
        <f>ISNUMBER(VALUE(LEFT(Customer[[#This Row],[Address Line 3 (30 char)]],1)))</f>
        <v>0</v>
      </c>
      <c r="J981" s="32"/>
      <c r="K981" s="32"/>
      <c r="L981" s="12" t="s">
        <v>35</v>
      </c>
      <c r="M981" s="13" t="e">
        <v>#N/A</v>
      </c>
      <c r="N981" s="14" t="e">
        <v>#N/A</v>
      </c>
      <c r="O981" s="14" t="e">
        <v>#N/A</v>
      </c>
      <c r="P981" s="14" t="e">
        <v>#N/A</v>
      </c>
      <c r="Q981" s="14" t="e">
        <v>#N/A</v>
      </c>
      <c r="R981" s="15" t="s">
        <v>6740</v>
      </c>
      <c r="S981" s="16" t="s">
        <v>6283</v>
      </c>
      <c r="T981" s="16"/>
      <c r="U981" s="11" t="str">
        <f>_xlfn.XLOOKUP(Customer[[#This Row],[Customer ID]],[1]!Address[ID],[1]!Address[Phone No.(2)])</f>
        <v/>
      </c>
      <c r="V981" s="11" t="str">
        <f>_xlfn.XLOOKUP(Customer[[#This Row],[Customer ID]],[1]!Address[ID],[1]!Address[Type])</f>
        <v>WALK IN</v>
      </c>
      <c r="W981" s="11" t="str">
        <f>_xlfn.XLOOKUP(Customer[[#This Row],[Customer ID]],[1]!Address[ID],[1]!Address[CT])</f>
        <v/>
      </c>
      <c r="X981" s="11"/>
      <c r="Y981" s="17" t="s">
        <v>6284</v>
      </c>
      <c r="Z981" s="17" t="e">
        <f>_xlfn.XLOOKUP(Customer[[#This Row],[NewType]],$AF$36:$AF$54,$AG$36:$AG$54)</f>
        <v>#N/A</v>
      </c>
      <c r="AA981" s="17" t="s">
        <v>6741</v>
      </c>
      <c r="AB981" s="11" t="str">
        <f>_xlfn.XLOOKUP(Customer[[#This Row],[Customer ID]],[1]!Address[ID],[1]!Address[Subtype])</f>
        <v>RANTAU</v>
      </c>
      <c r="AC981" s="18" t="str">
        <f>_xlfn.XLOOKUP(Customer[[#This Row],[Customer ID]],[1]!Address[ID],[1]!Address[Zone])</f>
        <v>U H</v>
      </c>
    </row>
    <row r="982" spans="1:29" x14ac:dyDescent="0.3">
      <c r="A982" s="45" t="s">
        <v>6742</v>
      </c>
      <c r="B982" s="32" t="str">
        <f>_xlfn.XLOOKUP(Customer[[#This Row],[Customer ID]],[1]!Name[ID],[1]!Name[Description(1)])</f>
        <v>EDY NOR RIZWAN</v>
      </c>
      <c r="C982" s="32" t="str">
        <f>_xlfn.XLOOKUP(Customer[[#This Row],[Customer ID]],[1]!Name[ID],[1]!Name[Description(2)])</f>
        <v/>
      </c>
      <c r="D982" s="38" t="str">
        <f>_xlfn.XLOOKUP(Customer[[#This Row],[Customer ID]],[1]!Address[ID],[1]!Address[PIC])</f>
        <v/>
      </c>
      <c r="E982" s="38" t="str">
        <f>_xlfn.XLOOKUP(Customer[[#This Row],[Customer ID]],[1]!Address[ID],[1]!Address[Full Address])</f>
        <v/>
      </c>
      <c r="F982" s="12" t="s">
        <v>36</v>
      </c>
      <c r="G982" s="12" t="s">
        <v>36</v>
      </c>
      <c r="H982" s="12" t="s">
        <v>36</v>
      </c>
      <c r="I982" s="12" t="b">
        <f>ISNUMBER(VALUE(LEFT(Customer[[#This Row],[Address Line 3 (30 char)]],1)))</f>
        <v>0</v>
      </c>
      <c r="J982" s="32"/>
      <c r="K982" s="32"/>
      <c r="L982" s="12" t="s">
        <v>35</v>
      </c>
      <c r="M982" s="13" t="e">
        <v>#N/A</v>
      </c>
      <c r="N982" s="14" t="e">
        <v>#N/A</v>
      </c>
      <c r="O982" s="14" t="e">
        <v>#N/A</v>
      </c>
      <c r="P982" s="14" t="e">
        <v>#N/A</v>
      </c>
      <c r="Q982" s="14" t="e">
        <v>#N/A</v>
      </c>
      <c r="R982" s="15" t="s">
        <v>36</v>
      </c>
      <c r="S982" s="16" t="s">
        <v>6283</v>
      </c>
      <c r="T982" s="16"/>
      <c r="U982" s="11" t="str">
        <f>_xlfn.XLOOKUP(Customer[[#This Row],[Customer ID]],[1]!Address[ID],[1]!Address[Phone No.(2)])</f>
        <v/>
      </c>
      <c r="V982" s="11" t="str">
        <f>_xlfn.XLOOKUP(Customer[[#This Row],[Customer ID]],[1]!Address[ID],[1]!Address[Type])</f>
        <v>WALK IN</v>
      </c>
      <c r="W982" s="11" t="str">
        <f>_xlfn.XLOOKUP(Customer[[#This Row],[Customer ID]],[1]!Address[ID],[1]!Address[CT])</f>
        <v/>
      </c>
      <c r="X982" s="11"/>
      <c r="Y982" s="17" t="s">
        <v>6284</v>
      </c>
      <c r="Z982" s="17" t="e">
        <f>_xlfn.XLOOKUP(Customer[[#This Row],[NewType]],$AF$36:$AF$54,$AG$36:$AG$54)</f>
        <v>#N/A</v>
      </c>
      <c r="AA982" s="17" t="s">
        <v>6743</v>
      </c>
      <c r="AB982" s="11" t="str">
        <f>_xlfn.XLOOKUP(Customer[[#This Row],[Customer ID]],[1]!Address[ID],[1]!Address[Subtype])</f>
        <v>RANTAU</v>
      </c>
      <c r="AC982" s="18" t="str">
        <f>_xlfn.XLOOKUP(Customer[[#This Row],[Customer ID]],[1]!Address[ID],[1]!Address[Zone])</f>
        <v>U H</v>
      </c>
    </row>
    <row r="983" spans="1:29" x14ac:dyDescent="0.3">
      <c r="A983" s="45" t="s">
        <v>6744</v>
      </c>
      <c r="B983" s="32" t="str">
        <f>_xlfn.XLOOKUP(Customer[[#This Row],[Customer ID]],[1]!Name[ID],[1]!Name[Description(1)])</f>
        <v>LAILATUL MUFAIZAH</v>
      </c>
      <c r="C983" s="32" t="str">
        <f>_xlfn.XLOOKUP(Customer[[#This Row],[Customer ID]],[1]!Name[ID],[1]!Name[Description(2)])</f>
        <v>ARWANA GROUP</v>
      </c>
      <c r="D983" s="38" t="str">
        <f>_xlfn.XLOOKUP(Customer[[#This Row],[Customer ID]],[1]!Address[ID],[1]!Address[PIC])</f>
        <v/>
      </c>
      <c r="E983" s="38" t="str">
        <f>_xlfn.XLOOKUP(Customer[[#This Row],[Customer ID]],[1]!Address[ID],[1]!Address[Full Address])</f>
        <v>NO. 10, KAMPUNG GERAI MUDA,22000 JERTEH,TERENGGANU</v>
      </c>
      <c r="F983" s="12" t="s">
        <v>6745</v>
      </c>
      <c r="G983" s="12" t="s">
        <v>6746</v>
      </c>
      <c r="H983" s="12"/>
      <c r="I983" s="12" t="b">
        <f>ISNUMBER(VALUE(LEFT(Customer[[#This Row],[Address Line 3 (30 char)]],1)))</f>
        <v>0</v>
      </c>
      <c r="J983" s="32" t="s">
        <v>1056</v>
      </c>
      <c r="K983" s="32">
        <v>22000</v>
      </c>
      <c r="L983" s="12" t="s">
        <v>35</v>
      </c>
      <c r="M983" s="13" t="e">
        <v>#N/A</v>
      </c>
      <c r="N983" s="14" t="e">
        <v>#N/A</v>
      </c>
      <c r="O983" s="14" t="e">
        <v>#N/A</v>
      </c>
      <c r="P983" s="14" t="e">
        <v>#N/A</v>
      </c>
      <c r="Q983" s="19" t="s">
        <v>6747</v>
      </c>
      <c r="R983" s="15" t="s">
        <v>6748</v>
      </c>
      <c r="S983" s="15"/>
      <c r="T983" s="16" t="s">
        <v>6749</v>
      </c>
      <c r="U983" s="11" t="str">
        <f>_xlfn.XLOOKUP(Customer[[#This Row],[Customer ID]],[1]!Address[ID],[1]!Address[Phone No.(2)])</f>
        <v/>
      </c>
      <c r="V983" s="11" t="str">
        <f>_xlfn.XLOOKUP(Customer[[#This Row],[Customer ID]],[1]!Address[ID],[1]!Address[Type])</f>
        <v>WALK IN</v>
      </c>
      <c r="W983" s="11" t="str">
        <f>_xlfn.XLOOKUP(Customer[[#This Row],[Customer ID]],[1]!Address[ID],[1]!Address[CT])</f>
        <v/>
      </c>
      <c r="X983" s="11"/>
      <c r="Y983" s="17" t="s">
        <v>6284</v>
      </c>
      <c r="Z983" s="17" t="e">
        <f>_xlfn.XLOOKUP(Customer[[#This Row],[NewType]],$AF$36:$AF$54,$AG$36:$AG$54)</f>
        <v>#N/A</v>
      </c>
      <c r="AA983" s="17" t="s">
        <v>6750</v>
      </c>
      <c r="AB983" s="11" t="str">
        <f>_xlfn.XLOOKUP(Customer[[#This Row],[Customer ID]],[1]!Address[ID],[1]!Address[Subtype])</f>
        <v>KB</v>
      </c>
      <c r="AC983" s="18" t="str">
        <f>_xlfn.XLOOKUP(Customer[[#This Row],[Customer ID]],[1]!Address[ID],[1]!Address[Zone])</f>
        <v>EAST COAST</v>
      </c>
    </row>
    <row r="984" spans="1:29" x14ac:dyDescent="0.3">
      <c r="A984" s="37" t="s">
        <v>6751</v>
      </c>
      <c r="B984" s="38" t="str">
        <f>_xlfn.XLOOKUP(Customer[[#This Row],[Customer ID]],[1]!Name[ID],[1]!Name[Description(1)])</f>
        <v>MRN MAJU TRADING</v>
      </c>
      <c r="C984" s="38" t="str">
        <f>_xlfn.XLOOKUP(Customer[[#This Row],[Customer ID]],[1]!Name[ID],[1]!Name[Description(2)])</f>
        <v>CALTEX WAKAF AIK</v>
      </c>
      <c r="D984" s="38" t="str">
        <f>_xlfn.XLOOKUP(Customer[[#This Row],[Customer ID]],[1]!Address[ID],[1]!Address[PIC])</f>
        <v/>
      </c>
      <c r="E984" s="38" t="str">
        <f>_xlfn.XLOOKUP(Customer[[#This Row],[Customer ID]],[1]!Address[ID],[1]!Address[Full Address])</f>
        <v>CALTEX WAKAF AIKLOT PT1109, KAMPUNG WAKAF AIK,MUKIM SENAK, 16100BACHOK, KELANTAN</v>
      </c>
      <c r="F984" s="12" t="s">
        <v>6752</v>
      </c>
      <c r="G984" s="12" t="s">
        <v>6753</v>
      </c>
      <c r="H984" s="12" t="s">
        <v>6754</v>
      </c>
      <c r="I984" s="12" t="b">
        <f>ISNUMBER(VALUE(LEFT(Customer[[#This Row],[Address Line 3 (30 char)]],1)))</f>
        <v>0</v>
      </c>
      <c r="J984" s="12" t="s">
        <v>1007</v>
      </c>
      <c r="K984" s="12">
        <v>16100</v>
      </c>
      <c r="L984" s="12" t="s">
        <v>35</v>
      </c>
      <c r="M984" s="13">
        <v>201103098453</v>
      </c>
      <c r="N984" s="14" t="s">
        <v>6755</v>
      </c>
      <c r="O984" s="14" t="s">
        <v>54</v>
      </c>
      <c r="P984" s="14">
        <v>47300</v>
      </c>
      <c r="Q984" s="14" t="s">
        <v>6756</v>
      </c>
      <c r="R984" s="15" t="s">
        <v>6757</v>
      </c>
      <c r="S984" s="15" t="s">
        <v>37</v>
      </c>
      <c r="T984" s="16" t="s">
        <v>38</v>
      </c>
      <c r="U984" s="11" t="str">
        <f>_xlfn.XLOOKUP(Customer[[#This Row],[Customer ID]],[1]!Address[ID],[1]!Address[Phone No.(2)])</f>
        <v/>
      </c>
      <c r="V984" s="11" t="str">
        <f>_xlfn.XLOOKUP(Customer[[#This Row],[Customer ID]],[1]!Address[ID],[1]!Address[Type])</f>
        <v>PETROMART</v>
      </c>
      <c r="W984" s="11" t="str">
        <f>_xlfn.XLOOKUP(Customer[[#This Row],[Customer ID]],[1]!Address[ID],[1]!Address[CT])</f>
        <v>30 DAYS</v>
      </c>
      <c r="X984" s="11" t="s">
        <v>39</v>
      </c>
      <c r="Y984" s="17" t="s">
        <v>40</v>
      </c>
      <c r="Z984" s="17" t="e">
        <f>_xlfn.XLOOKUP(Customer[[#This Row],[NewType]],$AF$36:$AF$54,$AG$36:$AG$54)</f>
        <v>#N/A</v>
      </c>
      <c r="AA984" s="17" t="s">
        <v>6758</v>
      </c>
      <c r="AB984" s="11" t="str">
        <f>_xlfn.XLOOKUP(Customer[[#This Row],[Customer ID]],[1]!Address[ID],[1]!Address[Subtype])</f>
        <v>XPRESS POINT</v>
      </c>
      <c r="AC984" s="18" t="str">
        <f>_xlfn.XLOOKUP(Customer[[#This Row],[Customer ID]],[1]!Address[ID],[1]!Address[Zone])</f>
        <v>EAST COAST</v>
      </c>
    </row>
    <row r="985" spans="1:29" x14ac:dyDescent="0.3">
      <c r="A985" s="43" t="s">
        <v>6759</v>
      </c>
      <c r="B985" s="44" t="str">
        <f>_xlfn.XLOOKUP(Customer[[#This Row],[Customer ID]],[1]!Name[ID],[1]!Name[Description(1)])</f>
        <v>MASIRA SERVICE STATION SDN BHD</v>
      </c>
      <c r="C985" s="38" t="str">
        <f>_xlfn.XLOOKUP(Customer[[#This Row],[Customer ID]],[1]!Name[ID],[1]!Name[Description(2)])</f>
        <v>CALTEX KOTA JEMBAL</v>
      </c>
      <c r="D985" s="38" t="str">
        <f>_xlfn.XLOOKUP(Customer[[#This Row],[Customer ID]],[1]!Address[ID],[1]!Address[PIC])</f>
        <v/>
      </c>
      <c r="E985" s="38" t="str">
        <f>_xlfn.XLOOKUP(Customer[[#This Row],[Customer ID]],[1]!Address[ID],[1]!Address[Full Address])</f>
        <v>CALTEX KOTA JEMBALLOT 14419/PT 1094 KAMPUNG RAJA,JALAN TAWANG, TELOK MASIRA, 16020BACHOK KELANTAN</v>
      </c>
      <c r="F985" s="12" t="s">
        <v>6760</v>
      </c>
      <c r="G985" s="12" t="s">
        <v>6761</v>
      </c>
      <c r="H985" s="12" t="s">
        <v>6762</v>
      </c>
      <c r="I985" s="12" t="b">
        <f>ISNUMBER(VALUE(LEFT(Customer[[#This Row],[Address Line 3 (30 char)]],1)))</f>
        <v>0</v>
      </c>
      <c r="J985" s="12" t="s">
        <v>1007</v>
      </c>
      <c r="K985" s="41">
        <v>16020</v>
      </c>
      <c r="L985" s="12" t="s">
        <v>35</v>
      </c>
      <c r="M985" s="13">
        <v>201501002660</v>
      </c>
      <c r="N985" s="14" t="e">
        <v>#N/A</v>
      </c>
      <c r="O985" s="14" t="e">
        <v>#N/A</v>
      </c>
      <c r="P985" s="14" t="e">
        <v>#N/A</v>
      </c>
      <c r="Q985" s="14" t="e">
        <v>#N/A</v>
      </c>
      <c r="R985" s="15" t="s">
        <v>36</v>
      </c>
      <c r="S985" s="15" t="s">
        <v>37</v>
      </c>
      <c r="T985" s="16" t="s">
        <v>38</v>
      </c>
      <c r="U985" s="11" t="str">
        <f>_xlfn.XLOOKUP(Customer[[#This Row],[Customer ID]],[1]!Address[ID],[1]!Address[Phone No.(2)])</f>
        <v/>
      </c>
      <c r="V985" s="11" t="str">
        <f>_xlfn.XLOOKUP(Customer[[#This Row],[Customer ID]],[1]!Address[ID],[1]!Address[Type])</f>
        <v>PETROMART</v>
      </c>
      <c r="W985" s="11" t="str">
        <f>_xlfn.XLOOKUP(Customer[[#This Row],[Customer ID]],[1]!Address[ID],[1]!Address[CT])</f>
        <v>30 DAYS</v>
      </c>
      <c r="X985" s="11" t="s">
        <v>39</v>
      </c>
      <c r="Y985" s="17" t="s">
        <v>40</v>
      </c>
      <c r="Z985" s="17" t="e">
        <f>_xlfn.XLOOKUP(Customer[[#This Row],[NewType]],$AF$36:$AF$54,$AG$36:$AG$54)</f>
        <v>#N/A</v>
      </c>
      <c r="AA985" s="17" t="s">
        <v>6763</v>
      </c>
      <c r="AB985" s="11" t="str">
        <f>_xlfn.XLOOKUP(Customer[[#This Row],[Customer ID]],[1]!Address[ID],[1]!Address[Subtype])</f>
        <v>XPRESS POINT</v>
      </c>
      <c r="AC985" s="18" t="str">
        <f>_xlfn.XLOOKUP(Customer[[#This Row],[Customer ID]],[1]!Address[ID],[1]!Address[Zone])</f>
        <v>EAST COAST</v>
      </c>
    </row>
    <row r="986" spans="1:29" x14ac:dyDescent="0.3">
      <c r="A986" s="37" t="s">
        <v>6764</v>
      </c>
      <c r="B986" s="38" t="str">
        <f>_xlfn.XLOOKUP(Customer[[#This Row],[Customer ID]],[1]!Name[ID],[1]!Name[Description(1)])</f>
        <v>CUSTOMER WALK IN KB BRANCH</v>
      </c>
      <c r="C986" s="38" t="str">
        <f>_xlfn.XLOOKUP(Customer[[#This Row],[Customer ID]],[1]!Name[ID],[1]!Name[Description(2)])</f>
        <v>KOTA BHARU BUBBLES O2</v>
      </c>
      <c r="D986" s="38" t="str">
        <f>_xlfn.XLOOKUP(Customer[[#This Row],[Customer ID]],[1]!Address[ID],[1]!Address[PIC])</f>
        <v>IFFAH AMIRAH BI</v>
      </c>
      <c r="E986" s="38" t="str">
        <f>_xlfn.XLOOKUP(Customer[[#This Row],[Customer ID]],[1]!Address[ID],[1]!Address[Full Address])</f>
        <v>LOT 314, TINGKAT BAWAH,JALAN KEBUN SULTAN,15350 KOTA BHARU,KELANTAN</v>
      </c>
      <c r="F986" s="12" t="s">
        <v>6765</v>
      </c>
      <c r="G986" s="12" t="s">
        <v>6766</v>
      </c>
      <c r="H986" s="24" t="s">
        <v>2824</v>
      </c>
      <c r="I986" s="24" t="b">
        <f>ISNUMBER(VALUE(LEFT(Customer[[#This Row],[Address Line 3 (30 char)]],1)))</f>
        <v>0</v>
      </c>
      <c r="J986" s="12" t="s">
        <v>1007</v>
      </c>
      <c r="K986" s="12">
        <v>15350</v>
      </c>
      <c r="L986" s="12" t="s">
        <v>35</v>
      </c>
      <c r="M986" s="13" t="e">
        <v>#N/A</v>
      </c>
      <c r="N986" s="14" t="s">
        <v>6767</v>
      </c>
      <c r="O986" s="14" t="e">
        <v>#N/A</v>
      </c>
      <c r="P986" s="14" t="e">
        <v>#N/A</v>
      </c>
      <c r="Q986" s="19" t="s">
        <v>6768</v>
      </c>
      <c r="R986" s="15" t="s">
        <v>6769</v>
      </c>
      <c r="S986" s="15"/>
      <c r="T986" s="16" t="s">
        <v>6749</v>
      </c>
      <c r="U986" s="11" t="str">
        <f>_xlfn.XLOOKUP(Customer[[#This Row],[Customer ID]],[1]!Address[ID],[1]!Address[Phone No.(2)])</f>
        <v/>
      </c>
      <c r="V986" s="11" t="str">
        <f>_xlfn.XLOOKUP(Customer[[#This Row],[Customer ID]],[1]!Address[ID],[1]!Address[Type])</f>
        <v>WALK IN</v>
      </c>
      <c r="W986" s="11" t="str">
        <f>_xlfn.XLOOKUP(Customer[[#This Row],[Customer ID]],[1]!Address[ID],[1]!Address[CT])</f>
        <v>CASH</v>
      </c>
      <c r="X986" s="11"/>
      <c r="Y986" s="17" t="s">
        <v>6284</v>
      </c>
      <c r="Z986" s="17" t="e">
        <f>_xlfn.XLOOKUP(Customer[[#This Row],[NewType]],$AF$36:$AF$54,$AG$36:$AG$54)</f>
        <v>#N/A</v>
      </c>
      <c r="AA986" s="17" t="s">
        <v>6770</v>
      </c>
      <c r="AB986" s="11" t="str">
        <f>_xlfn.XLOOKUP(Customer[[#This Row],[Customer ID]],[1]!Address[ID],[1]!Address[Subtype])</f>
        <v>KB</v>
      </c>
      <c r="AC986" s="18" t="str">
        <f>_xlfn.XLOOKUP(Customer[[#This Row],[Customer ID]],[1]!Address[ID],[1]!Address[Zone])</f>
        <v>EAST COAST</v>
      </c>
    </row>
    <row r="987" spans="1:29" x14ac:dyDescent="0.3">
      <c r="A987" s="45" t="s">
        <v>6771</v>
      </c>
      <c r="B987" s="32" t="str">
        <f>_xlfn.XLOOKUP(Customer[[#This Row],[Customer ID]],[1]!Name[ID],[1]!Name[Description(1)])</f>
        <v>HAJI BAHAROM</v>
      </c>
      <c r="C987" s="32" t="str">
        <f>_xlfn.XLOOKUP(Customer[[#This Row],[Customer ID]],[1]!Name[ID],[1]!Name[Description(2)])</f>
        <v/>
      </c>
      <c r="D987" s="38" t="str">
        <f>_xlfn.XLOOKUP(Customer[[#This Row],[Customer ID]],[1]!Address[ID],[1]!Address[PIC])</f>
        <v/>
      </c>
      <c r="E987" s="38" t="str">
        <f>_xlfn.XLOOKUP(Customer[[#This Row],[Customer ID]],[1]!Address[ID],[1]!Address[Full Address])</f>
        <v>KG KANCHONG</v>
      </c>
      <c r="F987" s="12" t="s">
        <v>6305</v>
      </c>
      <c r="G987" s="12" t="s">
        <v>36</v>
      </c>
      <c r="H987" s="12" t="s">
        <v>36</v>
      </c>
      <c r="I987" s="12" t="b">
        <f>ISNUMBER(VALUE(LEFT(Customer[[#This Row],[Address Line 3 (30 char)]],1)))</f>
        <v>0</v>
      </c>
      <c r="J987" s="32"/>
      <c r="K987" s="32"/>
      <c r="L987" s="12" t="s">
        <v>35</v>
      </c>
      <c r="M987" s="13" t="e">
        <v>#N/A</v>
      </c>
      <c r="N987" s="14" t="e">
        <v>#N/A</v>
      </c>
      <c r="O987" s="14" t="e">
        <v>#N/A</v>
      </c>
      <c r="P987" s="14" t="e">
        <v>#N/A</v>
      </c>
      <c r="Q987" s="14" t="e">
        <v>#N/A</v>
      </c>
      <c r="R987" s="15" t="s">
        <v>6772</v>
      </c>
      <c r="S987" s="16" t="s">
        <v>6283</v>
      </c>
      <c r="T987" s="16"/>
      <c r="U987" s="11" t="str">
        <f>_xlfn.XLOOKUP(Customer[[#This Row],[Customer ID]],[1]!Address[ID],[1]!Address[Phone No.(2)])</f>
        <v/>
      </c>
      <c r="V987" s="11" t="str">
        <f>_xlfn.XLOOKUP(Customer[[#This Row],[Customer ID]],[1]!Address[ID],[1]!Address[Type])</f>
        <v>WALK IN</v>
      </c>
      <c r="W987" s="11" t="str">
        <f>_xlfn.XLOOKUP(Customer[[#This Row],[Customer ID]],[1]!Address[ID],[1]!Address[CT])</f>
        <v/>
      </c>
      <c r="X987" s="11"/>
      <c r="Y987" s="17" t="s">
        <v>6284</v>
      </c>
      <c r="Z987" s="17" t="e">
        <f>_xlfn.XLOOKUP(Customer[[#This Row],[NewType]],$AF$36:$AF$54,$AG$36:$AG$54)</f>
        <v>#N/A</v>
      </c>
      <c r="AA987" s="17" t="s">
        <v>6773</v>
      </c>
      <c r="AB987" s="11" t="str">
        <f>_xlfn.XLOOKUP(Customer[[#This Row],[Customer ID]],[1]!Address[ID],[1]!Address[Subtype])</f>
        <v>RANTAU</v>
      </c>
      <c r="AC987" s="18" t="str">
        <f>_xlfn.XLOOKUP(Customer[[#This Row],[Customer ID]],[1]!Address[ID],[1]!Address[Zone])</f>
        <v>CENTRAL</v>
      </c>
    </row>
    <row r="988" spans="1:29" x14ac:dyDescent="0.3">
      <c r="A988" s="45" t="s">
        <v>6774</v>
      </c>
      <c r="B988" s="32" t="str">
        <f>_xlfn.XLOOKUP(Customer[[#This Row],[Customer ID]],[1]!Name[ID],[1]!Name[Description(1)])</f>
        <v>ASMAH</v>
      </c>
      <c r="C988" s="32" t="str">
        <f>_xlfn.XLOOKUP(Customer[[#This Row],[Customer ID]],[1]!Name[ID],[1]!Name[Description(2)])</f>
        <v/>
      </c>
      <c r="D988" s="38" t="str">
        <f>_xlfn.XLOOKUP(Customer[[#This Row],[Customer ID]],[1]!Address[ID],[1]!Address[PIC])</f>
        <v/>
      </c>
      <c r="E988" s="38" t="str">
        <f>_xlfn.XLOOKUP(Customer[[#This Row],[Customer ID]],[1]!Address[ID],[1]!Address[Full Address])</f>
        <v>KUALA SAWAH</v>
      </c>
      <c r="F988" s="12" t="s">
        <v>6735</v>
      </c>
      <c r="G988" s="12" t="s">
        <v>36</v>
      </c>
      <c r="H988" s="12" t="s">
        <v>36</v>
      </c>
      <c r="I988" s="12" t="b">
        <f>ISNUMBER(VALUE(LEFT(Customer[[#This Row],[Address Line 3 (30 char)]],1)))</f>
        <v>0</v>
      </c>
      <c r="J988" s="32"/>
      <c r="K988" s="32"/>
      <c r="L988" s="12" t="s">
        <v>35</v>
      </c>
      <c r="M988" s="13" t="e">
        <v>#N/A</v>
      </c>
      <c r="N988" s="14" t="e">
        <v>#N/A</v>
      </c>
      <c r="O988" s="14" t="e">
        <v>#N/A</v>
      </c>
      <c r="P988" s="14" t="e">
        <v>#N/A</v>
      </c>
      <c r="Q988" s="14" t="e">
        <v>#N/A</v>
      </c>
      <c r="R988" s="15" t="s">
        <v>6775</v>
      </c>
      <c r="S988" s="16" t="s">
        <v>6283</v>
      </c>
      <c r="T988" s="16"/>
      <c r="U988" s="11" t="str">
        <f>_xlfn.XLOOKUP(Customer[[#This Row],[Customer ID]],[1]!Address[ID],[1]!Address[Phone No.(2)])</f>
        <v/>
      </c>
      <c r="V988" s="11" t="str">
        <f>_xlfn.XLOOKUP(Customer[[#This Row],[Customer ID]],[1]!Address[ID],[1]!Address[Type])</f>
        <v>WALK IN</v>
      </c>
      <c r="W988" s="11" t="str">
        <f>_xlfn.XLOOKUP(Customer[[#This Row],[Customer ID]],[1]!Address[ID],[1]!Address[CT])</f>
        <v/>
      </c>
      <c r="X988" s="11"/>
      <c r="Y988" s="17" t="s">
        <v>6284</v>
      </c>
      <c r="Z988" s="17" t="e">
        <f>_xlfn.XLOOKUP(Customer[[#This Row],[NewType]],$AF$36:$AF$54,$AG$36:$AG$54)</f>
        <v>#N/A</v>
      </c>
      <c r="AA988" s="17" t="s">
        <v>6776</v>
      </c>
      <c r="AB988" s="11" t="str">
        <f>_xlfn.XLOOKUP(Customer[[#This Row],[Customer ID]],[1]!Address[ID],[1]!Address[Subtype])</f>
        <v>RANTAU</v>
      </c>
      <c r="AC988" s="18" t="str">
        <f>_xlfn.XLOOKUP(Customer[[#This Row],[Customer ID]],[1]!Address[ID],[1]!Address[Zone])</f>
        <v>U H</v>
      </c>
    </row>
    <row r="989" spans="1:29" x14ac:dyDescent="0.3">
      <c r="A989" s="37" t="s">
        <v>6777</v>
      </c>
      <c r="B989" s="38" t="str">
        <f>_xlfn.XLOOKUP(Customer[[#This Row],[Customer ID]],[1]!Name[ID],[1]!Name[Description(1)])</f>
        <v>LOT 10, REZQI CAFE.</v>
      </c>
      <c r="C989" s="38" t="str">
        <f>_xlfn.XLOOKUP(Customer[[#This Row],[Customer ID]],[1]!Name[ID],[1]!Name[Description(2)])</f>
        <v/>
      </c>
      <c r="D989" s="38" t="str">
        <f>_xlfn.XLOOKUP(Customer[[#This Row],[Customer ID]],[1]!Address[ID],[1]!Address[PIC])</f>
        <v>EN MANSOR</v>
      </c>
      <c r="E989" s="38" t="str">
        <f>_xlfn.XLOOKUP(Customer[[#This Row],[Customer ID]],[1]!Address[ID],[1]!Address[Full Address])</f>
        <v>KAWASAN REHAT &amp; RAWAT (R&amp;R)RAWANG ARAH UTARA KM 440LEBUHRAYA PLUS RAWANG, 48000 SELANGOR</v>
      </c>
      <c r="F989" s="12" t="s">
        <v>6778</v>
      </c>
      <c r="G989" s="12" t="s">
        <v>6779</v>
      </c>
      <c r="H989" s="12" t="s">
        <v>6780</v>
      </c>
      <c r="I989" s="12" t="b">
        <f>ISNUMBER(VALUE(LEFT(Customer[[#This Row],[Address Line 3 (30 char)]],1)))</f>
        <v>0</v>
      </c>
      <c r="J989" s="12" t="s">
        <v>1907</v>
      </c>
      <c r="K989" s="41">
        <v>48000</v>
      </c>
      <c r="L989" s="12" t="s">
        <v>35</v>
      </c>
      <c r="M989" s="13">
        <v>201503230693</v>
      </c>
      <c r="N989" s="14" t="s">
        <v>6781</v>
      </c>
      <c r="O989" s="14" t="e">
        <v>#N/A</v>
      </c>
      <c r="P989" s="14" t="e">
        <v>#N/A</v>
      </c>
      <c r="Q989" s="14" t="e">
        <v>#N/A</v>
      </c>
      <c r="R989" s="15" t="s">
        <v>6782</v>
      </c>
      <c r="S989" s="15" t="s">
        <v>5925</v>
      </c>
      <c r="T989" s="16" t="s">
        <v>3477</v>
      </c>
      <c r="U989" s="11" t="str">
        <f>_xlfn.XLOOKUP(Customer[[#This Row],[Customer ID]],[1]!Address[ID],[1]!Address[Phone No.(2)])</f>
        <v/>
      </c>
      <c r="V989" s="11" t="str">
        <f>_xlfn.XLOOKUP(Customer[[#This Row],[Customer ID]],[1]!Address[ID],[1]!Address[Type])</f>
        <v>CAFE</v>
      </c>
      <c r="W989" s="11" t="str">
        <f>_xlfn.XLOOKUP(Customer[[#This Row],[Customer ID]],[1]!Address[ID],[1]!Address[CT])</f>
        <v>30 DAYS</v>
      </c>
      <c r="X989" s="11"/>
      <c r="Y989" s="17" t="s">
        <v>5926</v>
      </c>
      <c r="Z989" s="17" t="e">
        <f>_xlfn.XLOOKUP(Customer[[#This Row],[NewType]],$AF$36:$AF$54,$AG$36:$AG$54)</f>
        <v>#N/A</v>
      </c>
      <c r="AA989" s="17" t="s">
        <v>6783</v>
      </c>
      <c r="AB989" s="11" t="str">
        <f>_xlfn.XLOOKUP(Customer[[#This Row],[Customer ID]],[1]!Address[ID],[1]!Address[Subtype])</f>
        <v>PLUS</v>
      </c>
      <c r="AC989" s="18">
        <f>_xlfn.XLOOKUP(Customer[[#This Row],[Customer ID]],[1]!Address[ID],[1]!Address[Zone])</f>
        <v>0</v>
      </c>
    </row>
    <row r="990" spans="1:29" x14ac:dyDescent="0.3">
      <c r="A990" s="37" t="s">
        <v>6784</v>
      </c>
      <c r="B990" s="38" t="str">
        <f>_xlfn.XLOOKUP(Customer[[#This Row],[Customer ID]],[1]!Name[ID],[1]!Name[Description(1)])</f>
        <v>AGENT MAWARNIZA</v>
      </c>
      <c r="C990" s="38" t="str">
        <f>_xlfn.XLOOKUP(Customer[[#This Row],[Customer ID]],[1]!Name[ID],[1]!Name[Description(2)])</f>
        <v/>
      </c>
      <c r="D990" s="38" t="str">
        <f>_xlfn.XLOOKUP(Customer[[#This Row],[Customer ID]],[1]!Address[ID],[1]!Address[PIC])</f>
        <v>Mawarniza binti</v>
      </c>
      <c r="E990" s="38" t="str">
        <f>_xlfn.XLOOKUP(Customer[[#This Row],[Customer ID]],[1]!Address[ID],[1]!Address[Full Address])</f>
        <v>589, Jalan Sekolah, Batu Laut, 42800 TanSepat, Kuala Langat, Selangor</v>
      </c>
      <c r="F990" s="12" t="s">
        <v>6785</v>
      </c>
      <c r="G990" s="12" t="s">
        <v>6786</v>
      </c>
      <c r="H990" s="12" t="s">
        <v>6787</v>
      </c>
      <c r="I990" s="12" t="b">
        <f>ISNUMBER(VALUE(LEFT(Customer[[#This Row],[Address Line 3 (30 char)]],1)))</f>
        <v>0</v>
      </c>
      <c r="J990" s="12" t="s">
        <v>1907</v>
      </c>
      <c r="K990" s="12">
        <v>42800</v>
      </c>
      <c r="L990" s="12" t="s">
        <v>35</v>
      </c>
      <c r="M990" s="13">
        <v>770829105738</v>
      </c>
      <c r="N990" s="14"/>
      <c r="O990" s="14" t="e">
        <v>#N/A</v>
      </c>
      <c r="P990" s="14" t="e">
        <v>#N/A</v>
      </c>
      <c r="Q990" s="19" t="s">
        <v>6788</v>
      </c>
      <c r="R990" s="15" t="s">
        <v>6789</v>
      </c>
      <c r="S990" s="15" t="s">
        <v>6645</v>
      </c>
      <c r="T990" s="16" t="s">
        <v>38</v>
      </c>
      <c r="U990" s="11" t="str">
        <f>_xlfn.XLOOKUP(Customer[[#This Row],[Customer ID]],[1]!Address[ID],[1]!Address[Phone No.(2)])</f>
        <v/>
      </c>
      <c r="V990" s="11" t="str">
        <f>_xlfn.XLOOKUP(Customer[[#This Row],[Customer ID]],[1]!Address[ID],[1]!Address[Type])</f>
        <v>AGENT</v>
      </c>
      <c r="W990" s="11" t="str">
        <f>_xlfn.XLOOKUP(Customer[[#This Row],[Customer ID]],[1]!Address[ID],[1]!Address[CT])</f>
        <v/>
      </c>
      <c r="X990" s="11"/>
      <c r="Y990" s="17" t="s">
        <v>6639</v>
      </c>
      <c r="Z990" s="17" t="e">
        <f>_xlfn.XLOOKUP(Customer[[#This Row],[NewType]],$AF$36:$AF$54,$AG$36:$AG$54)</f>
        <v>#N/A</v>
      </c>
      <c r="AA990" s="17" t="s">
        <v>6790</v>
      </c>
      <c r="AB990" s="11" t="str">
        <f>_xlfn.XLOOKUP(Customer[[#This Row],[Customer ID]],[1]!Address[ID],[1]!Address[Subtype])</f>
        <v>AGENT HQ</v>
      </c>
      <c r="AC990" s="18" t="str">
        <f>_xlfn.XLOOKUP(Customer[[#This Row],[Customer ID]],[1]!Address[ID],[1]!Address[Zone])</f>
        <v>AeNTH</v>
      </c>
    </row>
    <row r="991" spans="1:29" x14ac:dyDescent="0.3">
      <c r="A991" s="37" t="s">
        <v>6791</v>
      </c>
      <c r="B991" s="38" t="str">
        <f>_xlfn.XLOOKUP(Customer[[#This Row],[Customer ID]],[1]!Name[ID],[1]!Name[Description(1)])</f>
        <v>H.A.A BUNGA RAYA ENTERPRISE</v>
      </c>
      <c r="C991" s="38" t="str">
        <f>_xlfn.XLOOKUP(Customer[[#This Row],[Customer ID]],[1]!Name[ID],[1]!Name[Description(2)])</f>
        <v>CALTEX SIMPANG DURIAN MENTANGAU</v>
      </c>
      <c r="D991" s="38" t="str">
        <f>_xlfn.XLOOKUP(Customer[[#This Row],[Customer ID]],[1]!Address[ID],[1]!Address[PIC])</f>
        <v>Muhd Hafizi Bin</v>
      </c>
      <c r="E991" s="38" t="str">
        <f>_xlfn.XLOOKUP(Customer[[#This Row],[Customer ID]],[1]!Address[ID],[1]!Address[Full Address])</f>
        <v>CALTEX SIMPANG DURIAN MENTANGAULOT 73740, SIMPANG DURIAN MENTANGAU23000 DUNGUN, TERENGGANU</v>
      </c>
      <c r="F991" s="12" t="s">
        <v>6792</v>
      </c>
      <c r="G991" s="12" t="s">
        <v>6793</v>
      </c>
      <c r="H991" s="12" t="s">
        <v>1553</v>
      </c>
      <c r="I991" s="12" t="b">
        <f>ISNUMBER(VALUE(LEFT(Customer[[#This Row],[Address Line 3 (30 char)]],1)))</f>
        <v>0</v>
      </c>
      <c r="J991" s="12" t="s">
        <v>1056</v>
      </c>
      <c r="K991" s="12">
        <v>23000</v>
      </c>
      <c r="L991" s="12" t="s">
        <v>35</v>
      </c>
      <c r="M991" s="13">
        <v>200203124781</v>
      </c>
      <c r="N991" s="14" t="s">
        <v>6794</v>
      </c>
      <c r="O991" s="14" t="e">
        <v>#N/A</v>
      </c>
      <c r="P991" s="14" t="e">
        <v>#N/A</v>
      </c>
      <c r="Q991" s="14" t="e">
        <v>#N/A</v>
      </c>
      <c r="R991" s="15" t="s">
        <v>36</v>
      </c>
      <c r="S991" s="15" t="s">
        <v>37</v>
      </c>
      <c r="T991" s="16" t="s">
        <v>38</v>
      </c>
      <c r="U991" s="11" t="str">
        <f>_xlfn.XLOOKUP(Customer[[#This Row],[Customer ID]],[1]!Address[ID],[1]!Address[Phone No.(2)])</f>
        <v/>
      </c>
      <c r="V991" s="11" t="str">
        <f>_xlfn.XLOOKUP(Customer[[#This Row],[Customer ID]],[1]!Address[ID],[1]!Address[Type])</f>
        <v>PETROMART</v>
      </c>
      <c r="W991" s="11" t="str">
        <f>_xlfn.XLOOKUP(Customer[[#This Row],[Customer ID]],[1]!Address[ID],[1]!Address[CT])</f>
        <v>30 DAYS</v>
      </c>
      <c r="X991" s="11" t="s">
        <v>39</v>
      </c>
      <c r="Y991" s="17" t="s">
        <v>40</v>
      </c>
      <c r="Z991" s="17" t="e">
        <f>_xlfn.XLOOKUP(Customer[[#This Row],[NewType]],$AF$36:$AF$54,$AG$36:$AG$54)</f>
        <v>#N/A</v>
      </c>
      <c r="AA991" s="17" t="s">
        <v>6795</v>
      </c>
      <c r="AB991" s="11" t="str">
        <f>_xlfn.XLOOKUP(Customer[[#This Row],[Customer ID]],[1]!Address[ID],[1]!Address[Subtype])</f>
        <v>XPRESS POINT</v>
      </c>
      <c r="AC991" s="18" t="str">
        <f>_xlfn.XLOOKUP(Customer[[#This Row],[Customer ID]],[1]!Address[ID],[1]!Address[Zone])</f>
        <v>EAST COAST</v>
      </c>
    </row>
    <row r="992" spans="1:29" x14ac:dyDescent="0.3">
      <c r="A992" s="37" t="s">
        <v>6796</v>
      </c>
      <c r="B992" s="38" t="str">
        <f>_xlfn.XLOOKUP(Customer[[#This Row],[Customer ID]],[1]!Name[ID],[1]!Name[Description(1)])</f>
        <v>AGENT MAS BUKTI</v>
      </c>
      <c r="C992" s="38" t="str">
        <f>_xlfn.XLOOKUP(Customer[[#This Row],[Customer ID]],[1]!Name[ID],[1]!Name[Description(2)])</f>
        <v/>
      </c>
      <c r="D992" s="38" t="str">
        <f>_xlfn.XLOOKUP(Customer[[#This Row],[Customer ID]],[1]!Address[ID],[1]!Address[PIC])</f>
        <v/>
      </c>
      <c r="E992" s="38" t="str">
        <f>_xlfn.XLOOKUP(Customer[[#This Row],[Customer ID]],[1]!Address[ID],[1]!Address[Full Address])</f>
        <v>NO 6,GEDONG LALANG 50,SEREMBAN NS</v>
      </c>
      <c r="F992" s="12" t="s">
        <v>6797</v>
      </c>
      <c r="G992" s="12" t="s">
        <v>6798</v>
      </c>
      <c r="H992" s="12" t="s">
        <v>6799</v>
      </c>
      <c r="I992" s="12" t="b">
        <f>ISNUMBER(VALUE(LEFT(Customer[[#This Row],[Address Line 3 (30 char)]],1)))</f>
        <v>0</v>
      </c>
      <c r="J992" s="12" t="s">
        <v>203</v>
      </c>
      <c r="K992" s="12">
        <v>70400</v>
      </c>
      <c r="L992" s="12" t="s">
        <v>35</v>
      </c>
      <c r="M992" s="13" t="e">
        <v>#N/A</v>
      </c>
      <c r="N992" s="14" t="e">
        <v>#N/A</v>
      </c>
      <c r="O992" s="14" t="e">
        <v>#N/A</v>
      </c>
      <c r="P992" s="14" t="e">
        <v>#N/A</v>
      </c>
      <c r="Q992" s="19" t="s">
        <v>6800</v>
      </c>
      <c r="R992" s="15" t="s">
        <v>6801</v>
      </c>
      <c r="S992" s="15" t="s">
        <v>6645</v>
      </c>
      <c r="T992" s="16" t="s">
        <v>38</v>
      </c>
      <c r="U992" s="11" t="str">
        <f>_xlfn.XLOOKUP(Customer[[#This Row],[Customer ID]],[1]!Address[ID],[1]!Address[Phone No.(2)])</f>
        <v/>
      </c>
      <c r="V992" s="11" t="str">
        <f>_xlfn.XLOOKUP(Customer[[#This Row],[Customer ID]],[1]!Address[ID],[1]!Address[Type])</f>
        <v>AGENT</v>
      </c>
      <c r="W992" s="11" t="str">
        <f>_xlfn.XLOOKUP(Customer[[#This Row],[Customer ID]],[1]!Address[ID],[1]!Address[CT])</f>
        <v/>
      </c>
      <c r="X992" s="11"/>
      <c r="Y992" s="17" t="s">
        <v>6639</v>
      </c>
      <c r="Z992" s="17" t="e">
        <f>_xlfn.XLOOKUP(Customer[[#This Row],[NewType]],$AF$36:$AF$54,$AG$36:$AG$54)</f>
        <v>#N/A</v>
      </c>
      <c r="AA992" s="17" t="s">
        <v>6802</v>
      </c>
      <c r="AB992" s="11" t="str">
        <f>_xlfn.XLOOKUP(Customer[[#This Row],[Customer ID]],[1]!Address[ID],[1]!Address[Subtype])</f>
        <v>AGENT HQ</v>
      </c>
      <c r="AC992" s="18" t="str">
        <f>_xlfn.XLOOKUP(Customer[[#This Row],[Customer ID]],[1]!Address[ID],[1]!Address[Zone])</f>
        <v xml:space="preserve"> TNTH</v>
      </c>
    </row>
    <row r="993" spans="1:30" x14ac:dyDescent="0.3">
      <c r="A993" s="37" t="s">
        <v>6803</v>
      </c>
      <c r="B993" s="38" t="str">
        <f>_xlfn.XLOOKUP(Customer[[#This Row],[Customer ID]],[1]!Name[ID],[1]!Name[Description(1)])</f>
        <v>KAMAL JAFRI B. MOHD NAZIRUDDIN</v>
      </c>
      <c r="C993" s="38" t="str">
        <f>_xlfn.XLOOKUP(Customer[[#This Row],[Customer ID]],[1]!Name[ID],[1]!Name[Description(2)])</f>
        <v>T/A JAYDIN ENTERPRISE</v>
      </c>
      <c r="D993" s="38" t="str">
        <f>_xlfn.XLOOKUP(Customer[[#This Row],[Customer ID]],[1]!Address[ID],[1]!Address[PIC])</f>
        <v/>
      </c>
      <c r="E993" s="38" t="str">
        <f>_xlfn.XLOOKUP(Customer[[#This Row],[Customer ID]],[1]!Address[ID],[1]!Address[Full Address])</f>
        <v>NO.4,HENTIAN SEBELAH SIMPANG PULAI ARAH UTAR31300 SIMPANG PULAI,PERAK.</v>
      </c>
      <c r="F993" s="12" t="s">
        <v>6804</v>
      </c>
      <c r="G993" s="12" t="s">
        <v>6805</v>
      </c>
      <c r="H993" s="12" t="s">
        <v>6806</v>
      </c>
      <c r="I993" s="12" t="b">
        <f>ISNUMBER(VALUE(LEFT(Customer[[#This Row],[Address Line 3 (30 char)]],1)))</f>
        <v>0</v>
      </c>
      <c r="J993" s="12" t="s">
        <v>242</v>
      </c>
      <c r="K993" s="12">
        <v>31300</v>
      </c>
      <c r="L993" s="12" t="s">
        <v>35</v>
      </c>
      <c r="M993" s="13" t="e">
        <v>#N/A</v>
      </c>
      <c r="N993" s="14" t="e">
        <v>#N/A</v>
      </c>
      <c r="O993" s="14" t="e">
        <v>#N/A</v>
      </c>
      <c r="P993" s="14" t="e">
        <v>#N/A</v>
      </c>
      <c r="Q993" s="14" t="e">
        <v>#N/A</v>
      </c>
      <c r="R993" s="15" t="s">
        <v>6807</v>
      </c>
      <c r="S993" s="15" t="s">
        <v>5925</v>
      </c>
      <c r="T993" s="16" t="s">
        <v>3477</v>
      </c>
      <c r="U993" s="11" t="str">
        <f>_xlfn.XLOOKUP(Customer[[#This Row],[Customer ID]],[1]!Address[ID],[1]!Address[Phone No.(2)])</f>
        <v/>
      </c>
      <c r="V993" s="11" t="str">
        <f>_xlfn.XLOOKUP(Customer[[#This Row],[Customer ID]],[1]!Address[ID],[1]!Address[Type])</f>
        <v>CAFE</v>
      </c>
      <c r="W993" s="11" t="str">
        <f>_xlfn.XLOOKUP(Customer[[#This Row],[Customer ID]],[1]!Address[ID],[1]!Address[CT])</f>
        <v>30 DAYS</v>
      </c>
      <c r="X993" s="11"/>
      <c r="Y993" s="17" t="s">
        <v>5926</v>
      </c>
      <c r="Z993" s="17" t="e">
        <f>_xlfn.XLOOKUP(Customer[[#This Row],[NewType]],$AF$36:$AF$54,$AG$36:$AG$54)</f>
        <v>#N/A</v>
      </c>
      <c r="AA993" s="17" t="s">
        <v>6808</v>
      </c>
      <c r="AB993" s="11" t="str">
        <f>_xlfn.XLOOKUP(Customer[[#This Row],[Customer ID]],[1]!Address[ID],[1]!Address[Subtype])</f>
        <v>PLUS</v>
      </c>
      <c r="AC993" s="18" t="str">
        <f>_xlfn.XLOOKUP(Customer[[#This Row],[Customer ID]],[1]!Address[ID],[1]!Address[Zone])</f>
        <v>NORTH</v>
      </c>
    </row>
    <row r="994" spans="1:30" x14ac:dyDescent="0.3">
      <c r="A994" s="37" t="s">
        <v>6809</v>
      </c>
      <c r="B994" s="38" t="str">
        <f>_xlfn.XLOOKUP(Customer[[#This Row],[Customer ID]],[1]!Name[ID],[1]!Name[Description(1)])</f>
        <v>STAR GROCER SDN BHD-ESPLANADE MALL</v>
      </c>
      <c r="C994" s="38" t="str">
        <f>_xlfn.XLOOKUP(Customer[[#This Row],[Customer ID]],[1]!Name[ID],[1]!Name[Description(2)])</f>
        <v/>
      </c>
      <c r="D994" s="38" t="str">
        <f>_xlfn.XLOOKUP(Customer[[#This Row],[Customer ID]],[1]!Address[ID],[1]!Address[PIC])</f>
        <v>ABDULLAH</v>
      </c>
      <c r="E994" s="38" t="str">
        <f>_xlfn.XLOOKUP(Customer[[#This Row],[Customer ID]],[1]!Address[ID],[1]!Address[Full Address])</f>
        <v>LOT NO G013A, GROUND FLOOR,KSL ESPLANADE MALL,NO.1 PERSIARAN BESTARI 2/KS09,BANDAR BESTARI, 41200 KLANG BANDAR DIR.</v>
      </c>
      <c r="F994" s="12" t="s">
        <v>6810</v>
      </c>
      <c r="G994" s="12" t="s">
        <v>6811</v>
      </c>
      <c r="H994" s="12" t="s">
        <v>6812</v>
      </c>
      <c r="I994" s="12" t="b">
        <f>ISNUMBER(VALUE(LEFT(Customer[[#This Row],[Address Line 3 (30 char)]],1)))</f>
        <v>0</v>
      </c>
      <c r="J994" s="12" t="s">
        <v>172</v>
      </c>
      <c r="K994" s="12">
        <v>41200</v>
      </c>
      <c r="L994" s="12" t="s">
        <v>35</v>
      </c>
      <c r="M994" s="13" t="e">
        <v>#N/A</v>
      </c>
      <c r="N994" s="14" t="e">
        <v>#N/A</v>
      </c>
      <c r="O994" s="14" t="e">
        <v>#N/A</v>
      </c>
      <c r="P994" s="14" t="e">
        <v>#N/A</v>
      </c>
      <c r="Q994" s="14" t="e">
        <v>#N/A</v>
      </c>
      <c r="R994" s="15" t="s">
        <v>6813</v>
      </c>
      <c r="S994" s="15" t="s">
        <v>5925</v>
      </c>
      <c r="T994" s="16" t="s">
        <v>3477</v>
      </c>
      <c r="U994" s="11" t="str">
        <f>_xlfn.XLOOKUP(Customer[[#This Row],[Customer ID]],[1]!Address[ID],[1]!Address[Phone No.(2)])</f>
        <v/>
      </c>
      <c r="V994" s="11" t="str">
        <f>_xlfn.XLOOKUP(Customer[[#This Row],[Customer ID]],[1]!Address[ID],[1]!Address[Type])</f>
        <v>CM</v>
      </c>
      <c r="W994" s="11" t="str">
        <f>_xlfn.XLOOKUP(Customer[[#This Row],[Customer ID]],[1]!Address[ID],[1]!Address[CT])</f>
        <v>45 DAYS</v>
      </c>
      <c r="X994" s="11"/>
      <c r="Y994" s="17" t="s">
        <v>5918</v>
      </c>
      <c r="Z994" s="17" t="e">
        <f>_xlfn.XLOOKUP(Customer[[#This Row],[NewType]],$AF$36:$AF$54,$AG$36:$AG$54)</f>
        <v>#N/A</v>
      </c>
      <c r="AA994" s="17" t="s">
        <v>6814</v>
      </c>
      <c r="AB994" s="11" t="str">
        <f>_xlfn.XLOOKUP(Customer[[#This Row],[Customer ID]],[1]!Address[ID],[1]!Address[Subtype])</f>
        <v>STAR GROCER</v>
      </c>
      <c r="AC994" s="18" t="str">
        <f>_xlfn.XLOOKUP(Customer[[#This Row],[Customer ID]],[1]!Address[ID],[1]!Address[Zone])</f>
        <v>CENTRAL</v>
      </c>
    </row>
    <row r="995" spans="1:30" x14ac:dyDescent="0.3">
      <c r="A995" s="37" t="s">
        <v>6815</v>
      </c>
      <c r="B995" s="38" t="str">
        <f>_xlfn.XLOOKUP(Customer[[#This Row],[Customer ID]],[1]!Name[ID],[1]!Name[Description(1)])</f>
        <v>KPJ SRMBN - SEREMBAN</v>
      </c>
      <c r="C995" s="38" t="str">
        <f>_xlfn.XLOOKUP(Customer[[#This Row],[Customer ID]],[1]!Name[ID],[1]!Name[Description(2)])</f>
        <v>KPJ HEALTHSHOPPE SDN BHD</v>
      </c>
      <c r="D995" s="38" t="str">
        <f>_xlfn.XLOOKUP(Customer[[#This Row],[Customer ID]],[1]!Address[ID],[1]!Address[PIC])</f>
        <v/>
      </c>
      <c r="E995" s="38" t="str">
        <f>_xlfn.XLOOKUP(Customer[[#This Row],[Customer ID]],[1]!Address[ID],[1]!Address[Full Address])</f>
        <v>LOT 6219 &amp; 6220, JALAN TOMAN 1,KEMAYAN SQUARE, 70200 SEREMBAN,NEGERI SEMBILAN</v>
      </c>
      <c r="F995" s="12" t="s">
        <v>6816</v>
      </c>
      <c r="G995" s="12" t="s">
        <v>6817</v>
      </c>
      <c r="H995" s="12" t="s">
        <v>2377</v>
      </c>
      <c r="I995" s="12" t="b">
        <f>ISNUMBER(VALUE(LEFT(Customer[[#This Row],[Address Line 3 (30 char)]],1)))</f>
        <v>0</v>
      </c>
      <c r="J995" s="12" t="s">
        <v>203</v>
      </c>
      <c r="K995" s="12">
        <v>70200</v>
      </c>
      <c r="L995" s="12" t="s">
        <v>35</v>
      </c>
      <c r="M995" s="13" t="e">
        <v>#N/A</v>
      </c>
      <c r="N995" s="14" t="e">
        <v>#N/A</v>
      </c>
      <c r="O995" s="14" t="e">
        <v>#N/A</v>
      </c>
      <c r="P995" s="14" t="e">
        <v>#N/A</v>
      </c>
      <c r="Q995" s="14" t="s">
        <v>6818</v>
      </c>
      <c r="R995" s="15" t="s">
        <v>6819</v>
      </c>
      <c r="S995" s="15" t="s">
        <v>3476</v>
      </c>
      <c r="T995" s="16" t="s">
        <v>3477</v>
      </c>
      <c r="U995" s="11" t="str">
        <f>_xlfn.XLOOKUP(Customer[[#This Row],[Customer ID]],[1]!Address[ID],[1]!Address[Phone No.(2)])</f>
        <v/>
      </c>
      <c r="V995" s="11" t="str">
        <f>_xlfn.XLOOKUP(Customer[[#This Row],[Customer ID]],[1]!Address[ID],[1]!Address[Type])</f>
        <v>PH</v>
      </c>
      <c r="W995" s="11" t="str">
        <f>_xlfn.XLOOKUP(Customer[[#This Row],[Customer ID]],[1]!Address[ID],[1]!Address[CT])</f>
        <v>60 DAYS</v>
      </c>
      <c r="X995" s="11"/>
      <c r="Y995" s="17" t="s">
        <v>5955</v>
      </c>
      <c r="Z995" s="17" t="e">
        <f>_xlfn.XLOOKUP(Customer[[#This Row],[NewType]],$AF$36:$AF$54,$AG$36:$AG$54)</f>
        <v>#N/A</v>
      </c>
      <c r="AA995" s="17" t="s">
        <v>6820</v>
      </c>
      <c r="AB995" s="11" t="str">
        <f>_xlfn.XLOOKUP(Customer[[#This Row],[Customer ID]],[1]!Address[ID],[1]!Address[Subtype])</f>
        <v>KPJ HEALTH</v>
      </c>
      <c r="AC995" s="18" t="str">
        <f>_xlfn.XLOOKUP(Customer[[#This Row],[Customer ID]],[1]!Address[ID],[1]!Address[Zone])</f>
        <v>CENTRAL</v>
      </c>
    </row>
    <row r="996" spans="1:30" x14ac:dyDescent="0.3">
      <c r="A996" s="37" t="s">
        <v>6821</v>
      </c>
      <c r="B996" s="38" t="str">
        <f>_xlfn.XLOOKUP(Customer[[#This Row],[Customer ID]],[1]!Name[ID],[1]!Name[Description(1)])</f>
        <v>AL-AMMAR SOUTH EAST ASIA ENTERPRISE</v>
      </c>
      <c r="C996" s="38" t="str">
        <f>_xlfn.XLOOKUP(Customer[[#This Row],[Customer ID]],[1]!Name[ID],[1]!Name[Description(2)])</f>
        <v/>
      </c>
      <c r="D996" s="38" t="str">
        <f>_xlfn.XLOOKUP(Customer[[#This Row],[Customer ID]],[1]!Address[ID],[1]!Address[PIC])</f>
        <v/>
      </c>
      <c r="E996" s="38" t="str">
        <f>_xlfn.XLOOKUP(Customer[[#This Row],[Customer ID]],[1]!Address[ID],[1]!Address[Full Address])</f>
        <v>NO. 29, SPG 236-47-2 KG TUNGKU,JALAN TUNGKU, GADONG BRUNEI-MUARABE2119, BRUNEI DARUSSALAM</v>
      </c>
      <c r="F996" s="12" t="s">
        <v>6822</v>
      </c>
      <c r="G996" s="12" t="s">
        <v>6823</v>
      </c>
      <c r="H996" s="12" t="s">
        <v>6824</v>
      </c>
      <c r="I996" s="12" t="b">
        <f>ISNUMBER(VALUE(LEFT(Customer[[#This Row],[Address Line 3 (30 char)]],1)))</f>
        <v>0</v>
      </c>
      <c r="J996" s="12" t="s">
        <v>6825</v>
      </c>
      <c r="K996" s="60" t="s">
        <v>6826</v>
      </c>
      <c r="L996" s="12" t="s">
        <v>6827</v>
      </c>
      <c r="M996" s="13" t="e">
        <v>#N/A</v>
      </c>
      <c r="N996" s="14" t="e">
        <v>#N/A</v>
      </c>
      <c r="O996" s="14" t="e">
        <v>#N/A</v>
      </c>
      <c r="P996" s="14" t="e">
        <v>#N/A</v>
      </c>
      <c r="Q996" s="19" t="s">
        <v>6828</v>
      </c>
      <c r="R996" s="15" t="s">
        <v>6829</v>
      </c>
      <c r="S996" s="15" t="s">
        <v>5934</v>
      </c>
      <c r="T996" s="16" t="s">
        <v>3477</v>
      </c>
      <c r="U996" s="11" t="str">
        <f>_xlfn.XLOOKUP(Customer[[#This Row],[Customer ID]],[1]!Address[ID],[1]!Address[Phone No.(2)])</f>
        <v/>
      </c>
      <c r="V996" s="11" t="str">
        <f>_xlfn.XLOOKUP(Customer[[#This Row],[Customer ID]],[1]!Address[ID],[1]!Address[Type])</f>
        <v>PARTNER</v>
      </c>
      <c r="W996" s="11" t="str">
        <f>_xlfn.XLOOKUP(Customer[[#This Row],[Customer ID]],[1]!Address[ID],[1]!Address[CT])</f>
        <v>CASH</v>
      </c>
      <c r="X996" s="11"/>
      <c r="Y996" s="17" t="s">
        <v>6639</v>
      </c>
      <c r="Z996" s="17" t="e">
        <f>_xlfn.XLOOKUP(Customer[[#This Row],[NewType]],$AF$36:$AF$54,$AG$36:$AG$54)</f>
        <v>#N/A</v>
      </c>
      <c r="AA996" s="17" t="s">
        <v>6830</v>
      </c>
      <c r="AB996" s="11" t="str">
        <f>_xlfn.XLOOKUP(Customer[[#This Row],[Customer ID]],[1]!Address[ID],[1]!Address[Subtype])</f>
        <v>BRUNEI</v>
      </c>
      <c r="AC996" s="18">
        <f>_xlfn.XLOOKUP(Customer[[#This Row],[Customer ID]],[1]!Address[ID],[1]!Address[Zone])</f>
        <v>0</v>
      </c>
    </row>
    <row r="997" spans="1:30" x14ac:dyDescent="0.3">
      <c r="A997" s="37" t="s">
        <v>6831</v>
      </c>
      <c r="B997" s="38" t="str">
        <f>_xlfn.XLOOKUP(Customer[[#This Row],[Customer ID]],[1]!Name[ID],[1]!Name[Description(1)])</f>
        <v>KIAN LEE &amp; SON SDN.BHD</v>
      </c>
      <c r="C997" s="38" t="str">
        <f>_xlfn.XLOOKUP(Customer[[#This Row],[Customer ID]],[1]!Name[ID],[1]!Name[Description(2)])</f>
        <v>CALTEX JALAN TUANKU ANTAH</v>
      </c>
      <c r="D997" s="38" t="str">
        <f>_xlfn.XLOOKUP(Customer[[#This Row],[Customer ID]],[1]!Address[ID],[1]!Address[PIC])</f>
        <v/>
      </c>
      <c r="E997" s="38" t="str">
        <f>_xlfn.XLOOKUP(Customer[[#This Row],[Customer ID]],[1]!Address[ID],[1]!Address[Full Address])</f>
        <v>CALTEX JALAN TUANKU ANTAHJALAN TUANKU ANTAH 70100SEREMBAN NS</v>
      </c>
      <c r="F997" s="12" t="s">
        <v>6832</v>
      </c>
      <c r="G997" s="12" t="s">
        <v>6833</v>
      </c>
      <c r="H997" s="12" t="s">
        <v>2411</v>
      </c>
      <c r="I997" s="12" t="b">
        <f>ISNUMBER(VALUE(LEFT(Customer[[#This Row],[Address Line 3 (30 char)]],1)))</f>
        <v>0</v>
      </c>
      <c r="J997" s="12" t="s">
        <v>203</v>
      </c>
      <c r="K997" s="12">
        <v>70100</v>
      </c>
      <c r="L997" s="12" t="s">
        <v>35</v>
      </c>
      <c r="M997" s="13" t="e">
        <v>#N/A</v>
      </c>
      <c r="N997" s="14" t="e">
        <v>#N/A</v>
      </c>
      <c r="O997" s="14" t="e">
        <v>#N/A</v>
      </c>
      <c r="P997" s="14" t="e">
        <v>#N/A</v>
      </c>
      <c r="Q997" s="14" t="e">
        <v>#N/A</v>
      </c>
      <c r="R997" s="15" t="s">
        <v>36</v>
      </c>
      <c r="S997" s="15" t="s">
        <v>37</v>
      </c>
      <c r="T997" s="16" t="s">
        <v>38</v>
      </c>
      <c r="U997" s="11" t="str">
        <f>_xlfn.XLOOKUP(Customer[[#This Row],[Customer ID]],[1]!Address[ID],[1]!Address[Phone No.(2)])</f>
        <v/>
      </c>
      <c r="V997" s="11" t="str">
        <f>_xlfn.XLOOKUP(Customer[[#This Row],[Customer ID]],[1]!Address[ID],[1]!Address[Type])</f>
        <v>PETROMART</v>
      </c>
      <c r="W997" s="11" t="str">
        <f>_xlfn.XLOOKUP(Customer[[#This Row],[Customer ID]],[1]!Address[ID],[1]!Address[CT])</f>
        <v>30 DAYS</v>
      </c>
      <c r="X997" s="11" t="s">
        <v>39</v>
      </c>
      <c r="Y997" s="17" t="s">
        <v>40</v>
      </c>
      <c r="Z997" s="17" t="e">
        <f>_xlfn.XLOOKUP(Customer[[#This Row],[NewType]],$AF$36:$AF$54,$AG$36:$AG$54)</f>
        <v>#N/A</v>
      </c>
      <c r="AA997" s="17" t="s">
        <v>6834</v>
      </c>
      <c r="AB997" s="11" t="str">
        <f>_xlfn.XLOOKUP(Customer[[#This Row],[Customer ID]],[1]!Address[ID],[1]!Address[Subtype])</f>
        <v>CALTEX</v>
      </c>
      <c r="AC997" s="18" t="str">
        <f>_xlfn.XLOOKUP(Customer[[#This Row],[Customer ID]],[1]!Address[ID],[1]!Address[Zone])</f>
        <v>CENTRAL</v>
      </c>
    </row>
    <row r="998" spans="1:30" x14ac:dyDescent="0.3">
      <c r="A998" s="37" t="s">
        <v>6835</v>
      </c>
      <c r="B998" s="38" t="str">
        <f>_xlfn.XLOOKUP(Customer[[#This Row],[Customer ID]],[1]!Name[ID],[1]!Name[Description(1)])</f>
        <v>RISTIQA PS SERVICE</v>
      </c>
      <c r="C998" s="38" t="str">
        <f>_xlfn.XLOOKUP(Customer[[#This Row],[Customer ID]],[1]!Name[ID],[1]!Name[Description(2)])</f>
        <v>CALTEX PORT DICKSON</v>
      </c>
      <c r="D998" s="38" t="str">
        <f>_xlfn.XLOOKUP(Customer[[#This Row],[Customer ID]],[1]!Address[ID],[1]!Address[PIC])</f>
        <v/>
      </c>
      <c r="E998" s="38" t="str">
        <f>_xlfn.XLOOKUP(Customer[[#This Row],[Customer ID]],[1]!Address[ID],[1]!Address[Full Address])</f>
        <v>CALTEX PORT DICKSON3/4 JALAN PANTAI 71000 PORT DICKSONNEGERI SEMBILAN</v>
      </c>
      <c r="F998" s="12" t="s">
        <v>6836</v>
      </c>
      <c r="G998" s="12" t="s">
        <v>6837</v>
      </c>
      <c r="H998" s="12"/>
      <c r="I998" s="12" t="b">
        <f>ISNUMBER(VALUE(LEFT(Customer[[#This Row],[Address Line 3 (30 char)]],1)))</f>
        <v>0</v>
      </c>
      <c r="J998" s="12" t="s">
        <v>203</v>
      </c>
      <c r="K998" s="12">
        <v>71000</v>
      </c>
      <c r="L998" s="12" t="s">
        <v>35</v>
      </c>
      <c r="M998" s="13" t="e">
        <v>#N/A</v>
      </c>
      <c r="N998" s="14" t="e">
        <v>#N/A</v>
      </c>
      <c r="O998" s="14" t="e">
        <v>#N/A</v>
      </c>
      <c r="P998" s="14" t="e">
        <v>#N/A</v>
      </c>
      <c r="Q998" s="14" t="e">
        <v>#N/A</v>
      </c>
      <c r="R998" s="15" t="s">
        <v>36</v>
      </c>
      <c r="S998" s="15" t="s">
        <v>37</v>
      </c>
      <c r="T998" s="16" t="s">
        <v>38</v>
      </c>
      <c r="U998" s="11" t="str">
        <f>_xlfn.XLOOKUP(Customer[[#This Row],[Customer ID]],[1]!Address[ID],[1]!Address[Phone No.(2)])</f>
        <v/>
      </c>
      <c r="V998" s="11" t="str">
        <f>_xlfn.XLOOKUP(Customer[[#This Row],[Customer ID]],[1]!Address[ID],[1]!Address[Type])</f>
        <v>PETROMART</v>
      </c>
      <c r="W998" s="11" t="str">
        <f>_xlfn.XLOOKUP(Customer[[#This Row],[Customer ID]],[1]!Address[ID],[1]!Address[CT])</f>
        <v>30 DAYS</v>
      </c>
      <c r="X998" s="11" t="s">
        <v>39</v>
      </c>
      <c r="Y998" s="17" t="s">
        <v>40</v>
      </c>
      <c r="Z998" s="17" t="e">
        <f>_xlfn.XLOOKUP(Customer[[#This Row],[NewType]],$AF$36:$AF$54,$AG$36:$AG$54)</f>
        <v>#N/A</v>
      </c>
      <c r="AA998" s="17" t="s">
        <v>6838</v>
      </c>
      <c r="AB998" s="11" t="str">
        <f>_xlfn.XLOOKUP(Customer[[#This Row],[Customer ID]],[1]!Address[ID],[1]!Address[Subtype])</f>
        <v>CALTEX</v>
      </c>
      <c r="AC998" s="18" t="str">
        <f>_xlfn.XLOOKUP(Customer[[#This Row],[Customer ID]],[1]!Address[ID],[1]!Address[Zone])</f>
        <v>CENTRAL</v>
      </c>
    </row>
    <row r="999" spans="1:30" x14ac:dyDescent="0.3">
      <c r="A999" s="37" t="s">
        <v>6839</v>
      </c>
      <c r="B999" s="38" t="str">
        <f>_xlfn.XLOOKUP(Customer[[#This Row],[Customer ID]],[1]!Name[ID],[1]!Name[Description(1)])</f>
        <v>GAMMASTAR SERVICE</v>
      </c>
      <c r="C999" s="38" t="str">
        <f>_xlfn.XLOOKUP(Customer[[#This Row],[Customer ID]],[1]!Name[ID],[1]!Name[Description(2)])</f>
        <v>CALTEX JALAN TUAN HJ SAID</v>
      </c>
      <c r="D999" s="38" t="str">
        <f>_xlfn.XLOOKUP(Customer[[#This Row],[Customer ID]],[1]!Address[ID],[1]!Address[PIC])</f>
        <v/>
      </c>
      <c r="E999" s="38" t="str">
        <f>_xlfn.XLOOKUP(Customer[[#This Row],[Customer ID]],[1]!Address[ID],[1]!Address[Full Address])</f>
        <v>CALTEX JALAN TUAN HJ SAIDPT 5333, JALAN TUAN HJSAID 70200 SEREMBANNEGERI SEMBILAN</v>
      </c>
      <c r="F999" s="12" t="s">
        <v>6840</v>
      </c>
      <c r="G999" s="12" t="s">
        <v>6841</v>
      </c>
      <c r="H999" s="12" t="s">
        <v>6842</v>
      </c>
      <c r="I999" s="12" t="b">
        <f>ISNUMBER(VALUE(LEFT(Customer[[#This Row],[Address Line 3 (30 char)]],1)))</f>
        <v>0</v>
      </c>
      <c r="J999" s="12" t="s">
        <v>203</v>
      </c>
      <c r="K999" s="12">
        <v>70200</v>
      </c>
      <c r="L999" s="12" t="s">
        <v>35</v>
      </c>
      <c r="M999" s="13">
        <v>200703128238</v>
      </c>
      <c r="N999" s="14" t="s">
        <v>6843</v>
      </c>
      <c r="O999" s="14" t="s">
        <v>54</v>
      </c>
      <c r="P999" s="14">
        <v>47300</v>
      </c>
      <c r="Q999" s="14" t="s">
        <v>6844</v>
      </c>
      <c r="R999" s="15" t="s">
        <v>36</v>
      </c>
      <c r="S999" s="15" t="s">
        <v>37</v>
      </c>
      <c r="T999" s="16" t="s">
        <v>38</v>
      </c>
      <c r="U999" s="11" t="str">
        <f>_xlfn.XLOOKUP(Customer[[#This Row],[Customer ID]],[1]!Address[ID],[1]!Address[Phone No.(2)])</f>
        <v/>
      </c>
      <c r="V999" s="11" t="str">
        <f>_xlfn.XLOOKUP(Customer[[#This Row],[Customer ID]],[1]!Address[ID],[1]!Address[Type])</f>
        <v>PETROMART</v>
      </c>
      <c r="W999" s="11" t="str">
        <f>_xlfn.XLOOKUP(Customer[[#This Row],[Customer ID]],[1]!Address[ID],[1]!Address[CT])</f>
        <v>30 DAYS</v>
      </c>
      <c r="X999" s="11" t="s">
        <v>39</v>
      </c>
      <c r="Y999" s="17" t="s">
        <v>40</v>
      </c>
      <c r="Z999" s="17" t="e">
        <f>_xlfn.XLOOKUP(Customer[[#This Row],[NewType]],$AF$36:$AF$54,$AG$36:$AG$54)</f>
        <v>#N/A</v>
      </c>
      <c r="AA999" s="17" t="s">
        <v>6845</v>
      </c>
      <c r="AB999" s="11" t="str">
        <f>_xlfn.XLOOKUP(Customer[[#This Row],[Customer ID]],[1]!Address[ID],[1]!Address[Subtype])</f>
        <v>CALTEX</v>
      </c>
      <c r="AC999" s="18" t="str">
        <f>_xlfn.XLOOKUP(Customer[[#This Row],[Customer ID]],[1]!Address[ID],[1]!Address[Zone])</f>
        <v>CENTRAL</v>
      </c>
    </row>
    <row r="1000" spans="1:30" x14ac:dyDescent="0.3">
      <c r="A1000" s="45" t="s">
        <v>6846</v>
      </c>
      <c r="B1000" s="32" t="str">
        <f>_xlfn.XLOOKUP(Customer[[#This Row],[Customer ID]],[1]!Name[ID],[1]!Name[Description(1)])</f>
        <v>NOORLIDA BT ISMAIL</v>
      </c>
      <c r="C1000" s="32" t="str">
        <f>_xlfn.XLOOKUP(Customer[[#This Row],[Customer ID]],[1]!Name[ID],[1]!Name[Description(2)])</f>
        <v/>
      </c>
      <c r="D1000" s="38" t="str">
        <f>_xlfn.XLOOKUP(Customer[[#This Row],[Customer ID]],[1]!Address[ID],[1]!Address[PIC])</f>
        <v/>
      </c>
      <c r="E1000" s="38" t="str">
        <f>_xlfn.XLOOKUP(Customer[[#This Row],[Customer ID]],[1]!Address[ID],[1]!Address[Full Address])</f>
        <v>KG SEGE HILIR</v>
      </c>
      <c r="F1000" s="12" t="s">
        <v>6847</v>
      </c>
      <c r="G1000" s="12" t="s">
        <v>36</v>
      </c>
      <c r="H1000" s="12" t="s">
        <v>36</v>
      </c>
      <c r="I1000" s="12" t="b">
        <f>ISNUMBER(VALUE(LEFT(Customer[[#This Row],[Address Line 3 (30 char)]],1)))</f>
        <v>0</v>
      </c>
      <c r="J1000" s="32"/>
      <c r="K1000" s="32"/>
      <c r="L1000" s="12" t="s">
        <v>35</v>
      </c>
      <c r="M1000" s="13" t="e">
        <v>#N/A</v>
      </c>
      <c r="N1000" s="14" t="e">
        <v>#N/A</v>
      </c>
      <c r="O1000" s="14" t="e">
        <v>#N/A</v>
      </c>
      <c r="P1000" s="14" t="e">
        <v>#N/A</v>
      </c>
      <c r="Q1000" s="14" t="e">
        <v>#N/A</v>
      </c>
      <c r="R1000" s="15" t="s">
        <v>6848</v>
      </c>
      <c r="S1000" s="16" t="s">
        <v>6283</v>
      </c>
      <c r="T1000" s="16"/>
      <c r="U1000" s="11" t="str">
        <f>_xlfn.XLOOKUP(Customer[[#This Row],[Customer ID]],[1]!Address[ID],[1]!Address[Phone No.(2)])</f>
        <v/>
      </c>
      <c r="V1000" s="11" t="str">
        <f>_xlfn.XLOOKUP(Customer[[#This Row],[Customer ID]],[1]!Address[ID],[1]!Address[Type])</f>
        <v>WALK IN</v>
      </c>
      <c r="W1000" s="11" t="str">
        <f>_xlfn.XLOOKUP(Customer[[#This Row],[Customer ID]],[1]!Address[ID],[1]!Address[CT])</f>
        <v/>
      </c>
      <c r="X1000" s="11"/>
      <c r="Y1000" s="17" t="s">
        <v>6284</v>
      </c>
      <c r="Z1000" s="17" t="e">
        <f>_xlfn.XLOOKUP(Customer[[#This Row],[NewType]],$AF$36:$AF$54,$AG$36:$AG$54)</f>
        <v>#N/A</v>
      </c>
      <c r="AA1000" s="17" t="s">
        <v>6849</v>
      </c>
      <c r="AB1000" s="11" t="str">
        <f>_xlfn.XLOOKUP(Customer[[#This Row],[Customer ID]],[1]!Address[ID],[1]!Address[Subtype])</f>
        <v>RANTAU</v>
      </c>
      <c r="AC1000" s="18" t="str">
        <f>_xlfn.XLOOKUP(Customer[[#This Row],[Customer ID]],[1]!Address[ID],[1]!Address[Zone])</f>
        <v>CENTRAL</v>
      </c>
    </row>
    <row r="1001" spans="1:30" x14ac:dyDescent="0.3">
      <c r="A1001" s="56" t="s">
        <v>6850</v>
      </c>
      <c r="B1001" s="50" t="str">
        <f>_xlfn.XLOOKUP(Customer[[#This Row],[Customer ID]],[1]!Name[ID],[1]!Name[Description(1)])</f>
        <v>FARMASI ALPHA CHANGLUN</v>
      </c>
      <c r="C1001" s="50" t="str">
        <f>_xlfn.XLOOKUP(Customer[[#This Row],[Customer ID]],[1]!Name[ID],[1]!Name[Description(2)])</f>
        <v/>
      </c>
      <c r="D1001" s="50" t="str">
        <f>_xlfn.XLOOKUP(Customer[[#This Row],[Customer ID]],[1]!Address[ID],[1]!Address[PIC])</f>
        <v>FARMASI</v>
      </c>
      <c r="E1001" s="38" t="str">
        <f>_xlfn.XLOOKUP(Customer[[#This Row],[Customer ID]],[1]!Address[ID],[1]!Address[Full Address])</f>
        <v>16, TINGKAT BAWAH,JALAN PEKAN CHANGLUN 3,PEKAN CHANGLUN,06010 CHANGLUN, KEDAH</v>
      </c>
      <c r="F1001" s="57" t="s">
        <v>6851</v>
      </c>
      <c r="G1001" s="57" t="s">
        <v>6852</v>
      </c>
      <c r="H1001" s="57" t="s">
        <v>6853</v>
      </c>
      <c r="I1001" s="57" t="b">
        <f>ISNUMBER(VALUE(LEFT(Customer[[#This Row],[Address Line 3 (30 char)]],1)))</f>
        <v>0</v>
      </c>
      <c r="J1001" s="57" t="s">
        <v>355</v>
      </c>
      <c r="K1001" s="61" t="s">
        <v>1300</v>
      </c>
      <c r="L1001" s="57" t="s">
        <v>35</v>
      </c>
      <c r="M1001" s="58" t="e">
        <v>#N/A</v>
      </c>
      <c r="N1001" s="59" t="e">
        <v>#N/A</v>
      </c>
      <c r="O1001" s="59" t="e">
        <v>#N/A</v>
      </c>
      <c r="P1001" s="59" t="e">
        <v>#N/A</v>
      </c>
      <c r="Q1001" s="59" t="e">
        <v>#N/A</v>
      </c>
      <c r="R1001" s="51" t="s">
        <v>6854</v>
      </c>
      <c r="S1001" s="51" t="s">
        <v>88</v>
      </c>
      <c r="T1001" s="52" t="s">
        <v>89</v>
      </c>
      <c r="U1001" s="49" t="str">
        <f>_xlfn.XLOOKUP(Customer[[#This Row],[Customer ID]],[1]!Address[ID],[1]!Address[Phone No.(2)])</f>
        <v/>
      </c>
      <c r="V1001" s="49" t="str">
        <f>_xlfn.XLOOKUP(Customer[[#This Row],[Customer ID]],[1]!Address[ID],[1]!Address[Type])</f>
        <v>SOCMED</v>
      </c>
      <c r="W1001" s="49" t="str">
        <f>_xlfn.XLOOKUP(Customer[[#This Row],[Customer ID]],[1]!Address[ID],[1]!Address[CT])</f>
        <v/>
      </c>
      <c r="X1001" s="49"/>
      <c r="Y1001" s="53" t="s">
        <v>90</v>
      </c>
      <c r="Z1001" s="53" t="e">
        <f>_xlfn.XLOOKUP(Customer[[#This Row],[NewType]],$AF$36:$AF$54,$AG$36:$AG$54)</f>
        <v>#N/A</v>
      </c>
      <c r="AA1001" s="53" t="s">
        <v>6855</v>
      </c>
      <c r="AB1001" s="49" t="str">
        <f>_xlfn.XLOOKUP(Customer[[#This Row],[Customer ID]],[1]!Address[ID],[1]!Address[Subtype])</f>
        <v>ONLINE ROS</v>
      </c>
      <c r="AC1001" s="54" t="str">
        <f>_xlfn.XLOOKUP(Customer[[#This Row],[Customer ID]],[1]!Address[ID],[1]!Address[Zone])</f>
        <v>NORTH</v>
      </c>
      <c r="AD1001" s="55"/>
    </row>
    <row r="1002" spans="1:30" x14ac:dyDescent="0.3">
      <c r="A1002" s="37" t="s">
        <v>6856</v>
      </c>
      <c r="B1002" s="38" t="str">
        <f>_xlfn.XLOOKUP(Customer[[#This Row],[Customer ID]],[1]!Name[ID],[1]!Name[Description(1)])</f>
        <v>H ELITE HOTEL (KB) SDN BHD</v>
      </c>
      <c r="C1002" s="38" t="str">
        <f>_xlfn.XLOOKUP(Customer[[#This Row],[Customer ID]],[1]!Name[ID],[1]!Name[Description(2)])</f>
        <v>XPRESS POINT H ELITE HOTEL</v>
      </c>
      <c r="D1002" s="38" t="str">
        <f>_xlfn.XLOOKUP(Customer[[#This Row],[Customer ID]],[1]!Address[ID],[1]!Address[PIC])</f>
        <v/>
      </c>
      <c r="E1002" s="38" t="str">
        <f>_xlfn.XLOOKUP(Customer[[#This Row],[Customer ID]],[1]!Address[ID],[1]!Address[Full Address])</f>
        <v>XPRESS POINT H ELITE HOTELAG-G-09, AL-WAQAF@TUNJONG,JALAN KUALA KRAI16010 KOTA BHARU, KELANTAN</v>
      </c>
      <c r="F1002" s="12" t="s">
        <v>6857</v>
      </c>
      <c r="G1002" s="12" t="s">
        <v>6858</v>
      </c>
      <c r="H1002" s="12" t="s">
        <v>6859</v>
      </c>
      <c r="I1002" s="12" t="b">
        <f>ISNUMBER(VALUE(LEFT(Customer[[#This Row],[Address Line 3 (30 char)]],1)))</f>
        <v>0</v>
      </c>
      <c r="J1002" s="12" t="s">
        <v>1007</v>
      </c>
      <c r="K1002" s="12">
        <v>16010</v>
      </c>
      <c r="L1002" s="12" t="s">
        <v>35</v>
      </c>
      <c r="M1002" s="13" t="e">
        <v>#N/A</v>
      </c>
      <c r="N1002" s="14" t="e">
        <v>#N/A</v>
      </c>
      <c r="O1002" s="14" t="e">
        <v>#N/A</v>
      </c>
      <c r="P1002" s="14" t="e">
        <v>#N/A</v>
      </c>
      <c r="Q1002" s="14" t="e">
        <v>#N/A</v>
      </c>
      <c r="R1002" s="15" t="s">
        <v>6860</v>
      </c>
      <c r="S1002" s="15" t="s">
        <v>37</v>
      </c>
      <c r="T1002" s="16" t="s">
        <v>38</v>
      </c>
      <c r="U1002" s="11" t="str">
        <f>_xlfn.XLOOKUP(Customer[[#This Row],[Customer ID]],[1]!Address[ID],[1]!Address[Phone No.(2)])</f>
        <v/>
      </c>
      <c r="V1002" s="11" t="str">
        <f>_xlfn.XLOOKUP(Customer[[#This Row],[Customer ID]],[1]!Address[ID],[1]!Address[Type])</f>
        <v>PETROMART</v>
      </c>
      <c r="W1002" s="11" t="str">
        <f>_xlfn.XLOOKUP(Customer[[#This Row],[Customer ID]],[1]!Address[ID],[1]!Address[CT])</f>
        <v>30 DAYS</v>
      </c>
      <c r="X1002" s="11" t="s">
        <v>39</v>
      </c>
      <c r="Y1002" s="17" t="s">
        <v>40</v>
      </c>
      <c r="Z1002" s="17" t="e">
        <f>_xlfn.XLOOKUP(Customer[[#This Row],[NewType]],$AF$36:$AF$54,$AG$36:$AG$54)</f>
        <v>#N/A</v>
      </c>
      <c r="AA1002" s="17" t="s">
        <v>6861</v>
      </c>
      <c r="AB1002" s="11" t="str">
        <f>_xlfn.XLOOKUP(Customer[[#This Row],[Customer ID]],[1]!Address[ID],[1]!Address[Subtype])</f>
        <v>XPRESS POINT</v>
      </c>
      <c r="AC1002" s="18" t="str">
        <f>_xlfn.XLOOKUP(Customer[[#This Row],[Customer ID]],[1]!Address[ID],[1]!Address[Zone])</f>
        <v>EAST COAST</v>
      </c>
    </row>
    <row r="1003" spans="1:30" x14ac:dyDescent="0.3">
      <c r="A1003" s="37" t="s">
        <v>6862</v>
      </c>
      <c r="B1003" s="38" t="str">
        <f>_xlfn.XLOOKUP(Customer[[#This Row],[Customer ID]],[1]!Name[ID],[1]!Name[Description(1)])</f>
        <v>PETRON SATELITE PASIR TUMBUH</v>
      </c>
      <c r="C1003" s="38" t="str">
        <f>_xlfn.XLOOKUP(Customer[[#This Row],[Customer ID]],[1]!Name[ID],[1]!Name[Description(2)])</f>
        <v/>
      </c>
      <c r="D1003" s="38" t="str">
        <f>_xlfn.XLOOKUP(Customer[[#This Row],[Customer ID]],[1]!Address[ID],[1]!Address[PIC])</f>
        <v/>
      </c>
      <c r="E1003" s="38" t="str">
        <f>_xlfn.XLOOKUP(Customer[[#This Row],[Customer ID]],[1]!Address[ID],[1]!Address[Full Address])</f>
        <v>LOT PT 930, DESA DARULNAIMPASIR TUMBUH 16150KOTA BAHRU, KELANTAN</v>
      </c>
      <c r="F1003" s="12" t="s">
        <v>6863</v>
      </c>
      <c r="G1003" s="12" t="s">
        <v>6864</v>
      </c>
      <c r="H1003" s="12" t="s">
        <v>5908</v>
      </c>
      <c r="I1003" s="12" t="b">
        <f>ISNUMBER(VALUE(LEFT(Customer[[#This Row],[Address Line 3 (30 char)]],1)))</f>
        <v>0</v>
      </c>
      <c r="J1003" s="12" t="s">
        <v>1007</v>
      </c>
      <c r="K1003" s="12">
        <v>16150</v>
      </c>
      <c r="L1003" s="12" t="s">
        <v>35</v>
      </c>
      <c r="M1003" s="13" t="e">
        <v>#N/A</v>
      </c>
      <c r="N1003" s="14" t="e">
        <v>#N/A</v>
      </c>
      <c r="O1003" s="14" t="e">
        <v>#N/A</v>
      </c>
      <c r="P1003" s="14" t="e">
        <v>#N/A</v>
      </c>
      <c r="Q1003" s="14" t="e">
        <v>#N/A</v>
      </c>
      <c r="R1003" s="15" t="s">
        <v>6865</v>
      </c>
      <c r="S1003" s="15" t="s">
        <v>37</v>
      </c>
      <c r="T1003" s="16" t="s">
        <v>38</v>
      </c>
      <c r="U1003" s="11" t="str">
        <f>_xlfn.XLOOKUP(Customer[[#This Row],[Customer ID]],[1]!Address[ID],[1]!Address[Phone No.(2)])</f>
        <v/>
      </c>
      <c r="V1003" s="11" t="str">
        <f>_xlfn.XLOOKUP(Customer[[#This Row],[Customer ID]],[1]!Address[ID],[1]!Address[Type])</f>
        <v>PETROMART</v>
      </c>
      <c r="W1003" s="11" t="str">
        <f>_xlfn.XLOOKUP(Customer[[#This Row],[Customer ID]],[1]!Address[ID],[1]!Address[CT])</f>
        <v>30 DAYS</v>
      </c>
      <c r="X1003" s="11" t="s">
        <v>39</v>
      </c>
      <c r="Y1003" s="17" t="s">
        <v>40</v>
      </c>
      <c r="Z1003" s="17" t="e">
        <f>_xlfn.XLOOKUP(Customer[[#This Row],[NewType]],$AF$36:$AF$54,$AG$36:$AG$54)</f>
        <v>#N/A</v>
      </c>
      <c r="AA1003" s="17" t="s">
        <v>6866</v>
      </c>
      <c r="AB1003" s="11" t="str">
        <f>_xlfn.XLOOKUP(Customer[[#This Row],[Customer ID]],[1]!Address[ID],[1]!Address[Subtype])</f>
        <v>PETRON</v>
      </c>
      <c r="AC1003" s="18" t="str">
        <f>_xlfn.XLOOKUP(Customer[[#This Row],[Customer ID]],[1]!Address[ID],[1]!Address[Zone])</f>
        <v>EAST COAST</v>
      </c>
    </row>
    <row r="1004" spans="1:30" x14ac:dyDescent="0.3">
      <c r="A1004" s="45" t="s">
        <v>6867</v>
      </c>
      <c r="B1004" s="32" t="str">
        <f>_xlfn.XLOOKUP(Customer[[#This Row],[Customer ID]],[1]!Name[ID],[1]!Name[Description(1)])</f>
        <v>MUSAFAR ISMAIL</v>
      </c>
      <c r="C1004" s="32" t="str">
        <f>_xlfn.XLOOKUP(Customer[[#This Row],[Customer ID]],[1]!Name[ID],[1]!Name[Description(2)])</f>
        <v/>
      </c>
      <c r="D1004" s="38" t="str">
        <f>_xlfn.XLOOKUP(Customer[[#This Row],[Customer ID]],[1]!Address[ID],[1]!Address[PIC])</f>
        <v/>
      </c>
      <c r="E1004" s="38" t="str">
        <f>_xlfn.XLOOKUP(Customer[[#This Row],[Customer ID]],[1]!Address[ID],[1]!Address[Full Address])</f>
        <v>47, TTGS 3, TAMAN TUANKU JAAFAR</v>
      </c>
      <c r="F1004" s="12" t="s">
        <v>6868</v>
      </c>
      <c r="G1004" s="12" t="s">
        <v>6869</v>
      </c>
      <c r="H1004" s="12" t="s">
        <v>36</v>
      </c>
      <c r="I1004" s="12" t="b">
        <f>ISNUMBER(VALUE(LEFT(Customer[[#This Row],[Address Line 3 (30 char)]],1)))</f>
        <v>0</v>
      </c>
      <c r="J1004" s="32" t="s">
        <v>203</v>
      </c>
      <c r="K1004" s="32">
        <v>71450</v>
      </c>
      <c r="L1004" s="12" t="s">
        <v>35</v>
      </c>
      <c r="M1004" s="13" t="e">
        <v>#N/A</v>
      </c>
      <c r="N1004" s="14" t="e">
        <v>#N/A</v>
      </c>
      <c r="O1004" s="14" t="e">
        <v>#N/A</v>
      </c>
      <c r="P1004" s="14" t="e">
        <v>#N/A</v>
      </c>
      <c r="Q1004" s="14" t="e">
        <v>#N/A</v>
      </c>
      <c r="R1004" s="15" t="s">
        <v>6870</v>
      </c>
      <c r="S1004" s="16" t="s">
        <v>6283</v>
      </c>
      <c r="T1004" s="16"/>
      <c r="U1004" s="11" t="str">
        <f>_xlfn.XLOOKUP(Customer[[#This Row],[Customer ID]],[1]!Address[ID],[1]!Address[Phone No.(2)])</f>
        <v/>
      </c>
      <c r="V1004" s="11" t="str">
        <f>_xlfn.XLOOKUP(Customer[[#This Row],[Customer ID]],[1]!Address[ID],[1]!Address[Type])</f>
        <v>WALK IN</v>
      </c>
      <c r="W1004" s="11" t="str">
        <f>_xlfn.XLOOKUP(Customer[[#This Row],[Customer ID]],[1]!Address[ID],[1]!Address[CT])</f>
        <v/>
      </c>
      <c r="X1004" s="11"/>
      <c r="Y1004" s="17" t="s">
        <v>6284</v>
      </c>
      <c r="Z1004" s="17" t="e">
        <f>_xlfn.XLOOKUP(Customer[[#This Row],[NewType]],$AF$36:$AF$54,$AG$36:$AG$54)</f>
        <v>#N/A</v>
      </c>
      <c r="AA1004" s="17" t="s">
        <v>6871</v>
      </c>
      <c r="AB1004" s="11" t="str">
        <f>_xlfn.XLOOKUP(Customer[[#This Row],[Customer ID]],[1]!Address[ID],[1]!Address[Subtype])</f>
        <v>RANTAU</v>
      </c>
      <c r="AC1004" s="18" t="str">
        <f>_xlfn.XLOOKUP(Customer[[#This Row],[Customer ID]],[1]!Address[ID],[1]!Address[Zone])</f>
        <v>CENTRAL</v>
      </c>
    </row>
    <row r="1005" spans="1:30" x14ac:dyDescent="0.3">
      <c r="A1005" s="37" t="s">
        <v>6872</v>
      </c>
      <c r="B1005" s="38" t="str">
        <f>_xlfn.XLOOKUP(Customer[[#This Row],[Customer ID]],[1]!Name[ID],[1]!Name[Description(1)])</f>
        <v>DAUN HIJAU FOOD ENTERPRISE</v>
      </c>
      <c r="C1005" s="38" t="str">
        <f>_xlfn.XLOOKUP(Customer[[#This Row],[Customer ID]],[1]!Name[ID],[1]!Name[Description(2)])</f>
        <v/>
      </c>
      <c r="D1005" s="38" t="str">
        <f>_xlfn.XLOOKUP(Customer[[#This Row],[Customer ID]],[1]!Address[ID],[1]!Address[PIC])</f>
        <v/>
      </c>
      <c r="E1005" s="38" t="str">
        <f>_xlfn.XLOOKUP(Customer[[#This Row],[Customer ID]],[1]!Address[ID],[1]!Address[Full Address])</f>
        <v>NO 2, JALAN EKOFLORA 6/10,TAMAN EKOFLORA,81100 JOHOR BAHRU,JOHOR</v>
      </c>
      <c r="F1005" s="12" t="s">
        <v>6873</v>
      </c>
      <c r="G1005" s="12" t="s">
        <v>6874</v>
      </c>
      <c r="H1005" s="24" t="s">
        <v>1155</v>
      </c>
      <c r="I1005" s="24" t="b">
        <f>ISNUMBER(VALUE(LEFT(Customer[[#This Row],[Address Line 3 (30 char)]],1)))</f>
        <v>0</v>
      </c>
      <c r="J1005" s="12" t="s">
        <v>52</v>
      </c>
      <c r="K1005" s="12">
        <v>81100</v>
      </c>
      <c r="L1005" s="12" t="s">
        <v>35</v>
      </c>
      <c r="M1005" s="13" t="e">
        <v>#N/A</v>
      </c>
      <c r="N1005" s="14" t="e">
        <v>#N/A</v>
      </c>
      <c r="O1005" s="14" t="e">
        <v>#N/A</v>
      </c>
      <c r="P1005" s="14" t="e">
        <v>#N/A</v>
      </c>
      <c r="Q1005" s="14" t="e">
        <v>#N/A</v>
      </c>
      <c r="R1005" s="15" t="s">
        <v>87</v>
      </c>
      <c r="S1005" s="15" t="s">
        <v>88</v>
      </c>
      <c r="T1005" s="16" t="s">
        <v>89</v>
      </c>
      <c r="U1005" s="11" t="str">
        <f>_xlfn.XLOOKUP(Customer[[#This Row],[Customer ID]],[1]!Address[ID],[1]!Address[Phone No.(2)])</f>
        <v/>
      </c>
      <c r="V1005" s="11" t="str">
        <f>_xlfn.XLOOKUP(Customer[[#This Row],[Customer ID]],[1]!Address[ID],[1]!Address[Type])</f>
        <v>SOCMED</v>
      </c>
      <c r="W1005" s="11" t="str">
        <f>_xlfn.XLOOKUP(Customer[[#This Row],[Customer ID]],[1]!Address[ID],[1]!Address[CT])</f>
        <v/>
      </c>
      <c r="X1005" s="11"/>
      <c r="Y1005" s="17" t="s">
        <v>90</v>
      </c>
      <c r="Z1005" s="17" t="e">
        <f>_xlfn.XLOOKUP(Customer[[#This Row],[NewType]],$AF$36:$AF$54,$AG$36:$AG$54)</f>
        <v>#N/A</v>
      </c>
      <c r="AA1005" s="17" t="s">
        <v>6875</v>
      </c>
      <c r="AB1005" s="11" t="str">
        <f>_xlfn.XLOOKUP(Customer[[#This Row],[Customer ID]],[1]!Address[ID],[1]!Address[Subtype])</f>
        <v>ONLINE ROS</v>
      </c>
      <c r="AC1005" s="18" t="str">
        <f>_xlfn.XLOOKUP(Customer[[#This Row],[Customer ID]],[1]!Address[ID],[1]!Address[Zone])</f>
        <v>SOUTH</v>
      </c>
    </row>
    <row r="1006" spans="1:30" x14ac:dyDescent="0.3">
      <c r="A1006" s="45" t="s">
        <v>6876</v>
      </c>
      <c r="B1006" s="32" t="str">
        <f>_xlfn.XLOOKUP(Customer[[#This Row],[Customer ID]],[1]!Name[ID],[1]!Name[Description(1)])</f>
        <v>FAREHA (PA CIK AIN)</v>
      </c>
      <c r="C1006" s="32" t="str">
        <f>_xlfn.XLOOKUP(Customer[[#This Row],[Customer ID]],[1]!Name[ID],[1]!Name[Description(2)])</f>
        <v/>
      </c>
      <c r="D1006" s="38" t="str">
        <f>_xlfn.XLOOKUP(Customer[[#This Row],[Customer ID]],[1]!Address[ID],[1]!Address[PIC])</f>
        <v/>
      </c>
      <c r="E1006" s="38" t="str">
        <f>_xlfn.XLOOKUP(Customer[[#This Row],[Customer ID]],[1]!Address[ID],[1]!Address[Full Address])</f>
        <v>BANGI</v>
      </c>
      <c r="F1006" s="12" t="s">
        <v>6877</v>
      </c>
      <c r="G1006" s="12" t="s">
        <v>36</v>
      </c>
      <c r="H1006" s="12" t="s">
        <v>36</v>
      </c>
      <c r="I1006" s="12" t="b">
        <f>ISNUMBER(VALUE(LEFT(Customer[[#This Row],[Address Line 3 (30 char)]],1)))</f>
        <v>0</v>
      </c>
      <c r="J1006" s="32"/>
      <c r="K1006" s="32"/>
      <c r="L1006" s="12" t="s">
        <v>35</v>
      </c>
      <c r="M1006" s="13" t="e">
        <v>#N/A</v>
      </c>
      <c r="N1006" s="14" t="e">
        <v>#N/A</v>
      </c>
      <c r="O1006" s="14" t="e">
        <v>#N/A</v>
      </c>
      <c r="P1006" s="14" t="e">
        <v>#N/A</v>
      </c>
      <c r="Q1006" s="14" t="e">
        <v>#N/A</v>
      </c>
      <c r="R1006" s="15" t="s">
        <v>6878</v>
      </c>
      <c r="S1006" s="16" t="s">
        <v>6283</v>
      </c>
      <c r="T1006" s="16"/>
      <c r="U1006" s="11" t="str">
        <f>_xlfn.XLOOKUP(Customer[[#This Row],[Customer ID]],[1]!Address[ID],[1]!Address[Phone No.(2)])</f>
        <v/>
      </c>
      <c r="V1006" s="11" t="str">
        <f>_xlfn.XLOOKUP(Customer[[#This Row],[Customer ID]],[1]!Address[ID],[1]!Address[Type])</f>
        <v>WALK IN</v>
      </c>
      <c r="W1006" s="11" t="str">
        <f>_xlfn.XLOOKUP(Customer[[#This Row],[Customer ID]],[1]!Address[ID],[1]!Address[CT])</f>
        <v/>
      </c>
      <c r="X1006" s="11"/>
      <c r="Y1006" s="17" t="s">
        <v>6284</v>
      </c>
      <c r="Z1006" s="17" t="e">
        <f>_xlfn.XLOOKUP(Customer[[#This Row],[NewType]],$AF$36:$AF$54,$AG$36:$AG$54)</f>
        <v>#N/A</v>
      </c>
      <c r="AA1006" s="17" t="s">
        <v>6879</v>
      </c>
      <c r="AB1006" s="11" t="str">
        <f>_xlfn.XLOOKUP(Customer[[#This Row],[Customer ID]],[1]!Address[ID],[1]!Address[Subtype])</f>
        <v>RANTAU</v>
      </c>
      <c r="AC1006" s="18" t="str">
        <f>_xlfn.XLOOKUP(Customer[[#This Row],[Customer ID]],[1]!Address[ID],[1]!Address[Zone])</f>
        <v>CENTRAL</v>
      </c>
    </row>
    <row r="1007" spans="1:30" x14ac:dyDescent="0.3">
      <c r="A1007" s="45" t="s">
        <v>6880</v>
      </c>
      <c r="B1007" s="32" t="str">
        <f>_xlfn.XLOOKUP(Customer[[#This Row],[Customer ID]],[1]!Name[ID],[1]!Name[Description(1)])</f>
        <v>DATO TAUFFIQ</v>
      </c>
      <c r="C1007" s="32" t="str">
        <f>_xlfn.XLOOKUP(Customer[[#This Row],[Customer ID]],[1]!Name[ID],[1]!Name[Description(2)])</f>
        <v/>
      </c>
      <c r="D1007" s="38" t="str">
        <f>_xlfn.XLOOKUP(Customer[[#This Row],[Customer ID]],[1]!Address[ID],[1]!Address[PIC])</f>
        <v/>
      </c>
      <c r="E1007" s="38" t="str">
        <f>_xlfn.XLOOKUP(Customer[[#This Row],[Customer ID]],[1]!Address[ID],[1]!Address[Full Address])</f>
        <v>SEREMBAN</v>
      </c>
      <c r="F1007" s="12" t="s">
        <v>2411</v>
      </c>
      <c r="G1007" s="12" t="s">
        <v>36</v>
      </c>
      <c r="H1007" s="12" t="s">
        <v>36</v>
      </c>
      <c r="I1007" s="12" t="b">
        <f>ISNUMBER(VALUE(LEFT(Customer[[#This Row],[Address Line 3 (30 char)]],1)))</f>
        <v>0</v>
      </c>
      <c r="J1007" s="32"/>
      <c r="K1007" s="32"/>
      <c r="L1007" s="12" t="s">
        <v>35</v>
      </c>
      <c r="M1007" s="13" t="e">
        <v>#N/A</v>
      </c>
      <c r="N1007" s="14" t="e">
        <v>#N/A</v>
      </c>
      <c r="O1007" s="14" t="e">
        <v>#N/A</v>
      </c>
      <c r="P1007" s="14" t="e">
        <v>#N/A</v>
      </c>
      <c r="Q1007" s="14" t="e">
        <v>#N/A</v>
      </c>
      <c r="R1007" s="15" t="s">
        <v>6881</v>
      </c>
      <c r="S1007" s="16" t="s">
        <v>6283</v>
      </c>
      <c r="T1007" s="16"/>
      <c r="U1007" s="11" t="str">
        <f>_xlfn.XLOOKUP(Customer[[#This Row],[Customer ID]],[1]!Address[ID],[1]!Address[Phone No.(2)])</f>
        <v/>
      </c>
      <c r="V1007" s="11" t="str">
        <f>_xlfn.XLOOKUP(Customer[[#This Row],[Customer ID]],[1]!Address[ID],[1]!Address[Type])</f>
        <v>WALK IN</v>
      </c>
      <c r="W1007" s="11" t="str">
        <f>_xlfn.XLOOKUP(Customer[[#This Row],[Customer ID]],[1]!Address[ID],[1]!Address[CT])</f>
        <v/>
      </c>
      <c r="X1007" s="11"/>
      <c r="Y1007" s="17" t="s">
        <v>6284</v>
      </c>
      <c r="Z1007" s="17" t="e">
        <f>_xlfn.XLOOKUP(Customer[[#This Row],[NewType]],$AF$36:$AF$54,$AG$36:$AG$54)</f>
        <v>#N/A</v>
      </c>
      <c r="AA1007" s="17" t="s">
        <v>6882</v>
      </c>
      <c r="AB1007" s="11" t="str">
        <f>_xlfn.XLOOKUP(Customer[[#This Row],[Customer ID]],[1]!Address[ID],[1]!Address[Subtype])</f>
        <v>RANTAU</v>
      </c>
      <c r="AC1007" s="18" t="str">
        <f>_xlfn.XLOOKUP(Customer[[#This Row],[Customer ID]],[1]!Address[ID],[1]!Address[Zone])</f>
        <v>CENTRAL</v>
      </c>
    </row>
    <row r="1008" spans="1:30" x14ac:dyDescent="0.3">
      <c r="A1008" s="37" t="s">
        <v>6883</v>
      </c>
      <c r="B1008" s="38" t="str">
        <f>_xlfn.XLOOKUP(Customer[[#This Row],[Customer ID]],[1]!Name[ID],[1]!Name[Description(1)])</f>
        <v>PETROBEST TRADING</v>
      </c>
      <c r="C1008" s="38" t="str">
        <f>_xlfn.XLOOKUP(Customer[[#This Row],[Customer ID]],[1]!Name[ID],[1]!Name[Description(2)])</f>
        <v/>
      </c>
      <c r="D1008" s="38" t="str">
        <f>_xlfn.XLOOKUP(Customer[[#This Row],[Customer ID]],[1]!Address[ID],[1]!Address[PIC])</f>
        <v/>
      </c>
      <c r="E1008" s="38" t="str">
        <f>_xlfn.XLOOKUP(Customer[[#This Row],[Customer ID]],[1]!Address[ID],[1]!Address[Full Address])</f>
        <v>STESEN MINYAK PETRONAS JLN SG LEMBING,LOT 24757, JALAN SUNGAI LEMBING,25200 KUANTAN, PAHANG</v>
      </c>
      <c r="F1008" s="12" t="s">
        <v>6884</v>
      </c>
      <c r="G1008" s="12" t="s">
        <v>6885</v>
      </c>
      <c r="H1008" s="12" t="s">
        <v>6886</v>
      </c>
      <c r="I1008" s="12" t="b">
        <f>ISNUMBER(VALUE(LEFT(Customer[[#This Row],[Address Line 3 (30 char)]],1)))</f>
        <v>0</v>
      </c>
      <c r="J1008" s="12" t="s">
        <v>339</v>
      </c>
      <c r="K1008" s="12">
        <v>25200</v>
      </c>
      <c r="L1008" s="12" t="s">
        <v>35</v>
      </c>
      <c r="M1008" s="13">
        <v>199303010580</v>
      </c>
      <c r="N1008" s="14" t="s">
        <v>6887</v>
      </c>
      <c r="O1008" s="14" t="s">
        <v>54</v>
      </c>
      <c r="P1008" s="14">
        <v>47300</v>
      </c>
      <c r="Q1008" s="14" t="s">
        <v>6888</v>
      </c>
      <c r="R1008" s="15" t="s">
        <v>6889</v>
      </c>
      <c r="S1008" s="15" t="s">
        <v>3212</v>
      </c>
      <c r="T1008" s="16" t="s">
        <v>89</v>
      </c>
      <c r="U1008" s="11" t="str">
        <f>_xlfn.XLOOKUP(Customer[[#This Row],[Customer ID]],[1]!Address[ID],[1]!Address[Phone No.(2)])</f>
        <v/>
      </c>
      <c r="V1008" s="11" t="str">
        <f>_xlfn.XLOOKUP(Customer[[#This Row],[Customer ID]],[1]!Address[ID],[1]!Address[Type])</f>
        <v>SOCMED</v>
      </c>
      <c r="W1008" s="11" t="str">
        <f>_xlfn.XLOOKUP(Customer[[#This Row],[Customer ID]],[1]!Address[ID],[1]!Address[CT])</f>
        <v>30 DAYS</v>
      </c>
      <c r="X1008" s="11"/>
      <c r="Y1008" s="17" t="s">
        <v>90</v>
      </c>
      <c r="Z1008" s="17" t="e">
        <f>_xlfn.XLOOKUP(Customer[[#This Row],[NewType]],$AF$36:$AF$54,$AG$36:$AG$54)</f>
        <v>#N/A</v>
      </c>
      <c r="AA1008" s="17" t="s">
        <v>6890</v>
      </c>
      <c r="AB1008" s="11" t="str">
        <f>_xlfn.XLOOKUP(Customer[[#This Row],[Customer ID]],[1]!Address[ID],[1]!Address[Subtype])</f>
        <v>ONLINE HAJAR</v>
      </c>
      <c r="AC1008" s="18" t="str">
        <f>_xlfn.XLOOKUP(Customer[[#This Row],[Customer ID]],[1]!Address[ID],[1]!Address[Zone])</f>
        <v xml:space="preserve"> OEDH</v>
      </c>
    </row>
    <row r="1009" spans="1:29" x14ac:dyDescent="0.3">
      <c r="A1009" s="45" t="s">
        <v>6891</v>
      </c>
      <c r="B1009" s="32" t="str">
        <f>_xlfn.XLOOKUP(Customer[[#This Row],[Customer ID]],[1]!Name[ID],[1]!Name[Description(1)])</f>
        <v>MOHD FAIZAL BIN ZAKARIA</v>
      </c>
      <c r="C1009" s="32" t="str">
        <f>_xlfn.XLOOKUP(Customer[[#This Row],[Customer ID]],[1]!Name[ID],[1]!Name[Description(2)])</f>
        <v/>
      </c>
      <c r="D1009" s="38" t="str">
        <f>_xlfn.XLOOKUP(Customer[[#This Row],[Customer ID]],[1]!Address[ID],[1]!Address[PIC])</f>
        <v/>
      </c>
      <c r="E1009" s="38" t="str">
        <f>_xlfn.XLOOKUP(Customer[[#This Row],[Customer ID]],[1]!Address[ID],[1]!Address[Full Address])</f>
        <v>KG TANJUNG, RANTAU</v>
      </c>
      <c r="F1009" s="12" t="s">
        <v>6892</v>
      </c>
      <c r="G1009" s="12" t="s">
        <v>36</v>
      </c>
      <c r="H1009" s="12" t="s">
        <v>36</v>
      </c>
      <c r="I1009" s="12" t="b">
        <f>ISNUMBER(VALUE(LEFT(Customer[[#This Row],[Address Line 3 (30 char)]],1)))</f>
        <v>0</v>
      </c>
      <c r="J1009" s="32"/>
      <c r="K1009" s="32"/>
      <c r="L1009" s="12" t="s">
        <v>35</v>
      </c>
      <c r="M1009" s="13" t="e">
        <v>#N/A</v>
      </c>
      <c r="N1009" s="14" t="e">
        <v>#N/A</v>
      </c>
      <c r="O1009" s="14" t="e">
        <v>#N/A</v>
      </c>
      <c r="P1009" s="14" t="e">
        <v>#N/A</v>
      </c>
      <c r="Q1009" s="14" t="e">
        <v>#N/A</v>
      </c>
      <c r="R1009" s="15" t="s">
        <v>6893</v>
      </c>
      <c r="S1009" s="16" t="s">
        <v>6283</v>
      </c>
      <c r="T1009" s="16"/>
      <c r="U1009" s="11" t="str">
        <f>_xlfn.XLOOKUP(Customer[[#This Row],[Customer ID]],[1]!Address[ID],[1]!Address[Phone No.(2)])</f>
        <v/>
      </c>
      <c r="V1009" s="11" t="str">
        <f>_xlfn.XLOOKUP(Customer[[#This Row],[Customer ID]],[1]!Address[ID],[1]!Address[Type])</f>
        <v>WALK IN</v>
      </c>
      <c r="W1009" s="11" t="str">
        <f>_xlfn.XLOOKUP(Customer[[#This Row],[Customer ID]],[1]!Address[ID],[1]!Address[CT])</f>
        <v/>
      </c>
      <c r="X1009" s="11"/>
      <c r="Y1009" s="17" t="s">
        <v>6284</v>
      </c>
      <c r="Z1009" s="17" t="e">
        <f>_xlfn.XLOOKUP(Customer[[#This Row],[NewType]],$AF$36:$AF$54,$AG$36:$AG$54)</f>
        <v>#N/A</v>
      </c>
      <c r="AA1009" s="17" t="s">
        <v>6894</v>
      </c>
      <c r="AB1009" s="11" t="str">
        <f>_xlfn.XLOOKUP(Customer[[#This Row],[Customer ID]],[1]!Address[ID],[1]!Address[Subtype])</f>
        <v>RANTAU</v>
      </c>
      <c r="AC1009" s="18" t="str">
        <f>_xlfn.XLOOKUP(Customer[[#This Row],[Customer ID]],[1]!Address[ID],[1]!Address[Zone])</f>
        <v>U H</v>
      </c>
    </row>
    <row r="1010" spans="1:29" x14ac:dyDescent="0.3">
      <c r="A1010" s="45" t="s">
        <v>6895</v>
      </c>
      <c r="B1010" s="32" t="str">
        <f>_xlfn.XLOOKUP(Customer[[#This Row],[Customer ID]],[1]!Name[ID],[1]!Name[Description(1)])</f>
        <v>ABDUL RAUF</v>
      </c>
      <c r="C1010" s="32" t="str">
        <f>_xlfn.XLOOKUP(Customer[[#This Row],[Customer ID]],[1]!Name[ID],[1]!Name[Description(2)])</f>
        <v/>
      </c>
      <c r="D1010" s="38" t="str">
        <f>_xlfn.XLOOKUP(Customer[[#This Row],[Customer ID]],[1]!Address[ID],[1]!Address[PIC])</f>
        <v/>
      </c>
      <c r="E1010" s="38" t="str">
        <f>_xlfn.XLOOKUP(Customer[[#This Row],[Customer ID]],[1]!Address[ID],[1]!Address[Full Address])</f>
        <v>SENAWANG</v>
      </c>
      <c r="F1010" s="12" t="s">
        <v>3106</v>
      </c>
      <c r="G1010" s="12" t="s">
        <v>36</v>
      </c>
      <c r="H1010" s="12" t="s">
        <v>36</v>
      </c>
      <c r="I1010" s="12" t="b">
        <f>ISNUMBER(VALUE(LEFT(Customer[[#This Row],[Address Line 3 (30 char)]],1)))</f>
        <v>0</v>
      </c>
      <c r="J1010" s="32"/>
      <c r="K1010" s="32"/>
      <c r="L1010" s="12" t="s">
        <v>35</v>
      </c>
      <c r="M1010" s="13" t="e">
        <v>#N/A</v>
      </c>
      <c r="N1010" s="14" t="e">
        <v>#N/A</v>
      </c>
      <c r="O1010" s="14" t="e">
        <v>#N/A</v>
      </c>
      <c r="P1010" s="14" t="e">
        <v>#N/A</v>
      </c>
      <c r="Q1010" s="14" t="e">
        <v>#N/A</v>
      </c>
      <c r="R1010" s="15" t="s">
        <v>6896</v>
      </c>
      <c r="S1010" s="16" t="s">
        <v>6283</v>
      </c>
      <c r="T1010" s="16"/>
      <c r="U1010" s="11" t="str">
        <f>_xlfn.XLOOKUP(Customer[[#This Row],[Customer ID]],[1]!Address[ID],[1]!Address[Phone No.(2)])</f>
        <v/>
      </c>
      <c r="V1010" s="11" t="str">
        <f>_xlfn.XLOOKUP(Customer[[#This Row],[Customer ID]],[1]!Address[ID],[1]!Address[Type])</f>
        <v>WALK IN</v>
      </c>
      <c r="W1010" s="11" t="str">
        <f>_xlfn.XLOOKUP(Customer[[#This Row],[Customer ID]],[1]!Address[ID],[1]!Address[CT])</f>
        <v/>
      </c>
      <c r="X1010" s="11"/>
      <c r="Y1010" s="17" t="s">
        <v>6284</v>
      </c>
      <c r="Z1010" s="17" t="e">
        <f>_xlfn.XLOOKUP(Customer[[#This Row],[NewType]],$AF$36:$AF$54,$AG$36:$AG$54)</f>
        <v>#N/A</v>
      </c>
      <c r="AA1010" s="17" t="s">
        <v>6897</v>
      </c>
      <c r="AB1010" s="11" t="str">
        <f>_xlfn.XLOOKUP(Customer[[#This Row],[Customer ID]],[1]!Address[ID],[1]!Address[Subtype])</f>
        <v>RANTAU</v>
      </c>
      <c r="AC1010" s="18" t="str">
        <f>_xlfn.XLOOKUP(Customer[[#This Row],[Customer ID]],[1]!Address[ID],[1]!Address[Zone])</f>
        <v>U H</v>
      </c>
    </row>
    <row r="1011" spans="1:29" x14ac:dyDescent="0.3">
      <c r="A1011" s="45" t="s">
        <v>6898</v>
      </c>
      <c r="B1011" s="32" t="str">
        <f>_xlfn.XLOOKUP(Customer[[#This Row],[Customer ID]],[1]!Name[ID],[1]!Name[Description(1)])</f>
        <v>ZAMAN</v>
      </c>
      <c r="C1011" s="32" t="str">
        <f>_xlfn.XLOOKUP(Customer[[#This Row],[Customer ID]],[1]!Name[ID],[1]!Name[Description(2)])</f>
        <v/>
      </c>
      <c r="D1011" s="38" t="str">
        <f>_xlfn.XLOOKUP(Customer[[#This Row],[Customer ID]],[1]!Address[ID],[1]!Address[PIC])</f>
        <v/>
      </c>
      <c r="E1011" s="38" t="str">
        <f>_xlfn.XLOOKUP(Customer[[#This Row],[Customer ID]],[1]!Address[ID],[1]!Address[Full Address])</f>
        <v>SEREMBAN SELATAN</v>
      </c>
      <c r="F1011" s="12" t="s">
        <v>6899</v>
      </c>
      <c r="G1011" s="12" t="s">
        <v>36</v>
      </c>
      <c r="H1011" s="12" t="s">
        <v>36</v>
      </c>
      <c r="I1011" s="12" t="b">
        <f>ISNUMBER(VALUE(LEFT(Customer[[#This Row],[Address Line 3 (30 char)]],1)))</f>
        <v>0</v>
      </c>
      <c r="J1011" s="32"/>
      <c r="K1011" s="32"/>
      <c r="L1011" s="12" t="s">
        <v>35</v>
      </c>
      <c r="M1011" s="13" t="e">
        <v>#N/A</v>
      </c>
      <c r="N1011" s="14" t="e">
        <v>#N/A</v>
      </c>
      <c r="O1011" s="14" t="e">
        <v>#N/A</v>
      </c>
      <c r="P1011" s="14" t="e">
        <v>#N/A</v>
      </c>
      <c r="Q1011" s="14" t="e">
        <v>#N/A</v>
      </c>
      <c r="R1011" s="15" t="s">
        <v>6900</v>
      </c>
      <c r="S1011" s="16" t="s">
        <v>6283</v>
      </c>
      <c r="T1011" s="16"/>
      <c r="U1011" s="11" t="str">
        <f>_xlfn.XLOOKUP(Customer[[#This Row],[Customer ID]],[1]!Address[ID],[1]!Address[Phone No.(2)])</f>
        <v/>
      </c>
      <c r="V1011" s="11" t="str">
        <f>_xlfn.XLOOKUP(Customer[[#This Row],[Customer ID]],[1]!Address[ID],[1]!Address[Type])</f>
        <v>WALK IN</v>
      </c>
      <c r="W1011" s="11" t="str">
        <f>_xlfn.XLOOKUP(Customer[[#This Row],[Customer ID]],[1]!Address[ID],[1]!Address[CT])</f>
        <v/>
      </c>
      <c r="X1011" s="11"/>
      <c r="Y1011" s="17" t="s">
        <v>6284</v>
      </c>
      <c r="Z1011" s="17" t="e">
        <f>_xlfn.XLOOKUP(Customer[[#This Row],[NewType]],$AF$36:$AF$54,$AG$36:$AG$54)</f>
        <v>#N/A</v>
      </c>
      <c r="AA1011" s="17" t="s">
        <v>6901</v>
      </c>
      <c r="AB1011" s="11" t="str">
        <f>_xlfn.XLOOKUP(Customer[[#This Row],[Customer ID]],[1]!Address[ID],[1]!Address[Subtype])</f>
        <v>RANTAU</v>
      </c>
      <c r="AC1011" s="18" t="str">
        <f>_xlfn.XLOOKUP(Customer[[#This Row],[Customer ID]],[1]!Address[ID],[1]!Address[Zone])</f>
        <v>U H</v>
      </c>
    </row>
    <row r="1012" spans="1:29" x14ac:dyDescent="0.3">
      <c r="A1012" s="37" t="s">
        <v>6902</v>
      </c>
      <c r="B1012" s="38" t="str">
        <f>_xlfn.XLOOKUP(Customer[[#This Row],[Customer ID]],[1]!Name[ID],[1]!Name[Description(1)])</f>
        <v>SARIMAH BINTI SARI</v>
      </c>
      <c r="C1012" s="38" t="str">
        <f>_xlfn.XLOOKUP(Customer[[#This Row],[Customer ID]],[1]!Name[ID],[1]!Name[Description(2)])</f>
        <v/>
      </c>
      <c r="D1012" s="38" t="str">
        <f>_xlfn.XLOOKUP(Customer[[#This Row],[Customer ID]],[1]!Address[ID],[1]!Address[PIC])</f>
        <v/>
      </c>
      <c r="E1012" s="38" t="str">
        <f>_xlfn.XLOOKUP(Customer[[#This Row],[Customer ID]],[1]!Address[ID],[1]!Address[Full Address])</f>
        <v>NO 500, JLN INTAN DUYUNG 7,TMN INTAN DUYUNG 71050PORT DICKSON</v>
      </c>
      <c r="F1012" s="12" t="s">
        <v>6903</v>
      </c>
      <c r="G1012" s="12" t="s">
        <v>6904</v>
      </c>
      <c r="H1012" s="12" t="s">
        <v>1438</v>
      </c>
      <c r="I1012" s="12" t="b">
        <f>ISNUMBER(VALUE(LEFT(Customer[[#This Row],[Address Line 3 (30 char)]],1)))</f>
        <v>0</v>
      </c>
      <c r="J1012" s="12" t="s">
        <v>203</v>
      </c>
      <c r="K1012" s="12">
        <v>71050</v>
      </c>
      <c r="L1012" s="12" t="s">
        <v>35</v>
      </c>
      <c r="M1012" s="13" t="e">
        <v>#N/A</v>
      </c>
      <c r="N1012" s="14" t="e">
        <v>#N/A</v>
      </c>
      <c r="O1012" s="14" t="e">
        <v>#N/A</v>
      </c>
      <c r="P1012" s="14" t="e">
        <v>#N/A</v>
      </c>
      <c r="Q1012" s="14" t="e">
        <v>#N/A</v>
      </c>
      <c r="R1012" s="15" t="s">
        <v>6905</v>
      </c>
      <c r="S1012" s="16" t="s">
        <v>6283</v>
      </c>
      <c r="T1012" s="16"/>
      <c r="U1012" s="11" t="str">
        <f>_xlfn.XLOOKUP(Customer[[#This Row],[Customer ID]],[1]!Address[ID],[1]!Address[Phone No.(2)])</f>
        <v/>
      </c>
      <c r="V1012" s="11" t="str">
        <f>_xlfn.XLOOKUP(Customer[[#This Row],[Customer ID]],[1]!Address[ID],[1]!Address[Type])</f>
        <v>WALK IN</v>
      </c>
      <c r="W1012" s="11" t="str">
        <f>_xlfn.XLOOKUP(Customer[[#This Row],[Customer ID]],[1]!Address[ID],[1]!Address[CT])</f>
        <v/>
      </c>
      <c r="X1012" s="11"/>
      <c r="Y1012" s="17" t="s">
        <v>6284</v>
      </c>
      <c r="Z1012" s="17" t="e">
        <f>_xlfn.XLOOKUP(Customer[[#This Row],[NewType]],$AF$36:$AF$54,$AG$36:$AG$54)</f>
        <v>#N/A</v>
      </c>
      <c r="AA1012" s="17" t="s">
        <v>6906</v>
      </c>
      <c r="AB1012" s="11" t="str">
        <f>_xlfn.XLOOKUP(Customer[[#This Row],[Customer ID]],[1]!Address[ID],[1]!Address[Subtype])</f>
        <v>RANTAU</v>
      </c>
      <c r="AC1012" s="18" t="str">
        <f>_xlfn.XLOOKUP(Customer[[#This Row],[Customer ID]],[1]!Address[ID],[1]!Address[Zone])</f>
        <v>CENTRAL</v>
      </c>
    </row>
    <row r="1013" spans="1:29" x14ac:dyDescent="0.3">
      <c r="A1013" s="45" t="s">
        <v>6907</v>
      </c>
      <c r="B1013" s="32" t="str">
        <f>_xlfn.XLOOKUP(Customer[[#This Row],[Customer ID]],[1]!Name[ID],[1]!Name[Description(1)])</f>
        <v>IDRIS BIN MOHD SAMSUDIN</v>
      </c>
      <c r="C1013" s="32" t="str">
        <f>_xlfn.XLOOKUP(Customer[[#This Row],[Customer ID]],[1]!Name[ID],[1]!Name[Description(2)])</f>
        <v/>
      </c>
      <c r="D1013" s="38" t="str">
        <f>_xlfn.XLOOKUP(Customer[[#This Row],[Customer ID]],[1]!Address[ID],[1]!Address[PIC])</f>
        <v/>
      </c>
      <c r="E1013" s="38" t="str">
        <f>_xlfn.XLOOKUP(Customer[[#This Row],[Customer ID]],[1]!Address[ID],[1]!Address[Full Address])</f>
        <v/>
      </c>
      <c r="F1013" s="12" t="s">
        <v>36</v>
      </c>
      <c r="G1013" s="12" t="s">
        <v>36</v>
      </c>
      <c r="H1013" s="12" t="s">
        <v>36</v>
      </c>
      <c r="I1013" s="12" t="b">
        <f>ISNUMBER(VALUE(LEFT(Customer[[#This Row],[Address Line 3 (30 char)]],1)))</f>
        <v>0</v>
      </c>
      <c r="J1013" s="32"/>
      <c r="K1013" s="32"/>
      <c r="L1013" s="12" t="s">
        <v>35</v>
      </c>
      <c r="M1013" s="13" t="e">
        <v>#N/A</v>
      </c>
      <c r="N1013" s="14" t="e">
        <v>#N/A</v>
      </c>
      <c r="O1013" s="14" t="e">
        <v>#N/A</v>
      </c>
      <c r="P1013" s="14" t="e">
        <v>#N/A</v>
      </c>
      <c r="Q1013" s="14" t="e">
        <v>#N/A</v>
      </c>
      <c r="R1013" s="15" t="s">
        <v>6908</v>
      </c>
      <c r="S1013" s="16" t="s">
        <v>6283</v>
      </c>
      <c r="T1013" s="16"/>
      <c r="U1013" s="11" t="str">
        <f>_xlfn.XLOOKUP(Customer[[#This Row],[Customer ID]],[1]!Address[ID],[1]!Address[Phone No.(2)])</f>
        <v/>
      </c>
      <c r="V1013" s="11" t="str">
        <f>_xlfn.XLOOKUP(Customer[[#This Row],[Customer ID]],[1]!Address[ID],[1]!Address[Type])</f>
        <v>WALK IN</v>
      </c>
      <c r="W1013" s="11" t="str">
        <f>_xlfn.XLOOKUP(Customer[[#This Row],[Customer ID]],[1]!Address[ID],[1]!Address[CT])</f>
        <v/>
      </c>
      <c r="X1013" s="11"/>
      <c r="Y1013" s="17" t="s">
        <v>6284</v>
      </c>
      <c r="Z1013" s="17" t="e">
        <f>_xlfn.XLOOKUP(Customer[[#This Row],[NewType]],$AF$36:$AF$54,$AG$36:$AG$54)</f>
        <v>#N/A</v>
      </c>
      <c r="AA1013" s="17" t="s">
        <v>6909</v>
      </c>
      <c r="AB1013" s="11" t="str">
        <f>_xlfn.XLOOKUP(Customer[[#This Row],[Customer ID]],[1]!Address[ID],[1]!Address[Subtype])</f>
        <v>RANTAU</v>
      </c>
      <c r="AC1013" s="18" t="str">
        <f>_xlfn.XLOOKUP(Customer[[#This Row],[Customer ID]],[1]!Address[ID],[1]!Address[Zone])</f>
        <v>U H</v>
      </c>
    </row>
    <row r="1014" spans="1:29" x14ac:dyDescent="0.3">
      <c r="A1014" s="37" t="s">
        <v>6910</v>
      </c>
      <c r="B1014" s="38" t="str">
        <f>_xlfn.XLOOKUP(Customer[[#This Row],[Customer ID]],[1]!Name[ID],[1]!Name[Description(1)])</f>
        <v>IRDINA BATRISYIA BT ISMAIL</v>
      </c>
      <c r="C1014" s="38" t="str">
        <f>_xlfn.XLOOKUP(Customer[[#This Row],[Customer ID]],[1]!Name[ID],[1]!Name[Description(2)])</f>
        <v/>
      </c>
      <c r="D1014" s="38" t="str">
        <f>_xlfn.XLOOKUP(Customer[[#This Row],[Customer ID]],[1]!Address[ID],[1]!Address[PIC])</f>
        <v/>
      </c>
      <c r="E1014" s="38" t="str">
        <f>_xlfn.XLOOKUP(Customer[[#This Row],[Customer ID]],[1]!Address[ID],[1]!Address[Full Address])</f>
        <v>NO 230 JALAN KEMUNING 6,TAMAN KEMUNING 70450SEREMBAN, NEGERI SEMBILAN</v>
      </c>
      <c r="F1014" s="12" t="s">
        <v>6911</v>
      </c>
      <c r="G1014" s="12" t="s">
        <v>6912</v>
      </c>
      <c r="H1014" s="12" t="s">
        <v>2411</v>
      </c>
      <c r="I1014" s="12" t="b">
        <f>ISNUMBER(VALUE(LEFT(Customer[[#This Row],[Address Line 3 (30 char)]],1)))</f>
        <v>0</v>
      </c>
      <c r="J1014" s="12" t="s">
        <v>203</v>
      </c>
      <c r="K1014" s="12">
        <v>70450</v>
      </c>
      <c r="L1014" s="12" t="s">
        <v>35</v>
      </c>
      <c r="M1014" s="13" t="e">
        <v>#N/A</v>
      </c>
      <c r="N1014" s="14" t="e">
        <v>#N/A</v>
      </c>
      <c r="O1014" s="14" t="e">
        <v>#N/A</v>
      </c>
      <c r="P1014" s="14" t="e">
        <v>#N/A</v>
      </c>
      <c r="Q1014" s="14" t="e">
        <v>#N/A</v>
      </c>
      <c r="R1014" s="15" t="s">
        <v>6913</v>
      </c>
      <c r="S1014" s="15" t="s">
        <v>88</v>
      </c>
      <c r="T1014" s="16" t="s">
        <v>89</v>
      </c>
      <c r="U1014" s="11" t="str">
        <f>_xlfn.XLOOKUP(Customer[[#This Row],[Customer ID]],[1]!Address[ID],[1]!Address[Phone No.(2)])</f>
        <v/>
      </c>
      <c r="V1014" s="11" t="str">
        <f>_xlfn.XLOOKUP(Customer[[#This Row],[Customer ID]],[1]!Address[ID],[1]!Address[Type])</f>
        <v>SOCMED</v>
      </c>
      <c r="W1014" s="11" t="str">
        <f>_xlfn.XLOOKUP(Customer[[#This Row],[Customer ID]],[1]!Address[ID],[1]!Address[CT])</f>
        <v/>
      </c>
      <c r="X1014" s="11"/>
      <c r="Y1014" s="17" t="s">
        <v>90</v>
      </c>
      <c r="Z1014" s="17" t="e">
        <f>_xlfn.XLOOKUP(Customer[[#This Row],[NewType]],$AF$36:$AF$54,$AG$36:$AG$54)</f>
        <v>#N/A</v>
      </c>
      <c r="AA1014" s="17" t="s">
        <v>6914</v>
      </c>
      <c r="AB1014" s="11" t="str">
        <f>_xlfn.XLOOKUP(Customer[[#This Row],[Customer ID]],[1]!Address[ID],[1]!Address[Subtype])</f>
        <v>ONLINE ROS</v>
      </c>
      <c r="AC1014" s="18" t="str">
        <f>_xlfn.XLOOKUP(Customer[[#This Row],[Customer ID]],[1]!Address[ID],[1]!Address[Zone])</f>
        <v>CENTRAL</v>
      </c>
    </row>
    <row r="1015" spans="1:29" x14ac:dyDescent="0.3">
      <c r="A1015" s="37" t="s">
        <v>6915</v>
      </c>
      <c r="B1015" s="38" t="str">
        <f>_xlfn.XLOOKUP(Customer[[#This Row],[Customer ID]],[1]!Name[ID],[1]!Name[Description(1)])</f>
        <v>RESTORAN KAK NOOR</v>
      </c>
      <c r="C1015" s="38" t="str">
        <f>_xlfn.XLOOKUP(Customer[[#This Row],[Customer ID]],[1]!Name[ID],[1]!Name[Description(2)])</f>
        <v/>
      </c>
      <c r="D1015" s="38" t="str">
        <f>_xlfn.XLOOKUP(Customer[[#This Row],[Customer ID]],[1]!Address[ID],[1]!Address[PIC])</f>
        <v/>
      </c>
      <c r="E1015" s="38" t="str">
        <f>_xlfn.XLOOKUP(Customer[[#This Row],[Customer ID]],[1]!Address[ID],[1]!Address[Full Address])</f>
        <v>NO. 11 KAWASAN R&amp;R TAPAH ARAH UTARA,35000 TAPAH PERAK</v>
      </c>
      <c r="F1015" s="12" t="s">
        <v>6916</v>
      </c>
      <c r="G1015" s="12" t="s">
        <v>6917</v>
      </c>
      <c r="H1015" s="12" t="s">
        <v>6918</v>
      </c>
      <c r="I1015" s="12" t="b">
        <f>ISNUMBER(VALUE(LEFT(Customer[[#This Row],[Address Line 3 (30 char)]],1)))</f>
        <v>0</v>
      </c>
      <c r="J1015" s="12" t="s">
        <v>242</v>
      </c>
      <c r="K1015" s="12">
        <v>35000</v>
      </c>
      <c r="L1015" s="12" t="s">
        <v>35</v>
      </c>
      <c r="M1015" s="13" t="e">
        <v>#N/A</v>
      </c>
      <c r="N1015" s="14" t="e">
        <v>#N/A</v>
      </c>
      <c r="O1015" s="14" t="e">
        <v>#N/A</v>
      </c>
      <c r="P1015" s="14" t="e">
        <v>#N/A</v>
      </c>
      <c r="Q1015" s="14" t="e">
        <v>#N/A</v>
      </c>
      <c r="R1015" s="15" t="s">
        <v>6919</v>
      </c>
      <c r="S1015" s="15" t="s">
        <v>5925</v>
      </c>
      <c r="T1015" s="16" t="s">
        <v>3477</v>
      </c>
      <c r="U1015" s="11" t="str">
        <f>_xlfn.XLOOKUP(Customer[[#This Row],[Customer ID]],[1]!Address[ID],[1]!Address[Phone No.(2)])</f>
        <v/>
      </c>
      <c r="V1015" s="11" t="str">
        <f>_xlfn.XLOOKUP(Customer[[#This Row],[Customer ID]],[1]!Address[ID],[1]!Address[Type])</f>
        <v>CAFE</v>
      </c>
      <c r="W1015" s="11" t="str">
        <f>_xlfn.XLOOKUP(Customer[[#This Row],[Customer ID]],[1]!Address[ID],[1]!Address[CT])</f>
        <v>30 DAYS</v>
      </c>
      <c r="X1015" s="11"/>
      <c r="Y1015" s="17" t="s">
        <v>5926</v>
      </c>
      <c r="Z1015" s="17" t="e">
        <f>_xlfn.XLOOKUP(Customer[[#This Row],[NewType]],$AF$36:$AF$54,$AG$36:$AG$54)</f>
        <v>#N/A</v>
      </c>
      <c r="AA1015" s="17" t="s">
        <v>6920</v>
      </c>
      <c r="AB1015" s="11" t="str">
        <f>_xlfn.XLOOKUP(Customer[[#This Row],[Customer ID]],[1]!Address[ID],[1]!Address[Subtype])</f>
        <v>PLUS</v>
      </c>
      <c r="AC1015" s="18" t="str">
        <f>_xlfn.XLOOKUP(Customer[[#This Row],[Customer ID]],[1]!Address[ID],[1]!Address[Zone])</f>
        <v>NORTH</v>
      </c>
    </row>
    <row r="1016" spans="1:29" x14ac:dyDescent="0.3">
      <c r="A1016" s="39" t="s">
        <v>6921</v>
      </c>
      <c r="B1016" s="40" t="str">
        <f>_xlfn.XLOOKUP(Customer[[#This Row],[Customer ID]],[1]!Name[ID],[1]!Name[Description(1)])</f>
        <v>SPEEDWAY MART</v>
      </c>
      <c r="C1016" s="38" t="str">
        <f>_xlfn.XLOOKUP(Customer[[#This Row],[Customer ID]],[1]!Name[ID],[1]!Name[Description(2)])</f>
        <v/>
      </c>
      <c r="D1016" s="38" t="str">
        <f>_xlfn.XLOOKUP(Customer[[#This Row],[Customer ID]],[1]!Address[ID],[1]!Address[PIC])</f>
        <v/>
      </c>
      <c r="E1016" s="38" t="str">
        <f>_xlfn.XLOOKUP(Customer[[#This Row],[Customer ID]],[1]!Address[ID],[1]!Address[Full Address])</f>
        <v>R&amp;R TAPAH ARAH UTARA</v>
      </c>
      <c r="F1016" s="12" t="s">
        <v>6922</v>
      </c>
      <c r="G1016" s="12" t="s">
        <v>36</v>
      </c>
      <c r="H1016" s="12" t="s">
        <v>36</v>
      </c>
      <c r="I1016" s="12" t="b">
        <f>ISNUMBER(VALUE(LEFT(Customer[[#This Row],[Address Line 3 (30 char)]],1)))</f>
        <v>0</v>
      </c>
      <c r="J1016" s="12" t="s">
        <v>172</v>
      </c>
      <c r="K1016" s="12">
        <v>47000</v>
      </c>
      <c r="L1016" s="12" t="s">
        <v>35</v>
      </c>
      <c r="M1016" s="13" t="e">
        <v>#N/A</v>
      </c>
      <c r="N1016" s="14" t="e">
        <v>#N/A</v>
      </c>
      <c r="O1016" s="14" t="e">
        <v>#N/A</v>
      </c>
      <c r="P1016" s="14" t="e">
        <v>#N/A</v>
      </c>
      <c r="Q1016" s="14" t="e">
        <v>#N/A</v>
      </c>
      <c r="R1016" s="15" t="s">
        <v>6923</v>
      </c>
      <c r="S1016" s="15" t="s">
        <v>5925</v>
      </c>
      <c r="T1016" s="16" t="s">
        <v>3477</v>
      </c>
      <c r="U1016" s="11" t="str">
        <f>_xlfn.XLOOKUP(Customer[[#This Row],[Customer ID]],[1]!Address[ID],[1]!Address[Phone No.(2)])</f>
        <v/>
      </c>
      <c r="V1016" s="11" t="str">
        <f>_xlfn.XLOOKUP(Customer[[#This Row],[Customer ID]],[1]!Address[ID],[1]!Address[Type])</f>
        <v>CAFE</v>
      </c>
      <c r="W1016" s="11" t="str">
        <f>_xlfn.XLOOKUP(Customer[[#This Row],[Customer ID]],[1]!Address[ID],[1]!Address[CT])</f>
        <v>30 DAYS</v>
      </c>
      <c r="X1016" s="11"/>
      <c r="Y1016" s="17" t="s">
        <v>5926</v>
      </c>
      <c r="Z1016" s="17" t="e">
        <f>_xlfn.XLOOKUP(Customer[[#This Row],[NewType]],$AF$36:$AF$54,$AG$36:$AG$54)</f>
        <v>#N/A</v>
      </c>
      <c r="AA1016" s="17" t="s">
        <v>6924</v>
      </c>
      <c r="AB1016" s="11" t="str">
        <f>_xlfn.XLOOKUP(Customer[[#This Row],[Customer ID]],[1]!Address[ID],[1]!Address[Subtype])</f>
        <v>PLUS</v>
      </c>
      <c r="AC1016" s="18" t="str">
        <f>_xlfn.XLOOKUP(Customer[[#This Row],[Customer ID]],[1]!Address[ID],[1]!Address[Zone])</f>
        <v>NORTH</v>
      </c>
    </row>
    <row r="1017" spans="1:29" x14ac:dyDescent="0.3">
      <c r="A1017" s="39" t="s">
        <v>6925</v>
      </c>
      <c r="B1017" s="40" t="str">
        <f>_xlfn.XLOOKUP(Customer[[#This Row],[Customer ID]],[1]!Name[ID],[1]!Name[Description(1)])</f>
        <v>WANI CAFE</v>
      </c>
      <c r="C1017" s="38" t="str">
        <f>_xlfn.XLOOKUP(Customer[[#This Row],[Customer ID]],[1]!Name[ID],[1]!Name[Description(2)])</f>
        <v>HW MEN ENTERPRISE</v>
      </c>
      <c r="D1017" s="38" t="str">
        <f>_xlfn.XLOOKUP(Customer[[#This Row],[Customer ID]],[1]!Address[ID],[1]!Address[PIC])</f>
        <v/>
      </c>
      <c r="E1017" s="38" t="str">
        <f>_xlfn.XLOOKUP(Customer[[#This Row],[Customer ID]],[1]!Address[ID],[1]!Address[Full Address])</f>
        <v>NO.5, R&amp;R TAPAH ARAH SELATAN</v>
      </c>
      <c r="F1017" s="12" t="s">
        <v>6926</v>
      </c>
      <c r="G1017" s="12" t="s">
        <v>36</v>
      </c>
      <c r="H1017" s="12" t="s">
        <v>36</v>
      </c>
      <c r="I1017" s="12" t="b">
        <f>ISNUMBER(VALUE(LEFT(Customer[[#This Row],[Address Line 3 (30 char)]],1)))</f>
        <v>0</v>
      </c>
      <c r="J1017" s="12" t="s">
        <v>242</v>
      </c>
      <c r="K1017" s="12">
        <v>35500</v>
      </c>
      <c r="L1017" s="12" t="s">
        <v>35</v>
      </c>
      <c r="M1017" s="13" t="e">
        <v>#N/A</v>
      </c>
      <c r="N1017" s="14" t="e">
        <v>#N/A</v>
      </c>
      <c r="O1017" s="14" t="e">
        <v>#N/A</v>
      </c>
      <c r="P1017" s="14" t="e">
        <v>#N/A</v>
      </c>
      <c r="Q1017" s="14" t="e">
        <v>#N/A</v>
      </c>
      <c r="R1017" s="15" t="s">
        <v>6927</v>
      </c>
      <c r="S1017" s="15" t="s">
        <v>5925</v>
      </c>
      <c r="T1017" s="16" t="s">
        <v>3477</v>
      </c>
      <c r="U1017" s="11" t="str">
        <f>_xlfn.XLOOKUP(Customer[[#This Row],[Customer ID]],[1]!Address[ID],[1]!Address[Phone No.(2)])</f>
        <v/>
      </c>
      <c r="V1017" s="11" t="str">
        <f>_xlfn.XLOOKUP(Customer[[#This Row],[Customer ID]],[1]!Address[ID],[1]!Address[Type])</f>
        <v>CAFE</v>
      </c>
      <c r="W1017" s="11" t="str">
        <f>_xlfn.XLOOKUP(Customer[[#This Row],[Customer ID]],[1]!Address[ID],[1]!Address[CT])</f>
        <v>30 DAYS</v>
      </c>
      <c r="X1017" s="11"/>
      <c r="Y1017" s="17" t="s">
        <v>5926</v>
      </c>
      <c r="Z1017" s="17" t="e">
        <f>_xlfn.XLOOKUP(Customer[[#This Row],[NewType]],$AF$36:$AF$54,$AG$36:$AG$54)</f>
        <v>#N/A</v>
      </c>
      <c r="AA1017" s="17" t="s">
        <v>6928</v>
      </c>
      <c r="AB1017" s="11" t="str">
        <f>_xlfn.XLOOKUP(Customer[[#This Row],[Customer ID]],[1]!Address[ID],[1]!Address[Subtype])</f>
        <v>PLUS</v>
      </c>
      <c r="AC1017" s="18" t="str">
        <f>_xlfn.XLOOKUP(Customer[[#This Row],[Customer ID]],[1]!Address[ID],[1]!Address[Zone])</f>
        <v>NORTH</v>
      </c>
    </row>
    <row r="1018" spans="1:29" x14ac:dyDescent="0.3">
      <c r="A1018" s="39" t="s">
        <v>6929</v>
      </c>
      <c r="B1018" s="40" t="str">
        <f>_xlfn.XLOOKUP(Customer[[#This Row],[Customer ID]],[1]!Name[ID],[1]!Name[Description(1)])</f>
        <v>THE BEST CENDOL</v>
      </c>
      <c r="C1018" s="38" t="str">
        <f>_xlfn.XLOOKUP(Customer[[#This Row],[Customer ID]],[1]!Name[ID],[1]!Name[Description(2)])</f>
        <v>ANNUR HANA ENTERPRISE</v>
      </c>
      <c r="D1018" s="38" t="str">
        <f>_xlfn.XLOOKUP(Customer[[#This Row],[Customer ID]],[1]!Address[ID],[1]!Address[PIC])</f>
        <v/>
      </c>
      <c r="E1018" s="38" t="str">
        <f>_xlfn.XLOOKUP(Customer[[#This Row],[Customer ID]],[1]!Address[ID],[1]!Address[Full Address])</f>
        <v>NO.2, R&amp;R TAPAH ARAH SELATAN</v>
      </c>
      <c r="F1018" s="12" t="s">
        <v>6930</v>
      </c>
      <c r="G1018" s="12" t="s">
        <v>36</v>
      </c>
      <c r="H1018" s="12" t="s">
        <v>36</v>
      </c>
      <c r="I1018" s="12" t="b">
        <f>ISNUMBER(VALUE(LEFT(Customer[[#This Row],[Address Line 3 (30 char)]],1)))</f>
        <v>0</v>
      </c>
      <c r="J1018" s="12" t="s">
        <v>242</v>
      </c>
      <c r="K1018" s="12">
        <v>35000</v>
      </c>
      <c r="L1018" s="12" t="s">
        <v>35</v>
      </c>
      <c r="M1018" s="13" t="e">
        <v>#N/A</v>
      </c>
      <c r="N1018" s="14" t="e">
        <v>#N/A</v>
      </c>
      <c r="O1018" s="14" t="e">
        <v>#N/A</v>
      </c>
      <c r="P1018" s="14" t="e">
        <v>#N/A</v>
      </c>
      <c r="Q1018" s="14" t="e">
        <v>#N/A</v>
      </c>
      <c r="R1018" s="15" t="s">
        <v>6931</v>
      </c>
      <c r="S1018" s="15" t="s">
        <v>5925</v>
      </c>
      <c r="T1018" s="16" t="s">
        <v>3477</v>
      </c>
      <c r="U1018" s="11" t="str">
        <f>_xlfn.XLOOKUP(Customer[[#This Row],[Customer ID]],[1]!Address[ID],[1]!Address[Phone No.(2)])</f>
        <v/>
      </c>
      <c r="V1018" s="11" t="str">
        <f>_xlfn.XLOOKUP(Customer[[#This Row],[Customer ID]],[1]!Address[ID],[1]!Address[Type])</f>
        <v>CAFE</v>
      </c>
      <c r="W1018" s="11" t="str">
        <f>_xlfn.XLOOKUP(Customer[[#This Row],[Customer ID]],[1]!Address[ID],[1]!Address[CT])</f>
        <v>30 DAYS</v>
      </c>
      <c r="X1018" s="11"/>
      <c r="Y1018" s="17" t="s">
        <v>5926</v>
      </c>
      <c r="Z1018" s="17" t="e">
        <f>_xlfn.XLOOKUP(Customer[[#This Row],[NewType]],$AF$36:$AF$54,$AG$36:$AG$54)</f>
        <v>#N/A</v>
      </c>
      <c r="AA1018" s="17" t="s">
        <v>6932</v>
      </c>
      <c r="AB1018" s="11" t="str">
        <f>_xlfn.XLOOKUP(Customer[[#This Row],[Customer ID]],[1]!Address[ID],[1]!Address[Subtype])</f>
        <v>PLUS</v>
      </c>
      <c r="AC1018" s="18">
        <f>_xlfn.XLOOKUP(Customer[[#This Row],[Customer ID]],[1]!Address[ID],[1]!Address[Zone])</f>
        <v>0</v>
      </c>
    </row>
    <row r="1019" spans="1:29" x14ac:dyDescent="0.3">
      <c r="A1019" s="39" t="s">
        <v>6933</v>
      </c>
      <c r="B1019" s="40" t="str">
        <f>_xlfn.XLOOKUP(Customer[[#This Row],[Customer ID]],[1]!Name[ID],[1]!Name[Description(1)])</f>
        <v>SALUTE CAFE</v>
      </c>
      <c r="C1019" s="38" t="str">
        <f>_xlfn.XLOOKUP(Customer[[#This Row],[Customer ID]],[1]!Name[ID],[1]!Name[Description(2)])</f>
        <v/>
      </c>
      <c r="D1019" s="38" t="str">
        <f>_xlfn.XLOOKUP(Customer[[#This Row],[Customer ID]],[1]!Address[ID],[1]!Address[PIC])</f>
        <v/>
      </c>
      <c r="E1019" s="38" t="str">
        <f>_xlfn.XLOOKUP(Customer[[#This Row],[Customer ID]],[1]!Address[ID],[1]!Address[Full Address])</f>
        <v>NO.9 R&amp;R TAPAH ARAH SELATAN</v>
      </c>
      <c r="F1019" s="12" t="s">
        <v>6934</v>
      </c>
      <c r="G1019" s="12" t="s">
        <v>36</v>
      </c>
      <c r="H1019" s="12" t="s">
        <v>36</v>
      </c>
      <c r="I1019" s="12" t="b">
        <f>ISNUMBER(VALUE(LEFT(Customer[[#This Row],[Address Line 3 (30 char)]],1)))</f>
        <v>0</v>
      </c>
      <c r="J1019" s="12" t="s">
        <v>242</v>
      </c>
      <c r="K1019" s="12">
        <v>35000</v>
      </c>
      <c r="L1019" s="12" t="s">
        <v>35</v>
      </c>
      <c r="M1019" s="13" t="e">
        <v>#N/A</v>
      </c>
      <c r="N1019" s="14" t="e">
        <v>#N/A</v>
      </c>
      <c r="O1019" s="14" t="e">
        <v>#N/A</v>
      </c>
      <c r="P1019" s="14" t="e">
        <v>#N/A</v>
      </c>
      <c r="Q1019" s="14" t="e">
        <v>#N/A</v>
      </c>
      <c r="R1019" s="15" t="s">
        <v>6935</v>
      </c>
      <c r="S1019" s="15" t="s">
        <v>5925</v>
      </c>
      <c r="T1019" s="16" t="s">
        <v>3477</v>
      </c>
      <c r="U1019" s="11" t="str">
        <f>_xlfn.XLOOKUP(Customer[[#This Row],[Customer ID]],[1]!Address[ID],[1]!Address[Phone No.(2)])</f>
        <v/>
      </c>
      <c r="V1019" s="11" t="str">
        <f>_xlfn.XLOOKUP(Customer[[#This Row],[Customer ID]],[1]!Address[ID],[1]!Address[Type])</f>
        <v>CAFE</v>
      </c>
      <c r="W1019" s="11" t="str">
        <f>_xlfn.XLOOKUP(Customer[[#This Row],[Customer ID]],[1]!Address[ID],[1]!Address[CT])</f>
        <v>30 DAYS</v>
      </c>
      <c r="X1019" s="11"/>
      <c r="Y1019" s="17" t="s">
        <v>5926</v>
      </c>
      <c r="Z1019" s="17" t="e">
        <f>_xlfn.XLOOKUP(Customer[[#This Row],[NewType]],$AF$36:$AF$54,$AG$36:$AG$54)</f>
        <v>#N/A</v>
      </c>
      <c r="AA1019" s="17" t="s">
        <v>6936</v>
      </c>
      <c r="AB1019" s="11" t="str">
        <f>_xlfn.XLOOKUP(Customer[[#This Row],[Customer ID]],[1]!Address[ID],[1]!Address[Subtype])</f>
        <v>PLUS</v>
      </c>
      <c r="AC1019" s="18">
        <f>_xlfn.XLOOKUP(Customer[[#This Row],[Customer ID]],[1]!Address[ID],[1]!Address[Zone])</f>
        <v>0</v>
      </c>
    </row>
    <row r="1020" spans="1:29" x14ac:dyDescent="0.3">
      <c r="A1020" s="39" t="s">
        <v>6937</v>
      </c>
      <c r="B1020" s="40" t="str">
        <f>_xlfn.XLOOKUP(Customer[[#This Row],[Customer ID]],[1]!Name[ID],[1]!Name[Description(1)])</f>
        <v>DAS CAFE</v>
      </c>
      <c r="C1020" s="38" t="str">
        <f>_xlfn.XLOOKUP(Customer[[#This Row],[Customer ID]],[1]!Name[ID],[1]!Name[Description(2)])</f>
        <v>PHILOMENA ENTERPRISE</v>
      </c>
      <c r="D1020" s="38" t="str">
        <f>_xlfn.XLOOKUP(Customer[[#This Row],[Customer ID]],[1]!Address[ID],[1]!Address[PIC])</f>
        <v/>
      </c>
      <c r="E1020" s="38" t="str">
        <f>_xlfn.XLOOKUP(Customer[[#This Row],[Customer ID]],[1]!Address[ID],[1]!Address[Full Address])</f>
        <v>NO.11, R&amp;R TAPAH ARAH SELATAN</v>
      </c>
      <c r="F1020" s="12" t="s">
        <v>6938</v>
      </c>
      <c r="G1020" s="12" t="s">
        <v>36</v>
      </c>
      <c r="H1020" s="12" t="s">
        <v>36</v>
      </c>
      <c r="I1020" s="12" t="b">
        <f>ISNUMBER(VALUE(LEFT(Customer[[#This Row],[Address Line 3 (30 char)]],1)))</f>
        <v>0</v>
      </c>
      <c r="J1020" s="12" t="s">
        <v>242</v>
      </c>
      <c r="K1020" s="12">
        <v>35000</v>
      </c>
      <c r="L1020" s="12" t="s">
        <v>35</v>
      </c>
      <c r="M1020" s="13" t="e">
        <v>#N/A</v>
      </c>
      <c r="N1020" s="14" t="e">
        <v>#N/A</v>
      </c>
      <c r="O1020" s="14" t="e">
        <v>#N/A</v>
      </c>
      <c r="P1020" s="14" t="e">
        <v>#N/A</v>
      </c>
      <c r="Q1020" s="14" t="e">
        <v>#N/A</v>
      </c>
      <c r="R1020" s="15" t="s">
        <v>6939</v>
      </c>
      <c r="S1020" s="15" t="s">
        <v>5925</v>
      </c>
      <c r="T1020" s="16" t="s">
        <v>3477</v>
      </c>
      <c r="U1020" s="11" t="str">
        <f>_xlfn.XLOOKUP(Customer[[#This Row],[Customer ID]],[1]!Address[ID],[1]!Address[Phone No.(2)])</f>
        <v/>
      </c>
      <c r="V1020" s="11" t="str">
        <f>_xlfn.XLOOKUP(Customer[[#This Row],[Customer ID]],[1]!Address[ID],[1]!Address[Type])</f>
        <v>CAFE</v>
      </c>
      <c r="W1020" s="11" t="str">
        <f>_xlfn.XLOOKUP(Customer[[#This Row],[Customer ID]],[1]!Address[ID],[1]!Address[CT])</f>
        <v>30 DAYS</v>
      </c>
      <c r="X1020" s="11"/>
      <c r="Y1020" s="17" t="s">
        <v>5926</v>
      </c>
      <c r="Z1020" s="17" t="e">
        <f>_xlfn.XLOOKUP(Customer[[#This Row],[NewType]],$AF$36:$AF$54,$AG$36:$AG$54)</f>
        <v>#N/A</v>
      </c>
      <c r="AA1020" s="17" t="s">
        <v>6940</v>
      </c>
      <c r="AB1020" s="11" t="str">
        <f>_xlfn.XLOOKUP(Customer[[#This Row],[Customer ID]],[1]!Address[ID],[1]!Address[Subtype])</f>
        <v>PLUS</v>
      </c>
      <c r="AC1020" s="18">
        <f>_xlfn.XLOOKUP(Customer[[#This Row],[Customer ID]],[1]!Address[ID],[1]!Address[Zone])</f>
        <v>0</v>
      </c>
    </row>
    <row r="1021" spans="1:29" x14ac:dyDescent="0.3">
      <c r="A1021" s="39" t="s">
        <v>6941</v>
      </c>
      <c r="B1021" s="40" t="str">
        <f>_xlfn.XLOOKUP(Customer[[#This Row],[Customer ID]],[1]!Name[ID],[1]!Name[Description(1)])</f>
        <v>KRAFT &amp; CANDY</v>
      </c>
      <c r="C1021" s="38" t="str">
        <f>_xlfn.XLOOKUP(Customer[[#This Row],[Customer ID]],[1]!Name[ID],[1]!Name[Description(2)])</f>
        <v/>
      </c>
      <c r="D1021" s="38" t="str">
        <f>_xlfn.XLOOKUP(Customer[[#This Row],[Customer ID]],[1]!Address[ID],[1]!Address[PIC])</f>
        <v/>
      </c>
      <c r="E1021" s="38" t="str">
        <f>_xlfn.XLOOKUP(Customer[[#This Row],[Customer ID]],[1]!Address[ID],[1]!Address[Full Address])</f>
        <v>NO.1, R&amp;R TAPAH ARAH SELATAN</v>
      </c>
      <c r="F1021" s="12" t="s">
        <v>6942</v>
      </c>
      <c r="G1021" s="12" t="s">
        <v>36</v>
      </c>
      <c r="H1021" s="12" t="s">
        <v>36</v>
      </c>
      <c r="I1021" s="12" t="b">
        <f>ISNUMBER(VALUE(LEFT(Customer[[#This Row],[Address Line 3 (30 char)]],1)))</f>
        <v>0</v>
      </c>
      <c r="J1021" s="12" t="s">
        <v>242</v>
      </c>
      <c r="K1021" s="12">
        <v>35000</v>
      </c>
      <c r="L1021" s="12" t="s">
        <v>35</v>
      </c>
      <c r="M1021" s="13" t="e">
        <v>#N/A</v>
      </c>
      <c r="N1021" s="14" t="e">
        <v>#N/A</v>
      </c>
      <c r="O1021" s="14" t="e">
        <v>#N/A</v>
      </c>
      <c r="P1021" s="14" t="e">
        <v>#N/A</v>
      </c>
      <c r="Q1021" s="14" t="e">
        <v>#N/A</v>
      </c>
      <c r="R1021" s="15" t="s">
        <v>6943</v>
      </c>
      <c r="S1021" s="15" t="s">
        <v>5925</v>
      </c>
      <c r="T1021" s="16" t="s">
        <v>3477</v>
      </c>
      <c r="U1021" s="11" t="str">
        <f>_xlfn.XLOOKUP(Customer[[#This Row],[Customer ID]],[1]!Address[ID],[1]!Address[Phone No.(2)])</f>
        <v/>
      </c>
      <c r="V1021" s="11" t="str">
        <f>_xlfn.XLOOKUP(Customer[[#This Row],[Customer ID]],[1]!Address[ID],[1]!Address[Type])</f>
        <v>CAFE</v>
      </c>
      <c r="W1021" s="11" t="str">
        <f>_xlfn.XLOOKUP(Customer[[#This Row],[Customer ID]],[1]!Address[ID],[1]!Address[CT])</f>
        <v>30 DAYS</v>
      </c>
      <c r="X1021" s="11"/>
      <c r="Y1021" s="17" t="s">
        <v>5926</v>
      </c>
      <c r="Z1021" s="17" t="e">
        <f>_xlfn.XLOOKUP(Customer[[#This Row],[NewType]],$AF$36:$AF$54,$AG$36:$AG$54)</f>
        <v>#N/A</v>
      </c>
      <c r="AA1021" s="17" t="s">
        <v>6944</v>
      </c>
      <c r="AB1021" s="11" t="str">
        <f>_xlfn.XLOOKUP(Customer[[#This Row],[Customer ID]],[1]!Address[ID],[1]!Address[Subtype])</f>
        <v>PLUS</v>
      </c>
      <c r="AC1021" s="18">
        <f>_xlfn.XLOOKUP(Customer[[#This Row],[Customer ID]],[1]!Address[ID],[1]!Address[Zone])</f>
        <v>0</v>
      </c>
    </row>
    <row r="1022" spans="1:29" x14ac:dyDescent="0.3">
      <c r="A1022" s="46" t="s">
        <v>6945</v>
      </c>
      <c r="B1022" s="24" t="str">
        <f>_xlfn.XLOOKUP(Customer[[#This Row],[Customer ID]],[1]!Name[ID],[1]!Name[Description(1)])</f>
        <v>ORDER WEBSITE BUBBLES O2</v>
      </c>
      <c r="C1022" s="24" t="str">
        <f>_xlfn.XLOOKUP(Customer[[#This Row],[Customer ID]],[1]!Name[ID],[1]!Name[Description(2)])</f>
        <v/>
      </c>
      <c r="D1022" s="38" t="str">
        <f>_xlfn.XLOOKUP(Customer[[#This Row],[Customer ID]],[1]!Address[ID],[1]!Address[PIC])</f>
        <v/>
      </c>
      <c r="E1022" s="38" t="str">
        <f>_xlfn.XLOOKUP(Customer[[#This Row],[Customer ID]],[1]!Address[ID],[1]!Address[Full Address])</f>
        <v/>
      </c>
      <c r="F1022" s="12" t="s">
        <v>36</v>
      </c>
      <c r="G1022" s="12" t="s">
        <v>36</v>
      </c>
      <c r="H1022" s="12" t="s">
        <v>36</v>
      </c>
      <c r="I1022" s="12" t="b">
        <f>ISNUMBER(VALUE(LEFT(Customer[[#This Row],[Address Line 3 (30 char)]],1)))</f>
        <v>0</v>
      </c>
      <c r="J1022" s="24"/>
      <c r="K1022" s="24"/>
      <c r="L1022" s="12" t="s">
        <v>35</v>
      </c>
      <c r="M1022" s="13" t="e">
        <v>#N/A</v>
      </c>
      <c r="N1022" s="14" t="e">
        <v>#N/A</v>
      </c>
      <c r="O1022" s="14" t="e">
        <v>#N/A</v>
      </c>
      <c r="P1022" s="14" t="e">
        <v>#N/A</v>
      </c>
      <c r="Q1022" s="14" t="e">
        <v>#N/A</v>
      </c>
      <c r="R1022" s="15" t="s">
        <v>36</v>
      </c>
      <c r="S1022" s="15" t="s">
        <v>89</v>
      </c>
      <c r="T1022" s="16" t="s">
        <v>6283</v>
      </c>
      <c r="U1022" s="11" t="str">
        <f>_xlfn.XLOOKUP(Customer[[#This Row],[Customer ID]],[1]!Address[ID],[1]!Address[Phone No.(2)])</f>
        <v/>
      </c>
      <c r="V1022" s="11" t="str">
        <f>_xlfn.XLOOKUP(Customer[[#This Row],[Customer ID]],[1]!Address[ID],[1]!Address[Type])</f>
        <v>SOCMED</v>
      </c>
      <c r="W1022" s="11" t="str">
        <f>_xlfn.XLOOKUP(Customer[[#This Row],[Customer ID]],[1]!Address[ID],[1]!Address[CT])</f>
        <v/>
      </c>
      <c r="X1022" s="11"/>
      <c r="Y1022" s="17" t="s">
        <v>90</v>
      </c>
      <c r="Z1022" s="17" t="e">
        <f>_xlfn.XLOOKUP(Customer[[#This Row],[NewType]],$AF$36:$AF$54,$AG$36:$AG$54)</f>
        <v>#N/A</v>
      </c>
      <c r="AA1022" s="17" t="s">
        <v>6946</v>
      </c>
      <c r="AB1022" s="11" t="str">
        <f>_xlfn.XLOOKUP(Customer[[#This Row],[Customer ID]],[1]!Address[ID],[1]!Address[Subtype])</f>
        <v>WEBSITE HQ</v>
      </c>
      <c r="AC1022" s="18" t="str">
        <f>_xlfn.XLOOKUP(Customer[[#This Row],[Customer ID]],[1]!Address[ID],[1]!Address[Zone])</f>
        <v>TEEDH</v>
      </c>
    </row>
    <row r="1023" spans="1:29" x14ac:dyDescent="0.3">
      <c r="A1023" s="46" t="s">
        <v>6947</v>
      </c>
      <c r="B1023" s="24" t="str">
        <f>_xlfn.XLOOKUP(Customer[[#This Row],[Customer ID]],[1]!Name[ID],[1]!Name[Description(1)])</f>
        <v>ORDER AGENT WATERPRENUER</v>
      </c>
      <c r="C1023" s="24" t="str">
        <f>_xlfn.XLOOKUP(Customer[[#This Row],[Customer ID]],[1]!Name[ID],[1]!Name[Description(2)])</f>
        <v/>
      </c>
      <c r="D1023" s="38" t="str">
        <f>_xlfn.XLOOKUP(Customer[[#This Row],[Customer ID]],[1]!Address[ID],[1]!Address[PIC])</f>
        <v/>
      </c>
      <c r="E1023" s="38" t="str">
        <f>_xlfn.XLOOKUP(Customer[[#This Row],[Customer ID]],[1]!Address[ID],[1]!Address[Full Address])</f>
        <v/>
      </c>
      <c r="F1023" s="12" t="s">
        <v>36</v>
      </c>
      <c r="G1023" s="12" t="s">
        <v>36</v>
      </c>
      <c r="H1023" s="12" t="s">
        <v>36</v>
      </c>
      <c r="I1023" s="12" t="b">
        <f>ISNUMBER(VALUE(LEFT(Customer[[#This Row],[Address Line 3 (30 char)]],1)))</f>
        <v>0</v>
      </c>
      <c r="J1023" s="24"/>
      <c r="K1023" s="24"/>
      <c r="L1023" s="12" t="s">
        <v>35</v>
      </c>
      <c r="M1023" s="13" t="e">
        <v>#N/A</v>
      </c>
      <c r="N1023" s="14" t="e">
        <v>#N/A</v>
      </c>
      <c r="O1023" s="14" t="e">
        <v>#N/A</v>
      </c>
      <c r="P1023" s="14" t="e">
        <v>#N/A</v>
      </c>
      <c r="Q1023" s="14" t="e">
        <v>#N/A</v>
      </c>
      <c r="R1023" s="15" t="s">
        <v>36</v>
      </c>
      <c r="S1023" s="15" t="s">
        <v>89</v>
      </c>
      <c r="T1023" s="16" t="s">
        <v>6283</v>
      </c>
      <c r="U1023" s="11" t="str">
        <f>_xlfn.XLOOKUP(Customer[[#This Row],[Customer ID]],[1]!Address[ID],[1]!Address[Phone No.(2)])</f>
        <v/>
      </c>
      <c r="V1023" s="11" t="str">
        <f>_xlfn.XLOOKUP(Customer[[#This Row],[Customer ID]],[1]!Address[ID],[1]!Address[Type])</f>
        <v>AGENT</v>
      </c>
      <c r="W1023" s="11" t="str">
        <f>_xlfn.XLOOKUP(Customer[[#This Row],[Customer ID]],[1]!Address[ID],[1]!Address[CT])</f>
        <v/>
      </c>
      <c r="X1023" s="11"/>
      <c r="Y1023" s="17" t="s">
        <v>6639</v>
      </c>
      <c r="Z1023" s="17" t="e">
        <f>_xlfn.XLOOKUP(Customer[[#This Row],[NewType]],$AF$36:$AF$54,$AG$36:$AG$54)</f>
        <v>#N/A</v>
      </c>
      <c r="AA1023" s="17" t="s">
        <v>6948</v>
      </c>
      <c r="AB1023" s="11" t="str">
        <f>_xlfn.XLOOKUP(Customer[[#This Row],[Customer ID]],[1]!Address[ID],[1]!Address[Subtype])</f>
        <v>AGENT WP</v>
      </c>
      <c r="AC1023" s="18" t="str">
        <f>_xlfn.XLOOKUP(Customer[[#This Row],[Customer ID]],[1]!Address[ID],[1]!Address[Zone])</f>
        <v xml:space="preserve"> TNTH</v>
      </c>
    </row>
    <row r="1024" spans="1:29" x14ac:dyDescent="0.3">
      <c r="A1024" s="45" t="s">
        <v>6949</v>
      </c>
      <c r="B1024" s="32" t="str">
        <f>_xlfn.XLOOKUP(Customer[[#This Row],[Customer ID]],[1]!Name[ID],[1]!Name[Description(1)])</f>
        <v>NURUL IDORA</v>
      </c>
      <c r="C1024" s="32" t="str">
        <f>_xlfn.XLOOKUP(Customer[[#This Row],[Customer ID]],[1]!Name[ID],[1]!Name[Description(2)])</f>
        <v/>
      </c>
      <c r="D1024" s="38" t="str">
        <f>_xlfn.XLOOKUP(Customer[[#This Row],[Customer ID]],[1]!Address[ID],[1]!Address[PIC])</f>
        <v/>
      </c>
      <c r="E1024" s="38" t="str">
        <f>_xlfn.XLOOKUP(Customer[[#This Row],[Customer ID]],[1]!Address[ID],[1]!Address[Full Address])</f>
        <v>BANDAR EKAR, RANTAU</v>
      </c>
      <c r="F1024" s="12" t="s">
        <v>6950</v>
      </c>
      <c r="G1024" s="12" t="s">
        <v>36</v>
      </c>
      <c r="H1024" s="12" t="s">
        <v>36</v>
      </c>
      <c r="I1024" s="12" t="b">
        <f>ISNUMBER(VALUE(LEFT(Customer[[#This Row],[Address Line 3 (30 char)]],1)))</f>
        <v>0</v>
      </c>
      <c r="J1024" s="32"/>
      <c r="K1024" s="32"/>
      <c r="L1024" s="12" t="s">
        <v>35</v>
      </c>
      <c r="M1024" s="13" t="e">
        <v>#N/A</v>
      </c>
      <c r="N1024" s="14" t="e">
        <v>#N/A</v>
      </c>
      <c r="O1024" s="14" t="e">
        <v>#N/A</v>
      </c>
      <c r="P1024" s="14" t="e">
        <v>#N/A</v>
      </c>
      <c r="Q1024" s="14" t="e">
        <v>#N/A</v>
      </c>
      <c r="R1024" s="15" t="s">
        <v>6951</v>
      </c>
      <c r="S1024" s="16" t="s">
        <v>6283</v>
      </c>
      <c r="T1024" s="16"/>
      <c r="U1024" s="11" t="str">
        <f>_xlfn.XLOOKUP(Customer[[#This Row],[Customer ID]],[1]!Address[ID],[1]!Address[Phone No.(2)])</f>
        <v/>
      </c>
      <c r="V1024" s="11" t="str">
        <f>_xlfn.XLOOKUP(Customer[[#This Row],[Customer ID]],[1]!Address[ID],[1]!Address[Type])</f>
        <v>WALK IN</v>
      </c>
      <c r="W1024" s="11" t="str">
        <f>_xlfn.XLOOKUP(Customer[[#This Row],[Customer ID]],[1]!Address[ID],[1]!Address[CT])</f>
        <v/>
      </c>
      <c r="X1024" s="11"/>
      <c r="Y1024" s="17" t="s">
        <v>6284</v>
      </c>
      <c r="Z1024" s="17" t="e">
        <f>_xlfn.XLOOKUP(Customer[[#This Row],[NewType]],$AF$36:$AF$54,$AG$36:$AG$54)</f>
        <v>#N/A</v>
      </c>
      <c r="AA1024" s="17" t="s">
        <v>6952</v>
      </c>
      <c r="AB1024" s="11" t="str">
        <f>_xlfn.XLOOKUP(Customer[[#This Row],[Customer ID]],[1]!Address[ID],[1]!Address[Subtype])</f>
        <v>RANTAU</v>
      </c>
      <c r="AC1024" s="18" t="str">
        <f>_xlfn.XLOOKUP(Customer[[#This Row],[Customer ID]],[1]!Address[ID],[1]!Address[Zone])</f>
        <v>U H</v>
      </c>
    </row>
    <row r="1025" spans="1:30" x14ac:dyDescent="0.3">
      <c r="A1025" s="10" t="s">
        <v>6953</v>
      </c>
      <c r="B1025" s="11" t="str">
        <f>_xlfn.XLOOKUP(Customer[[#This Row],[Customer ID]],[1]!Name[ID],[1]!Name[Description(1)])</f>
        <v>EN FAIZAL FADZIL</v>
      </c>
      <c r="C1025" s="38" t="str">
        <f>_xlfn.XLOOKUP(Customer[[#This Row],[Customer ID]],[1]!Name[ID],[1]!Name[Description(2)])</f>
        <v/>
      </c>
      <c r="D1025" s="38" t="str">
        <f>_xlfn.XLOOKUP(Customer[[#This Row],[Customer ID]],[1]!Address[ID],[1]!Address[PIC])</f>
        <v/>
      </c>
      <c r="E1025" s="38" t="str">
        <f>_xlfn.XLOOKUP(Customer[[#This Row],[Customer ID]],[1]!Address[ID],[1]!Address[Full Address])</f>
        <v>F.A.HERBS, LOT 3726,JALAN TEMBUSU, KG MELAYU SUBANG,40150 SHAH ALAM, SELANGOR</v>
      </c>
      <c r="F1025" s="12" t="s">
        <v>6954</v>
      </c>
      <c r="G1025" s="12" t="s">
        <v>6955</v>
      </c>
      <c r="H1025" s="24" t="s">
        <v>4488</v>
      </c>
      <c r="I1025" s="24" t="b">
        <f>ISNUMBER(VALUE(LEFT(Customer[[#This Row],[Address Line 3 (30 char)]],1)))</f>
        <v>0</v>
      </c>
      <c r="J1025" s="12" t="s">
        <v>1907</v>
      </c>
      <c r="K1025" s="12">
        <v>40150</v>
      </c>
      <c r="L1025" s="12" t="s">
        <v>35</v>
      </c>
      <c r="M1025" s="13" t="e">
        <v>#N/A</v>
      </c>
      <c r="N1025" s="14" t="e">
        <v>#N/A</v>
      </c>
      <c r="O1025" s="14" t="e">
        <v>#N/A</v>
      </c>
      <c r="P1025" s="14" t="e">
        <v>#N/A</v>
      </c>
      <c r="Q1025" s="14" t="e">
        <v>#N/A</v>
      </c>
      <c r="R1025" s="15" t="s">
        <v>6956</v>
      </c>
      <c r="S1025" s="15" t="s">
        <v>6418</v>
      </c>
      <c r="T1025" s="16" t="s">
        <v>3477</v>
      </c>
      <c r="U1025" s="11" t="str">
        <f>_xlfn.XLOOKUP(Customer[[#This Row],[Customer ID]],[1]!Address[ID],[1]!Address[Phone No.(2)])</f>
        <v/>
      </c>
      <c r="V1025" s="11" t="str">
        <f>_xlfn.XLOOKUP(Customer[[#This Row],[Customer ID]],[1]!Address[ID],[1]!Address[Type])</f>
        <v>SOCMED</v>
      </c>
      <c r="W1025" s="11" t="str">
        <f>_xlfn.XLOOKUP(Customer[[#This Row],[Customer ID]],[1]!Address[ID],[1]!Address[CT])</f>
        <v/>
      </c>
      <c r="X1025" s="11"/>
      <c r="Y1025" s="17" t="s">
        <v>90</v>
      </c>
      <c r="Z1025" s="17" t="e">
        <f>_xlfn.XLOOKUP(Customer[[#This Row],[NewType]],$AF$36:$AF$54,$AG$36:$AG$54)</f>
        <v>#N/A</v>
      </c>
      <c r="AA1025" s="17" t="s">
        <v>6957</v>
      </c>
      <c r="AB1025" s="11" t="str">
        <f>_xlfn.XLOOKUP(Customer[[#This Row],[Customer ID]],[1]!Address[ID],[1]!Address[Subtype])</f>
        <v>WHATSAPP</v>
      </c>
      <c r="AC1025" s="18" t="str">
        <f>_xlfn.XLOOKUP(Customer[[#This Row],[Customer ID]],[1]!Address[ID],[1]!Address[Zone])</f>
        <v>AEEDH</v>
      </c>
    </row>
    <row r="1026" spans="1:30" x14ac:dyDescent="0.3">
      <c r="A1026" s="37" t="s">
        <v>6958</v>
      </c>
      <c r="B1026" s="38" t="str">
        <f>_xlfn.XLOOKUP(Customer[[#This Row],[Customer ID]],[1]!Name[ID],[1]!Name[Description(1)])</f>
        <v>OTHOMATS PETROL SERVIS STATION</v>
      </c>
      <c r="C1026" s="38" t="str">
        <f>_xlfn.XLOOKUP(Customer[[#This Row],[Customer ID]],[1]!Name[ID],[1]!Name[Description(2)])</f>
        <v>CALTEX PADANG ENGGANG</v>
      </c>
      <c r="D1026" s="38" t="str">
        <f>_xlfn.XLOOKUP(Customer[[#This Row],[Customer ID]],[1]!Address[ID],[1]!Address[PIC])</f>
        <v/>
      </c>
      <c r="E1026" s="38" t="str">
        <f>_xlfn.XLOOKUP(Customer[[#This Row],[Customer ID]],[1]!Address[ID],[1]!Address[Full Address])</f>
        <v>CALTEX PADANG ENGGANGPT 1238-1242, SEKSYEN 62JALAN PASIR HOR,15100 KOTA BAHRU</v>
      </c>
      <c r="F1026" s="12" t="s">
        <v>6959</v>
      </c>
      <c r="G1026" s="12" t="s">
        <v>6960</v>
      </c>
      <c r="H1026" s="12" t="s">
        <v>6961</v>
      </c>
      <c r="I1026" s="12" t="b">
        <f>ISNUMBER(VALUE(LEFT(Customer[[#This Row],[Address Line 3 (30 char)]],1)))</f>
        <v>0</v>
      </c>
      <c r="J1026" s="12" t="s">
        <v>1007</v>
      </c>
      <c r="K1026" s="12">
        <v>15100</v>
      </c>
      <c r="L1026" s="12" t="s">
        <v>35</v>
      </c>
      <c r="M1026" s="13">
        <v>200603183817</v>
      </c>
      <c r="N1026" s="14" t="s">
        <v>6962</v>
      </c>
      <c r="O1026" s="14" t="s">
        <v>54</v>
      </c>
      <c r="P1026" s="14">
        <v>46611</v>
      </c>
      <c r="Q1026" s="14" t="s">
        <v>6963</v>
      </c>
      <c r="R1026" s="15" t="s">
        <v>36</v>
      </c>
      <c r="S1026" s="15" t="s">
        <v>37</v>
      </c>
      <c r="T1026" s="16" t="s">
        <v>38</v>
      </c>
      <c r="U1026" s="11" t="str">
        <f>_xlfn.XLOOKUP(Customer[[#This Row],[Customer ID]],[1]!Address[ID],[1]!Address[Phone No.(2)])</f>
        <v/>
      </c>
      <c r="V1026" s="11" t="str">
        <f>_xlfn.XLOOKUP(Customer[[#This Row],[Customer ID]],[1]!Address[ID],[1]!Address[Type])</f>
        <v>PETROMART</v>
      </c>
      <c r="W1026" s="11" t="str">
        <f>_xlfn.XLOOKUP(Customer[[#This Row],[Customer ID]],[1]!Address[ID],[1]!Address[CT])</f>
        <v>30 DAYS</v>
      </c>
      <c r="X1026" s="11" t="s">
        <v>39</v>
      </c>
      <c r="Y1026" s="17" t="s">
        <v>40</v>
      </c>
      <c r="Z1026" s="17" t="e">
        <f>_xlfn.XLOOKUP(Customer[[#This Row],[NewType]],$AF$36:$AF$54,$AG$36:$AG$54)</f>
        <v>#N/A</v>
      </c>
      <c r="AA1026" s="17" t="s">
        <v>6964</v>
      </c>
      <c r="AB1026" s="11" t="str">
        <f>_xlfn.XLOOKUP(Customer[[#This Row],[Customer ID]],[1]!Address[ID],[1]!Address[Subtype])</f>
        <v>XPRESS POINT</v>
      </c>
      <c r="AC1026" s="18" t="str">
        <f>_xlfn.XLOOKUP(Customer[[#This Row],[Customer ID]],[1]!Address[ID],[1]!Address[Zone])</f>
        <v>EAST COAST</v>
      </c>
    </row>
    <row r="1027" spans="1:30" x14ac:dyDescent="0.3">
      <c r="A1027" s="37" t="s">
        <v>6965</v>
      </c>
      <c r="B1027" s="38" t="str">
        <f>_xlfn.XLOOKUP(Customer[[#This Row],[Customer ID]],[1]!Name[ID],[1]!Name[Description(1)])</f>
        <v>MUTIARA MARTS SERVICE STATION</v>
      </c>
      <c r="C1027" s="38" t="str">
        <f>_xlfn.XLOOKUP(Customer[[#This Row],[Customer ID]],[1]!Name[ID],[1]!Name[Description(2)])</f>
        <v>CALTEX WAKAF CHE YEH</v>
      </c>
      <c r="D1027" s="38" t="str">
        <f>_xlfn.XLOOKUP(Customer[[#This Row],[Customer ID]],[1]!Address[ID],[1]!Address[PIC])</f>
        <v/>
      </c>
      <c r="E1027" s="38" t="str">
        <f>_xlfn.XLOOKUP(Customer[[#This Row],[Customer ID]],[1]!Address[ID],[1]!Address[Full Address])</f>
        <v>CALTEX WAKAF CHE YEHPT 236, PADANG ENGGANG, WAKAF CHEYAH15100 KOTA BHARU, KELANTAN</v>
      </c>
      <c r="F1027" s="12" t="s">
        <v>6966</v>
      </c>
      <c r="G1027" s="12" t="s">
        <v>6967</v>
      </c>
      <c r="H1027" s="24" t="s">
        <v>2824</v>
      </c>
      <c r="I1027" s="24" t="b">
        <f>ISNUMBER(VALUE(LEFT(Customer[[#This Row],[Address Line 3 (30 char)]],1)))</f>
        <v>0</v>
      </c>
      <c r="J1027" s="12" t="s">
        <v>1007</v>
      </c>
      <c r="K1027" s="12">
        <v>15100</v>
      </c>
      <c r="L1027" s="12" t="s">
        <v>35</v>
      </c>
      <c r="M1027" s="13" t="e">
        <v>#N/A</v>
      </c>
      <c r="N1027" s="14" t="e">
        <v>#N/A</v>
      </c>
      <c r="O1027" s="14" t="e">
        <v>#N/A</v>
      </c>
      <c r="P1027" s="14" t="e">
        <v>#N/A</v>
      </c>
      <c r="Q1027" s="14" t="e">
        <v>#N/A</v>
      </c>
      <c r="R1027" s="15" t="s">
        <v>36</v>
      </c>
      <c r="S1027" s="15" t="s">
        <v>37</v>
      </c>
      <c r="T1027" s="16" t="s">
        <v>38</v>
      </c>
      <c r="U1027" s="11" t="str">
        <f>_xlfn.XLOOKUP(Customer[[#This Row],[Customer ID]],[1]!Address[ID],[1]!Address[Phone No.(2)])</f>
        <v/>
      </c>
      <c r="V1027" s="11" t="str">
        <f>_xlfn.XLOOKUP(Customer[[#This Row],[Customer ID]],[1]!Address[ID],[1]!Address[Type])</f>
        <v>PETROMART</v>
      </c>
      <c r="W1027" s="11" t="str">
        <f>_xlfn.XLOOKUP(Customer[[#This Row],[Customer ID]],[1]!Address[ID],[1]!Address[CT])</f>
        <v>30 DAYS</v>
      </c>
      <c r="X1027" s="11" t="s">
        <v>39</v>
      </c>
      <c r="Y1027" s="17" t="s">
        <v>40</v>
      </c>
      <c r="Z1027" s="17" t="e">
        <f>_xlfn.XLOOKUP(Customer[[#This Row],[NewType]],$AF$36:$AF$54,$AG$36:$AG$54)</f>
        <v>#N/A</v>
      </c>
      <c r="AA1027" s="17" t="s">
        <v>6968</v>
      </c>
      <c r="AB1027" s="11" t="str">
        <f>_xlfn.XLOOKUP(Customer[[#This Row],[Customer ID]],[1]!Address[ID],[1]!Address[Subtype])</f>
        <v>XPRESS POINT</v>
      </c>
      <c r="AC1027" s="18" t="str">
        <f>_xlfn.XLOOKUP(Customer[[#This Row],[Customer ID]],[1]!Address[ID],[1]!Address[Zone])</f>
        <v>EAST COAST</v>
      </c>
    </row>
    <row r="1028" spans="1:30" x14ac:dyDescent="0.3">
      <c r="A1028" s="37" t="s">
        <v>6969</v>
      </c>
      <c r="B1028" s="38" t="str">
        <f>_xlfn.XLOOKUP(Customer[[#This Row],[Customer ID]],[1]!Name[ID],[1]!Name[Description(1)])</f>
        <v>BUKIT BALAH FILLING STATION SDN BHD</v>
      </c>
      <c r="C1028" s="38" t="str">
        <f>_xlfn.XLOOKUP(Customer[[#This Row],[Customer ID]],[1]!Name[ID],[1]!Name[Description(2)])</f>
        <v>CALTEX BUKIT BALAH</v>
      </c>
      <c r="D1028" s="38" t="str">
        <f>_xlfn.XLOOKUP(Customer[[#This Row],[Customer ID]],[1]!Address[ID],[1]!Address[PIC])</f>
        <v/>
      </c>
      <c r="E1028" s="38" t="str">
        <f>_xlfn.XLOOKUP(Customer[[#This Row],[Customer ID]],[1]!Address[ID],[1]!Address[Full Address])</f>
        <v>CALTEX BUKIT BALAHLOT 1338, KAMPUNG BERDANG17600 JELI KELANTAN</v>
      </c>
      <c r="F1028" s="12" t="s">
        <v>6970</v>
      </c>
      <c r="G1028" s="12" t="s">
        <v>6971</v>
      </c>
      <c r="H1028" s="24" t="s">
        <v>6972</v>
      </c>
      <c r="I1028" s="24" t="b">
        <f>ISNUMBER(VALUE(LEFT(Customer[[#This Row],[Address Line 3 (30 char)]],1)))</f>
        <v>0</v>
      </c>
      <c r="J1028" s="12" t="s">
        <v>1007</v>
      </c>
      <c r="K1028" s="12">
        <v>17600</v>
      </c>
      <c r="L1028" s="12" t="s">
        <v>35</v>
      </c>
      <c r="M1028" s="13" t="e">
        <v>#N/A</v>
      </c>
      <c r="N1028" s="14" t="e">
        <v>#N/A</v>
      </c>
      <c r="O1028" s="14" t="e">
        <v>#N/A</v>
      </c>
      <c r="P1028" s="14" t="e">
        <v>#N/A</v>
      </c>
      <c r="Q1028" s="14" t="e">
        <v>#N/A</v>
      </c>
      <c r="R1028" s="15" t="s">
        <v>36</v>
      </c>
      <c r="S1028" s="15" t="s">
        <v>37</v>
      </c>
      <c r="T1028" s="16" t="s">
        <v>38</v>
      </c>
      <c r="U1028" s="11" t="str">
        <f>_xlfn.XLOOKUP(Customer[[#This Row],[Customer ID]],[1]!Address[ID],[1]!Address[Phone No.(2)])</f>
        <v/>
      </c>
      <c r="V1028" s="11" t="str">
        <f>_xlfn.XLOOKUP(Customer[[#This Row],[Customer ID]],[1]!Address[ID],[1]!Address[Type])</f>
        <v>PETROMART</v>
      </c>
      <c r="W1028" s="11" t="str">
        <f>_xlfn.XLOOKUP(Customer[[#This Row],[Customer ID]],[1]!Address[ID],[1]!Address[CT])</f>
        <v>30 DAYS</v>
      </c>
      <c r="X1028" s="11" t="s">
        <v>39</v>
      </c>
      <c r="Y1028" s="17" t="s">
        <v>40</v>
      </c>
      <c r="Z1028" s="17" t="e">
        <f>_xlfn.XLOOKUP(Customer[[#This Row],[NewType]],$AF$36:$AF$54,$AG$36:$AG$54)</f>
        <v>#N/A</v>
      </c>
      <c r="AA1028" s="17" t="s">
        <v>6973</v>
      </c>
      <c r="AB1028" s="11" t="str">
        <f>_xlfn.XLOOKUP(Customer[[#This Row],[Customer ID]],[1]!Address[ID],[1]!Address[Subtype])</f>
        <v>XPRESS POINT</v>
      </c>
      <c r="AC1028" s="18" t="str">
        <f>_xlfn.XLOOKUP(Customer[[#This Row],[Customer ID]],[1]!Address[ID],[1]!Address[Zone])</f>
        <v>EAST COAST</v>
      </c>
    </row>
    <row r="1029" spans="1:30" x14ac:dyDescent="0.3">
      <c r="A1029" s="37" t="s">
        <v>6974</v>
      </c>
      <c r="B1029" s="38" t="str">
        <f>_xlfn.XLOOKUP(Customer[[#This Row],[Customer ID]],[1]!Name[ID],[1]!Name[Description(1)])</f>
        <v>BUDI E&amp;E JAYA SJOP</v>
      </c>
      <c r="C1029" s="38" t="str">
        <f>_xlfn.XLOOKUP(Customer[[#This Row],[Customer ID]],[1]!Name[ID],[1]!Name[Description(2)])</f>
        <v>CALTEX TANAH MERAH</v>
      </c>
      <c r="D1029" s="38" t="str">
        <f>_xlfn.XLOOKUP(Customer[[#This Row],[Customer ID]],[1]!Address[ID],[1]!Address[PIC])</f>
        <v/>
      </c>
      <c r="E1029" s="38" t="str">
        <f>_xlfn.XLOOKUP(Customer[[#This Row],[Customer ID]],[1]!Address[ID],[1]!Address[Full Address])</f>
        <v>CALTEX TANAH MERAHLOT 748 KAMPUNG CHEDOK17500 TANAH MERAH, KELANTAN</v>
      </c>
      <c r="F1029" s="12" t="s">
        <v>6975</v>
      </c>
      <c r="G1029" s="12" t="s">
        <v>6976</v>
      </c>
      <c r="H1029" s="24" t="s">
        <v>6977</v>
      </c>
      <c r="I1029" s="24" t="b">
        <f>ISNUMBER(VALUE(LEFT(Customer[[#This Row],[Address Line 3 (30 char)]],1)))</f>
        <v>0</v>
      </c>
      <c r="J1029" s="12" t="s">
        <v>1007</v>
      </c>
      <c r="K1029" s="12">
        <v>17500</v>
      </c>
      <c r="L1029" s="12" t="s">
        <v>35</v>
      </c>
      <c r="M1029" s="13" t="e">
        <v>#N/A</v>
      </c>
      <c r="N1029" s="14" t="e">
        <v>#N/A</v>
      </c>
      <c r="O1029" s="14" t="e">
        <v>#N/A</v>
      </c>
      <c r="P1029" s="14" t="e">
        <v>#N/A</v>
      </c>
      <c r="Q1029" s="14" t="e">
        <v>#N/A</v>
      </c>
      <c r="R1029" s="15" t="s">
        <v>36</v>
      </c>
      <c r="S1029" s="15" t="s">
        <v>37</v>
      </c>
      <c r="T1029" s="16" t="s">
        <v>38</v>
      </c>
      <c r="U1029" s="11" t="str">
        <f>_xlfn.XLOOKUP(Customer[[#This Row],[Customer ID]],[1]!Address[ID],[1]!Address[Phone No.(2)])</f>
        <v/>
      </c>
      <c r="V1029" s="11" t="str">
        <f>_xlfn.XLOOKUP(Customer[[#This Row],[Customer ID]],[1]!Address[ID],[1]!Address[Type])</f>
        <v>PETROMART</v>
      </c>
      <c r="W1029" s="11" t="str">
        <f>_xlfn.XLOOKUP(Customer[[#This Row],[Customer ID]],[1]!Address[ID],[1]!Address[CT])</f>
        <v>30 DAYS</v>
      </c>
      <c r="X1029" s="11" t="s">
        <v>39</v>
      </c>
      <c r="Y1029" s="17" t="s">
        <v>40</v>
      </c>
      <c r="Z1029" s="17" t="e">
        <f>_xlfn.XLOOKUP(Customer[[#This Row],[NewType]],$AF$36:$AF$54,$AG$36:$AG$54)</f>
        <v>#N/A</v>
      </c>
      <c r="AA1029" s="17" t="s">
        <v>6978</v>
      </c>
      <c r="AB1029" s="11" t="str">
        <f>_xlfn.XLOOKUP(Customer[[#This Row],[Customer ID]],[1]!Address[ID],[1]!Address[Subtype])</f>
        <v>XPRESS POINT</v>
      </c>
      <c r="AC1029" s="18" t="str">
        <f>_xlfn.XLOOKUP(Customer[[#This Row],[Customer ID]],[1]!Address[ID],[1]!Address[Zone])</f>
        <v>EAST COAST</v>
      </c>
    </row>
    <row r="1030" spans="1:30" x14ac:dyDescent="0.3">
      <c r="A1030" s="43" t="s">
        <v>6979</v>
      </c>
      <c r="B1030" s="44" t="str">
        <f>_xlfn.XLOOKUP(Customer[[#This Row],[Customer ID]],[1]!Name[ID],[1]!Name[Description(1)])</f>
        <v>LUNAS JAYA PETROL SDN BHD</v>
      </c>
      <c r="C1030" s="38" t="str">
        <f>_xlfn.XLOOKUP(Customer[[#This Row],[Customer ID]],[1]!Name[ID],[1]!Name[Description(2)])</f>
        <v>CALTEX LUNAS</v>
      </c>
      <c r="D1030" s="38" t="str">
        <f>_xlfn.XLOOKUP(Customer[[#This Row],[Customer ID]],[1]!Address[ID],[1]!Address[PIC])</f>
        <v/>
      </c>
      <c r="E1030" s="38" t="str">
        <f>_xlfn.XLOOKUP(Customer[[#This Row],[Customer ID]],[1]!Address[ID],[1]!Address[Full Address])</f>
        <v>CALTEX LUNASNO 541, LORONG MURNI11/2, TAMAN MURNIINDAH 09600 LUNAS  KEDAH</v>
      </c>
      <c r="F1030" s="12" t="s">
        <v>6980</v>
      </c>
      <c r="G1030" s="12" t="s">
        <v>6981</v>
      </c>
      <c r="H1030" s="24" t="s">
        <v>6982</v>
      </c>
      <c r="I1030" s="24" t="b">
        <f>ISNUMBER(VALUE(LEFT(Customer[[#This Row],[Address Line 3 (30 char)]],1)))</f>
        <v>1</v>
      </c>
      <c r="J1030" s="12" t="s">
        <v>355</v>
      </c>
      <c r="K1030" s="30" t="s">
        <v>6983</v>
      </c>
      <c r="L1030" s="12" t="s">
        <v>35</v>
      </c>
      <c r="M1030" s="13" t="e">
        <v>#N/A</v>
      </c>
      <c r="N1030" s="14" t="e">
        <v>#N/A</v>
      </c>
      <c r="O1030" s="14" t="e">
        <v>#N/A</v>
      </c>
      <c r="P1030" s="14" t="e">
        <v>#N/A</v>
      </c>
      <c r="Q1030" s="14" t="e">
        <v>#N/A</v>
      </c>
      <c r="R1030" s="15" t="s">
        <v>36</v>
      </c>
      <c r="S1030" s="15" t="s">
        <v>37</v>
      </c>
      <c r="T1030" s="16" t="s">
        <v>38</v>
      </c>
      <c r="U1030" s="11" t="str">
        <f>_xlfn.XLOOKUP(Customer[[#This Row],[Customer ID]],[1]!Address[ID],[1]!Address[Phone No.(2)])</f>
        <v/>
      </c>
      <c r="V1030" s="11" t="str">
        <f>_xlfn.XLOOKUP(Customer[[#This Row],[Customer ID]],[1]!Address[ID],[1]!Address[Type])</f>
        <v>PETROMART</v>
      </c>
      <c r="W1030" s="11" t="str">
        <f>_xlfn.XLOOKUP(Customer[[#This Row],[Customer ID]],[1]!Address[ID],[1]!Address[CT])</f>
        <v>30 DAYS</v>
      </c>
      <c r="X1030" s="11" t="s">
        <v>39</v>
      </c>
      <c r="Y1030" s="17" t="s">
        <v>40</v>
      </c>
      <c r="Z1030" s="17" t="e">
        <f>_xlfn.XLOOKUP(Customer[[#This Row],[NewType]],$AF$36:$AF$54,$AG$36:$AG$54)</f>
        <v>#N/A</v>
      </c>
      <c r="AA1030" s="17" t="s">
        <v>6984</v>
      </c>
      <c r="AB1030" s="11" t="str">
        <f>_xlfn.XLOOKUP(Customer[[#This Row],[Customer ID]],[1]!Address[ID],[1]!Address[Subtype])</f>
        <v>XPRESS POINT</v>
      </c>
      <c r="AC1030" s="18" t="str">
        <f>_xlfn.XLOOKUP(Customer[[#This Row],[Customer ID]],[1]!Address[ID],[1]!Address[Zone])</f>
        <v>NORTH</v>
      </c>
      <c r="AD1030" t="s">
        <v>6985</v>
      </c>
    </row>
    <row r="1031" spans="1:30" x14ac:dyDescent="0.3">
      <c r="A1031" s="37" t="s">
        <v>6986</v>
      </c>
      <c r="B1031" s="38" t="str">
        <f>_xlfn.XLOOKUP(Customer[[#This Row],[Customer ID]],[1]!Name[ID],[1]!Name[Description(1)])</f>
        <v>OTHOMATS HOLDING (M) SDN BHD</v>
      </c>
      <c r="C1031" s="38" t="str">
        <f>_xlfn.XLOOKUP(Customer[[#This Row],[Customer ID]],[1]!Name[ID],[1]!Name[Description(2)])</f>
        <v>CALTEX PANJI</v>
      </c>
      <c r="D1031" s="38" t="str">
        <f>_xlfn.XLOOKUP(Customer[[#This Row],[Customer ID]],[1]!Address[ID],[1]!Address[PIC])</f>
        <v>ZURA</v>
      </c>
      <c r="E1031" s="38" t="str">
        <f>_xlfn.XLOOKUP(Customer[[#This Row],[Customer ID]],[1]!Address[ID],[1]!Address[Full Address])</f>
        <v>CALTEX PANJIPT 2191, JALAN HOSPITAL, MUKIM PAUH,DAERAH PANJI, 16100 KOTA BAHRUKELANTAN</v>
      </c>
      <c r="F1031" s="41" t="s">
        <v>6987</v>
      </c>
      <c r="G1031" s="12" t="s">
        <v>6988</v>
      </c>
      <c r="H1031" s="12" t="s">
        <v>6989</v>
      </c>
      <c r="I1031" s="12" t="b">
        <f>ISNUMBER(VALUE(LEFT(Customer[[#This Row],[Address Line 3 (30 char)]],1)))</f>
        <v>0</v>
      </c>
      <c r="J1031" s="12" t="s">
        <v>1007</v>
      </c>
      <c r="K1031" s="12">
        <v>16100</v>
      </c>
      <c r="L1031" s="12" t="s">
        <v>35</v>
      </c>
      <c r="M1031" s="13">
        <v>200501014903</v>
      </c>
      <c r="N1031" s="14" t="s">
        <v>6990</v>
      </c>
      <c r="O1031" s="14" t="e">
        <v>#N/A</v>
      </c>
      <c r="P1031" s="14" t="e">
        <v>#N/A</v>
      </c>
      <c r="Q1031" s="14" t="e">
        <v>#N/A</v>
      </c>
      <c r="R1031" s="15" t="s">
        <v>36</v>
      </c>
      <c r="S1031" s="15" t="s">
        <v>37</v>
      </c>
      <c r="T1031" s="16" t="s">
        <v>38</v>
      </c>
      <c r="U1031" s="11" t="str">
        <f>_xlfn.XLOOKUP(Customer[[#This Row],[Customer ID]],[1]!Address[ID],[1]!Address[Phone No.(2)])</f>
        <v/>
      </c>
      <c r="V1031" s="11" t="str">
        <f>_xlfn.XLOOKUP(Customer[[#This Row],[Customer ID]],[1]!Address[ID],[1]!Address[Type])</f>
        <v>PETROMART</v>
      </c>
      <c r="W1031" s="11" t="str">
        <f>_xlfn.XLOOKUP(Customer[[#This Row],[Customer ID]],[1]!Address[ID],[1]!Address[CT])</f>
        <v>30 DAYS</v>
      </c>
      <c r="X1031" s="11" t="s">
        <v>39</v>
      </c>
      <c r="Y1031" s="17" t="s">
        <v>40</v>
      </c>
      <c r="Z1031" s="17" t="e">
        <f>_xlfn.XLOOKUP(Customer[[#This Row],[NewType]],$AF$36:$AF$54,$AG$36:$AG$54)</f>
        <v>#N/A</v>
      </c>
      <c r="AA1031" s="17" t="s">
        <v>6991</v>
      </c>
      <c r="AB1031" s="11" t="str">
        <f>_xlfn.XLOOKUP(Customer[[#This Row],[Customer ID]],[1]!Address[ID],[1]!Address[Subtype])</f>
        <v>XPRESS POINT</v>
      </c>
      <c r="AC1031" s="18" t="str">
        <f>_xlfn.XLOOKUP(Customer[[#This Row],[Customer ID]],[1]!Address[ID],[1]!Address[Zone])</f>
        <v>EAST COAST</v>
      </c>
    </row>
    <row r="1032" spans="1:30" x14ac:dyDescent="0.3">
      <c r="A1032" s="37" t="s">
        <v>6992</v>
      </c>
      <c r="B1032" s="38" t="str">
        <f>_xlfn.XLOOKUP(Customer[[#This Row],[Customer ID]],[1]!Name[ID],[1]!Name[Description(1)])</f>
        <v>BUMI EMAS STATION (M) SDN BHD</v>
      </c>
      <c r="C1032" s="38" t="str">
        <f>_xlfn.XLOOKUP(Customer[[#This Row],[Customer ID]],[1]!Name[ID],[1]!Name[Description(2)])</f>
        <v>CALTEX JALAN MASJID LAMA</v>
      </c>
      <c r="D1032" s="38" t="str">
        <f>_xlfn.XLOOKUP(Customer[[#This Row],[Customer ID]],[1]!Address[ID],[1]!Address[PIC])</f>
        <v/>
      </c>
      <c r="E1032" s="38" t="str">
        <f>_xlfn.XLOOKUP(Customer[[#This Row],[Customer ID]],[1]!Address[ID],[1]!Address[Full Address])</f>
        <v>CALTEX JALAN MASJID LAMALOT 660, JALAN MASJID LAMA17000 PASIR MAS, KELANTAN</v>
      </c>
      <c r="F1032" s="12" t="s">
        <v>6993</v>
      </c>
      <c r="G1032" s="12" t="s">
        <v>6994</v>
      </c>
      <c r="H1032" s="24" t="s">
        <v>2684</v>
      </c>
      <c r="I1032" s="24" t="b">
        <f>ISNUMBER(VALUE(LEFT(Customer[[#This Row],[Address Line 3 (30 char)]],1)))</f>
        <v>0</v>
      </c>
      <c r="J1032" s="12" t="s">
        <v>1007</v>
      </c>
      <c r="K1032" s="12">
        <v>17000</v>
      </c>
      <c r="L1032" s="12" t="s">
        <v>35</v>
      </c>
      <c r="M1032" s="13">
        <v>201201012312</v>
      </c>
      <c r="N1032" s="14" t="s">
        <v>6995</v>
      </c>
      <c r="O1032" s="14" t="e">
        <v>#N/A</v>
      </c>
      <c r="P1032" s="14" t="e">
        <v>#N/A</v>
      </c>
      <c r="Q1032" s="14" t="e">
        <v>#N/A</v>
      </c>
      <c r="R1032" s="15" t="s">
        <v>36</v>
      </c>
      <c r="S1032" s="15" t="s">
        <v>37</v>
      </c>
      <c r="T1032" s="16" t="s">
        <v>38</v>
      </c>
      <c r="U1032" s="11" t="str">
        <f>_xlfn.XLOOKUP(Customer[[#This Row],[Customer ID]],[1]!Address[ID],[1]!Address[Phone No.(2)])</f>
        <v/>
      </c>
      <c r="V1032" s="11" t="str">
        <f>_xlfn.XLOOKUP(Customer[[#This Row],[Customer ID]],[1]!Address[ID],[1]!Address[Type])</f>
        <v>PETROMART</v>
      </c>
      <c r="W1032" s="11" t="str">
        <f>_xlfn.XLOOKUP(Customer[[#This Row],[Customer ID]],[1]!Address[ID],[1]!Address[CT])</f>
        <v>30 DAYS</v>
      </c>
      <c r="X1032" s="11" t="s">
        <v>39</v>
      </c>
      <c r="Y1032" s="17" t="s">
        <v>40</v>
      </c>
      <c r="Z1032" s="17" t="e">
        <f>_xlfn.XLOOKUP(Customer[[#This Row],[NewType]],$AF$36:$AF$54,$AG$36:$AG$54)</f>
        <v>#N/A</v>
      </c>
      <c r="AA1032" s="17" t="s">
        <v>6996</v>
      </c>
      <c r="AB1032" s="11" t="str">
        <f>_xlfn.XLOOKUP(Customer[[#This Row],[Customer ID]],[1]!Address[ID],[1]!Address[Subtype])</f>
        <v>XPRESS POINT</v>
      </c>
      <c r="AC1032" s="18" t="str">
        <f>_xlfn.XLOOKUP(Customer[[#This Row],[Customer ID]],[1]!Address[ID],[1]!Address[Zone])</f>
        <v>EAST COAST</v>
      </c>
    </row>
    <row r="1033" spans="1:30" x14ac:dyDescent="0.3">
      <c r="A1033" s="37" t="s">
        <v>6997</v>
      </c>
      <c r="B1033" s="38" t="str">
        <f>_xlfn.XLOOKUP(Customer[[#This Row],[Customer ID]],[1]!Name[ID],[1]!Name[Description(1)])</f>
        <v>OTHOMATS HOLDING (M) SDN BHD</v>
      </c>
      <c r="C1033" s="38" t="str">
        <f>_xlfn.XLOOKUP(Customer[[#This Row],[Customer ID]],[1]!Name[ID],[1]!Name[Description(2)])</f>
        <v>CALTEX OTHOMATS PANCHOR</v>
      </c>
      <c r="D1033" s="38" t="str">
        <f>_xlfn.XLOOKUP(Customer[[#This Row],[Customer ID]],[1]!Address[ID],[1]!Address[PIC])</f>
        <v/>
      </c>
      <c r="E1033" s="38" t="str">
        <f>_xlfn.XLOOKUP(Customer[[#This Row],[Customer ID]],[1]!Address[ID],[1]!Address[Full Address])</f>
        <v>CALTEX OTHOMATS PANCHORLOT 4965, MK PANCHOR,DAERAH KEMUMIN, JALAN PADANG TEMBAK,16100 KOTA BHARU</v>
      </c>
      <c r="F1033" s="12" t="s">
        <v>6998</v>
      </c>
      <c r="G1033" s="41" t="s">
        <v>6999</v>
      </c>
      <c r="H1033" s="12" t="s">
        <v>7000</v>
      </c>
      <c r="I1033" s="12" t="b">
        <f>ISNUMBER(VALUE(LEFT(Customer[[#This Row],[Address Line 3 (30 char)]],1)))</f>
        <v>0</v>
      </c>
      <c r="J1033" s="12" t="s">
        <v>1007</v>
      </c>
      <c r="K1033" s="12">
        <v>16100</v>
      </c>
      <c r="L1033" s="12" t="s">
        <v>35</v>
      </c>
      <c r="M1033" s="13" t="e">
        <v>#N/A</v>
      </c>
      <c r="N1033" s="14" t="e">
        <v>#N/A</v>
      </c>
      <c r="O1033" s="14" t="e">
        <v>#N/A</v>
      </c>
      <c r="P1033" s="14" t="e">
        <v>#N/A</v>
      </c>
      <c r="Q1033" s="14" t="e">
        <v>#N/A</v>
      </c>
      <c r="R1033" s="15" t="s">
        <v>36</v>
      </c>
      <c r="S1033" s="15" t="s">
        <v>37</v>
      </c>
      <c r="T1033" s="16" t="s">
        <v>38</v>
      </c>
      <c r="U1033" s="11" t="str">
        <f>_xlfn.XLOOKUP(Customer[[#This Row],[Customer ID]],[1]!Address[ID],[1]!Address[Phone No.(2)])</f>
        <v/>
      </c>
      <c r="V1033" s="11" t="str">
        <f>_xlfn.XLOOKUP(Customer[[#This Row],[Customer ID]],[1]!Address[ID],[1]!Address[Type])</f>
        <v>PETROMART</v>
      </c>
      <c r="W1033" s="11" t="str">
        <f>_xlfn.XLOOKUP(Customer[[#This Row],[Customer ID]],[1]!Address[ID],[1]!Address[CT])</f>
        <v>30 DAYS</v>
      </c>
      <c r="X1033" s="11" t="s">
        <v>39</v>
      </c>
      <c r="Y1033" s="17" t="s">
        <v>40</v>
      </c>
      <c r="Z1033" s="17" t="e">
        <f>_xlfn.XLOOKUP(Customer[[#This Row],[NewType]],$AF$36:$AF$54,$AG$36:$AG$54)</f>
        <v>#N/A</v>
      </c>
      <c r="AA1033" s="17" t="s">
        <v>7001</v>
      </c>
      <c r="AB1033" s="11" t="str">
        <f>_xlfn.XLOOKUP(Customer[[#This Row],[Customer ID]],[1]!Address[ID],[1]!Address[Subtype])</f>
        <v>XPRESS POINT</v>
      </c>
      <c r="AC1033" s="18" t="str">
        <f>_xlfn.XLOOKUP(Customer[[#This Row],[Customer ID]],[1]!Address[ID],[1]!Address[Zone])</f>
        <v>EAST COAST</v>
      </c>
    </row>
    <row r="1034" spans="1:30" x14ac:dyDescent="0.3">
      <c r="A1034" s="37" t="s">
        <v>7002</v>
      </c>
      <c r="B1034" s="38" t="str">
        <f>_xlfn.XLOOKUP(Customer[[#This Row],[Customer ID]],[1]!Name[ID],[1]!Name[Description(1)])</f>
        <v>OTHOMATS FILLING SERVIS STATION</v>
      </c>
      <c r="C1034" s="38" t="str">
        <f>_xlfn.XLOOKUP(Customer[[#This Row],[Customer ID]],[1]!Name[ID],[1]!Name[Description(2)])</f>
        <v>CALTEX KENALI</v>
      </c>
      <c r="D1034" s="38" t="str">
        <f>_xlfn.XLOOKUP(Customer[[#This Row],[Customer ID]],[1]!Address[ID],[1]!Address[PIC])</f>
        <v/>
      </c>
      <c r="E1034" s="38" t="str">
        <f>_xlfn.XLOOKUP(Customer[[#This Row],[Customer ID]],[1]!Address[ID],[1]!Address[Full Address])</f>
        <v>CALTEX KENALIS/54 LOT 1541 MUKIM KENALIJALAN WAKAF STAN16150 KOTA BAHRU KELANTAN</v>
      </c>
      <c r="F1034" s="12" t="s">
        <v>7003</v>
      </c>
      <c r="G1034" s="12" t="s">
        <v>7004</v>
      </c>
      <c r="H1034" s="12" t="s">
        <v>7005</v>
      </c>
      <c r="I1034" s="12" t="b">
        <f>ISNUMBER(VALUE(LEFT(Customer[[#This Row],[Address Line 3 (30 char)]],1)))</f>
        <v>0</v>
      </c>
      <c r="J1034" s="12" t="s">
        <v>1007</v>
      </c>
      <c r="K1034" s="12">
        <v>16150</v>
      </c>
      <c r="L1034" s="12" t="s">
        <v>35</v>
      </c>
      <c r="M1034" s="13">
        <v>201903085428</v>
      </c>
      <c r="N1034" s="14" t="s">
        <v>7006</v>
      </c>
      <c r="O1034" s="14" t="s">
        <v>54</v>
      </c>
      <c r="P1034" s="14">
        <v>46611</v>
      </c>
      <c r="Q1034" s="14" t="s">
        <v>7007</v>
      </c>
      <c r="R1034" s="15" t="s">
        <v>36</v>
      </c>
      <c r="S1034" s="15" t="s">
        <v>37</v>
      </c>
      <c r="T1034" s="16" t="s">
        <v>38</v>
      </c>
      <c r="U1034" s="11" t="str">
        <f>_xlfn.XLOOKUP(Customer[[#This Row],[Customer ID]],[1]!Address[ID],[1]!Address[Phone No.(2)])</f>
        <v/>
      </c>
      <c r="V1034" s="11" t="str">
        <f>_xlfn.XLOOKUP(Customer[[#This Row],[Customer ID]],[1]!Address[ID],[1]!Address[Type])</f>
        <v>PETROMART</v>
      </c>
      <c r="W1034" s="11" t="str">
        <f>_xlfn.XLOOKUP(Customer[[#This Row],[Customer ID]],[1]!Address[ID],[1]!Address[CT])</f>
        <v>30 DAYS</v>
      </c>
      <c r="X1034" s="11" t="s">
        <v>39</v>
      </c>
      <c r="Y1034" s="17" t="s">
        <v>40</v>
      </c>
      <c r="Z1034" s="17" t="e">
        <f>_xlfn.XLOOKUP(Customer[[#This Row],[NewType]],$AF$36:$AF$54,$AG$36:$AG$54)</f>
        <v>#N/A</v>
      </c>
      <c r="AA1034" s="17" t="s">
        <v>7008</v>
      </c>
      <c r="AB1034" s="11" t="str">
        <f>_xlfn.XLOOKUP(Customer[[#This Row],[Customer ID]],[1]!Address[ID],[1]!Address[Subtype])</f>
        <v>XPRESS POINT</v>
      </c>
      <c r="AC1034" s="18" t="str">
        <f>_xlfn.XLOOKUP(Customer[[#This Row],[Customer ID]],[1]!Address[ID],[1]!Address[Zone])</f>
        <v>EAST COAST</v>
      </c>
    </row>
    <row r="1035" spans="1:30" x14ac:dyDescent="0.3">
      <c r="A1035" s="37" t="s">
        <v>7009</v>
      </c>
      <c r="B1035" s="38" t="str">
        <f>_xlfn.XLOOKUP(Customer[[#This Row],[Customer ID]],[1]!Name[ID],[1]!Name[Description(1)])</f>
        <v>IZZAT ENERGY RESOURCES</v>
      </c>
      <c r="C1035" s="38" t="str">
        <f>_xlfn.XLOOKUP(Customer[[#This Row],[Customer ID]],[1]!Name[ID],[1]!Name[Description(2)])</f>
        <v>CALTEX SERI DAMANSARA</v>
      </c>
      <c r="D1035" s="38" t="str">
        <f>_xlfn.XLOOKUP(Customer[[#This Row],[Customer ID]],[1]!Address[ID],[1]!Address[PIC])</f>
        <v/>
      </c>
      <c r="E1035" s="38" t="str">
        <f>_xlfn.XLOOKUP(Customer[[#This Row],[Customer ID]],[1]!Address[ID],[1]!Address[Full Address])</f>
        <v>CALTEX SERI DAMANSARAKM O.5 HENTIAN SEBELAHPENCHALA LEBUHRAYA   DAMANSARA-PUCHONGBANDAR SRI DAMANSARA. 52200 KUALA LUMPUR</v>
      </c>
      <c r="F1035" s="12" t="s">
        <v>7010</v>
      </c>
      <c r="G1035" s="41" t="s">
        <v>7011</v>
      </c>
      <c r="H1035" s="12" t="s">
        <v>7012</v>
      </c>
      <c r="I1035" s="12" t="b">
        <f>ISNUMBER(VALUE(LEFT(Customer[[#This Row],[Address Line 3 (30 char)]],1)))</f>
        <v>0</v>
      </c>
      <c r="J1035" s="12" t="s">
        <v>34</v>
      </c>
      <c r="K1035" s="12">
        <v>52200</v>
      </c>
      <c r="L1035" s="12" t="s">
        <v>35</v>
      </c>
      <c r="M1035" s="13" t="e">
        <v>#N/A</v>
      </c>
      <c r="N1035" s="14" t="e">
        <v>#N/A</v>
      </c>
      <c r="O1035" s="14" t="e">
        <v>#N/A</v>
      </c>
      <c r="P1035" s="14" t="e">
        <v>#N/A</v>
      </c>
      <c r="Q1035" s="14" t="e">
        <v>#N/A</v>
      </c>
      <c r="R1035" s="15" t="s">
        <v>7013</v>
      </c>
      <c r="S1035" s="15" t="s">
        <v>37</v>
      </c>
      <c r="T1035" s="16" t="s">
        <v>38</v>
      </c>
      <c r="U1035" s="11" t="str">
        <f>_xlfn.XLOOKUP(Customer[[#This Row],[Customer ID]],[1]!Address[ID],[1]!Address[Phone No.(2)])</f>
        <v/>
      </c>
      <c r="V1035" s="11" t="str">
        <f>_xlfn.XLOOKUP(Customer[[#This Row],[Customer ID]],[1]!Address[ID],[1]!Address[Type])</f>
        <v>PETROMART</v>
      </c>
      <c r="W1035" s="11" t="str">
        <f>_xlfn.XLOOKUP(Customer[[#This Row],[Customer ID]],[1]!Address[ID],[1]!Address[CT])</f>
        <v>30 DAYS</v>
      </c>
      <c r="X1035" s="11" t="s">
        <v>39</v>
      </c>
      <c r="Y1035" s="17" t="s">
        <v>40</v>
      </c>
      <c r="Z1035" s="17" t="e">
        <f>_xlfn.XLOOKUP(Customer[[#This Row],[NewType]],$AF$36:$AF$54,$AG$36:$AG$54)</f>
        <v>#N/A</v>
      </c>
      <c r="AA1035" s="17" t="s">
        <v>7014</v>
      </c>
      <c r="AB1035" s="11" t="str">
        <f>_xlfn.XLOOKUP(Customer[[#This Row],[Customer ID]],[1]!Address[ID],[1]!Address[Subtype])</f>
        <v>XPRESS POINT</v>
      </c>
      <c r="AC1035" s="18" t="str">
        <f>_xlfn.XLOOKUP(Customer[[#This Row],[Customer ID]],[1]!Address[ID],[1]!Address[Zone])</f>
        <v>CENTRAL</v>
      </c>
    </row>
    <row r="1036" spans="1:30" x14ac:dyDescent="0.3">
      <c r="A1036" s="37" t="s">
        <v>7015</v>
      </c>
      <c r="B1036" s="38" t="str">
        <f>_xlfn.XLOOKUP(Customer[[#This Row],[Customer ID]],[1]!Name[ID],[1]!Name[Description(1)])</f>
        <v>FARMASI HANIZ</v>
      </c>
      <c r="C1036" s="38" t="str">
        <f>_xlfn.XLOOKUP(Customer[[#This Row],[Customer ID]],[1]!Name[ID],[1]!Name[Description(2)])</f>
        <v>HAIZ RESOURCES</v>
      </c>
      <c r="D1036" s="38" t="str">
        <f>_xlfn.XLOOKUP(Customer[[#This Row],[Customer ID]],[1]!Address[ID],[1]!Address[PIC])</f>
        <v/>
      </c>
      <c r="E1036" s="38" t="str">
        <f>_xlfn.XLOOKUP(Customer[[#This Row],[Customer ID]],[1]!Address[ID],[1]!Address[Full Address])</f>
        <v>NO 33, JALAN PPBR 3/4,PUSAT PERNIAGAAN BUKIT RESIDEN,27200 KUALA LIPIS,PAHANG</v>
      </c>
      <c r="F1036" s="12" t="s">
        <v>7016</v>
      </c>
      <c r="G1036" s="12" t="s">
        <v>7017</v>
      </c>
      <c r="H1036" s="24" t="s">
        <v>7018</v>
      </c>
      <c r="I1036" s="24" t="b">
        <f>ISNUMBER(VALUE(LEFT(Customer[[#This Row],[Address Line 3 (30 char)]],1)))</f>
        <v>0</v>
      </c>
      <c r="J1036" s="12" t="s">
        <v>339</v>
      </c>
      <c r="K1036" s="12">
        <v>27200</v>
      </c>
      <c r="L1036" s="12" t="s">
        <v>35</v>
      </c>
      <c r="M1036" s="13" t="e">
        <v>#N/A</v>
      </c>
      <c r="N1036" s="14" t="e">
        <v>#N/A</v>
      </c>
      <c r="O1036" s="14" t="e">
        <v>#N/A</v>
      </c>
      <c r="P1036" s="14" t="e">
        <v>#N/A</v>
      </c>
      <c r="Q1036" s="14" t="e">
        <v>#N/A</v>
      </c>
      <c r="R1036" s="15" t="s">
        <v>7019</v>
      </c>
      <c r="S1036" s="15" t="s">
        <v>88</v>
      </c>
      <c r="T1036" s="16" t="s">
        <v>89</v>
      </c>
      <c r="U1036" s="11" t="str">
        <f>_xlfn.XLOOKUP(Customer[[#This Row],[Customer ID]],[1]!Address[ID],[1]!Address[Phone No.(2)])</f>
        <v/>
      </c>
      <c r="V1036" s="11" t="str">
        <f>_xlfn.XLOOKUP(Customer[[#This Row],[Customer ID]],[1]!Address[ID],[1]!Address[Type])</f>
        <v>SOCMED</v>
      </c>
      <c r="W1036" s="11" t="str">
        <f>_xlfn.XLOOKUP(Customer[[#This Row],[Customer ID]],[1]!Address[ID],[1]!Address[CT])</f>
        <v/>
      </c>
      <c r="X1036" s="11"/>
      <c r="Y1036" s="17" t="s">
        <v>90</v>
      </c>
      <c r="Z1036" s="17" t="e">
        <f>_xlfn.XLOOKUP(Customer[[#This Row],[NewType]],$AF$36:$AF$54,$AG$36:$AG$54)</f>
        <v>#N/A</v>
      </c>
      <c r="AA1036" s="17" t="s">
        <v>7020</v>
      </c>
      <c r="AB1036" s="11" t="str">
        <f>_xlfn.XLOOKUP(Customer[[#This Row],[Customer ID]],[1]!Address[ID],[1]!Address[Subtype])</f>
        <v>ONLINE ROS</v>
      </c>
      <c r="AC1036" s="18" t="str">
        <f>_xlfn.XLOOKUP(Customer[[#This Row],[Customer ID]],[1]!Address[ID],[1]!Address[Zone])</f>
        <v>AUEDH</v>
      </c>
    </row>
    <row r="1037" spans="1:30" x14ac:dyDescent="0.3">
      <c r="A1037" s="45" t="s">
        <v>7021</v>
      </c>
      <c r="B1037" s="32" t="str">
        <f>_xlfn.XLOOKUP(Customer[[#This Row],[Customer ID]],[1]!Name[ID],[1]!Name[Description(1)])</f>
        <v>NURUL HUMAIRAH HANAFI</v>
      </c>
      <c r="C1037" s="32" t="str">
        <f>_xlfn.XLOOKUP(Customer[[#This Row],[Customer ID]],[1]!Name[ID],[1]!Name[Description(2)])</f>
        <v/>
      </c>
      <c r="D1037" s="38" t="str">
        <f>_xlfn.XLOOKUP(Customer[[#This Row],[Customer ID]],[1]!Address[ID],[1]!Address[PIC])</f>
        <v/>
      </c>
      <c r="E1037" s="38" t="str">
        <f>_xlfn.XLOOKUP(Customer[[#This Row],[Customer ID]],[1]!Address[ID],[1]!Address[Full Address])</f>
        <v>KG SEGA</v>
      </c>
      <c r="F1037" s="12" t="s">
        <v>7022</v>
      </c>
      <c r="G1037" s="12" t="s">
        <v>36</v>
      </c>
      <c r="H1037" s="12" t="s">
        <v>36</v>
      </c>
      <c r="I1037" s="12" t="b">
        <f>ISNUMBER(VALUE(LEFT(Customer[[#This Row],[Address Line 3 (30 char)]],1)))</f>
        <v>0</v>
      </c>
      <c r="J1037" s="32"/>
      <c r="K1037" s="32"/>
      <c r="L1037" s="12" t="s">
        <v>35</v>
      </c>
      <c r="M1037" s="13" t="e">
        <v>#N/A</v>
      </c>
      <c r="N1037" s="14" t="e">
        <v>#N/A</v>
      </c>
      <c r="O1037" s="14" t="e">
        <v>#N/A</v>
      </c>
      <c r="P1037" s="14" t="e">
        <v>#N/A</v>
      </c>
      <c r="Q1037" s="14" t="e">
        <v>#N/A</v>
      </c>
      <c r="R1037" s="15" t="s">
        <v>7023</v>
      </c>
      <c r="S1037" s="16" t="s">
        <v>6283</v>
      </c>
      <c r="T1037" s="16"/>
      <c r="U1037" s="11" t="str">
        <f>_xlfn.XLOOKUP(Customer[[#This Row],[Customer ID]],[1]!Address[ID],[1]!Address[Phone No.(2)])</f>
        <v/>
      </c>
      <c r="V1037" s="11" t="str">
        <f>_xlfn.XLOOKUP(Customer[[#This Row],[Customer ID]],[1]!Address[ID],[1]!Address[Type])</f>
        <v>WALK IN</v>
      </c>
      <c r="W1037" s="11" t="str">
        <f>_xlfn.XLOOKUP(Customer[[#This Row],[Customer ID]],[1]!Address[ID],[1]!Address[CT])</f>
        <v/>
      </c>
      <c r="X1037" s="11"/>
      <c r="Y1037" s="17" t="s">
        <v>6284</v>
      </c>
      <c r="Z1037" s="17" t="e">
        <f>_xlfn.XLOOKUP(Customer[[#This Row],[NewType]],$AF$36:$AF$54,$AG$36:$AG$54)</f>
        <v>#N/A</v>
      </c>
      <c r="AA1037" s="17" t="s">
        <v>7024</v>
      </c>
      <c r="AB1037" s="11" t="str">
        <f>_xlfn.XLOOKUP(Customer[[#This Row],[Customer ID]],[1]!Address[ID],[1]!Address[Subtype])</f>
        <v>RANTAU</v>
      </c>
      <c r="AC1037" s="18" t="str">
        <f>_xlfn.XLOOKUP(Customer[[#This Row],[Customer ID]],[1]!Address[ID],[1]!Address[Zone])</f>
        <v>U H</v>
      </c>
    </row>
    <row r="1038" spans="1:30" x14ac:dyDescent="0.3">
      <c r="A1038" s="37" t="s">
        <v>7025</v>
      </c>
      <c r="B1038" s="38" t="str">
        <f>_xlfn.XLOOKUP(Customer[[#This Row],[Customer ID]],[1]!Name[ID],[1]!Name[Description(1)])</f>
        <v>HANEEZ TRADING</v>
      </c>
      <c r="C1038" s="38" t="str">
        <f>_xlfn.XLOOKUP(Customer[[#This Row],[Customer ID]],[1]!Name[ID],[1]!Name[Description(2)])</f>
        <v>CALTEX GUCHIL</v>
      </c>
      <c r="D1038" s="38" t="str">
        <f>_xlfn.XLOOKUP(Customer[[#This Row],[Customer ID]],[1]!Address[ID],[1]!Address[PIC])</f>
        <v>Arina Abdullah</v>
      </c>
      <c r="E1038" s="38" t="str">
        <f>_xlfn.XLOOKUP(Customer[[#This Row],[Customer ID]],[1]!Address[ID],[1]!Address[Full Address])</f>
        <v>CALTEX GUCHILLOT 255 JALAN BESAR, GUCHIL18020, KUALA KRAI, KELANTAN</v>
      </c>
      <c r="F1038" s="12" t="s">
        <v>7026</v>
      </c>
      <c r="G1038" s="12" t="s">
        <v>7027</v>
      </c>
      <c r="H1038" s="24" t="s">
        <v>7028</v>
      </c>
      <c r="I1038" s="24" t="b">
        <f>ISNUMBER(VALUE(LEFT(Customer[[#This Row],[Address Line 3 (30 char)]],1)))</f>
        <v>0</v>
      </c>
      <c r="J1038" s="12" t="s">
        <v>1007</v>
      </c>
      <c r="K1038" s="12">
        <v>18020</v>
      </c>
      <c r="L1038" s="12" t="s">
        <v>35</v>
      </c>
      <c r="M1038" s="13">
        <v>201503112324</v>
      </c>
      <c r="N1038" s="14" t="s">
        <v>7029</v>
      </c>
      <c r="O1038" s="14" t="e">
        <v>#N/A</v>
      </c>
      <c r="P1038" s="14" t="e">
        <v>#N/A</v>
      </c>
      <c r="Q1038" s="14" t="e">
        <v>#N/A</v>
      </c>
      <c r="R1038" s="15" t="s">
        <v>7030</v>
      </c>
      <c r="S1038" s="15" t="s">
        <v>37</v>
      </c>
      <c r="T1038" s="16" t="s">
        <v>38</v>
      </c>
      <c r="U1038" s="11" t="str">
        <f>_xlfn.XLOOKUP(Customer[[#This Row],[Customer ID]],[1]!Address[ID],[1]!Address[Phone No.(2)])</f>
        <v/>
      </c>
      <c r="V1038" s="11" t="str">
        <f>_xlfn.XLOOKUP(Customer[[#This Row],[Customer ID]],[1]!Address[ID],[1]!Address[Type])</f>
        <v>PETROMART</v>
      </c>
      <c r="W1038" s="11" t="str">
        <f>_xlfn.XLOOKUP(Customer[[#This Row],[Customer ID]],[1]!Address[ID],[1]!Address[CT])</f>
        <v>30 DAYS</v>
      </c>
      <c r="X1038" s="11" t="s">
        <v>39</v>
      </c>
      <c r="Y1038" s="17" t="s">
        <v>40</v>
      </c>
      <c r="Z1038" s="17" t="e">
        <f>_xlfn.XLOOKUP(Customer[[#This Row],[NewType]],$AF$36:$AF$54,$AG$36:$AG$54)</f>
        <v>#N/A</v>
      </c>
      <c r="AA1038" s="17" t="s">
        <v>7031</v>
      </c>
      <c r="AB1038" s="11" t="str">
        <f>_xlfn.XLOOKUP(Customer[[#This Row],[Customer ID]],[1]!Address[ID],[1]!Address[Subtype])</f>
        <v>XPRESS POINT</v>
      </c>
      <c r="AC1038" s="18" t="str">
        <f>_xlfn.XLOOKUP(Customer[[#This Row],[Customer ID]],[1]!Address[ID],[1]!Address[Zone])</f>
        <v>EAST COAST</v>
      </c>
    </row>
    <row r="1039" spans="1:30" x14ac:dyDescent="0.3">
      <c r="A1039" s="37" t="s">
        <v>7032</v>
      </c>
      <c r="B1039" s="38" t="str">
        <f>_xlfn.XLOOKUP(Customer[[#This Row],[Customer ID]],[1]!Name[ID],[1]!Name[Description(1)])</f>
        <v>ADRI EMAS SDN BHD</v>
      </c>
      <c r="C1039" s="38" t="str">
        <f>_xlfn.XLOOKUP(Customer[[#This Row],[Customer ID]],[1]!Name[ID],[1]!Name[Description(2)])</f>
        <v>CALTEX TENDONG</v>
      </c>
      <c r="D1039" s="38" t="str">
        <f>_xlfn.XLOOKUP(Customer[[#This Row],[Customer ID]],[1]!Address[ID],[1]!Address[PIC])</f>
        <v/>
      </c>
      <c r="E1039" s="38" t="str">
        <f>_xlfn.XLOOKUP(Customer[[#This Row],[Customer ID]],[1]!Address[ID],[1]!Address[Full Address])</f>
        <v>CALTEX TENDONGLOT 693&amp; 1439, TENDONG17030 PASIR MAS, KELANTAN</v>
      </c>
      <c r="F1039" s="12" t="s">
        <v>7033</v>
      </c>
      <c r="G1039" s="12" t="s">
        <v>7034</v>
      </c>
      <c r="H1039" s="24" t="s">
        <v>2684</v>
      </c>
      <c r="I1039" s="24" t="b">
        <f>ISNUMBER(VALUE(LEFT(Customer[[#This Row],[Address Line 3 (30 char)]],1)))</f>
        <v>0</v>
      </c>
      <c r="J1039" s="12" t="s">
        <v>1007</v>
      </c>
      <c r="K1039" s="12">
        <v>17030</v>
      </c>
      <c r="L1039" s="12" t="s">
        <v>35</v>
      </c>
      <c r="M1039" s="13" t="e">
        <v>#N/A</v>
      </c>
      <c r="N1039" s="14" t="e">
        <v>#N/A</v>
      </c>
      <c r="O1039" s="14" t="e">
        <v>#N/A</v>
      </c>
      <c r="P1039" s="14" t="e">
        <v>#N/A</v>
      </c>
      <c r="Q1039" s="14" t="e">
        <v>#N/A</v>
      </c>
      <c r="R1039" s="15" t="s">
        <v>36</v>
      </c>
      <c r="S1039" s="15" t="s">
        <v>37</v>
      </c>
      <c r="T1039" s="16" t="s">
        <v>38</v>
      </c>
      <c r="U1039" s="11" t="str">
        <f>_xlfn.XLOOKUP(Customer[[#This Row],[Customer ID]],[1]!Address[ID],[1]!Address[Phone No.(2)])</f>
        <v/>
      </c>
      <c r="V1039" s="11" t="str">
        <f>_xlfn.XLOOKUP(Customer[[#This Row],[Customer ID]],[1]!Address[ID],[1]!Address[Type])</f>
        <v>PETROMART</v>
      </c>
      <c r="W1039" s="11" t="str">
        <f>_xlfn.XLOOKUP(Customer[[#This Row],[Customer ID]],[1]!Address[ID],[1]!Address[CT])</f>
        <v>30 DAYS</v>
      </c>
      <c r="X1039" s="11" t="s">
        <v>39</v>
      </c>
      <c r="Y1039" s="17" t="s">
        <v>40</v>
      </c>
      <c r="Z1039" s="17" t="e">
        <f>_xlfn.XLOOKUP(Customer[[#This Row],[NewType]],$AF$36:$AF$54,$AG$36:$AG$54)</f>
        <v>#N/A</v>
      </c>
      <c r="AA1039" s="17" t="s">
        <v>7035</v>
      </c>
      <c r="AB1039" s="11" t="str">
        <f>_xlfn.XLOOKUP(Customer[[#This Row],[Customer ID]],[1]!Address[ID],[1]!Address[Subtype])</f>
        <v>XPRESS POINT</v>
      </c>
      <c r="AC1039" s="18" t="str">
        <f>_xlfn.XLOOKUP(Customer[[#This Row],[Customer ID]],[1]!Address[ID],[1]!Address[Zone])</f>
        <v>EAST COAST</v>
      </c>
    </row>
    <row r="1040" spans="1:30" x14ac:dyDescent="0.3">
      <c r="A1040" s="45" t="s">
        <v>7036</v>
      </c>
      <c r="B1040" s="32" t="str">
        <f>_xlfn.XLOOKUP(Customer[[#This Row],[Customer ID]],[1]!Name[ID],[1]!Name[Description(1)])</f>
        <v>NAJMI</v>
      </c>
      <c r="C1040" s="32" t="str">
        <f>_xlfn.XLOOKUP(Customer[[#This Row],[Customer ID]],[1]!Name[ID],[1]!Name[Description(2)])</f>
        <v/>
      </c>
      <c r="D1040" s="38" t="str">
        <f>_xlfn.XLOOKUP(Customer[[#This Row],[Customer ID]],[1]!Address[ID],[1]!Address[PIC])</f>
        <v/>
      </c>
      <c r="E1040" s="38" t="str">
        <f>_xlfn.XLOOKUP(Customer[[#This Row],[Customer ID]],[1]!Address[ID],[1]!Address[Full Address])</f>
        <v/>
      </c>
      <c r="F1040" s="12" t="s">
        <v>36</v>
      </c>
      <c r="G1040" s="12" t="s">
        <v>36</v>
      </c>
      <c r="H1040" s="12" t="s">
        <v>36</v>
      </c>
      <c r="I1040" s="12" t="b">
        <f>ISNUMBER(VALUE(LEFT(Customer[[#This Row],[Address Line 3 (30 char)]],1)))</f>
        <v>0</v>
      </c>
      <c r="J1040" s="32"/>
      <c r="K1040" s="32"/>
      <c r="L1040" s="12" t="s">
        <v>35</v>
      </c>
      <c r="M1040" s="13" t="e">
        <v>#N/A</v>
      </c>
      <c r="N1040" s="14" t="e">
        <v>#N/A</v>
      </c>
      <c r="O1040" s="14" t="e">
        <v>#N/A</v>
      </c>
      <c r="P1040" s="14" t="e">
        <v>#N/A</v>
      </c>
      <c r="Q1040" s="14" t="e">
        <v>#N/A</v>
      </c>
      <c r="R1040" s="15" t="s">
        <v>7037</v>
      </c>
      <c r="S1040" s="16" t="s">
        <v>6283</v>
      </c>
      <c r="T1040" s="16"/>
      <c r="U1040" s="11" t="str">
        <f>_xlfn.XLOOKUP(Customer[[#This Row],[Customer ID]],[1]!Address[ID],[1]!Address[Phone No.(2)])</f>
        <v/>
      </c>
      <c r="V1040" s="11" t="str">
        <f>_xlfn.XLOOKUP(Customer[[#This Row],[Customer ID]],[1]!Address[ID],[1]!Address[Type])</f>
        <v>WALK IN</v>
      </c>
      <c r="W1040" s="11" t="str">
        <f>_xlfn.XLOOKUP(Customer[[#This Row],[Customer ID]],[1]!Address[ID],[1]!Address[CT])</f>
        <v/>
      </c>
      <c r="X1040" s="11"/>
      <c r="Y1040" s="17" t="s">
        <v>6284</v>
      </c>
      <c r="Z1040" s="17" t="e">
        <f>_xlfn.XLOOKUP(Customer[[#This Row],[NewType]],$AF$36:$AF$54,$AG$36:$AG$54)</f>
        <v>#N/A</v>
      </c>
      <c r="AA1040" s="17" t="s">
        <v>7038</v>
      </c>
      <c r="AB1040" s="11" t="str">
        <f>_xlfn.XLOOKUP(Customer[[#This Row],[Customer ID]],[1]!Address[ID],[1]!Address[Subtype])</f>
        <v>RANTAU</v>
      </c>
      <c r="AC1040" s="18" t="str">
        <f>_xlfn.XLOOKUP(Customer[[#This Row],[Customer ID]],[1]!Address[ID],[1]!Address[Zone])</f>
        <v>U H</v>
      </c>
    </row>
    <row r="1041" spans="1:29" x14ac:dyDescent="0.3">
      <c r="A1041" s="37" t="s">
        <v>7039</v>
      </c>
      <c r="B1041" s="38" t="str">
        <f>_xlfn.XLOOKUP(Customer[[#This Row],[Customer ID]],[1]!Name[ID],[1]!Name[Description(1)])</f>
        <v>ASMAH KETEREH CALTEX OIL</v>
      </c>
      <c r="C1041" s="38" t="str">
        <f>_xlfn.XLOOKUP(Customer[[#This Row],[Customer ID]],[1]!Name[ID],[1]!Name[Description(2)])</f>
        <v>CALTEX KETEREH</v>
      </c>
      <c r="D1041" s="38" t="str">
        <f>_xlfn.XLOOKUP(Customer[[#This Row],[Customer ID]],[1]!Address[ID],[1]!Address[PIC])</f>
        <v/>
      </c>
      <c r="E1041" s="38" t="str">
        <f>_xlfn.XLOOKUP(Customer[[#This Row],[Customer ID]],[1]!Address[ID],[1]!Address[Full Address])</f>
        <v>CALTEX KETEREHB-9, KEDAI KETEREH16450 KETEREH, KELANTAN</v>
      </c>
      <c r="F1041" s="12" t="s">
        <v>7040</v>
      </c>
      <c r="G1041" s="12" t="s">
        <v>7041</v>
      </c>
      <c r="H1041" s="24" t="s">
        <v>7042</v>
      </c>
      <c r="I1041" s="24" t="b">
        <f>ISNUMBER(VALUE(LEFT(Customer[[#This Row],[Address Line 3 (30 char)]],1)))</f>
        <v>0</v>
      </c>
      <c r="J1041" s="12" t="s">
        <v>1007</v>
      </c>
      <c r="K1041" s="12">
        <v>16450</v>
      </c>
      <c r="L1041" s="12" t="s">
        <v>35</v>
      </c>
      <c r="M1041" s="13">
        <v>196903006407</v>
      </c>
      <c r="N1041" s="14" t="s">
        <v>7043</v>
      </c>
      <c r="O1041" s="14" t="s">
        <v>54</v>
      </c>
      <c r="P1041" s="14">
        <v>47300</v>
      </c>
      <c r="Q1041" s="14" t="s">
        <v>7044</v>
      </c>
      <c r="R1041" s="15" t="s">
        <v>7045</v>
      </c>
      <c r="S1041" s="15" t="s">
        <v>37</v>
      </c>
      <c r="T1041" s="16" t="s">
        <v>38</v>
      </c>
      <c r="U1041" s="11" t="str">
        <f>_xlfn.XLOOKUP(Customer[[#This Row],[Customer ID]],[1]!Address[ID],[1]!Address[Phone No.(2)])</f>
        <v/>
      </c>
      <c r="V1041" s="11" t="str">
        <f>_xlfn.XLOOKUP(Customer[[#This Row],[Customer ID]],[1]!Address[ID],[1]!Address[Type])</f>
        <v>PETROMART</v>
      </c>
      <c r="W1041" s="11" t="str">
        <f>_xlfn.XLOOKUP(Customer[[#This Row],[Customer ID]],[1]!Address[ID],[1]!Address[CT])</f>
        <v>30 DAYS</v>
      </c>
      <c r="X1041" s="11" t="s">
        <v>39</v>
      </c>
      <c r="Y1041" s="17" t="s">
        <v>40</v>
      </c>
      <c r="Z1041" s="17" t="e">
        <f>_xlfn.XLOOKUP(Customer[[#This Row],[NewType]],$AF$36:$AF$54,$AG$36:$AG$54)</f>
        <v>#N/A</v>
      </c>
      <c r="AA1041" s="17" t="s">
        <v>7046</v>
      </c>
      <c r="AB1041" s="11" t="str">
        <f>_xlfn.XLOOKUP(Customer[[#This Row],[Customer ID]],[1]!Address[ID],[1]!Address[Subtype])</f>
        <v>XPRESS POINT</v>
      </c>
      <c r="AC1041" s="18" t="str">
        <f>_xlfn.XLOOKUP(Customer[[#This Row],[Customer ID]],[1]!Address[ID],[1]!Address[Zone])</f>
        <v>EAST COAST</v>
      </c>
    </row>
    <row r="1042" spans="1:29" x14ac:dyDescent="0.3">
      <c r="A1042" s="43" t="s">
        <v>7047</v>
      </c>
      <c r="B1042" s="44" t="str">
        <f>_xlfn.XLOOKUP(Customer[[#This Row],[Customer ID]],[1]!Name[ID],[1]!Name[Description(1)])</f>
        <v>SHODA NIAGA SDN BHD</v>
      </c>
      <c r="C1042" s="38" t="str">
        <f>_xlfn.XLOOKUP(Customer[[#This Row],[Customer ID]],[1]!Name[ID],[1]!Name[Description(2)])</f>
        <v>CALTEX JALAN LANGGAR</v>
      </c>
      <c r="D1042" s="38" t="str">
        <f>_xlfn.XLOOKUP(Customer[[#This Row],[Customer ID]],[1]!Address[ID],[1]!Address[PIC])</f>
        <v/>
      </c>
      <c r="E1042" s="38" t="str">
        <f>_xlfn.XLOOKUP(Customer[[#This Row],[Customer ID]],[1]!Address[ID],[1]!Address[Full Address])</f>
        <v>CALTEX JALAN LANGGARLOT 763, KM 6, JALAN LANGGAR05460 ALOR SETAR KEDAH</v>
      </c>
      <c r="F1042" s="12" t="s">
        <v>7048</v>
      </c>
      <c r="G1042" s="12" t="s">
        <v>7049</v>
      </c>
      <c r="H1042" s="24" t="s">
        <v>2335</v>
      </c>
      <c r="I1042" s="24" t="b">
        <f>ISNUMBER(VALUE(LEFT(Customer[[#This Row],[Address Line 3 (30 char)]],1)))</f>
        <v>0</v>
      </c>
      <c r="J1042" s="12" t="s">
        <v>79</v>
      </c>
      <c r="K1042" s="30" t="s">
        <v>7050</v>
      </c>
      <c r="L1042" s="12" t="s">
        <v>35</v>
      </c>
      <c r="M1042" s="13" t="e">
        <v>#N/A</v>
      </c>
      <c r="N1042" s="14" t="e">
        <v>#N/A</v>
      </c>
      <c r="O1042" s="14" t="e">
        <v>#N/A</v>
      </c>
      <c r="P1042" s="14" t="e">
        <v>#N/A</v>
      </c>
      <c r="Q1042" s="14" t="e">
        <v>#N/A</v>
      </c>
      <c r="R1042" s="15" t="s">
        <v>36</v>
      </c>
      <c r="S1042" s="15" t="s">
        <v>37</v>
      </c>
      <c r="T1042" s="16" t="s">
        <v>38</v>
      </c>
      <c r="U1042" s="11" t="str">
        <f>_xlfn.XLOOKUP(Customer[[#This Row],[Customer ID]],[1]!Address[ID],[1]!Address[Phone No.(2)])</f>
        <v/>
      </c>
      <c r="V1042" s="11" t="str">
        <f>_xlfn.XLOOKUP(Customer[[#This Row],[Customer ID]],[1]!Address[ID],[1]!Address[Type])</f>
        <v>PETROMART</v>
      </c>
      <c r="W1042" s="11" t="str">
        <f>_xlfn.XLOOKUP(Customer[[#This Row],[Customer ID]],[1]!Address[ID],[1]!Address[CT])</f>
        <v>30 DAYS</v>
      </c>
      <c r="X1042" s="11" t="s">
        <v>39</v>
      </c>
      <c r="Y1042" s="17" t="s">
        <v>40</v>
      </c>
      <c r="Z1042" s="17" t="e">
        <f>_xlfn.XLOOKUP(Customer[[#This Row],[NewType]],$AF$36:$AF$54,$AG$36:$AG$54)</f>
        <v>#N/A</v>
      </c>
      <c r="AA1042" s="17" t="s">
        <v>7051</v>
      </c>
      <c r="AB1042" s="11" t="str">
        <f>_xlfn.XLOOKUP(Customer[[#This Row],[Customer ID]],[1]!Address[ID],[1]!Address[Subtype])</f>
        <v>XPRESS POINT</v>
      </c>
      <c r="AC1042" s="18" t="str">
        <f>_xlfn.XLOOKUP(Customer[[#This Row],[Customer ID]],[1]!Address[ID],[1]!Address[Zone])</f>
        <v>NORTH</v>
      </c>
    </row>
    <row r="1043" spans="1:29" x14ac:dyDescent="0.3">
      <c r="A1043" s="37" t="s">
        <v>7052</v>
      </c>
      <c r="B1043" s="38" t="str">
        <f>_xlfn.XLOOKUP(Customer[[#This Row],[Customer ID]],[1]!Name[ID],[1]!Name[Description(1)])</f>
        <v>KOPERASI PEKEBUN GETAH</v>
      </c>
      <c r="C1043" s="38" t="str">
        <f>_xlfn.XLOOKUP(Customer[[#This Row],[Customer ID]],[1]!Name[ID],[1]!Name[Description(2)])</f>
        <v>MM KOPKEJAT</v>
      </c>
      <c r="D1043" s="38" t="str">
        <f>_xlfn.XLOOKUP(Customer[[#This Row],[Customer ID]],[1]!Address[ID],[1]!Address[PIC])</f>
        <v/>
      </c>
      <c r="E1043" s="38" t="str">
        <f>_xlfn.XLOOKUP(Customer[[#This Row],[Customer ID]],[1]!Address[ID],[1]!Address[Full Address])</f>
        <v>MM KOPKEJATJAJAHAN TANAH MERAH DANLOT 1948, KM3, JALAN SULTANISMAIL PETRA, 17500 TANAH MERAH, KELANTA</v>
      </c>
      <c r="F1043" s="12" t="s">
        <v>7053</v>
      </c>
      <c r="G1043" s="12" t="s">
        <v>7054</v>
      </c>
      <c r="H1043" s="12" t="s">
        <v>7055</v>
      </c>
      <c r="I1043" s="12" t="b">
        <f>ISNUMBER(VALUE(LEFT(Customer[[#This Row],[Address Line 3 (30 char)]],1)))</f>
        <v>0</v>
      </c>
      <c r="J1043" s="12" t="s">
        <v>1007</v>
      </c>
      <c r="K1043" s="12">
        <v>17500</v>
      </c>
      <c r="L1043" s="12" t="s">
        <v>35</v>
      </c>
      <c r="M1043" s="13" t="e">
        <v>#N/A</v>
      </c>
      <c r="N1043" s="14" t="e">
        <v>#N/A</v>
      </c>
      <c r="O1043" s="14" t="e">
        <v>#N/A</v>
      </c>
      <c r="P1043" s="14" t="e">
        <v>#N/A</v>
      </c>
      <c r="Q1043" s="14" t="e">
        <v>#N/A</v>
      </c>
      <c r="R1043" s="15" t="s">
        <v>7056</v>
      </c>
      <c r="S1043" s="15" t="s">
        <v>37</v>
      </c>
      <c r="T1043" s="16" t="s">
        <v>38</v>
      </c>
      <c r="U1043" s="11" t="str">
        <f>_xlfn.XLOOKUP(Customer[[#This Row],[Customer ID]],[1]!Address[ID],[1]!Address[Phone No.(2)])</f>
        <v/>
      </c>
      <c r="V1043" s="11" t="str">
        <f>_xlfn.XLOOKUP(Customer[[#This Row],[Customer ID]],[1]!Address[ID],[1]!Address[Type])</f>
        <v>PETROMART</v>
      </c>
      <c r="W1043" s="11" t="str">
        <f>_xlfn.XLOOKUP(Customer[[#This Row],[Customer ID]],[1]!Address[ID],[1]!Address[CT])</f>
        <v>30 DAYS</v>
      </c>
      <c r="X1043" s="11" t="s">
        <v>39</v>
      </c>
      <c r="Y1043" s="17" t="s">
        <v>40</v>
      </c>
      <c r="Z1043" s="17" t="e">
        <f>_xlfn.XLOOKUP(Customer[[#This Row],[NewType]],$AF$36:$AF$54,$AG$36:$AG$54)</f>
        <v>#N/A</v>
      </c>
      <c r="AA1043" s="17" t="s">
        <v>7057</v>
      </c>
      <c r="AB1043" s="11" t="str">
        <f>_xlfn.XLOOKUP(Customer[[#This Row],[Customer ID]],[1]!Address[ID],[1]!Address[Subtype])</f>
        <v>PETRONAS</v>
      </c>
      <c r="AC1043" s="18" t="str">
        <f>_xlfn.XLOOKUP(Customer[[#This Row],[Customer ID]],[1]!Address[ID],[1]!Address[Zone])</f>
        <v>EAST COAST</v>
      </c>
    </row>
    <row r="1044" spans="1:29" x14ac:dyDescent="0.3">
      <c r="A1044" s="37" t="s">
        <v>7058</v>
      </c>
      <c r="B1044" s="38" t="str">
        <f>_xlfn.XLOOKUP(Customer[[#This Row],[Customer ID]],[1]!Name[ID],[1]!Name[Description(1)])</f>
        <v>SUNDAR</v>
      </c>
      <c r="C1044" s="38" t="str">
        <f>_xlfn.XLOOKUP(Customer[[#This Row],[Customer ID]],[1]!Name[ID],[1]!Name[Description(2)])</f>
        <v/>
      </c>
      <c r="D1044" s="38" t="str">
        <f>_xlfn.XLOOKUP(Customer[[#This Row],[Customer ID]],[1]!Address[ID],[1]!Address[PIC])</f>
        <v/>
      </c>
      <c r="E1044" s="38" t="str">
        <f>_xlfn.XLOOKUP(Customer[[#This Row],[Customer ID]],[1]!Address[ID],[1]!Address[Full Address])</f>
        <v>PERSADA PLUS,PERSIMPANGAN BERTINGKAT SUBANG KM15 NKV47301 PJ SELANGOR.</v>
      </c>
      <c r="F1044" s="12" t="s">
        <v>7059</v>
      </c>
      <c r="G1044" s="12" t="s">
        <v>7060</v>
      </c>
      <c r="H1044" s="12" t="s">
        <v>7061</v>
      </c>
      <c r="I1044" s="12" t="b">
        <f>ISNUMBER(VALUE(LEFT(Customer[[#This Row],[Address Line 3 (30 char)]],1)))</f>
        <v>0</v>
      </c>
      <c r="J1044" s="12" t="s">
        <v>172</v>
      </c>
      <c r="K1044" s="12">
        <v>47310</v>
      </c>
      <c r="L1044" s="12" t="s">
        <v>35</v>
      </c>
      <c r="M1044" s="13" t="e">
        <v>#N/A</v>
      </c>
      <c r="N1044" s="14" t="e">
        <v>#N/A</v>
      </c>
      <c r="O1044" s="14" t="e">
        <v>#N/A</v>
      </c>
      <c r="P1044" s="14" t="e">
        <v>#N/A</v>
      </c>
      <c r="Q1044" s="14" t="e">
        <v>#N/A</v>
      </c>
      <c r="R1044" s="15" t="s">
        <v>7062</v>
      </c>
      <c r="S1044" s="15" t="s">
        <v>5925</v>
      </c>
      <c r="T1044" s="16" t="s">
        <v>3477</v>
      </c>
      <c r="U1044" s="11" t="str">
        <f>_xlfn.XLOOKUP(Customer[[#This Row],[Customer ID]],[1]!Address[ID],[1]!Address[Phone No.(2)])</f>
        <v/>
      </c>
      <c r="V1044" s="11" t="str">
        <f>_xlfn.XLOOKUP(Customer[[#This Row],[Customer ID]],[1]!Address[ID],[1]!Address[Type])</f>
        <v>CAFE</v>
      </c>
      <c r="W1044" s="11" t="str">
        <f>_xlfn.XLOOKUP(Customer[[#This Row],[Customer ID]],[1]!Address[ID],[1]!Address[CT])</f>
        <v>30 DAYS</v>
      </c>
      <c r="X1044" s="11"/>
      <c r="Y1044" s="17" t="s">
        <v>5926</v>
      </c>
      <c r="Z1044" s="17" t="e">
        <f>_xlfn.XLOOKUP(Customer[[#This Row],[NewType]],$AF$36:$AF$54,$AG$36:$AG$54)</f>
        <v>#N/A</v>
      </c>
      <c r="AA1044" s="17" t="s">
        <v>7063</v>
      </c>
      <c r="AB1044" s="11" t="str">
        <f>_xlfn.XLOOKUP(Customer[[#This Row],[Customer ID]],[1]!Address[ID],[1]!Address[Subtype])</f>
        <v>PLUS</v>
      </c>
      <c r="AC1044" s="18">
        <f>_xlfn.XLOOKUP(Customer[[#This Row],[Customer ID]],[1]!Address[ID],[1]!Address[Zone])</f>
        <v>0</v>
      </c>
    </row>
    <row r="1045" spans="1:29" x14ac:dyDescent="0.3">
      <c r="A1045" s="37" t="s">
        <v>7064</v>
      </c>
      <c r="B1045" s="38" t="str">
        <f>_xlfn.XLOOKUP(Customer[[#This Row],[Customer ID]],[1]!Name[ID],[1]!Name[Description(1)])</f>
        <v>MUHAMMAD ALIF BIN YADZID</v>
      </c>
      <c r="C1045" s="38" t="str">
        <f>_xlfn.XLOOKUP(Customer[[#This Row],[Customer ID]],[1]!Name[ID],[1]!Name[Description(2)])</f>
        <v>(ALIF TOKMAT)</v>
      </c>
      <c r="D1045" s="38" t="str">
        <f>_xlfn.XLOOKUP(Customer[[#This Row],[Customer ID]],[1]!Address[ID],[1]!Address[PIC])</f>
        <v>ALIF</v>
      </c>
      <c r="E1045" s="38" t="str">
        <f>_xlfn.XLOOKUP(Customer[[#This Row],[Customer ID]],[1]!Address[ID],[1]!Address[Full Address])</f>
        <v>NO 1, KAMPUNG TANJUNG, 71200 RANTAUSEREMBAN, NEGERI SEMBILAN</v>
      </c>
      <c r="F1045" s="12" t="s">
        <v>7065</v>
      </c>
      <c r="G1045" s="12" t="s">
        <v>7066</v>
      </c>
      <c r="H1045" s="12" t="s">
        <v>1971</v>
      </c>
      <c r="I1045" s="12" t="b">
        <f>ISNUMBER(VALUE(LEFT(Customer[[#This Row],[Address Line 3 (30 char)]],1)))</f>
        <v>0</v>
      </c>
      <c r="J1045" s="12" t="s">
        <v>203</v>
      </c>
      <c r="K1045" s="12">
        <v>71200</v>
      </c>
      <c r="L1045" s="12" t="s">
        <v>35</v>
      </c>
      <c r="M1045" s="13" t="e">
        <v>#N/A</v>
      </c>
      <c r="N1045" s="14" t="e">
        <v>#N/A</v>
      </c>
      <c r="O1045" s="14" t="e">
        <v>#N/A</v>
      </c>
      <c r="P1045" s="14" t="e">
        <v>#N/A</v>
      </c>
      <c r="Q1045" s="14" t="e">
        <v>#N/A</v>
      </c>
      <c r="R1045" s="15" t="s">
        <v>7067</v>
      </c>
      <c r="S1045" s="16" t="s">
        <v>6283</v>
      </c>
      <c r="T1045" s="16"/>
      <c r="U1045" s="11" t="str">
        <f>_xlfn.XLOOKUP(Customer[[#This Row],[Customer ID]],[1]!Address[ID],[1]!Address[Phone No.(2)])</f>
        <v/>
      </c>
      <c r="V1045" s="11" t="str">
        <f>_xlfn.XLOOKUP(Customer[[#This Row],[Customer ID]],[1]!Address[ID],[1]!Address[Type])</f>
        <v>WALK IN</v>
      </c>
      <c r="W1045" s="11" t="str">
        <f>_xlfn.XLOOKUP(Customer[[#This Row],[Customer ID]],[1]!Address[ID],[1]!Address[CT])</f>
        <v/>
      </c>
      <c r="X1045" s="11"/>
      <c r="Y1045" s="17" t="s">
        <v>6284</v>
      </c>
      <c r="Z1045" s="17" t="e">
        <f>_xlfn.XLOOKUP(Customer[[#This Row],[NewType]],$AF$36:$AF$54,$AG$36:$AG$54)</f>
        <v>#N/A</v>
      </c>
      <c r="AA1045" s="17" t="s">
        <v>7068</v>
      </c>
      <c r="AB1045" s="11" t="str">
        <f>_xlfn.XLOOKUP(Customer[[#This Row],[Customer ID]],[1]!Address[ID],[1]!Address[Subtype])</f>
        <v>RANTAU</v>
      </c>
      <c r="AC1045" s="18" t="str">
        <f>_xlfn.XLOOKUP(Customer[[#This Row],[Customer ID]],[1]!Address[ID],[1]!Address[Zone])</f>
        <v>CENTRAL</v>
      </c>
    </row>
    <row r="1046" spans="1:29" x14ac:dyDescent="0.3">
      <c r="A1046" s="37" t="s">
        <v>7069</v>
      </c>
      <c r="B1046" s="38" t="str">
        <f>_xlfn.XLOOKUP(Customer[[#This Row],[Customer ID]],[1]!Name[ID],[1]!Name[Description(1)])</f>
        <v>PUTRA WORLD TRADE CENTRE MALAYSIA (PWTC)</v>
      </c>
      <c r="C1046" s="38" t="str">
        <f>_xlfn.XLOOKUP(Customer[[#This Row],[Customer ID]],[1]!Name[ID],[1]!Name[Description(2)])</f>
        <v>PUTRADE PROPERTY MANAGEMENT SDN BHD</v>
      </c>
      <c r="D1046" s="38" t="str">
        <f>_xlfn.XLOOKUP(Customer[[#This Row],[Customer ID]],[1]!Address[ID],[1]!Address[PIC])</f>
        <v/>
      </c>
      <c r="E1046" s="38" t="str">
        <f>_xlfn.XLOOKUP(Customer[[#This Row],[Customer ID]],[1]!Address[ID],[1]!Address[Full Address])</f>
        <v>LEVEL 3, 41 JALAN TUN ISMAIL,50480 KUALA LUMPUR, MALAYSIA</v>
      </c>
      <c r="F1046" s="12" t="s">
        <v>7070</v>
      </c>
      <c r="G1046" s="12"/>
      <c r="H1046" s="12" t="s">
        <v>36</v>
      </c>
      <c r="I1046" s="12" t="b">
        <f>ISNUMBER(VALUE(LEFT(Customer[[#This Row],[Address Line 3 (30 char)]],1)))</f>
        <v>0</v>
      </c>
      <c r="J1046" s="12" t="s">
        <v>34</v>
      </c>
      <c r="K1046" s="12">
        <v>50480</v>
      </c>
      <c r="L1046" s="12" t="s">
        <v>35</v>
      </c>
      <c r="M1046" s="13" t="e">
        <v>#N/A</v>
      </c>
      <c r="N1046" s="14" t="e">
        <v>#N/A</v>
      </c>
      <c r="O1046" s="14" t="e">
        <v>#N/A</v>
      </c>
      <c r="P1046" s="14" t="e">
        <v>#N/A</v>
      </c>
      <c r="Q1046" s="14" t="e">
        <v>#N/A</v>
      </c>
      <c r="R1046" s="15" t="s">
        <v>7071</v>
      </c>
      <c r="S1046" s="15" t="s">
        <v>5934</v>
      </c>
      <c r="T1046" s="16" t="s">
        <v>3477</v>
      </c>
      <c r="U1046" s="11" t="str">
        <f>_xlfn.XLOOKUP(Customer[[#This Row],[Customer ID]],[1]!Address[ID],[1]!Address[Phone No.(2)])</f>
        <v/>
      </c>
      <c r="V1046" s="11" t="str">
        <f>_xlfn.XLOOKUP(Customer[[#This Row],[Customer ID]],[1]!Address[ID],[1]!Address[Type])</f>
        <v>CORPORATE</v>
      </c>
      <c r="W1046" s="11" t="str">
        <f>_xlfn.XLOOKUP(Customer[[#This Row],[Customer ID]],[1]!Address[ID],[1]!Address[CT])</f>
        <v>30 DAYS</v>
      </c>
      <c r="X1046" s="11"/>
      <c r="Y1046" s="17" t="s">
        <v>6418</v>
      </c>
      <c r="Z1046" s="17" t="e">
        <f>_xlfn.XLOOKUP(Customer[[#This Row],[NewType]],$AF$36:$AF$54,$AG$36:$AG$54)</f>
        <v>#N/A</v>
      </c>
      <c r="AA1046" s="17" t="s">
        <v>7072</v>
      </c>
      <c r="AB1046" s="11" t="str">
        <f>_xlfn.XLOOKUP(Customer[[#This Row],[Customer ID]],[1]!Address[ID],[1]!Address[Subtype])</f>
        <v>PWTC</v>
      </c>
      <c r="AC1046" s="18" t="str">
        <f>_xlfn.XLOOKUP(Customer[[#This Row],[Customer ID]],[1]!Address[ID],[1]!Address[Zone])</f>
        <v>CENTRAL</v>
      </c>
    </row>
    <row r="1047" spans="1:29" x14ac:dyDescent="0.3">
      <c r="A1047" s="43" t="s">
        <v>7073</v>
      </c>
      <c r="B1047" s="44" t="str">
        <f>_xlfn.XLOOKUP(Customer[[#This Row],[Customer ID]],[1]!Name[ID],[1]!Name[Description(1)])</f>
        <v>AGENT POSIAH</v>
      </c>
      <c r="C1047" s="38" t="str">
        <f>_xlfn.XLOOKUP(Customer[[#This Row],[Customer ID]],[1]!Name[ID],[1]!Name[Description(2)])</f>
        <v/>
      </c>
      <c r="D1047" s="38" t="str">
        <f>_xlfn.XLOOKUP(Customer[[#This Row],[Customer ID]],[1]!Address[ID],[1]!Address[PIC])</f>
        <v>POSIAH MOHD ISA</v>
      </c>
      <c r="E1047" s="38" t="str">
        <f>_xlfn.XLOOKUP(Customer[[#This Row],[Customer ID]],[1]!Address[ID],[1]!Address[Full Address])</f>
        <v>No.5, Jalan Bunga Kemunting 2/1040000 Shah Alam. Selangor.</v>
      </c>
      <c r="F1047" s="12" t="s">
        <v>7074</v>
      </c>
      <c r="G1047" s="12" t="s">
        <v>7075</v>
      </c>
      <c r="H1047" s="12" t="s">
        <v>7076</v>
      </c>
      <c r="I1047" s="12" t="b">
        <f>ISNUMBER(VALUE(LEFT(Customer[[#This Row],[Address Line 3 (30 char)]],1)))</f>
        <v>0</v>
      </c>
      <c r="J1047" s="12" t="s">
        <v>172</v>
      </c>
      <c r="K1047" s="12">
        <v>40000</v>
      </c>
      <c r="L1047" s="12" t="s">
        <v>35</v>
      </c>
      <c r="M1047" s="13" t="e">
        <v>#N/A</v>
      </c>
      <c r="N1047" s="35" t="s">
        <v>7077</v>
      </c>
      <c r="O1047" s="14" t="e">
        <v>#N/A</v>
      </c>
      <c r="P1047" s="14" t="e">
        <v>#N/A</v>
      </c>
      <c r="Q1047" s="14" t="e">
        <v>#N/A</v>
      </c>
      <c r="R1047" s="15" t="s">
        <v>7078</v>
      </c>
      <c r="S1047" s="15" t="s">
        <v>6645</v>
      </c>
      <c r="T1047" s="16" t="s">
        <v>38</v>
      </c>
      <c r="U1047" s="11" t="str">
        <f>_xlfn.XLOOKUP(Customer[[#This Row],[Customer ID]],[1]!Address[ID],[1]!Address[Phone No.(2)])</f>
        <v/>
      </c>
      <c r="V1047" s="11" t="str">
        <f>_xlfn.XLOOKUP(Customer[[#This Row],[Customer ID]],[1]!Address[ID],[1]!Address[Type])</f>
        <v>AGENT</v>
      </c>
      <c r="W1047" s="11" t="str">
        <f>_xlfn.XLOOKUP(Customer[[#This Row],[Customer ID]],[1]!Address[ID],[1]!Address[CT])</f>
        <v/>
      </c>
      <c r="X1047" s="11"/>
      <c r="Y1047" s="17" t="s">
        <v>6639</v>
      </c>
      <c r="Z1047" s="17" t="e">
        <f>_xlfn.XLOOKUP(Customer[[#This Row],[NewType]],$AF$36:$AF$54,$AG$36:$AG$54)</f>
        <v>#N/A</v>
      </c>
      <c r="AA1047" s="17" t="s">
        <v>7079</v>
      </c>
      <c r="AB1047" s="11" t="str">
        <f>_xlfn.XLOOKUP(Customer[[#This Row],[Customer ID]],[1]!Address[ID],[1]!Address[Subtype])</f>
        <v>AGENT HQ</v>
      </c>
      <c r="AC1047" s="18" t="str">
        <f>_xlfn.XLOOKUP(Customer[[#This Row],[Customer ID]],[1]!Address[ID],[1]!Address[Zone])</f>
        <v>CENTRAL</v>
      </c>
    </row>
    <row r="1048" spans="1:29" x14ac:dyDescent="0.3">
      <c r="A1048" s="46" t="s">
        <v>7080</v>
      </c>
      <c r="B1048" s="24" t="str">
        <f>_xlfn.XLOOKUP(Customer[[#This Row],[Customer ID]],[1]!Name[ID],[1]!Name[Description(1)])</f>
        <v>AGENT NORHAMIDAH</v>
      </c>
      <c r="C1048" s="24" t="str">
        <f>_xlfn.XLOOKUP(Customer[[#This Row],[Customer ID]],[1]!Name[ID],[1]!Name[Description(2)])</f>
        <v/>
      </c>
      <c r="D1048" s="38" t="str">
        <f>_xlfn.XLOOKUP(Customer[[#This Row],[Customer ID]],[1]!Address[ID],[1]!Address[PIC])</f>
        <v/>
      </c>
      <c r="E1048" s="38" t="str">
        <f>_xlfn.XLOOKUP(Customer[[#This Row],[Customer ID]],[1]!Address[ID],[1]!Address[Full Address])</f>
        <v/>
      </c>
      <c r="F1048" s="12" t="s">
        <v>36</v>
      </c>
      <c r="G1048" s="12" t="s">
        <v>36</v>
      </c>
      <c r="H1048" s="12" t="s">
        <v>36</v>
      </c>
      <c r="I1048" s="12" t="b">
        <f>ISNUMBER(VALUE(LEFT(Customer[[#This Row],[Address Line 3 (30 char)]],1)))</f>
        <v>0</v>
      </c>
      <c r="J1048" s="24"/>
      <c r="K1048" s="24"/>
      <c r="L1048" s="12" t="s">
        <v>35</v>
      </c>
      <c r="M1048" s="13" t="e">
        <v>#N/A</v>
      </c>
      <c r="N1048" s="14" t="e">
        <v>#N/A</v>
      </c>
      <c r="O1048" s="14" t="e">
        <v>#N/A</v>
      </c>
      <c r="P1048" s="14" t="e">
        <v>#N/A</v>
      </c>
      <c r="Q1048" s="14" t="e">
        <v>#N/A</v>
      </c>
      <c r="R1048" s="15" t="s">
        <v>36</v>
      </c>
      <c r="S1048" s="15" t="s">
        <v>6645</v>
      </c>
      <c r="T1048" s="16" t="s">
        <v>38</v>
      </c>
      <c r="U1048" s="11" t="str">
        <f>_xlfn.XLOOKUP(Customer[[#This Row],[Customer ID]],[1]!Address[ID],[1]!Address[Phone No.(2)])</f>
        <v/>
      </c>
      <c r="V1048" s="11" t="str">
        <f>_xlfn.XLOOKUP(Customer[[#This Row],[Customer ID]],[1]!Address[ID],[1]!Address[Type])</f>
        <v>AGENT</v>
      </c>
      <c r="W1048" s="11" t="str">
        <f>_xlfn.XLOOKUP(Customer[[#This Row],[Customer ID]],[1]!Address[ID],[1]!Address[CT])</f>
        <v/>
      </c>
      <c r="X1048" s="11"/>
      <c r="Y1048" s="17" t="s">
        <v>6639</v>
      </c>
      <c r="Z1048" s="17" t="e">
        <f>_xlfn.XLOOKUP(Customer[[#This Row],[NewType]],$AF$36:$AF$54,$AG$36:$AG$54)</f>
        <v>#N/A</v>
      </c>
      <c r="AA1048" s="17" t="s">
        <v>7081</v>
      </c>
      <c r="AB1048" s="11" t="str">
        <f>_xlfn.XLOOKUP(Customer[[#This Row],[Customer ID]],[1]!Address[ID],[1]!Address[Subtype])</f>
        <v>AGENT HQ</v>
      </c>
      <c r="AC1048" s="18" t="str">
        <f>_xlfn.XLOOKUP(Customer[[#This Row],[Customer ID]],[1]!Address[ID],[1]!Address[Zone])</f>
        <v xml:space="preserve"> TNTH</v>
      </c>
    </row>
    <row r="1049" spans="1:29" x14ac:dyDescent="0.3">
      <c r="A1049" s="39" t="s">
        <v>7082</v>
      </c>
      <c r="B1049" s="40" t="str">
        <f>_xlfn.XLOOKUP(Customer[[#This Row],[Customer ID]],[1]!Name[ID],[1]!Name[Description(1)])</f>
        <v>B'FRESH &amp; DRIVE</v>
      </c>
      <c r="C1049" s="38" t="str">
        <f>_xlfn.XLOOKUP(Customer[[#This Row],[Customer ID]],[1]!Name[ID],[1]!Name[Description(2)])</f>
        <v/>
      </c>
      <c r="D1049" s="38" t="str">
        <f>_xlfn.XLOOKUP(Customer[[#This Row],[Customer ID]],[1]!Address[ID],[1]!Address[PIC])</f>
        <v/>
      </c>
      <c r="E1049" s="38" t="str">
        <f>_xlfn.XLOOKUP(Customer[[#This Row],[Customer ID]],[1]!Address[ID],[1]!Address[Full Address])</f>
        <v>R&amp;R TAPAH ARAH SELATAN</v>
      </c>
      <c r="F1049" s="12" t="s">
        <v>7083</v>
      </c>
      <c r="G1049" s="12" t="s">
        <v>36</v>
      </c>
      <c r="H1049" s="12" t="s">
        <v>36</v>
      </c>
      <c r="I1049" s="12" t="b">
        <f>ISNUMBER(VALUE(LEFT(Customer[[#This Row],[Address Line 3 (30 char)]],1)))</f>
        <v>0</v>
      </c>
      <c r="J1049" s="12" t="s">
        <v>242</v>
      </c>
      <c r="K1049" s="12">
        <v>35000</v>
      </c>
      <c r="L1049" s="12" t="s">
        <v>35</v>
      </c>
      <c r="M1049" s="13" t="e">
        <v>#N/A</v>
      </c>
      <c r="N1049" s="14" t="e">
        <v>#N/A</v>
      </c>
      <c r="O1049" s="14" t="e">
        <v>#N/A</v>
      </c>
      <c r="P1049" s="14" t="e">
        <v>#N/A</v>
      </c>
      <c r="Q1049" s="14" t="e">
        <v>#N/A</v>
      </c>
      <c r="R1049" s="15" t="s">
        <v>36</v>
      </c>
      <c r="S1049" s="15" t="s">
        <v>5925</v>
      </c>
      <c r="T1049" s="16" t="s">
        <v>3477</v>
      </c>
      <c r="U1049" s="11" t="str">
        <f>_xlfn.XLOOKUP(Customer[[#This Row],[Customer ID]],[1]!Address[ID],[1]!Address[Phone No.(2)])</f>
        <v/>
      </c>
      <c r="V1049" s="11" t="str">
        <f>_xlfn.XLOOKUP(Customer[[#This Row],[Customer ID]],[1]!Address[ID],[1]!Address[Type])</f>
        <v>CAFE</v>
      </c>
      <c r="W1049" s="11" t="str">
        <f>_xlfn.XLOOKUP(Customer[[#This Row],[Customer ID]],[1]!Address[ID],[1]!Address[CT])</f>
        <v>30 DAYS</v>
      </c>
      <c r="X1049" s="11"/>
      <c r="Y1049" s="17" t="s">
        <v>5926</v>
      </c>
      <c r="Z1049" s="17" t="e">
        <f>_xlfn.XLOOKUP(Customer[[#This Row],[NewType]],$AF$36:$AF$54,$AG$36:$AG$54)</f>
        <v>#N/A</v>
      </c>
      <c r="AA1049" s="17" t="s">
        <v>7084</v>
      </c>
      <c r="AB1049" s="11" t="str">
        <f>_xlfn.XLOOKUP(Customer[[#This Row],[Customer ID]],[1]!Address[ID],[1]!Address[Subtype])</f>
        <v>PLUS</v>
      </c>
      <c r="AC1049" s="18">
        <f>_xlfn.XLOOKUP(Customer[[#This Row],[Customer ID]],[1]!Address[ID],[1]!Address[Zone])</f>
        <v>0</v>
      </c>
    </row>
    <row r="1050" spans="1:29" x14ac:dyDescent="0.3">
      <c r="A1050" s="39" t="s">
        <v>7085</v>
      </c>
      <c r="B1050" s="40" t="str">
        <f>_xlfn.XLOOKUP(Customer[[#This Row],[Customer ID]],[1]!Name[ID],[1]!Name[Description(1)])</f>
        <v>A'A PASTRY &amp; BEVERAGE</v>
      </c>
      <c r="C1050" s="38" t="str">
        <f>_xlfn.XLOOKUP(Customer[[#This Row],[Customer ID]],[1]!Name[ID],[1]!Name[Description(2)])</f>
        <v/>
      </c>
      <c r="D1050" s="38" t="str">
        <f>_xlfn.XLOOKUP(Customer[[#This Row],[Customer ID]],[1]!Address[ID],[1]!Address[PIC])</f>
        <v/>
      </c>
      <c r="E1050" s="38" t="str">
        <f>_xlfn.XLOOKUP(Customer[[#This Row],[Customer ID]],[1]!Address[ID],[1]!Address[Full Address])</f>
        <v>R&amp;R TAPAH ARAH SELATAN</v>
      </c>
      <c r="F1050" s="12" t="s">
        <v>7083</v>
      </c>
      <c r="G1050" s="12" t="s">
        <v>36</v>
      </c>
      <c r="H1050" s="12" t="s">
        <v>36</v>
      </c>
      <c r="I1050" s="12" t="b">
        <f>ISNUMBER(VALUE(LEFT(Customer[[#This Row],[Address Line 3 (30 char)]],1)))</f>
        <v>0</v>
      </c>
      <c r="J1050" s="12" t="s">
        <v>242</v>
      </c>
      <c r="K1050" s="12">
        <v>35000</v>
      </c>
      <c r="L1050" s="12" t="s">
        <v>35</v>
      </c>
      <c r="M1050" s="13" t="e">
        <v>#N/A</v>
      </c>
      <c r="N1050" s="14" t="e">
        <v>#N/A</v>
      </c>
      <c r="O1050" s="14" t="e">
        <v>#N/A</v>
      </c>
      <c r="P1050" s="14" t="e">
        <v>#N/A</v>
      </c>
      <c r="Q1050" s="14" t="e">
        <v>#N/A</v>
      </c>
      <c r="R1050" s="15" t="s">
        <v>36</v>
      </c>
      <c r="S1050" s="15" t="s">
        <v>5925</v>
      </c>
      <c r="T1050" s="16" t="s">
        <v>3477</v>
      </c>
      <c r="U1050" s="11" t="str">
        <f>_xlfn.XLOOKUP(Customer[[#This Row],[Customer ID]],[1]!Address[ID],[1]!Address[Phone No.(2)])</f>
        <v/>
      </c>
      <c r="V1050" s="11" t="str">
        <f>_xlfn.XLOOKUP(Customer[[#This Row],[Customer ID]],[1]!Address[ID],[1]!Address[Type])</f>
        <v>CAFE</v>
      </c>
      <c r="W1050" s="11" t="str">
        <f>_xlfn.XLOOKUP(Customer[[#This Row],[Customer ID]],[1]!Address[ID],[1]!Address[CT])</f>
        <v>30 DAYS</v>
      </c>
      <c r="X1050" s="11"/>
      <c r="Y1050" s="17" t="s">
        <v>5926</v>
      </c>
      <c r="Z1050" s="17" t="e">
        <f>_xlfn.XLOOKUP(Customer[[#This Row],[NewType]],$AF$36:$AF$54,$AG$36:$AG$54)</f>
        <v>#N/A</v>
      </c>
      <c r="AA1050" s="17" t="s">
        <v>7086</v>
      </c>
      <c r="AB1050" s="11" t="str">
        <f>_xlfn.XLOOKUP(Customer[[#This Row],[Customer ID]],[1]!Address[ID],[1]!Address[Subtype])</f>
        <v>PLUS</v>
      </c>
      <c r="AC1050" s="18">
        <f>_xlfn.XLOOKUP(Customer[[#This Row],[Customer ID]],[1]!Address[ID],[1]!Address[Zone])</f>
        <v>0</v>
      </c>
    </row>
    <row r="1051" spans="1:29" x14ac:dyDescent="0.3">
      <c r="A1051" s="39" t="s">
        <v>7087</v>
      </c>
      <c r="B1051" s="40" t="str">
        <f>_xlfn.XLOOKUP(Customer[[#This Row],[Customer ID]],[1]!Name[ID],[1]!Name[Description(1)])</f>
        <v>BOLLYWOOD SWEET &amp; CANDYS</v>
      </c>
      <c r="C1051" s="38" t="str">
        <f>_xlfn.XLOOKUP(Customer[[#This Row],[Customer ID]],[1]!Name[ID],[1]!Name[Description(2)])</f>
        <v/>
      </c>
      <c r="D1051" s="38" t="str">
        <f>_xlfn.XLOOKUP(Customer[[#This Row],[Customer ID]],[1]!Address[ID],[1]!Address[PIC])</f>
        <v/>
      </c>
      <c r="E1051" s="38" t="str">
        <f>_xlfn.XLOOKUP(Customer[[#This Row],[Customer ID]],[1]!Address[ID],[1]!Address[Full Address])</f>
        <v>R&amp;R TAPAH ARAH SELATAN</v>
      </c>
      <c r="F1051" s="12" t="s">
        <v>7083</v>
      </c>
      <c r="G1051" s="12" t="s">
        <v>36</v>
      </c>
      <c r="H1051" s="12" t="s">
        <v>36</v>
      </c>
      <c r="I1051" s="12" t="b">
        <f>ISNUMBER(VALUE(LEFT(Customer[[#This Row],[Address Line 3 (30 char)]],1)))</f>
        <v>0</v>
      </c>
      <c r="J1051" s="12" t="s">
        <v>242</v>
      </c>
      <c r="K1051" s="12">
        <v>35000</v>
      </c>
      <c r="L1051" s="12" t="s">
        <v>35</v>
      </c>
      <c r="M1051" s="13" t="e">
        <v>#N/A</v>
      </c>
      <c r="N1051" s="14" t="e">
        <v>#N/A</v>
      </c>
      <c r="O1051" s="14" t="e">
        <v>#N/A</v>
      </c>
      <c r="P1051" s="14" t="e">
        <v>#N/A</v>
      </c>
      <c r="Q1051" s="14" t="e">
        <v>#N/A</v>
      </c>
      <c r="R1051" s="15" t="s">
        <v>36</v>
      </c>
      <c r="S1051" s="15" t="s">
        <v>5925</v>
      </c>
      <c r="T1051" s="16" t="s">
        <v>3477</v>
      </c>
      <c r="U1051" s="11" t="str">
        <f>_xlfn.XLOOKUP(Customer[[#This Row],[Customer ID]],[1]!Address[ID],[1]!Address[Phone No.(2)])</f>
        <v/>
      </c>
      <c r="V1051" s="11" t="str">
        <f>_xlfn.XLOOKUP(Customer[[#This Row],[Customer ID]],[1]!Address[ID],[1]!Address[Type])</f>
        <v>CAFE</v>
      </c>
      <c r="W1051" s="11" t="str">
        <f>_xlfn.XLOOKUP(Customer[[#This Row],[Customer ID]],[1]!Address[ID],[1]!Address[CT])</f>
        <v>30 DAYS</v>
      </c>
      <c r="X1051" s="11"/>
      <c r="Y1051" s="17" t="s">
        <v>5926</v>
      </c>
      <c r="Z1051" s="17" t="e">
        <f>_xlfn.XLOOKUP(Customer[[#This Row],[NewType]],$AF$36:$AF$54,$AG$36:$AG$54)</f>
        <v>#N/A</v>
      </c>
      <c r="AA1051" s="17" t="s">
        <v>7088</v>
      </c>
      <c r="AB1051" s="11" t="str">
        <f>_xlfn.XLOOKUP(Customer[[#This Row],[Customer ID]],[1]!Address[ID],[1]!Address[Subtype])</f>
        <v>PLUS</v>
      </c>
      <c r="AC1051" s="18">
        <f>_xlfn.XLOOKUP(Customer[[#This Row],[Customer ID]],[1]!Address[ID],[1]!Address[Zone])</f>
        <v>0</v>
      </c>
    </row>
    <row r="1052" spans="1:29" x14ac:dyDescent="0.3">
      <c r="A1052" s="37" t="s">
        <v>7089</v>
      </c>
      <c r="B1052" s="38" t="str">
        <f>_xlfn.XLOOKUP(Customer[[#This Row],[Customer ID]],[1]!Name[ID],[1]!Name[Description(1)])</f>
        <v>HOTEL CASUARINA@MERU</v>
      </c>
      <c r="C1052" s="38" t="str">
        <f>_xlfn.XLOOKUP(Customer[[#This Row],[Customer ID]],[1]!Name[ID],[1]!Name[Description(2)])</f>
        <v/>
      </c>
      <c r="D1052" s="38" t="str">
        <f>_xlfn.XLOOKUP(Customer[[#This Row],[Customer ID]],[1]!Address[ID],[1]!Address[PIC])</f>
        <v/>
      </c>
      <c r="E1052" s="38" t="str">
        <f>_xlfn.XLOOKUP(Customer[[#This Row],[Customer ID]],[1]!Address[ID],[1]!Address[Full Address])</f>
        <v>1-C, JALAN MERU CASUARINA,BANDAR MERU RAYA, 30020 IPOH,PERAK</v>
      </c>
      <c r="F1052" s="12" t="s">
        <v>7090</v>
      </c>
      <c r="G1052" s="12" t="s">
        <v>7091</v>
      </c>
      <c r="H1052" s="12" t="s">
        <v>36</v>
      </c>
      <c r="I1052" s="12" t="b">
        <f>ISNUMBER(VALUE(LEFT(Customer[[#This Row],[Address Line 3 (30 char)]],1)))</f>
        <v>0</v>
      </c>
      <c r="J1052" s="12" t="s">
        <v>242</v>
      </c>
      <c r="K1052" s="12">
        <v>30020</v>
      </c>
      <c r="L1052" s="12" t="s">
        <v>35</v>
      </c>
      <c r="M1052" s="13" t="e">
        <v>#N/A</v>
      </c>
      <c r="N1052" s="14" t="e">
        <v>#N/A</v>
      </c>
      <c r="O1052" s="14" t="e">
        <v>#N/A</v>
      </c>
      <c r="P1052" s="14" t="e">
        <v>#N/A</v>
      </c>
      <c r="Q1052" s="14" t="e">
        <v>#N/A</v>
      </c>
      <c r="R1052" s="15" t="s">
        <v>7092</v>
      </c>
      <c r="S1052" s="15" t="s">
        <v>5934</v>
      </c>
      <c r="T1052" s="16" t="s">
        <v>3477</v>
      </c>
      <c r="U1052" s="11" t="str">
        <f>_xlfn.XLOOKUP(Customer[[#This Row],[Customer ID]],[1]!Address[ID],[1]!Address[Phone No.(2)])</f>
        <v/>
      </c>
      <c r="V1052" s="11" t="str">
        <f>_xlfn.XLOOKUP(Customer[[#This Row],[Customer ID]],[1]!Address[ID],[1]!Address[Type])</f>
        <v>HOCA</v>
      </c>
      <c r="W1052" s="11" t="str">
        <f>_xlfn.XLOOKUP(Customer[[#This Row],[Customer ID]],[1]!Address[ID],[1]!Address[CT])</f>
        <v>30 DAYS</v>
      </c>
      <c r="X1052" s="11"/>
      <c r="Y1052" s="17" t="s">
        <v>6028</v>
      </c>
      <c r="Z1052" s="17" t="e">
        <f>_xlfn.XLOOKUP(Customer[[#This Row],[NewType]],$AF$36:$AF$54,$AG$36:$AG$54)</f>
        <v>#N/A</v>
      </c>
      <c r="AA1052" s="17" t="s">
        <v>7093</v>
      </c>
      <c r="AB1052" s="11" t="str">
        <f>_xlfn.XLOOKUP(Customer[[#This Row],[Customer ID]],[1]!Address[ID],[1]!Address[Subtype])</f>
        <v>CASUARINA</v>
      </c>
      <c r="AC1052" s="18" t="str">
        <f>_xlfn.XLOOKUP(Customer[[#This Row],[Customer ID]],[1]!Address[ID],[1]!Address[Zone])</f>
        <v>NORTH</v>
      </c>
    </row>
    <row r="1053" spans="1:29" x14ac:dyDescent="0.3">
      <c r="A1053" s="37" t="s">
        <v>7094</v>
      </c>
      <c r="B1053" s="38" t="str">
        <f>_xlfn.XLOOKUP(Customer[[#This Row],[Customer ID]],[1]!Name[ID],[1]!Name[Description(1)])</f>
        <v>PREMIERA HOTEL</v>
      </c>
      <c r="C1053" s="38" t="str">
        <f>_xlfn.XLOOKUP(Customer[[#This Row],[Customer ID]],[1]!Name[ID],[1]!Name[Description(2)])</f>
        <v>MARA INCORPORATED SDN BHD</v>
      </c>
      <c r="D1053" s="38" t="str">
        <f>_xlfn.XLOOKUP(Customer[[#This Row],[Customer ID]],[1]!Address[ID],[1]!Address[PIC])</f>
        <v>SABARINA/KAMARL</v>
      </c>
      <c r="E1053" s="38" t="str">
        <f>_xlfn.XLOOKUP(Customer[[#This Row],[Customer ID]],[1]!Address[ID],[1]!Address[Full Address])</f>
        <v>MENARA MARA, 232JALAN TUANKU ABDUL RAHMAN,50100 KUALA LUMPUR</v>
      </c>
      <c r="F1053" s="12" t="s">
        <v>7095</v>
      </c>
      <c r="G1053" s="12" t="s">
        <v>7096</v>
      </c>
      <c r="H1053" s="24"/>
      <c r="I1053" s="24" t="b">
        <f>ISNUMBER(VALUE(LEFT(Customer[[#This Row],[Address Line 3 (30 char)]],1)))</f>
        <v>0</v>
      </c>
      <c r="J1053" s="12" t="s">
        <v>34</v>
      </c>
      <c r="K1053" s="12">
        <v>50100</v>
      </c>
      <c r="L1053" s="12" t="s">
        <v>35</v>
      </c>
      <c r="M1053" s="13" t="e">
        <v>#N/A</v>
      </c>
      <c r="N1053" s="14" t="e">
        <v>#N/A</v>
      </c>
      <c r="O1053" s="14" t="e">
        <v>#N/A</v>
      </c>
      <c r="P1053" s="14" t="e">
        <v>#N/A</v>
      </c>
      <c r="Q1053" s="14" t="e">
        <v>#N/A</v>
      </c>
      <c r="R1053" s="15" t="s">
        <v>7097</v>
      </c>
      <c r="S1053" s="15" t="s">
        <v>5925</v>
      </c>
      <c r="T1053" s="16" t="s">
        <v>3477</v>
      </c>
      <c r="U1053" s="11" t="str">
        <f>_xlfn.XLOOKUP(Customer[[#This Row],[Customer ID]],[1]!Address[ID],[1]!Address[Phone No.(2)])</f>
        <v/>
      </c>
      <c r="V1053" s="11" t="str">
        <f>_xlfn.XLOOKUP(Customer[[#This Row],[Customer ID]],[1]!Address[ID],[1]!Address[Type])</f>
        <v>HOTEL</v>
      </c>
      <c r="W1053" s="11" t="str">
        <f>_xlfn.XLOOKUP(Customer[[#This Row],[Customer ID]],[1]!Address[ID],[1]!Address[CT])</f>
        <v>CASH</v>
      </c>
      <c r="X1053" s="11"/>
      <c r="Y1053" s="17" t="s">
        <v>6028</v>
      </c>
      <c r="Z1053" s="17" t="e">
        <f>_xlfn.XLOOKUP(Customer[[#This Row],[NewType]],$AF$36:$AF$54,$AG$36:$AG$54)</f>
        <v>#N/A</v>
      </c>
      <c r="AA1053" s="17" t="s">
        <v>7098</v>
      </c>
      <c r="AB1053" s="11" t="str">
        <f>_xlfn.XLOOKUP(Customer[[#This Row],[Customer ID]],[1]!Address[ID],[1]!Address[Subtype])</f>
        <v>PREMIERA</v>
      </c>
      <c r="AC1053" s="18" t="str">
        <f>_xlfn.XLOOKUP(Customer[[#This Row],[Customer ID]],[1]!Address[ID],[1]!Address[Zone])</f>
        <v>CENTRAL</v>
      </c>
    </row>
    <row r="1054" spans="1:29" x14ac:dyDescent="0.3">
      <c r="A1054" s="37" t="s">
        <v>7099</v>
      </c>
      <c r="B1054" s="38" t="str">
        <f>_xlfn.XLOOKUP(Customer[[#This Row],[Customer ID]],[1]!Name[ID],[1]!Name[Description(1)])</f>
        <v>NUR HOME CARE SDN BHD (964221-U)</v>
      </c>
      <c r="C1054" s="38" t="str">
        <f>_xlfn.XLOOKUP(Customer[[#This Row],[Customer ID]],[1]!Name[ID],[1]!Name[Description(2)])</f>
        <v/>
      </c>
      <c r="D1054" s="38" t="str">
        <f>_xlfn.XLOOKUP(Customer[[#This Row],[Customer ID]],[1]!Address[ID],[1]!Address[PIC])</f>
        <v/>
      </c>
      <c r="E1054" s="38" t="str">
        <f>_xlfn.XLOOKUP(Customer[[#This Row],[Customer ID]],[1]!Address[ID],[1]!Address[Full Address])</f>
        <v>NO 6-G-1, JALAN MEDAN PB 4 A,SEKSYEN 9, BANDAR BARU BANGI,43650 SELANGOR</v>
      </c>
      <c r="F1054" s="12" t="s">
        <v>7100</v>
      </c>
      <c r="G1054" s="12" t="s">
        <v>7101</v>
      </c>
      <c r="H1054" s="24"/>
      <c r="I1054" s="24" t="b">
        <f>ISNUMBER(VALUE(LEFT(Customer[[#This Row],[Address Line 3 (30 char)]],1)))</f>
        <v>0</v>
      </c>
      <c r="J1054" s="12" t="s">
        <v>1907</v>
      </c>
      <c r="K1054" s="12">
        <v>43650</v>
      </c>
      <c r="L1054" s="12" t="s">
        <v>35</v>
      </c>
      <c r="M1054" s="13" t="e">
        <v>#N/A</v>
      </c>
      <c r="N1054" s="14" t="e">
        <v>#N/A</v>
      </c>
      <c r="O1054" s="14" t="e">
        <v>#N/A</v>
      </c>
      <c r="P1054" s="14" t="e">
        <v>#N/A</v>
      </c>
      <c r="Q1054" s="14" t="e">
        <v>#N/A</v>
      </c>
      <c r="R1054" s="15" t="s">
        <v>7102</v>
      </c>
      <c r="S1054" s="15" t="s">
        <v>5917</v>
      </c>
      <c r="T1054" s="16" t="s">
        <v>3477</v>
      </c>
      <c r="U1054" s="11" t="str">
        <f>_xlfn.XLOOKUP(Customer[[#This Row],[Customer ID]],[1]!Address[ID],[1]!Address[Phone No.(2)])</f>
        <v/>
      </c>
      <c r="V1054" s="11" t="str">
        <f>_xlfn.XLOOKUP(Customer[[#This Row],[Customer ID]],[1]!Address[ID],[1]!Address[Type])</f>
        <v>CM</v>
      </c>
      <c r="W1054" s="11" t="str">
        <f>_xlfn.XLOOKUP(Customer[[#This Row],[Customer ID]],[1]!Address[ID],[1]!Address[CT])</f>
        <v>30 DAYS</v>
      </c>
      <c r="X1054" s="11"/>
      <c r="Y1054" s="17" t="s">
        <v>5918</v>
      </c>
      <c r="Z1054" s="17" t="e">
        <f>_xlfn.XLOOKUP(Customer[[#This Row],[NewType]],$AF$36:$AF$54,$AG$36:$AG$54)</f>
        <v>#N/A</v>
      </c>
      <c r="AA1054" s="17" t="s">
        <v>7103</v>
      </c>
      <c r="AB1054" s="11" t="str">
        <f>_xlfn.XLOOKUP(Customer[[#This Row],[Customer ID]],[1]!Address[ID],[1]!Address[Subtype])</f>
        <v>THB</v>
      </c>
      <c r="AC1054" s="18">
        <f>_xlfn.XLOOKUP(Customer[[#This Row],[Customer ID]],[1]!Address[ID],[1]!Address[Zone])</f>
        <v>0</v>
      </c>
    </row>
    <row r="1055" spans="1:29" x14ac:dyDescent="0.3">
      <c r="A1055" s="37" t="s">
        <v>7104</v>
      </c>
      <c r="B1055" s="38" t="str">
        <f>_xlfn.XLOOKUP(Customer[[#This Row],[Customer ID]],[1]!Name[ID],[1]!Name[Description(1)])</f>
        <v>KEDAI KESIHATAN WIRA</v>
      </c>
      <c r="C1055" s="38" t="str">
        <f>_xlfn.XLOOKUP(Customer[[#This Row],[Customer ID]],[1]!Name[ID],[1]!Name[Description(2)])</f>
        <v>NUR HOME CARE SDN BHD (964221-U)</v>
      </c>
      <c r="D1055" s="38" t="str">
        <f>_xlfn.XLOOKUP(Customer[[#This Row],[Customer ID]],[1]!Address[ID],[1]!Address[PIC])</f>
        <v/>
      </c>
      <c r="E1055" s="38" t="str">
        <f>_xlfn.XLOOKUP(Customer[[#This Row],[Customer ID]],[1]!Address[ID],[1]!Address[Full Address])</f>
        <v>ARAS 3, LOBI UTAMAHOSPITAL SELAYANG,LEBUHRAYA SELAYANG - KEPONG68100 BATU CAVES SELANGOR.</v>
      </c>
      <c r="F1055" s="12" t="s">
        <v>7105</v>
      </c>
      <c r="G1055" s="12" t="s">
        <v>6615</v>
      </c>
      <c r="H1055" s="12" t="s">
        <v>7106</v>
      </c>
      <c r="I1055" s="12" t="b">
        <f>ISNUMBER(VALUE(LEFT(Customer[[#This Row],[Address Line 3 (30 char)]],1)))</f>
        <v>0</v>
      </c>
      <c r="J1055" s="12" t="s">
        <v>1907</v>
      </c>
      <c r="K1055" s="12">
        <v>68100</v>
      </c>
      <c r="L1055" s="12" t="s">
        <v>35</v>
      </c>
      <c r="M1055" s="13" t="e">
        <v>#N/A</v>
      </c>
      <c r="N1055" s="14" t="e">
        <v>#N/A</v>
      </c>
      <c r="O1055" s="14" t="e">
        <v>#N/A</v>
      </c>
      <c r="P1055" s="14" t="e">
        <v>#N/A</v>
      </c>
      <c r="Q1055" s="14" t="e">
        <v>#N/A</v>
      </c>
      <c r="R1055" s="15" t="s">
        <v>7107</v>
      </c>
      <c r="S1055" s="15" t="s">
        <v>5917</v>
      </c>
      <c r="T1055" s="16" t="s">
        <v>3477</v>
      </c>
      <c r="U1055" s="11" t="str">
        <f>_xlfn.XLOOKUP(Customer[[#This Row],[Customer ID]],[1]!Address[ID],[1]!Address[Phone No.(2)])</f>
        <v/>
      </c>
      <c r="V1055" s="11" t="str">
        <f>_xlfn.XLOOKUP(Customer[[#This Row],[Customer ID]],[1]!Address[ID],[1]!Address[Type])</f>
        <v>CM</v>
      </c>
      <c r="W1055" s="11" t="str">
        <f>_xlfn.XLOOKUP(Customer[[#This Row],[Customer ID]],[1]!Address[ID],[1]!Address[CT])</f>
        <v>30 DAYS</v>
      </c>
      <c r="X1055" s="11"/>
      <c r="Y1055" s="17" t="s">
        <v>5918</v>
      </c>
      <c r="Z1055" s="17" t="e">
        <f>_xlfn.XLOOKUP(Customer[[#This Row],[NewType]],$AF$36:$AF$54,$AG$36:$AG$54)</f>
        <v>#N/A</v>
      </c>
      <c r="AA1055" s="17" t="s">
        <v>7108</v>
      </c>
      <c r="AB1055" s="11" t="str">
        <f>_xlfn.XLOOKUP(Customer[[#This Row],[Customer ID]],[1]!Address[ID],[1]!Address[Subtype])</f>
        <v>THB</v>
      </c>
      <c r="AC1055" s="18">
        <f>_xlfn.XLOOKUP(Customer[[#This Row],[Customer ID]],[1]!Address[ID],[1]!Address[Zone])</f>
        <v>0</v>
      </c>
    </row>
    <row r="1056" spans="1:29" x14ac:dyDescent="0.3">
      <c r="A1056" s="37" t="s">
        <v>7109</v>
      </c>
      <c r="B1056" s="38" t="str">
        <f>_xlfn.XLOOKUP(Customer[[#This Row],[Customer ID]],[1]!Name[ID],[1]!Name[Description(1)])</f>
        <v>ST ROSYAM MART SDN BHD (SETIAWANGSA)</v>
      </c>
      <c r="C1056" s="38" t="str">
        <f>_xlfn.XLOOKUP(Customer[[#This Row],[Customer ID]],[1]!Name[ID],[1]!Name[Description(2)])</f>
        <v>SRI TERNAK 1200903-A</v>
      </c>
      <c r="D1056" s="38" t="str">
        <f>_xlfn.XLOOKUP(Customer[[#This Row],[Customer ID]],[1]!Address[ID],[1]!Address[PIC])</f>
        <v>MARIANAH</v>
      </c>
      <c r="E1056" s="38" t="str">
        <f>_xlfn.XLOOKUP(Customer[[#This Row],[Customer ID]],[1]!Address[ID],[1]!Address[Full Address])</f>
        <v>LOT 3-13, GROUND FLOOR,DEWAN SRI ISKANDAR, JALAN SETIAWANGSA 8TAMAN SETIAWANGSA,</v>
      </c>
      <c r="F1056" s="12" t="s">
        <v>7110</v>
      </c>
      <c r="G1056" s="12" t="s">
        <v>7111</v>
      </c>
      <c r="H1056" s="24" t="s">
        <v>7112</v>
      </c>
      <c r="I1056" s="24" t="b">
        <f>ISNUMBER(VALUE(LEFT(Customer[[#This Row],[Address Line 3 (30 char)]],1)))</f>
        <v>0</v>
      </c>
      <c r="J1056" s="12" t="s">
        <v>34</v>
      </c>
      <c r="K1056" s="12">
        <v>54200</v>
      </c>
      <c r="L1056" s="12" t="s">
        <v>35</v>
      </c>
      <c r="M1056" s="13" t="e">
        <v>#N/A</v>
      </c>
      <c r="N1056" s="14" t="e">
        <v>#N/A</v>
      </c>
      <c r="O1056" s="14" t="e">
        <v>#N/A</v>
      </c>
      <c r="P1056" s="14" t="e">
        <v>#N/A</v>
      </c>
      <c r="Q1056" s="14" t="e">
        <v>#N/A</v>
      </c>
      <c r="R1056" s="15" t="s">
        <v>7113</v>
      </c>
      <c r="S1056" s="15" t="s">
        <v>5917</v>
      </c>
      <c r="T1056" s="16" t="s">
        <v>3477</v>
      </c>
      <c r="U1056" s="11" t="str">
        <f>_xlfn.XLOOKUP(Customer[[#This Row],[Customer ID]],[1]!Address[ID],[1]!Address[Phone No.(2)])</f>
        <v/>
      </c>
      <c r="V1056" s="11" t="str">
        <f>_xlfn.XLOOKUP(Customer[[#This Row],[Customer ID]],[1]!Address[ID],[1]!Address[Type])</f>
        <v>HM</v>
      </c>
      <c r="W1056" s="11" t="str">
        <f>_xlfn.XLOOKUP(Customer[[#This Row],[Customer ID]],[1]!Address[ID],[1]!Address[CT])</f>
        <v>60 DAYS</v>
      </c>
      <c r="X1056" s="11"/>
      <c r="Y1056" s="17" t="s">
        <v>5968</v>
      </c>
      <c r="Z1056" s="17" t="e">
        <f>_xlfn.XLOOKUP(Customer[[#This Row],[NewType]],$AF$36:$AF$54,$AG$36:$AG$54)</f>
        <v>#N/A</v>
      </c>
      <c r="AA1056" s="17" t="s">
        <v>7114</v>
      </c>
      <c r="AB1056" s="11" t="str">
        <f>_xlfn.XLOOKUP(Customer[[#This Row],[Customer ID]],[1]!Address[ID],[1]!Address[Subtype])</f>
        <v>ST ROSYAM</v>
      </c>
      <c r="AC1056" s="18" t="str">
        <f>_xlfn.XLOOKUP(Customer[[#This Row],[Customer ID]],[1]!Address[ID],[1]!Address[Zone])</f>
        <v>CENTRAL</v>
      </c>
    </row>
    <row r="1057" spans="1:30" x14ac:dyDescent="0.3">
      <c r="A1057" s="37" t="s">
        <v>7115</v>
      </c>
      <c r="B1057" s="38" t="str">
        <f>_xlfn.XLOOKUP(Customer[[#This Row],[Customer ID]],[1]!Name[ID],[1]!Name[Description(1)])</f>
        <v>ST ROSYAM MART SDN BHD, SEMENYIH</v>
      </c>
      <c r="C1057" s="38" t="str">
        <f>_xlfn.XLOOKUP(Customer[[#This Row],[Customer ID]],[1]!Name[ID],[1]!Name[Description(2)])</f>
        <v/>
      </c>
      <c r="D1057" s="38" t="str">
        <f>_xlfn.XLOOKUP(Customer[[#This Row],[Customer ID]],[1]!Address[ID],[1]!Address[PIC])</f>
        <v/>
      </c>
      <c r="E1057" s="38" t="str">
        <f>_xlfn.XLOOKUP(Customer[[#This Row],[Customer ID]],[1]!Address[ID],[1]!Address[Full Address])</f>
        <v>PT 35710 HSM 9116,BATU 22, JALAN BERANANG,MUKIM SEMENYIH,43500 SEMENYIH, SELANGOR</v>
      </c>
      <c r="F1057" s="12" t="s">
        <v>7116</v>
      </c>
      <c r="G1057" s="12" t="s">
        <v>7117</v>
      </c>
      <c r="H1057" s="12" t="s">
        <v>7118</v>
      </c>
      <c r="I1057" s="12" t="b">
        <f>ISNUMBER(VALUE(LEFT(Customer[[#This Row],[Address Line 3 (30 char)]],1)))</f>
        <v>0</v>
      </c>
      <c r="J1057" s="12" t="s">
        <v>1907</v>
      </c>
      <c r="K1057" s="12">
        <v>43500</v>
      </c>
      <c r="L1057" s="12" t="s">
        <v>35</v>
      </c>
      <c r="M1057" s="13" t="e">
        <v>#N/A</v>
      </c>
      <c r="N1057" s="14" t="e">
        <v>#N/A</v>
      </c>
      <c r="O1057" s="14" t="e">
        <v>#N/A</v>
      </c>
      <c r="P1057" s="14" t="e">
        <v>#N/A</v>
      </c>
      <c r="Q1057" s="14" t="e">
        <v>#N/A</v>
      </c>
      <c r="R1057" s="15" t="s">
        <v>7119</v>
      </c>
      <c r="S1057" s="15" t="s">
        <v>5917</v>
      </c>
      <c r="T1057" s="16" t="s">
        <v>3477</v>
      </c>
      <c r="U1057" s="11" t="str">
        <f>_xlfn.XLOOKUP(Customer[[#This Row],[Customer ID]],[1]!Address[ID],[1]!Address[Phone No.(2)])</f>
        <v/>
      </c>
      <c r="V1057" s="11" t="str">
        <f>_xlfn.XLOOKUP(Customer[[#This Row],[Customer ID]],[1]!Address[ID],[1]!Address[Type])</f>
        <v>HM</v>
      </c>
      <c r="W1057" s="11" t="str">
        <f>_xlfn.XLOOKUP(Customer[[#This Row],[Customer ID]],[1]!Address[ID],[1]!Address[CT])</f>
        <v>60 DAYS</v>
      </c>
      <c r="X1057" s="11"/>
      <c r="Y1057" s="17" t="s">
        <v>5968</v>
      </c>
      <c r="Z1057" s="17" t="e">
        <f>_xlfn.XLOOKUP(Customer[[#This Row],[NewType]],$AF$36:$AF$54,$AG$36:$AG$54)</f>
        <v>#N/A</v>
      </c>
      <c r="AA1057" s="17" t="s">
        <v>7120</v>
      </c>
      <c r="AB1057" s="11" t="str">
        <f>_xlfn.XLOOKUP(Customer[[#This Row],[Customer ID]],[1]!Address[ID],[1]!Address[Subtype])</f>
        <v>ST ROSYAM</v>
      </c>
      <c r="AC1057" s="18">
        <f>_xlfn.XLOOKUP(Customer[[#This Row],[Customer ID]],[1]!Address[ID],[1]!Address[Zone])</f>
        <v>0</v>
      </c>
    </row>
    <row r="1058" spans="1:30" x14ac:dyDescent="0.3">
      <c r="A1058" s="37" t="s">
        <v>7121</v>
      </c>
      <c r="B1058" s="38" t="str">
        <f>_xlfn.XLOOKUP(Customer[[#This Row],[Customer ID]],[1]!Name[ID],[1]!Name[Description(1)])</f>
        <v>ST ROSYAM MART (SG. BULOH) SDN BHD</v>
      </c>
      <c r="C1058" s="38" t="str">
        <f>_xlfn.XLOOKUP(Customer[[#This Row],[Customer ID]],[1]!Name[ID],[1]!Name[Description(2)])</f>
        <v>SRI TERNAK 0-000</v>
      </c>
      <c r="D1058" s="38" t="str">
        <f>_xlfn.XLOOKUP(Customer[[#This Row],[Customer ID]],[1]!Address[ID],[1]!Address[PIC])</f>
        <v/>
      </c>
      <c r="E1058" s="38" t="str">
        <f>_xlfn.XLOOKUP(Customer[[#This Row],[Customer ID]],[1]!Address[ID],[1]!Address[Full Address])</f>
        <v>LOT 21117 (PT 6394), JALAN BESAR,BANDAR BARU SG BULOH, SEKSYEN U20,40160 SHAH ALAM, SELANGOR</v>
      </c>
      <c r="F1058" s="12" t="s">
        <v>7122</v>
      </c>
      <c r="G1058" s="12" t="s">
        <v>7123</v>
      </c>
      <c r="H1058" s="12" t="s">
        <v>7124</v>
      </c>
      <c r="I1058" s="12" t="b">
        <f>ISNUMBER(VALUE(LEFT(Customer[[#This Row],[Address Line 3 (30 char)]],1)))</f>
        <v>0</v>
      </c>
      <c r="J1058" s="12" t="s">
        <v>172</v>
      </c>
      <c r="K1058" s="12">
        <v>40160</v>
      </c>
      <c r="L1058" s="12" t="s">
        <v>35</v>
      </c>
      <c r="M1058" s="13" t="e">
        <v>#N/A</v>
      </c>
      <c r="N1058" s="14" t="e">
        <v>#N/A</v>
      </c>
      <c r="O1058" s="14" t="e">
        <v>#N/A</v>
      </c>
      <c r="P1058" s="14" t="e">
        <v>#N/A</v>
      </c>
      <c r="Q1058" s="14" t="e">
        <v>#N/A</v>
      </c>
      <c r="R1058" s="15" t="s">
        <v>7125</v>
      </c>
      <c r="S1058" s="15" t="s">
        <v>5917</v>
      </c>
      <c r="T1058" s="16" t="s">
        <v>3477</v>
      </c>
      <c r="U1058" s="11" t="str">
        <f>_xlfn.XLOOKUP(Customer[[#This Row],[Customer ID]],[1]!Address[ID],[1]!Address[Phone No.(2)])</f>
        <v/>
      </c>
      <c r="V1058" s="11" t="str">
        <f>_xlfn.XLOOKUP(Customer[[#This Row],[Customer ID]],[1]!Address[ID],[1]!Address[Type])</f>
        <v>HM</v>
      </c>
      <c r="W1058" s="11" t="str">
        <f>_xlfn.XLOOKUP(Customer[[#This Row],[Customer ID]],[1]!Address[ID],[1]!Address[CT])</f>
        <v>60 DAYS</v>
      </c>
      <c r="X1058" s="11"/>
      <c r="Y1058" s="17" t="s">
        <v>5968</v>
      </c>
      <c r="Z1058" s="17" t="e">
        <f>_xlfn.XLOOKUP(Customer[[#This Row],[NewType]],$AF$36:$AF$54,$AG$36:$AG$54)</f>
        <v>#N/A</v>
      </c>
      <c r="AA1058" s="17" t="s">
        <v>7126</v>
      </c>
      <c r="AB1058" s="11" t="str">
        <f>_xlfn.XLOOKUP(Customer[[#This Row],[Customer ID]],[1]!Address[ID],[1]!Address[Subtype])</f>
        <v>ST ROSYAM</v>
      </c>
      <c r="AC1058" s="18" t="str">
        <f>_xlfn.XLOOKUP(Customer[[#This Row],[Customer ID]],[1]!Address[ID],[1]!Address[Zone])</f>
        <v>RIAUNDARH</v>
      </c>
    </row>
    <row r="1059" spans="1:30" x14ac:dyDescent="0.3">
      <c r="A1059" s="10" t="s">
        <v>7127</v>
      </c>
      <c r="B1059" s="11" t="str">
        <f>_xlfn.XLOOKUP(Customer[[#This Row],[Customer ID]],[1]!Name[ID],[1]!Name[Description(1)])</f>
        <v>MS PEI LING</v>
      </c>
      <c r="C1059" s="62" t="str">
        <f>_xlfn.XLOOKUP(Customer[[#This Row],[Customer ID]],[1]!Name[ID],[1]!Name[Description(2)])</f>
        <v/>
      </c>
      <c r="D1059" s="62" t="str">
        <f>_xlfn.XLOOKUP(Customer[[#This Row],[Customer ID]],[1]!Address[ID],[1]!Address[PIC])</f>
        <v/>
      </c>
      <c r="E1059" s="38" t="str">
        <f>_xlfn.XLOOKUP(Customer[[#This Row],[Customer ID]],[1]!Address[ID],[1]!Address[Full Address])</f>
        <v>NO.37, LORONG PENDING 1C,BANDAR PUTERI KLANG,41200 KLANG, SELANGOR</v>
      </c>
      <c r="F1059" s="63" t="s">
        <v>7128</v>
      </c>
      <c r="G1059" s="63" t="s">
        <v>7129</v>
      </c>
      <c r="H1059" s="64" t="s">
        <v>827</v>
      </c>
      <c r="I1059" s="64" t="b">
        <f>ISNUMBER(VALUE(LEFT(Customer[[#This Row],[Address Line 3 (30 char)]],1)))</f>
        <v>0</v>
      </c>
      <c r="J1059" s="63" t="s">
        <v>1907</v>
      </c>
      <c r="K1059" s="63">
        <v>41200</v>
      </c>
      <c r="L1059" s="63" t="s">
        <v>35</v>
      </c>
      <c r="M1059" s="65" t="e">
        <v>#N/A</v>
      </c>
      <c r="N1059" s="66" t="e">
        <v>#N/A</v>
      </c>
      <c r="O1059" s="66" t="e">
        <v>#N/A</v>
      </c>
      <c r="P1059" s="66" t="e">
        <v>#N/A</v>
      </c>
      <c r="Q1059" s="66" t="e">
        <v>#N/A</v>
      </c>
      <c r="R1059" s="67" t="s">
        <v>7130</v>
      </c>
      <c r="S1059" s="15" t="s">
        <v>6418</v>
      </c>
      <c r="T1059" s="16" t="s">
        <v>3477</v>
      </c>
      <c r="U1059" s="68" t="str">
        <f>_xlfn.XLOOKUP(Customer[[#This Row],[Customer ID]],[1]!Address[ID],[1]!Address[Phone No.(2)])</f>
        <v/>
      </c>
      <c r="V1059" s="68" t="str">
        <f>_xlfn.XLOOKUP(Customer[[#This Row],[Customer ID]],[1]!Address[ID],[1]!Address[Type])</f>
        <v>SOCMED</v>
      </c>
      <c r="W1059" s="68" t="str">
        <f>_xlfn.XLOOKUP(Customer[[#This Row],[Customer ID]],[1]!Address[ID],[1]!Address[CT])</f>
        <v>CASH</v>
      </c>
      <c r="X1059" s="68"/>
      <c r="Y1059" s="69" t="s">
        <v>90</v>
      </c>
      <c r="Z1059" s="69" t="e">
        <f>_xlfn.XLOOKUP(Customer[[#This Row],[NewType]],$AF$36:$AF$54,$AG$36:$AG$54)</f>
        <v>#N/A</v>
      </c>
      <c r="AA1059" s="69" t="s">
        <v>7131</v>
      </c>
      <c r="AB1059" s="68" t="str">
        <f>_xlfn.XLOOKUP(Customer[[#This Row],[Customer ID]],[1]!Address[ID],[1]!Address[Subtype])</f>
        <v>WHATSAPP</v>
      </c>
      <c r="AC1059" s="70" t="str">
        <f>_xlfn.XLOOKUP(Customer[[#This Row],[Customer ID]],[1]!Address[ID],[1]!Address[Zone])</f>
        <v>CENTRAL</v>
      </c>
      <c r="AD1059" s="71"/>
    </row>
    <row r="1060" spans="1:30" x14ac:dyDescent="0.3">
      <c r="A1060" s="37" t="s">
        <v>7132</v>
      </c>
      <c r="B1060" s="38" t="str">
        <f>_xlfn.XLOOKUP(Customer[[#This Row],[Customer ID]],[1]!Name[ID],[1]!Name[Description(1)])</f>
        <v>ST ROSYAM MART (SHAH ALAM) SDN BHD</v>
      </c>
      <c r="C1060" s="38" t="str">
        <f>_xlfn.XLOOKUP(Customer[[#This Row],[Customer ID]],[1]!Name[ID],[1]!Name[Description(2)])</f>
        <v>SRI TERNAK 1301133-A</v>
      </c>
      <c r="D1060" s="38" t="str">
        <f>_xlfn.XLOOKUP(Customer[[#This Row],[Customer ID]],[1]!Address[ID],[1]!Address[PIC])</f>
        <v/>
      </c>
      <c r="E1060" s="38" t="str">
        <f>_xlfn.XLOOKUP(Customer[[#This Row],[Customer ID]],[1]!Address[ID],[1]!Address[Full Address])</f>
        <v>LOT NO.1, (PT 575),JALAN TENGKU AMPUAN ZABEDAH G 9/G,SEKSYEN 9, 40100 SHAH ALAM SELANGOR</v>
      </c>
      <c r="F1060" s="12" t="s">
        <v>7133</v>
      </c>
      <c r="G1060" s="12" t="s">
        <v>7134</v>
      </c>
      <c r="H1060" s="12" t="s">
        <v>7135</v>
      </c>
      <c r="I1060" s="12" t="b">
        <f>ISNUMBER(VALUE(LEFT(Customer[[#This Row],[Address Line 3 (30 char)]],1)))</f>
        <v>0</v>
      </c>
      <c r="J1060" s="12" t="s">
        <v>1907</v>
      </c>
      <c r="K1060" s="12">
        <v>40100</v>
      </c>
      <c r="L1060" s="12" t="s">
        <v>35</v>
      </c>
      <c r="M1060" s="13" t="e">
        <v>#N/A</v>
      </c>
      <c r="N1060" s="14" t="e">
        <v>#N/A</v>
      </c>
      <c r="O1060" s="14" t="e">
        <v>#N/A</v>
      </c>
      <c r="P1060" s="14" t="e">
        <v>#N/A</v>
      </c>
      <c r="Q1060" s="14" t="e">
        <v>#N/A</v>
      </c>
      <c r="R1060" s="15" t="s">
        <v>7136</v>
      </c>
      <c r="S1060" s="15" t="s">
        <v>5917</v>
      </c>
      <c r="T1060" s="16" t="s">
        <v>3477</v>
      </c>
      <c r="U1060" s="11" t="str">
        <f>_xlfn.XLOOKUP(Customer[[#This Row],[Customer ID]],[1]!Address[ID],[1]!Address[Phone No.(2)])</f>
        <v/>
      </c>
      <c r="V1060" s="11" t="str">
        <f>_xlfn.XLOOKUP(Customer[[#This Row],[Customer ID]],[1]!Address[ID],[1]!Address[Type])</f>
        <v>HM</v>
      </c>
      <c r="W1060" s="11" t="str">
        <f>_xlfn.XLOOKUP(Customer[[#This Row],[Customer ID]],[1]!Address[ID],[1]!Address[CT])</f>
        <v>60 DAYS</v>
      </c>
      <c r="X1060" s="11"/>
      <c r="Y1060" s="17" t="s">
        <v>5968</v>
      </c>
      <c r="Z1060" s="17" t="e">
        <f>_xlfn.XLOOKUP(Customer[[#This Row],[NewType]],$AF$36:$AF$54,$AG$36:$AG$54)</f>
        <v>#N/A</v>
      </c>
      <c r="AA1060" s="17" t="s">
        <v>7137</v>
      </c>
      <c r="AB1060" s="11" t="str">
        <f>_xlfn.XLOOKUP(Customer[[#This Row],[Customer ID]],[1]!Address[ID],[1]!Address[Subtype])</f>
        <v>ST ROSYAM</v>
      </c>
      <c r="AC1060" s="18" t="str">
        <f>_xlfn.XLOOKUP(Customer[[#This Row],[Customer ID]],[1]!Address[ID],[1]!Address[Zone])</f>
        <v>RIAULANH</v>
      </c>
    </row>
    <row r="1061" spans="1:30" x14ac:dyDescent="0.3">
      <c r="A1061" s="45" t="s">
        <v>7138</v>
      </c>
      <c r="B1061" s="32" t="str">
        <f>_xlfn.XLOOKUP(Customer[[#This Row],[Customer ID]],[1]!Name[ID],[1]!Name[Description(1)])</f>
        <v>CIKGU SUZI (MTAA)</v>
      </c>
      <c r="C1061" s="32" t="str">
        <f>_xlfn.XLOOKUP(Customer[[#This Row],[Customer ID]],[1]!Name[ID],[1]!Name[Description(2)])</f>
        <v/>
      </c>
      <c r="D1061" s="38" t="str">
        <f>_xlfn.XLOOKUP(Customer[[#This Row],[Customer ID]],[1]!Address[ID],[1]!Address[PIC])</f>
        <v/>
      </c>
      <c r="E1061" s="38" t="str">
        <f>_xlfn.XLOOKUP(Customer[[#This Row],[Customer ID]],[1]!Address[ID],[1]!Address[Full Address])</f>
        <v>MAAHAD TAHFIZ AL AMMAR</v>
      </c>
      <c r="F1061" s="12" t="s">
        <v>7139</v>
      </c>
      <c r="G1061" s="12" t="s">
        <v>36</v>
      </c>
      <c r="H1061" s="12" t="s">
        <v>36</v>
      </c>
      <c r="I1061" s="12" t="b">
        <f>ISNUMBER(VALUE(LEFT(Customer[[#This Row],[Address Line 3 (30 char)]],1)))</f>
        <v>0</v>
      </c>
      <c r="J1061" s="32"/>
      <c r="K1061" s="32"/>
      <c r="L1061" s="12" t="s">
        <v>35</v>
      </c>
      <c r="M1061" s="13" t="e">
        <v>#N/A</v>
      </c>
      <c r="N1061" s="14" t="e">
        <v>#N/A</v>
      </c>
      <c r="O1061" s="14" t="e">
        <v>#N/A</v>
      </c>
      <c r="P1061" s="14" t="e">
        <v>#N/A</v>
      </c>
      <c r="Q1061" s="14" t="e">
        <v>#N/A</v>
      </c>
      <c r="R1061" s="15" t="s">
        <v>7140</v>
      </c>
      <c r="S1061" s="16" t="s">
        <v>6283</v>
      </c>
      <c r="T1061" s="16"/>
      <c r="U1061" s="11" t="str">
        <f>_xlfn.XLOOKUP(Customer[[#This Row],[Customer ID]],[1]!Address[ID],[1]!Address[Phone No.(2)])</f>
        <v/>
      </c>
      <c r="V1061" s="11" t="str">
        <f>_xlfn.XLOOKUP(Customer[[#This Row],[Customer ID]],[1]!Address[ID],[1]!Address[Type])</f>
        <v>WALK IN</v>
      </c>
      <c r="W1061" s="11" t="str">
        <f>_xlfn.XLOOKUP(Customer[[#This Row],[Customer ID]],[1]!Address[ID],[1]!Address[CT])</f>
        <v/>
      </c>
      <c r="X1061" s="11"/>
      <c r="Y1061" s="17" t="s">
        <v>6284</v>
      </c>
      <c r="Z1061" s="17" t="e">
        <f>_xlfn.XLOOKUP(Customer[[#This Row],[NewType]],$AF$36:$AF$54,$AG$36:$AG$54)</f>
        <v>#N/A</v>
      </c>
      <c r="AA1061" s="17" t="s">
        <v>7141</v>
      </c>
      <c r="AB1061" s="11" t="str">
        <f>_xlfn.XLOOKUP(Customer[[#This Row],[Customer ID]],[1]!Address[ID],[1]!Address[Subtype])</f>
        <v>STAFF</v>
      </c>
      <c r="AC1061" s="18" t="str">
        <f>_xlfn.XLOOKUP(Customer[[#This Row],[Customer ID]],[1]!Address[ID],[1]!Address[Zone])</f>
        <v>CENTRAL</v>
      </c>
    </row>
    <row r="1062" spans="1:30" x14ac:dyDescent="0.3">
      <c r="A1062" s="39" t="s">
        <v>7142</v>
      </c>
      <c r="B1062" s="40" t="str">
        <f>_xlfn.XLOOKUP(Customer[[#This Row],[Customer ID]],[1]!Name[ID],[1]!Name[Description(1)])</f>
        <v>HAMUUDI HEALTH SDN BHD (752020-D)</v>
      </c>
      <c r="C1062" s="38" t="str">
        <f>_xlfn.XLOOKUP(Customer[[#This Row],[Customer ID]],[1]!Name[ID],[1]!Name[Description(2)])</f>
        <v/>
      </c>
      <c r="D1062" s="38" t="str">
        <f>_xlfn.XLOOKUP(Customer[[#This Row],[Customer ID]],[1]!Address[ID],[1]!Address[PIC])</f>
        <v/>
      </c>
      <c r="E1062" s="38" t="str">
        <f>_xlfn.XLOOKUP(Customer[[#This Row],[Customer ID]],[1]!Address[ID],[1]!Address[Full Address])</f>
        <v/>
      </c>
      <c r="F1062" s="12" t="s">
        <v>36</v>
      </c>
      <c r="G1062" s="12" t="s">
        <v>36</v>
      </c>
      <c r="H1062" s="12" t="s">
        <v>36</v>
      </c>
      <c r="I1062" s="12" t="b">
        <f>ISNUMBER(VALUE(LEFT(Customer[[#This Row],[Address Line 3 (30 char)]],1)))</f>
        <v>0</v>
      </c>
      <c r="J1062" s="12" t="s">
        <v>1907</v>
      </c>
      <c r="K1062" s="12">
        <v>41200</v>
      </c>
      <c r="L1062" s="12" t="s">
        <v>35</v>
      </c>
      <c r="M1062" s="13" t="e">
        <v>#N/A</v>
      </c>
      <c r="N1062" s="14" t="e">
        <v>#N/A</v>
      </c>
      <c r="O1062" s="14" t="e">
        <v>#N/A</v>
      </c>
      <c r="P1062" s="14" t="e">
        <v>#N/A</v>
      </c>
      <c r="Q1062" s="14" t="e">
        <v>#N/A</v>
      </c>
      <c r="R1062" s="15" t="s">
        <v>36</v>
      </c>
      <c r="S1062" s="15" t="s">
        <v>3476</v>
      </c>
      <c r="T1062" s="16" t="s">
        <v>3477</v>
      </c>
      <c r="U1062" s="11" t="str">
        <f>_xlfn.XLOOKUP(Customer[[#This Row],[Customer ID]],[1]!Address[ID],[1]!Address[Phone No.(2)])</f>
        <v/>
      </c>
      <c r="V1062" s="11" t="str">
        <f>_xlfn.XLOOKUP(Customer[[#This Row],[Customer ID]],[1]!Address[ID],[1]!Address[Type])</f>
        <v>CM</v>
      </c>
      <c r="W1062" s="11" t="str">
        <f>_xlfn.XLOOKUP(Customer[[#This Row],[Customer ID]],[1]!Address[ID],[1]!Address[CT])</f>
        <v>30 DAYS</v>
      </c>
      <c r="X1062" s="11"/>
      <c r="Y1062" s="17" t="s">
        <v>5918</v>
      </c>
      <c r="Z1062" s="17" t="e">
        <f>_xlfn.XLOOKUP(Customer[[#This Row],[NewType]],$AF$36:$AF$54,$AG$36:$AG$54)</f>
        <v>#N/A</v>
      </c>
      <c r="AA1062" s="17" t="s">
        <v>7143</v>
      </c>
      <c r="AB1062" s="11" t="str">
        <f>_xlfn.XLOOKUP(Customer[[#This Row],[Customer ID]],[1]!Address[ID],[1]!Address[Subtype])</f>
        <v>THB</v>
      </c>
      <c r="AC1062" s="18">
        <f>_xlfn.XLOOKUP(Customer[[#This Row],[Customer ID]],[1]!Address[ID],[1]!Address[Zone])</f>
        <v>0</v>
      </c>
    </row>
    <row r="1063" spans="1:30" x14ac:dyDescent="0.3">
      <c r="A1063" s="37" t="s">
        <v>7144</v>
      </c>
      <c r="B1063" s="38" t="str">
        <f>_xlfn.XLOOKUP(Customer[[#This Row],[Customer ID]],[1]!Name[ID],[1]!Name[Description(1)])</f>
        <v>ISMADI ISMAIL</v>
      </c>
      <c r="C1063" s="38" t="str">
        <f>_xlfn.XLOOKUP(Customer[[#This Row],[Customer ID]],[1]!Name[ID],[1]!Name[Description(2)])</f>
        <v/>
      </c>
      <c r="D1063" s="38" t="str">
        <f>_xlfn.XLOOKUP(Customer[[#This Row],[Customer ID]],[1]!Address[ID],[1]!Address[PIC])</f>
        <v/>
      </c>
      <c r="E1063" s="38" t="str">
        <f>_xlfn.XLOOKUP(Customer[[#This Row],[Customer ID]],[1]!Address[ID],[1]!Address[Full Address])</f>
        <v>PT 227, KG. PULAU PISANG,JALAN KUALA BESAR,15350 KOTA BHARU, KELANTAN</v>
      </c>
      <c r="F1063" s="12" t="s">
        <v>7145</v>
      </c>
      <c r="G1063" s="12" t="s">
        <v>7146</v>
      </c>
      <c r="H1063" s="24" t="s">
        <v>2824</v>
      </c>
      <c r="I1063" s="24" t="b">
        <f>ISNUMBER(VALUE(LEFT(Customer[[#This Row],[Address Line 3 (30 char)]],1)))</f>
        <v>0</v>
      </c>
      <c r="J1063" s="12" t="s">
        <v>1007</v>
      </c>
      <c r="K1063" s="12">
        <v>15350</v>
      </c>
      <c r="L1063" s="12" t="s">
        <v>35</v>
      </c>
      <c r="M1063" s="13" t="e">
        <v>#N/A</v>
      </c>
      <c r="N1063" s="14" t="e">
        <v>#N/A</v>
      </c>
      <c r="O1063" s="14" t="e">
        <v>#N/A</v>
      </c>
      <c r="P1063" s="14" t="e">
        <v>#N/A</v>
      </c>
      <c r="Q1063" s="14" t="e">
        <v>#N/A</v>
      </c>
      <c r="R1063" s="15" t="s">
        <v>7147</v>
      </c>
      <c r="S1063" s="15"/>
      <c r="T1063" s="16" t="s">
        <v>6749</v>
      </c>
      <c r="U1063" s="11" t="str">
        <f>_xlfn.XLOOKUP(Customer[[#This Row],[Customer ID]],[1]!Address[ID],[1]!Address[Phone No.(2)])</f>
        <v/>
      </c>
      <c r="V1063" s="11" t="str">
        <f>_xlfn.XLOOKUP(Customer[[#This Row],[Customer ID]],[1]!Address[ID],[1]!Address[Type])</f>
        <v>WALK IN</v>
      </c>
      <c r="W1063" s="11" t="str">
        <f>_xlfn.XLOOKUP(Customer[[#This Row],[Customer ID]],[1]!Address[ID],[1]!Address[CT])</f>
        <v/>
      </c>
      <c r="X1063" s="11"/>
      <c r="Y1063" s="17" t="s">
        <v>6284</v>
      </c>
      <c r="Z1063" s="17" t="e">
        <f>_xlfn.XLOOKUP(Customer[[#This Row],[NewType]],$AF$36:$AF$54,$AG$36:$AG$54)</f>
        <v>#N/A</v>
      </c>
      <c r="AA1063" s="17" t="s">
        <v>7148</v>
      </c>
      <c r="AB1063" s="11" t="str">
        <f>_xlfn.XLOOKUP(Customer[[#This Row],[Customer ID]],[1]!Address[ID],[1]!Address[Subtype])</f>
        <v>KB</v>
      </c>
      <c r="AC1063" s="18" t="str">
        <f>_xlfn.XLOOKUP(Customer[[#This Row],[Customer ID]],[1]!Address[ID],[1]!Address[Zone])</f>
        <v>EAST COAST</v>
      </c>
    </row>
    <row r="1064" spans="1:30" x14ac:dyDescent="0.3">
      <c r="A1064" s="37" t="s">
        <v>7149</v>
      </c>
      <c r="B1064" s="38" t="str">
        <f>_xlfn.XLOOKUP(Customer[[#This Row],[Customer ID]],[1]!Name[ID],[1]!Name[Description(1)])</f>
        <v>UGO MART TAMAN KERAMAT</v>
      </c>
      <c r="C1064" s="38" t="str">
        <f>_xlfn.XLOOKUP(Customer[[#This Row],[Customer ID]],[1]!Name[ID],[1]!Name[Description(2)])</f>
        <v/>
      </c>
      <c r="D1064" s="38" t="str">
        <f>_xlfn.XLOOKUP(Customer[[#This Row],[Customer ID]],[1]!Address[ID],[1]!Address[PIC])</f>
        <v>TUAN SAIFUL</v>
      </c>
      <c r="E1064" s="38" t="str">
        <f>_xlfn.XLOOKUP(Customer[[#This Row],[Customer ID]],[1]!Address[ID],[1]!Address[Full Address])</f>
        <v>NO 16 GROUND FLOOR,JALAN AU 1A/4C, TAMAN KERAMAT PERMAI,54200 KUALA LUMPUR,FEDERAL TERRITORY OF KUALA LUMPUR.</v>
      </c>
      <c r="F1064" s="12" t="s">
        <v>7150</v>
      </c>
      <c r="G1064" s="12" t="s">
        <v>7151</v>
      </c>
      <c r="H1064" s="24"/>
      <c r="I1064" s="24" t="b">
        <f>ISNUMBER(VALUE(LEFT(Customer[[#This Row],[Address Line 3 (30 char)]],1)))</f>
        <v>0</v>
      </c>
      <c r="J1064" s="12" t="s">
        <v>34</v>
      </c>
      <c r="K1064" s="12">
        <v>54200</v>
      </c>
      <c r="L1064" s="12" t="s">
        <v>35</v>
      </c>
      <c r="M1064" s="13"/>
      <c r="N1064" s="14"/>
      <c r="O1064" s="14" t="e">
        <v>#N/A</v>
      </c>
      <c r="P1064" s="14" t="e">
        <v>#N/A</v>
      </c>
      <c r="Q1064" s="14" t="e">
        <v>#N/A</v>
      </c>
      <c r="R1064" s="15" t="s">
        <v>7152</v>
      </c>
      <c r="S1064" s="15" t="s">
        <v>5934</v>
      </c>
      <c r="T1064" s="16" t="s">
        <v>3477</v>
      </c>
      <c r="U1064" s="11" t="str">
        <f>_xlfn.XLOOKUP(Customer[[#This Row],[Customer ID]],[1]!Address[ID],[1]!Address[Phone No.(2)])</f>
        <v/>
      </c>
      <c r="V1064" s="11" t="str">
        <f>_xlfn.XLOOKUP(Customer[[#This Row],[Customer ID]],[1]!Address[ID],[1]!Address[Type])</f>
        <v>CM</v>
      </c>
      <c r="W1064" s="11" t="str">
        <f>_xlfn.XLOOKUP(Customer[[#This Row],[Customer ID]],[1]!Address[ID],[1]!Address[CT])</f>
        <v>30 DAYS</v>
      </c>
      <c r="X1064" s="11"/>
      <c r="Y1064" s="17" t="s">
        <v>5918</v>
      </c>
      <c r="Z1064" s="17" t="e">
        <f>_xlfn.XLOOKUP(Customer[[#This Row],[NewType]],$AF$36:$AF$54,$AG$36:$AG$54)</f>
        <v>#N/A</v>
      </c>
      <c r="AA1064" s="17" t="s">
        <v>7153</v>
      </c>
      <c r="AB1064" s="11" t="str">
        <f>_xlfn.XLOOKUP(Customer[[#This Row],[Customer ID]],[1]!Address[ID],[1]!Address[Subtype])</f>
        <v>UGO MART</v>
      </c>
      <c r="AC1064" s="18" t="str">
        <f>_xlfn.XLOOKUP(Customer[[#This Row],[Customer ID]],[1]!Address[ID],[1]!Address[Zone])</f>
        <v>CENTRAL</v>
      </c>
    </row>
    <row r="1065" spans="1:30" x14ac:dyDescent="0.3">
      <c r="A1065" s="37" t="s">
        <v>7154</v>
      </c>
      <c r="B1065" s="38" t="str">
        <f>_xlfn.XLOOKUP(Customer[[#This Row],[Customer ID]],[1]!Name[ID],[1]!Name[Description(1)])</f>
        <v>POS SHOP DISTRIBUTOR CENTRE</v>
      </c>
      <c r="C1065" s="38" t="str">
        <f>_xlfn.XLOOKUP(Customer[[#This Row],[Customer ID]],[1]!Name[ID],[1]!Name[Description(2)])</f>
        <v>POS MALAYSIA BERHAD</v>
      </c>
      <c r="D1065" s="38" t="str">
        <f>_xlfn.XLOOKUP(Customer[[#This Row],[Customer ID]],[1]!Address[ID],[1]!Address[PIC])</f>
        <v>MUHAMMAD HAQIMI</v>
      </c>
      <c r="E1065" s="38" t="str">
        <f>_xlfn.XLOOKUP(Customer[[#This Row],[Customer ID]],[1]!Address[ID],[1]!Address[Full Address])</f>
        <v>PUSAT MEL NASIONAL,PERSIARAN PERKILANGAN, SEKSYEN 21,40300 SHAH ALAM, SELANGOR.</v>
      </c>
      <c r="F1065" s="12" t="s">
        <v>7155</v>
      </c>
      <c r="G1065" s="12" t="s">
        <v>7156</v>
      </c>
      <c r="H1065" s="24" t="s">
        <v>4488</v>
      </c>
      <c r="I1065" s="24" t="b">
        <f>ISNUMBER(VALUE(LEFT(Customer[[#This Row],[Address Line 3 (30 char)]],1)))</f>
        <v>0</v>
      </c>
      <c r="J1065" s="12" t="s">
        <v>172</v>
      </c>
      <c r="K1065" s="12">
        <v>40300</v>
      </c>
      <c r="L1065" s="12" t="s">
        <v>35</v>
      </c>
      <c r="M1065" s="13">
        <v>199501000298</v>
      </c>
      <c r="N1065" s="14" t="s">
        <v>7157</v>
      </c>
      <c r="O1065" s="14" t="e">
        <v>#N/A</v>
      </c>
      <c r="P1065" s="14" t="e">
        <v>#N/A</v>
      </c>
      <c r="Q1065" s="14" t="e">
        <v>#N/A</v>
      </c>
      <c r="R1065" s="15" t="s">
        <v>7158</v>
      </c>
      <c r="S1065" s="15" t="s">
        <v>5934</v>
      </c>
      <c r="T1065" s="16" t="s">
        <v>3477</v>
      </c>
      <c r="U1065" s="11" t="str">
        <f>_xlfn.XLOOKUP(Customer[[#This Row],[Customer ID]],[1]!Address[ID],[1]!Address[Phone No.(2)])</f>
        <v/>
      </c>
      <c r="V1065" s="11" t="str">
        <f>_xlfn.XLOOKUP(Customer[[#This Row],[Customer ID]],[1]!Address[ID],[1]!Address[Type])</f>
        <v>CORPORATE</v>
      </c>
      <c r="W1065" s="11" t="str">
        <f>_xlfn.XLOOKUP(Customer[[#This Row],[Customer ID]],[1]!Address[ID],[1]!Address[CT])</f>
        <v>60 DAYS</v>
      </c>
      <c r="X1065" s="11"/>
      <c r="Y1065" s="17" t="s">
        <v>6418</v>
      </c>
      <c r="Z1065" s="17" t="e">
        <f>_xlfn.XLOOKUP(Customer[[#This Row],[NewType]],$AF$36:$AF$54,$AG$36:$AG$54)</f>
        <v>#N/A</v>
      </c>
      <c r="AA1065" s="17" t="s">
        <v>7159</v>
      </c>
      <c r="AB1065" s="11" t="str">
        <f>_xlfn.XLOOKUP(Customer[[#This Row],[Customer ID]],[1]!Address[ID],[1]!Address[Subtype])</f>
        <v>POS SHOP</v>
      </c>
      <c r="AC1065" s="18" t="str">
        <f>_xlfn.XLOOKUP(Customer[[#This Row],[Customer ID]],[1]!Address[ID],[1]!Address[Zone])</f>
        <v>HOTEH</v>
      </c>
    </row>
    <row r="1066" spans="1:30" x14ac:dyDescent="0.3">
      <c r="A1066" s="37" t="s">
        <v>7160</v>
      </c>
      <c r="B1066" s="38" t="str">
        <f>_xlfn.XLOOKUP(Customer[[#This Row],[Customer ID]],[1]!Name[ID],[1]!Name[Description(1)])</f>
        <v>FELDA D SAJI</v>
      </c>
      <c r="C1066" s="38" t="str">
        <f>_xlfn.XLOOKUP(Customer[[#This Row],[Customer ID]],[1]!Name[ID],[1]!Name[Description(2)])</f>
        <v/>
      </c>
      <c r="D1066" s="38" t="str">
        <f>_xlfn.XLOOKUP(Customer[[#This Row],[Customer ID]],[1]!Address[ID],[1]!Address[PIC])</f>
        <v>EN. WAN</v>
      </c>
      <c r="E1066" s="38" t="str">
        <f>_xlfn.XLOOKUP(Customer[[#This Row],[Customer ID]],[1]!Address[ID],[1]!Address[Full Address])</f>
        <v>BLOK J, ANJUNG FELDA, JALAN MAKTAB,OFF JALAN SEMARAK,54000 KUALA LUMPUR</v>
      </c>
      <c r="F1066" s="12" t="s">
        <v>7161</v>
      </c>
      <c r="G1066" s="12" t="s">
        <v>7162</v>
      </c>
      <c r="H1066" s="12" t="s">
        <v>7163</v>
      </c>
      <c r="I1066" s="12" t="b">
        <f>ISNUMBER(VALUE(LEFT(Customer[[#This Row],[Address Line 3 (30 char)]],1)))</f>
        <v>0</v>
      </c>
      <c r="J1066" s="12" t="s">
        <v>34</v>
      </c>
      <c r="K1066" s="12">
        <v>54000</v>
      </c>
      <c r="L1066" s="12" t="s">
        <v>35</v>
      </c>
      <c r="M1066" s="13" t="e">
        <v>#N/A</v>
      </c>
      <c r="N1066" s="14" t="e">
        <v>#N/A</v>
      </c>
      <c r="O1066" s="14" t="e">
        <v>#N/A</v>
      </c>
      <c r="P1066" s="14" t="e">
        <v>#N/A</v>
      </c>
      <c r="Q1066" s="14" t="e">
        <v>#N/A</v>
      </c>
      <c r="R1066" s="15" t="s">
        <v>7164</v>
      </c>
      <c r="S1066" s="15" t="s">
        <v>3476</v>
      </c>
      <c r="T1066" s="16" t="s">
        <v>3477</v>
      </c>
      <c r="U1066" s="11" t="str">
        <f>_xlfn.XLOOKUP(Customer[[#This Row],[Customer ID]],[1]!Address[ID],[1]!Address[Phone No.(2)])</f>
        <v/>
      </c>
      <c r="V1066" s="11" t="str">
        <f>_xlfn.XLOOKUP(Customer[[#This Row],[Customer ID]],[1]!Address[ID],[1]!Address[Type])</f>
        <v>CM</v>
      </c>
      <c r="W1066" s="11" t="str">
        <f>_xlfn.XLOOKUP(Customer[[#This Row],[Customer ID]],[1]!Address[ID],[1]!Address[CT])</f>
        <v>30 DAYS</v>
      </c>
      <c r="X1066" s="11"/>
      <c r="Y1066" s="17" t="s">
        <v>5918</v>
      </c>
      <c r="Z1066" s="17" t="e">
        <f>_xlfn.XLOOKUP(Customer[[#This Row],[NewType]],$AF$36:$AF$54,$AG$36:$AG$54)</f>
        <v>#N/A</v>
      </c>
      <c r="AA1066" s="17" t="s">
        <v>7165</v>
      </c>
      <c r="AB1066" s="11" t="str">
        <f>_xlfn.XLOOKUP(Customer[[#This Row],[Customer ID]],[1]!Address[ID],[1]!Address[Subtype])</f>
        <v>FELDA D'SAJI</v>
      </c>
      <c r="AC1066" s="18" t="str">
        <f>_xlfn.XLOOKUP(Customer[[#This Row],[Customer ID]],[1]!Address[ID],[1]!Address[Zone])</f>
        <v>CENTRAL</v>
      </c>
    </row>
    <row r="1067" spans="1:30" x14ac:dyDescent="0.3">
      <c r="A1067" s="37" t="s">
        <v>7166</v>
      </c>
      <c r="B1067" s="38" t="str">
        <f>_xlfn.XLOOKUP(Customer[[#This Row],[Customer ID]],[1]!Name[ID],[1]!Name[Description(1)])</f>
        <v>PLASPROOF SDN. BHD (DMART)</v>
      </c>
      <c r="C1067" s="38" t="str">
        <f>_xlfn.XLOOKUP(Customer[[#This Row],[Customer ID]],[1]!Name[ID],[1]!Name[Description(2)])</f>
        <v/>
      </c>
      <c r="D1067" s="38" t="str">
        <f>_xlfn.XLOOKUP(Customer[[#This Row],[Customer ID]],[1]!Address[ID],[1]!Address[PIC])</f>
        <v>SYUKUR YAHYA</v>
      </c>
      <c r="E1067" s="38" t="str">
        <f>_xlfn.XLOOKUP(Customer[[#This Row],[Customer ID]],[1]!Address[ID],[1]!Address[Full Address])</f>
        <v>R&amp;R JEJANTAS SUNGAI BULOHARAH SELATAN,47830 SELANGOR</v>
      </c>
      <c r="F1067" s="12" t="s">
        <v>7167</v>
      </c>
      <c r="G1067" s="12" t="s">
        <v>7168</v>
      </c>
      <c r="H1067" s="24"/>
      <c r="I1067" s="24" t="b">
        <f>ISNUMBER(VALUE(LEFT(Customer[[#This Row],[Address Line 3 (30 char)]],1)))</f>
        <v>0</v>
      </c>
      <c r="J1067" s="12" t="s">
        <v>172</v>
      </c>
      <c r="K1067" s="12">
        <v>47830</v>
      </c>
      <c r="L1067" s="12" t="s">
        <v>35</v>
      </c>
      <c r="M1067" s="13" t="e">
        <v>#N/A</v>
      </c>
      <c r="N1067" s="14" t="e">
        <v>#N/A</v>
      </c>
      <c r="O1067" s="14" t="e">
        <v>#N/A</v>
      </c>
      <c r="P1067" s="14" t="e">
        <v>#N/A</v>
      </c>
      <c r="Q1067" s="14" t="e">
        <v>#N/A</v>
      </c>
      <c r="R1067" s="15" t="s">
        <v>7169</v>
      </c>
      <c r="S1067" s="15" t="s">
        <v>5925</v>
      </c>
      <c r="T1067" s="16" t="s">
        <v>3477</v>
      </c>
      <c r="U1067" s="11" t="str">
        <f>_xlfn.XLOOKUP(Customer[[#This Row],[Customer ID]],[1]!Address[ID],[1]!Address[Phone No.(2)])</f>
        <v/>
      </c>
      <c r="V1067" s="11" t="str">
        <f>_xlfn.XLOOKUP(Customer[[#This Row],[Customer ID]],[1]!Address[ID],[1]!Address[Type])</f>
        <v>CAFE</v>
      </c>
      <c r="W1067" s="11" t="str">
        <f>_xlfn.XLOOKUP(Customer[[#This Row],[Customer ID]],[1]!Address[ID],[1]!Address[CT])</f>
        <v>30 DAYS</v>
      </c>
      <c r="X1067" s="11"/>
      <c r="Y1067" s="17" t="s">
        <v>5926</v>
      </c>
      <c r="Z1067" s="17" t="e">
        <f>_xlfn.XLOOKUP(Customer[[#This Row],[NewType]],$AF$36:$AF$54,$AG$36:$AG$54)</f>
        <v>#N/A</v>
      </c>
      <c r="AA1067" s="17" t="s">
        <v>7170</v>
      </c>
      <c r="AB1067" s="11" t="str">
        <f>_xlfn.XLOOKUP(Customer[[#This Row],[Customer ID]],[1]!Address[ID],[1]!Address[Subtype])</f>
        <v>PLUS</v>
      </c>
      <c r="AC1067" s="18">
        <f>_xlfn.XLOOKUP(Customer[[#This Row],[Customer ID]],[1]!Address[ID],[1]!Address[Zone])</f>
        <v>0</v>
      </c>
    </row>
    <row r="1068" spans="1:30" x14ac:dyDescent="0.3">
      <c r="A1068" s="37" t="s">
        <v>7171</v>
      </c>
      <c r="B1068" s="38" t="str">
        <f>_xlfn.XLOOKUP(Customer[[#This Row],[Customer ID]],[1]!Name[ID],[1]!Name[Description(1)])</f>
        <v>IKHWAN PHARMACY, SUBANG</v>
      </c>
      <c r="C1068" s="38" t="str">
        <f>_xlfn.XLOOKUP(Customer[[#This Row],[Customer ID]],[1]!Name[ID],[1]!Name[Description(2)])</f>
        <v/>
      </c>
      <c r="D1068" s="38" t="str">
        <f>_xlfn.XLOOKUP(Customer[[#This Row],[Customer ID]],[1]!Address[ID],[1]!Address[PIC])</f>
        <v/>
      </c>
      <c r="E1068" s="38" t="str">
        <f>_xlfn.XLOOKUP(Customer[[#This Row],[Customer ID]],[1]!Address[ID],[1]!Address[Full Address])</f>
        <v>41-G, JALAN URANUS AG U5/AGTAMAN SUBANG IMPIAN,40150 SHAH ALAM SELANGOR</v>
      </c>
      <c r="F1068" s="12" t="s">
        <v>7172</v>
      </c>
      <c r="G1068" s="12" t="s">
        <v>7173</v>
      </c>
      <c r="H1068" s="24" t="s">
        <v>4488</v>
      </c>
      <c r="I1068" s="24" t="b">
        <f>ISNUMBER(VALUE(LEFT(Customer[[#This Row],[Address Line 3 (30 char)]],1)))</f>
        <v>0</v>
      </c>
      <c r="J1068" s="12" t="s">
        <v>172</v>
      </c>
      <c r="K1068" s="12">
        <v>40150</v>
      </c>
      <c r="L1068" s="12" t="s">
        <v>35</v>
      </c>
      <c r="M1068" s="13" t="e">
        <v>#N/A</v>
      </c>
      <c r="N1068" s="14" t="e">
        <v>#N/A</v>
      </c>
      <c r="O1068" s="14" t="e">
        <v>#N/A</v>
      </c>
      <c r="P1068" s="14" t="e">
        <v>#N/A</v>
      </c>
      <c r="Q1068" s="14" t="e">
        <v>#N/A</v>
      </c>
      <c r="R1068" s="15" t="s">
        <v>7174</v>
      </c>
      <c r="S1068" s="15" t="s">
        <v>3476</v>
      </c>
      <c r="T1068" s="16" t="s">
        <v>3477</v>
      </c>
      <c r="U1068" s="11" t="str">
        <f>_xlfn.XLOOKUP(Customer[[#This Row],[Customer ID]],[1]!Address[ID],[1]!Address[Phone No.(2)])</f>
        <v/>
      </c>
      <c r="V1068" s="11" t="str">
        <f>_xlfn.XLOOKUP(Customer[[#This Row],[Customer ID]],[1]!Address[ID],[1]!Address[Type])</f>
        <v>PH</v>
      </c>
      <c r="W1068" s="11" t="str">
        <f>_xlfn.XLOOKUP(Customer[[#This Row],[Customer ID]],[1]!Address[ID],[1]!Address[CT])</f>
        <v>30 DAYS</v>
      </c>
      <c r="X1068" s="11"/>
      <c r="Y1068" s="17" t="s">
        <v>5955</v>
      </c>
      <c r="Z1068" s="17" t="e">
        <f>_xlfn.XLOOKUP(Customer[[#This Row],[NewType]],$AF$36:$AF$54,$AG$36:$AG$54)</f>
        <v>#N/A</v>
      </c>
      <c r="AA1068" s="17" t="s">
        <v>7175</v>
      </c>
      <c r="AB1068" s="11" t="str">
        <f>_xlfn.XLOOKUP(Customer[[#This Row],[Customer ID]],[1]!Address[ID],[1]!Address[Subtype])</f>
        <v>IKHWAN PH</v>
      </c>
      <c r="AC1068" s="18" t="str">
        <f>_xlfn.XLOOKUP(Customer[[#This Row],[Customer ID]],[1]!Address[ID],[1]!Address[Zone])</f>
        <v>CENTRAL</v>
      </c>
    </row>
    <row r="1069" spans="1:30" x14ac:dyDescent="0.3">
      <c r="A1069" s="37" t="s">
        <v>7176</v>
      </c>
      <c r="B1069" s="38" t="str">
        <f>_xlfn.XLOOKUP(Customer[[#This Row],[Customer ID]],[1]!Name[ID],[1]!Name[Description(1)])</f>
        <v>STAR GROCER SDN. BHD - DESA PANDAN</v>
      </c>
      <c r="C1069" s="38" t="str">
        <f>_xlfn.XLOOKUP(Customer[[#This Row],[Customer ID]],[1]!Name[ID],[1]!Name[Description(2)])</f>
        <v/>
      </c>
      <c r="D1069" s="38" t="str">
        <f>_xlfn.XLOOKUP(Customer[[#This Row],[Customer ID]],[1]!Address[ID],[1]!Address[PIC])</f>
        <v/>
      </c>
      <c r="E1069" s="38" t="str">
        <f>_xlfn.XLOOKUP(Customer[[#This Row],[Customer ID]],[1]!Address[ID],[1]!Address[Full Address])</f>
        <v>NO. 6,8,10&amp;12,JALAN 1/76C DESA PANDAN,OFF KAMPUNG PANDAN KUALA LUMPUR</v>
      </c>
      <c r="F1069" s="12" t="s">
        <v>7177</v>
      </c>
      <c r="G1069" s="12" t="s">
        <v>7178</v>
      </c>
      <c r="H1069" s="12" t="s">
        <v>7179</v>
      </c>
      <c r="I1069" s="12" t="b">
        <f>ISNUMBER(VALUE(LEFT(Customer[[#This Row],[Address Line 3 (30 char)]],1)))</f>
        <v>0</v>
      </c>
      <c r="J1069" s="12" t="s">
        <v>34</v>
      </c>
      <c r="K1069" s="12">
        <v>55100</v>
      </c>
      <c r="L1069" s="12" t="s">
        <v>35</v>
      </c>
      <c r="M1069" s="13" t="e">
        <v>#N/A</v>
      </c>
      <c r="N1069" s="14" t="e">
        <v>#N/A</v>
      </c>
      <c r="O1069" s="14" t="e">
        <v>#N/A</v>
      </c>
      <c r="P1069" s="14" t="e">
        <v>#N/A</v>
      </c>
      <c r="Q1069" s="14" t="e">
        <v>#N/A</v>
      </c>
      <c r="R1069" s="15" t="s">
        <v>7180</v>
      </c>
      <c r="S1069" s="15" t="s">
        <v>5925</v>
      </c>
      <c r="T1069" s="16" t="s">
        <v>3477</v>
      </c>
      <c r="U1069" s="11" t="str">
        <f>_xlfn.XLOOKUP(Customer[[#This Row],[Customer ID]],[1]!Address[ID],[1]!Address[Phone No.(2)])</f>
        <v/>
      </c>
      <c r="V1069" s="11" t="str">
        <f>_xlfn.XLOOKUP(Customer[[#This Row],[Customer ID]],[1]!Address[ID],[1]!Address[Type])</f>
        <v>HM</v>
      </c>
      <c r="W1069" s="11" t="str">
        <f>_xlfn.XLOOKUP(Customer[[#This Row],[Customer ID]],[1]!Address[ID],[1]!Address[CT])</f>
        <v>45 DAYS</v>
      </c>
      <c r="X1069" s="11"/>
      <c r="Y1069" s="17" t="s">
        <v>5968</v>
      </c>
      <c r="Z1069" s="17" t="e">
        <f>_xlfn.XLOOKUP(Customer[[#This Row],[NewType]],$AF$36:$AF$54,$AG$36:$AG$54)</f>
        <v>#N/A</v>
      </c>
      <c r="AA1069" s="17" t="s">
        <v>7181</v>
      </c>
      <c r="AB1069" s="11" t="str">
        <f>_xlfn.XLOOKUP(Customer[[#This Row],[Customer ID]],[1]!Address[ID],[1]!Address[Subtype])</f>
        <v>STAR GROCER</v>
      </c>
      <c r="AC1069" s="18" t="str">
        <f>_xlfn.XLOOKUP(Customer[[#This Row],[Customer ID]],[1]!Address[ID],[1]!Address[Zone])</f>
        <v>CENTRAL</v>
      </c>
    </row>
    <row r="1070" spans="1:30" x14ac:dyDescent="0.3">
      <c r="A1070" s="37" t="s">
        <v>7182</v>
      </c>
      <c r="B1070" s="38" t="str">
        <f>_xlfn.XLOOKUP(Customer[[#This Row],[Customer ID]],[1]!Name[ID],[1]!Name[Description(1)])</f>
        <v>TNB INTEGRATED LEARNING SOLUTION</v>
      </c>
      <c r="C1070" s="38" t="str">
        <f>_xlfn.XLOOKUP(Customer[[#This Row],[Customer ID]],[1]!Name[ID],[1]!Name[Description(2)])</f>
        <v>SDN. BHD.</v>
      </c>
      <c r="D1070" s="38" t="str">
        <f>_xlfn.XLOOKUP(Customer[[#This Row],[Customer ID]],[1]!Address[ID],[1]!Address[PIC])</f>
        <v/>
      </c>
      <c r="E1070" s="38" t="str">
        <f>_xlfn.XLOOKUP(Customer[[#This Row],[Customer ID]],[1]!Address[ID],[1]!Address[Full Address])</f>
        <v>JALAN IKRAM-UNITEN,43650 BANDAR BARU BANGI, SELANGOR</v>
      </c>
      <c r="F1070" s="12" t="s">
        <v>7183</v>
      </c>
      <c r="G1070" s="12" t="s">
        <v>7184</v>
      </c>
      <c r="H1070" s="12" t="s">
        <v>36</v>
      </c>
      <c r="I1070" s="12" t="b">
        <f>ISNUMBER(VALUE(LEFT(Customer[[#This Row],[Address Line 3 (30 char)]],1)))</f>
        <v>0</v>
      </c>
      <c r="J1070" s="12" t="s">
        <v>1907</v>
      </c>
      <c r="K1070" s="12">
        <v>43650</v>
      </c>
      <c r="L1070" s="12" t="s">
        <v>35</v>
      </c>
      <c r="M1070" s="13" t="e">
        <v>#N/A</v>
      </c>
      <c r="N1070" s="14" t="e">
        <v>#N/A</v>
      </c>
      <c r="O1070" s="14" t="e">
        <v>#N/A</v>
      </c>
      <c r="P1070" s="14" t="e">
        <v>#N/A</v>
      </c>
      <c r="Q1070" s="14" t="e">
        <v>#N/A</v>
      </c>
      <c r="R1070" s="15" t="s">
        <v>7185</v>
      </c>
      <c r="S1070" s="15" t="s">
        <v>6418</v>
      </c>
      <c r="T1070" s="16" t="s">
        <v>3477</v>
      </c>
      <c r="U1070" s="11" t="str">
        <f>_xlfn.XLOOKUP(Customer[[#This Row],[Customer ID]],[1]!Address[ID],[1]!Address[Phone No.(2)])</f>
        <v/>
      </c>
      <c r="V1070" s="11" t="str">
        <f>_xlfn.XLOOKUP(Customer[[#This Row],[Customer ID]],[1]!Address[ID],[1]!Address[Type])</f>
        <v>CORPORATE</v>
      </c>
      <c r="W1070" s="11" t="str">
        <f>_xlfn.XLOOKUP(Customer[[#This Row],[Customer ID]],[1]!Address[ID],[1]!Address[CT])</f>
        <v>30 DAYS</v>
      </c>
      <c r="X1070" s="11"/>
      <c r="Y1070" s="17" t="s">
        <v>6418</v>
      </c>
      <c r="Z1070" s="17" t="e">
        <f>_xlfn.XLOOKUP(Customer[[#This Row],[NewType]],$AF$36:$AF$54,$AG$36:$AG$54)</f>
        <v>#N/A</v>
      </c>
      <c r="AA1070" s="17" t="s">
        <v>7186</v>
      </c>
      <c r="AB1070" s="11" t="str">
        <f>_xlfn.XLOOKUP(Customer[[#This Row],[Customer ID]],[1]!Address[ID],[1]!Address[Subtype])</f>
        <v>TNB</v>
      </c>
      <c r="AC1070" s="18" t="str">
        <f>_xlfn.XLOOKUP(Customer[[#This Row],[Customer ID]],[1]!Address[ID],[1]!Address[Zone])</f>
        <v>DN3U650 BANDARH</v>
      </c>
    </row>
    <row r="1071" spans="1:30" x14ac:dyDescent="0.3">
      <c r="A1071" s="37" t="s">
        <v>7187</v>
      </c>
      <c r="B1071" s="38" t="str">
        <f>_xlfn.XLOOKUP(Customer[[#This Row],[Customer ID]],[1]!Name[ID],[1]!Name[Description(1)])</f>
        <v>BERKAT MINIMART HAMUUDI ENTERPRISE - HKL</v>
      </c>
      <c r="C1071" s="38" t="str">
        <f>_xlfn.XLOOKUP(Customer[[#This Row],[Customer ID]],[1]!Name[ID],[1]!Name[Description(2)])</f>
        <v/>
      </c>
      <c r="D1071" s="38" t="str">
        <f>_xlfn.XLOOKUP(Customer[[#This Row],[Customer ID]],[1]!Address[ID],[1]!Address[PIC])</f>
        <v/>
      </c>
      <c r="E1071" s="38" t="str">
        <f>_xlfn.XLOOKUP(Customer[[#This Row],[Customer ID]],[1]!Address[ID],[1]!Address[Full Address])</f>
        <v>BANGUNAN KOMPLEKS,KLINIK PAKAR DAN RAWATAN HARIAN,(SCACC), HOSPITAL KUALA LUMPUR, 50586KUALA LUMPUR</v>
      </c>
      <c r="F1071" s="12" t="s">
        <v>7188</v>
      </c>
      <c r="G1071" s="12" t="s">
        <v>7189</v>
      </c>
      <c r="H1071" s="12" t="s">
        <v>7190</v>
      </c>
      <c r="I1071" s="12" t="b">
        <f>ISNUMBER(VALUE(LEFT(Customer[[#This Row],[Address Line 3 (30 char)]],1)))</f>
        <v>0</v>
      </c>
      <c r="J1071" s="12" t="s">
        <v>34</v>
      </c>
      <c r="K1071" s="12">
        <v>50586</v>
      </c>
      <c r="L1071" s="12" t="s">
        <v>35</v>
      </c>
      <c r="M1071" s="13" t="e">
        <v>#N/A</v>
      </c>
      <c r="N1071" s="14" t="e">
        <v>#N/A</v>
      </c>
      <c r="O1071" s="14" t="e">
        <v>#N/A</v>
      </c>
      <c r="P1071" s="14" t="e">
        <v>#N/A</v>
      </c>
      <c r="Q1071" s="14" t="e">
        <v>#N/A</v>
      </c>
      <c r="R1071" s="15" t="s">
        <v>7191</v>
      </c>
      <c r="S1071" s="15" t="s">
        <v>3476</v>
      </c>
      <c r="T1071" s="16" t="s">
        <v>3477</v>
      </c>
      <c r="U1071" s="11" t="str">
        <f>_xlfn.XLOOKUP(Customer[[#This Row],[Customer ID]],[1]!Address[ID],[1]!Address[Phone No.(2)])</f>
        <v/>
      </c>
      <c r="V1071" s="11" t="str">
        <f>_xlfn.XLOOKUP(Customer[[#This Row],[Customer ID]],[1]!Address[ID],[1]!Address[Type])</f>
        <v>CM</v>
      </c>
      <c r="W1071" s="11" t="str">
        <f>_xlfn.XLOOKUP(Customer[[#This Row],[Customer ID]],[1]!Address[ID],[1]!Address[CT])</f>
        <v>30 DAYS</v>
      </c>
      <c r="X1071" s="11"/>
      <c r="Y1071" s="17" t="s">
        <v>5918</v>
      </c>
      <c r="Z1071" s="17" t="e">
        <f>_xlfn.XLOOKUP(Customer[[#This Row],[NewType]],$AF$36:$AF$54,$AG$36:$AG$54)</f>
        <v>#N/A</v>
      </c>
      <c r="AA1071" s="17" t="s">
        <v>7192</v>
      </c>
      <c r="AB1071" s="11" t="str">
        <f>_xlfn.XLOOKUP(Customer[[#This Row],[Customer ID]],[1]!Address[ID],[1]!Address[Subtype])</f>
        <v>BERKAT MINI</v>
      </c>
      <c r="AC1071" s="18" t="str">
        <f>_xlfn.XLOOKUP(Customer[[#This Row],[Customer ID]],[1]!Address[ID],[1]!Address[Zone])</f>
        <v>CENTRAL</v>
      </c>
    </row>
    <row r="1072" spans="1:30" x14ac:dyDescent="0.3">
      <c r="A1072" s="37" t="s">
        <v>7193</v>
      </c>
      <c r="B1072" s="38" t="str">
        <f>_xlfn.XLOOKUP(Customer[[#This Row],[Customer ID]],[1]!Name[ID],[1]!Name[Description(1)])</f>
        <v>FAIBA PETRO SDN. BHD.</v>
      </c>
      <c r="C1072" s="38" t="str">
        <f>_xlfn.XLOOKUP(Customer[[#This Row],[Customer ID]],[1]!Name[ID],[1]!Name[Description(2)])</f>
        <v>PETRON PERSIARAN MAJLIS BUKIT BERUNTUNG</v>
      </c>
      <c r="D1072" s="38" t="str">
        <f>_xlfn.XLOOKUP(Customer[[#This Row],[Customer ID]],[1]!Address[ID],[1]!Address[PIC])</f>
        <v>Muhamad Akmal</v>
      </c>
      <c r="E1072" s="38" t="str">
        <f>_xlfn.XLOOKUP(Customer[[#This Row],[Customer ID]],[1]!Address[ID],[1]!Address[Full Address])</f>
        <v>PETRON PERSIARAN MAJLIS BUKIT BERUNTUNGNO 3 JALAN KANTAN 2SEKSYEN BB8 BANDARBUKIT BERUNTUNG 48300 RAWANG SELANGOR</v>
      </c>
      <c r="F1072" s="12" t="s">
        <v>7194</v>
      </c>
      <c r="G1072" s="12" t="s">
        <v>7195</v>
      </c>
      <c r="H1072" s="12" t="s">
        <v>7196</v>
      </c>
      <c r="I1072" s="12" t="b">
        <f>ISNUMBER(VALUE(LEFT(Customer[[#This Row],[Address Line 3 (30 char)]],1)))</f>
        <v>0</v>
      </c>
      <c r="J1072" s="12" t="s">
        <v>172</v>
      </c>
      <c r="K1072" s="12">
        <v>48300</v>
      </c>
      <c r="L1072" s="12" t="s">
        <v>35</v>
      </c>
      <c r="M1072" s="13">
        <v>201801021642</v>
      </c>
      <c r="N1072" s="14" t="s">
        <v>7197</v>
      </c>
      <c r="O1072" s="14" t="s">
        <v>54</v>
      </c>
      <c r="P1072" s="14">
        <v>47300</v>
      </c>
      <c r="Q1072" s="14" t="s">
        <v>7198</v>
      </c>
      <c r="R1072" s="15" t="s">
        <v>7199</v>
      </c>
      <c r="S1072" s="15" t="s">
        <v>37</v>
      </c>
      <c r="T1072" s="16" t="s">
        <v>38</v>
      </c>
      <c r="U1072" s="11" t="str">
        <f>_xlfn.XLOOKUP(Customer[[#This Row],[Customer ID]],[1]!Address[ID],[1]!Address[Phone No.(2)])</f>
        <v/>
      </c>
      <c r="V1072" s="11" t="str">
        <f>_xlfn.XLOOKUP(Customer[[#This Row],[Customer ID]],[1]!Address[ID],[1]!Address[Type])</f>
        <v>PETROMART</v>
      </c>
      <c r="W1072" s="11" t="str">
        <f>_xlfn.XLOOKUP(Customer[[#This Row],[Customer ID]],[1]!Address[ID],[1]!Address[CT])</f>
        <v>30 DAYS</v>
      </c>
      <c r="X1072" s="11" t="s">
        <v>39</v>
      </c>
      <c r="Y1072" s="17" t="s">
        <v>40</v>
      </c>
      <c r="Z1072" s="17" t="e">
        <f>_xlfn.XLOOKUP(Customer[[#This Row],[NewType]],$AF$36:$AF$54,$AG$36:$AG$54)</f>
        <v>#N/A</v>
      </c>
      <c r="AA1072" s="17" t="s">
        <v>7200</v>
      </c>
      <c r="AB1072" s="11" t="str">
        <f>_xlfn.XLOOKUP(Customer[[#This Row],[Customer ID]],[1]!Address[ID],[1]!Address[Subtype])</f>
        <v>PETRON</v>
      </c>
      <c r="AC1072" s="18" t="str">
        <f>_xlfn.XLOOKUP(Customer[[#This Row],[Customer ID]],[1]!Address[ID],[1]!Address[Zone])</f>
        <v>CENTRAL</v>
      </c>
    </row>
    <row r="1073" spans="1:29" x14ac:dyDescent="0.3">
      <c r="A1073" s="37" t="s">
        <v>7201</v>
      </c>
      <c r="B1073" s="38" t="str">
        <f>_xlfn.XLOOKUP(Customer[[#This Row],[Customer ID]],[1]!Name[ID],[1]!Name[Description(1)])</f>
        <v>HAQQ GLOBAL (M) SDN BHD</v>
      </c>
      <c r="C1073" s="38" t="str">
        <f>_xlfn.XLOOKUP(Customer[[#This Row],[Customer ID]],[1]!Name[ID],[1]!Name[Description(2)])</f>
        <v/>
      </c>
      <c r="D1073" s="38" t="str">
        <f>_xlfn.XLOOKUP(Customer[[#This Row],[Customer ID]],[1]!Address[ID],[1]!Address[PIC])</f>
        <v/>
      </c>
      <c r="E1073" s="38" t="str">
        <f>_xlfn.XLOOKUP(Customer[[#This Row],[Customer ID]],[1]!Address[ID],[1]!Address[Full Address])</f>
        <v>NO 221 AXIS COMMERCIAL HUBTAMAN TUNKU INTAN SAFINAZ,06000 JITRA KEDAH</v>
      </c>
      <c r="F1073" s="12" t="s">
        <v>7202</v>
      </c>
      <c r="G1073" s="12" t="s">
        <v>7203</v>
      </c>
      <c r="H1073" s="24" t="s">
        <v>7204</v>
      </c>
      <c r="I1073" s="24" t="b">
        <f>ISNUMBER(VALUE(LEFT(Customer[[#This Row],[Address Line 3 (30 char)]],1)))</f>
        <v>0</v>
      </c>
      <c r="J1073" s="12" t="s">
        <v>79</v>
      </c>
      <c r="K1073" s="12">
        <v>48300</v>
      </c>
      <c r="L1073" s="12" t="s">
        <v>35</v>
      </c>
      <c r="M1073" s="13" t="e">
        <v>#N/A</v>
      </c>
      <c r="N1073" s="14" t="e">
        <v>#N/A</v>
      </c>
      <c r="O1073" s="14" t="e">
        <v>#N/A</v>
      </c>
      <c r="P1073" s="14" t="e">
        <v>#N/A</v>
      </c>
      <c r="Q1073" s="14" t="e">
        <v>#N/A</v>
      </c>
      <c r="R1073" s="15" t="s">
        <v>7205</v>
      </c>
      <c r="S1073" s="15" t="s">
        <v>88</v>
      </c>
      <c r="T1073" s="16" t="s">
        <v>89</v>
      </c>
      <c r="U1073" s="11" t="str">
        <f>_xlfn.XLOOKUP(Customer[[#This Row],[Customer ID]],[1]!Address[ID],[1]!Address[Phone No.(2)])</f>
        <v/>
      </c>
      <c r="V1073" s="11" t="str">
        <f>_xlfn.XLOOKUP(Customer[[#This Row],[Customer ID]],[1]!Address[ID],[1]!Address[Type])</f>
        <v>SOCMED</v>
      </c>
      <c r="W1073" s="11" t="str">
        <f>_xlfn.XLOOKUP(Customer[[#This Row],[Customer ID]],[1]!Address[ID],[1]!Address[CT])</f>
        <v/>
      </c>
      <c r="X1073" s="11"/>
      <c r="Y1073" s="17" t="s">
        <v>90</v>
      </c>
      <c r="Z1073" s="17" t="e">
        <f>_xlfn.XLOOKUP(Customer[[#This Row],[NewType]],$AF$36:$AF$54,$AG$36:$AG$54)</f>
        <v>#N/A</v>
      </c>
      <c r="AA1073" s="17" t="s">
        <v>7206</v>
      </c>
      <c r="AB1073" s="11" t="str">
        <f>_xlfn.XLOOKUP(Customer[[#This Row],[Customer ID]],[1]!Address[ID],[1]!Address[Subtype])</f>
        <v>ONLINE ROS</v>
      </c>
      <c r="AC1073" s="18" t="str">
        <f>_xlfn.XLOOKUP(Customer[[#This Row],[Customer ID]],[1]!Address[ID],[1]!Address[Zone])</f>
        <v>NORTH</v>
      </c>
    </row>
    <row r="1074" spans="1:29" x14ac:dyDescent="0.3">
      <c r="A1074" s="37" t="s">
        <v>7207</v>
      </c>
      <c r="B1074" s="38" t="str">
        <f>_xlfn.XLOOKUP(Customer[[#This Row],[Customer ID]],[1]!Name[ID],[1]!Name[Description(1)])</f>
        <v>BINTANG ARENA EMPIRE</v>
      </c>
      <c r="C1074" s="38" t="str">
        <f>_xlfn.XLOOKUP(Customer[[#This Row],[Customer ID]],[1]!Name[ID],[1]!Name[Description(2)])</f>
        <v>CALTEX ASSAM KUMBANG</v>
      </c>
      <c r="D1074" s="38" t="str">
        <f>_xlfn.XLOOKUP(Customer[[#This Row],[Customer ID]],[1]!Address[ID],[1]!Address[PIC])</f>
        <v/>
      </c>
      <c r="E1074" s="38" t="str">
        <f>_xlfn.XLOOKUP(Customer[[#This Row],[Customer ID]],[1]!Address[ID],[1]!Address[Full Address])</f>
        <v>CALTEX ASSAM KUMBANGNO7 JALAN ASSAM KUMBANG34000 TAIPING PERAK</v>
      </c>
      <c r="F1074" s="12" t="s">
        <v>7208</v>
      </c>
      <c r="G1074" s="12" t="s">
        <v>7209</v>
      </c>
      <c r="H1074" s="24" t="s">
        <v>7210</v>
      </c>
      <c r="I1074" s="24" t="b">
        <f>ISNUMBER(VALUE(LEFT(Customer[[#This Row],[Address Line 3 (30 char)]],1)))</f>
        <v>0</v>
      </c>
      <c r="J1074" s="12" t="s">
        <v>79</v>
      </c>
      <c r="K1074" s="12">
        <v>34000</v>
      </c>
      <c r="L1074" s="12" t="s">
        <v>35</v>
      </c>
      <c r="M1074" s="13" t="e">
        <v>#N/A</v>
      </c>
      <c r="N1074" s="14" t="e">
        <v>#N/A</v>
      </c>
      <c r="O1074" s="14" t="e">
        <v>#N/A</v>
      </c>
      <c r="P1074" s="14" t="e">
        <v>#N/A</v>
      </c>
      <c r="Q1074" s="14" t="e">
        <v>#N/A</v>
      </c>
      <c r="R1074" s="15" t="s">
        <v>7211</v>
      </c>
      <c r="S1074" s="15" t="s">
        <v>37</v>
      </c>
      <c r="T1074" s="16" t="s">
        <v>38</v>
      </c>
      <c r="U1074" s="11" t="str">
        <f>_xlfn.XLOOKUP(Customer[[#This Row],[Customer ID]],[1]!Address[ID],[1]!Address[Phone No.(2)])</f>
        <v/>
      </c>
      <c r="V1074" s="11" t="str">
        <f>_xlfn.XLOOKUP(Customer[[#This Row],[Customer ID]],[1]!Address[ID],[1]!Address[Type])</f>
        <v>PETROMART</v>
      </c>
      <c r="W1074" s="11" t="str">
        <f>_xlfn.XLOOKUP(Customer[[#This Row],[Customer ID]],[1]!Address[ID],[1]!Address[CT])</f>
        <v>30 DAYS</v>
      </c>
      <c r="X1074" s="11" t="s">
        <v>39</v>
      </c>
      <c r="Y1074" s="17" t="s">
        <v>40</v>
      </c>
      <c r="Z1074" s="17" t="e">
        <f>_xlfn.XLOOKUP(Customer[[#This Row],[NewType]],$AF$36:$AF$54,$AG$36:$AG$54)</f>
        <v>#N/A</v>
      </c>
      <c r="AA1074" s="17" t="s">
        <v>7212</v>
      </c>
      <c r="AB1074" s="11" t="str">
        <f>_xlfn.XLOOKUP(Customer[[#This Row],[Customer ID]],[1]!Address[ID],[1]!Address[Subtype])</f>
        <v>XPRESS POINT</v>
      </c>
      <c r="AC1074" s="18" t="str">
        <f>_xlfn.XLOOKUP(Customer[[#This Row],[Customer ID]],[1]!Address[ID],[1]!Address[Zone])</f>
        <v>NORTH</v>
      </c>
    </row>
    <row r="1075" spans="1:29" x14ac:dyDescent="0.3">
      <c r="A1075" s="43" t="s">
        <v>7213</v>
      </c>
      <c r="B1075" s="44" t="str">
        <f>_xlfn.XLOOKUP(Customer[[#This Row],[Customer ID]],[1]!Name[ID],[1]!Name[Description(1)])</f>
        <v>T&amp;AA RESOURCES SDN BHD</v>
      </c>
      <c r="C1075" s="38" t="str">
        <f>_xlfn.XLOOKUP(Customer[[#This Row],[Customer ID]],[1]!Name[ID],[1]!Name[Description(2)])</f>
        <v>CALTEX JALAN KANCHUT</v>
      </c>
      <c r="D1075" s="38" t="str">
        <f>_xlfn.XLOOKUP(Customer[[#This Row],[Customer ID]],[1]!Address[ID],[1]!Address[PIC])</f>
        <v/>
      </c>
      <c r="E1075" s="38" t="str">
        <f>_xlfn.XLOOKUP(Customer[[#This Row],[Customer ID]],[1]!Address[ID],[1]!Address[Full Address])</f>
        <v>CALTEX JALAN KANCHUTNO 92, LEBUHRAYA DARULAMAN05100 ALOR SETAR KEDAH</v>
      </c>
      <c r="F1075" s="12" t="s">
        <v>7214</v>
      </c>
      <c r="G1075" s="12" t="s">
        <v>7215</v>
      </c>
      <c r="H1075" s="24" t="s">
        <v>2335</v>
      </c>
      <c r="I1075" s="24" t="b">
        <f>ISNUMBER(VALUE(LEFT(Customer[[#This Row],[Address Line 3 (30 char)]],1)))</f>
        <v>0</v>
      </c>
      <c r="J1075" s="12" t="s">
        <v>79</v>
      </c>
      <c r="K1075" s="30" t="s">
        <v>7216</v>
      </c>
      <c r="L1075" s="12" t="s">
        <v>35</v>
      </c>
      <c r="M1075" s="13">
        <v>201201014957</v>
      </c>
      <c r="N1075" s="14" t="s">
        <v>7217</v>
      </c>
      <c r="O1075" s="14" t="s">
        <v>54</v>
      </c>
      <c r="P1075" s="14">
        <v>46611</v>
      </c>
      <c r="Q1075" s="14" t="s">
        <v>7218</v>
      </c>
      <c r="R1075" s="15" t="s">
        <v>36</v>
      </c>
      <c r="S1075" s="15" t="s">
        <v>37</v>
      </c>
      <c r="T1075" s="16" t="s">
        <v>38</v>
      </c>
      <c r="U1075" s="11" t="str">
        <f>_xlfn.XLOOKUP(Customer[[#This Row],[Customer ID]],[1]!Address[ID],[1]!Address[Phone No.(2)])</f>
        <v/>
      </c>
      <c r="V1075" s="11" t="str">
        <f>_xlfn.XLOOKUP(Customer[[#This Row],[Customer ID]],[1]!Address[ID],[1]!Address[Type])</f>
        <v>PETROMART</v>
      </c>
      <c r="W1075" s="11" t="str">
        <f>_xlfn.XLOOKUP(Customer[[#This Row],[Customer ID]],[1]!Address[ID],[1]!Address[CT])</f>
        <v/>
      </c>
      <c r="X1075" s="11" t="s">
        <v>39</v>
      </c>
      <c r="Y1075" s="17" t="s">
        <v>40</v>
      </c>
      <c r="Z1075" s="17" t="e">
        <f>_xlfn.XLOOKUP(Customer[[#This Row],[NewType]],$AF$36:$AF$54,$AG$36:$AG$54)</f>
        <v>#N/A</v>
      </c>
      <c r="AA1075" s="17" t="s">
        <v>7219</v>
      </c>
      <c r="AB1075" s="11" t="str">
        <f>_xlfn.XLOOKUP(Customer[[#This Row],[Customer ID]],[1]!Address[ID],[1]!Address[Subtype])</f>
        <v>XPRESS POINT</v>
      </c>
      <c r="AC1075" s="18" t="str">
        <f>_xlfn.XLOOKUP(Customer[[#This Row],[Customer ID]],[1]!Address[ID],[1]!Address[Zone])</f>
        <v>NORTH</v>
      </c>
    </row>
    <row r="1076" spans="1:29" x14ac:dyDescent="0.3">
      <c r="A1076" s="43" t="s">
        <v>7220</v>
      </c>
      <c r="B1076" s="44" t="str">
        <f>_xlfn.XLOOKUP(Customer[[#This Row],[Customer ID]],[1]!Name[ID],[1]!Name[Description(1)])</f>
        <v>AA &amp; T BUSINESS RESOURCES SDN BHD</v>
      </c>
      <c r="C1076" s="38" t="str">
        <f>_xlfn.XLOOKUP(Customer[[#This Row],[Customer ID]],[1]!Name[ID],[1]!Name[Description(2)])</f>
        <v>CALTEX HUTAN KAMPUNG</v>
      </c>
      <c r="D1076" s="38" t="str">
        <f>_xlfn.XLOOKUP(Customer[[#This Row],[Customer ID]],[1]!Address[ID],[1]!Address[PIC])</f>
        <v>NADIA</v>
      </c>
      <c r="E1076" s="38" t="str">
        <f>_xlfn.XLOOKUP(Customer[[#This Row],[Customer ID]],[1]!Address[ID],[1]!Address[Full Address])</f>
        <v>CALTEX HUTAN KAMPUNGLOT 1008, JALAN HUTANKAMPUNG 06200, ALOR SETAR, KEDAH</v>
      </c>
      <c r="F1076" s="12" t="s">
        <v>7221</v>
      </c>
      <c r="G1076" s="12" t="s">
        <v>7222</v>
      </c>
      <c r="H1076" s="12" t="s">
        <v>7223</v>
      </c>
      <c r="I1076" s="12" t="b">
        <f>ISNUMBER(VALUE(LEFT(Customer[[#This Row],[Address Line 3 (30 char)]],1)))</f>
        <v>0</v>
      </c>
      <c r="J1076" s="12" t="s">
        <v>79</v>
      </c>
      <c r="K1076" s="30" t="s">
        <v>7224</v>
      </c>
      <c r="L1076" s="12" t="s">
        <v>35</v>
      </c>
      <c r="M1076" s="13">
        <v>201201014956</v>
      </c>
      <c r="N1076" s="14" t="s">
        <v>7225</v>
      </c>
      <c r="O1076" s="14" t="s">
        <v>54</v>
      </c>
      <c r="P1076" s="14">
        <v>47300</v>
      </c>
      <c r="Q1076" s="14" t="s">
        <v>7226</v>
      </c>
      <c r="R1076" s="15" t="s">
        <v>7227</v>
      </c>
      <c r="S1076" s="15" t="s">
        <v>37</v>
      </c>
      <c r="T1076" s="16" t="s">
        <v>38</v>
      </c>
      <c r="U1076" s="11" t="str">
        <f>_xlfn.XLOOKUP(Customer[[#This Row],[Customer ID]],[1]!Address[ID],[1]!Address[Phone No.(2)])</f>
        <v/>
      </c>
      <c r="V1076" s="11" t="str">
        <f>_xlfn.XLOOKUP(Customer[[#This Row],[Customer ID]],[1]!Address[ID],[1]!Address[Type])</f>
        <v>PETROMART</v>
      </c>
      <c r="W1076" s="11" t="str">
        <f>_xlfn.XLOOKUP(Customer[[#This Row],[Customer ID]],[1]!Address[ID],[1]!Address[CT])</f>
        <v>30</v>
      </c>
      <c r="X1076" s="11" t="s">
        <v>39</v>
      </c>
      <c r="Y1076" s="17" t="s">
        <v>40</v>
      </c>
      <c r="Z1076" s="17" t="e">
        <f>_xlfn.XLOOKUP(Customer[[#This Row],[NewType]],$AF$36:$AF$54,$AG$36:$AG$54)</f>
        <v>#N/A</v>
      </c>
      <c r="AA1076" s="17" t="s">
        <v>7228</v>
      </c>
      <c r="AB1076" s="11" t="str">
        <f>_xlfn.XLOOKUP(Customer[[#This Row],[Customer ID]],[1]!Address[ID],[1]!Address[Subtype])</f>
        <v>XPRESS POINT</v>
      </c>
      <c r="AC1076" s="18" t="str">
        <f>_xlfn.XLOOKUP(Customer[[#This Row],[Customer ID]],[1]!Address[ID],[1]!Address[Zone])</f>
        <v>NORTH</v>
      </c>
    </row>
    <row r="1077" spans="1:29" x14ac:dyDescent="0.3">
      <c r="A1077" s="37" t="s">
        <v>7229</v>
      </c>
      <c r="B1077" s="38" t="str">
        <f>_xlfn.XLOOKUP(Customer[[#This Row],[Customer ID]],[1]!Name[ID],[1]!Name[Description(1)])</f>
        <v>TEIK SANG SERVICES STATION SDN. BHD.</v>
      </c>
      <c r="C1077" s="38" t="str">
        <f>_xlfn.XLOOKUP(Customer[[#This Row],[Customer ID]],[1]!Name[ID],[1]!Name[Description(2)])</f>
        <v>CALTEX BAGAN AJAM</v>
      </c>
      <c r="D1077" s="38" t="str">
        <f>_xlfn.XLOOKUP(Customer[[#This Row],[Customer ID]],[1]!Address[ID],[1]!Address[PIC])</f>
        <v>NURUL ANIESYA</v>
      </c>
      <c r="E1077" s="38" t="str">
        <f>_xlfn.XLOOKUP(Customer[[#This Row],[Customer ID]],[1]!Address[ID],[1]!Address[Full Address])</f>
        <v>CALTEX BAGAN AJAM343, BAGAN LEBAI TAHIR13050, BUTTERWORTH PENANG</v>
      </c>
      <c r="F1077" s="12" t="s">
        <v>7230</v>
      </c>
      <c r="G1077" s="12" t="s">
        <v>7231</v>
      </c>
      <c r="H1077" s="24" t="s">
        <v>7232</v>
      </c>
      <c r="I1077" s="24" t="b">
        <f>ISNUMBER(VALUE(LEFT(Customer[[#This Row],[Address Line 3 (30 char)]],1)))</f>
        <v>0</v>
      </c>
      <c r="J1077" s="12" t="s">
        <v>179</v>
      </c>
      <c r="K1077" s="12">
        <v>13050</v>
      </c>
      <c r="L1077" s="12" t="s">
        <v>35</v>
      </c>
      <c r="M1077" s="13">
        <v>199301006204</v>
      </c>
      <c r="N1077" s="14" t="s">
        <v>7233</v>
      </c>
      <c r="O1077" s="14" t="s">
        <v>54</v>
      </c>
      <c r="P1077" s="14">
        <v>47300</v>
      </c>
      <c r="Q1077" s="14" t="s">
        <v>7234</v>
      </c>
      <c r="R1077" s="15" t="s">
        <v>7235</v>
      </c>
      <c r="S1077" s="15" t="s">
        <v>37</v>
      </c>
      <c r="T1077" s="16" t="s">
        <v>38</v>
      </c>
      <c r="U1077" s="11" t="str">
        <f>_xlfn.XLOOKUP(Customer[[#This Row],[Customer ID]],[1]!Address[ID],[1]!Address[Phone No.(2)])</f>
        <v/>
      </c>
      <c r="V1077" s="11" t="str">
        <f>_xlfn.XLOOKUP(Customer[[#This Row],[Customer ID]],[1]!Address[ID],[1]!Address[Type])</f>
        <v>PETROMART</v>
      </c>
      <c r="W1077" s="11" t="str">
        <f>_xlfn.XLOOKUP(Customer[[#This Row],[Customer ID]],[1]!Address[ID],[1]!Address[CT])</f>
        <v>30</v>
      </c>
      <c r="X1077" s="11" t="s">
        <v>39</v>
      </c>
      <c r="Y1077" s="17" t="s">
        <v>40</v>
      </c>
      <c r="Z1077" s="17" t="e">
        <f>_xlfn.XLOOKUP(Customer[[#This Row],[NewType]],$AF$36:$AF$54,$AG$36:$AG$54)</f>
        <v>#N/A</v>
      </c>
      <c r="AA1077" s="17" t="s">
        <v>7236</v>
      </c>
      <c r="AB1077" s="11" t="str">
        <f>_xlfn.XLOOKUP(Customer[[#This Row],[Customer ID]],[1]!Address[ID],[1]!Address[Subtype])</f>
        <v>XPRESS POINT</v>
      </c>
      <c r="AC1077" s="18" t="str">
        <f>_xlfn.XLOOKUP(Customer[[#This Row],[Customer ID]],[1]!Address[ID],[1]!Address[Zone])</f>
        <v>NORTH</v>
      </c>
    </row>
    <row r="1078" spans="1:29" x14ac:dyDescent="0.3">
      <c r="A1078" s="37" t="s">
        <v>7237</v>
      </c>
      <c r="B1078" s="38" t="str">
        <f>_xlfn.XLOOKUP(Customer[[#This Row],[Customer ID]],[1]!Name[ID],[1]!Name[Description(1)])</f>
        <v>SERI PAUH SVC STATION SDN BHD</v>
      </c>
      <c r="C1078" s="38" t="str">
        <f>_xlfn.XLOOKUP(Customer[[#This Row],[Customer ID]],[1]!Name[ID],[1]!Name[Description(2)])</f>
        <v>CALTEX PERMATANG PAUH</v>
      </c>
      <c r="D1078" s="38" t="str">
        <f>_xlfn.XLOOKUP(Customer[[#This Row],[Customer ID]],[1]!Address[ID],[1]!Address[PIC])</f>
        <v/>
      </c>
      <c r="E1078" s="38" t="str">
        <f>_xlfn.XLOOKUP(Customer[[#This Row],[Customer ID]],[1]!Address[ID],[1]!Address[Full Address])</f>
        <v>CALTEX PERMATANG PAUHNO 1519, MUKIM 4,JALAN PERMATANG PAUH, 13500PERMATANG PAUH PULAU PINANG</v>
      </c>
      <c r="F1078" s="12" t="s">
        <v>7238</v>
      </c>
      <c r="G1078" s="12" t="s">
        <v>7239</v>
      </c>
      <c r="H1078" s="12" t="s">
        <v>7240</v>
      </c>
      <c r="I1078" s="12" t="b">
        <f>ISNUMBER(VALUE(LEFT(Customer[[#This Row],[Address Line 3 (30 char)]],1)))</f>
        <v>0</v>
      </c>
      <c r="J1078" s="12" t="s">
        <v>179</v>
      </c>
      <c r="K1078" s="12">
        <v>13500</v>
      </c>
      <c r="L1078" s="12" t="s">
        <v>35</v>
      </c>
      <c r="M1078" s="13" t="e">
        <v>#N/A</v>
      </c>
      <c r="N1078" s="14" t="e">
        <v>#N/A</v>
      </c>
      <c r="O1078" s="14" t="e">
        <v>#N/A</v>
      </c>
      <c r="P1078" s="14" t="e">
        <v>#N/A</v>
      </c>
      <c r="Q1078" s="14" t="e">
        <v>#N/A</v>
      </c>
      <c r="R1078" s="15" t="s">
        <v>7241</v>
      </c>
      <c r="S1078" s="15" t="s">
        <v>37</v>
      </c>
      <c r="T1078" s="16" t="s">
        <v>38</v>
      </c>
      <c r="U1078" s="11" t="str">
        <f>_xlfn.XLOOKUP(Customer[[#This Row],[Customer ID]],[1]!Address[ID],[1]!Address[Phone No.(2)])</f>
        <v/>
      </c>
      <c r="V1078" s="11" t="str">
        <f>_xlfn.XLOOKUP(Customer[[#This Row],[Customer ID]],[1]!Address[ID],[1]!Address[Type])</f>
        <v>PETROMART</v>
      </c>
      <c r="W1078" s="11" t="str">
        <f>_xlfn.XLOOKUP(Customer[[#This Row],[Customer ID]],[1]!Address[ID],[1]!Address[CT])</f>
        <v>30</v>
      </c>
      <c r="X1078" s="11" t="s">
        <v>39</v>
      </c>
      <c r="Y1078" s="17" t="s">
        <v>40</v>
      </c>
      <c r="Z1078" s="17" t="e">
        <f>_xlfn.XLOOKUP(Customer[[#This Row],[NewType]],$AF$36:$AF$54,$AG$36:$AG$54)</f>
        <v>#N/A</v>
      </c>
      <c r="AA1078" s="17" t="s">
        <v>7242</v>
      </c>
      <c r="AB1078" s="11" t="str">
        <f>_xlfn.XLOOKUP(Customer[[#This Row],[Customer ID]],[1]!Address[ID],[1]!Address[Subtype])</f>
        <v>XPRESS POINT</v>
      </c>
      <c r="AC1078" s="18" t="str">
        <f>_xlfn.XLOOKUP(Customer[[#This Row],[Customer ID]],[1]!Address[ID],[1]!Address[Zone])</f>
        <v>NORTH</v>
      </c>
    </row>
    <row r="1079" spans="1:29" x14ac:dyDescent="0.3">
      <c r="A1079" s="37" t="s">
        <v>7243</v>
      </c>
      <c r="B1079" s="38" t="str">
        <f>_xlfn.XLOOKUP(Customer[[#This Row],[Customer ID]],[1]!Name[ID],[1]!Name[Description(1)])</f>
        <v>MULIAJAYA SERVICE STATION</v>
      </c>
      <c r="C1079" s="38" t="str">
        <f>_xlfn.XLOOKUP(Customer[[#This Row],[Customer ID]],[1]!Name[ID],[1]!Name[Description(2)])</f>
        <v>CALTEX BUKIT MINYAK</v>
      </c>
      <c r="D1079" s="38" t="str">
        <f>_xlfn.XLOOKUP(Customer[[#This Row],[Customer ID]],[1]!Address[ID],[1]!Address[PIC])</f>
        <v/>
      </c>
      <c r="E1079" s="38" t="str">
        <f>_xlfn.XLOOKUP(Customer[[#This Row],[Customer ID]],[1]!Address[ID],[1]!Address[Full Address])</f>
        <v>CALTEX BUKIT MINYAKLOT 1327,1328&amp; 103, MUKIM 14BUKIT MINYAK, SEBERANG PERAI TENGAH14100 SIMPANG AMPAT   PULAU PINANG</v>
      </c>
      <c r="F1079" s="12" t="s">
        <v>7244</v>
      </c>
      <c r="G1079" s="41" t="s">
        <v>7245</v>
      </c>
      <c r="H1079" s="12" t="s">
        <v>7246</v>
      </c>
      <c r="I1079" s="12" t="b">
        <f>ISNUMBER(VALUE(LEFT(Customer[[#This Row],[Address Line 3 (30 char)]],1)))</f>
        <v>0</v>
      </c>
      <c r="J1079" s="12" t="s">
        <v>179</v>
      </c>
      <c r="K1079" s="12">
        <v>14100</v>
      </c>
      <c r="L1079" s="12" t="s">
        <v>35</v>
      </c>
      <c r="M1079" s="13" t="e">
        <v>#N/A</v>
      </c>
      <c r="N1079" s="14" t="e">
        <v>#N/A</v>
      </c>
      <c r="O1079" s="14" t="e">
        <v>#N/A</v>
      </c>
      <c r="P1079" s="14" t="e">
        <v>#N/A</v>
      </c>
      <c r="Q1079" s="14" t="e">
        <v>#N/A</v>
      </c>
      <c r="R1079" s="15" t="s">
        <v>7247</v>
      </c>
      <c r="S1079" s="15" t="s">
        <v>37</v>
      </c>
      <c r="T1079" s="16" t="s">
        <v>38</v>
      </c>
      <c r="U1079" s="11" t="str">
        <f>_xlfn.XLOOKUP(Customer[[#This Row],[Customer ID]],[1]!Address[ID],[1]!Address[Phone No.(2)])</f>
        <v/>
      </c>
      <c r="V1079" s="11" t="str">
        <f>_xlfn.XLOOKUP(Customer[[#This Row],[Customer ID]],[1]!Address[ID],[1]!Address[Type])</f>
        <v>PETROMART</v>
      </c>
      <c r="W1079" s="11" t="str">
        <f>_xlfn.XLOOKUP(Customer[[#This Row],[Customer ID]],[1]!Address[ID],[1]!Address[CT])</f>
        <v>30</v>
      </c>
      <c r="X1079" s="11" t="s">
        <v>39</v>
      </c>
      <c r="Y1079" s="17" t="s">
        <v>40</v>
      </c>
      <c r="Z1079" s="17" t="e">
        <f>_xlfn.XLOOKUP(Customer[[#This Row],[NewType]],$AF$36:$AF$54,$AG$36:$AG$54)</f>
        <v>#N/A</v>
      </c>
      <c r="AA1079" s="17" t="s">
        <v>7248</v>
      </c>
      <c r="AB1079" s="11" t="str">
        <f>_xlfn.XLOOKUP(Customer[[#This Row],[Customer ID]],[1]!Address[ID],[1]!Address[Subtype])</f>
        <v>XPRESS POINT</v>
      </c>
      <c r="AC1079" s="18" t="str">
        <f>_xlfn.XLOOKUP(Customer[[#This Row],[Customer ID]],[1]!Address[ID],[1]!Address[Zone])</f>
        <v>NORTH</v>
      </c>
    </row>
    <row r="1080" spans="1:29" x14ac:dyDescent="0.3">
      <c r="A1080" s="37" t="s">
        <v>7249</v>
      </c>
      <c r="B1080" s="38" t="str">
        <f>_xlfn.XLOOKUP(Customer[[#This Row],[Customer ID]],[1]!Name[ID],[1]!Name[Description(1)])</f>
        <v>DT &amp; T EXPRESS STATION SDN BHD</v>
      </c>
      <c r="C1080" s="38" t="str">
        <f>_xlfn.XLOOKUP(Customer[[#This Row],[Customer ID]],[1]!Name[ID],[1]!Name[Description(2)])</f>
        <v>CALTEX SG BAKAP</v>
      </c>
      <c r="D1080" s="38" t="str">
        <f>_xlfn.XLOOKUP(Customer[[#This Row],[Customer ID]],[1]!Address[ID],[1]!Address[PIC])</f>
        <v/>
      </c>
      <c r="E1080" s="38" t="str">
        <f>_xlfn.XLOOKUP(Customer[[#This Row],[Customer ID]],[1]!Address[ID],[1]!Address[Full Address])</f>
        <v>CALTEX SG BAKAP1566, JALAN BESAR, SUNGAI BAKAP14200 SG JAWISEBERANG PERAI SELATAN, PULAU PINANG</v>
      </c>
      <c r="F1080" s="12" t="s">
        <v>7250</v>
      </c>
      <c r="G1080" s="12" t="s">
        <v>7251</v>
      </c>
      <c r="H1080" s="24" t="s">
        <v>7252</v>
      </c>
      <c r="I1080" s="24" t="b">
        <f>ISNUMBER(VALUE(LEFT(Customer[[#This Row],[Address Line 3 (30 char)]],1)))</f>
        <v>0</v>
      </c>
      <c r="J1080" s="12" t="s">
        <v>179</v>
      </c>
      <c r="K1080" s="12">
        <v>14200</v>
      </c>
      <c r="L1080" s="12" t="s">
        <v>35</v>
      </c>
      <c r="M1080" s="13">
        <v>200301002726</v>
      </c>
      <c r="N1080" s="14" t="s">
        <v>5442</v>
      </c>
      <c r="O1080" s="14" t="e">
        <v>#N/A</v>
      </c>
      <c r="P1080" s="14" t="e">
        <v>#N/A</v>
      </c>
      <c r="Q1080" s="14" t="e">
        <v>#N/A</v>
      </c>
      <c r="R1080" s="15" t="s">
        <v>7253</v>
      </c>
      <c r="S1080" s="15" t="s">
        <v>37</v>
      </c>
      <c r="T1080" s="16" t="s">
        <v>38</v>
      </c>
      <c r="U1080" s="11" t="str">
        <f>_xlfn.XLOOKUP(Customer[[#This Row],[Customer ID]],[1]!Address[ID],[1]!Address[Phone No.(2)])</f>
        <v/>
      </c>
      <c r="V1080" s="11" t="str">
        <f>_xlfn.XLOOKUP(Customer[[#This Row],[Customer ID]],[1]!Address[ID],[1]!Address[Type])</f>
        <v>PETROMART</v>
      </c>
      <c r="W1080" s="11" t="str">
        <f>_xlfn.XLOOKUP(Customer[[#This Row],[Customer ID]],[1]!Address[ID],[1]!Address[CT])</f>
        <v>30</v>
      </c>
      <c r="X1080" s="11" t="s">
        <v>39</v>
      </c>
      <c r="Y1080" s="17" t="s">
        <v>40</v>
      </c>
      <c r="Z1080" s="17" t="e">
        <f>_xlfn.XLOOKUP(Customer[[#This Row],[NewType]],$AF$36:$AF$54,$AG$36:$AG$54)</f>
        <v>#N/A</v>
      </c>
      <c r="AA1080" s="17" t="s">
        <v>7254</v>
      </c>
      <c r="AB1080" s="11" t="str">
        <f>_xlfn.XLOOKUP(Customer[[#This Row],[Customer ID]],[1]!Address[ID],[1]!Address[Subtype])</f>
        <v>XPRESS POINT</v>
      </c>
      <c r="AC1080" s="18" t="str">
        <f>_xlfn.XLOOKUP(Customer[[#This Row],[Customer ID]],[1]!Address[ID],[1]!Address[Zone])</f>
        <v>NORTH</v>
      </c>
    </row>
    <row r="1081" spans="1:29" x14ac:dyDescent="0.3">
      <c r="A1081" s="10" t="s">
        <v>7255</v>
      </c>
      <c r="B1081" s="11" t="str">
        <f>_xlfn.XLOOKUP(Customer[[#This Row],[Customer ID]],[1]!Name[ID],[1]!Name[Description(1)])</f>
        <v>NOOR AZURA ABD RANI</v>
      </c>
      <c r="C1081" s="38" t="str">
        <f>_xlfn.XLOOKUP(Customer[[#This Row],[Customer ID]],[1]!Name[ID],[1]!Name[Description(2)])</f>
        <v>SME CORP</v>
      </c>
      <c r="D1081" s="38" t="str">
        <f>_xlfn.XLOOKUP(Customer[[#This Row],[Customer ID]],[1]!Address[ID],[1]!Address[PIC])</f>
        <v/>
      </c>
      <c r="E1081" s="38" t="str">
        <f>_xlfn.XLOOKUP(Customer[[#This Row],[Customer ID]],[1]!Address[ID],[1]!Address[Full Address])</f>
        <v>SME CORP MALAYSIA,LEVEL 4, BLOK B SME 1,PLTAINUM SENTRAL,JALAN STESEN SENTRAL 2,52470 KL SENTRAL,KL</v>
      </c>
      <c r="F1081" s="12" t="s">
        <v>7256</v>
      </c>
      <c r="G1081" s="12" t="s">
        <v>7257</v>
      </c>
      <c r="H1081" s="12" t="s">
        <v>7258</v>
      </c>
      <c r="I1081" s="12" t="b">
        <f>ISNUMBER(VALUE(LEFT(Customer[[#This Row],[Address Line 3 (30 char)]],1)))</f>
        <v>0</v>
      </c>
      <c r="J1081" s="12" t="s">
        <v>34</v>
      </c>
      <c r="K1081" s="12">
        <v>52470</v>
      </c>
      <c r="L1081" s="12" t="s">
        <v>35</v>
      </c>
      <c r="M1081" s="13" t="e">
        <v>#N/A</v>
      </c>
      <c r="N1081" s="14" t="e">
        <v>#N/A</v>
      </c>
      <c r="O1081" s="14" t="e">
        <v>#N/A</v>
      </c>
      <c r="P1081" s="14" t="e">
        <v>#N/A</v>
      </c>
      <c r="Q1081" s="14" t="e">
        <v>#N/A</v>
      </c>
      <c r="R1081" s="15" t="s">
        <v>7259</v>
      </c>
      <c r="S1081" s="15" t="s">
        <v>89</v>
      </c>
      <c r="T1081" s="16" t="s">
        <v>89</v>
      </c>
      <c r="U1081" s="11" t="str">
        <f>_xlfn.XLOOKUP(Customer[[#This Row],[Customer ID]],[1]!Address[ID],[1]!Address[Phone No.(2)])</f>
        <v/>
      </c>
      <c r="V1081" s="11" t="str">
        <f>_xlfn.XLOOKUP(Customer[[#This Row],[Customer ID]],[1]!Address[ID],[1]!Address[Type])</f>
        <v>SOCMED</v>
      </c>
      <c r="W1081" s="11" t="str">
        <f>_xlfn.XLOOKUP(Customer[[#This Row],[Customer ID]],[1]!Address[ID],[1]!Address[CT])</f>
        <v>CASH</v>
      </c>
      <c r="X1081" s="11"/>
      <c r="Y1081" s="17" t="s">
        <v>90</v>
      </c>
      <c r="Z1081" s="17" t="e">
        <f>_xlfn.XLOOKUP(Customer[[#This Row],[NewType]],$AF$36:$AF$54,$AG$36:$AG$54)</f>
        <v>#N/A</v>
      </c>
      <c r="AA1081" s="17" t="s">
        <v>7260</v>
      </c>
      <c r="AB1081" s="11" t="str">
        <f>_xlfn.XLOOKUP(Customer[[#This Row],[Customer ID]],[1]!Address[ID],[1]!Address[Subtype])</f>
        <v>WHATSAPP</v>
      </c>
      <c r="AC1081" s="18" t="str">
        <f>_xlfn.XLOOKUP(Customer[[#This Row],[Customer ID]],[1]!Address[ID],[1]!Address[Zone])</f>
        <v>CENTRAL</v>
      </c>
    </row>
    <row r="1082" spans="1:29" x14ac:dyDescent="0.3">
      <c r="A1082" s="37" t="s">
        <v>7261</v>
      </c>
      <c r="B1082" s="38" t="str">
        <f>_xlfn.XLOOKUP(Customer[[#This Row],[Customer ID]],[1]!Name[ID],[1]!Name[Description(1)])</f>
        <v>IS KEREPEK ENTERPRISE</v>
      </c>
      <c r="C1082" s="38" t="str">
        <f>_xlfn.XLOOKUP(Customer[[#This Row],[Customer ID]],[1]!Name[ID],[1]!Name[Description(2)])</f>
        <v/>
      </c>
      <c r="D1082" s="38" t="str">
        <f>_xlfn.XLOOKUP(Customer[[#This Row],[Customer ID]],[1]!Address[ID],[1]!Address[PIC])</f>
        <v>EN IS</v>
      </c>
      <c r="E1082" s="38" t="str">
        <f>_xlfn.XLOOKUP(Customer[[#This Row],[Customer ID]],[1]!Address[ID],[1]!Address[Full Address])</f>
        <v>GERAI NO 15, R&amp;R KM75,MACHAP UTARA,LEBUHRAYA UTARA SELATAN86000 KLUANG, JOHOR</v>
      </c>
      <c r="F1082" s="12" t="s">
        <v>7262</v>
      </c>
      <c r="G1082" s="12" t="s">
        <v>7263</v>
      </c>
      <c r="H1082" s="12" t="s">
        <v>2573</v>
      </c>
      <c r="I1082" s="12" t="b">
        <f>ISNUMBER(VALUE(LEFT(Customer[[#This Row],[Address Line 3 (30 char)]],1)))</f>
        <v>0</v>
      </c>
      <c r="J1082" s="12" t="s">
        <v>52</v>
      </c>
      <c r="K1082" s="12">
        <v>86000</v>
      </c>
      <c r="L1082" s="12" t="s">
        <v>35</v>
      </c>
      <c r="M1082" s="13" t="e">
        <v>#N/A</v>
      </c>
      <c r="N1082" s="14" t="e">
        <v>#N/A</v>
      </c>
      <c r="O1082" s="14" t="e">
        <v>#N/A</v>
      </c>
      <c r="P1082" s="14" t="e">
        <v>#N/A</v>
      </c>
      <c r="Q1082" s="14" t="e">
        <v>#N/A</v>
      </c>
      <c r="R1082" s="15" t="s">
        <v>7264</v>
      </c>
      <c r="S1082" s="15" t="s">
        <v>5925</v>
      </c>
      <c r="T1082" s="16" t="s">
        <v>3477</v>
      </c>
      <c r="U1082" s="11" t="str">
        <f>_xlfn.XLOOKUP(Customer[[#This Row],[Customer ID]],[1]!Address[ID],[1]!Address[Phone No.(2)])</f>
        <v/>
      </c>
      <c r="V1082" s="11" t="str">
        <f>_xlfn.XLOOKUP(Customer[[#This Row],[Customer ID]],[1]!Address[ID],[1]!Address[Type])</f>
        <v>CAFE</v>
      </c>
      <c r="W1082" s="11" t="str">
        <f>_xlfn.XLOOKUP(Customer[[#This Row],[Customer ID]],[1]!Address[ID],[1]!Address[CT])</f>
        <v>30 DAYS</v>
      </c>
      <c r="X1082" s="11"/>
      <c r="Y1082" s="17" t="s">
        <v>5926</v>
      </c>
      <c r="Z1082" s="17" t="e">
        <f>_xlfn.XLOOKUP(Customer[[#This Row],[NewType]],$AF$36:$AF$54,$AG$36:$AG$54)</f>
        <v>#N/A</v>
      </c>
      <c r="AA1082" s="17" t="s">
        <v>7265</v>
      </c>
      <c r="AB1082" s="11" t="str">
        <f>_xlfn.XLOOKUP(Customer[[#This Row],[Customer ID]],[1]!Address[ID],[1]!Address[Subtype])</f>
        <v>PLUS</v>
      </c>
      <c r="AC1082" s="18" t="str">
        <f>_xlfn.XLOOKUP(Customer[[#This Row],[Customer ID]],[1]!Address[ID],[1]!Address[Zone])</f>
        <v>SOUTH</v>
      </c>
    </row>
    <row r="1083" spans="1:29" x14ac:dyDescent="0.3">
      <c r="A1083" s="37" t="s">
        <v>7266</v>
      </c>
      <c r="B1083" s="38" t="str">
        <f>_xlfn.XLOOKUP(Customer[[#This Row],[Customer ID]],[1]!Name[ID],[1]!Name[Description(1)])</f>
        <v>CLASSIC ENERGY SDN BHD</v>
      </c>
      <c r="C1083" s="38" t="str">
        <f>_xlfn.XLOOKUP(Customer[[#This Row],[Customer ID]],[1]!Name[ID],[1]!Name[Description(2)])</f>
        <v>CALTEX GLENMARIE</v>
      </c>
      <c r="D1083" s="38" t="str">
        <f>_xlfn.XLOOKUP(Customer[[#This Row],[Customer ID]],[1]!Address[ID],[1]!Address[PIC])</f>
        <v/>
      </c>
      <c r="E1083" s="38" t="str">
        <f>_xlfn.XLOOKUP(Customer[[#This Row],[Customer ID]],[1]!Address[ID],[1]!Address[Full Address])</f>
        <v>CALTEX GLENMARIENO 1 JALAN PRESIDEN U1/1,OFF PERSIARAN KERJAYA, GLENMARIESEKSYEN U1, 40150 SHAH ALAM SELANGOR</v>
      </c>
      <c r="F1083" s="12" t="s">
        <v>7267</v>
      </c>
      <c r="G1083" s="12" t="s">
        <v>7268</v>
      </c>
      <c r="H1083" s="12" t="s">
        <v>7269</v>
      </c>
      <c r="I1083" s="12" t="b">
        <f>ISNUMBER(VALUE(LEFT(Customer[[#This Row],[Address Line 3 (30 char)]],1)))</f>
        <v>0</v>
      </c>
      <c r="J1083" s="12" t="s">
        <v>172</v>
      </c>
      <c r="K1083" s="12">
        <v>40150</v>
      </c>
      <c r="L1083" s="12" t="s">
        <v>35</v>
      </c>
      <c r="M1083" s="13" t="e">
        <v>#N/A</v>
      </c>
      <c r="N1083" s="14" t="e">
        <v>#N/A</v>
      </c>
      <c r="O1083" s="14" t="e">
        <v>#N/A</v>
      </c>
      <c r="P1083" s="14" t="e">
        <v>#N/A</v>
      </c>
      <c r="Q1083" s="19" t="s">
        <v>7270</v>
      </c>
      <c r="R1083" s="15" t="s">
        <v>7271</v>
      </c>
      <c r="S1083" s="15" t="s">
        <v>37</v>
      </c>
      <c r="T1083" s="16" t="s">
        <v>38</v>
      </c>
      <c r="U1083" s="11" t="str">
        <f>_xlfn.XLOOKUP(Customer[[#This Row],[Customer ID]],[1]!Address[ID],[1]!Address[Phone No.(2)])</f>
        <v/>
      </c>
      <c r="V1083" s="11" t="str">
        <f>_xlfn.XLOOKUP(Customer[[#This Row],[Customer ID]],[1]!Address[ID],[1]!Address[Type])</f>
        <v>PETROMART</v>
      </c>
      <c r="W1083" s="11" t="str">
        <f>_xlfn.XLOOKUP(Customer[[#This Row],[Customer ID]],[1]!Address[ID],[1]!Address[CT])</f>
        <v>30</v>
      </c>
      <c r="X1083" s="11" t="s">
        <v>39</v>
      </c>
      <c r="Y1083" s="17" t="s">
        <v>40</v>
      </c>
      <c r="Z1083" s="17" t="e">
        <f>_xlfn.XLOOKUP(Customer[[#This Row],[NewType]],$AF$36:$AF$54,$AG$36:$AG$54)</f>
        <v>#N/A</v>
      </c>
      <c r="AA1083" s="17" t="s">
        <v>7272</v>
      </c>
      <c r="AB1083" s="11" t="str">
        <f>_xlfn.XLOOKUP(Customer[[#This Row],[Customer ID]],[1]!Address[ID],[1]!Address[Subtype])</f>
        <v>CALTEX</v>
      </c>
      <c r="AC1083" s="18" t="str">
        <f>_xlfn.XLOOKUP(Customer[[#This Row],[Customer ID]],[1]!Address[ID],[1]!Address[Zone])</f>
        <v>CENTRAL</v>
      </c>
    </row>
    <row r="1084" spans="1:29" x14ac:dyDescent="0.3">
      <c r="A1084" s="37" t="s">
        <v>7273</v>
      </c>
      <c r="B1084" s="38" t="str">
        <f>_xlfn.XLOOKUP(Customer[[#This Row],[Customer ID]],[1]!Name[ID],[1]!Name[Description(1)])</f>
        <v>HIKMAT CEMPAKA SERVICE</v>
      </c>
      <c r="C1084" s="38" t="str">
        <f>_xlfn.XLOOKUP(Customer[[#This Row],[Customer ID]],[1]!Name[ID],[1]!Name[Description(2)])</f>
        <v>CALTEX TAMAN CEMPAKA</v>
      </c>
      <c r="D1084" s="38" t="str">
        <f>_xlfn.XLOOKUP(Customer[[#This Row],[Customer ID]],[1]!Address[ID],[1]!Address[PIC])</f>
        <v/>
      </c>
      <c r="E1084" s="38" t="str">
        <f>_xlfn.XLOOKUP(Customer[[#This Row],[Customer ID]],[1]!Address[ID],[1]!Address[Full Address])</f>
        <v>CALTEX TAMAN CEMPAKALOT 1860, JALAN CEMPAKA 8,TAMAN CEMPAKA68000 AMPANG, SELANGOR</v>
      </c>
      <c r="F1084" s="12" t="s">
        <v>7274</v>
      </c>
      <c r="G1084" s="12" t="s">
        <v>7275</v>
      </c>
      <c r="H1084" s="12" t="s">
        <v>7276</v>
      </c>
      <c r="I1084" s="12" t="b">
        <f>ISNUMBER(VALUE(LEFT(Customer[[#This Row],[Address Line 3 (30 char)]],1)))</f>
        <v>0</v>
      </c>
      <c r="J1084" s="12" t="s">
        <v>1907</v>
      </c>
      <c r="K1084" s="12">
        <v>68000</v>
      </c>
      <c r="L1084" s="12" t="s">
        <v>35</v>
      </c>
      <c r="M1084" s="13" t="e">
        <v>#N/A</v>
      </c>
      <c r="N1084" s="14" t="e">
        <v>#N/A</v>
      </c>
      <c r="O1084" s="14" t="e">
        <v>#N/A</v>
      </c>
      <c r="P1084" s="14" t="e">
        <v>#N/A</v>
      </c>
      <c r="Q1084" s="19" t="s">
        <v>7277</v>
      </c>
      <c r="R1084" s="15" t="s">
        <v>7278</v>
      </c>
      <c r="S1084" s="15" t="s">
        <v>37</v>
      </c>
      <c r="T1084" s="16" t="s">
        <v>38</v>
      </c>
      <c r="U1084" s="11" t="str">
        <f>_xlfn.XLOOKUP(Customer[[#This Row],[Customer ID]],[1]!Address[ID],[1]!Address[Phone No.(2)])</f>
        <v/>
      </c>
      <c r="V1084" s="11" t="str">
        <f>_xlfn.XLOOKUP(Customer[[#This Row],[Customer ID]],[1]!Address[ID],[1]!Address[Type])</f>
        <v>PETROMART</v>
      </c>
      <c r="W1084" s="11" t="str">
        <f>_xlfn.XLOOKUP(Customer[[#This Row],[Customer ID]],[1]!Address[ID],[1]!Address[CT])</f>
        <v>30</v>
      </c>
      <c r="X1084" s="11" t="s">
        <v>39</v>
      </c>
      <c r="Y1084" s="17" t="s">
        <v>40</v>
      </c>
      <c r="Z1084" s="17" t="e">
        <f>_xlfn.XLOOKUP(Customer[[#This Row],[NewType]],$AF$36:$AF$54,$AG$36:$AG$54)</f>
        <v>#N/A</v>
      </c>
      <c r="AA1084" s="17" t="s">
        <v>7279</v>
      </c>
      <c r="AB1084" s="11" t="str">
        <f>_xlfn.XLOOKUP(Customer[[#This Row],[Customer ID]],[1]!Address[ID],[1]!Address[Subtype])</f>
        <v>XPRESS POINT</v>
      </c>
      <c r="AC1084" s="18" t="str">
        <f>_xlfn.XLOOKUP(Customer[[#This Row],[Customer ID]],[1]!Address[ID],[1]!Address[Zone])</f>
        <v>CENTRAL</v>
      </c>
    </row>
    <row r="1085" spans="1:29" x14ac:dyDescent="0.3">
      <c r="A1085" s="37" t="s">
        <v>7280</v>
      </c>
      <c r="B1085" s="38" t="str">
        <f>_xlfn.XLOOKUP(Customer[[#This Row],[Customer ID]],[1]!Name[ID],[1]!Name[Description(1)])</f>
        <v>OCEAN WIDE SERVICE STATION</v>
      </c>
      <c r="C1085" s="38" t="str">
        <f>_xlfn.XLOOKUP(Customer[[#This Row],[Customer ID]],[1]!Name[ID],[1]!Name[Description(2)])</f>
        <v>CALTEX JALAN TUN RAZAK</v>
      </c>
      <c r="D1085" s="38" t="str">
        <f>_xlfn.XLOOKUP(Customer[[#This Row],[Customer ID]],[1]!Address[ID],[1]!Address[PIC])</f>
        <v/>
      </c>
      <c r="E1085" s="38" t="str">
        <f>_xlfn.XLOOKUP(Customer[[#This Row],[Customer ID]],[1]!Address[ID],[1]!Address[Full Address])</f>
        <v>CALTEX JALAN TUN RAZAK203, JALAN TUN RAZAK50450 KUALA LUMPUR</v>
      </c>
      <c r="F1085" s="12" t="s">
        <v>7281</v>
      </c>
      <c r="G1085" s="12" t="s">
        <v>7282</v>
      </c>
      <c r="H1085" s="24"/>
      <c r="I1085" s="24" t="b">
        <f>ISNUMBER(VALUE(LEFT(Customer[[#This Row],[Address Line 3 (30 char)]],1)))</f>
        <v>0</v>
      </c>
      <c r="J1085" s="12" t="s">
        <v>34</v>
      </c>
      <c r="K1085" s="12">
        <v>50450</v>
      </c>
      <c r="L1085" s="12" t="s">
        <v>35</v>
      </c>
      <c r="M1085" s="13" t="e">
        <v>#N/A</v>
      </c>
      <c r="N1085" s="14" t="e">
        <v>#N/A</v>
      </c>
      <c r="O1085" s="14" t="e">
        <v>#N/A</v>
      </c>
      <c r="P1085" s="14" t="e">
        <v>#N/A</v>
      </c>
      <c r="Q1085" s="19" t="s">
        <v>7283</v>
      </c>
      <c r="R1085" s="15" t="s">
        <v>7284</v>
      </c>
      <c r="S1085" s="15" t="s">
        <v>37</v>
      </c>
      <c r="T1085" s="16" t="s">
        <v>38</v>
      </c>
      <c r="U1085" s="11" t="str">
        <f>_xlfn.XLOOKUP(Customer[[#This Row],[Customer ID]],[1]!Address[ID],[1]!Address[Phone No.(2)])</f>
        <v/>
      </c>
      <c r="V1085" s="11" t="str">
        <f>_xlfn.XLOOKUP(Customer[[#This Row],[Customer ID]],[1]!Address[ID],[1]!Address[Type])</f>
        <v>PETROMART</v>
      </c>
      <c r="W1085" s="11" t="str">
        <f>_xlfn.XLOOKUP(Customer[[#This Row],[Customer ID]],[1]!Address[ID],[1]!Address[CT])</f>
        <v>30</v>
      </c>
      <c r="X1085" s="11" t="s">
        <v>39</v>
      </c>
      <c r="Y1085" s="17" t="s">
        <v>40</v>
      </c>
      <c r="Z1085" s="17" t="e">
        <f>_xlfn.XLOOKUP(Customer[[#This Row],[NewType]],$AF$36:$AF$54,$AG$36:$AG$54)</f>
        <v>#N/A</v>
      </c>
      <c r="AA1085" s="17" t="s">
        <v>7285</v>
      </c>
      <c r="AB1085" s="11" t="str">
        <f>_xlfn.XLOOKUP(Customer[[#This Row],[Customer ID]],[1]!Address[ID],[1]!Address[Subtype])</f>
        <v>CALTEX</v>
      </c>
      <c r="AC1085" s="18" t="str">
        <f>_xlfn.XLOOKUP(Customer[[#This Row],[Customer ID]],[1]!Address[ID],[1]!Address[Zone])</f>
        <v>CENTRAL</v>
      </c>
    </row>
    <row r="1086" spans="1:29" x14ac:dyDescent="0.3">
      <c r="A1086" s="37" t="s">
        <v>7286</v>
      </c>
      <c r="B1086" s="38" t="str">
        <f>_xlfn.XLOOKUP(Customer[[#This Row],[Customer ID]],[1]!Name[ID],[1]!Name[Description(1)])</f>
        <v>PUSAT SERVIS HANIM SDN BHD</v>
      </c>
      <c r="C1086" s="38" t="str">
        <f>_xlfn.XLOOKUP(Customer[[#This Row],[Customer ID]],[1]!Name[ID],[1]!Name[Description(2)])</f>
        <v>CALTEX SUNGAI BULOH BATU 14 blh je gera</v>
      </c>
      <c r="D1086" s="38" t="str">
        <f>_xlfn.XLOOKUP(Customer[[#This Row],[Customer ID]],[1]!Address[ID],[1]!Address[PIC])</f>
        <v/>
      </c>
      <c r="E1086" s="38" t="str">
        <f>_xlfn.XLOOKUP(Customer[[#This Row],[Customer ID]],[1]!Address[ID],[1]!Address[Full Address])</f>
        <v>CALTEX SUNGAI BULOH BATU 14LOT PT 7849, BATU 14, MUKIMSUNGAI BULOH, SEKSYEN U20,40160 SHAH ALAM, SELANGOR D.E</v>
      </c>
      <c r="F1086" s="12" t="s">
        <v>7287</v>
      </c>
      <c r="G1086" s="12" t="s">
        <v>7288</v>
      </c>
      <c r="H1086" s="12" t="s">
        <v>7289</v>
      </c>
      <c r="I1086" s="12" t="b">
        <f>ISNUMBER(VALUE(LEFT(Customer[[#This Row],[Address Line 3 (30 char)]],1)))</f>
        <v>0</v>
      </c>
      <c r="J1086" s="12" t="s">
        <v>1907</v>
      </c>
      <c r="K1086" s="12">
        <v>40160</v>
      </c>
      <c r="L1086" s="12" t="s">
        <v>35</v>
      </c>
      <c r="M1086" s="13" t="e">
        <v>#N/A</v>
      </c>
      <c r="N1086" s="14" t="e">
        <v>#N/A</v>
      </c>
      <c r="O1086" s="14" t="e">
        <v>#N/A</v>
      </c>
      <c r="P1086" s="14" t="e">
        <v>#N/A</v>
      </c>
      <c r="Q1086" s="14" t="e">
        <v>#N/A</v>
      </c>
      <c r="R1086" s="15" t="s">
        <v>7290</v>
      </c>
      <c r="S1086" s="15" t="s">
        <v>37</v>
      </c>
      <c r="T1086" s="16" t="s">
        <v>38</v>
      </c>
      <c r="U1086" s="11" t="str">
        <f>_xlfn.XLOOKUP(Customer[[#This Row],[Customer ID]],[1]!Address[ID],[1]!Address[Phone No.(2)])</f>
        <v/>
      </c>
      <c r="V1086" s="11" t="str">
        <f>_xlfn.XLOOKUP(Customer[[#This Row],[Customer ID]],[1]!Address[ID],[1]!Address[Type])</f>
        <v>PETROMART</v>
      </c>
      <c r="W1086" s="11" t="str">
        <f>_xlfn.XLOOKUP(Customer[[#This Row],[Customer ID]],[1]!Address[ID],[1]!Address[CT])</f>
        <v>30</v>
      </c>
      <c r="X1086" s="11" t="s">
        <v>39</v>
      </c>
      <c r="Y1086" s="17" t="s">
        <v>40</v>
      </c>
      <c r="Z1086" s="17" t="e">
        <f>_xlfn.XLOOKUP(Customer[[#This Row],[NewType]],$AF$36:$AF$54,$AG$36:$AG$54)</f>
        <v>#N/A</v>
      </c>
      <c r="AA1086" s="17" t="s">
        <v>7291</v>
      </c>
      <c r="AB1086" s="11" t="str">
        <f>_xlfn.XLOOKUP(Customer[[#This Row],[Customer ID]],[1]!Address[ID],[1]!Address[Subtype])</f>
        <v>CALTEX</v>
      </c>
      <c r="AC1086" s="18" t="str">
        <f>_xlfn.XLOOKUP(Customer[[#This Row],[Customer ID]],[1]!Address[ID],[1]!Address[Zone])</f>
        <v>CENTRAL</v>
      </c>
    </row>
    <row r="1087" spans="1:29" x14ac:dyDescent="0.3">
      <c r="A1087" s="37" t="s">
        <v>7292</v>
      </c>
      <c r="B1087" s="38" t="str">
        <f>_xlfn.XLOOKUP(Customer[[#This Row],[Customer ID]],[1]!Name[ID],[1]!Name[Description(1)])</f>
        <v>STESYEN SERVIS E&amp;C SDN BHD</v>
      </c>
      <c r="C1087" s="38" t="str">
        <f>_xlfn.XLOOKUP(Customer[[#This Row],[Customer ID]],[1]!Name[ID],[1]!Name[Description(2)])</f>
        <v>CALTEX JALAN IPOH</v>
      </c>
      <c r="D1087" s="38" t="str">
        <f>_xlfn.XLOOKUP(Customer[[#This Row],[Customer ID]],[1]!Address[ID],[1]!Address[PIC])</f>
        <v/>
      </c>
      <c r="E1087" s="38" t="str">
        <f>_xlfn.XLOOKUP(Customer[[#This Row],[Customer ID]],[1]!Address[ID],[1]!Address[Full Address])</f>
        <v>CALTEX JALAN IPOHLOT 4759 BATU 4 1/2ALAN IPOH 51200 KUALA LUMPUR</v>
      </c>
      <c r="F1087" s="12" t="s">
        <v>7293</v>
      </c>
      <c r="G1087" s="12" t="s">
        <v>7294</v>
      </c>
      <c r="H1087" s="12" t="s">
        <v>7295</v>
      </c>
      <c r="I1087" s="12" t="b">
        <f>ISNUMBER(VALUE(LEFT(Customer[[#This Row],[Address Line 3 (30 char)]],1)))</f>
        <v>0</v>
      </c>
      <c r="J1087" s="12" t="s">
        <v>34</v>
      </c>
      <c r="K1087" s="12">
        <v>51200</v>
      </c>
      <c r="L1087" s="12" t="s">
        <v>35</v>
      </c>
      <c r="M1087" s="13" t="e">
        <v>#N/A</v>
      </c>
      <c r="N1087" s="14" t="e">
        <v>#N/A</v>
      </c>
      <c r="O1087" s="14" t="e">
        <v>#N/A</v>
      </c>
      <c r="P1087" s="14" t="e">
        <v>#N/A</v>
      </c>
      <c r="Q1087" s="14" t="e">
        <v>#N/A</v>
      </c>
      <c r="R1087" s="15" t="s">
        <v>7296</v>
      </c>
      <c r="S1087" s="15" t="s">
        <v>37</v>
      </c>
      <c r="T1087" s="16" t="s">
        <v>38</v>
      </c>
      <c r="U1087" s="11" t="str">
        <f>_xlfn.XLOOKUP(Customer[[#This Row],[Customer ID]],[1]!Address[ID],[1]!Address[Phone No.(2)])</f>
        <v/>
      </c>
      <c r="V1087" s="11" t="str">
        <f>_xlfn.XLOOKUP(Customer[[#This Row],[Customer ID]],[1]!Address[ID],[1]!Address[Type])</f>
        <v>PETROMART</v>
      </c>
      <c r="W1087" s="11" t="str">
        <f>_xlfn.XLOOKUP(Customer[[#This Row],[Customer ID]],[1]!Address[ID],[1]!Address[CT])</f>
        <v>30</v>
      </c>
      <c r="X1087" s="11" t="s">
        <v>39</v>
      </c>
      <c r="Y1087" s="17" t="s">
        <v>40</v>
      </c>
      <c r="Z1087" s="17" t="e">
        <f>_xlfn.XLOOKUP(Customer[[#This Row],[NewType]],$AF$36:$AF$54,$AG$36:$AG$54)</f>
        <v>#N/A</v>
      </c>
      <c r="AA1087" s="17" t="s">
        <v>7297</v>
      </c>
      <c r="AB1087" s="11" t="str">
        <f>_xlfn.XLOOKUP(Customer[[#This Row],[Customer ID]],[1]!Address[ID],[1]!Address[Subtype])</f>
        <v>CALTEX</v>
      </c>
      <c r="AC1087" s="18" t="str">
        <f>_xlfn.XLOOKUP(Customer[[#This Row],[Customer ID]],[1]!Address[ID],[1]!Address[Zone])</f>
        <v>CENTRAL</v>
      </c>
    </row>
    <row r="1088" spans="1:29" x14ac:dyDescent="0.3">
      <c r="A1088" s="37" t="s">
        <v>7298</v>
      </c>
      <c r="B1088" s="38" t="str">
        <f>_xlfn.XLOOKUP(Customer[[#This Row],[Customer ID]],[1]!Name[ID],[1]!Name[Description(1)])</f>
        <v>MOHON RESTU SDN BHD</v>
      </c>
      <c r="C1088" s="38" t="str">
        <f>_xlfn.XLOOKUP(Customer[[#This Row],[Customer ID]],[1]!Name[ID],[1]!Name[Description(2)])</f>
        <v>CALTEX BUKIT INDAH</v>
      </c>
      <c r="D1088" s="38" t="str">
        <f>_xlfn.XLOOKUP(Customer[[#This Row],[Customer ID]],[1]!Address[ID],[1]!Address[PIC])</f>
        <v/>
      </c>
      <c r="E1088" s="38" t="str">
        <f>_xlfn.XLOOKUP(Customer[[#This Row],[Customer ID]],[1]!Address[ID],[1]!Address[Full Address])</f>
        <v>CALTEX BUKIT INDAHLOT 13887, MEDANBUKIT INDAH, TAMAN  BUKIT INDAH, 68000AMPANG, SELANGOR DARUL EHSAN</v>
      </c>
      <c r="F1088" s="12" t="s">
        <v>7299</v>
      </c>
      <c r="G1088" s="12" t="s">
        <v>7300</v>
      </c>
      <c r="H1088" s="12" t="s">
        <v>7301</v>
      </c>
      <c r="I1088" s="12" t="b">
        <f>ISNUMBER(VALUE(LEFT(Customer[[#This Row],[Address Line 3 (30 char)]],1)))</f>
        <v>0</v>
      </c>
      <c r="J1088" s="12" t="s">
        <v>1907</v>
      </c>
      <c r="K1088" s="12">
        <v>68000</v>
      </c>
      <c r="L1088" s="12" t="s">
        <v>35</v>
      </c>
      <c r="M1088" s="13" t="e">
        <v>#N/A</v>
      </c>
      <c r="N1088" s="14" t="e">
        <v>#N/A</v>
      </c>
      <c r="O1088" s="14" t="e">
        <v>#N/A</v>
      </c>
      <c r="P1088" s="14" t="e">
        <v>#N/A</v>
      </c>
      <c r="Q1088" s="14" t="e">
        <v>#N/A</v>
      </c>
      <c r="R1088" s="15" t="s">
        <v>7302</v>
      </c>
      <c r="S1088" s="15" t="s">
        <v>37</v>
      </c>
      <c r="T1088" s="16" t="s">
        <v>38</v>
      </c>
      <c r="U1088" s="11" t="str">
        <f>_xlfn.XLOOKUP(Customer[[#This Row],[Customer ID]],[1]!Address[ID],[1]!Address[Phone No.(2)])</f>
        <v/>
      </c>
      <c r="V1088" s="11" t="str">
        <f>_xlfn.XLOOKUP(Customer[[#This Row],[Customer ID]],[1]!Address[ID],[1]!Address[Type])</f>
        <v>PETROMART</v>
      </c>
      <c r="W1088" s="11" t="str">
        <f>_xlfn.XLOOKUP(Customer[[#This Row],[Customer ID]],[1]!Address[ID],[1]!Address[CT])</f>
        <v>30</v>
      </c>
      <c r="X1088" s="11" t="s">
        <v>39</v>
      </c>
      <c r="Y1088" s="17" t="s">
        <v>40</v>
      </c>
      <c r="Z1088" s="17" t="e">
        <f>_xlfn.XLOOKUP(Customer[[#This Row],[NewType]],$AF$36:$AF$54,$AG$36:$AG$54)</f>
        <v>#N/A</v>
      </c>
      <c r="AA1088" s="17" t="s">
        <v>7303</v>
      </c>
      <c r="AB1088" s="11" t="str">
        <f>_xlfn.XLOOKUP(Customer[[#This Row],[Customer ID]],[1]!Address[ID],[1]!Address[Subtype])</f>
        <v>CALTEX</v>
      </c>
      <c r="AC1088" s="18" t="str">
        <f>_xlfn.XLOOKUP(Customer[[#This Row],[Customer ID]],[1]!Address[ID],[1]!Address[Zone])</f>
        <v>CENTRAL</v>
      </c>
    </row>
    <row r="1089" spans="1:30" x14ac:dyDescent="0.3">
      <c r="A1089" s="37" t="s">
        <v>7304</v>
      </c>
      <c r="B1089" s="38" t="str">
        <f>_xlfn.XLOOKUP(Customer[[#This Row],[Customer ID]],[1]!Name[ID],[1]!Name[Description(1)])</f>
        <v>PASARAYA ESMART</v>
      </c>
      <c r="C1089" s="38" t="str">
        <f>_xlfn.XLOOKUP(Customer[[#This Row],[Customer ID]],[1]!Name[ID],[1]!Name[Description(2)])</f>
        <v/>
      </c>
      <c r="D1089" s="38" t="str">
        <f>_xlfn.XLOOKUP(Customer[[#This Row],[Customer ID]],[1]!Address[ID],[1]!Address[PIC])</f>
        <v/>
      </c>
      <c r="E1089" s="38" t="str">
        <f>_xlfn.XLOOKUP(Customer[[#This Row],[Customer ID]],[1]!Address[ID],[1]!Address[Full Address])</f>
        <v>LOT 1381, JALAN BATU 8,KAMPUNG SIJANGKANG,42500 TELUK PANGLIMA GARANG,SELANGOR</v>
      </c>
      <c r="F1089" s="12" t="s">
        <v>7305</v>
      </c>
      <c r="G1089" s="12" t="s">
        <v>7306</v>
      </c>
      <c r="H1089" s="24" t="s">
        <v>7307</v>
      </c>
      <c r="I1089" s="24" t="b">
        <f>ISNUMBER(VALUE(LEFT(Customer[[#This Row],[Address Line 3 (30 char)]],1)))</f>
        <v>0</v>
      </c>
      <c r="J1089" s="12" t="s">
        <v>1907</v>
      </c>
      <c r="K1089" s="12">
        <v>42500</v>
      </c>
      <c r="L1089" s="12" t="s">
        <v>35</v>
      </c>
      <c r="M1089" s="13" t="e">
        <v>#N/A</v>
      </c>
      <c r="N1089" s="14" t="e">
        <v>#N/A</v>
      </c>
      <c r="O1089" s="14" t="e">
        <v>#N/A</v>
      </c>
      <c r="P1089" s="14" t="e">
        <v>#N/A</v>
      </c>
      <c r="Q1089" s="14" t="e">
        <v>#N/A</v>
      </c>
      <c r="R1089" s="15" t="s">
        <v>7308</v>
      </c>
      <c r="S1089" s="15" t="s">
        <v>88</v>
      </c>
      <c r="T1089" s="16" t="s">
        <v>89</v>
      </c>
      <c r="U1089" s="11" t="str">
        <f>_xlfn.XLOOKUP(Customer[[#This Row],[Customer ID]],[1]!Address[ID],[1]!Address[Phone No.(2)])</f>
        <v/>
      </c>
      <c r="V1089" s="11" t="str">
        <f>_xlfn.XLOOKUP(Customer[[#This Row],[Customer ID]],[1]!Address[ID],[1]!Address[Type])</f>
        <v>SOCMED</v>
      </c>
      <c r="W1089" s="11" t="str">
        <f>_xlfn.XLOOKUP(Customer[[#This Row],[Customer ID]],[1]!Address[ID],[1]!Address[CT])</f>
        <v/>
      </c>
      <c r="X1089" s="11"/>
      <c r="Y1089" s="17" t="s">
        <v>90</v>
      </c>
      <c r="Z1089" s="17" t="e">
        <f>_xlfn.XLOOKUP(Customer[[#This Row],[NewType]],$AF$36:$AF$54,$AG$36:$AG$54)</f>
        <v>#N/A</v>
      </c>
      <c r="AA1089" s="17" t="s">
        <v>7309</v>
      </c>
      <c r="AB1089" s="11" t="str">
        <f>_xlfn.XLOOKUP(Customer[[#This Row],[Customer ID]],[1]!Address[ID],[1]!Address[Subtype])</f>
        <v>ONLINE ROS</v>
      </c>
      <c r="AC1089" s="18" t="str">
        <f>_xlfn.XLOOKUP(Customer[[#This Row],[Customer ID]],[1]!Address[ID],[1]!Address[Zone])</f>
        <v>CENTRAL</v>
      </c>
    </row>
    <row r="1090" spans="1:30" x14ac:dyDescent="0.3">
      <c r="A1090" s="37" t="s">
        <v>7310</v>
      </c>
      <c r="B1090" s="38" t="str">
        <f>_xlfn.XLOOKUP(Customer[[#This Row],[Customer ID]],[1]!Name[ID],[1]!Name[Description(1)])</f>
        <v>PASARAYA ESMART</v>
      </c>
      <c r="C1090" s="38" t="str">
        <f>_xlfn.XLOOKUP(Customer[[#This Row],[Customer ID]],[1]!Name[ID],[1]!Name[Description(2)])</f>
        <v/>
      </c>
      <c r="D1090" s="38" t="str">
        <f>_xlfn.XLOOKUP(Customer[[#This Row],[Customer ID]],[1]!Address[ID],[1]!Address[PIC])</f>
        <v/>
      </c>
      <c r="E1090" s="38" t="str">
        <f>_xlfn.XLOOKUP(Customer[[#This Row],[Customer ID]],[1]!Address[ID],[1]!Address[Full Address])</f>
        <v>LOT 1085, JALAN CEMPAKA,KAMPUNG SIJANGKANG,42500 TELOK PANGLIMA GARANG,SELANGOR</v>
      </c>
      <c r="F1090" s="12" t="s">
        <v>7311</v>
      </c>
      <c r="G1090" s="12" t="s">
        <v>7306</v>
      </c>
      <c r="H1090" s="24" t="s">
        <v>6009</v>
      </c>
      <c r="I1090" s="24" t="b">
        <f>ISNUMBER(VALUE(LEFT(Customer[[#This Row],[Address Line 3 (30 char)]],1)))</f>
        <v>0</v>
      </c>
      <c r="J1090" s="12" t="s">
        <v>1907</v>
      </c>
      <c r="K1090" s="12">
        <v>42500</v>
      </c>
      <c r="L1090" s="12" t="s">
        <v>35</v>
      </c>
      <c r="M1090" s="13" t="e">
        <v>#N/A</v>
      </c>
      <c r="N1090" s="14" t="e">
        <v>#N/A</v>
      </c>
      <c r="O1090" s="14" t="e">
        <v>#N/A</v>
      </c>
      <c r="P1090" s="14" t="e">
        <v>#N/A</v>
      </c>
      <c r="Q1090" s="14" t="e">
        <v>#N/A</v>
      </c>
      <c r="R1090" s="15" t="s">
        <v>7308</v>
      </c>
      <c r="S1090" s="15" t="s">
        <v>88</v>
      </c>
      <c r="T1090" s="16" t="s">
        <v>89</v>
      </c>
      <c r="U1090" s="11" t="str">
        <f>_xlfn.XLOOKUP(Customer[[#This Row],[Customer ID]],[1]!Address[ID],[1]!Address[Phone No.(2)])</f>
        <v/>
      </c>
      <c r="V1090" s="11" t="str">
        <f>_xlfn.XLOOKUP(Customer[[#This Row],[Customer ID]],[1]!Address[ID],[1]!Address[Type])</f>
        <v>SOCMED</v>
      </c>
      <c r="W1090" s="11" t="str">
        <f>_xlfn.XLOOKUP(Customer[[#This Row],[Customer ID]],[1]!Address[ID],[1]!Address[CT])</f>
        <v/>
      </c>
      <c r="X1090" s="11"/>
      <c r="Y1090" s="17" t="s">
        <v>90</v>
      </c>
      <c r="Z1090" s="17" t="e">
        <f>_xlfn.XLOOKUP(Customer[[#This Row],[NewType]],$AF$36:$AF$54,$AG$36:$AG$54)</f>
        <v>#N/A</v>
      </c>
      <c r="AA1090" s="17" t="s">
        <v>7312</v>
      </c>
      <c r="AB1090" s="11" t="str">
        <f>_xlfn.XLOOKUP(Customer[[#This Row],[Customer ID]],[1]!Address[ID],[1]!Address[Subtype])</f>
        <v>ONLINE ROS</v>
      </c>
      <c r="AC1090" s="18" t="str">
        <f>_xlfn.XLOOKUP(Customer[[#This Row],[Customer ID]],[1]!Address[ID],[1]!Address[Zone])</f>
        <v>EAEDH</v>
      </c>
    </row>
    <row r="1091" spans="1:30" x14ac:dyDescent="0.3">
      <c r="A1091" s="37" t="s">
        <v>7313</v>
      </c>
      <c r="B1091" s="38" t="str">
        <f>_xlfn.XLOOKUP(Customer[[#This Row],[Customer ID]],[1]!Name[ID],[1]!Name[Description(1)])</f>
        <v>FARMASI AMALMEDIK KOTA BHARU</v>
      </c>
      <c r="C1091" s="38" t="str">
        <f>_xlfn.XLOOKUP(Customer[[#This Row],[Customer ID]],[1]!Name[ID],[1]!Name[Description(2)])</f>
        <v/>
      </c>
      <c r="D1091" s="38" t="str">
        <f>_xlfn.XLOOKUP(Customer[[#This Row],[Customer ID]],[1]!Address[ID],[1]!Address[PIC])</f>
        <v/>
      </c>
      <c r="E1091" s="38" t="str">
        <f>_xlfn.XLOOKUP(Customer[[#This Row],[Customer ID]],[1]!Address[ID],[1]!Address[Full Address])</f>
        <v>LOT 10902, TINGKAT BAWAH,WISMA SERI SETIA,15200 KOTA BHARU, KELANTAN</v>
      </c>
      <c r="F1091" s="12" t="s">
        <v>7314</v>
      </c>
      <c r="G1091" s="12" t="s">
        <v>7315</v>
      </c>
      <c r="H1091" s="24" t="s">
        <v>2824</v>
      </c>
      <c r="I1091" s="24" t="b">
        <f>ISNUMBER(VALUE(LEFT(Customer[[#This Row],[Address Line 3 (30 char)]],1)))</f>
        <v>0</v>
      </c>
      <c r="J1091" s="12" t="s">
        <v>1007</v>
      </c>
      <c r="K1091" s="12">
        <v>15200</v>
      </c>
      <c r="L1091" s="12" t="s">
        <v>35</v>
      </c>
      <c r="M1091" s="13" t="e">
        <v>#N/A</v>
      </c>
      <c r="N1091" s="14" t="e">
        <v>#N/A</v>
      </c>
      <c r="O1091" s="14" t="e">
        <v>#N/A</v>
      </c>
      <c r="P1091" s="14" t="e">
        <v>#N/A</v>
      </c>
      <c r="Q1091" s="14" t="e">
        <v>#N/A</v>
      </c>
      <c r="R1091" s="15" t="s">
        <v>7316</v>
      </c>
      <c r="S1091" s="15"/>
      <c r="T1091" s="16" t="s">
        <v>6749</v>
      </c>
      <c r="U1091" s="11" t="str">
        <f>_xlfn.XLOOKUP(Customer[[#This Row],[Customer ID]],[1]!Address[ID],[1]!Address[Phone No.(2)])</f>
        <v/>
      </c>
      <c r="V1091" s="11" t="str">
        <f>_xlfn.XLOOKUP(Customer[[#This Row],[Customer ID]],[1]!Address[ID],[1]!Address[Type])</f>
        <v>WALK IN</v>
      </c>
      <c r="W1091" s="11" t="str">
        <f>_xlfn.XLOOKUP(Customer[[#This Row],[Customer ID]],[1]!Address[ID],[1]!Address[CT])</f>
        <v>14 DAYS</v>
      </c>
      <c r="X1091" s="11"/>
      <c r="Y1091" s="17" t="s">
        <v>6284</v>
      </c>
      <c r="Z1091" s="17" t="e">
        <f>_xlfn.XLOOKUP(Customer[[#This Row],[NewType]],$AF$36:$AF$54,$AG$36:$AG$54)</f>
        <v>#N/A</v>
      </c>
      <c r="AA1091" s="17" t="s">
        <v>7317</v>
      </c>
      <c r="AB1091" s="11" t="str">
        <f>_xlfn.XLOOKUP(Customer[[#This Row],[Customer ID]],[1]!Address[ID],[1]!Address[Subtype])</f>
        <v>KB</v>
      </c>
      <c r="AC1091" s="18" t="str">
        <f>_xlfn.XLOOKUP(Customer[[#This Row],[Customer ID]],[1]!Address[ID],[1]!Address[Zone])</f>
        <v>EAST COAST</v>
      </c>
    </row>
    <row r="1092" spans="1:30" x14ac:dyDescent="0.3">
      <c r="A1092" s="37" t="s">
        <v>7318</v>
      </c>
      <c r="B1092" s="38" t="str">
        <f>_xlfn.XLOOKUP(Customer[[#This Row],[Customer ID]],[1]!Name[ID],[1]!Name[Description(1)])</f>
        <v>FARMASI RIMADEX (KB)</v>
      </c>
      <c r="C1092" s="38" t="str">
        <f>_xlfn.XLOOKUP(Customer[[#This Row],[Customer ID]],[1]!Name[ID],[1]!Name[Description(2)])</f>
        <v/>
      </c>
      <c r="D1092" s="38" t="str">
        <f>_xlfn.XLOOKUP(Customer[[#This Row],[Customer ID]],[1]!Address[ID],[1]!Address[PIC])</f>
        <v/>
      </c>
      <c r="E1092" s="38" t="str">
        <f>_xlfn.XLOOKUP(Customer[[#This Row],[Customer ID]],[1]!Address[ID],[1]!Address[Full Address])</f>
        <v>NO.6000- 6002, GROUND FLOOR,JALAN HAMZAH,15050 KOTA BHARU, KELANTAN</v>
      </c>
      <c r="F1092" s="12" t="s">
        <v>7319</v>
      </c>
      <c r="G1092" s="12" t="s">
        <v>7320</v>
      </c>
      <c r="H1092" s="24" t="s">
        <v>2824</v>
      </c>
      <c r="I1092" s="24" t="b">
        <f>ISNUMBER(VALUE(LEFT(Customer[[#This Row],[Address Line 3 (30 char)]],1)))</f>
        <v>0</v>
      </c>
      <c r="J1092" s="12" t="s">
        <v>1007</v>
      </c>
      <c r="K1092" s="12">
        <v>15050</v>
      </c>
      <c r="L1092" s="12" t="s">
        <v>35</v>
      </c>
      <c r="M1092" s="13" t="e">
        <v>#N/A</v>
      </c>
      <c r="N1092" s="14" t="e">
        <v>#N/A</v>
      </c>
      <c r="O1092" s="14" t="e">
        <v>#N/A</v>
      </c>
      <c r="P1092" s="14" t="e">
        <v>#N/A</v>
      </c>
      <c r="Q1092" s="14" t="e">
        <v>#N/A</v>
      </c>
      <c r="R1092" s="15" t="s">
        <v>7321</v>
      </c>
      <c r="S1092" s="15"/>
      <c r="T1092" s="16" t="s">
        <v>6749</v>
      </c>
      <c r="U1092" s="11" t="str">
        <f>_xlfn.XLOOKUP(Customer[[#This Row],[Customer ID]],[1]!Address[ID],[1]!Address[Phone No.(2)])</f>
        <v/>
      </c>
      <c r="V1092" s="11" t="str">
        <f>_xlfn.XLOOKUP(Customer[[#This Row],[Customer ID]],[1]!Address[ID],[1]!Address[Type])</f>
        <v>WALK IN</v>
      </c>
      <c r="W1092" s="11" t="str">
        <f>_xlfn.XLOOKUP(Customer[[#This Row],[Customer ID]],[1]!Address[ID],[1]!Address[CT])</f>
        <v>14 DAYS</v>
      </c>
      <c r="X1092" s="11"/>
      <c r="Y1092" s="17" t="s">
        <v>6284</v>
      </c>
      <c r="Z1092" s="17" t="e">
        <f>_xlfn.XLOOKUP(Customer[[#This Row],[NewType]],$AF$36:$AF$54,$AG$36:$AG$54)</f>
        <v>#N/A</v>
      </c>
      <c r="AA1092" s="17" t="s">
        <v>7322</v>
      </c>
      <c r="AB1092" s="11" t="str">
        <f>_xlfn.XLOOKUP(Customer[[#This Row],[Customer ID]],[1]!Address[ID],[1]!Address[Subtype])</f>
        <v>KB</v>
      </c>
      <c r="AC1092" s="18" t="str">
        <f>_xlfn.XLOOKUP(Customer[[#This Row],[Customer ID]],[1]!Address[ID],[1]!Address[Zone])</f>
        <v>EAST COAST</v>
      </c>
    </row>
    <row r="1093" spans="1:30" x14ac:dyDescent="0.3">
      <c r="A1093" s="37" t="s">
        <v>7323</v>
      </c>
      <c r="B1093" s="38" t="str">
        <f>_xlfn.XLOOKUP(Customer[[#This Row],[Customer ID]],[1]!Name[ID],[1]!Name[Description(1)])</f>
        <v>LULU SUPERMARKET &amp; DEPARTMENT STORE</v>
      </c>
      <c r="C1093" s="38" t="str">
        <f>_xlfn.XLOOKUP(Customer[[#This Row],[Customer ID]],[1]!Name[ID],[1]!Name[Description(2)])</f>
        <v>SETIA ECOHILL MALL</v>
      </c>
      <c r="D1093" s="38" t="str">
        <f>_xlfn.XLOOKUP(Customer[[#This Row],[Customer ID]],[1]!Address[ID],[1]!Address[PIC])</f>
        <v/>
      </c>
      <c r="E1093" s="38" t="str">
        <f>_xlfn.XLOOKUP(Customer[[#This Row],[Customer ID]],[1]!Address[ID],[1]!Address[Full Address])</f>
        <v>LULU SUPERMARKET &amp; DEPARTMENT STORESETIA ECOHILL MALL, SEMENYIH, 43500 SELR</v>
      </c>
      <c r="F1093" s="12" t="s">
        <v>7324</v>
      </c>
      <c r="G1093" s="12" t="s">
        <v>7325</v>
      </c>
      <c r="H1093" s="12" t="s">
        <v>7326</v>
      </c>
      <c r="I1093" s="12" t="b">
        <f>ISNUMBER(VALUE(LEFT(Customer[[#This Row],[Address Line 3 (30 char)]],1)))</f>
        <v>0</v>
      </c>
      <c r="J1093" s="12" t="s">
        <v>172</v>
      </c>
      <c r="K1093" s="12">
        <v>43500</v>
      </c>
      <c r="L1093" s="12" t="s">
        <v>35</v>
      </c>
      <c r="M1093" s="13" t="e">
        <v>#N/A</v>
      </c>
      <c r="N1093" s="14" t="e">
        <v>#N/A</v>
      </c>
      <c r="O1093" s="14" t="e">
        <v>#N/A</v>
      </c>
      <c r="P1093" s="14" t="e">
        <v>#N/A</v>
      </c>
      <c r="Q1093" s="14" t="e">
        <v>#N/A</v>
      </c>
      <c r="R1093" s="15" t="s">
        <v>7327</v>
      </c>
      <c r="S1093" s="15" t="s">
        <v>5934</v>
      </c>
      <c r="T1093" s="16" t="s">
        <v>3477</v>
      </c>
      <c r="U1093" s="11" t="str">
        <f>_xlfn.XLOOKUP(Customer[[#This Row],[Customer ID]],[1]!Address[ID],[1]!Address[Phone No.(2)])</f>
        <v/>
      </c>
      <c r="V1093" s="11" t="str">
        <f>_xlfn.XLOOKUP(Customer[[#This Row],[Customer ID]],[1]!Address[ID],[1]!Address[Type])</f>
        <v>HM</v>
      </c>
      <c r="W1093" s="11" t="str">
        <f>_xlfn.XLOOKUP(Customer[[#This Row],[Customer ID]],[1]!Address[ID],[1]!Address[CT])</f>
        <v>30 DAYS</v>
      </c>
      <c r="X1093" s="11"/>
      <c r="Y1093" s="17" t="s">
        <v>5968</v>
      </c>
      <c r="Z1093" s="17" t="e">
        <f>_xlfn.XLOOKUP(Customer[[#This Row],[NewType]],$AF$36:$AF$54,$AG$36:$AG$54)</f>
        <v>#N/A</v>
      </c>
      <c r="AA1093" s="17" t="s">
        <v>7328</v>
      </c>
      <c r="AB1093" s="11" t="str">
        <f>_xlfn.XLOOKUP(Customer[[#This Row],[Customer ID]],[1]!Address[ID],[1]!Address[Subtype])</f>
        <v>LULU</v>
      </c>
      <c r="AC1093" s="18" t="str">
        <f>_xlfn.XLOOKUP(Customer[[#This Row],[Customer ID]],[1]!Address[ID],[1]!Address[Zone])</f>
        <v>ETIAEUTIAH</v>
      </c>
    </row>
    <row r="1094" spans="1:30" x14ac:dyDescent="0.3">
      <c r="A1094" s="37" t="s">
        <v>7329</v>
      </c>
      <c r="B1094" s="38" t="str">
        <f>_xlfn.XLOOKUP(Customer[[#This Row],[Customer ID]],[1]!Name[ID],[1]!Name[Description(1)])</f>
        <v>PASARAYA DARUSSALAM SDN BHD(PDS 3)</v>
      </c>
      <c r="C1094" s="38" t="str">
        <f>_xlfn.XLOOKUP(Customer[[#This Row],[Customer ID]],[1]!Name[ID],[1]!Name[Description(2)])</f>
        <v/>
      </c>
      <c r="D1094" s="38" t="str">
        <f>_xlfn.XLOOKUP(Customer[[#This Row],[Customer ID]],[1]!Address[ID],[1]!Address[PIC])</f>
        <v/>
      </c>
      <c r="E1094" s="38" t="str">
        <f>_xlfn.XLOOKUP(Customer[[#This Row],[Customer ID]],[1]!Address[ID],[1]!Address[Full Address])</f>
        <v>T-00-U.06 JALAN P9E/1,PRESINT 9, 62250 PUTRAJAYA,WILAYAH PERSEKUTUAN PUTRAJAYA</v>
      </c>
      <c r="F1094" s="12" t="s">
        <v>7330</v>
      </c>
      <c r="G1094" s="12" t="s">
        <v>7331</v>
      </c>
      <c r="H1094" s="12" t="s">
        <v>4256</v>
      </c>
      <c r="I1094" s="12" t="b">
        <f>ISNUMBER(VALUE(LEFT(Customer[[#This Row],[Address Line 3 (30 char)]],1)))</f>
        <v>0</v>
      </c>
      <c r="J1094" s="12" t="s">
        <v>1907</v>
      </c>
      <c r="K1094" s="12">
        <v>62250</v>
      </c>
      <c r="L1094" s="12" t="s">
        <v>35</v>
      </c>
      <c r="M1094" s="13">
        <v>200701036421</v>
      </c>
      <c r="N1094" s="14" t="s">
        <v>7332</v>
      </c>
      <c r="O1094" s="14" t="e">
        <v>#N/A</v>
      </c>
      <c r="P1094" s="14" t="e">
        <v>#N/A</v>
      </c>
      <c r="Q1094" s="19" t="s">
        <v>7333</v>
      </c>
      <c r="R1094" s="15" t="s">
        <v>7334</v>
      </c>
      <c r="S1094" s="15" t="s">
        <v>5934</v>
      </c>
      <c r="T1094" s="16" t="s">
        <v>3477</v>
      </c>
      <c r="U1094" s="11" t="str">
        <f>_xlfn.XLOOKUP(Customer[[#This Row],[Customer ID]],[1]!Address[ID],[1]!Address[Phone No.(2)])</f>
        <v/>
      </c>
      <c r="V1094" s="11" t="str">
        <f>_xlfn.XLOOKUP(Customer[[#This Row],[Customer ID]],[1]!Address[ID],[1]!Address[Type])</f>
        <v>CM</v>
      </c>
      <c r="W1094" s="11" t="str">
        <f>_xlfn.XLOOKUP(Customer[[#This Row],[Customer ID]],[1]!Address[ID],[1]!Address[CT])</f>
        <v>30 DAYS</v>
      </c>
      <c r="X1094" s="11"/>
      <c r="Y1094" s="17" t="s">
        <v>5918</v>
      </c>
      <c r="Z1094" s="17" t="e">
        <f>_xlfn.XLOOKUP(Customer[[#This Row],[NewType]],$AF$36:$AF$54,$AG$36:$AG$54)</f>
        <v>#N/A</v>
      </c>
      <c r="AA1094" s="17" t="s">
        <v>7335</v>
      </c>
      <c r="AB1094" s="11" t="str">
        <f>_xlfn.XLOOKUP(Customer[[#This Row],[Customer ID]],[1]!Address[ID],[1]!Address[Subtype])</f>
        <v>DARUSSALAM</v>
      </c>
      <c r="AC1094" s="18" t="str">
        <f>_xlfn.XLOOKUP(Customer[[#This Row],[Customer ID]],[1]!Address[ID],[1]!Address[Zone])</f>
        <v>CENTRAL</v>
      </c>
    </row>
    <row r="1095" spans="1:30" x14ac:dyDescent="0.3">
      <c r="A1095" s="72" t="s">
        <v>7336</v>
      </c>
      <c r="B1095" s="11" t="str">
        <f>_xlfn.XLOOKUP(Customer[[#This Row],[Customer ID]],[1]!Name[ID],[1]!Name[Description(1)])</f>
        <v>YOSH VENTURES SDN BHD</v>
      </c>
      <c r="C1095" s="62" t="str">
        <f>_xlfn.XLOOKUP(Customer[[#This Row],[Customer ID]],[1]!Name[ID],[1]!Name[Description(2)])</f>
        <v/>
      </c>
      <c r="D1095" s="62" t="str">
        <f>_xlfn.XLOOKUP(Customer[[#This Row],[Customer ID]],[1]!Address[ID],[1]!Address[PIC])</f>
        <v>EN ISA</v>
      </c>
      <c r="E1095" s="38" t="str">
        <f>_xlfn.XLOOKUP(Customer[[#This Row],[Customer ID]],[1]!Address[ID],[1]!Address[Full Address])</f>
        <v>NO 103, JALAN SAMUDERA BARAT 1,TAMAN SAMUDERA,68100 BATU CAVES SELANGOR</v>
      </c>
      <c r="F1095" s="63" t="s">
        <v>7337</v>
      </c>
      <c r="G1095" s="63" t="s">
        <v>7338</v>
      </c>
      <c r="H1095" s="63" t="s">
        <v>7339</v>
      </c>
      <c r="I1095" s="63" t="b">
        <f>ISNUMBER(VALUE(LEFT(Customer[[#This Row],[Address Line 3 (30 char)]],1)))</f>
        <v>0</v>
      </c>
      <c r="J1095" s="63" t="s">
        <v>172</v>
      </c>
      <c r="K1095" s="63">
        <v>68100</v>
      </c>
      <c r="L1095" s="63" t="s">
        <v>35</v>
      </c>
      <c r="M1095" s="65" t="e">
        <v>#N/A</v>
      </c>
      <c r="N1095" s="66" t="e">
        <v>#N/A</v>
      </c>
      <c r="O1095" s="66" t="e">
        <v>#N/A</v>
      </c>
      <c r="P1095" s="66" t="e">
        <v>#N/A</v>
      </c>
      <c r="Q1095" s="66" t="e">
        <v>#N/A</v>
      </c>
      <c r="R1095" s="67" t="s">
        <v>7340</v>
      </c>
      <c r="S1095" s="15" t="s">
        <v>5934</v>
      </c>
      <c r="T1095" s="16" t="s">
        <v>3477</v>
      </c>
      <c r="U1095" s="68" t="str">
        <f>_xlfn.XLOOKUP(Customer[[#This Row],[Customer ID]],[1]!Address[ID],[1]!Address[Phone No.(2)])</f>
        <v/>
      </c>
      <c r="V1095" s="68" t="str">
        <f>_xlfn.XLOOKUP(Customer[[#This Row],[Customer ID]],[1]!Address[ID],[1]!Address[Type])</f>
        <v>SOCMED</v>
      </c>
      <c r="W1095" s="68" t="str">
        <f>_xlfn.XLOOKUP(Customer[[#This Row],[Customer ID]],[1]!Address[ID],[1]!Address[CT])</f>
        <v>CASH</v>
      </c>
      <c r="X1095" s="68"/>
      <c r="Y1095" s="69" t="s">
        <v>90</v>
      </c>
      <c r="Z1095" s="69" t="e">
        <f>_xlfn.XLOOKUP(Customer[[#This Row],[NewType]],$AF$36:$AF$54,$AG$36:$AG$54)</f>
        <v>#N/A</v>
      </c>
      <c r="AA1095" s="69" t="s">
        <v>7341</v>
      </c>
      <c r="AB1095" s="68" t="str">
        <f>_xlfn.XLOOKUP(Customer[[#This Row],[Customer ID]],[1]!Address[ID],[1]!Address[Subtype])</f>
        <v>WHATSAPP</v>
      </c>
      <c r="AC1095" s="70" t="str">
        <f>_xlfn.XLOOKUP(Customer[[#This Row],[Customer ID]],[1]!Address[ID],[1]!Address[Zone])</f>
        <v>CENTRAL</v>
      </c>
      <c r="AD1095" s="71"/>
    </row>
    <row r="1096" spans="1:30" x14ac:dyDescent="0.3">
      <c r="A1096" s="45" t="s">
        <v>7342</v>
      </c>
      <c r="B1096" s="32" t="str">
        <f>_xlfn.XLOOKUP(Customer[[#This Row],[Customer ID]],[1]!Name[ID],[1]!Name[Description(1)])</f>
        <v>TOKMAT</v>
      </c>
      <c r="C1096" s="32" t="str">
        <f>_xlfn.XLOOKUP(Customer[[#This Row],[Customer ID]],[1]!Name[ID],[1]!Name[Description(2)])</f>
        <v/>
      </c>
      <c r="D1096" s="38" t="str">
        <f>_xlfn.XLOOKUP(Customer[[#This Row],[Customer ID]],[1]!Address[ID],[1]!Address[PIC])</f>
        <v/>
      </c>
      <c r="E1096" s="38" t="str">
        <f>_xlfn.XLOOKUP(Customer[[#This Row],[Customer ID]],[1]!Address[ID],[1]!Address[Full Address])</f>
        <v>KG KANCHONG</v>
      </c>
      <c r="F1096" s="12" t="s">
        <v>6305</v>
      </c>
      <c r="G1096" s="12" t="s">
        <v>36</v>
      </c>
      <c r="H1096" s="12" t="s">
        <v>36</v>
      </c>
      <c r="I1096" s="12" t="b">
        <f>ISNUMBER(VALUE(LEFT(Customer[[#This Row],[Address Line 3 (30 char)]],1)))</f>
        <v>0</v>
      </c>
      <c r="J1096" s="32"/>
      <c r="K1096" s="32"/>
      <c r="L1096" s="12" t="s">
        <v>35</v>
      </c>
      <c r="M1096" s="13" t="e">
        <v>#N/A</v>
      </c>
      <c r="N1096" s="14" t="e">
        <v>#N/A</v>
      </c>
      <c r="O1096" s="14" t="e">
        <v>#N/A</v>
      </c>
      <c r="P1096" s="14" t="e">
        <v>#N/A</v>
      </c>
      <c r="Q1096" s="14" t="e">
        <v>#N/A</v>
      </c>
      <c r="R1096" s="15" t="s">
        <v>7067</v>
      </c>
      <c r="S1096" s="16" t="s">
        <v>6283</v>
      </c>
      <c r="T1096" s="16"/>
      <c r="U1096" s="11" t="str">
        <f>_xlfn.XLOOKUP(Customer[[#This Row],[Customer ID]],[1]!Address[ID],[1]!Address[Phone No.(2)])</f>
        <v/>
      </c>
      <c r="V1096" s="11" t="str">
        <f>_xlfn.XLOOKUP(Customer[[#This Row],[Customer ID]],[1]!Address[ID],[1]!Address[Type])</f>
        <v>WALK IN</v>
      </c>
      <c r="W1096" s="11" t="str">
        <f>_xlfn.XLOOKUP(Customer[[#This Row],[Customer ID]],[1]!Address[ID],[1]!Address[CT])</f>
        <v/>
      </c>
      <c r="X1096" s="11"/>
      <c r="Y1096" s="17" t="s">
        <v>6284</v>
      </c>
      <c r="Z1096" s="17" t="e">
        <f>_xlfn.XLOOKUP(Customer[[#This Row],[NewType]],$AF$36:$AF$54,$AG$36:$AG$54)</f>
        <v>#N/A</v>
      </c>
      <c r="AA1096" s="17" t="s">
        <v>7343</v>
      </c>
      <c r="AB1096" s="11" t="str">
        <f>_xlfn.XLOOKUP(Customer[[#This Row],[Customer ID]],[1]!Address[ID],[1]!Address[Subtype])</f>
        <v>RANTAU</v>
      </c>
      <c r="AC1096" s="18" t="str">
        <f>_xlfn.XLOOKUP(Customer[[#This Row],[Customer ID]],[1]!Address[ID],[1]!Address[Zone])</f>
        <v>CENTRAL</v>
      </c>
    </row>
    <row r="1097" spans="1:30" x14ac:dyDescent="0.3">
      <c r="A1097" s="37" t="s">
        <v>7344</v>
      </c>
      <c r="B1097" s="38" t="str">
        <f>_xlfn.XLOOKUP(Customer[[#This Row],[Customer ID]],[1]!Name[ID],[1]!Name[Description(1)])</f>
        <v>MALAYSIA AIRPORTS (NIAGA) SDN. BHD.</v>
      </c>
      <c r="C1097" s="38" t="str">
        <f>_xlfn.XLOOKUP(Customer[[#This Row],[Customer ID]],[1]!Name[ID],[1]!Name[Description(2)])</f>
        <v/>
      </c>
      <c r="D1097" s="38" t="str">
        <f>_xlfn.XLOOKUP(Customer[[#This Row],[Customer ID]],[1]!Address[ID],[1]!Address[PIC])</f>
        <v/>
      </c>
      <c r="E1097" s="38" t="str">
        <f>_xlfn.XLOOKUP(Customer[[#This Row],[Customer ID]],[1]!Address[ID],[1]!Address[Full Address])</f>
        <v>3RD FLOOR ,AIRPORT MANAGEMENT CENTRE,KL INTERNATIONAL AIRPORT,64000 KLIA, SEPANG, SELANGOR.</v>
      </c>
      <c r="F1097" s="12" t="s">
        <v>7345</v>
      </c>
      <c r="G1097" s="12" t="s">
        <v>7346</v>
      </c>
      <c r="H1097" s="12" t="s">
        <v>7347</v>
      </c>
      <c r="I1097" s="12" t="b">
        <f>ISNUMBER(VALUE(LEFT(Customer[[#This Row],[Address Line 3 (30 char)]],1)))</f>
        <v>0</v>
      </c>
      <c r="J1097" s="12" t="s">
        <v>172</v>
      </c>
      <c r="K1097" s="12">
        <v>64000</v>
      </c>
      <c r="L1097" s="12" t="s">
        <v>35</v>
      </c>
      <c r="M1097" s="13" t="e">
        <v>#N/A</v>
      </c>
      <c r="N1097" s="14" t="e">
        <v>#N/A</v>
      </c>
      <c r="O1097" s="14" t="e">
        <v>#N/A</v>
      </c>
      <c r="P1097" s="14" t="e">
        <v>#N/A</v>
      </c>
      <c r="Q1097" s="19" t="s">
        <v>7348</v>
      </c>
      <c r="R1097" s="15" t="s">
        <v>7349</v>
      </c>
      <c r="S1097" s="15" t="s">
        <v>5917</v>
      </c>
      <c r="T1097" s="16" t="s">
        <v>3477</v>
      </c>
      <c r="U1097" s="11" t="str">
        <f>_xlfn.XLOOKUP(Customer[[#This Row],[Customer ID]],[1]!Address[ID],[1]!Address[Phone No.(2)])</f>
        <v/>
      </c>
      <c r="V1097" s="11" t="str">
        <f>_xlfn.XLOOKUP(Customer[[#This Row],[Customer ID]],[1]!Address[ID],[1]!Address[Type])</f>
        <v>CM</v>
      </c>
      <c r="W1097" s="11" t="str">
        <f>_xlfn.XLOOKUP(Customer[[#This Row],[Customer ID]],[1]!Address[ID],[1]!Address[CT])</f>
        <v>30 DAYS</v>
      </c>
      <c r="X1097" s="11"/>
      <c r="Y1097" s="17" t="s">
        <v>5918</v>
      </c>
      <c r="Z1097" s="17" t="e">
        <f>_xlfn.XLOOKUP(Customer[[#This Row],[NewType]],$AF$36:$AF$54,$AG$36:$AG$54)</f>
        <v>#N/A</v>
      </c>
      <c r="AA1097" s="17" t="s">
        <v>7350</v>
      </c>
      <c r="AB1097" s="11" t="str">
        <f>_xlfn.XLOOKUP(Customer[[#This Row],[Customer ID]],[1]!Address[ID],[1]!Address[Subtype])</f>
        <v>ERAMAN</v>
      </c>
      <c r="AC1097" s="18">
        <f>_xlfn.XLOOKUP(Customer[[#This Row],[Customer ID]],[1]!Address[ID],[1]!Address[Zone])</f>
        <v>0</v>
      </c>
    </row>
    <row r="1098" spans="1:30" x14ac:dyDescent="0.3">
      <c r="A1098" s="37" t="s">
        <v>7351</v>
      </c>
      <c r="B1098" s="38" t="str">
        <f>_xlfn.XLOOKUP(Customer[[#This Row],[Customer ID]],[1]!Name[ID],[1]!Name[Description(1)])</f>
        <v>IDEAL LIFE SOLUTION</v>
      </c>
      <c r="C1098" s="38" t="str">
        <f>_xlfn.XLOOKUP(Customer[[#This Row],[Customer ID]],[1]!Name[ID],[1]!Name[Description(2)])</f>
        <v/>
      </c>
      <c r="D1098" s="38" t="str">
        <f>_xlfn.XLOOKUP(Customer[[#This Row],[Customer ID]],[1]!Address[ID],[1]!Address[PIC])</f>
        <v/>
      </c>
      <c r="E1098" s="38" t="str">
        <f>_xlfn.XLOOKUP(Customer[[#This Row],[Customer ID]],[1]!Address[ID],[1]!Address[Full Address])</f>
        <v>PT 14143, SURA GATE COMMERCIAL CENTRE,SURA JETTY,23000 DUNGUN, TERENGGANU</v>
      </c>
      <c r="F1098" s="12" t="s">
        <v>7352</v>
      </c>
      <c r="G1098" s="12" t="s">
        <v>7353</v>
      </c>
      <c r="H1098" s="12" t="s">
        <v>7354</v>
      </c>
      <c r="I1098" s="12" t="b">
        <f>ISNUMBER(VALUE(LEFT(Customer[[#This Row],[Address Line 3 (30 char)]],1)))</f>
        <v>0</v>
      </c>
      <c r="J1098" s="12" t="s">
        <v>1056</v>
      </c>
      <c r="K1098" s="12">
        <v>23000</v>
      </c>
      <c r="L1098" s="12" t="s">
        <v>35</v>
      </c>
      <c r="M1098" s="13" t="e">
        <v>#N/A</v>
      </c>
      <c r="N1098" s="14" t="e">
        <v>#N/A</v>
      </c>
      <c r="O1098" s="14" t="e">
        <v>#N/A</v>
      </c>
      <c r="P1098" s="14" t="e">
        <v>#N/A</v>
      </c>
      <c r="Q1098" s="14" t="e">
        <v>#N/A</v>
      </c>
      <c r="R1098" s="15" t="s">
        <v>7355</v>
      </c>
      <c r="S1098" s="15" t="s">
        <v>88</v>
      </c>
      <c r="T1098" s="16" t="s">
        <v>89</v>
      </c>
      <c r="U1098" s="11" t="str">
        <f>_xlfn.XLOOKUP(Customer[[#This Row],[Customer ID]],[1]!Address[ID],[1]!Address[Phone No.(2)])</f>
        <v/>
      </c>
      <c r="V1098" s="11" t="str">
        <f>_xlfn.XLOOKUP(Customer[[#This Row],[Customer ID]],[1]!Address[ID],[1]!Address[Type])</f>
        <v>SOCMED</v>
      </c>
      <c r="W1098" s="11" t="str">
        <f>_xlfn.XLOOKUP(Customer[[#This Row],[Customer ID]],[1]!Address[ID],[1]!Address[CT])</f>
        <v/>
      </c>
      <c r="X1098" s="11"/>
      <c r="Y1098" s="17" t="s">
        <v>90</v>
      </c>
      <c r="Z1098" s="17" t="e">
        <f>_xlfn.XLOOKUP(Customer[[#This Row],[NewType]],$AF$36:$AF$54,$AG$36:$AG$54)</f>
        <v>#N/A</v>
      </c>
      <c r="AA1098" s="17" t="s">
        <v>7356</v>
      </c>
      <c r="AB1098" s="11" t="str">
        <f>_xlfn.XLOOKUP(Customer[[#This Row],[Customer ID]],[1]!Address[ID],[1]!Address[Subtype])</f>
        <v>ONLINE ROS</v>
      </c>
      <c r="AC1098" s="18" t="str">
        <f>_xlfn.XLOOKUP(Customer[[#This Row],[Customer ID]],[1]!Address[ID],[1]!Address[Zone])</f>
        <v>EAST COAST</v>
      </c>
    </row>
    <row r="1099" spans="1:30" x14ac:dyDescent="0.3">
      <c r="A1099" s="37" t="s">
        <v>7357</v>
      </c>
      <c r="B1099" s="38" t="str">
        <f>_xlfn.XLOOKUP(Customer[[#This Row],[Customer ID]],[1]!Name[ID],[1]!Name[Description(1)])</f>
        <v>YATI CAFE</v>
      </c>
      <c r="C1099" s="38" t="str">
        <f>_xlfn.XLOOKUP(Customer[[#This Row],[Customer ID]],[1]!Name[ID],[1]!Name[Description(2)])</f>
        <v>YATI KITCHEN</v>
      </c>
      <c r="D1099" s="38" t="str">
        <f>_xlfn.XLOOKUP(Customer[[#This Row],[Customer ID]],[1]!Address[ID],[1]!Address[PIC])</f>
        <v>YATI</v>
      </c>
      <c r="E1099" s="38" t="str">
        <f>_xlfn.XLOOKUP(Customer[[#This Row],[Customer ID]],[1]!Address[ID],[1]!Address[Full Address])</f>
        <v>NO.3, R&amp;R SEREMBAN ARAH SELATAN,71900 SEREMBAN, NEGERI SEMBILAN</v>
      </c>
      <c r="F1099" s="12" t="s">
        <v>7358</v>
      </c>
      <c r="G1099" s="12" t="s">
        <v>7359</v>
      </c>
      <c r="H1099" s="12" t="s">
        <v>6671</v>
      </c>
      <c r="I1099" s="12" t="b">
        <f>ISNUMBER(VALUE(LEFT(Customer[[#This Row],[Address Line 3 (30 char)]],1)))</f>
        <v>0</v>
      </c>
      <c r="J1099" s="12" t="s">
        <v>203</v>
      </c>
      <c r="K1099" s="12">
        <v>71900</v>
      </c>
      <c r="L1099" s="12" t="s">
        <v>35</v>
      </c>
      <c r="M1099" s="13" t="e">
        <v>#N/A</v>
      </c>
      <c r="N1099" s="14" t="e">
        <v>#N/A</v>
      </c>
      <c r="O1099" s="14" t="e">
        <v>#N/A</v>
      </c>
      <c r="P1099" s="14" t="e">
        <v>#N/A</v>
      </c>
      <c r="Q1099" s="14" t="e">
        <v>#N/A</v>
      </c>
      <c r="R1099" s="15" t="s">
        <v>7360</v>
      </c>
      <c r="S1099" s="15" t="s">
        <v>5925</v>
      </c>
      <c r="T1099" s="16" t="s">
        <v>3477</v>
      </c>
      <c r="U1099" s="11" t="str">
        <f>_xlfn.XLOOKUP(Customer[[#This Row],[Customer ID]],[1]!Address[ID],[1]!Address[Phone No.(2)])</f>
        <v/>
      </c>
      <c r="V1099" s="11" t="str">
        <f>_xlfn.XLOOKUP(Customer[[#This Row],[Customer ID]],[1]!Address[ID],[1]!Address[Type])</f>
        <v>CAFE</v>
      </c>
      <c r="W1099" s="11" t="str">
        <f>_xlfn.XLOOKUP(Customer[[#This Row],[Customer ID]],[1]!Address[ID],[1]!Address[CT])</f>
        <v>30 DAYS</v>
      </c>
      <c r="X1099" s="11"/>
      <c r="Y1099" s="17" t="s">
        <v>5926</v>
      </c>
      <c r="Z1099" s="17" t="e">
        <f>_xlfn.XLOOKUP(Customer[[#This Row],[NewType]],$AF$36:$AF$54,$AG$36:$AG$54)</f>
        <v>#N/A</v>
      </c>
      <c r="AA1099" s="17" t="s">
        <v>7361</v>
      </c>
      <c r="AB1099" s="11" t="str">
        <f>_xlfn.XLOOKUP(Customer[[#This Row],[Customer ID]],[1]!Address[ID],[1]!Address[Subtype])</f>
        <v>PLUS</v>
      </c>
      <c r="AC1099" s="18" t="str">
        <f>_xlfn.XLOOKUP(Customer[[#This Row],[Customer ID]],[1]!Address[ID],[1]!Address[Zone])</f>
        <v>CENTRAL</v>
      </c>
    </row>
    <row r="1100" spans="1:30" x14ac:dyDescent="0.3">
      <c r="A1100" s="37" t="s">
        <v>7362</v>
      </c>
      <c r="B1100" s="38" t="str">
        <f>_xlfn.XLOOKUP(Customer[[#This Row],[Customer ID]],[1]!Name[ID],[1]!Name[Description(1)])</f>
        <v>BERKAT MINIMART HAMUUDI ENTERPRISE</v>
      </c>
      <c r="C1100" s="38" t="str">
        <f>_xlfn.XLOOKUP(Customer[[#This Row],[Customer ID]],[1]!Name[ID],[1]!Name[Description(2)])</f>
        <v>HOSPITAL AMPANG</v>
      </c>
      <c r="D1100" s="38" t="str">
        <f>_xlfn.XLOOKUP(Customer[[#This Row],[Customer ID]],[1]!Address[ID],[1]!Address[PIC])</f>
        <v/>
      </c>
      <c r="E1100" s="38" t="str">
        <f>_xlfn.XLOOKUP(Customer[[#This Row],[Customer ID]],[1]!Address[ID],[1]!Address[Full Address])</f>
        <v>NO. 1TF09 HOSPITAL AMPANG,JALAN MEWAH UTARA, PANDAN MEWAH,68000 AMPANG SELANGOR.</v>
      </c>
      <c r="F1100" s="12" t="s">
        <v>7363</v>
      </c>
      <c r="G1100" s="12" t="s">
        <v>7364</v>
      </c>
      <c r="H1100" s="24" t="s">
        <v>3837</v>
      </c>
      <c r="I1100" s="24" t="b">
        <f>ISNUMBER(VALUE(LEFT(Customer[[#This Row],[Address Line 3 (30 char)]],1)))</f>
        <v>0</v>
      </c>
      <c r="J1100" s="12" t="s">
        <v>1907</v>
      </c>
      <c r="K1100" s="12">
        <v>68000</v>
      </c>
      <c r="L1100" s="12" t="s">
        <v>35</v>
      </c>
      <c r="M1100" s="13" t="e">
        <v>#N/A</v>
      </c>
      <c r="N1100" s="14" t="e">
        <v>#N/A</v>
      </c>
      <c r="O1100" s="14" t="e">
        <v>#N/A</v>
      </c>
      <c r="P1100" s="14" t="e">
        <v>#N/A</v>
      </c>
      <c r="Q1100" s="14" t="e">
        <v>#N/A</v>
      </c>
      <c r="R1100" s="15" t="s">
        <v>7191</v>
      </c>
      <c r="S1100" s="15" t="s">
        <v>3476</v>
      </c>
      <c r="T1100" s="16" t="s">
        <v>3477</v>
      </c>
      <c r="U1100" s="11" t="str">
        <f>_xlfn.XLOOKUP(Customer[[#This Row],[Customer ID]],[1]!Address[ID],[1]!Address[Phone No.(2)])</f>
        <v/>
      </c>
      <c r="V1100" s="11" t="str">
        <f>_xlfn.XLOOKUP(Customer[[#This Row],[Customer ID]],[1]!Address[ID],[1]!Address[Type])</f>
        <v>CM</v>
      </c>
      <c r="W1100" s="11" t="str">
        <f>_xlfn.XLOOKUP(Customer[[#This Row],[Customer ID]],[1]!Address[ID],[1]!Address[CT])</f>
        <v>30 DAYS</v>
      </c>
      <c r="X1100" s="11"/>
      <c r="Y1100" s="17" t="s">
        <v>5918</v>
      </c>
      <c r="Z1100" s="17" t="e">
        <f>_xlfn.XLOOKUP(Customer[[#This Row],[NewType]],$AF$36:$AF$54,$AG$36:$AG$54)</f>
        <v>#N/A</v>
      </c>
      <c r="AA1100" s="17" t="s">
        <v>7365</v>
      </c>
      <c r="AB1100" s="11" t="str">
        <f>_xlfn.XLOOKUP(Customer[[#This Row],[Customer ID]],[1]!Address[ID],[1]!Address[Subtype])</f>
        <v>BERKAT MINI</v>
      </c>
      <c r="AC1100" s="18" t="str">
        <f>_xlfn.XLOOKUP(Customer[[#This Row],[Customer ID]],[1]!Address[ID],[1]!Address[Zone])</f>
        <v>CENTRAL</v>
      </c>
    </row>
    <row r="1101" spans="1:30" x14ac:dyDescent="0.3">
      <c r="A1101" s="37" t="s">
        <v>7366</v>
      </c>
      <c r="B1101" s="38" t="str">
        <f>_xlfn.XLOOKUP(Customer[[#This Row],[Customer ID]],[1]!Name[ID],[1]!Name[Description(1)])</f>
        <v>REZZA BRAND</v>
      </c>
      <c r="C1101" s="38" t="str">
        <f>_xlfn.XLOOKUP(Customer[[#This Row],[Customer ID]],[1]!Name[ID],[1]!Name[Description(2)])</f>
        <v>MY FOOD SERVICE SDN. BHD.</v>
      </c>
      <c r="D1101" s="38" t="str">
        <f>_xlfn.XLOOKUP(Customer[[#This Row],[Customer ID]],[1]!Address[ID],[1]!Address[PIC])</f>
        <v/>
      </c>
      <c r="E1101" s="38" t="str">
        <f>_xlfn.XLOOKUP(Customer[[#This Row],[Customer ID]],[1]!Address[ID],[1]!Address[Full Address])</f>
        <v>LOT NO. 77, JALAN UTARID U5/22,SEKSYEN U5, MAH SING INTEGRATED PARK,40150 SHAH ALAM,SELANGOR</v>
      </c>
      <c r="F1101" s="12" t="s">
        <v>7367</v>
      </c>
      <c r="G1101" s="12" t="s">
        <v>7368</v>
      </c>
      <c r="H1101" s="12" t="s">
        <v>7369</v>
      </c>
      <c r="I1101" s="12" t="b">
        <f>ISNUMBER(VALUE(LEFT(Customer[[#This Row],[Address Line 3 (30 char)]],1)))</f>
        <v>0</v>
      </c>
      <c r="J1101" s="12" t="s">
        <v>172</v>
      </c>
      <c r="K1101" s="12">
        <v>40150</v>
      </c>
      <c r="L1101" s="12" t="s">
        <v>35</v>
      </c>
      <c r="M1101" s="13" t="e">
        <v>#N/A</v>
      </c>
      <c r="N1101" s="14" t="e">
        <v>#N/A</v>
      </c>
      <c r="O1101" s="14" t="e">
        <v>#N/A</v>
      </c>
      <c r="P1101" s="14" t="e">
        <v>#N/A</v>
      </c>
      <c r="Q1101" s="14" t="e">
        <v>#N/A</v>
      </c>
      <c r="R1101" s="15" t="s">
        <v>7370</v>
      </c>
      <c r="S1101" s="15" t="s">
        <v>5925</v>
      </c>
      <c r="T1101" s="16" t="s">
        <v>3477</v>
      </c>
      <c r="U1101" s="11" t="str">
        <f>_xlfn.XLOOKUP(Customer[[#This Row],[Customer ID]],[1]!Address[ID],[1]!Address[Phone No.(2)])</f>
        <v/>
      </c>
      <c r="V1101" s="11" t="str">
        <f>_xlfn.XLOOKUP(Customer[[#This Row],[Customer ID]],[1]!Address[ID],[1]!Address[Type])</f>
        <v>CAFE</v>
      </c>
      <c r="W1101" s="11" t="str">
        <f>_xlfn.XLOOKUP(Customer[[#This Row],[Customer ID]],[1]!Address[ID],[1]!Address[CT])</f>
        <v>30 DAYS</v>
      </c>
      <c r="X1101" s="11"/>
      <c r="Y1101" s="17" t="s">
        <v>5926</v>
      </c>
      <c r="Z1101" s="17" t="e">
        <f>_xlfn.XLOOKUP(Customer[[#This Row],[NewType]],$AF$36:$AF$54,$AG$36:$AG$54)</f>
        <v>#N/A</v>
      </c>
      <c r="AA1101" s="17" t="s">
        <v>7371</v>
      </c>
      <c r="AB1101" s="11" t="str">
        <f>_xlfn.XLOOKUP(Customer[[#This Row],[Customer ID]],[1]!Address[ID],[1]!Address[Subtype])</f>
        <v>REZZA BRAND</v>
      </c>
      <c r="AC1101" s="18" t="str">
        <f>_xlfn.XLOOKUP(Customer[[#This Row],[Customer ID]],[1]!Address[ID],[1]!Address[Zone])</f>
        <v>NEFEH</v>
      </c>
    </row>
    <row r="1102" spans="1:30" x14ac:dyDescent="0.3">
      <c r="A1102" s="37" t="s">
        <v>7372</v>
      </c>
      <c r="B1102" s="38" t="str">
        <f>_xlfn.XLOOKUP(Customer[[#This Row],[Customer ID]],[1]!Name[ID],[1]!Name[Description(1)])</f>
        <v>CHE AZMAN THAMBY</v>
      </c>
      <c r="C1102" s="38" t="str">
        <f>_xlfn.XLOOKUP(Customer[[#This Row],[Customer ID]],[1]!Name[ID],[1]!Name[Description(2)])</f>
        <v/>
      </c>
      <c r="D1102" s="38" t="str">
        <f>_xlfn.XLOOKUP(Customer[[#This Row],[Customer ID]],[1]!Address[ID],[1]!Address[PIC])</f>
        <v>CHE AZMAN BIN T</v>
      </c>
      <c r="E1102" s="38" t="str">
        <f>_xlfn.XLOOKUP(Customer[[#This Row],[Customer ID]],[1]!Address[ID],[1]!Address[Full Address])</f>
        <v>NO 5 BLOK 1 JALAN AU 3/1,TAMAN DESA KERAMAT,54200 KUALA LUMPUR</v>
      </c>
      <c r="F1102" s="12" t="s">
        <v>7373</v>
      </c>
      <c r="G1102" s="12" t="s">
        <v>7374</v>
      </c>
      <c r="H1102" s="24"/>
      <c r="I1102" s="24" t="b">
        <f>ISNUMBER(VALUE(LEFT(Customer[[#This Row],[Address Line 3 (30 char)]],1)))</f>
        <v>0</v>
      </c>
      <c r="J1102" s="12" t="s">
        <v>34</v>
      </c>
      <c r="K1102" s="12">
        <v>40150</v>
      </c>
      <c r="L1102" s="12" t="s">
        <v>35</v>
      </c>
      <c r="M1102" s="13" t="e">
        <v>#N/A</v>
      </c>
      <c r="N1102" s="14" t="s">
        <v>7375</v>
      </c>
      <c r="O1102" s="14" t="e">
        <v>#N/A</v>
      </c>
      <c r="P1102" s="14" t="e">
        <v>#N/A</v>
      </c>
      <c r="Q1102" s="14" t="e">
        <v>#N/A</v>
      </c>
      <c r="R1102" s="15" t="s">
        <v>6059</v>
      </c>
      <c r="S1102" s="15" t="s">
        <v>6645</v>
      </c>
      <c r="T1102" s="16" t="s">
        <v>38</v>
      </c>
      <c r="U1102" s="11" t="str">
        <f>_xlfn.XLOOKUP(Customer[[#This Row],[Customer ID]],[1]!Address[ID],[1]!Address[Phone No.(2)])</f>
        <v/>
      </c>
      <c r="V1102" s="11" t="str">
        <f>_xlfn.XLOOKUP(Customer[[#This Row],[Customer ID]],[1]!Address[ID],[1]!Address[Type])</f>
        <v>AGENT</v>
      </c>
      <c r="W1102" s="11" t="str">
        <f>_xlfn.XLOOKUP(Customer[[#This Row],[Customer ID]],[1]!Address[ID],[1]!Address[CT])</f>
        <v/>
      </c>
      <c r="X1102" s="11"/>
      <c r="Y1102" s="17" t="s">
        <v>6639</v>
      </c>
      <c r="Z1102" s="17" t="e">
        <f>_xlfn.XLOOKUP(Customer[[#This Row],[NewType]],$AF$36:$AF$54,$AG$36:$AG$54)</f>
        <v>#N/A</v>
      </c>
      <c r="AA1102" s="17" t="s">
        <v>7376</v>
      </c>
      <c r="AB1102" s="11" t="str">
        <f>_xlfn.XLOOKUP(Customer[[#This Row],[Customer ID]],[1]!Address[ID],[1]!Address[Subtype])</f>
        <v>AGENT HQ</v>
      </c>
      <c r="AC1102" s="18" t="str">
        <f>_xlfn.XLOOKUP(Customer[[#This Row],[Customer ID]],[1]!Address[ID],[1]!Address[Zone])</f>
        <v>CENTRAL</v>
      </c>
    </row>
    <row r="1103" spans="1:30" x14ac:dyDescent="0.3">
      <c r="A1103" s="43" t="s">
        <v>7377</v>
      </c>
      <c r="B1103" s="44" t="str">
        <f>_xlfn.XLOOKUP(Customer[[#This Row],[Customer ID]],[1]!Name[ID],[1]!Name[Description(1)])</f>
        <v>MANEK URAI PETROL</v>
      </c>
      <c r="C1103" s="38" t="str">
        <f>_xlfn.XLOOKUP(Customer[[#This Row],[Customer ID]],[1]!Name[ID],[1]!Name[Description(2)])</f>
        <v>CALTEX MANEK URAI</v>
      </c>
      <c r="D1103" s="38" t="str">
        <f>_xlfn.XLOOKUP(Customer[[#This Row],[Customer ID]],[1]!Address[ID],[1]!Address[PIC])</f>
        <v>Siti Norainie b</v>
      </c>
      <c r="E1103" s="38" t="str">
        <f>_xlfn.XLOOKUP(Customer[[#This Row],[Customer ID]],[1]!Address[ID],[1]!Address[Full Address])</f>
        <v>CALTEX MANEK URAIPT 5578 LEBUHRAYA KUALA KRAIGUA MUSANG, MANEK URAI08000 KUALA KRAI KELANTAN</v>
      </c>
      <c r="F1103" s="12" t="s">
        <v>7378</v>
      </c>
      <c r="G1103" s="12" t="s">
        <v>7379</v>
      </c>
      <c r="H1103" s="12" t="s">
        <v>7380</v>
      </c>
      <c r="I1103" s="12" t="b">
        <f>ISNUMBER(VALUE(LEFT(Customer[[#This Row],[Address Line 3 (30 char)]],1)))</f>
        <v>0</v>
      </c>
      <c r="J1103" s="12" t="s">
        <v>1007</v>
      </c>
      <c r="K1103" s="30" t="s">
        <v>296</v>
      </c>
      <c r="L1103" s="12" t="s">
        <v>35</v>
      </c>
      <c r="M1103" s="13">
        <v>201103216954</v>
      </c>
      <c r="N1103" s="14" t="s">
        <v>7381</v>
      </c>
      <c r="O1103" s="14" t="e">
        <v>#N/A</v>
      </c>
      <c r="P1103" s="14" t="e">
        <v>#N/A</v>
      </c>
      <c r="Q1103" s="14" t="e">
        <v>#N/A</v>
      </c>
      <c r="R1103" s="15" t="s">
        <v>7382</v>
      </c>
      <c r="S1103" s="15" t="s">
        <v>37</v>
      </c>
      <c r="T1103" s="16" t="s">
        <v>38</v>
      </c>
      <c r="U1103" s="11" t="str">
        <f>_xlfn.XLOOKUP(Customer[[#This Row],[Customer ID]],[1]!Address[ID],[1]!Address[Phone No.(2)])</f>
        <v/>
      </c>
      <c r="V1103" s="11" t="str">
        <f>_xlfn.XLOOKUP(Customer[[#This Row],[Customer ID]],[1]!Address[ID],[1]!Address[Type])</f>
        <v>PETROMART</v>
      </c>
      <c r="W1103" s="11" t="str">
        <f>_xlfn.XLOOKUP(Customer[[#This Row],[Customer ID]],[1]!Address[ID],[1]!Address[CT])</f>
        <v>30</v>
      </c>
      <c r="X1103" s="11" t="s">
        <v>39</v>
      </c>
      <c r="Y1103" s="17" t="s">
        <v>40</v>
      </c>
      <c r="Z1103" s="17" t="e">
        <f>_xlfn.XLOOKUP(Customer[[#This Row],[NewType]],$AF$36:$AF$54,$AG$36:$AG$54)</f>
        <v>#N/A</v>
      </c>
      <c r="AA1103" s="17" t="s">
        <v>7383</v>
      </c>
      <c r="AB1103" s="11" t="str">
        <f>_xlfn.XLOOKUP(Customer[[#This Row],[Customer ID]],[1]!Address[ID],[1]!Address[Subtype])</f>
        <v>XPRESS POINT</v>
      </c>
      <c r="AC1103" s="18" t="str">
        <f>_xlfn.XLOOKUP(Customer[[#This Row],[Customer ID]],[1]!Address[ID],[1]!Address[Zone])</f>
        <v>EAST COAST</v>
      </c>
    </row>
    <row r="1104" spans="1:30" x14ac:dyDescent="0.3">
      <c r="A1104" s="37" t="s">
        <v>7384</v>
      </c>
      <c r="B1104" s="38" t="str">
        <f>_xlfn.XLOOKUP(Customer[[#This Row],[Customer ID]],[1]!Name[ID],[1]!Name[Description(1)])</f>
        <v>SHAH IPHONE KUANTAN</v>
      </c>
      <c r="C1104" s="38" t="str">
        <f>_xlfn.XLOOKUP(Customer[[#This Row],[Customer ID]],[1]!Name[ID],[1]!Name[Description(2)])</f>
        <v>RED CLOVER</v>
      </c>
      <c r="D1104" s="38" t="str">
        <f>_xlfn.XLOOKUP(Customer[[#This Row],[Customer ID]],[1]!Address[ID],[1]!Address[PIC])</f>
        <v>NIK MARWAN</v>
      </c>
      <c r="E1104" s="38" t="str">
        <f>_xlfn.XLOOKUP(Customer[[#This Row],[Customer ID]],[1]!Address[ID],[1]!Address[Full Address])</f>
        <v>NO 17, JALAN LENGKUAS 16/23A,KEN RIMBA LEGIAN RESIDENCES, 40200SHAH ALAM, SELANGOR</v>
      </c>
      <c r="F1104" s="12" t="s">
        <v>7385</v>
      </c>
      <c r="G1104" s="12" t="s">
        <v>7386</v>
      </c>
      <c r="H1104" s="12" t="s">
        <v>4488</v>
      </c>
      <c r="I1104" s="12" t="b">
        <f>ISNUMBER(VALUE(LEFT(Customer[[#This Row],[Address Line 3 (30 char)]],1)))</f>
        <v>0</v>
      </c>
      <c r="J1104" s="12" t="s">
        <v>1907</v>
      </c>
      <c r="K1104" s="12">
        <v>40200</v>
      </c>
      <c r="L1104" s="12" t="s">
        <v>35</v>
      </c>
      <c r="M1104" s="13" t="e">
        <v>#N/A</v>
      </c>
      <c r="N1104" s="14" t="e">
        <v>#N/A</v>
      </c>
      <c r="O1104" s="14" t="e">
        <v>#N/A</v>
      </c>
      <c r="P1104" s="14" t="e">
        <v>#N/A</v>
      </c>
      <c r="Q1104" s="14" t="e">
        <v>#N/A</v>
      </c>
      <c r="R1104" s="15" t="s">
        <v>7387</v>
      </c>
      <c r="S1104" s="15" t="s">
        <v>3212</v>
      </c>
      <c r="T1104" s="16" t="s">
        <v>89</v>
      </c>
      <c r="U1104" s="11" t="str">
        <f>_xlfn.XLOOKUP(Customer[[#This Row],[Customer ID]],[1]!Address[ID],[1]!Address[Phone No.(2)])</f>
        <v/>
      </c>
      <c r="V1104" s="11" t="str">
        <f>_xlfn.XLOOKUP(Customer[[#This Row],[Customer ID]],[1]!Address[ID],[1]!Address[Type])</f>
        <v>SOCMED</v>
      </c>
      <c r="W1104" s="11" t="str">
        <f>_xlfn.XLOOKUP(Customer[[#This Row],[Customer ID]],[1]!Address[ID],[1]!Address[CT])</f>
        <v/>
      </c>
      <c r="X1104" s="11"/>
      <c r="Y1104" s="17" t="s">
        <v>90</v>
      </c>
      <c r="Z1104" s="17" t="e">
        <f>_xlfn.XLOOKUP(Customer[[#This Row],[NewType]],$AF$36:$AF$54,$AG$36:$AG$54)</f>
        <v>#N/A</v>
      </c>
      <c r="AA1104" s="17" t="s">
        <v>7388</v>
      </c>
      <c r="AB1104" s="11" t="str">
        <f>_xlfn.XLOOKUP(Customer[[#This Row],[Customer ID]],[1]!Address[ID],[1]!Address[Subtype])</f>
        <v>ONLINE HAJAR</v>
      </c>
      <c r="AC1104" s="18" t="str">
        <f>_xlfn.XLOOKUP(Customer[[#This Row],[Customer ID]],[1]!Address[ID],[1]!Address[Zone])</f>
        <v>EDEUNH</v>
      </c>
    </row>
    <row r="1105" spans="1:30" x14ac:dyDescent="0.3">
      <c r="A1105" s="73" t="s">
        <v>7389</v>
      </c>
      <c r="B1105" s="62" t="str">
        <f>_xlfn.XLOOKUP(Customer[[#This Row],[Customer ID]],[1]!Name[ID],[1]!Name[Description(1)])</f>
        <v>ROSHIDA BAHAROM</v>
      </c>
      <c r="C1105" s="62" t="str">
        <f>_xlfn.XLOOKUP(Customer[[#This Row],[Customer ID]],[1]!Name[ID],[1]!Name[Description(2)])</f>
        <v/>
      </c>
      <c r="D1105" s="62" t="str">
        <f>_xlfn.XLOOKUP(Customer[[#This Row],[Customer ID]],[1]!Address[ID],[1]!Address[PIC])</f>
        <v/>
      </c>
      <c r="E1105" s="38" t="str">
        <f>_xlfn.XLOOKUP(Customer[[#This Row],[Customer ID]],[1]!Address[ID],[1]!Address[Full Address])</f>
        <v>MAMAYISH BEAUTY EMPIRENO 102 TINGKAT BAWAH,SUSURAN PELANGI,KOMPLEKS PERNIAGAAN PELANGI, JALANKODIANG, 06000 JITRA, KEDAH</v>
      </c>
      <c r="F1105" s="74" t="s">
        <v>7390</v>
      </c>
      <c r="G1105" s="63" t="s">
        <v>7391</v>
      </c>
      <c r="H1105" s="63" t="s">
        <v>7392</v>
      </c>
      <c r="I1105" s="63" t="b">
        <f>ISNUMBER(VALUE(LEFT(Customer[[#This Row],[Address Line 3 (30 char)]],1)))</f>
        <v>0</v>
      </c>
      <c r="J1105" s="63" t="s">
        <v>79</v>
      </c>
      <c r="K1105" s="75" t="s">
        <v>5731</v>
      </c>
      <c r="L1105" s="63" t="s">
        <v>35</v>
      </c>
      <c r="M1105" s="65" t="e">
        <v>#N/A</v>
      </c>
      <c r="N1105" s="66" t="e">
        <v>#N/A</v>
      </c>
      <c r="O1105" s="66" t="e">
        <v>#N/A</v>
      </c>
      <c r="P1105" s="66" t="e">
        <v>#N/A</v>
      </c>
      <c r="Q1105" s="66" t="e">
        <v>#N/A</v>
      </c>
      <c r="R1105" s="67" t="s">
        <v>7393</v>
      </c>
      <c r="S1105" s="67"/>
      <c r="T1105" s="76"/>
      <c r="U1105" s="68" t="str">
        <f>_xlfn.XLOOKUP(Customer[[#This Row],[Customer ID]],[1]!Address[ID],[1]!Address[Phone No.(2)])</f>
        <v/>
      </c>
      <c r="V1105" s="68" t="str">
        <f>_xlfn.XLOOKUP(Customer[[#This Row],[Customer ID]],[1]!Address[ID],[1]!Address[Type])</f>
        <v>SOCMED</v>
      </c>
      <c r="W1105" s="68" t="str">
        <f>_xlfn.XLOOKUP(Customer[[#This Row],[Customer ID]],[1]!Address[ID],[1]!Address[CT])</f>
        <v/>
      </c>
      <c r="X1105" s="68"/>
      <c r="Y1105" s="69" t="s">
        <v>90</v>
      </c>
      <c r="Z1105" s="69" t="e">
        <f>_xlfn.XLOOKUP(Customer[[#This Row],[NewType]],$AF$36:$AF$54,$AG$36:$AG$54)</f>
        <v>#N/A</v>
      </c>
      <c r="AA1105" s="69" t="s">
        <v>7394</v>
      </c>
      <c r="AB1105" s="68" t="str">
        <f>_xlfn.XLOOKUP(Customer[[#This Row],[Customer ID]],[1]!Address[ID],[1]!Address[Subtype])</f>
        <v>ONLINE HAJAR</v>
      </c>
      <c r="AC1105" s="70" t="str">
        <f>_xlfn.XLOOKUP(Customer[[#This Row],[Customer ID]],[1]!Address[ID],[1]!Address[Zone])</f>
        <v>NORTH</v>
      </c>
      <c r="AD1105" s="71"/>
    </row>
    <row r="1106" spans="1:30" x14ac:dyDescent="0.3">
      <c r="A1106" s="37" t="s">
        <v>7395</v>
      </c>
      <c r="B1106" s="38" t="str">
        <f>_xlfn.XLOOKUP(Customer[[#This Row],[Customer ID]],[1]!Name[ID],[1]!Name[Description(1)])</f>
        <v>AMRIE RIZAL BIN MOHD SANI</v>
      </c>
      <c r="C1106" s="38" t="str">
        <f>_xlfn.XLOOKUP(Customer[[#This Row],[Customer ID]],[1]!Name[ID],[1]!Name[Description(2)])</f>
        <v/>
      </c>
      <c r="D1106" s="38" t="str">
        <f>_xlfn.XLOOKUP(Customer[[#This Row],[Customer ID]],[1]!Address[ID],[1]!Address[PIC])</f>
        <v/>
      </c>
      <c r="E1106" s="38" t="str">
        <f>_xlfn.XLOOKUP(Customer[[#This Row],[Customer ID]],[1]!Address[ID],[1]!Address[Full Address])</f>
        <v>1083, JALAN S2 D27,GARDEN CITY HOMES SEREMBAN 2,70300 SEREMBAN, NEGERI SEMBILAN</v>
      </c>
      <c r="F1106" s="12" t="s">
        <v>7396</v>
      </c>
      <c r="G1106" s="12" t="s">
        <v>7397</v>
      </c>
      <c r="H1106" s="24" t="s">
        <v>2411</v>
      </c>
      <c r="I1106" s="24" t="b">
        <f>ISNUMBER(VALUE(LEFT(Customer[[#This Row],[Address Line 3 (30 char)]],1)))</f>
        <v>0</v>
      </c>
      <c r="J1106" s="12" t="s">
        <v>203</v>
      </c>
      <c r="K1106" s="12">
        <v>70300</v>
      </c>
      <c r="L1106" s="12" t="s">
        <v>35</v>
      </c>
      <c r="M1106" s="13" t="e">
        <v>#N/A</v>
      </c>
      <c r="N1106" s="14" t="e">
        <v>#N/A</v>
      </c>
      <c r="O1106" s="14" t="e">
        <v>#N/A</v>
      </c>
      <c r="P1106" s="14" t="e">
        <v>#N/A</v>
      </c>
      <c r="Q1106" s="14" t="e">
        <v>#N/A</v>
      </c>
      <c r="R1106" s="15" t="s">
        <v>7398</v>
      </c>
      <c r="S1106" s="15" t="s">
        <v>88</v>
      </c>
      <c r="T1106" s="16" t="s">
        <v>89</v>
      </c>
      <c r="U1106" s="11" t="str">
        <f>_xlfn.XLOOKUP(Customer[[#This Row],[Customer ID]],[1]!Address[ID],[1]!Address[Phone No.(2)])</f>
        <v/>
      </c>
      <c r="V1106" s="11" t="str">
        <f>_xlfn.XLOOKUP(Customer[[#This Row],[Customer ID]],[1]!Address[ID],[1]!Address[Type])</f>
        <v>SOCMED</v>
      </c>
      <c r="W1106" s="11" t="str">
        <f>_xlfn.XLOOKUP(Customer[[#This Row],[Customer ID]],[1]!Address[ID],[1]!Address[CT])</f>
        <v/>
      </c>
      <c r="X1106" s="11"/>
      <c r="Y1106" s="17" t="s">
        <v>90</v>
      </c>
      <c r="Z1106" s="17" t="e">
        <f>_xlfn.XLOOKUP(Customer[[#This Row],[NewType]],$AF$36:$AF$54,$AG$36:$AG$54)</f>
        <v>#N/A</v>
      </c>
      <c r="AA1106" s="17" t="s">
        <v>7399</v>
      </c>
      <c r="AB1106" s="11" t="str">
        <f>_xlfn.XLOOKUP(Customer[[#This Row],[Customer ID]],[1]!Address[ID],[1]!Address[Subtype])</f>
        <v>ONLINE ROS</v>
      </c>
      <c r="AC1106" s="18" t="str">
        <f>_xlfn.XLOOKUP(Customer[[#This Row],[Customer ID]],[1]!Address[ID],[1]!Address[Zone])</f>
        <v>CENTRAL</v>
      </c>
    </row>
    <row r="1107" spans="1:30" x14ac:dyDescent="0.3">
      <c r="A1107" s="37" t="s">
        <v>7400</v>
      </c>
      <c r="B1107" s="38" t="str">
        <f>_xlfn.XLOOKUP(Customer[[#This Row],[Customer ID]],[1]!Name[ID],[1]!Name[Description(1)])</f>
        <v>SOFIA ALIA</v>
      </c>
      <c r="C1107" s="38" t="str">
        <f>_xlfn.XLOOKUP(Customer[[#This Row],[Customer ID]],[1]!Name[ID],[1]!Name[Description(2)])</f>
        <v/>
      </c>
      <c r="D1107" s="38" t="str">
        <f>_xlfn.XLOOKUP(Customer[[#This Row],[Customer ID]],[1]!Address[ID],[1]!Address[PIC])</f>
        <v/>
      </c>
      <c r="E1107" s="38" t="str">
        <f>_xlfn.XLOOKUP(Customer[[#This Row],[Customer ID]],[1]!Address[ID],[1]!Address[Full Address])</f>
        <v>A-7-09 SAFIRA APARTMENT,PERSIARAN S2/E1, SEKSYEN E,SEREMBAN 2, 70300 SEREMBAN,NEGERI SEMBILAN.</v>
      </c>
      <c r="F1107" s="12" t="s">
        <v>7401</v>
      </c>
      <c r="G1107" s="12" t="s">
        <v>7402</v>
      </c>
      <c r="H1107" s="12" t="s">
        <v>7403</v>
      </c>
      <c r="I1107" s="12" t="b">
        <f>ISNUMBER(VALUE(LEFT(Customer[[#This Row],[Address Line 3 (30 char)]],1)))</f>
        <v>0</v>
      </c>
      <c r="J1107" s="12" t="s">
        <v>203</v>
      </c>
      <c r="K1107" s="12">
        <v>70300</v>
      </c>
      <c r="L1107" s="12" t="s">
        <v>35</v>
      </c>
      <c r="M1107" s="13" t="e">
        <v>#N/A</v>
      </c>
      <c r="N1107" s="14" t="e">
        <v>#N/A</v>
      </c>
      <c r="O1107" s="14" t="e">
        <v>#N/A</v>
      </c>
      <c r="P1107" s="14" t="e">
        <v>#N/A</v>
      </c>
      <c r="Q1107" s="14" t="e">
        <v>#N/A</v>
      </c>
      <c r="R1107" s="15" t="s">
        <v>7404</v>
      </c>
      <c r="S1107" s="15" t="s">
        <v>88</v>
      </c>
      <c r="T1107" s="16" t="s">
        <v>89</v>
      </c>
      <c r="U1107" s="11" t="str">
        <f>_xlfn.XLOOKUP(Customer[[#This Row],[Customer ID]],[1]!Address[ID],[1]!Address[Phone No.(2)])</f>
        <v/>
      </c>
      <c r="V1107" s="11" t="str">
        <f>_xlfn.XLOOKUP(Customer[[#This Row],[Customer ID]],[1]!Address[ID],[1]!Address[Type])</f>
        <v>SOCMED</v>
      </c>
      <c r="W1107" s="11" t="str">
        <f>_xlfn.XLOOKUP(Customer[[#This Row],[Customer ID]],[1]!Address[ID],[1]!Address[CT])</f>
        <v/>
      </c>
      <c r="X1107" s="11"/>
      <c r="Y1107" s="17" t="s">
        <v>90</v>
      </c>
      <c r="Z1107" s="17" t="e">
        <f>_xlfn.XLOOKUP(Customer[[#This Row],[NewType]],$AF$36:$AF$54,$AG$36:$AG$54)</f>
        <v>#N/A</v>
      </c>
      <c r="AA1107" s="17" t="s">
        <v>7405</v>
      </c>
      <c r="AB1107" s="11" t="str">
        <f>_xlfn.XLOOKUP(Customer[[#This Row],[Customer ID]],[1]!Address[ID],[1]!Address[Subtype])</f>
        <v>ONLINE ROS</v>
      </c>
      <c r="AC1107" s="18" t="str">
        <f>_xlfn.XLOOKUP(Customer[[#This Row],[Customer ID]],[1]!Address[ID],[1]!Address[Zone])</f>
        <v>CENTRAL</v>
      </c>
    </row>
    <row r="1108" spans="1:30" x14ac:dyDescent="0.3">
      <c r="A1108" s="43" t="s">
        <v>7406</v>
      </c>
      <c r="B1108" s="44" t="str">
        <f>_xlfn.XLOOKUP(Customer[[#This Row],[Customer ID]],[1]!Name[ID],[1]!Name[Description(1)])</f>
        <v>KPJ HEALTHSHOPPE SDN BHD</v>
      </c>
      <c r="C1108" s="38" t="str">
        <f>_xlfn.XLOOKUP(Customer[[#This Row],[Customer ID]],[1]!Name[ID],[1]!Name[Description(2)])</f>
        <v/>
      </c>
      <c r="D1108" s="38" t="str">
        <f>_xlfn.XLOOKUP(Customer[[#This Row],[Customer ID]],[1]!Address[ID],[1]!Address[PIC])</f>
        <v/>
      </c>
      <c r="E1108" s="38" t="str">
        <f>_xlfn.XLOOKUP(Customer[[#This Row],[Customer ID]],[1]!Address[ID],[1]!Address[Full Address])</f>
        <v>LEVEL 1, LOT 1, JALAN NILAM 1/7.SUBANG HI-TECH INDUSTRIAL PARK,40000 SHAH ALAM, SELANGOR</v>
      </c>
      <c r="F1108" s="12" t="s">
        <v>7407</v>
      </c>
      <c r="G1108" s="12" t="s">
        <v>7408</v>
      </c>
      <c r="H1108" s="12" t="s">
        <v>7409</v>
      </c>
      <c r="I1108" s="12" t="b">
        <f>ISNUMBER(VALUE(LEFT(Customer[[#This Row],[Address Line 3 (30 char)]],1)))</f>
        <v>0</v>
      </c>
      <c r="J1108" s="12" t="s">
        <v>172</v>
      </c>
      <c r="K1108" s="12">
        <v>40000</v>
      </c>
      <c r="L1108" s="12" t="s">
        <v>35</v>
      </c>
      <c r="M1108" s="35">
        <v>198501015441</v>
      </c>
      <c r="N1108" s="14" t="s">
        <v>7410</v>
      </c>
      <c r="O1108" s="14" t="e">
        <v>#N/A</v>
      </c>
      <c r="P1108" s="14" t="e">
        <v>#N/A</v>
      </c>
      <c r="Q1108" s="14" t="e">
        <v>#N/A</v>
      </c>
      <c r="R1108" s="15" t="s">
        <v>7411</v>
      </c>
      <c r="S1108" s="15" t="s">
        <v>3476</v>
      </c>
      <c r="T1108" s="16" t="s">
        <v>3477</v>
      </c>
      <c r="U1108" s="11" t="str">
        <f>_xlfn.XLOOKUP(Customer[[#This Row],[Customer ID]],[1]!Address[ID],[1]!Address[Phone No.(2)])</f>
        <v/>
      </c>
      <c r="V1108" s="11" t="str">
        <f>_xlfn.XLOOKUP(Customer[[#This Row],[Customer ID]],[1]!Address[ID],[1]!Address[Type])</f>
        <v>PH</v>
      </c>
      <c r="W1108" s="11" t="str">
        <f>_xlfn.XLOOKUP(Customer[[#This Row],[Customer ID]],[1]!Address[ID],[1]!Address[CT])</f>
        <v>60 DAYS</v>
      </c>
      <c r="X1108" s="11"/>
      <c r="Y1108" s="17" t="s">
        <v>5955</v>
      </c>
      <c r="Z1108" s="17" t="e">
        <f>_xlfn.XLOOKUP(Customer[[#This Row],[NewType]],$AF$36:$AF$54,$AG$36:$AG$54)</f>
        <v>#N/A</v>
      </c>
      <c r="AA1108" s="17" t="s">
        <v>7412</v>
      </c>
      <c r="AB1108" s="11" t="str">
        <f>_xlfn.XLOOKUP(Customer[[#This Row],[Customer ID]],[1]!Address[ID],[1]!Address[Subtype])</f>
        <v>KPJ HEALTH</v>
      </c>
      <c r="AC1108" s="18">
        <f>_xlfn.XLOOKUP(Customer[[#This Row],[Customer ID]],[1]!Address[ID],[1]!Address[Zone])</f>
        <v>0</v>
      </c>
    </row>
    <row r="1109" spans="1:30" x14ac:dyDescent="0.3">
      <c r="A1109" s="48" t="s">
        <v>7413</v>
      </c>
      <c r="B1109" s="49" t="str">
        <f>_xlfn.XLOOKUP(Customer[[#This Row],[Customer ID]],[1]!Name[ID],[1]!Name[Description(1)])</f>
        <v>DATO AZAM BAKI</v>
      </c>
      <c r="C1109" s="50" t="str">
        <f>_xlfn.XLOOKUP(Customer[[#This Row],[Customer ID]],[1]!Name[ID],[1]!Name[Description(2)])</f>
        <v/>
      </c>
      <c r="D1109" s="50" t="str">
        <f>_xlfn.XLOOKUP(Customer[[#This Row],[Customer ID]],[1]!Address[ID],[1]!Address[PIC])</f>
        <v/>
      </c>
      <c r="E1109" s="38" t="str">
        <f>_xlfn.XLOOKUP(Customer[[#This Row],[Customer ID]],[1]!Address[ID],[1]!Address[Full Address])</f>
        <v>LOT 14146 JALAN KEDONDONG,KAMPUNG SUNGAI BUAH LUAR</v>
      </c>
      <c r="F1109" s="12" t="s">
        <v>7414</v>
      </c>
      <c r="G1109" s="12" t="s">
        <v>7415</v>
      </c>
      <c r="H1109" s="12" t="s">
        <v>36</v>
      </c>
      <c r="I1109" s="12" t="b">
        <f>ISNUMBER(VALUE(LEFT(Customer[[#This Row],[Address Line 3 (30 char)]],1)))</f>
        <v>0</v>
      </c>
      <c r="J1109" s="12" t="s">
        <v>172</v>
      </c>
      <c r="K1109" s="30" t="s">
        <v>4489</v>
      </c>
      <c r="L1109" s="12" t="s">
        <v>35</v>
      </c>
      <c r="M1109" s="13" t="e">
        <v>#N/A</v>
      </c>
      <c r="N1109" s="14" t="e">
        <v>#N/A</v>
      </c>
      <c r="O1109" s="14" t="e">
        <v>#N/A</v>
      </c>
      <c r="P1109" s="14" t="e">
        <v>#N/A</v>
      </c>
      <c r="Q1109" s="14" t="e">
        <v>#N/A</v>
      </c>
      <c r="R1109" s="51" t="s">
        <v>7416</v>
      </c>
      <c r="S1109" s="51"/>
      <c r="T1109" s="52"/>
      <c r="U1109" s="49" t="str">
        <f>_xlfn.XLOOKUP(Customer[[#This Row],[Customer ID]],[1]!Address[ID],[1]!Address[Phone No.(2)])</f>
        <v/>
      </c>
      <c r="V1109" s="49" t="str">
        <f>_xlfn.XLOOKUP(Customer[[#This Row],[Customer ID]],[1]!Address[ID],[1]!Address[Type])</f>
        <v>SOCMED</v>
      </c>
      <c r="W1109" s="49" t="str">
        <f>_xlfn.XLOOKUP(Customer[[#This Row],[Customer ID]],[1]!Address[ID],[1]!Address[CT])</f>
        <v/>
      </c>
      <c r="X1109" s="49"/>
      <c r="Y1109" s="53" t="s">
        <v>90</v>
      </c>
      <c r="Z1109" s="53" t="e">
        <f>_xlfn.XLOOKUP(Customer[[#This Row],[NewType]],$AF$36:$AF$54,$AG$36:$AG$54)</f>
        <v>#N/A</v>
      </c>
      <c r="AA1109" s="53" t="s">
        <v>7417</v>
      </c>
      <c r="AB1109" s="49" t="str">
        <f>_xlfn.XLOOKUP(Customer[[#This Row],[Customer ID]],[1]!Address[ID],[1]!Address[Subtype])</f>
        <v>WHATSAPP</v>
      </c>
      <c r="AC1109" s="54" t="str">
        <f>_xlfn.XLOOKUP(Customer[[#This Row],[Customer ID]],[1]!Address[ID],[1]!Address[Zone])</f>
        <v>AEEDH</v>
      </c>
      <c r="AD1109" s="55"/>
    </row>
    <row r="1110" spans="1:30" x14ac:dyDescent="0.3">
      <c r="A1110" s="10" t="s">
        <v>7418</v>
      </c>
      <c r="B1110" s="11" t="str">
        <f>_xlfn.XLOOKUP(Customer[[#This Row],[Customer ID]],[1]!Name[ID],[1]!Name[Description(1)])</f>
        <v>ORDER CUSTOMER WHATSAPP</v>
      </c>
      <c r="C1110" s="24" t="str">
        <f>_xlfn.XLOOKUP(Customer[[#This Row],[Customer ID]],[1]!Name[ID],[1]!Name[Description(2)])</f>
        <v/>
      </c>
      <c r="D1110" s="38" t="str">
        <f>_xlfn.XLOOKUP(Customer[[#This Row],[Customer ID]],[1]!Address[ID],[1]!Address[PIC])</f>
        <v/>
      </c>
      <c r="E1110" s="38" t="str">
        <f>_xlfn.XLOOKUP(Customer[[#This Row],[Customer ID]],[1]!Address[ID],[1]!Address[Full Address])</f>
        <v/>
      </c>
      <c r="F1110" s="12" t="s">
        <v>36</v>
      </c>
      <c r="G1110" s="12" t="s">
        <v>36</v>
      </c>
      <c r="H1110" s="12" t="s">
        <v>36</v>
      </c>
      <c r="I1110" s="12" t="b">
        <f>ISNUMBER(VALUE(LEFT(Customer[[#This Row],[Address Line 3 (30 char)]],1)))</f>
        <v>0</v>
      </c>
      <c r="J1110" s="24"/>
      <c r="K1110" s="24"/>
      <c r="L1110" s="12" t="s">
        <v>35</v>
      </c>
      <c r="M1110" s="13" t="e">
        <v>#N/A</v>
      </c>
      <c r="N1110" s="14" t="e">
        <v>#N/A</v>
      </c>
      <c r="O1110" s="14" t="e">
        <v>#N/A</v>
      </c>
      <c r="P1110" s="14" t="e">
        <v>#N/A</v>
      </c>
      <c r="Q1110" s="14" t="e">
        <v>#N/A</v>
      </c>
      <c r="R1110" s="15" t="s">
        <v>36</v>
      </c>
      <c r="S1110" s="15" t="s">
        <v>89</v>
      </c>
      <c r="T1110" s="16" t="s">
        <v>89</v>
      </c>
      <c r="U1110" s="11" t="str">
        <f>_xlfn.XLOOKUP(Customer[[#This Row],[Customer ID]],[1]!Address[ID],[1]!Address[Phone No.(2)])</f>
        <v/>
      </c>
      <c r="V1110" s="11" t="str">
        <f>_xlfn.XLOOKUP(Customer[[#This Row],[Customer ID]],[1]!Address[ID],[1]!Address[Type])</f>
        <v>SOCMED</v>
      </c>
      <c r="W1110" s="11" t="str">
        <f>_xlfn.XLOOKUP(Customer[[#This Row],[Customer ID]],[1]!Address[ID],[1]!Address[CT])</f>
        <v/>
      </c>
      <c r="X1110" s="11"/>
      <c r="Y1110" s="17" t="s">
        <v>90</v>
      </c>
      <c r="Z1110" s="17" t="e">
        <f>_xlfn.XLOOKUP(Customer[[#This Row],[NewType]],$AF$36:$AF$54,$AG$36:$AG$54)</f>
        <v>#N/A</v>
      </c>
      <c r="AA1110" s="17" t="s">
        <v>7419</v>
      </c>
      <c r="AB1110" s="11" t="str">
        <f>_xlfn.XLOOKUP(Customer[[#This Row],[Customer ID]],[1]!Address[ID],[1]!Address[Subtype])</f>
        <v>WHATSAPP</v>
      </c>
      <c r="AC1110" s="18" t="str">
        <f>_xlfn.XLOOKUP(Customer[[#This Row],[Customer ID]],[1]!Address[ID],[1]!Address[Zone])</f>
        <v>AEEDH</v>
      </c>
    </row>
    <row r="1111" spans="1:30" x14ac:dyDescent="0.3">
      <c r="A1111" s="37" t="s">
        <v>7420</v>
      </c>
      <c r="B1111" s="38" t="str">
        <f>_xlfn.XLOOKUP(Customer[[#This Row],[Customer ID]],[1]!Name[ID],[1]!Name[Description(1)])</f>
        <v>ST ROSYAM MART SDN BHD- SENAWANG</v>
      </c>
      <c r="C1111" s="38" t="str">
        <f>_xlfn.XLOOKUP(Customer[[#This Row],[Customer ID]],[1]!Name[ID],[1]!Name[Description(2)])</f>
        <v/>
      </c>
      <c r="D1111" s="38" t="str">
        <f>_xlfn.XLOOKUP(Customer[[#This Row],[Customer ID]],[1]!Address[ID],[1]!Address[PIC])</f>
        <v/>
      </c>
      <c r="E1111" s="38" t="str">
        <f>_xlfn.XLOOKUP(Customer[[#This Row],[Customer ID]],[1]!Address[ID],[1]!Address[Full Address])</f>
        <v>LOT 1A &amp; A8, KIPMALL SENAWANG,NO.1, JALAN KLS 1,LAVENDER HEIGHT SEREMBAN70450 NEGERI SEMBILAN</v>
      </c>
      <c r="F1111" s="12" t="s">
        <v>7421</v>
      </c>
      <c r="G1111" s="12" t="s">
        <v>7422</v>
      </c>
      <c r="H1111" s="12" t="s">
        <v>7423</v>
      </c>
      <c r="I1111" s="12" t="b">
        <f>ISNUMBER(VALUE(LEFT(Customer[[#This Row],[Address Line 3 (30 char)]],1)))</f>
        <v>0</v>
      </c>
      <c r="J1111" s="12" t="s">
        <v>203</v>
      </c>
      <c r="K1111" s="12">
        <v>70450</v>
      </c>
      <c r="L1111" s="12" t="s">
        <v>35</v>
      </c>
      <c r="M1111" s="13" t="e">
        <v>#N/A</v>
      </c>
      <c r="N1111" s="14" t="e">
        <v>#N/A</v>
      </c>
      <c r="O1111" s="14" t="e">
        <v>#N/A</v>
      </c>
      <c r="P1111" s="14" t="e">
        <v>#N/A</v>
      </c>
      <c r="Q1111" s="14" t="e">
        <v>#N/A</v>
      </c>
      <c r="R1111" s="15" t="s">
        <v>7424</v>
      </c>
      <c r="S1111" s="15" t="s">
        <v>5917</v>
      </c>
      <c r="T1111" s="16" t="s">
        <v>3477</v>
      </c>
      <c r="U1111" s="11" t="str">
        <f>_xlfn.XLOOKUP(Customer[[#This Row],[Customer ID]],[1]!Address[ID],[1]!Address[Phone No.(2)])</f>
        <v/>
      </c>
      <c r="V1111" s="11" t="str">
        <f>_xlfn.XLOOKUP(Customer[[#This Row],[Customer ID]],[1]!Address[ID],[1]!Address[Type])</f>
        <v>HM</v>
      </c>
      <c r="W1111" s="11" t="str">
        <f>_xlfn.XLOOKUP(Customer[[#This Row],[Customer ID]],[1]!Address[ID],[1]!Address[CT])</f>
        <v>60 DAYS</v>
      </c>
      <c r="X1111" s="11"/>
      <c r="Y1111" s="17" t="s">
        <v>5968</v>
      </c>
      <c r="Z1111" s="17" t="e">
        <f>_xlfn.XLOOKUP(Customer[[#This Row],[NewType]],$AF$36:$AF$54,$AG$36:$AG$54)</f>
        <v>#N/A</v>
      </c>
      <c r="AA1111" s="17" t="s">
        <v>7425</v>
      </c>
      <c r="AB1111" s="11" t="str">
        <f>_xlfn.XLOOKUP(Customer[[#This Row],[Customer ID]],[1]!Address[ID],[1]!Address[Subtype])</f>
        <v>ST ROSYAM</v>
      </c>
      <c r="AC1111" s="18" t="str">
        <f>_xlfn.XLOOKUP(Customer[[#This Row],[Customer ID]],[1]!Address[ID],[1]!Address[Zone])</f>
        <v>CENTRAL</v>
      </c>
    </row>
    <row r="1112" spans="1:30" x14ac:dyDescent="0.3">
      <c r="A1112" s="37" t="s">
        <v>7426</v>
      </c>
      <c r="B1112" s="38" t="str">
        <f>_xlfn.XLOOKUP(Customer[[#This Row],[Customer ID]],[1]!Name[ID],[1]!Name[Description(1)])</f>
        <v>ALPRO PHARMACY SDN BHD</v>
      </c>
      <c r="C1112" s="38" t="str">
        <f>_xlfn.XLOOKUP(Customer[[#This Row],[Customer ID]],[1]!Name[ID],[1]!Name[Description(2)])</f>
        <v/>
      </c>
      <c r="D1112" s="38" t="str">
        <f>_xlfn.XLOOKUP(Customer[[#This Row],[Customer ID]],[1]!Address[ID],[1]!Address[PIC])</f>
        <v>WONG KAE XIN</v>
      </c>
      <c r="E1112" s="38" t="str">
        <f>_xlfn.XLOOKUP(Customer[[#This Row],[Customer ID]],[1]!Address[ID],[1]!Address[Full Address])</f>
        <v>1001, SENDAYAN WAREHOUSE &amp; DISTRIBUTIONUNIT V1-A, LOT 45880,JALAN TECHVALLEY 3/2,SENDAYAN TECHVALLE,71950 SEREMBAN,NEGERI SEMBILAN</v>
      </c>
      <c r="F1112" s="12" t="s">
        <v>7427</v>
      </c>
      <c r="G1112" s="12" t="s">
        <v>7428</v>
      </c>
      <c r="H1112" s="12" t="s">
        <v>7429</v>
      </c>
      <c r="I1112" s="12" t="b">
        <f>ISNUMBER(VALUE(LEFT(Customer[[#This Row],[Address Line 3 (30 char)]],1)))</f>
        <v>0</v>
      </c>
      <c r="J1112" s="12" t="s">
        <v>203</v>
      </c>
      <c r="K1112" s="12">
        <v>71950</v>
      </c>
      <c r="L1112" s="12" t="s">
        <v>35</v>
      </c>
      <c r="M1112" s="13" t="e">
        <v>#N/A</v>
      </c>
      <c r="N1112" s="14" t="e">
        <v>#N/A</v>
      </c>
      <c r="O1112" s="14" t="e">
        <v>#N/A</v>
      </c>
      <c r="P1112" s="14" t="e">
        <v>#N/A</v>
      </c>
      <c r="Q1112" s="14" t="e">
        <v>#N/A</v>
      </c>
      <c r="R1112" s="15" t="s">
        <v>7430</v>
      </c>
      <c r="S1112" s="15" t="s">
        <v>3476</v>
      </c>
      <c r="T1112" s="16" t="s">
        <v>3477</v>
      </c>
      <c r="U1112" s="11" t="str">
        <f>_xlfn.XLOOKUP(Customer[[#This Row],[Customer ID]],[1]!Address[ID],[1]!Address[Phone No.(2)])</f>
        <v/>
      </c>
      <c r="V1112" s="11" t="str">
        <f>_xlfn.XLOOKUP(Customer[[#This Row],[Customer ID]],[1]!Address[ID],[1]!Address[Type])</f>
        <v>PH</v>
      </c>
      <c r="W1112" s="11" t="str">
        <f>_xlfn.XLOOKUP(Customer[[#This Row],[Customer ID]],[1]!Address[ID],[1]!Address[CT])</f>
        <v>60 DAYS</v>
      </c>
      <c r="X1112" s="11"/>
      <c r="Y1112" s="17" t="s">
        <v>5955</v>
      </c>
      <c r="Z1112" s="17" t="e">
        <f>_xlfn.XLOOKUP(Customer[[#This Row],[NewType]],$AF$36:$AF$54,$AG$36:$AG$54)</f>
        <v>#N/A</v>
      </c>
      <c r="AA1112" s="17" t="s">
        <v>7431</v>
      </c>
      <c r="AB1112" s="11" t="str">
        <f>_xlfn.XLOOKUP(Customer[[#This Row],[Customer ID]],[1]!Address[ID],[1]!Address[Subtype])</f>
        <v>ALPRO</v>
      </c>
      <c r="AC1112" s="18" t="str">
        <f>_xlfn.XLOOKUP(Customer[[#This Row],[Customer ID]],[1]!Address[ID],[1]!Address[Zone])</f>
        <v>CENTRAL</v>
      </c>
    </row>
    <row r="1113" spans="1:30" x14ac:dyDescent="0.3">
      <c r="A1113" s="37" t="s">
        <v>7432</v>
      </c>
      <c r="B1113" s="38" t="str">
        <f>_xlfn.XLOOKUP(Customer[[#This Row],[Customer ID]],[1]!Name[ID],[1]!Name[Description(1)])</f>
        <v>PWANA ENTERPRISE SDN BHD (711198-X)</v>
      </c>
      <c r="C1113" s="38" t="str">
        <f>_xlfn.XLOOKUP(Customer[[#This Row],[Customer ID]],[1]!Name[ID],[1]!Name[Description(2)])</f>
        <v/>
      </c>
      <c r="D1113" s="38" t="str">
        <f>_xlfn.XLOOKUP(Customer[[#This Row],[Customer ID]],[1]!Address[ID],[1]!Address[PIC])</f>
        <v>RUBI BINTI KULA</v>
      </c>
      <c r="E1113" s="38" t="str">
        <f>_xlfn.XLOOKUP(Customer[[#This Row],[Customer ID]],[1]!Address[ID],[1]!Address[Full Address])</f>
        <v>B-02-13 BLOK B,TAMAN TROPIKA,SUNGAI TANGKAS,43000 KAJANG SELANGOR</v>
      </c>
      <c r="F1113" s="12" t="s">
        <v>7433</v>
      </c>
      <c r="G1113" s="12" t="s">
        <v>7434</v>
      </c>
      <c r="H1113" s="24" t="s">
        <v>6089</v>
      </c>
      <c r="I1113" s="24" t="b">
        <f>ISNUMBER(VALUE(LEFT(Customer[[#This Row],[Address Line 3 (30 char)]],1)))</f>
        <v>0</v>
      </c>
      <c r="J1113" s="12" t="s">
        <v>1907</v>
      </c>
      <c r="K1113" s="12">
        <v>43000</v>
      </c>
      <c r="L1113" s="12" t="s">
        <v>35</v>
      </c>
      <c r="M1113" s="13">
        <v>200501029063</v>
      </c>
      <c r="N1113" s="14" t="s">
        <v>7435</v>
      </c>
      <c r="O1113" s="14" t="e">
        <v>#N/A</v>
      </c>
      <c r="P1113" s="14" t="e">
        <v>#N/A</v>
      </c>
      <c r="Q1113" s="14" t="e">
        <v>#N/A</v>
      </c>
      <c r="R1113" s="15" t="s">
        <v>7436</v>
      </c>
      <c r="S1113" s="15" t="s">
        <v>3476</v>
      </c>
      <c r="T1113" s="16" t="s">
        <v>3477</v>
      </c>
      <c r="U1113" s="11" t="str">
        <f>_xlfn.XLOOKUP(Customer[[#This Row],[Customer ID]],[1]!Address[ID],[1]!Address[Phone No.(2)])</f>
        <v/>
      </c>
      <c r="V1113" s="11" t="str">
        <f>_xlfn.XLOOKUP(Customer[[#This Row],[Customer ID]],[1]!Address[ID],[1]!Address[Type])</f>
        <v>CM</v>
      </c>
      <c r="W1113" s="11" t="str">
        <f>_xlfn.XLOOKUP(Customer[[#This Row],[Customer ID]],[1]!Address[ID],[1]!Address[CT])</f>
        <v>30 DAYS</v>
      </c>
      <c r="X1113" s="11"/>
      <c r="Y1113" s="17" t="s">
        <v>5918</v>
      </c>
      <c r="Z1113" s="17" t="e">
        <f>_xlfn.XLOOKUP(Customer[[#This Row],[NewType]],$AF$36:$AF$54,$AG$36:$AG$54)</f>
        <v>#N/A</v>
      </c>
      <c r="AA1113" s="17" t="s">
        <v>7437</v>
      </c>
      <c r="AB1113" s="11" t="str">
        <f>_xlfn.XLOOKUP(Customer[[#This Row],[Customer ID]],[1]!Address[ID],[1]!Address[Subtype])</f>
        <v>THB</v>
      </c>
      <c r="AC1113" s="18" t="str">
        <f>_xlfn.XLOOKUP(Customer[[#This Row],[Customer ID]],[1]!Address[ID],[1]!Address[Zone])</f>
        <v>CENTRAL</v>
      </c>
    </row>
    <row r="1114" spans="1:30" x14ac:dyDescent="0.3">
      <c r="A1114" s="72" t="s">
        <v>7438</v>
      </c>
      <c r="B1114" s="68" t="str">
        <f>_xlfn.XLOOKUP(Customer[[#This Row],[Customer ID]],[1]!Name[ID],[1]!Name[Description(1)])</f>
        <v>GREATLIFE RECYCLE TRADING</v>
      </c>
      <c r="C1114" s="62" t="str">
        <f>_xlfn.XLOOKUP(Customer[[#This Row],[Customer ID]],[1]!Name[ID],[1]!Name[Description(2)])</f>
        <v/>
      </c>
      <c r="D1114" s="62" t="str">
        <f>_xlfn.XLOOKUP(Customer[[#This Row],[Customer ID]],[1]!Address[ID],[1]!Address[PIC])</f>
        <v>LANDY</v>
      </c>
      <c r="E1114" s="38" t="str">
        <f>_xlfn.XLOOKUP(Customer[[#This Row],[Customer ID]],[1]!Address[ID],[1]!Address[Full Address])</f>
        <v>NO.6, JALAN SEMARAK API,OFF JALAN GOMBAK,53300 KL</v>
      </c>
      <c r="F1114" s="63" t="s">
        <v>7439</v>
      </c>
      <c r="G1114" s="63" t="s">
        <v>7440</v>
      </c>
      <c r="H1114" s="64"/>
      <c r="I1114" s="64" t="b">
        <f>ISNUMBER(VALUE(LEFT(Customer[[#This Row],[Address Line 3 (30 char)]],1)))</f>
        <v>0</v>
      </c>
      <c r="J1114" s="63" t="s">
        <v>34</v>
      </c>
      <c r="K1114" s="63">
        <v>53300</v>
      </c>
      <c r="L1114" s="63" t="s">
        <v>35</v>
      </c>
      <c r="M1114" s="65" t="e">
        <v>#N/A</v>
      </c>
      <c r="N1114" s="66" t="e">
        <v>#N/A</v>
      </c>
      <c r="O1114" s="66" t="e">
        <v>#N/A</v>
      </c>
      <c r="P1114" s="66" t="e">
        <v>#N/A</v>
      </c>
      <c r="Q1114" s="66" t="e">
        <v>#N/A</v>
      </c>
      <c r="R1114" s="67" t="s">
        <v>7441</v>
      </c>
      <c r="S1114" s="15" t="s">
        <v>5934</v>
      </c>
      <c r="T1114" s="76"/>
      <c r="U1114" s="68" t="str">
        <f>_xlfn.XLOOKUP(Customer[[#This Row],[Customer ID]],[1]!Address[ID],[1]!Address[Phone No.(2)])</f>
        <v/>
      </c>
      <c r="V1114" s="68" t="str">
        <f>_xlfn.XLOOKUP(Customer[[#This Row],[Customer ID]],[1]!Address[ID],[1]!Address[Type])</f>
        <v>SOCMED</v>
      </c>
      <c r="W1114" s="68" t="str">
        <f>_xlfn.XLOOKUP(Customer[[#This Row],[Customer ID]],[1]!Address[ID],[1]!Address[CT])</f>
        <v>CASH</v>
      </c>
      <c r="X1114" s="68"/>
      <c r="Y1114" s="69" t="s">
        <v>90</v>
      </c>
      <c r="Z1114" s="69" t="e">
        <f>_xlfn.XLOOKUP(Customer[[#This Row],[NewType]],$AF$36:$AF$54,$AG$36:$AG$54)</f>
        <v>#N/A</v>
      </c>
      <c r="AA1114" s="69" t="s">
        <v>7442</v>
      </c>
      <c r="AB1114" s="68" t="str">
        <f>_xlfn.XLOOKUP(Customer[[#This Row],[Customer ID]],[1]!Address[ID],[1]!Address[Subtype])</f>
        <v>WHATSAPP</v>
      </c>
      <c r="AC1114" s="70" t="str">
        <f>_xlfn.XLOOKUP(Customer[[#This Row],[Customer ID]],[1]!Address[ID],[1]!Address[Zone])</f>
        <v>CENTRAL</v>
      </c>
      <c r="AD1114" s="71"/>
    </row>
    <row r="1115" spans="1:30" x14ac:dyDescent="0.3">
      <c r="A1115" s="10" t="s">
        <v>7443</v>
      </c>
      <c r="B1115" s="11" t="str">
        <f>_xlfn.XLOOKUP(Customer[[#This Row],[Customer ID]],[1]!Name[ID],[1]!Name[Description(1)])</f>
        <v>MASJID SAIDATINA KHADIJAH</v>
      </c>
      <c r="C1115" s="32" t="str">
        <f>_xlfn.XLOOKUP(Customer[[#This Row],[Customer ID]],[1]!Name[ID],[1]!Name[Description(2)])</f>
        <v/>
      </c>
      <c r="D1115" s="38" t="str">
        <f>_xlfn.XLOOKUP(Customer[[#This Row],[Customer ID]],[1]!Address[ID],[1]!Address[PIC])</f>
        <v>ROHANA</v>
      </c>
      <c r="E1115" s="38" t="str">
        <f>_xlfn.XLOOKUP(Customer[[#This Row],[Customer ID]],[1]!Address[ID],[1]!Address[Full Address])</f>
        <v>MASJID SAIDATINA KHADIJAH,JLN 5/6, TAMAN SEREMBAN JAYABANDAR SEREMBAN SELATAN,</v>
      </c>
      <c r="F1115" s="12" t="s">
        <v>7444</v>
      </c>
      <c r="G1115" s="12" t="s">
        <v>7445</v>
      </c>
      <c r="H1115" s="12" t="s">
        <v>7446</v>
      </c>
      <c r="I1115" s="12" t="b">
        <f>ISNUMBER(VALUE(LEFT(Customer[[#This Row],[Address Line 3 (30 char)]],1)))</f>
        <v>0</v>
      </c>
      <c r="J1115" s="32" t="s">
        <v>203</v>
      </c>
      <c r="K1115" s="32">
        <v>71450</v>
      </c>
      <c r="L1115" s="12" t="s">
        <v>35</v>
      </c>
      <c r="M1115" s="13" t="e">
        <v>#N/A</v>
      </c>
      <c r="N1115" s="35" t="s">
        <v>7447</v>
      </c>
      <c r="O1115" s="14" t="e">
        <v>#N/A</v>
      </c>
      <c r="P1115" s="14" t="e">
        <v>#N/A</v>
      </c>
      <c r="Q1115" s="14" t="e">
        <v>#N/A</v>
      </c>
      <c r="R1115" s="15" t="s">
        <v>7448</v>
      </c>
      <c r="S1115" s="15" t="s">
        <v>89</v>
      </c>
      <c r="T1115" s="16" t="s">
        <v>89</v>
      </c>
      <c r="U1115" s="11" t="str">
        <f>_xlfn.XLOOKUP(Customer[[#This Row],[Customer ID]],[1]!Address[ID],[1]!Address[Phone No.(2)])</f>
        <v/>
      </c>
      <c r="V1115" s="11" t="str">
        <f>_xlfn.XLOOKUP(Customer[[#This Row],[Customer ID]],[1]!Address[ID],[1]!Address[Type])</f>
        <v>WHATSAPP</v>
      </c>
      <c r="W1115" s="11" t="str">
        <f>_xlfn.XLOOKUP(Customer[[#This Row],[Customer ID]],[1]!Address[ID],[1]!Address[CT])</f>
        <v/>
      </c>
      <c r="X1115" s="11"/>
      <c r="Y1115" s="17" t="s">
        <v>90</v>
      </c>
      <c r="Z1115" s="17" t="e">
        <f>_xlfn.XLOOKUP(Customer[[#This Row],[NewType]],$AF$36:$AF$54,$AG$36:$AG$54)</f>
        <v>#N/A</v>
      </c>
      <c r="AA1115" s="17" t="s">
        <v>7449</v>
      </c>
      <c r="AB1115" s="11" t="str">
        <f>_xlfn.XLOOKUP(Customer[[#This Row],[Customer ID]],[1]!Address[ID],[1]!Address[Subtype])</f>
        <v>WHATSAPP</v>
      </c>
      <c r="AC1115" s="18" t="str">
        <f>_xlfn.XLOOKUP(Customer[[#This Row],[Customer ID]],[1]!Address[ID],[1]!Address[Zone])</f>
        <v>ASPH</v>
      </c>
    </row>
    <row r="1116" spans="1:30" x14ac:dyDescent="0.3">
      <c r="A1116" s="37" t="s">
        <v>7450</v>
      </c>
      <c r="B1116" s="38" t="str">
        <f>_xlfn.XLOOKUP(Customer[[#This Row],[Customer ID]],[1]!Name[ID],[1]!Name[Description(1)])</f>
        <v>KPF NIAGA SDN BHD</v>
      </c>
      <c r="C1116" s="38" t="str">
        <f>_xlfn.XLOOKUP(Customer[[#This Row],[Customer ID]],[1]!Name[ID],[1]!Name[Description(2)])</f>
        <v>PS PALONG 16</v>
      </c>
      <c r="D1116" s="38" t="str">
        <f>_xlfn.XLOOKUP(Customer[[#This Row],[Customer ID]],[1]!Address[ID],[1]!Address[PIC])</f>
        <v/>
      </c>
      <c r="E1116" s="38" t="str">
        <f>_xlfn.XLOOKUP(Customer[[#This Row],[Customer ID]],[1]!Address[ID],[1]!Address[Full Address])</f>
        <v>PS PALONG 16FELDA PALONG 1673470 GEMAS NSDK</v>
      </c>
      <c r="F1116" s="12" t="s">
        <v>7451</v>
      </c>
      <c r="G1116" s="12" t="s">
        <v>7452</v>
      </c>
      <c r="H1116" s="24" t="s">
        <v>7453</v>
      </c>
      <c r="I1116" s="24" t="b">
        <f>ISNUMBER(VALUE(LEFT(Customer[[#This Row],[Address Line 3 (30 char)]],1)))</f>
        <v>0</v>
      </c>
      <c r="J1116" s="12" t="s">
        <v>203</v>
      </c>
      <c r="K1116" s="12">
        <v>72100</v>
      </c>
      <c r="L1116" s="12" t="s">
        <v>35</v>
      </c>
      <c r="M1116" s="13" t="e">
        <v>#N/A</v>
      </c>
      <c r="N1116" s="14" t="e">
        <v>#N/A</v>
      </c>
      <c r="O1116" s="14" t="e">
        <v>#N/A</v>
      </c>
      <c r="P1116" s="14" t="e">
        <v>#N/A</v>
      </c>
      <c r="Q1116" s="14" t="e">
        <v>#N/A</v>
      </c>
      <c r="R1116" s="15" t="s">
        <v>7454</v>
      </c>
      <c r="S1116" s="15" t="s">
        <v>37</v>
      </c>
      <c r="T1116" s="16" t="s">
        <v>38</v>
      </c>
      <c r="U1116" s="11" t="str">
        <f>_xlfn.XLOOKUP(Customer[[#This Row],[Customer ID]],[1]!Address[ID],[1]!Address[Phone No.(2)])</f>
        <v/>
      </c>
      <c r="V1116" s="11" t="str">
        <f>_xlfn.XLOOKUP(Customer[[#This Row],[Customer ID]],[1]!Address[ID],[1]!Address[Type])</f>
        <v>PETROMART</v>
      </c>
      <c r="W1116" s="11" t="str">
        <f>_xlfn.XLOOKUP(Customer[[#This Row],[Customer ID]],[1]!Address[ID],[1]!Address[CT])</f>
        <v>30 DAYS</v>
      </c>
      <c r="X1116" s="11" t="s">
        <v>39</v>
      </c>
      <c r="Y1116" s="17" t="s">
        <v>40</v>
      </c>
      <c r="Z1116" s="17" t="e">
        <f>_xlfn.XLOOKUP(Customer[[#This Row],[NewType]],$AF$36:$AF$54,$AG$36:$AG$54)</f>
        <v>#N/A</v>
      </c>
      <c r="AA1116" s="17" t="s">
        <v>7455</v>
      </c>
      <c r="AB1116" s="11" t="str">
        <f>_xlfn.XLOOKUP(Customer[[#This Row],[Customer ID]],[1]!Address[ID],[1]!Address[Subtype])</f>
        <v>PETRONAS</v>
      </c>
      <c r="AC1116" s="18" t="str">
        <f>_xlfn.XLOOKUP(Customer[[#This Row],[Customer ID]],[1]!Address[ID],[1]!Address[Zone])</f>
        <v>CENTRAL</v>
      </c>
    </row>
    <row r="1117" spans="1:30" x14ac:dyDescent="0.3">
      <c r="A1117" s="45" t="s">
        <v>7456</v>
      </c>
      <c r="B1117" s="32" t="str">
        <f>_xlfn.XLOOKUP(Customer[[#This Row],[Customer ID]],[1]!Name[ID],[1]!Name[Description(1)])</f>
        <v>EN SUHAIMI</v>
      </c>
      <c r="C1117" s="32" t="str">
        <f>_xlfn.XLOOKUP(Customer[[#This Row],[Customer ID]],[1]!Name[ID],[1]!Name[Description(2)])</f>
        <v/>
      </c>
      <c r="D1117" s="38" t="str">
        <f>_xlfn.XLOOKUP(Customer[[#This Row],[Customer ID]],[1]!Address[ID],[1]!Address[PIC])</f>
        <v/>
      </c>
      <c r="E1117" s="38" t="str">
        <f>_xlfn.XLOOKUP(Customer[[#This Row],[Customer ID]],[1]!Address[ID],[1]!Address[Full Address])</f>
        <v/>
      </c>
      <c r="F1117" s="12" t="s">
        <v>36</v>
      </c>
      <c r="G1117" s="12" t="s">
        <v>36</v>
      </c>
      <c r="H1117" s="12" t="s">
        <v>36</v>
      </c>
      <c r="I1117" s="12" t="b">
        <f>ISNUMBER(VALUE(LEFT(Customer[[#This Row],[Address Line 3 (30 char)]],1)))</f>
        <v>0</v>
      </c>
      <c r="J1117" s="32"/>
      <c r="K1117" s="32"/>
      <c r="L1117" s="12" t="s">
        <v>35</v>
      </c>
      <c r="M1117" s="13" t="e">
        <v>#N/A</v>
      </c>
      <c r="N1117" s="14" t="e">
        <v>#N/A</v>
      </c>
      <c r="O1117" s="14" t="e">
        <v>#N/A</v>
      </c>
      <c r="P1117" s="14" t="e">
        <v>#N/A</v>
      </c>
      <c r="Q1117" s="14" t="e">
        <v>#N/A</v>
      </c>
      <c r="R1117" s="15" t="s">
        <v>36</v>
      </c>
      <c r="S1117" s="16" t="s">
        <v>6283</v>
      </c>
      <c r="T1117" s="16"/>
      <c r="U1117" s="11" t="str">
        <f>_xlfn.XLOOKUP(Customer[[#This Row],[Customer ID]],[1]!Address[ID],[1]!Address[Phone No.(2)])</f>
        <v/>
      </c>
      <c r="V1117" s="11" t="str">
        <f>_xlfn.XLOOKUP(Customer[[#This Row],[Customer ID]],[1]!Address[ID],[1]!Address[Type])</f>
        <v>WALK IN</v>
      </c>
      <c r="W1117" s="11" t="str">
        <f>_xlfn.XLOOKUP(Customer[[#This Row],[Customer ID]],[1]!Address[ID],[1]!Address[CT])</f>
        <v/>
      </c>
      <c r="X1117" s="11"/>
      <c r="Y1117" s="17" t="s">
        <v>6284</v>
      </c>
      <c r="Z1117" s="17" t="e">
        <f>_xlfn.XLOOKUP(Customer[[#This Row],[NewType]],$AF$36:$AF$54,$AG$36:$AG$54)</f>
        <v>#N/A</v>
      </c>
      <c r="AA1117" s="17" t="s">
        <v>7457</v>
      </c>
      <c r="AB1117" s="11" t="str">
        <f>_xlfn.XLOOKUP(Customer[[#This Row],[Customer ID]],[1]!Address[ID],[1]!Address[Subtype])</f>
        <v>RANTAU</v>
      </c>
      <c r="AC1117" s="18" t="str">
        <f>_xlfn.XLOOKUP(Customer[[#This Row],[Customer ID]],[1]!Address[ID],[1]!Address[Zone])</f>
        <v>U H</v>
      </c>
    </row>
    <row r="1118" spans="1:30" x14ac:dyDescent="0.3">
      <c r="A1118" s="45" t="s">
        <v>7458</v>
      </c>
      <c r="B1118" s="32" t="str">
        <f>_xlfn.XLOOKUP(Customer[[#This Row],[Customer ID]],[1]!Name[ID],[1]!Name[Description(1)])</f>
        <v>FAUZIAH</v>
      </c>
      <c r="C1118" s="32" t="str">
        <f>_xlfn.XLOOKUP(Customer[[#This Row],[Customer ID]],[1]!Name[ID],[1]!Name[Description(2)])</f>
        <v/>
      </c>
      <c r="D1118" s="38" t="str">
        <f>_xlfn.XLOOKUP(Customer[[#This Row],[Customer ID]],[1]!Address[ID],[1]!Address[PIC])</f>
        <v/>
      </c>
      <c r="E1118" s="38" t="str">
        <f>_xlfn.XLOOKUP(Customer[[#This Row],[Customer ID]],[1]!Address[ID],[1]!Address[Full Address])</f>
        <v>KG SELIAU</v>
      </c>
      <c r="F1118" s="12" t="s">
        <v>7459</v>
      </c>
      <c r="G1118" s="12" t="s">
        <v>36</v>
      </c>
      <c r="H1118" s="12" t="s">
        <v>36</v>
      </c>
      <c r="I1118" s="12" t="b">
        <f>ISNUMBER(VALUE(LEFT(Customer[[#This Row],[Address Line 3 (30 char)]],1)))</f>
        <v>0</v>
      </c>
      <c r="J1118" s="32"/>
      <c r="K1118" s="32"/>
      <c r="L1118" s="12" t="s">
        <v>35</v>
      </c>
      <c r="M1118" s="13" t="e">
        <v>#N/A</v>
      </c>
      <c r="N1118" s="14" t="e">
        <v>#N/A</v>
      </c>
      <c r="O1118" s="14" t="e">
        <v>#N/A</v>
      </c>
      <c r="P1118" s="14" t="e">
        <v>#N/A</v>
      </c>
      <c r="Q1118" s="14" t="e">
        <v>#N/A</v>
      </c>
      <c r="R1118" s="15" t="s">
        <v>7460</v>
      </c>
      <c r="S1118" s="16" t="s">
        <v>6283</v>
      </c>
      <c r="T1118" s="16"/>
      <c r="U1118" s="11" t="str">
        <f>_xlfn.XLOOKUP(Customer[[#This Row],[Customer ID]],[1]!Address[ID],[1]!Address[Phone No.(2)])</f>
        <v/>
      </c>
      <c r="V1118" s="11" t="str">
        <f>_xlfn.XLOOKUP(Customer[[#This Row],[Customer ID]],[1]!Address[ID],[1]!Address[Type])</f>
        <v>WALK IN</v>
      </c>
      <c r="W1118" s="11" t="str">
        <f>_xlfn.XLOOKUP(Customer[[#This Row],[Customer ID]],[1]!Address[ID],[1]!Address[CT])</f>
        <v/>
      </c>
      <c r="X1118" s="11"/>
      <c r="Y1118" s="17" t="s">
        <v>6284</v>
      </c>
      <c r="Z1118" s="17" t="e">
        <f>_xlfn.XLOOKUP(Customer[[#This Row],[NewType]],$AF$36:$AF$54,$AG$36:$AG$54)</f>
        <v>#N/A</v>
      </c>
      <c r="AA1118" s="17" t="s">
        <v>7461</v>
      </c>
      <c r="AB1118" s="11" t="str">
        <f>_xlfn.XLOOKUP(Customer[[#This Row],[Customer ID]],[1]!Address[ID],[1]!Address[Subtype])</f>
        <v>RANTAU</v>
      </c>
      <c r="AC1118" s="18" t="str">
        <f>_xlfn.XLOOKUP(Customer[[#This Row],[Customer ID]],[1]!Address[ID],[1]!Address[Zone])</f>
        <v>U H</v>
      </c>
    </row>
    <row r="1119" spans="1:30" x14ac:dyDescent="0.3">
      <c r="A1119" s="45" t="s">
        <v>7462</v>
      </c>
      <c r="B1119" s="32" t="str">
        <f>_xlfn.XLOOKUP(Customer[[#This Row],[Customer ID]],[1]!Name[ID],[1]!Name[Description(1)])</f>
        <v>SHARIFAH ZARINA</v>
      </c>
      <c r="C1119" s="32" t="str">
        <f>_xlfn.XLOOKUP(Customer[[#This Row],[Customer ID]],[1]!Name[ID],[1]!Name[Description(2)])</f>
        <v/>
      </c>
      <c r="D1119" s="38" t="str">
        <f>_xlfn.XLOOKUP(Customer[[#This Row],[Customer ID]],[1]!Address[ID],[1]!Address[PIC])</f>
        <v/>
      </c>
      <c r="E1119" s="38" t="str">
        <f>_xlfn.XLOOKUP(Customer[[#This Row],[Customer ID]],[1]!Address[ID],[1]!Address[Full Address])</f>
        <v>SEREMBAN 3</v>
      </c>
      <c r="F1119" s="12" t="s">
        <v>7463</v>
      </c>
      <c r="G1119" s="12" t="s">
        <v>36</v>
      </c>
      <c r="H1119" s="12" t="s">
        <v>36</v>
      </c>
      <c r="I1119" s="12" t="b">
        <f>ISNUMBER(VALUE(LEFT(Customer[[#This Row],[Address Line 3 (30 char)]],1)))</f>
        <v>0</v>
      </c>
      <c r="J1119" s="32"/>
      <c r="K1119" s="32"/>
      <c r="L1119" s="12" t="s">
        <v>35</v>
      </c>
      <c r="M1119" s="13" t="e">
        <v>#N/A</v>
      </c>
      <c r="N1119" s="14" t="e">
        <v>#N/A</v>
      </c>
      <c r="O1119" s="14" t="e">
        <v>#N/A</v>
      </c>
      <c r="P1119" s="14" t="e">
        <v>#N/A</v>
      </c>
      <c r="Q1119" s="14" t="e">
        <v>#N/A</v>
      </c>
      <c r="R1119" s="15" t="s">
        <v>7464</v>
      </c>
      <c r="S1119" s="16" t="s">
        <v>6283</v>
      </c>
      <c r="T1119" s="16"/>
      <c r="U1119" s="11" t="str">
        <f>_xlfn.XLOOKUP(Customer[[#This Row],[Customer ID]],[1]!Address[ID],[1]!Address[Phone No.(2)])</f>
        <v/>
      </c>
      <c r="V1119" s="11" t="str">
        <f>_xlfn.XLOOKUP(Customer[[#This Row],[Customer ID]],[1]!Address[ID],[1]!Address[Type])</f>
        <v>WALK IN</v>
      </c>
      <c r="W1119" s="11" t="str">
        <f>_xlfn.XLOOKUP(Customer[[#This Row],[Customer ID]],[1]!Address[ID],[1]!Address[CT])</f>
        <v/>
      </c>
      <c r="X1119" s="11"/>
      <c r="Y1119" s="17" t="s">
        <v>6284</v>
      </c>
      <c r="Z1119" s="17" t="e">
        <f>_xlfn.XLOOKUP(Customer[[#This Row],[NewType]],$AF$36:$AF$54,$AG$36:$AG$54)</f>
        <v>#N/A</v>
      </c>
      <c r="AA1119" s="17" t="s">
        <v>7465</v>
      </c>
      <c r="AB1119" s="11" t="str">
        <f>_xlfn.XLOOKUP(Customer[[#This Row],[Customer ID]],[1]!Address[ID],[1]!Address[Subtype])</f>
        <v>RANTAU</v>
      </c>
      <c r="AC1119" s="18" t="str">
        <f>_xlfn.XLOOKUP(Customer[[#This Row],[Customer ID]],[1]!Address[ID],[1]!Address[Zone])</f>
        <v>CENTRAL</v>
      </c>
    </row>
    <row r="1120" spans="1:30" x14ac:dyDescent="0.3">
      <c r="A1120" s="45" t="s">
        <v>7466</v>
      </c>
      <c r="B1120" s="32" t="str">
        <f>_xlfn.XLOOKUP(Customer[[#This Row],[Customer ID]],[1]!Name[ID],[1]!Name[Description(1)])</f>
        <v>MOHD FADHIL BIN MAAMOR</v>
      </c>
      <c r="C1120" s="32" t="str">
        <f>_xlfn.XLOOKUP(Customer[[#This Row],[Customer ID]],[1]!Name[ID],[1]!Name[Description(2)])</f>
        <v/>
      </c>
      <c r="D1120" s="38" t="str">
        <f>_xlfn.XLOOKUP(Customer[[#This Row],[Customer ID]],[1]!Address[ID],[1]!Address[PIC])</f>
        <v/>
      </c>
      <c r="E1120" s="38" t="str">
        <f>_xlfn.XLOOKUP(Customer[[#This Row],[Customer ID]],[1]!Address[ID],[1]!Address[Full Address])</f>
        <v>SEREMBAN</v>
      </c>
      <c r="F1120" s="12" t="s">
        <v>2411</v>
      </c>
      <c r="G1120" s="12" t="s">
        <v>36</v>
      </c>
      <c r="H1120" s="12" t="s">
        <v>36</v>
      </c>
      <c r="I1120" s="12" t="b">
        <f>ISNUMBER(VALUE(LEFT(Customer[[#This Row],[Address Line 3 (30 char)]],1)))</f>
        <v>0</v>
      </c>
      <c r="J1120" s="32"/>
      <c r="K1120" s="32"/>
      <c r="L1120" s="12" t="s">
        <v>35</v>
      </c>
      <c r="M1120" s="13" t="e">
        <v>#N/A</v>
      </c>
      <c r="N1120" s="14" t="e">
        <v>#N/A</v>
      </c>
      <c r="O1120" s="14" t="e">
        <v>#N/A</v>
      </c>
      <c r="P1120" s="14" t="e">
        <v>#N/A</v>
      </c>
      <c r="Q1120" s="14" t="e">
        <v>#N/A</v>
      </c>
      <c r="R1120" s="15" t="s">
        <v>7467</v>
      </c>
      <c r="S1120" s="16" t="s">
        <v>6283</v>
      </c>
      <c r="T1120" s="16"/>
      <c r="U1120" s="11" t="str">
        <f>_xlfn.XLOOKUP(Customer[[#This Row],[Customer ID]],[1]!Address[ID],[1]!Address[Phone No.(2)])</f>
        <v/>
      </c>
      <c r="V1120" s="11" t="str">
        <f>_xlfn.XLOOKUP(Customer[[#This Row],[Customer ID]],[1]!Address[ID],[1]!Address[Type])</f>
        <v>WALK IN</v>
      </c>
      <c r="W1120" s="11" t="str">
        <f>_xlfn.XLOOKUP(Customer[[#This Row],[Customer ID]],[1]!Address[ID],[1]!Address[CT])</f>
        <v/>
      </c>
      <c r="X1120" s="11"/>
      <c r="Y1120" s="17" t="s">
        <v>6284</v>
      </c>
      <c r="Z1120" s="17" t="e">
        <f>_xlfn.XLOOKUP(Customer[[#This Row],[NewType]],$AF$36:$AF$54,$AG$36:$AG$54)</f>
        <v>#N/A</v>
      </c>
      <c r="AA1120" s="17" t="s">
        <v>7468</v>
      </c>
      <c r="AB1120" s="11" t="str">
        <f>_xlfn.XLOOKUP(Customer[[#This Row],[Customer ID]],[1]!Address[ID],[1]!Address[Subtype])</f>
        <v>RANTAU</v>
      </c>
      <c r="AC1120" s="18" t="str">
        <f>_xlfn.XLOOKUP(Customer[[#This Row],[Customer ID]],[1]!Address[ID],[1]!Address[Zone])</f>
        <v>CENTRAL</v>
      </c>
    </row>
    <row r="1121" spans="1:30" x14ac:dyDescent="0.3">
      <c r="A1121" s="37" t="s">
        <v>7469</v>
      </c>
      <c r="B1121" s="38" t="str">
        <f>_xlfn.XLOOKUP(Customer[[#This Row],[Customer ID]],[1]!Name[ID],[1]!Name[Description(1)])</f>
        <v>ZETCOM FARMASI</v>
      </c>
      <c r="C1121" s="38" t="str">
        <f>_xlfn.XLOOKUP(Customer[[#This Row],[Customer ID]],[1]!Name[ID],[1]!Name[Description(2)])</f>
        <v>ZETCOM BUSINESS &amp; SPORT CENTRE</v>
      </c>
      <c r="D1121" s="38" t="str">
        <f>_xlfn.XLOOKUP(Customer[[#This Row],[Customer ID]],[1]!Address[ID],[1]!Address[PIC])</f>
        <v/>
      </c>
      <c r="E1121" s="38" t="str">
        <f>_xlfn.XLOOKUP(Customer[[#This Row],[Customer ID]],[1]!Address[ID],[1]!Address[Full Address])</f>
        <v>KM62, OLAK LEMPIT,42700 BANTING, SELANGOR</v>
      </c>
      <c r="F1121" s="12" t="s">
        <v>7470</v>
      </c>
      <c r="G1121" s="12" t="s">
        <v>7471</v>
      </c>
      <c r="H1121" s="12" t="s">
        <v>36</v>
      </c>
      <c r="I1121" s="12" t="b">
        <f>ISNUMBER(VALUE(LEFT(Customer[[#This Row],[Address Line 3 (30 char)]],1)))</f>
        <v>0</v>
      </c>
      <c r="J1121" s="12" t="s">
        <v>1907</v>
      </c>
      <c r="K1121" s="12">
        <v>42700</v>
      </c>
      <c r="L1121" s="12" t="s">
        <v>35</v>
      </c>
      <c r="M1121" s="13" t="e">
        <v>#N/A</v>
      </c>
      <c r="N1121" s="14" t="e">
        <v>#N/A</v>
      </c>
      <c r="O1121" s="14" t="e">
        <v>#N/A</v>
      </c>
      <c r="P1121" s="14" t="e">
        <v>#N/A</v>
      </c>
      <c r="Q1121" s="14" t="e">
        <v>#N/A</v>
      </c>
      <c r="R1121" s="15" t="s">
        <v>7472</v>
      </c>
      <c r="S1121" s="15" t="s">
        <v>3476</v>
      </c>
      <c r="T1121" s="16" t="s">
        <v>3477</v>
      </c>
      <c r="U1121" s="11" t="str">
        <f>_xlfn.XLOOKUP(Customer[[#This Row],[Customer ID]],[1]!Address[ID],[1]!Address[Phone No.(2)])</f>
        <v/>
      </c>
      <c r="V1121" s="11" t="str">
        <f>_xlfn.XLOOKUP(Customer[[#This Row],[Customer ID]],[1]!Address[ID],[1]!Address[Type])</f>
        <v>PH</v>
      </c>
      <c r="W1121" s="11" t="str">
        <f>_xlfn.XLOOKUP(Customer[[#This Row],[Customer ID]],[1]!Address[ID],[1]!Address[CT])</f>
        <v>CASH</v>
      </c>
      <c r="X1121" s="11"/>
      <c r="Y1121" s="17" t="s">
        <v>5955</v>
      </c>
      <c r="Z1121" s="17" t="e">
        <f>_xlfn.XLOOKUP(Customer[[#This Row],[NewType]],$AF$36:$AF$54,$AG$36:$AG$54)</f>
        <v>#N/A</v>
      </c>
      <c r="AA1121" s="17" t="s">
        <v>7473</v>
      </c>
      <c r="AB1121" s="11" t="str">
        <f>_xlfn.XLOOKUP(Customer[[#This Row],[Customer ID]],[1]!Address[ID],[1]!Address[Subtype])</f>
        <v>ZETCOM PH</v>
      </c>
      <c r="AC1121" s="18" t="str">
        <f>_xlfn.XLOOKUP(Customer[[#This Row],[Customer ID]],[1]!Address[ID],[1]!Address[Zone])</f>
        <v>R2PHH</v>
      </c>
    </row>
    <row r="1122" spans="1:30" x14ac:dyDescent="0.3">
      <c r="A1122" s="37" t="s">
        <v>7474</v>
      </c>
      <c r="B1122" s="38" t="str">
        <f>_xlfn.XLOOKUP(Customer[[#This Row],[Customer ID]],[1]!Name[ID],[1]!Name[Description(1)])</f>
        <v>EA MARKET PLACE</v>
      </c>
      <c r="C1122" s="38" t="str">
        <f>_xlfn.XLOOKUP(Customer[[#This Row],[Customer ID]],[1]!Name[ID],[1]!Name[Description(2)])</f>
        <v>RF VENTURE</v>
      </c>
      <c r="D1122" s="38" t="str">
        <f>_xlfn.XLOOKUP(Customer[[#This Row],[Customer ID]],[1]!Address[ID],[1]!Address[PIC])</f>
        <v/>
      </c>
      <c r="E1122" s="38" t="str">
        <f>_xlfn.XLOOKUP(Customer[[#This Row],[Customer ID]],[1]!Address[ID],[1]!Address[Full Address])</f>
        <v>NO. 1 UNIT 1A, JALAN JELEMPOK 1,TAMAN JELEMPOK JAYA,02600 ARAU, PERLIS</v>
      </c>
      <c r="F1122" s="12" t="s">
        <v>7475</v>
      </c>
      <c r="G1122" s="12" t="s">
        <v>7476</v>
      </c>
      <c r="H1122" s="12" t="s">
        <v>7477</v>
      </c>
      <c r="I1122" s="12" t="b">
        <f>ISNUMBER(VALUE(LEFT(Customer[[#This Row],[Address Line 3 (30 char)]],1)))</f>
        <v>0</v>
      </c>
      <c r="J1122" s="12" t="s">
        <v>984</v>
      </c>
      <c r="K1122" s="42" t="s">
        <v>2472</v>
      </c>
      <c r="L1122" s="12" t="s">
        <v>35</v>
      </c>
      <c r="M1122" s="13" t="e">
        <v>#N/A</v>
      </c>
      <c r="N1122" s="14" t="e">
        <v>#N/A</v>
      </c>
      <c r="O1122" s="14" t="e">
        <v>#N/A</v>
      </c>
      <c r="P1122" s="14" t="e">
        <v>#N/A</v>
      </c>
      <c r="Q1122" s="14" t="e">
        <v>#N/A</v>
      </c>
      <c r="R1122" s="15" t="s">
        <v>7478</v>
      </c>
      <c r="S1122" s="15" t="s">
        <v>88</v>
      </c>
      <c r="T1122" s="16" t="s">
        <v>89</v>
      </c>
      <c r="U1122" s="11" t="str">
        <f>_xlfn.XLOOKUP(Customer[[#This Row],[Customer ID]],[1]!Address[ID],[1]!Address[Phone No.(2)])</f>
        <v/>
      </c>
      <c r="V1122" s="11" t="str">
        <f>_xlfn.XLOOKUP(Customer[[#This Row],[Customer ID]],[1]!Address[ID],[1]!Address[Type])</f>
        <v>SOCMED</v>
      </c>
      <c r="W1122" s="11" t="str">
        <f>_xlfn.XLOOKUP(Customer[[#This Row],[Customer ID]],[1]!Address[ID],[1]!Address[CT])</f>
        <v>45 DAYS</v>
      </c>
      <c r="X1122" s="11"/>
      <c r="Y1122" s="17" t="s">
        <v>90</v>
      </c>
      <c r="Z1122" s="17" t="e">
        <f>_xlfn.XLOOKUP(Customer[[#This Row],[NewType]],$AF$36:$AF$54,$AG$36:$AG$54)</f>
        <v>#N/A</v>
      </c>
      <c r="AA1122" s="17" t="s">
        <v>7479</v>
      </c>
      <c r="AB1122" s="11" t="str">
        <f>_xlfn.XLOOKUP(Customer[[#This Row],[Customer ID]],[1]!Address[ID],[1]!Address[Subtype])</f>
        <v>ONLINE ROS</v>
      </c>
      <c r="AC1122" s="18" t="str">
        <f>_xlfn.XLOOKUP(Customer[[#This Row],[Customer ID]],[1]!Address[ID],[1]!Address[Zone])</f>
        <v>NORTH</v>
      </c>
    </row>
    <row r="1123" spans="1:30" x14ac:dyDescent="0.3">
      <c r="A1123" s="37" t="s">
        <v>7480</v>
      </c>
      <c r="B1123" s="38" t="str">
        <f>_xlfn.XLOOKUP(Customer[[#This Row],[Customer ID]],[1]!Name[ID],[1]!Name[Description(1)])</f>
        <v>ALBUSYRA HOLDING SDN BHD</v>
      </c>
      <c r="C1123" s="38" t="str">
        <f>_xlfn.XLOOKUP(Customer[[#This Row],[Customer ID]],[1]!Name[ID],[1]!Name[Description(2)])</f>
        <v/>
      </c>
      <c r="D1123" s="38" t="str">
        <f>_xlfn.XLOOKUP(Customer[[#This Row],[Customer ID]],[1]!Address[ID],[1]!Address[PIC])</f>
        <v>PUAN AIN</v>
      </c>
      <c r="E1123" s="38" t="str">
        <f>_xlfn.XLOOKUP(Customer[[#This Row],[Customer ID]],[1]!Address[ID],[1]!Address[Full Address])</f>
        <v>ALBUSYRA MART, MASJID ALBUSYRA,JALAN TANJUNG DAWAI, 08400 MERBOK</v>
      </c>
      <c r="F1123" s="12" t="s">
        <v>7481</v>
      </c>
      <c r="G1123" s="12" t="s">
        <v>7482</v>
      </c>
      <c r="H1123" s="12" t="s">
        <v>7483</v>
      </c>
      <c r="I1123" s="12" t="b">
        <f>ISNUMBER(VALUE(LEFT(Customer[[#This Row],[Address Line 3 (30 char)]],1)))</f>
        <v>0</v>
      </c>
      <c r="J1123" s="12" t="s">
        <v>355</v>
      </c>
      <c r="K1123" s="42" t="s">
        <v>7484</v>
      </c>
      <c r="L1123" s="12" t="s">
        <v>35</v>
      </c>
      <c r="M1123" s="13" t="e">
        <v>#N/A</v>
      </c>
      <c r="N1123" s="14" t="e">
        <v>#N/A</v>
      </c>
      <c r="O1123" s="14" t="e">
        <v>#N/A</v>
      </c>
      <c r="P1123" s="14" t="e">
        <v>#N/A</v>
      </c>
      <c r="Q1123" s="14" t="e">
        <v>#N/A</v>
      </c>
      <c r="R1123" s="15" t="s">
        <v>7485</v>
      </c>
      <c r="S1123" s="15" t="s">
        <v>88</v>
      </c>
      <c r="T1123" s="16" t="s">
        <v>89</v>
      </c>
      <c r="U1123" s="11" t="str">
        <f>_xlfn.XLOOKUP(Customer[[#This Row],[Customer ID]],[1]!Address[ID],[1]!Address[Phone No.(2)])</f>
        <v/>
      </c>
      <c r="V1123" s="11" t="str">
        <f>_xlfn.XLOOKUP(Customer[[#This Row],[Customer ID]],[1]!Address[ID],[1]!Address[Type])</f>
        <v>SOCMED</v>
      </c>
      <c r="W1123" s="11" t="str">
        <f>_xlfn.XLOOKUP(Customer[[#This Row],[Customer ID]],[1]!Address[ID],[1]!Address[CT])</f>
        <v>45 DAYS</v>
      </c>
      <c r="X1123" s="11"/>
      <c r="Y1123" s="17" t="s">
        <v>90</v>
      </c>
      <c r="Z1123" s="17" t="e">
        <f>_xlfn.XLOOKUP(Customer[[#This Row],[NewType]],$AF$36:$AF$54,$AG$36:$AG$54)</f>
        <v>#N/A</v>
      </c>
      <c r="AA1123" s="17" t="s">
        <v>7486</v>
      </c>
      <c r="AB1123" s="11" t="str">
        <f>_xlfn.XLOOKUP(Customer[[#This Row],[Customer ID]],[1]!Address[ID],[1]!Address[Subtype])</f>
        <v>ONLINE ROS</v>
      </c>
      <c r="AC1123" s="18" t="str">
        <f>_xlfn.XLOOKUP(Customer[[#This Row],[Customer ID]],[1]!Address[ID],[1]!Address[Zone])</f>
        <v>EEEDH</v>
      </c>
    </row>
    <row r="1124" spans="1:30" x14ac:dyDescent="0.3">
      <c r="A1124" s="77" t="s">
        <v>7487</v>
      </c>
      <c r="B1124" s="78" t="str">
        <f>_xlfn.XLOOKUP(Customer[[#This Row],[Customer ID]],[1]!Name[ID],[1]!Name[Description(1)])</f>
        <v>CUSTOMER WALK IN SEPANG</v>
      </c>
      <c r="C1124" s="78" t="str">
        <f>_xlfn.XLOOKUP(Customer[[#This Row],[Customer ID]],[1]!Name[ID],[1]!Name[Description(2)])</f>
        <v/>
      </c>
      <c r="D1124" s="50" t="str">
        <f>_xlfn.XLOOKUP(Customer[[#This Row],[Customer ID]],[1]!Address[ID],[1]!Address[PIC])</f>
        <v>ROSMAWATI BINTI</v>
      </c>
      <c r="E1124" s="38" t="str">
        <f>_xlfn.XLOOKUP(Customer[[#This Row],[Customer ID]],[1]!Address[ID],[1]!Address[Full Address])</f>
        <v>LOT 266,KAMPUNG BATU 2</v>
      </c>
      <c r="F1124" s="12" t="s">
        <v>7488</v>
      </c>
      <c r="G1124" s="12" t="s">
        <v>7489</v>
      </c>
      <c r="H1124" s="12" t="s">
        <v>36</v>
      </c>
      <c r="I1124" s="12" t="b">
        <f>ISNUMBER(VALUE(LEFT(Customer[[#This Row],[Address Line 3 (30 char)]],1)))</f>
        <v>0</v>
      </c>
      <c r="J1124" s="24"/>
      <c r="K1124" s="24"/>
      <c r="L1124" s="12" t="s">
        <v>35</v>
      </c>
      <c r="M1124" s="13" t="e">
        <v>#N/A</v>
      </c>
      <c r="N1124" s="35" t="s">
        <v>7490</v>
      </c>
      <c r="O1124" s="14" t="e">
        <v>#N/A</v>
      </c>
      <c r="P1124" s="14" t="e">
        <v>#N/A</v>
      </c>
      <c r="Q1124" s="14" t="e">
        <v>#N/A</v>
      </c>
      <c r="R1124" s="51" t="s">
        <v>7491</v>
      </c>
      <c r="S1124" s="16" t="s">
        <v>89</v>
      </c>
      <c r="T1124" s="16" t="s">
        <v>89</v>
      </c>
      <c r="U1124" s="49" t="str">
        <f>_xlfn.XLOOKUP(Customer[[#This Row],[Customer ID]],[1]!Address[ID],[1]!Address[Phone No.(2)])</f>
        <v/>
      </c>
      <c r="V1124" s="49" t="str">
        <f>_xlfn.XLOOKUP(Customer[[#This Row],[Customer ID]],[1]!Address[ID],[1]!Address[Type])</f>
        <v>WALK IN</v>
      </c>
      <c r="W1124" s="49" t="str">
        <f>_xlfn.XLOOKUP(Customer[[#This Row],[Customer ID]],[1]!Address[ID],[1]!Address[CT])</f>
        <v/>
      </c>
      <c r="X1124" s="49"/>
      <c r="Y1124" s="53" t="s">
        <v>6284</v>
      </c>
      <c r="Z1124" s="53" t="e">
        <f>_xlfn.XLOOKUP(Customer[[#This Row],[NewType]],$AF$36:$AF$54,$AG$36:$AG$54)</f>
        <v>#N/A</v>
      </c>
      <c r="AA1124" s="53" t="s">
        <v>7492</v>
      </c>
      <c r="AB1124" s="49" t="str">
        <f>_xlfn.XLOOKUP(Customer[[#This Row],[Customer ID]],[1]!Address[ID],[1]!Address[Subtype])</f>
        <v>SEPANG</v>
      </c>
      <c r="AC1124" s="54" t="str">
        <f>_xlfn.XLOOKUP(Customer[[#This Row],[Customer ID]],[1]!Address[ID],[1]!Address[Zone])</f>
        <v>CENTRAL</v>
      </c>
      <c r="AD1124" s="55"/>
    </row>
    <row r="1125" spans="1:30" x14ac:dyDescent="0.3">
      <c r="A1125" s="37" t="s">
        <v>7493</v>
      </c>
      <c r="B1125" s="38" t="str">
        <f>_xlfn.XLOOKUP(Customer[[#This Row],[Customer ID]],[1]!Name[ID],[1]!Name[Description(1)])</f>
        <v>MART KPJ KAJANG</v>
      </c>
      <c r="C1125" s="38" t="str">
        <f>_xlfn.XLOOKUP(Customer[[#This Row],[Customer ID]],[1]!Name[ID],[1]!Name[Description(2)])</f>
        <v>NOEL CONVINIENCE SHOP</v>
      </c>
      <c r="D1125" s="38" t="str">
        <f>_xlfn.XLOOKUP(Customer[[#This Row],[Customer ID]],[1]!Address[ID],[1]!Address[PIC])</f>
        <v>LANNY</v>
      </c>
      <c r="E1125" s="38" t="str">
        <f>_xlfn.XLOOKUP(Customer[[#This Row],[Customer ID]],[1]!Address[ID],[1]!Address[Full Address])</f>
        <v>KPJ SPECIALIST HOSPITAL,GROUND FLOOR, BATU 14, JALAN CHERAS,43000 KAJANG,SELANGOR</v>
      </c>
      <c r="F1125" s="12" t="s">
        <v>7494</v>
      </c>
      <c r="G1125" s="12" t="s">
        <v>7495</v>
      </c>
      <c r="H1125" s="24" t="s">
        <v>6089</v>
      </c>
      <c r="I1125" s="24" t="b">
        <f>ISNUMBER(VALUE(LEFT(Customer[[#This Row],[Address Line 3 (30 char)]],1)))</f>
        <v>0</v>
      </c>
      <c r="J1125" s="12" t="s">
        <v>1907</v>
      </c>
      <c r="K1125" s="12">
        <v>43000</v>
      </c>
      <c r="L1125" s="12" t="s">
        <v>35</v>
      </c>
      <c r="M1125" s="13">
        <v>200703014247</v>
      </c>
      <c r="N1125" s="14" t="s">
        <v>7496</v>
      </c>
      <c r="O1125" s="14" t="e">
        <v>#N/A</v>
      </c>
      <c r="P1125" s="14" t="e">
        <v>#N/A</v>
      </c>
      <c r="Q1125" s="14" t="e">
        <v>#N/A</v>
      </c>
      <c r="R1125" s="15" t="s">
        <v>7497</v>
      </c>
      <c r="S1125" s="15" t="s">
        <v>3476</v>
      </c>
      <c r="T1125" s="16" t="s">
        <v>3477</v>
      </c>
      <c r="U1125" s="11" t="str">
        <f>_xlfn.XLOOKUP(Customer[[#This Row],[Customer ID]],[1]!Address[ID],[1]!Address[Phone No.(2)])</f>
        <v/>
      </c>
      <c r="V1125" s="11" t="str">
        <f>_xlfn.XLOOKUP(Customer[[#This Row],[Customer ID]],[1]!Address[ID],[1]!Address[Type])</f>
        <v>PH</v>
      </c>
      <c r="W1125" s="11" t="str">
        <f>_xlfn.XLOOKUP(Customer[[#This Row],[Customer ID]],[1]!Address[ID],[1]!Address[CT])</f>
        <v>30 DAYS</v>
      </c>
      <c r="X1125" s="11"/>
      <c r="Y1125" s="17" t="s">
        <v>5955</v>
      </c>
      <c r="Z1125" s="17" t="e">
        <f>_xlfn.XLOOKUP(Customer[[#This Row],[NewType]],$AF$36:$AF$54,$AG$36:$AG$54)</f>
        <v>#N/A</v>
      </c>
      <c r="AA1125" s="17" t="s">
        <v>7498</v>
      </c>
      <c r="AB1125" s="11" t="str">
        <f>_xlfn.XLOOKUP(Customer[[#This Row],[Customer ID]],[1]!Address[ID],[1]!Address[Subtype])</f>
        <v>KPJ MART</v>
      </c>
      <c r="AC1125" s="18" t="str">
        <f>_xlfn.XLOOKUP(Customer[[#This Row],[Customer ID]],[1]!Address[ID],[1]!Address[Zone])</f>
        <v>OELRUOUNDH</v>
      </c>
    </row>
    <row r="1126" spans="1:30" x14ac:dyDescent="0.3">
      <c r="A1126" s="43" t="s">
        <v>7499</v>
      </c>
      <c r="B1126" s="44" t="str">
        <f>_xlfn.XLOOKUP(Customer[[#This Row],[Customer ID]],[1]!Name[ID],[1]!Name[Description(1)])</f>
        <v>KOPERASI FARMASI KOMUNITI KEDAH BERHAD</v>
      </c>
      <c r="C1126" s="38" t="str">
        <f>_xlfn.XLOOKUP(Customer[[#This Row],[Customer ID]],[1]!Name[ID],[1]!Name[Description(2)])</f>
        <v/>
      </c>
      <c r="D1126" s="38" t="str">
        <f>_xlfn.XLOOKUP(Customer[[#This Row],[Customer ID]],[1]!Address[ID],[1]!Address[PIC])</f>
        <v>ELIZA SURYATI</v>
      </c>
      <c r="E1126" s="38" t="str">
        <f>_xlfn.XLOOKUP(Customer[[#This Row],[Customer ID]],[1]!Address[ID],[1]!Address[Full Address])</f>
        <v>NO 113 TINGKAT BAWAH,KOMPLEKS SULTAN ABDUL HAMID,PERSIARAN SULTAN ABDUL HAMID,05050 ALOR SETAR, KEDAH</v>
      </c>
      <c r="F1126" s="12" t="s">
        <v>7500</v>
      </c>
      <c r="G1126" s="12" t="s">
        <v>7501</v>
      </c>
      <c r="H1126" s="12" t="s">
        <v>7502</v>
      </c>
      <c r="I1126" s="12" t="b">
        <f>ISNUMBER(VALUE(LEFT(Customer[[#This Row],[Address Line 3 (30 char)]],1)))</f>
        <v>0</v>
      </c>
      <c r="J1126" s="12" t="s">
        <v>79</v>
      </c>
      <c r="K1126" s="30" t="s">
        <v>4048</v>
      </c>
      <c r="L1126" s="12" t="s">
        <v>35</v>
      </c>
      <c r="M1126" s="31" t="s">
        <v>7503</v>
      </c>
      <c r="N1126" s="36" t="s">
        <v>7504</v>
      </c>
      <c r="O1126" s="14" t="s">
        <v>54</v>
      </c>
      <c r="P1126" s="14">
        <v>46421</v>
      </c>
      <c r="Q1126" s="14" t="s">
        <v>7505</v>
      </c>
      <c r="R1126" s="15" t="s">
        <v>7506</v>
      </c>
      <c r="S1126" s="15" t="s">
        <v>74</v>
      </c>
      <c r="T1126" s="16" t="s">
        <v>3477</v>
      </c>
      <c r="U1126" s="11" t="str">
        <f>_xlfn.XLOOKUP(Customer[[#This Row],[Customer ID]],[1]!Address[ID],[1]!Address[Phone No.(2)])</f>
        <v/>
      </c>
      <c r="V1126" s="11" t="str">
        <f>_xlfn.XLOOKUP(Customer[[#This Row],[Customer ID]],[1]!Address[ID],[1]!Address[Type])</f>
        <v>KOPERASI</v>
      </c>
      <c r="W1126" s="11" t="str">
        <f>_xlfn.XLOOKUP(Customer[[#This Row],[Customer ID]],[1]!Address[ID],[1]!Address[CT])</f>
        <v>30 DAYS</v>
      </c>
      <c r="X1126" s="11"/>
      <c r="Y1126" s="17" t="s">
        <v>6126</v>
      </c>
      <c r="Z1126" s="17" t="e">
        <f>_xlfn.XLOOKUP(Customer[[#This Row],[NewType]],$AF$36:$AF$54,$AG$36:$AG$54)</f>
        <v>#N/A</v>
      </c>
      <c r="AA1126" s="17" t="s">
        <v>7507</v>
      </c>
      <c r="AB1126" s="11" t="str">
        <f>_xlfn.XLOOKUP(Customer[[#This Row],[Customer ID]],[1]!Address[ID],[1]!Address[Subtype])</f>
        <v>KOP.FAR.KOM</v>
      </c>
      <c r="AC1126" s="18" t="str">
        <f>_xlfn.XLOOKUP(Customer[[#This Row],[Customer ID]],[1]!Address[ID],[1]!Address[Zone])</f>
        <v>NORTH</v>
      </c>
      <c r="AD1126" t="s">
        <v>7508</v>
      </c>
    </row>
    <row r="1127" spans="1:30" x14ac:dyDescent="0.3">
      <c r="A1127" s="37" t="s">
        <v>7509</v>
      </c>
      <c r="B1127" s="38" t="str">
        <f>_xlfn.XLOOKUP(Customer[[#This Row],[Customer ID]],[1]!Name[ID],[1]!Name[Description(1)])</f>
        <v>VAN SALES SME BANK</v>
      </c>
      <c r="C1127" s="38" t="str">
        <f>_xlfn.XLOOKUP(Customer[[#This Row],[Customer ID]],[1]!Name[ID],[1]!Name[Description(2)])</f>
        <v/>
      </c>
      <c r="D1127" s="38" t="str">
        <f>_xlfn.XLOOKUP(Customer[[#This Row],[Customer ID]],[1]!Address[ID],[1]!Address[PIC])</f>
        <v>ROSMAWATI</v>
      </c>
      <c r="E1127" s="38" t="str">
        <f>_xlfn.XLOOKUP(Customer[[#This Row],[Customer ID]],[1]!Address[ID],[1]!Address[Full Address])</f>
        <v>NO 9 &amp; 10, JALAN KP 1/2,JALAN KAJANG SEMENYIH,TAMAN KAJANG PRIMA,43000 KAJANG, SELANGOR</v>
      </c>
      <c r="F1127" s="12" t="s">
        <v>7510</v>
      </c>
      <c r="G1127" s="12" t="s">
        <v>7511</v>
      </c>
      <c r="H1127" s="12" t="s">
        <v>7512</v>
      </c>
      <c r="I1127" s="12" t="b">
        <f>ISNUMBER(VALUE(LEFT(Customer[[#This Row],[Address Line 3 (30 char)]],1)))</f>
        <v>0</v>
      </c>
      <c r="J1127" s="12" t="s">
        <v>1907</v>
      </c>
      <c r="K1127" s="12">
        <v>43000</v>
      </c>
      <c r="L1127" s="12" t="s">
        <v>35</v>
      </c>
      <c r="M1127" s="13" t="e">
        <v>#N/A</v>
      </c>
      <c r="N1127" s="14" t="s">
        <v>7513</v>
      </c>
      <c r="O1127" s="14" t="e">
        <v>#N/A</v>
      </c>
      <c r="P1127" s="14" t="e">
        <v>#N/A</v>
      </c>
      <c r="Q1127" s="14" t="e">
        <v>#N/A</v>
      </c>
      <c r="R1127" s="15" t="s">
        <v>7491</v>
      </c>
      <c r="S1127" s="15" t="s">
        <v>89</v>
      </c>
      <c r="T1127" s="16" t="s">
        <v>6283</v>
      </c>
      <c r="U1127" s="11" t="str">
        <f>_xlfn.XLOOKUP(Customer[[#This Row],[Customer ID]],[1]!Address[ID],[1]!Address[Phone No.(2)])</f>
        <v/>
      </c>
      <c r="V1127" s="11" t="str">
        <f>_xlfn.XLOOKUP(Customer[[#This Row],[Customer ID]],[1]!Address[ID],[1]!Address[Type])</f>
        <v>WALK IN</v>
      </c>
      <c r="W1127" s="11" t="str">
        <f>_xlfn.XLOOKUP(Customer[[#This Row],[Customer ID]],[1]!Address[ID],[1]!Address[CT])</f>
        <v>COD</v>
      </c>
      <c r="X1127" s="11"/>
      <c r="Y1127" s="17" t="s">
        <v>6284</v>
      </c>
      <c r="Z1127" s="17" t="e">
        <f>_xlfn.XLOOKUP(Customer[[#This Row],[NewType]],$AF$36:$AF$54,$AG$36:$AG$54)</f>
        <v>#N/A</v>
      </c>
      <c r="AA1127" s="17" t="s">
        <v>7514</v>
      </c>
      <c r="AB1127" s="11" t="str">
        <f>_xlfn.XLOOKUP(Customer[[#This Row],[Customer ID]],[1]!Address[ID],[1]!Address[Subtype])</f>
        <v>KAJANG</v>
      </c>
      <c r="AC1127" s="18" t="str">
        <f>_xlfn.XLOOKUP(Customer[[#This Row],[Customer ID]],[1]!Address[ID],[1]!Address[Zone])</f>
        <v>GLUTH</v>
      </c>
    </row>
    <row r="1128" spans="1:30" x14ac:dyDescent="0.3">
      <c r="A1128" s="10" t="s">
        <v>7515</v>
      </c>
      <c r="B1128" s="11" t="str">
        <f>_xlfn.XLOOKUP(Customer[[#This Row],[Customer ID]],[1]!Name[ID],[1]!Name[Description(1)])</f>
        <v>EN HASRINI MBS</v>
      </c>
      <c r="C1128" s="32" t="str">
        <f>_xlfn.XLOOKUP(Customer[[#This Row],[Customer ID]],[1]!Name[ID],[1]!Name[Description(2)])</f>
        <v/>
      </c>
      <c r="D1128" s="38" t="str">
        <f>_xlfn.XLOOKUP(Customer[[#This Row],[Customer ID]],[1]!Address[ID],[1]!Address[PIC])</f>
        <v/>
      </c>
      <c r="E1128" s="38" t="str">
        <f>_xlfn.XLOOKUP(Customer[[#This Row],[Customer ID]],[1]!Address[ID],[1]!Address[Full Address])</f>
        <v/>
      </c>
      <c r="F1128" s="12" t="s">
        <v>7516</v>
      </c>
      <c r="G1128" s="12" t="s">
        <v>7517</v>
      </c>
      <c r="H1128" s="12" t="s">
        <v>7518</v>
      </c>
      <c r="I1128" s="12" t="b">
        <f>ISNUMBER(VALUE(LEFT(Customer[[#This Row],[Address Line 3 (30 char)]],1)))</f>
        <v>0</v>
      </c>
      <c r="J1128" s="32" t="s">
        <v>2004</v>
      </c>
      <c r="K1128" s="32">
        <v>70450</v>
      </c>
      <c r="L1128" s="12" t="s">
        <v>35</v>
      </c>
      <c r="M1128" s="13" t="e">
        <v>#N/A</v>
      </c>
      <c r="N1128" s="14" t="e">
        <v>#N/A</v>
      </c>
      <c r="O1128" s="14" t="e">
        <v>#N/A</v>
      </c>
      <c r="P1128" s="14" t="e">
        <v>#N/A</v>
      </c>
      <c r="Q1128" s="14" t="e">
        <v>#N/A</v>
      </c>
      <c r="R1128" s="15" t="s">
        <v>7519</v>
      </c>
      <c r="S1128" s="15" t="s">
        <v>89</v>
      </c>
      <c r="T1128" s="16" t="s">
        <v>89</v>
      </c>
      <c r="U1128" s="11" t="str">
        <f>_xlfn.XLOOKUP(Customer[[#This Row],[Customer ID]],[1]!Address[ID],[1]!Address[Phone No.(2)])</f>
        <v/>
      </c>
      <c r="V1128" s="11" t="str">
        <f>_xlfn.XLOOKUP(Customer[[#This Row],[Customer ID]],[1]!Address[ID],[1]!Address[Type])</f>
        <v>WHATSAPP</v>
      </c>
      <c r="W1128" s="11" t="str">
        <f>_xlfn.XLOOKUP(Customer[[#This Row],[Customer ID]],[1]!Address[ID],[1]!Address[CT])</f>
        <v>CASH</v>
      </c>
      <c r="X1128" s="11"/>
      <c r="Y1128" s="17" t="s">
        <v>90</v>
      </c>
      <c r="Z1128" s="17" t="e">
        <f>_xlfn.XLOOKUP(Customer[[#This Row],[NewType]],$AF$36:$AF$54,$AG$36:$AG$54)</f>
        <v>#N/A</v>
      </c>
      <c r="AA1128" s="17" t="s">
        <v>7520</v>
      </c>
      <c r="AB1128" s="11" t="str">
        <f>_xlfn.XLOOKUP(Customer[[#This Row],[Customer ID]],[1]!Address[ID],[1]!Address[Subtype])</f>
        <v>WHATSAPP</v>
      </c>
      <c r="AC1128" s="18" t="str">
        <f>_xlfn.XLOOKUP(Customer[[#This Row],[Customer ID]],[1]!Address[ID],[1]!Address[Zone])</f>
        <v>ASPH</v>
      </c>
    </row>
    <row r="1129" spans="1:30" x14ac:dyDescent="0.3">
      <c r="A1129" s="37" t="s">
        <v>7521</v>
      </c>
      <c r="B1129" s="38" t="str">
        <f>_xlfn.XLOOKUP(Customer[[#This Row],[Customer ID]],[1]!Name[ID],[1]!Name[Description(1)])</f>
        <v>PHARMA MEDICA SDN BHD</v>
      </c>
      <c r="C1129" s="38" t="str">
        <f>_xlfn.XLOOKUP(Customer[[#This Row],[Customer ID]],[1]!Name[ID],[1]!Name[Description(2)])</f>
        <v/>
      </c>
      <c r="D1129" s="38" t="str">
        <f>_xlfn.XLOOKUP(Customer[[#This Row],[Customer ID]],[1]!Address[ID],[1]!Address[PIC])</f>
        <v/>
      </c>
      <c r="E1129" s="38" t="str">
        <f>_xlfn.XLOOKUP(Customer[[#This Row],[Customer ID]],[1]!Address[ID],[1]!Address[Full Address])</f>
        <v>NO.12, JALAN INDAH 9,TAMAN SAYONG INDAH, BANDAR TENGGARA,81440 KULAI, JOHOR</v>
      </c>
      <c r="F1129" s="12" t="s">
        <v>7522</v>
      </c>
      <c r="G1129" s="12" t="s">
        <v>7523</v>
      </c>
      <c r="H1129" s="12" t="s">
        <v>7524</v>
      </c>
      <c r="I1129" s="12" t="b">
        <f>ISNUMBER(VALUE(LEFT(Customer[[#This Row],[Address Line 3 (30 char)]],1)))</f>
        <v>0</v>
      </c>
      <c r="J1129" s="12" t="s">
        <v>52</v>
      </c>
      <c r="K1129" s="12">
        <v>81440</v>
      </c>
      <c r="L1129" s="12" t="s">
        <v>35</v>
      </c>
      <c r="M1129" s="13" t="e">
        <v>#N/A</v>
      </c>
      <c r="N1129" s="14" t="e">
        <v>#N/A</v>
      </c>
      <c r="O1129" s="14" t="e">
        <v>#N/A</v>
      </c>
      <c r="P1129" s="14" t="e">
        <v>#N/A</v>
      </c>
      <c r="Q1129" s="14" t="e">
        <v>#N/A</v>
      </c>
      <c r="R1129" s="15" t="s">
        <v>7525</v>
      </c>
      <c r="S1129" s="15" t="s">
        <v>3476</v>
      </c>
      <c r="T1129" s="16" t="s">
        <v>3477</v>
      </c>
      <c r="U1129" s="11" t="str">
        <f>_xlfn.XLOOKUP(Customer[[#This Row],[Customer ID]],[1]!Address[ID],[1]!Address[Phone No.(2)])</f>
        <v/>
      </c>
      <c r="V1129" s="11" t="str">
        <f>_xlfn.XLOOKUP(Customer[[#This Row],[Customer ID]],[1]!Address[ID],[1]!Address[Type])</f>
        <v>PH</v>
      </c>
      <c r="W1129" s="11" t="str">
        <f>_xlfn.XLOOKUP(Customer[[#This Row],[Customer ID]],[1]!Address[ID],[1]!Address[CT])</f>
        <v>30 DAYS</v>
      </c>
      <c r="X1129" s="11"/>
      <c r="Y1129" s="17" t="s">
        <v>5955</v>
      </c>
      <c r="Z1129" s="17" t="e">
        <f>_xlfn.XLOOKUP(Customer[[#This Row],[NewType]],$AF$36:$AF$54,$AG$36:$AG$54)</f>
        <v>#N/A</v>
      </c>
      <c r="AA1129" s="17" t="s">
        <v>7526</v>
      </c>
      <c r="AB1129" s="11" t="str">
        <f>_xlfn.XLOOKUP(Customer[[#This Row],[Customer ID]],[1]!Address[ID],[1]!Address[Subtype])</f>
        <v>PH MEDICA</v>
      </c>
      <c r="AC1129" s="18" t="str">
        <f>_xlfn.XLOOKUP(Customer[[#This Row],[Customer ID]],[1]!Address[ID],[1]!Address[Zone])</f>
        <v>SOUTH</v>
      </c>
    </row>
    <row r="1130" spans="1:30" x14ac:dyDescent="0.3">
      <c r="A1130" s="37" t="s">
        <v>7527</v>
      </c>
      <c r="B1130" s="38" t="str">
        <f>_xlfn.XLOOKUP(Customer[[#This Row],[Customer ID]],[1]!Name[ID],[1]!Name[Description(1)])</f>
        <v>MR. NOODLE &amp; RIASH NASI KANDAR</v>
      </c>
      <c r="C1130" s="38" t="str">
        <f>_xlfn.XLOOKUP(Customer[[#This Row],[Customer ID]],[1]!Name[ID],[1]!Name[Description(2)])</f>
        <v>GB GROUP ENTERPRISE</v>
      </c>
      <c r="D1130" s="38" t="str">
        <f>_xlfn.XLOOKUP(Customer[[#This Row],[Customer ID]],[1]!Address[ID],[1]!Address[PIC])</f>
        <v/>
      </c>
      <c r="E1130" s="38" t="str">
        <f>_xlfn.XLOOKUP(Customer[[#This Row],[Customer ID]],[1]!Address[ID],[1]!Address[Full Address])</f>
        <v>LOT NO.S-06-SB &amp; S-08-SB,AYER KEROH OBR ARAH SELATAN,LEBUHRAYA UTARA SELATAN,78000 MELAKA.</v>
      </c>
      <c r="F1130" s="12" t="s">
        <v>7528</v>
      </c>
      <c r="G1130" s="12" t="s">
        <v>7529</v>
      </c>
      <c r="H1130" s="12" t="s">
        <v>5985</v>
      </c>
      <c r="I1130" s="12" t="b">
        <f>ISNUMBER(VALUE(LEFT(Customer[[#This Row],[Address Line 3 (30 char)]],1)))</f>
        <v>0</v>
      </c>
      <c r="J1130" s="12" t="s">
        <v>61</v>
      </c>
      <c r="K1130" s="12">
        <v>78000</v>
      </c>
      <c r="L1130" s="12" t="s">
        <v>35</v>
      </c>
      <c r="M1130" s="13" t="e">
        <v>#N/A</v>
      </c>
      <c r="N1130" s="14" t="e">
        <v>#N/A</v>
      </c>
      <c r="O1130" s="14" t="e">
        <v>#N/A</v>
      </c>
      <c r="P1130" s="14" t="e">
        <v>#N/A</v>
      </c>
      <c r="Q1130" s="14" t="e">
        <v>#N/A</v>
      </c>
      <c r="R1130" s="15" t="s">
        <v>7530</v>
      </c>
      <c r="S1130" s="15" t="s">
        <v>5925</v>
      </c>
      <c r="T1130" s="16" t="s">
        <v>3477</v>
      </c>
      <c r="U1130" s="11" t="str">
        <f>_xlfn.XLOOKUP(Customer[[#This Row],[Customer ID]],[1]!Address[ID],[1]!Address[Phone No.(2)])</f>
        <v/>
      </c>
      <c r="V1130" s="11" t="str">
        <f>_xlfn.XLOOKUP(Customer[[#This Row],[Customer ID]],[1]!Address[ID],[1]!Address[Type])</f>
        <v>PLUS</v>
      </c>
      <c r="W1130" s="11" t="str">
        <f>_xlfn.XLOOKUP(Customer[[#This Row],[Customer ID]],[1]!Address[ID],[1]!Address[CT])</f>
        <v>30 DAYS</v>
      </c>
      <c r="X1130" s="11"/>
      <c r="Y1130" s="17" t="s">
        <v>5926</v>
      </c>
      <c r="Z1130" s="17" t="e">
        <f>_xlfn.XLOOKUP(Customer[[#This Row],[NewType]],$AF$36:$AF$54,$AG$36:$AG$54)</f>
        <v>#N/A</v>
      </c>
      <c r="AA1130" s="17" t="s">
        <v>7531</v>
      </c>
      <c r="AB1130" s="11" t="str">
        <f>_xlfn.XLOOKUP(Customer[[#This Row],[Customer ID]],[1]!Address[ID],[1]!Address[Subtype])</f>
        <v>PLUS</v>
      </c>
      <c r="AC1130" s="18" t="str">
        <f>_xlfn.XLOOKUP(Customer[[#This Row],[Customer ID]],[1]!Address[ID],[1]!Address[Zone])</f>
        <v>SOUTH</v>
      </c>
    </row>
    <row r="1131" spans="1:30" x14ac:dyDescent="0.3">
      <c r="A1131" s="37" t="s">
        <v>7532</v>
      </c>
      <c r="B1131" s="38" t="str">
        <f>_xlfn.XLOOKUP(Customer[[#This Row],[Customer ID]],[1]!Name[ID],[1]!Name[Description(1)])</f>
        <v>KOPERAS SERI CHEEDING BERHAD</v>
      </c>
      <c r="C1131" s="38" t="str">
        <f>_xlfn.XLOOKUP(Customer[[#This Row],[Customer ID]],[1]!Name[ID],[1]!Name[Description(2)])</f>
        <v/>
      </c>
      <c r="D1131" s="38" t="str">
        <f>_xlfn.XLOOKUP(Customer[[#This Row],[Customer ID]],[1]!Address[ID],[1]!Address[PIC])</f>
        <v/>
      </c>
      <c r="E1131" s="38" t="str">
        <f>_xlfn.XLOOKUP(Customer[[#This Row],[Customer ID]],[1]!Address[ID],[1]!Address[Full Address])</f>
        <v>LOT 6665 JALAN MERAK,KAMPUNG SERI CHEEDING,42700 BANTING,SELANGOR</v>
      </c>
      <c r="F1131" s="12" t="s">
        <v>7533</v>
      </c>
      <c r="G1131" s="12" t="s">
        <v>7534</v>
      </c>
      <c r="H1131" s="24" t="s">
        <v>7471</v>
      </c>
      <c r="I1131" s="24" t="b">
        <f>ISNUMBER(VALUE(LEFT(Customer[[#This Row],[Address Line 3 (30 char)]],1)))</f>
        <v>0</v>
      </c>
      <c r="J1131" s="12" t="s">
        <v>1907</v>
      </c>
      <c r="K1131" s="12">
        <v>42700</v>
      </c>
      <c r="L1131" s="12" t="s">
        <v>35</v>
      </c>
      <c r="M1131" s="13" t="e">
        <v>#N/A</v>
      </c>
      <c r="N1131" s="14" t="e">
        <v>#N/A</v>
      </c>
      <c r="O1131" s="14" t="e">
        <v>#N/A</v>
      </c>
      <c r="P1131" s="14" t="e">
        <v>#N/A</v>
      </c>
      <c r="Q1131" s="19" t="s">
        <v>7535</v>
      </c>
      <c r="R1131" s="15" t="s">
        <v>7536</v>
      </c>
      <c r="S1131" s="15" t="s">
        <v>5925</v>
      </c>
      <c r="T1131" s="16" t="s">
        <v>3477</v>
      </c>
      <c r="U1131" s="11" t="str">
        <f>_xlfn.XLOOKUP(Customer[[#This Row],[Customer ID]],[1]!Address[ID],[1]!Address[Phone No.(2)])</f>
        <v/>
      </c>
      <c r="V1131" s="11" t="str">
        <f>_xlfn.XLOOKUP(Customer[[#This Row],[Customer ID]],[1]!Address[ID],[1]!Address[Type])</f>
        <v>KOPERASI</v>
      </c>
      <c r="W1131" s="11" t="str">
        <f>_xlfn.XLOOKUP(Customer[[#This Row],[Customer ID]],[1]!Address[ID],[1]!Address[CT])</f>
        <v>30 DAYS</v>
      </c>
      <c r="X1131" s="11"/>
      <c r="Y1131" s="17" t="s">
        <v>6126</v>
      </c>
      <c r="Z1131" s="17" t="e">
        <f>_xlfn.XLOOKUP(Customer[[#This Row],[NewType]],$AF$36:$AF$54,$AG$36:$AG$54)</f>
        <v>#N/A</v>
      </c>
      <c r="AA1131" s="17" t="s">
        <v>7537</v>
      </c>
      <c r="AB1131" s="11" t="str">
        <f>_xlfn.XLOOKUP(Customer[[#This Row],[Customer ID]],[1]!Address[ID],[1]!Address[Subtype])</f>
        <v>KOP.SERI</v>
      </c>
      <c r="AC1131" s="18" t="str">
        <f>_xlfn.XLOOKUP(Customer[[#This Row],[Customer ID]],[1]!Address[ID],[1]!Address[Zone])</f>
        <v>ERIH</v>
      </c>
    </row>
    <row r="1132" spans="1:30" x14ac:dyDescent="0.3">
      <c r="A1132" s="37" t="s">
        <v>7538</v>
      </c>
      <c r="B1132" s="38" t="str">
        <f>_xlfn.XLOOKUP(Customer[[#This Row],[Customer ID]],[1]!Name[ID],[1]!Name[Description(1)])</f>
        <v>KOPERASI KARIAH MASJID AL FALAH</v>
      </c>
      <c r="C1132" s="38" t="str">
        <f>_xlfn.XLOOKUP(Customer[[#This Row],[Customer ID]],[1]!Name[ID],[1]!Name[Description(2)])</f>
        <v>USJ 9</v>
      </c>
      <c r="D1132" s="38" t="str">
        <f>_xlfn.XLOOKUP(Customer[[#This Row],[Customer ID]],[1]!Address[ID],[1]!Address[PIC])</f>
        <v/>
      </c>
      <c r="E1132" s="38" t="str">
        <f>_xlfn.XLOOKUP(Customer[[#This Row],[Customer ID]],[1]!Address[ID],[1]!Address[Full Address])</f>
        <v>JALAN USJ 9/5J, USJ 9,47620 SUBANG JAYA,SELANGOR</v>
      </c>
      <c r="F1132" s="12" t="s">
        <v>7539</v>
      </c>
      <c r="G1132" s="12" t="s">
        <v>7540</v>
      </c>
      <c r="H1132" s="12"/>
      <c r="I1132" s="12" t="b">
        <f>ISNUMBER(VALUE(LEFT(Customer[[#This Row],[Address Line 3 (30 char)]],1)))</f>
        <v>0</v>
      </c>
      <c r="J1132" s="12" t="s">
        <v>1907</v>
      </c>
      <c r="K1132" s="12">
        <v>42700</v>
      </c>
      <c r="L1132" s="12" t="s">
        <v>35</v>
      </c>
      <c r="M1132" s="13" t="e">
        <v>#N/A</v>
      </c>
      <c r="N1132" s="14" t="e">
        <v>#N/A</v>
      </c>
      <c r="O1132" s="14" t="e">
        <v>#N/A</v>
      </c>
      <c r="P1132" s="14" t="e">
        <v>#N/A</v>
      </c>
      <c r="Q1132" s="19" t="s">
        <v>7541</v>
      </c>
      <c r="R1132" s="15" t="s">
        <v>7542</v>
      </c>
      <c r="S1132" s="15" t="s">
        <v>5934</v>
      </c>
      <c r="T1132" s="16" t="s">
        <v>3477</v>
      </c>
      <c r="U1132" s="11" t="str">
        <f>_xlfn.XLOOKUP(Customer[[#This Row],[Customer ID]],[1]!Address[ID],[1]!Address[Phone No.(2)])</f>
        <v/>
      </c>
      <c r="V1132" s="11" t="str">
        <f>_xlfn.XLOOKUP(Customer[[#This Row],[Customer ID]],[1]!Address[ID],[1]!Address[Type])</f>
        <v>KOPERASI</v>
      </c>
      <c r="W1132" s="11" t="str">
        <f>_xlfn.XLOOKUP(Customer[[#This Row],[Customer ID]],[1]!Address[ID],[1]!Address[CT])</f>
        <v>30 DAYS</v>
      </c>
      <c r="X1132" s="11"/>
      <c r="Y1132" s="17" t="s">
        <v>6126</v>
      </c>
      <c r="Z1132" s="17" t="e">
        <f>_xlfn.XLOOKUP(Customer[[#This Row],[NewType]],$AF$36:$AF$54,$AG$36:$AG$54)</f>
        <v>#N/A</v>
      </c>
      <c r="AA1132" s="17" t="s">
        <v>7543</v>
      </c>
      <c r="AB1132" s="11" t="str">
        <f>_xlfn.XLOOKUP(Customer[[#This Row],[Customer ID]],[1]!Address[ID],[1]!Address[Subtype])</f>
        <v>ALFALAH</v>
      </c>
      <c r="AC1132" s="18" t="str">
        <f>_xlfn.XLOOKUP(Customer[[#This Row],[Customer ID]],[1]!Address[ID],[1]!Address[Zone])</f>
        <v>ARIH</v>
      </c>
    </row>
    <row r="1133" spans="1:30" x14ac:dyDescent="0.3">
      <c r="A1133" s="37" t="s">
        <v>7544</v>
      </c>
      <c r="B1133" s="38" t="str">
        <f>_xlfn.XLOOKUP(Customer[[#This Row],[Customer ID]],[1]!Name[ID],[1]!Name[Description(1)])</f>
        <v>JOINTECH ENTERPRISE</v>
      </c>
      <c r="C1133" s="38" t="str">
        <f>_xlfn.XLOOKUP(Customer[[#This Row],[Customer ID]],[1]!Name[ID],[1]!Name[Description(2)])</f>
        <v>PS BERA / KERAYONG</v>
      </c>
      <c r="D1133" s="38" t="str">
        <f>_xlfn.XLOOKUP(Customer[[#This Row],[Customer ID]],[1]!Address[ID],[1]!Address[PIC])</f>
        <v/>
      </c>
      <c r="E1133" s="38" t="str">
        <f>_xlfn.XLOOKUP(Customer[[#This Row],[Customer ID]],[1]!Address[ID],[1]!Address[Full Address])</f>
        <v>PS BERA / KERAYONGDAERAH BERA, TRIANG,   HS(D) 108 PT 401DAERAH BERA, TRIANG,28300 PAHANG</v>
      </c>
      <c r="F1133" s="12" t="s">
        <v>7545</v>
      </c>
      <c r="G1133" s="12" t="s">
        <v>7546</v>
      </c>
      <c r="H1133" s="12" t="s">
        <v>7547</v>
      </c>
      <c r="I1133" s="12" t="b">
        <f>ISNUMBER(VALUE(LEFT(Customer[[#This Row],[Address Line 3 (30 char)]],1)))</f>
        <v>0</v>
      </c>
      <c r="J1133" s="12" t="s">
        <v>339</v>
      </c>
      <c r="K1133" s="12">
        <v>28300</v>
      </c>
      <c r="L1133" s="12" t="s">
        <v>35</v>
      </c>
      <c r="M1133" s="13" t="e">
        <v>#N/A</v>
      </c>
      <c r="N1133" s="14" t="e">
        <v>#N/A</v>
      </c>
      <c r="O1133" s="14" t="e">
        <v>#N/A</v>
      </c>
      <c r="P1133" s="14" t="e">
        <v>#N/A</v>
      </c>
      <c r="Q1133" s="19" t="s">
        <v>7548</v>
      </c>
      <c r="R1133" s="15" t="s">
        <v>7549</v>
      </c>
      <c r="S1133" s="15" t="s">
        <v>37</v>
      </c>
      <c r="T1133" s="16" t="s">
        <v>38</v>
      </c>
      <c r="U1133" s="11" t="str">
        <f>_xlfn.XLOOKUP(Customer[[#This Row],[Customer ID]],[1]!Address[ID],[1]!Address[Phone No.(2)])</f>
        <v/>
      </c>
      <c r="V1133" s="11" t="str">
        <f>_xlfn.XLOOKUP(Customer[[#This Row],[Customer ID]],[1]!Address[ID],[1]!Address[Type])</f>
        <v>PETROMART</v>
      </c>
      <c r="W1133" s="11" t="str">
        <f>_xlfn.XLOOKUP(Customer[[#This Row],[Customer ID]],[1]!Address[ID],[1]!Address[CT])</f>
        <v>30 DAYS</v>
      </c>
      <c r="X1133" s="11" t="s">
        <v>39</v>
      </c>
      <c r="Y1133" s="17" t="s">
        <v>40</v>
      </c>
      <c r="Z1133" s="17" t="e">
        <f>_xlfn.XLOOKUP(Customer[[#This Row],[NewType]],$AF$36:$AF$54,$AG$36:$AG$54)</f>
        <v>#N/A</v>
      </c>
      <c r="AA1133" s="17" t="s">
        <v>7550</v>
      </c>
      <c r="AB1133" s="11" t="str">
        <f>_xlfn.XLOOKUP(Customer[[#This Row],[Customer ID]],[1]!Address[ID],[1]!Address[Subtype])</f>
        <v>PETRONAS</v>
      </c>
      <c r="AC1133" s="18" t="str">
        <f>_xlfn.XLOOKUP(Customer[[#This Row],[Customer ID]],[1]!Address[ID],[1]!Address[Zone])</f>
        <v>EAST COAST</v>
      </c>
    </row>
    <row r="1134" spans="1:30" x14ac:dyDescent="0.3">
      <c r="A1134" s="37" t="s">
        <v>7551</v>
      </c>
      <c r="B1134" s="38" t="str">
        <f>_xlfn.XLOOKUP(Customer[[#This Row],[Customer ID]],[1]!Name[ID],[1]!Name[Description(1)])</f>
        <v>AYA WARISAN</v>
      </c>
      <c r="C1134" s="38" t="str">
        <f>_xlfn.XLOOKUP(Customer[[#This Row],[Customer ID]],[1]!Name[ID],[1]!Name[Description(2)])</f>
        <v>PS JALAN ALSAGOF</v>
      </c>
      <c r="D1134" s="38" t="str">
        <f>_xlfn.XLOOKUP(Customer[[#This Row],[Customer ID]],[1]!Address[ID],[1]!Address[PIC])</f>
        <v/>
      </c>
      <c r="E1134" s="38" t="str">
        <f>_xlfn.XLOOKUP(Customer[[#This Row],[Customer ID]],[1]!Address[ID],[1]!Address[Full Address])</f>
        <v>PS JALAN ALSAGOFLOT PTD 8021, JALAN ALSAGOFF,PONTIAN, 82000, JOHOR</v>
      </c>
      <c r="F1134" s="12" t="s">
        <v>7552</v>
      </c>
      <c r="G1134" s="12" t="s">
        <v>7553</v>
      </c>
      <c r="H1134" s="12" t="s">
        <v>7554</v>
      </c>
      <c r="I1134" s="12" t="b">
        <f>ISNUMBER(VALUE(LEFT(Customer[[#This Row],[Address Line 3 (30 char)]],1)))</f>
        <v>0</v>
      </c>
      <c r="J1134" s="12" t="s">
        <v>52</v>
      </c>
      <c r="K1134" s="12">
        <v>82000</v>
      </c>
      <c r="L1134" s="12" t="s">
        <v>35</v>
      </c>
      <c r="M1134" s="13" t="e">
        <v>#N/A</v>
      </c>
      <c r="N1134" s="14" t="e">
        <v>#N/A</v>
      </c>
      <c r="O1134" s="14" t="e">
        <v>#N/A</v>
      </c>
      <c r="P1134" s="14" t="e">
        <v>#N/A</v>
      </c>
      <c r="Q1134" s="19" t="s">
        <v>7555</v>
      </c>
      <c r="R1134" s="15" t="s">
        <v>7556</v>
      </c>
      <c r="S1134" s="15" t="s">
        <v>37</v>
      </c>
      <c r="T1134" s="16" t="s">
        <v>38</v>
      </c>
      <c r="U1134" s="11" t="str">
        <f>_xlfn.XLOOKUP(Customer[[#This Row],[Customer ID]],[1]!Address[ID],[1]!Address[Phone No.(2)])</f>
        <v/>
      </c>
      <c r="V1134" s="11" t="str">
        <f>_xlfn.XLOOKUP(Customer[[#This Row],[Customer ID]],[1]!Address[ID],[1]!Address[Type])</f>
        <v>PETROMART</v>
      </c>
      <c r="W1134" s="11" t="str">
        <f>_xlfn.XLOOKUP(Customer[[#This Row],[Customer ID]],[1]!Address[ID],[1]!Address[CT])</f>
        <v>30 DAYS</v>
      </c>
      <c r="X1134" s="11" t="s">
        <v>39</v>
      </c>
      <c r="Y1134" s="17" t="s">
        <v>40</v>
      </c>
      <c r="Z1134" s="17" t="e">
        <f>_xlfn.XLOOKUP(Customer[[#This Row],[NewType]],$AF$36:$AF$54,$AG$36:$AG$54)</f>
        <v>#N/A</v>
      </c>
      <c r="AA1134" s="17" t="s">
        <v>7557</v>
      </c>
      <c r="AB1134" s="11" t="str">
        <f>_xlfn.XLOOKUP(Customer[[#This Row],[Customer ID]],[1]!Address[ID],[1]!Address[Subtype])</f>
        <v>PETRONAS</v>
      </c>
      <c r="AC1134" s="18" t="str">
        <f>_xlfn.XLOOKUP(Customer[[#This Row],[Customer ID]],[1]!Address[ID],[1]!Address[Zone])</f>
        <v>SOUTH</v>
      </c>
    </row>
    <row r="1135" spans="1:30" x14ac:dyDescent="0.3">
      <c r="A1135" s="37" t="s">
        <v>7558</v>
      </c>
      <c r="B1135" s="38" t="str">
        <f>_xlfn.XLOOKUP(Customer[[#This Row],[Customer ID]],[1]!Name[ID],[1]!Name[Description(1)])</f>
        <v>FARMASI SRI TENGAH</v>
      </c>
      <c r="C1135" s="38" t="str">
        <f>_xlfn.XLOOKUP(Customer[[#This Row],[Customer ID]],[1]!Name[ID],[1]!Name[Description(2)])</f>
        <v>FARMASI AL-ARIF SDN BHD</v>
      </c>
      <c r="D1135" s="38" t="str">
        <f>_xlfn.XLOOKUP(Customer[[#This Row],[Customer ID]],[1]!Address[ID],[1]!Address[PIC])</f>
        <v/>
      </c>
      <c r="E1135" s="38" t="str">
        <f>_xlfn.XLOOKUP(Customer[[#This Row],[Customer ID]],[1]!Address[ID],[1]!Address[Full Address])</f>
        <v>17, JALAN PALOH, TAMAN SRI TENGAH,86000 KLUANG, JOHOR</v>
      </c>
      <c r="F1135" s="12" t="s">
        <v>7559</v>
      </c>
      <c r="G1135" s="12" t="s">
        <v>7560</v>
      </c>
      <c r="H1135" s="12" t="s">
        <v>7561</v>
      </c>
      <c r="I1135" s="12" t="b">
        <f>ISNUMBER(VALUE(LEFT(Customer[[#This Row],[Address Line 3 (30 char)]],1)))</f>
        <v>0</v>
      </c>
      <c r="J1135" s="12" t="s">
        <v>52</v>
      </c>
      <c r="K1135" s="12">
        <v>86000</v>
      </c>
      <c r="L1135" s="12" t="s">
        <v>35</v>
      </c>
      <c r="M1135" s="13" t="e">
        <v>#N/A</v>
      </c>
      <c r="N1135" s="14" t="e">
        <v>#N/A</v>
      </c>
      <c r="O1135" s="14" t="e">
        <v>#N/A</v>
      </c>
      <c r="P1135" s="14" t="e">
        <v>#N/A</v>
      </c>
      <c r="Q1135" s="19" t="s">
        <v>7562</v>
      </c>
      <c r="R1135" s="15" t="s">
        <v>7563</v>
      </c>
      <c r="S1135" s="15" t="s">
        <v>3476</v>
      </c>
      <c r="T1135" s="16" t="s">
        <v>3477</v>
      </c>
      <c r="U1135" s="11" t="str">
        <f>_xlfn.XLOOKUP(Customer[[#This Row],[Customer ID]],[1]!Address[ID],[1]!Address[Phone No.(2)])</f>
        <v/>
      </c>
      <c r="V1135" s="11" t="str">
        <f>_xlfn.XLOOKUP(Customer[[#This Row],[Customer ID]],[1]!Address[ID],[1]!Address[Type])</f>
        <v>PH</v>
      </c>
      <c r="W1135" s="11" t="str">
        <f>_xlfn.XLOOKUP(Customer[[#This Row],[Customer ID]],[1]!Address[ID],[1]!Address[CT])</f>
        <v>CASH</v>
      </c>
      <c r="X1135" s="11"/>
      <c r="Y1135" s="17" t="s">
        <v>5955</v>
      </c>
      <c r="Z1135" s="17" t="e">
        <f>_xlfn.XLOOKUP(Customer[[#This Row],[NewType]],$AF$36:$AF$54,$AG$36:$AG$54)</f>
        <v>#N/A</v>
      </c>
      <c r="AA1135" s="17" t="s">
        <v>7564</v>
      </c>
      <c r="AB1135" s="11" t="str">
        <f>_xlfn.XLOOKUP(Customer[[#This Row],[Customer ID]],[1]!Address[ID],[1]!Address[Subtype])</f>
        <v>SRI TENGAH F</v>
      </c>
      <c r="AC1135" s="18" t="str">
        <f>_xlfn.XLOOKUP(Customer[[#This Row],[Customer ID]],[1]!Address[ID],[1]!Address[Zone])</f>
        <v>SOUTH</v>
      </c>
    </row>
    <row r="1136" spans="1:30" x14ac:dyDescent="0.3">
      <c r="A1136" s="37" t="s">
        <v>7565</v>
      </c>
      <c r="B1136" s="38" t="str">
        <f>_xlfn.XLOOKUP(Customer[[#This Row],[Customer ID]],[1]!Name[ID],[1]!Name[Description(1)])</f>
        <v>LAILA ALIAS</v>
      </c>
      <c r="C1136" s="38" t="str">
        <f>_xlfn.XLOOKUP(Customer[[#This Row],[Customer ID]],[1]!Name[ID],[1]!Name[Description(2)])</f>
        <v/>
      </c>
      <c r="D1136" s="38" t="str">
        <f>_xlfn.XLOOKUP(Customer[[#This Row],[Customer ID]],[1]!Address[ID],[1]!Address[PIC])</f>
        <v/>
      </c>
      <c r="E1136" s="38" t="str">
        <f>_xlfn.XLOOKUP(Customer[[#This Row],[Customer ID]],[1]!Address[ID],[1]!Address[Full Address])</f>
        <v>NO 231, LORONG AMANDA 3/1,TAMAN ALAMANDA 70450 SENAWANG</v>
      </c>
      <c r="F1136" s="12" t="s">
        <v>7566</v>
      </c>
      <c r="G1136" s="12" t="s">
        <v>7567</v>
      </c>
      <c r="H1136" s="12" t="s">
        <v>36</v>
      </c>
      <c r="I1136" s="12" t="b">
        <f>ISNUMBER(VALUE(LEFT(Customer[[#This Row],[Address Line 3 (30 char)]],1)))</f>
        <v>0</v>
      </c>
      <c r="J1136" s="12" t="s">
        <v>203</v>
      </c>
      <c r="K1136" s="12">
        <v>70450</v>
      </c>
      <c r="L1136" s="12" t="s">
        <v>35</v>
      </c>
      <c r="M1136" s="13" t="e">
        <v>#N/A</v>
      </c>
      <c r="N1136" s="14" t="e">
        <v>#N/A</v>
      </c>
      <c r="O1136" s="14" t="e">
        <v>#N/A</v>
      </c>
      <c r="P1136" s="14" t="e">
        <v>#N/A</v>
      </c>
      <c r="Q1136" s="14" t="e">
        <v>#N/A</v>
      </c>
      <c r="R1136" s="15" t="s">
        <v>7568</v>
      </c>
      <c r="S1136" s="15" t="s">
        <v>88</v>
      </c>
      <c r="T1136" s="16" t="s">
        <v>89</v>
      </c>
      <c r="U1136" s="11" t="str">
        <f>_xlfn.XLOOKUP(Customer[[#This Row],[Customer ID]],[1]!Address[ID],[1]!Address[Phone No.(2)])</f>
        <v/>
      </c>
      <c r="V1136" s="11" t="str">
        <f>_xlfn.XLOOKUP(Customer[[#This Row],[Customer ID]],[1]!Address[ID],[1]!Address[Type])</f>
        <v>SOCMED</v>
      </c>
      <c r="W1136" s="11" t="str">
        <f>_xlfn.XLOOKUP(Customer[[#This Row],[Customer ID]],[1]!Address[ID],[1]!Address[CT])</f>
        <v/>
      </c>
      <c r="X1136" s="11"/>
      <c r="Y1136" s="17" t="s">
        <v>90</v>
      </c>
      <c r="Z1136" s="17" t="e">
        <f>_xlfn.XLOOKUP(Customer[[#This Row],[NewType]],$AF$36:$AF$54,$AG$36:$AG$54)</f>
        <v>#N/A</v>
      </c>
      <c r="AA1136" s="17" t="s">
        <v>7569</v>
      </c>
      <c r="AB1136" s="11" t="str">
        <f>_xlfn.XLOOKUP(Customer[[#This Row],[Customer ID]],[1]!Address[ID],[1]!Address[Subtype])</f>
        <v>ONLINE ROS</v>
      </c>
      <c r="AC1136" s="18" t="str">
        <f>_xlfn.XLOOKUP(Customer[[#This Row],[Customer ID]],[1]!Address[ID],[1]!Address[Zone])</f>
        <v>AAEDH</v>
      </c>
    </row>
    <row r="1137" spans="1:29" x14ac:dyDescent="0.3">
      <c r="A1137" s="37" t="s">
        <v>7570</v>
      </c>
      <c r="B1137" s="38" t="str">
        <f>_xlfn.XLOOKUP(Customer[[#This Row],[Customer ID]],[1]!Name[ID],[1]!Name[Description(1)])</f>
        <v>TST PLASTIC MACHINERY SDN. BHD.</v>
      </c>
      <c r="C1137" s="38" t="str">
        <f>_xlfn.XLOOKUP(Customer[[#This Row],[Customer ID]],[1]!Name[ID],[1]!Name[Description(2)])</f>
        <v>CALTEX PERMATANG RAWA</v>
      </c>
      <c r="D1137" s="38" t="str">
        <f>_xlfn.XLOOKUP(Customer[[#This Row],[Customer ID]],[1]!Address[ID],[1]!Address[PIC])</f>
        <v/>
      </c>
      <c r="E1137" s="38" t="str">
        <f>_xlfn.XLOOKUP(Customer[[#This Row],[Customer ID]],[1]!Address[ID],[1]!Address[Full Address])</f>
        <v>CALTEX PERMATANG RAWALOT 900, MUKIM 7, PERMATANG RAWA14000 BUKIT MERTAJAMPULAU PINANG</v>
      </c>
      <c r="F1137" s="12" t="s">
        <v>7571</v>
      </c>
      <c r="G1137" s="12" t="s">
        <v>7572</v>
      </c>
      <c r="H1137" s="24" t="s">
        <v>5591</v>
      </c>
      <c r="I1137" s="24" t="b">
        <f>ISNUMBER(VALUE(LEFT(Customer[[#This Row],[Address Line 3 (30 char)]],1)))</f>
        <v>0</v>
      </c>
      <c r="J1137" s="12" t="s">
        <v>179</v>
      </c>
      <c r="K1137" s="12">
        <v>14000</v>
      </c>
      <c r="L1137" s="12" t="s">
        <v>35</v>
      </c>
      <c r="M1137" s="13" t="e">
        <v>#N/A</v>
      </c>
      <c r="N1137" s="14" t="e">
        <v>#N/A</v>
      </c>
      <c r="O1137" s="14" t="e">
        <v>#N/A</v>
      </c>
      <c r="P1137" s="14" t="e">
        <v>#N/A</v>
      </c>
      <c r="Q1137" s="19" t="s">
        <v>7573</v>
      </c>
      <c r="R1137" s="15" t="s">
        <v>7574</v>
      </c>
      <c r="S1137" s="15" t="s">
        <v>37</v>
      </c>
      <c r="T1137" s="16" t="s">
        <v>38</v>
      </c>
      <c r="U1137" s="11" t="str">
        <f>_xlfn.XLOOKUP(Customer[[#This Row],[Customer ID]],[1]!Address[ID],[1]!Address[Phone No.(2)])</f>
        <v/>
      </c>
      <c r="V1137" s="11" t="str">
        <f>_xlfn.XLOOKUP(Customer[[#This Row],[Customer ID]],[1]!Address[ID],[1]!Address[Type])</f>
        <v>PETROMART</v>
      </c>
      <c r="W1137" s="11" t="str">
        <f>_xlfn.XLOOKUP(Customer[[#This Row],[Customer ID]],[1]!Address[ID],[1]!Address[CT])</f>
        <v>30 DAYS</v>
      </c>
      <c r="X1137" s="11" t="s">
        <v>39</v>
      </c>
      <c r="Y1137" s="17" t="s">
        <v>40</v>
      </c>
      <c r="Z1137" s="17" t="e">
        <f>_xlfn.XLOOKUP(Customer[[#This Row],[NewType]],$AF$36:$AF$54,$AG$36:$AG$54)</f>
        <v>#N/A</v>
      </c>
      <c r="AA1137" s="17" t="s">
        <v>7575</v>
      </c>
      <c r="AB1137" s="11" t="str">
        <f>_xlfn.XLOOKUP(Customer[[#This Row],[Customer ID]],[1]!Address[ID],[1]!Address[Subtype])</f>
        <v>XPRESS POINT</v>
      </c>
      <c r="AC1137" s="18" t="str">
        <f>_xlfn.XLOOKUP(Customer[[#This Row],[Customer ID]],[1]!Address[ID],[1]!Address[Zone])</f>
        <v>NORTH</v>
      </c>
    </row>
    <row r="1138" spans="1:29" x14ac:dyDescent="0.3">
      <c r="A1138" s="39" t="s">
        <v>7576</v>
      </c>
      <c r="B1138" s="40" t="str">
        <f>_xlfn.XLOOKUP(Customer[[#This Row],[Customer ID]],[1]!Name[ID],[1]!Name[Description(1)])</f>
        <v>KOPERASI UNIKEB BERHAD</v>
      </c>
      <c r="C1138" s="38" t="str">
        <f>_xlfn.XLOOKUP(Customer[[#This Row],[Customer ID]],[1]!Name[ID],[1]!Name[Description(2)])</f>
        <v/>
      </c>
      <c r="D1138" s="38" t="str">
        <f>_xlfn.XLOOKUP(Customer[[#This Row],[Customer ID]],[1]!Address[ID],[1]!Address[PIC])</f>
        <v/>
      </c>
      <c r="E1138" s="38" t="str">
        <f>_xlfn.XLOOKUP(Customer[[#This Row],[Customer ID]],[1]!Address[ID],[1]!Address[Full Address])</f>
        <v/>
      </c>
      <c r="F1138" s="12" t="s">
        <v>36</v>
      </c>
      <c r="G1138" s="12" t="s">
        <v>36</v>
      </c>
      <c r="H1138" s="12" t="s">
        <v>36</v>
      </c>
      <c r="I1138" s="12" t="b">
        <f>ISNUMBER(VALUE(LEFT(Customer[[#This Row],[Address Line 3 (30 char)]],1)))</f>
        <v>0</v>
      </c>
      <c r="J1138" s="12" t="s">
        <v>172</v>
      </c>
      <c r="K1138" s="12">
        <v>43600</v>
      </c>
      <c r="L1138" s="12" t="s">
        <v>35</v>
      </c>
      <c r="M1138" s="13" t="e">
        <v>#N/A</v>
      </c>
      <c r="N1138" s="14" t="e">
        <v>#N/A</v>
      </c>
      <c r="O1138" s="14" t="e">
        <v>#N/A</v>
      </c>
      <c r="P1138" s="14" t="e">
        <v>#N/A</v>
      </c>
      <c r="Q1138" s="19" t="s">
        <v>7577</v>
      </c>
      <c r="R1138" s="15" t="s">
        <v>7578</v>
      </c>
      <c r="S1138" s="15" t="s">
        <v>3476</v>
      </c>
      <c r="T1138" s="16" t="s">
        <v>3477</v>
      </c>
      <c r="U1138" s="11" t="str">
        <f>_xlfn.XLOOKUP(Customer[[#This Row],[Customer ID]],[1]!Address[ID],[1]!Address[Phone No.(2)])</f>
        <v/>
      </c>
      <c r="V1138" s="11" t="str">
        <f>_xlfn.XLOOKUP(Customer[[#This Row],[Customer ID]],[1]!Address[ID],[1]!Address[Type])</f>
        <v>KOPERASI</v>
      </c>
      <c r="W1138" s="11" t="str">
        <f>_xlfn.XLOOKUP(Customer[[#This Row],[Customer ID]],[1]!Address[ID],[1]!Address[CT])</f>
        <v>30 DAYS</v>
      </c>
      <c r="X1138" s="11"/>
      <c r="Y1138" s="17" t="s">
        <v>6126</v>
      </c>
      <c r="Z1138" s="17" t="e">
        <f>_xlfn.XLOOKUP(Customer[[#This Row],[NewType]],$AF$36:$AF$54,$AG$36:$AG$54)</f>
        <v>#N/A</v>
      </c>
      <c r="AA1138" s="17" t="s">
        <v>7579</v>
      </c>
      <c r="AB1138" s="11" t="str">
        <f>_xlfn.XLOOKUP(Customer[[#This Row],[Customer ID]],[1]!Address[ID],[1]!Address[Subtype])</f>
        <v>UNIKEB</v>
      </c>
      <c r="AC1138" s="18" t="str">
        <f>_xlfn.XLOOKUP(Customer[[#This Row],[Customer ID]],[1]!Address[ID],[1]!Address[Zone])</f>
        <v>BRIH</v>
      </c>
    </row>
    <row r="1139" spans="1:29" x14ac:dyDescent="0.3">
      <c r="A1139" s="37" t="s">
        <v>7580</v>
      </c>
      <c r="B1139" s="38" t="str">
        <f>_xlfn.XLOOKUP(Customer[[#This Row],[Customer ID]],[1]!Name[ID],[1]!Name[Description(1)])</f>
        <v>BEKALAN AIR KIPC SDN BHD</v>
      </c>
      <c r="C1139" s="38" t="str">
        <f>_xlfn.XLOOKUP(Customer[[#This Row],[Customer ID]],[1]!Name[ID],[1]!Name[Description(2)])</f>
        <v/>
      </c>
      <c r="D1139" s="38" t="str">
        <f>_xlfn.XLOOKUP(Customer[[#This Row],[Customer ID]],[1]!Address[ID],[1]!Address[PIC])</f>
        <v>WAQIUDDIN RAMLI</v>
      </c>
      <c r="E1139" s="38" t="str">
        <f>_xlfn.XLOOKUP(Customer[[#This Row],[Customer ID]],[1]!Address[ID],[1]!Address[Full Address])</f>
        <v>LOT PT3559, NO. 100, TINGKAT 1,JALAN SULTAN ZAINAL ABIDIN,20000 KUALA TERENGGANU.</v>
      </c>
      <c r="F1139" s="12" t="s">
        <v>7581</v>
      </c>
      <c r="G1139" s="12" t="s">
        <v>7582</v>
      </c>
      <c r="H1139" s="12" t="s">
        <v>6322</v>
      </c>
      <c r="I1139" s="12" t="b">
        <f>ISNUMBER(VALUE(LEFT(Customer[[#This Row],[Address Line 3 (30 char)]],1)))</f>
        <v>0</v>
      </c>
      <c r="J1139" s="12" t="s">
        <v>1056</v>
      </c>
      <c r="K1139" s="12">
        <v>20000</v>
      </c>
      <c r="L1139" s="12" t="s">
        <v>35</v>
      </c>
      <c r="M1139" s="13">
        <v>199201005168</v>
      </c>
      <c r="N1139" s="14" t="s">
        <v>7583</v>
      </c>
      <c r="O1139" s="14" t="s">
        <v>54</v>
      </c>
      <c r="P1139" s="14">
        <v>36001</v>
      </c>
      <c r="Q1139" s="14" t="s">
        <v>7584</v>
      </c>
      <c r="R1139" s="15" t="s">
        <v>7585</v>
      </c>
      <c r="S1139" s="15" t="s">
        <v>3212</v>
      </c>
      <c r="T1139" s="16" t="s">
        <v>89</v>
      </c>
      <c r="U1139" s="11" t="str">
        <f>_xlfn.XLOOKUP(Customer[[#This Row],[Customer ID]],[1]!Address[ID],[1]!Address[Phone No.(2)])</f>
        <v/>
      </c>
      <c r="V1139" s="11" t="str">
        <f>_xlfn.XLOOKUP(Customer[[#This Row],[Customer ID]],[1]!Address[ID],[1]!Address[Type])</f>
        <v>SOCMED</v>
      </c>
      <c r="W1139" s="11" t="str">
        <f>_xlfn.XLOOKUP(Customer[[#This Row],[Customer ID]],[1]!Address[ID],[1]!Address[CT])</f>
        <v/>
      </c>
      <c r="X1139" s="11"/>
      <c r="Y1139" s="17" t="s">
        <v>90</v>
      </c>
      <c r="Z1139" s="17" t="e">
        <f>_xlfn.XLOOKUP(Customer[[#This Row],[NewType]],$AF$36:$AF$54,$AG$36:$AG$54)</f>
        <v>#N/A</v>
      </c>
      <c r="AA1139" s="17" t="s">
        <v>7586</v>
      </c>
      <c r="AB1139" s="11" t="str">
        <f>_xlfn.XLOOKUP(Customer[[#This Row],[Customer ID]],[1]!Address[ID],[1]!Address[Subtype])</f>
        <v>ONLINE HAJAR</v>
      </c>
      <c r="AC1139" s="18" t="str">
        <f>_xlfn.XLOOKUP(Customer[[#This Row],[Customer ID]],[1]!Address[ID],[1]!Address[Zone])</f>
        <v>EAST COAST</v>
      </c>
    </row>
    <row r="1140" spans="1:29" x14ac:dyDescent="0.3">
      <c r="A1140" s="43" t="s">
        <v>7587</v>
      </c>
      <c r="B1140" s="44" t="str">
        <f>_xlfn.XLOOKUP(Customer[[#This Row],[Customer ID]],[1]!Name[ID],[1]!Name[Description(1)])</f>
        <v>KOPERASI PEGAWAI KERAJAAN NEGER KEDAH</v>
      </c>
      <c r="C1140" s="38" t="str">
        <f>_xlfn.XLOOKUP(Customer[[#This Row],[Customer ID]],[1]!Name[ID],[1]!Name[Description(2)])</f>
        <v>CALTEX LEBUHRAYA CHANGLOON</v>
      </c>
      <c r="D1140" s="38" t="str">
        <f>_xlfn.XLOOKUP(Customer[[#This Row],[Customer ID]],[1]!Address[ID],[1]!Address[PIC])</f>
        <v/>
      </c>
      <c r="E1140" s="38" t="str">
        <f>_xlfn.XLOOKUP(Customer[[#This Row],[Customer ID]],[1]!Address[ID],[1]!Address[Full Address])</f>
        <v>CALTEX LEBUHRAYA CHANGLOONLOT 2877, LEBUHRAYA UTARA SELATAN,06010 CHANGLOON, KUBANG PASU,KEDAH</v>
      </c>
      <c r="F1140" s="41" t="s">
        <v>7588</v>
      </c>
      <c r="G1140" s="12" t="s">
        <v>5985</v>
      </c>
      <c r="H1140" s="24" t="s">
        <v>7589</v>
      </c>
      <c r="I1140" s="24" t="b">
        <f>ISNUMBER(VALUE(LEFT(Customer[[#This Row],[Address Line 3 (30 char)]],1)))</f>
        <v>0</v>
      </c>
      <c r="J1140" s="12" t="s">
        <v>79</v>
      </c>
      <c r="K1140" s="30" t="s">
        <v>1300</v>
      </c>
      <c r="L1140" s="12" t="s">
        <v>35</v>
      </c>
      <c r="M1140" s="13" t="e">
        <v>#N/A</v>
      </c>
      <c r="N1140" s="14" t="e">
        <v>#N/A</v>
      </c>
      <c r="O1140" s="14" t="e">
        <v>#N/A</v>
      </c>
      <c r="P1140" s="14" t="e">
        <v>#N/A</v>
      </c>
      <c r="Q1140" s="19" t="s">
        <v>7590</v>
      </c>
      <c r="R1140" s="15" t="s">
        <v>7591</v>
      </c>
      <c r="S1140" s="15" t="s">
        <v>37</v>
      </c>
      <c r="T1140" s="16" t="s">
        <v>38</v>
      </c>
      <c r="U1140" s="11" t="str">
        <f>_xlfn.XLOOKUP(Customer[[#This Row],[Customer ID]],[1]!Address[ID],[1]!Address[Phone No.(2)])</f>
        <v/>
      </c>
      <c r="V1140" s="11" t="str">
        <f>_xlfn.XLOOKUP(Customer[[#This Row],[Customer ID]],[1]!Address[ID],[1]!Address[Type])</f>
        <v>PETROMART</v>
      </c>
      <c r="W1140" s="11" t="str">
        <f>_xlfn.XLOOKUP(Customer[[#This Row],[Customer ID]],[1]!Address[ID],[1]!Address[CT])</f>
        <v>30 DAYS</v>
      </c>
      <c r="X1140" s="11" t="s">
        <v>39</v>
      </c>
      <c r="Y1140" s="17" t="s">
        <v>40</v>
      </c>
      <c r="Z1140" s="17" t="e">
        <f>_xlfn.XLOOKUP(Customer[[#This Row],[NewType]],$AF$36:$AF$54,$AG$36:$AG$54)</f>
        <v>#N/A</v>
      </c>
      <c r="AA1140" s="17" t="s">
        <v>7592</v>
      </c>
      <c r="AB1140" s="11" t="str">
        <f>_xlfn.XLOOKUP(Customer[[#This Row],[Customer ID]],[1]!Address[ID],[1]!Address[Subtype])</f>
        <v>XPRESS POINT</v>
      </c>
      <c r="AC1140" s="18" t="str">
        <f>_xlfn.XLOOKUP(Customer[[#This Row],[Customer ID]],[1]!Address[ID],[1]!Address[Zone])</f>
        <v>NORTH</v>
      </c>
    </row>
    <row r="1141" spans="1:29" x14ac:dyDescent="0.3">
      <c r="A1141" s="37" t="s">
        <v>7593</v>
      </c>
      <c r="B1141" s="38" t="str">
        <f>_xlfn.XLOOKUP(Customer[[#This Row],[Customer ID]],[1]!Name[ID],[1]!Name[Description(1)])</f>
        <v>INFLOW GLOBAL MARKETING (M) SDN BHD</v>
      </c>
      <c r="C1141" s="38" t="str">
        <f>_xlfn.XLOOKUP(Customer[[#This Row],[Customer ID]],[1]!Name[ID],[1]!Name[Description(2)])</f>
        <v/>
      </c>
      <c r="D1141" s="38" t="str">
        <f>_xlfn.XLOOKUP(Customer[[#This Row],[Customer ID]],[1]!Address[ID],[1]!Address[PIC])</f>
        <v/>
      </c>
      <c r="E1141" s="38" t="str">
        <f>_xlfn.XLOOKUP(Customer[[#This Row],[Customer ID]],[1]!Address[ID],[1]!Address[Full Address])</f>
        <v>B7, KAWASAN INDUSTRI MARA,BT 7 1/2, JALAN TAMBUN,31150 ULU KINTA,PERAK</v>
      </c>
      <c r="F1141" s="12" t="s">
        <v>7594</v>
      </c>
      <c r="G1141" s="12" t="s">
        <v>7595</v>
      </c>
      <c r="H1141" s="24" t="s">
        <v>7596</v>
      </c>
      <c r="I1141" s="24" t="b">
        <f>ISNUMBER(VALUE(LEFT(Customer[[#This Row],[Address Line 3 (30 char)]],1)))</f>
        <v>0</v>
      </c>
      <c r="J1141" s="12" t="s">
        <v>242</v>
      </c>
      <c r="K1141" s="12">
        <v>31150</v>
      </c>
      <c r="L1141" s="12" t="s">
        <v>35</v>
      </c>
      <c r="M1141" s="13" t="e">
        <v>#N/A</v>
      </c>
      <c r="N1141" s="14" t="e">
        <v>#N/A</v>
      </c>
      <c r="O1141" s="14" t="e">
        <v>#N/A</v>
      </c>
      <c r="P1141" s="14" t="e">
        <v>#N/A</v>
      </c>
      <c r="Q1141" s="19" t="s">
        <v>7597</v>
      </c>
      <c r="R1141" s="15" t="s">
        <v>7598</v>
      </c>
      <c r="S1141" s="15" t="s">
        <v>5934</v>
      </c>
      <c r="T1141" s="16" t="s">
        <v>3477</v>
      </c>
      <c r="U1141" s="11" t="str">
        <f>_xlfn.XLOOKUP(Customer[[#This Row],[Customer ID]],[1]!Address[ID],[1]!Address[Phone No.(2)])</f>
        <v/>
      </c>
      <c r="V1141" s="11" t="str">
        <f>_xlfn.XLOOKUP(Customer[[#This Row],[Customer ID]],[1]!Address[ID],[1]!Address[Type])</f>
        <v>CM</v>
      </c>
      <c r="W1141" s="11" t="str">
        <f>_xlfn.XLOOKUP(Customer[[#This Row],[Customer ID]],[1]!Address[ID],[1]!Address[CT])</f>
        <v>CASH</v>
      </c>
      <c r="X1141" s="11"/>
      <c r="Y1141" s="17" t="s">
        <v>5918</v>
      </c>
      <c r="Z1141" s="17" t="e">
        <f>_xlfn.XLOOKUP(Customer[[#This Row],[NewType]],$AF$36:$AF$54,$AG$36:$AG$54)</f>
        <v>#N/A</v>
      </c>
      <c r="AA1141" s="17" t="s">
        <v>7599</v>
      </c>
      <c r="AB1141" s="11" t="str">
        <f>_xlfn.XLOOKUP(Customer[[#This Row],[Customer ID]],[1]!Address[ID],[1]!Address[Subtype])</f>
        <v>INFLOW</v>
      </c>
      <c r="AC1141" s="18" t="str">
        <f>_xlfn.XLOOKUP(Customer[[#This Row],[Customer ID]],[1]!Address[ID],[1]!Address[Zone])</f>
        <v>NORTH</v>
      </c>
    </row>
    <row r="1142" spans="1:29" x14ac:dyDescent="0.3">
      <c r="A1142" s="37" t="s">
        <v>7600</v>
      </c>
      <c r="B1142" s="38" t="str">
        <f>_xlfn.XLOOKUP(Customer[[#This Row],[Customer ID]],[1]!Name[ID],[1]!Name[Description(1)])</f>
        <v>MYLIFE HEALTHCARE SDN BHD</v>
      </c>
      <c r="C1142" s="38" t="str">
        <f>_xlfn.XLOOKUP(Customer[[#This Row],[Customer ID]],[1]!Name[ID],[1]!Name[Description(2)])</f>
        <v/>
      </c>
      <c r="D1142" s="38" t="str">
        <f>_xlfn.XLOOKUP(Customer[[#This Row],[Customer ID]],[1]!Address[ID],[1]!Address[PIC])</f>
        <v/>
      </c>
      <c r="E1142" s="38" t="str">
        <f>_xlfn.XLOOKUP(Customer[[#This Row],[Customer ID]],[1]!Address[ID],[1]!Address[Full Address])</f>
        <v>G53, KOMERSIAL RADIA PERSIARAN ARKED,BUKIT JELUTONG,40150 SHAH ALAM,SELANGOR</v>
      </c>
      <c r="F1142" s="12" t="s">
        <v>7601</v>
      </c>
      <c r="G1142" s="12" t="s">
        <v>7602</v>
      </c>
      <c r="H1142" s="12" t="s">
        <v>7603</v>
      </c>
      <c r="I1142" s="12" t="b">
        <f>ISNUMBER(VALUE(LEFT(Customer[[#This Row],[Address Line 3 (30 char)]],1)))</f>
        <v>0</v>
      </c>
      <c r="J1142" s="12" t="s">
        <v>172</v>
      </c>
      <c r="K1142" s="12">
        <v>40150</v>
      </c>
      <c r="L1142" s="12" t="s">
        <v>35</v>
      </c>
      <c r="M1142" s="13" t="e">
        <v>#N/A</v>
      </c>
      <c r="N1142" s="14" t="e">
        <v>#N/A</v>
      </c>
      <c r="O1142" s="14" t="e">
        <v>#N/A</v>
      </c>
      <c r="P1142" s="14" t="e">
        <v>#N/A</v>
      </c>
      <c r="Q1142" s="19" t="s">
        <v>7604</v>
      </c>
      <c r="R1142" s="15" t="s">
        <v>7605</v>
      </c>
      <c r="S1142" s="15" t="s">
        <v>3476</v>
      </c>
      <c r="T1142" s="16" t="s">
        <v>3477</v>
      </c>
      <c r="U1142" s="11" t="str">
        <f>_xlfn.XLOOKUP(Customer[[#This Row],[Customer ID]],[1]!Address[ID],[1]!Address[Phone No.(2)])</f>
        <v/>
      </c>
      <c r="V1142" s="11" t="str">
        <f>_xlfn.XLOOKUP(Customer[[#This Row],[Customer ID]],[1]!Address[ID],[1]!Address[Type])</f>
        <v>PH</v>
      </c>
      <c r="W1142" s="11" t="str">
        <f>_xlfn.XLOOKUP(Customer[[#This Row],[Customer ID]],[1]!Address[ID],[1]!Address[CT])</f>
        <v>CASH</v>
      </c>
      <c r="X1142" s="11"/>
      <c r="Y1142" s="17" t="s">
        <v>5955</v>
      </c>
      <c r="Z1142" s="17" t="e">
        <f>_xlfn.XLOOKUP(Customer[[#This Row],[NewType]],$AF$36:$AF$54,$AG$36:$AG$54)</f>
        <v>#N/A</v>
      </c>
      <c r="AA1142" s="17" t="s">
        <v>7606</v>
      </c>
      <c r="AB1142" s="11" t="str">
        <f>_xlfn.XLOOKUP(Customer[[#This Row],[Customer ID]],[1]!Address[ID],[1]!Address[Subtype])</f>
        <v>MYLIFE</v>
      </c>
      <c r="AC1142" s="18">
        <f>_xlfn.XLOOKUP(Customer[[#This Row],[Customer ID]],[1]!Address[ID],[1]!Address[Zone])</f>
        <v>0</v>
      </c>
    </row>
    <row r="1143" spans="1:29" x14ac:dyDescent="0.3">
      <c r="A1143" s="37" t="s">
        <v>7607</v>
      </c>
      <c r="B1143" s="38" t="str">
        <f>_xlfn.XLOOKUP(Customer[[#This Row],[Customer ID]],[1]!Name[ID],[1]!Name[Description(1)])</f>
        <v>MONT ORO (M) SDN BHD-MARINI'S ON 57</v>
      </c>
      <c r="C1143" s="38" t="str">
        <f>_xlfn.XLOOKUP(Customer[[#This Row],[Customer ID]],[1]!Name[ID],[1]!Name[Description(2)])</f>
        <v/>
      </c>
      <c r="D1143" s="38" t="str">
        <f>_xlfn.XLOOKUP(Customer[[#This Row],[Customer ID]],[1]!Address[ID],[1]!Address[PIC])</f>
        <v>RUI</v>
      </c>
      <c r="E1143" s="38" t="str">
        <f>_xlfn.XLOOKUP(Customer[[#This Row],[Customer ID]],[1]!Address[ID],[1]!Address[Full Address])</f>
        <v>KLCC NEW LOADING BAY ROUTE-P1,MENARA 3 KLCC LOADING BAY,UNIT 21-26,LEVEL 21 WISMA UOA II,NO.21 JLN PINANG,50450 KL</v>
      </c>
      <c r="F1143" s="12" t="s">
        <v>7608</v>
      </c>
      <c r="G1143" s="12" t="s">
        <v>7609</v>
      </c>
      <c r="H1143" s="12" t="s">
        <v>7610</v>
      </c>
      <c r="I1143" s="12" t="b">
        <f>ISNUMBER(VALUE(LEFT(Customer[[#This Row],[Address Line 3 (30 char)]],1)))</f>
        <v>0</v>
      </c>
      <c r="J1143" s="12" t="s">
        <v>34</v>
      </c>
      <c r="K1143" s="12">
        <v>50450</v>
      </c>
      <c r="L1143" s="12" t="s">
        <v>35</v>
      </c>
      <c r="M1143" s="13" t="e">
        <v>#N/A</v>
      </c>
      <c r="N1143" s="14" t="e">
        <v>#N/A</v>
      </c>
      <c r="O1143" s="14" t="e">
        <v>#N/A</v>
      </c>
      <c r="P1143" s="14" t="e">
        <v>#N/A</v>
      </c>
      <c r="Q1143" s="14" t="e">
        <v>#N/A</v>
      </c>
      <c r="R1143" s="15" t="s">
        <v>7611</v>
      </c>
      <c r="S1143" s="15" t="s">
        <v>3476</v>
      </c>
      <c r="T1143" s="16" t="s">
        <v>3477</v>
      </c>
      <c r="U1143" s="11" t="str">
        <f>_xlfn.XLOOKUP(Customer[[#This Row],[Customer ID]],[1]!Address[ID],[1]!Address[Phone No.(2)])</f>
        <v/>
      </c>
      <c r="V1143" s="11" t="str">
        <f>_xlfn.XLOOKUP(Customer[[#This Row],[Customer ID]],[1]!Address[ID],[1]!Address[Type])</f>
        <v>CM</v>
      </c>
      <c r="W1143" s="11" t="str">
        <f>_xlfn.XLOOKUP(Customer[[#This Row],[Customer ID]],[1]!Address[ID],[1]!Address[CT])</f>
        <v>30 DAYS</v>
      </c>
      <c r="X1143" s="11"/>
      <c r="Y1143" s="17" t="s">
        <v>5918</v>
      </c>
      <c r="Z1143" s="17" t="e">
        <f>_xlfn.XLOOKUP(Customer[[#This Row],[NewType]],$AF$36:$AF$54,$AG$36:$AG$54)</f>
        <v>#N/A</v>
      </c>
      <c r="AA1143" s="17" t="s">
        <v>7612</v>
      </c>
      <c r="AB1143" s="11" t="str">
        <f>_xlfn.XLOOKUP(Customer[[#This Row],[Customer ID]],[1]!Address[ID],[1]!Address[Subtype])</f>
        <v>MONT ORO</v>
      </c>
      <c r="AC1143" s="18" t="str">
        <f>_xlfn.XLOOKUP(Customer[[#This Row],[Customer ID]],[1]!Address[ID],[1]!Address[Zone])</f>
        <v>CENTRAL</v>
      </c>
    </row>
    <row r="1144" spans="1:29" x14ac:dyDescent="0.3">
      <c r="A1144" s="39" t="s">
        <v>7613</v>
      </c>
      <c r="B1144" s="40" t="str">
        <f>_xlfn.XLOOKUP(Customer[[#This Row],[Customer ID]],[1]!Name[ID],[1]!Name[Description(1)])</f>
        <v>AGENT AZMI</v>
      </c>
      <c r="C1144" s="38" t="str">
        <f>_xlfn.XLOOKUP(Customer[[#This Row],[Customer ID]],[1]!Name[ID],[1]!Name[Description(2)])</f>
        <v/>
      </c>
      <c r="D1144" s="38" t="str">
        <f>_xlfn.XLOOKUP(Customer[[#This Row],[Customer ID]],[1]!Address[ID],[1]!Address[PIC])</f>
        <v/>
      </c>
      <c r="E1144" s="38" t="str">
        <f>_xlfn.XLOOKUP(Customer[[#This Row],[Customer ID]],[1]!Address[ID],[1]!Address[Full Address])</f>
        <v/>
      </c>
      <c r="F1144" s="12" t="s">
        <v>36</v>
      </c>
      <c r="G1144" s="12" t="s">
        <v>36</v>
      </c>
      <c r="H1144" s="12" t="s">
        <v>36</v>
      </c>
      <c r="I1144" s="12" t="b">
        <f>ISNUMBER(VALUE(LEFT(Customer[[#This Row],[Address Line 3 (30 char)]],1)))</f>
        <v>0</v>
      </c>
      <c r="J1144" s="12" t="s">
        <v>2004</v>
      </c>
      <c r="K1144" s="12">
        <v>70400</v>
      </c>
      <c r="L1144" s="12" t="s">
        <v>35</v>
      </c>
      <c r="M1144" s="13" t="e">
        <v>#N/A</v>
      </c>
      <c r="N1144" s="14" t="e">
        <v>#N/A</v>
      </c>
      <c r="O1144" s="14" t="e">
        <v>#N/A</v>
      </c>
      <c r="P1144" s="14" t="e">
        <v>#N/A</v>
      </c>
      <c r="Q1144" s="14" t="e">
        <v>#N/A</v>
      </c>
      <c r="R1144" s="15" t="s">
        <v>36</v>
      </c>
      <c r="S1144" s="15" t="s">
        <v>6645</v>
      </c>
      <c r="T1144" s="16" t="s">
        <v>38</v>
      </c>
      <c r="U1144" s="11" t="str">
        <f>_xlfn.XLOOKUP(Customer[[#This Row],[Customer ID]],[1]!Address[ID],[1]!Address[Phone No.(2)])</f>
        <v/>
      </c>
      <c r="V1144" s="11" t="str">
        <f>_xlfn.XLOOKUP(Customer[[#This Row],[Customer ID]],[1]!Address[ID],[1]!Address[Type])</f>
        <v>AGENT</v>
      </c>
      <c r="W1144" s="11" t="str">
        <f>_xlfn.XLOOKUP(Customer[[#This Row],[Customer ID]],[1]!Address[ID],[1]!Address[CT])</f>
        <v/>
      </c>
      <c r="X1144" s="11"/>
      <c r="Y1144" s="17" t="s">
        <v>6639</v>
      </c>
      <c r="Z1144" s="17" t="e">
        <f>_xlfn.XLOOKUP(Customer[[#This Row],[NewType]],$AF$36:$AF$54,$AG$36:$AG$54)</f>
        <v>#N/A</v>
      </c>
      <c r="AA1144" s="17" t="s">
        <v>7614</v>
      </c>
      <c r="AB1144" s="11" t="str">
        <f>_xlfn.XLOOKUP(Customer[[#This Row],[Customer ID]],[1]!Address[ID],[1]!Address[Subtype])</f>
        <v>AGENT HQ</v>
      </c>
      <c r="AC1144" s="18" t="str">
        <f>_xlfn.XLOOKUP(Customer[[#This Row],[Customer ID]],[1]!Address[ID],[1]!Address[Zone])</f>
        <v xml:space="preserve"> TNTH</v>
      </c>
    </row>
    <row r="1145" spans="1:29" x14ac:dyDescent="0.3">
      <c r="A1145" s="37" t="s">
        <v>7615</v>
      </c>
      <c r="B1145" s="38" t="str">
        <f>_xlfn.XLOOKUP(Customer[[#This Row],[Customer ID]],[1]!Name[ID],[1]!Name[Description(1)])</f>
        <v>SRIKANDI SAADAH ENTERPRISE</v>
      </c>
      <c r="C1145" s="38" t="str">
        <f>_xlfn.XLOOKUP(Customer[[#This Row],[Customer ID]],[1]!Name[ID],[1]!Name[Description(2)])</f>
        <v/>
      </c>
      <c r="D1145" s="38" t="str">
        <f>_xlfn.XLOOKUP(Customer[[#This Row],[Customer ID]],[1]!Address[ID],[1]!Address[PIC])</f>
        <v/>
      </c>
      <c r="E1145" s="38" t="str">
        <f>_xlfn.XLOOKUP(Customer[[#This Row],[Customer ID]],[1]!Address[ID],[1]!Address[Full Address])</f>
        <v>NO 46, JALAN MKJ/2,MEDAN KAMUNTING JAYA,34600 KAMUNTING, PERAK</v>
      </c>
      <c r="F1145" s="12" t="s">
        <v>7616</v>
      </c>
      <c r="G1145" s="12" t="s">
        <v>7617</v>
      </c>
      <c r="H1145" s="24" t="s">
        <v>1363</v>
      </c>
      <c r="I1145" s="24" t="b">
        <f>ISNUMBER(VALUE(LEFT(Customer[[#This Row],[Address Line 3 (30 char)]],1)))</f>
        <v>0</v>
      </c>
      <c r="J1145" s="12" t="s">
        <v>387</v>
      </c>
      <c r="K1145" s="12">
        <v>34600</v>
      </c>
      <c r="L1145" s="12" t="s">
        <v>35</v>
      </c>
      <c r="M1145" s="13" t="e">
        <v>#N/A</v>
      </c>
      <c r="N1145" s="14" t="e">
        <v>#N/A</v>
      </c>
      <c r="O1145" s="14" t="e">
        <v>#N/A</v>
      </c>
      <c r="P1145" s="14" t="e">
        <v>#N/A</v>
      </c>
      <c r="Q1145" s="14" t="e">
        <v>#N/A</v>
      </c>
      <c r="R1145" s="15" t="s">
        <v>7618</v>
      </c>
      <c r="S1145" s="15" t="s">
        <v>3476</v>
      </c>
      <c r="T1145" s="16" t="s">
        <v>3477</v>
      </c>
      <c r="U1145" s="11" t="str">
        <f>_xlfn.XLOOKUP(Customer[[#This Row],[Customer ID]],[1]!Address[ID],[1]!Address[Phone No.(2)])</f>
        <v/>
      </c>
      <c r="V1145" s="11" t="str">
        <f>_xlfn.XLOOKUP(Customer[[#This Row],[Customer ID]],[1]!Address[ID],[1]!Address[Type])</f>
        <v>PH</v>
      </c>
      <c r="W1145" s="11" t="str">
        <f>_xlfn.XLOOKUP(Customer[[#This Row],[Customer ID]],[1]!Address[ID],[1]!Address[CT])</f>
        <v>CASH</v>
      </c>
      <c r="X1145" s="11"/>
      <c r="Y1145" s="17" t="s">
        <v>5955</v>
      </c>
      <c r="Z1145" s="17" t="e">
        <f>_xlfn.XLOOKUP(Customer[[#This Row],[NewType]],$AF$36:$AF$54,$AG$36:$AG$54)</f>
        <v>#N/A</v>
      </c>
      <c r="AA1145" s="17" t="s">
        <v>7619</v>
      </c>
      <c r="AB1145" s="11" t="str">
        <f>_xlfn.XLOOKUP(Customer[[#This Row],[Customer ID]],[1]!Address[ID],[1]!Address[Subtype])</f>
        <v>SRIKANDI</v>
      </c>
      <c r="AC1145" s="18" t="str">
        <f>_xlfn.XLOOKUP(Customer[[#This Row],[Customer ID]],[1]!Address[ID],[1]!Address[Zone])</f>
        <v>NORTH</v>
      </c>
    </row>
    <row r="1146" spans="1:29" x14ac:dyDescent="0.3">
      <c r="A1146" s="43" t="s">
        <v>7620</v>
      </c>
      <c r="B1146" s="44" t="str">
        <f>_xlfn.XLOOKUP(Customer[[#This Row],[Customer ID]],[1]!Name[ID],[1]!Name[Description(1)])</f>
        <v>PELADANG MART SDN BHD</v>
      </c>
      <c r="C1146" s="38" t="str">
        <f>_xlfn.XLOOKUP(Customer[[#This Row],[Customer ID]],[1]!Name[ID],[1]!Name[Description(2)])</f>
        <v/>
      </c>
      <c r="D1146" s="38" t="str">
        <f>_xlfn.XLOOKUP(Customer[[#This Row],[Customer ID]],[1]!Address[ID],[1]!Address[PIC])</f>
        <v/>
      </c>
      <c r="E1146" s="38" t="str">
        <f>_xlfn.XLOOKUP(Customer[[#This Row],[Customer ID]],[1]!Address[ID],[1]!Address[Full Address])</f>
        <v>4049, TAMAN MUTIARA,LEBUHRAYA SULTANAH BAHIYAH,05350 ALOR SETAR,KEDAH</v>
      </c>
      <c r="F1146" s="12" t="s">
        <v>7621</v>
      </c>
      <c r="G1146" s="12" t="s">
        <v>7622</v>
      </c>
      <c r="H1146" s="24" t="s">
        <v>2335</v>
      </c>
      <c r="I1146" s="24" t="b">
        <f>ISNUMBER(VALUE(LEFT(Customer[[#This Row],[Address Line 3 (30 char)]],1)))</f>
        <v>0</v>
      </c>
      <c r="J1146" s="12" t="s">
        <v>79</v>
      </c>
      <c r="K1146" s="30" t="s">
        <v>2336</v>
      </c>
      <c r="L1146" s="12" t="s">
        <v>35</v>
      </c>
      <c r="M1146" s="13" t="e">
        <v>#N/A</v>
      </c>
      <c r="N1146" s="14" t="e">
        <v>#N/A</v>
      </c>
      <c r="O1146" s="14" t="e">
        <v>#N/A</v>
      </c>
      <c r="P1146" s="14" t="e">
        <v>#N/A</v>
      </c>
      <c r="Q1146" s="19" t="s">
        <v>7623</v>
      </c>
      <c r="R1146" s="15" t="s">
        <v>7624</v>
      </c>
      <c r="S1146" s="15" t="s">
        <v>5917</v>
      </c>
      <c r="T1146" s="16" t="s">
        <v>3477</v>
      </c>
      <c r="U1146" s="11" t="str">
        <f>_xlfn.XLOOKUP(Customer[[#This Row],[Customer ID]],[1]!Address[ID],[1]!Address[Phone No.(2)])</f>
        <v/>
      </c>
      <c r="V1146" s="11" t="str">
        <f>_xlfn.XLOOKUP(Customer[[#This Row],[Customer ID]],[1]!Address[ID],[1]!Address[Type])</f>
        <v>CM</v>
      </c>
      <c r="W1146" s="11" t="str">
        <f>_xlfn.XLOOKUP(Customer[[#This Row],[Customer ID]],[1]!Address[ID],[1]!Address[CT])</f>
        <v>30 DAYS</v>
      </c>
      <c r="X1146" s="11"/>
      <c r="Y1146" s="17" t="s">
        <v>5918</v>
      </c>
      <c r="Z1146" s="17" t="e">
        <f>_xlfn.XLOOKUP(Customer[[#This Row],[NewType]],$AF$36:$AF$54,$AG$36:$AG$54)</f>
        <v>#N/A</v>
      </c>
      <c r="AA1146" s="17" t="s">
        <v>7625</v>
      </c>
      <c r="AB1146" s="11" t="str">
        <f>_xlfn.XLOOKUP(Customer[[#This Row],[Customer ID]],[1]!Address[ID],[1]!Address[Subtype])</f>
        <v>PELADANG MT</v>
      </c>
      <c r="AC1146" s="18" t="str">
        <f>_xlfn.XLOOKUP(Customer[[#This Row],[Customer ID]],[1]!Address[ID],[1]!Address[Zone])</f>
        <v>NORTH</v>
      </c>
    </row>
    <row r="1147" spans="1:29" x14ac:dyDescent="0.3">
      <c r="A1147" s="37" t="s">
        <v>7626</v>
      </c>
      <c r="B1147" s="38" t="str">
        <f>_xlfn.XLOOKUP(Customer[[#This Row],[Customer ID]],[1]!Name[ID],[1]!Name[Description(1)])</f>
        <v>BANDUNG ENERGY SDN BHD</v>
      </c>
      <c r="C1147" s="38" t="str">
        <f>_xlfn.XLOOKUP(Customer[[#This Row],[Customer ID]],[1]!Name[ID],[1]!Name[Description(2)])</f>
        <v>PS DARAT MAKBAR</v>
      </c>
      <c r="D1147" s="38" t="str">
        <f>_xlfn.XLOOKUP(Customer[[#This Row],[Customer ID]],[1]!Address[ID],[1]!Address[PIC])</f>
        <v/>
      </c>
      <c r="E1147" s="38" t="str">
        <f>_xlfn.XLOOKUP(Customer[[#This Row],[Customer ID]],[1]!Address[ID],[1]!Address[Full Address])</f>
        <v>PS DARAT MAKBARLOT 4401, JAALN DARAT MAKBAR,25000 KUANTAN PAHANG</v>
      </c>
      <c r="F1147" s="12" t="s">
        <v>7627</v>
      </c>
      <c r="G1147" s="12" t="s">
        <v>7628</v>
      </c>
      <c r="H1147" s="24" t="s">
        <v>1038</v>
      </c>
      <c r="I1147" s="24" t="b">
        <f>ISNUMBER(VALUE(LEFT(Customer[[#This Row],[Address Line 3 (30 char)]],1)))</f>
        <v>0</v>
      </c>
      <c r="J1147" s="12" t="s">
        <v>339</v>
      </c>
      <c r="K1147" s="12">
        <v>25000</v>
      </c>
      <c r="L1147" s="12" t="s">
        <v>35</v>
      </c>
      <c r="M1147" s="13" t="e">
        <v>#N/A</v>
      </c>
      <c r="N1147" s="14" t="e">
        <v>#N/A</v>
      </c>
      <c r="O1147" s="14" t="e">
        <v>#N/A</v>
      </c>
      <c r="P1147" s="14" t="e">
        <v>#N/A</v>
      </c>
      <c r="Q1147" s="19" t="s">
        <v>7629</v>
      </c>
      <c r="R1147" s="15" t="s">
        <v>7630</v>
      </c>
      <c r="S1147" s="15" t="s">
        <v>37</v>
      </c>
      <c r="T1147" s="16" t="s">
        <v>38</v>
      </c>
      <c r="U1147" s="11" t="str">
        <f>_xlfn.XLOOKUP(Customer[[#This Row],[Customer ID]],[1]!Address[ID],[1]!Address[Phone No.(2)])</f>
        <v/>
      </c>
      <c r="V1147" s="11" t="str">
        <f>_xlfn.XLOOKUP(Customer[[#This Row],[Customer ID]],[1]!Address[ID],[1]!Address[Type])</f>
        <v>PETROMART</v>
      </c>
      <c r="W1147" s="11" t="str">
        <f>_xlfn.XLOOKUP(Customer[[#This Row],[Customer ID]],[1]!Address[ID],[1]!Address[CT])</f>
        <v>30 DAYS</v>
      </c>
      <c r="X1147" s="11" t="s">
        <v>39</v>
      </c>
      <c r="Y1147" s="17" t="s">
        <v>40</v>
      </c>
      <c r="Z1147" s="17" t="e">
        <f>_xlfn.XLOOKUP(Customer[[#This Row],[NewType]],$AF$36:$AF$54,$AG$36:$AG$54)</f>
        <v>#N/A</v>
      </c>
      <c r="AA1147" s="17" t="s">
        <v>7631</v>
      </c>
      <c r="AB1147" s="11" t="str">
        <f>_xlfn.XLOOKUP(Customer[[#This Row],[Customer ID]],[1]!Address[ID],[1]!Address[Subtype])</f>
        <v>PETRONAS</v>
      </c>
      <c r="AC1147" s="18" t="str">
        <f>_xlfn.XLOOKUP(Customer[[#This Row],[Customer ID]],[1]!Address[ID],[1]!Address[Zone])</f>
        <v>EAST COAST</v>
      </c>
    </row>
    <row r="1148" spans="1:29" x14ac:dyDescent="0.3">
      <c r="A1148" s="37" t="s">
        <v>7632</v>
      </c>
      <c r="B1148" s="38" t="str">
        <f>_xlfn.XLOOKUP(Customer[[#This Row],[Customer ID]],[1]!Name[ID],[1]!Name[Description(1)])</f>
        <v>MANSIS CORNER</v>
      </c>
      <c r="C1148" s="38" t="str">
        <f>_xlfn.XLOOKUP(Customer[[#This Row],[Customer ID]],[1]!Name[ID],[1]!Name[Description(2)])</f>
        <v/>
      </c>
      <c r="D1148" s="38" t="str">
        <f>_xlfn.XLOOKUP(Customer[[#This Row],[Customer ID]],[1]!Address[ID],[1]!Address[PIC])</f>
        <v>NORELA</v>
      </c>
      <c r="E1148" s="38" t="str">
        <f>_xlfn.XLOOKUP(Customer[[#This Row],[Customer ID]],[1]!Address[ID],[1]!Address[Full Address])</f>
        <v>GERAI NO.2, KM135,KAWASAN REHAT &amp; RAWAT PAGOH ARAH SELATAN84600 PAGOH, JOHOR</v>
      </c>
      <c r="F1148" s="12" t="s">
        <v>7633</v>
      </c>
      <c r="G1148" s="12" t="s">
        <v>7634</v>
      </c>
      <c r="H1148" s="24" t="s">
        <v>7635</v>
      </c>
      <c r="I1148" s="24" t="b">
        <f>ISNUMBER(VALUE(LEFT(Customer[[#This Row],[Address Line 3 (30 char)]],1)))</f>
        <v>0</v>
      </c>
      <c r="J1148" s="12" t="s">
        <v>52</v>
      </c>
      <c r="K1148" s="12">
        <v>84600</v>
      </c>
      <c r="L1148" s="12" t="s">
        <v>35</v>
      </c>
      <c r="M1148" s="13" t="e">
        <v>#N/A</v>
      </c>
      <c r="N1148" s="14" t="e">
        <v>#N/A</v>
      </c>
      <c r="O1148" s="14" t="e">
        <v>#N/A</v>
      </c>
      <c r="P1148" s="14" t="e">
        <v>#N/A</v>
      </c>
      <c r="Q1148" s="14" t="e">
        <v>#N/A</v>
      </c>
      <c r="R1148" s="15" t="s">
        <v>7636</v>
      </c>
      <c r="S1148" s="15" t="s">
        <v>5925</v>
      </c>
      <c r="T1148" s="16" t="s">
        <v>3477</v>
      </c>
      <c r="U1148" s="11" t="str">
        <f>_xlfn.XLOOKUP(Customer[[#This Row],[Customer ID]],[1]!Address[ID],[1]!Address[Phone No.(2)])</f>
        <v/>
      </c>
      <c r="V1148" s="11" t="str">
        <f>_xlfn.XLOOKUP(Customer[[#This Row],[Customer ID]],[1]!Address[ID],[1]!Address[Type])</f>
        <v>PLUS</v>
      </c>
      <c r="W1148" s="11" t="str">
        <f>_xlfn.XLOOKUP(Customer[[#This Row],[Customer ID]],[1]!Address[ID],[1]!Address[CT])</f>
        <v>30 DAYS</v>
      </c>
      <c r="X1148" s="11"/>
      <c r="Y1148" s="17" t="s">
        <v>5926</v>
      </c>
      <c r="Z1148" s="17" t="e">
        <f>_xlfn.XLOOKUP(Customer[[#This Row],[NewType]],$AF$36:$AF$54,$AG$36:$AG$54)</f>
        <v>#N/A</v>
      </c>
      <c r="AA1148" s="17" t="s">
        <v>7637</v>
      </c>
      <c r="AB1148" s="11" t="str">
        <f>_xlfn.XLOOKUP(Customer[[#This Row],[Customer ID]],[1]!Address[ID],[1]!Address[Subtype])</f>
        <v>PLUS</v>
      </c>
      <c r="AC1148" s="18" t="str">
        <f>_xlfn.XLOOKUP(Customer[[#This Row],[Customer ID]],[1]!Address[ID],[1]!Address[Zone])</f>
        <v>SOUTH</v>
      </c>
    </row>
    <row r="1149" spans="1:29" x14ac:dyDescent="0.3">
      <c r="A1149" s="37" t="s">
        <v>7638</v>
      </c>
      <c r="B1149" s="38" t="str">
        <f>_xlfn.XLOOKUP(Customer[[#This Row],[Customer ID]],[1]!Name[ID],[1]!Name[Description(1)])</f>
        <v>BAPAK BERIANI</v>
      </c>
      <c r="C1149" s="38" t="str">
        <f>_xlfn.XLOOKUP(Customer[[#This Row],[Customer ID]],[1]!Name[ID],[1]!Name[Description(2)])</f>
        <v/>
      </c>
      <c r="D1149" s="38" t="str">
        <f>_xlfn.XLOOKUP(Customer[[#This Row],[Customer ID]],[1]!Address[ID],[1]!Address[PIC])</f>
        <v/>
      </c>
      <c r="E1149" s="38" t="str">
        <f>_xlfn.XLOOKUP(Customer[[#This Row],[Customer ID]],[1]!Address[ID],[1]!Address[Full Address])</f>
        <v>NO. 9, R&amp;R PAGOH ARAH SELATAN</v>
      </c>
      <c r="F1149" s="12" t="s">
        <v>7639</v>
      </c>
      <c r="G1149" s="12" t="s">
        <v>36</v>
      </c>
      <c r="H1149" s="12" t="s">
        <v>36</v>
      </c>
      <c r="I1149" s="12" t="b">
        <f>ISNUMBER(VALUE(LEFT(Customer[[#This Row],[Address Line 3 (30 char)]],1)))</f>
        <v>0</v>
      </c>
      <c r="J1149" s="12" t="s">
        <v>52</v>
      </c>
      <c r="K1149" s="12">
        <v>84600</v>
      </c>
      <c r="L1149" s="12" t="s">
        <v>35</v>
      </c>
      <c r="M1149" s="13" t="e">
        <v>#N/A</v>
      </c>
      <c r="N1149" s="14" t="e">
        <v>#N/A</v>
      </c>
      <c r="O1149" s="14" t="e">
        <v>#N/A</v>
      </c>
      <c r="P1149" s="14" t="e">
        <v>#N/A</v>
      </c>
      <c r="Q1149" s="14" t="e">
        <v>#N/A</v>
      </c>
      <c r="R1149" s="15" t="s">
        <v>7640</v>
      </c>
      <c r="S1149" s="15" t="s">
        <v>5925</v>
      </c>
      <c r="T1149" s="16" t="s">
        <v>3477</v>
      </c>
      <c r="U1149" s="11" t="str">
        <f>_xlfn.XLOOKUP(Customer[[#This Row],[Customer ID]],[1]!Address[ID],[1]!Address[Phone No.(2)])</f>
        <v/>
      </c>
      <c r="V1149" s="11" t="str">
        <f>_xlfn.XLOOKUP(Customer[[#This Row],[Customer ID]],[1]!Address[ID],[1]!Address[Type])</f>
        <v>CAFE</v>
      </c>
      <c r="W1149" s="11" t="str">
        <f>_xlfn.XLOOKUP(Customer[[#This Row],[Customer ID]],[1]!Address[ID],[1]!Address[CT])</f>
        <v>30 DAYS</v>
      </c>
      <c r="X1149" s="11"/>
      <c r="Y1149" s="17" t="s">
        <v>5926</v>
      </c>
      <c r="Z1149" s="17" t="e">
        <f>_xlfn.XLOOKUP(Customer[[#This Row],[NewType]],$AF$36:$AF$54,$AG$36:$AG$54)</f>
        <v>#N/A</v>
      </c>
      <c r="AA1149" s="17" t="s">
        <v>7641</v>
      </c>
      <c r="AB1149" s="11" t="str">
        <f>_xlfn.XLOOKUP(Customer[[#This Row],[Customer ID]],[1]!Address[ID],[1]!Address[Subtype])</f>
        <v>PLUS</v>
      </c>
      <c r="AC1149" s="18">
        <f>_xlfn.XLOOKUP(Customer[[#This Row],[Customer ID]],[1]!Address[ID],[1]!Address[Zone])</f>
        <v>0</v>
      </c>
    </row>
    <row r="1150" spans="1:29" x14ac:dyDescent="0.3">
      <c r="A1150" s="37" t="s">
        <v>7642</v>
      </c>
      <c r="B1150" s="38" t="str">
        <f>_xlfn.XLOOKUP(Customer[[#This Row],[Customer ID]],[1]!Name[ID],[1]!Name[Description(1)])</f>
        <v>GIMME FIVE</v>
      </c>
      <c r="C1150" s="38" t="str">
        <f>_xlfn.XLOOKUP(Customer[[#This Row],[Customer ID]],[1]!Name[ID],[1]!Name[Description(2)])</f>
        <v/>
      </c>
      <c r="D1150" s="38" t="str">
        <f>_xlfn.XLOOKUP(Customer[[#This Row],[Customer ID]],[1]!Address[ID],[1]!Address[PIC])</f>
        <v>TAUFIQ</v>
      </c>
      <c r="E1150" s="38" t="str">
        <f>_xlfn.XLOOKUP(Customer[[#This Row],[Customer ID]],[1]!Address[ID],[1]!Address[Full Address])</f>
        <v>NO.5, RNR PAGOH SELATAN,84600 PAGOH JOHOR</v>
      </c>
      <c r="F1150" s="12" t="s">
        <v>7643</v>
      </c>
      <c r="G1150" s="12" t="s">
        <v>7644</v>
      </c>
      <c r="H1150" s="12" t="s">
        <v>36</v>
      </c>
      <c r="I1150" s="12" t="b">
        <f>ISNUMBER(VALUE(LEFT(Customer[[#This Row],[Address Line 3 (30 char)]],1)))</f>
        <v>0</v>
      </c>
      <c r="J1150" s="12" t="s">
        <v>52</v>
      </c>
      <c r="K1150" s="12">
        <v>84600</v>
      </c>
      <c r="L1150" s="12" t="s">
        <v>35</v>
      </c>
      <c r="M1150" s="13" t="e">
        <v>#N/A</v>
      </c>
      <c r="N1150" s="14" t="e">
        <v>#N/A</v>
      </c>
      <c r="O1150" s="14" t="e">
        <v>#N/A</v>
      </c>
      <c r="P1150" s="14" t="e">
        <v>#N/A</v>
      </c>
      <c r="Q1150" s="14" t="e">
        <v>#N/A</v>
      </c>
      <c r="R1150" s="15" t="s">
        <v>7645</v>
      </c>
      <c r="S1150" s="15" t="s">
        <v>5925</v>
      </c>
      <c r="T1150" s="16" t="s">
        <v>3477</v>
      </c>
      <c r="U1150" s="11" t="str">
        <f>_xlfn.XLOOKUP(Customer[[#This Row],[Customer ID]],[1]!Address[ID],[1]!Address[Phone No.(2)])</f>
        <v/>
      </c>
      <c r="V1150" s="11" t="str">
        <f>_xlfn.XLOOKUP(Customer[[#This Row],[Customer ID]],[1]!Address[ID],[1]!Address[Type])</f>
        <v>CAFE</v>
      </c>
      <c r="W1150" s="11" t="str">
        <f>_xlfn.XLOOKUP(Customer[[#This Row],[Customer ID]],[1]!Address[ID],[1]!Address[CT])</f>
        <v>30 DAYS</v>
      </c>
      <c r="X1150" s="11"/>
      <c r="Y1150" s="17" t="s">
        <v>5926</v>
      </c>
      <c r="Z1150" s="17" t="e">
        <f>_xlfn.XLOOKUP(Customer[[#This Row],[NewType]],$AF$36:$AF$54,$AG$36:$AG$54)</f>
        <v>#N/A</v>
      </c>
      <c r="AA1150" s="17" t="s">
        <v>7646</v>
      </c>
      <c r="AB1150" s="11" t="str">
        <f>_xlfn.XLOOKUP(Customer[[#This Row],[Customer ID]],[1]!Address[ID],[1]!Address[Subtype])</f>
        <v>PLUS</v>
      </c>
      <c r="AC1150" s="18" t="str">
        <f>_xlfn.XLOOKUP(Customer[[#This Row],[Customer ID]],[1]!Address[ID],[1]!Address[Zone])</f>
        <v>SOUTH</v>
      </c>
    </row>
    <row r="1151" spans="1:29" x14ac:dyDescent="0.3">
      <c r="A1151" s="37" t="s">
        <v>7647</v>
      </c>
      <c r="B1151" s="38" t="str">
        <f>_xlfn.XLOOKUP(Customer[[#This Row],[Customer ID]],[1]!Name[ID],[1]!Name[Description(1)])</f>
        <v>ALADDINZZA</v>
      </c>
      <c r="C1151" s="38" t="str">
        <f>_xlfn.XLOOKUP(Customer[[#This Row],[Customer ID]],[1]!Name[ID],[1]!Name[Description(2)])</f>
        <v/>
      </c>
      <c r="D1151" s="38" t="str">
        <f>_xlfn.XLOOKUP(Customer[[#This Row],[Customer ID]],[1]!Address[ID],[1]!Address[PIC])</f>
        <v/>
      </c>
      <c r="E1151" s="38" t="str">
        <f>_xlfn.XLOOKUP(Customer[[#This Row],[Customer ID]],[1]!Address[ID],[1]!Address[Full Address])</f>
        <v>NO.7, R&amp;R PAGOH ARAH SELATAN</v>
      </c>
      <c r="F1151" s="12" t="s">
        <v>7648</v>
      </c>
      <c r="G1151" s="12" t="s">
        <v>36</v>
      </c>
      <c r="H1151" s="12" t="s">
        <v>36</v>
      </c>
      <c r="I1151" s="12" t="b">
        <f>ISNUMBER(VALUE(LEFT(Customer[[#This Row],[Address Line 3 (30 char)]],1)))</f>
        <v>0</v>
      </c>
      <c r="J1151" s="12" t="s">
        <v>52</v>
      </c>
      <c r="K1151" s="12">
        <v>84600</v>
      </c>
      <c r="L1151" s="12" t="s">
        <v>35</v>
      </c>
      <c r="M1151" s="13" t="e">
        <v>#N/A</v>
      </c>
      <c r="N1151" s="14" t="e">
        <v>#N/A</v>
      </c>
      <c r="O1151" s="14" t="e">
        <v>#N/A</v>
      </c>
      <c r="P1151" s="14" t="e">
        <v>#N/A</v>
      </c>
      <c r="Q1151" s="14" t="e">
        <v>#N/A</v>
      </c>
      <c r="R1151" s="15" t="s">
        <v>7649</v>
      </c>
      <c r="S1151" s="15" t="s">
        <v>5925</v>
      </c>
      <c r="T1151" s="16" t="s">
        <v>3477</v>
      </c>
      <c r="U1151" s="11" t="str">
        <f>_xlfn.XLOOKUP(Customer[[#This Row],[Customer ID]],[1]!Address[ID],[1]!Address[Phone No.(2)])</f>
        <v/>
      </c>
      <c r="V1151" s="11" t="str">
        <f>_xlfn.XLOOKUP(Customer[[#This Row],[Customer ID]],[1]!Address[ID],[1]!Address[Type])</f>
        <v>CAFE</v>
      </c>
      <c r="W1151" s="11" t="str">
        <f>_xlfn.XLOOKUP(Customer[[#This Row],[Customer ID]],[1]!Address[ID],[1]!Address[CT])</f>
        <v>30 DAYS</v>
      </c>
      <c r="X1151" s="11"/>
      <c r="Y1151" s="17" t="s">
        <v>5926</v>
      </c>
      <c r="Z1151" s="17" t="e">
        <f>_xlfn.XLOOKUP(Customer[[#This Row],[NewType]],$AF$36:$AF$54,$AG$36:$AG$54)</f>
        <v>#N/A</v>
      </c>
      <c r="AA1151" s="17" t="s">
        <v>7650</v>
      </c>
      <c r="AB1151" s="11" t="str">
        <f>_xlfn.XLOOKUP(Customer[[#This Row],[Customer ID]],[1]!Address[ID],[1]!Address[Subtype])</f>
        <v>PLUS</v>
      </c>
      <c r="AC1151" s="18">
        <f>_xlfn.XLOOKUP(Customer[[#This Row],[Customer ID]],[1]!Address[ID],[1]!Address[Zone])</f>
        <v>0</v>
      </c>
    </row>
    <row r="1152" spans="1:29" x14ac:dyDescent="0.3">
      <c r="A1152" s="37" t="s">
        <v>7651</v>
      </c>
      <c r="B1152" s="38" t="str">
        <f>_xlfn.XLOOKUP(Customer[[#This Row],[Customer ID]],[1]!Name[ID],[1]!Name[Description(1)])</f>
        <v>D'PUTRA SHOPPE - PASIR MAS</v>
      </c>
      <c r="C1152" s="38" t="str">
        <f>_xlfn.XLOOKUP(Customer[[#This Row],[Customer ID]],[1]!Name[ID],[1]!Name[Description(2)])</f>
        <v>THB GLOBAL VENTURE (M) SDN BHD</v>
      </c>
      <c r="D1152" s="38" t="str">
        <f>_xlfn.XLOOKUP(Customer[[#This Row],[Customer ID]],[1]!Address[ID],[1]!Address[PIC])</f>
        <v>Shawalnie</v>
      </c>
      <c r="E1152" s="38" t="str">
        <f>_xlfn.XLOOKUP(Customer[[#This Row],[Customer ID]],[1]!Address[ID],[1]!Address[Full Address])</f>
        <v>HOSPITAL PASIR MAS,JALAN LATI, 17000 PASIR MASKELANTAN</v>
      </c>
      <c r="F1152" s="12" t="s">
        <v>7652</v>
      </c>
      <c r="G1152" s="12" t="s">
        <v>7653</v>
      </c>
      <c r="H1152" s="12"/>
      <c r="I1152" s="12" t="b">
        <f>ISNUMBER(VALUE(LEFT(Customer[[#This Row],[Address Line 3 (30 char)]],1)))</f>
        <v>0</v>
      </c>
      <c r="J1152" s="12" t="s">
        <v>1007</v>
      </c>
      <c r="K1152" s="12">
        <v>17000</v>
      </c>
      <c r="L1152" s="12" t="s">
        <v>35</v>
      </c>
      <c r="M1152" s="13" t="e">
        <v>#N/A</v>
      </c>
      <c r="N1152" s="14" t="e">
        <v>#N/A</v>
      </c>
      <c r="O1152" s="14" t="e">
        <v>#N/A</v>
      </c>
      <c r="P1152" s="14" t="e">
        <v>#N/A</v>
      </c>
      <c r="Q1152" s="14" t="e">
        <v>#N/A</v>
      </c>
      <c r="R1152" s="15" t="s">
        <v>7654</v>
      </c>
      <c r="S1152" s="15" t="s">
        <v>3476</v>
      </c>
      <c r="T1152" s="16" t="s">
        <v>3477</v>
      </c>
      <c r="U1152" s="11" t="str">
        <f>_xlfn.XLOOKUP(Customer[[#This Row],[Customer ID]],[1]!Address[ID],[1]!Address[Phone No.(2)])</f>
        <v/>
      </c>
      <c r="V1152" s="11" t="str">
        <f>_xlfn.XLOOKUP(Customer[[#This Row],[Customer ID]],[1]!Address[ID],[1]!Address[Type])</f>
        <v>CM</v>
      </c>
      <c r="W1152" s="11" t="str">
        <f>_xlfn.XLOOKUP(Customer[[#This Row],[Customer ID]],[1]!Address[ID],[1]!Address[CT])</f>
        <v>30 DAYS</v>
      </c>
      <c r="X1152" s="11"/>
      <c r="Y1152" s="17" t="s">
        <v>5918</v>
      </c>
      <c r="Z1152" s="17" t="e">
        <f>_xlfn.XLOOKUP(Customer[[#This Row],[NewType]],$AF$36:$AF$54,$AG$36:$AG$54)</f>
        <v>#N/A</v>
      </c>
      <c r="AA1152" s="17" t="s">
        <v>7655</v>
      </c>
      <c r="AB1152" s="11" t="str">
        <f>_xlfn.XLOOKUP(Customer[[#This Row],[Customer ID]],[1]!Address[ID],[1]!Address[Subtype])</f>
        <v>THB</v>
      </c>
      <c r="AC1152" s="18" t="str">
        <f>_xlfn.XLOOKUP(Customer[[#This Row],[Customer ID]],[1]!Address[ID],[1]!Address[Zone])</f>
        <v>EAST</v>
      </c>
    </row>
    <row r="1153" spans="1:30" x14ac:dyDescent="0.3">
      <c r="A1153" s="37" t="s">
        <v>7656</v>
      </c>
      <c r="B1153" s="38" t="str">
        <f>_xlfn.XLOOKUP(Customer[[#This Row],[Customer ID]],[1]!Name[ID],[1]!Name[Description(1)])</f>
        <v>LINARI CAFE</v>
      </c>
      <c r="C1153" s="38" t="str">
        <f>_xlfn.XLOOKUP(Customer[[#This Row],[Customer ID]],[1]!Name[ID],[1]!Name[Description(2)])</f>
        <v/>
      </c>
      <c r="D1153" s="38" t="str">
        <f>_xlfn.XLOOKUP(Customer[[#This Row],[Customer ID]],[1]!Address[ID],[1]!Address[PIC])</f>
        <v/>
      </c>
      <c r="E1153" s="38" t="str">
        <f>_xlfn.XLOOKUP(Customer[[#This Row],[Customer ID]],[1]!Address[ID],[1]!Address[Full Address])</f>
        <v>NO.7, R&amp;R AYER KEROH ARAH UTARA,78000 Alor Gajah, Melaka</v>
      </c>
      <c r="F1153" s="12" t="s">
        <v>7657</v>
      </c>
      <c r="G1153" s="12" t="s">
        <v>7658</v>
      </c>
      <c r="H1153" s="12" t="s">
        <v>7659</v>
      </c>
      <c r="I1153" s="12" t="b">
        <f>ISNUMBER(VALUE(LEFT(Customer[[#This Row],[Address Line 3 (30 char)]],1)))</f>
        <v>0</v>
      </c>
      <c r="J1153" s="12" t="s">
        <v>61</v>
      </c>
      <c r="K1153" s="12">
        <v>78000</v>
      </c>
      <c r="L1153" s="12" t="s">
        <v>35</v>
      </c>
      <c r="M1153" s="13" t="e">
        <v>#N/A</v>
      </c>
      <c r="N1153" s="14" t="e">
        <v>#N/A</v>
      </c>
      <c r="O1153" s="14" t="e">
        <v>#N/A</v>
      </c>
      <c r="P1153" s="14" t="e">
        <v>#N/A</v>
      </c>
      <c r="Q1153" s="14" t="e">
        <v>#N/A</v>
      </c>
      <c r="R1153" s="15" t="s">
        <v>7660</v>
      </c>
      <c r="S1153" s="15" t="s">
        <v>5925</v>
      </c>
      <c r="T1153" s="16" t="s">
        <v>3477</v>
      </c>
      <c r="U1153" s="11" t="str">
        <f>_xlfn.XLOOKUP(Customer[[#This Row],[Customer ID]],[1]!Address[ID],[1]!Address[Phone No.(2)])</f>
        <v/>
      </c>
      <c r="V1153" s="11" t="str">
        <f>_xlfn.XLOOKUP(Customer[[#This Row],[Customer ID]],[1]!Address[ID],[1]!Address[Type])</f>
        <v>CAFE</v>
      </c>
      <c r="W1153" s="11" t="str">
        <f>_xlfn.XLOOKUP(Customer[[#This Row],[Customer ID]],[1]!Address[ID],[1]!Address[CT])</f>
        <v>30 DAYS</v>
      </c>
      <c r="X1153" s="11"/>
      <c r="Y1153" s="17" t="s">
        <v>5926</v>
      </c>
      <c r="Z1153" s="17" t="e">
        <f>_xlfn.XLOOKUP(Customer[[#This Row],[NewType]],$AF$36:$AF$54,$AG$36:$AG$54)</f>
        <v>#N/A</v>
      </c>
      <c r="AA1153" s="17" t="s">
        <v>7661</v>
      </c>
      <c r="AB1153" s="11" t="str">
        <f>_xlfn.XLOOKUP(Customer[[#This Row],[Customer ID]],[1]!Address[ID],[1]!Address[Subtype])</f>
        <v>PLUS</v>
      </c>
      <c r="AC1153" s="18" t="str">
        <f>_xlfn.XLOOKUP(Customer[[#This Row],[Customer ID]],[1]!Address[ID],[1]!Address[Zone])</f>
        <v>SOUTH</v>
      </c>
    </row>
    <row r="1154" spans="1:30" x14ac:dyDescent="0.3">
      <c r="A1154" s="37" t="s">
        <v>7662</v>
      </c>
      <c r="B1154" s="38" t="str">
        <f>_xlfn.XLOOKUP(Customer[[#This Row],[Customer ID]],[1]!Name[ID],[1]!Name[Description(1)])</f>
        <v>RM CAFE</v>
      </c>
      <c r="C1154" s="38" t="str">
        <f>_xlfn.XLOOKUP(Customer[[#This Row],[Customer ID]],[1]!Name[ID],[1]!Name[Description(2)])</f>
        <v/>
      </c>
      <c r="D1154" s="38" t="str">
        <f>_xlfn.XLOOKUP(Customer[[#This Row],[Customer ID]],[1]!Address[ID],[1]!Address[PIC])</f>
        <v>EN. AZRI</v>
      </c>
      <c r="E1154" s="38" t="str">
        <f>_xlfn.XLOOKUP(Customer[[#This Row],[Customer ID]],[1]!Address[ID],[1]!Address[Full Address])</f>
        <v>NO.2 ,KAWASAN REHAT &amp; RAWATPAGOH ARAH UTARA,84300 PAGOH JOHOR.</v>
      </c>
      <c r="F1154" s="12" t="s">
        <v>7663</v>
      </c>
      <c r="G1154" s="12" t="s">
        <v>7664</v>
      </c>
      <c r="H1154" s="41" t="s">
        <v>7635</v>
      </c>
      <c r="I1154" s="41" t="b">
        <f>ISNUMBER(VALUE(LEFT(Customer[[#This Row],[Address Line 3 (30 char)]],1)))</f>
        <v>0</v>
      </c>
      <c r="J1154" s="12" t="s">
        <v>52</v>
      </c>
      <c r="K1154" s="12">
        <v>84300</v>
      </c>
      <c r="L1154" s="12" t="s">
        <v>35</v>
      </c>
      <c r="M1154" s="13" t="e">
        <v>#N/A</v>
      </c>
      <c r="N1154" s="14" t="e">
        <v>#N/A</v>
      </c>
      <c r="O1154" s="14" t="e">
        <v>#N/A</v>
      </c>
      <c r="P1154" s="14" t="e">
        <v>#N/A</v>
      </c>
      <c r="Q1154" s="14" t="e">
        <v>#N/A</v>
      </c>
      <c r="R1154" s="15" t="s">
        <v>7665</v>
      </c>
      <c r="S1154" s="15" t="s">
        <v>5925</v>
      </c>
      <c r="T1154" s="16" t="s">
        <v>3477</v>
      </c>
      <c r="U1154" s="11" t="str">
        <f>_xlfn.XLOOKUP(Customer[[#This Row],[Customer ID]],[1]!Address[ID],[1]!Address[Phone No.(2)])</f>
        <v/>
      </c>
      <c r="V1154" s="11" t="str">
        <f>_xlfn.XLOOKUP(Customer[[#This Row],[Customer ID]],[1]!Address[ID],[1]!Address[Type])</f>
        <v>CAFE</v>
      </c>
      <c r="W1154" s="11" t="str">
        <f>_xlfn.XLOOKUP(Customer[[#This Row],[Customer ID]],[1]!Address[ID],[1]!Address[CT])</f>
        <v>30 DAYS</v>
      </c>
      <c r="X1154" s="11"/>
      <c r="Y1154" s="17" t="s">
        <v>5926</v>
      </c>
      <c r="Z1154" s="17" t="e">
        <f>_xlfn.XLOOKUP(Customer[[#This Row],[NewType]],$AF$36:$AF$54,$AG$36:$AG$54)</f>
        <v>#N/A</v>
      </c>
      <c r="AA1154" s="17" t="s">
        <v>7666</v>
      </c>
      <c r="AB1154" s="11" t="str">
        <f>_xlfn.XLOOKUP(Customer[[#This Row],[Customer ID]],[1]!Address[ID],[1]!Address[Subtype])</f>
        <v>PLUS</v>
      </c>
      <c r="AC1154" s="18" t="str">
        <f>_xlfn.XLOOKUP(Customer[[#This Row],[Customer ID]],[1]!Address[ID],[1]!Address[Zone])</f>
        <v>SOUTH</v>
      </c>
    </row>
    <row r="1155" spans="1:30" x14ac:dyDescent="0.3">
      <c r="A1155" s="37" t="s">
        <v>7667</v>
      </c>
      <c r="B1155" s="38" t="str">
        <f>_xlfn.XLOOKUP(Customer[[#This Row],[Customer ID]],[1]!Name[ID],[1]!Name[Description(1)])</f>
        <v>PANCHOR SHOP</v>
      </c>
      <c r="C1155" s="38" t="str">
        <f>_xlfn.XLOOKUP(Customer[[#This Row],[Customer ID]],[1]!Name[ID],[1]!Name[Description(2)])</f>
        <v/>
      </c>
      <c r="D1155" s="38" t="str">
        <f>_xlfn.XLOOKUP(Customer[[#This Row],[Customer ID]],[1]!Address[ID],[1]!Address[PIC])</f>
        <v/>
      </c>
      <c r="E1155" s="38" t="str">
        <f>_xlfn.XLOOKUP(Customer[[#This Row],[Customer ID]],[1]!Address[ID],[1]!Address[Full Address])</f>
        <v>No 7, RNR PAGOH UTARA KM 146,LEBUHRAYA UTARA SELATAN84500 PANCHOR JOHOR</v>
      </c>
      <c r="F1155" s="12" t="s">
        <v>7668</v>
      </c>
      <c r="G1155" s="12" t="s">
        <v>2573</v>
      </c>
      <c r="H1155" s="24" t="s">
        <v>7669</v>
      </c>
      <c r="I1155" s="24" t="b">
        <f>ISNUMBER(VALUE(LEFT(Customer[[#This Row],[Address Line 3 (30 char)]],1)))</f>
        <v>0</v>
      </c>
      <c r="J1155" s="12" t="s">
        <v>52</v>
      </c>
      <c r="K1155" s="12">
        <v>84500</v>
      </c>
      <c r="L1155" s="12" t="s">
        <v>35</v>
      </c>
      <c r="M1155" s="13" t="e">
        <v>#N/A</v>
      </c>
      <c r="N1155" s="14" t="e">
        <v>#N/A</v>
      </c>
      <c r="O1155" s="14" t="e">
        <v>#N/A</v>
      </c>
      <c r="P1155" s="14" t="e">
        <v>#N/A</v>
      </c>
      <c r="Q1155" s="14" t="e">
        <v>#N/A</v>
      </c>
      <c r="R1155" s="15" t="s">
        <v>7670</v>
      </c>
      <c r="S1155" s="15" t="s">
        <v>5925</v>
      </c>
      <c r="T1155" s="16" t="s">
        <v>3477</v>
      </c>
      <c r="U1155" s="11" t="str">
        <f>_xlfn.XLOOKUP(Customer[[#This Row],[Customer ID]],[1]!Address[ID],[1]!Address[Phone No.(2)])</f>
        <v/>
      </c>
      <c r="V1155" s="11" t="str">
        <f>_xlfn.XLOOKUP(Customer[[#This Row],[Customer ID]],[1]!Address[ID],[1]!Address[Type])</f>
        <v>CAFE</v>
      </c>
      <c r="W1155" s="11" t="str">
        <f>_xlfn.XLOOKUP(Customer[[#This Row],[Customer ID]],[1]!Address[ID],[1]!Address[CT])</f>
        <v>30 DAYS</v>
      </c>
      <c r="X1155" s="11"/>
      <c r="Y1155" s="17" t="s">
        <v>5926</v>
      </c>
      <c r="Z1155" s="17" t="e">
        <f>_xlfn.XLOOKUP(Customer[[#This Row],[NewType]],$AF$36:$AF$54,$AG$36:$AG$54)</f>
        <v>#N/A</v>
      </c>
      <c r="AA1155" s="17" t="s">
        <v>7671</v>
      </c>
      <c r="AB1155" s="11" t="str">
        <f>_xlfn.XLOOKUP(Customer[[#This Row],[Customer ID]],[1]!Address[ID],[1]!Address[Subtype])</f>
        <v>PLUS</v>
      </c>
      <c r="AC1155" s="18" t="str">
        <f>_xlfn.XLOOKUP(Customer[[#This Row],[Customer ID]],[1]!Address[ID],[1]!Address[Zone])</f>
        <v>SOUTH</v>
      </c>
    </row>
    <row r="1156" spans="1:30" x14ac:dyDescent="0.3">
      <c r="A1156" s="48" t="s">
        <v>7672</v>
      </c>
      <c r="B1156" s="49" t="str">
        <f>_xlfn.XLOOKUP(Customer[[#This Row],[Customer ID]],[1]!Name[ID],[1]!Name[Description(1)])</f>
        <v>NASRUL ABDULLAH</v>
      </c>
      <c r="C1156" s="50" t="str">
        <f>_xlfn.XLOOKUP(Customer[[#This Row],[Customer ID]],[1]!Name[ID],[1]!Name[Description(2)])</f>
        <v/>
      </c>
      <c r="D1156" s="50" t="str">
        <f>_xlfn.XLOOKUP(Customer[[#This Row],[Customer ID]],[1]!Address[ID],[1]!Address[PIC])</f>
        <v/>
      </c>
      <c r="E1156" s="38" t="str">
        <f>_xlfn.XLOOKUP(Customer[[#This Row],[Customer ID]],[1]!Address[ID],[1]!Address[Full Address])</f>
        <v>LOT 1477 KG GANDING,JALAN ALOR MENGKUDU, ALOR SETAR05400 KEDAH</v>
      </c>
      <c r="F1156" s="57" t="s">
        <v>7673</v>
      </c>
      <c r="G1156" s="57" t="s">
        <v>7674</v>
      </c>
      <c r="H1156" s="78"/>
      <c r="I1156" s="78" t="b">
        <f>ISNUMBER(VALUE(LEFT(Customer[[#This Row],[Address Line 3 (30 char)]],1)))</f>
        <v>0</v>
      </c>
      <c r="J1156" s="57" t="s">
        <v>79</v>
      </c>
      <c r="K1156" s="61" t="s">
        <v>3202</v>
      </c>
      <c r="L1156" s="57" t="s">
        <v>35</v>
      </c>
      <c r="M1156" s="58" t="e">
        <v>#N/A</v>
      </c>
      <c r="N1156" s="59" t="e">
        <v>#N/A</v>
      </c>
      <c r="O1156" s="59" t="e">
        <v>#N/A</v>
      </c>
      <c r="P1156" s="59" t="e">
        <v>#N/A</v>
      </c>
      <c r="Q1156" s="59" t="e">
        <v>#N/A</v>
      </c>
      <c r="R1156" s="51" t="s">
        <v>7675</v>
      </c>
      <c r="S1156" s="15" t="s">
        <v>4271</v>
      </c>
      <c r="T1156" s="52" t="s">
        <v>89</v>
      </c>
      <c r="U1156" s="49" t="str">
        <f>_xlfn.XLOOKUP(Customer[[#This Row],[Customer ID]],[1]!Address[ID],[1]!Address[Phone No.(2)])</f>
        <v/>
      </c>
      <c r="V1156" s="49" t="str">
        <f>_xlfn.XLOOKUP(Customer[[#This Row],[Customer ID]],[1]!Address[ID],[1]!Address[Type])</f>
        <v>SOCMED</v>
      </c>
      <c r="W1156" s="49" t="str">
        <f>_xlfn.XLOOKUP(Customer[[#This Row],[Customer ID]],[1]!Address[ID],[1]!Address[CT])</f>
        <v/>
      </c>
      <c r="X1156" s="49"/>
      <c r="Y1156" s="53" t="s">
        <v>90</v>
      </c>
      <c r="Z1156" s="53" t="e">
        <f>_xlfn.XLOOKUP(Customer[[#This Row],[NewType]],$AF$36:$AF$54,$AG$36:$AG$54)</f>
        <v>#N/A</v>
      </c>
      <c r="AA1156" s="53" t="s">
        <v>7676</v>
      </c>
      <c r="AB1156" s="49" t="str">
        <f>_xlfn.XLOOKUP(Customer[[#This Row],[Customer ID]],[1]!Address[ID],[1]!Address[Subtype])</f>
        <v>WHATSAPP</v>
      </c>
      <c r="AC1156" s="54" t="str">
        <f>_xlfn.XLOOKUP(Customer[[#This Row],[Customer ID]],[1]!Address[ID],[1]!Address[Zone])</f>
        <v>NORTH</v>
      </c>
      <c r="AD1156" s="55"/>
    </row>
    <row r="1157" spans="1:30" x14ac:dyDescent="0.3">
      <c r="A1157" s="48" t="s">
        <v>7677</v>
      </c>
      <c r="B1157" s="49" t="str">
        <f>_xlfn.XLOOKUP(Customer[[#This Row],[Customer ID]],[1]!Name[ID],[1]!Name[Description(1)])</f>
        <v>OSMAN BIN AHMAD</v>
      </c>
      <c r="C1157" s="50" t="str">
        <f>_xlfn.XLOOKUP(Customer[[#This Row],[Customer ID]],[1]!Name[ID],[1]!Name[Description(2)])</f>
        <v/>
      </c>
      <c r="D1157" s="50" t="str">
        <f>_xlfn.XLOOKUP(Customer[[#This Row],[Customer ID]],[1]!Address[ID],[1]!Address[PIC])</f>
        <v/>
      </c>
      <c r="E1157" s="38" t="str">
        <f>_xlfn.XLOOKUP(Customer[[#This Row],[Customer ID]],[1]!Address[ID],[1]!Address[Full Address])</f>
        <v>1347 KM 2, JALAN KAKI BUKIT(KANGAR-PADANG BESAR)KG BARU 01000 KANGAR, PERLIS.</v>
      </c>
      <c r="F1157" s="57" t="s">
        <v>7678</v>
      </c>
      <c r="G1157" s="57" t="s">
        <v>7679</v>
      </c>
      <c r="H1157" s="57" t="s">
        <v>7680</v>
      </c>
      <c r="I1157" s="57" t="b">
        <f>ISNUMBER(VALUE(LEFT(Customer[[#This Row],[Address Line 3 (30 char)]],1)))</f>
        <v>0</v>
      </c>
      <c r="J1157" s="57" t="s">
        <v>984</v>
      </c>
      <c r="K1157" s="61" t="s">
        <v>985</v>
      </c>
      <c r="L1157" s="57" t="s">
        <v>35</v>
      </c>
      <c r="M1157" s="58" t="e">
        <v>#N/A</v>
      </c>
      <c r="N1157" s="59" t="e">
        <v>#N/A</v>
      </c>
      <c r="O1157" s="59" t="e">
        <v>#N/A</v>
      </c>
      <c r="P1157" s="59" t="e">
        <v>#N/A</v>
      </c>
      <c r="Q1157" s="59" t="e">
        <v>#N/A</v>
      </c>
      <c r="R1157" s="51" t="s">
        <v>7681</v>
      </c>
      <c r="S1157" s="15" t="s">
        <v>4271</v>
      </c>
      <c r="T1157" s="52" t="s">
        <v>89</v>
      </c>
      <c r="U1157" s="49" t="str">
        <f>_xlfn.XLOOKUP(Customer[[#This Row],[Customer ID]],[1]!Address[ID],[1]!Address[Phone No.(2)])</f>
        <v/>
      </c>
      <c r="V1157" s="49" t="str">
        <f>_xlfn.XLOOKUP(Customer[[#This Row],[Customer ID]],[1]!Address[ID],[1]!Address[Type])</f>
        <v>SOCMED</v>
      </c>
      <c r="W1157" s="49" t="str">
        <f>_xlfn.XLOOKUP(Customer[[#This Row],[Customer ID]],[1]!Address[ID],[1]!Address[CT])</f>
        <v/>
      </c>
      <c r="X1157" s="49"/>
      <c r="Y1157" s="53" t="s">
        <v>90</v>
      </c>
      <c r="Z1157" s="53" t="e">
        <f>_xlfn.XLOOKUP(Customer[[#This Row],[NewType]],$AF$36:$AF$54,$AG$36:$AG$54)</f>
        <v>#N/A</v>
      </c>
      <c r="AA1157" s="53" t="s">
        <v>7682</v>
      </c>
      <c r="AB1157" s="49" t="str">
        <f>_xlfn.XLOOKUP(Customer[[#This Row],[Customer ID]],[1]!Address[ID],[1]!Address[Subtype])</f>
        <v>WHATSAPP</v>
      </c>
      <c r="AC1157" s="54" t="str">
        <f>_xlfn.XLOOKUP(Customer[[#This Row],[Customer ID]],[1]!Address[ID],[1]!Address[Zone])</f>
        <v>NORTH</v>
      </c>
      <c r="AD1157" s="55"/>
    </row>
    <row r="1158" spans="1:30" x14ac:dyDescent="0.3">
      <c r="A1158" s="48" t="s">
        <v>7683</v>
      </c>
      <c r="B1158" s="49" t="str">
        <f>_xlfn.XLOOKUP(Customer[[#This Row],[Customer ID]],[1]!Name[ID],[1]!Name[Description(1)])</f>
        <v>CHE EMBI BIN ISMAIL</v>
      </c>
      <c r="C1158" s="50" t="str">
        <f>_xlfn.XLOOKUP(Customer[[#This Row],[Customer ID]],[1]!Name[ID],[1]!Name[Description(2)])</f>
        <v/>
      </c>
      <c r="D1158" s="50" t="str">
        <f>_xlfn.XLOOKUP(Customer[[#This Row],[Customer ID]],[1]!Address[ID],[1]!Address[PIC])</f>
        <v/>
      </c>
      <c r="E1158" s="38" t="str">
        <f>_xlfn.XLOOKUP(Customer[[#This Row],[Customer ID]],[1]!Address[ID],[1]!Address[Full Address])</f>
        <v>NO 362C KAMPUNG SEKOLAH,TIKAM BATU 08600SUNGAI PETANI, KEDAH</v>
      </c>
      <c r="F1158" s="57" t="s">
        <v>7684</v>
      </c>
      <c r="G1158" s="57" t="s">
        <v>7685</v>
      </c>
      <c r="H1158" s="57" t="s">
        <v>7686</v>
      </c>
      <c r="I1158" s="57" t="b">
        <f>ISNUMBER(VALUE(LEFT(Customer[[#This Row],[Address Line 3 (30 char)]],1)))</f>
        <v>0</v>
      </c>
      <c r="J1158" s="57" t="s">
        <v>79</v>
      </c>
      <c r="K1158" s="61" t="s">
        <v>7687</v>
      </c>
      <c r="L1158" s="57" t="s">
        <v>35</v>
      </c>
      <c r="M1158" s="58" t="e">
        <v>#N/A</v>
      </c>
      <c r="N1158" s="59" t="e">
        <v>#N/A</v>
      </c>
      <c r="O1158" s="59" t="e">
        <v>#N/A</v>
      </c>
      <c r="P1158" s="59" t="e">
        <v>#N/A</v>
      </c>
      <c r="Q1158" s="59" t="e">
        <v>#N/A</v>
      </c>
      <c r="R1158" s="51" t="s">
        <v>7688</v>
      </c>
      <c r="S1158" s="15" t="s">
        <v>4271</v>
      </c>
      <c r="T1158" s="52" t="s">
        <v>89</v>
      </c>
      <c r="U1158" s="49" t="str">
        <f>_xlfn.XLOOKUP(Customer[[#This Row],[Customer ID]],[1]!Address[ID],[1]!Address[Phone No.(2)])</f>
        <v/>
      </c>
      <c r="V1158" s="49" t="str">
        <f>_xlfn.XLOOKUP(Customer[[#This Row],[Customer ID]],[1]!Address[ID],[1]!Address[Type])</f>
        <v>SOCMED</v>
      </c>
      <c r="W1158" s="49" t="str">
        <f>_xlfn.XLOOKUP(Customer[[#This Row],[Customer ID]],[1]!Address[ID],[1]!Address[CT])</f>
        <v/>
      </c>
      <c r="X1158" s="49"/>
      <c r="Y1158" s="53" t="s">
        <v>90</v>
      </c>
      <c r="Z1158" s="53" t="e">
        <f>_xlfn.XLOOKUP(Customer[[#This Row],[NewType]],$AF$36:$AF$54,$AG$36:$AG$54)</f>
        <v>#N/A</v>
      </c>
      <c r="AA1158" s="53" t="s">
        <v>7689</v>
      </c>
      <c r="AB1158" s="49" t="str">
        <f>_xlfn.XLOOKUP(Customer[[#This Row],[Customer ID]],[1]!Address[ID],[1]!Address[Subtype])</f>
        <v>WHATSAPP</v>
      </c>
      <c r="AC1158" s="54" t="str">
        <f>_xlfn.XLOOKUP(Customer[[#This Row],[Customer ID]],[1]!Address[ID],[1]!Address[Zone])</f>
        <v>NORTH</v>
      </c>
      <c r="AD1158" s="55"/>
    </row>
    <row r="1159" spans="1:30" x14ac:dyDescent="0.3">
      <c r="A1159" s="48" t="s">
        <v>7690</v>
      </c>
      <c r="B1159" s="49" t="str">
        <f>_xlfn.XLOOKUP(Customer[[#This Row],[Customer ID]],[1]!Name[ID],[1]!Name[Description(1)])</f>
        <v>HARON BIN AWANG</v>
      </c>
      <c r="C1159" s="50" t="str">
        <f>_xlfn.XLOOKUP(Customer[[#This Row],[Customer ID]],[1]!Name[ID],[1]!Name[Description(2)])</f>
        <v/>
      </c>
      <c r="D1159" s="50" t="str">
        <f>_xlfn.XLOOKUP(Customer[[#This Row],[Customer ID]],[1]!Address[ID],[1]!Address[PIC])</f>
        <v/>
      </c>
      <c r="E1159" s="38" t="str">
        <f>_xlfn.XLOOKUP(Customer[[#This Row],[Customer ID]],[1]!Address[ID],[1]!Address[Full Address])</f>
        <v>NO 4, TAMAN SERI PETALING09000 KULIM, KEDAH</v>
      </c>
      <c r="F1159" s="57" t="s">
        <v>7691</v>
      </c>
      <c r="G1159" s="57" t="s">
        <v>7692</v>
      </c>
      <c r="H1159" s="57" t="s">
        <v>36</v>
      </c>
      <c r="I1159" s="57" t="b">
        <f>ISNUMBER(VALUE(LEFT(Customer[[#This Row],[Address Line 3 (30 char)]],1)))</f>
        <v>0</v>
      </c>
      <c r="J1159" s="57" t="s">
        <v>79</v>
      </c>
      <c r="K1159" s="61" t="s">
        <v>2905</v>
      </c>
      <c r="L1159" s="57" t="s">
        <v>35</v>
      </c>
      <c r="M1159" s="58" t="e">
        <v>#N/A</v>
      </c>
      <c r="N1159" s="59" t="e">
        <v>#N/A</v>
      </c>
      <c r="O1159" s="59" t="e">
        <v>#N/A</v>
      </c>
      <c r="P1159" s="59" t="e">
        <v>#N/A</v>
      </c>
      <c r="Q1159" s="59" t="e">
        <v>#N/A</v>
      </c>
      <c r="R1159" s="51" t="s">
        <v>7693</v>
      </c>
      <c r="S1159" s="15" t="s">
        <v>4271</v>
      </c>
      <c r="T1159" s="52" t="s">
        <v>89</v>
      </c>
      <c r="U1159" s="49" t="str">
        <f>_xlfn.XLOOKUP(Customer[[#This Row],[Customer ID]],[1]!Address[ID],[1]!Address[Phone No.(2)])</f>
        <v/>
      </c>
      <c r="V1159" s="49" t="str">
        <f>_xlfn.XLOOKUP(Customer[[#This Row],[Customer ID]],[1]!Address[ID],[1]!Address[Type])</f>
        <v>SOCMED</v>
      </c>
      <c r="W1159" s="49" t="str">
        <f>_xlfn.XLOOKUP(Customer[[#This Row],[Customer ID]],[1]!Address[ID],[1]!Address[CT])</f>
        <v/>
      </c>
      <c r="X1159" s="49"/>
      <c r="Y1159" s="53" t="s">
        <v>90</v>
      </c>
      <c r="Z1159" s="53" t="e">
        <f>_xlfn.XLOOKUP(Customer[[#This Row],[NewType]],$AF$36:$AF$54,$AG$36:$AG$54)</f>
        <v>#N/A</v>
      </c>
      <c r="AA1159" s="53" t="s">
        <v>7694</v>
      </c>
      <c r="AB1159" s="49" t="str">
        <f>_xlfn.XLOOKUP(Customer[[#This Row],[Customer ID]],[1]!Address[ID],[1]!Address[Subtype])</f>
        <v>WHATSAPP</v>
      </c>
      <c r="AC1159" s="54" t="str">
        <f>_xlfn.XLOOKUP(Customer[[#This Row],[Customer ID]],[1]!Address[ID],[1]!Address[Zone])</f>
        <v>NORTH</v>
      </c>
      <c r="AD1159" s="55"/>
    </row>
    <row r="1160" spans="1:30" x14ac:dyDescent="0.3">
      <c r="A1160" s="48" t="s">
        <v>7695</v>
      </c>
      <c r="B1160" s="49" t="str">
        <f>_xlfn.XLOOKUP(Customer[[#This Row],[Customer ID]],[1]!Name[ID],[1]!Name[Description(1)])</f>
        <v>CAPT ROZALI HAMZAH - MB</v>
      </c>
      <c r="C1160" s="50" t="str">
        <f>_xlfn.XLOOKUP(Customer[[#This Row],[Customer ID]],[1]!Name[ID],[1]!Name[Description(2)])</f>
        <v/>
      </c>
      <c r="D1160" s="50" t="str">
        <f>_xlfn.XLOOKUP(Customer[[#This Row],[Customer ID]],[1]!Address[ID],[1]!Address[PIC])</f>
        <v/>
      </c>
      <c r="E1160" s="38" t="str">
        <f>_xlfn.XLOOKUP(Customer[[#This Row],[Customer ID]],[1]!Address[ID],[1]!Address[Full Address])</f>
        <v>8B JLN 1/3P MUTIARA BANGI</v>
      </c>
      <c r="F1160" s="57" t="s">
        <v>7696</v>
      </c>
      <c r="G1160" s="57" t="s">
        <v>36</v>
      </c>
      <c r="H1160" s="57" t="s">
        <v>36</v>
      </c>
      <c r="I1160" s="57" t="b">
        <f>ISNUMBER(VALUE(LEFT(Customer[[#This Row],[Address Line 3 (30 char)]],1)))</f>
        <v>0</v>
      </c>
      <c r="J1160" s="57" t="s">
        <v>79</v>
      </c>
      <c r="K1160" s="61" t="s">
        <v>2905</v>
      </c>
      <c r="L1160" s="57" t="s">
        <v>35</v>
      </c>
      <c r="M1160" s="58" t="e">
        <v>#N/A</v>
      </c>
      <c r="N1160" s="59" t="e">
        <v>#N/A</v>
      </c>
      <c r="O1160" s="59" t="e">
        <v>#N/A</v>
      </c>
      <c r="P1160" s="59" t="e">
        <v>#N/A</v>
      </c>
      <c r="Q1160" s="59" t="e">
        <v>#N/A</v>
      </c>
      <c r="R1160" s="51" t="s">
        <v>36</v>
      </c>
      <c r="S1160" s="15" t="s">
        <v>4271</v>
      </c>
      <c r="T1160" s="52" t="s">
        <v>89</v>
      </c>
      <c r="U1160" s="49" t="str">
        <f>_xlfn.XLOOKUP(Customer[[#This Row],[Customer ID]],[1]!Address[ID],[1]!Address[Phone No.(2)])</f>
        <v/>
      </c>
      <c r="V1160" s="49" t="str">
        <f>_xlfn.XLOOKUP(Customer[[#This Row],[Customer ID]],[1]!Address[ID],[1]!Address[Type])</f>
        <v>SOCMED</v>
      </c>
      <c r="W1160" s="49" t="str">
        <f>_xlfn.XLOOKUP(Customer[[#This Row],[Customer ID]],[1]!Address[ID],[1]!Address[CT])</f>
        <v/>
      </c>
      <c r="X1160" s="49"/>
      <c r="Y1160" s="53" t="s">
        <v>90</v>
      </c>
      <c r="Z1160" s="53" t="e">
        <f>_xlfn.XLOOKUP(Customer[[#This Row],[NewType]],$AF$36:$AF$54,$AG$36:$AG$54)</f>
        <v>#N/A</v>
      </c>
      <c r="AA1160" s="53" t="s">
        <v>7697</v>
      </c>
      <c r="AB1160" s="49" t="str">
        <f>_xlfn.XLOOKUP(Customer[[#This Row],[Customer ID]],[1]!Address[ID],[1]!Address[Subtype])</f>
        <v>WHATSAPP</v>
      </c>
      <c r="AC1160" s="54" t="str">
        <f>_xlfn.XLOOKUP(Customer[[#This Row],[Customer ID]],[1]!Address[ID],[1]!Address[Zone])</f>
        <v>CENTRAL</v>
      </c>
      <c r="AD1160" s="55"/>
    </row>
    <row r="1161" spans="1:30" x14ac:dyDescent="0.3">
      <c r="A1161" s="10" t="s">
        <v>7698</v>
      </c>
      <c r="B1161" s="11" t="str">
        <f>_xlfn.XLOOKUP(Customer[[#This Row],[Customer ID]],[1]!Name[ID],[1]!Name[Description(1)])</f>
        <v>EN HARRIS</v>
      </c>
      <c r="C1161" s="38" t="str">
        <f>_xlfn.XLOOKUP(Customer[[#This Row],[Customer ID]],[1]!Name[ID],[1]!Name[Description(2)])</f>
        <v/>
      </c>
      <c r="D1161" s="38" t="str">
        <f>_xlfn.XLOOKUP(Customer[[#This Row],[Customer ID]],[1]!Address[ID],[1]!Address[PIC])</f>
        <v/>
      </c>
      <c r="E1161" s="38" t="str">
        <f>_xlfn.XLOOKUP(Customer[[#This Row],[Customer ID]],[1]!Address[ID],[1]!Address[Full Address])</f>
        <v>VILLA SUTERA, BANDAR BARU BANGI</v>
      </c>
      <c r="F1161" s="63" t="s">
        <v>7699</v>
      </c>
      <c r="G1161" s="63" t="s">
        <v>4431</v>
      </c>
      <c r="H1161" s="63" t="s">
        <v>36</v>
      </c>
      <c r="I1161" s="63" t="b">
        <f>ISNUMBER(VALUE(LEFT(Customer[[#This Row],[Address Line 3 (30 char)]],1)))</f>
        <v>0</v>
      </c>
      <c r="J1161" s="63" t="s">
        <v>172</v>
      </c>
      <c r="K1161" s="63">
        <v>43650</v>
      </c>
      <c r="L1161" s="63" t="s">
        <v>35</v>
      </c>
      <c r="M1161" s="65" t="e">
        <v>#N/A</v>
      </c>
      <c r="N1161" s="66" t="e">
        <v>#N/A</v>
      </c>
      <c r="O1161" s="66" t="e">
        <v>#N/A</v>
      </c>
      <c r="P1161" s="66" t="e">
        <v>#N/A</v>
      </c>
      <c r="Q1161" s="66" t="e">
        <v>#N/A</v>
      </c>
      <c r="R1161" s="15" t="s">
        <v>7700</v>
      </c>
      <c r="S1161" s="15" t="s">
        <v>4271</v>
      </c>
      <c r="T1161" s="16" t="s">
        <v>89</v>
      </c>
      <c r="U1161" s="11" t="str">
        <f>_xlfn.XLOOKUP(Customer[[#This Row],[Customer ID]],[1]!Address[ID],[1]!Address[Phone No.(2)])</f>
        <v/>
      </c>
      <c r="V1161" s="11" t="str">
        <f>_xlfn.XLOOKUP(Customer[[#This Row],[Customer ID]],[1]!Address[ID],[1]!Address[Type])</f>
        <v>SOCMED</v>
      </c>
      <c r="W1161" s="11" t="str">
        <f>_xlfn.XLOOKUP(Customer[[#This Row],[Customer ID]],[1]!Address[ID],[1]!Address[CT])</f>
        <v/>
      </c>
      <c r="X1161" s="11"/>
      <c r="Y1161" s="17" t="s">
        <v>90</v>
      </c>
      <c r="Z1161" s="17" t="e">
        <f>_xlfn.XLOOKUP(Customer[[#This Row],[NewType]],$AF$36:$AF$54,$AG$36:$AG$54)</f>
        <v>#N/A</v>
      </c>
      <c r="AA1161" s="17" t="s">
        <v>7701</v>
      </c>
      <c r="AB1161" s="11" t="str">
        <f>_xlfn.XLOOKUP(Customer[[#This Row],[Customer ID]],[1]!Address[ID],[1]!Address[Subtype])</f>
        <v>WHATSAPP</v>
      </c>
      <c r="AC1161" s="18" t="str">
        <f>_xlfn.XLOOKUP(Customer[[#This Row],[Customer ID]],[1]!Address[ID],[1]!Address[Zone])</f>
        <v>CENTRAL</v>
      </c>
    </row>
    <row r="1162" spans="1:30" x14ac:dyDescent="0.3">
      <c r="A1162" s="10" t="s">
        <v>7702</v>
      </c>
      <c r="B1162" s="11" t="str">
        <f>_xlfn.XLOOKUP(Customer[[#This Row],[Customer ID]],[1]!Name[ID],[1]!Name[Description(1)])</f>
        <v>YB BAKHTIAR</v>
      </c>
      <c r="C1162" s="38" t="str">
        <f>_xlfn.XLOOKUP(Customer[[#This Row],[Customer ID]],[1]!Name[ID],[1]!Name[Description(2)])</f>
        <v/>
      </c>
      <c r="D1162" s="38" t="str">
        <f>_xlfn.XLOOKUP(Customer[[#This Row],[Customer ID]],[1]!Address[ID],[1]!Address[PIC])</f>
        <v/>
      </c>
      <c r="E1162" s="38" t="str">
        <f>_xlfn.XLOOKUP(Customer[[#This Row],[Customer ID]],[1]!Address[ID],[1]!Address[Full Address])</f>
        <v>8 JALAN BIDAI U8/22,BUKIT JELUTONG, SHAH ALAM40150</v>
      </c>
      <c r="F1162" s="12" t="s">
        <v>7703</v>
      </c>
      <c r="G1162" s="12" t="s">
        <v>7704</v>
      </c>
      <c r="H1162" s="24"/>
      <c r="I1162" s="24" t="b">
        <f>ISNUMBER(VALUE(LEFT(Customer[[#This Row],[Address Line 3 (30 char)]],1)))</f>
        <v>0</v>
      </c>
      <c r="J1162" s="12" t="s">
        <v>1907</v>
      </c>
      <c r="K1162" s="12">
        <v>40150</v>
      </c>
      <c r="L1162" s="12" t="s">
        <v>35</v>
      </c>
      <c r="M1162" s="13" t="e">
        <v>#N/A</v>
      </c>
      <c r="N1162" s="14" t="e">
        <v>#N/A</v>
      </c>
      <c r="O1162" s="14" t="e">
        <v>#N/A</v>
      </c>
      <c r="P1162" s="14" t="e">
        <v>#N/A</v>
      </c>
      <c r="Q1162" s="14" t="e">
        <v>#N/A</v>
      </c>
      <c r="R1162" s="15" t="s">
        <v>7705</v>
      </c>
      <c r="S1162" s="15" t="s">
        <v>4271</v>
      </c>
      <c r="T1162" s="16" t="s">
        <v>89</v>
      </c>
      <c r="U1162" s="11" t="str">
        <f>_xlfn.XLOOKUP(Customer[[#This Row],[Customer ID]],[1]!Address[ID],[1]!Address[Phone No.(2)])</f>
        <v/>
      </c>
      <c r="V1162" s="11" t="str">
        <f>_xlfn.XLOOKUP(Customer[[#This Row],[Customer ID]],[1]!Address[ID],[1]!Address[Type])</f>
        <v>SOCMED</v>
      </c>
      <c r="W1162" s="11" t="str">
        <f>_xlfn.XLOOKUP(Customer[[#This Row],[Customer ID]],[1]!Address[ID],[1]!Address[CT])</f>
        <v/>
      </c>
      <c r="X1162" s="11"/>
      <c r="Y1162" s="17" t="s">
        <v>90</v>
      </c>
      <c r="Z1162" s="17" t="e">
        <f>_xlfn.XLOOKUP(Customer[[#This Row],[NewType]],$AF$36:$AF$54,$AG$36:$AG$54)</f>
        <v>#N/A</v>
      </c>
      <c r="AA1162" s="17" t="s">
        <v>7706</v>
      </c>
      <c r="AB1162" s="11" t="str">
        <f>_xlfn.XLOOKUP(Customer[[#This Row],[Customer ID]],[1]!Address[ID],[1]!Address[Subtype])</f>
        <v>WHATSAPP</v>
      </c>
      <c r="AC1162" s="18" t="str">
        <f>_xlfn.XLOOKUP(Customer[[#This Row],[Customer ID]],[1]!Address[ID],[1]!Address[Zone])</f>
        <v>CENTRAL</v>
      </c>
    </row>
    <row r="1163" spans="1:30" x14ac:dyDescent="0.3">
      <c r="A1163" s="37" t="s">
        <v>7707</v>
      </c>
      <c r="B1163" s="38" t="str">
        <f>_xlfn.XLOOKUP(Customer[[#This Row],[Customer ID]],[1]!Name[ID],[1]!Name[Description(1)])</f>
        <v>ZAM INTERNATIONAL SDN BHD</v>
      </c>
      <c r="C1163" s="38" t="str">
        <f>_xlfn.XLOOKUP(Customer[[#This Row],[Customer ID]],[1]!Name[ID],[1]!Name[Description(2)])</f>
        <v/>
      </c>
      <c r="D1163" s="38" t="str">
        <f>_xlfn.XLOOKUP(Customer[[#This Row],[Customer ID]],[1]!Address[ID],[1]!Address[PIC])</f>
        <v/>
      </c>
      <c r="E1163" s="38" t="str">
        <f>_xlfn.XLOOKUP(Customer[[#This Row],[Customer ID]],[1]!Address[ID],[1]!Address[Full Address])</f>
        <v>LOT 4806-0-09 CBD PERDANA 2,JALAN PERDANA 63000 CYBERJAYA,SELANGOR</v>
      </c>
      <c r="F1163" s="12" t="s">
        <v>7708</v>
      </c>
      <c r="G1163" s="12" t="s">
        <v>7709</v>
      </c>
      <c r="H1163" s="12"/>
      <c r="I1163" s="12" t="b">
        <f>ISNUMBER(VALUE(LEFT(Customer[[#This Row],[Address Line 3 (30 char)]],1)))</f>
        <v>0</v>
      </c>
      <c r="J1163" s="12" t="s">
        <v>1907</v>
      </c>
      <c r="K1163" s="12">
        <v>63000</v>
      </c>
      <c r="L1163" s="12" t="s">
        <v>35</v>
      </c>
      <c r="M1163" s="13" t="e">
        <v>#N/A</v>
      </c>
      <c r="N1163" s="14" t="e">
        <v>#N/A</v>
      </c>
      <c r="O1163" s="14" t="e">
        <v>#N/A</v>
      </c>
      <c r="P1163" s="14" t="e">
        <v>#N/A</v>
      </c>
      <c r="Q1163" s="14" t="e">
        <v>#N/A</v>
      </c>
      <c r="R1163" s="15" t="s">
        <v>7710</v>
      </c>
      <c r="S1163" s="15" t="s">
        <v>3212</v>
      </c>
      <c r="T1163" s="16" t="s">
        <v>89</v>
      </c>
      <c r="U1163" s="11" t="str">
        <f>_xlfn.XLOOKUP(Customer[[#This Row],[Customer ID]],[1]!Address[ID],[1]!Address[Phone No.(2)])</f>
        <v/>
      </c>
      <c r="V1163" s="11" t="str">
        <f>_xlfn.XLOOKUP(Customer[[#This Row],[Customer ID]],[1]!Address[ID],[1]!Address[Type])</f>
        <v>SOCMED</v>
      </c>
      <c r="W1163" s="11" t="str">
        <f>_xlfn.XLOOKUP(Customer[[#This Row],[Customer ID]],[1]!Address[ID],[1]!Address[CT])</f>
        <v/>
      </c>
      <c r="X1163" s="11"/>
      <c r="Y1163" s="17" t="s">
        <v>90</v>
      </c>
      <c r="Z1163" s="17" t="e">
        <f>_xlfn.XLOOKUP(Customer[[#This Row],[NewType]],$AF$36:$AF$54,$AG$36:$AG$54)</f>
        <v>#N/A</v>
      </c>
      <c r="AA1163" s="17" t="s">
        <v>7711</v>
      </c>
      <c r="AB1163" s="11" t="str">
        <f>_xlfn.XLOOKUP(Customer[[#This Row],[Customer ID]],[1]!Address[ID],[1]!Address[Subtype])</f>
        <v>ONLINE HAJAR</v>
      </c>
      <c r="AC1163" s="18" t="str">
        <f>_xlfn.XLOOKUP(Customer[[#This Row],[Customer ID]],[1]!Address[ID],[1]!Address[Zone])</f>
        <v>EEEDH</v>
      </c>
    </row>
    <row r="1164" spans="1:30" x14ac:dyDescent="0.3">
      <c r="A1164" s="37" t="s">
        <v>7712</v>
      </c>
      <c r="B1164" s="38" t="str">
        <f>_xlfn.XLOOKUP(Customer[[#This Row],[Customer ID]],[1]!Name[ID],[1]!Name[Description(1)])</f>
        <v>RICHIAMO MART - BANDAR DATO ONN</v>
      </c>
      <c r="C1164" s="38" t="str">
        <f>_xlfn.XLOOKUP(Customer[[#This Row],[Customer ID]],[1]!Name[ID],[1]!Name[Description(2)])</f>
        <v/>
      </c>
      <c r="D1164" s="38" t="str">
        <f>_xlfn.XLOOKUP(Customer[[#This Row],[Customer ID]],[1]!Address[ID],[1]!Address[PIC])</f>
        <v>ZIANA</v>
      </c>
      <c r="E1164" s="38" t="str">
        <f>_xlfn.XLOOKUP(Customer[[#This Row],[Customer ID]],[1]!Address[ID],[1]!Address[Full Address])</f>
        <v>NO.38, PERJIRANAN 4/1,BANDAR DATO ONN,81100 JOHOR BAHRU</v>
      </c>
      <c r="F1164" s="12" t="s">
        <v>7713</v>
      </c>
      <c r="G1164" s="12" t="s">
        <v>7714</v>
      </c>
      <c r="H1164" s="24" t="s">
        <v>1155</v>
      </c>
      <c r="I1164" s="24" t="b">
        <f>ISNUMBER(VALUE(LEFT(Customer[[#This Row],[Address Line 3 (30 char)]],1)))</f>
        <v>0</v>
      </c>
      <c r="J1164" s="12" t="s">
        <v>52</v>
      </c>
      <c r="K1164" s="12">
        <v>81100</v>
      </c>
      <c r="L1164" s="12" t="s">
        <v>35</v>
      </c>
      <c r="M1164" s="13" t="e">
        <v>#N/A</v>
      </c>
      <c r="N1164" s="14" t="e">
        <v>#N/A</v>
      </c>
      <c r="O1164" s="14" t="e">
        <v>#N/A</v>
      </c>
      <c r="P1164" s="14" t="e">
        <v>#N/A</v>
      </c>
      <c r="Q1164" s="14" t="e">
        <v>#N/A</v>
      </c>
      <c r="R1164" s="15" t="s">
        <v>7715</v>
      </c>
      <c r="S1164" s="15" t="s">
        <v>5925</v>
      </c>
      <c r="T1164" s="16" t="s">
        <v>3477</v>
      </c>
      <c r="U1164" s="11" t="str">
        <f>_xlfn.XLOOKUP(Customer[[#This Row],[Customer ID]],[1]!Address[ID],[1]!Address[Phone No.(2)])</f>
        <v/>
      </c>
      <c r="V1164" s="11" t="str">
        <f>_xlfn.XLOOKUP(Customer[[#This Row],[Customer ID]],[1]!Address[ID],[1]!Address[Type])</f>
        <v>CAFE</v>
      </c>
      <c r="W1164" s="11" t="str">
        <f>_xlfn.XLOOKUP(Customer[[#This Row],[Customer ID]],[1]!Address[ID],[1]!Address[CT])</f>
        <v>CASH</v>
      </c>
      <c r="X1164" s="11"/>
      <c r="Y1164" s="17" t="s">
        <v>5926</v>
      </c>
      <c r="Z1164" s="17" t="e">
        <f>_xlfn.XLOOKUP(Customer[[#This Row],[NewType]],$AF$36:$AF$54,$AG$36:$AG$54)</f>
        <v>#N/A</v>
      </c>
      <c r="AA1164" s="17" t="s">
        <v>7716</v>
      </c>
      <c r="AB1164" s="11" t="str">
        <f>_xlfn.XLOOKUP(Customer[[#This Row],[Customer ID]],[1]!Address[ID],[1]!Address[Subtype])</f>
        <v>RICHIAMO</v>
      </c>
      <c r="AC1164" s="18" t="str">
        <f>_xlfn.XLOOKUP(Customer[[#This Row],[Customer ID]],[1]!Address[ID],[1]!Address[Zone])</f>
        <v>SOUTH</v>
      </c>
    </row>
    <row r="1165" spans="1:30" x14ac:dyDescent="0.3">
      <c r="A1165" s="37" t="s">
        <v>7717</v>
      </c>
      <c r="B1165" s="38" t="str">
        <f>_xlfn.XLOOKUP(Customer[[#This Row],[Customer ID]],[1]!Name[ID],[1]!Name[Description(1)])</f>
        <v>MYNEWS RETAIL SDN BHD</v>
      </c>
      <c r="C1165" s="38" t="str">
        <f>_xlfn.XLOOKUP(Customer[[#This Row],[Customer ID]],[1]!Name[ID],[1]!Name[Description(2)])</f>
        <v/>
      </c>
      <c r="D1165" s="38" t="str">
        <f>_xlfn.XLOOKUP(Customer[[#This Row],[Customer ID]],[1]!Address[ID],[1]!Address[PIC])</f>
        <v>NUR ATIKAH BINT</v>
      </c>
      <c r="E1165" s="38" t="str">
        <f>_xlfn.XLOOKUP(Customer[[#This Row],[Customer ID]],[1]!Address[ID],[1]!Address[Full Address])</f>
        <v>NO.3, JLN TEKNOLOGI 3/1,TMN SAINS SELANGOR 1, SEKSYEN 3,PJU 5,KOTA DAMANSARA, 47810 PJ SELANGOR.</v>
      </c>
      <c r="F1165" s="12" t="s">
        <v>7718</v>
      </c>
      <c r="G1165" s="12" t="s">
        <v>7719</v>
      </c>
      <c r="H1165" s="12" t="s">
        <v>7720</v>
      </c>
      <c r="I1165" s="12" t="b">
        <f>ISNUMBER(VALUE(LEFT(Customer[[#This Row],[Address Line 3 (30 char)]],1)))</f>
        <v>0</v>
      </c>
      <c r="J1165" s="12" t="s">
        <v>172</v>
      </c>
      <c r="K1165" s="12">
        <v>47810</v>
      </c>
      <c r="L1165" s="12" t="s">
        <v>35</v>
      </c>
      <c r="M1165" s="13">
        <v>199401020616</v>
      </c>
      <c r="N1165" s="14" t="s">
        <v>7721</v>
      </c>
      <c r="O1165" s="14" t="e">
        <v>#N/A</v>
      </c>
      <c r="P1165" s="14" t="e">
        <v>#N/A</v>
      </c>
      <c r="Q1165" s="19" t="s">
        <v>7722</v>
      </c>
      <c r="R1165" s="15" t="s">
        <v>7723</v>
      </c>
      <c r="S1165" s="15" t="s">
        <v>5917</v>
      </c>
      <c r="T1165" s="16" t="s">
        <v>3477</v>
      </c>
      <c r="U1165" s="11" t="str">
        <f>_xlfn.XLOOKUP(Customer[[#This Row],[Customer ID]],[1]!Address[ID],[1]!Address[Phone No.(2)])</f>
        <v/>
      </c>
      <c r="V1165" s="11" t="str">
        <f>_xlfn.XLOOKUP(Customer[[#This Row],[Customer ID]],[1]!Address[ID],[1]!Address[Type])</f>
        <v>CM</v>
      </c>
      <c r="W1165" s="11" t="str">
        <f>_xlfn.XLOOKUP(Customer[[#This Row],[Customer ID]],[1]!Address[ID],[1]!Address[CT])</f>
        <v>60 DAYS</v>
      </c>
      <c r="X1165" s="11"/>
      <c r="Y1165" s="17" t="s">
        <v>5918</v>
      </c>
      <c r="Z1165" s="17" t="e">
        <f>_xlfn.XLOOKUP(Customer[[#This Row],[NewType]],$AF$36:$AF$54,$AG$36:$AG$54)</f>
        <v>#N/A</v>
      </c>
      <c r="AA1165" s="17" t="s">
        <v>7724</v>
      </c>
      <c r="AB1165" s="11" t="str">
        <f>_xlfn.XLOOKUP(Customer[[#This Row],[Customer ID]],[1]!Address[ID],[1]!Address[Subtype])</f>
        <v>MYNEWS</v>
      </c>
      <c r="AC1165" s="18">
        <f>_xlfn.XLOOKUP(Customer[[#This Row],[Customer ID]],[1]!Address[ID],[1]!Address[Zone])</f>
        <v>0</v>
      </c>
    </row>
    <row r="1166" spans="1:30" x14ac:dyDescent="0.3">
      <c r="A1166" s="37" t="s">
        <v>7725</v>
      </c>
      <c r="B1166" s="38" t="str">
        <f>_xlfn.XLOOKUP(Customer[[#This Row],[Customer ID]],[1]!Name[ID],[1]!Name[Description(1)])</f>
        <v>NASI KUKUS DARA PUJAAN</v>
      </c>
      <c r="C1166" s="38" t="str">
        <f>_xlfn.XLOOKUP(Customer[[#This Row],[Customer ID]],[1]!Name[ID],[1]!Name[Description(2)])</f>
        <v/>
      </c>
      <c r="D1166" s="38" t="str">
        <f>_xlfn.XLOOKUP(Customer[[#This Row],[Customer ID]],[1]!Address[ID],[1]!Address[PIC])</f>
        <v>NURUL HASIKIN</v>
      </c>
      <c r="E1166" s="38" t="str">
        <f>_xlfn.XLOOKUP(Customer[[#This Row],[Customer ID]],[1]!Address[ID],[1]!Address[Full Address])</f>
        <v>NO.6 R&amp;R PAGOH ARAH UTARA84600 JOHOR</v>
      </c>
      <c r="F1166" s="12" t="s">
        <v>7726</v>
      </c>
      <c r="G1166" s="12" t="s">
        <v>7727</v>
      </c>
      <c r="H1166" s="12" t="s">
        <v>36</v>
      </c>
      <c r="I1166" s="12" t="b">
        <f>ISNUMBER(VALUE(LEFT(Customer[[#This Row],[Address Line 3 (30 char)]],1)))</f>
        <v>0</v>
      </c>
      <c r="J1166" s="12" t="s">
        <v>52</v>
      </c>
      <c r="K1166" s="12">
        <v>84600</v>
      </c>
      <c r="L1166" s="12" t="s">
        <v>35</v>
      </c>
      <c r="M1166" s="13" t="s">
        <v>7728</v>
      </c>
      <c r="N1166" s="14" t="s">
        <v>7729</v>
      </c>
      <c r="O1166" s="14" t="e">
        <v>#N/A</v>
      </c>
      <c r="P1166" s="14" t="e">
        <v>#N/A</v>
      </c>
      <c r="Q1166" s="14" t="e">
        <v>#N/A</v>
      </c>
      <c r="R1166" s="15" t="s">
        <v>7730</v>
      </c>
      <c r="S1166" s="15" t="s">
        <v>5925</v>
      </c>
      <c r="T1166" s="16" t="s">
        <v>3477</v>
      </c>
      <c r="U1166" s="11" t="str">
        <f>_xlfn.XLOOKUP(Customer[[#This Row],[Customer ID]],[1]!Address[ID],[1]!Address[Phone No.(2)])</f>
        <v/>
      </c>
      <c r="V1166" s="11" t="str">
        <f>_xlfn.XLOOKUP(Customer[[#This Row],[Customer ID]],[1]!Address[ID],[1]!Address[Type])</f>
        <v>CAFE</v>
      </c>
      <c r="W1166" s="11" t="str">
        <f>_xlfn.XLOOKUP(Customer[[#This Row],[Customer ID]],[1]!Address[ID],[1]!Address[CT])</f>
        <v>30 DAYS</v>
      </c>
      <c r="X1166" s="11"/>
      <c r="Y1166" s="17" t="s">
        <v>5926</v>
      </c>
      <c r="Z1166" s="17" t="e">
        <f>_xlfn.XLOOKUP(Customer[[#This Row],[NewType]],$AF$36:$AF$54,$AG$36:$AG$54)</f>
        <v>#N/A</v>
      </c>
      <c r="AA1166" s="17" t="s">
        <v>7731</v>
      </c>
      <c r="AB1166" s="11" t="str">
        <f>_xlfn.XLOOKUP(Customer[[#This Row],[Customer ID]],[1]!Address[ID],[1]!Address[Subtype])</f>
        <v>PLUS</v>
      </c>
      <c r="AC1166" s="18" t="str">
        <f>_xlfn.XLOOKUP(Customer[[#This Row],[Customer ID]],[1]!Address[ID],[1]!Address[Zone])</f>
        <v>SOUTH</v>
      </c>
    </row>
    <row r="1167" spans="1:30" x14ac:dyDescent="0.3">
      <c r="A1167" s="37" t="s">
        <v>7732</v>
      </c>
      <c r="B1167" s="38" t="str">
        <f>_xlfn.XLOOKUP(Customer[[#This Row],[Customer ID]],[1]!Name[ID],[1]!Name[Description(1)])</f>
        <v>RIZQILICIOUS</v>
      </c>
      <c r="C1167" s="38" t="str">
        <f>_xlfn.XLOOKUP(Customer[[#This Row],[Customer ID]],[1]!Name[ID],[1]!Name[Description(2)])</f>
        <v/>
      </c>
      <c r="D1167" s="38" t="str">
        <f>_xlfn.XLOOKUP(Customer[[#This Row],[Customer ID]],[1]!Address[ID],[1]!Address[PIC])</f>
        <v/>
      </c>
      <c r="E1167" s="38" t="str">
        <f>_xlfn.XLOOKUP(Customer[[#This Row],[Customer ID]],[1]!Address[ID],[1]!Address[Full Address])</f>
        <v>NO.3 R&amp;R PAGOH ARAH UTARA,JOHOR</v>
      </c>
      <c r="F1167" s="12" t="s">
        <v>7733</v>
      </c>
      <c r="G1167" s="12" t="s">
        <v>52</v>
      </c>
      <c r="H1167" s="12" t="s">
        <v>36</v>
      </c>
      <c r="I1167" s="12" t="b">
        <f>ISNUMBER(VALUE(LEFT(Customer[[#This Row],[Address Line 3 (30 char)]],1)))</f>
        <v>0</v>
      </c>
      <c r="J1167" s="12" t="s">
        <v>52</v>
      </c>
      <c r="K1167" s="12">
        <v>50480</v>
      </c>
      <c r="L1167" s="12" t="s">
        <v>35</v>
      </c>
      <c r="M1167" s="13" t="e">
        <v>#N/A</v>
      </c>
      <c r="N1167" s="14" t="e">
        <v>#N/A</v>
      </c>
      <c r="O1167" s="14" t="e">
        <v>#N/A</v>
      </c>
      <c r="P1167" s="14" t="e">
        <v>#N/A</v>
      </c>
      <c r="Q1167" s="14" t="e">
        <v>#N/A</v>
      </c>
      <c r="R1167" s="15" t="s">
        <v>7734</v>
      </c>
      <c r="S1167" s="15" t="s">
        <v>5925</v>
      </c>
      <c r="T1167" s="16" t="s">
        <v>3477</v>
      </c>
      <c r="U1167" s="11" t="str">
        <f>_xlfn.XLOOKUP(Customer[[#This Row],[Customer ID]],[1]!Address[ID],[1]!Address[Phone No.(2)])</f>
        <v/>
      </c>
      <c r="V1167" s="11" t="str">
        <f>_xlfn.XLOOKUP(Customer[[#This Row],[Customer ID]],[1]!Address[ID],[1]!Address[Type])</f>
        <v>CAFE</v>
      </c>
      <c r="W1167" s="11" t="str">
        <f>_xlfn.XLOOKUP(Customer[[#This Row],[Customer ID]],[1]!Address[ID],[1]!Address[CT])</f>
        <v>30 DAYS</v>
      </c>
      <c r="X1167" s="11"/>
      <c r="Y1167" s="17" t="s">
        <v>5926</v>
      </c>
      <c r="Z1167" s="17" t="e">
        <f>_xlfn.XLOOKUP(Customer[[#This Row],[NewType]],$AF$36:$AF$54,$AG$36:$AG$54)</f>
        <v>#N/A</v>
      </c>
      <c r="AA1167" s="17" t="s">
        <v>7735</v>
      </c>
      <c r="AB1167" s="11" t="str">
        <f>_xlfn.XLOOKUP(Customer[[#This Row],[Customer ID]],[1]!Address[ID],[1]!Address[Subtype])</f>
        <v>PLUS</v>
      </c>
      <c r="AC1167" s="18" t="str">
        <f>_xlfn.XLOOKUP(Customer[[#This Row],[Customer ID]],[1]!Address[ID],[1]!Address[Zone])</f>
        <v>SOUTH</v>
      </c>
    </row>
    <row r="1168" spans="1:30" x14ac:dyDescent="0.3">
      <c r="A1168" s="37" t="s">
        <v>7736</v>
      </c>
      <c r="B1168" s="38" t="str">
        <f>_xlfn.XLOOKUP(Customer[[#This Row],[Customer ID]],[1]!Name[ID],[1]!Name[Description(1)])</f>
        <v>MAMI COMBI</v>
      </c>
      <c r="C1168" s="38" t="str">
        <f>_xlfn.XLOOKUP(Customer[[#This Row],[Customer ID]],[1]!Name[ID],[1]!Name[Description(2)])</f>
        <v/>
      </c>
      <c r="D1168" s="38" t="str">
        <f>_xlfn.XLOOKUP(Customer[[#This Row],[Customer ID]],[1]!Address[ID],[1]!Address[PIC])</f>
        <v/>
      </c>
      <c r="E1168" s="38" t="str">
        <f>_xlfn.XLOOKUP(Customer[[#This Row],[Customer ID]],[1]!Address[ID],[1]!Address[Full Address])</f>
        <v>NO.9, R&amp;R PAGOH ARAH UTARAJOHOR</v>
      </c>
      <c r="F1168" s="12" t="s">
        <v>7737</v>
      </c>
      <c r="G1168" s="12" t="s">
        <v>52</v>
      </c>
      <c r="H1168" s="12" t="s">
        <v>36</v>
      </c>
      <c r="I1168" s="12" t="b">
        <f>ISNUMBER(VALUE(LEFT(Customer[[#This Row],[Address Line 3 (30 char)]],1)))</f>
        <v>0</v>
      </c>
      <c r="J1168" s="12" t="s">
        <v>52</v>
      </c>
      <c r="K1168" s="12">
        <v>50480</v>
      </c>
      <c r="L1168" s="12" t="s">
        <v>35</v>
      </c>
      <c r="M1168" s="13" t="e">
        <v>#N/A</v>
      </c>
      <c r="N1168" s="14" t="e">
        <v>#N/A</v>
      </c>
      <c r="O1168" s="14" t="e">
        <v>#N/A</v>
      </c>
      <c r="P1168" s="14" t="e">
        <v>#N/A</v>
      </c>
      <c r="Q1168" s="14" t="e">
        <v>#N/A</v>
      </c>
      <c r="R1168" s="15" t="s">
        <v>7738</v>
      </c>
      <c r="S1168" s="15" t="s">
        <v>5925</v>
      </c>
      <c r="T1168" s="16" t="s">
        <v>3477</v>
      </c>
      <c r="U1168" s="11" t="str">
        <f>_xlfn.XLOOKUP(Customer[[#This Row],[Customer ID]],[1]!Address[ID],[1]!Address[Phone No.(2)])</f>
        <v/>
      </c>
      <c r="V1168" s="11" t="str">
        <f>_xlfn.XLOOKUP(Customer[[#This Row],[Customer ID]],[1]!Address[ID],[1]!Address[Type])</f>
        <v>CAFE</v>
      </c>
      <c r="W1168" s="11" t="str">
        <f>_xlfn.XLOOKUP(Customer[[#This Row],[Customer ID]],[1]!Address[ID],[1]!Address[CT])</f>
        <v>30 DAYS</v>
      </c>
      <c r="X1168" s="11"/>
      <c r="Y1168" s="17" t="s">
        <v>5926</v>
      </c>
      <c r="Z1168" s="17" t="e">
        <f>_xlfn.XLOOKUP(Customer[[#This Row],[NewType]],$AF$36:$AF$54,$AG$36:$AG$54)</f>
        <v>#N/A</v>
      </c>
      <c r="AA1168" s="17" t="s">
        <v>7739</v>
      </c>
      <c r="AB1168" s="11" t="str">
        <f>_xlfn.XLOOKUP(Customer[[#This Row],[Customer ID]],[1]!Address[ID],[1]!Address[Subtype])</f>
        <v>PLUS</v>
      </c>
      <c r="AC1168" s="18" t="str">
        <f>_xlfn.XLOOKUP(Customer[[#This Row],[Customer ID]],[1]!Address[ID],[1]!Address[Zone])</f>
        <v>SOUTH</v>
      </c>
    </row>
    <row r="1169" spans="1:30" x14ac:dyDescent="0.3">
      <c r="A1169" s="37" t="s">
        <v>7740</v>
      </c>
      <c r="B1169" s="38" t="str">
        <f>_xlfn.XLOOKUP(Customer[[#This Row],[Customer ID]],[1]!Name[ID],[1]!Name[Description(1)])</f>
        <v>BENS MOTORSPORT SDN BHD</v>
      </c>
      <c r="C1169" s="38" t="str">
        <f>_xlfn.XLOOKUP(Customer[[#This Row],[Customer ID]],[1]!Name[ID],[1]!Name[Description(2)])</f>
        <v/>
      </c>
      <c r="D1169" s="38" t="str">
        <f>_xlfn.XLOOKUP(Customer[[#This Row],[Customer ID]],[1]!Address[ID],[1]!Address[PIC])</f>
        <v/>
      </c>
      <c r="E1169" s="38" t="str">
        <f>_xlfn.XLOOKUP(Customer[[#This Row],[Customer ID]],[1]!Address[ID],[1]!Address[Full Address])</f>
        <v>NO.1-G-05,BLOCK 1 GROUND FLOOR, KONDO PRIMA U1,JLN KERJAYA, SEKSYEN U1,40150 SHAH ALAM, SELANGOR</v>
      </c>
      <c r="F1169" s="12" t="s">
        <v>7741</v>
      </c>
      <c r="G1169" s="12" t="s">
        <v>7742</v>
      </c>
      <c r="H1169" s="12" t="s">
        <v>7743</v>
      </c>
      <c r="I1169" s="12" t="b">
        <f>ISNUMBER(VALUE(LEFT(Customer[[#This Row],[Address Line 3 (30 char)]],1)))</f>
        <v>0</v>
      </c>
      <c r="J1169" s="12" t="s">
        <v>1907</v>
      </c>
      <c r="K1169" s="12">
        <v>40150</v>
      </c>
      <c r="L1169" s="12" t="s">
        <v>35</v>
      </c>
      <c r="M1169" s="13" t="e">
        <v>#N/A</v>
      </c>
      <c r="N1169" s="14" t="e">
        <v>#N/A</v>
      </c>
      <c r="O1169" s="14" t="e">
        <v>#N/A</v>
      </c>
      <c r="P1169" s="14" t="e">
        <v>#N/A</v>
      </c>
      <c r="Q1169" s="14" t="e">
        <v>#N/A</v>
      </c>
      <c r="R1169" s="15" t="s">
        <v>7744</v>
      </c>
      <c r="S1169" s="15" t="s">
        <v>5917</v>
      </c>
      <c r="T1169" s="16" t="s">
        <v>3477</v>
      </c>
      <c r="U1169" s="11" t="str">
        <f>_xlfn.XLOOKUP(Customer[[#This Row],[Customer ID]],[1]!Address[ID],[1]!Address[Phone No.(2)])</f>
        <v/>
      </c>
      <c r="V1169" s="11" t="str">
        <f>_xlfn.XLOOKUP(Customer[[#This Row],[Customer ID]],[1]!Address[ID],[1]!Address[Type])</f>
        <v>CM</v>
      </c>
      <c r="W1169" s="11" t="str">
        <f>_xlfn.XLOOKUP(Customer[[#This Row],[Customer ID]],[1]!Address[ID],[1]!Address[CT])</f>
        <v>CASH</v>
      </c>
      <c r="X1169" s="11"/>
      <c r="Y1169" s="17" t="s">
        <v>5918</v>
      </c>
      <c r="Z1169" s="17" t="e">
        <f>_xlfn.XLOOKUP(Customer[[#This Row],[NewType]],$AF$36:$AF$54,$AG$36:$AG$54)</f>
        <v>#N/A</v>
      </c>
      <c r="AA1169" s="17" t="s">
        <v>7745</v>
      </c>
      <c r="AB1169" s="11" t="str">
        <f>_xlfn.XLOOKUP(Customer[[#This Row],[Customer ID]],[1]!Address[ID],[1]!Address[Subtype])</f>
        <v>BEN MOTOR</v>
      </c>
      <c r="AC1169" s="18">
        <f>_xlfn.XLOOKUP(Customer[[#This Row],[Customer ID]],[1]!Address[ID],[1]!Address[Zone])</f>
        <v>0</v>
      </c>
    </row>
    <row r="1170" spans="1:30" x14ac:dyDescent="0.3">
      <c r="A1170" s="43" t="s">
        <v>7746</v>
      </c>
      <c r="B1170" s="44" t="str">
        <f>_xlfn.XLOOKUP(Customer[[#This Row],[Customer ID]],[1]!Name[ID],[1]!Name[Description(1)])</f>
        <v>KAMPONG MART</v>
      </c>
      <c r="C1170" s="44" t="str">
        <f>_xlfn.XLOOKUP(Customer[[#This Row],[Customer ID]],[1]!Name[ID],[1]!Name[Description(2)])</f>
        <v/>
      </c>
      <c r="D1170" s="44" t="str">
        <f>_xlfn.XLOOKUP(Customer[[#This Row],[Customer ID]],[1]!Address[ID],[1]!Address[PIC])</f>
        <v/>
      </c>
      <c r="E1170" s="38" t="str">
        <f>_xlfn.XLOOKUP(Customer[[#This Row],[Customer ID]],[1]!Address[ID],[1]!Address[Full Address])</f>
        <v>24D JALAN RAJA MUDA MUSA,OFF JALAN RAJA ALANG, KAMPUNG BARU,50300 KUALA LUMPUR</v>
      </c>
      <c r="F1170" s="29" t="s">
        <v>7747</v>
      </c>
      <c r="G1170" s="29" t="s">
        <v>7748</v>
      </c>
      <c r="H1170" s="79"/>
      <c r="I1170" s="79" t="b">
        <f>ISNUMBER(VALUE(LEFT(Customer[[#This Row],[Address Line 3 (30 char)]],1)))</f>
        <v>0</v>
      </c>
      <c r="J1170" s="29" t="s">
        <v>34</v>
      </c>
      <c r="K1170" s="29">
        <v>50300</v>
      </c>
      <c r="L1170" s="29" t="s">
        <v>35</v>
      </c>
      <c r="M1170" s="31" t="e">
        <v>#N/A</v>
      </c>
      <c r="N1170" s="36" t="e">
        <v>#N/A</v>
      </c>
      <c r="O1170" s="36" t="e">
        <v>#N/A</v>
      </c>
      <c r="P1170" s="36" t="e">
        <v>#N/A</v>
      </c>
      <c r="Q1170" s="36" t="e">
        <v>#N/A</v>
      </c>
      <c r="R1170" s="80" t="s">
        <v>7749</v>
      </c>
      <c r="S1170" s="80" t="s">
        <v>3476</v>
      </c>
      <c r="T1170" s="81"/>
      <c r="U1170" s="28" t="str">
        <f>_xlfn.XLOOKUP(Customer[[#This Row],[Customer ID]],[1]!Address[ID],[1]!Address[Phone No.(2)])</f>
        <v/>
      </c>
      <c r="V1170" s="28" t="str">
        <f>_xlfn.XLOOKUP(Customer[[#This Row],[Customer ID]],[1]!Address[ID],[1]!Address[Type])</f>
        <v>SOCMED</v>
      </c>
      <c r="W1170" s="28" t="str">
        <f>_xlfn.XLOOKUP(Customer[[#This Row],[Customer ID]],[1]!Address[ID],[1]!Address[CT])</f>
        <v/>
      </c>
      <c r="X1170" s="28"/>
      <c r="Y1170" s="82" t="s">
        <v>90</v>
      </c>
      <c r="Z1170" s="82" t="e">
        <f>_xlfn.XLOOKUP(Customer[[#This Row],[NewType]],$AF$36:$AF$54,$AG$36:$AG$54)</f>
        <v>#N/A</v>
      </c>
      <c r="AA1170" s="82" t="s">
        <v>7750</v>
      </c>
      <c r="AB1170" s="28" t="str">
        <f>_xlfn.XLOOKUP(Customer[[#This Row],[Customer ID]],[1]!Address[ID],[1]!Address[Subtype])</f>
        <v>ONLINE ROS</v>
      </c>
      <c r="AC1170" s="83" t="str">
        <f>_xlfn.XLOOKUP(Customer[[#This Row],[Customer ID]],[1]!Address[ID],[1]!Address[Zone])</f>
        <v>CENTRAL</v>
      </c>
      <c r="AD1170" s="84"/>
    </row>
    <row r="1171" spans="1:30" x14ac:dyDescent="0.3">
      <c r="A1171" s="37" t="s">
        <v>7751</v>
      </c>
      <c r="B1171" s="38" t="str">
        <f>_xlfn.XLOOKUP(Customer[[#This Row],[Customer ID]],[1]!Name[ID],[1]!Name[Description(1)])</f>
        <v>NUR SYAZWANI ZAMINUDIN</v>
      </c>
      <c r="C1171" s="38" t="str">
        <f>_xlfn.XLOOKUP(Customer[[#This Row],[Customer ID]],[1]!Name[ID],[1]!Name[Description(2)])</f>
        <v/>
      </c>
      <c r="D1171" s="38" t="str">
        <f>_xlfn.XLOOKUP(Customer[[#This Row],[Customer ID]],[1]!Address[ID],[1]!Address[PIC])</f>
        <v/>
      </c>
      <c r="E1171" s="38" t="str">
        <f>_xlfn.XLOOKUP(Customer[[#This Row],[Customer ID]],[1]!Address[ID],[1]!Address[Full Address])</f>
        <v>NO 82, JALAN S2 K1/1,PEARL 132, SEREMBAN 2,70300 SEREMBAN</v>
      </c>
      <c r="F1171" s="12" t="s">
        <v>7752</v>
      </c>
      <c r="G1171" s="12" t="s">
        <v>7753</v>
      </c>
      <c r="H1171" s="24" t="s">
        <v>2411</v>
      </c>
      <c r="I1171" s="24" t="b">
        <f>ISNUMBER(VALUE(LEFT(Customer[[#This Row],[Address Line 3 (30 char)]],1)))</f>
        <v>0</v>
      </c>
      <c r="J1171" s="12" t="s">
        <v>203</v>
      </c>
      <c r="K1171" s="12">
        <v>70300</v>
      </c>
      <c r="L1171" s="12" t="s">
        <v>35</v>
      </c>
      <c r="M1171" s="13" t="e">
        <v>#N/A</v>
      </c>
      <c r="N1171" s="14" t="e">
        <v>#N/A</v>
      </c>
      <c r="O1171" s="14" t="e">
        <v>#N/A</v>
      </c>
      <c r="P1171" s="14" t="e">
        <v>#N/A</v>
      </c>
      <c r="Q1171" s="14" t="e">
        <v>#N/A</v>
      </c>
      <c r="R1171" s="15" t="s">
        <v>7754</v>
      </c>
      <c r="S1171" s="15" t="s">
        <v>88</v>
      </c>
      <c r="T1171" s="16" t="s">
        <v>89</v>
      </c>
      <c r="U1171" s="11" t="str">
        <f>_xlfn.XLOOKUP(Customer[[#This Row],[Customer ID]],[1]!Address[ID],[1]!Address[Phone No.(2)])</f>
        <v/>
      </c>
      <c r="V1171" s="11" t="s">
        <v>7755</v>
      </c>
      <c r="W1171" s="11" t="str">
        <f>_xlfn.XLOOKUP(Customer[[#This Row],[Customer ID]],[1]!Address[ID],[1]!Address[CT])</f>
        <v/>
      </c>
      <c r="X1171" s="11"/>
      <c r="Y1171" s="17" t="s">
        <v>90</v>
      </c>
      <c r="Z1171" s="17" t="e">
        <f>_xlfn.XLOOKUP(Customer[[#This Row],[NewType]],$AF$36:$AF$54,$AG$36:$AG$54)</f>
        <v>#N/A</v>
      </c>
      <c r="AA1171" s="17" t="s">
        <v>7756</v>
      </c>
      <c r="AB1171" s="11" t="str">
        <f>_xlfn.XLOOKUP(Customer[[#This Row],[Customer ID]],[1]!Address[ID],[1]!Address[Subtype])</f>
        <v>ONLINE ROS</v>
      </c>
      <c r="AC1171" s="18" t="str">
        <f>_xlfn.XLOOKUP(Customer[[#This Row],[Customer ID]],[1]!Address[ID],[1]!Address[Zone])</f>
        <v>CENTRAL</v>
      </c>
    </row>
    <row r="1172" spans="1:30" x14ac:dyDescent="0.3">
      <c r="A1172" s="72" t="s">
        <v>7757</v>
      </c>
      <c r="B1172" s="68" t="str">
        <f>_xlfn.XLOOKUP(Customer[[#This Row],[Customer ID]],[1]!Name[ID],[1]!Name[Description(1)])</f>
        <v>TUAN MOHAMAD ABDUL KADIR</v>
      </c>
      <c r="C1172" s="62" t="s">
        <v>7758</v>
      </c>
      <c r="D1172" s="62" t="str">
        <f>_xlfn.XLOOKUP(Customer[[#This Row],[Customer ID]],[1]!Address[ID],[1]!Address[PIC])</f>
        <v/>
      </c>
      <c r="E1172" s="38" t="str">
        <f>_xlfn.XLOOKUP(Customer[[#This Row],[Customer ID]],[1]!Address[ID],[1]!Address[Full Address])</f>
        <v>PERSATUAN PENDUDUK TAMAN SRI BAIDURI,SEKSYEN 9 SHAH ALAM,4,JLN SULTAN SALAHUDDIN ABDUL AZIZ SHAHDUA 9/6B, SEKSYEN 9,40100 SHAH ALAM.SEL</v>
      </c>
      <c r="F1172" s="63" t="s">
        <v>7759</v>
      </c>
      <c r="G1172" s="63" t="s">
        <v>7760</v>
      </c>
      <c r="H1172" s="63" t="s">
        <v>7761</v>
      </c>
      <c r="I1172" s="63" t="b">
        <f>ISNUMBER(VALUE(LEFT(Customer[[#This Row],[Address Line 3 (30 char)]],1)))</f>
        <v>0</v>
      </c>
      <c r="J1172" s="63" t="s">
        <v>172</v>
      </c>
      <c r="K1172" s="63">
        <v>40100</v>
      </c>
      <c r="L1172" s="63" t="s">
        <v>35</v>
      </c>
      <c r="M1172" s="65" t="e">
        <v>#N/A</v>
      </c>
      <c r="N1172" s="66" t="e">
        <v>#N/A</v>
      </c>
      <c r="O1172" s="66" t="e">
        <v>#N/A</v>
      </c>
      <c r="P1172" s="66" t="e">
        <v>#N/A</v>
      </c>
      <c r="Q1172" s="66" t="e">
        <v>#N/A</v>
      </c>
      <c r="R1172" s="67" t="s">
        <v>7762</v>
      </c>
      <c r="S1172" s="15" t="s">
        <v>5934</v>
      </c>
      <c r="T1172" s="76"/>
      <c r="U1172" s="68" t="str">
        <f>_xlfn.XLOOKUP(Customer[[#This Row],[Customer ID]],[1]!Address[ID],[1]!Address[Phone No.(2)])</f>
        <v/>
      </c>
      <c r="V1172" s="68" t="str">
        <f>_xlfn.XLOOKUP(Customer[[#This Row],[Customer ID]],[1]!Address[ID],[1]!Address[Type])</f>
        <v>SOCMED</v>
      </c>
      <c r="W1172" s="68" t="str">
        <f>_xlfn.XLOOKUP(Customer[[#This Row],[Customer ID]],[1]!Address[ID],[1]!Address[CT])</f>
        <v>CASH</v>
      </c>
      <c r="X1172" s="68"/>
      <c r="Y1172" s="69" t="s">
        <v>90</v>
      </c>
      <c r="Z1172" s="69" t="e">
        <f>_xlfn.XLOOKUP(Customer[[#This Row],[NewType]],$AF$36:$AF$54,$AG$36:$AG$54)</f>
        <v>#N/A</v>
      </c>
      <c r="AA1172" s="69" t="s">
        <v>7763</v>
      </c>
      <c r="AB1172" s="68" t="str">
        <f>_xlfn.XLOOKUP(Customer[[#This Row],[Customer ID]],[1]!Address[ID],[1]!Address[Subtype])</f>
        <v>WHATSAPP</v>
      </c>
      <c r="AC1172" s="70" t="str">
        <f>_xlfn.XLOOKUP(Customer[[#This Row],[Customer ID]],[1]!Address[ID],[1]!Address[Zone])</f>
        <v>POUTH</v>
      </c>
      <c r="AD1172" s="71"/>
    </row>
    <row r="1173" spans="1:30" x14ac:dyDescent="0.3">
      <c r="A1173" s="37" t="s">
        <v>7764</v>
      </c>
      <c r="B1173" s="38" t="str">
        <f>_xlfn.XLOOKUP(Customer[[#This Row],[Customer ID]],[1]!Name[ID],[1]!Name[Description(1)])</f>
        <v>HOSPITAL PAKAR AN-NUR</v>
      </c>
      <c r="C1173" s="38" t="str">
        <f>_xlfn.XLOOKUP(Customer[[#This Row],[Customer ID]],[1]!Name[ID],[1]!Name[Description(2)])</f>
        <v>KOP K/TANGAN KESIHATAN AN-NUR</v>
      </c>
      <c r="D1173" s="38" t="str">
        <f>_xlfn.XLOOKUP(Customer[[#This Row],[Customer ID]],[1]!Address[ID],[1]!Address[PIC])</f>
        <v/>
      </c>
      <c r="E1173" s="38" t="str">
        <f>_xlfn.XLOOKUP(Customer[[#This Row],[Customer ID]],[1]!Address[ID],[1]!Address[Full Address])</f>
        <v>KOPERASI KAKITANGAN ANNUR SELANGOR BHD,HOSP PAKAR AN-NUR, JLN GERBANG WAWASAN 1SEKSYEN 15, 43650 BANDAR BARU BANGI,SELANGOR</v>
      </c>
      <c r="F1173" s="12" t="s">
        <v>7765</v>
      </c>
      <c r="G1173" s="12" t="s">
        <v>7766</v>
      </c>
      <c r="H1173" s="12" t="s">
        <v>7767</v>
      </c>
      <c r="I1173" s="12" t="b">
        <f>ISNUMBER(VALUE(LEFT(Customer[[#This Row],[Address Line 3 (30 char)]],1)))</f>
        <v>0</v>
      </c>
      <c r="J1173" s="12" t="s">
        <v>172</v>
      </c>
      <c r="K1173" s="12">
        <v>43650</v>
      </c>
      <c r="L1173" s="12" t="s">
        <v>35</v>
      </c>
      <c r="M1173" s="13" t="e">
        <v>#N/A</v>
      </c>
      <c r="N1173" s="14" t="e">
        <v>#N/A</v>
      </c>
      <c r="O1173" s="14" t="e">
        <v>#N/A</v>
      </c>
      <c r="P1173" s="14" t="e">
        <v>#N/A</v>
      </c>
      <c r="Q1173" s="14" t="e">
        <v>#N/A</v>
      </c>
      <c r="R1173" s="15" t="s">
        <v>7768</v>
      </c>
      <c r="S1173" s="15" t="s">
        <v>3476</v>
      </c>
      <c r="T1173" s="16" t="s">
        <v>3477</v>
      </c>
      <c r="U1173" s="11" t="str">
        <f>_xlfn.XLOOKUP(Customer[[#This Row],[Customer ID]],[1]!Address[ID],[1]!Address[Phone No.(2)])</f>
        <v/>
      </c>
      <c r="V1173" s="11" t="str">
        <f>_xlfn.XLOOKUP(Customer[[#This Row],[Customer ID]],[1]!Address[ID],[1]!Address[Type])</f>
        <v>PH</v>
      </c>
      <c r="W1173" s="11" t="str">
        <f>_xlfn.XLOOKUP(Customer[[#This Row],[Customer ID]],[1]!Address[ID],[1]!Address[CT])</f>
        <v>30 DAYS</v>
      </c>
      <c r="X1173" s="11"/>
      <c r="Y1173" s="17" t="s">
        <v>5955</v>
      </c>
      <c r="Z1173" s="17" t="e">
        <f>_xlfn.XLOOKUP(Customer[[#This Row],[NewType]],$AF$36:$AF$54,$AG$36:$AG$54)</f>
        <v>#N/A</v>
      </c>
      <c r="AA1173" s="17" t="s">
        <v>7769</v>
      </c>
      <c r="AB1173" s="11" t="str">
        <f>_xlfn.XLOOKUP(Customer[[#This Row],[Customer ID]],[1]!Address[ID],[1]!Address[Subtype])</f>
        <v>HOSP ANNUR</v>
      </c>
      <c r="AC1173" s="18" t="str">
        <f>_xlfn.XLOOKUP(Customer[[#This Row],[Customer ID]],[1]!Address[ID],[1]!Address[Zone])</f>
        <v>CENTRAL</v>
      </c>
    </row>
    <row r="1174" spans="1:30" x14ac:dyDescent="0.3">
      <c r="A1174" s="37" t="s">
        <v>7770</v>
      </c>
      <c r="B1174" s="38" t="str">
        <f>_xlfn.XLOOKUP(Customer[[#This Row],[Customer ID]],[1]!Name[ID],[1]!Name[Description(1)])</f>
        <v>KAS ANJUNG SANTAI</v>
      </c>
      <c r="C1174" s="38" t="str">
        <f>_xlfn.XLOOKUP(Customer[[#This Row],[Customer ID]],[1]!Name[ID],[1]!Name[Description(2)])</f>
        <v>MUHAMMAD AMIRUL</v>
      </c>
      <c r="D1174" s="38" t="str">
        <f>_xlfn.XLOOKUP(Customer[[#This Row],[Customer ID]],[1]!Address[ID],[1]!Address[PIC])</f>
        <v/>
      </c>
      <c r="E1174" s="38" t="str">
        <f>_xlfn.XLOOKUP(Customer[[#This Row],[Customer ID]],[1]!Address[ID],[1]!Address[Full Address])</f>
        <v>R&amp;R DENGKIL ARAH SELATAN,NO. 7, RSA DENGKIL ARAH SELATAN,LEBUHRAYA ELITE,43800 DENGKIL, SELANGOR</v>
      </c>
      <c r="F1174" s="12" t="s">
        <v>7771</v>
      </c>
      <c r="G1174" s="12" t="s">
        <v>7772</v>
      </c>
      <c r="H1174" s="12" t="s">
        <v>7773</v>
      </c>
      <c r="I1174" s="12" t="b">
        <f>ISNUMBER(VALUE(LEFT(Customer[[#This Row],[Address Line 3 (30 char)]],1)))</f>
        <v>0</v>
      </c>
      <c r="J1174" s="12" t="s">
        <v>1907</v>
      </c>
      <c r="K1174" s="12">
        <v>43800</v>
      </c>
      <c r="L1174" s="12" t="s">
        <v>35</v>
      </c>
      <c r="M1174" s="13" t="e">
        <v>#N/A</v>
      </c>
      <c r="N1174" s="14" t="e">
        <v>#N/A</v>
      </c>
      <c r="O1174" s="14" t="e">
        <v>#N/A</v>
      </c>
      <c r="P1174" s="14" t="e">
        <v>#N/A</v>
      </c>
      <c r="Q1174" s="14" t="e">
        <v>#N/A</v>
      </c>
      <c r="R1174" s="15" t="s">
        <v>7774</v>
      </c>
      <c r="S1174" s="15" t="s">
        <v>5925</v>
      </c>
      <c r="T1174" s="16" t="s">
        <v>3477</v>
      </c>
      <c r="U1174" s="11" t="str">
        <f>_xlfn.XLOOKUP(Customer[[#This Row],[Customer ID]],[1]!Address[ID],[1]!Address[Phone No.(2)])</f>
        <v/>
      </c>
      <c r="V1174" s="11" t="str">
        <f>_xlfn.XLOOKUP(Customer[[#This Row],[Customer ID]],[1]!Address[ID],[1]!Address[Type])</f>
        <v>CAFE</v>
      </c>
      <c r="W1174" s="11" t="str">
        <f>_xlfn.XLOOKUP(Customer[[#This Row],[Customer ID]],[1]!Address[ID],[1]!Address[CT])</f>
        <v>30 DAYS</v>
      </c>
      <c r="X1174" s="11"/>
      <c r="Y1174" s="17" t="s">
        <v>5926</v>
      </c>
      <c r="Z1174" s="17" t="e">
        <f>_xlfn.XLOOKUP(Customer[[#This Row],[NewType]],$AF$36:$AF$54,$AG$36:$AG$54)</f>
        <v>#N/A</v>
      </c>
      <c r="AA1174" s="17" t="s">
        <v>7775</v>
      </c>
      <c r="AB1174" s="11" t="str">
        <f>_xlfn.XLOOKUP(Customer[[#This Row],[Customer ID]],[1]!Address[ID],[1]!Address[Subtype])</f>
        <v>PLUS</v>
      </c>
      <c r="AC1174" s="18" t="str">
        <f>_xlfn.XLOOKUP(Customer[[#This Row],[Customer ID]],[1]!Address[ID],[1]!Address[Zone])</f>
        <v>UHAMMADOUH</v>
      </c>
    </row>
    <row r="1175" spans="1:30" x14ac:dyDescent="0.3">
      <c r="A1175" s="37" t="s">
        <v>7776</v>
      </c>
      <c r="B1175" s="38" t="str">
        <f>_xlfn.XLOOKUP(Customer[[#This Row],[Customer ID]],[1]!Name[ID],[1]!Name[Description(1)])</f>
        <v>NURIN AIDA BINTI MOHD KAMARUSSALAN</v>
      </c>
      <c r="C1175" s="38" t="str">
        <f>_xlfn.XLOOKUP(Customer[[#This Row],[Customer ID]],[1]!Name[ID],[1]!Name[Description(2)])</f>
        <v>(SALES ORDERING)</v>
      </c>
      <c r="D1175" s="38" t="str">
        <f>_xlfn.XLOOKUP(Customer[[#This Row],[Customer ID]],[1]!Address[ID],[1]!Address[PIC])</f>
        <v>NURIN</v>
      </c>
      <c r="E1175" s="38" t="str">
        <f>_xlfn.XLOOKUP(Customer[[#This Row],[Customer ID]],[1]!Address[ID],[1]!Address[Full Address])</f>
        <v>NO 935 TAMAN BANDAR EKAR 2/8,JALAN BANDAR EKAR,71200RANTAU, NEGERI SEMBILAN</v>
      </c>
      <c r="F1175" s="12" t="s">
        <v>7777</v>
      </c>
      <c r="G1175" s="12" t="s">
        <v>7778</v>
      </c>
      <c r="H1175" s="12" t="s">
        <v>6428</v>
      </c>
      <c r="I1175" s="12" t="b">
        <f>ISNUMBER(VALUE(LEFT(Customer[[#This Row],[Address Line 3 (30 char)]],1)))</f>
        <v>0</v>
      </c>
      <c r="J1175" s="12" t="s">
        <v>203</v>
      </c>
      <c r="K1175" s="12">
        <v>71200</v>
      </c>
      <c r="L1175" s="12" t="s">
        <v>35</v>
      </c>
      <c r="M1175" s="13" t="e">
        <v>#N/A</v>
      </c>
      <c r="N1175" s="14" t="e">
        <v>#N/A</v>
      </c>
      <c r="O1175" s="14" t="e">
        <v>#N/A</v>
      </c>
      <c r="P1175" s="14" t="e">
        <v>#N/A</v>
      </c>
      <c r="Q1175" s="19" t="s">
        <v>7779</v>
      </c>
      <c r="R1175" s="15" t="s">
        <v>7780</v>
      </c>
      <c r="S1175" s="16" t="s">
        <v>89</v>
      </c>
      <c r="T1175" s="16" t="s">
        <v>89</v>
      </c>
      <c r="U1175" s="11" t="str">
        <f>_xlfn.XLOOKUP(Customer[[#This Row],[Customer ID]],[1]!Address[ID],[1]!Address[Phone No.(2)])</f>
        <v/>
      </c>
      <c r="V1175" s="11" t="str">
        <f>_xlfn.XLOOKUP(Customer[[#This Row],[Customer ID]],[1]!Address[ID],[1]!Address[Type])</f>
        <v>WALK IN</v>
      </c>
      <c r="W1175" s="11" t="str">
        <f>_xlfn.XLOOKUP(Customer[[#This Row],[Customer ID]],[1]!Address[ID],[1]!Address[CT])</f>
        <v/>
      </c>
      <c r="X1175" s="11"/>
      <c r="Y1175" s="17" t="s">
        <v>6284</v>
      </c>
      <c r="Z1175" s="17" t="e">
        <f>_xlfn.XLOOKUP(Customer[[#This Row],[NewType]],$AF$36:$AF$54,$AG$36:$AG$54)</f>
        <v>#N/A</v>
      </c>
      <c r="AA1175" s="17" t="s">
        <v>7781</v>
      </c>
      <c r="AB1175" s="11" t="str">
        <f>_xlfn.XLOOKUP(Customer[[#This Row],[Customer ID]],[1]!Address[ID],[1]!Address[Subtype])</f>
        <v>STAFF</v>
      </c>
      <c r="AC1175" s="18" t="str">
        <f>_xlfn.XLOOKUP(Customer[[#This Row],[Customer ID]],[1]!Address[ID],[1]!Address[Zone])</f>
        <v>CENTRAL</v>
      </c>
    </row>
    <row r="1176" spans="1:30" x14ac:dyDescent="0.3">
      <c r="A1176" s="37" t="s">
        <v>7782</v>
      </c>
      <c r="B1176" s="38" t="str">
        <f>_xlfn.XLOOKUP(Customer[[#This Row],[Customer ID]],[1]!Name[ID],[1]!Name[Description(1)])</f>
        <v>PASARAYA HAJI ANUWAR</v>
      </c>
      <c r="C1176" s="38" t="str">
        <f>_xlfn.XLOOKUP(Customer[[#This Row],[Customer ID]],[1]!Name[ID],[1]!Name[Description(2)])</f>
        <v/>
      </c>
      <c r="D1176" s="38" t="str">
        <f>_xlfn.XLOOKUP(Customer[[#This Row],[Customer ID]],[1]!Address[ID],[1]!Address[PIC])</f>
        <v/>
      </c>
      <c r="E1176" s="38" t="str">
        <f>_xlfn.XLOOKUP(Customer[[#This Row],[Customer ID]],[1]!Address[ID],[1]!Address[Full Address])</f>
        <v>LOT 11190 WISMA MUIPTINGKAT BAWAH NADI KOTA, 26400BANDAR PUSAT JENGKA,PAHANG</v>
      </c>
      <c r="F1176" s="12" t="s">
        <v>7783</v>
      </c>
      <c r="G1176" s="12" t="s">
        <v>7784</v>
      </c>
      <c r="H1176" s="12" t="s">
        <v>7785</v>
      </c>
      <c r="I1176" s="12" t="b">
        <f>ISNUMBER(VALUE(LEFT(Customer[[#This Row],[Address Line 3 (30 char)]],1)))</f>
        <v>0</v>
      </c>
      <c r="J1176" s="12" t="s">
        <v>203</v>
      </c>
      <c r="K1176" s="12">
        <v>71200</v>
      </c>
      <c r="L1176" s="12" t="s">
        <v>35</v>
      </c>
      <c r="M1176" s="13" t="e">
        <v>#N/A</v>
      </c>
      <c r="N1176" s="14" t="e">
        <v>#N/A</v>
      </c>
      <c r="O1176" s="14" t="e">
        <v>#N/A</v>
      </c>
      <c r="P1176" s="14" t="e">
        <v>#N/A</v>
      </c>
      <c r="Q1176" s="14" t="e">
        <v>#N/A</v>
      </c>
      <c r="R1176" s="15" t="s">
        <v>7786</v>
      </c>
      <c r="S1176" s="15" t="s">
        <v>88</v>
      </c>
      <c r="T1176" s="16" t="s">
        <v>89</v>
      </c>
      <c r="U1176" s="11" t="str">
        <f>_xlfn.XLOOKUP(Customer[[#This Row],[Customer ID]],[1]!Address[ID],[1]!Address[Phone No.(2)])</f>
        <v/>
      </c>
      <c r="V1176" s="11" t="str">
        <f>_xlfn.XLOOKUP(Customer[[#This Row],[Customer ID]],[1]!Address[ID],[1]!Address[Type])</f>
        <v>SOCMED</v>
      </c>
      <c r="W1176" s="11" t="str">
        <f>_xlfn.XLOOKUP(Customer[[#This Row],[Customer ID]],[1]!Address[ID],[1]!Address[CT])</f>
        <v/>
      </c>
      <c r="X1176" s="11"/>
      <c r="Y1176" s="17" t="s">
        <v>90</v>
      </c>
      <c r="Z1176" s="17" t="e">
        <f>_xlfn.XLOOKUP(Customer[[#This Row],[NewType]],$AF$36:$AF$54,$AG$36:$AG$54)</f>
        <v>#N/A</v>
      </c>
      <c r="AA1176" s="17" t="s">
        <v>7787</v>
      </c>
      <c r="AB1176" s="11" t="str">
        <f>_xlfn.XLOOKUP(Customer[[#This Row],[Customer ID]],[1]!Address[ID],[1]!Address[Subtype])</f>
        <v>ONLINE ROS</v>
      </c>
      <c r="AC1176" s="18" t="str">
        <f>_xlfn.XLOOKUP(Customer[[#This Row],[Customer ID]],[1]!Address[ID],[1]!Address[Zone])</f>
        <v>CENTRAL</v>
      </c>
    </row>
    <row r="1177" spans="1:30" x14ac:dyDescent="0.3">
      <c r="A1177" s="37" t="s">
        <v>7788</v>
      </c>
      <c r="B1177" s="38" t="str">
        <f>_xlfn.XLOOKUP(Customer[[#This Row],[Customer ID]],[1]!Name[ID],[1]!Name[Description(1)])</f>
        <v>KOPERASI MRSM PARIT BERHAD</v>
      </c>
      <c r="C1177" s="38" t="str">
        <f>_xlfn.XLOOKUP(Customer[[#This Row],[Customer ID]],[1]!Name[ID],[1]!Name[Description(2)])</f>
        <v/>
      </c>
      <c r="D1177" s="38" t="str">
        <f>_xlfn.XLOOKUP(Customer[[#This Row],[Customer ID]],[1]!Address[ID],[1]!Address[PIC])</f>
        <v/>
      </c>
      <c r="E1177" s="38" t="str">
        <f>_xlfn.XLOOKUP(Customer[[#This Row],[Customer ID]],[1]!Address[ID],[1]!Address[Full Address])</f>
        <v>PUSAT PELAJAR, LOT 3836, MRSM PARIT,JALAN TG BELANJA-PARIT,32800 PARIT, PERAK</v>
      </c>
      <c r="F1177" s="12" t="s">
        <v>7789</v>
      </c>
      <c r="G1177" s="12" t="s">
        <v>7790</v>
      </c>
      <c r="H1177" s="12" t="s">
        <v>7791</v>
      </c>
      <c r="I1177" s="12" t="b">
        <f>ISNUMBER(VALUE(LEFT(Customer[[#This Row],[Address Line 3 (30 char)]],1)))</f>
        <v>0</v>
      </c>
      <c r="J1177" s="12" t="s">
        <v>242</v>
      </c>
      <c r="K1177" s="12">
        <v>32800</v>
      </c>
      <c r="L1177" s="12" t="s">
        <v>35</v>
      </c>
      <c r="M1177" s="13" t="e">
        <v>#N/A</v>
      </c>
      <c r="N1177" s="14" t="e">
        <v>#N/A</v>
      </c>
      <c r="O1177" s="14" t="e">
        <v>#N/A</v>
      </c>
      <c r="P1177" s="14" t="e">
        <v>#N/A</v>
      </c>
      <c r="Q1177" s="14" t="e">
        <v>#N/A</v>
      </c>
      <c r="R1177" s="15" t="s">
        <v>7792</v>
      </c>
      <c r="S1177" s="15" t="s">
        <v>88</v>
      </c>
      <c r="T1177" s="16" t="s">
        <v>89</v>
      </c>
      <c r="U1177" s="11" t="str">
        <f>_xlfn.XLOOKUP(Customer[[#This Row],[Customer ID]],[1]!Address[ID],[1]!Address[Phone No.(2)])</f>
        <v/>
      </c>
      <c r="V1177" s="11" t="str">
        <f>_xlfn.XLOOKUP(Customer[[#This Row],[Customer ID]],[1]!Address[ID],[1]!Address[Type])</f>
        <v>SOCMED</v>
      </c>
      <c r="W1177" s="11" t="str">
        <f>_xlfn.XLOOKUP(Customer[[#This Row],[Customer ID]],[1]!Address[ID],[1]!Address[CT])</f>
        <v/>
      </c>
      <c r="X1177" s="11"/>
      <c r="Y1177" s="17" t="s">
        <v>90</v>
      </c>
      <c r="Z1177" s="17" t="e">
        <f>_xlfn.XLOOKUP(Customer[[#This Row],[NewType]],$AF$36:$AF$54,$AG$36:$AG$54)</f>
        <v>#N/A</v>
      </c>
      <c r="AA1177" s="17" t="s">
        <v>7793</v>
      </c>
      <c r="AB1177" s="11" t="str">
        <f>_xlfn.XLOOKUP(Customer[[#This Row],[Customer ID]],[1]!Address[ID],[1]!Address[Subtype])</f>
        <v>ONLINE ROS</v>
      </c>
      <c r="AC1177" s="18" t="str">
        <f>_xlfn.XLOOKUP(Customer[[#This Row],[Customer ID]],[1]!Address[ID],[1]!Address[Zone])</f>
        <v>NORTH</v>
      </c>
    </row>
    <row r="1178" spans="1:30" x14ac:dyDescent="0.3">
      <c r="A1178" s="37" t="s">
        <v>7794</v>
      </c>
      <c r="B1178" s="32" t="str">
        <f>_xlfn.XLOOKUP(Customer[[#This Row],[Customer ID]],[1]!Name[ID],[1]!Name[Description(1)])</f>
        <v>EN NAZLI (WALK IN)</v>
      </c>
      <c r="C1178" s="32" t="str">
        <f>_xlfn.XLOOKUP(Customer[[#This Row],[Customer ID]],[1]!Name[ID],[1]!Name[Description(2)])</f>
        <v/>
      </c>
      <c r="D1178" s="38" t="str">
        <f>_xlfn.XLOOKUP(Customer[[#This Row],[Customer ID]],[1]!Address[ID],[1]!Address[PIC])</f>
        <v/>
      </c>
      <c r="E1178" s="38" t="str">
        <f>_xlfn.XLOOKUP(Customer[[#This Row],[Customer ID]],[1]!Address[ID],[1]!Address[Full Address])</f>
        <v>KG KANCHONG</v>
      </c>
      <c r="F1178" s="12" t="s">
        <v>6305</v>
      </c>
      <c r="G1178" s="12" t="s">
        <v>36</v>
      </c>
      <c r="H1178" s="12" t="s">
        <v>36</v>
      </c>
      <c r="I1178" s="12" t="b">
        <f>ISNUMBER(VALUE(LEFT(Customer[[#This Row],[Address Line 3 (30 char)]],1)))</f>
        <v>0</v>
      </c>
      <c r="J1178" s="32" t="s">
        <v>203</v>
      </c>
      <c r="K1178" s="32"/>
      <c r="L1178" s="12" t="s">
        <v>35</v>
      </c>
      <c r="M1178" s="13" t="e">
        <v>#N/A</v>
      </c>
      <c r="N1178" s="14" t="e">
        <v>#N/A</v>
      </c>
      <c r="O1178" s="14" t="e">
        <v>#N/A</v>
      </c>
      <c r="P1178" s="14" t="e">
        <v>#N/A</v>
      </c>
      <c r="Q1178" s="14" t="e">
        <v>#N/A</v>
      </c>
      <c r="R1178" s="15" t="s">
        <v>7795</v>
      </c>
      <c r="S1178" s="16" t="s">
        <v>6283</v>
      </c>
      <c r="T1178" s="16"/>
      <c r="U1178" s="11" t="str">
        <f>_xlfn.XLOOKUP(Customer[[#This Row],[Customer ID]],[1]!Address[ID],[1]!Address[Phone No.(2)])</f>
        <v/>
      </c>
      <c r="V1178" s="11" t="str">
        <f>_xlfn.XLOOKUP(Customer[[#This Row],[Customer ID]],[1]!Address[ID],[1]!Address[Type])</f>
        <v>WALK IN</v>
      </c>
      <c r="W1178" s="11" t="str">
        <f>_xlfn.XLOOKUP(Customer[[#This Row],[Customer ID]],[1]!Address[ID],[1]!Address[CT])</f>
        <v/>
      </c>
      <c r="X1178" s="11"/>
      <c r="Y1178" s="17" t="s">
        <v>6284</v>
      </c>
      <c r="Z1178" s="17" t="e">
        <f>_xlfn.XLOOKUP(Customer[[#This Row],[NewType]],$AF$36:$AF$54,$AG$36:$AG$54)</f>
        <v>#N/A</v>
      </c>
      <c r="AA1178" s="17" t="s">
        <v>7796</v>
      </c>
      <c r="AB1178" s="11" t="str">
        <f>_xlfn.XLOOKUP(Customer[[#This Row],[Customer ID]],[1]!Address[ID],[1]!Address[Subtype])</f>
        <v>RANTAU</v>
      </c>
      <c r="AC1178" s="18" t="str">
        <f>_xlfn.XLOOKUP(Customer[[#This Row],[Customer ID]],[1]!Address[ID],[1]!Address[Zone])</f>
        <v>CENTRAL</v>
      </c>
    </row>
    <row r="1179" spans="1:30" x14ac:dyDescent="0.3">
      <c r="A1179" s="43" t="s">
        <v>7797</v>
      </c>
      <c r="B1179" s="44" t="str">
        <f>_xlfn.XLOOKUP(Customer[[#This Row],[Customer ID]],[1]!Name[ID],[1]!Name[Description(1)])</f>
        <v>AGENT ZAHARATUL</v>
      </c>
      <c r="C1179" s="38" t="str">
        <f>_xlfn.XLOOKUP(Customer[[#This Row],[Customer ID]],[1]!Name[ID],[1]!Name[Description(2)])</f>
        <v/>
      </c>
      <c r="D1179" s="38" t="str">
        <f>_xlfn.XLOOKUP(Customer[[#This Row],[Customer ID]],[1]!Address[ID],[1]!Address[PIC])</f>
        <v>ZAHARAHTUL ADAW</v>
      </c>
      <c r="E1179" s="38" t="str">
        <f>_xlfn.XLOOKUP(Customer[[#This Row],[Customer ID]],[1]!Address[ID],[1]!Address[Full Address])</f>
        <v>No.17, Jalan SS 1/29Kampung Tunku, 47300 Petaling JayaSelangor</v>
      </c>
      <c r="F1179" s="12" t="s">
        <v>7798</v>
      </c>
      <c r="G1179" s="12" t="s">
        <v>7799</v>
      </c>
      <c r="H1179" s="41" t="s">
        <v>7800</v>
      </c>
      <c r="I1179" s="41" t="b">
        <f>ISNUMBER(VALUE(LEFT(Customer[[#This Row],[Address Line 3 (30 char)]],1)))</f>
        <v>0</v>
      </c>
      <c r="J1179" s="12" t="s">
        <v>172</v>
      </c>
      <c r="K1179" s="12">
        <v>47300</v>
      </c>
      <c r="L1179" s="12" t="s">
        <v>35</v>
      </c>
      <c r="M1179" s="13" t="e">
        <v>#N/A</v>
      </c>
      <c r="N1179" s="31" t="s">
        <v>7801</v>
      </c>
      <c r="O1179" s="14" t="e">
        <v>#N/A</v>
      </c>
      <c r="P1179" s="14" t="e">
        <v>#N/A</v>
      </c>
      <c r="Q1179" s="19" t="s">
        <v>7802</v>
      </c>
      <c r="R1179" s="15" t="s">
        <v>7803</v>
      </c>
      <c r="S1179" s="15" t="s">
        <v>6645</v>
      </c>
      <c r="T1179" s="16" t="s">
        <v>38</v>
      </c>
      <c r="U1179" s="11" t="str">
        <f>_xlfn.XLOOKUP(Customer[[#This Row],[Customer ID]],[1]!Address[ID],[1]!Address[Phone No.(2)])</f>
        <v/>
      </c>
      <c r="V1179" s="11" t="str">
        <f>_xlfn.XLOOKUP(Customer[[#This Row],[Customer ID]],[1]!Address[ID],[1]!Address[Type])</f>
        <v>AGENT</v>
      </c>
      <c r="W1179" s="11" t="str">
        <f>_xlfn.XLOOKUP(Customer[[#This Row],[Customer ID]],[1]!Address[ID],[1]!Address[CT])</f>
        <v/>
      </c>
      <c r="X1179" s="11"/>
      <c r="Y1179" s="17" t="s">
        <v>6639</v>
      </c>
      <c r="Z1179" s="17" t="e">
        <f>_xlfn.XLOOKUP(Customer[[#This Row],[NewType]],$AF$36:$AF$54,$AG$36:$AG$54)</f>
        <v>#N/A</v>
      </c>
      <c r="AA1179" s="17" t="s">
        <v>7804</v>
      </c>
      <c r="AB1179" s="11" t="str">
        <f>_xlfn.XLOOKUP(Customer[[#This Row],[Customer ID]],[1]!Address[ID],[1]!Address[Subtype])</f>
        <v>AGENT HQ</v>
      </c>
      <c r="AC1179" s="18" t="str">
        <f>_xlfn.XLOOKUP(Customer[[#This Row],[Customer ID]],[1]!Address[ID],[1]!Address[Zone])</f>
        <v>CENTRAL</v>
      </c>
    </row>
    <row r="1180" spans="1:30" x14ac:dyDescent="0.3">
      <c r="A1180" s="37" t="s">
        <v>7805</v>
      </c>
      <c r="B1180" s="38" t="str">
        <f>_xlfn.XLOOKUP(Customer[[#This Row],[Customer ID]],[1]!Name[ID],[1]!Name[Description(1)])</f>
        <v>BATU BELAH PETRSERVIS</v>
      </c>
      <c r="C1180" s="38" t="str">
        <f>_xlfn.XLOOKUP(Customer[[#This Row],[Customer ID]],[1]!Name[ID],[1]!Name[Description(2)])</f>
        <v>PS BATU BELAH</v>
      </c>
      <c r="D1180" s="38" t="str">
        <f>_xlfn.XLOOKUP(Customer[[#This Row],[Customer ID]],[1]!Address[ID],[1]!Address[PIC])</f>
        <v/>
      </c>
      <c r="E1180" s="38" t="str">
        <f>_xlfn.XLOOKUP(Customer[[#This Row],[Customer ID]],[1]!Address[ID],[1]!Address[Full Address])</f>
        <v>PS BATU BELAHLOT PT 15124- 15137, KG BATU BELAHLEBUHRAYA SHAPADU, KLANG42100 SELANGOR</v>
      </c>
      <c r="F1180" s="12" t="s">
        <v>7806</v>
      </c>
      <c r="G1180" s="12" t="s">
        <v>7807</v>
      </c>
      <c r="H1180" s="12" t="s">
        <v>7808</v>
      </c>
      <c r="I1180" s="12" t="b">
        <f>ISNUMBER(VALUE(LEFT(Customer[[#This Row],[Address Line 3 (30 char)]],1)))</f>
        <v>0</v>
      </c>
      <c r="J1180" s="12" t="s">
        <v>1907</v>
      </c>
      <c r="K1180" s="12">
        <v>42100</v>
      </c>
      <c r="L1180" s="12" t="s">
        <v>35</v>
      </c>
      <c r="M1180" s="13" t="e">
        <v>#N/A</v>
      </c>
      <c r="N1180" s="14" t="e">
        <v>#N/A</v>
      </c>
      <c r="O1180" s="14" t="e">
        <v>#N/A</v>
      </c>
      <c r="P1180" s="14" t="e">
        <v>#N/A</v>
      </c>
      <c r="Q1180" s="19" t="s">
        <v>7809</v>
      </c>
      <c r="R1180" s="15" t="s">
        <v>7810</v>
      </c>
      <c r="S1180" s="15" t="s">
        <v>37</v>
      </c>
      <c r="T1180" s="16" t="s">
        <v>38</v>
      </c>
      <c r="U1180" s="11" t="str">
        <f>_xlfn.XLOOKUP(Customer[[#This Row],[Customer ID]],[1]!Address[ID],[1]!Address[Phone No.(2)])</f>
        <v/>
      </c>
      <c r="V1180" s="11" t="str">
        <f>_xlfn.XLOOKUP(Customer[[#This Row],[Customer ID]],[1]!Address[ID],[1]!Address[Type])</f>
        <v>PETROMART</v>
      </c>
      <c r="W1180" s="11" t="str">
        <f>_xlfn.XLOOKUP(Customer[[#This Row],[Customer ID]],[1]!Address[ID],[1]!Address[CT])</f>
        <v>30 DAYS</v>
      </c>
      <c r="X1180" s="11" t="s">
        <v>39</v>
      </c>
      <c r="Y1180" s="17" t="s">
        <v>40</v>
      </c>
      <c r="Z1180" s="17" t="e">
        <f>_xlfn.XLOOKUP(Customer[[#This Row],[NewType]],$AF$36:$AF$54,$AG$36:$AG$54)</f>
        <v>#N/A</v>
      </c>
      <c r="AA1180" s="17" t="s">
        <v>7811</v>
      </c>
      <c r="AB1180" s="11" t="str">
        <f>_xlfn.XLOOKUP(Customer[[#This Row],[Customer ID]],[1]!Address[ID],[1]!Address[Subtype])</f>
        <v>PETRONAS</v>
      </c>
      <c r="AC1180" s="18" t="str">
        <f>_xlfn.XLOOKUP(Customer[[#This Row],[Customer ID]],[1]!Address[ID],[1]!Address[Zone])</f>
        <v>CENTRAL</v>
      </c>
    </row>
    <row r="1181" spans="1:30" x14ac:dyDescent="0.3">
      <c r="A1181" s="37" t="s">
        <v>7812</v>
      </c>
      <c r="B1181" s="38" t="str">
        <f>_xlfn.XLOOKUP(Customer[[#This Row],[Customer ID]],[1]!Name[ID],[1]!Name[Description(1)])</f>
        <v>FYAGO</v>
      </c>
      <c r="C1181" s="38" t="str">
        <f>_xlfn.XLOOKUP(Customer[[#This Row],[Customer ID]],[1]!Name[ID],[1]!Name[Description(2)])</f>
        <v>KPJ TAWAKAL KL SPECIALIST HOSPITAL</v>
      </c>
      <c r="D1181" s="38" t="str">
        <f>_xlfn.XLOOKUP(Customer[[#This Row],[Customer ID]],[1]!Address[ID],[1]!Address[PIC])</f>
        <v/>
      </c>
      <c r="E1181" s="38" t="str">
        <f>_xlfn.XLOOKUP(Customer[[#This Row],[Customer ID]],[1]!Address[ID],[1]!Address[Full Address])</f>
        <v>KPJ TAWAKKAL KL SPECIALIST HOSPITALNO.1, JALAN PAHANG BARAT,53000 KUALA LUMPUR</v>
      </c>
      <c r="F1181" s="12" t="s">
        <v>7813</v>
      </c>
      <c r="G1181" s="12" t="s">
        <v>7814</v>
      </c>
      <c r="H1181" s="12" t="s">
        <v>7815</v>
      </c>
      <c r="I1181" s="12" t="b">
        <f>ISNUMBER(VALUE(LEFT(Customer[[#This Row],[Address Line 3 (30 char)]],1)))</f>
        <v>0</v>
      </c>
      <c r="J1181" s="12" t="s">
        <v>34</v>
      </c>
      <c r="K1181" s="12">
        <v>53000</v>
      </c>
      <c r="L1181" s="12" t="s">
        <v>35</v>
      </c>
      <c r="M1181" s="13" t="e">
        <v>#N/A</v>
      </c>
      <c r="N1181" s="14" t="e">
        <v>#N/A</v>
      </c>
      <c r="O1181" s="14" t="e">
        <v>#N/A</v>
      </c>
      <c r="P1181" s="14" t="e">
        <v>#N/A</v>
      </c>
      <c r="Q1181" s="14" t="e">
        <v>#N/A</v>
      </c>
      <c r="R1181" s="15" t="s">
        <v>7816</v>
      </c>
      <c r="S1181" s="15" t="s">
        <v>3476</v>
      </c>
      <c r="T1181" s="16" t="s">
        <v>3477</v>
      </c>
      <c r="U1181" s="11" t="str">
        <f>_xlfn.XLOOKUP(Customer[[#This Row],[Customer ID]],[1]!Address[ID],[1]!Address[Phone No.(2)])</f>
        <v/>
      </c>
      <c r="V1181" s="11" t="str">
        <f>_xlfn.XLOOKUP(Customer[[#This Row],[Customer ID]],[1]!Address[ID],[1]!Address[Type])</f>
        <v>PH</v>
      </c>
      <c r="W1181" s="11" t="str">
        <f>_xlfn.XLOOKUP(Customer[[#This Row],[Customer ID]],[1]!Address[ID],[1]!Address[CT])</f>
        <v>30 DAYS</v>
      </c>
      <c r="X1181" s="11"/>
      <c r="Y1181" s="17" t="s">
        <v>5955</v>
      </c>
      <c r="Z1181" s="17" t="e">
        <f>_xlfn.XLOOKUP(Customer[[#This Row],[NewType]],$AF$36:$AF$54,$AG$36:$AG$54)</f>
        <v>#N/A</v>
      </c>
      <c r="AA1181" s="17" t="s">
        <v>7817</v>
      </c>
      <c r="AB1181" s="11" t="str">
        <f>_xlfn.XLOOKUP(Customer[[#This Row],[Customer ID]],[1]!Address[ID],[1]!Address[Subtype])</f>
        <v>FYAGO</v>
      </c>
      <c r="AC1181" s="18" t="str">
        <f>_xlfn.XLOOKUP(Customer[[#This Row],[Customer ID]],[1]!Address[ID],[1]!Address[Zone])</f>
        <v>CENTRAL</v>
      </c>
    </row>
    <row r="1182" spans="1:30" x14ac:dyDescent="0.3">
      <c r="A1182" s="37" t="s">
        <v>7818</v>
      </c>
      <c r="B1182" s="38" t="str">
        <f>_xlfn.XLOOKUP(Customer[[#This Row],[Customer ID]],[1]!Name[ID],[1]!Name[Description(1)])</f>
        <v>SUNGAI SETAR ENTRPRISE</v>
      </c>
      <c r="C1182" s="38" t="str">
        <f>_xlfn.XLOOKUP(Customer[[#This Row],[Customer ID]],[1]!Name[ID],[1]!Name[Description(2)])</f>
        <v>FIVE PETROL STATION</v>
      </c>
      <c r="D1182" s="38" t="str">
        <f>_xlfn.XLOOKUP(Customer[[#This Row],[Customer ID]],[1]!Address[ID],[1]!Address[PIC])</f>
        <v/>
      </c>
      <c r="E1182" s="38" t="str">
        <f>_xlfn.XLOOKUP(Customer[[#This Row],[Customer ID]],[1]!Address[ID],[1]!Address[Full Address])</f>
        <v>FIVE PETROL STATIONS/B 1571, LOT 399,SUNGAISETAR BESAR14310 NIBONG TEBALPULAU PINANG</v>
      </c>
      <c r="F1182" s="12" t="s">
        <v>7819</v>
      </c>
      <c r="G1182" s="12" t="s">
        <v>7820</v>
      </c>
      <c r="H1182" s="24" t="s">
        <v>7821</v>
      </c>
      <c r="I1182" s="24" t="b">
        <f>ISNUMBER(VALUE(LEFT(Customer[[#This Row],[Address Line 3 (30 char)]],1)))</f>
        <v>0</v>
      </c>
      <c r="J1182" s="12" t="s">
        <v>179</v>
      </c>
      <c r="K1182" s="12">
        <v>14310</v>
      </c>
      <c r="L1182" s="12" t="s">
        <v>35</v>
      </c>
      <c r="M1182" s="13" t="e">
        <v>#N/A</v>
      </c>
      <c r="N1182" s="14" t="e">
        <v>#N/A</v>
      </c>
      <c r="O1182" s="14" t="e">
        <v>#N/A</v>
      </c>
      <c r="P1182" s="14" t="e">
        <v>#N/A</v>
      </c>
      <c r="Q1182" s="19" t="s">
        <v>7822</v>
      </c>
      <c r="R1182" s="15" t="s">
        <v>7823</v>
      </c>
      <c r="S1182" s="15" t="s">
        <v>37</v>
      </c>
      <c r="T1182" s="16" t="s">
        <v>38</v>
      </c>
      <c r="U1182" s="11" t="str">
        <f>_xlfn.XLOOKUP(Customer[[#This Row],[Customer ID]],[1]!Address[ID],[1]!Address[Phone No.(2)])</f>
        <v/>
      </c>
      <c r="V1182" s="11" t="str">
        <f>_xlfn.XLOOKUP(Customer[[#This Row],[Customer ID]],[1]!Address[ID],[1]!Address[Type])</f>
        <v>PETROMART</v>
      </c>
      <c r="W1182" s="11" t="str">
        <f>_xlfn.XLOOKUP(Customer[[#This Row],[Customer ID]],[1]!Address[ID],[1]!Address[CT])</f>
        <v>30 DAYS</v>
      </c>
      <c r="X1182" s="11" t="s">
        <v>39</v>
      </c>
      <c r="Y1182" s="17" t="s">
        <v>40</v>
      </c>
      <c r="Z1182" s="17" t="e">
        <f>_xlfn.XLOOKUP(Customer[[#This Row],[NewType]],$AF$36:$AF$54,$AG$36:$AG$54)</f>
        <v>#N/A</v>
      </c>
      <c r="AA1182" s="17" t="s">
        <v>7824</v>
      </c>
      <c r="AB1182" s="11" t="str">
        <f>_xlfn.XLOOKUP(Customer[[#This Row],[Customer ID]],[1]!Address[ID],[1]!Address[Subtype])</f>
        <v>FIVE PETROL</v>
      </c>
      <c r="AC1182" s="18" t="str">
        <f>_xlfn.XLOOKUP(Customer[[#This Row],[Customer ID]],[1]!Address[ID],[1]!Address[Zone])</f>
        <v>NORTH</v>
      </c>
    </row>
    <row r="1183" spans="1:30" x14ac:dyDescent="0.3">
      <c r="A1183" s="37" t="s">
        <v>7825</v>
      </c>
      <c r="B1183" s="38" t="str">
        <f>_xlfn.XLOOKUP(Customer[[#This Row],[Customer ID]],[1]!Name[ID],[1]!Name[Description(1)])</f>
        <v>RAFIK ALI VISON GROUP (M) SDN BHD</v>
      </c>
      <c r="C1183" s="38" t="str">
        <f>_xlfn.XLOOKUP(Customer[[#This Row],[Customer ID]],[1]!Name[ID],[1]!Name[Description(2)])</f>
        <v>CALTEX PUTRA BERTAM PENANG</v>
      </c>
      <c r="D1183" s="38" t="str">
        <f>_xlfn.XLOOKUP(Customer[[#This Row],[Customer ID]],[1]!Address[ID],[1]!Address[PIC])</f>
        <v>pengurus</v>
      </c>
      <c r="E1183" s="38" t="str">
        <f>_xlfn.XLOOKUP(Customer[[#This Row],[Customer ID]],[1]!Address[ID],[1]!Address[Full Address])</f>
        <v>CALTEX PUTRA BERTAM PENANG2278, JALAN TUN HAMDAN  SHEIKH TAHIRBANDAR PUTRA BERTAM1320 KEPALA BATAS</v>
      </c>
      <c r="F1183" s="23" t="s">
        <v>7826</v>
      </c>
      <c r="G1183" s="12" t="s">
        <v>7827</v>
      </c>
      <c r="H1183" s="12" t="s">
        <v>7828</v>
      </c>
      <c r="I1183" s="12" t="b">
        <f>ISNUMBER(VALUE(LEFT(Customer[[#This Row],[Address Line 3 (30 char)]],1)))</f>
        <v>0</v>
      </c>
      <c r="J1183" s="12" t="s">
        <v>179</v>
      </c>
      <c r="K1183" s="12">
        <v>13200</v>
      </c>
      <c r="L1183" s="12" t="s">
        <v>35</v>
      </c>
      <c r="M1183" s="13" t="e">
        <v>#N/A</v>
      </c>
      <c r="N1183" s="14" t="e">
        <v>#N/A</v>
      </c>
      <c r="O1183" s="14" t="e">
        <v>#N/A</v>
      </c>
      <c r="P1183" s="14" t="e">
        <v>#N/A</v>
      </c>
      <c r="Q1183" s="14" t="e">
        <v>#N/A</v>
      </c>
      <c r="R1183" s="15" t="s">
        <v>36</v>
      </c>
      <c r="S1183" s="15" t="s">
        <v>37</v>
      </c>
      <c r="T1183" s="16" t="s">
        <v>38</v>
      </c>
      <c r="U1183" s="11" t="str">
        <f>_xlfn.XLOOKUP(Customer[[#This Row],[Customer ID]],[1]!Address[ID],[1]!Address[Phone No.(2)])</f>
        <v/>
      </c>
      <c r="V1183" s="11" t="str">
        <f>_xlfn.XLOOKUP(Customer[[#This Row],[Customer ID]],[1]!Address[ID],[1]!Address[Type])</f>
        <v>PETROMART</v>
      </c>
      <c r="W1183" s="11" t="str">
        <f>_xlfn.XLOOKUP(Customer[[#This Row],[Customer ID]],[1]!Address[ID],[1]!Address[CT])</f>
        <v>30</v>
      </c>
      <c r="X1183" s="11" t="s">
        <v>39</v>
      </c>
      <c r="Y1183" s="17" t="s">
        <v>40</v>
      </c>
      <c r="Z1183" s="17" t="e">
        <f>_xlfn.XLOOKUP(Customer[[#This Row],[NewType]],$AF$36:$AF$54,$AG$36:$AG$54)</f>
        <v>#N/A</v>
      </c>
      <c r="AA1183" s="17" t="s">
        <v>7829</v>
      </c>
      <c r="AB1183" s="11" t="str">
        <f>_xlfn.XLOOKUP(Customer[[#This Row],[Customer ID]],[1]!Address[ID],[1]!Address[Subtype])</f>
        <v>CALTEX</v>
      </c>
      <c r="AC1183" s="18" t="str">
        <f>_xlfn.XLOOKUP(Customer[[#This Row],[Customer ID]],[1]!Address[ID],[1]!Address[Zone])</f>
        <v>NORTH</v>
      </c>
    </row>
    <row r="1184" spans="1:30" x14ac:dyDescent="0.3">
      <c r="A1184" s="43" t="s">
        <v>7830</v>
      </c>
      <c r="B1184" s="44" t="str">
        <f>_xlfn.XLOOKUP(Customer[[#This Row],[Customer ID]],[1]!Name[ID],[1]!Name[Description(1)])</f>
        <v>KOPERASI PEGAWAI- PEGAWAI</v>
      </c>
      <c r="C1184" s="38" t="str">
        <f>_xlfn.XLOOKUP(Customer[[#This Row],[Customer ID]],[1]!Name[ID],[1]!Name[Description(2)])</f>
        <v>MM TAMAN SELUANG</v>
      </c>
      <c r="D1184" s="38" t="str">
        <f>_xlfn.XLOOKUP(Customer[[#This Row],[Customer ID]],[1]!Address[ID],[1]!Address[PIC])</f>
        <v/>
      </c>
      <c r="E1184" s="38" t="str">
        <f>_xlfn.XLOOKUP(Customer[[#This Row],[Customer ID]],[1]!Address[ID],[1]!Address[Full Address])</f>
        <v>MM TAMAN SELUANGKERAJAAN DAERAH KULIMPETRONAS TAMAN SELUANG LOT 703TAMAN SELUANG KULIM 09000 KEDAH</v>
      </c>
      <c r="F1184" s="12" t="s">
        <v>7831</v>
      </c>
      <c r="G1184" s="12" t="s">
        <v>7832</v>
      </c>
      <c r="H1184" s="12" t="s">
        <v>7833</v>
      </c>
      <c r="I1184" s="12" t="b">
        <f>ISNUMBER(VALUE(LEFT(Customer[[#This Row],[Address Line 3 (30 char)]],1)))</f>
        <v>0</v>
      </c>
      <c r="J1184" s="12" t="s">
        <v>79</v>
      </c>
      <c r="K1184" s="30" t="s">
        <v>2905</v>
      </c>
      <c r="L1184" s="12" t="s">
        <v>35</v>
      </c>
      <c r="M1184" s="13" t="e">
        <v>#N/A</v>
      </c>
      <c r="N1184" s="14" t="e">
        <v>#N/A</v>
      </c>
      <c r="O1184" s="14" t="e">
        <v>#N/A</v>
      </c>
      <c r="P1184" s="14" t="e">
        <v>#N/A</v>
      </c>
      <c r="Q1184" s="19" t="s">
        <v>7834</v>
      </c>
      <c r="R1184" s="15" t="s">
        <v>7835</v>
      </c>
      <c r="S1184" s="15" t="s">
        <v>37</v>
      </c>
      <c r="T1184" s="16" t="s">
        <v>38</v>
      </c>
      <c r="U1184" s="11" t="str">
        <f>_xlfn.XLOOKUP(Customer[[#This Row],[Customer ID]],[1]!Address[ID],[1]!Address[Phone No.(2)])</f>
        <v/>
      </c>
      <c r="V1184" s="11" t="str">
        <f>_xlfn.XLOOKUP(Customer[[#This Row],[Customer ID]],[1]!Address[ID],[1]!Address[Type])</f>
        <v>PETROMART</v>
      </c>
      <c r="W1184" s="11" t="str">
        <f>_xlfn.XLOOKUP(Customer[[#This Row],[Customer ID]],[1]!Address[ID],[1]!Address[CT])</f>
        <v>30</v>
      </c>
      <c r="X1184" s="11" t="s">
        <v>39</v>
      </c>
      <c r="Y1184" s="17" t="s">
        <v>40</v>
      </c>
      <c r="Z1184" s="17" t="e">
        <f>_xlfn.XLOOKUP(Customer[[#This Row],[NewType]],$AF$36:$AF$54,$AG$36:$AG$54)</f>
        <v>#N/A</v>
      </c>
      <c r="AA1184" s="17" t="s">
        <v>7836</v>
      </c>
      <c r="AB1184" s="11" t="str">
        <f>_xlfn.XLOOKUP(Customer[[#This Row],[Customer ID]],[1]!Address[ID],[1]!Address[Subtype])</f>
        <v>PETRONAS</v>
      </c>
      <c r="AC1184" s="18" t="str">
        <f>_xlfn.XLOOKUP(Customer[[#This Row],[Customer ID]],[1]!Address[ID],[1]!Address[Zone])</f>
        <v>NORTH</v>
      </c>
    </row>
    <row r="1185" spans="1:29" x14ac:dyDescent="0.3">
      <c r="A1185" s="43" t="s">
        <v>7837</v>
      </c>
      <c r="B1185" s="44" t="str">
        <f>_xlfn.XLOOKUP(Customer[[#This Row],[Customer ID]],[1]!Name[ID],[1]!Name[Description(1)])</f>
        <v>AMIRA ISMAIL</v>
      </c>
      <c r="C1185" s="38" t="str">
        <f>_xlfn.XLOOKUP(Customer[[#This Row],[Customer ID]],[1]!Name[ID],[1]!Name[Description(2)])</f>
        <v/>
      </c>
      <c r="D1185" s="38" t="str">
        <f>_xlfn.XLOOKUP(Customer[[#This Row],[Customer ID]],[1]!Address[ID],[1]!Address[PIC])</f>
        <v/>
      </c>
      <c r="E1185" s="38" t="str">
        <f>_xlfn.XLOOKUP(Customer[[#This Row],[Customer ID]],[1]!Address[ID],[1]!Address[Full Address])</f>
        <v>NO.48A, JALAN KM 18,KITA MEKAR, CYBERSOUTH, 43800DENGKIL, SEPAPNG, 43800 SELANGOR.</v>
      </c>
      <c r="F1185" s="12" t="s">
        <v>7838</v>
      </c>
      <c r="G1185" s="12" t="s">
        <v>7839</v>
      </c>
      <c r="H1185" s="12" t="s">
        <v>7840</v>
      </c>
      <c r="I1185" s="12" t="b">
        <f>ISNUMBER(VALUE(LEFT(Customer[[#This Row],[Address Line 3 (30 char)]],1)))</f>
        <v>0</v>
      </c>
      <c r="J1185" s="12" t="s">
        <v>172</v>
      </c>
      <c r="K1185" s="12">
        <v>43800</v>
      </c>
      <c r="L1185" s="12" t="s">
        <v>35</v>
      </c>
      <c r="M1185" s="13" t="e">
        <v>#N/A</v>
      </c>
      <c r="N1185" s="14" t="e">
        <v>#N/A</v>
      </c>
      <c r="O1185" s="14" t="e">
        <v>#N/A</v>
      </c>
      <c r="P1185" s="14" t="e">
        <v>#N/A</v>
      </c>
      <c r="Q1185" s="14" t="e">
        <v>#N/A</v>
      </c>
      <c r="R1185" s="15" t="s">
        <v>7841</v>
      </c>
      <c r="S1185" s="16"/>
      <c r="T1185" s="16"/>
      <c r="U1185" s="11" t="str">
        <f>_xlfn.XLOOKUP(Customer[[#This Row],[Customer ID]],[1]!Address[ID],[1]!Address[Phone No.(2)])</f>
        <v/>
      </c>
      <c r="V1185" s="11" t="str">
        <f>_xlfn.XLOOKUP(Customer[[#This Row],[Customer ID]],[1]!Address[ID],[1]!Address[Type])</f>
        <v>SOCMED</v>
      </c>
      <c r="W1185" s="11" t="str">
        <f>_xlfn.XLOOKUP(Customer[[#This Row],[Customer ID]],[1]!Address[ID],[1]!Address[CT])</f>
        <v/>
      </c>
      <c r="X1185" s="11"/>
      <c r="Y1185" s="17" t="s">
        <v>90</v>
      </c>
      <c r="Z1185" s="17" t="e">
        <f>_xlfn.XLOOKUP(Customer[[#This Row],[NewType]],$AF$36:$AF$54,$AG$36:$AG$54)</f>
        <v>#N/A</v>
      </c>
      <c r="AA1185" s="17" t="s">
        <v>7842</v>
      </c>
      <c r="AB1185" s="11" t="str">
        <f>_xlfn.XLOOKUP(Customer[[#This Row],[Customer ID]],[1]!Address[ID],[1]!Address[Subtype])</f>
        <v>SHOPEE</v>
      </c>
      <c r="AC1185" s="18" t="str">
        <f>_xlfn.XLOOKUP(Customer[[#This Row],[Customer ID]],[1]!Address[ID],[1]!Address[Zone])</f>
        <v>AIEDH</v>
      </c>
    </row>
    <row r="1186" spans="1:29" x14ac:dyDescent="0.3">
      <c r="A1186" s="37" t="s">
        <v>7843</v>
      </c>
      <c r="B1186" s="38" t="str">
        <f>_xlfn.XLOOKUP(Customer[[#This Row],[Customer ID]],[1]!Name[ID],[1]!Name[Description(1)])</f>
        <v>QPHARMA SDN BHD - PPUM</v>
      </c>
      <c r="C1186" s="38" t="str">
        <f>_xlfn.XLOOKUP(Customer[[#This Row],[Customer ID]],[1]!Name[ID],[1]!Name[Description(2)])</f>
        <v/>
      </c>
      <c r="D1186" s="38" t="str">
        <f>_xlfn.XLOOKUP(Customer[[#This Row],[Customer ID]],[1]!Address[ID],[1]!Address[PIC])</f>
        <v/>
      </c>
      <c r="E1186" s="38" t="str">
        <f>_xlfn.XLOOKUP(Customer[[#This Row],[Customer ID]],[1]!Address[ID],[1]!Address[Full Address])</f>
        <v>GROUND FLOOR,BANGUNAN MENARA UTAMA,PUSAT PERUBATAN UNIVERSITI MALAYA(PPUM)JLN UNIVERSITI,LEMBAH PANTAI 59100,KL</v>
      </c>
      <c r="F1186" s="12" t="s">
        <v>7844</v>
      </c>
      <c r="G1186" s="12" t="s">
        <v>7845</v>
      </c>
      <c r="H1186" s="12" t="s">
        <v>7846</v>
      </c>
      <c r="I1186" s="12" t="b">
        <f>ISNUMBER(VALUE(LEFT(Customer[[#This Row],[Address Line 3 (30 char)]],1)))</f>
        <v>0</v>
      </c>
      <c r="J1186" s="12" t="s">
        <v>34</v>
      </c>
      <c r="K1186" s="12">
        <v>59100</v>
      </c>
      <c r="L1186" s="12" t="s">
        <v>35</v>
      </c>
      <c r="M1186" s="13" t="e">
        <v>#N/A</v>
      </c>
      <c r="N1186" s="14" t="e">
        <v>#N/A</v>
      </c>
      <c r="O1186" s="14" t="e">
        <v>#N/A</v>
      </c>
      <c r="P1186" s="14" t="e">
        <v>#N/A</v>
      </c>
      <c r="Q1186" s="14" t="e">
        <v>#N/A</v>
      </c>
      <c r="R1186" s="15" t="s">
        <v>7847</v>
      </c>
      <c r="S1186" s="15" t="s">
        <v>3476</v>
      </c>
      <c r="T1186" s="16" t="s">
        <v>3477</v>
      </c>
      <c r="U1186" s="11" t="str">
        <f>_xlfn.XLOOKUP(Customer[[#This Row],[Customer ID]],[1]!Address[ID],[1]!Address[Phone No.(2)])</f>
        <v/>
      </c>
      <c r="V1186" s="11" t="str">
        <f>_xlfn.XLOOKUP(Customer[[#This Row],[Customer ID]],[1]!Address[ID],[1]!Address[Type])</f>
        <v>PH</v>
      </c>
      <c r="W1186" s="11" t="str">
        <f>_xlfn.XLOOKUP(Customer[[#This Row],[Customer ID]],[1]!Address[ID],[1]!Address[CT])</f>
        <v>30 DAYS</v>
      </c>
      <c r="X1186" s="11"/>
      <c r="Y1186" s="17" t="s">
        <v>5955</v>
      </c>
      <c r="Z1186" s="17" t="e">
        <f>_xlfn.XLOOKUP(Customer[[#This Row],[NewType]],$AF$36:$AF$54,$AG$36:$AG$54)</f>
        <v>#N/A</v>
      </c>
      <c r="AA1186" s="17" t="s">
        <v>7848</v>
      </c>
      <c r="AB1186" s="11" t="str">
        <f>_xlfn.XLOOKUP(Customer[[#This Row],[Customer ID]],[1]!Address[ID],[1]!Address[Subtype])</f>
        <v>QPHARMA</v>
      </c>
      <c r="AC1186" s="18" t="str">
        <f>_xlfn.XLOOKUP(Customer[[#This Row],[Customer ID]],[1]!Address[ID],[1]!Address[Zone])</f>
        <v xml:space="preserve"> ASAT -HASAT</v>
      </c>
    </row>
    <row r="1187" spans="1:29" x14ac:dyDescent="0.3">
      <c r="A1187" s="45" t="s">
        <v>7849</v>
      </c>
      <c r="B1187" s="32" t="str">
        <f>_xlfn.XLOOKUP(Customer[[#This Row],[Customer ID]],[1]!Name[ID],[1]!Name[Description(1)])</f>
        <v>ALIA LIEW</v>
      </c>
      <c r="C1187" s="32" t="str">
        <f>_xlfn.XLOOKUP(Customer[[#This Row],[Customer ID]],[1]!Name[ID],[1]!Name[Description(2)])</f>
        <v/>
      </c>
      <c r="D1187" s="38" t="str">
        <f>_xlfn.XLOOKUP(Customer[[#This Row],[Customer ID]],[1]!Address[ID],[1]!Address[PIC])</f>
        <v/>
      </c>
      <c r="E1187" s="38" t="str">
        <f>_xlfn.XLOOKUP(Customer[[#This Row],[Customer ID]],[1]!Address[ID],[1]!Address[Full Address])</f>
        <v>TADIKA DAIE BESTARI KAJANG</v>
      </c>
      <c r="F1187" s="12" t="s">
        <v>7850</v>
      </c>
      <c r="G1187" s="12" t="s">
        <v>36</v>
      </c>
      <c r="H1187" s="12" t="s">
        <v>36</v>
      </c>
      <c r="I1187" s="12" t="b">
        <f>ISNUMBER(VALUE(LEFT(Customer[[#This Row],[Address Line 3 (30 char)]],1)))</f>
        <v>0</v>
      </c>
      <c r="J1187" s="32"/>
      <c r="K1187" s="32"/>
      <c r="L1187" s="12" t="s">
        <v>35</v>
      </c>
      <c r="M1187" s="13" t="e">
        <v>#N/A</v>
      </c>
      <c r="N1187" s="14" t="e">
        <v>#N/A</v>
      </c>
      <c r="O1187" s="14" t="e">
        <v>#N/A</v>
      </c>
      <c r="P1187" s="14" t="e">
        <v>#N/A</v>
      </c>
      <c r="Q1187" s="14" t="e">
        <v>#N/A</v>
      </c>
      <c r="R1187" s="15" t="s">
        <v>7851</v>
      </c>
      <c r="S1187" s="15" t="s">
        <v>88</v>
      </c>
      <c r="T1187" s="16" t="s">
        <v>89</v>
      </c>
      <c r="U1187" s="11" t="str">
        <f>_xlfn.XLOOKUP(Customer[[#This Row],[Customer ID]],[1]!Address[ID],[1]!Address[Phone No.(2)])</f>
        <v/>
      </c>
      <c r="V1187" s="11" t="str">
        <f>_xlfn.XLOOKUP(Customer[[#This Row],[Customer ID]],[1]!Address[ID],[1]!Address[Type])</f>
        <v>SOCMED</v>
      </c>
      <c r="W1187" s="11" t="str">
        <f>_xlfn.XLOOKUP(Customer[[#This Row],[Customer ID]],[1]!Address[ID],[1]!Address[CT])</f>
        <v/>
      </c>
      <c r="X1187" s="11"/>
      <c r="Y1187" s="17" t="s">
        <v>90</v>
      </c>
      <c r="Z1187" s="17" t="e">
        <f>_xlfn.XLOOKUP(Customer[[#This Row],[NewType]],$AF$36:$AF$54,$AG$36:$AG$54)</f>
        <v>#N/A</v>
      </c>
      <c r="AA1187" s="17" t="s">
        <v>7852</v>
      </c>
      <c r="AB1187" s="11" t="str">
        <f>_xlfn.XLOOKUP(Customer[[#This Row],[Customer ID]],[1]!Address[ID],[1]!Address[Subtype])</f>
        <v>ONLINE ROS</v>
      </c>
      <c r="AC1187" s="18" t="str">
        <f>_xlfn.XLOOKUP(Customer[[#This Row],[Customer ID]],[1]!Address[ID],[1]!Address[Zone])</f>
        <v>CENTRAL</v>
      </c>
    </row>
    <row r="1188" spans="1:29" x14ac:dyDescent="0.3">
      <c r="A1188" s="37" t="s">
        <v>7853</v>
      </c>
      <c r="B1188" s="38" t="str">
        <f>_xlfn.XLOOKUP(Customer[[#This Row],[Customer ID]],[1]!Name[ID],[1]!Name[Description(1)])</f>
        <v>FARMASI RIMADEX (WAKAF CHE YEH) SDN BHD</v>
      </c>
      <c r="C1188" s="38" t="str">
        <f>_xlfn.XLOOKUP(Customer[[#This Row],[Customer ID]],[1]!Name[ID],[1]!Name[Description(2)])</f>
        <v/>
      </c>
      <c r="D1188" s="38" t="str">
        <f>_xlfn.XLOOKUP(Customer[[#This Row],[Customer ID]],[1]!Address[ID],[1]!Address[PIC])</f>
        <v/>
      </c>
      <c r="E1188" s="38" t="str">
        <f>_xlfn.XLOOKUP(Customer[[#This Row],[Customer ID]],[1]!Address[ID],[1]!Address[Full Address])</f>
        <v>PT 130, KOMPLEKS NIAGA WAKAF CHE YEH,MUKIM PADANG ENGGANG,15100 KOTA BHARU, KELANTAN</v>
      </c>
      <c r="F1188" s="12" t="s">
        <v>7854</v>
      </c>
      <c r="G1188" s="12" t="s">
        <v>7855</v>
      </c>
      <c r="H1188" s="12" t="s">
        <v>7856</v>
      </c>
      <c r="I1188" s="12" t="b">
        <f>ISNUMBER(VALUE(LEFT(Customer[[#This Row],[Address Line 3 (30 char)]],1)))</f>
        <v>0</v>
      </c>
      <c r="J1188" s="12" t="s">
        <v>172</v>
      </c>
      <c r="K1188" s="12">
        <v>15100</v>
      </c>
      <c r="L1188" s="12" t="s">
        <v>35</v>
      </c>
      <c r="M1188" s="13" t="e">
        <v>#N/A</v>
      </c>
      <c r="N1188" s="14" t="e">
        <v>#N/A</v>
      </c>
      <c r="O1188" s="14" t="e">
        <v>#N/A</v>
      </c>
      <c r="P1188" s="14" t="e">
        <v>#N/A</v>
      </c>
      <c r="Q1188" s="14" t="e">
        <v>#N/A</v>
      </c>
      <c r="R1188" s="15" t="s">
        <v>7857</v>
      </c>
      <c r="S1188" s="15"/>
      <c r="T1188" s="16" t="s">
        <v>6749</v>
      </c>
      <c r="U1188" s="11" t="str">
        <f>_xlfn.XLOOKUP(Customer[[#This Row],[Customer ID]],[1]!Address[ID],[1]!Address[Phone No.(2)])</f>
        <v/>
      </c>
      <c r="V1188" s="11" t="str">
        <f>_xlfn.XLOOKUP(Customer[[#This Row],[Customer ID]],[1]!Address[ID],[1]!Address[Type])</f>
        <v>WALK IN</v>
      </c>
      <c r="W1188" s="11" t="str">
        <f>_xlfn.XLOOKUP(Customer[[#This Row],[Customer ID]],[1]!Address[ID],[1]!Address[CT])</f>
        <v>14 DAYS</v>
      </c>
      <c r="X1188" s="11"/>
      <c r="Y1188" s="17" t="s">
        <v>6284</v>
      </c>
      <c r="Z1188" s="17" t="e">
        <f>_xlfn.XLOOKUP(Customer[[#This Row],[NewType]],$AF$36:$AF$54,$AG$36:$AG$54)</f>
        <v>#N/A</v>
      </c>
      <c r="AA1188" s="17" t="s">
        <v>7858</v>
      </c>
      <c r="AB1188" s="11" t="str">
        <f>_xlfn.XLOOKUP(Customer[[#This Row],[Customer ID]],[1]!Address[ID],[1]!Address[Subtype])</f>
        <v>KB</v>
      </c>
      <c r="AC1188" s="18" t="str">
        <f>_xlfn.XLOOKUP(Customer[[#This Row],[Customer ID]],[1]!Address[ID],[1]!Address[Zone])</f>
        <v>EAST COAST</v>
      </c>
    </row>
    <row r="1189" spans="1:29" x14ac:dyDescent="0.3">
      <c r="A1189" s="37" t="s">
        <v>7859</v>
      </c>
      <c r="B1189" s="38" t="str">
        <f>_xlfn.XLOOKUP(Customer[[#This Row],[Customer ID]],[1]!Name[ID],[1]!Name[Description(1)])</f>
        <v>SITI NOOR AZNIEHA BINTI KHAMIS</v>
      </c>
      <c r="C1189" s="38" t="str">
        <f>_xlfn.XLOOKUP(Customer[[#This Row],[Customer ID]],[1]!Name[ID],[1]!Name[Description(2)])</f>
        <v/>
      </c>
      <c r="D1189" s="38" t="str">
        <f>_xlfn.XLOOKUP(Customer[[#This Row],[Customer ID]],[1]!Address[ID],[1]!Address[PIC])</f>
        <v/>
      </c>
      <c r="E1189" s="38" t="str">
        <f>_xlfn.XLOOKUP(Customer[[#This Row],[Customer ID]],[1]!Address[ID],[1]!Address[Full Address])</f>
        <v>15, BK4/1 C, BANDAR KINRARA SEKSYEN 4,47100 PUCHONG, SELANGOR</v>
      </c>
      <c r="F1189" s="12" t="s">
        <v>7860</v>
      </c>
      <c r="G1189" s="12" t="s">
        <v>7861</v>
      </c>
      <c r="H1189" s="12" t="s">
        <v>7862</v>
      </c>
      <c r="I1189" s="12" t="b">
        <f>ISNUMBER(VALUE(LEFT(Customer[[#This Row],[Address Line 3 (30 char)]],1)))</f>
        <v>0</v>
      </c>
      <c r="J1189" s="12" t="s">
        <v>172</v>
      </c>
      <c r="K1189" s="12">
        <v>47100</v>
      </c>
      <c r="L1189" s="12" t="s">
        <v>35</v>
      </c>
      <c r="M1189" s="13" t="e">
        <v>#N/A</v>
      </c>
      <c r="N1189" s="14" t="e">
        <v>#N/A</v>
      </c>
      <c r="O1189" s="14" t="e">
        <v>#N/A</v>
      </c>
      <c r="P1189" s="14" t="e">
        <v>#N/A</v>
      </c>
      <c r="Q1189" s="14" t="e">
        <v>#N/A</v>
      </c>
      <c r="R1189" s="15" t="s">
        <v>7863</v>
      </c>
      <c r="S1189" s="15" t="s">
        <v>88</v>
      </c>
      <c r="T1189" s="16" t="s">
        <v>89</v>
      </c>
      <c r="U1189" s="11" t="str">
        <f>_xlfn.XLOOKUP(Customer[[#This Row],[Customer ID]],[1]!Address[ID],[1]!Address[Phone No.(2)])</f>
        <v/>
      </c>
      <c r="V1189" s="11" t="str">
        <f>_xlfn.XLOOKUP(Customer[[#This Row],[Customer ID]],[1]!Address[ID],[1]!Address[Type])</f>
        <v>SOCMED</v>
      </c>
      <c r="W1189" s="11" t="str">
        <f>_xlfn.XLOOKUP(Customer[[#This Row],[Customer ID]],[1]!Address[ID],[1]!Address[CT])</f>
        <v/>
      </c>
      <c r="X1189" s="11"/>
      <c r="Y1189" s="17" t="s">
        <v>90</v>
      </c>
      <c r="Z1189" s="17" t="e">
        <f>_xlfn.XLOOKUP(Customer[[#This Row],[NewType]],$AF$36:$AF$54,$AG$36:$AG$54)</f>
        <v>#N/A</v>
      </c>
      <c r="AA1189" s="17" t="s">
        <v>7864</v>
      </c>
      <c r="AB1189" s="11" t="str">
        <f>_xlfn.XLOOKUP(Customer[[#This Row],[Customer ID]],[1]!Address[ID],[1]!Address[Subtype])</f>
        <v>ONLINE ROS</v>
      </c>
      <c r="AC1189" s="18" t="str">
        <f>_xlfn.XLOOKUP(Customer[[#This Row],[Customer ID]],[1]!Address[ID],[1]!Address[Zone])</f>
        <v>EEEDH</v>
      </c>
    </row>
    <row r="1190" spans="1:29" x14ac:dyDescent="0.3">
      <c r="A1190" s="43" t="s">
        <v>7865</v>
      </c>
      <c r="B1190" s="44" t="str">
        <f>_xlfn.XLOOKUP(Customer[[#This Row],[Customer ID]],[1]!Name[ID],[1]!Name[Description(1)])</f>
        <v>PEN CEMPAKA SDN BHD</v>
      </c>
      <c r="C1190" s="38" t="str">
        <f>_xlfn.XLOOKUP(Customer[[#This Row],[Customer ID]],[1]!Name[ID],[1]!Name[Description(2)])</f>
        <v>CALTEX SUNGAI LIMAU</v>
      </c>
      <c r="D1190" s="38" t="str">
        <f>_xlfn.XLOOKUP(Customer[[#This Row],[Customer ID]],[1]!Address[ID],[1]!Address[PIC])</f>
        <v/>
      </c>
      <c r="E1190" s="38" t="str">
        <f>_xlfn.XLOOKUP(Customer[[#This Row],[Customer ID]],[1]!Address[ID],[1]!Address[Full Address])</f>
        <v>CALTEX SUNGAI LIMAUNO 150 JALAN LUNASTAMAN SERI SELADANG &amp;SELADANG EMAS 09600 LUNAS KEDAH</v>
      </c>
      <c r="F1190" s="12" t="s">
        <v>7866</v>
      </c>
      <c r="G1190" s="12" t="s">
        <v>7867</v>
      </c>
      <c r="H1190" s="12" t="s">
        <v>7868</v>
      </c>
      <c r="I1190" s="12" t="b">
        <f>ISNUMBER(VALUE(LEFT(Customer[[#This Row],[Address Line 3 (30 char)]],1)))</f>
        <v>0</v>
      </c>
      <c r="J1190" s="12" t="s">
        <v>79</v>
      </c>
      <c r="K1190" s="30" t="s">
        <v>6983</v>
      </c>
      <c r="L1190" s="12" t="s">
        <v>35</v>
      </c>
      <c r="M1190" s="13">
        <v>201201031423</v>
      </c>
      <c r="N1190" s="14" t="s">
        <v>7869</v>
      </c>
      <c r="O1190" s="14" t="s">
        <v>54</v>
      </c>
      <c r="P1190" s="14">
        <v>47300</v>
      </c>
      <c r="Q1190" s="14" t="s">
        <v>7870</v>
      </c>
      <c r="R1190" s="15" t="s">
        <v>36</v>
      </c>
      <c r="S1190" s="15" t="s">
        <v>37</v>
      </c>
      <c r="T1190" s="16" t="s">
        <v>38</v>
      </c>
      <c r="U1190" s="11" t="str">
        <f>_xlfn.XLOOKUP(Customer[[#This Row],[Customer ID]],[1]!Address[ID],[1]!Address[Phone No.(2)])</f>
        <v/>
      </c>
      <c r="V1190" s="11" t="str">
        <f>_xlfn.XLOOKUP(Customer[[#This Row],[Customer ID]],[1]!Address[ID],[1]!Address[Type])</f>
        <v>PETROMART</v>
      </c>
      <c r="W1190" s="11" t="str">
        <f>_xlfn.XLOOKUP(Customer[[#This Row],[Customer ID]],[1]!Address[ID],[1]!Address[CT])</f>
        <v>30 DAYS</v>
      </c>
      <c r="X1190" s="11" t="s">
        <v>39</v>
      </c>
      <c r="Y1190" s="17" t="s">
        <v>40</v>
      </c>
      <c r="Z1190" s="17" t="e">
        <f>_xlfn.XLOOKUP(Customer[[#This Row],[NewType]],$AF$36:$AF$54,$AG$36:$AG$54)</f>
        <v>#N/A</v>
      </c>
      <c r="AA1190" s="17" t="s">
        <v>7871</v>
      </c>
      <c r="AB1190" s="11" t="str">
        <f>_xlfn.XLOOKUP(Customer[[#This Row],[Customer ID]],[1]!Address[ID],[1]!Address[Subtype])</f>
        <v>XPRESS POINT</v>
      </c>
      <c r="AC1190" s="18" t="str">
        <f>_xlfn.XLOOKUP(Customer[[#This Row],[Customer ID]],[1]!Address[ID],[1]!Address[Zone])</f>
        <v>NORTH</v>
      </c>
    </row>
    <row r="1191" spans="1:29" x14ac:dyDescent="0.3">
      <c r="A1191" s="37" t="s">
        <v>7872</v>
      </c>
      <c r="B1191" s="38" t="str">
        <f>_xlfn.XLOOKUP(Customer[[#This Row],[Customer ID]],[1]!Name[ID],[1]!Name[Description(1)])</f>
        <v>MOHD ZULHILMI BIN IZAZU</v>
      </c>
      <c r="C1191" s="38" t="str">
        <f>_xlfn.XLOOKUP(Customer[[#This Row],[Customer ID]],[1]!Name[ID],[1]!Name[Description(2)])</f>
        <v>PERODUA GLOBAL MANUFACTURING SDN BHD</v>
      </c>
      <c r="D1191" s="38" t="str">
        <f>_xlfn.XLOOKUP(Customer[[#This Row],[Customer ID]],[1]!Address[ID],[1]!Address[PIC])</f>
        <v/>
      </c>
      <c r="E1191" s="38" t="str">
        <f>_xlfn.XLOOKUP(Customer[[#This Row],[Customer ID]],[1]!Address[ID],[1]!Address[Full Address])</f>
        <v>PERODUA GLOBAL MANUFACTURING SDN BHDSUNGAI CHOH, LOCKED BAG 224,48009 RAWANG, SELANGOR DARUL EHSAN</v>
      </c>
      <c r="F1191" s="12" t="s">
        <v>7873</v>
      </c>
      <c r="G1191" s="12" t="s">
        <v>7874</v>
      </c>
      <c r="H1191" s="12" t="s">
        <v>7875</v>
      </c>
      <c r="I1191" s="12" t="b">
        <f>ISNUMBER(VALUE(LEFT(Customer[[#This Row],[Address Line 3 (30 char)]],1)))</f>
        <v>0</v>
      </c>
      <c r="J1191" s="12" t="s">
        <v>172</v>
      </c>
      <c r="K1191" s="12">
        <v>48009</v>
      </c>
      <c r="L1191" s="12" t="s">
        <v>35</v>
      </c>
      <c r="M1191" s="13" t="e">
        <v>#N/A</v>
      </c>
      <c r="N1191" s="14" t="e">
        <v>#N/A</v>
      </c>
      <c r="O1191" s="14" t="e">
        <v>#N/A</v>
      </c>
      <c r="P1191" s="14" t="e">
        <v>#N/A</v>
      </c>
      <c r="Q1191" s="19" t="s">
        <v>7876</v>
      </c>
      <c r="R1191" s="15" t="s">
        <v>7877</v>
      </c>
      <c r="S1191" s="15" t="s">
        <v>88</v>
      </c>
      <c r="T1191" s="16" t="s">
        <v>89</v>
      </c>
      <c r="U1191" s="11" t="str">
        <f>_xlfn.XLOOKUP(Customer[[#This Row],[Customer ID]],[1]!Address[ID],[1]!Address[Phone No.(2)])</f>
        <v/>
      </c>
      <c r="V1191" s="11" t="str">
        <f>_xlfn.XLOOKUP(Customer[[#This Row],[Customer ID]],[1]!Address[ID],[1]!Address[Type])</f>
        <v>SOCMED</v>
      </c>
      <c r="W1191" s="11" t="str">
        <f>_xlfn.XLOOKUP(Customer[[#This Row],[Customer ID]],[1]!Address[ID],[1]!Address[CT])</f>
        <v/>
      </c>
      <c r="X1191" s="11"/>
      <c r="Y1191" s="17" t="s">
        <v>90</v>
      </c>
      <c r="Z1191" s="17" t="e">
        <f>_xlfn.XLOOKUP(Customer[[#This Row],[NewType]],$AF$36:$AF$54,$AG$36:$AG$54)</f>
        <v>#N/A</v>
      </c>
      <c r="AA1191" s="17" t="s">
        <v>7878</v>
      </c>
      <c r="AB1191" s="11" t="str">
        <f>_xlfn.XLOOKUP(Customer[[#This Row],[Customer ID]],[1]!Address[ID],[1]!Address[Subtype])</f>
        <v>ONLINE ROS</v>
      </c>
      <c r="AC1191" s="18" t="str">
        <f>_xlfn.XLOOKUP(Customer[[#This Row],[Customer ID]],[1]!Address[ID],[1]!Address[Zone])</f>
        <v>CENTRAL</v>
      </c>
    </row>
    <row r="1192" spans="1:29" x14ac:dyDescent="0.3">
      <c r="A1192" s="37" t="s">
        <v>7879</v>
      </c>
      <c r="B1192" s="38" t="str">
        <f>_xlfn.XLOOKUP(Customer[[#This Row],[Customer ID]],[1]!Name[ID],[1]!Name[Description(1)])</f>
        <v>CAFE@BLOCK 10 DAGANG NET</v>
      </c>
      <c r="C1192" s="38" t="str">
        <f>_xlfn.XLOOKUP(Customer[[#This Row],[Customer ID]],[1]!Name[ID],[1]!Name[Description(2)])</f>
        <v>DAGANG NET</v>
      </c>
      <c r="D1192" s="38" t="str">
        <f>_xlfn.XLOOKUP(Customer[[#This Row],[Customer ID]],[1]!Address[ID],[1]!Address[PIC])</f>
        <v/>
      </c>
      <c r="E1192" s="38" t="str">
        <f>_xlfn.XLOOKUP(Customer[[#This Row],[Customer ID]],[1]!Address[ID],[1]!Address[Full Address])</f>
        <v>CAFE@BLOCK 10 DAGANG NET TOWER,BLOCK 10, CORPORATE PARK,STAR CENTRAL,LINGKARAN CYBERPOINT TIMUR,CYBER 12, 63000 CYBERJAYA, SELANGOR</v>
      </c>
      <c r="F1192" s="12" t="s">
        <v>7880</v>
      </c>
      <c r="G1192" s="12" t="s">
        <v>7881</v>
      </c>
      <c r="H1192" s="12" t="s">
        <v>7882</v>
      </c>
      <c r="I1192" s="12" t="b">
        <f>ISNUMBER(VALUE(LEFT(Customer[[#This Row],[Address Line 3 (30 char)]],1)))</f>
        <v>0</v>
      </c>
      <c r="J1192" s="12" t="s">
        <v>172</v>
      </c>
      <c r="K1192" s="12">
        <v>63000</v>
      </c>
      <c r="L1192" s="12" t="s">
        <v>35</v>
      </c>
      <c r="M1192" s="13" t="e">
        <v>#N/A</v>
      </c>
      <c r="N1192" s="14" t="e">
        <v>#N/A</v>
      </c>
      <c r="O1192" s="14" t="e">
        <v>#N/A</v>
      </c>
      <c r="P1192" s="14" t="e">
        <v>#N/A</v>
      </c>
      <c r="Q1192" s="14" t="e">
        <v>#N/A</v>
      </c>
      <c r="R1192" s="15" t="s">
        <v>7883</v>
      </c>
      <c r="S1192" s="15" t="s">
        <v>5925</v>
      </c>
      <c r="T1192" s="16" t="s">
        <v>3477</v>
      </c>
      <c r="U1192" s="11" t="str">
        <f>_xlfn.XLOOKUP(Customer[[#This Row],[Customer ID]],[1]!Address[ID],[1]!Address[Phone No.(2)])</f>
        <v/>
      </c>
      <c r="V1192" s="11" t="str">
        <f>_xlfn.XLOOKUP(Customer[[#This Row],[Customer ID]],[1]!Address[ID],[1]!Address[Type])</f>
        <v>CAFE</v>
      </c>
      <c r="W1192" s="11" t="str">
        <f>_xlfn.XLOOKUP(Customer[[#This Row],[Customer ID]],[1]!Address[ID],[1]!Address[CT])</f>
        <v>30 DAYS</v>
      </c>
      <c r="X1192" s="11"/>
      <c r="Y1192" s="17" t="s">
        <v>5926</v>
      </c>
      <c r="Z1192" s="17" t="e">
        <f>_xlfn.XLOOKUP(Customer[[#This Row],[NewType]],$AF$36:$AF$54,$AG$36:$AG$54)</f>
        <v>#N/A</v>
      </c>
      <c r="AA1192" s="17" t="s">
        <v>7884</v>
      </c>
      <c r="AB1192" s="11" t="str">
        <f>_xlfn.XLOOKUP(Customer[[#This Row],[Customer ID]],[1]!Address[ID],[1]!Address[Subtype])</f>
        <v>DAGANG NET</v>
      </c>
      <c r="AC1192" s="18" t="str">
        <f>_xlfn.XLOOKUP(Customer[[#This Row],[Customer ID]],[1]!Address[ID],[1]!Address[Zone])</f>
        <v>CENTRAL</v>
      </c>
    </row>
    <row r="1193" spans="1:29" x14ac:dyDescent="0.3">
      <c r="A1193" s="37" t="s">
        <v>7885</v>
      </c>
      <c r="B1193" s="38" t="str">
        <f>_xlfn.XLOOKUP(Customer[[#This Row],[Customer ID]],[1]!Name[ID],[1]!Name[Description(1)])</f>
        <v>R&amp;R DENGKIL UTARA NO-5</v>
      </c>
      <c r="C1193" s="38" t="str">
        <f>_xlfn.XLOOKUP(Customer[[#This Row],[Customer ID]],[1]!Name[ID],[1]!Name[Description(2)])</f>
        <v>ALONG CAFE</v>
      </c>
      <c r="D1193" s="38" t="str">
        <f>_xlfn.XLOOKUP(Customer[[#This Row],[Customer ID]],[1]!Address[ID],[1]!Address[PIC])</f>
        <v/>
      </c>
      <c r="E1193" s="38" t="str">
        <f>_xlfn.XLOOKUP(Customer[[#This Row],[Customer ID]],[1]!Address[ID],[1]!Address[Full Address])</f>
        <v>NO. 5 KAWASAN R&amp;R DENGKIL ARAH UTARA,KM23 LEBUHRAYA UTARA SELATAN HUB. TENGAH48800 DENGKIL, SELANGOR</v>
      </c>
      <c r="F1193" s="12" t="s">
        <v>7886</v>
      </c>
      <c r="G1193" s="12" t="s">
        <v>7887</v>
      </c>
      <c r="H1193" s="12" t="s">
        <v>7888</v>
      </c>
      <c r="I1193" s="12" t="b">
        <f>ISNUMBER(VALUE(LEFT(Customer[[#This Row],[Address Line 3 (30 char)]],1)))</f>
        <v>0</v>
      </c>
      <c r="J1193" s="12" t="s">
        <v>172</v>
      </c>
      <c r="K1193" s="12">
        <v>48800</v>
      </c>
      <c r="L1193" s="12" t="s">
        <v>35</v>
      </c>
      <c r="M1193" s="13" t="e">
        <v>#N/A</v>
      </c>
      <c r="N1193" s="14" t="e">
        <v>#N/A</v>
      </c>
      <c r="O1193" s="14" t="e">
        <v>#N/A</v>
      </c>
      <c r="P1193" s="14" t="e">
        <v>#N/A</v>
      </c>
      <c r="Q1193" s="14" t="e">
        <v>#N/A</v>
      </c>
      <c r="R1193" s="15" t="s">
        <v>7889</v>
      </c>
      <c r="S1193" s="15" t="s">
        <v>5925</v>
      </c>
      <c r="T1193" s="16" t="s">
        <v>3477</v>
      </c>
      <c r="U1193" s="11" t="str">
        <f>_xlfn.XLOOKUP(Customer[[#This Row],[Customer ID]],[1]!Address[ID],[1]!Address[Phone No.(2)])</f>
        <v/>
      </c>
      <c r="V1193" s="11" t="str">
        <f>_xlfn.XLOOKUP(Customer[[#This Row],[Customer ID]],[1]!Address[ID],[1]!Address[Type])</f>
        <v>CAFE</v>
      </c>
      <c r="W1193" s="11" t="str">
        <f>_xlfn.XLOOKUP(Customer[[#This Row],[Customer ID]],[1]!Address[ID],[1]!Address[CT])</f>
        <v>30 DAYS</v>
      </c>
      <c r="X1193" s="11"/>
      <c r="Y1193" s="17" t="s">
        <v>5926</v>
      </c>
      <c r="Z1193" s="17" t="e">
        <f>_xlfn.XLOOKUP(Customer[[#This Row],[NewType]],$AF$36:$AF$54,$AG$36:$AG$54)</f>
        <v>#N/A</v>
      </c>
      <c r="AA1193" s="17" t="s">
        <v>7890</v>
      </c>
      <c r="AB1193" s="11" t="str">
        <f>_xlfn.XLOOKUP(Customer[[#This Row],[Customer ID]],[1]!Address[ID],[1]!Address[Subtype])</f>
        <v>PLUS</v>
      </c>
      <c r="AC1193" s="18" t="str">
        <f>_xlfn.XLOOKUP(Customer[[#This Row],[Customer ID]],[1]!Address[ID],[1]!Address[Zone])</f>
        <v>CENTRAL</v>
      </c>
    </row>
    <row r="1194" spans="1:29" x14ac:dyDescent="0.3">
      <c r="A1194" s="37" t="s">
        <v>7891</v>
      </c>
      <c r="B1194" s="38" t="str">
        <f>_xlfn.XLOOKUP(Customer[[#This Row],[Customer ID]],[1]!Name[ID],[1]!Name[Description(1)])</f>
        <v>KEDAI LAKSA &amp; AIS KACANG</v>
      </c>
      <c r="C1194" s="38" t="str">
        <f>_xlfn.XLOOKUP(Customer[[#This Row],[Customer ID]],[1]!Name[ID],[1]!Name[Description(2)])</f>
        <v/>
      </c>
      <c r="D1194" s="38" t="str">
        <f>_xlfn.XLOOKUP(Customer[[#This Row],[Customer ID]],[1]!Address[ID],[1]!Address[PIC])</f>
        <v/>
      </c>
      <c r="E1194" s="38" t="str">
        <f>_xlfn.XLOOKUP(Customer[[#This Row],[Customer ID]],[1]!Address[ID],[1]!Address[Full Address])</f>
        <v>BAWAH TANGGA LARUT MATANG,HENTIAN TEKSI LAMA BANDARTAIPING. NO. 101, JALAN ISKANDAR34000 TAIPING PERAK</v>
      </c>
      <c r="F1194" s="12" t="s">
        <v>7892</v>
      </c>
      <c r="G1194" s="12" t="s">
        <v>7893</v>
      </c>
      <c r="H1194" s="12" t="s">
        <v>7894</v>
      </c>
      <c r="I1194" s="12" t="b">
        <f>ISNUMBER(VALUE(LEFT(Customer[[#This Row],[Address Line 3 (30 char)]],1)))</f>
        <v>0</v>
      </c>
      <c r="J1194" s="12" t="s">
        <v>387</v>
      </c>
      <c r="K1194" s="12">
        <v>34000</v>
      </c>
      <c r="L1194" s="12" t="s">
        <v>35</v>
      </c>
      <c r="M1194" s="13" t="e">
        <v>#N/A</v>
      </c>
      <c r="N1194" s="14" t="e">
        <v>#N/A</v>
      </c>
      <c r="O1194" s="14" t="e">
        <v>#N/A</v>
      </c>
      <c r="P1194" s="14" t="e">
        <v>#N/A</v>
      </c>
      <c r="Q1194" s="14" t="e">
        <v>#N/A</v>
      </c>
      <c r="R1194" s="15" t="s">
        <v>7895</v>
      </c>
      <c r="S1194" s="15" t="s">
        <v>5925</v>
      </c>
      <c r="T1194" s="16" t="s">
        <v>3477</v>
      </c>
      <c r="U1194" s="11" t="str">
        <f>_xlfn.XLOOKUP(Customer[[#This Row],[Customer ID]],[1]!Address[ID],[1]!Address[Phone No.(2)])</f>
        <v/>
      </c>
      <c r="V1194" s="11" t="str">
        <f>_xlfn.XLOOKUP(Customer[[#This Row],[Customer ID]],[1]!Address[ID],[1]!Address[Type])</f>
        <v>CAFE</v>
      </c>
      <c r="W1194" s="11" t="str">
        <f>_xlfn.XLOOKUP(Customer[[#This Row],[Customer ID]],[1]!Address[ID],[1]!Address[CT])</f>
        <v>30 DAYS</v>
      </c>
      <c r="X1194" s="11"/>
      <c r="Y1194" s="17" t="s">
        <v>5926</v>
      </c>
      <c r="Z1194" s="17" t="e">
        <f>_xlfn.XLOOKUP(Customer[[#This Row],[NewType]],$AF$36:$AF$54,$AG$36:$AG$54)</f>
        <v>#N/A</v>
      </c>
      <c r="AA1194" s="17" t="s">
        <v>7896</v>
      </c>
      <c r="AB1194" s="11" t="str">
        <f>_xlfn.XLOOKUP(Customer[[#This Row],[Customer ID]],[1]!Address[ID],[1]!Address[Subtype])</f>
        <v>KEDAI LAKSA</v>
      </c>
      <c r="AC1194" s="18" t="str">
        <f>_xlfn.XLOOKUP(Customer[[#This Row],[Customer ID]],[1]!Address[ID],[1]!Address[Zone])</f>
        <v>NORTH</v>
      </c>
    </row>
    <row r="1195" spans="1:29" x14ac:dyDescent="0.3">
      <c r="A1195" s="43" t="s">
        <v>7897</v>
      </c>
      <c r="B1195" s="44" t="str">
        <f>_xlfn.XLOOKUP(Customer[[#This Row],[Customer ID]],[1]!Name[ID],[1]!Name[Description(1)])</f>
        <v>AGENT AUNTY ELLY</v>
      </c>
      <c r="C1195" s="38" t="str">
        <f>_xlfn.XLOOKUP(Customer[[#This Row],[Customer ID]],[1]!Name[ID],[1]!Name[Description(2)])</f>
        <v/>
      </c>
      <c r="D1195" s="38" t="str">
        <f>_xlfn.XLOOKUP(Customer[[#This Row],[Customer ID]],[1]!Address[ID],[1]!Address[PIC])</f>
        <v>ELLY RAHMAN</v>
      </c>
      <c r="E1195" s="38" t="str">
        <f>_xlfn.XLOOKUP(Customer[[#This Row],[Customer ID]],[1]!Address[ID],[1]!Address[Full Address])</f>
        <v>no 67,jalan AU 5 C /6Taman Lembah KeramatUlu Kelang 54200 WP</v>
      </c>
      <c r="F1195" s="12" t="s">
        <v>7898</v>
      </c>
      <c r="G1195" s="12" t="s">
        <v>7899</v>
      </c>
      <c r="H1195" s="12" t="s">
        <v>7900</v>
      </c>
      <c r="I1195" s="12" t="b">
        <f>ISNUMBER(VALUE(LEFT(Customer[[#This Row],[Address Line 3 (30 char)]],1)))</f>
        <v>0</v>
      </c>
      <c r="J1195" s="12" t="s">
        <v>1907</v>
      </c>
      <c r="K1195" s="12">
        <v>54200</v>
      </c>
      <c r="L1195" s="12" t="s">
        <v>35</v>
      </c>
      <c r="M1195" s="13" t="e">
        <v>#N/A</v>
      </c>
      <c r="N1195" s="31" t="s">
        <v>7901</v>
      </c>
      <c r="O1195" s="14" t="e">
        <v>#N/A</v>
      </c>
      <c r="P1195" s="14" t="e">
        <v>#N/A</v>
      </c>
      <c r="Q1195" s="19" t="s">
        <v>7902</v>
      </c>
      <c r="R1195" s="15" t="s">
        <v>7903</v>
      </c>
      <c r="S1195" s="15" t="s">
        <v>6645</v>
      </c>
      <c r="T1195" s="16" t="s">
        <v>38</v>
      </c>
      <c r="U1195" s="11" t="str">
        <f>_xlfn.XLOOKUP(Customer[[#This Row],[Customer ID]],[1]!Address[ID],[1]!Address[Phone No.(2)])</f>
        <v/>
      </c>
      <c r="V1195" s="11" t="str">
        <f>_xlfn.XLOOKUP(Customer[[#This Row],[Customer ID]],[1]!Address[ID],[1]!Address[Type])</f>
        <v>AGENT</v>
      </c>
      <c r="W1195" s="11" t="str">
        <f>_xlfn.XLOOKUP(Customer[[#This Row],[Customer ID]],[1]!Address[ID],[1]!Address[CT])</f>
        <v/>
      </c>
      <c r="X1195" s="11"/>
      <c r="Y1195" s="17" t="s">
        <v>6639</v>
      </c>
      <c r="Z1195" s="17" t="e">
        <f>_xlfn.XLOOKUP(Customer[[#This Row],[NewType]],$AF$36:$AF$54,$AG$36:$AG$54)</f>
        <v>#N/A</v>
      </c>
      <c r="AA1195" s="17" t="s">
        <v>7904</v>
      </c>
      <c r="AB1195" s="11" t="str">
        <f>_xlfn.XLOOKUP(Customer[[#This Row],[Customer ID]],[1]!Address[ID],[1]!Address[Subtype])</f>
        <v>AGENT HQ</v>
      </c>
      <c r="AC1195" s="18" t="str">
        <f>_xlfn.XLOOKUP(Customer[[#This Row],[Customer ID]],[1]!Address[ID],[1]!Address[Zone])</f>
        <v>CENTRAL</v>
      </c>
    </row>
    <row r="1196" spans="1:29" x14ac:dyDescent="0.3">
      <c r="A1196" s="10" t="s">
        <v>7905</v>
      </c>
      <c r="B1196" s="11" t="str">
        <f>_xlfn.XLOOKUP(Customer[[#This Row],[Customer ID]],[1]!Name[ID],[1]!Name[Description(1)])</f>
        <v>HJ AHMAD FAIZAL</v>
      </c>
      <c r="C1196" s="38" t="str">
        <f>_xlfn.XLOOKUP(Customer[[#This Row],[Customer ID]],[1]!Name[ID],[1]!Name[Description(2)])</f>
        <v/>
      </c>
      <c r="D1196" s="38" t="str">
        <f>_xlfn.XLOOKUP(Customer[[#This Row],[Customer ID]],[1]!Address[ID],[1]!Address[PIC])</f>
        <v/>
      </c>
      <c r="E1196" s="38" t="str">
        <f>_xlfn.XLOOKUP(Customer[[#This Row],[Customer ID]],[1]!Address[ID],[1]!Address[Full Address])</f>
        <v>34, JALAN TIANG SERI U8/73C,BUKIT JELUTONG, 40150SHAH ALAM.</v>
      </c>
      <c r="F1196" s="12" t="s">
        <v>7906</v>
      </c>
      <c r="G1196" s="12" t="s">
        <v>7907</v>
      </c>
      <c r="H1196" s="12" t="s">
        <v>7908</v>
      </c>
      <c r="I1196" s="12" t="b">
        <f>ISNUMBER(VALUE(LEFT(Customer[[#This Row],[Address Line 3 (30 char)]],1)))</f>
        <v>0</v>
      </c>
      <c r="J1196" s="12" t="s">
        <v>1907</v>
      </c>
      <c r="K1196" s="12">
        <v>40150</v>
      </c>
      <c r="L1196" s="12" t="s">
        <v>35</v>
      </c>
      <c r="M1196" s="13" t="e">
        <v>#N/A</v>
      </c>
      <c r="N1196" s="14" t="e">
        <v>#N/A</v>
      </c>
      <c r="O1196" s="14" t="e">
        <v>#N/A</v>
      </c>
      <c r="P1196" s="14" t="e">
        <v>#N/A</v>
      </c>
      <c r="Q1196" s="14" t="e">
        <v>#N/A</v>
      </c>
      <c r="R1196" s="15" t="s">
        <v>7909</v>
      </c>
      <c r="S1196" s="15" t="s">
        <v>4271</v>
      </c>
      <c r="T1196" s="16" t="s">
        <v>89</v>
      </c>
      <c r="U1196" s="11" t="str">
        <f>_xlfn.XLOOKUP(Customer[[#This Row],[Customer ID]],[1]!Address[ID],[1]!Address[Phone No.(2)])</f>
        <v/>
      </c>
      <c r="V1196" s="11" t="str">
        <f>_xlfn.XLOOKUP(Customer[[#This Row],[Customer ID]],[1]!Address[ID],[1]!Address[Type])</f>
        <v>WHATSAPP</v>
      </c>
      <c r="W1196" s="11" t="str">
        <f>_xlfn.XLOOKUP(Customer[[#This Row],[Customer ID]],[1]!Address[ID],[1]!Address[CT])</f>
        <v/>
      </c>
      <c r="X1196" s="11"/>
      <c r="Y1196" s="17" t="s">
        <v>90</v>
      </c>
      <c r="Z1196" s="17" t="e">
        <f>_xlfn.XLOOKUP(Customer[[#This Row],[NewType]],$AF$36:$AF$54,$AG$36:$AG$54)</f>
        <v>#N/A</v>
      </c>
      <c r="AA1196" s="17" t="s">
        <v>7910</v>
      </c>
      <c r="AB1196" s="11" t="str">
        <f>_xlfn.XLOOKUP(Customer[[#This Row],[Customer ID]],[1]!Address[ID],[1]!Address[Subtype])</f>
        <v>WHATSAPP</v>
      </c>
      <c r="AC1196" s="18" t="str">
        <f>_xlfn.XLOOKUP(Customer[[#This Row],[Customer ID]],[1]!Address[ID],[1]!Address[Zone])</f>
        <v>CENTRAL</v>
      </c>
    </row>
    <row r="1197" spans="1:29" x14ac:dyDescent="0.3">
      <c r="A1197" s="10" t="s">
        <v>7911</v>
      </c>
      <c r="B1197" s="11" t="str">
        <f>_xlfn.XLOOKUP(Customer[[#This Row],[Customer ID]],[1]!Name[ID],[1]!Name[Description(1)])</f>
        <v>TN MUHAMMAD NAZRI KASSIM</v>
      </c>
      <c r="C1197" s="38" t="str">
        <f>_xlfn.XLOOKUP(Customer[[#This Row],[Customer ID]],[1]!Name[ID],[1]!Name[Description(2)])</f>
        <v/>
      </c>
      <c r="D1197" s="38" t="str">
        <f>_xlfn.XLOOKUP(Customer[[#This Row],[Customer ID]],[1]!Address[ID],[1]!Address[PIC])</f>
        <v>NAZRI</v>
      </c>
      <c r="E1197" s="38" t="str">
        <f>_xlfn.XLOOKUP(Customer[[#This Row],[Customer ID]],[1]!Address[ID],[1]!Address[Full Address])</f>
        <v>48, JALAN RK 4/1, 70300 SEREMBAN</v>
      </c>
      <c r="F1197" s="12" t="s">
        <v>7912</v>
      </c>
      <c r="G1197" s="12" t="s">
        <v>36</v>
      </c>
      <c r="H1197" s="12" t="s">
        <v>2411</v>
      </c>
      <c r="I1197" s="12" t="b">
        <f>ISNUMBER(VALUE(LEFT(Customer[[#This Row],[Address Line 3 (30 char)]],1)))</f>
        <v>0</v>
      </c>
      <c r="J1197" s="12" t="s">
        <v>203</v>
      </c>
      <c r="K1197" s="12">
        <v>70300</v>
      </c>
      <c r="L1197" s="12" t="s">
        <v>35</v>
      </c>
      <c r="M1197" s="13" t="e">
        <v>#N/A</v>
      </c>
      <c r="N1197" s="14" t="e">
        <v>#N/A</v>
      </c>
      <c r="O1197" s="14" t="e">
        <v>#N/A</v>
      </c>
      <c r="P1197" s="14" t="e">
        <v>#N/A</v>
      </c>
      <c r="Q1197" s="14" t="e">
        <v>#N/A</v>
      </c>
      <c r="R1197" s="15" t="s">
        <v>7913</v>
      </c>
      <c r="S1197" s="15" t="s">
        <v>4271</v>
      </c>
      <c r="T1197" s="16" t="s">
        <v>89</v>
      </c>
      <c r="U1197" s="11" t="str">
        <f>_xlfn.XLOOKUP(Customer[[#This Row],[Customer ID]],[1]!Address[ID],[1]!Address[Phone No.(2)])</f>
        <v/>
      </c>
      <c r="V1197" s="11" t="str">
        <f>_xlfn.XLOOKUP(Customer[[#This Row],[Customer ID]],[1]!Address[ID],[1]!Address[Type])</f>
        <v>SOCMED</v>
      </c>
      <c r="W1197" s="11" t="str">
        <f>_xlfn.XLOOKUP(Customer[[#This Row],[Customer ID]],[1]!Address[ID],[1]!Address[CT])</f>
        <v/>
      </c>
      <c r="X1197" s="11"/>
      <c r="Y1197" s="17" t="s">
        <v>90</v>
      </c>
      <c r="Z1197" s="17" t="e">
        <f>_xlfn.XLOOKUP(Customer[[#This Row],[NewType]],$AF$36:$AF$54,$AG$36:$AG$54)</f>
        <v>#N/A</v>
      </c>
      <c r="AA1197" s="17" t="s">
        <v>7914</v>
      </c>
      <c r="AB1197" s="11" t="str">
        <f>_xlfn.XLOOKUP(Customer[[#This Row],[Customer ID]],[1]!Address[ID],[1]!Address[Subtype])</f>
        <v>WHATSAPP</v>
      </c>
      <c r="AC1197" s="18" t="str">
        <f>_xlfn.XLOOKUP(Customer[[#This Row],[Customer ID]],[1]!Address[ID],[1]!Address[Zone])</f>
        <v>CENTRAL</v>
      </c>
    </row>
    <row r="1198" spans="1:29" x14ac:dyDescent="0.3">
      <c r="A1198" s="37" t="s">
        <v>7915</v>
      </c>
      <c r="B1198" s="38" t="str">
        <f>_xlfn.XLOOKUP(Customer[[#This Row],[Customer ID]],[1]!Name[ID],[1]!Name[Description(1)])</f>
        <v>WAREHOUSE-ALL HAPPY MART SDN BHD</v>
      </c>
      <c r="C1198" s="38" t="str">
        <f>_xlfn.XLOOKUP(Customer[[#This Row],[Customer ID]],[1]!Name[ID],[1]!Name[Description(2)])</f>
        <v/>
      </c>
      <c r="D1198" s="38" t="str">
        <f>_xlfn.XLOOKUP(Customer[[#This Row],[Customer ID]],[1]!Address[ID],[1]!Address[PIC])</f>
        <v/>
      </c>
      <c r="E1198" s="38" t="str">
        <f>_xlfn.XLOOKUP(Customer[[#This Row],[Customer ID]],[1]!Address[ID],[1]!Address[Full Address])</f>
        <v>LOT 270(i), LORONG MAK MANDIN 6,KAW.PERINDUSTRIAN MAK MANDIN,13400 BUTTERWORTH PULAU PINANG</v>
      </c>
      <c r="F1198" s="12" t="s">
        <v>7916</v>
      </c>
      <c r="G1198" s="12" t="s">
        <v>7917</v>
      </c>
      <c r="H1198" s="12" t="s">
        <v>7918</v>
      </c>
      <c r="I1198" s="12" t="b">
        <f>ISNUMBER(VALUE(LEFT(Customer[[#This Row],[Address Line 3 (30 char)]],1)))</f>
        <v>0</v>
      </c>
      <c r="J1198" s="12" t="s">
        <v>179</v>
      </c>
      <c r="K1198" s="12">
        <v>13400</v>
      </c>
      <c r="L1198" s="12" t="s">
        <v>35</v>
      </c>
      <c r="M1198" s="13" t="e">
        <v>#N/A</v>
      </c>
      <c r="N1198" s="14" t="e">
        <v>#N/A</v>
      </c>
      <c r="O1198" s="14" t="e">
        <v>#N/A</v>
      </c>
      <c r="P1198" s="14" t="e">
        <v>#N/A</v>
      </c>
      <c r="Q1198" s="14" t="e">
        <v>#N/A</v>
      </c>
      <c r="R1198" s="15" t="s">
        <v>7919</v>
      </c>
      <c r="S1198" s="15" t="s">
        <v>74</v>
      </c>
      <c r="T1198" s="16" t="s">
        <v>3477</v>
      </c>
      <c r="U1198" s="11" t="str">
        <f>_xlfn.XLOOKUP(Customer[[#This Row],[Customer ID]],[1]!Address[ID],[1]!Address[Phone No.(2)])</f>
        <v/>
      </c>
      <c r="V1198" s="11" t="str">
        <f>_xlfn.XLOOKUP(Customer[[#This Row],[Customer ID]],[1]!Address[ID],[1]!Address[Type])</f>
        <v>CM</v>
      </c>
      <c r="W1198" s="11" t="str">
        <f>_xlfn.XLOOKUP(Customer[[#This Row],[Customer ID]],[1]!Address[ID],[1]!Address[CT])</f>
        <v>30 DAYS</v>
      </c>
      <c r="X1198" s="11"/>
      <c r="Y1198" s="17" t="s">
        <v>5918</v>
      </c>
      <c r="Z1198" s="17" t="e">
        <f>_xlfn.XLOOKUP(Customer[[#This Row],[NewType]],$AF$36:$AF$54,$AG$36:$AG$54)</f>
        <v>#N/A</v>
      </c>
      <c r="AA1198" s="17" t="s">
        <v>7920</v>
      </c>
      <c r="AB1198" s="11" t="str">
        <f>_xlfn.XLOOKUP(Customer[[#This Row],[Customer ID]],[1]!Address[ID],[1]!Address[Subtype])</f>
        <v>HAPPY MART</v>
      </c>
      <c r="AC1198" s="18" t="str">
        <f>_xlfn.XLOOKUP(Customer[[#This Row],[Customer ID]],[1]!Address[ID],[1]!Address[Zone])</f>
        <v>NORTH</v>
      </c>
    </row>
    <row r="1199" spans="1:29" x14ac:dyDescent="0.3">
      <c r="A1199" s="37" t="s">
        <v>7921</v>
      </c>
      <c r="B1199" s="38" t="str">
        <f>_xlfn.XLOOKUP(Customer[[#This Row],[Customer ID]],[1]!Name[ID],[1]!Name[Description(1)])</f>
        <v>DELI FAMILY TRADING</v>
      </c>
      <c r="C1199" s="38" t="str">
        <f>_xlfn.XLOOKUP(Customer[[#This Row],[Customer ID]],[1]!Name[ID],[1]!Name[Description(2)])</f>
        <v/>
      </c>
      <c r="D1199" s="38" t="str">
        <f>_xlfn.XLOOKUP(Customer[[#This Row],[Customer ID]],[1]!Address[ID],[1]!Address[PIC])</f>
        <v/>
      </c>
      <c r="E1199" s="38" t="str">
        <f>_xlfn.XLOOKUP(Customer[[#This Row],[Customer ID]],[1]!Address[ID],[1]!Address[Full Address])</f>
        <v>LOT 2136, BATU 19,KG BADAK 16300 BACHOK, KELANTAN</v>
      </c>
      <c r="F1199" s="12" t="s">
        <v>7922</v>
      </c>
      <c r="G1199" s="12" t="s">
        <v>7923</v>
      </c>
      <c r="H1199" s="12" t="s">
        <v>36</v>
      </c>
      <c r="I1199" s="12" t="b">
        <f>ISNUMBER(VALUE(LEFT(Customer[[#This Row],[Address Line 3 (30 char)]],1)))</f>
        <v>0</v>
      </c>
      <c r="J1199" s="12" t="s">
        <v>1007</v>
      </c>
      <c r="K1199" s="41">
        <v>16300</v>
      </c>
      <c r="L1199" s="12" t="s">
        <v>35</v>
      </c>
      <c r="M1199" s="13">
        <v>201803193129</v>
      </c>
      <c r="N1199" s="14" t="s">
        <v>7924</v>
      </c>
      <c r="O1199" s="14" t="s">
        <v>54</v>
      </c>
      <c r="P1199" s="14">
        <v>50500</v>
      </c>
      <c r="Q1199" s="14" t="s">
        <v>7925</v>
      </c>
      <c r="R1199" s="15" t="s">
        <v>7926</v>
      </c>
      <c r="S1199" s="15" t="s">
        <v>3212</v>
      </c>
      <c r="T1199" s="16" t="s">
        <v>89</v>
      </c>
      <c r="U1199" s="11" t="str">
        <f>_xlfn.XLOOKUP(Customer[[#This Row],[Customer ID]],[1]!Address[ID],[1]!Address[Phone No.(2)])</f>
        <v/>
      </c>
      <c r="V1199" s="11" t="str">
        <f>_xlfn.XLOOKUP(Customer[[#This Row],[Customer ID]],[1]!Address[ID],[1]!Address[Type])</f>
        <v>SOCMED</v>
      </c>
      <c r="W1199" s="11" t="str">
        <f>_xlfn.XLOOKUP(Customer[[#This Row],[Customer ID]],[1]!Address[ID],[1]!Address[CT])</f>
        <v/>
      </c>
      <c r="X1199" s="11"/>
      <c r="Y1199" s="17" t="s">
        <v>90</v>
      </c>
      <c r="Z1199" s="17" t="e">
        <f>_xlfn.XLOOKUP(Customer[[#This Row],[NewType]],$AF$36:$AF$54,$AG$36:$AG$54)</f>
        <v>#N/A</v>
      </c>
      <c r="AA1199" s="17" t="s">
        <v>7927</v>
      </c>
      <c r="AB1199" s="11" t="str">
        <f>_xlfn.XLOOKUP(Customer[[#This Row],[Customer ID]],[1]!Address[ID],[1]!Address[Subtype])</f>
        <v>ONLINE HAJAR</v>
      </c>
      <c r="AC1199" s="18" t="str">
        <f>_xlfn.XLOOKUP(Customer[[#This Row],[Customer ID]],[1]!Address[ID],[1]!Address[Zone])</f>
        <v>EAST COAST</v>
      </c>
    </row>
    <row r="1200" spans="1:29" x14ac:dyDescent="0.3">
      <c r="A1200" s="37" t="s">
        <v>7928</v>
      </c>
      <c r="B1200" s="38" t="str">
        <f>_xlfn.XLOOKUP(Customer[[#This Row],[Customer ID]],[1]!Name[ID],[1]!Name[Description(1)])</f>
        <v>LESONG MART KAJANG</v>
      </c>
      <c r="C1200" s="38" t="str">
        <f>_xlfn.XLOOKUP(Customer[[#This Row],[Customer ID]],[1]!Name[ID],[1]!Name[Description(2)])</f>
        <v/>
      </c>
      <c r="D1200" s="38" t="str">
        <f>_xlfn.XLOOKUP(Customer[[#This Row],[Customer ID]],[1]!Address[ID],[1]!Address[PIC])</f>
        <v/>
      </c>
      <c r="E1200" s="38" t="str">
        <f>_xlfn.XLOOKUP(Customer[[#This Row],[Customer ID]],[1]!Address[ID],[1]!Address[Full Address])</f>
        <v>HT HUB, NO 8 TAMAN SELAMATBATU 14 JALAN CHERAS43000 KAJANG</v>
      </c>
      <c r="F1200" s="12" t="s">
        <v>7929</v>
      </c>
      <c r="G1200" s="12" t="s">
        <v>7930</v>
      </c>
      <c r="H1200" s="24" t="s">
        <v>6089</v>
      </c>
      <c r="I1200" s="24" t="b">
        <f>ISNUMBER(VALUE(LEFT(Customer[[#This Row],[Address Line 3 (30 char)]],1)))</f>
        <v>0</v>
      </c>
      <c r="J1200" s="12" t="s">
        <v>1907</v>
      </c>
      <c r="K1200" s="12">
        <v>43000</v>
      </c>
      <c r="L1200" s="12" t="s">
        <v>35</v>
      </c>
      <c r="M1200" s="13" t="e">
        <v>#N/A</v>
      </c>
      <c r="N1200" s="14" t="e">
        <v>#N/A</v>
      </c>
      <c r="O1200" s="14" t="e">
        <v>#N/A</v>
      </c>
      <c r="P1200" s="14" t="e">
        <v>#N/A</v>
      </c>
      <c r="Q1200" s="14" t="e">
        <v>#N/A</v>
      </c>
      <c r="R1200" s="15" t="s">
        <v>7931</v>
      </c>
      <c r="S1200" s="15" t="s">
        <v>88</v>
      </c>
      <c r="T1200" s="16" t="s">
        <v>89</v>
      </c>
      <c r="U1200" s="11" t="str">
        <f>_xlfn.XLOOKUP(Customer[[#This Row],[Customer ID]],[1]!Address[ID],[1]!Address[Phone No.(2)])</f>
        <v/>
      </c>
      <c r="V1200" s="11" t="str">
        <f>_xlfn.XLOOKUP(Customer[[#This Row],[Customer ID]],[1]!Address[ID],[1]!Address[Type])</f>
        <v>SOCMED</v>
      </c>
      <c r="W1200" s="11" t="str">
        <f>_xlfn.XLOOKUP(Customer[[#This Row],[Customer ID]],[1]!Address[ID],[1]!Address[CT])</f>
        <v/>
      </c>
      <c r="X1200" s="11"/>
      <c r="Y1200" s="17" t="s">
        <v>90</v>
      </c>
      <c r="Z1200" s="17" t="e">
        <f>_xlfn.XLOOKUP(Customer[[#This Row],[NewType]],$AF$36:$AF$54,$AG$36:$AG$54)</f>
        <v>#N/A</v>
      </c>
      <c r="AA1200" s="17" t="s">
        <v>7932</v>
      </c>
      <c r="AB1200" s="11" t="str">
        <f>_xlfn.XLOOKUP(Customer[[#This Row],[Customer ID]],[1]!Address[ID],[1]!Address[Subtype])</f>
        <v>ONLINE ROS</v>
      </c>
      <c r="AC1200" s="18" t="str">
        <f>_xlfn.XLOOKUP(Customer[[#This Row],[Customer ID]],[1]!Address[ID],[1]!Address[Zone])</f>
        <v>CENTRAL</v>
      </c>
    </row>
    <row r="1201" spans="1:30" x14ac:dyDescent="0.3">
      <c r="A1201" s="10" t="s">
        <v>7933</v>
      </c>
      <c r="B1201" s="11" t="str">
        <f>_xlfn.XLOOKUP(Customer[[#This Row],[Customer ID]],[1]!Name[ID],[1]!Name[Description(1)])</f>
        <v>ISMADI</v>
      </c>
      <c r="C1201" s="38" t="str">
        <f>_xlfn.XLOOKUP(Customer[[#This Row],[Customer ID]],[1]!Name[ID],[1]!Name[Description(2)])</f>
        <v/>
      </c>
      <c r="D1201" s="38" t="str">
        <f>_xlfn.XLOOKUP(Customer[[#This Row],[Customer ID]],[1]!Address[ID],[1]!Address[PIC])</f>
        <v>ISMADI</v>
      </c>
      <c r="E1201" s="38" t="str">
        <f>_xlfn.XLOOKUP(Customer[[#This Row],[Customer ID]],[1]!Address[ID],[1]!Address[Full Address])</f>
        <v>NO 33 JALAN KERAK AMPANG 27/47,SEKSYEN 27 TAMAN BUNGA NEGARA,40400 SHAH ALAM</v>
      </c>
      <c r="F1201" s="12" t="s">
        <v>7934</v>
      </c>
      <c r="G1201" s="12" t="s">
        <v>7935</v>
      </c>
      <c r="H1201" s="12" t="s">
        <v>7936</v>
      </c>
      <c r="I1201" s="12" t="b">
        <f>ISNUMBER(VALUE(LEFT(Customer[[#This Row],[Address Line 3 (30 char)]],1)))</f>
        <v>0</v>
      </c>
      <c r="J1201" s="12" t="s">
        <v>172</v>
      </c>
      <c r="K1201" s="12">
        <v>40400</v>
      </c>
      <c r="L1201" s="12" t="s">
        <v>35</v>
      </c>
      <c r="M1201" s="13" t="e">
        <v>#N/A</v>
      </c>
      <c r="N1201" s="14" t="e">
        <v>#N/A</v>
      </c>
      <c r="O1201" s="14" t="e">
        <v>#N/A</v>
      </c>
      <c r="P1201" s="14" t="e">
        <v>#N/A</v>
      </c>
      <c r="Q1201" s="14" t="e">
        <v>#N/A</v>
      </c>
      <c r="R1201" s="15" t="s">
        <v>36</v>
      </c>
      <c r="S1201" s="15" t="s">
        <v>4271</v>
      </c>
      <c r="T1201" s="16" t="s">
        <v>89</v>
      </c>
      <c r="U1201" s="11" t="str">
        <f>_xlfn.XLOOKUP(Customer[[#This Row],[Customer ID]],[1]!Address[ID],[1]!Address[Phone No.(2)])</f>
        <v/>
      </c>
      <c r="V1201" s="11" t="str">
        <f>_xlfn.XLOOKUP(Customer[[#This Row],[Customer ID]],[1]!Address[ID],[1]!Address[Type])</f>
        <v>SOCMED</v>
      </c>
      <c r="W1201" s="11" t="str">
        <f>_xlfn.XLOOKUP(Customer[[#This Row],[Customer ID]],[1]!Address[ID],[1]!Address[CT])</f>
        <v/>
      </c>
      <c r="X1201" s="11"/>
      <c r="Y1201" s="17" t="s">
        <v>90</v>
      </c>
      <c r="Z1201" s="17" t="e">
        <f>_xlfn.XLOOKUP(Customer[[#This Row],[NewType]],$AF$36:$AF$54,$AG$36:$AG$54)</f>
        <v>#N/A</v>
      </c>
      <c r="AA1201" s="17" t="s">
        <v>7937</v>
      </c>
      <c r="AB1201" s="11" t="str">
        <f>_xlfn.XLOOKUP(Customer[[#This Row],[Customer ID]],[1]!Address[ID],[1]!Address[Subtype])</f>
        <v>WHATSAPP</v>
      </c>
      <c r="AC1201" s="18">
        <f>_xlfn.XLOOKUP(Customer[[#This Row],[Customer ID]],[1]!Address[ID],[1]!Address[Zone])</f>
        <v>0</v>
      </c>
    </row>
    <row r="1202" spans="1:30" x14ac:dyDescent="0.3">
      <c r="A1202" s="10" t="s">
        <v>7938</v>
      </c>
      <c r="B1202" s="11" t="str">
        <f>_xlfn.XLOOKUP(Customer[[#This Row],[Customer ID]],[1]!Name[ID],[1]!Name[Description(1)])</f>
        <v>LIYANA AEONBIG</v>
      </c>
      <c r="C1202" s="38" t="str">
        <f>_xlfn.XLOOKUP(Customer[[#This Row],[Customer ID]],[1]!Name[ID],[1]!Name[Description(2)])</f>
        <v/>
      </c>
      <c r="D1202" s="38" t="str">
        <f>_xlfn.XLOOKUP(Customer[[#This Row],[Customer ID]],[1]!Address[ID],[1]!Address[PIC])</f>
        <v/>
      </c>
      <c r="E1202" s="38" t="str">
        <f>_xlfn.XLOOKUP(Customer[[#This Row],[Customer ID]],[1]!Address[ID],[1]!Address[Full Address])</f>
        <v>B1-21-10, LAKEPOINT RESIDENCE,63000, CYBERJAYA</v>
      </c>
      <c r="F1202" s="12" t="s">
        <v>7939</v>
      </c>
      <c r="G1202" s="12" t="s">
        <v>7940</v>
      </c>
      <c r="H1202" s="12" t="s">
        <v>36</v>
      </c>
      <c r="I1202" s="12" t="b">
        <f>ISNUMBER(VALUE(LEFT(Customer[[#This Row],[Address Line 3 (30 char)]],1)))</f>
        <v>0</v>
      </c>
      <c r="J1202" s="12" t="s">
        <v>1907</v>
      </c>
      <c r="K1202" s="12">
        <v>63000</v>
      </c>
      <c r="L1202" s="12" t="s">
        <v>35</v>
      </c>
      <c r="M1202" s="13" t="e">
        <v>#N/A</v>
      </c>
      <c r="N1202" s="14" t="e">
        <v>#N/A</v>
      </c>
      <c r="O1202" s="14" t="e">
        <v>#N/A</v>
      </c>
      <c r="P1202" s="14" t="e">
        <v>#N/A</v>
      </c>
      <c r="Q1202" s="14" t="e">
        <v>#N/A</v>
      </c>
      <c r="R1202" s="15" t="s">
        <v>7941</v>
      </c>
      <c r="S1202" s="15" t="s">
        <v>89</v>
      </c>
      <c r="T1202" s="16" t="s">
        <v>89</v>
      </c>
      <c r="U1202" s="11" t="str">
        <f>_xlfn.XLOOKUP(Customer[[#This Row],[Customer ID]],[1]!Address[ID],[1]!Address[Phone No.(2)])</f>
        <v/>
      </c>
      <c r="V1202" s="11" t="str">
        <f>_xlfn.XLOOKUP(Customer[[#This Row],[Customer ID]],[1]!Address[ID],[1]!Address[Type])</f>
        <v>WHATSAPP</v>
      </c>
      <c r="W1202" s="11" t="str">
        <f>_xlfn.XLOOKUP(Customer[[#This Row],[Customer ID]],[1]!Address[ID],[1]!Address[CT])</f>
        <v/>
      </c>
      <c r="X1202" s="11"/>
      <c r="Y1202" s="17" t="s">
        <v>90</v>
      </c>
      <c r="Z1202" s="17" t="e">
        <f>_xlfn.XLOOKUP(Customer[[#This Row],[NewType]],$AF$36:$AF$54,$AG$36:$AG$54)</f>
        <v>#N/A</v>
      </c>
      <c r="AA1202" s="17" t="s">
        <v>7942</v>
      </c>
      <c r="AB1202" s="11" t="str">
        <f>_xlfn.XLOOKUP(Customer[[#This Row],[Customer ID]],[1]!Address[ID],[1]!Address[Subtype])</f>
        <v>WHATSAPP</v>
      </c>
      <c r="AC1202" s="18" t="str">
        <f>_xlfn.XLOOKUP(Customer[[#This Row],[Customer ID]],[1]!Address[ID],[1]!Address[Zone])</f>
        <v>CENTRAL</v>
      </c>
    </row>
    <row r="1203" spans="1:30" x14ac:dyDescent="0.3">
      <c r="A1203" s="10" t="s">
        <v>7943</v>
      </c>
      <c r="B1203" s="11" t="str">
        <f>_xlfn.XLOOKUP(Customer[[#This Row],[Customer ID]],[1]!Name[ID],[1]!Name[Description(1)])</f>
        <v>MASJID TAMAN TUANKU JAAFAR (TTJ)</v>
      </c>
      <c r="C1203" s="38" t="str">
        <f>_xlfn.XLOOKUP(Customer[[#This Row],[Customer ID]],[1]!Name[ID],[1]!Name[Description(2)])</f>
        <v/>
      </c>
      <c r="D1203" s="38" t="str">
        <f>_xlfn.XLOOKUP(Customer[[#This Row],[Customer ID]],[1]!Address[ID],[1]!Address[PIC])</f>
        <v/>
      </c>
      <c r="E1203" s="38" t="str">
        <f>_xlfn.XLOOKUP(Customer[[#This Row],[Customer ID]],[1]!Address[ID],[1]!Address[Full Address])</f>
        <v>TAMAN TUANKU JAAFAR</v>
      </c>
      <c r="F1203" s="12" t="s">
        <v>6869</v>
      </c>
      <c r="G1203" s="12" t="s">
        <v>36</v>
      </c>
      <c r="H1203" s="12" t="s">
        <v>36</v>
      </c>
      <c r="I1203" s="12" t="b">
        <f>ISNUMBER(VALUE(LEFT(Customer[[#This Row],[Address Line 3 (30 char)]],1)))</f>
        <v>0</v>
      </c>
      <c r="J1203" s="12" t="s">
        <v>203</v>
      </c>
      <c r="K1203" s="12">
        <v>71450</v>
      </c>
      <c r="L1203" s="12" t="s">
        <v>35</v>
      </c>
      <c r="M1203" s="13" t="e">
        <v>#N/A</v>
      </c>
      <c r="N1203" s="14" t="e">
        <v>#N/A</v>
      </c>
      <c r="O1203" s="14" t="e">
        <v>#N/A</v>
      </c>
      <c r="P1203" s="14" t="e">
        <v>#N/A</v>
      </c>
      <c r="Q1203" s="14" t="e">
        <v>#N/A</v>
      </c>
      <c r="R1203" s="15" t="s">
        <v>7944</v>
      </c>
      <c r="S1203" s="15" t="s">
        <v>89</v>
      </c>
      <c r="T1203" s="16" t="s">
        <v>89</v>
      </c>
      <c r="U1203" s="11" t="str">
        <f>_xlfn.XLOOKUP(Customer[[#This Row],[Customer ID]],[1]!Address[ID],[1]!Address[Phone No.(2)])</f>
        <v/>
      </c>
      <c r="V1203" s="11" t="str">
        <f>_xlfn.XLOOKUP(Customer[[#This Row],[Customer ID]],[1]!Address[ID],[1]!Address[Type])</f>
        <v>SOCMED</v>
      </c>
      <c r="W1203" s="11" t="str">
        <f>_xlfn.XLOOKUP(Customer[[#This Row],[Customer ID]],[1]!Address[ID],[1]!Address[CT])</f>
        <v/>
      </c>
      <c r="X1203" s="11"/>
      <c r="Y1203" s="17" t="s">
        <v>90</v>
      </c>
      <c r="Z1203" s="17" t="e">
        <f>_xlfn.XLOOKUP(Customer[[#This Row],[NewType]],$AF$36:$AF$54,$AG$36:$AG$54)</f>
        <v>#N/A</v>
      </c>
      <c r="AA1203" s="17" t="s">
        <v>7945</v>
      </c>
      <c r="AB1203" s="11" t="str">
        <f>_xlfn.XLOOKUP(Customer[[#This Row],[Customer ID]],[1]!Address[ID],[1]!Address[Subtype])</f>
        <v>WHATSAPP</v>
      </c>
      <c r="AC1203" s="18" t="str">
        <f>_xlfn.XLOOKUP(Customer[[#This Row],[Customer ID]],[1]!Address[ID],[1]!Address[Zone])</f>
        <v>CENTRAL</v>
      </c>
    </row>
    <row r="1204" spans="1:30" x14ac:dyDescent="0.3">
      <c r="A1204" s="43" t="s">
        <v>7946</v>
      </c>
      <c r="B1204" s="44" t="str">
        <f>_xlfn.XLOOKUP(Customer[[#This Row],[Customer ID]],[1]!Name[ID],[1]!Name[Description(1)])</f>
        <v>SNN JULANG ENTERPRISE</v>
      </c>
      <c r="C1204" s="38" t="str">
        <f>_xlfn.XLOOKUP(Customer[[#This Row],[Customer ID]],[1]!Name[ID],[1]!Name[Description(2)])</f>
        <v/>
      </c>
      <c r="D1204" s="38" t="str">
        <f>_xlfn.XLOOKUP(Customer[[#This Row],[Customer ID]],[1]!Address[ID],[1]!Address[PIC])</f>
        <v>ENSODORI</v>
      </c>
      <c r="E1204" s="38" t="str">
        <f>_xlfn.XLOOKUP(Customer[[#This Row],[Customer ID]],[1]!Address[ID],[1]!Address[Full Address])</f>
        <v>NO. 1, LORONG SEK. KEB. JABI,06400 POKOK SENA, KEDAH</v>
      </c>
      <c r="F1204" s="12" t="s">
        <v>7947</v>
      </c>
      <c r="G1204" s="12" t="s">
        <v>7948</v>
      </c>
      <c r="H1204" s="12" t="s">
        <v>36</v>
      </c>
      <c r="I1204" s="12" t="b">
        <f>ISNUMBER(VALUE(LEFT(Customer[[#This Row],[Address Line 3 (30 char)]],1)))</f>
        <v>0</v>
      </c>
      <c r="J1204" s="12" t="s">
        <v>79</v>
      </c>
      <c r="K1204" s="30" t="s">
        <v>7949</v>
      </c>
      <c r="L1204" s="12" t="s">
        <v>35</v>
      </c>
      <c r="M1204" s="13" t="e">
        <v>#N/A</v>
      </c>
      <c r="N1204" s="14" t="e">
        <v>#N/A</v>
      </c>
      <c r="O1204" s="14" t="e">
        <v>#N/A</v>
      </c>
      <c r="P1204" s="14" t="e">
        <v>#N/A</v>
      </c>
      <c r="Q1204" s="14" t="e">
        <v>#N/A</v>
      </c>
      <c r="R1204" s="15" t="s">
        <v>7950</v>
      </c>
      <c r="S1204" s="15" t="s">
        <v>5917</v>
      </c>
      <c r="T1204" s="16" t="s">
        <v>3477</v>
      </c>
      <c r="U1204" s="11" t="str">
        <f>_xlfn.XLOOKUP(Customer[[#This Row],[Customer ID]],[1]!Address[ID],[1]!Address[Phone No.(2)])</f>
        <v/>
      </c>
      <c r="V1204" s="11" t="str">
        <f>_xlfn.XLOOKUP(Customer[[#This Row],[Customer ID]],[1]!Address[ID],[1]!Address[Type])</f>
        <v>CM</v>
      </c>
      <c r="W1204" s="11" t="str">
        <f>_xlfn.XLOOKUP(Customer[[#This Row],[Customer ID]],[1]!Address[ID],[1]!Address[CT])</f>
        <v>30 DAYS</v>
      </c>
      <c r="X1204" s="11"/>
      <c r="Y1204" s="17" t="s">
        <v>5918</v>
      </c>
      <c r="Z1204" s="17" t="e">
        <f>_xlfn.XLOOKUP(Customer[[#This Row],[NewType]],$AF$36:$AF$54,$AG$36:$AG$54)</f>
        <v>#N/A</v>
      </c>
      <c r="AA1204" s="17" t="s">
        <v>7951</v>
      </c>
      <c r="AB1204" s="11" t="str">
        <f>_xlfn.XLOOKUP(Customer[[#This Row],[Customer ID]],[1]!Address[ID],[1]!Address[Subtype])</f>
        <v>SNN JULANG</v>
      </c>
      <c r="AC1204" s="18" t="str">
        <f>_xlfn.XLOOKUP(Customer[[#This Row],[Customer ID]],[1]!Address[ID],[1]!Address[Zone])</f>
        <v>NORTH</v>
      </c>
    </row>
    <row r="1205" spans="1:30" x14ac:dyDescent="0.3">
      <c r="A1205" s="37" t="s">
        <v>7952</v>
      </c>
      <c r="B1205" s="38" t="str">
        <f>_xlfn.XLOOKUP(Customer[[#This Row],[Customer ID]],[1]!Name[ID],[1]!Name[Description(1)])</f>
        <v>HH MEGAH TRADING, POKOK SENA</v>
      </c>
      <c r="C1205" s="38" t="str">
        <f>_xlfn.XLOOKUP(Customer[[#This Row],[Customer ID]],[1]!Name[ID],[1]!Name[Description(2)])</f>
        <v/>
      </c>
      <c r="D1205" s="38" t="str">
        <f>_xlfn.XLOOKUP(Customer[[#This Row],[Customer ID]],[1]!Address[ID],[1]!Address[PIC])</f>
        <v>ENHISHAM</v>
      </c>
      <c r="E1205" s="38" t="str">
        <f>_xlfn.XLOOKUP(Customer[[#This Row],[Customer ID]],[1]!Address[ID],[1]!Address[Full Address])</f>
        <v>NO. 22, LORONG SEKOLAH KEBANGSAAN JABI,KAMPUNG JABI, 06400 POKOK SENA, KEDAH</v>
      </c>
      <c r="F1205" s="12" t="s">
        <v>7953</v>
      </c>
      <c r="G1205" s="12" t="s">
        <v>7954</v>
      </c>
      <c r="H1205" s="12" t="s">
        <v>7955</v>
      </c>
      <c r="I1205" s="12" t="b">
        <f>ISNUMBER(VALUE(LEFT(Customer[[#This Row],[Address Line 3 (30 char)]],1)))</f>
        <v>0</v>
      </c>
      <c r="J1205" s="12" t="s">
        <v>355</v>
      </c>
      <c r="K1205" s="42" t="s">
        <v>7949</v>
      </c>
      <c r="L1205" s="12" t="s">
        <v>35</v>
      </c>
      <c r="M1205" s="13" t="e">
        <v>#N/A</v>
      </c>
      <c r="N1205" s="14" t="e">
        <v>#N/A</v>
      </c>
      <c r="O1205" s="14" t="e">
        <v>#N/A</v>
      </c>
      <c r="P1205" s="14" t="e">
        <v>#N/A</v>
      </c>
      <c r="Q1205" s="14" t="e">
        <v>#N/A</v>
      </c>
      <c r="R1205" s="15" t="s">
        <v>7956</v>
      </c>
      <c r="S1205" s="15" t="s">
        <v>5917</v>
      </c>
      <c r="T1205" s="16" t="s">
        <v>3477</v>
      </c>
      <c r="U1205" s="11" t="str">
        <f>_xlfn.XLOOKUP(Customer[[#This Row],[Customer ID]],[1]!Address[ID],[1]!Address[Phone No.(2)])</f>
        <v/>
      </c>
      <c r="V1205" s="11" t="str">
        <f>_xlfn.XLOOKUP(Customer[[#This Row],[Customer ID]],[1]!Address[ID],[1]!Address[Type])</f>
        <v>CM</v>
      </c>
      <c r="W1205" s="11" t="str">
        <f>_xlfn.XLOOKUP(Customer[[#This Row],[Customer ID]],[1]!Address[ID],[1]!Address[CT])</f>
        <v>30 DAYS</v>
      </c>
      <c r="X1205" s="11"/>
      <c r="Y1205" s="17" t="s">
        <v>5918</v>
      </c>
      <c r="Z1205" s="17" t="e">
        <f>_xlfn.XLOOKUP(Customer[[#This Row],[NewType]],$AF$36:$AF$54,$AG$36:$AG$54)</f>
        <v>#N/A</v>
      </c>
      <c r="AA1205" s="17" t="s">
        <v>7957</v>
      </c>
      <c r="AB1205" s="11" t="str">
        <f>_xlfn.XLOOKUP(Customer[[#This Row],[Customer ID]],[1]!Address[ID],[1]!Address[Subtype])</f>
        <v>HH MEGAH</v>
      </c>
      <c r="AC1205" s="18" t="str">
        <f>_xlfn.XLOOKUP(Customer[[#This Row],[Customer ID]],[1]!Address[ID],[1]!Address[Zone])</f>
        <v>NORTH</v>
      </c>
    </row>
    <row r="1206" spans="1:30" x14ac:dyDescent="0.3">
      <c r="A1206" s="37" t="s">
        <v>7958</v>
      </c>
      <c r="B1206" s="38" t="str">
        <f>_xlfn.XLOOKUP(Customer[[#This Row],[Customer ID]],[1]!Name[ID],[1]!Name[Description(1)])</f>
        <v>ED CAFE</v>
      </c>
      <c r="C1206" s="38" t="str">
        <f>_xlfn.XLOOKUP(Customer[[#This Row],[Customer ID]],[1]!Name[ID],[1]!Name[Description(2)])</f>
        <v/>
      </c>
      <c r="D1206" s="38" t="str">
        <f>_xlfn.XLOOKUP(Customer[[#This Row],[Customer ID]],[1]!Address[ID],[1]!Address[PIC])</f>
        <v>RAFAEL</v>
      </c>
      <c r="E1206" s="38" t="str">
        <f>_xlfn.XLOOKUP(Customer[[#This Row],[Customer ID]],[1]!Address[ID],[1]!Address[Full Address])</f>
        <v>NO. 11, KOMPLEKS PERNIAGAAN UTAMA,,LEBUHRAYA SULTANAH BAHIYAH,05150 ALOR SETAR, KEDAH</v>
      </c>
      <c r="F1206" s="12" t="s">
        <v>7959</v>
      </c>
      <c r="G1206" s="12" t="s">
        <v>7622</v>
      </c>
      <c r="H1206" s="12" t="s">
        <v>7960</v>
      </c>
      <c r="I1206" s="12" t="b">
        <f>ISNUMBER(VALUE(LEFT(Customer[[#This Row],[Address Line 3 (30 char)]],1)))</f>
        <v>0</v>
      </c>
      <c r="J1206" s="12" t="s">
        <v>355</v>
      </c>
      <c r="K1206" s="42" t="s">
        <v>3421</v>
      </c>
      <c r="L1206" s="12" t="s">
        <v>35</v>
      </c>
      <c r="M1206" s="13" t="e">
        <v>#N/A</v>
      </c>
      <c r="N1206" s="14" t="e">
        <v>#N/A</v>
      </c>
      <c r="O1206" s="14" t="e">
        <v>#N/A</v>
      </c>
      <c r="P1206" s="14" t="e">
        <v>#N/A</v>
      </c>
      <c r="Q1206" s="14" t="e">
        <v>#N/A</v>
      </c>
      <c r="R1206" s="15" t="s">
        <v>7961</v>
      </c>
      <c r="S1206" s="15" t="s">
        <v>5925</v>
      </c>
      <c r="T1206" s="16" t="s">
        <v>3477</v>
      </c>
      <c r="U1206" s="11" t="str">
        <f>_xlfn.XLOOKUP(Customer[[#This Row],[Customer ID]],[1]!Address[ID],[1]!Address[Phone No.(2)])</f>
        <v/>
      </c>
      <c r="V1206" s="11" t="str">
        <f>_xlfn.XLOOKUP(Customer[[#This Row],[Customer ID]],[1]!Address[ID],[1]!Address[Type])</f>
        <v>CAFE</v>
      </c>
      <c r="W1206" s="11" t="str">
        <f>_xlfn.XLOOKUP(Customer[[#This Row],[Customer ID]],[1]!Address[ID],[1]!Address[CT])</f>
        <v>30 DAYS</v>
      </c>
      <c r="X1206" s="11"/>
      <c r="Y1206" s="17" t="s">
        <v>5926</v>
      </c>
      <c r="Z1206" s="17" t="e">
        <f>_xlfn.XLOOKUP(Customer[[#This Row],[NewType]],$AF$36:$AF$54,$AG$36:$AG$54)</f>
        <v>#N/A</v>
      </c>
      <c r="AA1206" s="17" t="s">
        <v>7962</v>
      </c>
      <c r="AB1206" s="11" t="str">
        <f>_xlfn.XLOOKUP(Customer[[#This Row],[Customer ID]],[1]!Address[ID],[1]!Address[Subtype])</f>
        <v>ED CAFE</v>
      </c>
      <c r="AC1206" s="18" t="str">
        <f>_xlfn.XLOOKUP(Customer[[#This Row],[Customer ID]],[1]!Address[ID],[1]!Address[Zone])</f>
        <v>NORTH</v>
      </c>
    </row>
    <row r="1207" spans="1:30" x14ac:dyDescent="0.3">
      <c r="A1207" s="37" t="s">
        <v>7963</v>
      </c>
      <c r="B1207" s="38" t="str">
        <f>_xlfn.XLOOKUP(Customer[[#This Row],[Customer ID]],[1]!Name[ID],[1]!Name[Description(1)])</f>
        <v>AWINS CONVINIENCE SHOPE</v>
      </c>
      <c r="C1207" s="38" t="str">
        <f>_xlfn.XLOOKUP(Customer[[#This Row],[Customer ID]],[1]!Name[ID],[1]!Name[Description(2)])</f>
        <v/>
      </c>
      <c r="D1207" s="38" t="str">
        <f>_xlfn.XLOOKUP(Customer[[#This Row],[Customer ID]],[1]!Address[ID],[1]!Address[PIC])</f>
        <v>PN.MAZUIN</v>
      </c>
      <c r="E1207" s="38" t="str">
        <f>_xlfn.XLOOKUP(Customer[[#This Row],[Customer ID]],[1]!Address[ID],[1]!Address[Full Address])</f>
        <v>KPJ PENANG SPECIALIST HOSP 570,JALAN PERDA UTAMA, BANDAR BARU PERDA,14000 BUKIT MERTAJAM, PULAU PINANG</v>
      </c>
      <c r="F1207" s="12" t="s">
        <v>7964</v>
      </c>
      <c r="G1207" s="12" t="s">
        <v>7965</v>
      </c>
      <c r="H1207" s="12" t="s">
        <v>7966</v>
      </c>
      <c r="I1207" s="12" t="b">
        <f>ISNUMBER(VALUE(LEFT(Customer[[#This Row],[Address Line 3 (30 char)]],1)))</f>
        <v>0</v>
      </c>
      <c r="J1207" s="12" t="s">
        <v>179</v>
      </c>
      <c r="K1207" s="12">
        <v>14000</v>
      </c>
      <c r="L1207" s="12" t="s">
        <v>35</v>
      </c>
      <c r="M1207" s="13" t="e">
        <v>#N/A</v>
      </c>
      <c r="N1207" s="14" t="e">
        <v>#N/A</v>
      </c>
      <c r="O1207" s="14" t="e">
        <v>#N/A</v>
      </c>
      <c r="P1207" s="14" t="e">
        <v>#N/A</v>
      </c>
      <c r="Q1207" s="14" t="e">
        <v>#N/A</v>
      </c>
      <c r="R1207" s="15" t="s">
        <v>7967</v>
      </c>
      <c r="S1207" s="15" t="s">
        <v>74</v>
      </c>
      <c r="T1207" s="16" t="s">
        <v>3477</v>
      </c>
      <c r="U1207" s="11" t="str">
        <f>_xlfn.XLOOKUP(Customer[[#This Row],[Customer ID]],[1]!Address[ID],[1]!Address[Phone No.(2)])</f>
        <v/>
      </c>
      <c r="V1207" s="11" t="str">
        <f>_xlfn.XLOOKUP(Customer[[#This Row],[Customer ID]],[1]!Address[ID],[1]!Address[Type])</f>
        <v>CM</v>
      </c>
      <c r="W1207" s="11" t="str">
        <f>_xlfn.XLOOKUP(Customer[[#This Row],[Customer ID]],[1]!Address[ID],[1]!Address[CT])</f>
        <v>30 DAYS</v>
      </c>
      <c r="X1207" s="11"/>
      <c r="Y1207" s="17" t="s">
        <v>5918</v>
      </c>
      <c r="Z1207" s="17" t="e">
        <f>_xlfn.XLOOKUP(Customer[[#This Row],[NewType]],$AF$36:$AF$54,$AG$36:$AG$54)</f>
        <v>#N/A</v>
      </c>
      <c r="AA1207" s="17" t="s">
        <v>7968</v>
      </c>
      <c r="AB1207" s="11" t="str">
        <f>_xlfn.XLOOKUP(Customer[[#This Row],[Customer ID]],[1]!Address[ID],[1]!Address[Subtype])</f>
        <v>AWINS CONV</v>
      </c>
      <c r="AC1207" s="18" t="str">
        <f>_xlfn.XLOOKUP(Customer[[#This Row],[Customer ID]],[1]!Address[ID],[1]!Address[Zone])</f>
        <v>NORTH</v>
      </c>
    </row>
    <row r="1208" spans="1:30" x14ac:dyDescent="0.3">
      <c r="A1208" s="27" t="s">
        <v>7969</v>
      </c>
      <c r="B1208" s="11" t="str">
        <f>_xlfn.XLOOKUP(Customer[[#This Row],[Customer ID]],[1]!Name[ID],[1]!Name[Description(1)])</f>
        <v>DR JUANDI</v>
      </c>
      <c r="C1208" s="44" t="str">
        <f>_xlfn.XLOOKUP(Customer[[#This Row],[Customer ID]],[1]!Name[ID],[1]!Name[Description(2)])</f>
        <v/>
      </c>
      <c r="D1208" s="44" t="str">
        <f>_xlfn.XLOOKUP(Customer[[#This Row],[Customer ID]],[1]!Address[ID],[1]!Address[PIC])</f>
        <v>DR JUANDI</v>
      </c>
      <c r="E1208" s="38" t="str">
        <f>_xlfn.XLOOKUP(Customer[[#This Row],[Customer ID]],[1]!Address[ID],[1]!Address[Full Address])</f>
        <v>13A, JALAN TH 2/8A,PARKFIELD RESIDENCE,TROPICANA HEIGHT43000 KAJANG</v>
      </c>
      <c r="F1208" s="29" t="s">
        <v>7970</v>
      </c>
      <c r="G1208" s="29" t="s">
        <v>7971</v>
      </c>
      <c r="H1208" s="29" t="s">
        <v>7972</v>
      </c>
      <c r="I1208" s="29" t="b">
        <f>ISNUMBER(VALUE(LEFT(Customer[[#This Row],[Address Line 3 (30 char)]],1)))</f>
        <v>0</v>
      </c>
      <c r="J1208" s="29" t="s">
        <v>1907</v>
      </c>
      <c r="K1208" s="29">
        <v>43000</v>
      </c>
      <c r="L1208" s="29" t="s">
        <v>35</v>
      </c>
      <c r="M1208" s="31" t="e">
        <v>#N/A</v>
      </c>
      <c r="N1208" s="36" t="e">
        <v>#N/A</v>
      </c>
      <c r="O1208" s="36" t="e">
        <v>#N/A</v>
      </c>
      <c r="P1208" s="36" t="e">
        <v>#N/A</v>
      </c>
      <c r="Q1208" s="36" t="e">
        <v>#N/A</v>
      </c>
      <c r="R1208" s="80" t="s">
        <v>7973</v>
      </c>
      <c r="S1208" s="15" t="s">
        <v>6418</v>
      </c>
      <c r="T1208" s="16" t="s">
        <v>7974</v>
      </c>
      <c r="U1208" s="28" t="str">
        <f>_xlfn.XLOOKUP(Customer[[#This Row],[Customer ID]],[1]!Address[ID],[1]!Address[Phone No.(2)])</f>
        <v/>
      </c>
      <c r="V1208" s="28" t="str">
        <f>_xlfn.XLOOKUP(Customer[[#This Row],[Customer ID]],[1]!Address[ID],[1]!Address[Type])</f>
        <v>SOCMED</v>
      </c>
      <c r="W1208" s="28" t="str">
        <f>_xlfn.XLOOKUP(Customer[[#This Row],[Customer ID]],[1]!Address[ID],[1]!Address[CT])</f>
        <v>CASH</v>
      </c>
      <c r="X1208" s="28"/>
      <c r="Y1208" s="82" t="s">
        <v>90</v>
      </c>
      <c r="Z1208" s="82" t="e">
        <f>_xlfn.XLOOKUP(Customer[[#This Row],[NewType]],$AF$36:$AF$54,$AG$36:$AG$54)</f>
        <v>#N/A</v>
      </c>
      <c r="AA1208" s="82" t="s">
        <v>7975</v>
      </c>
      <c r="AB1208" s="28" t="str">
        <f>_xlfn.XLOOKUP(Customer[[#This Row],[Customer ID]],[1]!Address[ID],[1]!Address[Subtype])</f>
        <v>WHATSAPP</v>
      </c>
      <c r="AC1208" s="83" t="str">
        <f>_xlfn.XLOOKUP(Customer[[#This Row],[Customer ID]],[1]!Address[ID],[1]!Address[Zone])</f>
        <v>CENTRAL</v>
      </c>
      <c r="AD1208" s="84"/>
    </row>
    <row r="1209" spans="1:30" x14ac:dyDescent="0.3">
      <c r="A1209" s="37" t="s">
        <v>7976</v>
      </c>
      <c r="B1209" s="38" t="str">
        <f>_xlfn.XLOOKUP(Customer[[#This Row],[Customer ID]],[1]!Name[ID],[1]!Name[Description(1)])</f>
        <v>RICHIAMO MART - RAWANG</v>
      </c>
      <c r="C1209" s="38" t="str">
        <f>_xlfn.XLOOKUP(Customer[[#This Row],[Customer ID]],[1]!Name[ID],[1]!Name[Description(2)])</f>
        <v>NAMAI MART</v>
      </c>
      <c r="D1209" s="38" t="str">
        <f>_xlfn.XLOOKUP(Customer[[#This Row],[Customer ID]],[1]!Address[ID],[1]!Address[PIC])</f>
        <v>EN NABIL</v>
      </c>
      <c r="E1209" s="38" t="str">
        <f>_xlfn.XLOOKUP(Customer[[#This Row],[Customer ID]],[1]!Address[ID],[1]!Address[Full Address])</f>
        <v>1, JALAN SEROJA 1B,,BUKIT SENTOSA,48300 RAWANG, SELANGOR</v>
      </c>
      <c r="F1209" s="12" t="s">
        <v>7977</v>
      </c>
      <c r="G1209" s="12" t="s">
        <v>7978</v>
      </c>
      <c r="H1209" s="24" t="s">
        <v>7979</v>
      </c>
      <c r="I1209" s="24" t="b">
        <f>ISNUMBER(VALUE(LEFT(Customer[[#This Row],[Address Line 3 (30 char)]],1)))</f>
        <v>0</v>
      </c>
      <c r="J1209" s="12" t="s">
        <v>1907</v>
      </c>
      <c r="K1209" s="12">
        <v>48300</v>
      </c>
      <c r="L1209" s="12" t="s">
        <v>35</v>
      </c>
      <c r="M1209" s="13" t="e">
        <v>#N/A</v>
      </c>
      <c r="N1209" s="14" t="e">
        <v>#N/A</v>
      </c>
      <c r="O1209" s="14" t="e">
        <v>#N/A</v>
      </c>
      <c r="P1209" s="14" t="e">
        <v>#N/A</v>
      </c>
      <c r="Q1209" s="14" t="e">
        <v>#N/A</v>
      </c>
      <c r="R1209" s="15" t="s">
        <v>7980</v>
      </c>
      <c r="S1209" s="15" t="s">
        <v>5925</v>
      </c>
      <c r="T1209" s="16" t="s">
        <v>3477</v>
      </c>
      <c r="U1209" s="11" t="str">
        <f>_xlfn.XLOOKUP(Customer[[#This Row],[Customer ID]],[1]!Address[ID],[1]!Address[Phone No.(2)])</f>
        <v/>
      </c>
      <c r="V1209" s="11" t="str">
        <f>_xlfn.XLOOKUP(Customer[[#This Row],[Customer ID]],[1]!Address[ID],[1]!Address[Type])</f>
        <v>CAFE</v>
      </c>
      <c r="W1209" s="11" t="str">
        <f>_xlfn.XLOOKUP(Customer[[#This Row],[Customer ID]],[1]!Address[ID],[1]!Address[CT])</f>
        <v/>
      </c>
      <c r="X1209" s="11"/>
      <c r="Y1209" s="17" t="s">
        <v>5926</v>
      </c>
      <c r="Z1209" s="17" t="e">
        <f>_xlfn.XLOOKUP(Customer[[#This Row],[NewType]],$AF$36:$AF$54,$AG$36:$AG$54)</f>
        <v>#N/A</v>
      </c>
      <c r="AA1209" s="17" t="s">
        <v>7981</v>
      </c>
      <c r="AB1209" s="11" t="str">
        <f>_xlfn.XLOOKUP(Customer[[#This Row],[Customer ID]],[1]!Address[ID],[1]!Address[Subtype])</f>
        <v>RICHIAMO</v>
      </c>
      <c r="AC1209" s="18" t="str">
        <f>_xlfn.XLOOKUP(Customer[[#This Row],[Customer ID]],[1]!Address[ID],[1]!Address[Zone])</f>
        <v>CENTRAL</v>
      </c>
    </row>
    <row r="1210" spans="1:30" x14ac:dyDescent="0.3">
      <c r="A1210" s="37" t="s">
        <v>7982</v>
      </c>
      <c r="B1210" s="38" t="str">
        <f>_xlfn.XLOOKUP(Customer[[#This Row],[Customer ID]],[1]!Name[ID],[1]!Name[Description(1)])</f>
        <v>MYA EDARAN</v>
      </c>
      <c r="C1210" s="38" t="str">
        <f>_xlfn.XLOOKUP(Customer[[#This Row],[Customer ID]],[1]!Name[ID],[1]!Name[Description(2)])</f>
        <v/>
      </c>
      <c r="D1210" s="38" t="str">
        <f>_xlfn.XLOOKUP(Customer[[#This Row],[Customer ID]],[1]!Address[ID],[1]!Address[PIC])</f>
        <v/>
      </c>
      <c r="E1210" s="38" t="str">
        <f>_xlfn.XLOOKUP(Customer[[#This Row],[Customer ID]],[1]!Address[ID],[1]!Address[Full Address])</f>
        <v>PUSAT PERNIAGAAN MYA,NO.2 JALAN TAMPIN,71300 REMBAU NEGERI SEMBILAN.</v>
      </c>
      <c r="F1210" s="12" t="s">
        <v>7983</v>
      </c>
      <c r="G1210" s="12" t="s">
        <v>7984</v>
      </c>
      <c r="H1210" s="24" t="s">
        <v>7985</v>
      </c>
      <c r="I1210" s="24" t="b">
        <f>ISNUMBER(VALUE(LEFT(Customer[[#This Row],[Address Line 3 (30 char)]],1)))</f>
        <v>0</v>
      </c>
      <c r="J1210" s="12" t="s">
        <v>203</v>
      </c>
      <c r="K1210" s="12">
        <v>71300</v>
      </c>
      <c r="L1210" s="12" t="s">
        <v>35</v>
      </c>
      <c r="M1210" s="13" t="e">
        <v>#N/A</v>
      </c>
      <c r="N1210" s="14" t="e">
        <v>#N/A</v>
      </c>
      <c r="O1210" s="14" t="e">
        <v>#N/A</v>
      </c>
      <c r="P1210" s="14" t="e">
        <v>#N/A</v>
      </c>
      <c r="Q1210" s="14" t="e">
        <v>#N/A</v>
      </c>
      <c r="R1210" s="15" t="s">
        <v>7986</v>
      </c>
      <c r="S1210" s="15" t="s">
        <v>5934</v>
      </c>
      <c r="T1210" s="16" t="s">
        <v>3477</v>
      </c>
      <c r="U1210" s="11" t="str">
        <f>_xlfn.XLOOKUP(Customer[[#This Row],[Customer ID]],[1]!Address[ID],[1]!Address[Phone No.(2)])</f>
        <v/>
      </c>
      <c r="V1210" s="11" t="str">
        <f>_xlfn.XLOOKUP(Customer[[#This Row],[Customer ID]],[1]!Address[ID],[1]!Address[Type])</f>
        <v>CM</v>
      </c>
      <c r="W1210" s="11" t="str">
        <f>_xlfn.XLOOKUP(Customer[[#This Row],[Customer ID]],[1]!Address[ID],[1]!Address[CT])</f>
        <v>CASH</v>
      </c>
      <c r="X1210" s="11"/>
      <c r="Y1210" s="17" t="s">
        <v>5918</v>
      </c>
      <c r="Z1210" s="17" t="e">
        <f>_xlfn.XLOOKUP(Customer[[#This Row],[NewType]],$AF$36:$AF$54,$AG$36:$AG$54)</f>
        <v>#N/A</v>
      </c>
      <c r="AA1210" s="17" t="s">
        <v>7987</v>
      </c>
      <c r="AB1210" s="11" t="str">
        <f>_xlfn.XLOOKUP(Customer[[#This Row],[Customer ID]],[1]!Address[ID],[1]!Address[Subtype])</f>
        <v>MYA EDARAN</v>
      </c>
      <c r="AC1210" s="18" t="str">
        <f>_xlfn.XLOOKUP(Customer[[#This Row],[Customer ID]],[1]!Address[ID],[1]!Address[Zone])</f>
        <v>CENTRAL</v>
      </c>
    </row>
    <row r="1211" spans="1:30" x14ac:dyDescent="0.3">
      <c r="A1211" s="37" t="s">
        <v>7988</v>
      </c>
      <c r="B1211" s="38" t="str">
        <f>_xlfn.XLOOKUP(Customer[[#This Row],[Customer ID]],[1]!Name[ID],[1]!Name[Description(1)])</f>
        <v>DAGANG NET TECHNOLOGIES SDN BHD</v>
      </c>
      <c r="C1211" s="38" t="str">
        <f>_xlfn.XLOOKUP(Customer[[#This Row],[Customer ID]],[1]!Name[ID],[1]!Name[Description(2)])</f>
        <v>AZHAR OTHMAN</v>
      </c>
      <c r="D1211" s="38" t="str">
        <f>_xlfn.XLOOKUP(Customer[[#This Row],[Customer ID]],[1]!Address[ID],[1]!Address[PIC])</f>
        <v>PA:JESSY</v>
      </c>
      <c r="E1211" s="38" t="str">
        <f>_xlfn.XLOOKUP(Customer[[#This Row],[Customer ID]],[1]!Address[ID],[1]!Address[Full Address])</f>
        <v>DAGANG NET TOWER,BLOCK 10 (A&amp;B)CORPORATE PARK,STAR CENTRAL,LINGKARAN CYBERPOINT TIMUR CYBER 12,63000 CYBERJAYA, SELANGOR</v>
      </c>
      <c r="F1211" s="12" t="s">
        <v>7989</v>
      </c>
      <c r="G1211" s="12" t="s">
        <v>7990</v>
      </c>
      <c r="H1211" s="12" t="s">
        <v>7991</v>
      </c>
      <c r="I1211" s="12" t="b">
        <f>ISNUMBER(VALUE(LEFT(Customer[[#This Row],[Address Line 3 (30 char)]],1)))</f>
        <v>0</v>
      </c>
      <c r="J1211" s="12" t="s">
        <v>172</v>
      </c>
      <c r="K1211" s="12">
        <v>63000</v>
      </c>
      <c r="L1211" s="12" t="s">
        <v>35</v>
      </c>
      <c r="M1211" s="13" t="e">
        <v>#N/A</v>
      </c>
      <c r="N1211" s="14" t="e">
        <v>#N/A</v>
      </c>
      <c r="O1211" s="14" t="e">
        <v>#N/A</v>
      </c>
      <c r="P1211" s="14" t="e">
        <v>#N/A</v>
      </c>
      <c r="Q1211" s="14" t="e">
        <v>#N/A</v>
      </c>
      <c r="R1211" s="15" t="s">
        <v>7992</v>
      </c>
      <c r="S1211" s="15" t="s">
        <v>5925</v>
      </c>
      <c r="T1211" s="16" t="s">
        <v>3477</v>
      </c>
      <c r="U1211" s="11" t="str">
        <f>_xlfn.XLOOKUP(Customer[[#This Row],[Customer ID]],[1]!Address[ID],[1]!Address[Phone No.(2)])</f>
        <v/>
      </c>
      <c r="V1211" s="11" t="str">
        <f>_xlfn.XLOOKUP(Customer[[#This Row],[Customer ID]],[1]!Address[ID],[1]!Address[Type])</f>
        <v>CAFE</v>
      </c>
      <c r="W1211" s="11" t="str">
        <f>_xlfn.XLOOKUP(Customer[[#This Row],[Customer ID]],[1]!Address[ID],[1]!Address[CT])</f>
        <v>30 DAYS</v>
      </c>
      <c r="X1211" s="11"/>
      <c r="Y1211" s="17" t="s">
        <v>5926</v>
      </c>
      <c r="Z1211" s="17" t="e">
        <f>_xlfn.XLOOKUP(Customer[[#This Row],[NewType]],$AF$36:$AF$54,$AG$36:$AG$54)</f>
        <v>#N/A</v>
      </c>
      <c r="AA1211" s="17" t="s">
        <v>7993</v>
      </c>
      <c r="AB1211" s="11" t="str">
        <f>_xlfn.XLOOKUP(Customer[[#This Row],[Customer ID]],[1]!Address[ID],[1]!Address[Subtype])</f>
        <v>DAGANG NET</v>
      </c>
      <c r="AC1211" s="18" t="str">
        <f>_xlfn.XLOOKUP(Customer[[#This Row],[Customer ID]],[1]!Address[ID],[1]!Address[Zone])</f>
        <v>CENTRAL</v>
      </c>
    </row>
    <row r="1212" spans="1:30" x14ac:dyDescent="0.3">
      <c r="A1212" s="37" t="s">
        <v>7994</v>
      </c>
      <c r="B1212" s="38" t="str">
        <f>_xlfn.XLOOKUP(Customer[[#This Row],[Customer ID]],[1]!Name[ID],[1]!Name[Description(1)])</f>
        <v>INALINA BOUTIQUE</v>
      </c>
      <c r="C1212" s="38" t="str">
        <f>_xlfn.XLOOKUP(Customer[[#This Row],[Customer ID]],[1]!Name[ID],[1]!Name[Description(2)])</f>
        <v/>
      </c>
      <c r="D1212" s="38" t="str">
        <f>_xlfn.XLOOKUP(Customer[[#This Row],[Customer ID]],[1]!Address[ID],[1]!Address[PIC])</f>
        <v/>
      </c>
      <c r="E1212" s="38" t="str">
        <f>_xlfn.XLOOKUP(Customer[[#This Row],[Customer ID]],[1]!Address[ID],[1]!Address[Full Address])</f>
        <v>LOT 2132 JALAN SANTONG PAKA,23100 DUNGUN, TERENGGANU</v>
      </c>
      <c r="F1212" s="12" t="s">
        <v>7995</v>
      </c>
      <c r="G1212" s="12" t="s">
        <v>7996</v>
      </c>
      <c r="H1212" s="12" t="s">
        <v>36</v>
      </c>
      <c r="I1212" s="12" t="b">
        <f>ISNUMBER(VALUE(LEFT(Customer[[#This Row],[Address Line 3 (30 char)]],1)))</f>
        <v>0</v>
      </c>
      <c r="J1212" s="12" t="s">
        <v>1056</v>
      </c>
      <c r="K1212" s="12">
        <v>23100</v>
      </c>
      <c r="L1212" s="12" t="s">
        <v>35</v>
      </c>
      <c r="M1212" s="13" t="e">
        <v>#N/A</v>
      </c>
      <c r="N1212" s="14" t="e">
        <v>#N/A</v>
      </c>
      <c r="O1212" s="14" t="e">
        <v>#N/A</v>
      </c>
      <c r="P1212" s="14" t="e">
        <v>#N/A</v>
      </c>
      <c r="Q1212" s="14" t="e">
        <v>#N/A</v>
      </c>
      <c r="R1212" s="15" t="s">
        <v>7997</v>
      </c>
      <c r="S1212" s="15" t="s">
        <v>88</v>
      </c>
      <c r="T1212" s="16" t="s">
        <v>89</v>
      </c>
      <c r="U1212" s="11" t="str">
        <f>_xlfn.XLOOKUP(Customer[[#This Row],[Customer ID]],[1]!Address[ID],[1]!Address[Phone No.(2)])</f>
        <v/>
      </c>
      <c r="V1212" s="11" t="str">
        <f>_xlfn.XLOOKUP(Customer[[#This Row],[Customer ID]],[1]!Address[ID],[1]!Address[Type])</f>
        <v>SOCMED</v>
      </c>
      <c r="W1212" s="11" t="str">
        <f>_xlfn.XLOOKUP(Customer[[#This Row],[Customer ID]],[1]!Address[ID],[1]!Address[CT])</f>
        <v/>
      </c>
      <c r="X1212" s="11"/>
      <c r="Y1212" s="17" t="s">
        <v>90</v>
      </c>
      <c r="Z1212" s="17" t="e">
        <f>_xlfn.XLOOKUP(Customer[[#This Row],[NewType]],$AF$36:$AF$54,$AG$36:$AG$54)</f>
        <v>#N/A</v>
      </c>
      <c r="AA1212" s="17" t="s">
        <v>7998</v>
      </c>
      <c r="AB1212" s="11" t="str">
        <f>_xlfn.XLOOKUP(Customer[[#This Row],[Customer ID]],[1]!Address[ID],[1]!Address[Subtype])</f>
        <v>ONLINE ROS</v>
      </c>
      <c r="AC1212" s="18" t="str">
        <f>_xlfn.XLOOKUP(Customer[[#This Row],[Customer ID]],[1]!Address[ID],[1]!Address[Zone])</f>
        <v>EAST COAST</v>
      </c>
    </row>
    <row r="1213" spans="1:30" x14ac:dyDescent="0.3">
      <c r="A1213" s="37" t="s">
        <v>7999</v>
      </c>
      <c r="B1213" s="38" t="str">
        <f>_xlfn.XLOOKUP(Customer[[#This Row],[Customer ID]],[1]!Name[ID],[1]!Name[Description(1)])</f>
        <v>U.N.I FARMASI DUNGUN</v>
      </c>
      <c r="C1213" s="38" t="str">
        <f>_xlfn.XLOOKUP(Customer[[#This Row],[Customer ID]],[1]!Name[ID],[1]!Name[Description(2)])</f>
        <v>KEL SPECIALIST HEALTHCARE SDN. BHD.</v>
      </c>
      <c r="D1213" s="38" t="str">
        <f>_xlfn.XLOOKUP(Customer[[#This Row],[Customer ID]],[1]!Address[ID],[1]!Address[PIC])</f>
        <v>PN SARAH</v>
      </c>
      <c r="E1213" s="38" t="str">
        <f>_xlfn.XLOOKUP(Customer[[#This Row],[Customer ID]],[1]!Address[ID],[1]!Address[Full Address])</f>
        <v>LOT 3998-1 TINGKAT BAWAH BANGUNAN MPD,SIMPANG BALAI POLIS DUNGUN,23000 DUNGUN, TERENGGANU</v>
      </c>
      <c r="F1213" s="12" t="s">
        <v>8000</v>
      </c>
      <c r="G1213" s="12" t="s">
        <v>8001</v>
      </c>
      <c r="H1213" s="12" t="s">
        <v>8002</v>
      </c>
      <c r="I1213" s="12" t="b">
        <f>ISNUMBER(VALUE(LEFT(Customer[[#This Row],[Address Line 3 (30 char)]],1)))</f>
        <v>0</v>
      </c>
      <c r="J1213" s="12" t="s">
        <v>1056</v>
      </c>
      <c r="K1213" s="12">
        <v>23000</v>
      </c>
      <c r="L1213" s="12" t="s">
        <v>35</v>
      </c>
      <c r="M1213" s="13" t="e">
        <v>#N/A</v>
      </c>
      <c r="N1213" s="14" t="e">
        <v>#N/A</v>
      </c>
      <c r="O1213" s="14" t="e">
        <v>#N/A</v>
      </c>
      <c r="P1213" s="14" t="e">
        <v>#N/A</v>
      </c>
      <c r="Q1213" s="14" t="e">
        <v>#N/A</v>
      </c>
      <c r="R1213" s="15" t="s">
        <v>8003</v>
      </c>
      <c r="S1213" s="15" t="s">
        <v>88</v>
      </c>
      <c r="T1213" s="16" t="s">
        <v>89</v>
      </c>
      <c r="U1213" s="11" t="str">
        <f>_xlfn.XLOOKUP(Customer[[#This Row],[Customer ID]],[1]!Address[ID],[1]!Address[Phone No.(2)])</f>
        <v/>
      </c>
      <c r="V1213" s="11" t="str">
        <f>_xlfn.XLOOKUP(Customer[[#This Row],[Customer ID]],[1]!Address[ID],[1]!Address[Type])</f>
        <v>SOCMED</v>
      </c>
      <c r="W1213" s="11" t="str">
        <f>_xlfn.XLOOKUP(Customer[[#This Row],[Customer ID]],[1]!Address[ID],[1]!Address[CT])</f>
        <v/>
      </c>
      <c r="X1213" s="11"/>
      <c r="Y1213" s="17" t="s">
        <v>90</v>
      </c>
      <c r="Z1213" s="17" t="e">
        <f>_xlfn.XLOOKUP(Customer[[#This Row],[NewType]],$AF$36:$AF$54,$AG$36:$AG$54)</f>
        <v>#N/A</v>
      </c>
      <c r="AA1213" s="17" t="s">
        <v>8004</v>
      </c>
      <c r="AB1213" s="11" t="str">
        <f>_xlfn.XLOOKUP(Customer[[#This Row],[Customer ID]],[1]!Address[ID],[1]!Address[Subtype])</f>
        <v>ONLINE ROS</v>
      </c>
      <c r="AC1213" s="18" t="str">
        <f>_xlfn.XLOOKUP(Customer[[#This Row],[Customer ID]],[1]!Address[ID],[1]!Address[Zone])</f>
        <v>EAST COAST</v>
      </c>
    </row>
    <row r="1214" spans="1:30" x14ac:dyDescent="0.3">
      <c r="A1214" s="37" t="s">
        <v>8005</v>
      </c>
      <c r="B1214" s="38" t="str">
        <f>_xlfn.XLOOKUP(Customer[[#This Row],[Customer ID]],[1]!Name[ID],[1]!Name[Description(1)])</f>
        <v>HANA IMRAN ENTERPRISE</v>
      </c>
      <c r="C1214" s="38" t="s">
        <v>8006</v>
      </c>
      <c r="D1214" s="38" t="str">
        <f>_xlfn.XLOOKUP(Customer[[#This Row],[Customer ID]],[1]!Address[ID],[1]!Address[PIC])</f>
        <v>IMRAN</v>
      </c>
      <c r="E1214" s="38" t="str">
        <f>_xlfn.XLOOKUP(Customer[[#This Row],[Customer ID]],[1]!Address[ID],[1]!Address[Full Address])</f>
        <v>KEMENTERIAN KOMUNIKASI DAN MULTIMEDIAMALAYSIA ARAS G,LOT 4G9,PERSIARANPERDANA,PRESINT 4,PUSAT PENTADBIRANKERAJAAN PERSEKUTUAN 62100 PUTRAJAYA</v>
      </c>
      <c r="F1214" s="12" t="s">
        <v>8007</v>
      </c>
      <c r="G1214" s="12" t="s">
        <v>8008</v>
      </c>
      <c r="H1214" s="12" t="s">
        <v>8009</v>
      </c>
      <c r="I1214" s="12" t="b">
        <f>ISNUMBER(VALUE(LEFT(Customer[[#This Row],[Address Line 3 (30 char)]],1)))</f>
        <v>0</v>
      </c>
      <c r="J1214" s="12" t="s">
        <v>4229</v>
      </c>
      <c r="K1214" s="12">
        <v>62100</v>
      </c>
      <c r="L1214" s="12" t="s">
        <v>35</v>
      </c>
      <c r="M1214" s="13" t="s">
        <v>8010</v>
      </c>
      <c r="N1214" s="14" t="s">
        <v>8011</v>
      </c>
      <c r="O1214" s="14" t="e">
        <v>#N/A</v>
      </c>
      <c r="P1214" s="14" t="e">
        <v>#N/A</v>
      </c>
      <c r="Q1214" s="19" t="s">
        <v>8012</v>
      </c>
      <c r="R1214" s="15" t="s">
        <v>8013</v>
      </c>
      <c r="S1214" s="15" t="s">
        <v>88</v>
      </c>
      <c r="T1214" s="16" t="s">
        <v>89</v>
      </c>
      <c r="U1214" s="11" t="str">
        <f>_xlfn.XLOOKUP(Customer[[#This Row],[Customer ID]],[1]!Address[ID],[1]!Address[Phone No.(2)])</f>
        <v/>
      </c>
      <c r="V1214" s="11" t="str">
        <f>_xlfn.XLOOKUP(Customer[[#This Row],[Customer ID]],[1]!Address[ID],[1]!Address[Type])</f>
        <v>SOCMED</v>
      </c>
      <c r="W1214" s="11" t="str">
        <f>_xlfn.XLOOKUP(Customer[[#This Row],[Customer ID]],[1]!Address[ID],[1]!Address[CT])</f>
        <v/>
      </c>
      <c r="X1214" s="11"/>
      <c r="Y1214" s="17" t="s">
        <v>90</v>
      </c>
      <c r="Z1214" s="17" t="e">
        <f>_xlfn.XLOOKUP(Customer[[#This Row],[NewType]],$AF$36:$AF$54,$AG$36:$AG$54)</f>
        <v>#N/A</v>
      </c>
      <c r="AA1214" s="17" t="s">
        <v>8014</v>
      </c>
      <c r="AB1214" s="11" t="str">
        <f>_xlfn.XLOOKUP(Customer[[#This Row],[Customer ID]],[1]!Address[ID],[1]!Address[Subtype])</f>
        <v>ONLINE ROS</v>
      </c>
      <c r="AC1214" s="18" t="str">
        <f>_xlfn.XLOOKUP(Customer[[#This Row],[Customer ID]],[1]!Address[ID],[1]!Address[Zone])</f>
        <v>CENTRAL</v>
      </c>
    </row>
    <row r="1215" spans="1:30" x14ac:dyDescent="0.3">
      <c r="A1215" s="37" t="s">
        <v>8015</v>
      </c>
      <c r="B1215" s="38" t="str">
        <f>_xlfn.XLOOKUP(Customer[[#This Row],[Customer ID]],[1]!Name[ID],[1]!Name[Description(1)])</f>
        <v>SURI VISION SDN BHD</v>
      </c>
      <c r="C1215" s="38" t="str">
        <f>_xlfn.XLOOKUP(Customer[[#This Row],[Customer ID]],[1]!Name[ID],[1]!Name[Description(2)])</f>
        <v/>
      </c>
      <c r="D1215" s="38" t="str">
        <f>_xlfn.XLOOKUP(Customer[[#This Row],[Customer ID]],[1]!Address[ID],[1]!Address[PIC])</f>
        <v/>
      </c>
      <c r="E1215" s="38" t="str">
        <f>_xlfn.XLOOKUP(Customer[[#This Row],[Customer ID]],[1]!Address[ID],[1]!Address[Full Address])</f>
        <v>NO. 77 JALAN DIPLOMATIK,PRESINT 15, 62050 PUTRAJAYA.</v>
      </c>
      <c r="F1215" s="12" t="s">
        <v>8016</v>
      </c>
      <c r="G1215" s="12" t="s">
        <v>8017</v>
      </c>
      <c r="H1215" s="12" t="s">
        <v>36</v>
      </c>
      <c r="I1215" s="12" t="b">
        <f>ISNUMBER(VALUE(LEFT(Customer[[#This Row],[Address Line 3 (30 char)]],1)))</f>
        <v>0</v>
      </c>
      <c r="J1215" s="12" t="s">
        <v>1907</v>
      </c>
      <c r="K1215" s="12">
        <v>62050</v>
      </c>
      <c r="L1215" s="12" t="s">
        <v>35</v>
      </c>
      <c r="M1215" s="13" t="e">
        <v>#N/A</v>
      </c>
      <c r="N1215" s="14" t="e">
        <v>#N/A</v>
      </c>
      <c r="O1215" s="14" t="e">
        <v>#N/A</v>
      </c>
      <c r="P1215" s="14" t="e">
        <v>#N/A</v>
      </c>
      <c r="Q1215" s="19" t="e">
        <v>#N/A</v>
      </c>
      <c r="R1215" s="15" t="s">
        <v>8018</v>
      </c>
      <c r="S1215" s="15" t="s">
        <v>88</v>
      </c>
      <c r="T1215" s="16" t="s">
        <v>89</v>
      </c>
      <c r="U1215" s="11" t="str">
        <f>_xlfn.XLOOKUP(Customer[[#This Row],[Customer ID]],[1]!Address[ID],[1]!Address[Phone No.(2)])</f>
        <v/>
      </c>
      <c r="V1215" s="11" t="str">
        <f>_xlfn.XLOOKUP(Customer[[#This Row],[Customer ID]],[1]!Address[ID],[1]!Address[Type])</f>
        <v>SOCMED</v>
      </c>
      <c r="W1215" s="11" t="str">
        <f>_xlfn.XLOOKUP(Customer[[#This Row],[Customer ID]],[1]!Address[ID],[1]!Address[CT])</f>
        <v/>
      </c>
      <c r="X1215" s="11"/>
      <c r="Y1215" s="17" t="s">
        <v>90</v>
      </c>
      <c r="Z1215" s="17" t="e">
        <f>_xlfn.XLOOKUP(Customer[[#This Row],[NewType]],$AF$36:$AF$54,$AG$36:$AG$54)</f>
        <v>#N/A</v>
      </c>
      <c r="AA1215" s="17" t="s">
        <v>8019</v>
      </c>
      <c r="AB1215" s="11" t="str">
        <f>_xlfn.XLOOKUP(Customer[[#This Row],[Customer ID]],[1]!Address[ID],[1]!Address[Subtype])</f>
        <v>ONLINE ROS</v>
      </c>
      <c r="AC1215" s="18" t="str">
        <f>_xlfn.XLOOKUP(Customer[[#This Row],[Customer ID]],[1]!Address[ID],[1]!Address[Zone])</f>
        <v>CENTRAL</v>
      </c>
    </row>
    <row r="1216" spans="1:30" x14ac:dyDescent="0.3">
      <c r="A1216" s="37" t="s">
        <v>8020</v>
      </c>
      <c r="B1216" s="38" t="str">
        <f>_xlfn.XLOOKUP(Customer[[#This Row],[Customer ID]],[1]!Name[ID],[1]!Name[Description(1)])</f>
        <v>BAGAN SERAI PHARMACY SDN. BHD.</v>
      </c>
      <c r="C1216" s="38" t="str">
        <f>_xlfn.XLOOKUP(Customer[[#This Row],[Customer ID]],[1]!Name[ID],[1]!Name[Description(2)])</f>
        <v>979786-V</v>
      </c>
      <c r="D1216" s="38" t="str">
        <f>_xlfn.XLOOKUP(Customer[[#This Row],[Customer ID]],[1]!Address[ID],[1]!Address[PIC])</f>
        <v/>
      </c>
      <c r="E1216" s="38" t="str">
        <f>_xlfn.XLOOKUP(Customer[[#This Row],[Customer ID]],[1]!Address[ID],[1]!Address[Full Address])</f>
        <v>NO 14, 16 JALAN HARMONI,PUSAT BANDAR 34300 BAGAN SERAI, PERAK</v>
      </c>
      <c r="F1216" s="12" t="s">
        <v>8021</v>
      </c>
      <c r="G1216" s="12" t="s">
        <v>8022</v>
      </c>
      <c r="H1216" s="41" t="s">
        <v>287</v>
      </c>
      <c r="I1216" s="41" t="b">
        <f>ISNUMBER(VALUE(LEFT(Customer[[#This Row],[Address Line 3 (30 char)]],1)))</f>
        <v>0</v>
      </c>
      <c r="J1216" s="12" t="s">
        <v>387</v>
      </c>
      <c r="K1216" s="12">
        <v>34300</v>
      </c>
      <c r="L1216" s="12" t="s">
        <v>35</v>
      </c>
      <c r="M1216" s="13">
        <v>201201006261</v>
      </c>
      <c r="N1216" s="14" t="s">
        <v>8023</v>
      </c>
      <c r="O1216" s="14" t="s">
        <v>54</v>
      </c>
      <c r="P1216" s="14">
        <v>47721</v>
      </c>
      <c r="Q1216" s="14" t="s">
        <v>8024</v>
      </c>
      <c r="R1216" s="15" t="s">
        <v>8025</v>
      </c>
      <c r="S1216" s="15" t="s">
        <v>3212</v>
      </c>
      <c r="T1216" s="16" t="s">
        <v>89</v>
      </c>
      <c r="U1216" s="11" t="str">
        <f>_xlfn.XLOOKUP(Customer[[#This Row],[Customer ID]],[1]!Address[ID],[1]!Address[Phone No.(2)])</f>
        <v/>
      </c>
      <c r="V1216" s="11" t="str">
        <f>_xlfn.XLOOKUP(Customer[[#This Row],[Customer ID]],[1]!Address[ID],[1]!Address[Type])</f>
        <v>SOCMED</v>
      </c>
      <c r="W1216" s="11" t="str">
        <f>_xlfn.XLOOKUP(Customer[[#This Row],[Customer ID]],[1]!Address[ID],[1]!Address[CT])</f>
        <v/>
      </c>
      <c r="X1216" s="11"/>
      <c r="Y1216" s="17" t="s">
        <v>90</v>
      </c>
      <c r="Z1216" s="17" t="e">
        <f>_xlfn.XLOOKUP(Customer[[#This Row],[NewType]],$AF$36:$AF$54,$AG$36:$AG$54)</f>
        <v>#N/A</v>
      </c>
      <c r="AA1216" s="17" t="s">
        <v>8026</v>
      </c>
      <c r="AB1216" s="11" t="str">
        <f>_xlfn.XLOOKUP(Customer[[#This Row],[Customer ID]],[1]!Address[ID],[1]!Address[Subtype])</f>
        <v>ONLINE HAJAR</v>
      </c>
      <c r="AC1216" s="18" t="str">
        <f>_xlfn.XLOOKUP(Customer[[#This Row],[Customer ID]],[1]!Address[ID],[1]!Address[Zone])</f>
        <v>NORTH</v>
      </c>
    </row>
    <row r="1217" spans="1:30" x14ac:dyDescent="0.3">
      <c r="A1217" s="37" t="s">
        <v>8027</v>
      </c>
      <c r="B1217" s="38" t="str">
        <f>_xlfn.XLOOKUP(Customer[[#This Row],[Customer ID]],[1]!Name[ID],[1]!Name[Description(1)])</f>
        <v>IR ONE DISTRIBUTOR</v>
      </c>
      <c r="C1217" s="38" t="str">
        <f>_xlfn.XLOOKUP(Customer[[#This Row],[Customer ID]],[1]!Name[ID],[1]!Name[Description(2)])</f>
        <v>RED CLOVER RESOURCES</v>
      </c>
      <c r="D1217" s="38" t="str">
        <f>_xlfn.XLOOKUP(Customer[[#This Row],[Customer ID]],[1]!Address[ID],[1]!Address[PIC])</f>
        <v/>
      </c>
      <c r="E1217" s="38" t="str">
        <f>_xlfn.XLOOKUP(Customer[[#This Row],[Customer ID]],[1]!Address[ID],[1]!Address[Full Address])</f>
        <v>B-20,TINGKAT BAWAH JALAN TANJUNG LUMPUR26060 KUANTAN PAHANG</v>
      </c>
      <c r="F1217" s="12" t="s">
        <v>8028</v>
      </c>
      <c r="G1217" s="12" t="s">
        <v>8029</v>
      </c>
      <c r="H1217" s="12" t="s">
        <v>8030</v>
      </c>
      <c r="I1217" s="12" t="b">
        <f>ISNUMBER(VALUE(LEFT(Customer[[#This Row],[Address Line 3 (30 char)]],1)))</f>
        <v>0</v>
      </c>
      <c r="J1217" s="12" t="s">
        <v>339</v>
      </c>
      <c r="K1217" s="12">
        <v>26060</v>
      </c>
      <c r="L1217" s="12" t="s">
        <v>35</v>
      </c>
      <c r="M1217" s="13" t="e">
        <v>#N/A</v>
      </c>
      <c r="N1217" s="14" t="e">
        <v>#N/A</v>
      </c>
      <c r="O1217" s="14" t="e">
        <v>#N/A</v>
      </c>
      <c r="P1217" s="14" t="e">
        <v>#N/A</v>
      </c>
      <c r="Q1217" s="14" t="e">
        <v>#N/A</v>
      </c>
      <c r="R1217" s="15" t="s">
        <v>8031</v>
      </c>
      <c r="S1217" s="15" t="s">
        <v>3212</v>
      </c>
      <c r="T1217" s="16" t="s">
        <v>89</v>
      </c>
      <c r="U1217" s="11" t="str">
        <f>_xlfn.XLOOKUP(Customer[[#This Row],[Customer ID]],[1]!Address[ID],[1]!Address[Phone No.(2)])</f>
        <v/>
      </c>
      <c r="V1217" s="11" t="str">
        <f>_xlfn.XLOOKUP(Customer[[#This Row],[Customer ID]],[1]!Address[ID],[1]!Address[Type])</f>
        <v>SOCMED</v>
      </c>
      <c r="W1217" s="11" t="str">
        <f>_xlfn.XLOOKUP(Customer[[#This Row],[Customer ID]],[1]!Address[ID],[1]!Address[CT])</f>
        <v/>
      </c>
      <c r="X1217" s="11"/>
      <c r="Y1217" s="17" t="s">
        <v>90</v>
      </c>
      <c r="Z1217" s="17" t="e">
        <f>_xlfn.XLOOKUP(Customer[[#This Row],[NewType]],$AF$36:$AF$54,$AG$36:$AG$54)</f>
        <v>#N/A</v>
      </c>
      <c r="AA1217" s="17" t="s">
        <v>8032</v>
      </c>
      <c r="AB1217" s="11" t="str">
        <f>_xlfn.XLOOKUP(Customer[[#This Row],[Customer ID]],[1]!Address[ID],[1]!Address[Subtype])</f>
        <v>ONLINE HAJAR</v>
      </c>
      <c r="AC1217" s="18" t="str">
        <f>_xlfn.XLOOKUP(Customer[[#This Row],[Customer ID]],[1]!Address[ID],[1]!Address[Zone])</f>
        <v>EEEDH</v>
      </c>
    </row>
    <row r="1218" spans="1:30" x14ac:dyDescent="0.3">
      <c r="A1218" s="37" t="s">
        <v>8033</v>
      </c>
      <c r="B1218" s="38" t="str">
        <f>_xlfn.XLOOKUP(Customer[[#This Row],[Customer ID]],[1]!Name[ID],[1]!Name[Description(1)])</f>
        <v>FARMASI ANNONA</v>
      </c>
      <c r="C1218" s="38" t="str">
        <f>_xlfn.XLOOKUP(Customer[[#This Row],[Customer ID]],[1]!Name[ID],[1]!Name[Description(2)])</f>
        <v/>
      </c>
      <c r="D1218" s="38" t="str">
        <f>_xlfn.XLOOKUP(Customer[[#This Row],[Customer ID]],[1]!Address[ID],[1]!Address[PIC])</f>
        <v/>
      </c>
      <c r="E1218" s="38" t="str">
        <f>_xlfn.XLOOKUP(Customer[[#This Row],[Customer ID]],[1]!Address[ID],[1]!Address[Full Address])</f>
        <v>NO 114 MUKIM 20 PENANTI KUBANG SEMANG,14400 BUKIT MERTAJAM,PULAU PINANG</v>
      </c>
      <c r="F1218" s="12" t="s">
        <v>8034</v>
      </c>
      <c r="G1218" s="12" t="s">
        <v>8035</v>
      </c>
      <c r="H1218" s="12" t="s">
        <v>724</v>
      </c>
      <c r="I1218" s="12" t="b">
        <f>ISNUMBER(VALUE(LEFT(Customer[[#This Row],[Address Line 3 (30 char)]],1)))</f>
        <v>0</v>
      </c>
      <c r="J1218" s="12" t="s">
        <v>179</v>
      </c>
      <c r="K1218" s="12">
        <v>14400</v>
      </c>
      <c r="L1218" s="12" t="s">
        <v>35</v>
      </c>
      <c r="M1218" s="13" t="e">
        <v>#N/A</v>
      </c>
      <c r="N1218" s="14" t="e">
        <v>#N/A</v>
      </c>
      <c r="O1218" s="14" t="e">
        <v>#N/A</v>
      </c>
      <c r="P1218" s="14" t="e">
        <v>#N/A</v>
      </c>
      <c r="Q1218" s="14" t="e">
        <v>#N/A</v>
      </c>
      <c r="R1218" s="15" t="s">
        <v>8036</v>
      </c>
      <c r="S1218" s="15" t="s">
        <v>88</v>
      </c>
      <c r="T1218" s="16" t="s">
        <v>89</v>
      </c>
      <c r="U1218" s="11" t="str">
        <f>_xlfn.XLOOKUP(Customer[[#This Row],[Customer ID]],[1]!Address[ID],[1]!Address[Phone No.(2)])</f>
        <v/>
      </c>
      <c r="V1218" s="11" t="str">
        <f>_xlfn.XLOOKUP(Customer[[#This Row],[Customer ID]],[1]!Address[ID],[1]!Address[Type])</f>
        <v>SOCMED</v>
      </c>
      <c r="W1218" s="11" t="str">
        <f>_xlfn.XLOOKUP(Customer[[#This Row],[Customer ID]],[1]!Address[ID],[1]!Address[CT])</f>
        <v/>
      </c>
      <c r="X1218" s="11"/>
      <c r="Y1218" s="17" t="s">
        <v>90</v>
      </c>
      <c r="Z1218" s="17" t="e">
        <f>_xlfn.XLOOKUP(Customer[[#This Row],[NewType]],$AF$36:$AF$54,$AG$36:$AG$54)</f>
        <v>#N/A</v>
      </c>
      <c r="AA1218" s="17" t="s">
        <v>8037</v>
      </c>
      <c r="AB1218" s="11" t="str">
        <f>_xlfn.XLOOKUP(Customer[[#This Row],[Customer ID]],[1]!Address[ID],[1]!Address[Subtype])</f>
        <v>ONLINE ROS</v>
      </c>
      <c r="AC1218" s="18" t="str">
        <f>_xlfn.XLOOKUP(Customer[[#This Row],[Customer ID]],[1]!Address[ID],[1]!Address[Zone])</f>
        <v>NORTH</v>
      </c>
    </row>
    <row r="1219" spans="1:30" x14ac:dyDescent="0.3">
      <c r="A1219" s="43" t="s">
        <v>8038</v>
      </c>
      <c r="B1219" s="44" t="str">
        <f>_xlfn.XLOOKUP(Customer[[#This Row],[Customer ID]],[1]!Name[ID],[1]!Name[Description(1)])</f>
        <v>AGENT HAJI KAMARUDIN</v>
      </c>
      <c r="C1219" s="38" t="str">
        <f>_xlfn.XLOOKUP(Customer[[#This Row],[Customer ID]],[1]!Name[ID],[1]!Name[Description(2)])</f>
        <v/>
      </c>
      <c r="D1219" s="38" t="str">
        <f>_xlfn.XLOOKUP(Customer[[#This Row],[Customer ID]],[1]!Address[ID],[1]!Address[PIC])</f>
        <v>HJ KAMARUDIN AB</v>
      </c>
      <c r="E1219" s="38" t="str">
        <f>_xlfn.XLOOKUP(Customer[[#This Row],[Customer ID]],[1]!Address[ID],[1]!Address[Full Address])</f>
        <v>No 6 Jln Cantik 73000 Tampin NSDK</v>
      </c>
      <c r="F1219" s="12" t="s">
        <v>8039</v>
      </c>
      <c r="G1219" s="12" t="s">
        <v>36</v>
      </c>
      <c r="H1219" s="12" t="s">
        <v>8040</v>
      </c>
      <c r="I1219" s="12" t="b">
        <f>ISNUMBER(VALUE(LEFT(Customer[[#This Row],[Address Line 3 (30 char)]],1)))</f>
        <v>0</v>
      </c>
      <c r="J1219" s="12" t="s">
        <v>203</v>
      </c>
      <c r="K1219" s="12">
        <v>73000</v>
      </c>
      <c r="L1219" s="12" t="s">
        <v>35</v>
      </c>
      <c r="M1219" s="13" t="e">
        <v>#N/A</v>
      </c>
      <c r="N1219" s="31" t="s">
        <v>8041</v>
      </c>
      <c r="O1219" s="14" t="e">
        <v>#N/A</v>
      </c>
      <c r="P1219" s="14" t="e">
        <v>#N/A</v>
      </c>
      <c r="Q1219" s="19" t="s">
        <v>8042</v>
      </c>
      <c r="R1219" s="15" t="s">
        <v>8043</v>
      </c>
      <c r="S1219" s="15" t="s">
        <v>6645</v>
      </c>
      <c r="T1219" s="16" t="s">
        <v>38</v>
      </c>
      <c r="U1219" s="11" t="str">
        <f>_xlfn.XLOOKUP(Customer[[#This Row],[Customer ID]],[1]!Address[ID],[1]!Address[Phone No.(2)])</f>
        <v/>
      </c>
      <c r="V1219" s="11" t="str">
        <f>_xlfn.XLOOKUP(Customer[[#This Row],[Customer ID]],[1]!Address[ID],[1]!Address[Type])</f>
        <v>AGENT</v>
      </c>
      <c r="W1219" s="11" t="str">
        <f>_xlfn.XLOOKUP(Customer[[#This Row],[Customer ID]],[1]!Address[ID],[1]!Address[CT])</f>
        <v/>
      </c>
      <c r="X1219" s="11"/>
      <c r="Y1219" s="17" t="s">
        <v>6639</v>
      </c>
      <c r="Z1219" s="17" t="e">
        <f>_xlfn.XLOOKUP(Customer[[#This Row],[NewType]],$AF$36:$AF$54,$AG$36:$AG$54)</f>
        <v>#N/A</v>
      </c>
      <c r="AA1219" s="17" t="s">
        <v>8044</v>
      </c>
      <c r="AB1219" s="11" t="str">
        <f>_xlfn.XLOOKUP(Customer[[#This Row],[Customer ID]],[1]!Address[ID],[1]!Address[Subtype])</f>
        <v>AGENT HQ</v>
      </c>
      <c r="AC1219" s="18" t="str">
        <f>_xlfn.XLOOKUP(Customer[[#This Row],[Customer ID]],[1]!Address[ID],[1]!Address[Zone])</f>
        <v xml:space="preserve"> TNTH</v>
      </c>
    </row>
    <row r="1220" spans="1:30" x14ac:dyDescent="0.3">
      <c r="A1220" s="43" t="s">
        <v>8045</v>
      </c>
      <c r="B1220" s="44" t="str">
        <f>_xlfn.XLOOKUP(Customer[[#This Row],[Customer ID]],[1]!Name[ID],[1]!Name[Description(1)])</f>
        <v>AGENT NORASHIDAH</v>
      </c>
      <c r="C1220" s="38" t="str">
        <f>_xlfn.XLOOKUP(Customer[[#This Row],[Customer ID]],[1]!Name[ID],[1]!Name[Description(2)])</f>
        <v/>
      </c>
      <c r="D1220" s="38" t="str">
        <f>_xlfn.XLOOKUP(Customer[[#This Row],[Customer ID]],[1]!Address[ID],[1]!Address[PIC])</f>
        <v>NORASHIDAH BINT</v>
      </c>
      <c r="E1220" s="38" t="str">
        <f>_xlfn.XLOOKUP(Customer[[#This Row],[Customer ID]],[1]!Address[ID],[1]!Address[Full Address])</f>
        <v>DT 512, Jalan Nuri 30Taman Nuri Fasa 3,76100 Durian Tunggal, Melaka</v>
      </c>
      <c r="F1220" s="12" t="s">
        <v>8046</v>
      </c>
      <c r="G1220" s="12" t="s">
        <v>8047</v>
      </c>
      <c r="H1220" s="24" t="s">
        <v>8048</v>
      </c>
      <c r="I1220" s="24" t="b">
        <f>ISNUMBER(VALUE(LEFT(Customer[[#This Row],[Address Line 3 (30 char)]],1)))</f>
        <v>0</v>
      </c>
      <c r="J1220" s="12" t="s">
        <v>61</v>
      </c>
      <c r="K1220" s="12">
        <v>76100</v>
      </c>
      <c r="L1220" s="12" t="s">
        <v>35</v>
      </c>
      <c r="M1220" s="13" t="e">
        <v>#N/A</v>
      </c>
      <c r="N1220" s="31" t="s">
        <v>8049</v>
      </c>
      <c r="O1220" s="14" t="e">
        <v>#N/A</v>
      </c>
      <c r="P1220" s="14" t="e">
        <v>#N/A</v>
      </c>
      <c r="Q1220" s="19" t="s">
        <v>8050</v>
      </c>
      <c r="R1220" s="15" t="s">
        <v>8051</v>
      </c>
      <c r="S1220" s="15" t="s">
        <v>6645</v>
      </c>
      <c r="T1220" s="16" t="s">
        <v>38</v>
      </c>
      <c r="U1220" s="11" t="str">
        <f>_xlfn.XLOOKUP(Customer[[#This Row],[Customer ID]],[1]!Address[ID],[1]!Address[Phone No.(2)])</f>
        <v/>
      </c>
      <c r="V1220" s="11" t="str">
        <f>_xlfn.XLOOKUP(Customer[[#This Row],[Customer ID]],[1]!Address[ID],[1]!Address[Type])</f>
        <v>AGENT</v>
      </c>
      <c r="W1220" s="11" t="str">
        <f>_xlfn.XLOOKUP(Customer[[#This Row],[Customer ID]],[1]!Address[ID],[1]!Address[CT])</f>
        <v/>
      </c>
      <c r="X1220" s="11"/>
      <c r="Y1220" s="17" t="s">
        <v>6639</v>
      </c>
      <c r="Z1220" s="17" t="e">
        <f>_xlfn.XLOOKUP(Customer[[#This Row],[NewType]],$AF$36:$AF$54,$AG$36:$AG$54)</f>
        <v>#N/A</v>
      </c>
      <c r="AA1220" s="17" t="s">
        <v>8052</v>
      </c>
      <c r="AB1220" s="11" t="str">
        <f>_xlfn.XLOOKUP(Customer[[#This Row],[Customer ID]],[1]!Address[ID],[1]!Address[Subtype])</f>
        <v>AGENT HQ</v>
      </c>
      <c r="AC1220" s="18" t="str">
        <f>_xlfn.XLOOKUP(Customer[[#This Row],[Customer ID]],[1]!Address[ID],[1]!Address[Zone])</f>
        <v>SOUTH</v>
      </c>
    </row>
    <row r="1221" spans="1:30" x14ac:dyDescent="0.3">
      <c r="A1221" s="43" t="s">
        <v>8053</v>
      </c>
      <c r="B1221" s="44" t="str">
        <f>_xlfn.XLOOKUP(Customer[[#This Row],[Customer ID]],[1]!Name[ID],[1]!Name[Description(1)])</f>
        <v>AGENT MASBUKTI</v>
      </c>
      <c r="C1221" s="38" t="str">
        <f>_xlfn.XLOOKUP(Customer[[#This Row],[Customer ID]],[1]!Name[ID],[1]!Name[Description(2)])</f>
        <v/>
      </c>
      <c r="D1221" s="38" t="str">
        <f>_xlfn.XLOOKUP(Customer[[#This Row],[Customer ID]],[1]!Address[ID],[1]!Address[PIC])</f>
        <v>_x0002_masbukti@gmail</v>
      </c>
      <c r="E1221" s="38" t="str">
        <f>_xlfn.XLOOKUP(Customer[[#This Row],[Customer ID]],[1]!Address[ID],[1]!Address[Full Address])</f>
        <v>NO 6,GEDONG LALANG 50SEREMBAN NS</v>
      </c>
      <c r="F1221" s="12" t="s">
        <v>8054</v>
      </c>
      <c r="G1221" s="12" t="s">
        <v>8055</v>
      </c>
      <c r="H1221" s="12" t="s">
        <v>36</v>
      </c>
      <c r="I1221" s="12" t="b">
        <f>ISNUMBER(VALUE(LEFT(Customer[[#This Row],[Address Line 3 (30 char)]],1)))</f>
        <v>0</v>
      </c>
      <c r="J1221" s="12" t="s">
        <v>203</v>
      </c>
      <c r="K1221" s="12">
        <v>70400</v>
      </c>
      <c r="L1221" s="12" t="s">
        <v>35</v>
      </c>
      <c r="M1221" s="13" t="e">
        <v>#N/A</v>
      </c>
      <c r="N1221" s="31" t="s">
        <v>8056</v>
      </c>
      <c r="O1221" s="14" t="e">
        <v>#N/A</v>
      </c>
      <c r="P1221" s="14" t="e">
        <v>#N/A</v>
      </c>
      <c r="Q1221" s="19" t="s">
        <v>8057</v>
      </c>
      <c r="R1221" s="15" t="s">
        <v>6801</v>
      </c>
      <c r="S1221" s="15" t="s">
        <v>6645</v>
      </c>
      <c r="T1221" s="16" t="s">
        <v>38</v>
      </c>
      <c r="U1221" s="11" t="str">
        <f>_xlfn.XLOOKUP(Customer[[#This Row],[Customer ID]],[1]!Address[ID],[1]!Address[Phone No.(2)])</f>
        <v/>
      </c>
      <c r="V1221" s="11" t="str">
        <f>_xlfn.XLOOKUP(Customer[[#This Row],[Customer ID]],[1]!Address[ID],[1]!Address[Type])</f>
        <v>AGENT</v>
      </c>
      <c r="W1221" s="11" t="str">
        <f>_xlfn.XLOOKUP(Customer[[#This Row],[Customer ID]],[1]!Address[ID],[1]!Address[CT])</f>
        <v/>
      </c>
      <c r="X1221" s="11"/>
      <c r="Y1221" s="17" t="s">
        <v>6639</v>
      </c>
      <c r="Z1221" s="17" t="e">
        <f>_xlfn.XLOOKUP(Customer[[#This Row],[NewType]],$AF$36:$AF$54,$AG$36:$AG$54)</f>
        <v>#N/A</v>
      </c>
      <c r="AA1221" s="17" t="s">
        <v>8058</v>
      </c>
      <c r="AB1221" s="11" t="str">
        <f>_xlfn.XLOOKUP(Customer[[#This Row],[Customer ID]],[1]!Address[ID],[1]!Address[Subtype])</f>
        <v>AGENT HQ</v>
      </c>
      <c r="AC1221" s="18" t="str">
        <f>_xlfn.XLOOKUP(Customer[[#This Row],[Customer ID]],[1]!Address[ID],[1]!Address[Zone])</f>
        <v>BENTH</v>
      </c>
    </row>
    <row r="1222" spans="1:30" x14ac:dyDescent="0.3">
      <c r="A1222" s="46" t="s">
        <v>8059</v>
      </c>
      <c r="B1222" s="24" t="str">
        <f>_xlfn.XLOOKUP(Customer[[#This Row],[Customer ID]],[1]!Name[ID],[1]!Name[Description(1)])</f>
        <v>AGENT AZMAN PD</v>
      </c>
      <c r="C1222" s="24" t="str">
        <f>_xlfn.XLOOKUP(Customer[[#This Row],[Customer ID]],[1]!Name[ID],[1]!Name[Description(2)])</f>
        <v/>
      </c>
      <c r="D1222" s="38" t="str">
        <f>_xlfn.XLOOKUP(Customer[[#This Row],[Customer ID]],[1]!Address[ID],[1]!Address[PIC])</f>
        <v/>
      </c>
      <c r="E1222" s="38" t="str">
        <f>_xlfn.XLOOKUP(Customer[[#This Row],[Customer ID]],[1]!Address[ID],[1]!Address[Full Address])</f>
        <v/>
      </c>
      <c r="F1222" s="12" t="s">
        <v>36</v>
      </c>
      <c r="G1222" s="12" t="s">
        <v>36</v>
      </c>
      <c r="H1222" s="12" t="s">
        <v>36</v>
      </c>
      <c r="I1222" s="12" t="b">
        <f>ISNUMBER(VALUE(LEFT(Customer[[#This Row],[Address Line 3 (30 char)]],1)))</f>
        <v>0</v>
      </c>
      <c r="J1222" s="24"/>
      <c r="K1222" s="24"/>
      <c r="L1222" s="12" t="s">
        <v>35</v>
      </c>
      <c r="M1222" s="13" t="e">
        <v>#N/A</v>
      </c>
      <c r="N1222" s="14" t="e">
        <v>#N/A</v>
      </c>
      <c r="O1222" s="14" t="e">
        <v>#N/A</v>
      </c>
      <c r="P1222" s="14" t="e">
        <v>#N/A</v>
      </c>
      <c r="Q1222" s="14" t="e">
        <v>#N/A</v>
      </c>
      <c r="R1222" s="15" t="s">
        <v>36</v>
      </c>
      <c r="S1222" s="15" t="s">
        <v>6645</v>
      </c>
      <c r="T1222" s="16" t="s">
        <v>38</v>
      </c>
      <c r="U1222" s="11" t="str">
        <f>_xlfn.XLOOKUP(Customer[[#This Row],[Customer ID]],[1]!Address[ID],[1]!Address[Phone No.(2)])</f>
        <v/>
      </c>
      <c r="V1222" s="11" t="str">
        <f>_xlfn.XLOOKUP(Customer[[#This Row],[Customer ID]],[1]!Address[ID],[1]!Address[Type])</f>
        <v>AGENT</v>
      </c>
      <c r="W1222" s="11" t="str">
        <f>_xlfn.XLOOKUP(Customer[[#This Row],[Customer ID]],[1]!Address[ID],[1]!Address[CT])</f>
        <v/>
      </c>
      <c r="X1222" s="11"/>
      <c r="Y1222" s="17" t="s">
        <v>6639</v>
      </c>
      <c r="Z1222" s="17" t="e">
        <f>_xlfn.XLOOKUP(Customer[[#This Row],[NewType]],$AF$36:$AF$54,$AG$36:$AG$54)</f>
        <v>#N/A</v>
      </c>
      <c r="AA1222" s="17" t="s">
        <v>8060</v>
      </c>
      <c r="AB1222" s="11" t="str">
        <f>_xlfn.XLOOKUP(Customer[[#This Row],[Customer ID]],[1]!Address[ID],[1]!Address[Subtype])</f>
        <v>AGENT HQ</v>
      </c>
      <c r="AC1222" s="18" t="str">
        <f>_xlfn.XLOOKUP(Customer[[#This Row],[Customer ID]],[1]!Address[ID],[1]!Address[Zone])</f>
        <v xml:space="preserve"> TNTH</v>
      </c>
      <c r="AD1222" t="s">
        <v>8061</v>
      </c>
    </row>
    <row r="1223" spans="1:30" x14ac:dyDescent="0.3">
      <c r="A1223" s="37" t="s">
        <v>8062</v>
      </c>
      <c r="B1223" s="38" t="str">
        <f>_xlfn.XLOOKUP(Customer[[#This Row],[Customer ID]],[1]!Name[ID],[1]!Name[Description(1)])</f>
        <v>PIXSTOP PETROL STATION</v>
      </c>
      <c r="C1223" s="38" t="str">
        <f>_xlfn.XLOOKUP(Customer[[#This Row],[Customer ID]],[1]!Name[ID],[1]!Name[Description(2)])</f>
        <v>PETRONAS KUALA KUBU BHARU</v>
      </c>
      <c r="D1223" s="38" t="str">
        <f>_xlfn.XLOOKUP(Customer[[#This Row],[Customer ID]],[1]!Address[ID],[1]!Address[PIC])</f>
        <v/>
      </c>
      <c r="E1223" s="38" t="str">
        <f>_xlfn.XLOOKUP(Customer[[#This Row],[Customer ID]],[1]!Address[ID],[1]!Address[Full Address])</f>
        <v>PETRONAS KUALA KUBU BHARUBATU 39, JALAN GAP, 44000KUALA KUBU BHARU, SELANGOR</v>
      </c>
      <c r="F1223" s="12" t="s">
        <v>8063</v>
      </c>
      <c r="G1223" s="12" t="s">
        <v>8064</v>
      </c>
      <c r="H1223" s="12" t="s">
        <v>1490</v>
      </c>
      <c r="I1223" s="12" t="b">
        <f>ISNUMBER(VALUE(LEFT(Customer[[#This Row],[Address Line 3 (30 char)]],1)))</f>
        <v>0</v>
      </c>
      <c r="J1223" s="12" t="s">
        <v>1907</v>
      </c>
      <c r="K1223" s="12">
        <v>44000</v>
      </c>
      <c r="L1223" s="12" t="s">
        <v>35</v>
      </c>
      <c r="M1223" s="13" t="e">
        <v>#N/A</v>
      </c>
      <c r="N1223" s="14" t="e">
        <v>#N/A</v>
      </c>
      <c r="O1223" s="14" t="e">
        <v>#N/A</v>
      </c>
      <c r="P1223" s="14" t="e">
        <v>#N/A</v>
      </c>
      <c r="Q1223" s="14" t="e">
        <v>#N/A</v>
      </c>
      <c r="R1223" s="15" t="s">
        <v>8065</v>
      </c>
      <c r="S1223" s="15" t="s">
        <v>3212</v>
      </c>
      <c r="T1223" s="16" t="s">
        <v>89</v>
      </c>
      <c r="U1223" s="11" t="str">
        <f>_xlfn.XLOOKUP(Customer[[#This Row],[Customer ID]],[1]!Address[ID],[1]!Address[Phone No.(2)])</f>
        <v/>
      </c>
      <c r="V1223" s="11" t="str">
        <f>_xlfn.XLOOKUP(Customer[[#This Row],[Customer ID]],[1]!Address[ID],[1]!Address[Type])</f>
        <v>SOCMED</v>
      </c>
      <c r="W1223" s="11" t="str">
        <f>_xlfn.XLOOKUP(Customer[[#This Row],[Customer ID]],[1]!Address[ID],[1]!Address[CT])</f>
        <v>30 DAYS</v>
      </c>
      <c r="X1223" s="11"/>
      <c r="Y1223" s="17" t="s">
        <v>90</v>
      </c>
      <c r="Z1223" s="17" t="e">
        <f>_xlfn.XLOOKUP(Customer[[#This Row],[NewType]],$AF$36:$AF$54,$AG$36:$AG$54)</f>
        <v>#N/A</v>
      </c>
      <c r="AA1223" s="17" t="s">
        <v>8066</v>
      </c>
      <c r="AB1223" s="11" t="str">
        <f>_xlfn.XLOOKUP(Customer[[#This Row],[Customer ID]],[1]!Address[ID],[1]!Address[Subtype])</f>
        <v>ONLINE HAJAR</v>
      </c>
      <c r="AC1223" s="18" t="str">
        <f>_xlfn.XLOOKUP(Customer[[#This Row],[Customer ID]],[1]!Address[ID],[1]!Address[Zone])</f>
        <v>ETRONASAUTUH</v>
      </c>
    </row>
    <row r="1224" spans="1:30" x14ac:dyDescent="0.3">
      <c r="A1224" s="37" t="s">
        <v>8067</v>
      </c>
      <c r="B1224" s="38" t="str">
        <f>_xlfn.XLOOKUP(Customer[[#This Row],[Customer ID]],[1]!Name[ID],[1]!Name[Description(1)])</f>
        <v>SRI ASTANA PETROLEUM SDN BHD</v>
      </c>
      <c r="C1224" s="38" t="str">
        <f>_xlfn.XLOOKUP(Customer[[#This Row],[Customer ID]],[1]!Name[ID],[1]!Name[Description(2)])</f>
        <v>CALTEX KG CHAWAS</v>
      </c>
      <c r="D1224" s="38" t="str">
        <f>_xlfn.XLOOKUP(Customer[[#This Row],[Customer ID]],[1]!Address[ID],[1]!Address[PIC])</f>
        <v/>
      </c>
      <c r="E1224" s="38" t="str">
        <f>_xlfn.XLOOKUP(Customer[[#This Row],[Customer ID]],[1]!Address[ID],[1]!Address[Full Address])</f>
        <v>CALTEX KG CHAWASLot PT 17210,Kg Chawas, 17500Tanah Merah, Kelantan</v>
      </c>
      <c r="F1224" s="12" t="s">
        <v>8068</v>
      </c>
      <c r="G1224" s="12" t="s">
        <v>8069</v>
      </c>
      <c r="H1224" s="12" t="s">
        <v>8070</v>
      </c>
      <c r="I1224" s="12" t="b">
        <f>ISNUMBER(VALUE(LEFT(Customer[[#This Row],[Address Line 3 (30 char)]],1)))</f>
        <v>0</v>
      </c>
      <c r="J1224" s="12" t="s">
        <v>1007</v>
      </c>
      <c r="K1224" s="12">
        <v>17500</v>
      </c>
      <c r="L1224" s="12" t="s">
        <v>35</v>
      </c>
      <c r="M1224" s="13">
        <v>201401032520</v>
      </c>
      <c r="N1224" s="14" t="s">
        <v>8071</v>
      </c>
      <c r="O1224" s="14" t="e">
        <v>#N/A</v>
      </c>
      <c r="P1224" s="14" t="e">
        <v>#N/A</v>
      </c>
      <c r="Q1224" s="19" t="s">
        <v>8072</v>
      </c>
      <c r="R1224" s="15" t="s">
        <v>36</v>
      </c>
      <c r="S1224" s="15" t="s">
        <v>37</v>
      </c>
      <c r="T1224" s="16" t="s">
        <v>38</v>
      </c>
      <c r="U1224" s="11" t="str">
        <f>_xlfn.XLOOKUP(Customer[[#This Row],[Customer ID]],[1]!Address[ID],[1]!Address[Phone No.(2)])</f>
        <v/>
      </c>
      <c r="V1224" s="11" t="str">
        <f>_xlfn.XLOOKUP(Customer[[#This Row],[Customer ID]],[1]!Address[ID],[1]!Address[Type])</f>
        <v>PETROMART</v>
      </c>
      <c r="W1224" s="11" t="str">
        <f>_xlfn.XLOOKUP(Customer[[#This Row],[Customer ID]],[1]!Address[ID],[1]!Address[CT])</f>
        <v>30 DAYS</v>
      </c>
      <c r="X1224" s="11" t="s">
        <v>39</v>
      </c>
      <c r="Y1224" s="17" t="s">
        <v>40</v>
      </c>
      <c r="Z1224" s="17" t="e">
        <f>_xlfn.XLOOKUP(Customer[[#This Row],[NewType]],$AF$36:$AF$54,$AG$36:$AG$54)</f>
        <v>#N/A</v>
      </c>
      <c r="AA1224" s="17" t="s">
        <v>8073</v>
      </c>
      <c r="AB1224" s="11" t="str">
        <f>_xlfn.XLOOKUP(Customer[[#This Row],[Customer ID]],[1]!Address[ID],[1]!Address[Subtype])</f>
        <v>XPRESS POINT</v>
      </c>
      <c r="AC1224" s="18" t="str">
        <f>_xlfn.XLOOKUP(Customer[[#This Row],[Customer ID]],[1]!Address[ID],[1]!Address[Zone])</f>
        <v>EAST COAST</v>
      </c>
    </row>
    <row r="1225" spans="1:30" x14ac:dyDescent="0.3">
      <c r="A1225" s="37" t="s">
        <v>8074</v>
      </c>
      <c r="B1225" s="38" t="str">
        <f>_xlfn.XLOOKUP(Customer[[#This Row],[Customer ID]],[1]!Name[ID],[1]!Name[Description(1)])</f>
        <v>TUAH RIZQILICIOUS CAFE</v>
      </c>
      <c r="C1225" s="38" t="str">
        <f>_xlfn.XLOOKUP(Customer[[#This Row],[Customer ID]],[1]!Name[ID],[1]!Name[Description(2)])</f>
        <v/>
      </c>
      <c r="D1225" s="38" t="str">
        <f>_xlfn.XLOOKUP(Customer[[#This Row],[Customer ID]],[1]!Address[ID],[1]!Address[PIC])</f>
        <v/>
      </c>
      <c r="E1225" s="38" t="str">
        <f>_xlfn.XLOOKUP(Customer[[#This Row],[Customer ID]],[1]!Address[ID],[1]!Address[Full Address])</f>
        <v>NO.15, KAWASAN REHAT &amp; RAWAT AYER KEROH,ARAH SELATAN,78000 ALOR GAJAH,MELAKA</v>
      </c>
      <c r="F1225" s="12" t="s">
        <v>8075</v>
      </c>
      <c r="G1225" s="12" t="s">
        <v>8076</v>
      </c>
      <c r="H1225" s="12" t="s">
        <v>8077</v>
      </c>
      <c r="I1225" s="12" t="b">
        <f>ISNUMBER(VALUE(LEFT(Customer[[#This Row],[Address Line 3 (30 char)]],1)))</f>
        <v>0</v>
      </c>
      <c r="J1225" s="12" t="s">
        <v>61</v>
      </c>
      <c r="K1225" s="12">
        <v>78000</v>
      </c>
      <c r="L1225" s="12" t="s">
        <v>35</v>
      </c>
      <c r="M1225" s="13" t="e">
        <v>#N/A</v>
      </c>
      <c r="N1225" s="14" t="e">
        <v>#N/A</v>
      </c>
      <c r="O1225" s="14" t="e">
        <v>#N/A</v>
      </c>
      <c r="P1225" s="14" t="e">
        <v>#N/A</v>
      </c>
      <c r="Q1225" s="14" t="e">
        <v>#N/A</v>
      </c>
      <c r="R1225" s="15" t="s">
        <v>7734</v>
      </c>
      <c r="S1225" s="15" t="s">
        <v>5925</v>
      </c>
      <c r="T1225" s="16" t="s">
        <v>3477</v>
      </c>
      <c r="U1225" s="11" t="str">
        <f>_xlfn.XLOOKUP(Customer[[#This Row],[Customer ID]],[1]!Address[ID],[1]!Address[Phone No.(2)])</f>
        <v/>
      </c>
      <c r="V1225" s="11" t="str">
        <f>_xlfn.XLOOKUP(Customer[[#This Row],[Customer ID]],[1]!Address[ID],[1]!Address[Type])</f>
        <v>CAFE</v>
      </c>
      <c r="W1225" s="11" t="str">
        <f>_xlfn.XLOOKUP(Customer[[#This Row],[Customer ID]],[1]!Address[ID],[1]!Address[CT])</f>
        <v>30 DAYS</v>
      </c>
      <c r="X1225" s="11"/>
      <c r="Y1225" s="17" t="s">
        <v>5926</v>
      </c>
      <c r="Z1225" s="17" t="e">
        <f>_xlfn.XLOOKUP(Customer[[#This Row],[NewType]],$AF$36:$AF$54,$AG$36:$AG$54)</f>
        <v>#N/A</v>
      </c>
      <c r="AA1225" s="17" t="s">
        <v>8078</v>
      </c>
      <c r="AB1225" s="11" t="str">
        <f>_xlfn.XLOOKUP(Customer[[#This Row],[Customer ID]],[1]!Address[ID],[1]!Address[Subtype])</f>
        <v>PLUS</v>
      </c>
      <c r="AC1225" s="18" t="str">
        <f>_xlfn.XLOOKUP(Customer[[#This Row],[Customer ID]],[1]!Address[ID],[1]!Address[Zone])</f>
        <v>SOUTH</v>
      </c>
    </row>
    <row r="1226" spans="1:30" x14ac:dyDescent="0.3">
      <c r="A1226" s="37" t="s">
        <v>8079</v>
      </c>
      <c r="B1226" s="38" t="str">
        <f>_xlfn.XLOOKUP(Customer[[#This Row],[Customer ID]],[1]!Name[ID],[1]!Name[Description(1)])</f>
        <v>BRIGHT OPERATOR IJOK SDN BHD</v>
      </c>
      <c r="C1226" s="38" t="str">
        <f>_xlfn.XLOOKUP(Customer[[#This Row],[Customer ID]],[1]!Name[ID],[1]!Name[Description(2)])</f>
        <v>FIVE IJOK 2</v>
      </c>
      <c r="D1226" s="38" t="str">
        <f>_xlfn.XLOOKUP(Customer[[#This Row],[Customer ID]],[1]!Address[ID],[1]!Address[PIC])</f>
        <v/>
      </c>
      <c r="E1226" s="38" t="str">
        <f>_xlfn.XLOOKUP(Customer[[#This Row],[Customer ID]],[1]!Address[ID],[1]!Address[Full Address])</f>
        <v>H.S(D) 13558, PT 119SIMPANG 3 IJOK45620 BESTARI JAYA SELANGORDARUL EHSAN</v>
      </c>
      <c r="F1226" s="12" t="s">
        <v>8080</v>
      </c>
      <c r="G1226" s="12" t="s">
        <v>8081</v>
      </c>
      <c r="H1226" s="24" t="s">
        <v>8082</v>
      </c>
      <c r="I1226" s="24" t="b">
        <f>ISNUMBER(VALUE(LEFT(Customer[[#This Row],[Address Line 3 (30 char)]],1)))</f>
        <v>0</v>
      </c>
      <c r="J1226" s="12" t="s">
        <v>1907</v>
      </c>
      <c r="K1226" s="12">
        <v>45620</v>
      </c>
      <c r="L1226" s="12" t="s">
        <v>35</v>
      </c>
      <c r="M1226" s="13" t="e">
        <v>#N/A</v>
      </c>
      <c r="N1226" s="14" t="e">
        <v>#N/A</v>
      </c>
      <c r="O1226" s="14" t="e">
        <v>#N/A</v>
      </c>
      <c r="P1226" s="14" t="e">
        <v>#N/A</v>
      </c>
      <c r="Q1226" s="19" t="s">
        <v>8083</v>
      </c>
      <c r="R1226" s="15" t="s">
        <v>36</v>
      </c>
      <c r="S1226" s="15" t="s">
        <v>37</v>
      </c>
      <c r="T1226" s="16" t="s">
        <v>38</v>
      </c>
      <c r="U1226" s="11" t="str">
        <f>_xlfn.XLOOKUP(Customer[[#This Row],[Customer ID]],[1]!Address[ID],[1]!Address[Phone No.(2)])</f>
        <v/>
      </c>
      <c r="V1226" s="11" t="str">
        <f>_xlfn.XLOOKUP(Customer[[#This Row],[Customer ID]],[1]!Address[ID],[1]!Address[Type])</f>
        <v>PETROMART</v>
      </c>
      <c r="W1226" s="11" t="str">
        <f>_xlfn.XLOOKUP(Customer[[#This Row],[Customer ID]],[1]!Address[ID],[1]!Address[CT])</f>
        <v>30 DAYS</v>
      </c>
      <c r="X1226" s="11" t="s">
        <v>39</v>
      </c>
      <c r="Y1226" s="17" t="s">
        <v>40</v>
      </c>
      <c r="Z1226" s="17" t="e">
        <f>_xlfn.XLOOKUP(Customer[[#This Row],[NewType]],$AF$36:$AF$54,$AG$36:$AG$54)</f>
        <v>#N/A</v>
      </c>
      <c r="AA1226" s="17" t="s">
        <v>8084</v>
      </c>
      <c r="AB1226" s="11" t="str">
        <f>_xlfn.XLOOKUP(Customer[[#This Row],[Customer ID]],[1]!Address[ID],[1]!Address[Subtype])</f>
        <v>FIVE PETROL</v>
      </c>
      <c r="AC1226" s="18" t="str">
        <f>_xlfn.XLOOKUP(Customer[[#This Row],[Customer ID]],[1]!Address[ID],[1]!Address[Zone])</f>
        <v>CENTRAL</v>
      </c>
    </row>
    <row r="1227" spans="1:30" x14ac:dyDescent="0.3">
      <c r="A1227" s="43" t="s">
        <v>8085</v>
      </c>
      <c r="B1227" s="44" t="str">
        <f>_xlfn.XLOOKUP(Customer[[#This Row],[Customer ID]],[1]!Name[ID],[1]!Name[Description(1)])</f>
        <v>AGENT FARHANA</v>
      </c>
      <c r="C1227" s="38" t="str">
        <f>_xlfn.XLOOKUP(Customer[[#This Row],[Customer ID]],[1]!Name[ID],[1]!Name[Description(2)])</f>
        <v/>
      </c>
      <c r="D1227" s="38" t="str">
        <f>_xlfn.XLOOKUP(Customer[[#This Row],[Customer ID]],[1]!Address[ID],[1]!Address[PIC])</f>
        <v>FARHANA</v>
      </c>
      <c r="E1227" s="38" t="str">
        <f>_xlfn.XLOOKUP(Customer[[#This Row],[Customer ID]],[1]!Address[ID],[1]!Address[Full Address])</f>
        <v>no 22 jalan jelutong 1a/ku8off jln meru, pekan meru,klang 41050 selangor</v>
      </c>
      <c r="F1227" s="12" t="s">
        <v>8086</v>
      </c>
      <c r="G1227" s="12" t="s">
        <v>8087</v>
      </c>
      <c r="H1227" s="12" t="s">
        <v>8088</v>
      </c>
      <c r="I1227" s="12" t="b">
        <f>ISNUMBER(VALUE(LEFT(Customer[[#This Row],[Address Line 3 (30 char)]],1)))</f>
        <v>0</v>
      </c>
      <c r="J1227" s="12" t="s">
        <v>1907</v>
      </c>
      <c r="K1227" s="12">
        <v>41050</v>
      </c>
      <c r="L1227" s="12" t="s">
        <v>35</v>
      </c>
      <c r="M1227" s="13" t="e">
        <v>#N/A</v>
      </c>
      <c r="N1227" s="31" t="s">
        <v>8089</v>
      </c>
      <c r="O1227" s="14" t="e">
        <v>#N/A</v>
      </c>
      <c r="P1227" s="14" t="e">
        <v>#N/A</v>
      </c>
      <c r="Q1227" s="19" t="s">
        <v>8090</v>
      </c>
      <c r="R1227" s="15" t="s">
        <v>8091</v>
      </c>
      <c r="S1227" s="15" t="s">
        <v>6645</v>
      </c>
      <c r="T1227" s="16" t="s">
        <v>38</v>
      </c>
      <c r="U1227" s="11" t="str">
        <f>_xlfn.XLOOKUP(Customer[[#This Row],[Customer ID]],[1]!Address[ID],[1]!Address[Phone No.(2)])</f>
        <v/>
      </c>
      <c r="V1227" s="11" t="str">
        <f>_xlfn.XLOOKUP(Customer[[#This Row],[Customer ID]],[1]!Address[ID],[1]!Address[Type])</f>
        <v>AGENT</v>
      </c>
      <c r="W1227" s="11" t="str">
        <f>_xlfn.XLOOKUP(Customer[[#This Row],[Customer ID]],[1]!Address[ID],[1]!Address[CT])</f>
        <v/>
      </c>
      <c r="X1227" s="11"/>
      <c r="Y1227" s="17" t="s">
        <v>6639</v>
      </c>
      <c r="Z1227" s="17" t="e">
        <f>_xlfn.XLOOKUP(Customer[[#This Row],[NewType]],$AF$36:$AF$54,$AG$36:$AG$54)</f>
        <v>#N/A</v>
      </c>
      <c r="AA1227" s="17" t="s">
        <v>8092</v>
      </c>
      <c r="AB1227" s="11" t="str">
        <f>_xlfn.XLOOKUP(Customer[[#This Row],[Customer ID]],[1]!Address[ID],[1]!Address[Subtype])</f>
        <v>AGENT HQ</v>
      </c>
      <c r="AC1227" s="18" t="str">
        <f>_xlfn.XLOOKUP(Customer[[#This Row],[Customer ID]],[1]!Address[ID],[1]!Address[Zone])</f>
        <v>HfNTH</v>
      </c>
    </row>
    <row r="1228" spans="1:30" x14ac:dyDescent="0.3">
      <c r="A1228" s="37" t="s">
        <v>8093</v>
      </c>
      <c r="B1228" s="38" t="str">
        <f>_xlfn.XLOOKUP(Customer[[#This Row],[Customer ID]],[1]!Name[ID],[1]!Name[Description(1)])</f>
        <v>ILHAM PHARMACARE</v>
      </c>
      <c r="C1228" s="38" t="str">
        <f>_xlfn.XLOOKUP(Customer[[#This Row],[Customer ID]],[1]!Name[ID],[1]!Name[Description(2)])</f>
        <v/>
      </c>
      <c r="D1228" s="38" t="str">
        <f>_xlfn.XLOOKUP(Customer[[#This Row],[Customer ID]],[1]!Address[ID],[1]!Address[PIC])</f>
        <v/>
      </c>
      <c r="E1228" s="38" t="str">
        <f>_xlfn.XLOOKUP(Customer[[#This Row],[Customer ID]],[1]!Address[ID],[1]!Address[Full Address])</f>
        <v>NO. 3 LEBUH DEWANGSA,31000 BATU GAJAH,PERAK</v>
      </c>
      <c r="F1228" s="12" t="s">
        <v>8094</v>
      </c>
      <c r="G1228" s="12" t="s">
        <v>8095</v>
      </c>
      <c r="H1228" s="12"/>
      <c r="I1228" s="12" t="b">
        <f>ISNUMBER(VALUE(LEFT(Customer[[#This Row],[Address Line 3 (30 char)]],1)))</f>
        <v>0</v>
      </c>
      <c r="J1228" s="12" t="s">
        <v>387</v>
      </c>
      <c r="K1228" s="12">
        <v>31000</v>
      </c>
      <c r="L1228" s="12" t="s">
        <v>35</v>
      </c>
      <c r="M1228" s="13" t="e">
        <v>#N/A</v>
      </c>
      <c r="N1228" s="14" t="e">
        <v>#N/A</v>
      </c>
      <c r="O1228" s="14" t="e">
        <v>#N/A</v>
      </c>
      <c r="P1228" s="14" t="e">
        <v>#N/A</v>
      </c>
      <c r="Q1228" s="14" t="e">
        <v>#N/A</v>
      </c>
      <c r="R1228" s="15" t="s">
        <v>8096</v>
      </c>
      <c r="S1228" s="15" t="s">
        <v>88</v>
      </c>
      <c r="T1228" s="16" t="s">
        <v>89</v>
      </c>
      <c r="U1228" s="11" t="str">
        <f>_xlfn.XLOOKUP(Customer[[#This Row],[Customer ID]],[1]!Address[ID],[1]!Address[Phone No.(2)])</f>
        <v/>
      </c>
      <c r="V1228" s="11" t="str">
        <f>_xlfn.XLOOKUP(Customer[[#This Row],[Customer ID]],[1]!Address[ID],[1]!Address[Type])</f>
        <v>SOCMED</v>
      </c>
      <c r="W1228" s="11" t="str">
        <f>_xlfn.XLOOKUP(Customer[[#This Row],[Customer ID]],[1]!Address[ID],[1]!Address[CT])</f>
        <v/>
      </c>
      <c r="X1228" s="11"/>
      <c r="Y1228" s="17" t="s">
        <v>90</v>
      </c>
      <c r="Z1228" s="17" t="e">
        <f>_xlfn.XLOOKUP(Customer[[#This Row],[NewType]],$AF$36:$AF$54,$AG$36:$AG$54)</f>
        <v>#N/A</v>
      </c>
      <c r="AA1228" s="17" t="s">
        <v>8097</v>
      </c>
      <c r="AB1228" s="11" t="str">
        <f>_xlfn.XLOOKUP(Customer[[#This Row],[Customer ID]],[1]!Address[ID],[1]!Address[Subtype])</f>
        <v>ONLINE ROS</v>
      </c>
      <c r="AC1228" s="18" t="str">
        <f>_xlfn.XLOOKUP(Customer[[#This Row],[Customer ID]],[1]!Address[ID],[1]!Address[Zone])</f>
        <v>NORTH</v>
      </c>
    </row>
    <row r="1229" spans="1:30" x14ac:dyDescent="0.3">
      <c r="A1229" s="37" t="s">
        <v>8098</v>
      </c>
      <c r="B1229" s="38" t="str">
        <f>_xlfn.XLOOKUP(Customer[[#This Row],[Customer ID]],[1]!Name[ID],[1]!Name[Description(1)])</f>
        <v>PASAR MINI SANTAI WARISAN</v>
      </c>
      <c r="C1229" s="38" t="str">
        <f>_xlfn.XLOOKUP(Customer[[#This Row],[Customer ID]],[1]!Name[ID],[1]!Name[Description(2)])</f>
        <v>YUSMIN RESOURCES (M) SDN. BHD.</v>
      </c>
      <c r="D1229" s="38" t="str">
        <f>_xlfn.XLOOKUP(Customer[[#This Row],[Customer ID]],[1]!Address[ID],[1]!Address[PIC])</f>
        <v/>
      </c>
      <c r="E1229" s="38" t="str">
        <f>_xlfn.XLOOKUP(Customer[[#This Row],[Customer ID]],[1]!Address[ID],[1]!Address[Full Address])</f>
        <v>G7,JALAN PM 3, PLAZA MAHKOTA,BANDAR HILIR,75000 MELAKA</v>
      </c>
      <c r="F1229" s="12" t="s">
        <v>8099</v>
      </c>
      <c r="G1229" s="12" t="s">
        <v>8100</v>
      </c>
      <c r="H1229" s="24"/>
      <c r="I1229" s="24" t="b">
        <f>ISNUMBER(VALUE(LEFT(Customer[[#This Row],[Address Line 3 (30 char)]],1)))</f>
        <v>0</v>
      </c>
      <c r="J1229" s="12" t="s">
        <v>61</v>
      </c>
      <c r="K1229" s="12">
        <v>75000</v>
      </c>
      <c r="L1229" s="12" t="s">
        <v>35</v>
      </c>
      <c r="M1229" s="13" t="e">
        <v>#N/A</v>
      </c>
      <c r="N1229" s="14" t="e">
        <v>#N/A</v>
      </c>
      <c r="O1229" s="14" t="e">
        <v>#N/A</v>
      </c>
      <c r="P1229" s="14" t="e">
        <v>#N/A</v>
      </c>
      <c r="Q1229" s="14" t="e">
        <v>#N/A</v>
      </c>
      <c r="R1229" s="15" t="s">
        <v>8101</v>
      </c>
      <c r="S1229" s="15" t="s">
        <v>88</v>
      </c>
      <c r="T1229" s="16" t="s">
        <v>89</v>
      </c>
      <c r="U1229" s="11" t="str">
        <f>_xlfn.XLOOKUP(Customer[[#This Row],[Customer ID]],[1]!Address[ID],[1]!Address[Phone No.(2)])</f>
        <v/>
      </c>
      <c r="V1229" s="11" t="str">
        <f>_xlfn.XLOOKUP(Customer[[#This Row],[Customer ID]],[1]!Address[ID],[1]!Address[Type])</f>
        <v>SOCMED</v>
      </c>
      <c r="W1229" s="11" t="str">
        <f>_xlfn.XLOOKUP(Customer[[#This Row],[Customer ID]],[1]!Address[ID],[1]!Address[CT])</f>
        <v/>
      </c>
      <c r="X1229" s="11"/>
      <c r="Y1229" s="17" t="s">
        <v>90</v>
      </c>
      <c r="Z1229" s="17" t="e">
        <f>_xlfn.XLOOKUP(Customer[[#This Row],[NewType]],$AF$36:$AF$54,$AG$36:$AG$54)</f>
        <v>#N/A</v>
      </c>
      <c r="AA1229" s="17" t="s">
        <v>8102</v>
      </c>
      <c r="AB1229" s="11" t="str">
        <f>_xlfn.XLOOKUP(Customer[[#This Row],[Customer ID]],[1]!Address[ID],[1]!Address[Subtype])</f>
        <v>ONLINE ROS</v>
      </c>
      <c r="AC1229" s="18" t="str">
        <f>_xlfn.XLOOKUP(Customer[[#This Row],[Customer ID]],[1]!Address[ID],[1]!Address[Zone])</f>
        <v>SOUTH</v>
      </c>
    </row>
    <row r="1230" spans="1:30" x14ac:dyDescent="0.3">
      <c r="A1230" s="37" t="s">
        <v>8103</v>
      </c>
      <c r="B1230" s="38" t="str">
        <f>_xlfn.XLOOKUP(Customer[[#This Row],[Customer ID]],[1]!Name[ID],[1]!Name[Description(1)])</f>
        <v>PEJABAT YB MENTERI KUSKOP</v>
      </c>
      <c r="C1230" s="38" t="str">
        <f>_xlfn.XLOOKUP(Customer[[#This Row],[Customer ID]],[1]!Name[ID],[1]!Name[Description(2)])</f>
        <v/>
      </c>
      <c r="D1230" s="38" t="str">
        <f>_xlfn.XLOOKUP(Customer[[#This Row],[Customer ID]],[1]!Address[ID],[1]!Address[PIC])</f>
        <v>ATHIRAH</v>
      </c>
      <c r="E1230" s="38" t="str">
        <f>_xlfn.XLOOKUP(Customer[[#This Row],[Customer ID]],[1]!Address[ID],[1]!Address[Full Address])</f>
        <v>BLOK E4/5, KOMPLEKS KERAJAAN PARCEL E,PUSAT PENTADBIRAN KERAJAAN PERSEKUTUAN,62668 PUTRAJAYA.</v>
      </c>
      <c r="F1230" s="12" t="s">
        <v>8104</v>
      </c>
      <c r="G1230" s="12" t="s">
        <v>8105</v>
      </c>
      <c r="H1230" s="12" t="s">
        <v>6598</v>
      </c>
      <c r="I1230" s="12" t="b">
        <f>ISNUMBER(VALUE(LEFT(Customer[[#This Row],[Address Line 3 (30 char)]],1)))</f>
        <v>0</v>
      </c>
      <c r="J1230" s="12" t="s">
        <v>4229</v>
      </c>
      <c r="K1230" s="12">
        <v>62668</v>
      </c>
      <c r="L1230" s="12" t="s">
        <v>35</v>
      </c>
      <c r="M1230" s="13" t="e">
        <v>#N/A</v>
      </c>
      <c r="N1230" s="14" t="e">
        <v>#N/A</v>
      </c>
      <c r="O1230" s="14" t="e">
        <v>#N/A</v>
      </c>
      <c r="P1230" s="14" t="e">
        <v>#N/A</v>
      </c>
      <c r="Q1230" s="14" t="e">
        <v>#N/A</v>
      </c>
      <c r="R1230" s="15" t="s">
        <v>8106</v>
      </c>
      <c r="S1230" s="15" t="s">
        <v>5934</v>
      </c>
      <c r="T1230" s="16" t="s">
        <v>3477</v>
      </c>
      <c r="U1230" s="11" t="str">
        <f>_xlfn.XLOOKUP(Customer[[#This Row],[Customer ID]],[1]!Address[ID],[1]!Address[Phone No.(2)])</f>
        <v/>
      </c>
      <c r="V1230" s="11" t="str">
        <f>_xlfn.XLOOKUP(Customer[[#This Row],[Customer ID]],[1]!Address[ID],[1]!Address[Type])</f>
        <v>CORPORATE</v>
      </c>
      <c r="W1230" s="11" t="str">
        <f>_xlfn.XLOOKUP(Customer[[#This Row],[Customer ID]],[1]!Address[ID],[1]!Address[CT])</f>
        <v>30 DAYS</v>
      </c>
      <c r="X1230" s="11"/>
      <c r="Y1230" s="17" t="s">
        <v>6418</v>
      </c>
      <c r="Z1230" s="17" t="e">
        <f>_xlfn.XLOOKUP(Customer[[#This Row],[NewType]],$AF$36:$AF$54,$AG$36:$AG$54)</f>
        <v>#N/A</v>
      </c>
      <c r="AA1230" s="17" t="s">
        <v>8107</v>
      </c>
      <c r="AB1230" s="11" t="str">
        <f>_xlfn.XLOOKUP(Customer[[#This Row],[Customer ID]],[1]!Address[ID],[1]!Address[Subtype])</f>
        <v>KUSKOP</v>
      </c>
      <c r="AC1230" s="18" t="str">
        <f>_xlfn.XLOOKUP(Customer[[#This Row],[Customer ID]],[1]!Address[ID],[1]!Address[Zone])</f>
        <v>CENTRAL</v>
      </c>
    </row>
    <row r="1231" spans="1:30" x14ac:dyDescent="0.3">
      <c r="A1231" s="10" t="s">
        <v>8108</v>
      </c>
      <c r="B1231" s="11" t="str">
        <f>_xlfn.XLOOKUP(Customer[[#This Row],[Customer ID]],[1]!Name[ID],[1]!Name[Description(1)])</f>
        <v>SAKDILAH SARDI</v>
      </c>
      <c r="C1231" s="38" t="str">
        <f>_xlfn.XLOOKUP(Customer[[#This Row],[Customer ID]],[1]!Name[ID],[1]!Name[Description(2)])</f>
        <v/>
      </c>
      <c r="D1231" s="38" t="str">
        <f>_xlfn.XLOOKUP(Customer[[#This Row],[Customer ID]],[1]!Address[ID],[1]!Address[PIC])</f>
        <v/>
      </c>
      <c r="E1231" s="38" t="str">
        <f>_xlfn.XLOOKUP(Customer[[#This Row],[Customer ID]],[1]!Address[ID],[1]!Address[Full Address])</f>
        <v>NO 1028, JALAN UTAMA, TAMAN DAMAI82000 PONTIAN, JOHOR</v>
      </c>
      <c r="F1231" s="12" t="s">
        <v>8109</v>
      </c>
      <c r="G1231" s="12" t="s">
        <v>8110</v>
      </c>
      <c r="H1231" s="12" t="s">
        <v>8111</v>
      </c>
      <c r="I1231" s="12" t="b">
        <f>ISNUMBER(VALUE(LEFT(Customer[[#This Row],[Address Line 3 (30 char)]],1)))</f>
        <v>0</v>
      </c>
      <c r="J1231" s="12" t="s">
        <v>52</v>
      </c>
      <c r="K1231" s="12">
        <v>82000</v>
      </c>
      <c r="L1231" s="12" t="s">
        <v>35</v>
      </c>
      <c r="M1231" s="13" t="e">
        <v>#N/A</v>
      </c>
      <c r="N1231" s="14" t="e">
        <v>#N/A</v>
      </c>
      <c r="O1231" s="14" t="e">
        <v>#N/A</v>
      </c>
      <c r="P1231" s="14" t="e">
        <v>#N/A</v>
      </c>
      <c r="Q1231" s="14" t="e">
        <v>#N/A</v>
      </c>
      <c r="R1231" s="15" t="s">
        <v>8112</v>
      </c>
      <c r="S1231" s="15" t="s">
        <v>4271</v>
      </c>
      <c r="T1231" s="16" t="s">
        <v>89</v>
      </c>
      <c r="U1231" s="11" t="str">
        <f>_xlfn.XLOOKUP(Customer[[#This Row],[Customer ID]],[1]!Address[ID],[1]!Address[Phone No.(2)])</f>
        <v/>
      </c>
      <c r="V1231" s="11" t="str">
        <f>_xlfn.XLOOKUP(Customer[[#This Row],[Customer ID]],[1]!Address[ID],[1]!Address[Type])</f>
        <v>SOCMED</v>
      </c>
      <c r="W1231" s="11" t="str">
        <f>_xlfn.XLOOKUP(Customer[[#This Row],[Customer ID]],[1]!Address[ID],[1]!Address[CT])</f>
        <v/>
      </c>
      <c r="X1231" s="11"/>
      <c r="Y1231" s="17" t="s">
        <v>90</v>
      </c>
      <c r="Z1231" s="17" t="e">
        <f>_xlfn.XLOOKUP(Customer[[#This Row],[NewType]],$AF$36:$AF$54,$AG$36:$AG$54)</f>
        <v>#N/A</v>
      </c>
      <c r="AA1231" s="17" t="s">
        <v>8113</v>
      </c>
      <c r="AB1231" s="11" t="str">
        <f>_xlfn.XLOOKUP(Customer[[#This Row],[Customer ID]],[1]!Address[ID],[1]!Address[Subtype])</f>
        <v>WHATSAPP</v>
      </c>
      <c r="AC1231" s="18" t="str">
        <f>_xlfn.XLOOKUP(Customer[[#This Row],[Customer ID]],[1]!Address[ID],[1]!Address[Zone])</f>
        <v>SOUTH</v>
      </c>
    </row>
    <row r="1232" spans="1:30" x14ac:dyDescent="0.3">
      <c r="A1232" s="27" t="s">
        <v>8114</v>
      </c>
      <c r="B1232" s="11" t="str">
        <f>_xlfn.XLOOKUP(Customer[[#This Row],[Customer ID]],[1]!Name[ID],[1]!Name[Description(1)])</f>
        <v>MUHAMMAD BIN KHALID</v>
      </c>
      <c r="C1232" s="44" t="str">
        <f>_xlfn.XLOOKUP(Customer[[#This Row],[Customer ID]],[1]!Name[ID],[1]!Name[Description(2)])</f>
        <v/>
      </c>
      <c r="D1232" s="44" t="str">
        <f>_xlfn.XLOOKUP(Customer[[#This Row],[Customer ID]],[1]!Address[ID],[1]!Address[PIC])</f>
        <v/>
      </c>
      <c r="E1232" s="38" t="str">
        <f>_xlfn.XLOOKUP(Customer[[#This Row],[Customer ID]],[1]!Address[ID],[1]!Address[Full Address])</f>
        <v>88 JALAN SAUJANA PERDANA 4C,SAUJANA PERDANA,47000 SG BULOH SELANGOR</v>
      </c>
      <c r="F1232" s="29" t="s">
        <v>8115</v>
      </c>
      <c r="G1232" s="29" t="s">
        <v>8116</v>
      </c>
      <c r="H1232" s="79" t="s">
        <v>8117</v>
      </c>
      <c r="I1232" s="79" t="b">
        <f>ISNUMBER(VALUE(LEFT(Customer[[#This Row],[Address Line 3 (30 char)]],1)))</f>
        <v>0</v>
      </c>
      <c r="J1232" s="29" t="s">
        <v>1907</v>
      </c>
      <c r="K1232" s="29">
        <v>47000</v>
      </c>
      <c r="L1232" s="29" t="s">
        <v>35</v>
      </c>
      <c r="M1232" s="31" t="e">
        <v>#N/A</v>
      </c>
      <c r="N1232" s="36" t="e">
        <v>#N/A</v>
      </c>
      <c r="O1232" s="36" t="e">
        <v>#N/A</v>
      </c>
      <c r="P1232" s="36" t="e">
        <v>#N/A</v>
      </c>
      <c r="Q1232" s="36" t="e">
        <v>#N/A</v>
      </c>
      <c r="R1232" s="80" t="s">
        <v>8118</v>
      </c>
      <c r="S1232" s="15" t="s">
        <v>6418</v>
      </c>
      <c r="T1232" s="16" t="s">
        <v>7974</v>
      </c>
      <c r="U1232" s="28" t="str">
        <f>_xlfn.XLOOKUP(Customer[[#This Row],[Customer ID]],[1]!Address[ID],[1]!Address[Phone No.(2)])</f>
        <v/>
      </c>
      <c r="V1232" s="28" t="str">
        <f>_xlfn.XLOOKUP(Customer[[#This Row],[Customer ID]],[1]!Address[ID],[1]!Address[Type])</f>
        <v>SOCMED</v>
      </c>
      <c r="W1232" s="28" t="str">
        <f>_xlfn.XLOOKUP(Customer[[#This Row],[Customer ID]],[1]!Address[ID],[1]!Address[CT])</f>
        <v>CASH</v>
      </c>
      <c r="X1232" s="28"/>
      <c r="Y1232" s="82" t="s">
        <v>90</v>
      </c>
      <c r="Z1232" s="82" t="e">
        <f>_xlfn.XLOOKUP(Customer[[#This Row],[NewType]],$AF$36:$AF$54,$AG$36:$AG$54)</f>
        <v>#N/A</v>
      </c>
      <c r="AA1232" s="82" t="s">
        <v>8119</v>
      </c>
      <c r="AB1232" s="28" t="str">
        <f>_xlfn.XLOOKUP(Customer[[#This Row],[Customer ID]],[1]!Address[ID],[1]!Address[Subtype])</f>
        <v>WHATSAPP</v>
      </c>
      <c r="AC1232" s="83" t="str">
        <f>_xlfn.XLOOKUP(Customer[[#This Row],[Customer ID]],[1]!Address[ID],[1]!Address[Zone])</f>
        <v>CENTRAL</v>
      </c>
      <c r="AD1232" s="84"/>
    </row>
    <row r="1233" spans="1:30" x14ac:dyDescent="0.3">
      <c r="A1233" s="37" t="s">
        <v>8120</v>
      </c>
      <c r="B1233" s="38" t="str">
        <f>_xlfn.XLOOKUP(Customer[[#This Row],[Customer ID]],[1]!Name[ID],[1]!Name[Description(1)])</f>
        <v>HALIMAH BINTI SALBI</v>
      </c>
      <c r="C1233" s="38" t="str">
        <f>_xlfn.XLOOKUP(Customer[[#This Row],[Customer ID]],[1]!Name[ID],[1]!Name[Description(2)])</f>
        <v/>
      </c>
      <c r="D1233" s="38" t="str">
        <f>_xlfn.XLOOKUP(Customer[[#This Row],[Customer ID]],[1]!Address[ID],[1]!Address[PIC])</f>
        <v/>
      </c>
      <c r="E1233" s="38" t="str">
        <f>_xlfn.XLOOKUP(Customer[[#This Row],[Customer ID]],[1]!Address[ID],[1]!Address[Full Address])</f>
        <v>NO 22, JALAN RIA 4,TAMAN RIA SERI LALANG,86000 KLUANG, JOHOR</v>
      </c>
      <c r="F1233" s="12" t="s">
        <v>8121</v>
      </c>
      <c r="G1233" s="12" t="s">
        <v>8122</v>
      </c>
      <c r="H1233" s="24" t="s">
        <v>5197</v>
      </c>
      <c r="I1233" s="24" t="b">
        <f>ISNUMBER(VALUE(LEFT(Customer[[#This Row],[Address Line 3 (30 char)]],1)))</f>
        <v>0</v>
      </c>
      <c r="J1233" s="12" t="s">
        <v>52</v>
      </c>
      <c r="K1233" s="12">
        <v>86000</v>
      </c>
      <c r="L1233" s="12" t="s">
        <v>35</v>
      </c>
      <c r="M1233" s="13" t="e">
        <v>#N/A</v>
      </c>
      <c r="N1233" s="14" t="e">
        <v>#N/A</v>
      </c>
      <c r="O1233" s="14" t="e">
        <v>#N/A</v>
      </c>
      <c r="P1233" s="14" t="e">
        <v>#N/A</v>
      </c>
      <c r="Q1233" s="14" t="e">
        <v>#N/A</v>
      </c>
      <c r="R1233" s="15" t="s">
        <v>8123</v>
      </c>
      <c r="S1233" s="15" t="s">
        <v>88</v>
      </c>
      <c r="T1233" s="16" t="s">
        <v>89</v>
      </c>
      <c r="U1233" s="11" t="str">
        <f>_xlfn.XLOOKUP(Customer[[#This Row],[Customer ID]],[1]!Address[ID],[1]!Address[Phone No.(2)])</f>
        <v/>
      </c>
      <c r="V1233" s="11" t="str">
        <f>_xlfn.XLOOKUP(Customer[[#This Row],[Customer ID]],[1]!Address[ID],[1]!Address[Type])</f>
        <v>SOCMED</v>
      </c>
      <c r="W1233" s="11" t="str">
        <f>_xlfn.XLOOKUP(Customer[[#This Row],[Customer ID]],[1]!Address[ID],[1]!Address[CT])</f>
        <v/>
      </c>
      <c r="X1233" s="11"/>
      <c r="Y1233" s="17" t="s">
        <v>90</v>
      </c>
      <c r="Z1233" s="17" t="e">
        <f>_xlfn.XLOOKUP(Customer[[#This Row],[NewType]],$AF$36:$AF$54,$AG$36:$AG$54)</f>
        <v>#N/A</v>
      </c>
      <c r="AA1233" s="17" t="s">
        <v>8124</v>
      </c>
      <c r="AB1233" s="11" t="str">
        <f>_xlfn.XLOOKUP(Customer[[#This Row],[Customer ID]],[1]!Address[ID],[1]!Address[Subtype])</f>
        <v>ONLINE ROS</v>
      </c>
      <c r="AC1233" s="18" t="str">
        <f>_xlfn.XLOOKUP(Customer[[#This Row],[Customer ID]],[1]!Address[ID],[1]!Address[Zone])</f>
        <v>SOUTH</v>
      </c>
    </row>
    <row r="1234" spans="1:30" x14ac:dyDescent="0.3">
      <c r="A1234" s="37" t="s">
        <v>8125</v>
      </c>
      <c r="B1234" s="38" t="str">
        <f>_xlfn.XLOOKUP(Customer[[#This Row],[Customer ID]],[1]!Name[ID],[1]!Name[Description(1)])</f>
        <v>PK AL-FALAH TRADE SDN BHD</v>
      </c>
      <c r="C1234" s="38" t="str">
        <f>_xlfn.XLOOKUP(Customer[[#This Row],[Customer ID]],[1]!Name[ID],[1]!Name[Description(2)])</f>
        <v>CALTEX KEMUDI</v>
      </c>
      <c r="D1234" s="38" t="str">
        <f>_xlfn.XLOOKUP(Customer[[#This Row],[Customer ID]],[1]!Address[ID],[1]!Address[PIC])</f>
        <v/>
      </c>
      <c r="E1234" s="38" t="str">
        <f>_xlfn.XLOOKUP(Customer[[#This Row],[Customer ID]],[1]!Address[ID],[1]!Address[Full Address])</f>
        <v>CALTEX KEMUDILot 940, KampungKemudi, Jalan Melawai,16300 Bachok, Kelantan.</v>
      </c>
      <c r="F1234" s="12" t="s">
        <v>8126</v>
      </c>
      <c r="G1234" s="12" t="s">
        <v>8127</v>
      </c>
      <c r="H1234" s="12" t="s">
        <v>8128</v>
      </c>
      <c r="I1234" s="12" t="b">
        <f>ISNUMBER(VALUE(LEFT(Customer[[#This Row],[Address Line 3 (30 char)]],1)))</f>
        <v>0</v>
      </c>
      <c r="J1234" s="12" t="s">
        <v>1007</v>
      </c>
      <c r="K1234" s="12">
        <v>16300</v>
      </c>
      <c r="L1234" s="12" t="s">
        <v>35</v>
      </c>
      <c r="M1234" s="13" t="e">
        <v>#N/A</v>
      </c>
      <c r="N1234" s="14" t="e">
        <v>#N/A</v>
      </c>
      <c r="O1234" s="14" t="e">
        <v>#N/A</v>
      </c>
      <c r="P1234" s="14" t="e">
        <v>#N/A</v>
      </c>
      <c r="Q1234" s="14" t="e">
        <v>#N/A</v>
      </c>
      <c r="R1234" s="15" t="s">
        <v>8129</v>
      </c>
      <c r="S1234" s="15" t="s">
        <v>37</v>
      </c>
      <c r="T1234" s="16" t="s">
        <v>38</v>
      </c>
      <c r="U1234" s="11" t="str">
        <f>_xlfn.XLOOKUP(Customer[[#This Row],[Customer ID]],[1]!Address[ID],[1]!Address[Phone No.(2)])</f>
        <v/>
      </c>
      <c r="V1234" s="11" t="str">
        <f>_xlfn.XLOOKUP(Customer[[#This Row],[Customer ID]],[1]!Address[ID],[1]!Address[Type])</f>
        <v>PETROMART</v>
      </c>
      <c r="W1234" s="11" t="str">
        <f>_xlfn.XLOOKUP(Customer[[#This Row],[Customer ID]],[1]!Address[ID],[1]!Address[CT])</f>
        <v>30 DAYS</v>
      </c>
      <c r="X1234" s="11" t="s">
        <v>39</v>
      </c>
      <c r="Y1234" s="17" t="s">
        <v>40</v>
      </c>
      <c r="Z1234" s="17" t="e">
        <f>_xlfn.XLOOKUP(Customer[[#This Row],[NewType]],$AF$36:$AF$54,$AG$36:$AG$54)</f>
        <v>#N/A</v>
      </c>
      <c r="AA1234" s="17" t="s">
        <v>8130</v>
      </c>
      <c r="AB1234" s="11" t="str">
        <f>_xlfn.XLOOKUP(Customer[[#This Row],[Customer ID]],[1]!Address[ID],[1]!Address[Subtype])</f>
        <v>XPRESS POINT</v>
      </c>
      <c r="AC1234" s="18" t="str">
        <f>_xlfn.XLOOKUP(Customer[[#This Row],[Customer ID]],[1]!Address[ID],[1]!Address[Zone])</f>
        <v>EAST COAST</v>
      </c>
    </row>
    <row r="1235" spans="1:30" x14ac:dyDescent="0.3">
      <c r="A1235" s="37" t="s">
        <v>8131</v>
      </c>
      <c r="B1235" s="38" t="str">
        <f>_xlfn.XLOOKUP(Customer[[#This Row],[Customer ID]],[1]!Name[ID],[1]!Name[Description(1)])</f>
        <v>AYU ROSLAN</v>
      </c>
      <c r="C1235" s="38" t="str">
        <f>_xlfn.XLOOKUP(Customer[[#This Row],[Customer ID]],[1]!Name[ID],[1]!Name[Description(2)])</f>
        <v>IIRB ENTERPRISE</v>
      </c>
      <c r="D1235" s="38" t="str">
        <f>_xlfn.XLOOKUP(Customer[[#This Row],[Customer ID]],[1]!Address[ID],[1]!Address[PIC])</f>
        <v/>
      </c>
      <c r="E1235" s="38" t="str">
        <f>_xlfn.XLOOKUP(Customer[[#This Row],[Customer ID]],[1]!Address[ID],[1]!Address[Full Address])</f>
        <v>NO. 21 TAMAN PEGAWAI, JALAN TAURUS,32000 SITIAWAN, PERAK</v>
      </c>
      <c r="F1235" s="12" t="s">
        <v>8132</v>
      </c>
      <c r="G1235" s="12" t="s">
        <v>8133</v>
      </c>
      <c r="H1235" s="12" t="s">
        <v>8134</v>
      </c>
      <c r="I1235" s="12" t="b">
        <f>ISNUMBER(VALUE(LEFT(Customer[[#This Row],[Address Line 3 (30 char)]],1)))</f>
        <v>0</v>
      </c>
      <c r="J1235" s="12" t="s">
        <v>242</v>
      </c>
      <c r="K1235" s="12">
        <v>32000</v>
      </c>
      <c r="L1235" s="12" t="s">
        <v>35</v>
      </c>
      <c r="M1235" s="13" t="e">
        <v>#N/A</v>
      </c>
      <c r="N1235" s="14" t="e">
        <v>#N/A</v>
      </c>
      <c r="O1235" s="14" t="e">
        <v>#N/A</v>
      </c>
      <c r="P1235" s="14" t="e">
        <v>#N/A</v>
      </c>
      <c r="Q1235" s="14" t="e">
        <v>#N/A</v>
      </c>
      <c r="R1235" s="15" t="s">
        <v>8135</v>
      </c>
      <c r="S1235" s="15" t="s">
        <v>3212</v>
      </c>
      <c r="T1235" s="16" t="s">
        <v>89</v>
      </c>
      <c r="U1235" s="11" t="str">
        <f>_xlfn.XLOOKUP(Customer[[#This Row],[Customer ID]],[1]!Address[ID],[1]!Address[Phone No.(2)])</f>
        <v/>
      </c>
      <c r="V1235" s="11" t="str">
        <f>_xlfn.XLOOKUP(Customer[[#This Row],[Customer ID]],[1]!Address[ID],[1]!Address[Type])</f>
        <v>SOCMED</v>
      </c>
      <c r="W1235" s="11" t="str">
        <f>_xlfn.XLOOKUP(Customer[[#This Row],[Customer ID]],[1]!Address[ID],[1]!Address[CT])</f>
        <v/>
      </c>
      <c r="X1235" s="11"/>
      <c r="Y1235" s="17" t="s">
        <v>90</v>
      </c>
      <c r="Z1235" s="17" t="e">
        <f>_xlfn.XLOOKUP(Customer[[#This Row],[NewType]],$AF$36:$AF$54,$AG$36:$AG$54)</f>
        <v>#N/A</v>
      </c>
      <c r="AA1235" s="17" t="s">
        <v>8136</v>
      </c>
      <c r="AB1235" s="11" t="str">
        <f>_xlfn.XLOOKUP(Customer[[#This Row],[Customer ID]],[1]!Address[ID],[1]!Address[Subtype])</f>
        <v>ONLINE HAJAR</v>
      </c>
      <c r="AC1235" s="18" t="str">
        <f>_xlfn.XLOOKUP(Customer[[#This Row],[Customer ID]],[1]!Address[ID],[1]!Address[Zone])</f>
        <v>NORTH</v>
      </c>
    </row>
    <row r="1236" spans="1:30" x14ac:dyDescent="0.3">
      <c r="A1236" s="37" t="s">
        <v>8137</v>
      </c>
      <c r="B1236" s="38" t="str">
        <f>_xlfn.XLOOKUP(Customer[[#This Row],[Customer ID]],[1]!Name[ID],[1]!Name[Description(1)])</f>
        <v>AZZA PETRO</v>
      </c>
      <c r="C1236" s="38" t="str">
        <f>_xlfn.XLOOKUP(Customer[[#This Row],[Customer ID]],[1]!Name[ID],[1]!Name[Description(2)])</f>
        <v>CALTEX(IOI)BANDAR PUTRA</v>
      </c>
      <c r="D1236" s="38" t="str">
        <f>_xlfn.XLOOKUP(Customer[[#This Row],[Customer ID]],[1]!Address[ID],[1]!Address[PIC])</f>
        <v>KIMAT MAAROP</v>
      </c>
      <c r="E1236" s="38" t="str">
        <f>_xlfn.XLOOKUP(Customer[[#This Row],[Customer ID]],[1]!Address[ID],[1]!Address[Full Address])</f>
        <v>CALTEX(IOI)BANDAR PUTRALot 50737,Lebuh Putra Utama,  Bandar Putra,81000 Kulai, Johor.</v>
      </c>
      <c r="F1236" s="12" t="s">
        <v>8138</v>
      </c>
      <c r="G1236" s="12" t="s">
        <v>8139</v>
      </c>
      <c r="H1236" s="12" t="s">
        <v>8140</v>
      </c>
      <c r="I1236" s="12" t="b">
        <f>ISNUMBER(VALUE(LEFT(Customer[[#This Row],[Address Line 3 (30 char)]],1)))</f>
        <v>0</v>
      </c>
      <c r="J1236" s="12" t="s">
        <v>1995</v>
      </c>
      <c r="K1236" s="12">
        <v>81000</v>
      </c>
      <c r="L1236" s="12" t="s">
        <v>35</v>
      </c>
      <c r="M1236" s="13">
        <v>201703306855</v>
      </c>
      <c r="N1236" s="14" t="s">
        <v>8141</v>
      </c>
      <c r="O1236" s="14" t="e">
        <v>#N/A</v>
      </c>
      <c r="P1236" s="14" t="e">
        <v>#N/A</v>
      </c>
      <c r="Q1236" s="19" t="s">
        <v>8142</v>
      </c>
      <c r="R1236" s="15" t="s">
        <v>8143</v>
      </c>
      <c r="S1236" s="15" t="s">
        <v>37</v>
      </c>
      <c r="T1236" s="16" t="s">
        <v>38</v>
      </c>
      <c r="U1236" s="11" t="str">
        <f>_xlfn.XLOOKUP(Customer[[#This Row],[Customer ID]],[1]!Address[ID],[1]!Address[Phone No.(2)])</f>
        <v>07-598 6616</v>
      </c>
      <c r="V1236" s="11" t="str">
        <f>_xlfn.XLOOKUP(Customer[[#This Row],[Customer ID]],[1]!Address[ID],[1]!Address[Type])</f>
        <v>PETROMART</v>
      </c>
      <c r="W1236" s="11" t="str">
        <f>_xlfn.XLOOKUP(Customer[[#This Row],[Customer ID]],[1]!Address[ID],[1]!Address[CT])</f>
        <v>30 DAYS</v>
      </c>
      <c r="X1236" s="11" t="s">
        <v>39</v>
      </c>
      <c r="Y1236" s="17" t="s">
        <v>40</v>
      </c>
      <c r="Z1236" s="17" t="e">
        <f>_xlfn.XLOOKUP(Customer[[#This Row],[NewType]],$AF$36:$AF$54,$AG$36:$AG$54)</f>
        <v>#N/A</v>
      </c>
      <c r="AA1236" s="17" t="s">
        <v>8144</v>
      </c>
      <c r="AB1236" s="11" t="str">
        <f>_xlfn.XLOOKUP(Customer[[#This Row],[Customer ID]],[1]!Address[ID],[1]!Address[Subtype])</f>
        <v>XPRESS POINT</v>
      </c>
      <c r="AC1236" s="18" t="str">
        <f>_xlfn.XLOOKUP(Customer[[#This Row],[Customer ID]],[1]!Address[ID],[1]!Address[Zone])</f>
        <v>SOUTH</v>
      </c>
    </row>
    <row r="1237" spans="1:30" x14ac:dyDescent="0.3">
      <c r="A1237" s="37" t="s">
        <v>8145</v>
      </c>
      <c r="B1237" s="38" t="str">
        <f>_xlfn.XLOOKUP(Customer[[#This Row],[Customer ID]],[1]!Name[ID],[1]!Name[Description(1)])</f>
        <v>KHIR &amp; CO</v>
      </c>
      <c r="C1237" s="38" t="str">
        <f>_xlfn.XLOOKUP(Customer[[#This Row],[Customer ID]],[1]!Name[ID],[1]!Name[Description(2)])</f>
        <v/>
      </c>
      <c r="D1237" s="38" t="str">
        <f>_xlfn.XLOOKUP(Customer[[#This Row],[Customer ID]],[1]!Address[ID],[1]!Address[PIC])</f>
        <v/>
      </c>
      <c r="E1237" s="38" t="str">
        <f>_xlfn.XLOOKUP(Customer[[#This Row],[Customer ID]],[1]!Address[ID],[1]!Address[Full Address])</f>
        <v>32-1, JALAN RAMPAI NIAGA 4,RAMPAI BUSINESS PARK, 53300,KUALA LUMPUR</v>
      </c>
      <c r="F1237" s="12" t="s">
        <v>8146</v>
      </c>
      <c r="G1237" s="12" t="s">
        <v>8147</v>
      </c>
      <c r="H1237" s="12"/>
      <c r="I1237" s="12" t="b">
        <f>ISNUMBER(VALUE(LEFT(Customer[[#This Row],[Address Line 3 (30 char)]],1)))</f>
        <v>0</v>
      </c>
      <c r="J1237" s="12" t="s">
        <v>34</v>
      </c>
      <c r="K1237" s="12">
        <v>53300</v>
      </c>
      <c r="L1237" s="12" t="s">
        <v>35</v>
      </c>
      <c r="M1237" s="13" t="e">
        <v>#N/A</v>
      </c>
      <c r="N1237" s="14" t="e">
        <v>#N/A</v>
      </c>
      <c r="O1237" s="14" t="e">
        <v>#N/A</v>
      </c>
      <c r="P1237" s="14" t="e">
        <v>#N/A</v>
      </c>
      <c r="Q1237" s="19" t="s">
        <v>8148</v>
      </c>
      <c r="R1237" s="15" t="s">
        <v>8149</v>
      </c>
      <c r="S1237" s="15" t="s">
        <v>3212</v>
      </c>
      <c r="T1237" s="16" t="s">
        <v>89</v>
      </c>
      <c r="U1237" s="11" t="str">
        <f>_xlfn.XLOOKUP(Customer[[#This Row],[Customer ID]],[1]!Address[ID],[1]!Address[Phone No.(2)])</f>
        <v/>
      </c>
      <c r="V1237" s="11" t="str">
        <f>_xlfn.XLOOKUP(Customer[[#This Row],[Customer ID]],[1]!Address[ID],[1]!Address[Type])</f>
        <v>SOCMED</v>
      </c>
      <c r="W1237" s="11" t="str">
        <f>_xlfn.XLOOKUP(Customer[[#This Row],[Customer ID]],[1]!Address[ID],[1]!Address[CT])</f>
        <v/>
      </c>
      <c r="X1237" s="11"/>
      <c r="Y1237" s="17" t="s">
        <v>90</v>
      </c>
      <c r="Z1237" s="17" t="e">
        <f>_xlfn.XLOOKUP(Customer[[#This Row],[NewType]],$AF$36:$AF$54,$AG$36:$AG$54)</f>
        <v>#N/A</v>
      </c>
      <c r="AA1237" s="17" t="s">
        <v>8150</v>
      </c>
      <c r="AB1237" s="11" t="str">
        <f>_xlfn.XLOOKUP(Customer[[#This Row],[Customer ID]],[1]!Address[ID],[1]!Address[Subtype])</f>
        <v>ONLINE HAJAR</v>
      </c>
      <c r="AC1237" s="18" t="str">
        <f>_xlfn.XLOOKUP(Customer[[#This Row],[Customer ID]],[1]!Address[ID],[1]!Address[Zone])</f>
        <v>CENTRAL</v>
      </c>
    </row>
    <row r="1238" spans="1:30" x14ac:dyDescent="0.3">
      <c r="A1238" s="37" t="s">
        <v>8151</v>
      </c>
      <c r="B1238" s="38" t="str">
        <f>_xlfn.XLOOKUP(Customer[[#This Row],[Customer ID]],[1]!Name[ID],[1]!Name[Description(1)])</f>
        <v>PASARAYA SAUK</v>
      </c>
      <c r="C1238" s="38" t="str">
        <f>_xlfn.XLOOKUP(Customer[[#This Row],[Customer ID]],[1]!Name[ID],[1]!Name[Description(2)])</f>
        <v/>
      </c>
      <c r="D1238" s="38" t="str">
        <f>_xlfn.XLOOKUP(Customer[[#This Row],[Customer ID]],[1]!Address[ID],[1]!Address[PIC])</f>
        <v/>
      </c>
      <c r="E1238" s="38" t="str">
        <f>_xlfn.XLOOKUP(Customer[[#This Row],[Customer ID]],[1]!Address[ID],[1]!Address[Full Address])</f>
        <v>LOT 2908, KAMPUNG BARU SAUK,33500 SAUK, PERAK</v>
      </c>
      <c r="F1238" s="12" t="s">
        <v>8152</v>
      </c>
      <c r="G1238" s="12" t="s">
        <v>8153</v>
      </c>
      <c r="H1238" s="12" t="s">
        <v>36</v>
      </c>
      <c r="I1238" s="12" t="b">
        <f>ISNUMBER(VALUE(LEFT(Customer[[#This Row],[Address Line 3 (30 char)]],1)))</f>
        <v>0</v>
      </c>
      <c r="J1238" s="12" t="s">
        <v>387</v>
      </c>
      <c r="K1238" s="12">
        <v>33500</v>
      </c>
      <c r="L1238" s="12" t="s">
        <v>35</v>
      </c>
      <c r="M1238" s="13" t="e">
        <v>#N/A</v>
      </c>
      <c r="N1238" s="14" t="e">
        <v>#N/A</v>
      </c>
      <c r="O1238" s="14" t="e">
        <v>#N/A</v>
      </c>
      <c r="P1238" s="14" t="e">
        <v>#N/A</v>
      </c>
      <c r="Q1238" s="14" t="e">
        <v>#N/A</v>
      </c>
      <c r="R1238" s="15" t="s">
        <v>8154</v>
      </c>
      <c r="S1238" s="15" t="s">
        <v>88</v>
      </c>
      <c r="T1238" s="16" t="s">
        <v>89</v>
      </c>
      <c r="U1238" s="11" t="str">
        <f>_xlfn.XLOOKUP(Customer[[#This Row],[Customer ID]],[1]!Address[ID],[1]!Address[Phone No.(2)])</f>
        <v/>
      </c>
      <c r="V1238" s="11" t="str">
        <f>_xlfn.XLOOKUP(Customer[[#This Row],[Customer ID]],[1]!Address[ID],[1]!Address[Type])</f>
        <v>SOCMED</v>
      </c>
      <c r="W1238" s="11" t="str">
        <f>_xlfn.XLOOKUP(Customer[[#This Row],[Customer ID]],[1]!Address[ID],[1]!Address[CT])</f>
        <v/>
      </c>
      <c r="X1238" s="11"/>
      <c r="Y1238" s="17" t="s">
        <v>90</v>
      </c>
      <c r="Z1238" s="17" t="e">
        <f>_xlfn.XLOOKUP(Customer[[#This Row],[NewType]],$AF$36:$AF$54,$AG$36:$AG$54)</f>
        <v>#N/A</v>
      </c>
      <c r="AA1238" s="17" t="s">
        <v>8155</v>
      </c>
      <c r="AB1238" s="11" t="str">
        <f>_xlfn.XLOOKUP(Customer[[#This Row],[Customer ID]],[1]!Address[ID],[1]!Address[Subtype])</f>
        <v>ONLINE ROS</v>
      </c>
      <c r="AC1238" s="18" t="str">
        <f>_xlfn.XLOOKUP(Customer[[#This Row],[Customer ID]],[1]!Address[ID],[1]!Address[Zone])</f>
        <v>NORTH</v>
      </c>
    </row>
    <row r="1239" spans="1:30" x14ac:dyDescent="0.3">
      <c r="A1239" s="37" t="s">
        <v>8156</v>
      </c>
      <c r="B1239" s="38" t="str">
        <f>_xlfn.XLOOKUP(Customer[[#This Row],[Customer ID]],[1]!Name[ID],[1]!Name[Description(1)])</f>
        <v>LESONG MART</v>
      </c>
      <c r="C1239" s="38" t="str">
        <f>_xlfn.XLOOKUP(Customer[[#This Row],[Customer ID]],[1]!Name[ID],[1]!Name[Description(2)])</f>
        <v>MELAKA</v>
      </c>
      <c r="D1239" s="38" t="str">
        <f>_xlfn.XLOOKUP(Customer[[#This Row],[Customer ID]],[1]!Address[ID],[1]!Address[PIC])</f>
        <v/>
      </c>
      <c r="E1239" s="38" t="str">
        <f>_xlfn.XLOOKUP(Customer[[#This Row],[Customer ID]],[1]!Address[ID],[1]!Address[Full Address])</f>
        <v>NO 67 JALAN PJ1, TAMAN PERTAM JAYA,75050 MELAKA</v>
      </c>
      <c r="F1239" s="12" t="s">
        <v>8157</v>
      </c>
      <c r="G1239" s="12" t="s">
        <v>8158</v>
      </c>
      <c r="H1239" s="12" t="s">
        <v>36</v>
      </c>
      <c r="I1239" s="12" t="b">
        <f>ISNUMBER(VALUE(LEFT(Customer[[#This Row],[Address Line 3 (30 char)]],1)))</f>
        <v>0</v>
      </c>
      <c r="J1239" s="12" t="s">
        <v>61</v>
      </c>
      <c r="K1239" s="12">
        <v>75050</v>
      </c>
      <c r="L1239" s="12" t="s">
        <v>35</v>
      </c>
      <c r="M1239" s="13" t="e">
        <v>#N/A</v>
      </c>
      <c r="N1239" s="14" t="e">
        <v>#N/A</v>
      </c>
      <c r="O1239" s="14" t="e">
        <v>#N/A</v>
      </c>
      <c r="P1239" s="14" t="e">
        <v>#N/A</v>
      </c>
      <c r="Q1239" s="14" t="e">
        <v>#N/A</v>
      </c>
      <c r="R1239" s="15" t="s">
        <v>8159</v>
      </c>
      <c r="S1239" s="15" t="s">
        <v>88</v>
      </c>
      <c r="T1239" s="16" t="s">
        <v>89</v>
      </c>
      <c r="U1239" s="11" t="str">
        <f>_xlfn.XLOOKUP(Customer[[#This Row],[Customer ID]],[1]!Address[ID],[1]!Address[Phone No.(2)])</f>
        <v/>
      </c>
      <c r="V1239" s="11" t="str">
        <f>_xlfn.XLOOKUP(Customer[[#This Row],[Customer ID]],[1]!Address[ID],[1]!Address[Type])</f>
        <v>SOCMED</v>
      </c>
      <c r="W1239" s="11" t="str">
        <f>_xlfn.XLOOKUP(Customer[[#This Row],[Customer ID]],[1]!Address[ID],[1]!Address[CT])</f>
        <v/>
      </c>
      <c r="X1239" s="11"/>
      <c r="Y1239" s="17" t="s">
        <v>90</v>
      </c>
      <c r="Z1239" s="17" t="e">
        <f>_xlfn.XLOOKUP(Customer[[#This Row],[NewType]],$AF$36:$AF$54,$AG$36:$AG$54)</f>
        <v>#N/A</v>
      </c>
      <c r="AA1239" s="17" t="s">
        <v>8160</v>
      </c>
      <c r="AB1239" s="11" t="str">
        <f>_xlfn.XLOOKUP(Customer[[#This Row],[Customer ID]],[1]!Address[ID],[1]!Address[Subtype])</f>
        <v>ONLINE ROS</v>
      </c>
      <c r="AC1239" s="18" t="str">
        <f>_xlfn.XLOOKUP(Customer[[#This Row],[Customer ID]],[1]!Address[ID],[1]!Address[Zone])</f>
        <v>SOUTH</v>
      </c>
    </row>
    <row r="1240" spans="1:30" x14ac:dyDescent="0.3">
      <c r="A1240" s="37" t="s">
        <v>8161</v>
      </c>
      <c r="B1240" s="38" t="str">
        <f>_xlfn.XLOOKUP(Customer[[#This Row],[Customer ID]],[1]!Name[ID],[1]!Name[Description(1)])</f>
        <v>ICSB INAI COMASE (XPRESS POINT)</v>
      </c>
      <c r="C1240" s="38" t="str">
        <f>_xlfn.XLOOKUP(Customer[[#This Row],[Customer ID]],[1]!Name[ID],[1]!Name[Description(2)])</f>
        <v>CALTEX BUKIT MARAK</v>
      </c>
      <c r="D1240" s="38" t="str">
        <f>_xlfn.XLOOKUP(Customer[[#This Row],[Customer ID]],[1]!Address[ID],[1]!Address[PIC])</f>
        <v/>
      </c>
      <c r="E1240" s="38" t="str">
        <f>_xlfn.XLOOKUP(Customer[[#This Row],[Customer ID]],[1]!Address[ID],[1]!Address[Full Address])</f>
        <v>CALTEX BUKIT MARAKLot PT 67, MukimSeterpa, Daerah Banggu,16030 Kota Bharu, Kelantan</v>
      </c>
      <c r="F1240" s="12" t="s">
        <v>8162</v>
      </c>
      <c r="G1240" s="12" t="s">
        <v>8163</v>
      </c>
      <c r="H1240" s="12" t="s">
        <v>8164</v>
      </c>
      <c r="I1240" s="12" t="b">
        <f>ISNUMBER(VALUE(LEFT(Customer[[#This Row],[Address Line 3 (30 char)]],1)))</f>
        <v>0</v>
      </c>
      <c r="J1240" s="12" t="s">
        <v>441</v>
      </c>
      <c r="K1240" s="12">
        <v>16030</v>
      </c>
      <c r="L1240" s="12" t="s">
        <v>35</v>
      </c>
      <c r="M1240" s="13" t="e">
        <v>#N/A</v>
      </c>
      <c r="N1240" s="14" t="e">
        <v>#N/A</v>
      </c>
      <c r="O1240" s="14" t="e">
        <v>#N/A</v>
      </c>
      <c r="P1240" s="14" t="e">
        <v>#N/A</v>
      </c>
      <c r="Q1240" s="19" t="s">
        <v>8165</v>
      </c>
      <c r="R1240" s="15" t="s">
        <v>8166</v>
      </c>
      <c r="S1240" s="15" t="s">
        <v>37</v>
      </c>
      <c r="T1240" s="16" t="s">
        <v>38</v>
      </c>
      <c r="U1240" s="11" t="str">
        <f>_xlfn.XLOOKUP(Customer[[#This Row],[Customer ID]],[1]!Address[ID],[1]!Address[Phone No.(2)])</f>
        <v/>
      </c>
      <c r="V1240" s="11" t="str">
        <f>_xlfn.XLOOKUP(Customer[[#This Row],[Customer ID]],[1]!Address[ID],[1]!Address[Type])</f>
        <v>PETROMART</v>
      </c>
      <c r="W1240" s="11" t="str">
        <f>_xlfn.XLOOKUP(Customer[[#This Row],[Customer ID]],[1]!Address[ID],[1]!Address[CT])</f>
        <v>30 DAYS</v>
      </c>
      <c r="X1240" s="11" t="s">
        <v>39</v>
      </c>
      <c r="Y1240" s="17" t="s">
        <v>40</v>
      </c>
      <c r="Z1240" s="17" t="e">
        <f>_xlfn.XLOOKUP(Customer[[#This Row],[NewType]],$AF$36:$AF$54,$AG$36:$AG$54)</f>
        <v>#N/A</v>
      </c>
      <c r="AA1240" s="17" t="s">
        <v>8167</v>
      </c>
      <c r="AB1240" s="11" t="str">
        <f>_xlfn.XLOOKUP(Customer[[#This Row],[Customer ID]],[1]!Address[ID],[1]!Address[Subtype])</f>
        <v>XPRESS POINT</v>
      </c>
      <c r="AC1240" s="18" t="str">
        <f>_xlfn.XLOOKUP(Customer[[#This Row],[Customer ID]],[1]!Address[ID],[1]!Address[Zone])</f>
        <v>EAST COAST</v>
      </c>
    </row>
    <row r="1241" spans="1:30" x14ac:dyDescent="0.3">
      <c r="A1241" s="37" t="s">
        <v>8168</v>
      </c>
      <c r="B1241" s="38" t="str">
        <f>_xlfn.XLOOKUP(Customer[[#This Row],[Customer ID]],[1]!Name[ID],[1]!Name[Description(1)])</f>
        <v>NAGAHUA CORPORATION SDN BHD</v>
      </c>
      <c r="C1241" s="38" t="str">
        <f>_xlfn.XLOOKUP(Customer[[#This Row],[Customer ID]],[1]!Name[ID],[1]!Name[Description(2)])</f>
        <v>CALTEX BANDAR INDERAPURA</v>
      </c>
      <c r="D1241" s="38" t="str">
        <f>_xlfn.XLOOKUP(Customer[[#This Row],[Customer ID]],[1]!Address[ID],[1]!Address[PIC])</f>
        <v/>
      </c>
      <c r="E1241" s="38" t="str">
        <f>_xlfn.XLOOKUP(Customer[[#This Row],[Customer ID]],[1]!Address[ID],[1]!Address[Full Address])</f>
        <v>CALTEX BANDAR INDERAPURALOT 7718, TAMANINDERAPURA 27000,JERANTUT PAHANG</v>
      </c>
      <c r="F1241" s="12" t="s">
        <v>8169</v>
      </c>
      <c r="G1241" s="12" t="s">
        <v>8170</v>
      </c>
      <c r="H1241" s="12" t="s">
        <v>8171</v>
      </c>
      <c r="I1241" s="12" t="b">
        <f>ISNUMBER(VALUE(LEFT(Customer[[#This Row],[Address Line 3 (30 char)]],1)))</f>
        <v>0</v>
      </c>
      <c r="J1241" s="12" t="s">
        <v>339</v>
      </c>
      <c r="K1241" s="12">
        <v>27000</v>
      </c>
      <c r="L1241" s="12" t="s">
        <v>35</v>
      </c>
      <c r="M1241" s="13">
        <v>199401011620</v>
      </c>
      <c r="N1241" s="14" t="s">
        <v>8172</v>
      </c>
      <c r="O1241" s="14" t="s">
        <v>54</v>
      </c>
      <c r="P1241" s="14">
        <v>47300</v>
      </c>
      <c r="Q1241" s="14" t="s">
        <v>8173</v>
      </c>
      <c r="R1241" s="15" t="s">
        <v>6014</v>
      </c>
      <c r="S1241" s="15" t="s">
        <v>37</v>
      </c>
      <c r="T1241" s="16" t="s">
        <v>38</v>
      </c>
      <c r="U1241" s="11" t="str">
        <f>_xlfn.XLOOKUP(Customer[[#This Row],[Customer ID]],[1]!Address[ID],[1]!Address[Phone No.(2)])</f>
        <v/>
      </c>
      <c r="V1241" s="11" t="str">
        <f>_xlfn.XLOOKUP(Customer[[#This Row],[Customer ID]],[1]!Address[ID],[1]!Address[Type])</f>
        <v>PETROMART</v>
      </c>
      <c r="W1241" s="11" t="str">
        <f>_xlfn.XLOOKUP(Customer[[#This Row],[Customer ID]],[1]!Address[ID],[1]!Address[CT])</f>
        <v>30 DAYS</v>
      </c>
      <c r="X1241" s="11" t="s">
        <v>39</v>
      </c>
      <c r="Y1241" s="17" t="s">
        <v>40</v>
      </c>
      <c r="Z1241" s="17" t="e">
        <f>_xlfn.XLOOKUP(Customer[[#This Row],[NewType]],$AF$36:$AF$54,$AG$36:$AG$54)</f>
        <v>#N/A</v>
      </c>
      <c r="AA1241" s="17" t="s">
        <v>8174</v>
      </c>
      <c r="AB1241" s="11" t="str">
        <f>_xlfn.XLOOKUP(Customer[[#This Row],[Customer ID]],[1]!Address[ID],[1]!Address[Subtype])</f>
        <v>XPRESS POINT</v>
      </c>
      <c r="AC1241" s="18" t="str">
        <f>_xlfn.XLOOKUP(Customer[[#This Row],[Customer ID]],[1]!Address[ID],[1]!Address[Zone])</f>
        <v>EAST COAST</v>
      </c>
    </row>
    <row r="1242" spans="1:30" x14ac:dyDescent="0.3">
      <c r="A1242" s="37" t="s">
        <v>8175</v>
      </c>
      <c r="B1242" s="38" t="str">
        <f>_xlfn.XLOOKUP(Customer[[#This Row],[Customer ID]],[1]!Name[ID],[1]!Name[Description(1)])</f>
        <v>POPULAR NICHES SDN BHD</v>
      </c>
      <c r="C1242" s="38" t="str">
        <f>_xlfn.XLOOKUP(Customer[[#This Row],[Customer ID]],[1]!Name[ID],[1]!Name[Description(2)])</f>
        <v>CALTEX JENGKA 8</v>
      </c>
      <c r="D1242" s="38" t="str">
        <f>_xlfn.XLOOKUP(Customer[[#This Row],[Customer ID]],[1]!Address[ID],[1]!Address[PIC])</f>
        <v>AZRI</v>
      </c>
      <c r="E1242" s="38" t="str">
        <f>_xlfn.XLOOKUP(Customer[[#This Row],[Customer ID]],[1]!Address[ID],[1]!Address[Full Address])</f>
        <v>CALTEX JENGKA 8LOT 720, TAMAN GELANGGI PERDANA,SIMPANG   JENGKA 8, 27000, JERANTUT,PAHANG DARUL MAKMUR.</v>
      </c>
      <c r="F1242" s="12" t="s">
        <v>8176</v>
      </c>
      <c r="G1242" s="12" t="s">
        <v>8177</v>
      </c>
      <c r="H1242" s="12" t="s">
        <v>8178</v>
      </c>
      <c r="I1242" s="12" t="b">
        <f>ISNUMBER(VALUE(LEFT(Customer[[#This Row],[Address Line 3 (30 char)]],1)))</f>
        <v>0</v>
      </c>
      <c r="J1242" s="12" t="s">
        <v>339</v>
      </c>
      <c r="K1242" s="12">
        <v>27000</v>
      </c>
      <c r="L1242" s="12" t="s">
        <v>35</v>
      </c>
      <c r="M1242" s="13">
        <v>199601016930</v>
      </c>
      <c r="N1242" s="14" t="s">
        <v>8179</v>
      </c>
      <c r="O1242" s="14" t="s">
        <v>54</v>
      </c>
      <c r="P1242" s="14">
        <v>46611</v>
      </c>
      <c r="Q1242" s="14" t="s">
        <v>8173</v>
      </c>
      <c r="R1242" s="15" t="s">
        <v>8180</v>
      </c>
      <c r="S1242" s="15" t="s">
        <v>37</v>
      </c>
      <c r="T1242" s="16" t="s">
        <v>38</v>
      </c>
      <c r="U1242" s="11" t="str">
        <f>_xlfn.XLOOKUP(Customer[[#This Row],[Customer ID]],[1]!Address[ID],[1]!Address[Phone No.(2)])</f>
        <v/>
      </c>
      <c r="V1242" s="11" t="str">
        <f>_xlfn.XLOOKUP(Customer[[#This Row],[Customer ID]],[1]!Address[ID],[1]!Address[Type])</f>
        <v>PETROMART</v>
      </c>
      <c r="W1242" s="11" t="str">
        <f>_xlfn.XLOOKUP(Customer[[#This Row],[Customer ID]],[1]!Address[ID],[1]!Address[CT])</f>
        <v>30 DAYS</v>
      </c>
      <c r="X1242" s="11" t="s">
        <v>39</v>
      </c>
      <c r="Y1242" s="17" t="s">
        <v>40</v>
      </c>
      <c r="Z1242" s="17" t="e">
        <f>_xlfn.XLOOKUP(Customer[[#This Row],[NewType]],$AF$36:$AF$54,$AG$36:$AG$54)</f>
        <v>#N/A</v>
      </c>
      <c r="AA1242" s="17" t="s">
        <v>8181</v>
      </c>
      <c r="AB1242" s="11" t="str">
        <f>_xlfn.XLOOKUP(Customer[[#This Row],[Customer ID]],[1]!Address[ID],[1]!Address[Subtype])</f>
        <v>XPRESS POINT</v>
      </c>
      <c r="AC1242" s="18" t="str">
        <f>_xlfn.XLOOKUP(Customer[[#This Row],[Customer ID]],[1]!Address[ID],[1]!Address[Zone])</f>
        <v>EAST COAST</v>
      </c>
    </row>
    <row r="1243" spans="1:30" x14ac:dyDescent="0.3">
      <c r="A1243" s="43" t="s">
        <v>8182</v>
      </c>
      <c r="B1243" s="44" t="str">
        <f>_xlfn.XLOOKUP(Customer[[#This Row],[Customer ID]],[1]!Name[ID],[1]!Name[Description(1)])</f>
        <v>PETRON JLN DATOK KUMBAR</v>
      </c>
      <c r="C1243" s="38" t="str">
        <f>_xlfn.XLOOKUP(Customer[[#This Row],[Customer ID]],[1]!Name[ID],[1]!Name[Description(2)])</f>
        <v>PERNIAGAAN JAAFAR&amp; RAZLI</v>
      </c>
      <c r="D1243" s="38" t="str">
        <f>_xlfn.XLOOKUP(Customer[[#This Row],[Customer ID]],[1]!Address[ID],[1]!Address[PIC])</f>
        <v/>
      </c>
      <c r="E1243" s="38" t="str">
        <f>_xlfn.XLOOKUP(Customer[[#This Row],[Customer ID]],[1]!Address[ID],[1]!Address[Full Address])</f>
        <v>BT8 JLN DTK KUMBARALOR SETAR 06500KEDAH</v>
      </c>
      <c r="F1243" s="12" t="s">
        <v>8183</v>
      </c>
      <c r="G1243" s="12" t="s">
        <v>8184</v>
      </c>
      <c r="H1243" s="12"/>
      <c r="I1243" s="12" t="b">
        <f>ISNUMBER(VALUE(LEFT(Customer[[#This Row],[Address Line 3 (30 char)]],1)))</f>
        <v>0</v>
      </c>
      <c r="J1243" s="12" t="s">
        <v>79</v>
      </c>
      <c r="K1243" s="30" t="s">
        <v>8185</v>
      </c>
      <c r="L1243" s="12" t="s">
        <v>35</v>
      </c>
      <c r="M1243" s="13" t="e">
        <v>#N/A</v>
      </c>
      <c r="N1243" s="14" t="e">
        <v>#N/A</v>
      </c>
      <c r="O1243" s="14" t="e">
        <v>#N/A</v>
      </c>
      <c r="P1243" s="14" t="e">
        <v>#N/A</v>
      </c>
      <c r="Q1243" s="14" t="e">
        <v>#N/A</v>
      </c>
      <c r="R1243" s="15" t="s">
        <v>8186</v>
      </c>
      <c r="S1243" s="15" t="s">
        <v>37</v>
      </c>
      <c r="T1243" s="16" t="s">
        <v>38</v>
      </c>
      <c r="U1243" s="11" t="str">
        <f>_xlfn.XLOOKUP(Customer[[#This Row],[Customer ID]],[1]!Address[ID],[1]!Address[Phone No.(2)])</f>
        <v/>
      </c>
      <c r="V1243" s="11" t="str">
        <f>_xlfn.XLOOKUP(Customer[[#This Row],[Customer ID]],[1]!Address[ID],[1]!Address[Type])</f>
        <v>PETROMART</v>
      </c>
      <c r="W1243" s="11" t="str">
        <f>_xlfn.XLOOKUP(Customer[[#This Row],[Customer ID]],[1]!Address[ID],[1]!Address[CT])</f>
        <v>30 DAYS</v>
      </c>
      <c r="X1243" s="11" t="s">
        <v>39</v>
      </c>
      <c r="Y1243" s="17" t="s">
        <v>40</v>
      </c>
      <c r="Z1243" s="17" t="e">
        <f>_xlfn.XLOOKUP(Customer[[#This Row],[NewType]],$AF$36:$AF$54,$AG$36:$AG$54)</f>
        <v>#N/A</v>
      </c>
      <c r="AA1243" s="17" t="s">
        <v>8187</v>
      </c>
      <c r="AB1243" s="11" t="str">
        <f>_xlfn.XLOOKUP(Customer[[#This Row],[Customer ID]],[1]!Address[ID],[1]!Address[Subtype])</f>
        <v>PETRON</v>
      </c>
      <c r="AC1243" s="18" t="str">
        <f>_xlfn.XLOOKUP(Customer[[#This Row],[Customer ID]],[1]!Address[ID],[1]!Address[Zone])</f>
        <v>NORTH</v>
      </c>
    </row>
    <row r="1244" spans="1:30" x14ac:dyDescent="0.3">
      <c r="A1244" s="37" t="s">
        <v>8188</v>
      </c>
      <c r="B1244" s="38" t="str">
        <f>_xlfn.XLOOKUP(Customer[[#This Row],[Customer ID]],[1]!Name[ID],[1]!Name[Description(1)])</f>
        <v>JBH IKHLAS ENTERPRISE</v>
      </c>
      <c r="C1244" s="38" t="str">
        <f>_xlfn.XLOOKUP(Customer[[#This Row],[Customer ID]],[1]!Name[ID],[1]!Name[Description(2)])</f>
        <v/>
      </c>
      <c r="D1244" s="38" t="str">
        <f>_xlfn.XLOOKUP(Customer[[#This Row],[Customer ID]],[1]!Address[ID],[1]!Address[PIC])</f>
        <v/>
      </c>
      <c r="E1244" s="38" t="str">
        <f>_xlfn.XLOOKUP(Customer[[#This Row],[Customer ID]],[1]!Address[ID],[1]!Address[Full Address])</f>
        <v>NO 6 RNR GURUN UTARA 08300 GURUN, KEDAH</v>
      </c>
      <c r="F1244" s="12" t="s">
        <v>8189</v>
      </c>
      <c r="G1244" s="12" t="s">
        <v>8190</v>
      </c>
      <c r="H1244" s="12" t="s">
        <v>8191</v>
      </c>
      <c r="I1244" s="12" t="b">
        <f>ISNUMBER(VALUE(LEFT(Customer[[#This Row],[Address Line 3 (30 char)]],1)))</f>
        <v>0</v>
      </c>
      <c r="J1244" s="12" t="s">
        <v>8192</v>
      </c>
      <c r="K1244" s="42" t="s">
        <v>1336</v>
      </c>
      <c r="L1244" s="12" t="s">
        <v>35</v>
      </c>
      <c r="M1244" s="13" t="e">
        <v>#N/A</v>
      </c>
      <c r="N1244" s="14" t="e">
        <v>#N/A</v>
      </c>
      <c r="O1244" s="14" t="e">
        <v>#N/A</v>
      </c>
      <c r="P1244" s="14" t="e">
        <v>#N/A</v>
      </c>
      <c r="Q1244" s="14" t="e">
        <v>#N/A</v>
      </c>
      <c r="R1244" s="15" t="s">
        <v>8193</v>
      </c>
      <c r="S1244" s="15" t="s">
        <v>5925</v>
      </c>
      <c r="T1244" s="16" t="s">
        <v>3477</v>
      </c>
      <c r="U1244" s="11" t="str">
        <f>_xlfn.XLOOKUP(Customer[[#This Row],[Customer ID]],[1]!Address[ID],[1]!Address[Phone No.(2)])</f>
        <v/>
      </c>
      <c r="V1244" s="11" t="str">
        <f>_xlfn.XLOOKUP(Customer[[#This Row],[Customer ID]],[1]!Address[ID],[1]!Address[Type])</f>
        <v>CAFE</v>
      </c>
      <c r="W1244" s="11" t="str">
        <f>_xlfn.XLOOKUP(Customer[[#This Row],[Customer ID]],[1]!Address[ID],[1]!Address[CT])</f>
        <v>30 DAYS</v>
      </c>
      <c r="X1244" s="11"/>
      <c r="Y1244" s="17" t="s">
        <v>5926</v>
      </c>
      <c r="Z1244" s="17" t="e">
        <f>_xlfn.XLOOKUP(Customer[[#This Row],[NewType]],$AF$36:$AF$54,$AG$36:$AG$54)</f>
        <v>#N/A</v>
      </c>
      <c r="AA1244" s="17" t="s">
        <v>8194</v>
      </c>
      <c r="AB1244" s="11" t="str">
        <f>_xlfn.XLOOKUP(Customer[[#This Row],[Customer ID]],[1]!Address[ID],[1]!Address[Subtype])</f>
        <v>PLUS</v>
      </c>
      <c r="AC1244" s="18" t="str">
        <f>_xlfn.XLOOKUP(Customer[[#This Row],[Customer ID]],[1]!Address[ID],[1]!Address[Zone])</f>
        <v>NORTH</v>
      </c>
    </row>
    <row r="1245" spans="1:30" x14ac:dyDescent="0.3">
      <c r="A1245" s="37" t="s">
        <v>8195</v>
      </c>
      <c r="B1245" s="38" t="str">
        <f>_xlfn.XLOOKUP(Customer[[#This Row],[Customer ID]],[1]!Name[ID],[1]!Name[Description(1)])</f>
        <v>ANGKASA KESAS SDN BHD</v>
      </c>
      <c r="C1245" s="38" t="str">
        <f>_xlfn.XLOOKUP(Customer[[#This Row],[Customer ID]],[1]!Name[ID],[1]!Name[Description(2)])</f>
        <v>PS LEMBAH PAYA</v>
      </c>
      <c r="D1245" s="38" t="str">
        <f>_xlfn.XLOOKUP(Customer[[#This Row],[Customer ID]],[1]!Address[ID],[1]!Address[PIC])</f>
        <v/>
      </c>
      <c r="E1245" s="38" t="str">
        <f>_xlfn.XLOOKUP(Customer[[#This Row],[Customer ID]],[1]!Address[ID],[1]!Address[Full Address])</f>
        <v>PS LEMBAH PAYALot PT 38685, MukimLabu, Daerah Sepang43900 Sepang</v>
      </c>
      <c r="F1245" s="12" t="s">
        <v>8196</v>
      </c>
      <c r="G1245" s="12" t="s">
        <v>8197</v>
      </c>
      <c r="H1245" s="12" t="s">
        <v>8198</v>
      </c>
      <c r="I1245" s="12" t="b">
        <f>ISNUMBER(VALUE(LEFT(Customer[[#This Row],[Address Line 3 (30 char)]],1)))</f>
        <v>0</v>
      </c>
      <c r="J1245" s="12" t="s">
        <v>1907</v>
      </c>
      <c r="K1245" s="12">
        <v>43900</v>
      </c>
      <c r="L1245" s="12" t="s">
        <v>35</v>
      </c>
      <c r="M1245" s="13">
        <v>201801011851</v>
      </c>
      <c r="N1245" s="14" t="s">
        <v>8199</v>
      </c>
      <c r="O1245" s="14" t="s">
        <v>54</v>
      </c>
      <c r="P1245" s="14" t="s">
        <v>8200</v>
      </c>
      <c r="Q1245" s="14" t="s">
        <v>8201</v>
      </c>
      <c r="R1245" s="15" t="s">
        <v>8202</v>
      </c>
      <c r="S1245" s="15" t="s">
        <v>37</v>
      </c>
      <c r="T1245" s="16" t="s">
        <v>38</v>
      </c>
      <c r="U1245" s="11" t="str">
        <f>_xlfn.XLOOKUP(Customer[[#This Row],[Customer ID]],[1]!Address[ID],[1]!Address[Phone No.(2)])</f>
        <v/>
      </c>
      <c r="V1245" s="11" t="str">
        <f>_xlfn.XLOOKUP(Customer[[#This Row],[Customer ID]],[1]!Address[ID],[1]!Address[Type])</f>
        <v>PETROMART</v>
      </c>
      <c r="W1245" s="11" t="str">
        <f>_xlfn.XLOOKUP(Customer[[#This Row],[Customer ID]],[1]!Address[ID],[1]!Address[CT])</f>
        <v>30</v>
      </c>
      <c r="X1245" s="11" t="s">
        <v>39</v>
      </c>
      <c r="Y1245" s="17" t="s">
        <v>40</v>
      </c>
      <c r="Z1245" s="17" t="e">
        <f>_xlfn.XLOOKUP(Customer[[#This Row],[NewType]],$AF$36:$AF$54,$AG$36:$AG$54)</f>
        <v>#N/A</v>
      </c>
      <c r="AA1245" s="17" t="s">
        <v>8203</v>
      </c>
      <c r="AB1245" s="11" t="str">
        <f>_xlfn.XLOOKUP(Customer[[#This Row],[Customer ID]],[1]!Address[ID],[1]!Address[Subtype])</f>
        <v>PETRONAS</v>
      </c>
      <c r="AC1245" s="18" t="str">
        <f>_xlfn.XLOOKUP(Customer[[#This Row],[Customer ID]],[1]!Address[ID],[1]!Address[Zone])</f>
        <v>CENTRAL</v>
      </c>
    </row>
    <row r="1246" spans="1:30" x14ac:dyDescent="0.3">
      <c r="A1246" s="27" t="s">
        <v>8204</v>
      </c>
      <c r="B1246" s="28" t="str">
        <f>_xlfn.XLOOKUP(Customer[[#This Row],[Customer ID]],[1]!Name[ID],[1]!Name[Description(1)])</f>
        <v>AS ENG JOO TRADING SDN. BHD.</v>
      </c>
      <c r="C1246" s="44" t="str">
        <f>_xlfn.XLOOKUP(Customer[[#This Row],[Customer ID]],[1]!Name[ID],[1]!Name[Description(2)])</f>
        <v>NG KOK WAI</v>
      </c>
      <c r="D1246" s="44" t="str">
        <f>_xlfn.XLOOKUP(Customer[[#This Row],[Customer ID]],[1]!Address[ID],[1]!Address[PIC])</f>
        <v/>
      </c>
      <c r="E1246" s="38" t="str">
        <f>_xlfn.XLOOKUP(Customer[[#This Row],[Customer ID]],[1]!Address[ID],[1]!Address[Full Address])</f>
        <v>A8-A9, TAMAN SAGA,ALOR MENGKUDU,05400 ALOR SETAR,KEDAH</v>
      </c>
      <c r="F1246" s="29" t="s">
        <v>8205</v>
      </c>
      <c r="G1246" s="29" t="s">
        <v>8206</v>
      </c>
      <c r="H1246" s="29" t="s">
        <v>8207</v>
      </c>
      <c r="I1246" s="29" t="b">
        <f>ISNUMBER(VALUE(LEFT(Customer[[#This Row],[Address Line 3 (30 char)]],1)))</f>
        <v>0</v>
      </c>
      <c r="J1246" s="29" t="s">
        <v>355</v>
      </c>
      <c r="K1246" s="85" t="s">
        <v>3202</v>
      </c>
      <c r="L1246" s="29" t="s">
        <v>35</v>
      </c>
      <c r="M1246" s="31" t="e">
        <v>#N/A</v>
      </c>
      <c r="N1246" s="36" t="e">
        <v>#N/A</v>
      </c>
      <c r="O1246" s="36" t="e">
        <v>#N/A</v>
      </c>
      <c r="P1246" s="36" t="e">
        <v>#N/A</v>
      </c>
      <c r="Q1246" s="36" t="e">
        <v>#N/A</v>
      </c>
      <c r="R1246" s="80" t="s">
        <v>8208</v>
      </c>
      <c r="S1246" s="15" t="s">
        <v>5934</v>
      </c>
      <c r="T1246" s="81"/>
      <c r="U1246" s="28" t="str">
        <f>_xlfn.XLOOKUP(Customer[[#This Row],[Customer ID]],[1]!Address[ID],[1]!Address[Phone No.(2)])</f>
        <v/>
      </c>
      <c r="V1246" s="28" t="str">
        <f>_xlfn.XLOOKUP(Customer[[#This Row],[Customer ID]],[1]!Address[ID],[1]!Address[Type])</f>
        <v>SOCMED</v>
      </c>
      <c r="W1246" s="28" t="str">
        <f>_xlfn.XLOOKUP(Customer[[#This Row],[Customer ID]],[1]!Address[ID],[1]!Address[CT])</f>
        <v>CASH</v>
      </c>
      <c r="X1246" s="28"/>
      <c r="Y1246" s="82" t="s">
        <v>90</v>
      </c>
      <c r="Z1246" s="82" t="e">
        <f>_xlfn.XLOOKUP(Customer[[#This Row],[NewType]],$AF$36:$AF$54,$AG$36:$AG$54)</f>
        <v>#N/A</v>
      </c>
      <c r="AA1246" s="82" t="s">
        <v>8209</v>
      </c>
      <c r="AB1246" s="28" t="str">
        <f>_xlfn.XLOOKUP(Customer[[#This Row],[Customer ID]],[1]!Address[ID],[1]!Address[Subtype])</f>
        <v>WHATSAPP</v>
      </c>
      <c r="AC1246" s="83" t="str">
        <f>_xlfn.XLOOKUP(Customer[[#This Row],[Customer ID]],[1]!Address[ID],[1]!Address[Zone])</f>
        <v>NORTH</v>
      </c>
      <c r="AD1246" s="84"/>
    </row>
    <row r="1247" spans="1:30" x14ac:dyDescent="0.3">
      <c r="A1247" s="37" t="s">
        <v>8210</v>
      </c>
      <c r="B1247" s="38" t="str">
        <f>_xlfn.XLOOKUP(Customer[[#This Row],[Customer ID]],[1]!Name[ID],[1]!Name[Description(1)])</f>
        <v>RUBIAH BTE MD JAN</v>
      </c>
      <c r="C1247" s="38" t="str">
        <f>_xlfn.XLOOKUP(Customer[[#This Row],[Customer ID]],[1]!Name[ID],[1]!Name[Description(2)])</f>
        <v/>
      </c>
      <c r="D1247" s="38" t="str">
        <f>_xlfn.XLOOKUP(Customer[[#This Row],[Customer ID]],[1]!Address[ID],[1]!Address[PIC])</f>
        <v/>
      </c>
      <c r="E1247" s="38" t="str">
        <f>_xlfn.XLOOKUP(Customer[[#This Row],[Customer ID]],[1]!Address[ID],[1]!Address[Full Address])</f>
        <v>NO. 477 JALAN DPP 1/4ATAMAN DESA PERMAI PEDAS, 71400 PEDASNEGERI SEMBILAN</v>
      </c>
      <c r="F1247" s="12" t="s">
        <v>8211</v>
      </c>
      <c r="G1247" s="12" t="s">
        <v>8212</v>
      </c>
      <c r="H1247" s="12"/>
      <c r="I1247" s="12" t="b">
        <f>ISNUMBER(VALUE(LEFT(Customer[[#This Row],[Address Line 3 (30 char)]],1)))</f>
        <v>0</v>
      </c>
      <c r="J1247" s="12" t="s">
        <v>203</v>
      </c>
      <c r="K1247" s="12">
        <v>71400</v>
      </c>
      <c r="L1247" s="12" t="s">
        <v>35</v>
      </c>
      <c r="M1247" s="13" t="e">
        <v>#N/A</v>
      </c>
      <c r="N1247" s="14" t="e">
        <v>#N/A</v>
      </c>
      <c r="O1247" s="14" t="e">
        <v>#N/A</v>
      </c>
      <c r="P1247" s="14" t="e">
        <v>#N/A</v>
      </c>
      <c r="Q1247" s="14" t="e">
        <v>#N/A</v>
      </c>
      <c r="R1247" s="15" t="s">
        <v>8213</v>
      </c>
      <c r="S1247" s="15" t="s">
        <v>88</v>
      </c>
      <c r="T1247" s="16" t="s">
        <v>89</v>
      </c>
      <c r="U1247" s="11" t="str">
        <f>_xlfn.XLOOKUP(Customer[[#This Row],[Customer ID]],[1]!Address[ID],[1]!Address[Phone No.(2)])</f>
        <v/>
      </c>
      <c r="V1247" s="11" t="str">
        <f>_xlfn.XLOOKUP(Customer[[#This Row],[Customer ID]],[1]!Address[ID],[1]!Address[Type])</f>
        <v>SOCMED</v>
      </c>
      <c r="W1247" s="11" t="str">
        <f>_xlfn.XLOOKUP(Customer[[#This Row],[Customer ID]],[1]!Address[ID],[1]!Address[CT])</f>
        <v/>
      </c>
      <c r="X1247" s="11"/>
      <c r="Y1247" s="17" t="s">
        <v>90</v>
      </c>
      <c r="Z1247" s="17" t="e">
        <f>_xlfn.XLOOKUP(Customer[[#This Row],[NewType]],$AF$36:$AF$54,$AG$36:$AG$54)</f>
        <v>#N/A</v>
      </c>
      <c r="AA1247" s="17" t="s">
        <v>8214</v>
      </c>
      <c r="AB1247" s="11" t="str">
        <f>_xlfn.XLOOKUP(Customer[[#This Row],[Customer ID]],[1]!Address[ID],[1]!Address[Subtype])</f>
        <v>ONLINE ROS</v>
      </c>
      <c r="AC1247" s="18" t="str">
        <f>_xlfn.XLOOKUP(Customer[[#This Row],[Customer ID]],[1]!Address[ID],[1]!Address[Zone])</f>
        <v>CENTRAL</v>
      </c>
    </row>
    <row r="1248" spans="1:30" x14ac:dyDescent="0.3">
      <c r="A1248" s="37" t="s">
        <v>8215</v>
      </c>
      <c r="B1248" s="38" t="str">
        <f>_xlfn.XLOOKUP(Customer[[#This Row],[Customer ID]],[1]!Name[ID],[1]!Name[Description(1)])</f>
        <v>URBAN RETAIL SDN BHD</v>
      </c>
      <c r="C1248" s="38" t="str">
        <f>_xlfn.XLOOKUP(Customer[[#This Row],[Customer ID]],[1]!Name[ID],[1]!Name[Description(2)])</f>
        <v/>
      </c>
      <c r="D1248" s="38" t="str">
        <f>_xlfn.XLOOKUP(Customer[[#This Row],[Customer ID]],[1]!Address[ID],[1]!Address[PIC])</f>
        <v>NOOR AZREEN</v>
      </c>
      <c r="E1248" s="38" t="str">
        <f>_xlfn.XLOOKUP(Customer[[#This Row],[Customer ID]],[1]!Address[ID],[1]!Address[Full Address])</f>
        <v>LOT LG-SM, SETIA CITY MALL,7 PERSIARAN SETIA DAGANG,SEKSYEN U13, BANDAR SETIA ALAM,40170 SHAH ALAM,SELANGOR</v>
      </c>
      <c r="F1248" s="12" t="s">
        <v>8216</v>
      </c>
      <c r="G1248" s="12" t="s">
        <v>8217</v>
      </c>
      <c r="H1248" s="12" t="s">
        <v>8218</v>
      </c>
      <c r="I1248" s="12" t="b">
        <f>ISNUMBER(VALUE(LEFT(Customer[[#This Row],[Address Line 3 (30 char)]],1)))</f>
        <v>0</v>
      </c>
      <c r="J1248" s="12" t="s">
        <v>1907</v>
      </c>
      <c r="K1248" s="12">
        <v>40170</v>
      </c>
      <c r="L1248" s="12" t="s">
        <v>35</v>
      </c>
      <c r="M1248" s="13" t="e">
        <v>#N/A</v>
      </c>
      <c r="N1248" s="14" t="e">
        <v>#N/A</v>
      </c>
      <c r="O1248" s="14" t="e">
        <v>#N/A</v>
      </c>
      <c r="P1248" s="14" t="e">
        <v>#N/A</v>
      </c>
      <c r="Q1248" s="14" t="e">
        <v>#N/A</v>
      </c>
      <c r="R1248" s="15" t="s">
        <v>8219</v>
      </c>
      <c r="S1248" s="15" t="s">
        <v>5917</v>
      </c>
      <c r="T1248" s="16" t="s">
        <v>3477</v>
      </c>
      <c r="U1248" s="11" t="str">
        <f>_xlfn.XLOOKUP(Customer[[#This Row],[Customer ID]],[1]!Address[ID],[1]!Address[Phone No.(2)])</f>
        <v/>
      </c>
      <c r="V1248" s="11" t="str">
        <f>_xlfn.XLOOKUP(Customer[[#This Row],[Customer ID]],[1]!Address[ID],[1]!Address[Type])</f>
        <v>HM</v>
      </c>
      <c r="W1248" s="11" t="str">
        <f>_xlfn.XLOOKUP(Customer[[#This Row],[Customer ID]],[1]!Address[ID],[1]!Address[CT])</f>
        <v>60 DAYS</v>
      </c>
      <c r="X1248" s="11"/>
      <c r="Y1248" s="17" t="s">
        <v>5968</v>
      </c>
      <c r="Z1248" s="17" t="e">
        <f>_xlfn.XLOOKUP(Customer[[#This Row],[NewType]],$AF$36:$AF$54,$AG$36:$AG$54)</f>
        <v>#N/A</v>
      </c>
      <c r="AA1248" s="17" t="s">
        <v>8220</v>
      </c>
      <c r="AB1248" s="11" t="str">
        <f>_xlfn.XLOOKUP(Customer[[#This Row],[Customer ID]],[1]!Address[ID],[1]!Address[Subtype])</f>
        <v>URBAN RETAIL</v>
      </c>
      <c r="AC1248" s="18" t="str">
        <f>_xlfn.XLOOKUP(Customer[[#This Row],[Customer ID]],[1]!Address[ID],[1]!Address[Zone])</f>
        <v>CENTRAL</v>
      </c>
    </row>
    <row r="1249" spans="1:29" x14ac:dyDescent="0.3">
      <c r="A1249" s="37" t="s">
        <v>8221</v>
      </c>
      <c r="B1249" s="38" t="str">
        <f>_xlfn.XLOOKUP(Customer[[#This Row],[Customer ID]],[1]!Name[ID],[1]!Name[Description(1)])</f>
        <v>POPULAR NICHES SDN BHD (FERI JERANTUT)</v>
      </c>
      <c r="C1249" s="38" t="str">
        <f>_xlfn.XLOOKUP(Customer[[#This Row],[Customer ID]],[1]!Name[ID],[1]!Name[Description(2)])</f>
        <v>CALTEX FERI JERANTUT</v>
      </c>
      <c r="D1249" s="38" t="str">
        <f>_xlfn.XLOOKUP(Customer[[#This Row],[Customer ID]],[1]!Address[ID],[1]!Address[PIC])</f>
        <v/>
      </c>
      <c r="E1249" s="38" t="str">
        <f>_xlfn.XLOOKUP(Customer[[#This Row],[Customer ID]],[1]!Address[ID],[1]!Address[Full Address])</f>
        <v>CALTEX FERI JERANTUTLOT 15642, BATU 6, JALAN KUANTAN,27150 JERANTUT, PAHANG</v>
      </c>
      <c r="F1249" s="12" t="s">
        <v>8222</v>
      </c>
      <c r="G1249" s="12" t="s">
        <v>8223</v>
      </c>
      <c r="H1249" s="24" t="s">
        <v>1637</v>
      </c>
      <c r="I1249" s="24" t="b">
        <f>ISNUMBER(VALUE(LEFT(Customer[[#This Row],[Address Line 3 (30 char)]],1)))</f>
        <v>0</v>
      </c>
      <c r="J1249" s="12" t="s">
        <v>339</v>
      </c>
      <c r="K1249" s="12">
        <v>27150</v>
      </c>
      <c r="L1249" s="12" t="s">
        <v>35</v>
      </c>
      <c r="M1249" s="13" t="e">
        <v>#N/A</v>
      </c>
      <c r="N1249" s="14" t="e">
        <v>#N/A</v>
      </c>
      <c r="O1249" s="14" t="e">
        <v>#N/A</v>
      </c>
      <c r="P1249" s="14" t="e">
        <v>#N/A</v>
      </c>
      <c r="Q1249" s="19" t="s">
        <v>8224</v>
      </c>
      <c r="R1249" s="15" t="s">
        <v>8225</v>
      </c>
      <c r="S1249" s="15" t="s">
        <v>37</v>
      </c>
      <c r="T1249" s="16" t="s">
        <v>38</v>
      </c>
      <c r="U1249" s="11" t="str">
        <f>_xlfn.XLOOKUP(Customer[[#This Row],[Customer ID]],[1]!Address[ID],[1]!Address[Phone No.(2)])</f>
        <v/>
      </c>
      <c r="V1249" s="11" t="str">
        <f>_xlfn.XLOOKUP(Customer[[#This Row],[Customer ID]],[1]!Address[ID],[1]!Address[Type])</f>
        <v>PETROMART</v>
      </c>
      <c r="W1249" s="11" t="str">
        <f>_xlfn.XLOOKUP(Customer[[#This Row],[Customer ID]],[1]!Address[ID],[1]!Address[CT])</f>
        <v>30 DAYS</v>
      </c>
      <c r="X1249" s="11" t="s">
        <v>39</v>
      </c>
      <c r="Y1249" s="17" t="s">
        <v>40</v>
      </c>
      <c r="Z1249" s="17" t="e">
        <f>_xlfn.XLOOKUP(Customer[[#This Row],[NewType]],$AF$36:$AF$54,$AG$36:$AG$54)</f>
        <v>#N/A</v>
      </c>
      <c r="AA1249" s="17" t="s">
        <v>8226</v>
      </c>
      <c r="AB1249" s="11" t="str">
        <f>_xlfn.XLOOKUP(Customer[[#This Row],[Customer ID]],[1]!Address[ID],[1]!Address[Subtype])</f>
        <v>XPRESS POINT</v>
      </c>
      <c r="AC1249" s="18" t="str">
        <f>_xlfn.XLOOKUP(Customer[[#This Row],[Customer ID]],[1]!Address[ID],[1]!Address[Zone])</f>
        <v>EAST COAST</v>
      </c>
    </row>
    <row r="1250" spans="1:29" x14ac:dyDescent="0.3">
      <c r="A1250" s="37" t="s">
        <v>8227</v>
      </c>
      <c r="B1250" s="38" t="str">
        <f>_xlfn.XLOOKUP(Customer[[#This Row],[Customer ID]],[1]!Name[ID],[1]!Name[Description(1)])</f>
        <v>URBAN MARKETPLACE (ALAMIMPIAN)</v>
      </c>
      <c r="C1250" s="38" t="str">
        <f>_xlfn.XLOOKUP(Customer[[#This Row],[Customer ID]],[1]!Name[ID],[1]!Name[Description(2)])</f>
        <v>(1009)</v>
      </c>
      <c r="D1250" s="38" t="str">
        <f>_xlfn.XLOOKUP(Customer[[#This Row],[Customer ID]],[1]!Address[ID],[1]!Address[PIC])</f>
        <v>NOOR AZREEN</v>
      </c>
      <c r="E1250" s="38" t="str">
        <f>_xlfn.XLOOKUP(Customer[[#This Row],[Customer ID]],[1]!Address[ID],[1]!Address[Full Address])</f>
        <v>R-1-01, GROUND FLOOR,LAKEPOINT CENTRAL 1JLN PANGLIMA HITAM 35/26,SEKSYEN 35, ALAM IMPIAN,40470 SHAH ALAM,SELANGOR</v>
      </c>
      <c r="F1250" s="12" t="s">
        <v>8228</v>
      </c>
      <c r="G1250" s="12" t="s">
        <v>8229</v>
      </c>
      <c r="H1250" s="12" t="s">
        <v>8230</v>
      </c>
      <c r="I1250" s="12" t="b">
        <f>ISNUMBER(VALUE(LEFT(Customer[[#This Row],[Address Line 3 (30 char)]],1)))</f>
        <v>0</v>
      </c>
      <c r="J1250" s="12" t="s">
        <v>172</v>
      </c>
      <c r="K1250" s="12">
        <v>40470</v>
      </c>
      <c r="L1250" s="12" t="s">
        <v>35</v>
      </c>
      <c r="M1250" s="13" t="e">
        <v>#N/A</v>
      </c>
      <c r="N1250" s="14" t="e">
        <v>#N/A</v>
      </c>
      <c r="O1250" s="14" t="e">
        <v>#N/A</v>
      </c>
      <c r="P1250" s="14" t="e">
        <v>#N/A</v>
      </c>
      <c r="Q1250" s="14" t="e">
        <v>#N/A</v>
      </c>
      <c r="R1250" s="15" t="s">
        <v>8219</v>
      </c>
      <c r="S1250" s="15" t="s">
        <v>5917</v>
      </c>
      <c r="T1250" s="16" t="s">
        <v>3477</v>
      </c>
      <c r="U1250" s="11" t="str">
        <f>_xlfn.XLOOKUP(Customer[[#This Row],[Customer ID]],[1]!Address[ID],[1]!Address[Phone No.(2)])</f>
        <v/>
      </c>
      <c r="V1250" s="11" t="str">
        <f>_xlfn.XLOOKUP(Customer[[#This Row],[Customer ID]],[1]!Address[ID],[1]!Address[Type])</f>
        <v>HM</v>
      </c>
      <c r="W1250" s="11" t="str">
        <f>_xlfn.XLOOKUP(Customer[[#This Row],[Customer ID]],[1]!Address[ID],[1]!Address[CT])</f>
        <v>60 DAYS</v>
      </c>
      <c r="X1250" s="11"/>
      <c r="Y1250" s="17" t="s">
        <v>5968</v>
      </c>
      <c r="Z1250" s="17" t="e">
        <f>_xlfn.XLOOKUP(Customer[[#This Row],[NewType]],$AF$36:$AF$54,$AG$36:$AG$54)</f>
        <v>#N/A</v>
      </c>
      <c r="AA1250" s="17" t="s">
        <v>8231</v>
      </c>
      <c r="AB1250" s="11" t="str">
        <f>_xlfn.XLOOKUP(Customer[[#This Row],[Customer ID]],[1]!Address[ID],[1]!Address[Subtype])</f>
        <v>URBAN RETAIL</v>
      </c>
      <c r="AC1250" s="18">
        <f>_xlfn.XLOOKUP(Customer[[#This Row],[Customer ID]],[1]!Address[ID],[1]!Address[Zone])</f>
        <v>0</v>
      </c>
    </row>
    <row r="1251" spans="1:29" x14ac:dyDescent="0.3">
      <c r="A1251" s="37" t="s">
        <v>8232</v>
      </c>
      <c r="B1251" s="38" t="str">
        <f>_xlfn.XLOOKUP(Customer[[#This Row],[Customer ID]],[1]!Name[ID],[1]!Name[Description(1)])</f>
        <v>URBAN MARKETPLACE (TRX 106)</v>
      </c>
      <c r="C1251" s="38" t="str">
        <f>_xlfn.XLOOKUP(Customer[[#This Row],[Customer ID]],[1]!Name[ID],[1]!Name[Description(2)])</f>
        <v>(8883)</v>
      </c>
      <c r="D1251" s="38" t="str">
        <f>_xlfn.XLOOKUP(Customer[[#This Row],[Customer ID]],[1]!Address[ID],[1]!Address[PIC])</f>
        <v>NOOR AZREEN</v>
      </c>
      <c r="E1251" s="38" t="str">
        <f>_xlfn.XLOOKUP(Customer[[#This Row],[Customer ID]],[1]!Address[ID],[1]!Address[Full Address])</f>
        <v>LOT G.21, G.22, G.23 &amp; G.23A,LEVEL GROUND MENARA EXCHANGE 106,LINGKARAN TRX, TRX 55188 KUALA LUMPUR</v>
      </c>
      <c r="F1251" s="12" t="s">
        <v>8233</v>
      </c>
      <c r="G1251" s="12" t="s">
        <v>8234</v>
      </c>
      <c r="H1251" s="12" t="s">
        <v>8235</v>
      </c>
      <c r="I1251" s="12" t="b">
        <f>ISNUMBER(VALUE(LEFT(Customer[[#This Row],[Address Line 3 (30 char)]],1)))</f>
        <v>0</v>
      </c>
      <c r="J1251" s="12" t="s">
        <v>34</v>
      </c>
      <c r="K1251" s="12">
        <v>55188</v>
      </c>
      <c r="L1251" s="12" t="s">
        <v>35</v>
      </c>
      <c r="M1251" s="13" t="e">
        <v>#N/A</v>
      </c>
      <c r="N1251" s="14" t="e">
        <v>#N/A</v>
      </c>
      <c r="O1251" s="14" t="e">
        <v>#N/A</v>
      </c>
      <c r="P1251" s="14" t="e">
        <v>#N/A</v>
      </c>
      <c r="Q1251" s="14" t="e">
        <v>#N/A</v>
      </c>
      <c r="R1251" s="15" t="s">
        <v>8219</v>
      </c>
      <c r="S1251" s="15" t="s">
        <v>5917</v>
      </c>
      <c r="T1251" s="16" t="s">
        <v>3477</v>
      </c>
      <c r="U1251" s="11" t="str">
        <f>_xlfn.XLOOKUP(Customer[[#This Row],[Customer ID]],[1]!Address[ID],[1]!Address[Phone No.(2)])</f>
        <v/>
      </c>
      <c r="V1251" s="11" t="str">
        <f>_xlfn.XLOOKUP(Customer[[#This Row],[Customer ID]],[1]!Address[ID],[1]!Address[Type])</f>
        <v>HM</v>
      </c>
      <c r="W1251" s="11" t="str">
        <f>_xlfn.XLOOKUP(Customer[[#This Row],[Customer ID]],[1]!Address[ID],[1]!Address[CT])</f>
        <v>60 DAYS</v>
      </c>
      <c r="X1251" s="11"/>
      <c r="Y1251" s="17" t="s">
        <v>5968</v>
      </c>
      <c r="Z1251" s="17" t="e">
        <f>_xlfn.XLOOKUP(Customer[[#This Row],[NewType]],$AF$36:$AF$54,$AG$36:$AG$54)</f>
        <v>#N/A</v>
      </c>
      <c r="AA1251" s="17" t="s">
        <v>8236</v>
      </c>
      <c r="AB1251" s="11" t="str">
        <f>_xlfn.XLOOKUP(Customer[[#This Row],[Customer ID]],[1]!Address[ID],[1]!Address[Subtype])</f>
        <v>URBAN RETAIL</v>
      </c>
      <c r="AC1251" s="18" t="str">
        <f>_xlfn.XLOOKUP(Customer[[#This Row],[Customer ID]],[1]!Address[ID],[1]!Address[Zone])</f>
        <v>CENTRAL</v>
      </c>
    </row>
    <row r="1252" spans="1:29" x14ac:dyDescent="0.3">
      <c r="A1252" s="37" t="s">
        <v>8237</v>
      </c>
      <c r="B1252" s="38" t="str">
        <f>_xlfn.XLOOKUP(Customer[[#This Row],[Customer ID]],[1]!Name[ID],[1]!Name[Description(1)])</f>
        <v>YIH LANGAT SDN BHD</v>
      </c>
      <c r="C1252" s="38" t="str">
        <f>_xlfn.XLOOKUP(Customer[[#This Row],[Customer ID]],[1]!Name[ID],[1]!Name[Description(2)])</f>
        <v>CALTEX TAMAN TAMBUN INDAH</v>
      </c>
      <c r="D1252" s="38" t="str">
        <f>_xlfn.XLOOKUP(Customer[[#This Row],[Customer ID]],[1]!Address[ID],[1]!Address[PIC])</f>
        <v/>
      </c>
      <c r="E1252" s="38" t="str">
        <f>_xlfn.XLOOKUP(Customer[[#This Row],[Customer ID]],[1]!Address[ID],[1]!Address[Full Address])</f>
        <v>CALTEX TAMAN TAMBUN INDAHLOT 7835, JALAN BUKIT TAMBUN14100 SIMPANG AMPATPULAU PINANG</v>
      </c>
      <c r="F1252" s="12" t="s">
        <v>8238</v>
      </c>
      <c r="G1252" s="12" t="s">
        <v>8239</v>
      </c>
      <c r="H1252" s="24" t="s">
        <v>8240</v>
      </c>
      <c r="I1252" s="24" t="b">
        <f>ISNUMBER(VALUE(LEFT(Customer[[#This Row],[Address Line 3 (30 char)]],1)))</f>
        <v>0</v>
      </c>
      <c r="J1252" s="12" t="s">
        <v>179</v>
      </c>
      <c r="K1252" s="12">
        <v>14100</v>
      </c>
      <c r="L1252" s="12" t="s">
        <v>35</v>
      </c>
      <c r="M1252" s="13" t="e">
        <v>#N/A</v>
      </c>
      <c r="N1252" s="14" t="e">
        <v>#N/A</v>
      </c>
      <c r="O1252" s="14" t="e">
        <v>#N/A</v>
      </c>
      <c r="P1252" s="14" t="e">
        <v>#N/A</v>
      </c>
      <c r="Q1252" s="14" t="e">
        <v>#N/A</v>
      </c>
      <c r="R1252" s="15" t="s">
        <v>8241</v>
      </c>
      <c r="S1252" s="15" t="s">
        <v>37</v>
      </c>
      <c r="T1252" s="16" t="s">
        <v>38</v>
      </c>
      <c r="U1252" s="11" t="str">
        <f>_xlfn.XLOOKUP(Customer[[#This Row],[Customer ID]],[1]!Address[ID],[1]!Address[Phone No.(2)])</f>
        <v/>
      </c>
      <c r="V1252" s="11" t="str">
        <f>_xlfn.XLOOKUP(Customer[[#This Row],[Customer ID]],[1]!Address[ID],[1]!Address[Type])</f>
        <v>PETROMART</v>
      </c>
      <c r="W1252" s="11" t="str">
        <f>_xlfn.XLOOKUP(Customer[[#This Row],[Customer ID]],[1]!Address[ID],[1]!Address[CT])</f>
        <v>30</v>
      </c>
      <c r="X1252" s="11" t="s">
        <v>39</v>
      </c>
      <c r="Y1252" s="17" t="s">
        <v>40</v>
      </c>
      <c r="Z1252" s="17" t="e">
        <f>_xlfn.XLOOKUP(Customer[[#This Row],[NewType]],$AF$36:$AF$54,$AG$36:$AG$54)</f>
        <v>#N/A</v>
      </c>
      <c r="AA1252" s="17" t="s">
        <v>8242</v>
      </c>
      <c r="AB1252" s="11" t="str">
        <f>_xlfn.XLOOKUP(Customer[[#This Row],[Customer ID]],[1]!Address[ID],[1]!Address[Subtype])</f>
        <v>XPRESS POINT</v>
      </c>
      <c r="AC1252" s="18" t="str">
        <f>_xlfn.XLOOKUP(Customer[[#This Row],[Customer ID]],[1]!Address[ID],[1]!Address[Zone])</f>
        <v>NORTH</v>
      </c>
    </row>
    <row r="1253" spans="1:29" x14ac:dyDescent="0.3">
      <c r="A1253" s="37" t="s">
        <v>8243</v>
      </c>
      <c r="B1253" s="38" t="str">
        <f>_xlfn.XLOOKUP(Customer[[#This Row],[Customer ID]],[1]!Name[ID],[1]!Name[Description(1)])</f>
        <v>CHAILENG PARK PHARMACY SDN BHD</v>
      </c>
      <c r="C1253" s="38" t="str">
        <f>_xlfn.XLOOKUP(Customer[[#This Row],[Customer ID]],[1]!Name[ID],[1]!Name[Description(2)])</f>
        <v/>
      </c>
      <c r="D1253" s="38" t="str">
        <f>_xlfn.XLOOKUP(Customer[[#This Row],[Customer ID]],[1]!Address[ID],[1]!Address[PIC])</f>
        <v/>
      </c>
      <c r="E1253" s="38" t="str">
        <f>_xlfn.XLOOKUP(Customer[[#This Row],[Customer ID]],[1]!Address[ID],[1]!Address[Full Address])</f>
        <v>NO. 35, MEDAN KURAU 1,TAMAN CHAI LENG,13700 PERAI, PULAU PINANG</v>
      </c>
      <c r="F1253" s="12" t="s">
        <v>8244</v>
      </c>
      <c r="G1253" s="12" t="s">
        <v>8245</v>
      </c>
      <c r="H1253" s="24" t="s">
        <v>8246</v>
      </c>
      <c r="I1253" s="24" t="b">
        <f>ISNUMBER(VALUE(LEFT(Customer[[#This Row],[Address Line 3 (30 char)]],1)))</f>
        <v>0</v>
      </c>
      <c r="J1253" s="12" t="s">
        <v>179</v>
      </c>
      <c r="K1253" s="12">
        <v>13700</v>
      </c>
      <c r="L1253" s="12" t="s">
        <v>35</v>
      </c>
      <c r="M1253" s="13">
        <v>201501002553</v>
      </c>
      <c r="N1253" s="14" t="s">
        <v>8247</v>
      </c>
      <c r="O1253" s="14" t="e">
        <v>#N/A</v>
      </c>
      <c r="P1253" s="14" t="e">
        <v>#N/A</v>
      </c>
      <c r="Q1253" s="19" t="s">
        <v>8248</v>
      </c>
      <c r="R1253" s="15" t="s">
        <v>8249</v>
      </c>
      <c r="S1253" s="15" t="s">
        <v>3476</v>
      </c>
      <c r="T1253" s="16" t="s">
        <v>3477</v>
      </c>
      <c r="U1253" s="11" t="str">
        <f>_xlfn.XLOOKUP(Customer[[#This Row],[Customer ID]],[1]!Address[ID],[1]!Address[Phone No.(2)])</f>
        <v/>
      </c>
      <c r="V1253" s="11" t="str">
        <f>_xlfn.XLOOKUP(Customer[[#This Row],[Customer ID]],[1]!Address[ID],[1]!Address[Type])</f>
        <v>PH</v>
      </c>
      <c r="W1253" s="11" t="str">
        <f>_xlfn.XLOOKUP(Customer[[#This Row],[Customer ID]],[1]!Address[ID],[1]!Address[CT])</f>
        <v>CASH</v>
      </c>
      <c r="X1253" s="11"/>
      <c r="Y1253" s="17" t="s">
        <v>5955</v>
      </c>
      <c r="Z1253" s="17" t="e">
        <f>_xlfn.XLOOKUP(Customer[[#This Row],[NewType]],$AF$36:$AF$54,$AG$36:$AG$54)</f>
        <v>#N/A</v>
      </c>
      <c r="AA1253" s="17" t="s">
        <v>8250</v>
      </c>
      <c r="AB1253" s="11" t="str">
        <f>_xlfn.XLOOKUP(Customer[[#This Row],[Customer ID]],[1]!Address[ID],[1]!Address[Subtype])</f>
        <v>CHAILENG</v>
      </c>
      <c r="AC1253" s="18" t="str">
        <f>_xlfn.XLOOKUP(Customer[[#This Row],[Customer ID]],[1]!Address[ID],[1]!Address[Zone])</f>
        <v>NORTH</v>
      </c>
    </row>
    <row r="1254" spans="1:29" x14ac:dyDescent="0.3">
      <c r="A1254" s="37" t="s">
        <v>8251</v>
      </c>
      <c r="B1254" s="38" t="str">
        <f>_xlfn.XLOOKUP(Customer[[#This Row],[Customer ID]],[1]!Name[ID],[1]!Name[Description(1)])</f>
        <v>MR KIE ENTERPRISE</v>
      </c>
      <c r="C1254" s="38" t="str">
        <f>_xlfn.XLOOKUP(Customer[[#This Row],[Customer ID]],[1]!Name[ID],[1]!Name[Description(2)])</f>
        <v>CANTUMAN INDAH ENTER</v>
      </c>
      <c r="D1254" s="38" t="str">
        <f>_xlfn.XLOOKUP(Customer[[#This Row],[Customer ID]],[1]!Address[ID],[1]!Address[PIC])</f>
        <v>ROHANA BINTI MO</v>
      </c>
      <c r="E1254" s="38" t="str">
        <f>_xlfn.XLOOKUP(Customer[[#This Row],[Customer ID]],[1]!Address[ID],[1]!Address[Full Address])</f>
        <v>LOT 732, MUKIM 21,KAMPUNG PADANG IBU,DAERAH KUBANG SEMANG,14400 PULAU PINANG</v>
      </c>
      <c r="F1254" s="12" t="s">
        <v>8252</v>
      </c>
      <c r="G1254" s="12" t="s">
        <v>8253</v>
      </c>
      <c r="H1254" s="12" t="s">
        <v>8254</v>
      </c>
      <c r="I1254" s="12" t="b">
        <f>ISNUMBER(VALUE(LEFT(Customer[[#This Row],[Address Line 3 (30 char)]],1)))</f>
        <v>0</v>
      </c>
      <c r="J1254" s="12" t="s">
        <v>179</v>
      </c>
      <c r="K1254" s="12">
        <v>14400</v>
      </c>
      <c r="L1254" s="12" t="s">
        <v>35</v>
      </c>
      <c r="M1254" s="13">
        <v>202103309435</v>
      </c>
      <c r="N1254" s="14" t="s">
        <v>8255</v>
      </c>
      <c r="O1254" s="14" t="e">
        <v>#N/A</v>
      </c>
      <c r="P1254" s="14" t="e">
        <v>#N/A</v>
      </c>
      <c r="Q1254" s="19" t="s">
        <v>8256</v>
      </c>
      <c r="R1254" s="15" t="s">
        <v>8257</v>
      </c>
      <c r="S1254" s="15" t="s">
        <v>74</v>
      </c>
      <c r="T1254" s="16" t="s">
        <v>3477</v>
      </c>
      <c r="U1254" s="11" t="str">
        <f>_xlfn.XLOOKUP(Customer[[#This Row],[Customer ID]],[1]!Address[ID],[1]!Address[Phone No.(2)])</f>
        <v/>
      </c>
      <c r="V1254" s="11" t="str">
        <f>_xlfn.XLOOKUP(Customer[[#This Row],[Customer ID]],[1]!Address[ID],[1]!Address[Type])</f>
        <v>CM</v>
      </c>
      <c r="W1254" s="11" t="str">
        <f>_xlfn.XLOOKUP(Customer[[#This Row],[Customer ID]],[1]!Address[ID],[1]!Address[CT])</f>
        <v>40 DAYS</v>
      </c>
      <c r="X1254" s="11"/>
      <c r="Y1254" s="17" t="s">
        <v>5918</v>
      </c>
      <c r="Z1254" s="17" t="e">
        <f>_xlfn.XLOOKUP(Customer[[#This Row],[NewType]],$AF$36:$AF$54,$AG$36:$AG$54)</f>
        <v>#N/A</v>
      </c>
      <c r="AA1254" s="17" t="s">
        <v>8258</v>
      </c>
      <c r="AB1254" s="11" t="str">
        <f>_xlfn.XLOOKUP(Customer[[#This Row],[Customer ID]],[1]!Address[ID],[1]!Address[Subtype])</f>
        <v>MR KIE</v>
      </c>
      <c r="AC1254" s="18" t="str">
        <f>_xlfn.XLOOKUP(Customer[[#This Row],[Customer ID]],[1]!Address[ID],[1]!Address[Zone])</f>
        <v>NORTH</v>
      </c>
    </row>
    <row r="1255" spans="1:29" x14ac:dyDescent="0.3">
      <c r="A1255" s="37" t="s">
        <v>8259</v>
      </c>
      <c r="B1255" s="38" t="str">
        <f>_xlfn.XLOOKUP(Customer[[#This Row],[Customer ID]],[1]!Name[ID],[1]!Name[Description(1)])</f>
        <v>GUAN SENG RESTAURANT</v>
      </c>
      <c r="C1255" s="38" t="str">
        <f>_xlfn.XLOOKUP(Customer[[#This Row],[Customer ID]],[1]!Name[ID],[1]!Name[Description(2)])</f>
        <v/>
      </c>
      <c r="D1255" s="38" t="str">
        <f>_xlfn.XLOOKUP(Customer[[#This Row],[Customer ID]],[1]!Address[ID],[1]!Address[PIC])</f>
        <v/>
      </c>
      <c r="E1255" s="38" t="str">
        <f>_xlfn.XLOOKUP(Customer[[#This Row],[Customer ID]],[1]!Address[ID],[1]!Address[Full Address])</f>
        <v>NO. 22 &amp; 24,GROUND FLOOR &amp; 1ST FLOOR,LORONG TERAS JAYA 7,KAWASAN PERNIAGAAN TERAS JAYA,13400 BUTTERWORTH,PULAU PINANG</v>
      </c>
      <c r="F1255" s="12" t="s">
        <v>8260</v>
      </c>
      <c r="G1255" s="12" t="s">
        <v>8261</v>
      </c>
      <c r="H1255" s="12" t="s">
        <v>8262</v>
      </c>
      <c r="I1255" s="12" t="b">
        <f>ISNUMBER(VALUE(LEFT(Customer[[#This Row],[Address Line 3 (30 char)]],1)))</f>
        <v>0</v>
      </c>
      <c r="J1255" s="12" t="s">
        <v>179</v>
      </c>
      <c r="K1255" s="12">
        <v>13400</v>
      </c>
      <c r="L1255" s="12" t="s">
        <v>35</v>
      </c>
      <c r="M1255" s="13" t="e">
        <v>#N/A</v>
      </c>
      <c r="N1255" s="14" t="e">
        <v>#N/A</v>
      </c>
      <c r="O1255" s="14" t="e">
        <v>#N/A</v>
      </c>
      <c r="P1255" s="14" t="e">
        <v>#N/A</v>
      </c>
      <c r="Q1255" s="14" t="e">
        <v>#N/A</v>
      </c>
      <c r="R1255" s="15" t="s">
        <v>8263</v>
      </c>
      <c r="S1255" s="15" t="s">
        <v>5925</v>
      </c>
      <c r="T1255" s="16" t="s">
        <v>3477</v>
      </c>
      <c r="U1255" s="11" t="str">
        <f>_xlfn.XLOOKUP(Customer[[#This Row],[Customer ID]],[1]!Address[ID],[1]!Address[Phone No.(2)])</f>
        <v/>
      </c>
      <c r="V1255" s="11" t="str">
        <f>_xlfn.XLOOKUP(Customer[[#This Row],[Customer ID]],[1]!Address[ID],[1]!Address[Type])</f>
        <v>CAFE</v>
      </c>
      <c r="W1255" s="11" t="str">
        <f>_xlfn.XLOOKUP(Customer[[#This Row],[Customer ID]],[1]!Address[ID],[1]!Address[CT])</f>
        <v>30 DAYS</v>
      </c>
      <c r="X1255" s="11"/>
      <c r="Y1255" s="17" t="s">
        <v>5926</v>
      </c>
      <c r="Z1255" s="17" t="e">
        <f>_xlfn.XLOOKUP(Customer[[#This Row],[NewType]],$AF$36:$AF$54,$AG$36:$AG$54)</f>
        <v>#N/A</v>
      </c>
      <c r="AA1255" s="17" t="s">
        <v>8264</v>
      </c>
      <c r="AB1255" s="11" t="str">
        <f>_xlfn.XLOOKUP(Customer[[#This Row],[Customer ID]],[1]!Address[ID],[1]!Address[Subtype])</f>
        <v>GUAN SENG</v>
      </c>
      <c r="AC1255" s="18" t="str">
        <f>_xlfn.XLOOKUP(Customer[[#This Row],[Customer ID]],[1]!Address[ID],[1]!Address[Zone])</f>
        <v>NORTH</v>
      </c>
    </row>
    <row r="1256" spans="1:29" x14ac:dyDescent="0.3">
      <c r="A1256" s="37" t="s">
        <v>8265</v>
      </c>
      <c r="B1256" s="38" t="str">
        <f>_xlfn.XLOOKUP(Customer[[#This Row],[Customer ID]],[1]!Name[ID],[1]!Name[Description(1)])</f>
        <v>ZUZU GLOBAL ENTERPRISE (ARB WAY)</v>
      </c>
      <c r="C1256" s="38" t="str">
        <f>_xlfn.XLOOKUP(Customer[[#This Row],[Customer ID]],[1]!Name[ID],[1]!Name[Description(2)])</f>
        <v/>
      </c>
      <c r="D1256" s="38" t="str">
        <f>_xlfn.XLOOKUP(Customer[[#This Row],[Customer ID]],[1]!Address[ID],[1]!Address[PIC])</f>
        <v/>
      </c>
      <c r="E1256" s="38" t="str">
        <f>_xlfn.XLOOKUP(Customer[[#This Row],[Customer ID]],[1]!Address[ID],[1]!Address[Full Address])</f>
        <v>151-127,JALAN 2/3A PUSAT BANDAR UTARA SELAYANG,68100 BATU CAVES,SELANGOPR</v>
      </c>
      <c r="F1256" s="12" t="s">
        <v>8266</v>
      </c>
      <c r="G1256" s="12" t="s">
        <v>8267</v>
      </c>
      <c r="H1256" s="24" t="s">
        <v>5565</v>
      </c>
      <c r="I1256" s="24" t="b">
        <f>ISNUMBER(VALUE(LEFT(Customer[[#This Row],[Address Line 3 (30 char)]],1)))</f>
        <v>0</v>
      </c>
      <c r="J1256" s="12" t="s">
        <v>1907</v>
      </c>
      <c r="K1256" s="12">
        <v>68100</v>
      </c>
      <c r="L1256" s="12" t="s">
        <v>35</v>
      </c>
      <c r="M1256" s="13" t="e">
        <v>#N/A</v>
      </c>
      <c r="N1256" s="14" t="e">
        <v>#N/A</v>
      </c>
      <c r="O1256" s="14" t="e">
        <v>#N/A</v>
      </c>
      <c r="P1256" s="14" t="e">
        <v>#N/A</v>
      </c>
      <c r="Q1256" s="14" t="e">
        <v>#N/A</v>
      </c>
      <c r="R1256" s="15" t="s">
        <v>8268</v>
      </c>
      <c r="S1256" s="15" t="s">
        <v>5917</v>
      </c>
      <c r="T1256" s="16" t="s">
        <v>3477</v>
      </c>
      <c r="U1256" s="11" t="str">
        <f>_xlfn.XLOOKUP(Customer[[#This Row],[Customer ID]],[1]!Address[ID],[1]!Address[Phone No.(2)])</f>
        <v/>
      </c>
      <c r="V1256" s="11" t="str">
        <f>_xlfn.XLOOKUP(Customer[[#This Row],[Customer ID]],[1]!Address[ID],[1]!Address[Type])</f>
        <v>CM</v>
      </c>
      <c r="W1256" s="11" t="str">
        <f>_xlfn.XLOOKUP(Customer[[#This Row],[Customer ID]],[1]!Address[ID],[1]!Address[CT])</f>
        <v>60 DAYS</v>
      </c>
      <c r="X1256" s="11"/>
      <c r="Y1256" s="17" t="s">
        <v>5918</v>
      </c>
      <c r="Z1256" s="17" t="e">
        <f>_xlfn.XLOOKUP(Customer[[#This Row],[NewType]],$AF$36:$AF$54,$AG$36:$AG$54)</f>
        <v>#N/A</v>
      </c>
      <c r="AA1256" s="17" t="s">
        <v>8269</v>
      </c>
      <c r="AB1256" s="11" t="str">
        <f>_xlfn.XLOOKUP(Customer[[#This Row],[Customer ID]],[1]!Address[ID],[1]!Address[Subtype])</f>
        <v>ZUZU GLOBAL</v>
      </c>
      <c r="AC1256" s="18">
        <f>_xlfn.XLOOKUP(Customer[[#This Row],[Customer ID]],[1]!Address[ID],[1]!Address[Zone])</f>
        <v>0</v>
      </c>
    </row>
    <row r="1257" spans="1:29" x14ac:dyDescent="0.3">
      <c r="A1257" s="37" t="s">
        <v>8270</v>
      </c>
      <c r="B1257" s="38" t="str">
        <f>_xlfn.XLOOKUP(Customer[[#This Row],[Customer ID]],[1]!Name[ID],[1]!Name[Description(1)])</f>
        <v>AZHAR BIN AHMAD</v>
      </c>
      <c r="C1257" s="38" t="str">
        <f>_xlfn.XLOOKUP(Customer[[#This Row],[Customer ID]],[1]!Name[ID],[1]!Name[Description(2)])</f>
        <v>(PRODUCTION KILANG AIR)</v>
      </c>
      <c r="D1257" s="38" t="str">
        <f>_xlfn.XLOOKUP(Customer[[#This Row],[Customer ID]],[1]!Address[ID],[1]!Address[PIC])</f>
        <v>AZHAR</v>
      </c>
      <c r="E1257" s="38" t="str">
        <f>_xlfn.XLOOKUP(Customer[[#This Row],[Customer ID]],[1]!Address[ID],[1]!Address[Full Address])</f>
        <v>BATU 13 1/2 JALAN LINSUM, RANTAU71200 NEGERI SEMBILAN</v>
      </c>
      <c r="F1257" s="12" t="s">
        <v>8271</v>
      </c>
      <c r="G1257" s="12" t="s">
        <v>8272</v>
      </c>
      <c r="H1257" s="12" t="s">
        <v>6428</v>
      </c>
      <c r="I1257" s="12" t="b">
        <f>ISNUMBER(VALUE(LEFT(Customer[[#This Row],[Address Line 3 (30 char)]],1)))</f>
        <v>0</v>
      </c>
      <c r="J1257" s="12" t="s">
        <v>203</v>
      </c>
      <c r="K1257" s="12">
        <v>71200</v>
      </c>
      <c r="L1257" s="12" t="s">
        <v>35</v>
      </c>
      <c r="M1257" s="13" t="e">
        <v>#N/A</v>
      </c>
      <c r="N1257" s="14" t="e">
        <v>#N/A</v>
      </c>
      <c r="O1257" s="14" t="e">
        <v>#N/A</v>
      </c>
      <c r="P1257" s="14" t="e">
        <v>#N/A</v>
      </c>
      <c r="Q1257" s="19" t="s">
        <v>8273</v>
      </c>
      <c r="R1257" s="15" t="s">
        <v>8274</v>
      </c>
      <c r="S1257" s="16" t="s">
        <v>89</v>
      </c>
      <c r="T1257" s="16" t="s">
        <v>89</v>
      </c>
      <c r="U1257" s="11" t="str">
        <f>_xlfn.XLOOKUP(Customer[[#This Row],[Customer ID]],[1]!Address[ID],[1]!Address[Phone No.(2)])</f>
        <v/>
      </c>
      <c r="V1257" s="11" t="str">
        <f>_xlfn.XLOOKUP(Customer[[#This Row],[Customer ID]],[1]!Address[ID],[1]!Address[Type])</f>
        <v>WALK IN</v>
      </c>
      <c r="W1257" s="11" t="str">
        <f>_xlfn.XLOOKUP(Customer[[#This Row],[Customer ID]],[1]!Address[ID],[1]!Address[CT])</f>
        <v/>
      </c>
      <c r="X1257" s="11"/>
      <c r="Y1257" s="17" t="s">
        <v>6284</v>
      </c>
      <c r="Z1257" s="17" t="e">
        <f>_xlfn.XLOOKUP(Customer[[#This Row],[NewType]],$AF$36:$AF$54,$AG$36:$AG$54)</f>
        <v>#N/A</v>
      </c>
      <c r="AA1257" s="17" t="s">
        <v>8275</v>
      </c>
      <c r="AB1257" s="11" t="str">
        <f>_xlfn.XLOOKUP(Customer[[#This Row],[Customer ID]],[1]!Address[ID],[1]!Address[Subtype])</f>
        <v>STAFF</v>
      </c>
      <c r="AC1257" s="18" t="str">
        <f>_xlfn.XLOOKUP(Customer[[#This Row],[Customer ID]],[1]!Address[ID],[1]!Address[Zone])</f>
        <v>CENTRAL</v>
      </c>
    </row>
    <row r="1258" spans="1:29" x14ac:dyDescent="0.3">
      <c r="A1258" s="37" t="s">
        <v>8276</v>
      </c>
      <c r="B1258" s="38" t="str">
        <f>_xlfn.XLOOKUP(Customer[[#This Row],[Customer ID]],[1]!Name[ID],[1]!Name[Description(1)])</f>
        <v>GULA BAKERY</v>
      </c>
      <c r="C1258" s="38" t="str">
        <f>_xlfn.XLOOKUP(Customer[[#This Row],[Customer ID]],[1]!Name[ID],[1]!Name[Description(2)])</f>
        <v/>
      </c>
      <c r="D1258" s="38" t="str">
        <f>_xlfn.XLOOKUP(Customer[[#This Row],[Customer ID]],[1]!Address[ID],[1]!Address[PIC])</f>
        <v/>
      </c>
      <c r="E1258" s="38" t="str">
        <f>_xlfn.XLOOKUP(Customer[[#This Row],[Customer ID]],[1]!Address[ID],[1]!Address[Full Address])</f>
        <v>NO 1. HENTIAN LADANG BIKAM ARAH UTARA,LEBUHRAYA UTARA SELATAN,35600 SUNGKAI,PERAK</v>
      </c>
      <c r="F1258" s="12" t="s">
        <v>8277</v>
      </c>
      <c r="G1258" s="12" t="s">
        <v>8278</v>
      </c>
      <c r="H1258" s="12" t="s">
        <v>8279</v>
      </c>
      <c r="I1258" s="12" t="b">
        <f>ISNUMBER(VALUE(LEFT(Customer[[#This Row],[Address Line 3 (30 char)]],1)))</f>
        <v>0</v>
      </c>
      <c r="J1258" s="12" t="s">
        <v>242</v>
      </c>
      <c r="K1258" s="12">
        <v>35600</v>
      </c>
      <c r="L1258" s="12" t="s">
        <v>35</v>
      </c>
      <c r="M1258" s="13" t="e">
        <v>#N/A</v>
      </c>
      <c r="N1258" s="14" t="e">
        <v>#N/A</v>
      </c>
      <c r="O1258" s="14" t="e">
        <v>#N/A</v>
      </c>
      <c r="P1258" s="14" t="e">
        <v>#N/A</v>
      </c>
      <c r="Q1258" s="14" t="e">
        <v>#N/A</v>
      </c>
      <c r="R1258" s="15" t="s">
        <v>8280</v>
      </c>
      <c r="S1258" s="15" t="s">
        <v>5925</v>
      </c>
      <c r="T1258" s="16" t="s">
        <v>3477</v>
      </c>
      <c r="U1258" s="11" t="str">
        <f>_xlfn.XLOOKUP(Customer[[#This Row],[Customer ID]],[1]!Address[ID],[1]!Address[Phone No.(2)])</f>
        <v/>
      </c>
      <c r="V1258" s="11" t="str">
        <f>_xlfn.XLOOKUP(Customer[[#This Row],[Customer ID]],[1]!Address[ID],[1]!Address[Type])</f>
        <v>CAFE</v>
      </c>
      <c r="W1258" s="11" t="str">
        <f>_xlfn.XLOOKUP(Customer[[#This Row],[Customer ID]],[1]!Address[ID],[1]!Address[CT])</f>
        <v>30 DAYS</v>
      </c>
      <c r="X1258" s="11"/>
      <c r="Y1258" s="17" t="s">
        <v>5926</v>
      </c>
      <c r="Z1258" s="17" t="e">
        <f>_xlfn.XLOOKUP(Customer[[#This Row],[NewType]],$AF$36:$AF$54,$AG$36:$AG$54)</f>
        <v>#N/A</v>
      </c>
      <c r="AA1258" s="17" t="s">
        <v>8281</v>
      </c>
      <c r="AB1258" s="11" t="str">
        <f>_xlfn.XLOOKUP(Customer[[#This Row],[Customer ID]],[1]!Address[ID],[1]!Address[Subtype])</f>
        <v>PLUS</v>
      </c>
      <c r="AC1258" s="18" t="str">
        <f>_xlfn.XLOOKUP(Customer[[#This Row],[Customer ID]],[1]!Address[ID],[1]!Address[Zone])</f>
        <v>NORTH</v>
      </c>
    </row>
    <row r="1259" spans="1:29" x14ac:dyDescent="0.3">
      <c r="A1259" s="10" t="s">
        <v>8282</v>
      </c>
      <c r="B1259" s="11" t="str">
        <f>_xlfn.XLOOKUP(Customer[[#This Row],[Customer ID]],[1]!Name[ID],[1]!Name[Description(1)])</f>
        <v>RAHMAN MD YASSIN (HJ RAHMAN)</v>
      </c>
      <c r="C1259" s="38" t="str">
        <f>_xlfn.XLOOKUP(Customer[[#This Row],[Customer ID]],[1]!Name[ID],[1]!Name[Description(2)])</f>
        <v/>
      </c>
      <c r="D1259" s="38" t="str">
        <f>_xlfn.XLOOKUP(Customer[[#This Row],[Customer ID]],[1]!Address[ID],[1]!Address[PIC])</f>
        <v>HJ RAHMAN</v>
      </c>
      <c r="E1259" s="38" t="str">
        <f>_xlfn.XLOOKUP(Customer[[#This Row],[Customer ID]],[1]!Address[ID],[1]!Address[Full Address])</f>
        <v>379, JLN 11, TMN LAVENDER HEIGHTSENAWANG</v>
      </c>
      <c r="F1259" s="12" t="s">
        <v>8283</v>
      </c>
      <c r="G1259" s="12" t="s">
        <v>8284</v>
      </c>
      <c r="H1259" s="12" t="s">
        <v>3106</v>
      </c>
      <c r="I1259" s="12" t="b">
        <f>ISNUMBER(VALUE(LEFT(Customer[[#This Row],[Address Line 3 (30 char)]],1)))</f>
        <v>0</v>
      </c>
      <c r="J1259" s="12" t="s">
        <v>203</v>
      </c>
      <c r="K1259" s="12">
        <v>70400</v>
      </c>
      <c r="L1259" s="12" t="s">
        <v>35</v>
      </c>
      <c r="M1259" s="13" t="e">
        <v>#N/A</v>
      </c>
      <c r="N1259" s="14" t="e">
        <v>#N/A</v>
      </c>
      <c r="O1259" s="14" t="e">
        <v>#N/A</v>
      </c>
      <c r="P1259" s="14" t="e">
        <v>#N/A</v>
      </c>
      <c r="Q1259" s="14" t="e">
        <v>#N/A</v>
      </c>
      <c r="R1259" s="15" t="s">
        <v>8285</v>
      </c>
      <c r="S1259" s="15" t="s">
        <v>4271</v>
      </c>
      <c r="T1259" s="16" t="s">
        <v>89</v>
      </c>
      <c r="U1259" s="11" t="str">
        <f>_xlfn.XLOOKUP(Customer[[#This Row],[Customer ID]],[1]!Address[ID],[1]!Address[Phone No.(2)])</f>
        <v/>
      </c>
      <c r="V1259" s="11" t="str">
        <f>_xlfn.XLOOKUP(Customer[[#This Row],[Customer ID]],[1]!Address[ID],[1]!Address[Type])</f>
        <v>SOCMED</v>
      </c>
      <c r="W1259" s="11" t="str">
        <f>_xlfn.XLOOKUP(Customer[[#This Row],[Customer ID]],[1]!Address[ID],[1]!Address[CT])</f>
        <v/>
      </c>
      <c r="X1259" s="11"/>
      <c r="Y1259" s="17" t="s">
        <v>90</v>
      </c>
      <c r="Z1259" s="17" t="e">
        <f>_xlfn.XLOOKUP(Customer[[#This Row],[NewType]],$AF$36:$AF$54,$AG$36:$AG$54)</f>
        <v>#N/A</v>
      </c>
      <c r="AA1259" s="17" t="s">
        <v>8286</v>
      </c>
      <c r="AB1259" s="11" t="str">
        <f>_xlfn.XLOOKUP(Customer[[#This Row],[Customer ID]],[1]!Address[ID],[1]!Address[Subtype])</f>
        <v>WHATSAPP</v>
      </c>
      <c r="AC1259" s="18" t="str">
        <f>_xlfn.XLOOKUP(Customer[[#This Row],[Customer ID]],[1]!Address[ID],[1]!Address[Zone])</f>
        <v>CENTRAL</v>
      </c>
    </row>
    <row r="1260" spans="1:29" x14ac:dyDescent="0.3">
      <c r="A1260" s="37" t="s">
        <v>8287</v>
      </c>
      <c r="B1260" s="38" t="str">
        <f>_xlfn.XLOOKUP(Customer[[#This Row],[Customer ID]],[1]!Name[ID],[1]!Name[Description(1)])</f>
        <v>ZURIYANA</v>
      </c>
      <c r="C1260" s="38" t="str">
        <f>_xlfn.XLOOKUP(Customer[[#This Row],[Customer ID]],[1]!Name[ID],[1]!Name[Description(2)])</f>
        <v>ADIPOLABS</v>
      </c>
      <c r="D1260" s="38" t="str">
        <f>_xlfn.XLOOKUP(Customer[[#This Row],[Customer ID]],[1]!Address[ID],[1]!Address[PIC])</f>
        <v/>
      </c>
      <c r="E1260" s="38" t="str">
        <f>_xlfn.XLOOKUP(Customer[[#This Row],[Customer ID]],[1]!Address[ID],[1]!Address[Full Address])</f>
        <v>NO 31, SECOND FLOOR, JALAN PJU 5/6,KOTA DAMANSARA,47810 PETALING JAYA, SELANGOR</v>
      </c>
      <c r="F1260" s="12" t="s">
        <v>8288</v>
      </c>
      <c r="G1260" s="12" t="s">
        <v>8289</v>
      </c>
      <c r="H1260" s="12" t="s">
        <v>8290</v>
      </c>
      <c r="I1260" s="12" t="b">
        <f>ISNUMBER(VALUE(LEFT(Customer[[#This Row],[Address Line 3 (30 char)]],1)))</f>
        <v>0</v>
      </c>
      <c r="J1260" s="12" t="s">
        <v>172</v>
      </c>
      <c r="K1260" s="12">
        <v>47810</v>
      </c>
      <c r="L1260" s="12" t="s">
        <v>35</v>
      </c>
      <c r="M1260" s="13" t="e">
        <v>#N/A</v>
      </c>
      <c r="N1260" s="14" t="e">
        <v>#N/A</v>
      </c>
      <c r="O1260" s="14" t="e">
        <v>#N/A</v>
      </c>
      <c r="P1260" s="14" t="e">
        <v>#N/A</v>
      </c>
      <c r="Q1260" s="14" t="e">
        <v>#N/A</v>
      </c>
      <c r="R1260" s="15" t="s">
        <v>8291</v>
      </c>
      <c r="S1260" s="15" t="s">
        <v>88</v>
      </c>
      <c r="T1260" s="16" t="s">
        <v>89</v>
      </c>
      <c r="U1260" s="11" t="str">
        <f>_xlfn.XLOOKUP(Customer[[#This Row],[Customer ID]],[1]!Address[ID],[1]!Address[Phone No.(2)])</f>
        <v/>
      </c>
      <c r="V1260" s="11" t="str">
        <f>_xlfn.XLOOKUP(Customer[[#This Row],[Customer ID]],[1]!Address[ID],[1]!Address[Type])</f>
        <v>SOCMED</v>
      </c>
      <c r="W1260" s="11" t="str">
        <f>_xlfn.XLOOKUP(Customer[[#This Row],[Customer ID]],[1]!Address[ID],[1]!Address[CT])</f>
        <v/>
      </c>
      <c r="X1260" s="11"/>
      <c r="Y1260" s="17" t="s">
        <v>90</v>
      </c>
      <c r="Z1260" s="17" t="e">
        <f>_xlfn.XLOOKUP(Customer[[#This Row],[NewType]],$AF$36:$AF$54,$AG$36:$AG$54)</f>
        <v>#N/A</v>
      </c>
      <c r="AA1260" s="17" t="s">
        <v>8292</v>
      </c>
      <c r="AB1260" s="11" t="str">
        <f>_xlfn.XLOOKUP(Customer[[#This Row],[Customer ID]],[1]!Address[ID],[1]!Address[Subtype])</f>
        <v>ONLINE ROS</v>
      </c>
      <c r="AC1260" s="18" t="str">
        <f>_xlfn.XLOOKUP(Customer[[#This Row],[Customer ID]],[1]!Address[ID],[1]!Address[Zone])</f>
        <v>SOUTH</v>
      </c>
    </row>
    <row r="1261" spans="1:29" x14ac:dyDescent="0.3">
      <c r="A1261" s="37" t="s">
        <v>8293</v>
      </c>
      <c r="B1261" s="38" t="str">
        <f>_xlfn.XLOOKUP(Customer[[#This Row],[Customer ID]],[1]!Name[ID],[1]!Name[Description(1)])</f>
        <v>FAIZ MART FRESH MART</v>
      </c>
      <c r="C1261" s="38" t="str">
        <f>_xlfn.XLOOKUP(Customer[[#This Row],[Customer ID]],[1]!Name[ID],[1]!Name[Description(2)])</f>
        <v>FAIZ SINARAN ENTERPRISE</v>
      </c>
      <c r="D1261" s="38" t="str">
        <f>_xlfn.XLOOKUP(Customer[[#This Row],[Customer ID]],[1]!Address[ID],[1]!Address[PIC])</f>
        <v/>
      </c>
      <c r="E1261" s="38" t="str">
        <f>_xlfn.XLOOKUP(Customer[[#This Row],[Customer ID]],[1]!Address[ID],[1]!Address[Full Address])</f>
        <v>FAIZ SINARAN ENTERPRISE,NO 1 TINGKAT BAWAH LINTANG MAJU 1,TAMAN SERAI MAJU, 34300BAGAN SERAI PERAK</v>
      </c>
      <c r="F1261" s="41" t="s">
        <v>8294</v>
      </c>
      <c r="G1261" s="12" t="s">
        <v>8295</v>
      </c>
      <c r="H1261" s="12" t="s">
        <v>8296</v>
      </c>
      <c r="I1261" s="12" t="b">
        <f>ISNUMBER(VALUE(LEFT(Customer[[#This Row],[Address Line 3 (30 char)]],1)))</f>
        <v>0</v>
      </c>
      <c r="J1261" s="12" t="s">
        <v>387</v>
      </c>
      <c r="K1261" s="12">
        <v>34300</v>
      </c>
      <c r="L1261" s="12" t="s">
        <v>35</v>
      </c>
      <c r="M1261" s="13" t="e">
        <v>#N/A</v>
      </c>
      <c r="N1261" s="14" t="e">
        <v>#N/A</v>
      </c>
      <c r="O1261" s="14" t="e">
        <v>#N/A</v>
      </c>
      <c r="P1261" s="14" t="e">
        <v>#N/A</v>
      </c>
      <c r="Q1261" s="14" t="e">
        <v>#N/A</v>
      </c>
      <c r="R1261" s="15" t="s">
        <v>8297</v>
      </c>
      <c r="S1261" s="15" t="s">
        <v>3212</v>
      </c>
      <c r="T1261" s="16" t="s">
        <v>89</v>
      </c>
      <c r="U1261" s="11" t="str">
        <f>_xlfn.XLOOKUP(Customer[[#This Row],[Customer ID]],[1]!Address[ID],[1]!Address[Phone No.(2)])</f>
        <v/>
      </c>
      <c r="V1261" s="11" t="str">
        <f>_xlfn.XLOOKUP(Customer[[#This Row],[Customer ID]],[1]!Address[ID],[1]!Address[Type])</f>
        <v>SOCMED</v>
      </c>
      <c r="W1261" s="11" t="str">
        <f>_xlfn.XLOOKUP(Customer[[#This Row],[Customer ID]],[1]!Address[ID],[1]!Address[CT])</f>
        <v/>
      </c>
      <c r="X1261" s="11"/>
      <c r="Y1261" s="17" t="s">
        <v>90</v>
      </c>
      <c r="Z1261" s="17" t="e">
        <f>_xlfn.XLOOKUP(Customer[[#This Row],[NewType]],$AF$36:$AF$54,$AG$36:$AG$54)</f>
        <v>#N/A</v>
      </c>
      <c r="AA1261" s="17" t="s">
        <v>8298</v>
      </c>
      <c r="AB1261" s="11" t="str">
        <f>_xlfn.XLOOKUP(Customer[[#This Row],[Customer ID]],[1]!Address[ID],[1]!Address[Subtype])</f>
        <v>ONLINE HAJAR</v>
      </c>
      <c r="AC1261" s="18" t="str">
        <f>_xlfn.XLOOKUP(Customer[[#This Row],[Customer ID]],[1]!Address[ID],[1]!Address[Zone])</f>
        <v>NORTH</v>
      </c>
    </row>
    <row r="1262" spans="1:29" x14ac:dyDescent="0.3">
      <c r="A1262" s="37" t="s">
        <v>8299</v>
      </c>
      <c r="B1262" s="38" t="str">
        <f>_xlfn.XLOOKUP(Customer[[#This Row],[Customer ID]],[1]!Name[ID],[1]!Name[Description(1)])</f>
        <v>MOHD SAILANI SALEH</v>
      </c>
      <c r="C1262" s="38" t="str">
        <f>_xlfn.XLOOKUP(Customer[[#This Row],[Customer ID]],[1]!Name[ID],[1]!Name[Description(2)])</f>
        <v>AUFI MART</v>
      </c>
      <c r="D1262" s="38" t="str">
        <f>_xlfn.XLOOKUP(Customer[[#This Row],[Customer ID]],[1]!Address[ID],[1]!Address[PIC])</f>
        <v/>
      </c>
      <c r="E1262" s="38" t="str">
        <f>_xlfn.XLOOKUP(Customer[[#This Row],[Customer ID]],[1]!Address[ID],[1]!Address[Full Address])</f>
        <v>AUFIMART PAKALOT 5514 JALAN BESAR PAKA23100 PAKA</v>
      </c>
      <c r="F1262" s="12" t="s">
        <v>8300</v>
      </c>
      <c r="G1262" s="12" t="s">
        <v>8301</v>
      </c>
      <c r="H1262" s="24" t="s">
        <v>8302</v>
      </c>
      <c r="I1262" s="24" t="b">
        <f>ISNUMBER(VALUE(LEFT(Customer[[#This Row],[Address Line 3 (30 char)]],1)))</f>
        <v>0</v>
      </c>
      <c r="J1262" s="12" t="s">
        <v>1056</v>
      </c>
      <c r="K1262" s="12">
        <v>23100</v>
      </c>
      <c r="L1262" s="12" t="s">
        <v>35</v>
      </c>
      <c r="M1262" s="13" t="e">
        <v>#N/A</v>
      </c>
      <c r="N1262" s="14" t="e">
        <v>#N/A</v>
      </c>
      <c r="O1262" s="14" t="e">
        <v>#N/A</v>
      </c>
      <c r="P1262" s="14" t="e">
        <v>#N/A</v>
      </c>
      <c r="Q1262" s="14" t="e">
        <v>#N/A</v>
      </c>
      <c r="R1262" s="15" t="s">
        <v>6342</v>
      </c>
      <c r="S1262" s="15" t="s">
        <v>3212</v>
      </c>
      <c r="T1262" s="16" t="s">
        <v>89</v>
      </c>
      <c r="U1262" s="11" t="str">
        <f>_xlfn.XLOOKUP(Customer[[#This Row],[Customer ID]],[1]!Address[ID],[1]!Address[Phone No.(2)])</f>
        <v/>
      </c>
      <c r="V1262" s="11" t="str">
        <f>_xlfn.XLOOKUP(Customer[[#This Row],[Customer ID]],[1]!Address[ID],[1]!Address[Type])</f>
        <v>SOCMED</v>
      </c>
      <c r="W1262" s="11" t="str">
        <f>_xlfn.XLOOKUP(Customer[[#This Row],[Customer ID]],[1]!Address[ID],[1]!Address[CT])</f>
        <v/>
      </c>
      <c r="X1262" s="11"/>
      <c r="Y1262" s="17" t="s">
        <v>90</v>
      </c>
      <c r="Z1262" s="17" t="e">
        <f>_xlfn.XLOOKUP(Customer[[#This Row],[NewType]],$AF$36:$AF$54,$AG$36:$AG$54)</f>
        <v>#N/A</v>
      </c>
      <c r="AA1262" s="17" t="s">
        <v>8303</v>
      </c>
      <c r="AB1262" s="11" t="str">
        <f>_xlfn.XLOOKUP(Customer[[#This Row],[Customer ID]],[1]!Address[ID],[1]!Address[Subtype])</f>
        <v>ONLINE HAJAR</v>
      </c>
      <c r="AC1262" s="18" t="str">
        <f>_xlfn.XLOOKUP(Customer[[#This Row],[Customer ID]],[1]!Address[ID],[1]!Address[Zone])</f>
        <v>I HAJAR100 ES HAJAR100 PAKA</v>
      </c>
    </row>
    <row r="1263" spans="1:29" x14ac:dyDescent="0.3">
      <c r="A1263" s="37" t="s">
        <v>8304</v>
      </c>
      <c r="B1263" s="38" t="str">
        <f>_xlfn.XLOOKUP(Customer[[#This Row],[Customer ID]],[1]!Name[ID],[1]!Name[Description(1)])</f>
        <v>NOR WAHIDIN WAHID</v>
      </c>
      <c r="C1263" s="38" t="str">
        <f>_xlfn.XLOOKUP(Customer[[#This Row],[Customer ID]],[1]!Name[ID],[1]!Name[Description(2)])</f>
        <v/>
      </c>
      <c r="D1263" s="38" t="str">
        <f>_xlfn.XLOOKUP(Customer[[#This Row],[Customer ID]],[1]!Address[ID],[1]!Address[PIC])</f>
        <v/>
      </c>
      <c r="E1263" s="38" t="str">
        <f>_xlfn.XLOOKUP(Customer[[#This Row],[Customer ID]],[1]!Address[ID],[1]!Address[Full Address])</f>
        <v>PT 198, JALAN SJ 5/12A,TAMAN SEREMBAN JAYA,70450 SEREMBAN, NEGERI SEMBILAN</v>
      </c>
      <c r="F1263" s="12" t="s">
        <v>8305</v>
      </c>
      <c r="G1263" s="12" t="s">
        <v>8306</v>
      </c>
      <c r="H1263" s="12" t="s">
        <v>2411</v>
      </c>
      <c r="I1263" s="12" t="b">
        <f>ISNUMBER(VALUE(LEFT(Customer[[#This Row],[Address Line 3 (30 char)]],1)))</f>
        <v>0</v>
      </c>
      <c r="J1263" s="12" t="s">
        <v>203</v>
      </c>
      <c r="K1263" s="41">
        <v>70450</v>
      </c>
      <c r="L1263" s="12" t="s">
        <v>35</v>
      </c>
      <c r="M1263" s="13" t="e">
        <v>#N/A</v>
      </c>
      <c r="N1263" s="14" t="e">
        <v>#N/A</v>
      </c>
      <c r="O1263" s="14" t="e">
        <v>#N/A</v>
      </c>
      <c r="P1263" s="14" t="e">
        <v>#N/A</v>
      </c>
      <c r="Q1263" s="14" t="e">
        <v>#N/A</v>
      </c>
      <c r="R1263" s="15" t="s">
        <v>8307</v>
      </c>
      <c r="S1263" s="16" t="s">
        <v>89</v>
      </c>
      <c r="T1263" s="16" t="s">
        <v>89</v>
      </c>
      <c r="U1263" s="11" t="str">
        <f>_xlfn.XLOOKUP(Customer[[#This Row],[Customer ID]],[1]!Address[ID],[1]!Address[Phone No.(2)])</f>
        <v/>
      </c>
      <c r="V1263" s="11" t="str">
        <f>_xlfn.XLOOKUP(Customer[[#This Row],[Customer ID]],[1]!Address[ID],[1]!Address[Type])</f>
        <v>WALK IN</v>
      </c>
      <c r="W1263" s="11" t="str">
        <f>_xlfn.XLOOKUP(Customer[[#This Row],[Customer ID]],[1]!Address[ID],[1]!Address[CT])</f>
        <v/>
      </c>
      <c r="X1263" s="11"/>
      <c r="Y1263" s="17" t="s">
        <v>6284</v>
      </c>
      <c r="Z1263" s="17" t="e">
        <f>_xlfn.XLOOKUP(Customer[[#This Row],[NewType]],$AF$36:$AF$54,$AG$36:$AG$54)</f>
        <v>#N/A</v>
      </c>
      <c r="AA1263" s="17" t="s">
        <v>8308</v>
      </c>
      <c r="AB1263" s="11" t="str">
        <f>_xlfn.XLOOKUP(Customer[[#This Row],[Customer ID]],[1]!Address[ID],[1]!Address[Subtype])</f>
        <v>PEDAS</v>
      </c>
      <c r="AC1263" s="18" t="str">
        <f>_xlfn.XLOOKUP(Customer[[#This Row],[Customer ID]],[1]!Address[ID],[1]!Address[Zone])</f>
        <v>CENTRAL</v>
      </c>
    </row>
    <row r="1264" spans="1:29" x14ac:dyDescent="0.3">
      <c r="A1264" s="37" t="s">
        <v>8309</v>
      </c>
      <c r="B1264" s="38" t="str">
        <f>_xlfn.XLOOKUP(Customer[[#This Row],[Customer ID]],[1]!Name[ID],[1]!Name[Description(1)])</f>
        <v>PETRONED NIAGA</v>
      </c>
      <c r="C1264" s="38" t="s">
        <v>8310</v>
      </c>
      <c r="D1264" s="38" t="str">
        <f>_xlfn.XLOOKUP(Customer[[#This Row],[Customer ID]],[1]!Address[ID],[1]!Address[PIC])</f>
        <v/>
      </c>
      <c r="E1264" s="38" t="str">
        <f>_xlfn.XLOOKUP(Customer[[#This Row],[Customer ID]],[1]!Address[ID],[1]!Address[Full Address])</f>
        <v>STESEN MINYAK PETRONAS KG PANDAN,LOT 20758 BATU 8,  JALAN KUANTANBY PASS LEMBING,25150 KUANTAN,PAHANG</v>
      </c>
      <c r="F1264" s="12" t="s">
        <v>8311</v>
      </c>
      <c r="G1264" s="12" t="s">
        <v>8312</v>
      </c>
      <c r="H1264" s="12" t="s">
        <v>8313</v>
      </c>
      <c r="I1264" s="12" t="b">
        <f>ISNUMBER(VALUE(LEFT(Customer[[#This Row],[Address Line 3 (30 char)]],1)))</f>
        <v>0</v>
      </c>
      <c r="J1264" s="12" t="s">
        <v>339</v>
      </c>
      <c r="K1264" s="12">
        <v>25150</v>
      </c>
      <c r="L1264" s="12" t="s">
        <v>35</v>
      </c>
      <c r="M1264" s="13" t="e">
        <v>#N/A</v>
      </c>
      <c r="N1264" s="14" t="e">
        <v>#N/A</v>
      </c>
      <c r="O1264" s="14" t="e">
        <v>#N/A</v>
      </c>
      <c r="P1264" s="14" t="e">
        <v>#N/A</v>
      </c>
      <c r="Q1264" s="19" t="s">
        <v>8314</v>
      </c>
      <c r="R1264" s="15" t="s">
        <v>8315</v>
      </c>
      <c r="S1264" s="15" t="s">
        <v>3212</v>
      </c>
      <c r="T1264" s="16" t="s">
        <v>89</v>
      </c>
      <c r="U1264" s="11" t="str">
        <f>_xlfn.XLOOKUP(Customer[[#This Row],[Customer ID]],[1]!Address[ID],[1]!Address[Phone No.(2)])</f>
        <v/>
      </c>
      <c r="V1264" s="11" t="str">
        <f>_xlfn.XLOOKUP(Customer[[#This Row],[Customer ID]],[1]!Address[ID],[1]!Address[Type])</f>
        <v>SOCMED</v>
      </c>
      <c r="W1264" s="11" t="str">
        <f>_xlfn.XLOOKUP(Customer[[#This Row],[Customer ID]],[1]!Address[ID],[1]!Address[CT])</f>
        <v/>
      </c>
      <c r="X1264" s="11"/>
      <c r="Y1264" s="17" t="s">
        <v>90</v>
      </c>
      <c r="Z1264" s="17" t="e">
        <f>_xlfn.XLOOKUP(Customer[[#This Row],[NewType]],$AF$36:$AF$54,$AG$36:$AG$54)</f>
        <v>#N/A</v>
      </c>
      <c r="AA1264" s="17" t="s">
        <v>8316</v>
      </c>
      <c r="AB1264" s="11" t="str">
        <f>_xlfn.XLOOKUP(Customer[[#This Row],[Customer ID]],[1]!Address[ID],[1]!Address[Subtype])</f>
        <v>ONLINE HAJAR</v>
      </c>
      <c r="AC1264" s="18" t="str">
        <f>_xlfn.XLOOKUP(Customer[[#This Row],[Customer ID]],[1]!Address[ID],[1]!Address[Zone])</f>
        <v>CENTRAL</v>
      </c>
    </row>
    <row r="1265" spans="1:30" x14ac:dyDescent="0.3">
      <c r="A1265" s="37" t="s">
        <v>8317</v>
      </c>
      <c r="B1265" s="38" t="str">
        <f>_xlfn.XLOOKUP(Customer[[#This Row],[Customer ID]],[1]!Name[ID],[1]!Name[Description(1)])</f>
        <v>AZ KOTA TINGGI</v>
      </c>
      <c r="C1265" s="38" t="str">
        <f>_xlfn.XLOOKUP(Customer[[#This Row],[Customer ID]],[1]!Name[ID],[1]!Name[Description(2)])</f>
        <v>MM KOTA TINGGI</v>
      </c>
      <c r="D1265" s="38" t="str">
        <f>_xlfn.XLOOKUP(Customer[[#This Row],[Customer ID]],[1]!Address[ID],[1]!Address[PIC])</f>
        <v/>
      </c>
      <c r="E1265" s="38" t="str">
        <f>_xlfn.XLOOKUP(Customer[[#This Row],[Customer ID]],[1]!Address[ID],[1]!Address[Full Address])</f>
        <v>MM KOTA TINGGILOT 230, NO. 5A,JALAN JOHOR KOTA TINGGI81900 KOTA TINGGI, JOHOR</v>
      </c>
      <c r="F1265" s="12" t="s">
        <v>8318</v>
      </c>
      <c r="G1265" s="12" t="s">
        <v>8319</v>
      </c>
      <c r="H1265" s="12" t="s">
        <v>8320</v>
      </c>
      <c r="I1265" s="12" t="b">
        <f>ISNUMBER(VALUE(LEFT(Customer[[#This Row],[Address Line 3 (30 char)]],1)))</f>
        <v>0</v>
      </c>
      <c r="J1265" s="12" t="s">
        <v>1995</v>
      </c>
      <c r="K1265" s="12">
        <v>81900</v>
      </c>
      <c r="L1265" s="12" t="s">
        <v>35</v>
      </c>
      <c r="M1265" s="13" t="e">
        <v>#N/A</v>
      </c>
      <c r="N1265" s="14" t="e">
        <v>#N/A</v>
      </c>
      <c r="O1265" s="14" t="e">
        <v>#N/A</v>
      </c>
      <c r="P1265" s="14" t="e">
        <v>#N/A</v>
      </c>
      <c r="Q1265" s="19" t="s">
        <v>8321</v>
      </c>
      <c r="R1265" s="15" t="s">
        <v>36</v>
      </c>
      <c r="S1265" s="15" t="s">
        <v>37</v>
      </c>
      <c r="T1265" s="16" t="s">
        <v>38</v>
      </c>
      <c r="U1265" s="11" t="str">
        <f>_xlfn.XLOOKUP(Customer[[#This Row],[Customer ID]],[1]!Address[ID],[1]!Address[Phone No.(2)])</f>
        <v/>
      </c>
      <c r="V1265" s="11" t="str">
        <f>_xlfn.XLOOKUP(Customer[[#This Row],[Customer ID]],[1]!Address[ID],[1]!Address[Type])</f>
        <v>PETROMART</v>
      </c>
      <c r="W1265" s="11" t="str">
        <f>_xlfn.XLOOKUP(Customer[[#This Row],[Customer ID]],[1]!Address[ID],[1]!Address[CT])</f>
        <v>30 DAYS</v>
      </c>
      <c r="X1265" s="11" t="s">
        <v>39</v>
      </c>
      <c r="Y1265" s="17" t="s">
        <v>40</v>
      </c>
      <c r="Z1265" s="17" t="e">
        <f>_xlfn.XLOOKUP(Customer[[#This Row],[NewType]],$AF$36:$AF$54,$AG$36:$AG$54)</f>
        <v>#N/A</v>
      </c>
      <c r="AA1265" s="17" t="s">
        <v>8322</v>
      </c>
      <c r="AB1265" s="11" t="str">
        <f>_xlfn.XLOOKUP(Customer[[#This Row],[Customer ID]],[1]!Address[ID],[1]!Address[Subtype])</f>
        <v>PETRONAS</v>
      </c>
      <c r="AC1265" s="18" t="str">
        <f>_xlfn.XLOOKUP(Customer[[#This Row],[Customer ID]],[1]!Address[ID],[1]!Address[Zone])</f>
        <v>SOUTH</v>
      </c>
    </row>
    <row r="1266" spans="1:30" x14ac:dyDescent="0.3">
      <c r="A1266" s="37" t="s">
        <v>8323</v>
      </c>
      <c r="B1266" s="38" t="str">
        <f>_xlfn.XLOOKUP(Customer[[#This Row],[Customer ID]],[1]!Name[ID],[1]!Name[Description(1)])</f>
        <v>LULU HYPERMARKET &amp; DEPARTMENT STORE</v>
      </c>
      <c r="C1266" s="38" t="str">
        <f>_xlfn.XLOOKUP(Customer[[#This Row],[Customer ID]],[1]!Name[ID],[1]!Name[Description(2)])</f>
        <v>SHAMELIN MALL</v>
      </c>
      <c r="D1266" s="38" t="str">
        <f>_xlfn.XLOOKUP(Customer[[#This Row],[Customer ID]],[1]!Address[ID],[1]!Address[PIC])</f>
        <v/>
      </c>
      <c r="E1266" s="38" t="str">
        <f>_xlfn.XLOOKUP(Customer[[#This Row],[Customer ID]],[1]!Address[ID],[1]!Address[Full Address])</f>
        <v>LULU HM, 1 SHAMELIN MALL,LEVEL-LOWER GROUND FLOOR,NO. 100, JALAN 4/91 TAMAN SHAMELIN,56100 KUALA LUMPUR</v>
      </c>
      <c r="F1266" s="12" t="s">
        <v>8324</v>
      </c>
      <c r="G1266" s="12" t="s">
        <v>8325</v>
      </c>
      <c r="H1266" s="12" t="s">
        <v>8326</v>
      </c>
      <c r="I1266" s="12" t="b">
        <f>ISNUMBER(VALUE(LEFT(Customer[[#This Row],[Address Line 3 (30 char)]],1)))</f>
        <v>0</v>
      </c>
      <c r="J1266" s="12" t="s">
        <v>34</v>
      </c>
      <c r="K1266" s="12">
        <v>56100</v>
      </c>
      <c r="L1266" s="12" t="s">
        <v>35</v>
      </c>
      <c r="M1266" s="13" t="e">
        <v>#N/A</v>
      </c>
      <c r="N1266" s="14" t="e">
        <v>#N/A</v>
      </c>
      <c r="O1266" s="14" t="e">
        <v>#N/A</v>
      </c>
      <c r="P1266" s="14" t="e">
        <v>#N/A</v>
      </c>
      <c r="Q1266" s="14" t="e">
        <v>#N/A</v>
      </c>
      <c r="R1266" s="15" t="s">
        <v>8327</v>
      </c>
      <c r="S1266" s="15" t="s">
        <v>5934</v>
      </c>
      <c r="T1266" s="16" t="s">
        <v>3477</v>
      </c>
      <c r="U1266" s="11" t="str">
        <f>_xlfn.XLOOKUP(Customer[[#This Row],[Customer ID]],[1]!Address[ID],[1]!Address[Phone No.(2)])</f>
        <v/>
      </c>
      <c r="V1266" s="11" t="str">
        <f>_xlfn.XLOOKUP(Customer[[#This Row],[Customer ID]],[1]!Address[ID],[1]!Address[Type])</f>
        <v>HM</v>
      </c>
      <c r="W1266" s="11" t="str">
        <f>_xlfn.XLOOKUP(Customer[[#This Row],[Customer ID]],[1]!Address[ID],[1]!Address[CT])</f>
        <v>30 DAYS</v>
      </c>
      <c r="X1266" s="11"/>
      <c r="Y1266" s="17" t="s">
        <v>5968</v>
      </c>
      <c r="Z1266" s="17" t="e">
        <f>_xlfn.XLOOKUP(Customer[[#This Row],[NewType]],$AF$36:$AF$54,$AG$36:$AG$54)</f>
        <v>#N/A</v>
      </c>
      <c r="AA1266" s="17" t="s">
        <v>8328</v>
      </c>
      <c r="AB1266" s="11" t="str">
        <f>_xlfn.XLOOKUP(Customer[[#This Row],[Customer ID]],[1]!Address[ID],[1]!Address[Subtype])</f>
        <v>LULU</v>
      </c>
      <c r="AC1266" s="18" t="str">
        <f>_xlfn.XLOOKUP(Customer[[#This Row],[Customer ID]],[1]!Address[ID],[1]!Address[Zone])</f>
        <v>CENTRAL</v>
      </c>
    </row>
    <row r="1267" spans="1:30" x14ac:dyDescent="0.3">
      <c r="A1267" s="37" t="s">
        <v>8329</v>
      </c>
      <c r="B1267" s="38" t="str">
        <f>_xlfn.XLOOKUP(Customer[[#This Row],[Customer ID]],[1]!Name[ID],[1]!Name[Description(1)])</f>
        <v>KHAIRUL JASNI</v>
      </c>
      <c r="C1267" s="38" t="str">
        <f>_xlfn.XLOOKUP(Customer[[#This Row],[Customer ID]],[1]!Name[ID],[1]!Name[Description(2)])</f>
        <v>BIKE &amp; BEANS SDN BHD</v>
      </c>
      <c r="D1267" s="38" t="str">
        <f>_xlfn.XLOOKUP(Customer[[#This Row],[Customer ID]],[1]!Address[ID],[1]!Address[PIC])</f>
        <v/>
      </c>
      <c r="E1267" s="38" t="str">
        <f>_xlfn.XLOOKUP(Customer[[#This Row],[Customer ID]],[1]!Address[ID],[1]!Address[Full Address])</f>
        <v>MENARA KEMENTERIAN BELIA &amp; SUKAN,JALAN P4 Y,PERSINT 4,62100 PUTRAJAYA</v>
      </c>
      <c r="F1267" s="12" t="s">
        <v>8330</v>
      </c>
      <c r="G1267" s="12" t="s">
        <v>8331</v>
      </c>
      <c r="H1267" s="12" t="s">
        <v>8332</v>
      </c>
      <c r="I1267" s="12" t="b">
        <f>ISNUMBER(VALUE(LEFT(Customer[[#This Row],[Address Line 3 (30 char)]],1)))</f>
        <v>0</v>
      </c>
      <c r="J1267" s="12" t="s">
        <v>4229</v>
      </c>
      <c r="K1267" s="12">
        <v>62100</v>
      </c>
      <c r="L1267" s="12" t="s">
        <v>35</v>
      </c>
      <c r="M1267" s="13" t="e">
        <v>#N/A</v>
      </c>
      <c r="N1267" s="14" t="e">
        <v>#N/A</v>
      </c>
      <c r="O1267" s="14" t="e">
        <v>#N/A</v>
      </c>
      <c r="P1267" s="14" t="e">
        <v>#N/A</v>
      </c>
      <c r="Q1267" s="14" t="e">
        <v>#N/A</v>
      </c>
      <c r="R1267" s="15" t="s">
        <v>8333</v>
      </c>
      <c r="S1267" s="15" t="s">
        <v>5934</v>
      </c>
      <c r="T1267" s="16" t="s">
        <v>3477</v>
      </c>
      <c r="U1267" s="11" t="str">
        <f>_xlfn.XLOOKUP(Customer[[#This Row],[Customer ID]],[1]!Address[ID],[1]!Address[Phone No.(2)])</f>
        <v/>
      </c>
      <c r="V1267" s="11" t="str">
        <f>_xlfn.XLOOKUP(Customer[[#This Row],[Customer ID]],[1]!Address[ID],[1]!Address[Type])</f>
        <v>CM</v>
      </c>
      <c r="W1267" s="11" t="str">
        <f>_xlfn.XLOOKUP(Customer[[#This Row],[Customer ID]],[1]!Address[ID],[1]!Address[CT])</f>
        <v>30 DAYS</v>
      </c>
      <c r="X1267" s="11"/>
      <c r="Y1267" s="17" t="s">
        <v>5918</v>
      </c>
      <c r="Z1267" s="17" t="e">
        <f>_xlfn.XLOOKUP(Customer[[#This Row],[NewType]],$AF$36:$AF$54,$AG$36:$AG$54)</f>
        <v>#N/A</v>
      </c>
      <c r="AA1267" s="17" t="s">
        <v>8334</v>
      </c>
      <c r="AB1267" s="11" t="str">
        <f>_xlfn.XLOOKUP(Customer[[#This Row],[Customer ID]],[1]!Address[ID],[1]!Address[Subtype])</f>
        <v>BIKE &amp; BEANS</v>
      </c>
      <c r="AC1267" s="18" t="str">
        <f>_xlfn.XLOOKUP(Customer[[#This Row],[Customer ID]],[1]!Address[ID],[1]!Address[Zone])</f>
        <v>CENTRAL</v>
      </c>
    </row>
    <row r="1268" spans="1:30" x14ac:dyDescent="0.3">
      <c r="A1268" s="37" t="s">
        <v>8335</v>
      </c>
      <c r="B1268" s="38" t="str">
        <f>_xlfn.XLOOKUP(Customer[[#This Row],[Customer ID]],[1]!Name[ID],[1]!Name[Description(1)])</f>
        <v>AYUNIS ENTERPRISE</v>
      </c>
      <c r="C1268" s="38" t="str">
        <f>_xlfn.XLOOKUP(Customer[[#This Row],[Customer ID]],[1]!Name[ID],[1]!Name[Description(2)])</f>
        <v/>
      </c>
      <c r="D1268" s="38" t="str">
        <f>_xlfn.XLOOKUP(Customer[[#This Row],[Customer ID]],[1]!Address[ID],[1]!Address[PIC])</f>
        <v>PN MURNI</v>
      </c>
      <c r="E1268" s="38" t="str">
        <f>_xlfn.XLOOKUP(Customer[[#This Row],[Customer ID]],[1]!Address[ID],[1]!Address[Full Address])</f>
        <v>1403-3 JALAN GUAR PETAI,TASEK GELUGOR13310 PULAU PINANG</v>
      </c>
      <c r="F1268" s="12" t="s">
        <v>8336</v>
      </c>
      <c r="G1268" s="12" t="s">
        <v>8337</v>
      </c>
      <c r="H1268" s="24"/>
      <c r="I1268" s="24" t="b">
        <f>ISNUMBER(VALUE(LEFT(Customer[[#This Row],[Address Line 3 (30 char)]],1)))</f>
        <v>0</v>
      </c>
      <c r="J1268" s="12" t="s">
        <v>179</v>
      </c>
      <c r="K1268" s="12">
        <v>13310</v>
      </c>
      <c r="L1268" s="12" t="s">
        <v>35</v>
      </c>
      <c r="M1268" s="13" t="s">
        <v>8338</v>
      </c>
      <c r="N1268" s="14" t="s">
        <v>8339</v>
      </c>
      <c r="O1268" s="14" t="e">
        <v>#N/A</v>
      </c>
      <c r="P1268" s="14" t="e">
        <v>#N/A</v>
      </c>
      <c r="Q1268" s="14" t="e">
        <v>#N/A</v>
      </c>
      <c r="R1268" s="15" t="s">
        <v>8340</v>
      </c>
      <c r="S1268" s="15" t="s">
        <v>74</v>
      </c>
      <c r="T1268" s="16" t="s">
        <v>3477</v>
      </c>
      <c r="U1268" s="11" t="str">
        <f>_xlfn.XLOOKUP(Customer[[#This Row],[Customer ID]],[1]!Address[ID],[1]!Address[Phone No.(2)])</f>
        <v/>
      </c>
      <c r="V1268" s="11" t="str">
        <f>_xlfn.XLOOKUP(Customer[[#This Row],[Customer ID]],[1]!Address[ID],[1]!Address[Type])</f>
        <v>CM</v>
      </c>
      <c r="W1268" s="11" t="str">
        <f>_xlfn.XLOOKUP(Customer[[#This Row],[Customer ID]],[1]!Address[ID],[1]!Address[CT])</f>
        <v>30 DAYS</v>
      </c>
      <c r="X1268" s="11"/>
      <c r="Y1268" s="17" t="s">
        <v>5918</v>
      </c>
      <c r="Z1268" s="17" t="e">
        <f>_xlfn.XLOOKUP(Customer[[#This Row],[NewType]],$AF$36:$AF$54,$AG$36:$AG$54)</f>
        <v>#N/A</v>
      </c>
      <c r="AA1268" s="17" t="s">
        <v>8341</v>
      </c>
      <c r="AB1268" s="11" t="str">
        <f>_xlfn.XLOOKUP(Customer[[#This Row],[Customer ID]],[1]!Address[ID],[1]!Address[Subtype])</f>
        <v>AYUNIS</v>
      </c>
      <c r="AC1268" s="18" t="str">
        <f>_xlfn.XLOOKUP(Customer[[#This Row],[Customer ID]],[1]!Address[ID],[1]!Address[Zone])</f>
        <v>NORTH</v>
      </c>
    </row>
    <row r="1269" spans="1:30" x14ac:dyDescent="0.3">
      <c r="A1269" s="37" t="s">
        <v>8342</v>
      </c>
      <c r="B1269" s="38" t="str">
        <f>_xlfn.XLOOKUP(Customer[[#This Row],[Customer ID]],[1]!Name[ID],[1]!Name[Description(1)])</f>
        <v>IMPIAN BIN'J SDN BHD</v>
      </c>
      <c r="C1269" s="38" t="str">
        <f>_xlfn.XLOOKUP(Customer[[#This Row],[Customer ID]],[1]!Name[ID],[1]!Name[Description(2)])</f>
        <v>CALTEX BINJAI</v>
      </c>
      <c r="D1269" s="38" t="str">
        <f>_xlfn.XLOOKUP(Customer[[#This Row],[Customer ID]],[1]!Address[ID],[1]!Address[PIC])</f>
        <v/>
      </c>
      <c r="E1269" s="38" t="str">
        <f>_xlfn.XLOOKUP(Customer[[#This Row],[Customer ID]],[1]!Address[ID],[1]!Address[Full Address])</f>
        <v>CALTEX BINJAI435, Mk 11 Kg Binjal11900 Bayan Lepas,Pulau Pinang.</v>
      </c>
      <c r="F1269" s="12" t="s">
        <v>8343</v>
      </c>
      <c r="G1269" s="12" t="s">
        <v>8344</v>
      </c>
      <c r="H1269" s="24" t="s">
        <v>8345</v>
      </c>
      <c r="I1269" s="24" t="b">
        <f>ISNUMBER(VALUE(LEFT(Customer[[#This Row],[Address Line 3 (30 char)]],1)))</f>
        <v>0</v>
      </c>
      <c r="J1269" s="12" t="s">
        <v>179</v>
      </c>
      <c r="K1269" s="12">
        <v>11900</v>
      </c>
      <c r="L1269" s="12" t="s">
        <v>35</v>
      </c>
      <c r="M1269" s="13" t="e">
        <v>#N/A</v>
      </c>
      <c r="N1269" s="14" t="e">
        <v>#N/A</v>
      </c>
      <c r="O1269" s="14" t="e">
        <v>#N/A</v>
      </c>
      <c r="P1269" s="14" t="e">
        <v>#N/A</v>
      </c>
      <c r="Q1269" s="14" t="e">
        <v>#N/A</v>
      </c>
      <c r="R1269" s="15" t="s">
        <v>8346</v>
      </c>
      <c r="S1269" s="15" t="s">
        <v>37</v>
      </c>
      <c r="T1269" s="16" t="s">
        <v>38</v>
      </c>
      <c r="U1269" s="11" t="str">
        <f>_xlfn.XLOOKUP(Customer[[#This Row],[Customer ID]],[1]!Address[ID],[1]!Address[Phone No.(2)])</f>
        <v/>
      </c>
      <c r="V1269" s="11" t="str">
        <f>_xlfn.XLOOKUP(Customer[[#This Row],[Customer ID]],[1]!Address[ID],[1]!Address[Type])</f>
        <v>PETROMART</v>
      </c>
      <c r="W1269" s="11" t="str">
        <f>_xlfn.XLOOKUP(Customer[[#This Row],[Customer ID]],[1]!Address[ID],[1]!Address[CT])</f>
        <v>30</v>
      </c>
      <c r="X1269" s="11" t="s">
        <v>39</v>
      </c>
      <c r="Y1269" s="17" t="s">
        <v>40</v>
      </c>
      <c r="Z1269" s="17" t="e">
        <f>_xlfn.XLOOKUP(Customer[[#This Row],[NewType]],$AF$36:$AF$54,$AG$36:$AG$54)</f>
        <v>#N/A</v>
      </c>
      <c r="AA1269" s="17" t="s">
        <v>8347</v>
      </c>
      <c r="AB1269" s="11" t="str">
        <f>_xlfn.XLOOKUP(Customer[[#This Row],[Customer ID]],[1]!Address[ID],[1]!Address[Subtype])</f>
        <v>XPRESS POINT</v>
      </c>
      <c r="AC1269" s="18" t="str">
        <f>_xlfn.XLOOKUP(Customer[[#This Row],[Customer ID]],[1]!Address[ID],[1]!Address[Zone])</f>
        <v>NORTH</v>
      </c>
    </row>
    <row r="1270" spans="1:30" x14ac:dyDescent="0.3">
      <c r="A1270" s="37" t="s">
        <v>8348</v>
      </c>
      <c r="B1270" s="38" t="str">
        <f>_xlfn.XLOOKUP(Customer[[#This Row],[Customer ID]],[1]!Name[ID],[1]!Name[Description(1)])</f>
        <v>KOPERASI KAKITANGAN LPPKN</v>
      </c>
      <c r="C1270" s="38" t="str">
        <f>_xlfn.XLOOKUP(Customer[[#This Row],[Customer ID]],[1]!Name[ID],[1]!Name[Description(2)])</f>
        <v/>
      </c>
      <c r="D1270" s="38" t="str">
        <f>_xlfn.XLOOKUP(Customer[[#This Row],[Customer ID]],[1]!Address[ID],[1]!Address[PIC])</f>
        <v/>
      </c>
      <c r="E1270" s="38" t="str">
        <f>_xlfn.XLOOKUP(Customer[[#This Row],[Customer ID]],[1]!Address[ID],[1]!Address[Full Address])</f>
        <v>NO. 12B, TINGKAT 9,BANGUNAN LPPKN, JALAN RAJA LAUT,50350 KUALA LUMPUR</v>
      </c>
      <c r="F1270" s="12" t="s">
        <v>8349</v>
      </c>
      <c r="G1270" s="12" t="s">
        <v>8350</v>
      </c>
      <c r="H1270" s="41" t="s">
        <v>8351</v>
      </c>
      <c r="I1270" s="41" t="b">
        <f>ISNUMBER(VALUE(LEFT(Customer[[#This Row],[Address Line 3 (30 char)]],1)))</f>
        <v>0</v>
      </c>
      <c r="J1270" s="12" t="s">
        <v>172</v>
      </c>
      <c r="K1270" s="12">
        <v>50350</v>
      </c>
      <c r="L1270" s="12" t="s">
        <v>35</v>
      </c>
      <c r="M1270" s="13" t="e">
        <v>#N/A</v>
      </c>
      <c r="N1270" s="14" t="e">
        <v>#N/A</v>
      </c>
      <c r="O1270" s="14" t="e">
        <v>#N/A</v>
      </c>
      <c r="P1270" s="14" t="e">
        <v>#N/A</v>
      </c>
      <c r="Q1270" s="14" t="e">
        <v>#N/A</v>
      </c>
      <c r="R1270" s="15" t="s">
        <v>8352</v>
      </c>
      <c r="S1270" s="15" t="s">
        <v>5934</v>
      </c>
      <c r="T1270" s="16" t="s">
        <v>3477</v>
      </c>
      <c r="U1270" s="11" t="str">
        <f>_xlfn.XLOOKUP(Customer[[#This Row],[Customer ID]],[1]!Address[ID],[1]!Address[Phone No.(2)])</f>
        <v/>
      </c>
      <c r="V1270" s="11" t="str">
        <f>_xlfn.XLOOKUP(Customer[[#This Row],[Customer ID]],[1]!Address[ID],[1]!Address[Type])</f>
        <v>KOPERASI</v>
      </c>
      <c r="W1270" s="11" t="str">
        <f>_xlfn.XLOOKUP(Customer[[#This Row],[Customer ID]],[1]!Address[ID],[1]!Address[CT])</f>
        <v>CASH</v>
      </c>
      <c r="X1270" s="11"/>
      <c r="Y1270" s="17" t="s">
        <v>6126</v>
      </c>
      <c r="Z1270" s="17" t="e">
        <f>_xlfn.XLOOKUP(Customer[[#This Row],[NewType]],$AF$36:$AF$54,$AG$36:$AG$54)</f>
        <v>#N/A</v>
      </c>
      <c r="AA1270" s="17" t="s">
        <v>8353</v>
      </c>
      <c r="AB1270" s="11" t="str">
        <f>_xlfn.XLOOKUP(Customer[[#This Row],[Customer ID]],[1]!Address[ID],[1]!Address[Subtype])</f>
        <v>KOP. LPPKN</v>
      </c>
      <c r="AC1270" s="18" t="str">
        <f>_xlfn.XLOOKUP(Customer[[#This Row],[Customer ID]],[1]!Address[ID],[1]!Address[Zone])</f>
        <v>CENTRAL</v>
      </c>
    </row>
    <row r="1271" spans="1:30" x14ac:dyDescent="0.3">
      <c r="A1271" s="37" t="s">
        <v>8354</v>
      </c>
      <c r="B1271" s="38" t="str">
        <f>_xlfn.XLOOKUP(Customer[[#This Row],[Customer ID]],[1]!Name[ID],[1]!Name[Description(1)])</f>
        <v>RIZQ MART</v>
      </c>
      <c r="C1271" s="38" t="str">
        <f>_xlfn.XLOOKUP(Customer[[#This Row],[Customer ID]],[1]!Name[ID],[1]!Name[Description(2)])</f>
        <v>TRENDVILLE MARKETING</v>
      </c>
      <c r="D1271" s="38" t="str">
        <f>_xlfn.XLOOKUP(Customer[[#This Row],[Customer ID]],[1]!Address[ID],[1]!Address[PIC])</f>
        <v/>
      </c>
      <c r="E1271" s="38" t="str">
        <f>_xlfn.XLOOKUP(Customer[[#This Row],[Customer ID]],[1]!Address[ID],[1]!Address[Full Address])</f>
        <v>NO 5, JALAN IMPIAN MAKMUR 3/B,TAMAN SAUJANA IMPIAN, 43000 KAJANG,SELANGOR.</v>
      </c>
      <c r="F1271" s="12" t="s">
        <v>8355</v>
      </c>
      <c r="G1271" s="12" t="s">
        <v>8356</v>
      </c>
      <c r="H1271" s="12"/>
      <c r="I1271" s="12" t="b">
        <f>ISNUMBER(VALUE(LEFT(Customer[[#This Row],[Address Line 3 (30 char)]],1)))</f>
        <v>0</v>
      </c>
      <c r="J1271" s="12" t="s">
        <v>1907</v>
      </c>
      <c r="K1271" s="12">
        <v>43000</v>
      </c>
      <c r="L1271" s="12" t="s">
        <v>35</v>
      </c>
      <c r="M1271" s="13" t="e">
        <v>#N/A</v>
      </c>
      <c r="N1271" s="14" t="e">
        <v>#N/A</v>
      </c>
      <c r="O1271" s="14" t="e">
        <v>#N/A</v>
      </c>
      <c r="P1271" s="14" t="e">
        <v>#N/A</v>
      </c>
      <c r="Q1271" s="14" t="e">
        <v>#N/A</v>
      </c>
      <c r="R1271" s="15" t="s">
        <v>8357</v>
      </c>
      <c r="S1271" s="15" t="s">
        <v>3212</v>
      </c>
      <c r="T1271" s="16" t="s">
        <v>89</v>
      </c>
      <c r="U1271" s="11" t="str">
        <f>_xlfn.XLOOKUP(Customer[[#This Row],[Customer ID]],[1]!Address[ID],[1]!Address[Phone No.(2)])</f>
        <v/>
      </c>
      <c r="V1271" s="11" t="str">
        <f>_xlfn.XLOOKUP(Customer[[#This Row],[Customer ID]],[1]!Address[ID],[1]!Address[Type])</f>
        <v>SOCMED</v>
      </c>
      <c r="W1271" s="11" t="str">
        <f>_xlfn.XLOOKUP(Customer[[#This Row],[Customer ID]],[1]!Address[ID],[1]!Address[CT])</f>
        <v/>
      </c>
      <c r="X1271" s="11"/>
      <c r="Y1271" s="17" t="s">
        <v>90</v>
      </c>
      <c r="Z1271" s="17" t="e">
        <f>_xlfn.XLOOKUP(Customer[[#This Row],[NewType]],$AF$36:$AF$54,$AG$36:$AG$54)</f>
        <v>#N/A</v>
      </c>
      <c r="AA1271" s="17" t="s">
        <v>8358</v>
      </c>
      <c r="AB1271" s="11" t="str">
        <f>_xlfn.XLOOKUP(Customer[[#This Row],[Customer ID]],[1]!Address[ID],[1]!Address[Subtype])</f>
        <v>ONLINE HAJAR</v>
      </c>
      <c r="AC1271" s="18" t="str">
        <f>_xlfn.XLOOKUP(Customer[[#This Row],[Customer ID]],[1]!Address[ID],[1]!Address[Zone])</f>
        <v>CENTRAL</v>
      </c>
    </row>
    <row r="1272" spans="1:30" x14ac:dyDescent="0.3">
      <c r="A1272" s="73" t="s">
        <v>8359</v>
      </c>
      <c r="B1272" s="62" t="str">
        <f>_xlfn.XLOOKUP(Customer[[#This Row],[Customer ID]],[1]!Name[ID],[1]!Name[Description(1)])</f>
        <v>HANCITY MINI MART</v>
      </c>
      <c r="C1272" s="62" t="str">
        <f>_xlfn.XLOOKUP(Customer[[#This Row],[Customer ID]],[1]!Name[ID],[1]!Name[Description(2)])</f>
        <v/>
      </c>
      <c r="D1272" s="62" t="str">
        <f>_xlfn.XLOOKUP(Customer[[#This Row],[Customer ID]],[1]!Address[ID],[1]!Address[PIC])</f>
        <v/>
      </c>
      <c r="E1272" s="38" t="str">
        <f>_xlfn.XLOOKUP(Customer[[#This Row],[Customer ID]],[1]!Address[ID],[1]!Address[Full Address])</f>
        <v>HANCITY MINI MART,HAN CHIANG INDOOR STADIUMJALAN HAN CHIANGJELUTONG, 11600 PENANG</v>
      </c>
      <c r="F1272" s="63" t="s">
        <v>8360</v>
      </c>
      <c r="G1272" s="63" t="s">
        <v>8361</v>
      </c>
      <c r="H1272" s="63" t="s">
        <v>8362</v>
      </c>
      <c r="I1272" s="63" t="b">
        <f>ISNUMBER(VALUE(LEFT(Customer[[#This Row],[Address Line 3 (30 char)]],1)))</f>
        <v>0</v>
      </c>
      <c r="J1272" s="63" t="s">
        <v>179</v>
      </c>
      <c r="K1272" s="63">
        <v>11600</v>
      </c>
      <c r="L1272" s="63" t="s">
        <v>35</v>
      </c>
      <c r="M1272" s="65" t="e">
        <v>#N/A</v>
      </c>
      <c r="N1272" s="66" t="e">
        <v>#N/A</v>
      </c>
      <c r="O1272" s="66" t="e">
        <v>#N/A</v>
      </c>
      <c r="P1272" s="66" t="e">
        <v>#N/A</v>
      </c>
      <c r="Q1272" s="66" t="e">
        <v>#N/A</v>
      </c>
      <c r="R1272" s="67" t="s">
        <v>8363</v>
      </c>
      <c r="S1272" s="67" t="s">
        <v>3476</v>
      </c>
      <c r="T1272" s="76"/>
      <c r="U1272" s="68" t="str">
        <f>_xlfn.XLOOKUP(Customer[[#This Row],[Customer ID]],[1]!Address[ID],[1]!Address[Phone No.(2)])</f>
        <v/>
      </c>
      <c r="V1272" s="68" t="str">
        <f>_xlfn.XLOOKUP(Customer[[#This Row],[Customer ID]],[1]!Address[ID],[1]!Address[Type])</f>
        <v>SOCMED</v>
      </c>
      <c r="W1272" s="68" t="str">
        <f>_xlfn.XLOOKUP(Customer[[#This Row],[Customer ID]],[1]!Address[ID],[1]!Address[CT])</f>
        <v/>
      </c>
      <c r="X1272" s="68"/>
      <c r="Y1272" s="69" t="s">
        <v>90</v>
      </c>
      <c r="Z1272" s="69" t="e">
        <f>_xlfn.XLOOKUP(Customer[[#This Row],[NewType]],$AF$36:$AF$54,$AG$36:$AG$54)</f>
        <v>#N/A</v>
      </c>
      <c r="AA1272" s="69" t="s">
        <v>8364</v>
      </c>
      <c r="AB1272" s="68" t="str">
        <f>_xlfn.XLOOKUP(Customer[[#This Row],[Customer ID]],[1]!Address[ID],[1]!Address[Subtype])</f>
        <v>ONLINE HAJAR</v>
      </c>
      <c r="AC1272" s="70" t="str">
        <f>_xlfn.XLOOKUP(Customer[[#This Row],[Customer ID]],[1]!Address[ID],[1]!Address[Zone])</f>
        <v>EEEDH</v>
      </c>
      <c r="AD1272" s="71"/>
    </row>
    <row r="1273" spans="1:30" x14ac:dyDescent="0.3">
      <c r="A1273" s="37" t="s">
        <v>8365</v>
      </c>
      <c r="B1273" s="38" t="str">
        <f>_xlfn.XLOOKUP(Customer[[#This Row],[Customer ID]],[1]!Name[ID],[1]!Name[Description(1)])</f>
        <v>AL HAMBRA ENTERPRISE</v>
      </c>
      <c r="C1273" s="38" t="str">
        <f>_xlfn.XLOOKUP(Customer[[#This Row],[Customer ID]],[1]!Name[ID],[1]!Name[Description(2)])</f>
        <v/>
      </c>
      <c r="D1273" s="38" t="str">
        <f>_xlfn.XLOOKUP(Customer[[#This Row],[Customer ID]],[1]!Address[ID],[1]!Address[PIC])</f>
        <v/>
      </c>
      <c r="E1273" s="38" t="str">
        <f>_xlfn.XLOOKUP(Customer[[#This Row],[Customer ID]],[1]!Address[ID],[1]!Address[Full Address])</f>
        <v>NO. 3, JALAN AU 1B/2E,TAMAN KERAMAT PERMAI,54200 KUALA LUMPUR</v>
      </c>
      <c r="F1273" s="12" t="s">
        <v>8366</v>
      </c>
      <c r="G1273" s="12" t="s">
        <v>8367</v>
      </c>
      <c r="H1273" s="24"/>
      <c r="I1273" s="24" t="b">
        <f>ISNUMBER(VALUE(LEFT(Customer[[#This Row],[Address Line 3 (30 char)]],1)))</f>
        <v>0</v>
      </c>
      <c r="J1273" s="12" t="s">
        <v>34</v>
      </c>
      <c r="K1273" s="12">
        <v>54200</v>
      </c>
      <c r="L1273" s="12" t="s">
        <v>35</v>
      </c>
      <c r="M1273" s="13" t="e">
        <v>#N/A</v>
      </c>
      <c r="N1273" s="14" t="e">
        <v>#N/A</v>
      </c>
      <c r="O1273" s="14" t="e">
        <v>#N/A</v>
      </c>
      <c r="P1273" s="14" t="e">
        <v>#N/A</v>
      </c>
      <c r="Q1273" s="14" t="e">
        <v>#N/A</v>
      </c>
      <c r="R1273" s="15" t="s">
        <v>8368</v>
      </c>
      <c r="S1273" s="15" t="s">
        <v>5917</v>
      </c>
      <c r="T1273" s="16" t="s">
        <v>3477</v>
      </c>
      <c r="U1273" s="11" t="str">
        <f>_xlfn.XLOOKUP(Customer[[#This Row],[Customer ID]],[1]!Address[ID],[1]!Address[Phone No.(2)])</f>
        <v/>
      </c>
      <c r="V1273" s="11" t="str">
        <f>_xlfn.XLOOKUP(Customer[[#This Row],[Customer ID]],[1]!Address[ID],[1]!Address[Type])</f>
        <v>CM</v>
      </c>
      <c r="W1273" s="11" t="str">
        <f>_xlfn.XLOOKUP(Customer[[#This Row],[Customer ID]],[1]!Address[ID],[1]!Address[CT])</f>
        <v>30 DAYS</v>
      </c>
      <c r="X1273" s="11"/>
      <c r="Y1273" s="17" t="s">
        <v>5918</v>
      </c>
      <c r="Z1273" s="17" t="e">
        <f>_xlfn.XLOOKUP(Customer[[#This Row],[NewType]],$AF$36:$AF$54,$AG$36:$AG$54)</f>
        <v>#N/A</v>
      </c>
      <c r="AA1273" s="17" t="s">
        <v>8369</v>
      </c>
      <c r="AB1273" s="11" t="str">
        <f>_xlfn.XLOOKUP(Customer[[#This Row],[Customer ID]],[1]!Address[ID],[1]!Address[Subtype])</f>
        <v>AL-HAMBRA</v>
      </c>
      <c r="AC1273" s="18" t="str">
        <f>_xlfn.XLOOKUP(Customer[[#This Row],[Customer ID]],[1]!Address[ID],[1]!Address[Zone])</f>
        <v>CENTRAL</v>
      </c>
    </row>
    <row r="1274" spans="1:30" x14ac:dyDescent="0.3">
      <c r="A1274" s="43" t="s">
        <v>8370</v>
      </c>
      <c r="B1274" s="44" t="str">
        <f>_xlfn.XLOOKUP(Customer[[#This Row],[Customer ID]],[1]!Name[ID],[1]!Name[Description(1)])</f>
        <v>AGENT NORHAYATI</v>
      </c>
      <c r="C1274" s="38" t="str">
        <f>_xlfn.XLOOKUP(Customer[[#This Row],[Customer ID]],[1]!Name[ID],[1]!Name[Description(2)])</f>
        <v/>
      </c>
      <c r="D1274" s="38" t="str">
        <f>_xlfn.XLOOKUP(Customer[[#This Row],[Customer ID]],[1]!Address[ID],[1]!Address[PIC])</f>
        <v>Norhayate Wahid</v>
      </c>
      <c r="E1274" s="38" t="str">
        <f>_xlfn.XLOOKUP(Customer[[#This Row],[Customer ID]],[1]!Address[ID],[1]!Address[Full Address])</f>
        <v>Nl.23 Jalan P 15H 4/5Presint 15 Putrajaya</v>
      </c>
      <c r="F1274" s="12" t="s">
        <v>8371</v>
      </c>
      <c r="G1274" s="12" t="s">
        <v>8372</v>
      </c>
      <c r="H1274" s="12" t="s">
        <v>36</v>
      </c>
      <c r="I1274" s="12" t="b">
        <f>ISNUMBER(VALUE(LEFT(Customer[[#This Row],[Address Line 3 (30 char)]],1)))</f>
        <v>0</v>
      </c>
      <c r="J1274" s="12" t="s">
        <v>4229</v>
      </c>
      <c r="K1274" s="12">
        <v>62050</v>
      </c>
      <c r="L1274" s="12" t="s">
        <v>35</v>
      </c>
      <c r="M1274" s="13" t="e">
        <v>#N/A</v>
      </c>
      <c r="N1274" s="31" t="s">
        <v>8373</v>
      </c>
      <c r="O1274" s="14" t="e">
        <v>#N/A</v>
      </c>
      <c r="P1274" s="14" t="e">
        <v>#N/A</v>
      </c>
      <c r="Q1274" s="19" t="s">
        <v>8374</v>
      </c>
      <c r="R1274" s="15" t="s">
        <v>8375</v>
      </c>
      <c r="S1274" s="15" t="s">
        <v>6645</v>
      </c>
      <c r="T1274" s="16" t="s">
        <v>38</v>
      </c>
      <c r="U1274" s="11" t="str">
        <f>_xlfn.XLOOKUP(Customer[[#This Row],[Customer ID]],[1]!Address[ID],[1]!Address[Phone No.(2)])</f>
        <v/>
      </c>
      <c r="V1274" s="11" t="str">
        <f>_xlfn.XLOOKUP(Customer[[#This Row],[Customer ID]],[1]!Address[ID],[1]!Address[Type])</f>
        <v>AGENT</v>
      </c>
      <c r="W1274" s="11" t="str">
        <f>_xlfn.XLOOKUP(Customer[[#This Row],[Customer ID]],[1]!Address[ID],[1]!Address[CT])</f>
        <v/>
      </c>
      <c r="X1274" s="11"/>
      <c r="Y1274" s="17" t="s">
        <v>6639</v>
      </c>
      <c r="Z1274" s="17" t="e">
        <f>_xlfn.XLOOKUP(Customer[[#This Row],[NewType]],$AF$36:$AF$54,$AG$36:$AG$54)</f>
        <v>#N/A</v>
      </c>
      <c r="AA1274" s="17" t="s">
        <v>8376</v>
      </c>
      <c r="AB1274" s="11" t="str">
        <f>_xlfn.XLOOKUP(Customer[[#This Row],[Customer ID]],[1]!Address[ID],[1]!Address[Subtype])</f>
        <v>AGENT HQ</v>
      </c>
      <c r="AC1274" s="18" t="str">
        <f>_xlfn.XLOOKUP(Customer[[#This Row],[Customer ID]],[1]!Address[ID],[1]!Address[Zone])</f>
        <v>CENTRAL</v>
      </c>
    </row>
    <row r="1275" spans="1:30" x14ac:dyDescent="0.3">
      <c r="A1275" s="37" t="s">
        <v>8377</v>
      </c>
      <c r="B1275" s="38" t="str">
        <f>_xlfn.XLOOKUP(Customer[[#This Row],[Customer ID]],[1]!Name[ID],[1]!Name[Description(1)])</f>
        <v>AGENT KHAIRUL</v>
      </c>
      <c r="C1275" s="38" t="str">
        <f>_xlfn.XLOOKUP(Customer[[#This Row],[Customer ID]],[1]!Name[ID],[1]!Name[Description(2)])</f>
        <v/>
      </c>
      <c r="D1275" s="38" t="str">
        <f>_xlfn.XLOOKUP(Customer[[#This Row],[Customer ID]],[1]!Address[ID],[1]!Address[PIC])</f>
        <v>WAN MUHAMMAD KH</v>
      </c>
      <c r="E1275" s="38" t="str">
        <f>_xlfn.XLOOKUP(Customer[[#This Row],[Customer ID]],[1]!Address[ID],[1]!Address[Full Address])</f>
        <v>34-4 JALAN AMANSIARA 2/7,TAMAN AMANSIARA, 48000 RAWANG, SELANGOR</v>
      </c>
      <c r="F1275" s="12" t="s">
        <v>8378</v>
      </c>
      <c r="G1275" s="12" t="s">
        <v>8379</v>
      </c>
      <c r="H1275" s="86" t="s">
        <v>7979</v>
      </c>
      <c r="I1275" s="86" t="b">
        <f>ISNUMBER(VALUE(LEFT(Customer[[#This Row],[Address Line 3 (30 char)]],1)))</f>
        <v>0</v>
      </c>
      <c r="J1275" s="12" t="s">
        <v>172</v>
      </c>
      <c r="K1275" s="12">
        <v>48000</v>
      </c>
      <c r="L1275" s="12" t="s">
        <v>35</v>
      </c>
      <c r="M1275" s="13" t="e">
        <v>#N/A</v>
      </c>
      <c r="N1275" s="14" t="s">
        <v>8380</v>
      </c>
      <c r="O1275" s="14" t="e">
        <v>#N/A</v>
      </c>
      <c r="P1275" s="14" t="e">
        <v>#N/A</v>
      </c>
      <c r="Q1275" s="19" t="s">
        <v>8381</v>
      </c>
      <c r="R1275" s="15" t="s">
        <v>8382</v>
      </c>
      <c r="S1275" s="15" t="s">
        <v>6645</v>
      </c>
      <c r="T1275" s="16" t="s">
        <v>38</v>
      </c>
      <c r="U1275" s="11" t="str">
        <f>_xlfn.XLOOKUP(Customer[[#This Row],[Customer ID]],[1]!Address[ID],[1]!Address[Phone No.(2)])</f>
        <v/>
      </c>
      <c r="V1275" s="11" t="str">
        <f>_xlfn.XLOOKUP(Customer[[#This Row],[Customer ID]],[1]!Address[ID],[1]!Address[Type])</f>
        <v>AGENT</v>
      </c>
      <c r="W1275" s="11" t="str">
        <f>_xlfn.XLOOKUP(Customer[[#This Row],[Customer ID]],[1]!Address[ID],[1]!Address[CT])</f>
        <v/>
      </c>
      <c r="X1275" s="11"/>
      <c r="Y1275" s="17" t="s">
        <v>6639</v>
      </c>
      <c r="Z1275" s="17" t="e">
        <f>_xlfn.XLOOKUP(Customer[[#This Row],[NewType]],$AF$36:$AF$54,$AG$36:$AG$54)</f>
        <v>#N/A</v>
      </c>
      <c r="AA1275" s="17" t="s">
        <v>8383</v>
      </c>
      <c r="AB1275" s="11" t="str">
        <f>_xlfn.XLOOKUP(Customer[[#This Row],[Customer ID]],[1]!Address[ID],[1]!Address[Subtype])</f>
        <v>AGENT HQ</v>
      </c>
      <c r="AC1275" s="18" t="str">
        <f>_xlfn.XLOOKUP(Customer[[#This Row],[Customer ID]],[1]!Address[ID],[1]!Address[Zone])</f>
        <v>IANTH</v>
      </c>
    </row>
    <row r="1276" spans="1:30" x14ac:dyDescent="0.3">
      <c r="A1276" s="46" t="s">
        <v>8384</v>
      </c>
      <c r="B1276" s="24" t="str">
        <f>_xlfn.XLOOKUP(Customer[[#This Row],[Customer ID]],[1]!Name[ID],[1]!Name[Description(1)])</f>
        <v>AGENT QIENA</v>
      </c>
      <c r="C1276" s="24" t="str">
        <f>_xlfn.XLOOKUP(Customer[[#This Row],[Customer ID]],[1]!Name[ID],[1]!Name[Description(2)])</f>
        <v/>
      </c>
      <c r="D1276" s="38" t="str">
        <f>_xlfn.XLOOKUP(Customer[[#This Row],[Customer ID]],[1]!Address[ID],[1]!Address[PIC])</f>
        <v/>
      </c>
      <c r="E1276" s="38" t="str">
        <f>_xlfn.XLOOKUP(Customer[[#This Row],[Customer ID]],[1]!Address[ID],[1]!Address[Full Address])</f>
        <v/>
      </c>
      <c r="F1276" s="12" t="s">
        <v>36</v>
      </c>
      <c r="G1276" s="12" t="s">
        <v>36</v>
      </c>
      <c r="H1276" s="12" t="s">
        <v>36</v>
      </c>
      <c r="I1276" s="12" t="b">
        <f>ISNUMBER(VALUE(LEFT(Customer[[#This Row],[Address Line 3 (30 char)]],1)))</f>
        <v>0</v>
      </c>
      <c r="J1276" s="24"/>
      <c r="K1276" s="24"/>
      <c r="L1276" s="12" t="s">
        <v>35</v>
      </c>
      <c r="M1276" s="13" t="e">
        <v>#N/A</v>
      </c>
      <c r="N1276" s="14" t="e">
        <v>#N/A</v>
      </c>
      <c r="O1276" s="14" t="e">
        <v>#N/A</v>
      </c>
      <c r="P1276" s="14" t="e">
        <v>#N/A</v>
      </c>
      <c r="Q1276" s="14" t="e">
        <v>#N/A</v>
      </c>
      <c r="R1276" s="15" t="s">
        <v>36</v>
      </c>
      <c r="S1276" s="15" t="s">
        <v>6645</v>
      </c>
      <c r="T1276" s="16" t="s">
        <v>38</v>
      </c>
      <c r="U1276" s="11" t="str">
        <f>_xlfn.XLOOKUP(Customer[[#This Row],[Customer ID]],[1]!Address[ID],[1]!Address[Phone No.(2)])</f>
        <v/>
      </c>
      <c r="V1276" s="11" t="str">
        <f>_xlfn.XLOOKUP(Customer[[#This Row],[Customer ID]],[1]!Address[ID],[1]!Address[Type])</f>
        <v>AGENT</v>
      </c>
      <c r="W1276" s="11" t="str">
        <f>_xlfn.XLOOKUP(Customer[[#This Row],[Customer ID]],[1]!Address[ID],[1]!Address[CT])</f>
        <v/>
      </c>
      <c r="X1276" s="11"/>
      <c r="Y1276" s="17" t="s">
        <v>6639</v>
      </c>
      <c r="Z1276" s="17" t="e">
        <f>_xlfn.XLOOKUP(Customer[[#This Row],[NewType]],$AF$36:$AF$54,$AG$36:$AG$54)</f>
        <v>#N/A</v>
      </c>
      <c r="AA1276" s="17" t="s">
        <v>8385</v>
      </c>
      <c r="AB1276" s="11" t="str">
        <f>_xlfn.XLOOKUP(Customer[[#This Row],[Customer ID]],[1]!Address[ID],[1]!Address[Subtype])</f>
        <v>AGENT HQ</v>
      </c>
      <c r="AC1276" s="18" t="str">
        <f>_xlfn.XLOOKUP(Customer[[#This Row],[Customer ID]],[1]!Address[ID],[1]!Address[Zone])</f>
        <v xml:space="preserve"> TNTH</v>
      </c>
    </row>
    <row r="1277" spans="1:30" x14ac:dyDescent="0.3">
      <c r="A1277" s="46" t="s">
        <v>8386</v>
      </c>
      <c r="B1277" s="24" t="str">
        <f>_xlfn.XLOOKUP(Customer[[#This Row],[Customer ID]],[1]!Name[ID],[1]!Name[Description(1)])</f>
        <v>AGENT CAPT MUHAFIZ</v>
      </c>
      <c r="C1277" s="24" t="str">
        <f>_xlfn.XLOOKUP(Customer[[#This Row],[Customer ID]],[1]!Name[ID],[1]!Name[Description(2)])</f>
        <v/>
      </c>
      <c r="D1277" s="38" t="str">
        <f>_xlfn.XLOOKUP(Customer[[#This Row],[Customer ID]],[1]!Address[ID],[1]!Address[PIC])</f>
        <v/>
      </c>
      <c r="E1277" s="38" t="str">
        <f>_xlfn.XLOOKUP(Customer[[#This Row],[Customer ID]],[1]!Address[ID],[1]!Address[Full Address])</f>
        <v/>
      </c>
      <c r="F1277" s="12" t="s">
        <v>36</v>
      </c>
      <c r="G1277" s="12" t="s">
        <v>36</v>
      </c>
      <c r="H1277" s="12" t="s">
        <v>36</v>
      </c>
      <c r="I1277" s="12" t="b">
        <f>ISNUMBER(VALUE(LEFT(Customer[[#This Row],[Address Line 3 (30 char)]],1)))</f>
        <v>0</v>
      </c>
      <c r="J1277" s="24"/>
      <c r="K1277" s="24"/>
      <c r="L1277" s="12" t="s">
        <v>35</v>
      </c>
      <c r="M1277" s="13" t="e">
        <v>#N/A</v>
      </c>
      <c r="N1277" s="14" t="e">
        <v>#N/A</v>
      </c>
      <c r="O1277" s="14" t="e">
        <v>#N/A</v>
      </c>
      <c r="P1277" s="14" t="e">
        <v>#N/A</v>
      </c>
      <c r="Q1277" s="14" t="e">
        <v>#N/A</v>
      </c>
      <c r="R1277" s="15" t="s">
        <v>36</v>
      </c>
      <c r="S1277" s="15" t="s">
        <v>6645</v>
      </c>
      <c r="T1277" s="16" t="s">
        <v>38</v>
      </c>
      <c r="U1277" s="11" t="str">
        <f>_xlfn.XLOOKUP(Customer[[#This Row],[Customer ID]],[1]!Address[ID],[1]!Address[Phone No.(2)])</f>
        <v/>
      </c>
      <c r="V1277" s="11" t="str">
        <f>_xlfn.XLOOKUP(Customer[[#This Row],[Customer ID]],[1]!Address[ID],[1]!Address[Type])</f>
        <v>AGENT</v>
      </c>
      <c r="W1277" s="11" t="str">
        <f>_xlfn.XLOOKUP(Customer[[#This Row],[Customer ID]],[1]!Address[ID],[1]!Address[CT])</f>
        <v/>
      </c>
      <c r="X1277" s="11"/>
      <c r="Y1277" s="17" t="s">
        <v>6639</v>
      </c>
      <c r="Z1277" s="17" t="e">
        <f>_xlfn.XLOOKUP(Customer[[#This Row],[NewType]],$AF$36:$AF$54,$AG$36:$AG$54)</f>
        <v>#N/A</v>
      </c>
      <c r="AA1277" s="17" t="s">
        <v>8387</v>
      </c>
      <c r="AB1277" s="11" t="str">
        <f>_xlfn.XLOOKUP(Customer[[#This Row],[Customer ID]],[1]!Address[ID],[1]!Address[Subtype])</f>
        <v>AGENT HQ</v>
      </c>
      <c r="AC1277" s="18" t="str">
        <f>_xlfn.XLOOKUP(Customer[[#This Row],[Customer ID]],[1]!Address[ID],[1]!Address[Zone])</f>
        <v xml:space="preserve"> TNTH</v>
      </c>
    </row>
    <row r="1278" spans="1:30" x14ac:dyDescent="0.3">
      <c r="A1278" s="37" t="s">
        <v>8388</v>
      </c>
      <c r="B1278" s="38" t="str">
        <f>_xlfn.XLOOKUP(Customer[[#This Row],[Customer ID]],[1]!Name[ID],[1]!Name[Description(1)])</f>
        <v>SU POLITIK YB MENTERI KUSKOP</v>
      </c>
      <c r="C1278" s="38" t="str">
        <f>_xlfn.XLOOKUP(Customer[[#This Row],[Customer ID]],[1]!Name[ID],[1]!Name[Description(2)])</f>
        <v/>
      </c>
      <c r="D1278" s="38" t="str">
        <f>_xlfn.XLOOKUP(Customer[[#This Row],[Customer ID]],[1]!Address[ID],[1]!Address[PIC])</f>
        <v/>
      </c>
      <c r="E1278" s="38" t="str">
        <f>_xlfn.XLOOKUP(Customer[[#This Row],[Customer ID]],[1]!Address[ID],[1]!Address[Full Address])</f>
        <v>BLOK E4/5, KOMPLEKS KERAJAAN PARCEL E,PUSAT PENTADBIRAN KERAJAAN,62668 PUTRAJAYA</v>
      </c>
      <c r="F1278" s="12" t="s">
        <v>8389</v>
      </c>
      <c r="G1278" s="12" t="s">
        <v>8390</v>
      </c>
      <c r="H1278" s="12" t="s">
        <v>8391</v>
      </c>
      <c r="I1278" s="12" t="b">
        <f>ISNUMBER(VALUE(LEFT(Customer[[#This Row],[Address Line 3 (30 char)]],1)))</f>
        <v>0</v>
      </c>
      <c r="J1278" s="12" t="s">
        <v>4229</v>
      </c>
      <c r="K1278" s="12">
        <v>62668</v>
      </c>
      <c r="L1278" s="12" t="s">
        <v>35</v>
      </c>
      <c r="M1278" s="13" t="e">
        <v>#N/A</v>
      </c>
      <c r="N1278" s="14" t="e">
        <v>#N/A</v>
      </c>
      <c r="O1278" s="14" t="e">
        <v>#N/A</v>
      </c>
      <c r="P1278" s="14" t="e">
        <v>#N/A</v>
      </c>
      <c r="Q1278" s="14" t="e">
        <v>#N/A</v>
      </c>
      <c r="R1278" s="15" t="s">
        <v>8106</v>
      </c>
      <c r="S1278" s="15" t="s">
        <v>5934</v>
      </c>
      <c r="T1278" s="16" t="s">
        <v>3477</v>
      </c>
      <c r="U1278" s="11" t="str">
        <f>_xlfn.XLOOKUP(Customer[[#This Row],[Customer ID]],[1]!Address[ID],[1]!Address[Phone No.(2)])</f>
        <v/>
      </c>
      <c r="V1278" s="11" t="str">
        <f>_xlfn.XLOOKUP(Customer[[#This Row],[Customer ID]],[1]!Address[ID],[1]!Address[Type])</f>
        <v>CORPORATE</v>
      </c>
      <c r="W1278" s="11" t="str">
        <f>_xlfn.XLOOKUP(Customer[[#This Row],[Customer ID]],[1]!Address[ID],[1]!Address[CT])</f>
        <v>30 DAYS</v>
      </c>
      <c r="X1278" s="11"/>
      <c r="Y1278" s="17" t="s">
        <v>6418</v>
      </c>
      <c r="Z1278" s="17" t="e">
        <f>_xlfn.XLOOKUP(Customer[[#This Row],[NewType]],$AF$36:$AF$54,$AG$36:$AG$54)</f>
        <v>#N/A</v>
      </c>
      <c r="AA1278" s="17" t="s">
        <v>8392</v>
      </c>
      <c r="AB1278" s="11" t="str">
        <f>_xlfn.XLOOKUP(Customer[[#This Row],[Customer ID]],[1]!Address[ID],[1]!Address[Subtype])</f>
        <v>KUSKOP</v>
      </c>
      <c r="AC1278" s="18" t="str">
        <f>_xlfn.XLOOKUP(Customer[[#This Row],[Customer ID]],[1]!Address[ID],[1]!Address[Zone])</f>
        <v>CENTRAL</v>
      </c>
    </row>
    <row r="1279" spans="1:30" x14ac:dyDescent="0.3">
      <c r="A1279" s="37" t="s">
        <v>8393</v>
      </c>
      <c r="B1279" s="38" t="str">
        <f>_xlfn.XLOOKUP(Customer[[#This Row],[Customer ID]],[1]!Name[ID],[1]!Name[Description(1)])</f>
        <v>JEFFRI MD RAMLI</v>
      </c>
      <c r="C1279" s="38" t="str">
        <f>_xlfn.XLOOKUP(Customer[[#This Row],[Customer ID]],[1]!Name[ID],[1]!Name[Description(2)])</f>
        <v>OLIVE HOUSE MERU RAYA</v>
      </c>
      <c r="D1279" s="38" t="str">
        <f>_xlfn.XLOOKUP(Customer[[#This Row],[Customer ID]],[1]!Address[ID],[1]!Address[PIC])</f>
        <v/>
      </c>
      <c r="E1279" s="38" t="str">
        <f>_xlfn.XLOOKUP(Customer[[#This Row],[Customer ID]],[1]!Address[ID],[1]!Address[Full Address])</f>
        <v>UNCLE TOK MART, 4846 JALAN KENANGAN,41050 MERU, KLANG</v>
      </c>
      <c r="F1279" s="12" t="s">
        <v>8394</v>
      </c>
      <c r="G1279" s="12" t="s">
        <v>8395</v>
      </c>
      <c r="H1279" s="12" t="s">
        <v>8396</v>
      </c>
      <c r="I1279" s="12" t="b">
        <f>ISNUMBER(VALUE(LEFT(Customer[[#This Row],[Address Line 3 (30 char)]],1)))</f>
        <v>0</v>
      </c>
      <c r="J1279" s="12" t="s">
        <v>172</v>
      </c>
      <c r="K1279" s="12">
        <v>41050</v>
      </c>
      <c r="L1279" s="12" t="s">
        <v>35</v>
      </c>
      <c r="M1279" s="13" t="e">
        <v>#N/A</v>
      </c>
      <c r="N1279" s="14" t="e">
        <v>#N/A</v>
      </c>
      <c r="O1279" s="14" t="e">
        <v>#N/A</v>
      </c>
      <c r="P1279" s="14" t="e">
        <v>#N/A</v>
      </c>
      <c r="Q1279" s="14" t="e">
        <v>#N/A</v>
      </c>
      <c r="R1279" s="15" t="s">
        <v>8397</v>
      </c>
      <c r="S1279" s="15" t="s">
        <v>88</v>
      </c>
      <c r="T1279" s="16" t="s">
        <v>89</v>
      </c>
      <c r="U1279" s="11" t="str">
        <f>_xlfn.XLOOKUP(Customer[[#This Row],[Customer ID]],[1]!Address[ID],[1]!Address[Phone No.(2)])</f>
        <v/>
      </c>
      <c r="V1279" s="11" t="str">
        <f>_xlfn.XLOOKUP(Customer[[#This Row],[Customer ID]],[1]!Address[ID],[1]!Address[Type])</f>
        <v>SOCMED</v>
      </c>
      <c r="W1279" s="11" t="str">
        <f>_xlfn.XLOOKUP(Customer[[#This Row],[Customer ID]],[1]!Address[ID],[1]!Address[CT])</f>
        <v/>
      </c>
      <c r="X1279" s="11"/>
      <c r="Y1279" s="17" t="s">
        <v>90</v>
      </c>
      <c r="Z1279" s="17" t="e">
        <f>_xlfn.XLOOKUP(Customer[[#This Row],[NewType]],$AF$36:$AF$54,$AG$36:$AG$54)</f>
        <v>#N/A</v>
      </c>
      <c r="AA1279" s="17" t="s">
        <v>8398</v>
      </c>
      <c r="AB1279" s="11" t="str">
        <f>_xlfn.XLOOKUP(Customer[[#This Row],[Customer ID]],[1]!Address[ID],[1]!Address[Subtype])</f>
        <v>ONLINE ROS</v>
      </c>
      <c r="AC1279" s="18" t="str">
        <f>_xlfn.XLOOKUP(Customer[[#This Row],[Customer ID]],[1]!Address[ID],[1]!Address[Zone])</f>
        <v>CENTRAL</v>
      </c>
    </row>
    <row r="1280" spans="1:30" x14ac:dyDescent="0.3">
      <c r="A1280" s="37" t="s">
        <v>8399</v>
      </c>
      <c r="B1280" s="38" t="str">
        <f>_xlfn.XLOOKUP(Customer[[#This Row],[Customer ID]],[1]!Name[ID],[1]!Name[Description(1)])</f>
        <v>MINO MART PERSADA PLUS</v>
      </c>
      <c r="C1280" s="38" t="str">
        <f>_xlfn.XLOOKUP(Customer[[#This Row],[Customer ID]],[1]!Name[ID],[1]!Name[Description(2)])</f>
        <v/>
      </c>
      <c r="D1280" s="38" t="str">
        <f>_xlfn.XLOOKUP(Customer[[#This Row],[Customer ID]],[1]!Address[ID],[1]!Address[PIC])</f>
        <v/>
      </c>
      <c r="E1280" s="38" t="str">
        <f>_xlfn.XLOOKUP(Customer[[#This Row],[Customer ID]],[1]!Address[ID],[1]!Address[Full Address])</f>
        <v>MINO MART PERSADA PLUSPERSIMPANGAN BERTINGKAT SUBANG KM15NKVE, 47301 PJ SELANGOR</v>
      </c>
      <c r="F1280" s="12" t="s">
        <v>8400</v>
      </c>
      <c r="G1280" s="12" t="s">
        <v>7060</v>
      </c>
      <c r="H1280" s="12" t="s">
        <v>8401</v>
      </c>
      <c r="I1280" s="12" t="b">
        <f>ISNUMBER(VALUE(LEFT(Customer[[#This Row],[Address Line 3 (30 char)]],1)))</f>
        <v>0</v>
      </c>
      <c r="J1280" s="12" t="s">
        <v>172</v>
      </c>
      <c r="K1280" s="12">
        <v>47301</v>
      </c>
      <c r="L1280" s="12" t="s">
        <v>35</v>
      </c>
      <c r="M1280" s="13" t="e">
        <v>#N/A</v>
      </c>
      <c r="N1280" s="14" t="e">
        <v>#N/A</v>
      </c>
      <c r="O1280" s="14" t="e">
        <v>#N/A</v>
      </c>
      <c r="P1280" s="14" t="e">
        <v>#N/A</v>
      </c>
      <c r="Q1280" s="14" t="e">
        <v>#N/A</v>
      </c>
      <c r="R1280" s="15" t="s">
        <v>8402</v>
      </c>
      <c r="S1280" s="15" t="s">
        <v>5925</v>
      </c>
      <c r="T1280" s="16" t="s">
        <v>3477</v>
      </c>
      <c r="U1280" s="11" t="str">
        <f>_xlfn.XLOOKUP(Customer[[#This Row],[Customer ID]],[1]!Address[ID],[1]!Address[Phone No.(2)])</f>
        <v/>
      </c>
      <c r="V1280" s="11" t="str">
        <f>_xlfn.XLOOKUP(Customer[[#This Row],[Customer ID]],[1]!Address[ID],[1]!Address[Type])</f>
        <v>CAFE</v>
      </c>
      <c r="W1280" s="11" t="str">
        <f>_xlfn.XLOOKUP(Customer[[#This Row],[Customer ID]],[1]!Address[ID],[1]!Address[CT])</f>
        <v>30 DAYS</v>
      </c>
      <c r="X1280" s="11"/>
      <c r="Y1280" s="17" t="s">
        <v>5926</v>
      </c>
      <c r="Z1280" s="17" t="e">
        <f>_xlfn.XLOOKUP(Customer[[#This Row],[NewType]],$AF$36:$AF$54,$AG$36:$AG$54)</f>
        <v>#N/A</v>
      </c>
      <c r="AA1280" s="17" t="s">
        <v>8403</v>
      </c>
      <c r="AB1280" s="11" t="str">
        <f>_xlfn.XLOOKUP(Customer[[#This Row],[Customer ID]],[1]!Address[ID],[1]!Address[Subtype])</f>
        <v>PLUS</v>
      </c>
      <c r="AC1280" s="18">
        <f>_xlfn.XLOOKUP(Customer[[#This Row],[Customer ID]],[1]!Address[ID],[1]!Address[Zone])</f>
        <v>0</v>
      </c>
    </row>
    <row r="1281" spans="1:29" x14ac:dyDescent="0.3">
      <c r="A1281" s="37" t="s">
        <v>8404</v>
      </c>
      <c r="B1281" s="38" t="str">
        <f>_xlfn.XLOOKUP(Customer[[#This Row],[Customer ID]],[1]!Name[ID],[1]!Name[Description(1)])</f>
        <v>PHARMARA BESTARI SDN BHD</v>
      </c>
      <c r="C1281" s="38" t="str">
        <f>_xlfn.XLOOKUP(Customer[[#This Row],[Customer ID]],[1]!Name[ID],[1]!Name[Description(2)])</f>
        <v/>
      </c>
      <c r="D1281" s="38" t="str">
        <f>_xlfn.XLOOKUP(Customer[[#This Row],[Customer ID]],[1]!Address[ID],[1]!Address[PIC])</f>
        <v/>
      </c>
      <c r="E1281" s="38" t="str">
        <f>_xlfn.XLOOKUP(Customer[[#This Row],[Customer ID]],[1]!Address[ID],[1]!Address[Full Address])</f>
        <v>ALSYIFAA FARMASI JENGKANO 30/31 LORONG MUTIARA 6,LOT NADI KOTA,26400 BANDAR JENGKA, PAHANG</v>
      </c>
      <c r="F1281" s="12" t="s">
        <v>8405</v>
      </c>
      <c r="G1281" s="12" t="s">
        <v>8406</v>
      </c>
      <c r="H1281" s="12" t="s">
        <v>8407</v>
      </c>
      <c r="I1281" s="12" t="b">
        <f>ISNUMBER(VALUE(LEFT(Customer[[#This Row],[Address Line 3 (30 char)]],1)))</f>
        <v>0</v>
      </c>
      <c r="J1281" s="12" t="s">
        <v>339</v>
      </c>
      <c r="K1281" s="12">
        <v>26400</v>
      </c>
      <c r="L1281" s="12" t="s">
        <v>35</v>
      </c>
      <c r="M1281" s="13" t="e">
        <v>#N/A</v>
      </c>
      <c r="N1281" s="14" t="e">
        <v>#N/A</v>
      </c>
      <c r="O1281" s="14" t="e">
        <v>#N/A</v>
      </c>
      <c r="P1281" s="14" t="e">
        <v>#N/A</v>
      </c>
      <c r="Q1281" s="14" t="e">
        <v>#N/A</v>
      </c>
      <c r="R1281" s="15" t="s">
        <v>8408</v>
      </c>
      <c r="S1281" s="15" t="s">
        <v>88</v>
      </c>
      <c r="T1281" s="16" t="s">
        <v>89</v>
      </c>
      <c r="U1281" s="11" t="str">
        <f>_xlfn.XLOOKUP(Customer[[#This Row],[Customer ID]],[1]!Address[ID],[1]!Address[Phone No.(2)])</f>
        <v/>
      </c>
      <c r="V1281" s="11" t="str">
        <f>_xlfn.XLOOKUP(Customer[[#This Row],[Customer ID]],[1]!Address[ID],[1]!Address[Type])</f>
        <v>SOCMED</v>
      </c>
      <c r="W1281" s="11" t="str">
        <f>_xlfn.XLOOKUP(Customer[[#This Row],[Customer ID]],[1]!Address[ID],[1]!Address[CT])</f>
        <v/>
      </c>
      <c r="X1281" s="11"/>
      <c r="Y1281" s="17" t="s">
        <v>90</v>
      </c>
      <c r="Z1281" s="17" t="e">
        <f>_xlfn.XLOOKUP(Customer[[#This Row],[NewType]],$AF$36:$AF$54,$AG$36:$AG$54)</f>
        <v>#N/A</v>
      </c>
      <c r="AA1281" s="17" t="s">
        <v>8409</v>
      </c>
      <c r="AB1281" s="11" t="str">
        <f>_xlfn.XLOOKUP(Customer[[#This Row],[Customer ID]],[1]!Address[ID],[1]!Address[Subtype])</f>
        <v>ONLINE ROS</v>
      </c>
      <c r="AC1281" s="18" t="str">
        <f>_xlfn.XLOOKUP(Customer[[#This Row],[Customer ID]],[1]!Address[ID],[1]!Address[Zone])</f>
        <v>PRMARAACMKA</v>
      </c>
    </row>
    <row r="1282" spans="1:29" x14ac:dyDescent="0.3">
      <c r="A1282" s="37" t="s">
        <v>8410</v>
      </c>
      <c r="B1282" s="38" t="str">
        <f>_xlfn.XLOOKUP(Customer[[#This Row],[Customer ID]],[1]!Name[ID],[1]!Name[Description(1)])</f>
        <v>KACANG PUTIH MK PAGOH &amp; CAFE</v>
      </c>
      <c r="C1282" s="38" t="str">
        <f>_xlfn.XLOOKUP(Customer[[#This Row],[Customer ID]],[1]!Name[ID],[1]!Name[Description(2)])</f>
        <v/>
      </c>
      <c r="D1282" s="38" t="str">
        <f>_xlfn.XLOOKUP(Customer[[#This Row],[Customer ID]],[1]!Address[ID],[1]!Address[PIC])</f>
        <v/>
      </c>
      <c r="E1282" s="38" t="str">
        <f>_xlfn.XLOOKUP(Customer[[#This Row],[Customer ID]],[1]!Address[ID],[1]!Address[Full Address])</f>
        <v>NO 5, RNR PAGOH ARAH UTARAKM 146 LEBUHRAYA UTARA SELATAN PLUSPAGOH 84600 JOHOR</v>
      </c>
      <c r="F1282" s="12" t="s">
        <v>8411</v>
      </c>
      <c r="G1282" s="12" t="s">
        <v>8412</v>
      </c>
      <c r="H1282" s="12" t="s">
        <v>8413</v>
      </c>
      <c r="I1282" s="12" t="b">
        <f>ISNUMBER(VALUE(LEFT(Customer[[#This Row],[Address Line 3 (30 char)]],1)))</f>
        <v>0</v>
      </c>
      <c r="J1282" s="12" t="s">
        <v>52</v>
      </c>
      <c r="K1282" s="12">
        <v>84600</v>
      </c>
      <c r="L1282" s="12" t="s">
        <v>35</v>
      </c>
      <c r="M1282" s="13" t="e">
        <v>#N/A</v>
      </c>
      <c r="N1282" s="14" t="e">
        <v>#N/A</v>
      </c>
      <c r="O1282" s="14" t="e">
        <v>#N/A</v>
      </c>
      <c r="P1282" s="14" t="e">
        <v>#N/A</v>
      </c>
      <c r="Q1282" s="14" t="e">
        <v>#N/A</v>
      </c>
      <c r="R1282" s="15" t="s">
        <v>8414</v>
      </c>
      <c r="S1282" s="15" t="s">
        <v>5925</v>
      </c>
      <c r="T1282" s="16" t="s">
        <v>3477</v>
      </c>
      <c r="U1282" s="11" t="str">
        <f>_xlfn.XLOOKUP(Customer[[#This Row],[Customer ID]],[1]!Address[ID],[1]!Address[Phone No.(2)])</f>
        <v/>
      </c>
      <c r="V1282" s="11" t="str">
        <f>_xlfn.XLOOKUP(Customer[[#This Row],[Customer ID]],[1]!Address[ID],[1]!Address[Type])</f>
        <v>CAFE</v>
      </c>
      <c r="W1282" s="11" t="str">
        <f>_xlfn.XLOOKUP(Customer[[#This Row],[Customer ID]],[1]!Address[ID],[1]!Address[CT])</f>
        <v>30 days</v>
      </c>
      <c r="X1282" s="11"/>
      <c r="Y1282" s="17" t="s">
        <v>5926</v>
      </c>
      <c r="Z1282" s="17" t="e">
        <f>_xlfn.XLOOKUP(Customer[[#This Row],[NewType]],$AF$36:$AF$54,$AG$36:$AG$54)</f>
        <v>#N/A</v>
      </c>
      <c r="AA1282" s="17" t="s">
        <v>8415</v>
      </c>
      <c r="AB1282" s="11" t="str">
        <f>_xlfn.XLOOKUP(Customer[[#This Row],[Customer ID]],[1]!Address[ID],[1]!Address[Subtype])</f>
        <v>PLUS</v>
      </c>
      <c r="AC1282" s="18" t="str">
        <f>_xlfn.XLOOKUP(Customer[[#This Row],[Customer ID]],[1]!Address[ID],[1]!Address[Zone])</f>
        <v>SOUTH</v>
      </c>
    </row>
    <row r="1283" spans="1:29" x14ac:dyDescent="0.3">
      <c r="A1283" s="43" t="s">
        <v>8416</v>
      </c>
      <c r="B1283" s="44" t="str">
        <f>_xlfn.XLOOKUP(Customer[[#This Row],[Customer ID]],[1]!Name[ID],[1]!Name[Description(1)])</f>
        <v>STESEN NOR ENTERPRISE</v>
      </c>
      <c r="C1283" s="38" t="str">
        <f>_xlfn.XLOOKUP(Customer[[#This Row],[Customer ID]],[1]!Name[ID],[1]!Name[Description(2)])</f>
        <v>PS ARAU</v>
      </c>
      <c r="D1283" s="38" t="str">
        <f>_xlfn.XLOOKUP(Customer[[#This Row],[Customer ID]],[1]!Address[ID],[1]!Address[PIC])</f>
        <v/>
      </c>
      <c r="E1283" s="38" t="str">
        <f>_xlfn.XLOOKUP(Customer[[#This Row],[Customer ID]],[1]!Address[ID],[1]!Address[Full Address])</f>
        <v>PS ARAULot 3724 , Guar Sanji,Mukim Arau,02600 Arau  Perlis</v>
      </c>
      <c r="F1283" s="12" t="s">
        <v>8417</v>
      </c>
      <c r="G1283" s="12" t="s">
        <v>8418</v>
      </c>
      <c r="H1283" s="12" t="s">
        <v>8419</v>
      </c>
      <c r="I1283" s="12" t="b">
        <f>ISNUMBER(VALUE(LEFT(Customer[[#This Row],[Address Line 3 (30 char)]],1)))</f>
        <v>0</v>
      </c>
      <c r="J1283" s="12" t="s">
        <v>984</v>
      </c>
      <c r="K1283" s="30" t="s">
        <v>2472</v>
      </c>
      <c r="L1283" s="12" t="s">
        <v>35</v>
      </c>
      <c r="M1283" s="13" t="e">
        <v>#N/A</v>
      </c>
      <c r="N1283" s="14" t="e">
        <v>#N/A</v>
      </c>
      <c r="O1283" s="14" t="e">
        <v>#N/A</v>
      </c>
      <c r="P1283" s="14" t="e">
        <v>#N/A</v>
      </c>
      <c r="Q1283" s="19" t="s">
        <v>8420</v>
      </c>
      <c r="R1283" s="15" t="s">
        <v>8421</v>
      </c>
      <c r="S1283" s="15" t="s">
        <v>37</v>
      </c>
      <c r="T1283" s="16" t="s">
        <v>38</v>
      </c>
      <c r="U1283" s="11" t="str">
        <f>_xlfn.XLOOKUP(Customer[[#This Row],[Customer ID]],[1]!Address[ID],[1]!Address[Phone No.(2)])</f>
        <v/>
      </c>
      <c r="V1283" s="11" t="str">
        <f>_xlfn.XLOOKUP(Customer[[#This Row],[Customer ID]],[1]!Address[ID],[1]!Address[Type])</f>
        <v>PETROMART</v>
      </c>
      <c r="W1283" s="11" t="str">
        <f>_xlfn.XLOOKUP(Customer[[#This Row],[Customer ID]],[1]!Address[ID],[1]!Address[CT])</f>
        <v>30</v>
      </c>
      <c r="X1283" s="11" t="s">
        <v>39</v>
      </c>
      <c r="Y1283" s="17" t="s">
        <v>40</v>
      </c>
      <c r="Z1283" s="17" t="e">
        <f>_xlfn.XLOOKUP(Customer[[#This Row],[NewType]],$AF$36:$AF$54,$AG$36:$AG$54)</f>
        <v>#N/A</v>
      </c>
      <c r="AA1283" s="17" t="s">
        <v>8422</v>
      </c>
      <c r="AB1283" s="11" t="str">
        <f>_xlfn.XLOOKUP(Customer[[#This Row],[Customer ID]],[1]!Address[ID],[1]!Address[Subtype])</f>
        <v>PETRONAS</v>
      </c>
      <c r="AC1283" s="18" t="str">
        <f>_xlfn.XLOOKUP(Customer[[#This Row],[Customer ID]],[1]!Address[ID],[1]!Address[Zone])</f>
        <v>NORTH</v>
      </c>
    </row>
    <row r="1284" spans="1:29" x14ac:dyDescent="0.3">
      <c r="A1284" s="46" t="s">
        <v>8423</v>
      </c>
      <c r="B1284" s="24" t="str">
        <f>_xlfn.XLOOKUP(Customer[[#This Row],[Customer ID]],[1]!Name[ID],[1]!Name[Description(1)])</f>
        <v>CUSTOMER WALK IN PEDAS</v>
      </c>
      <c r="C1284" s="24" t="str">
        <f>_xlfn.XLOOKUP(Customer[[#This Row],[Customer ID]],[1]!Name[ID],[1]!Name[Description(2)])</f>
        <v/>
      </c>
      <c r="D1284" s="38" t="str">
        <f>_xlfn.XLOOKUP(Customer[[#This Row],[Customer ID]],[1]!Address[ID],[1]!Address[PIC])</f>
        <v/>
      </c>
      <c r="E1284" s="38" t="str">
        <f>_xlfn.XLOOKUP(Customer[[#This Row],[Customer ID]],[1]!Address[ID],[1]!Address[Full Address])</f>
        <v>BUBBLES O2 PEDAS</v>
      </c>
      <c r="F1284" s="12" t="s">
        <v>8424</v>
      </c>
      <c r="G1284" s="12" t="s">
        <v>36</v>
      </c>
      <c r="H1284" s="12" t="s">
        <v>36</v>
      </c>
      <c r="I1284" s="12" t="b">
        <f>ISNUMBER(VALUE(LEFT(Customer[[#This Row],[Address Line 3 (30 char)]],1)))</f>
        <v>0</v>
      </c>
      <c r="J1284" s="24" t="s">
        <v>203</v>
      </c>
      <c r="K1284" s="24"/>
      <c r="L1284" s="12" t="s">
        <v>35</v>
      </c>
      <c r="M1284" s="13" t="e">
        <v>#N/A</v>
      </c>
      <c r="N1284" s="14" t="e">
        <v>#N/A</v>
      </c>
      <c r="O1284" s="14" t="e">
        <v>#N/A</v>
      </c>
      <c r="P1284" s="14" t="e">
        <v>#N/A</v>
      </c>
      <c r="Q1284" s="14" t="e">
        <v>#N/A</v>
      </c>
      <c r="R1284" s="15" t="s">
        <v>36</v>
      </c>
      <c r="S1284" s="16" t="s">
        <v>89</v>
      </c>
      <c r="T1284" s="16" t="s">
        <v>89</v>
      </c>
      <c r="U1284" s="11" t="str">
        <f>_xlfn.XLOOKUP(Customer[[#This Row],[Customer ID]],[1]!Address[ID],[1]!Address[Phone No.(2)])</f>
        <v/>
      </c>
      <c r="V1284" s="11" t="str">
        <f>_xlfn.XLOOKUP(Customer[[#This Row],[Customer ID]],[1]!Address[ID],[1]!Address[Type])</f>
        <v>WALK IN</v>
      </c>
      <c r="W1284" s="11" t="str">
        <f>_xlfn.XLOOKUP(Customer[[#This Row],[Customer ID]],[1]!Address[ID],[1]!Address[CT])</f>
        <v/>
      </c>
      <c r="X1284" s="11"/>
      <c r="Y1284" s="17" t="s">
        <v>6284</v>
      </c>
      <c r="Z1284" s="17" t="e">
        <f>_xlfn.XLOOKUP(Customer[[#This Row],[NewType]],$AF$36:$AF$54,$AG$36:$AG$54)</f>
        <v>#N/A</v>
      </c>
      <c r="AA1284" s="17" t="s">
        <v>8425</v>
      </c>
      <c r="AB1284" s="11" t="str">
        <f>_xlfn.XLOOKUP(Customer[[#This Row],[Customer ID]],[1]!Address[ID],[1]!Address[Subtype])</f>
        <v>PEDAS</v>
      </c>
      <c r="AC1284" s="18">
        <f>_xlfn.XLOOKUP(Customer[[#This Row],[Customer ID]],[1]!Address[ID],[1]!Address[Zone])</f>
        <v>0</v>
      </c>
    </row>
    <row r="1285" spans="1:29" x14ac:dyDescent="0.3">
      <c r="A1285" s="37" t="s">
        <v>8426</v>
      </c>
      <c r="B1285" s="38" t="str">
        <f>_xlfn.XLOOKUP(Customer[[#This Row],[Customer ID]],[1]!Name[ID],[1]!Name[Description(1)])</f>
        <v>MIHI VENTURE SDN BHD (MYKEDAI)</v>
      </c>
      <c r="C1285" s="38" t="str">
        <f>_xlfn.XLOOKUP(Customer[[#This Row],[Customer ID]],[1]!Name[ID],[1]!Name[Description(2)])</f>
        <v/>
      </c>
      <c r="D1285" s="38" t="str">
        <f>_xlfn.XLOOKUP(Customer[[#This Row],[Customer ID]],[1]!Address[ID],[1]!Address[PIC])</f>
        <v>HUSNA</v>
      </c>
      <c r="E1285" s="38" t="str">
        <f>_xlfn.XLOOKUP(Customer[[#This Row],[Customer ID]],[1]!Address[ID],[1]!Address[Full Address])</f>
        <v>MYKEDAI. RETAIL UNIT K2039-1,CYBERJAYA UTARA MRT PUTRAJAYA LINE,CYBERJAYA 63000 SELANGOR</v>
      </c>
      <c r="F1285" s="12" t="s">
        <v>8427</v>
      </c>
      <c r="G1285" s="12" t="s">
        <v>8428</v>
      </c>
      <c r="H1285" s="12" t="s">
        <v>8429</v>
      </c>
      <c r="I1285" s="12" t="b">
        <f>ISNUMBER(VALUE(LEFT(Customer[[#This Row],[Address Line 3 (30 char)]],1)))</f>
        <v>0</v>
      </c>
      <c r="J1285" s="12" t="s">
        <v>172</v>
      </c>
      <c r="K1285" s="12">
        <v>63000</v>
      </c>
      <c r="L1285" s="12" t="s">
        <v>35</v>
      </c>
      <c r="M1285" s="13" t="e">
        <v>#N/A</v>
      </c>
      <c r="N1285" s="14" t="e">
        <v>#N/A</v>
      </c>
      <c r="O1285" s="14" t="e">
        <v>#N/A</v>
      </c>
      <c r="P1285" s="14" t="e">
        <v>#N/A</v>
      </c>
      <c r="Q1285" s="14" t="e">
        <v>#N/A</v>
      </c>
      <c r="R1285" s="15" t="s">
        <v>8430</v>
      </c>
      <c r="S1285" s="15" t="s">
        <v>3212</v>
      </c>
      <c r="T1285" s="16" t="s">
        <v>89</v>
      </c>
      <c r="U1285" s="11" t="str">
        <f>_xlfn.XLOOKUP(Customer[[#This Row],[Customer ID]],[1]!Address[ID],[1]!Address[Phone No.(2)])</f>
        <v/>
      </c>
      <c r="V1285" s="11" t="str">
        <f>_xlfn.XLOOKUP(Customer[[#This Row],[Customer ID]],[1]!Address[ID],[1]!Address[Type])</f>
        <v>SOCMED</v>
      </c>
      <c r="W1285" s="11" t="str">
        <f>_xlfn.XLOOKUP(Customer[[#This Row],[Customer ID]],[1]!Address[ID],[1]!Address[CT])</f>
        <v/>
      </c>
      <c r="X1285" s="11"/>
      <c r="Y1285" s="17" t="s">
        <v>90</v>
      </c>
      <c r="Z1285" s="17" t="e">
        <f>_xlfn.XLOOKUP(Customer[[#This Row],[NewType]],$AF$36:$AF$54,$AG$36:$AG$54)</f>
        <v>#N/A</v>
      </c>
      <c r="AA1285" s="17" t="s">
        <v>8431</v>
      </c>
      <c r="AB1285" s="11" t="str">
        <f>_xlfn.XLOOKUP(Customer[[#This Row],[Customer ID]],[1]!Address[ID],[1]!Address[Subtype])</f>
        <v>ONLINE HAJAR</v>
      </c>
      <c r="AC1285" s="18" t="str">
        <f>_xlfn.XLOOKUP(Customer[[#This Row],[Customer ID]],[1]!Address[ID],[1]!Address[Zone])</f>
        <v>CENTRAL</v>
      </c>
    </row>
    <row r="1286" spans="1:29" x14ac:dyDescent="0.3">
      <c r="A1286" s="37" t="s">
        <v>8432</v>
      </c>
      <c r="B1286" s="38" t="str">
        <f>_xlfn.XLOOKUP(Customer[[#This Row],[Customer ID]],[1]!Name[ID],[1]!Name[Description(1)])</f>
        <v>SAABAN MAT ENTERPRISE</v>
      </c>
      <c r="C1286" s="38" t="str">
        <f>_xlfn.XLOOKUP(Customer[[#This Row],[Customer ID]],[1]!Name[ID],[1]!Name[Description(2)])</f>
        <v/>
      </c>
      <c r="D1286" s="38" t="str">
        <f>_xlfn.XLOOKUP(Customer[[#This Row],[Customer ID]],[1]!Address[ID],[1]!Address[PIC])</f>
        <v/>
      </c>
      <c r="E1286" s="38" t="str">
        <f>_xlfn.XLOOKUP(Customer[[#This Row],[Customer ID]],[1]!Address[ID],[1]!Address[Full Address])</f>
        <v>GERAI NO 1,KAWASAN REHAT DAN RAWAT ARAH UTARA.34310 BUKIT MERAH, GUNUNG SEMANGGOLPERAK</v>
      </c>
      <c r="F1286" s="12" t="s">
        <v>8433</v>
      </c>
      <c r="G1286" s="12" t="s">
        <v>8434</v>
      </c>
      <c r="H1286" s="12" t="s">
        <v>8435</v>
      </c>
      <c r="I1286" s="12" t="b">
        <f>ISNUMBER(VALUE(LEFT(Customer[[#This Row],[Address Line 3 (30 char)]],1)))</f>
        <v>0</v>
      </c>
      <c r="J1286" s="12" t="s">
        <v>387</v>
      </c>
      <c r="K1286" s="12">
        <v>34310</v>
      </c>
      <c r="L1286" s="12" t="s">
        <v>35</v>
      </c>
      <c r="M1286" s="13" t="e">
        <v>#N/A</v>
      </c>
      <c r="N1286" s="14" t="e">
        <v>#N/A</v>
      </c>
      <c r="O1286" s="14" t="e">
        <v>#N/A</v>
      </c>
      <c r="P1286" s="14" t="e">
        <v>#N/A</v>
      </c>
      <c r="Q1286" s="14" t="e">
        <v>#N/A</v>
      </c>
      <c r="R1286" s="15" t="s">
        <v>8436</v>
      </c>
      <c r="S1286" s="15" t="s">
        <v>5925</v>
      </c>
      <c r="T1286" s="16" t="s">
        <v>3477</v>
      </c>
      <c r="U1286" s="11" t="str">
        <f>_xlfn.XLOOKUP(Customer[[#This Row],[Customer ID]],[1]!Address[ID],[1]!Address[Phone No.(2)])</f>
        <v/>
      </c>
      <c r="V1286" s="11" t="str">
        <f>_xlfn.XLOOKUP(Customer[[#This Row],[Customer ID]],[1]!Address[ID],[1]!Address[Type])</f>
        <v>CAFE</v>
      </c>
      <c r="W1286" s="11" t="str">
        <f>_xlfn.XLOOKUP(Customer[[#This Row],[Customer ID]],[1]!Address[ID],[1]!Address[CT])</f>
        <v>30 DAYS</v>
      </c>
      <c r="X1286" s="11"/>
      <c r="Y1286" s="17" t="s">
        <v>5926</v>
      </c>
      <c r="Z1286" s="17" t="e">
        <f>_xlfn.XLOOKUP(Customer[[#This Row],[NewType]],$AF$36:$AF$54,$AG$36:$AG$54)</f>
        <v>#N/A</v>
      </c>
      <c r="AA1286" s="17" t="s">
        <v>8437</v>
      </c>
      <c r="AB1286" s="11" t="str">
        <f>_xlfn.XLOOKUP(Customer[[#This Row],[Customer ID]],[1]!Address[ID],[1]!Address[Subtype])</f>
        <v>PLUS</v>
      </c>
      <c r="AC1286" s="18" t="str">
        <f>_xlfn.XLOOKUP(Customer[[#This Row],[Customer ID]],[1]!Address[ID],[1]!Address[Zone])</f>
        <v>NORTH</v>
      </c>
    </row>
    <row r="1287" spans="1:29" x14ac:dyDescent="0.3">
      <c r="A1287" s="37" t="s">
        <v>8438</v>
      </c>
      <c r="B1287" s="38" t="str">
        <f>_xlfn.XLOOKUP(Customer[[#This Row],[Customer ID]],[1]!Name[ID],[1]!Name[Description(1)])</f>
        <v>AGENT KULITAS SDN BHD</v>
      </c>
      <c r="C1287" s="38" t="str">
        <f>_xlfn.XLOOKUP(Customer[[#This Row],[Customer ID]],[1]!Name[ID],[1]!Name[Description(2)])</f>
        <v/>
      </c>
      <c r="D1287" s="38" t="str">
        <f>_xlfn.XLOOKUP(Customer[[#This Row],[Customer ID]],[1]!Address[ID],[1]!Address[PIC])</f>
        <v/>
      </c>
      <c r="E1287" s="38" t="str">
        <f>_xlfn.XLOOKUP(Customer[[#This Row],[Customer ID]],[1]!Address[ID],[1]!Address[Full Address])</f>
        <v>NO 58-G JALAN EQUINE 1B,TAMAN EQUINE,43300 SERI KEMBANGAN,SELANGOR</v>
      </c>
      <c r="F1287" s="12" t="s">
        <v>8439</v>
      </c>
      <c r="G1287" s="12" t="s">
        <v>8440</v>
      </c>
      <c r="H1287" s="24" t="s">
        <v>8441</v>
      </c>
      <c r="I1287" s="24" t="b">
        <f>ISNUMBER(VALUE(LEFT(Customer[[#This Row],[Address Line 3 (30 char)]],1)))</f>
        <v>0</v>
      </c>
      <c r="J1287" s="12" t="s">
        <v>172</v>
      </c>
      <c r="K1287" s="12">
        <v>43300</v>
      </c>
      <c r="L1287" s="12" t="s">
        <v>35</v>
      </c>
      <c r="M1287" s="13" t="e">
        <v>#N/A</v>
      </c>
      <c r="N1287" s="14" t="e">
        <v>#N/A</v>
      </c>
      <c r="O1287" s="14" t="e">
        <v>#N/A</v>
      </c>
      <c r="P1287" s="14" t="e">
        <v>#N/A</v>
      </c>
      <c r="Q1287" s="19" t="s">
        <v>8442</v>
      </c>
      <c r="R1287" s="15" t="s">
        <v>8443</v>
      </c>
      <c r="S1287" s="15" t="s">
        <v>6645</v>
      </c>
      <c r="T1287" s="16" t="s">
        <v>38</v>
      </c>
      <c r="U1287" s="11" t="str">
        <f>_xlfn.XLOOKUP(Customer[[#This Row],[Customer ID]],[1]!Address[ID],[1]!Address[Phone No.(2)])</f>
        <v/>
      </c>
      <c r="V1287" s="11" t="str">
        <f>_xlfn.XLOOKUP(Customer[[#This Row],[Customer ID]],[1]!Address[ID],[1]!Address[Type])</f>
        <v>AGENT</v>
      </c>
      <c r="W1287" s="11" t="str">
        <f>_xlfn.XLOOKUP(Customer[[#This Row],[Customer ID]],[1]!Address[ID],[1]!Address[CT])</f>
        <v/>
      </c>
      <c r="X1287" s="11"/>
      <c r="Y1287" s="17" t="s">
        <v>6639</v>
      </c>
      <c r="Z1287" s="17" t="e">
        <f>_xlfn.XLOOKUP(Customer[[#This Row],[NewType]],$AF$36:$AF$54,$AG$36:$AG$54)</f>
        <v>#N/A</v>
      </c>
      <c r="AA1287" s="17" t="s">
        <v>8444</v>
      </c>
      <c r="AB1287" s="11" t="str">
        <f>_xlfn.XLOOKUP(Customer[[#This Row],[Customer ID]],[1]!Address[ID],[1]!Address[Subtype])</f>
        <v>AGENT HQ</v>
      </c>
      <c r="AC1287" s="18" t="str">
        <f>_xlfn.XLOOKUP(Customer[[#This Row],[Customer ID]],[1]!Address[ID],[1]!Address[Zone])</f>
        <v>CENTRAL</v>
      </c>
    </row>
    <row r="1288" spans="1:29" x14ac:dyDescent="0.3">
      <c r="A1288" s="37" t="s">
        <v>8445</v>
      </c>
      <c r="B1288" s="38" t="str">
        <f>_xlfn.XLOOKUP(Customer[[#This Row],[Customer ID]],[1]!Name[ID],[1]!Name[Description(1)])</f>
        <v>FARMASI MENGKUANG</v>
      </c>
      <c r="C1288" s="38" t="str">
        <f>_xlfn.XLOOKUP(Customer[[#This Row],[Customer ID]],[1]!Name[ID],[1]!Name[Description(2)])</f>
        <v/>
      </c>
      <c r="D1288" s="38" t="str">
        <f>_xlfn.XLOOKUP(Customer[[#This Row],[Customer ID]],[1]!Address[ID],[1]!Address[PIC])</f>
        <v>NURUL IZZATI</v>
      </c>
      <c r="E1288" s="38" t="str">
        <f>_xlfn.XLOOKUP(Customer[[#This Row],[Customer ID]],[1]!Address[ID],[1]!Address[Full Address])</f>
        <v>84-G, LORONG MENGKUANG INDAH 2,TAMAN SERI AKASIA,14400 KUBANG SEMANG, PULAU PINANG</v>
      </c>
      <c r="F1288" s="12" t="s">
        <v>8446</v>
      </c>
      <c r="G1288" s="12" t="s">
        <v>8447</v>
      </c>
      <c r="H1288" s="12" t="s">
        <v>8448</v>
      </c>
      <c r="I1288" s="12" t="b">
        <f>ISNUMBER(VALUE(LEFT(Customer[[#This Row],[Address Line 3 (30 char)]],1)))</f>
        <v>0</v>
      </c>
      <c r="J1288" s="12" t="s">
        <v>179</v>
      </c>
      <c r="K1288" s="12">
        <v>14400</v>
      </c>
      <c r="L1288" s="12" t="s">
        <v>35</v>
      </c>
      <c r="M1288" s="13" t="e">
        <v>#N/A</v>
      </c>
      <c r="N1288" s="14" t="e">
        <v>#N/A</v>
      </c>
      <c r="O1288" s="14" t="e">
        <v>#N/A</v>
      </c>
      <c r="P1288" s="14" t="e">
        <v>#N/A</v>
      </c>
      <c r="Q1288" s="19" t="s">
        <v>8449</v>
      </c>
      <c r="R1288" s="15" t="s">
        <v>8450</v>
      </c>
      <c r="S1288" s="15" t="s">
        <v>3476</v>
      </c>
      <c r="T1288" s="16" t="s">
        <v>3477</v>
      </c>
      <c r="U1288" s="11" t="str">
        <f>_xlfn.XLOOKUP(Customer[[#This Row],[Customer ID]],[1]!Address[ID],[1]!Address[Phone No.(2)])</f>
        <v/>
      </c>
      <c r="V1288" s="11" t="str">
        <f>_xlfn.XLOOKUP(Customer[[#This Row],[Customer ID]],[1]!Address[ID],[1]!Address[Type])</f>
        <v>PH</v>
      </c>
      <c r="W1288" s="11" t="str">
        <f>_xlfn.XLOOKUP(Customer[[#This Row],[Customer ID]],[1]!Address[ID],[1]!Address[CT])</f>
        <v>30 DAYS</v>
      </c>
      <c r="X1288" s="11"/>
      <c r="Y1288" s="17" t="s">
        <v>5955</v>
      </c>
      <c r="Z1288" s="17" t="e">
        <f>_xlfn.XLOOKUP(Customer[[#This Row],[NewType]],$AF$36:$AF$54,$AG$36:$AG$54)</f>
        <v>#N/A</v>
      </c>
      <c r="AA1288" s="17" t="s">
        <v>8451</v>
      </c>
      <c r="AB1288" s="11" t="str">
        <f>_xlfn.XLOOKUP(Customer[[#This Row],[Customer ID]],[1]!Address[ID],[1]!Address[Subtype])</f>
        <v>FAR MENGKUAN</v>
      </c>
      <c r="AC1288" s="18" t="str">
        <f>_xlfn.XLOOKUP(Customer[[#This Row],[Customer ID]],[1]!Address[ID],[1]!Address[Zone])</f>
        <v>NORTH</v>
      </c>
    </row>
    <row r="1289" spans="1:29" x14ac:dyDescent="0.3">
      <c r="A1289" s="37" t="s">
        <v>8452</v>
      </c>
      <c r="B1289" s="38" t="str">
        <f>_xlfn.XLOOKUP(Customer[[#This Row],[Customer ID]],[1]!Name[ID],[1]!Name[Description(1)])</f>
        <v>FELCRA BEKALAN &amp; PERKHIDMATAN SDN BHD</v>
      </c>
      <c r="C1289" s="38" t="str">
        <f>_xlfn.XLOOKUP(Customer[[#This Row],[Customer ID]],[1]!Name[ID],[1]!Name[Description(2)])</f>
        <v>TUAN FAISAL</v>
      </c>
      <c r="D1289" s="38" t="str">
        <f>_xlfn.XLOOKUP(Customer[[#This Row],[Customer ID]],[1]!Address[ID],[1]!Address[PIC])</f>
        <v/>
      </c>
      <c r="E1289" s="38" t="str">
        <f>_xlfn.XLOOKUP(Customer[[#This Row],[Customer ID]],[1]!Address[ID],[1]!Address[Full Address])</f>
        <v>WISMA FELCRA, SETAPAK JAYA 2,50772 KUALA LUMPUR</v>
      </c>
      <c r="F1289" s="12" t="s">
        <v>8453</v>
      </c>
      <c r="G1289" s="12"/>
      <c r="H1289" s="12" t="s">
        <v>36</v>
      </c>
      <c r="I1289" s="12" t="b">
        <f>ISNUMBER(VALUE(LEFT(Customer[[#This Row],[Address Line 3 (30 char)]],1)))</f>
        <v>0</v>
      </c>
      <c r="J1289" s="12" t="s">
        <v>34</v>
      </c>
      <c r="K1289" s="12">
        <v>50772</v>
      </c>
      <c r="L1289" s="12" t="s">
        <v>35</v>
      </c>
      <c r="M1289" s="13" t="e">
        <v>#N/A</v>
      </c>
      <c r="N1289" s="14" t="e">
        <v>#N/A</v>
      </c>
      <c r="O1289" s="14" t="e">
        <v>#N/A</v>
      </c>
      <c r="P1289" s="14" t="e">
        <v>#N/A</v>
      </c>
      <c r="Q1289" s="14" t="e">
        <v>#N/A</v>
      </c>
      <c r="R1289" s="15" t="s">
        <v>8454</v>
      </c>
      <c r="S1289" s="15" t="s">
        <v>5934</v>
      </c>
      <c r="T1289" s="16" t="s">
        <v>3477</v>
      </c>
      <c r="U1289" s="11" t="str">
        <f>_xlfn.XLOOKUP(Customer[[#This Row],[Customer ID]],[1]!Address[ID],[1]!Address[Phone No.(2)])</f>
        <v/>
      </c>
      <c r="V1289" s="11" t="str">
        <f>_xlfn.XLOOKUP(Customer[[#This Row],[Customer ID]],[1]!Address[ID],[1]!Address[Type])</f>
        <v>CM</v>
      </c>
      <c r="W1289" s="11" t="str">
        <f>_xlfn.XLOOKUP(Customer[[#This Row],[Customer ID]],[1]!Address[ID],[1]!Address[CT])</f>
        <v>60 DAYS</v>
      </c>
      <c r="X1289" s="11"/>
      <c r="Y1289" s="17" t="s">
        <v>5918</v>
      </c>
      <c r="Z1289" s="17" t="e">
        <f>_xlfn.XLOOKUP(Customer[[#This Row],[NewType]],$AF$36:$AF$54,$AG$36:$AG$54)</f>
        <v>#N/A</v>
      </c>
      <c r="AA1289" s="17" t="s">
        <v>8455</v>
      </c>
      <c r="AB1289" s="11" t="str">
        <f>_xlfn.XLOOKUP(Customer[[#This Row],[Customer ID]],[1]!Address[ID],[1]!Address[Subtype])</f>
        <v>FELCRA</v>
      </c>
      <c r="AC1289" s="18" t="str">
        <f>_xlfn.XLOOKUP(Customer[[#This Row],[Customer ID]],[1]!Address[ID],[1]!Address[Zone])</f>
        <v>CENTRAL</v>
      </c>
    </row>
    <row r="1290" spans="1:29" x14ac:dyDescent="0.3">
      <c r="A1290" s="37" t="s">
        <v>8456</v>
      </c>
      <c r="B1290" s="38" t="str">
        <f>_xlfn.XLOOKUP(Customer[[#This Row],[Customer ID]],[1]!Name[ID],[1]!Name[Description(1)])</f>
        <v>MYN PITSTOP ENTERPRISE</v>
      </c>
      <c r="C1290" s="38" t="str">
        <f>_xlfn.XLOOKUP(Customer[[#This Row],[Customer ID]],[1]!Name[ID],[1]!Name[Description(2)])</f>
        <v>SHELL SEKSYEN 9 BANGI</v>
      </c>
      <c r="D1290" s="38" t="str">
        <f>_xlfn.XLOOKUP(Customer[[#This Row],[Customer ID]],[1]!Address[ID],[1]!Address[PIC])</f>
        <v/>
      </c>
      <c r="E1290" s="38" t="str">
        <f>_xlfn.XLOOKUP(Customer[[#This Row],[Customer ID]],[1]!Address[ID],[1]!Address[Full Address])</f>
        <v>SHELL SEKSYEN 9 BANGISTESEN MINYAK SHELL LP 11PERSIARAN KEMAJUAN  SEKSYEN 9 43650BANDAR BARU BANGI SELANGOR D.E.</v>
      </c>
      <c r="F1290" s="12" t="s">
        <v>8457</v>
      </c>
      <c r="G1290" s="12" t="s">
        <v>8458</v>
      </c>
      <c r="H1290" s="12" t="s">
        <v>8459</v>
      </c>
      <c r="I1290" s="12" t="b">
        <f>ISNUMBER(VALUE(LEFT(Customer[[#This Row],[Address Line 3 (30 char)]],1)))</f>
        <v>0</v>
      </c>
      <c r="J1290" s="12" t="s">
        <v>1907</v>
      </c>
      <c r="K1290" s="12">
        <v>43650</v>
      </c>
      <c r="L1290" s="12" t="s">
        <v>35</v>
      </c>
      <c r="M1290" s="13" t="e">
        <v>#N/A</v>
      </c>
      <c r="N1290" s="14" t="e">
        <v>#N/A</v>
      </c>
      <c r="O1290" s="14" t="e">
        <v>#N/A</v>
      </c>
      <c r="P1290" s="14" t="e">
        <v>#N/A</v>
      </c>
      <c r="Q1290" s="19" t="s">
        <v>8460</v>
      </c>
      <c r="R1290" s="15" t="s">
        <v>8461</v>
      </c>
      <c r="S1290" s="15" t="s">
        <v>37</v>
      </c>
      <c r="T1290" s="16" t="s">
        <v>38</v>
      </c>
      <c r="U1290" s="11" t="str">
        <f>_xlfn.XLOOKUP(Customer[[#This Row],[Customer ID]],[1]!Address[ID],[1]!Address[Phone No.(2)])</f>
        <v/>
      </c>
      <c r="V1290" s="11" t="str">
        <f>_xlfn.XLOOKUP(Customer[[#This Row],[Customer ID]],[1]!Address[ID],[1]!Address[Type])</f>
        <v>PETROMART</v>
      </c>
      <c r="W1290" s="11" t="str">
        <f>_xlfn.XLOOKUP(Customer[[#This Row],[Customer ID]],[1]!Address[ID],[1]!Address[CT])</f>
        <v>30 DAYS</v>
      </c>
      <c r="X1290" s="11" t="s">
        <v>39</v>
      </c>
      <c r="Y1290" s="17" t="s">
        <v>40</v>
      </c>
      <c r="Z1290" s="17" t="e">
        <f>_xlfn.XLOOKUP(Customer[[#This Row],[NewType]],$AF$36:$AF$54,$AG$36:$AG$54)</f>
        <v>#N/A</v>
      </c>
      <c r="AA1290" s="17" t="s">
        <v>8462</v>
      </c>
      <c r="AB1290" s="11" t="str">
        <f>_xlfn.XLOOKUP(Customer[[#This Row],[Customer ID]],[1]!Address[ID],[1]!Address[Subtype])</f>
        <v>SHELL</v>
      </c>
      <c r="AC1290" s="18" t="str">
        <f>_xlfn.XLOOKUP(Customer[[#This Row],[Customer ID]],[1]!Address[ID],[1]!Address[Zone])</f>
        <v>CENTRAL</v>
      </c>
    </row>
    <row r="1291" spans="1:29" x14ac:dyDescent="0.3">
      <c r="A1291" s="37" t="s">
        <v>8463</v>
      </c>
      <c r="B1291" s="38" t="str">
        <f>_xlfn.XLOOKUP(Customer[[#This Row],[Customer ID]],[1]!Name[ID],[1]!Name[Description(1)])</f>
        <v>RICHIAMO MART, MELAKA</v>
      </c>
      <c r="C1291" s="38" t="str">
        <f>_xlfn.XLOOKUP(Customer[[#This Row],[Customer ID]],[1]!Name[ID],[1]!Name[Description(2)])</f>
        <v/>
      </c>
      <c r="D1291" s="38" t="str">
        <f>_xlfn.XLOOKUP(Customer[[#This Row],[Customer ID]],[1]!Address[ID],[1]!Address[PIC])</f>
        <v>NURAZIANI SHAMI</v>
      </c>
      <c r="E1291" s="38" t="str">
        <f>_xlfn.XLOOKUP(Customer[[#This Row],[Customer ID]],[1]!Address[ID],[1]!Address[Full Address])</f>
        <v>(DALAM PETRON STATION), LOT 10724,LEBUHRAYA SPA, BATU 12,JALAN BERTAM ULU,76450 MELAKA</v>
      </c>
      <c r="F1291" s="12" t="s">
        <v>8464</v>
      </c>
      <c r="G1291" s="12" t="s">
        <v>8465</v>
      </c>
      <c r="H1291" s="12" t="s">
        <v>8466</v>
      </c>
      <c r="I1291" s="12" t="b">
        <f>ISNUMBER(VALUE(LEFT(Customer[[#This Row],[Address Line 3 (30 char)]],1)))</f>
        <v>0</v>
      </c>
      <c r="J1291" s="12" t="s">
        <v>61</v>
      </c>
      <c r="K1291" s="12">
        <v>76450</v>
      </c>
      <c r="L1291" s="12" t="s">
        <v>35</v>
      </c>
      <c r="M1291" s="13">
        <v>201601024499</v>
      </c>
      <c r="N1291" s="14" t="s">
        <v>8467</v>
      </c>
      <c r="O1291" s="14" t="e">
        <v>#N/A</v>
      </c>
      <c r="P1291" s="14" t="e">
        <v>#N/A</v>
      </c>
      <c r="Q1291" s="19" t="s">
        <v>8468</v>
      </c>
      <c r="R1291" s="15" t="s">
        <v>8469</v>
      </c>
      <c r="S1291" s="15" t="s">
        <v>5925</v>
      </c>
      <c r="T1291" s="16" t="s">
        <v>3477</v>
      </c>
      <c r="U1291" s="11" t="str">
        <f>_xlfn.XLOOKUP(Customer[[#This Row],[Customer ID]],[1]!Address[ID],[1]!Address[Phone No.(2)])</f>
        <v/>
      </c>
      <c r="V1291" s="11" t="str">
        <f>_xlfn.XLOOKUP(Customer[[#This Row],[Customer ID]],[1]!Address[ID],[1]!Address[Type])</f>
        <v>CAFE</v>
      </c>
      <c r="W1291" s="11" t="str">
        <f>_xlfn.XLOOKUP(Customer[[#This Row],[Customer ID]],[1]!Address[ID],[1]!Address[CT])</f>
        <v>CASH</v>
      </c>
      <c r="X1291" s="11"/>
      <c r="Y1291" s="17" t="s">
        <v>5926</v>
      </c>
      <c r="Z1291" s="17" t="e">
        <f>_xlfn.XLOOKUP(Customer[[#This Row],[NewType]],$AF$36:$AF$54,$AG$36:$AG$54)</f>
        <v>#N/A</v>
      </c>
      <c r="AA1291" s="17" t="s">
        <v>8470</v>
      </c>
      <c r="AB1291" s="11" t="str">
        <f>_xlfn.XLOOKUP(Customer[[#This Row],[Customer ID]],[1]!Address[ID],[1]!Address[Subtype])</f>
        <v>RICHIAMO</v>
      </c>
      <c r="AC1291" s="18" t="str">
        <f>_xlfn.XLOOKUP(Customer[[#This Row],[Customer ID]],[1]!Address[ID],[1]!Address[Zone])</f>
        <v>SOUTH</v>
      </c>
    </row>
    <row r="1292" spans="1:29" x14ac:dyDescent="0.3">
      <c r="A1292" s="37" t="s">
        <v>8471</v>
      </c>
      <c r="B1292" s="38" t="str">
        <f>_xlfn.XLOOKUP(Customer[[#This Row],[Customer ID]],[1]!Name[ID],[1]!Name[Description(1)])</f>
        <v>SHAMIEDA BRIYANI HOUSE</v>
      </c>
      <c r="C1292" s="38" t="str">
        <f>_xlfn.XLOOKUP(Customer[[#This Row],[Customer ID]],[1]!Name[ID],[1]!Name[Description(2)])</f>
        <v>NAZZ BEAUTY &amp; FOOD MARKETING</v>
      </c>
      <c r="D1292" s="38" t="str">
        <f>_xlfn.XLOOKUP(Customer[[#This Row],[Customer ID]],[1]!Address[ID],[1]!Address[PIC])</f>
        <v/>
      </c>
      <c r="E1292" s="38" t="str">
        <f>_xlfn.XLOOKUP(Customer[[#This Row],[Customer ID]],[1]!Address[ID],[1]!Address[Full Address])</f>
        <v>NO. 70A, BANDAR DARULAMAN JAYA,06000 JITRA, KEDAH</v>
      </c>
      <c r="F1292" s="12" t="s">
        <v>8472</v>
      </c>
      <c r="G1292" s="12" t="s">
        <v>8473</v>
      </c>
      <c r="H1292" s="12" t="s">
        <v>8474</v>
      </c>
      <c r="I1292" s="12" t="b">
        <f>ISNUMBER(VALUE(LEFT(Customer[[#This Row],[Address Line 3 (30 char)]],1)))</f>
        <v>0</v>
      </c>
      <c r="J1292" s="12" t="s">
        <v>355</v>
      </c>
      <c r="K1292" s="42" t="s">
        <v>5731</v>
      </c>
      <c r="L1292" s="12" t="s">
        <v>35</v>
      </c>
      <c r="M1292" s="13" t="e">
        <v>#N/A</v>
      </c>
      <c r="N1292" s="14" t="e">
        <v>#N/A</v>
      </c>
      <c r="O1292" s="14" t="e">
        <v>#N/A</v>
      </c>
      <c r="P1292" s="14" t="e">
        <v>#N/A</v>
      </c>
      <c r="Q1292" s="14" t="e">
        <v>#N/A</v>
      </c>
      <c r="R1292" s="15" t="s">
        <v>36</v>
      </c>
      <c r="S1292" s="15" t="s">
        <v>5925</v>
      </c>
      <c r="T1292" s="16" t="s">
        <v>3477</v>
      </c>
      <c r="U1292" s="11" t="str">
        <f>_xlfn.XLOOKUP(Customer[[#This Row],[Customer ID]],[1]!Address[ID],[1]!Address[Phone No.(2)])</f>
        <v/>
      </c>
      <c r="V1292" s="11" t="str">
        <f>_xlfn.XLOOKUP(Customer[[#This Row],[Customer ID]],[1]!Address[ID],[1]!Address[Type])</f>
        <v>CAFE</v>
      </c>
      <c r="W1292" s="11" t="str">
        <f>_xlfn.XLOOKUP(Customer[[#This Row],[Customer ID]],[1]!Address[ID],[1]!Address[CT])</f>
        <v>30 DAYS</v>
      </c>
      <c r="X1292" s="11"/>
      <c r="Y1292" s="17" t="s">
        <v>5926</v>
      </c>
      <c r="Z1292" s="17" t="e">
        <f>_xlfn.XLOOKUP(Customer[[#This Row],[NewType]],$AF$36:$AF$54,$AG$36:$AG$54)</f>
        <v>#N/A</v>
      </c>
      <c r="AA1292" s="17" t="s">
        <v>8475</v>
      </c>
      <c r="AB1292" s="11" t="str">
        <f>_xlfn.XLOOKUP(Customer[[#This Row],[Customer ID]],[1]!Address[ID],[1]!Address[Subtype])</f>
        <v>SHAMIEDA</v>
      </c>
      <c r="AC1292" s="18" t="str">
        <f>_xlfn.XLOOKUP(Customer[[#This Row],[Customer ID]],[1]!Address[ID],[1]!Address[Zone])</f>
        <v>NORTH</v>
      </c>
    </row>
    <row r="1293" spans="1:29" x14ac:dyDescent="0.3">
      <c r="A1293" s="37" t="s">
        <v>8476</v>
      </c>
      <c r="B1293" s="38" t="str">
        <f>_xlfn.XLOOKUP(Customer[[#This Row],[Customer ID]],[1]!Name[ID],[1]!Name[Description(1)])</f>
        <v>PASARAYA DARUSSALAM SDN BHD (PDS 4)</v>
      </c>
      <c r="C1293" s="38" t="str">
        <f>_xlfn.XLOOKUP(Customer[[#This Row],[Customer ID]],[1]!Name[ID],[1]!Name[Description(2)])</f>
        <v/>
      </c>
      <c r="D1293" s="38" t="str">
        <f>_xlfn.XLOOKUP(Customer[[#This Row],[Customer ID]],[1]!Address[ID],[1]!Address[PIC])</f>
        <v/>
      </c>
      <c r="E1293" s="38" t="str">
        <f>_xlfn.XLOOKUP(Customer[[#This Row],[Customer ID]],[1]!Address[ID],[1]!Address[Full Address])</f>
        <v>NO5-G,GROUND FLOOR, JALAN P16/1,PRESINT 16,62050PUTRAJAYA,WILAYAH PERSEKUTUAN PUTRAJAYA</v>
      </c>
      <c r="F1293" s="12" t="s">
        <v>8477</v>
      </c>
      <c r="G1293" s="12" t="s">
        <v>8478</v>
      </c>
      <c r="H1293" s="12" t="s">
        <v>8479</v>
      </c>
      <c r="I1293" s="12" t="b">
        <f>ISNUMBER(VALUE(LEFT(Customer[[#This Row],[Address Line 3 (30 char)]],1)))</f>
        <v>0</v>
      </c>
      <c r="J1293" s="12" t="s">
        <v>4229</v>
      </c>
      <c r="K1293" s="12">
        <v>62050</v>
      </c>
      <c r="L1293" s="12" t="s">
        <v>35</v>
      </c>
      <c r="M1293" s="13">
        <v>200701036421</v>
      </c>
      <c r="N1293" s="14" t="s">
        <v>8480</v>
      </c>
      <c r="O1293" s="14" t="e">
        <v>#N/A</v>
      </c>
      <c r="P1293" s="14" t="e">
        <v>#N/A</v>
      </c>
      <c r="Q1293" s="19" t="s">
        <v>8481</v>
      </c>
      <c r="R1293" s="15" t="s">
        <v>8482</v>
      </c>
      <c r="S1293" s="15" t="s">
        <v>5934</v>
      </c>
      <c r="T1293" s="16" t="s">
        <v>3477</v>
      </c>
      <c r="U1293" s="11" t="str">
        <f>_xlfn.XLOOKUP(Customer[[#This Row],[Customer ID]],[1]!Address[ID],[1]!Address[Phone No.(2)])</f>
        <v/>
      </c>
      <c r="V1293" s="11" t="str">
        <f>_xlfn.XLOOKUP(Customer[[#This Row],[Customer ID]],[1]!Address[ID],[1]!Address[Type])</f>
        <v>CM</v>
      </c>
      <c r="W1293" s="11" t="str">
        <f>_xlfn.XLOOKUP(Customer[[#This Row],[Customer ID]],[1]!Address[ID],[1]!Address[CT])</f>
        <v>30 DAYS</v>
      </c>
      <c r="X1293" s="11"/>
      <c r="Y1293" s="17" t="s">
        <v>5918</v>
      </c>
      <c r="Z1293" s="17" t="e">
        <f>_xlfn.XLOOKUP(Customer[[#This Row],[NewType]],$AF$36:$AF$54,$AG$36:$AG$54)</f>
        <v>#N/A</v>
      </c>
      <c r="AA1293" s="17" t="s">
        <v>8483</v>
      </c>
      <c r="AB1293" s="11" t="str">
        <f>_xlfn.XLOOKUP(Customer[[#This Row],[Customer ID]],[1]!Address[ID],[1]!Address[Subtype])</f>
        <v>DARUSSALAM</v>
      </c>
      <c r="AC1293" s="18" t="str">
        <f>_xlfn.XLOOKUP(Customer[[#This Row],[Customer ID]],[1]!Address[ID],[1]!Address[Zone])</f>
        <v>CENTRAL</v>
      </c>
    </row>
    <row r="1294" spans="1:29" x14ac:dyDescent="0.3">
      <c r="A1294" s="45" t="s">
        <v>8484</v>
      </c>
      <c r="B1294" s="32" t="str">
        <f>_xlfn.XLOOKUP(Customer[[#This Row],[Customer ID]],[1]!Name[ID],[1]!Name[Description(1)])</f>
        <v>RM THRIVES RESOURCES</v>
      </c>
      <c r="C1294" s="32" t="str">
        <f>_xlfn.XLOOKUP(Customer[[#This Row],[Customer ID]],[1]!Name[ID],[1]!Name[Description(2)])</f>
        <v/>
      </c>
      <c r="D1294" s="38" t="str">
        <f>_xlfn.XLOOKUP(Customer[[#This Row],[Customer ID]],[1]!Address[ID],[1]!Address[PIC])</f>
        <v/>
      </c>
      <c r="E1294" s="38" t="str">
        <f>_xlfn.XLOOKUP(Customer[[#This Row],[Customer ID]],[1]!Address[ID],[1]!Address[Full Address])</f>
        <v>MUTIARA BANGI</v>
      </c>
      <c r="F1294" s="12" t="s">
        <v>8485</v>
      </c>
      <c r="G1294" s="12" t="s">
        <v>36</v>
      </c>
      <c r="H1294" s="12" t="s">
        <v>36</v>
      </c>
      <c r="I1294" s="12" t="b">
        <f>ISNUMBER(VALUE(LEFT(Customer[[#This Row],[Address Line 3 (30 char)]],1)))</f>
        <v>0</v>
      </c>
      <c r="J1294" s="32" t="s">
        <v>172</v>
      </c>
      <c r="K1294" s="32"/>
      <c r="L1294" s="12" t="s">
        <v>35</v>
      </c>
      <c r="M1294" s="13" t="e">
        <v>#N/A</v>
      </c>
      <c r="N1294" s="14" t="e">
        <v>#N/A</v>
      </c>
      <c r="O1294" s="14" t="e">
        <v>#N/A</v>
      </c>
      <c r="P1294" s="14" t="e">
        <v>#N/A</v>
      </c>
      <c r="Q1294" s="14" t="e">
        <v>#N/A</v>
      </c>
      <c r="R1294" s="15" t="s">
        <v>36</v>
      </c>
      <c r="S1294" s="15" t="s">
        <v>88</v>
      </c>
      <c r="T1294" s="16" t="s">
        <v>89</v>
      </c>
      <c r="U1294" s="11" t="str">
        <f>_xlfn.XLOOKUP(Customer[[#This Row],[Customer ID]],[1]!Address[ID],[1]!Address[Phone No.(2)])</f>
        <v/>
      </c>
      <c r="V1294" s="11" t="str">
        <f>_xlfn.XLOOKUP(Customer[[#This Row],[Customer ID]],[1]!Address[ID],[1]!Address[Type])</f>
        <v>SOCMED</v>
      </c>
      <c r="W1294" s="11" t="str">
        <f>_xlfn.XLOOKUP(Customer[[#This Row],[Customer ID]],[1]!Address[ID],[1]!Address[CT])</f>
        <v/>
      </c>
      <c r="X1294" s="11"/>
      <c r="Y1294" s="17" t="s">
        <v>90</v>
      </c>
      <c r="Z1294" s="17" t="e">
        <f>_xlfn.XLOOKUP(Customer[[#This Row],[NewType]],$AF$36:$AF$54,$AG$36:$AG$54)</f>
        <v>#N/A</v>
      </c>
      <c r="AA1294" s="17" t="s">
        <v>8486</v>
      </c>
      <c r="AB1294" s="11" t="str">
        <f>_xlfn.XLOOKUP(Customer[[#This Row],[Customer ID]],[1]!Address[ID],[1]!Address[Subtype])</f>
        <v>ONLINE ROS</v>
      </c>
      <c r="AC1294" s="18" t="str">
        <f>_xlfn.XLOOKUP(Customer[[#This Row],[Customer ID]],[1]!Address[ID],[1]!Address[Zone])</f>
        <v>CENTRAL</v>
      </c>
    </row>
    <row r="1295" spans="1:29" x14ac:dyDescent="0.3">
      <c r="A1295" s="46" t="s">
        <v>8487</v>
      </c>
      <c r="B1295" s="24" t="str">
        <f>_xlfn.XLOOKUP(Customer[[#This Row],[Customer ID]],[1]!Name[ID],[1]!Name[Description(1)])</f>
        <v>QR PAYMENT</v>
      </c>
      <c r="C1295" s="24" t="str">
        <f>_xlfn.XLOOKUP(Customer[[#This Row],[Customer ID]],[1]!Name[ID],[1]!Name[Description(2)])</f>
        <v/>
      </c>
      <c r="D1295" s="38" t="str">
        <f>_xlfn.XLOOKUP(Customer[[#This Row],[Customer ID]],[1]!Address[ID],[1]!Address[PIC])</f>
        <v/>
      </c>
      <c r="E1295" s="38" t="str">
        <f>_xlfn.XLOOKUP(Customer[[#This Row],[Customer ID]],[1]!Address[ID],[1]!Address[Full Address])</f>
        <v/>
      </c>
      <c r="F1295" s="12" t="s">
        <v>36</v>
      </c>
      <c r="G1295" s="12" t="s">
        <v>36</v>
      </c>
      <c r="H1295" s="12" t="s">
        <v>36</v>
      </c>
      <c r="I1295" s="12" t="b">
        <f>ISNUMBER(VALUE(LEFT(Customer[[#This Row],[Address Line 3 (30 char)]],1)))</f>
        <v>0</v>
      </c>
      <c r="J1295" s="24"/>
      <c r="K1295" s="24"/>
      <c r="L1295" s="12" t="s">
        <v>35</v>
      </c>
      <c r="M1295" s="13" t="e">
        <v>#N/A</v>
      </c>
      <c r="N1295" s="14" t="e">
        <v>#N/A</v>
      </c>
      <c r="O1295" s="14" t="e">
        <v>#N/A</v>
      </c>
      <c r="P1295" s="14" t="e">
        <v>#N/A</v>
      </c>
      <c r="Q1295" s="14" t="e">
        <v>#N/A</v>
      </c>
      <c r="R1295" s="15" t="s">
        <v>36</v>
      </c>
      <c r="S1295" s="15" t="s">
        <v>6645</v>
      </c>
      <c r="T1295" s="16"/>
      <c r="U1295" s="11" t="str">
        <f>_xlfn.XLOOKUP(Customer[[#This Row],[Customer ID]],[1]!Address[ID],[1]!Address[Phone No.(2)])</f>
        <v/>
      </c>
      <c r="V1295" s="11" t="str">
        <f>_xlfn.XLOOKUP(Customer[[#This Row],[Customer ID]],[1]!Address[ID],[1]!Address[Type])</f>
        <v/>
      </c>
      <c r="W1295" s="11" t="str">
        <f>_xlfn.XLOOKUP(Customer[[#This Row],[Customer ID]],[1]!Address[ID],[1]!Address[CT])</f>
        <v/>
      </c>
      <c r="X1295" s="11"/>
      <c r="Y1295" s="17" t="s">
        <v>6284</v>
      </c>
      <c r="Z1295" s="17" t="e">
        <f>_xlfn.XLOOKUP(Customer[[#This Row],[NewType]],$AF$36:$AF$54,$AG$36:$AG$54)</f>
        <v>#N/A</v>
      </c>
      <c r="AA1295" s="17" t="s">
        <v>8488</v>
      </c>
      <c r="AB1295" s="11" t="str">
        <f>_xlfn.XLOOKUP(Customer[[#This Row],[Customer ID]],[1]!Address[ID],[1]!Address[Subtype])</f>
        <v/>
      </c>
      <c r="AC1295" s="18">
        <f>_xlfn.XLOOKUP(Customer[[#This Row],[Customer ID]],[1]!Address[ID],[1]!Address[Zone])</f>
        <v>0</v>
      </c>
    </row>
    <row r="1296" spans="1:29" x14ac:dyDescent="0.3">
      <c r="A1296" s="37" t="s">
        <v>8489</v>
      </c>
      <c r="B1296" s="38" t="str">
        <f>_xlfn.XLOOKUP(Customer[[#This Row],[Customer ID]],[1]!Name[ID],[1]!Name[Description(1)])</f>
        <v>BALQIS CAFE</v>
      </c>
      <c r="C1296" s="38" t="str">
        <f>_xlfn.XLOOKUP(Customer[[#This Row],[Customer ID]],[1]!Name[ID],[1]!Name[Description(2)])</f>
        <v/>
      </c>
      <c r="D1296" s="38" t="str">
        <f>_xlfn.XLOOKUP(Customer[[#This Row],[Customer ID]],[1]!Address[ID],[1]!Address[PIC])</f>
        <v/>
      </c>
      <c r="E1296" s="38" t="str">
        <f>_xlfn.XLOOKUP(Customer[[#This Row],[Customer ID]],[1]!Address[ID],[1]!Address[Full Address])</f>
        <v>GERAI NO 10, RNR KM75,MACHAP UTARA,LEBUHRAYA UTARA SELATAN,86000 KLUANG JOHOR</v>
      </c>
      <c r="F1296" s="12" t="s">
        <v>8490</v>
      </c>
      <c r="G1296" s="12" t="s">
        <v>8491</v>
      </c>
      <c r="H1296" s="12" t="s">
        <v>8492</v>
      </c>
      <c r="I1296" s="12" t="b">
        <f>ISNUMBER(VALUE(LEFT(Customer[[#This Row],[Address Line 3 (30 char)]],1)))</f>
        <v>0</v>
      </c>
      <c r="J1296" s="12" t="s">
        <v>52</v>
      </c>
      <c r="K1296" s="12">
        <v>86000</v>
      </c>
      <c r="L1296" s="12" t="s">
        <v>35</v>
      </c>
      <c r="M1296" s="13" t="e">
        <v>#N/A</v>
      </c>
      <c r="N1296" s="14" t="e">
        <v>#N/A</v>
      </c>
      <c r="O1296" s="14" t="e">
        <v>#N/A</v>
      </c>
      <c r="P1296" s="14" t="e">
        <v>#N/A</v>
      </c>
      <c r="Q1296" s="14" t="e">
        <v>#N/A</v>
      </c>
      <c r="R1296" s="15" t="s">
        <v>8493</v>
      </c>
      <c r="S1296" s="15" t="s">
        <v>5925</v>
      </c>
      <c r="T1296" s="16" t="s">
        <v>3477</v>
      </c>
      <c r="U1296" s="11" t="str">
        <f>_xlfn.XLOOKUP(Customer[[#This Row],[Customer ID]],[1]!Address[ID],[1]!Address[Phone No.(2)])</f>
        <v/>
      </c>
      <c r="V1296" s="11" t="str">
        <f>_xlfn.XLOOKUP(Customer[[#This Row],[Customer ID]],[1]!Address[ID],[1]!Address[Type])</f>
        <v>CAFE</v>
      </c>
      <c r="W1296" s="11" t="str">
        <f>_xlfn.XLOOKUP(Customer[[#This Row],[Customer ID]],[1]!Address[ID],[1]!Address[CT])</f>
        <v>30 DAYS</v>
      </c>
      <c r="X1296" s="11"/>
      <c r="Y1296" s="17" t="s">
        <v>5926</v>
      </c>
      <c r="Z1296" s="17" t="e">
        <f>_xlfn.XLOOKUP(Customer[[#This Row],[NewType]],$AF$36:$AF$54,$AG$36:$AG$54)</f>
        <v>#N/A</v>
      </c>
      <c r="AA1296" s="17" t="s">
        <v>8494</v>
      </c>
      <c r="AB1296" s="11" t="str">
        <f>_xlfn.XLOOKUP(Customer[[#This Row],[Customer ID]],[1]!Address[ID],[1]!Address[Subtype])</f>
        <v>PLUS</v>
      </c>
      <c r="AC1296" s="18" t="str">
        <f>_xlfn.XLOOKUP(Customer[[#This Row],[Customer ID]],[1]!Address[ID],[1]!Address[Zone])</f>
        <v>SOUTH</v>
      </c>
    </row>
    <row r="1297" spans="1:30" x14ac:dyDescent="0.3">
      <c r="A1297" s="37" t="s">
        <v>8495</v>
      </c>
      <c r="B1297" s="38" t="str">
        <f>_xlfn.XLOOKUP(Customer[[#This Row],[Customer ID]],[1]!Name[ID],[1]!Name[Description(1)])</f>
        <v>JIMAT BIZ ANGKATAN KOPERASI KEBANGSAAN</v>
      </c>
      <c r="C1297" s="38" t="str">
        <f>_xlfn.XLOOKUP(Customer[[#This Row],[Customer ID]],[1]!Name[ID],[1]!Name[Description(2)])</f>
        <v>MALAYSIA BERHAD</v>
      </c>
      <c r="D1297" s="38" t="str">
        <f>_xlfn.XLOOKUP(Customer[[#This Row],[Customer ID]],[1]!Address[ID],[1]!Address[PIC])</f>
        <v/>
      </c>
      <c r="E1297" s="38" t="str">
        <f>_xlfn.XLOOKUP(Customer[[#This Row],[Customer ID]],[1]!Address[ID],[1]!Address[Full Address])</f>
        <v>WAREHOUSE CENTRAL REGION, LOT 82A,LORONG 3 KG. TENGAH BATU 13,JALAN PUCHONG SHAH ALAM,47100, PUCHONG JAYA, SELANGOR</v>
      </c>
      <c r="F1297" s="12" t="s">
        <v>8496</v>
      </c>
      <c r="G1297" s="12" t="s">
        <v>8497</v>
      </c>
      <c r="H1297" s="12" t="s">
        <v>8498</v>
      </c>
      <c r="I1297" s="12" t="b">
        <f>ISNUMBER(VALUE(LEFT(Customer[[#This Row],[Address Line 3 (30 char)]],1)))</f>
        <v>0</v>
      </c>
      <c r="J1297" s="12" t="s">
        <v>172</v>
      </c>
      <c r="K1297" s="12">
        <v>47100</v>
      </c>
      <c r="L1297" s="12" t="s">
        <v>35</v>
      </c>
      <c r="M1297" s="13" t="e">
        <v>#N/A</v>
      </c>
      <c r="N1297" s="14" t="e">
        <v>#N/A</v>
      </c>
      <c r="O1297" s="14" t="e">
        <v>#N/A</v>
      </c>
      <c r="P1297" s="14" t="e">
        <v>#N/A</v>
      </c>
      <c r="Q1297" s="14" t="e">
        <v>#N/A</v>
      </c>
      <c r="R1297" s="15" t="s">
        <v>8499</v>
      </c>
      <c r="S1297" s="15" t="s">
        <v>5934</v>
      </c>
      <c r="T1297" s="16" t="s">
        <v>3477</v>
      </c>
      <c r="U1297" s="11" t="str">
        <f>_xlfn.XLOOKUP(Customer[[#This Row],[Customer ID]],[1]!Address[ID],[1]!Address[Phone No.(2)])</f>
        <v/>
      </c>
      <c r="V1297" s="11" t="str">
        <f>_xlfn.XLOOKUP(Customer[[#This Row],[Customer ID]],[1]!Address[ID],[1]!Address[Type])</f>
        <v>CORPORATE</v>
      </c>
      <c r="W1297" s="11" t="str">
        <f>_xlfn.XLOOKUP(Customer[[#This Row],[Customer ID]],[1]!Address[ID],[1]!Address[CT])</f>
        <v>30 DAYS</v>
      </c>
      <c r="X1297" s="11"/>
      <c r="Y1297" s="17" t="s">
        <v>6418</v>
      </c>
      <c r="Z1297" s="17" t="e">
        <f>_xlfn.XLOOKUP(Customer[[#This Row],[NewType]],$AF$36:$AF$54,$AG$36:$AG$54)</f>
        <v>#N/A</v>
      </c>
      <c r="AA1297" s="17" t="s">
        <v>8500</v>
      </c>
      <c r="AB1297" s="11" t="str">
        <f>_xlfn.XLOOKUP(Customer[[#This Row],[Customer ID]],[1]!Address[ID],[1]!Address[Subtype])</f>
        <v>JIMAT BIZ</v>
      </c>
      <c r="AC1297" s="18" t="str">
        <f>_xlfn.XLOOKUP(Customer[[#This Row],[Customer ID]],[1]!Address[ID],[1]!Address[Zone])</f>
        <v>ALAYSIAOURONGH</v>
      </c>
    </row>
    <row r="1298" spans="1:30" x14ac:dyDescent="0.3">
      <c r="A1298" s="37" t="s">
        <v>8501</v>
      </c>
      <c r="B1298" s="38" t="str">
        <f>_xlfn.XLOOKUP(Customer[[#This Row],[Customer ID]],[1]!Name[ID],[1]!Name[Description(1)])</f>
        <v>BERKAT MUAFAKAT ENTERPRISE</v>
      </c>
      <c r="C1298" s="38" t="str">
        <f>_xlfn.XLOOKUP(Customer[[#This Row],[Customer ID]],[1]!Name[ID],[1]!Name[Description(2)])</f>
        <v>PASAR MINI TAMAN PINANG JAYA</v>
      </c>
      <c r="D1298" s="38" t="str">
        <f>_xlfn.XLOOKUP(Customer[[#This Row],[Customer ID]],[1]!Address[ID],[1]!Address[PIC])</f>
        <v/>
      </c>
      <c r="E1298" s="38" t="str">
        <f>_xlfn.XLOOKUP(Customer[[#This Row],[Customer ID]],[1]!Address[ID],[1]!Address[Full Address])</f>
        <v>NO.17 LOT KEDAI TAMAN PINANG JAYA,JALAN PINANG JAYA,06200 KEPALA BATASALOR SETAR,KEDAH</v>
      </c>
      <c r="F1298" s="12" t="s">
        <v>8502</v>
      </c>
      <c r="G1298" s="12" t="s">
        <v>8503</v>
      </c>
      <c r="H1298" s="12" t="s">
        <v>8504</v>
      </c>
      <c r="I1298" s="12" t="b">
        <f>ISNUMBER(VALUE(LEFT(Customer[[#This Row],[Address Line 3 (30 char)]],1)))</f>
        <v>0</v>
      </c>
      <c r="J1298" s="12" t="s">
        <v>355</v>
      </c>
      <c r="K1298" s="42" t="s">
        <v>7224</v>
      </c>
      <c r="L1298" s="12" t="s">
        <v>35</v>
      </c>
      <c r="M1298" s="13" t="e">
        <v>#N/A</v>
      </c>
      <c r="N1298" s="14" t="e">
        <v>#N/A</v>
      </c>
      <c r="O1298" s="14" t="e">
        <v>#N/A</v>
      </c>
      <c r="P1298" s="14" t="e">
        <v>#N/A</v>
      </c>
      <c r="Q1298" s="19" t="s">
        <v>8505</v>
      </c>
      <c r="R1298" s="15" t="s">
        <v>8506</v>
      </c>
      <c r="S1298" s="15" t="s">
        <v>5917</v>
      </c>
      <c r="T1298" s="16" t="s">
        <v>3477</v>
      </c>
      <c r="U1298" s="11" t="str">
        <f>_xlfn.XLOOKUP(Customer[[#This Row],[Customer ID]],[1]!Address[ID],[1]!Address[Phone No.(2)])</f>
        <v/>
      </c>
      <c r="V1298" s="11" t="str">
        <f>_xlfn.XLOOKUP(Customer[[#This Row],[Customer ID]],[1]!Address[ID],[1]!Address[Type])</f>
        <v>CM</v>
      </c>
      <c r="W1298" s="11" t="str">
        <f>_xlfn.XLOOKUP(Customer[[#This Row],[Customer ID]],[1]!Address[ID],[1]!Address[CT])</f>
        <v>30 DAYS</v>
      </c>
      <c r="X1298" s="11"/>
      <c r="Y1298" s="17" t="s">
        <v>5918</v>
      </c>
      <c r="Z1298" s="17" t="e">
        <f>_xlfn.XLOOKUP(Customer[[#This Row],[NewType]],$AF$36:$AF$54,$AG$36:$AG$54)</f>
        <v>#N/A</v>
      </c>
      <c r="AA1298" s="17" t="s">
        <v>8507</v>
      </c>
      <c r="AB1298" s="11" t="str">
        <f>_xlfn.XLOOKUP(Customer[[#This Row],[Customer ID]],[1]!Address[ID],[1]!Address[Subtype])</f>
        <v>PASAR MINI</v>
      </c>
      <c r="AC1298" s="18" t="str">
        <f>_xlfn.XLOOKUP(Customer[[#This Row],[Customer ID]],[1]!Address[ID],[1]!Address[Zone])</f>
        <v>NORTH</v>
      </c>
    </row>
    <row r="1299" spans="1:30" x14ac:dyDescent="0.3">
      <c r="A1299" s="37" t="s">
        <v>8508</v>
      </c>
      <c r="B1299" s="38" t="str">
        <f>_xlfn.XLOOKUP(Customer[[#This Row],[Customer ID]],[1]!Name[ID],[1]!Name[Description(1)])</f>
        <v>Persada Warisan Kiman SDN BHD.</v>
      </c>
      <c r="C1299" s="38" t="str">
        <f>_xlfn.XLOOKUP(Customer[[#This Row],[Customer ID]],[1]!Name[ID],[1]!Name[Description(2)])</f>
        <v>PETRON CHANGKAT CERMIN</v>
      </c>
      <c r="D1299" s="38" t="str">
        <f>_xlfn.XLOOKUP(Customer[[#This Row],[Customer ID]],[1]!Address[ID],[1]!Address[PIC])</f>
        <v/>
      </c>
      <c r="E1299" s="38" t="str">
        <f>_xlfn.XLOOKUP(Customer[[#This Row],[Customer ID]],[1]!Address[ID],[1]!Address[Full Address])</f>
        <v>PETRON CHANGKAT CERMINStesen Minyak Petron, PT 50803Kampung Changkat Cermin, 32400Ayer Tawar, Perak Darul Ridzuan.</v>
      </c>
      <c r="F1299" s="12" t="s">
        <v>8509</v>
      </c>
      <c r="G1299" s="12" t="s">
        <v>8510</v>
      </c>
      <c r="H1299" s="12" t="s">
        <v>8511</v>
      </c>
      <c r="I1299" s="12" t="b">
        <f>ISNUMBER(VALUE(LEFT(Customer[[#This Row],[Address Line 3 (30 char)]],1)))</f>
        <v>0</v>
      </c>
      <c r="J1299" s="12" t="s">
        <v>387</v>
      </c>
      <c r="K1299" s="12">
        <v>32400</v>
      </c>
      <c r="L1299" s="12" t="s">
        <v>35</v>
      </c>
      <c r="M1299" s="13" t="e">
        <v>#N/A</v>
      </c>
      <c r="N1299" s="14" t="e">
        <v>#N/A</v>
      </c>
      <c r="O1299" s="14" t="e">
        <v>#N/A</v>
      </c>
      <c r="P1299" s="14" t="e">
        <v>#N/A</v>
      </c>
      <c r="Q1299" s="14" t="e">
        <v>#N/A</v>
      </c>
      <c r="R1299" s="15" t="s">
        <v>36</v>
      </c>
      <c r="S1299" s="15" t="s">
        <v>37</v>
      </c>
      <c r="T1299" s="16" t="s">
        <v>38</v>
      </c>
      <c r="U1299" s="11" t="str">
        <f>_xlfn.XLOOKUP(Customer[[#This Row],[Customer ID]],[1]!Address[ID],[1]!Address[Phone No.(2)])</f>
        <v/>
      </c>
      <c r="V1299" s="11" t="str">
        <f>_xlfn.XLOOKUP(Customer[[#This Row],[Customer ID]],[1]!Address[ID],[1]!Address[Type])</f>
        <v>PETROMART</v>
      </c>
      <c r="W1299" s="11" t="str">
        <f>_xlfn.XLOOKUP(Customer[[#This Row],[Customer ID]],[1]!Address[ID],[1]!Address[CT])</f>
        <v>30</v>
      </c>
      <c r="X1299" s="11" t="s">
        <v>39</v>
      </c>
      <c r="Y1299" s="17" t="s">
        <v>40</v>
      </c>
      <c r="Z1299" s="17" t="e">
        <f>_xlfn.XLOOKUP(Customer[[#This Row],[NewType]],$AF$36:$AF$54,$AG$36:$AG$54)</f>
        <v>#N/A</v>
      </c>
      <c r="AA1299" s="17" t="s">
        <v>8512</v>
      </c>
      <c r="AB1299" s="11" t="str">
        <f>_xlfn.XLOOKUP(Customer[[#This Row],[Customer ID]],[1]!Address[ID],[1]!Address[Subtype])</f>
        <v>PETRON</v>
      </c>
      <c r="AC1299" s="18" t="str">
        <f>_xlfn.XLOOKUP(Customer[[#This Row],[Customer ID]],[1]!Address[ID],[1]!Address[Zone])</f>
        <v>NORTH</v>
      </c>
    </row>
    <row r="1300" spans="1:30" x14ac:dyDescent="0.3">
      <c r="A1300" s="37" t="s">
        <v>8513</v>
      </c>
      <c r="B1300" s="38" t="str">
        <f>_xlfn.XLOOKUP(Customer[[#This Row],[Customer ID]],[1]!Name[ID],[1]!Name[Description(1)])</f>
        <v>HEGIRA SDN BHD</v>
      </c>
      <c r="C1300" s="38" t="str">
        <f>_xlfn.XLOOKUP(Customer[[#This Row],[Customer ID]],[1]!Name[ID],[1]!Name[Description(2)])</f>
        <v/>
      </c>
      <c r="D1300" s="38" t="str">
        <f>_xlfn.XLOOKUP(Customer[[#This Row],[Customer ID]],[1]!Address[ID],[1]!Address[PIC])</f>
        <v>NATRAH</v>
      </c>
      <c r="E1300" s="38" t="str">
        <f>_xlfn.XLOOKUP(Customer[[#This Row],[Customer ID]],[1]!Address[ID],[1]!Address[Full Address])</f>
        <v>36, JALAN BANDAR SENAWANG 4,PUSAT BANDAR SENAWANG, 70450SENAWANG, NEGERI SEMBILAN</v>
      </c>
      <c r="F1300" s="12" t="s">
        <v>8514</v>
      </c>
      <c r="G1300" s="12" t="s">
        <v>8515</v>
      </c>
      <c r="H1300" s="12" t="s">
        <v>3106</v>
      </c>
      <c r="I1300" s="12" t="b">
        <f>ISNUMBER(VALUE(LEFT(Customer[[#This Row],[Address Line 3 (30 char)]],1)))</f>
        <v>0</v>
      </c>
      <c r="J1300" s="12" t="s">
        <v>2004</v>
      </c>
      <c r="K1300" s="12">
        <v>70450</v>
      </c>
      <c r="L1300" s="12" t="s">
        <v>35</v>
      </c>
      <c r="M1300" s="13" t="e">
        <v>#N/A</v>
      </c>
      <c r="N1300" s="14" t="e">
        <v>#N/A</v>
      </c>
      <c r="O1300" s="14" t="e">
        <v>#N/A</v>
      </c>
      <c r="P1300" s="14" t="e">
        <v>#N/A</v>
      </c>
      <c r="Q1300" s="14" t="e">
        <v>#N/A</v>
      </c>
      <c r="R1300" s="15" t="s">
        <v>8516</v>
      </c>
      <c r="S1300" s="15" t="s">
        <v>88</v>
      </c>
      <c r="T1300" s="16" t="s">
        <v>89</v>
      </c>
      <c r="U1300" s="11" t="str">
        <f>_xlfn.XLOOKUP(Customer[[#This Row],[Customer ID]],[1]!Address[ID],[1]!Address[Phone No.(2)])</f>
        <v/>
      </c>
      <c r="V1300" s="11" t="str">
        <f>_xlfn.XLOOKUP(Customer[[#This Row],[Customer ID]],[1]!Address[ID],[1]!Address[Type])</f>
        <v>SOCMED</v>
      </c>
      <c r="W1300" s="11" t="str">
        <f>_xlfn.XLOOKUP(Customer[[#This Row],[Customer ID]],[1]!Address[ID],[1]!Address[CT])</f>
        <v/>
      </c>
      <c r="X1300" s="11"/>
      <c r="Y1300" s="17" t="s">
        <v>90</v>
      </c>
      <c r="Z1300" s="17" t="e">
        <f>_xlfn.XLOOKUP(Customer[[#This Row],[NewType]],$AF$36:$AF$54,$AG$36:$AG$54)</f>
        <v>#N/A</v>
      </c>
      <c r="AA1300" s="17" t="s">
        <v>8517</v>
      </c>
      <c r="AB1300" s="11" t="str">
        <f>_xlfn.XLOOKUP(Customer[[#This Row],[Customer ID]],[1]!Address[ID],[1]!Address[Subtype])</f>
        <v>ONLINE ROS</v>
      </c>
      <c r="AC1300" s="18" t="str">
        <f>_xlfn.XLOOKUP(Customer[[#This Row],[Customer ID]],[1]!Address[ID],[1]!Address[Zone])</f>
        <v>CENTRAL</v>
      </c>
    </row>
    <row r="1301" spans="1:30" x14ac:dyDescent="0.3">
      <c r="A1301" s="37" t="s">
        <v>8518</v>
      </c>
      <c r="B1301" s="38" t="str">
        <f>_xlfn.XLOOKUP(Customer[[#This Row],[Customer ID]],[1]!Name[ID],[1]!Name[Description(1)])</f>
        <v>PERMATA SENIBUNG ENTERPRISE</v>
      </c>
      <c r="C1301" s="38" t="str">
        <f>_xlfn.XLOOKUP(Customer[[#This Row],[Customer ID]],[1]!Name[ID],[1]!Name[Description(2)])</f>
        <v/>
      </c>
      <c r="D1301" s="38" t="str">
        <f>_xlfn.XLOOKUP(Customer[[#This Row],[Customer ID]],[1]!Address[ID],[1]!Address[PIC])</f>
        <v/>
      </c>
      <c r="E1301" s="38" t="str">
        <f>_xlfn.XLOOKUP(Customer[[#This Row],[Customer ID]],[1]!Address[ID],[1]!Address[Full Address])</f>
        <v>LOT PTD 173047 BAYU SENIBONGBANDAR BARU PERMAS JAYA81750 MASAI JOHOR</v>
      </c>
      <c r="F1301" s="12" t="s">
        <v>8519</v>
      </c>
      <c r="G1301" s="12" t="s">
        <v>8520</v>
      </c>
      <c r="H1301" s="24" t="s">
        <v>8521</v>
      </c>
      <c r="I1301" s="24" t="b">
        <f>ISNUMBER(VALUE(LEFT(Customer[[#This Row],[Address Line 3 (30 char)]],1)))</f>
        <v>0</v>
      </c>
      <c r="J1301" s="12" t="s">
        <v>1995</v>
      </c>
      <c r="K1301" s="12">
        <v>81750</v>
      </c>
      <c r="L1301" s="12" t="s">
        <v>35</v>
      </c>
      <c r="M1301" s="13" t="e">
        <v>#N/A</v>
      </c>
      <c r="N1301" s="14" t="e">
        <v>#N/A</v>
      </c>
      <c r="O1301" s="14" t="e">
        <v>#N/A</v>
      </c>
      <c r="P1301" s="14" t="e">
        <v>#N/A</v>
      </c>
      <c r="Q1301" s="14" t="e">
        <v>#N/A</v>
      </c>
      <c r="R1301" s="15" t="s">
        <v>8522</v>
      </c>
      <c r="S1301" s="15" t="s">
        <v>3476</v>
      </c>
      <c r="T1301" s="16" t="s">
        <v>3477</v>
      </c>
      <c r="U1301" s="11" t="str">
        <f>_xlfn.XLOOKUP(Customer[[#This Row],[Customer ID]],[1]!Address[ID],[1]!Address[Phone No.(2)])</f>
        <v/>
      </c>
      <c r="V1301" s="11" t="str">
        <f>_xlfn.XLOOKUP(Customer[[#This Row],[Customer ID]],[1]!Address[ID],[1]!Address[Type])</f>
        <v>PERMATA</v>
      </c>
      <c r="W1301" s="11" t="str">
        <f>_xlfn.XLOOKUP(Customer[[#This Row],[Customer ID]],[1]!Address[ID],[1]!Address[CT])</f>
        <v>30 DAYS</v>
      </c>
      <c r="X1301" s="11"/>
      <c r="Y1301" s="17" t="s">
        <v>5955</v>
      </c>
      <c r="Z1301" s="17" t="e">
        <f>_xlfn.XLOOKUP(Customer[[#This Row],[NewType]],$AF$36:$AF$54,$AG$36:$AG$54)</f>
        <v>#N/A</v>
      </c>
      <c r="AA1301" s="17" t="s">
        <v>8523</v>
      </c>
      <c r="AB1301" s="11" t="str">
        <f>_xlfn.XLOOKUP(Customer[[#This Row],[Customer ID]],[1]!Address[ID],[1]!Address[Subtype])</f>
        <v>PHARMACY</v>
      </c>
      <c r="AC1301" s="18" t="str">
        <f>_xlfn.XLOOKUP(Customer[[#This Row],[Customer ID]],[1]!Address[ID],[1]!Address[Zone])</f>
        <v>SOUTH</v>
      </c>
    </row>
    <row r="1302" spans="1:30" x14ac:dyDescent="0.3">
      <c r="A1302" s="56" t="s">
        <v>8524</v>
      </c>
      <c r="B1302" s="50" t="str">
        <f>_xlfn.XLOOKUP(Customer[[#This Row],[Customer ID]],[1]!Name[ID],[1]!Name[Description(1)])</f>
        <v>IRDA ABU</v>
      </c>
      <c r="C1302" s="38" t="str">
        <f>_xlfn.XLOOKUP(Customer[[#This Row],[Customer ID]],[1]!Name[ID],[1]!Name[Description(2)])</f>
        <v/>
      </c>
      <c r="D1302" s="38" t="str">
        <f>_xlfn.XLOOKUP(Customer[[#This Row],[Customer ID]],[1]!Address[ID],[1]!Address[PIC])</f>
        <v/>
      </c>
      <c r="E1302" s="38" t="str">
        <f>_xlfn.XLOOKUP(Customer[[#This Row],[Customer ID]],[1]!Address[ID],[1]!Address[Full Address])</f>
        <v>NO 234, JALAN SEMARAK API F3/1,TAMAN SEMARAK API 3,06010 CHANGLUN, KEDAH</v>
      </c>
      <c r="F1302" s="12" t="s">
        <v>8525</v>
      </c>
      <c r="G1302" s="12" t="s">
        <v>8526</v>
      </c>
      <c r="H1302" s="12" t="s">
        <v>8527</v>
      </c>
      <c r="I1302" s="12" t="b">
        <f>ISNUMBER(VALUE(LEFT(Customer[[#This Row],[Address Line 3 (30 char)]],1)))</f>
        <v>0</v>
      </c>
      <c r="J1302" s="12" t="s">
        <v>355</v>
      </c>
      <c r="K1302" s="42" t="s">
        <v>1300</v>
      </c>
      <c r="L1302" s="12" t="s">
        <v>35</v>
      </c>
      <c r="M1302" s="13" t="e">
        <v>#N/A</v>
      </c>
      <c r="N1302" s="14" t="e">
        <v>#N/A</v>
      </c>
      <c r="O1302" s="14" t="e">
        <v>#N/A</v>
      </c>
      <c r="P1302" s="14" t="e">
        <v>#N/A</v>
      </c>
      <c r="Q1302" s="14" t="e">
        <v>#N/A</v>
      </c>
      <c r="R1302" s="15" t="s">
        <v>8528</v>
      </c>
      <c r="S1302" s="15" t="s">
        <v>3212</v>
      </c>
      <c r="T1302" s="16" t="s">
        <v>89</v>
      </c>
      <c r="U1302" s="11" t="str">
        <f>_xlfn.XLOOKUP(Customer[[#This Row],[Customer ID]],[1]!Address[ID],[1]!Address[Phone No.(2)])</f>
        <v/>
      </c>
      <c r="V1302" s="11" t="str">
        <f>_xlfn.XLOOKUP(Customer[[#This Row],[Customer ID]],[1]!Address[ID],[1]!Address[Type])</f>
        <v>SOCMED</v>
      </c>
      <c r="W1302" s="11" t="str">
        <f>_xlfn.XLOOKUP(Customer[[#This Row],[Customer ID]],[1]!Address[ID],[1]!Address[CT])</f>
        <v/>
      </c>
      <c r="X1302" s="11"/>
      <c r="Y1302" s="17" t="s">
        <v>90</v>
      </c>
      <c r="Z1302" s="17" t="e">
        <f>_xlfn.XLOOKUP(Customer[[#This Row],[NewType]],$AF$36:$AF$54,$AG$36:$AG$54)</f>
        <v>#N/A</v>
      </c>
      <c r="AA1302" s="17" t="s">
        <v>8529</v>
      </c>
      <c r="AB1302" s="11" t="str">
        <f>_xlfn.XLOOKUP(Customer[[#This Row],[Customer ID]],[1]!Address[ID],[1]!Address[Subtype])</f>
        <v>ONLINE HAJAR</v>
      </c>
      <c r="AC1302" s="18" t="str">
        <f>_xlfn.XLOOKUP(Customer[[#This Row],[Customer ID]],[1]!Address[ID],[1]!Address[Zone])</f>
        <v>NORTH</v>
      </c>
    </row>
    <row r="1303" spans="1:30" x14ac:dyDescent="0.3">
      <c r="A1303" s="46" t="s">
        <v>8530</v>
      </c>
      <c r="B1303" s="24" t="str">
        <f>_xlfn.XLOOKUP(Customer[[#This Row],[Customer ID]],[1]!Name[ID],[1]!Name[Description(1)])</f>
        <v>ORDER CUSTOMER TIKTOK</v>
      </c>
      <c r="C1303" s="24" t="str">
        <f>_xlfn.XLOOKUP(Customer[[#This Row],[Customer ID]],[1]!Name[ID],[1]!Name[Description(2)])</f>
        <v/>
      </c>
      <c r="D1303" s="38" t="str">
        <f>_xlfn.XLOOKUP(Customer[[#This Row],[Customer ID]],[1]!Address[ID],[1]!Address[PIC])</f>
        <v/>
      </c>
      <c r="E1303" s="38" t="str">
        <f>_xlfn.XLOOKUP(Customer[[#This Row],[Customer ID]],[1]!Address[ID],[1]!Address[Full Address])</f>
        <v/>
      </c>
      <c r="F1303" s="12" t="s">
        <v>36</v>
      </c>
      <c r="G1303" s="12" t="s">
        <v>36</v>
      </c>
      <c r="H1303" s="12" t="s">
        <v>36</v>
      </c>
      <c r="I1303" s="12" t="b">
        <f>ISNUMBER(VALUE(LEFT(Customer[[#This Row],[Address Line 3 (30 char)]],1)))</f>
        <v>0</v>
      </c>
      <c r="J1303" s="24"/>
      <c r="K1303" s="24"/>
      <c r="L1303" s="12" t="s">
        <v>35</v>
      </c>
      <c r="M1303" s="13" t="e">
        <v>#N/A</v>
      </c>
      <c r="N1303" s="14" t="e">
        <v>#N/A</v>
      </c>
      <c r="O1303" s="14" t="e">
        <v>#N/A</v>
      </c>
      <c r="P1303" s="14" t="e">
        <v>#N/A</v>
      </c>
      <c r="Q1303" s="14" t="e">
        <v>#N/A</v>
      </c>
      <c r="R1303" s="15" t="s">
        <v>36</v>
      </c>
      <c r="S1303" s="16" t="s">
        <v>89</v>
      </c>
      <c r="T1303" s="16" t="s">
        <v>6283</v>
      </c>
      <c r="U1303" s="11" t="str">
        <f>_xlfn.XLOOKUP(Customer[[#This Row],[Customer ID]],[1]!Address[ID],[1]!Address[Phone No.(2)])</f>
        <v/>
      </c>
      <c r="V1303" s="11" t="str">
        <f>_xlfn.XLOOKUP(Customer[[#This Row],[Customer ID]],[1]!Address[ID],[1]!Address[Type])</f>
        <v>SOCMED</v>
      </c>
      <c r="W1303" s="11" t="str">
        <f>_xlfn.XLOOKUP(Customer[[#This Row],[Customer ID]],[1]!Address[ID],[1]!Address[CT])</f>
        <v/>
      </c>
      <c r="X1303" s="11"/>
      <c r="Y1303" s="17" t="s">
        <v>90</v>
      </c>
      <c r="Z1303" s="17" t="e">
        <f>_xlfn.XLOOKUP(Customer[[#This Row],[NewType]],$AF$36:$AF$54,$AG$36:$AG$54)</f>
        <v>#N/A</v>
      </c>
      <c r="AA1303" s="17" t="s">
        <v>8531</v>
      </c>
      <c r="AB1303" s="11" t="str">
        <f>_xlfn.XLOOKUP(Customer[[#This Row],[Customer ID]],[1]!Address[ID],[1]!Address[Subtype])</f>
        <v>TIKTOK</v>
      </c>
      <c r="AC1303" s="18" t="str">
        <f>_xlfn.XLOOKUP(Customer[[#This Row],[Customer ID]],[1]!Address[ID],[1]!Address[Zone])</f>
        <v>KEEDH</v>
      </c>
    </row>
    <row r="1304" spans="1:30" x14ac:dyDescent="0.3">
      <c r="A1304" s="10" t="s">
        <v>8532</v>
      </c>
      <c r="B1304" s="11" t="str">
        <f>_xlfn.XLOOKUP(Customer[[#This Row],[Customer ID]],[1]!Name[ID],[1]!Name[Description(1)])</f>
        <v>PUAN JUWAIRIAH</v>
      </c>
      <c r="C1304" s="32" t="str">
        <f>_xlfn.XLOOKUP(Customer[[#This Row],[Customer ID]],[1]!Name[ID],[1]!Name[Description(2)])</f>
        <v/>
      </c>
      <c r="D1304" s="38" t="str">
        <f>_xlfn.XLOOKUP(Customer[[#This Row],[Customer ID]],[1]!Address[ID],[1]!Address[PIC])</f>
        <v/>
      </c>
      <c r="E1304" s="38" t="str">
        <f>_xlfn.XLOOKUP(Customer[[#This Row],[Customer ID]],[1]!Address[ID],[1]!Address[Full Address])</f>
        <v>HQ JHEAINS SEREMBAN</v>
      </c>
      <c r="F1304" s="12" t="s">
        <v>8533</v>
      </c>
      <c r="G1304" s="12" t="s">
        <v>36</v>
      </c>
      <c r="H1304" s="12" t="s">
        <v>36</v>
      </c>
      <c r="I1304" s="12" t="b">
        <f>ISNUMBER(VALUE(LEFT(Customer[[#This Row],[Address Line 3 (30 char)]],1)))</f>
        <v>0</v>
      </c>
      <c r="J1304" s="32" t="s">
        <v>2004</v>
      </c>
      <c r="K1304" s="32"/>
      <c r="L1304" s="12" t="s">
        <v>35</v>
      </c>
      <c r="M1304" s="13" t="e">
        <v>#N/A</v>
      </c>
      <c r="N1304" s="14" t="e">
        <v>#N/A</v>
      </c>
      <c r="O1304" s="14" t="e">
        <v>#N/A</v>
      </c>
      <c r="P1304" s="14" t="e">
        <v>#N/A</v>
      </c>
      <c r="Q1304" s="14" t="e">
        <v>#N/A</v>
      </c>
      <c r="R1304" s="15" t="s">
        <v>8534</v>
      </c>
      <c r="S1304" s="15" t="s">
        <v>5934</v>
      </c>
      <c r="T1304" s="16" t="s">
        <v>7974</v>
      </c>
      <c r="U1304" s="11" t="str">
        <f>_xlfn.XLOOKUP(Customer[[#This Row],[Customer ID]],[1]!Address[ID],[1]!Address[Phone No.(2)])</f>
        <v/>
      </c>
      <c r="V1304" s="11" t="str">
        <f>_xlfn.XLOOKUP(Customer[[#This Row],[Customer ID]],[1]!Address[ID],[1]!Address[Type])</f>
        <v>SOCMED</v>
      </c>
      <c r="W1304" s="11" t="str">
        <f>_xlfn.XLOOKUP(Customer[[#This Row],[Customer ID]],[1]!Address[ID],[1]!Address[CT])</f>
        <v>30 DAYS</v>
      </c>
      <c r="X1304" s="11"/>
      <c r="Y1304" s="17" t="s">
        <v>90</v>
      </c>
      <c r="Z1304" s="17" t="e">
        <f>_xlfn.XLOOKUP(Customer[[#This Row],[NewType]],$AF$36:$AF$54,$AG$36:$AG$54)</f>
        <v>#N/A</v>
      </c>
      <c r="AA1304" s="17" t="s">
        <v>8535</v>
      </c>
      <c r="AB1304" s="11" t="str">
        <f>_xlfn.XLOOKUP(Customer[[#This Row],[Customer ID]],[1]!Address[ID],[1]!Address[Subtype])</f>
        <v>WHATSAPP</v>
      </c>
      <c r="AC1304" s="18" t="str">
        <f>_xlfn.XLOOKUP(Customer[[#This Row],[Customer ID]],[1]!Address[ID],[1]!Address[Zone])</f>
        <v>CENTRAL</v>
      </c>
    </row>
    <row r="1305" spans="1:30" x14ac:dyDescent="0.3">
      <c r="A1305" s="87" t="s">
        <v>8536</v>
      </c>
      <c r="B1305" s="88" t="str">
        <f>_xlfn.XLOOKUP(Customer[[#This Row],[Customer ID]],[1]!Name[ID],[1]!Name[Description(1)])</f>
        <v>PEJABAT DUN</v>
      </c>
      <c r="C1305" s="88" t="str">
        <f>_xlfn.XLOOKUP(Customer[[#This Row],[Customer ID]],[1]!Name[ID],[1]!Name[Description(2)])</f>
        <v/>
      </c>
      <c r="D1305" s="50" t="str">
        <f>_xlfn.XLOOKUP(Customer[[#This Row],[Customer ID]],[1]!Address[ID],[1]!Address[PIC])</f>
        <v>ZAIBEDAH</v>
      </c>
      <c r="E1305" s="38" t="str">
        <f>_xlfn.XLOOKUP(Customer[[#This Row],[Customer ID]],[1]!Address[ID],[1]!Address[Full Address])</f>
        <v>RANTAU</v>
      </c>
      <c r="F1305" s="12" t="s">
        <v>6428</v>
      </c>
      <c r="G1305" s="12" t="s">
        <v>36</v>
      </c>
      <c r="H1305" s="12" t="s">
        <v>36</v>
      </c>
      <c r="I1305" s="12" t="b">
        <f>ISNUMBER(VALUE(LEFT(Customer[[#This Row],[Address Line 3 (30 char)]],1)))</f>
        <v>0</v>
      </c>
      <c r="J1305" s="32" t="s">
        <v>2004</v>
      </c>
      <c r="K1305" s="32"/>
      <c r="L1305" s="12" t="s">
        <v>35</v>
      </c>
      <c r="M1305" s="13" t="e">
        <v>#N/A</v>
      </c>
      <c r="N1305" s="14" t="e">
        <v>#N/A</v>
      </c>
      <c r="O1305" s="14" t="e">
        <v>#N/A</v>
      </c>
      <c r="P1305" s="14" t="e">
        <v>#N/A</v>
      </c>
      <c r="Q1305" s="14" t="e">
        <v>#N/A</v>
      </c>
      <c r="R1305" s="51" t="s">
        <v>8537</v>
      </c>
      <c r="S1305" s="16" t="s">
        <v>6283</v>
      </c>
      <c r="T1305" s="16"/>
      <c r="U1305" s="49" t="str">
        <f>_xlfn.XLOOKUP(Customer[[#This Row],[Customer ID]],[1]!Address[ID],[1]!Address[Phone No.(2)])</f>
        <v/>
      </c>
      <c r="V1305" s="49" t="str">
        <f>_xlfn.XLOOKUP(Customer[[#This Row],[Customer ID]],[1]!Address[ID],[1]!Address[Type])</f>
        <v>WALK IN</v>
      </c>
      <c r="W1305" s="49" t="str">
        <f>_xlfn.XLOOKUP(Customer[[#This Row],[Customer ID]],[1]!Address[ID],[1]!Address[CT])</f>
        <v/>
      </c>
      <c r="X1305" s="49"/>
      <c r="Y1305" s="53" t="s">
        <v>6284</v>
      </c>
      <c r="Z1305" s="53" t="e">
        <f>_xlfn.XLOOKUP(Customer[[#This Row],[NewType]],$AF$36:$AF$54,$AG$36:$AG$54)</f>
        <v>#N/A</v>
      </c>
      <c r="AA1305" s="53" t="s">
        <v>8538</v>
      </c>
      <c r="AB1305" s="49" t="str">
        <f>_xlfn.XLOOKUP(Customer[[#This Row],[Customer ID]],[1]!Address[ID],[1]!Address[Subtype])</f>
        <v>RANTAU</v>
      </c>
      <c r="AC1305" s="54" t="str">
        <f>_xlfn.XLOOKUP(Customer[[#This Row],[Customer ID]],[1]!Address[ID],[1]!Address[Zone])</f>
        <v>U H</v>
      </c>
      <c r="AD1305" s="55"/>
    </row>
    <row r="1306" spans="1:30" x14ac:dyDescent="0.3">
      <c r="A1306" s="10" t="s">
        <v>8539</v>
      </c>
      <c r="B1306" s="11" t="str">
        <f>_xlfn.XLOOKUP(Customer[[#This Row],[Customer ID]],[1]!Name[ID],[1]!Name[Description(1)])</f>
        <v>PUAN NORMAH</v>
      </c>
      <c r="C1306" s="38" t="str">
        <f>_xlfn.XLOOKUP(Customer[[#This Row],[Customer ID]],[1]!Name[ID],[1]!Name[Description(2)])</f>
        <v/>
      </c>
      <c r="D1306" s="38" t="str">
        <f>_xlfn.XLOOKUP(Customer[[#This Row],[Customer ID]],[1]!Address[ID],[1]!Address[PIC])</f>
        <v/>
      </c>
      <c r="E1306" s="38" t="str">
        <f>_xlfn.XLOOKUP(Customer[[#This Row],[Customer ID]],[1]!Address[ID],[1]!Address[Full Address])</f>
        <v>NO. 8, JALAN 1/3S, VILLA SUTERA,BANDAR BARU BANGI</v>
      </c>
      <c r="F1306" s="29" t="s">
        <v>8540</v>
      </c>
      <c r="G1306" s="29" t="s">
        <v>8541</v>
      </c>
      <c r="H1306" s="29" t="s">
        <v>4431</v>
      </c>
      <c r="I1306" s="29" t="b">
        <f>ISNUMBER(VALUE(LEFT(Customer[[#This Row],[Address Line 3 (30 char)]],1)))</f>
        <v>0</v>
      </c>
      <c r="J1306" s="29" t="s">
        <v>172</v>
      </c>
      <c r="K1306" s="29">
        <v>15100</v>
      </c>
      <c r="L1306" s="29" t="s">
        <v>35</v>
      </c>
      <c r="M1306" s="31" t="e">
        <v>#N/A</v>
      </c>
      <c r="N1306" s="36" t="e">
        <v>#N/A</v>
      </c>
      <c r="O1306" s="36" t="e">
        <v>#N/A</v>
      </c>
      <c r="P1306" s="36" t="e">
        <v>#N/A</v>
      </c>
      <c r="Q1306" s="89" t="s">
        <v>8542</v>
      </c>
      <c r="R1306" s="15" t="s">
        <v>8543</v>
      </c>
      <c r="S1306" s="15" t="s">
        <v>4271</v>
      </c>
      <c r="T1306" s="16" t="s">
        <v>89</v>
      </c>
      <c r="U1306" s="11" t="str">
        <f>_xlfn.XLOOKUP(Customer[[#This Row],[Customer ID]],[1]!Address[ID],[1]!Address[Phone No.(2)])</f>
        <v/>
      </c>
      <c r="V1306" s="11" t="str">
        <f>_xlfn.XLOOKUP(Customer[[#This Row],[Customer ID]],[1]!Address[ID],[1]!Address[Type])</f>
        <v>SOCMED</v>
      </c>
      <c r="W1306" s="11" t="str">
        <f>_xlfn.XLOOKUP(Customer[[#This Row],[Customer ID]],[1]!Address[ID],[1]!Address[CT])</f>
        <v/>
      </c>
      <c r="X1306" s="11"/>
      <c r="Y1306" s="17" t="s">
        <v>90</v>
      </c>
      <c r="Z1306" s="17" t="e">
        <f>_xlfn.XLOOKUP(Customer[[#This Row],[NewType]],$AF$36:$AF$54,$AG$36:$AG$54)</f>
        <v>#N/A</v>
      </c>
      <c r="AA1306" s="17" t="s">
        <v>8544</v>
      </c>
      <c r="AB1306" s="11" t="str">
        <f>_xlfn.XLOOKUP(Customer[[#This Row],[Customer ID]],[1]!Address[ID],[1]!Address[Subtype])</f>
        <v>WHATSAPP</v>
      </c>
      <c r="AC1306" s="18" t="str">
        <f>_xlfn.XLOOKUP(Customer[[#This Row],[Customer ID]],[1]!Address[ID],[1]!Address[Zone])</f>
        <v>CENTRAL</v>
      </c>
    </row>
    <row r="1307" spans="1:30" x14ac:dyDescent="0.3">
      <c r="A1307" s="37" t="s">
        <v>8545</v>
      </c>
      <c r="B1307" s="38" t="str">
        <f>_xlfn.XLOOKUP(Customer[[#This Row],[Customer ID]],[1]!Name[ID],[1]!Name[Description(1)])</f>
        <v>KU MAJU 2.0 STATION</v>
      </c>
      <c r="C1307" s="38" t="str">
        <f>_xlfn.XLOOKUP(Customer[[#This Row],[Customer ID]],[1]!Name[ID],[1]!Name[Description(2)])</f>
        <v>CALTEX SALOR</v>
      </c>
      <c r="D1307" s="38" t="str">
        <f>_xlfn.XLOOKUP(Customer[[#This Row],[Customer ID]],[1]!Address[ID],[1]!Address[PIC])</f>
        <v/>
      </c>
      <c r="E1307" s="38" t="str">
        <f>_xlfn.XLOOKUP(Customer[[#This Row],[Customer ID]],[1]!Address[ID],[1]!Address[Full Address])</f>
        <v>CALTEX SALORLot 2651, Kampung Padang  Merbau,Salor, Mukim Pasir Mas,15100 Kota Bharu, Kelantan.</v>
      </c>
      <c r="F1307" s="12" t="s">
        <v>8546</v>
      </c>
      <c r="G1307" s="12" t="s">
        <v>8547</v>
      </c>
      <c r="H1307" s="12" t="s">
        <v>8548</v>
      </c>
      <c r="I1307" s="12" t="b">
        <f>ISNUMBER(VALUE(LEFT(Customer[[#This Row],[Address Line 3 (30 char)]],1)))</f>
        <v>0</v>
      </c>
      <c r="J1307" s="12" t="s">
        <v>1007</v>
      </c>
      <c r="K1307" s="12">
        <v>15100</v>
      </c>
      <c r="L1307" s="12" t="s">
        <v>35</v>
      </c>
      <c r="M1307" s="13" t="e">
        <v>#N/A</v>
      </c>
      <c r="N1307" s="14" t="e">
        <v>#N/A</v>
      </c>
      <c r="O1307" s="14" t="e">
        <v>#N/A</v>
      </c>
      <c r="P1307" s="14" t="e">
        <v>#N/A</v>
      </c>
      <c r="Q1307" s="19" t="s">
        <v>8549</v>
      </c>
      <c r="R1307" s="15" t="s">
        <v>8550</v>
      </c>
      <c r="S1307" s="15" t="s">
        <v>37</v>
      </c>
      <c r="T1307" s="16" t="s">
        <v>38</v>
      </c>
      <c r="U1307" s="11" t="str">
        <f>_xlfn.XLOOKUP(Customer[[#This Row],[Customer ID]],[1]!Address[ID],[1]!Address[Phone No.(2)])</f>
        <v>09-701 3312</v>
      </c>
      <c r="V1307" s="11" t="str">
        <f>_xlfn.XLOOKUP(Customer[[#This Row],[Customer ID]],[1]!Address[ID],[1]!Address[Type])</f>
        <v>PETROMART</v>
      </c>
      <c r="W1307" s="11" t="str">
        <f>_xlfn.XLOOKUP(Customer[[#This Row],[Customer ID]],[1]!Address[ID],[1]!Address[CT])</f>
        <v>30</v>
      </c>
      <c r="X1307" s="11" t="s">
        <v>39</v>
      </c>
      <c r="Y1307" s="17" t="s">
        <v>40</v>
      </c>
      <c r="Z1307" s="17" t="e">
        <f>_xlfn.XLOOKUP(Customer[[#This Row],[NewType]],$AF$36:$AF$54,$AG$36:$AG$54)</f>
        <v>#N/A</v>
      </c>
      <c r="AA1307" s="17" t="s">
        <v>8551</v>
      </c>
      <c r="AB1307" s="11" t="str">
        <f>_xlfn.XLOOKUP(Customer[[#This Row],[Customer ID]],[1]!Address[ID],[1]!Address[Subtype])</f>
        <v>XPRESS POINT</v>
      </c>
      <c r="AC1307" s="18" t="str">
        <f>_xlfn.XLOOKUP(Customer[[#This Row],[Customer ID]],[1]!Address[ID],[1]!Address[Zone])</f>
        <v>EAST COAST</v>
      </c>
    </row>
    <row r="1308" spans="1:30" x14ac:dyDescent="0.3">
      <c r="A1308" s="37" t="s">
        <v>8552</v>
      </c>
      <c r="B1308" s="38" t="str">
        <f>_xlfn.XLOOKUP(Customer[[#This Row],[Customer ID]],[1]!Name[ID],[1]!Name[Description(1)])</f>
        <v>CALTEX RAHMAT AKTIF TRADING</v>
      </c>
      <c r="C1308" s="38" t="str">
        <f>_xlfn.XLOOKUP(Customer[[#This Row],[Customer ID]],[1]!Name[ID],[1]!Name[Description(2)])</f>
        <v/>
      </c>
      <c r="D1308" s="38" t="str">
        <f>_xlfn.XLOOKUP(Customer[[#This Row],[Customer ID]],[1]!Address[ID],[1]!Address[PIC])</f>
        <v>CALTEX</v>
      </c>
      <c r="E1308" s="38" t="str">
        <f>_xlfn.XLOOKUP(Customer[[#This Row],[Customer ID]],[1]!Address[ID],[1]!Address[Full Address])</f>
        <v>CALTEX NO. 45, JALAN RAHMAT,83000 BATU PAHAT, JOHOR</v>
      </c>
      <c r="F1308" s="12" t="s">
        <v>8553</v>
      </c>
      <c r="G1308" s="12" t="s">
        <v>8554</v>
      </c>
      <c r="H1308" s="12" t="s">
        <v>36</v>
      </c>
      <c r="I1308" s="12" t="b">
        <f>ISNUMBER(VALUE(LEFT(Customer[[#This Row],[Address Line 3 (30 char)]],1)))</f>
        <v>0</v>
      </c>
      <c r="J1308" s="12" t="s">
        <v>1995</v>
      </c>
      <c r="K1308" s="12">
        <v>83000</v>
      </c>
      <c r="L1308" s="12" t="s">
        <v>35</v>
      </c>
      <c r="M1308" s="13" t="e">
        <v>#N/A</v>
      </c>
      <c r="N1308" s="14" t="e">
        <v>#N/A</v>
      </c>
      <c r="O1308" s="14" t="e">
        <v>#N/A</v>
      </c>
      <c r="P1308" s="14" t="e">
        <v>#N/A</v>
      </c>
      <c r="Q1308" s="14" t="e">
        <v>#N/A</v>
      </c>
      <c r="R1308" s="15" t="s">
        <v>8555</v>
      </c>
      <c r="S1308" s="15" t="s">
        <v>88</v>
      </c>
      <c r="T1308" s="16" t="s">
        <v>6283</v>
      </c>
      <c r="U1308" s="11" t="str">
        <f>_xlfn.XLOOKUP(Customer[[#This Row],[Customer ID]],[1]!Address[ID],[1]!Address[Phone No.(2)])</f>
        <v/>
      </c>
      <c r="V1308" s="11" t="str">
        <f>_xlfn.XLOOKUP(Customer[[#This Row],[Customer ID]],[1]!Address[ID],[1]!Address[Type])</f>
        <v>SOCMED</v>
      </c>
      <c r="W1308" s="11" t="str">
        <f>_xlfn.XLOOKUP(Customer[[#This Row],[Customer ID]],[1]!Address[ID],[1]!Address[CT])</f>
        <v/>
      </c>
      <c r="X1308" s="11"/>
      <c r="Y1308" s="17" t="s">
        <v>90</v>
      </c>
      <c r="Z1308" s="17" t="e">
        <f>_xlfn.XLOOKUP(Customer[[#This Row],[NewType]],$AF$36:$AF$54,$AG$36:$AG$54)</f>
        <v>#N/A</v>
      </c>
      <c r="AA1308" s="17" t="s">
        <v>8556</v>
      </c>
      <c r="AB1308" s="11" t="str">
        <f>_xlfn.XLOOKUP(Customer[[#This Row],[Customer ID]],[1]!Address[ID],[1]!Address[Subtype])</f>
        <v>ONLINE ROS</v>
      </c>
      <c r="AC1308" s="18" t="str">
        <f>_xlfn.XLOOKUP(Customer[[#This Row],[Customer ID]],[1]!Address[ID],[1]!Address[Zone])</f>
        <v>SOUTH</v>
      </c>
    </row>
    <row r="1309" spans="1:30" x14ac:dyDescent="0.3">
      <c r="A1309" s="37" t="s">
        <v>8557</v>
      </c>
      <c r="B1309" s="38" t="str">
        <f>_xlfn.XLOOKUP(Customer[[#This Row],[Customer ID]],[1]!Name[ID],[1]!Name[Description(1)])</f>
        <v>PERNIAGAAN SYED MOHD DAMIRI</v>
      </c>
      <c r="C1309" s="38" t="str">
        <f>_xlfn.XLOOKUP(Customer[[#This Row],[Customer ID]],[1]!Name[ID],[1]!Name[Description(2)])</f>
        <v>PLUS</v>
      </c>
      <c r="D1309" s="38" t="str">
        <f>_xlfn.XLOOKUP(Customer[[#This Row],[Customer ID]],[1]!Address[ID],[1]!Address[PIC])</f>
        <v/>
      </c>
      <c r="E1309" s="38" t="str">
        <f>_xlfn.XLOOKUP(Customer[[#This Row],[Customer ID]],[1]!Address[ID],[1]!Address[Full Address])</f>
        <v>North-South Expy, 35950 Behrang Ulu,PERAK</v>
      </c>
      <c r="F1309" s="12" t="s">
        <v>8558</v>
      </c>
      <c r="G1309" s="12" t="s">
        <v>8559</v>
      </c>
      <c r="H1309" s="12" t="s">
        <v>36</v>
      </c>
      <c r="I1309" s="12" t="b">
        <f>ISNUMBER(VALUE(LEFT(Customer[[#This Row],[Address Line 3 (30 char)]],1)))</f>
        <v>0</v>
      </c>
      <c r="J1309" s="12" t="s">
        <v>242</v>
      </c>
      <c r="K1309" s="12">
        <v>35950</v>
      </c>
      <c r="L1309" s="12" t="s">
        <v>35</v>
      </c>
      <c r="M1309" s="13" t="e">
        <v>#N/A</v>
      </c>
      <c r="N1309" s="14" t="e">
        <v>#N/A</v>
      </c>
      <c r="O1309" s="14" t="e">
        <v>#N/A</v>
      </c>
      <c r="P1309" s="14" t="e">
        <v>#N/A</v>
      </c>
      <c r="Q1309" s="14" t="e">
        <v>#N/A</v>
      </c>
      <c r="R1309" s="15" t="s">
        <v>8560</v>
      </c>
      <c r="S1309" s="15" t="s">
        <v>5925</v>
      </c>
      <c r="T1309" s="16" t="s">
        <v>3477</v>
      </c>
      <c r="U1309" s="11" t="str">
        <f>_xlfn.XLOOKUP(Customer[[#This Row],[Customer ID]],[1]!Address[ID],[1]!Address[Phone No.(2)])</f>
        <v/>
      </c>
      <c r="V1309" s="11" t="str">
        <f>_xlfn.XLOOKUP(Customer[[#This Row],[Customer ID]],[1]!Address[ID],[1]!Address[Type])</f>
        <v>CAFE</v>
      </c>
      <c r="W1309" s="11" t="str">
        <f>_xlfn.XLOOKUP(Customer[[#This Row],[Customer ID]],[1]!Address[ID],[1]!Address[CT])</f>
        <v>CASH</v>
      </c>
      <c r="X1309" s="11"/>
      <c r="Y1309" s="17" t="s">
        <v>5926</v>
      </c>
      <c r="Z1309" s="17" t="e">
        <f>_xlfn.XLOOKUP(Customer[[#This Row],[NewType]],$AF$36:$AF$54,$AG$36:$AG$54)</f>
        <v>#N/A</v>
      </c>
      <c r="AA1309" s="17" t="s">
        <v>8561</v>
      </c>
      <c r="AB1309" s="11" t="str">
        <f>_xlfn.XLOOKUP(Customer[[#This Row],[Customer ID]],[1]!Address[ID],[1]!Address[Subtype])</f>
        <v>PLUS</v>
      </c>
      <c r="AC1309" s="18" t="str">
        <f>_xlfn.XLOOKUP(Customer[[#This Row],[Customer ID]],[1]!Address[ID],[1]!Address[Zone])</f>
        <v>NORTH</v>
      </c>
    </row>
    <row r="1310" spans="1:30" x14ac:dyDescent="0.3">
      <c r="A1310" s="43" t="s">
        <v>8562</v>
      </c>
      <c r="B1310" s="44" t="str">
        <f>_xlfn.XLOOKUP(Customer[[#This Row],[Customer ID]],[1]!Name[ID],[1]!Name[Description(1)])</f>
        <v>WIRAWANG SDN BHD</v>
      </c>
      <c r="C1310" s="38" t="str">
        <f>_xlfn.XLOOKUP(Customer[[#This Row],[Customer ID]],[1]!Name[ID],[1]!Name[Description(2)])</f>
        <v>CALTEX WIRAWANG</v>
      </c>
      <c r="D1310" s="38" t="str">
        <f>_xlfn.XLOOKUP(Customer[[#This Row],[Customer ID]],[1]!Address[ID],[1]!Address[PIC])</f>
        <v/>
      </c>
      <c r="E1310" s="38" t="str">
        <f>_xlfn.XLOOKUP(Customer[[#This Row],[Customer ID]],[1]!Address[ID],[1]!Address[Full Address])</f>
        <v>CALTEX WIRAWANGLOT 4216, BATU 18, JALAN BESARKAMPUNG BARU SUBANG40150 SHAH ALAM, SELANGOR</v>
      </c>
      <c r="F1310" s="12" t="s">
        <v>8563</v>
      </c>
      <c r="G1310" s="12" t="s">
        <v>8564</v>
      </c>
      <c r="H1310" s="12" t="s">
        <v>8565</v>
      </c>
      <c r="I1310" s="12" t="b">
        <f>ISNUMBER(VALUE(LEFT(Customer[[#This Row],[Address Line 3 (30 char)]],1)))</f>
        <v>0</v>
      </c>
      <c r="J1310" s="29" t="s">
        <v>1907</v>
      </c>
      <c r="K1310" s="12">
        <v>40150</v>
      </c>
      <c r="L1310" s="12" t="s">
        <v>35</v>
      </c>
      <c r="M1310" s="13">
        <v>198501004184</v>
      </c>
      <c r="N1310" s="14" t="s">
        <v>8566</v>
      </c>
      <c r="O1310" s="14" t="s">
        <v>54</v>
      </c>
      <c r="P1310" s="14">
        <v>46611</v>
      </c>
      <c r="Q1310" s="14" t="s">
        <v>8567</v>
      </c>
      <c r="R1310" s="15" t="s">
        <v>8568</v>
      </c>
      <c r="S1310" s="15" t="s">
        <v>37</v>
      </c>
      <c r="T1310" s="16" t="s">
        <v>38</v>
      </c>
      <c r="U1310" s="11" t="str">
        <f>_xlfn.XLOOKUP(Customer[[#This Row],[Customer ID]],[1]!Address[ID],[1]!Address[Phone No.(2)])</f>
        <v/>
      </c>
      <c r="V1310" s="11" t="str">
        <f>_xlfn.XLOOKUP(Customer[[#This Row],[Customer ID]],[1]!Address[ID],[1]!Address[Type])</f>
        <v>PETROMART</v>
      </c>
      <c r="W1310" s="11" t="str">
        <f>_xlfn.XLOOKUP(Customer[[#This Row],[Customer ID]],[1]!Address[ID],[1]!Address[CT])</f>
        <v>30</v>
      </c>
      <c r="X1310" s="11" t="s">
        <v>39</v>
      </c>
      <c r="Y1310" s="17" t="s">
        <v>40</v>
      </c>
      <c r="Z1310" s="17" t="e">
        <f>_xlfn.XLOOKUP(Customer[[#This Row],[NewType]],$AF$36:$AF$54,$AG$36:$AG$54)</f>
        <v>#N/A</v>
      </c>
      <c r="AA1310" s="17" t="s">
        <v>8569</v>
      </c>
      <c r="AB1310" s="11" t="str">
        <f>_xlfn.XLOOKUP(Customer[[#This Row],[Customer ID]],[1]!Address[ID],[1]!Address[Subtype])</f>
        <v>CALTEX</v>
      </c>
      <c r="AC1310" s="18" t="str">
        <f>_xlfn.XLOOKUP(Customer[[#This Row],[Customer ID]],[1]!Address[ID],[1]!Address[Zone])</f>
        <v>CENTRAL</v>
      </c>
    </row>
    <row r="1311" spans="1:30" x14ac:dyDescent="0.3">
      <c r="A1311" s="37" t="s">
        <v>8570</v>
      </c>
      <c r="B1311" s="38" t="str">
        <f>_xlfn.XLOOKUP(Customer[[#This Row],[Customer ID]],[1]!Name[ID],[1]!Name[Description(1)])</f>
        <v>AL AMEEN HEALTHCARE SDN BHD</v>
      </c>
      <c r="C1311" s="38" t="str">
        <f>_xlfn.XLOOKUP(Customer[[#This Row],[Customer ID]],[1]!Name[ID],[1]!Name[Description(2)])</f>
        <v>FARMASI MARMIN</v>
      </c>
      <c r="D1311" s="38" t="str">
        <f>_xlfn.XLOOKUP(Customer[[#This Row],[Customer ID]],[1]!Address[ID],[1]!Address[PIC])</f>
        <v>IZA</v>
      </c>
      <c r="E1311" s="38" t="str">
        <f>_xlfn.XLOOKUP(Customer[[#This Row],[Customer ID]],[1]!Address[ID],[1]!Address[Full Address])</f>
        <v>NO. 7 TINGKAT BAWAH,JALAN SERI DAGANGAN 1,SERI DAGANGAN PERAMU, 26600 PEKAN,PAHANG</v>
      </c>
      <c r="F1311" s="12" t="s">
        <v>8571</v>
      </c>
      <c r="G1311" s="12" t="s">
        <v>8572</v>
      </c>
      <c r="H1311" s="12" t="s">
        <v>8573</v>
      </c>
      <c r="I1311" s="12" t="b">
        <f>ISNUMBER(VALUE(LEFT(Customer[[#This Row],[Address Line 3 (30 char)]],1)))</f>
        <v>0</v>
      </c>
      <c r="J1311" s="12" t="s">
        <v>339</v>
      </c>
      <c r="K1311" s="12">
        <v>26600</v>
      </c>
      <c r="L1311" s="12" t="s">
        <v>35</v>
      </c>
      <c r="M1311" s="13">
        <v>201701034606</v>
      </c>
      <c r="N1311" s="14" t="s">
        <v>8574</v>
      </c>
      <c r="O1311" s="14" t="e">
        <v>#N/A</v>
      </c>
      <c r="P1311" s="14" t="e">
        <v>#N/A</v>
      </c>
      <c r="Q1311" s="19" t="s">
        <v>8575</v>
      </c>
      <c r="R1311" s="15" t="s">
        <v>8576</v>
      </c>
      <c r="S1311" s="15" t="s">
        <v>3476</v>
      </c>
      <c r="T1311" s="16" t="s">
        <v>3477</v>
      </c>
      <c r="U1311" s="11" t="str">
        <f>_xlfn.XLOOKUP(Customer[[#This Row],[Customer ID]],[1]!Address[ID],[1]!Address[Phone No.(2)])</f>
        <v/>
      </c>
      <c r="V1311" s="11" t="str">
        <f>_xlfn.XLOOKUP(Customer[[#This Row],[Customer ID]],[1]!Address[ID],[1]!Address[Type])</f>
        <v>PH</v>
      </c>
      <c r="W1311" s="11" t="str">
        <f>_xlfn.XLOOKUP(Customer[[#This Row],[Customer ID]],[1]!Address[ID],[1]!Address[CT])</f>
        <v>CASH</v>
      </c>
      <c r="X1311" s="11"/>
      <c r="Y1311" s="17" t="s">
        <v>5955</v>
      </c>
      <c r="Z1311" s="17" t="e">
        <f>_xlfn.XLOOKUP(Customer[[#This Row],[NewType]],$AF$36:$AF$54,$AG$36:$AG$54)</f>
        <v>#N/A</v>
      </c>
      <c r="AA1311" s="17" t="s">
        <v>8577</v>
      </c>
      <c r="AB1311" s="11" t="str">
        <f>_xlfn.XLOOKUP(Customer[[#This Row],[Customer ID]],[1]!Address[ID],[1]!Address[Subtype])</f>
        <v>AL AMEEN</v>
      </c>
      <c r="AC1311" s="18" t="str">
        <f>_xlfn.XLOOKUP(Customer[[#This Row],[Customer ID]],[1]!Address[ID],[1]!Address[Zone])</f>
        <v>CENTRAL</v>
      </c>
    </row>
    <row r="1312" spans="1:30" x14ac:dyDescent="0.3">
      <c r="A1312" s="37" t="s">
        <v>8578</v>
      </c>
      <c r="B1312" s="38" t="str">
        <f>_xlfn.XLOOKUP(Customer[[#This Row],[Customer ID]],[1]!Name[ID],[1]!Name[Description(1)])</f>
        <v>SERVICE STESYEN CALTEX KELUARGA HJ AHMAD</v>
      </c>
      <c r="C1312" s="38" t="str">
        <f>_xlfn.XLOOKUP(Customer[[#This Row],[Customer ID]],[1]!Name[ID],[1]!Name[Description(2)])</f>
        <v>CALTEX JALAN LONG YUNUS</v>
      </c>
      <c r="D1312" s="38" t="str">
        <f>_xlfn.XLOOKUP(Customer[[#This Row],[Customer ID]],[1]!Address[ID],[1]!Address[PIC])</f>
        <v/>
      </c>
      <c r="E1312" s="38" t="str">
        <f>_xlfn.XLOOKUP(Customer[[#This Row],[Customer ID]],[1]!Address[ID],[1]!Address[Full Address])</f>
        <v>CALTEX JALAN LONG YUNUSLot PT.790Jalan Pekeliling, KotaBharu, 15200 Kota Bahru,Kelantan</v>
      </c>
      <c r="F1312" s="12" t="s">
        <v>8579</v>
      </c>
      <c r="G1312" s="12" t="s">
        <v>8580</v>
      </c>
      <c r="H1312" s="12" t="s">
        <v>8581</v>
      </c>
      <c r="I1312" s="12" t="b">
        <f>ISNUMBER(VALUE(LEFT(Customer[[#This Row],[Address Line 3 (30 char)]],1)))</f>
        <v>0</v>
      </c>
      <c r="J1312" s="12" t="s">
        <v>1007</v>
      </c>
      <c r="K1312" s="12">
        <v>15200</v>
      </c>
      <c r="L1312" s="12" t="s">
        <v>35</v>
      </c>
      <c r="M1312" s="13" t="e">
        <v>#N/A</v>
      </c>
      <c r="N1312" s="14" t="e">
        <v>#N/A</v>
      </c>
      <c r="O1312" s="14" t="e">
        <v>#N/A</v>
      </c>
      <c r="P1312" s="14" t="e">
        <v>#N/A</v>
      </c>
      <c r="Q1312" s="19" t="s">
        <v>8582</v>
      </c>
      <c r="R1312" s="15" t="s">
        <v>8583</v>
      </c>
      <c r="S1312" s="15" t="s">
        <v>37</v>
      </c>
      <c r="T1312" s="16" t="s">
        <v>38</v>
      </c>
      <c r="U1312" s="11" t="str">
        <f>_xlfn.XLOOKUP(Customer[[#This Row],[Customer ID]],[1]!Address[ID],[1]!Address[Phone No.(2)])</f>
        <v/>
      </c>
      <c r="V1312" s="11" t="str">
        <f>_xlfn.XLOOKUP(Customer[[#This Row],[Customer ID]],[1]!Address[ID],[1]!Address[Type])</f>
        <v>PETROMART</v>
      </c>
      <c r="W1312" s="11" t="str">
        <f>_xlfn.XLOOKUP(Customer[[#This Row],[Customer ID]],[1]!Address[ID],[1]!Address[CT])</f>
        <v>30</v>
      </c>
      <c r="X1312" s="11" t="s">
        <v>39</v>
      </c>
      <c r="Y1312" s="17" t="s">
        <v>40</v>
      </c>
      <c r="Z1312" s="17" t="e">
        <f>_xlfn.XLOOKUP(Customer[[#This Row],[NewType]],$AF$36:$AF$54,$AG$36:$AG$54)</f>
        <v>#N/A</v>
      </c>
      <c r="AA1312" s="17" t="s">
        <v>8584</v>
      </c>
      <c r="AB1312" s="11" t="str">
        <f>_xlfn.XLOOKUP(Customer[[#This Row],[Customer ID]],[1]!Address[ID],[1]!Address[Subtype])</f>
        <v>XPRESS POINT</v>
      </c>
      <c r="AC1312" s="18" t="str">
        <f>_xlfn.XLOOKUP(Customer[[#This Row],[Customer ID]],[1]!Address[ID],[1]!Address[Zone])</f>
        <v>EAST COAST</v>
      </c>
    </row>
    <row r="1313" spans="1:30" x14ac:dyDescent="0.3">
      <c r="A1313" s="10" t="s">
        <v>8585</v>
      </c>
      <c r="B1313" s="11" t="str">
        <f>_xlfn.XLOOKUP(Customer[[#This Row],[Customer ID]],[1]!Name[ID],[1]!Name[Description(1)])</f>
        <v>ROKIAH HJ UDIN (MAK UDA)</v>
      </c>
      <c r="C1313" s="32" t="str">
        <f>_xlfn.XLOOKUP(Customer[[#This Row],[Customer ID]],[1]!Name[ID],[1]!Name[Description(2)])</f>
        <v/>
      </c>
      <c r="D1313" s="38" t="str">
        <f>_xlfn.XLOOKUP(Customer[[#This Row],[Customer ID]],[1]!Address[ID],[1]!Address[PIC])</f>
        <v/>
      </c>
      <c r="E1313" s="38" t="str">
        <f>_xlfn.XLOOKUP(Customer[[#This Row],[Customer ID]],[1]!Address[ID],[1]!Address[Full Address])</f>
        <v>KG KANCHONG(RUMAH BERDEKATAN DENGAN RUMAHPAK USU GUARD)</v>
      </c>
      <c r="F1313" s="12" t="s">
        <v>6305</v>
      </c>
      <c r="G1313" s="12" t="s">
        <v>8586</v>
      </c>
      <c r="H1313" s="12" t="s">
        <v>8587</v>
      </c>
      <c r="I1313" s="12" t="b">
        <f>ISNUMBER(VALUE(LEFT(Customer[[#This Row],[Address Line 3 (30 char)]],1)))</f>
        <v>0</v>
      </c>
      <c r="J1313" s="32" t="s">
        <v>203</v>
      </c>
      <c r="K1313" s="32"/>
      <c r="L1313" s="12" t="s">
        <v>35</v>
      </c>
      <c r="M1313" s="13" t="e">
        <v>#N/A</v>
      </c>
      <c r="N1313" s="14" t="e">
        <v>#N/A</v>
      </c>
      <c r="O1313" s="14" t="e">
        <v>#N/A</v>
      </c>
      <c r="P1313" s="14" t="e">
        <v>#N/A</v>
      </c>
      <c r="Q1313" s="14" t="e">
        <v>#N/A</v>
      </c>
      <c r="R1313" s="15" t="s">
        <v>36</v>
      </c>
      <c r="S1313" s="15" t="s">
        <v>89</v>
      </c>
      <c r="T1313" s="16" t="s">
        <v>89</v>
      </c>
      <c r="U1313" s="11" t="str">
        <f>_xlfn.XLOOKUP(Customer[[#This Row],[Customer ID]],[1]!Address[ID],[1]!Address[Phone No.(2)])</f>
        <v/>
      </c>
      <c r="V1313" s="11" t="str">
        <f>_xlfn.XLOOKUP(Customer[[#This Row],[Customer ID]],[1]!Address[ID],[1]!Address[Type])</f>
        <v>SOCMED</v>
      </c>
      <c r="W1313" s="11" t="str">
        <f>_xlfn.XLOOKUP(Customer[[#This Row],[Customer ID]],[1]!Address[ID],[1]!Address[CT])</f>
        <v/>
      </c>
      <c r="X1313" s="11"/>
      <c r="Y1313" s="17" t="s">
        <v>90</v>
      </c>
      <c r="Z1313" s="17" t="e">
        <f>_xlfn.XLOOKUP(Customer[[#This Row],[NewType]],$AF$36:$AF$54,$AG$36:$AG$54)</f>
        <v>#N/A</v>
      </c>
      <c r="AA1313" s="17" t="s">
        <v>8588</v>
      </c>
      <c r="AB1313" s="11" t="str">
        <f>_xlfn.XLOOKUP(Customer[[#This Row],[Customer ID]],[1]!Address[ID],[1]!Address[Subtype])</f>
        <v>WHATSAPP</v>
      </c>
      <c r="AC1313" s="18" t="str">
        <f>_xlfn.XLOOKUP(Customer[[#This Row],[Customer ID]],[1]!Address[ID],[1]!Address[Zone])</f>
        <v>CENTRAL</v>
      </c>
    </row>
    <row r="1314" spans="1:30" x14ac:dyDescent="0.3">
      <c r="A1314" s="56" t="s">
        <v>8589</v>
      </c>
      <c r="B1314" s="50" t="str">
        <f>_xlfn.XLOOKUP(Customer[[#This Row],[Customer ID]],[1]!Name[ID],[1]!Name[Description(1)])</f>
        <v>NORIZA BINTI ZAKARIA</v>
      </c>
      <c r="C1314" s="38" t="str">
        <f>_xlfn.XLOOKUP(Customer[[#This Row],[Customer ID]],[1]!Name[ID],[1]!Name[Description(2)])</f>
        <v>FARMASI TAWAKAL</v>
      </c>
      <c r="D1314" s="38" t="str">
        <f>_xlfn.XLOOKUP(Customer[[#This Row],[Customer ID]],[1]!Address[ID],[1]!Address[PIC])</f>
        <v/>
      </c>
      <c r="E1314" s="38" t="str">
        <f>_xlfn.XLOOKUP(Customer[[#This Row],[Customer ID]],[1]!Address[ID],[1]!Address[Full Address])</f>
        <v>FARMASI TAWAKAL 10 A,PEKAN KUALA NERANG, 06300KUALA NERANG, KEDAH</v>
      </c>
      <c r="F1314" s="12" t="s">
        <v>8590</v>
      </c>
      <c r="G1314" s="12" t="s">
        <v>8591</v>
      </c>
      <c r="H1314" s="12" t="s">
        <v>8592</v>
      </c>
      <c r="I1314" s="12" t="b">
        <f>ISNUMBER(VALUE(LEFT(Customer[[#This Row],[Address Line 3 (30 char)]],1)))</f>
        <v>0</v>
      </c>
      <c r="J1314" s="12" t="s">
        <v>355</v>
      </c>
      <c r="K1314" s="30" t="s">
        <v>8593</v>
      </c>
      <c r="L1314" s="12" t="s">
        <v>35</v>
      </c>
      <c r="M1314" s="13" t="e">
        <v>#N/A</v>
      </c>
      <c r="N1314" s="14" t="e">
        <v>#N/A</v>
      </c>
      <c r="O1314" s="14" t="e">
        <v>#N/A</v>
      </c>
      <c r="P1314" s="14" t="e">
        <v>#N/A</v>
      </c>
      <c r="Q1314" s="14" t="e">
        <v>#N/A</v>
      </c>
      <c r="R1314" s="15" t="s">
        <v>8594</v>
      </c>
      <c r="S1314" s="15" t="s">
        <v>3212</v>
      </c>
      <c r="T1314" s="16" t="s">
        <v>89</v>
      </c>
      <c r="U1314" s="11" t="str">
        <f>_xlfn.XLOOKUP(Customer[[#This Row],[Customer ID]],[1]!Address[ID],[1]!Address[Phone No.(2)])</f>
        <v/>
      </c>
      <c r="V1314" s="11" t="str">
        <f>_xlfn.XLOOKUP(Customer[[#This Row],[Customer ID]],[1]!Address[ID],[1]!Address[Type])</f>
        <v>SOCMED</v>
      </c>
      <c r="W1314" s="11" t="str">
        <f>_xlfn.XLOOKUP(Customer[[#This Row],[Customer ID]],[1]!Address[ID],[1]!Address[CT])</f>
        <v/>
      </c>
      <c r="X1314" s="11"/>
      <c r="Y1314" s="17" t="s">
        <v>90</v>
      </c>
      <c r="Z1314" s="17" t="e">
        <f>_xlfn.XLOOKUP(Customer[[#This Row],[NewType]],$AF$36:$AF$54,$AG$36:$AG$54)</f>
        <v>#N/A</v>
      </c>
      <c r="AA1314" s="17" t="s">
        <v>8595</v>
      </c>
      <c r="AB1314" s="11" t="str">
        <f>_xlfn.XLOOKUP(Customer[[#This Row],[Customer ID]],[1]!Address[ID],[1]!Address[Subtype])</f>
        <v>ONLINE HAJAR</v>
      </c>
      <c r="AC1314" s="18" t="str">
        <f>_xlfn.XLOOKUP(Customer[[#This Row],[Customer ID]],[1]!Address[ID],[1]!Address[Zone])</f>
        <v>NORTH</v>
      </c>
    </row>
    <row r="1315" spans="1:30" x14ac:dyDescent="0.3">
      <c r="A1315" s="43" t="s">
        <v>8596</v>
      </c>
      <c r="B1315" s="44" t="str">
        <f>_xlfn.XLOOKUP(Customer[[#This Row],[Customer ID]],[1]!Name[ID],[1]!Name[Description(1)])</f>
        <v>AA SHOPPE MINIMART</v>
      </c>
      <c r="C1315" s="44" t="str">
        <f>_xlfn.XLOOKUP(Customer[[#This Row],[Customer ID]],[1]!Name[ID],[1]!Name[Description(2)])</f>
        <v/>
      </c>
      <c r="D1315" s="44" t="str">
        <f>_xlfn.XLOOKUP(Customer[[#This Row],[Customer ID]],[1]!Address[ID],[1]!Address[PIC])</f>
        <v/>
      </c>
      <c r="E1315" s="38" t="str">
        <f>_xlfn.XLOOKUP(Customer[[#This Row],[Customer ID]],[1]!Address[ID],[1]!Address[Full Address])</f>
        <v>B-24H, KOMPLEKS HIG, GM 6101,LOT 1434, BANDAR KUAH, 07000LANGKAWI, KEDAH</v>
      </c>
      <c r="F1315" s="29" t="s">
        <v>8597</v>
      </c>
      <c r="G1315" s="29" t="s">
        <v>8598</v>
      </c>
      <c r="H1315" s="29" t="s">
        <v>5757</v>
      </c>
      <c r="I1315" s="29" t="b">
        <f>ISNUMBER(VALUE(LEFT(Customer[[#This Row],[Address Line 3 (30 char)]],1)))</f>
        <v>0</v>
      </c>
      <c r="J1315" s="29" t="s">
        <v>355</v>
      </c>
      <c r="K1315" s="30" t="s">
        <v>1847</v>
      </c>
      <c r="L1315" s="29" t="s">
        <v>35</v>
      </c>
      <c r="M1315" s="31" t="e">
        <v>#N/A</v>
      </c>
      <c r="N1315" s="36" t="e">
        <v>#N/A</v>
      </c>
      <c r="O1315" s="36" t="e">
        <v>#N/A</v>
      </c>
      <c r="P1315" s="36" t="e">
        <v>#N/A</v>
      </c>
      <c r="Q1315" s="36" t="e">
        <v>#N/A</v>
      </c>
      <c r="R1315" s="80" t="s">
        <v>8599</v>
      </c>
      <c r="S1315" s="80" t="s">
        <v>88</v>
      </c>
      <c r="T1315" s="81" t="s">
        <v>89</v>
      </c>
      <c r="U1315" s="28" t="str">
        <f>_xlfn.XLOOKUP(Customer[[#This Row],[Customer ID]],[1]!Address[ID],[1]!Address[Phone No.(2)])</f>
        <v/>
      </c>
      <c r="V1315" s="28" t="str">
        <f>_xlfn.XLOOKUP(Customer[[#This Row],[Customer ID]],[1]!Address[ID],[1]!Address[Type])</f>
        <v>SOCMED</v>
      </c>
      <c r="W1315" s="28" t="str">
        <f>_xlfn.XLOOKUP(Customer[[#This Row],[Customer ID]],[1]!Address[ID],[1]!Address[CT])</f>
        <v/>
      </c>
      <c r="X1315" s="28"/>
      <c r="Y1315" s="82" t="s">
        <v>90</v>
      </c>
      <c r="Z1315" s="82" t="e">
        <f>_xlfn.XLOOKUP(Customer[[#This Row],[NewType]],$AF$36:$AF$54,$AG$36:$AG$54)</f>
        <v>#N/A</v>
      </c>
      <c r="AA1315" s="82" t="s">
        <v>8600</v>
      </c>
      <c r="AB1315" s="28" t="str">
        <f>_xlfn.XLOOKUP(Customer[[#This Row],[Customer ID]],[1]!Address[ID],[1]!Address[Subtype])</f>
        <v>ONLINE ROS</v>
      </c>
      <c r="AC1315" s="83" t="str">
        <f>_xlfn.XLOOKUP(Customer[[#This Row],[Customer ID]],[1]!Address[ID],[1]!Address[Zone])</f>
        <v>NORTH</v>
      </c>
      <c r="AD1315" s="84"/>
    </row>
    <row r="1316" spans="1:30" x14ac:dyDescent="0.3">
      <c r="A1316" s="37" t="s">
        <v>8601</v>
      </c>
      <c r="B1316" s="38" t="str">
        <f>_xlfn.XLOOKUP(Customer[[#This Row],[Customer ID]],[1]!Name[ID],[1]!Name[Description(1)])</f>
        <v>UMART 1</v>
      </c>
      <c r="C1316" s="38" t="str">
        <f>_xlfn.XLOOKUP(Customer[[#This Row],[Customer ID]],[1]!Name[ID],[1]!Name[Description(2)])</f>
        <v>KOPERASI UNIKEB BERHAD</v>
      </c>
      <c r="D1316" s="38" t="str">
        <f>_xlfn.XLOOKUP(Customer[[#This Row],[Customer ID]],[1]!Address[ID],[1]!Address[PIC])</f>
        <v/>
      </c>
      <c r="E1316" s="38" t="str">
        <f>_xlfn.XLOOKUP(Customer[[#This Row],[Customer ID]],[1]!Address[ID],[1]!Address[Full Address])</f>
        <v>UMART 1 (BANGUAN WAD PESAKIT)HOSPITAK CONSELOR TUANKU MUHRIZ,BANDAR TUN RAZAK 56000 CHERASSELANGOR</v>
      </c>
      <c r="F1316" s="12" t="s">
        <v>8602</v>
      </c>
      <c r="G1316" s="12" t="s">
        <v>8603</v>
      </c>
      <c r="H1316" s="12" t="s">
        <v>8604</v>
      </c>
      <c r="I1316" s="12" t="b">
        <f>ISNUMBER(VALUE(LEFT(Customer[[#This Row],[Address Line 3 (30 char)]],1)))</f>
        <v>0</v>
      </c>
      <c r="J1316" s="12" t="s">
        <v>1907</v>
      </c>
      <c r="K1316" s="90">
        <v>56000</v>
      </c>
      <c r="L1316" s="12" t="s">
        <v>35</v>
      </c>
      <c r="M1316" s="13" t="e">
        <v>#N/A</v>
      </c>
      <c r="N1316" s="14" t="e">
        <v>#N/A</v>
      </c>
      <c r="O1316" s="14" t="e">
        <v>#N/A</v>
      </c>
      <c r="P1316" s="14" t="e">
        <v>#N/A</v>
      </c>
      <c r="Q1316" s="14" t="e">
        <v>#N/A</v>
      </c>
      <c r="R1316" s="15" t="s">
        <v>8605</v>
      </c>
      <c r="S1316" s="15" t="s">
        <v>3476</v>
      </c>
      <c r="T1316" s="16" t="s">
        <v>3477</v>
      </c>
      <c r="U1316" s="11" t="str">
        <f>_xlfn.XLOOKUP(Customer[[#This Row],[Customer ID]],[1]!Address[ID],[1]!Address[Phone No.(2)])</f>
        <v/>
      </c>
      <c r="V1316" s="11" t="str">
        <f>_xlfn.XLOOKUP(Customer[[#This Row],[Customer ID]],[1]!Address[ID],[1]!Address[Type])</f>
        <v>CM</v>
      </c>
      <c r="W1316" s="11" t="str">
        <f>_xlfn.XLOOKUP(Customer[[#This Row],[Customer ID]],[1]!Address[ID],[1]!Address[CT])</f>
        <v>30 DAYS</v>
      </c>
      <c r="X1316" s="11"/>
      <c r="Y1316" s="17" t="s">
        <v>5918</v>
      </c>
      <c r="Z1316" s="17" t="e">
        <f>_xlfn.XLOOKUP(Customer[[#This Row],[NewType]],$AF$36:$AF$54,$AG$36:$AG$54)</f>
        <v>#N/A</v>
      </c>
      <c r="AA1316" s="17" t="s">
        <v>8606</v>
      </c>
      <c r="AB1316" s="11" t="str">
        <f>_xlfn.XLOOKUP(Customer[[#This Row],[Customer ID]],[1]!Address[ID],[1]!Address[Subtype])</f>
        <v>UNIKEB</v>
      </c>
      <c r="AC1316" s="18" t="str">
        <f>_xlfn.XLOOKUP(Customer[[#This Row],[Customer ID]],[1]!Address[ID],[1]!Address[Zone])</f>
        <v>CENTRAL</v>
      </c>
    </row>
    <row r="1317" spans="1:30" x14ac:dyDescent="0.3">
      <c r="A1317" s="37" t="s">
        <v>8607</v>
      </c>
      <c r="B1317" s="38" t="str">
        <f>_xlfn.XLOOKUP(Customer[[#This Row],[Customer ID]],[1]!Name[ID],[1]!Name[Description(1)])</f>
        <v>UMART 2</v>
      </c>
      <c r="C1317" s="38" t="str">
        <f>_xlfn.XLOOKUP(Customer[[#This Row],[Customer ID]],[1]!Name[ID],[1]!Name[Description(2)])</f>
        <v>KOPERASI UNIKEB BERHAD</v>
      </c>
      <c r="D1317" s="38" t="str">
        <f>_xlfn.XLOOKUP(Customer[[#This Row],[Customer ID]],[1]!Address[ID],[1]!Address[PIC])</f>
        <v/>
      </c>
      <c r="E1317" s="38" t="str">
        <f>_xlfn.XLOOKUP(Customer[[#This Row],[Customer ID]],[1]!Address[ID],[1]!Address[Full Address])</f>
        <v>UMART 2 (BERSEBELAHAN UNIT KECEMASAN)HOSPITAL CONSELOR TUANKU MUHRIZ,BANDAR TUN RAZAK 56000CHERAS SELANGOR</v>
      </c>
      <c r="F1317" s="12" t="s">
        <v>8608</v>
      </c>
      <c r="G1317" s="12" t="s">
        <v>8609</v>
      </c>
      <c r="H1317" s="12" t="s">
        <v>8610</v>
      </c>
      <c r="I1317" s="91" t="b">
        <f>ISNUMBER(VALUE(LEFT(Customer[[#This Row],[Address Line 3 (30 char)]],1)))</f>
        <v>0</v>
      </c>
      <c r="J1317" s="91" t="s">
        <v>172</v>
      </c>
      <c r="K1317" s="92">
        <v>56000</v>
      </c>
      <c r="L1317" s="12" t="s">
        <v>35</v>
      </c>
      <c r="M1317" s="13" t="e">
        <v>#N/A</v>
      </c>
      <c r="N1317" s="14" t="e">
        <v>#N/A</v>
      </c>
      <c r="O1317" s="14" t="e">
        <v>#N/A</v>
      </c>
      <c r="P1317" s="14" t="e">
        <v>#N/A</v>
      </c>
      <c r="Q1317" s="14" t="e">
        <v>#N/A</v>
      </c>
      <c r="R1317" s="15" t="s">
        <v>8605</v>
      </c>
      <c r="S1317" s="15" t="s">
        <v>3476</v>
      </c>
      <c r="T1317" s="16" t="s">
        <v>3477</v>
      </c>
      <c r="U1317" s="11" t="str">
        <f>_xlfn.XLOOKUP(Customer[[#This Row],[Customer ID]],[1]!Address[ID],[1]!Address[Phone No.(2)])</f>
        <v/>
      </c>
      <c r="V1317" s="11" t="str">
        <f>_xlfn.XLOOKUP(Customer[[#This Row],[Customer ID]],[1]!Address[ID],[1]!Address[Type])</f>
        <v>CM</v>
      </c>
      <c r="W1317" s="11" t="str">
        <f>_xlfn.XLOOKUP(Customer[[#This Row],[Customer ID]],[1]!Address[ID],[1]!Address[CT])</f>
        <v>30 DAYS</v>
      </c>
      <c r="X1317" s="11"/>
      <c r="Y1317" s="17" t="s">
        <v>5918</v>
      </c>
      <c r="Z1317" s="17" t="e">
        <f>_xlfn.XLOOKUP(Customer[[#This Row],[NewType]],$AF$36:$AF$54,$AG$36:$AG$54)</f>
        <v>#N/A</v>
      </c>
      <c r="AA1317" s="17" t="s">
        <v>8611</v>
      </c>
      <c r="AB1317" s="11" t="str">
        <f>_xlfn.XLOOKUP(Customer[[#This Row],[Customer ID]],[1]!Address[ID],[1]!Address[Subtype])</f>
        <v>UNIKEB</v>
      </c>
      <c r="AC1317" s="18">
        <f>_xlfn.XLOOKUP(Customer[[#This Row],[Customer ID]],[1]!Address[ID],[1]!Address[Zone])</f>
        <v>0</v>
      </c>
    </row>
    <row r="1318" spans="1:30" x14ac:dyDescent="0.3">
      <c r="A1318" s="37" t="s">
        <v>8612</v>
      </c>
      <c r="B1318" s="38" t="str">
        <f>_xlfn.XLOOKUP(Customer[[#This Row],[Customer ID]],[1]!Name[ID],[1]!Name[Description(1)])</f>
        <v>MASJID MUSOLLA RAUDHAH KUANTAN</v>
      </c>
      <c r="C1318" s="38" t="str">
        <f>_xlfn.XLOOKUP(Customer[[#This Row],[Customer ID]],[1]!Name[ID],[1]!Name[Description(2)])</f>
        <v/>
      </c>
      <c r="D1318" s="38" t="str">
        <f>_xlfn.XLOOKUP(Customer[[#This Row],[Customer ID]],[1]!Address[ID],[1]!Address[PIC])</f>
        <v/>
      </c>
      <c r="E1318" s="38" t="str">
        <f>_xlfn.XLOOKUP(Customer[[#This Row],[Customer ID]],[1]!Address[ID],[1]!Address[Full Address])</f>
        <v>MUSOLLA AR RAUDHAH,JALAN PELINDUNG PERDANA, BERSERAH26100 KUANTAN, PAHANG</v>
      </c>
      <c r="F1318" s="12" t="s">
        <v>8613</v>
      </c>
      <c r="G1318" s="12" t="s">
        <v>8614</v>
      </c>
      <c r="H1318" s="12" t="s">
        <v>1038</v>
      </c>
      <c r="I1318" s="91" t="b">
        <f>ISNUMBER(VALUE(LEFT(Customer[[#This Row],[Address Line 3 (30 char)]],1)))</f>
        <v>0</v>
      </c>
      <c r="J1318" s="91" t="s">
        <v>339</v>
      </c>
      <c r="K1318" s="93">
        <v>26100</v>
      </c>
      <c r="L1318" s="12" t="s">
        <v>35</v>
      </c>
      <c r="M1318" s="13" t="e">
        <v>#N/A</v>
      </c>
      <c r="N1318" s="14" t="e">
        <v>#N/A</v>
      </c>
      <c r="O1318" s="14" t="e">
        <v>#N/A</v>
      </c>
      <c r="P1318" s="14" t="e">
        <v>#N/A</v>
      </c>
      <c r="Q1318" s="14" t="e">
        <v>#N/A</v>
      </c>
      <c r="R1318" s="15" t="s">
        <v>8615</v>
      </c>
      <c r="S1318" s="15" t="s">
        <v>88</v>
      </c>
      <c r="T1318" s="16" t="s">
        <v>89</v>
      </c>
      <c r="U1318" s="11" t="str">
        <f>_xlfn.XLOOKUP(Customer[[#This Row],[Customer ID]],[1]!Address[ID],[1]!Address[Phone No.(2)])</f>
        <v/>
      </c>
      <c r="V1318" s="11" t="str">
        <f>_xlfn.XLOOKUP(Customer[[#This Row],[Customer ID]],[1]!Address[ID],[1]!Address[Type])</f>
        <v>SOCMED</v>
      </c>
      <c r="W1318" s="11" t="str">
        <f>_xlfn.XLOOKUP(Customer[[#This Row],[Customer ID]],[1]!Address[ID],[1]!Address[CT])</f>
        <v/>
      </c>
      <c r="X1318" s="11"/>
      <c r="Y1318" s="17" t="s">
        <v>90</v>
      </c>
      <c r="Z1318" s="17" t="e">
        <f>_xlfn.XLOOKUP(Customer[[#This Row],[NewType]],$AF$36:$AF$54,$AG$36:$AG$54)</f>
        <v>#N/A</v>
      </c>
      <c r="AA1318" s="17" t="s">
        <v>8616</v>
      </c>
      <c r="AB1318" s="11" t="str">
        <f>_xlfn.XLOOKUP(Customer[[#This Row],[Customer ID]],[1]!Address[ID],[1]!Address[Subtype])</f>
        <v>ONLINE ROS</v>
      </c>
      <c r="AC1318" s="18" t="str">
        <f>_xlfn.XLOOKUP(Customer[[#This Row],[Customer ID]],[1]!Address[ID],[1]!Address[Zone])</f>
        <v>EEEDH</v>
      </c>
    </row>
    <row r="1319" spans="1:30" x14ac:dyDescent="0.3">
      <c r="A1319" s="37" t="s">
        <v>8617</v>
      </c>
      <c r="B1319" s="38" t="str">
        <f>_xlfn.XLOOKUP(Customer[[#This Row],[Customer ID]],[1]!Name[ID],[1]!Name[Description(1)])</f>
        <v>NAZREEN BINTI TAJUL ARIF</v>
      </c>
      <c r="C1319" s="38" t="str">
        <f>_xlfn.XLOOKUP(Customer[[#This Row],[Customer ID]],[1]!Name[ID],[1]!Name[Description(2)])</f>
        <v/>
      </c>
      <c r="D1319" s="38" t="str">
        <f>_xlfn.XLOOKUP(Customer[[#This Row],[Customer ID]],[1]!Address[ID],[1]!Address[PIC])</f>
        <v/>
      </c>
      <c r="E1319" s="38" t="str">
        <f>_xlfn.XLOOKUP(Customer[[#This Row],[Customer ID]],[1]!Address[ID],[1]!Address[Full Address])</f>
        <v>204, JALAN MATAHARI 5,TAMAN MATARHARI HEIGHTS, SENAWANG70450 SEREMBAN, NEGERI SEMBILAN</v>
      </c>
      <c r="F1319" s="12" t="s">
        <v>8618</v>
      </c>
      <c r="G1319" s="12" t="s">
        <v>8619</v>
      </c>
      <c r="H1319" s="12" t="s">
        <v>2411</v>
      </c>
      <c r="I1319" s="91" t="b">
        <f>ISNUMBER(VALUE(LEFT(Customer[[#This Row],[Address Line 3 (30 char)]],1)))</f>
        <v>0</v>
      </c>
      <c r="J1319" s="91" t="s">
        <v>2004</v>
      </c>
      <c r="K1319" s="93">
        <v>70450</v>
      </c>
      <c r="L1319" s="12" t="s">
        <v>35</v>
      </c>
      <c r="M1319" s="13" t="e">
        <v>#N/A</v>
      </c>
      <c r="N1319" s="14" t="e">
        <v>#N/A</v>
      </c>
      <c r="O1319" s="14" t="e">
        <v>#N/A</v>
      </c>
      <c r="P1319" s="14" t="e">
        <v>#N/A</v>
      </c>
      <c r="Q1319" s="14" t="e">
        <v>#N/A</v>
      </c>
      <c r="R1319" s="15" t="s">
        <v>8620</v>
      </c>
      <c r="S1319" s="15" t="s">
        <v>88</v>
      </c>
      <c r="T1319" s="16" t="s">
        <v>89</v>
      </c>
      <c r="U1319" s="11" t="str">
        <f>_xlfn.XLOOKUP(Customer[[#This Row],[Customer ID]],[1]!Address[ID],[1]!Address[Phone No.(2)])</f>
        <v/>
      </c>
      <c r="V1319" s="11" t="str">
        <f>_xlfn.XLOOKUP(Customer[[#This Row],[Customer ID]],[1]!Address[ID],[1]!Address[Type])</f>
        <v>SOCMED</v>
      </c>
      <c r="W1319" s="11" t="str">
        <f>_xlfn.XLOOKUP(Customer[[#This Row],[Customer ID]],[1]!Address[ID],[1]!Address[CT])</f>
        <v/>
      </c>
      <c r="X1319" s="11"/>
      <c r="Y1319" s="17" t="s">
        <v>90</v>
      </c>
      <c r="Z1319" s="17" t="e">
        <f>_xlfn.XLOOKUP(Customer[[#This Row],[NewType]],$AF$36:$AF$54,$AG$36:$AG$54)</f>
        <v>#N/A</v>
      </c>
      <c r="AA1319" s="17" t="s">
        <v>8621</v>
      </c>
      <c r="AB1319" s="11" t="str">
        <f>_xlfn.XLOOKUP(Customer[[#This Row],[Customer ID]],[1]!Address[ID],[1]!Address[Subtype])</f>
        <v>ONLINE ROS</v>
      </c>
      <c r="AC1319" s="18" t="str">
        <f>_xlfn.XLOOKUP(Customer[[#This Row],[Customer ID]],[1]!Address[ID],[1]!Address[Zone])</f>
        <v>CENTRAL</v>
      </c>
    </row>
    <row r="1320" spans="1:30" x14ac:dyDescent="0.3">
      <c r="A1320" s="37" t="s">
        <v>8622</v>
      </c>
      <c r="B1320" s="38" t="str">
        <f>_xlfn.XLOOKUP(Customer[[#This Row],[Customer ID]],[1]!Name[ID],[1]!Name[Description(1)])</f>
        <v>D'HIJAU CAFE</v>
      </c>
      <c r="C1320" s="38" t="str">
        <f>_xlfn.XLOOKUP(Customer[[#This Row],[Customer ID]],[1]!Name[ID],[1]!Name[Description(2)])</f>
        <v>AHZA MAJU HOLDINGS SDN BHD</v>
      </c>
      <c r="D1320" s="38" t="str">
        <f>_xlfn.XLOOKUP(Customer[[#This Row],[Customer ID]],[1]!Address[ID],[1]!Address[PIC])</f>
        <v/>
      </c>
      <c r="E1320" s="38" t="str">
        <f>_xlfn.XLOOKUP(Customer[[#This Row],[Customer ID]],[1]!Address[ID],[1]!Address[Full Address])</f>
        <v>PT284, TINGKAT 1, SEKSYEN 22,JALAN KOTA DARULNAIM,15150 KOTA BHARU KELANTAN</v>
      </c>
      <c r="F1320" s="12" t="s">
        <v>8623</v>
      </c>
      <c r="G1320" s="12" t="s">
        <v>8624</v>
      </c>
      <c r="H1320" s="24" t="s">
        <v>8625</v>
      </c>
      <c r="I1320" s="24" t="b">
        <f>ISNUMBER(VALUE(LEFT(Customer[[#This Row],[Address Line 3 (30 char)]],1)))</f>
        <v>0</v>
      </c>
      <c r="J1320" s="12" t="s">
        <v>1007</v>
      </c>
      <c r="K1320" s="94">
        <v>15150</v>
      </c>
      <c r="L1320" s="12" t="s">
        <v>35</v>
      </c>
      <c r="M1320" s="13" t="e">
        <v>#N/A</v>
      </c>
      <c r="N1320" s="14" t="e">
        <v>#N/A</v>
      </c>
      <c r="O1320" s="14" t="e">
        <v>#N/A</v>
      </c>
      <c r="P1320" s="14" t="e">
        <v>#N/A</v>
      </c>
      <c r="Q1320" s="14" t="e">
        <v>#N/A</v>
      </c>
      <c r="R1320" s="15" t="s">
        <v>8626</v>
      </c>
      <c r="S1320" s="15" t="s">
        <v>5925</v>
      </c>
      <c r="T1320" s="16" t="s">
        <v>3477</v>
      </c>
      <c r="U1320" s="11" t="str">
        <f>_xlfn.XLOOKUP(Customer[[#This Row],[Customer ID]],[1]!Address[ID],[1]!Address[Phone No.(2)])</f>
        <v/>
      </c>
      <c r="V1320" s="11" t="str">
        <f>_xlfn.XLOOKUP(Customer[[#This Row],[Customer ID]],[1]!Address[ID],[1]!Address[Type])</f>
        <v>CAFE</v>
      </c>
      <c r="W1320" s="11" t="str">
        <f>_xlfn.XLOOKUP(Customer[[#This Row],[Customer ID]],[1]!Address[ID],[1]!Address[CT])</f>
        <v>30 DAYS</v>
      </c>
      <c r="X1320" s="11"/>
      <c r="Y1320" s="17" t="s">
        <v>5926</v>
      </c>
      <c r="Z1320" s="17" t="e">
        <f>_xlfn.XLOOKUP(Customer[[#This Row],[NewType]],$AF$36:$AF$54,$AG$36:$AG$54)</f>
        <v>#N/A</v>
      </c>
      <c r="AA1320" s="17" t="s">
        <v>8627</v>
      </c>
      <c r="AB1320" s="11" t="str">
        <f>_xlfn.XLOOKUP(Customer[[#This Row],[Customer ID]],[1]!Address[ID],[1]!Address[Subtype])</f>
        <v>D'HIJAU CAFE</v>
      </c>
      <c r="AC1320" s="18" t="str">
        <f>_xlfn.XLOOKUP(Customer[[#This Row],[Customer ID]],[1]!Address[ID],[1]!Address[Zone])</f>
        <v>EAST COAST</v>
      </c>
    </row>
    <row r="1321" spans="1:30" x14ac:dyDescent="0.3">
      <c r="A1321" s="37" t="s">
        <v>8628</v>
      </c>
      <c r="B1321" s="38" t="str">
        <f>_xlfn.XLOOKUP(Customer[[#This Row],[Customer ID]],[1]!Name[ID],[1]!Name[Description(1)])</f>
        <v>ZUNAINI BINTI ZAKARIA</v>
      </c>
      <c r="C1321" s="38" t="str">
        <f>_xlfn.XLOOKUP(Customer[[#This Row],[Customer ID]],[1]!Name[ID],[1]!Name[Description(2)])</f>
        <v/>
      </c>
      <c r="D1321" s="38" t="str">
        <f>_xlfn.XLOOKUP(Customer[[#This Row],[Customer ID]],[1]!Address[ID],[1]!Address[PIC])</f>
        <v/>
      </c>
      <c r="E1321" s="38" t="str">
        <f>_xlfn.XLOOKUP(Customer[[#This Row],[Customer ID]],[1]!Address[ID],[1]!Address[Full Address])</f>
        <v>LOT 13809A, TAMAN BUNGA RAYA,JALAN MAMBAU, 70300 SEREMBAN</v>
      </c>
      <c r="F1321" s="12" t="s">
        <v>8629</v>
      </c>
      <c r="G1321" s="12" t="s">
        <v>8630</v>
      </c>
      <c r="H1321" s="12" t="s">
        <v>36</v>
      </c>
      <c r="I1321" s="12" t="b">
        <f>ISNUMBER(VALUE(LEFT(Customer[[#This Row],[Address Line 3 (30 char)]],1)))</f>
        <v>0</v>
      </c>
      <c r="J1321" s="12" t="s">
        <v>2004</v>
      </c>
      <c r="K1321" s="12">
        <v>70300</v>
      </c>
      <c r="L1321" s="12" t="s">
        <v>35</v>
      </c>
      <c r="M1321" s="13" t="e">
        <v>#N/A</v>
      </c>
      <c r="N1321" s="14" t="e">
        <v>#N/A</v>
      </c>
      <c r="O1321" s="14" t="e">
        <v>#N/A</v>
      </c>
      <c r="P1321" s="14" t="e">
        <v>#N/A</v>
      </c>
      <c r="Q1321" s="14" t="e">
        <v>#N/A</v>
      </c>
      <c r="R1321" s="15" t="s">
        <v>8631</v>
      </c>
      <c r="S1321" s="15" t="s">
        <v>88</v>
      </c>
      <c r="T1321" s="16" t="s">
        <v>89</v>
      </c>
      <c r="U1321" s="11" t="str">
        <f>_xlfn.XLOOKUP(Customer[[#This Row],[Customer ID]],[1]!Address[ID],[1]!Address[Phone No.(2)])</f>
        <v/>
      </c>
      <c r="V1321" s="11" t="str">
        <f>_xlfn.XLOOKUP(Customer[[#This Row],[Customer ID]],[1]!Address[ID],[1]!Address[Type])</f>
        <v>SOCMED</v>
      </c>
      <c r="W1321" s="11" t="str">
        <f>_xlfn.XLOOKUP(Customer[[#This Row],[Customer ID]],[1]!Address[ID],[1]!Address[CT])</f>
        <v/>
      </c>
      <c r="X1321" s="11"/>
      <c r="Y1321" s="17" t="s">
        <v>90</v>
      </c>
      <c r="Z1321" s="17" t="e">
        <f>_xlfn.XLOOKUP(Customer[[#This Row],[NewType]],$AF$36:$AF$54,$AG$36:$AG$54)</f>
        <v>#N/A</v>
      </c>
      <c r="AA1321" s="17" t="s">
        <v>8632</v>
      </c>
      <c r="AB1321" s="11" t="str">
        <f>_xlfn.XLOOKUP(Customer[[#This Row],[Customer ID]],[1]!Address[ID],[1]!Address[Subtype])</f>
        <v>ONLINE ROS</v>
      </c>
      <c r="AC1321" s="18" t="str">
        <f>_xlfn.XLOOKUP(Customer[[#This Row],[Customer ID]],[1]!Address[ID],[1]!Address[Zone])</f>
        <v>CENTRAL</v>
      </c>
    </row>
    <row r="1322" spans="1:30" x14ac:dyDescent="0.3">
      <c r="A1322" s="37" t="s">
        <v>8633</v>
      </c>
      <c r="B1322" s="38" t="str">
        <f>_xlfn.XLOOKUP(Customer[[#This Row],[Customer ID]],[1]!Name[ID],[1]!Name[Description(1)])</f>
        <v>IDA SAFINAZ JAMALUDDIN</v>
      </c>
      <c r="C1322" s="38" t="str">
        <f>_xlfn.XLOOKUP(Customer[[#This Row],[Customer ID]],[1]!Name[ID],[1]!Name[Description(2)])</f>
        <v/>
      </c>
      <c r="D1322" s="38" t="str">
        <f>_xlfn.XLOOKUP(Customer[[#This Row],[Customer ID]],[1]!Address[ID],[1]!Address[PIC])</f>
        <v/>
      </c>
      <c r="E1322" s="38" t="str">
        <f>_xlfn.XLOOKUP(Customer[[#This Row],[Customer ID]],[1]!Address[ID],[1]!Address[Full Address])</f>
        <v>NO 22, JALAN GOLF 2,GOLF HEIGHT AMPANGAN, 70400 SEREMBANNEGERI SEMBILAN</v>
      </c>
      <c r="F1322" s="12" t="s">
        <v>8634</v>
      </c>
      <c r="G1322" s="12" t="s">
        <v>8635</v>
      </c>
      <c r="H1322" s="12" t="s">
        <v>2411</v>
      </c>
      <c r="I1322" s="12" t="b">
        <f>ISNUMBER(VALUE(LEFT(Customer[[#This Row],[Address Line 3 (30 char)]],1)))</f>
        <v>0</v>
      </c>
      <c r="J1322" s="12" t="s">
        <v>2004</v>
      </c>
      <c r="K1322" s="12">
        <v>70400</v>
      </c>
      <c r="L1322" s="12" t="s">
        <v>35</v>
      </c>
      <c r="M1322" s="13" t="e">
        <v>#N/A</v>
      </c>
      <c r="N1322" s="14" t="e">
        <v>#N/A</v>
      </c>
      <c r="O1322" s="14" t="e">
        <v>#N/A</v>
      </c>
      <c r="P1322" s="14" t="e">
        <v>#N/A</v>
      </c>
      <c r="Q1322" s="14" t="e">
        <v>#N/A</v>
      </c>
      <c r="R1322" s="15" t="s">
        <v>8636</v>
      </c>
      <c r="S1322" s="15" t="s">
        <v>88</v>
      </c>
      <c r="T1322" s="16" t="s">
        <v>89</v>
      </c>
      <c r="U1322" s="11" t="str">
        <f>_xlfn.XLOOKUP(Customer[[#This Row],[Customer ID]],[1]!Address[ID],[1]!Address[Phone No.(2)])</f>
        <v/>
      </c>
      <c r="V1322" s="11" t="str">
        <f>_xlfn.XLOOKUP(Customer[[#This Row],[Customer ID]],[1]!Address[ID],[1]!Address[Type])</f>
        <v>SOCMED</v>
      </c>
      <c r="W1322" s="11" t="str">
        <f>_xlfn.XLOOKUP(Customer[[#This Row],[Customer ID]],[1]!Address[ID],[1]!Address[CT])</f>
        <v/>
      </c>
      <c r="X1322" s="11"/>
      <c r="Y1322" s="17" t="s">
        <v>90</v>
      </c>
      <c r="Z1322" s="17" t="e">
        <f>_xlfn.XLOOKUP(Customer[[#This Row],[NewType]],$AF$36:$AF$54,$AG$36:$AG$54)</f>
        <v>#N/A</v>
      </c>
      <c r="AA1322" s="17" t="s">
        <v>8637</v>
      </c>
      <c r="AB1322" s="11" t="str">
        <f>_xlfn.XLOOKUP(Customer[[#This Row],[Customer ID]],[1]!Address[ID],[1]!Address[Subtype])</f>
        <v>ONLINE ROS</v>
      </c>
      <c r="AC1322" s="18" t="str">
        <f>_xlfn.XLOOKUP(Customer[[#This Row],[Customer ID]],[1]!Address[ID],[1]!Address[Zone])</f>
        <v>CENTRAL</v>
      </c>
    </row>
    <row r="1323" spans="1:30" x14ac:dyDescent="0.3">
      <c r="A1323" s="10" t="s">
        <v>8638</v>
      </c>
      <c r="B1323" s="11" t="str">
        <f>_xlfn.XLOOKUP(Customer[[#This Row],[Customer ID]],[1]!Name[ID],[1]!Name[Description(1)])</f>
        <v>PUAN RASHIDAH BINTI ISMAIL</v>
      </c>
      <c r="C1323" s="38" t="str">
        <f>_xlfn.XLOOKUP(Customer[[#This Row],[Customer ID]],[1]!Name[ID],[1]!Name[Description(2)])</f>
        <v/>
      </c>
      <c r="D1323" s="38" t="str">
        <f>_xlfn.XLOOKUP(Customer[[#This Row],[Customer ID]],[1]!Address[ID],[1]!Address[PIC])</f>
        <v/>
      </c>
      <c r="E1323" s="38" t="str">
        <f>_xlfn.XLOOKUP(Customer[[#This Row],[Customer ID]],[1]!Address[ID],[1]!Address[Full Address])</f>
        <v>TS7110, LOT 508, JALAN TANAH LOT 2,TANAH LIAT 14000 BUKIT MERTAJAM,PENANG</v>
      </c>
      <c r="F1323" s="12" t="s">
        <v>8639</v>
      </c>
      <c r="G1323" s="12" t="s">
        <v>8640</v>
      </c>
      <c r="H1323" s="12" t="s">
        <v>724</v>
      </c>
      <c r="I1323" s="12" t="b">
        <f>ISNUMBER(VALUE(LEFT(Customer[[#This Row],[Address Line 3 (30 char)]],1)))</f>
        <v>0</v>
      </c>
      <c r="J1323" s="12" t="s">
        <v>179</v>
      </c>
      <c r="K1323" s="12">
        <v>14000</v>
      </c>
      <c r="L1323" s="12" t="s">
        <v>35</v>
      </c>
      <c r="M1323" s="13" t="e">
        <v>#N/A</v>
      </c>
      <c r="N1323" s="14" t="e">
        <v>#N/A</v>
      </c>
      <c r="O1323" s="14" t="e">
        <v>#N/A</v>
      </c>
      <c r="P1323" s="14" t="e">
        <v>#N/A</v>
      </c>
      <c r="Q1323" s="14" t="e">
        <v>#N/A</v>
      </c>
      <c r="R1323" s="15" t="s">
        <v>8641</v>
      </c>
      <c r="S1323" s="15" t="s">
        <v>4271</v>
      </c>
      <c r="T1323" s="16" t="s">
        <v>89</v>
      </c>
      <c r="U1323" s="11" t="str">
        <f>_xlfn.XLOOKUP(Customer[[#This Row],[Customer ID]],[1]!Address[ID],[1]!Address[Phone No.(2)])</f>
        <v/>
      </c>
      <c r="V1323" s="11" t="str">
        <f>_xlfn.XLOOKUP(Customer[[#This Row],[Customer ID]],[1]!Address[ID],[1]!Address[Type])</f>
        <v>SOCMED</v>
      </c>
      <c r="W1323" s="11" t="str">
        <f>_xlfn.XLOOKUP(Customer[[#This Row],[Customer ID]],[1]!Address[ID],[1]!Address[CT])</f>
        <v/>
      </c>
      <c r="X1323" s="11"/>
      <c r="Y1323" s="17" t="s">
        <v>90</v>
      </c>
      <c r="Z1323" s="17" t="e">
        <f>_xlfn.XLOOKUP(Customer[[#This Row],[NewType]],$AF$36:$AF$54,$AG$36:$AG$54)</f>
        <v>#N/A</v>
      </c>
      <c r="AA1323" s="17" t="s">
        <v>8642</v>
      </c>
      <c r="AB1323" s="11" t="str">
        <f>_xlfn.XLOOKUP(Customer[[#This Row],[Customer ID]],[1]!Address[ID],[1]!Address[Subtype])</f>
        <v>WHATSAPP</v>
      </c>
      <c r="AC1323" s="18" t="str">
        <f>_xlfn.XLOOKUP(Customer[[#This Row],[Customer ID]],[1]!Address[ID],[1]!Address[Zone])</f>
        <v>POUTH</v>
      </c>
    </row>
    <row r="1324" spans="1:30" x14ac:dyDescent="0.3">
      <c r="A1324" s="48" t="s">
        <v>8643</v>
      </c>
      <c r="B1324" s="49" t="str">
        <f>_xlfn.XLOOKUP(Customer[[#This Row],[Customer ID]],[1]!Name[ID],[1]!Name[Description(1)])</f>
        <v>EN SHEIKH FAROUK (MD AEONBIG)</v>
      </c>
      <c r="C1324" s="88" t="str">
        <f>_xlfn.XLOOKUP(Customer[[#This Row],[Customer ID]],[1]!Name[ID],[1]!Name[Description(2)])</f>
        <v>KOMSA BERHAD</v>
      </c>
      <c r="D1324" s="50" t="str">
        <f>_xlfn.XLOOKUP(Customer[[#This Row],[Customer ID]],[1]!Address[ID],[1]!Address[PIC])</f>
        <v/>
      </c>
      <c r="E1324" s="38" t="str">
        <f>_xlfn.XLOOKUP(Customer[[#This Row],[Customer ID]],[1]!Address[ID],[1]!Address[Full Address])</f>
        <v/>
      </c>
      <c r="F1324" s="29" t="s">
        <v>36</v>
      </c>
      <c r="G1324" s="29" t="s">
        <v>36</v>
      </c>
      <c r="H1324" s="29" t="s">
        <v>36</v>
      </c>
      <c r="I1324" s="29" t="b">
        <f>ISNUMBER(VALUE(LEFT(Customer[[#This Row],[Address Line 3 (30 char)]],1)))</f>
        <v>0</v>
      </c>
      <c r="J1324" s="95"/>
      <c r="K1324" s="95"/>
      <c r="L1324" s="29" t="s">
        <v>35</v>
      </c>
      <c r="M1324" s="31" t="e">
        <v>#N/A</v>
      </c>
      <c r="N1324" s="36" t="e">
        <v>#N/A</v>
      </c>
      <c r="O1324" s="36" t="e">
        <v>#N/A</v>
      </c>
      <c r="P1324" s="36" t="e">
        <v>#N/A</v>
      </c>
      <c r="Q1324" s="36" t="e">
        <v>#N/A</v>
      </c>
      <c r="R1324" s="51" t="s">
        <v>8644</v>
      </c>
      <c r="S1324" s="51"/>
      <c r="T1324" s="52"/>
      <c r="U1324" s="49" t="str">
        <f>_xlfn.XLOOKUP(Customer[[#This Row],[Customer ID]],[1]!Address[ID],[1]!Address[Phone No.(2)])</f>
        <v/>
      </c>
      <c r="V1324" s="49" t="str">
        <f>_xlfn.XLOOKUP(Customer[[#This Row],[Customer ID]],[1]!Address[ID],[1]!Address[Type])</f>
        <v>SOCMED</v>
      </c>
      <c r="W1324" s="49" t="str">
        <f>_xlfn.XLOOKUP(Customer[[#This Row],[Customer ID]],[1]!Address[ID],[1]!Address[CT])</f>
        <v/>
      </c>
      <c r="X1324" s="49"/>
      <c r="Y1324" s="53" t="s">
        <v>90</v>
      </c>
      <c r="Z1324" s="53" t="e">
        <f>_xlfn.XLOOKUP(Customer[[#This Row],[NewType]],$AF$36:$AF$54,$AG$36:$AG$54)</f>
        <v>#N/A</v>
      </c>
      <c r="AA1324" s="53" t="s">
        <v>8645</v>
      </c>
      <c r="AB1324" s="49" t="str">
        <f>_xlfn.XLOOKUP(Customer[[#This Row],[Customer ID]],[1]!Address[ID],[1]!Address[Subtype])</f>
        <v>WHATSAPP</v>
      </c>
      <c r="AC1324" s="54" t="str">
        <f>_xlfn.XLOOKUP(Customer[[#This Row],[Customer ID]],[1]!Address[ID],[1]!Address[Zone])</f>
        <v>AEEDH</v>
      </c>
      <c r="AD1324" s="55"/>
    </row>
    <row r="1325" spans="1:30" x14ac:dyDescent="0.3">
      <c r="A1325" s="37" t="s">
        <v>8646</v>
      </c>
      <c r="B1325" s="38" t="str">
        <f>_xlfn.XLOOKUP(Customer[[#This Row],[Customer ID]],[1]!Name[ID],[1]!Name[Description(1)])</f>
        <v>PERNIAGAAN HEBAT SOLEH</v>
      </c>
      <c r="C1325" s="38" t="str">
        <f>_xlfn.XLOOKUP(Customer[[#This Row],[Customer ID]],[1]!Name[ID],[1]!Name[Description(2)])</f>
        <v/>
      </c>
      <c r="D1325" s="38" t="str">
        <f>_xlfn.XLOOKUP(Customer[[#This Row],[Customer ID]],[1]!Address[ID],[1]!Address[PIC])</f>
        <v/>
      </c>
      <c r="E1325" s="38" t="str">
        <f>_xlfn.XLOOKUP(Customer[[#This Row],[Customer ID]],[1]!Address[ID],[1]!Address[Full Address])</f>
        <v>NO 1, JALAN SEKSYEN 2/10KAJANG UTAMA 43000 KAJANGSELANGOR</v>
      </c>
      <c r="F1325" s="12" t="s">
        <v>8647</v>
      </c>
      <c r="G1325" s="12" t="s">
        <v>8648</v>
      </c>
      <c r="H1325" s="12"/>
      <c r="I1325" s="12" t="b">
        <f>ISNUMBER(VALUE(LEFT(Customer[[#This Row],[Address Line 3 (30 char)]],1)))</f>
        <v>0</v>
      </c>
      <c r="J1325" s="12" t="s">
        <v>1907</v>
      </c>
      <c r="K1325" s="12">
        <v>43000</v>
      </c>
      <c r="L1325" s="12" t="s">
        <v>35</v>
      </c>
      <c r="M1325" s="13" t="e">
        <v>#N/A</v>
      </c>
      <c r="N1325" s="14" t="e">
        <v>#N/A</v>
      </c>
      <c r="O1325" s="14" t="e">
        <v>#N/A</v>
      </c>
      <c r="P1325" s="14" t="e">
        <v>#N/A</v>
      </c>
      <c r="Q1325" s="14" t="e">
        <v>#N/A</v>
      </c>
      <c r="R1325" s="15" t="s">
        <v>8649</v>
      </c>
      <c r="S1325" s="15" t="s">
        <v>88</v>
      </c>
      <c r="T1325" s="16" t="s">
        <v>89</v>
      </c>
      <c r="U1325" s="11" t="str">
        <f>_xlfn.XLOOKUP(Customer[[#This Row],[Customer ID]],[1]!Address[ID],[1]!Address[Phone No.(2)])</f>
        <v/>
      </c>
      <c r="V1325" s="11" t="str">
        <f>_xlfn.XLOOKUP(Customer[[#This Row],[Customer ID]],[1]!Address[ID],[1]!Address[Type])</f>
        <v>SOCMED</v>
      </c>
      <c r="W1325" s="11" t="str">
        <f>_xlfn.XLOOKUP(Customer[[#This Row],[Customer ID]],[1]!Address[ID],[1]!Address[CT])</f>
        <v/>
      </c>
      <c r="X1325" s="11"/>
      <c r="Y1325" s="17" t="s">
        <v>90</v>
      </c>
      <c r="Z1325" s="17" t="e">
        <f>_xlfn.XLOOKUP(Customer[[#This Row],[NewType]],$AF$36:$AF$54,$AG$36:$AG$54)</f>
        <v>#N/A</v>
      </c>
      <c r="AA1325" s="17" t="s">
        <v>8650</v>
      </c>
      <c r="AB1325" s="11" t="str">
        <f>_xlfn.XLOOKUP(Customer[[#This Row],[Customer ID]],[1]!Address[ID],[1]!Address[Subtype])</f>
        <v>ONLINE ROS</v>
      </c>
      <c r="AC1325" s="18" t="str">
        <f>_xlfn.XLOOKUP(Customer[[#This Row],[Customer ID]],[1]!Address[ID],[1]!Address[Zone])</f>
        <v>CENTRAL</v>
      </c>
    </row>
    <row r="1326" spans="1:30" x14ac:dyDescent="0.3">
      <c r="A1326" s="37" t="s">
        <v>8651</v>
      </c>
      <c r="B1326" s="38" t="str">
        <f>_xlfn.XLOOKUP(Customer[[#This Row],[Customer ID]],[1]!Name[ID],[1]!Name[Description(1)])</f>
        <v>FARMASI AD DEEN</v>
      </c>
      <c r="C1326" s="38" t="str">
        <f>_xlfn.XLOOKUP(Customer[[#This Row],[Customer ID]],[1]!Name[ID],[1]!Name[Description(2)])</f>
        <v/>
      </c>
      <c r="D1326" s="38" t="str">
        <f>_xlfn.XLOOKUP(Customer[[#This Row],[Customer ID]],[1]!Address[ID],[1]!Address[PIC])</f>
        <v/>
      </c>
      <c r="E1326" s="38" t="str">
        <f>_xlfn.XLOOKUP(Customer[[#This Row],[Customer ID]],[1]!Address[ID],[1]!Address[Full Address])</f>
        <v>B5 KOMPLEK TAMPIN SQUARE,73000 TAMPIN, NEGERI SEMBILAN</v>
      </c>
      <c r="F1326" s="12" t="s">
        <v>8652</v>
      </c>
      <c r="G1326" s="12" t="s">
        <v>1698</v>
      </c>
      <c r="H1326" s="12" t="s">
        <v>36</v>
      </c>
      <c r="I1326" s="12" t="b">
        <f>ISNUMBER(VALUE(LEFT(Customer[[#This Row],[Address Line 3 (30 char)]],1)))</f>
        <v>0</v>
      </c>
      <c r="J1326" s="12" t="s">
        <v>2004</v>
      </c>
      <c r="K1326" s="12">
        <v>73000</v>
      </c>
      <c r="L1326" s="12" t="s">
        <v>35</v>
      </c>
      <c r="M1326" s="13" t="e">
        <v>#N/A</v>
      </c>
      <c r="N1326" s="14" t="e">
        <v>#N/A</v>
      </c>
      <c r="O1326" s="14" t="e">
        <v>#N/A</v>
      </c>
      <c r="P1326" s="14" t="e">
        <v>#N/A</v>
      </c>
      <c r="Q1326" s="14" t="e">
        <v>#N/A</v>
      </c>
      <c r="R1326" s="15" t="s">
        <v>8653</v>
      </c>
      <c r="S1326" s="15" t="s">
        <v>88</v>
      </c>
      <c r="T1326" s="16" t="s">
        <v>89</v>
      </c>
      <c r="U1326" s="11" t="str">
        <f>_xlfn.XLOOKUP(Customer[[#This Row],[Customer ID]],[1]!Address[ID],[1]!Address[Phone No.(2)])</f>
        <v/>
      </c>
      <c r="V1326" s="11" t="str">
        <f>_xlfn.XLOOKUP(Customer[[#This Row],[Customer ID]],[1]!Address[ID],[1]!Address[Type])</f>
        <v>SOCMED</v>
      </c>
      <c r="W1326" s="11" t="str">
        <f>_xlfn.XLOOKUP(Customer[[#This Row],[Customer ID]],[1]!Address[ID],[1]!Address[CT])</f>
        <v/>
      </c>
      <c r="X1326" s="11"/>
      <c r="Y1326" s="17" t="s">
        <v>90</v>
      </c>
      <c r="Z1326" s="17" t="e">
        <f>_xlfn.XLOOKUP(Customer[[#This Row],[NewType]],$AF$36:$AF$54,$AG$36:$AG$54)</f>
        <v>#N/A</v>
      </c>
      <c r="AA1326" s="17" t="s">
        <v>8654</v>
      </c>
      <c r="AB1326" s="11" t="str">
        <f>_xlfn.XLOOKUP(Customer[[#This Row],[Customer ID]],[1]!Address[ID],[1]!Address[Subtype])</f>
        <v>ONLINE ROS</v>
      </c>
      <c r="AC1326" s="18" t="str">
        <f>_xlfn.XLOOKUP(Customer[[#This Row],[Customer ID]],[1]!Address[ID],[1]!Address[Zone])</f>
        <v>CENTRAL</v>
      </c>
    </row>
    <row r="1327" spans="1:30" x14ac:dyDescent="0.3">
      <c r="A1327" s="56" t="s">
        <v>8655</v>
      </c>
      <c r="B1327" s="50" t="str">
        <f>_xlfn.XLOOKUP(Customer[[#This Row],[Customer ID]],[1]!Name[ID],[1]!Name[Description(1)])</f>
        <v>NURBIHA BINTI ABDUL MURAD</v>
      </c>
      <c r="C1327" s="38" t="str">
        <f>_xlfn.XLOOKUP(Customer[[#This Row],[Customer ID]],[1]!Name[ID],[1]!Name[Description(2)])</f>
        <v/>
      </c>
      <c r="D1327" s="38" t="str">
        <f>_xlfn.XLOOKUP(Customer[[#This Row],[Customer ID]],[1]!Address[ID],[1]!Address[PIC])</f>
        <v/>
      </c>
      <c r="E1327" s="38" t="str">
        <f>_xlfn.XLOOKUP(Customer[[#This Row],[Customer ID]],[1]!Address[ID],[1]!Address[Full Address])</f>
        <v>NO. 19, JALAN SERI ALAM 2,TAMAN SERI ALAM 47000 SUNGAI BULOH</v>
      </c>
      <c r="F1327" s="12" t="s">
        <v>8656</v>
      </c>
      <c r="G1327" s="12" t="s">
        <v>8657</v>
      </c>
      <c r="H1327" s="86" t="s">
        <v>8658</v>
      </c>
      <c r="I1327" s="86" t="b">
        <f>ISNUMBER(VALUE(LEFT(Customer[[#This Row],[Address Line 3 (30 char)]],1)))</f>
        <v>0</v>
      </c>
      <c r="J1327" s="12" t="s">
        <v>1907</v>
      </c>
      <c r="K1327" s="12">
        <v>47000</v>
      </c>
      <c r="L1327" s="12" t="s">
        <v>35</v>
      </c>
      <c r="M1327" s="13" t="e">
        <v>#N/A</v>
      </c>
      <c r="N1327" s="14" t="e">
        <v>#N/A</v>
      </c>
      <c r="O1327" s="14" t="e">
        <v>#N/A</v>
      </c>
      <c r="P1327" s="14" t="e">
        <v>#N/A</v>
      </c>
      <c r="Q1327" s="14" t="e">
        <v>#N/A</v>
      </c>
      <c r="R1327" s="15" t="s">
        <v>8659</v>
      </c>
      <c r="S1327" s="15" t="s">
        <v>3212</v>
      </c>
      <c r="T1327" s="16" t="s">
        <v>89</v>
      </c>
      <c r="U1327" s="11" t="str">
        <f>_xlfn.XLOOKUP(Customer[[#This Row],[Customer ID]],[1]!Address[ID],[1]!Address[Phone No.(2)])</f>
        <v/>
      </c>
      <c r="V1327" s="11" t="str">
        <f>_xlfn.XLOOKUP(Customer[[#This Row],[Customer ID]],[1]!Address[ID],[1]!Address[Type])</f>
        <v>SOCMED</v>
      </c>
      <c r="W1327" s="11" t="str">
        <f>_xlfn.XLOOKUP(Customer[[#This Row],[Customer ID]],[1]!Address[ID],[1]!Address[CT])</f>
        <v/>
      </c>
      <c r="X1327" s="11"/>
      <c r="Y1327" s="17" t="s">
        <v>90</v>
      </c>
      <c r="Z1327" s="17" t="e">
        <f>_xlfn.XLOOKUP(Customer[[#This Row],[NewType]],$AF$36:$AF$54,$AG$36:$AG$54)</f>
        <v>#N/A</v>
      </c>
      <c r="AA1327" s="17" t="s">
        <v>8660</v>
      </c>
      <c r="AB1327" s="11" t="str">
        <f>_xlfn.XLOOKUP(Customer[[#This Row],[Customer ID]],[1]!Address[ID],[1]!Address[Subtype])</f>
        <v>ONLINE HAJAR</v>
      </c>
      <c r="AC1327" s="18" t="str">
        <f>_xlfn.XLOOKUP(Customer[[#This Row],[Customer ID]],[1]!Address[ID],[1]!Address[Zone])</f>
        <v>CENTRAL</v>
      </c>
    </row>
    <row r="1328" spans="1:30" x14ac:dyDescent="0.3">
      <c r="A1328" s="43" t="s">
        <v>8661</v>
      </c>
      <c r="B1328" s="44" t="str">
        <f>_xlfn.XLOOKUP(Customer[[#This Row],[Customer ID]],[1]!Name[ID],[1]!Name[Description(1)])</f>
        <v>ISHAH BINTONG ENTERPRISE</v>
      </c>
      <c r="C1328" s="38" t="str">
        <f>_xlfn.XLOOKUP(Customer[[#This Row],[Customer ID]],[1]!Name[ID],[1]!Name[Description(2)])</f>
        <v/>
      </c>
      <c r="D1328" s="38" t="str">
        <f>_xlfn.XLOOKUP(Customer[[#This Row],[Customer ID]],[1]!Address[ID],[1]!Address[PIC])</f>
        <v/>
      </c>
      <c r="E1328" s="38" t="str">
        <f>_xlfn.XLOOKUP(Customer[[#This Row],[Customer ID]],[1]!Address[ID],[1]!Address[Full Address])</f>
        <v>LOT 2756, A&amp;B BATU 1/2,JALAN ABI TOK HASHIM,DATARAN GENTING BEHOR EMPIANG,0100 KANGAR PERLIS</v>
      </c>
      <c r="F1328" s="12" t="s">
        <v>8662</v>
      </c>
      <c r="G1328" s="12" t="s">
        <v>8663</v>
      </c>
      <c r="H1328" s="12" t="s">
        <v>8664</v>
      </c>
      <c r="I1328" s="12" t="b">
        <f>ISNUMBER(VALUE(LEFT(Customer[[#This Row],[Address Line 3 (30 char)]],1)))</f>
        <v>0</v>
      </c>
      <c r="J1328" s="12" t="s">
        <v>984</v>
      </c>
      <c r="K1328" s="30" t="s">
        <v>8665</v>
      </c>
      <c r="L1328" s="12" t="s">
        <v>35</v>
      </c>
      <c r="M1328" s="13" t="e">
        <v>#N/A</v>
      </c>
      <c r="N1328" s="14" t="e">
        <v>#N/A</v>
      </c>
      <c r="O1328" s="14" t="e">
        <v>#N/A</v>
      </c>
      <c r="P1328" s="14" t="e">
        <v>#N/A</v>
      </c>
      <c r="Q1328" s="14" t="e">
        <v>#N/A</v>
      </c>
      <c r="R1328" s="15" t="s">
        <v>8666</v>
      </c>
      <c r="S1328" s="15" t="s">
        <v>5934</v>
      </c>
      <c r="T1328" s="16" t="s">
        <v>3477</v>
      </c>
      <c r="U1328" s="11" t="str">
        <f>_xlfn.XLOOKUP(Customer[[#This Row],[Customer ID]],[1]!Address[ID],[1]!Address[Phone No.(2)])</f>
        <v/>
      </c>
      <c r="V1328" s="11" t="str">
        <f>_xlfn.XLOOKUP(Customer[[#This Row],[Customer ID]],[1]!Address[ID],[1]!Address[Type])</f>
        <v>HM</v>
      </c>
      <c r="W1328" s="11" t="str">
        <f>_xlfn.XLOOKUP(Customer[[#This Row],[Customer ID]],[1]!Address[ID],[1]!Address[CT])</f>
        <v>CASH</v>
      </c>
      <c r="X1328" s="11"/>
      <c r="Y1328" s="17" t="s">
        <v>5968</v>
      </c>
      <c r="Z1328" s="17" t="e">
        <f>_xlfn.XLOOKUP(Customer[[#This Row],[NewType]],$AF$36:$AF$54,$AG$36:$AG$54)</f>
        <v>#N/A</v>
      </c>
      <c r="AA1328" s="17" t="s">
        <v>8667</v>
      </c>
      <c r="AB1328" s="11" t="str">
        <f>_xlfn.XLOOKUP(Customer[[#This Row],[Customer ID]],[1]!Address[ID],[1]!Address[Subtype])</f>
        <v>ISHAH</v>
      </c>
      <c r="AC1328" s="18" t="str">
        <f>_xlfn.XLOOKUP(Customer[[#This Row],[Customer ID]],[1]!Address[ID],[1]!Address[Zone])</f>
        <v>NORTH</v>
      </c>
    </row>
    <row r="1329" spans="1:30" x14ac:dyDescent="0.3">
      <c r="A1329" s="37" t="s">
        <v>8668</v>
      </c>
      <c r="B1329" s="38" t="str">
        <f>_xlfn.XLOOKUP(Customer[[#This Row],[Customer ID]],[1]!Name[ID],[1]!Name[Description(1)])</f>
        <v>SEGI SERI SDN BHD</v>
      </c>
      <c r="C1329" s="38" t="str">
        <f>_xlfn.XLOOKUP(Customer[[#This Row],[Customer ID]],[1]!Name[ID],[1]!Name[Description(2)])</f>
        <v/>
      </c>
      <c r="D1329" s="38" t="str">
        <f>_xlfn.XLOOKUP(Customer[[#This Row],[Customer ID]],[1]!Address[ID],[1]!Address[PIC])</f>
        <v>EN NOZIRUL</v>
      </c>
      <c r="E1329" s="38" t="str">
        <f>_xlfn.XLOOKUP(Customer[[#This Row],[Customer ID]],[1]!Address[ID],[1]!Address[Full Address])</f>
        <v>KUALA LUMPUR RAILWAY STATION,JALAN SULTAN HISHAMUDDIN,50621 KUALA LUMPUR</v>
      </c>
      <c r="F1329" s="12" t="s">
        <v>8669</v>
      </c>
      <c r="G1329" s="12" t="s">
        <v>8670</v>
      </c>
      <c r="H1329" s="24"/>
      <c r="I1329" s="24" t="b">
        <f>ISNUMBER(VALUE(LEFT(Customer[[#This Row],[Address Line 3 (30 char)]],1)))</f>
        <v>0</v>
      </c>
      <c r="J1329" s="12" t="s">
        <v>34</v>
      </c>
      <c r="K1329" s="12">
        <v>50621</v>
      </c>
      <c r="L1329" s="12" t="s">
        <v>35</v>
      </c>
      <c r="M1329" s="13" t="e">
        <v>#N/A</v>
      </c>
      <c r="N1329" s="14" t="e">
        <v>#N/A</v>
      </c>
      <c r="O1329" s="14" t="e">
        <v>#N/A</v>
      </c>
      <c r="P1329" s="14" t="e">
        <v>#N/A</v>
      </c>
      <c r="Q1329" s="14" t="e">
        <v>#N/A</v>
      </c>
      <c r="R1329" s="15" t="s">
        <v>8671</v>
      </c>
      <c r="S1329" s="15" t="s">
        <v>5917</v>
      </c>
      <c r="T1329" s="16" t="s">
        <v>3477</v>
      </c>
      <c r="U1329" s="11" t="str">
        <f>_xlfn.XLOOKUP(Customer[[#This Row],[Customer ID]],[1]!Address[ID],[1]!Address[Phone No.(2)])</f>
        <v/>
      </c>
      <c r="V1329" s="11" t="str">
        <f>_xlfn.XLOOKUP(Customer[[#This Row],[Customer ID]],[1]!Address[ID],[1]!Address[Type])</f>
        <v>CM</v>
      </c>
      <c r="W1329" s="11" t="str">
        <f>_xlfn.XLOOKUP(Customer[[#This Row],[Customer ID]],[1]!Address[ID],[1]!Address[CT])</f>
        <v>14 DAYS</v>
      </c>
      <c r="X1329" s="11"/>
      <c r="Y1329" s="17" t="s">
        <v>5918</v>
      </c>
      <c r="Z1329" s="17" t="e">
        <f>_xlfn.XLOOKUP(Customer[[#This Row],[NewType]],$AF$36:$AF$54,$AG$36:$AG$54)</f>
        <v>#N/A</v>
      </c>
      <c r="AA1329" s="17" t="s">
        <v>8672</v>
      </c>
      <c r="AB1329" s="11" t="str">
        <f>_xlfn.XLOOKUP(Customer[[#This Row],[Customer ID]],[1]!Address[ID],[1]!Address[Subtype])</f>
        <v>SEGI SERI</v>
      </c>
      <c r="AC1329" s="18" t="str">
        <f>_xlfn.XLOOKUP(Customer[[#This Row],[Customer ID]],[1]!Address[ID],[1]!Address[Zone])</f>
        <v>CENTRAL</v>
      </c>
    </row>
    <row r="1330" spans="1:30" x14ac:dyDescent="0.3">
      <c r="A1330" s="37" t="s">
        <v>8673</v>
      </c>
      <c r="B1330" s="38" t="str">
        <f>_xlfn.XLOOKUP(Customer[[#This Row],[Customer ID]],[1]!Name[ID],[1]!Name[Description(1)])</f>
        <v>PAHLAWAN MERAH FOOD &amp; BEVERAGES</v>
      </c>
      <c r="C1330" s="38" t="str">
        <f>_xlfn.XLOOKUP(Customer[[#This Row],[Customer ID]],[1]!Name[ID],[1]!Name[Description(2)])</f>
        <v>(MALAYSIA) SDN BHD</v>
      </c>
      <c r="D1330" s="38" t="str">
        <f>_xlfn.XLOOKUP(Customer[[#This Row],[Customer ID]],[1]!Address[ID],[1]!Address[PIC])</f>
        <v>EN NOR MUIZ</v>
      </c>
      <c r="E1330" s="38" t="str">
        <f>_xlfn.XLOOKUP(Customer[[#This Row],[Customer ID]],[1]!Address[ID],[1]!Address[Full Address])</f>
        <v>NO 64, JALAN 11/10,TAMAN KOPERASI POLIS FASA 1,68100 GOMBAK</v>
      </c>
      <c r="F1330" s="12" t="s">
        <v>8674</v>
      </c>
      <c r="G1330" s="12" t="s">
        <v>8675</v>
      </c>
      <c r="H1330" s="24" t="s">
        <v>875</v>
      </c>
      <c r="I1330" s="24" t="b">
        <f>ISNUMBER(VALUE(LEFT(Customer[[#This Row],[Address Line 3 (30 char)]],1)))</f>
        <v>0</v>
      </c>
      <c r="J1330" s="12" t="s">
        <v>1907</v>
      </c>
      <c r="K1330" s="12">
        <v>68100</v>
      </c>
      <c r="L1330" s="12" t="s">
        <v>35</v>
      </c>
      <c r="M1330" s="13" t="e">
        <v>#N/A</v>
      </c>
      <c r="N1330" s="14" t="e">
        <v>#N/A</v>
      </c>
      <c r="O1330" s="14" t="e">
        <v>#N/A</v>
      </c>
      <c r="P1330" s="14" t="e">
        <v>#N/A</v>
      </c>
      <c r="Q1330" s="14" t="e">
        <v>#N/A</v>
      </c>
      <c r="R1330" s="15" t="s">
        <v>8676</v>
      </c>
      <c r="S1330" s="15" t="s">
        <v>5925</v>
      </c>
      <c r="T1330" s="16" t="s">
        <v>3477</v>
      </c>
      <c r="U1330" s="11" t="str">
        <f>_xlfn.XLOOKUP(Customer[[#This Row],[Customer ID]],[1]!Address[ID],[1]!Address[Phone No.(2)])</f>
        <v/>
      </c>
      <c r="V1330" s="11" t="str">
        <f>_xlfn.XLOOKUP(Customer[[#This Row],[Customer ID]],[1]!Address[ID],[1]!Address[Type])</f>
        <v>CAFE</v>
      </c>
      <c r="W1330" s="11" t="str">
        <f>_xlfn.XLOOKUP(Customer[[#This Row],[Customer ID]],[1]!Address[ID],[1]!Address[CT])</f>
        <v>CASH</v>
      </c>
      <c r="X1330" s="11"/>
      <c r="Y1330" s="17" t="s">
        <v>5926</v>
      </c>
      <c r="Z1330" s="17" t="e">
        <f>_xlfn.XLOOKUP(Customer[[#This Row],[NewType]],$AF$36:$AF$54,$AG$36:$AG$54)</f>
        <v>#N/A</v>
      </c>
      <c r="AA1330" s="17" t="s">
        <v>8677</v>
      </c>
      <c r="AB1330" s="11" t="str">
        <f>_xlfn.XLOOKUP(Customer[[#This Row],[Customer ID]],[1]!Address[ID],[1]!Address[Subtype])</f>
        <v>PAHLAWAN MRH</v>
      </c>
      <c r="AC1330" s="18" t="str">
        <f>_xlfn.XLOOKUP(Customer[[#This Row],[Customer ID]],[1]!Address[ID],[1]!Address[Zone])</f>
        <v>CENTRAL</v>
      </c>
    </row>
    <row r="1331" spans="1:30" x14ac:dyDescent="0.3">
      <c r="A1331" s="37" t="s">
        <v>8678</v>
      </c>
      <c r="B1331" s="38" t="str">
        <f>_xlfn.XLOOKUP(Customer[[#This Row],[Customer ID]],[1]!Name[ID],[1]!Name[Description(1)])</f>
        <v>RSA ULU BERNAM NO. 5</v>
      </c>
      <c r="C1331" s="38" t="str">
        <f>_xlfn.XLOOKUP(Customer[[#This Row],[Customer ID]],[1]!Name[ID],[1]!Name[Description(2)])</f>
        <v>ABAD FILLING STATION</v>
      </c>
      <c r="D1331" s="38" t="str">
        <f>_xlfn.XLOOKUP(Customer[[#This Row],[Customer ID]],[1]!Address[ID],[1]!Address[PIC])</f>
        <v/>
      </c>
      <c r="E1331" s="38" t="str">
        <f>_xlfn.XLOOKUP(Customer[[#This Row],[Customer ID]],[1]!Address[ID],[1]!Address[Full Address])</f>
        <v>NO.5 KAWASAN REHAT &amp; RAWAT ARAH SELATAN35900 ULU BERNAM SELANGOR</v>
      </c>
      <c r="F1331" s="12" t="s">
        <v>8679</v>
      </c>
      <c r="G1331" s="12" t="s">
        <v>8680</v>
      </c>
      <c r="H1331" s="12" t="s">
        <v>8681</v>
      </c>
      <c r="I1331" s="12" t="b">
        <f>ISNUMBER(VALUE(LEFT(Customer[[#This Row],[Address Line 3 (30 char)]],1)))</f>
        <v>0</v>
      </c>
      <c r="J1331" s="12" t="s">
        <v>172</v>
      </c>
      <c r="K1331" s="12">
        <v>35900</v>
      </c>
      <c r="L1331" s="12" t="s">
        <v>35</v>
      </c>
      <c r="M1331" s="13" t="e">
        <v>#N/A</v>
      </c>
      <c r="N1331" s="14" t="e">
        <v>#N/A</v>
      </c>
      <c r="O1331" s="14" t="e">
        <v>#N/A</v>
      </c>
      <c r="P1331" s="14" t="e">
        <v>#N/A</v>
      </c>
      <c r="Q1331" s="14" t="e">
        <v>#N/A</v>
      </c>
      <c r="R1331" s="15" t="s">
        <v>8682</v>
      </c>
      <c r="S1331" s="15" t="s">
        <v>5925</v>
      </c>
      <c r="T1331" s="16" t="s">
        <v>3477</v>
      </c>
      <c r="U1331" s="11" t="str">
        <f>_xlfn.XLOOKUP(Customer[[#This Row],[Customer ID]],[1]!Address[ID],[1]!Address[Phone No.(2)])</f>
        <v/>
      </c>
      <c r="V1331" s="11" t="str">
        <f>_xlfn.XLOOKUP(Customer[[#This Row],[Customer ID]],[1]!Address[ID],[1]!Address[Type])</f>
        <v>CAFE</v>
      </c>
      <c r="W1331" s="11" t="str">
        <f>_xlfn.XLOOKUP(Customer[[#This Row],[Customer ID]],[1]!Address[ID],[1]!Address[CT])</f>
        <v>30 DAYS</v>
      </c>
      <c r="X1331" s="11"/>
      <c r="Y1331" s="17" t="s">
        <v>5926</v>
      </c>
      <c r="Z1331" s="17" t="e">
        <f>_xlfn.XLOOKUP(Customer[[#This Row],[NewType]],$AF$36:$AF$54,$AG$36:$AG$54)</f>
        <v>#N/A</v>
      </c>
      <c r="AA1331" s="17" t="s">
        <v>8683</v>
      </c>
      <c r="AB1331" s="11" t="str">
        <f>_xlfn.XLOOKUP(Customer[[#This Row],[Customer ID]],[1]!Address[ID],[1]!Address[Subtype])</f>
        <v>PLUS</v>
      </c>
      <c r="AC1331" s="18">
        <f>_xlfn.XLOOKUP(Customer[[#This Row],[Customer ID]],[1]!Address[ID],[1]!Address[Zone])</f>
        <v>0</v>
      </c>
    </row>
    <row r="1332" spans="1:30" x14ac:dyDescent="0.3">
      <c r="A1332" s="37" t="s">
        <v>8684</v>
      </c>
      <c r="B1332" s="38" t="str">
        <f>_xlfn.XLOOKUP(Customer[[#This Row],[Customer ID]],[1]!Name[ID],[1]!Name[Description(1)])</f>
        <v>MART KPJ DAMANSARA</v>
      </c>
      <c r="C1332" s="38" t="s">
        <v>8685</v>
      </c>
      <c r="D1332" s="38" t="str">
        <f>_xlfn.XLOOKUP(Customer[[#This Row],[Customer ID]],[1]!Address[ID],[1]!Address[PIC])</f>
        <v/>
      </c>
      <c r="E1332" s="38" t="str">
        <f>_xlfn.XLOOKUP(Customer[[#This Row],[Customer ID]],[1]!Address[ID],[1]!Address[Full Address])</f>
        <v>KPJ DAMANSARA SPECIALIST HOSPITAL,119, JALAN SS 20/10, DAMANSARA UTAMA,47400 PETALING JAYA, SELANGOR</v>
      </c>
      <c r="F1332" s="12" t="s">
        <v>8686</v>
      </c>
      <c r="G1332" s="12" t="s">
        <v>8687</v>
      </c>
      <c r="H1332" s="12" t="s">
        <v>5169</v>
      </c>
      <c r="I1332" s="12" t="b">
        <f>ISNUMBER(VALUE(LEFT(Customer[[#This Row],[Address Line 3 (30 char)]],1)))</f>
        <v>0</v>
      </c>
      <c r="J1332" s="12" t="s">
        <v>172</v>
      </c>
      <c r="K1332" s="12">
        <v>47400</v>
      </c>
      <c r="L1332" s="12" t="s">
        <v>35</v>
      </c>
      <c r="M1332" s="13" t="e">
        <v>#N/A</v>
      </c>
      <c r="N1332" s="14" t="e">
        <v>#N/A</v>
      </c>
      <c r="O1332" s="14" t="e">
        <v>#N/A</v>
      </c>
      <c r="P1332" s="14" t="e">
        <v>#N/A</v>
      </c>
      <c r="Q1332" s="14" t="e">
        <v>#N/A</v>
      </c>
      <c r="R1332" s="15" t="s">
        <v>8688</v>
      </c>
      <c r="S1332" s="15" t="s">
        <v>3476</v>
      </c>
      <c r="T1332" s="16" t="s">
        <v>3477</v>
      </c>
      <c r="U1332" s="11" t="str">
        <f>_xlfn.XLOOKUP(Customer[[#This Row],[Customer ID]],[1]!Address[ID],[1]!Address[Phone No.(2)])</f>
        <v/>
      </c>
      <c r="V1332" s="11" t="str">
        <f>_xlfn.XLOOKUP(Customer[[#This Row],[Customer ID]],[1]!Address[ID],[1]!Address[Type])</f>
        <v>PH</v>
      </c>
      <c r="W1332" s="11" t="str">
        <f>_xlfn.XLOOKUP(Customer[[#This Row],[Customer ID]],[1]!Address[ID],[1]!Address[CT])</f>
        <v>30 DAYS</v>
      </c>
      <c r="X1332" s="11"/>
      <c r="Y1332" s="17" t="s">
        <v>5955</v>
      </c>
      <c r="Z1332" s="17" t="e">
        <f>_xlfn.XLOOKUP(Customer[[#This Row],[NewType]],$AF$36:$AF$54,$AG$36:$AG$54)</f>
        <v>#N/A</v>
      </c>
      <c r="AA1332" s="17" t="s">
        <v>8689</v>
      </c>
      <c r="AB1332" s="11" t="str">
        <f>_xlfn.XLOOKUP(Customer[[#This Row],[Customer ID]],[1]!Address[ID],[1]!Address[Subtype])</f>
        <v>MART KPJ</v>
      </c>
      <c r="AC1332" s="18">
        <f>_xlfn.XLOOKUP(Customer[[#This Row],[Customer ID]],[1]!Address[ID],[1]!Address[Zone])</f>
        <v>0</v>
      </c>
    </row>
    <row r="1333" spans="1:30" x14ac:dyDescent="0.3">
      <c r="A1333" s="37" t="s">
        <v>8690</v>
      </c>
      <c r="B1333" s="38" t="str">
        <f>_xlfn.XLOOKUP(Customer[[#This Row],[Customer ID]],[1]!Name[ID],[1]!Name[Description(1)])</f>
        <v>KEDAH MEDICAL CENTRE</v>
      </c>
      <c r="C1333" s="38" t="str">
        <f>_xlfn.XLOOKUP(Customer[[#This Row],[Customer ID]],[1]!Name[ID],[1]!Name[Description(2)])</f>
        <v>JMS CENTRE</v>
      </c>
      <c r="D1333" s="38" t="str">
        <f>_xlfn.XLOOKUP(Customer[[#This Row],[Customer ID]],[1]!Address[ID],[1]!Address[PIC])</f>
        <v/>
      </c>
      <c r="E1333" s="38" t="str">
        <f>_xlfn.XLOOKUP(Customer[[#This Row],[Customer ID]],[1]!Address[ID],[1]!Address[Full Address])</f>
        <v>KEDAH MEDICAL CENTRE, MUKIM ALOR MERAH,KAMPUNG PUMPANG,05259 ALOR SETAR,KEDAH</v>
      </c>
      <c r="F1333" s="12" t="s">
        <v>8691</v>
      </c>
      <c r="G1333" s="12" t="s">
        <v>8692</v>
      </c>
      <c r="H1333" s="12" t="s">
        <v>8693</v>
      </c>
      <c r="I1333" s="12" t="b">
        <f>ISNUMBER(VALUE(LEFT(Customer[[#This Row],[Address Line 3 (30 char)]],1)))</f>
        <v>0</v>
      </c>
      <c r="J1333" s="12" t="s">
        <v>355</v>
      </c>
      <c r="K1333" s="42" t="s">
        <v>8694</v>
      </c>
      <c r="L1333" s="12" t="s">
        <v>35</v>
      </c>
      <c r="M1333" s="13" t="e">
        <v>#N/A</v>
      </c>
      <c r="N1333" s="14" t="e">
        <v>#N/A</v>
      </c>
      <c r="O1333" s="14" t="e">
        <v>#N/A</v>
      </c>
      <c r="P1333" s="14" t="e">
        <v>#N/A</v>
      </c>
      <c r="Q1333" s="14" t="e">
        <v>#N/A</v>
      </c>
      <c r="R1333" s="15" t="s">
        <v>8695</v>
      </c>
      <c r="S1333" s="15" t="s">
        <v>3476</v>
      </c>
      <c r="T1333" s="16" t="s">
        <v>3477</v>
      </c>
      <c r="U1333" s="11" t="str">
        <f>_xlfn.XLOOKUP(Customer[[#This Row],[Customer ID]],[1]!Address[ID],[1]!Address[Phone No.(2)])</f>
        <v/>
      </c>
      <c r="V1333" s="11" t="str">
        <f>_xlfn.XLOOKUP(Customer[[#This Row],[Customer ID]],[1]!Address[ID],[1]!Address[Type])</f>
        <v>PH</v>
      </c>
      <c r="W1333" s="11" t="str">
        <f>_xlfn.XLOOKUP(Customer[[#This Row],[Customer ID]],[1]!Address[ID],[1]!Address[CT])</f>
        <v>30 DAYS</v>
      </c>
      <c r="X1333" s="11"/>
      <c r="Y1333" s="17" t="s">
        <v>5955</v>
      </c>
      <c r="Z1333" s="17" t="e">
        <f>_xlfn.XLOOKUP(Customer[[#This Row],[NewType]],$AF$36:$AF$54,$AG$36:$AG$54)</f>
        <v>#N/A</v>
      </c>
      <c r="AA1333" s="17" t="s">
        <v>8696</v>
      </c>
      <c r="AB1333" s="11" t="str">
        <f>_xlfn.XLOOKUP(Customer[[#This Row],[Customer ID]],[1]!Address[ID],[1]!Address[Subtype])</f>
        <v>KEDAH MEDIC</v>
      </c>
      <c r="AC1333" s="18" t="str">
        <f>_xlfn.XLOOKUP(Customer[[#This Row],[Customer ID]],[1]!Address[ID],[1]!Address[Zone])</f>
        <v>NORTH</v>
      </c>
    </row>
    <row r="1334" spans="1:30" x14ac:dyDescent="0.3">
      <c r="A1334" s="37" t="s">
        <v>8697</v>
      </c>
      <c r="B1334" s="38" t="str">
        <f>_xlfn.XLOOKUP(Customer[[#This Row],[Customer ID]],[1]!Name[ID],[1]!Name[Description(1)])</f>
        <v>SRI TERNAK FOOD MART SDN BHD</v>
      </c>
      <c r="C1334" s="38" t="str">
        <f>_xlfn.XLOOKUP(Customer[[#This Row],[Customer ID]],[1]!Name[ID],[1]!Name[Description(2)])</f>
        <v>SELAYANG</v>
      </c>
      <c r="D1334" s="38" t="str">
        <f>_xlfn.XLOOKUP(Customer[[#This Row],[Customer ID]],[1]!Address[ID],[1]!Address[PIC])</f>
        <v/>
      </c>
      <c r="E1334" s="38" t="str">
        <f>_xlfn.XLOOKUP(Customer[[#This Row],[Customer ID]],[1]!Address[ID],[1]!Address[Full Address])</f>
        <v>BLOCK 7H, 7J &amp; 7K, BATU 7 1/2,JALAN RAWANG SELAYANG68100 BATU CAVES SELANGOR</v>
      </c>
      <c r="F1334" s="12" t="s">
        <v>8698</v>
      </c>
      <c r="G1334" s="12" t="s">
        <v>8699</v>
      </c>
      <c r="H1334" s="24" t="s">
        <v>5565</v>
      </c>
      <c r="I1334" s="24" t="b">
        <f>ISNUMBER(VALUE(LEFT(Customer[[#This Row],[Address Line 3 (30 char)]],1)))</f>
        <v>0</v>
      </c>
      <c r="J1334" s="12" t="s">
        <v>1907</v>
      </c>
      <c r="K1334" s="12">
        <v>68100</v>
      </c>
      <c r="L1334" s="12" t="s">
        <v>35</v>
      </c>
      <c r="M1334" s="13" t="e">
        <v>#N/A</v>
      </c>
      <c r="N1334" s="14" t="e">
        <v>#N/A</v>
      </c>
      <c r="O1334" s="14" t="e">
        <v>#N/A</v>
      </c>
      <c r="P1334" s="14" t="e">
        <v>#N/A</v>
      </c>
      <c r="Q1334" s="14" t="e">
        <v>#N/A</v>
      </c>
      <c r="R1334" s="15" t="s">
        <v>8700</v>
      </c>
      <c r="S1334" s="15" t="s">
        <v>5917</v>
      </c>
      <c r="T1334" s="16" t="s">
        <v>3477</v>
      </c>
      <c r="U1334" s="11" t="str">
        <f>_xlfn.XLOOKUP(Customer[[#This Row],[Customer ID]],[1]!Address[ID],[1]!Address[Phone No.(2)])</f>
        <v/>
      </c>
      <c r="V1334" s="11" t="str">
        <f>_xlfn.XLOOKUP(Customer[[#This Row],[Customer ID]],[1]!Address[ID],[1]!Address[Type])</f>
        <v>HM</v>
      </c>
      <c r="W1334" s="11" t="str">
        <f>_xlfn.XLOOKUP(Customer[[#This Row],[Customer ID]],[1]!Address[ID],[1]!Address[CT])</f>
        <v>60 DAYS</v>
      </c>
      <c r="X1334" s="11"/>
      <c r="Y1334" s="17" t="s">
        <v>5968</v>
      </c>
      <c r="Z1334" s="17" t="e">
        <f>_xlfn.XLOOKUP(Customer[[#This Row],[NewType]],$AF$36:$AF$54,$AG$36:$AG$54)</f>
        <v>#N/A</v>
      </c>
      <c r="AA1334" s="17" t="s">
        <v>8701</v>
      </c>
      <c r="AB1334" s="11" t="str">
        <f>_xlfn.XLOOKUP(Customer[[#This Row],[Customer ID]],[1]!Address[ID],[1]!Address[Subtype])</f>
        <v>SRI TERNAK</v>
      </c>
      <c r="AC1334" s="18">
        <f>_xlfn.XLOOKUP(Customer[[#This Row],[Customer ID]],[1]!Address[ID],[1]!Address[Zone])</f>
        <v>0</v>
      </c>
    </row>
    <row r="1335" spans="1:30" x14ac:dyDescent="0.3">
      <c r="A1335" s="37" t="s">
        <v>8702</v>
      </c>
      <c r="B1335" s="38" t="str">
        <f>_xlfn.XLOOKUP(Customer[[#This Row],[Customer ID]],[1]!Name[ID],[1]!Name[Description(1)])</f>
        <v>FARMASI KUALA NERUS SDN BHD</v>
      </c>
      <c r="C1335" s="38" t="str">
        <f>_xlfn.XLOOKUP(Customer[[#This Row],[Customer ID]],[1]!Name[ID],[1]!Name[Description(2)])</f>
        <v/>
      </c>
      <c r="D1335" s="38" t="str">
        <f>_xlfn.XLOOKUP(Customer[[#This Row],[Customer ID]],[1]!Address[ID],[1]!Address[PIC])</f>
        <v/>
      </c>
      <c r="E1335" s="38" t="str">
        <f>_xlfn.XLOOKUP(Customer[[#This Row],[Customer ID]],[1]!Address[ID],[1]!Address[Full Address])</f>
        <v>10376 KAMPUNG GONG DATUK,MENGABANG TELIPOT,21030 KUALA TERENGGANU</v>
      </c>
      <c r="F1335" s="12" t="s">
        <v>8703</v>
      </c>
      <c r="G1335" s="12" t="s">
        <v>8704</v>
      </c>
      <c r="H1335" s="24" t="s">
        <v>5736</v>
      </c>
      <c r="I1335" s="24" t="b">
        <f>ISNUMBER(VALUE(LEFT(Customer[[#This Row],[Address Line 3 (30 char)]],1)))</f>
        <v>0</v>
      </c>
      <c r="J1335" s="12" t="s">
        <v>1056</v>
      </c>
      <c r="K1335" s="12">
        <v>21030</v>
      </c>
      <c r="L1335" s="12" t="s">
        <v>35</v>
      </c>
      <c r="M1335" s="13" t="e">
        <v>#N/A</v>
      </c>
      <c r="N1335" s="14" t="e">
        <v>#N/A</v>
      </c>
      <c r="O1335" s="14" t="e">
        <v>#N/A</v>
      </c>
      <c r="P1335" s="14" t="e">
        <v>#N/A</v>
      </c>
      <c r="Q1335" s="14" t="e">
        <v>#N/A</v>
      </c>
      <c r="R1335" s="15" t="s">
        <v>8705</v>
      </c>
      <c r="S1335" s="15" t="s">
        <v>3476</v>
      </c>
      <c r="T1335" s="16" t="s">
        <v>3477</v>
      </c>
      <c r="U1335" s="11" t="str">
        <f>_xlfn.XLOOKUP(Customer[[#This Row],[Customer ID]],[1]!Address[ID],[1]!Address[Phone No.(2)])</f>
        <v/>
      </c>
      <c r="V1335" s="11" t="str">
        <f>_xlfn.XLOOKUP(Customer[[#This Row],[Customer ID]],[1]!Address[ID],[1]!Address[Type])</f>
        <v>PH</v>
      </c>
      <c r="W1335" s="11" t="str">
        <f>_xlfn.XLOOKUP(Customer[[#This Row],[Customer ID]],[1]!Address[ID],[1]!Address[CT])</f>
        <v>CASH</v>
      </c>
      <c r="X1335" s="11"/>
      <c r="Y1335" s="17" t="s">
        <v>5955</v>
      </c>
      <c r="Z1335" s="17" t="e">
        <f>_xlfn.XLOOKUP(Customer[[#This Row],[NewType]],$AF$36:$AF$54,$AG$36:$AG$54)</f>
        <v>#N/A</v>
      </c>
      <c r="AA1335" s="17" t="s">
        <v>8706</v>
      </c>
      <c r="AB1335" s="11" t="str">
        <f>_xlfn.XLOOKUP(Customer[[#This Row],[Customer ID]],[1]!Address[ID],[1]!Address[Subtype])</f>
        <v>FAR.K.NERUS</v>
      </c>
      <c r="AC1335" s="18" t="str">
        <f>_xlfn.XLOOKUP(Customer[[#This Row],[Customer ID]],[1]!Address[ID],[1]!Address[Zone])</f>
        <v>EAST COAST</v>
      </c>
    </row>
    <row r="1336" spans="1:30" x14ac:dyDescent="0.3">
      <c r="A1336" s="43" t="s">
        <v>8707</v>
      </c>
      <c r="B1336" s="44" t="str">
        <f>_xlfn.XLOOKUP(Customer[[#This Row],[Customer ID]],[1]!Name[ID],[1]!Name[Description(1)])</f>
        <v>MAHABBAH TRADING</v>
      </c>
      <c r="C1336" s="44" t="str">
        <f>_xlfn.XLOOKUP(Customer[[#This Row],[Customer ID]],[1]!Name[ID],[1]!Name[Description(2)])</f>
        <v/>
      </c>
      <c r="D1336" s="44" t="str">
        <f>_xlfn.XLOOKUP(Customer[[#This Row],[Customer ID]],[1]!Address[ID],[1]!Address[PIC])</f>
        <v/>
      </c>
      <c r="E1336" s="38" t="str">
        <f>_xlfn.XLOOKUP(Customer[[#This Row],[Customer ID]],[1]!Address[ID],[1]!Address[Full Address])</f>
        <v>430A TAMAN TASEK MAJU,14120 SIMPANG AMPAT,PENANG</v>
      </c>
      <c r="F1336" s="29" t="s">
        <v>8708</v>
      </c>
      <c r="G1336" s="29" t="s">
        <v>8709</v>
      </c>
      <c r="H1336" s="29" t="s">
        <v>8710</v>
      </c>
      <c r="I1336" s="29" t="b">
        <f>ISNUMBER(VALUE(LEFT(Customer[[#This Row],[Address Line 3 (30 char)]],1)))</f>
        <v>0</v>
      </c>
      <c r="J1336" s="29" t="s">
        <v>179</v>
      </c>
      <c r="K1336" s="29">
        <v>14120</v>
      </c>
      <c r="L1336" s="29" t="s">
        <v>35</v>
      </c>
      <c r="M1336" s="31" t="e">
        <v>#N/A</v>
      </c>
      <c r="N1336" s="36" t="e">
        <v>#N/A</v>
      </c>
      <c r="O1336" s="36" t="e">
        <v>#N/A</v>
      </c>
      <c r="P1336" s="36" t="e">
        <v>#N/A</v>
      </c>
      <c r="Q1336" s="36" t="e">
        <v>#N/A</v>
      </c>
      <c r="R1336" s="80" t="s">
        <v>8711</v>
      </c>
      <c r="S1336" s="80" t="s">
        <v>74</v>
      </c>
      <c r="T1336" s="16" t="s">
        <v>3477</v>
      </c>
      <c r="U1336" s="28" t="str">
        <f>_xlfn.XLOOKUP(Customer[[#This Row],[Customer ID]],[1]!Address[ID],[1]!Address[Phone No.(2)])</f>
        <v/>
      </c>
      <c r="V1336" s="28" t="str">
        <f>_xlfn.XLOOKUP(Customer[[#This Row],[Customer ID]],[1]!Address[ID],[1]!Address[Type])</f>
        <v>SOCMED</v>
      </c>
      <c r="W1336" s="28" t="str">
        <f>_xlfn.XLOOKUP(Customer[[#This Row],[Customer ID]],[1]!Address[ID],[1]!Address[CT])</f>
        <v/>
      </c>
      <c r="X1336" s="28"/>
      <c r="Y1336" s="82" t="s">
        <v>90</v>
      </c>
      <c r="Z1336" s="82" t="e">
        <f>_xlfn.XLOOKUP(Customer[[#This Row],[NewType]],$AF$36:$AF$54,$AG$36:$AG$54)</f>
        <v>#N/A</v>
      </c>
      <c r="AA1336" s="82" t="s">
        <v>8712</v>
      </c>
      <c r="AB1336" s="28" t="str">
        <f>_xlfn.XLOOKUP(Customer[[#This Row],[Customer ID]],[1]!Address[ID],[1]!Address[Subtype])</f>
        <v>ONLINE ROS</v>
      </c>
      <c r="AC1336" s="83" t="str">
        <f>_xlfn.XLOOKUP(Customer[[#This Row],[Customer ID]],[1]!Address[ID],[1]!Address[Zone])</f>
        <v>T4EDH</v>
      </c>
      <c r="AD1336" s="84"/>
    </row>
    <row r="1337" spans="1:30" x14ac:dyDescent="0.3">
      <c r="A1337" s="56" t="s">
        <v>8713</v>
      </c>
      <c r="B1337" s="50" t="str">
        <f>_xlfn.XLOOKUP(Customer[[#This Row],[Customer ID]],[1]!Name[ID],[1]!Name[Description(1)])</f>
        <v>ZULAZID BIN AZIZ</v>
      </c>
      <c r="C1337" s="38" t="str">
        <f>_xlfn.XLOOKUP(Customer[[#This Row],[Customer ID]],[1]!Name[ID],[1]!Name[Description(2)])</f>
        <v>AZYB UTAMA ENTERPRISE (OMAR BIN HASHIM)</v>
      </c>
      <c r="D1337" s="38" t="str">
        <f>_xlfn.XLOOKUP(Customer[[#This Row],[Customer ID]],[1]!Address[ID],[1]!Address[PIC])</f>
        <v/>
      </c>
      <c r="E1337" s="38" t="str">
        <f>_xlfn.XLOOKUP(Customer[[#This Row],[Customer ID]],[1]!Address[ID],[1]!Address[Full Address])</f>
        <v>AZYB UTAMA ENTERPRISELOT 19, BATU 6 3/4, JALAN KUALA PERLIS,02000 KUALA PERLIS, PERLIS</v>
      </c>
      <c r="F1337" s="12" t="s">
        <v>8714</v>
      </c>
      <c r="G1337" s="12" t="s">
        <v>8715</v>
      </c>
      <c r="H1337" s="24" t="s">
        <v>8716</v>
      </c>
      <c r="I1337" s="24" t="b">
        <f>ISNUMBER(VALUE(LEFT(Customer[[#This Row],[Address Line 3 (30 char)]],1)))</f>
        <v>0</v>
      </c>
      <c r="J1337" s="12" t="s">
        <v>984</v>
      </c>
      <c r="K1337" s="30" t="s">
        <v>8717</v>
      </c>
      <c r="L1337" s="12" t="s">
        <v>35</v>
      </c>
      <c r="M1337" s="13" t="e">
        <v>#N/A</v>
      </c>
      <c r="N1337" s="14" t="e">
        <v>#N/A</v>
      </c>
      <c r="O1337" s="14" t="e">
        <v>#N/A</v>
      </c>
      <c r="P1337" s="14" t="e">
        <v>#N/A</v>
      </c>
      <c r="Q1337" s="14" t="e">
        <v>#N/A</v>
      </c>
      <c r="R1337" s="15" t="s">
        <v>5397</v>
      </c>
      <c r="S1337" s="15" t="s">
        <v>88</v>
      </c>
      <c r="T1337" s="16" t="s">
        <v>89</v>
      </c>
      <c r="U1337" s="11" t="str">
        <f>_xlfn.XLOOKUP(Customer[[#This Row],[Customer ID]],[1]!Address[ID],[1]!Address[Phone No.(2)])</f>
        <v/>
      </c>
      <c r="V1337" s="11" t="str">
        <f>_xlfn.XLOOKUP(Customer[[#This Row],[Customer ID]],[1]!Address[ID],[1]!Address[Type])</f>
        <v>SOCMED</v>
      </c>
      <c r="W1337" s="11" t="str">
        <f>_xlfn.XLOOKUP(Customer[[#This Row],[Customer ID]],[1]!Address[ID],[1]!Address[CT])</f>
        <v/>
      </c>
      <c r="X1337" s="11"/>
      <c r="Y1337" s="17" t="s">
        <v>90</v>
      </c>
      <c r="Z1337" s="17" t="e">
        <f>_xlfn.XLOOKUP(Customer[[#This Row],[NewType]],$AF$36:$AF$54,$AG$36:$AG$54)</f>
        <v>#N/A</v>
      </c>
      <c r="AA1337" s="17" t="s">
        <v>8718</v>
      </c>
      <c r="AB1337" s="11" t="str">
        <f>_xlfn.XLOOKUP(Customer[[#This Row],[Customer ID]],[1]!Address[ID],[1]!Address[Subtype])</f>
        <v>ONLINE ROS</v>
      </c>
      <c r="AC1337" s="18" t="str">
        <f>_xlfn.XLOOKUP(Customer[[#This Row],[Customer ID]],[1]!Address[ID],[1]!Address[Zone])</f>
        <v>NORTH</v>
      </c>
    </row>
    <row r="1338" spans="1:30" x14ac:dyDescent="0.3">
      <c r="A1338" s="10" t="s">
        <v>8719</v>
      </c>
      <c r="B1338" s="11" t="str">
        <f>_xlfn.XLOOKUP(Customer[[#This Row],[Customer ID]],[1]!Name[ID],[1]!Name[Description(1)])</f>
        <v>ROSLAN BIN MD YASIN</v>
      </c>
      <c r="C1338" s="38" t="str">
        <f>_xlfn.XLOOKUP(Customer[[#This Row],[Customer ID]],[1]!Name[ID],[1]!Name[Description(2)])</f>
        <v/>
      </c>
      <c r="D1338" s="38" t="str">
        <f>_xlfn.XLOOKUP(Customer[[#This Row],[Customer ID]],[1]!Address[ID],[1]!Address[PIC])</f>
        <v/>
      </c>
      <c r="E1338" s="38" t="str">
        <f>_xlfn.XLOOKUP(Customer[[#This Row],[Customer ID]],[1]!Address[ID],[1]!Address[Full Address])</f>
        <v>MUTIARA 2 , LOT 832,LORONG TOK KASIBAN, KG JLN 6 KAKI,43700 BERANANG</v>
      </c>
      <c r="F1338" s="12" t="s">
        <v>8720</v>
      </c>
      <c r="G1338" s="12" t="s">
        <v>8721</v>
      </c>
      <c r="H1338" s="24" t="s">
        <v>8722</v>
      </c>
      <c r="I1338" s="24" t="b">
        <f>ISNUMBER(VALUE(LEFT(Customer[[#This Row],[Address Line 3 (30 char)]],1)))</f>
        <v>0</v>
      </c>
      <c r="J1338" s="12" t="s">
        <v>1907</v>
      </c>
      <c r="K1338" s="12">
        <v>43700</v>
      </c>
      <c r="L1338" s="12" t="s">
        <v>35</v>
      </c>
      <c r="M1338" s="13" t="e">
        <v>#N/A</v>
      </c>
      <c r="N1338" s="14" t="e">
        <v>#N/A</v>
      </c>
      <c r="O1338" s="14" t="e">
        <v>#N/A</v>
      </c>
      <c r="P1338" s="14" t="e">
        <v>#N/A</v>
      </c>
      <c r="Q1338" s="14" t="e">
        <v>#N/A</v>
      </c>
      <c r="R1338" s="15" t="s">
        <v>8723</v>
      </c>
      <c r="S1338" s="15" t="s">
        <v>4271</v>
      </c>
      <c r="T1338" s="16" t="s">
        <v>89</v>
      </c>
      <c r="U1338" s="11" t="str">
        <f>_xlfn.XLOOKUP(Customer[[#This Row],[Customer ID]],[1]!Address[ID],[1]!Address[Phone No.(2)])</f>
        <v/>
      </c>
      <c r="V1338" s="11" t="str">
        <f>_xlfn.XLOOKUP(Customer[[#This Row],[Customer ID]],[1]!Address[ID],[1]!Address[Type])</f>
        <v>SOCMED</v>
      </c>
      <c r="W1338" s="11" t="str">
        <f>_xlfn.XLOOKUP(Customer[[#This Row],[Customer ID]],[1]!Address[ID],[1]!Address[CT])</f>
        <v/>
      </c>
      <c r="X1338" s="11"/>
      <c r="Y1338" s="17" t="s">
        <v>90</v>
      </c>
      <c r="Z1338" s="17" t="e">
        <f>_xlfn.XLOOKUP(Customer[[#This Row],[NewType]],$AF$36:$AF$54,$AG$36:$AG$54)</f>
        <v>#N/A</v>
      </c>
      <c r="AA1338" s="17" t="s">
        <v>8724</v>
      </c>
      <c r="AB1338" s="11" t="str">
        <f>_xlfn.XLOOKUP(Customer[[#This Row],[Customer ID]],[1]!Address[ID],[1]!Address[Subtype])</f>
        <v>WHATSAPP</v>
      </c>
      <c r="AC1338" s="18" t="str">
        <f>_xlfn.XLOOKUP(Customer[[#This Row],[Customer ID]],[1]!Address[ID],[1]!Address[Zone])</f>
        <v>CENTRAL</v>
      </c>
    </row>
    <row r="1339" spans="1:30" x14ac:dyDescent="0.3">
      <c r="A1339" s="43" t="s">
        <v>8725</v>
      </c>
      <c r="B1339" s="44" t="str">
        <f>_xlfn.XLOOKUP(Customer[[#This Row],[Customer ID]],[1]!Name[ID],[1]!Name[Description(1)])</f>
        <v>FHM HEALTHCARE SDN BHD</v>
      </c>
      <c r="C1339" s="38" t="str">
        <f>_xlfn.XLOOKUP(Customer[[#This Row],[Customer ID]],[1]!Name[ID],[1]!Name[Description(2)])</f>
        <v/>
      </c>
      <c r="D1339" s="38" t="str">
        <f>_xlfn.XLOOKUP(Customer[[#This Row],[Customer ID]],[1]!Address[ID],[1]!Address[PIC])</f>
        <v>PN. FARAH</v>
      </c>
      <c r="E1339" s="38" t="str">
        <f>_xlfn.XLOOKUP(Customer[[#This Row],[Customer ID]],[1]!Address[ID],[1]!Address[Full Address])</f>
        <v>137, JALAN LU 2/2,TAMAN LANGAT UTAMA,42700 BANTING SELANGOR</v>
      </c>
      <c r="F1339" s="12" t="s">
        <v>8726</v>
      </c>
      <c r="G1339" s="12" t="s">
        <v>8727</v>
      </c>
      <c r="H1339" s="24" t="s">
        <v>7471</v>
      </c>
      <c r="I1339" s="24" t="b">
        <f>ISNUMBER(VALUE(LEFT(Customer[[#This Row],[Address Line 3 (30 char)]],1)))</f>
        <v>0</v>
      </c>
      <c r="J1339" s="29" t="s">
        <v>1907</v>
      </c>
      <c r="K1339" s="12">
        <v>42700</v>
      </c>
      <c r="L1339" s="12" t="s">
        <v>35</v>
      </c>
      <c r="M1339" s="13" t="e">
        <v>#N/A</v>
      </c>
      <c r="N1339" s="14" t="e">
        <v>#N/A</v>
      </c>
      <c r="O1339" s="14" t="e">
        <v>#N/A</v>
      </c>
      <c r="P1339" s="14" t="e">
        <v>#N/A</v>
      </c>
      <c r="Q1339" s="19" t="s">
        <v>8728</v>
      </c>
      <c r="R1339" s="15" t="s">
        <v>8729</v>
      </c>
      <c r="S1339" s="15" t="s">
        <v>3476</v>
      </c>
      <c r="T1339" s="16" t="s">
        <v>3477</v>
      </c>
      <c r="U1339" s="11" t="str">
        <f>_xlfn.XLOOKUP(Customer[[#This Row],[Customer ID]],[1]!Address[ID],[1]!Address[Phone No.(2)])</f>
        <v/>
      </c>
      <c r="V1339" s="11" t="str">
        <f>_xlfn.XLOOKUP(Customer[[#This Row],[Customer ID]],[1]!Address[ID],[1]!Address[Type])</f>
        <v>PH</v>
      </c>
      <c r="W1339" s="11" t="str">
        <f>_xlfn.XLOOKUP(Customer[[#This Row],[Customer ID]],[1]!Address[ID],[1]!Address[CT])</f>
        <v>30 DAYS</v>
      </c>
      <c r="X1339" s="11"/>
      <c r="Y1339" s="17" t="s">
        <v>5955</v>
      </c>
      <c r="Z1339" s="17" t="e">
        <f>_xlfn.XLOOKUP(Customer[[#This Row],[NewType]],$AF$36:$AF$54,$AG$36:$AG$54)</f>
        <v>#N/A</v>
      </c>
      <c r="AA1339" s="17" t="s">
        <v>8730</v>
      </c>
      <c r="AB1339" s="11" t="str">
        <f>_xlfn.XLOOKUP(Customer[[#This Row],[Customer ID]],[1]!Address[ID],[1]!Address[Subtype])</f>
        <v>FHM</v>
      </c>
      <c r="AC1339" s="18">
        <f>_xlfn.XLOOKUP(Customer[[#This Row],[Customer ID]],[1]!Address[ID],[1]!Address[Zone])</f>
        <v>0</v>
      </c>
    </row>
    <row r="1340" spans="1:30" x14ac:dyDescent="0.3">
      <c r="A1340" s="37" t="s">
        <v>8731</v>
      </c>
      <c r="B1340" s="38" t="str">
        <f>_xlfn.XLOOKUP(Customer[[#This Row],[Customer ID]],[1]!Name[ID],[1]!Name[Description(1)])</f>
        <v>KELAB SHAH ALAM SELANGOR</v>
      </c>
      <c r="C1340" s="38" t="str">
        <f>_xlfn.XLOOKUP(Customer[[#This Row],[Customer ID]],[1]!Name[ID],[1]!Name[Description(2)])</f>
        <v/>
      </c>
      <c r="D1340" s="38" t="str">
        <f>_xlfn.XLOOKUP(Customer[[#This Row],[Customer ID]],[1]!Address[ID],[1]!Address[PIC])</f>
        <v/>
      </c>
      <c r="E1340" s="38" t="str">
        <f>_xlfn.XLOOKUP(Customer[[#This Row],[Customer ID]],[1]!Address[ID],[1]!Address[Full Address])</f>
        <v>NO. 1A, JALAN AEROBIK 13/43,PERSIARAN KAYANGAN,40704 SHAH ALAM</v>
      </c>
      <c r="F1340" s="12" t="s">
        <v>8732</v>
      </c>
      <c r="G1340" s="12" t="s">
        <v>8733</v>
      </c>
      <c r="H1340" s="24" t="s">
        <v>4488</v>
      </c>
      <c r="I1340" s="24" t="b">
        <f>ISNUMBER(VALUE(LEFT(Customer[[#This Row],[Address Line 3 (30 char)]],1)))</f>
        <v>0</v>
      </c>
      <c r="J1340" s="12" t="s">
        <v>1907</v>
      </c>
      <c r="K1340" s="12">
        <v>40704</v>
      </c>
      <c r="L1340" s="12" t="s">
        <v>35</v>
      </c>
      <c r="M1340" s="13" t="e">
        <v>#N/A</v>
      </c>
      <c r="N1340" s="14" t="e">
        <v>#N/A</v>
      </c>
      <c r="O1340" s="14" t="e">
        <v>#N/A</v>
      </c>
      <c r="P1340" s="14" t="e">
        <v>#N/A</v>
      </c>
      <c r="Q1340" s="19" t="s">
        <v>8734</v>
      </c>
      <c r="R1340" s="15" t="s">
        <v>8735</v>
      </c>
      <c r="S1340" s="15" t="s">
        <v>5925</v>
      </c>
      <c r="T1340" s="16" t="s">
        <v>3477</v>
      </c>
      <c r="U1340" s="11" t="str">
        <f>_xlfn.XLOOKUP(Customer[[#This Row],[Customer ID]],[1]!Address[ID],[1]!Address[Phone No.(2)])</f>
        <v/>
      </c>
      <c r="V1340" s="11" t="str">
        <f>_xlfn.XLOOKUP(Customer[[#This Row],[Customer ID]],[1]!Address[ID],[1]!Address[Type])</f>
        <v>CAFE</v>
      </c>
      <c r="W1340" s="11" t="str">
        <f>_xlfn.XLOOKUP(Customer[[#This Row],[Customer ID]],[1]!Address[ID],[1]!Address[CT])</f>
        <v>30 DAYS</v>
      </c>
      <c r="X1340" s="11"/>
      <c r="Y1340" s="17" t="s">
        <v>5926</v>
      </c>
      <c r="Z1340" s="17" t="e">
        <f>_xlfn.XLOOKUP(Customer[[#This Row],[NewType]],$AF$36:$AF$54,$AG$36:$AG$54)</f>
        <v>#N/A</v>
      </c>
      <c r="AA1340" s="17" t="s">
        <v>8736</v>
      </c>
      <c r="AB1340" s="11" t="str">
        <f>_xlfn.XLOOKUP(Customer[[#This Row],[Customer ID]],[1]!Address[ID],[1]!Address[Subtype])</f>
        <v>KELAB S.ALAM</v>
      </c>
      <c r="AC1340" s="18">
        <f>_xlfn.XLOOKUP(Customer[[#This Row],[Customer ID]],[1]!Address[ID],[1]!Address[Zone])</f>
        <v>0</v>
      </c>
    </row>
    <row r="1341" spans="1:30" x14ac:dyDescent="0.3">
      <c r="A1341" s="37" t="s">
        <v>8737</v>
      </c>
      <c r="B1341" s="38" t="str">
        <f>_xlfn.XLOOKUP(Customer[[#This Row],[Customer ID]],[1]!Name[ID],[1]!Name[Description(1)])</f>
        <v>KBGZ GROUP EMPIRE</v>
      </c>
      <c r="C1341" s="38" t="str">
        <f>_xlfn.XLOOKUP(Customer[[#This Row],[Customer ID]],[1]!Name[ID],[1]!Name[Description(2)])</f>
        <v/>
      </c>
      <c r="D1341" s="38" t="str">
        <f>_xlfn.XLOOKUP(Customer[[#This Row],[Customer ID]],[1]!Address[ID],[1]!Address[PIC])</f>
        <v/>
      </c>
      <c r="E1341" s="38" t="str">
        <f>_xlfn.XLOOKUP(Customer[[#This Row],[Customer ID]],[1]!Address[ID],[1]!Address[Full Address])</f>
        <v>9525 C, BATU 10 SETENGAH,JALAN GONG BADAK,21300 KUALA NERUS,TERENGGANU</v>
      </c>
      <c r="F1341" s="12" t="s">
        <v>8738</v>
      </c>
      <c r="G1341" s="12" t="s">
        <v>8739</v>
      </c>
      <c r="H1341" s="24" t="s">
        <v>8740</v>
      </c>
      <c r="I1341" s="24" t="b">
        <f>ISNUMBER(VALUE(LEFT(Customer[[#This Row],[Address Line 3 (30 char)]],1)))</f>
        <v>0</v>
      </c>
      <c r="J1341" s="12" t="s">
        <v>1056</v>
      </c>
      <c r="K1341" s="12">
        <v>21300</v>
      </c>
      <c r="L1341" s="12" t="s">
        <v>35</v>
      </c>
      <c r="M1341" s="13" t="e">
        <v>#N/A</v>
      </c>
      <c r="N1341" s="14" t="e">
        <v>#N/A</v>
      </c>
      <c r="O1341" s="14" t="e">
        <v>#N/A</v>
      </c>
      <c r="P1341" s="14" t="e">
        <v>#N/A</v>
      </c>
      <c r="Q1341" s="14" t="e">
        <v>#N/A</v>
      </c>
      <c r="R1341" s="15" t="s">
        <v>8741</v>
      </c>
      <c r="S1341" s="15" t="s">
        <v>5917</v>
      </c>
      <c r="T1341" s="16" t="s">
        <v>3477</v>
      </c>
      <c r="U1341" s="11" t="str">
        <f>_xlfn.XLOOKUP(Customer[[#This Row],[Customer ID]],[1]!Address[ID],[1]!Address[Phone No.(2)])</f>
        <v/>
      </c>
      <c r="V1341" s="11" t="str">
        <f>_xlfn.XLOOKUP(Customer[[#This Row],[Customer ID]],[1]!Address[ID],[1]!Address[Type])</f>
        <v>CM</v>
      </c>
      <c r="W1341" s="11" t="str">
        <f>_xlfn.XLOOKUP(Customer[[#This Row],[Customer ID]],[1]!Address[ID],[1]!Address[CT])</f>
        <v>CASH</v>
      </c>
      <c r="X1341" s="11"/>
      <c r="Y1341" s="17" t="s">
        <v>5918</v>
      </c>
      <c r="Z1341" s="17" t="e">
        <f>_xlfn.XLOOKUP(Customer[[#This Row],[NewType]],$AF$36:$AF$54,$AG$36:$AG$54)</f>
        <v>#N/A</v>
      </c>
      <c r="AA1341" s="17" t="s">
        <v>8742</v>
      </c>
      <c r="AB1341" s="11" t="str">
        <f>_xlfn.XLOOKUP(Customer[[#This Row],[Customer ID]],[1]!Address[ID],[1]!Address[Subtype])</f>
        <v>KBGZ GROUP</v>
      </c>
      <c r="AC1341" s="18" t="str">
        <f>_xlfn.XLOOKUP(Customer[[#This Row],[Customer ID]],[1]!Address[ID],[1]!Address[Zone])</f>
        <v>EAST COAST</v>
      </c>
    </row>
    <row r="1342" spans="1:30" x14ac:dyDescent="0.3">
      <c r="A1342" s="37" t="s">
        <v>8743</v>
      </c>
      <c r="B1342" s="38" t="str">
        <f>_xlfn.XLOOKUP(Customer[[#This Row],[Customer ID]],[1]!Name[ID],[1]!Name[Description(1)])</f>
        <v>KOPERASI KUMPULAN PERTANIAN</v>
      </c>
      <c r="C1342" s="38" t="str">
        <f>_xlfn.XLOOKUP(Customer[[#This Row],[Customer ID]],[1]!Name[ID],[1]!Name[Description(2)])</f>
        <v>PS KM 3, JALAN KUALA KRAI</v>
      </c>
      <c r="D1342" s="38" t="str">
        <f>_xlfn.XLOOKUP(Customer[[#This Row],[Customer ID]],[1]!Address[ID],[1]!Address[PIC])</f>
        <v/>
      </c>
      <c r="E1342" s="38" t="str">
        <f>_xlfn.XLOOKUP(Customer[[#This Row],[Customer ID]],[1]!Address[ID],[1]!Address[Full Address])</f>
        <v>PS KM 3, JALAN KUALA KRAILOT 148, SEKSYEN 22JALAN KUALA KRAI15150 KOTA BHARU KELANTAN</v>
      </c>
      <c r="F1342" s="12" t="s">
        <v>8744</v>
      </c>
      <c r="G1342" s="12" t="s">
        <v>8745</v>
      </c>
      <c r="H1342" s="12" t="s">
        <v>6859</v>
      </c>
      <c r="I1342" s="12" t="b">
        <f>ISNUMBER(VALUE(LEFT(Customer[[#This Row],[Address Line 3 (30 char)]],1)))</f>
        <v>0</v>
      </c>
      <c r="J1342" s="12" t="s">
        <v>1007</v>
      </c>
      <c r="K1342" s="12">
        <v>15150</v>
      </c>
      <c r="L1342" s="12" t="s">
        <v>35</v>
      </c>
      <c r="M1342" s="13" t="e">
        <v>#N/A</v>
      </c>
      <c r="N1342" s="14" t="e">
        <v>#N/A</v>
      </c>
      <c r="O1342" s="14" t="e">
        <v>#N/A</v>
      </c>
      <c r="P1342" s="14" t="e">
        <v>#N/A</v>
      </c>
      <c r="Q1342" s="19" t="s">
        <v>8746</v>
      </c>
      <c r="R1342" s="15" t="s">
        <v>8747</v>
      </c>
      <c r="S1342" s="15" t="s">
        <v>37</v>
      </c>
      <c r="T1342" s="16" t="s">
        <v>38</v>
      </c>
      <c r="U1342" s="11" t="str">
        <f>_xlfn.XLOOKUP(Customer[[#This Row],[Customer ID]],[1]!Address[ID],[1]!Address[Phone No.(2)])</f>
        <v/>
      </c>
      <c r="V1342" s="11" t="str">
        <f>_xlfn.XLOOKUP(Customer[[#This Row],[Customer ID]],[1]!Address[ID],[1]!Address[Type])</f>
        <v>PETROMART</v>
      </c>
      <c r="W1342" s="11" t="str">
        <f>_xlfn.XLOOKUP(Customer[[#This Row],[Customer ID]],[1]!Address[ID],[1]!Address[CT])</f>
        <v>30 DAYS</v>
      </c>
      <c r="X1342" s="11" t="s">
        <v>39</v>
      </c>
      <c r="Y1342" s="17" t="s">
        <v>40</v>
      </c>
      <c r="Z1342" s="17" t="e">
        <f>_xlfn.XLOOKUP(Customer[[#This Row],[NewType]],$AF$36:$AF$54,$AG$36:$AG$54)</f>
        <v>#N/A</v>
      </c>
      <c r="AA1342" s="17" t="s">
        <v>8748</v>
      </c>
      <c r="AB1342" s="11" t="str">
        <f>_xlfn.XLOOKUP(Customer[[#This Row],[Customer ID]],[1]!Address[ID],[1]!Address[Subtype])</f>
        <v>PETRONAS</v>
      </c>
      <c r="AC1342" s="18" t="str">
        <f>_xlfn.XLOOKUP(Customer[[#This Row],[Customer ID]],[1]!Address[ID],[1]!Address[Zone])</f>
        <v>EAST COAST</v>
      </c>
    </row>
    <row r="1343" spans="1:30" x14ac:dyDescent="0.3">
      <c r="A1343" s="37" t="s">
        <v>8749</v>
      </c>
      <c r="B1343" s="38" t="str">
        <f>_xlfn.XLOOKUP(Customer[[#This Row],[Customer ID]],[1]!Name[ID],[1]!Name[Description(1)])</f>
        <v>NORLIZA BINTI ISHAK</v>
      </c>
      <c r="C1343" s="38" t="str">
        <f>_xlfn.XLOOKUP(Customer[[#This Row],[Customer ID]],[1]!Name[ID],[1]!Name[Description(2)])</f>
        <v/>
      </c>
      <c r="D1343" s="38" t="str">
        <f>_xlfn.XLOOKUP(Customer[[#This Row],[Customer ID]],[1]!Address[ID],[1]!Address[PIC])</f>
        <v/>
      </c>
      <c r="E1343" s="38" t="str">
        <f>_xlfn.XLOOKUP(Customer[[#This Row],[Customer ID]],[1]!Address[ID],[1]!Address[Full Address])</f>
        <v>NO. 18 LORONG MASRIA 4,TAMAN BUNGA RAYA, SETAPAK53000 KUALA LUMPUR.</v>
      </c>
      <c r="F1343" s="12" t="s">
        <v>8750</v>
      </c>
      <c r="G1343" s="12" t="s">
        <v>8751</v>
      </c>
      <c r="H1343" s="24"/>
      <c r="I1343" s="24" t="b">
        <f>ISNUMBER(VALUE(LEFT(Customer[[#This Row],[Address Line 3 (30 char)]],1)))</f>
        <v>0</v>
      </c>
      <c r="J1343" s="12" t="s">
        <v>34</v>
      </c>
      <c r="K1343" s="12">
        <v>53000</v>
      </c>
      <c r="L1343" s="12" t="s">
        <v>35</v>
      </c>
      <c r="M1343" s="13" t="e">
        <v>#N/A</v>
      </c>
      <c r="N1343" s="14" t="e">
        <v>#N/A</v>
      </c>
      <c r="O1343" s="14" t="e">
        <v>#N/A</v>
      </c>
      <c r="P1343" s="14" t="e">
        <v>#N/A</v>
      </c>
      <c r="Q1343" s="14" t="e">
        <v>#N/A</v>
      </c>
      <c r="R1343" s="15" t="s">
        <v>8752</v>
      </c>
      <c r="S1343" s="15" t="s">
        <v>88</v>
      </c>
      <c r="T1343" s="16" t="s">
        <v>89</v>
      </c>
      <c r="U1343" s="11" t="str">
        <f>_xlfn.XLOOKUP(Customer[[#This Row],[Customer ID]],[1]!Address[ID],[1]!Address[Phone No.(2)])</f>
        <v/>
      </c>
      <c r="V1343" s="11" t="str">
        <f>_xlfn.XLOOKUP(Customer[[#This Row],[Customer ID]],[1]!Address[ID],[1]!Address[Type])</f>
        <v>SOCMED</v>
      </c>
      <c r="W1343" s="11" t="str">
        <f>_xlfn.XLOOKUP(Customer[[#This Row],[Customer ID]],[1]!Address[ID],[1]!Address[CT])</f>
        <v/>
      </c>
      <c r="X1343" s="11"/>
      <c r="Y1343" s="17" t="s">
        <v>90</v>
      </c>
      <c r="Z1343" s="17" t="e">
        <f>_xlfn.XLOOKUP(Customer[[#This Row],[NewType]],$AF$36:$AF$54,$AG$36:$AG$54)</f>
        <v>#N/A</v>
      </c>
      <c r="AA1343" s="17" t="s">
        <v>8753</v>
      </c>
      <c r="AB1343" s="11" t="str">
        <f>_xlfn.XLOOKUP(Customer[[#This Row],[Customer ID]],[1]!Address[ID],[1]!Address[Subtype])</f>
        <v>ONLINE ROS</v>
      </c>
      <c r="AC1343" s="18" t="str">
        <f>_xlfn.XLOOKUP(Customer[[#This Row],[Customer ID]],[1]!Address[ID],[1]!Address[Zone])</f>
        <v>CENTRAL</v>
      </c>
    </row>
    <row r="1344" spans="1:30" x14ac:dyDescent="0.3">
      <c r="A1344" s="10" t="s">
        <v>8754</v>
      </c>
      <c r="B1344" s="11" t="str">
        <f>_xlfn.XLOOKUP(Customer[[#This Row],[Customer ID]],[1]!Name[ID],[1]!Name[Description(1)])</f>
        <v>HJ JALALUDDIN B ABDUL AZIZ</v>
      </c>
      <c r="C1344" s="32" t="str">
        <f>_xlfn.XLOOKUP(Customer[[#This Row],[Customer ID]],[1]!Name[ID],[1]!Name[Description(2)])</f>
        <v/>
      </c>
      <c r="D1344" s="38" t="str">
        <f>_xlfn.XLOOKUP(Customer[[#This Row],[Customer ID]],[1]!Address[ID],[1]!Address[PIC])</f>
        <v/>
      </c>
      <c r="E1344" s="38" t="str">
        <f>_xlfn.XLOOKUP(Customer[[#This Row],[Customer ID]],[1]!Address[ID],[1]!Address[Full Address])</f>
        <v>MUTIARA BANGI</v>
      </c>
      <c r="F1344" s="12" t="s">
        <v>8485</v>
      </c>
      <c r="G1344" s="12" t="s">
        <v>36</v>
      </c>
      <c r="H1344" s="12" t="s">
        <v>36</v>
      </c>
      <c r="I1344" s="12" t="b">
        <f>ISNUMBER(VALUE(LEFT(Customer[[#This Row],[Address Line 3 (30 char)]],1)))</f>
        <v>0</v>
      </c>
      <c r="J1344" s="32" t="s">
        <v>172</v>
      </c>
      <c r="K1344" s="32"/>
      <c r="L1344" s="12" t="s">
        <v>35</v>
      </c>
      <c r="M1344" s="13" t="e">
        <v>#N/A</v>
      </c>
      <c r="N1344" s="14" t="e">
        <v>#N/A</v>
      </c>
      <c r="O1344" s="14" t="e">
        <v>#N/A</v>
      </c>
      <c r="P1344" s="14" t="e">
        <v>#N/A</v>
      </c>
      <c r="Q1344" s="14" t="e">
        <v>#N/A</v>
      </c>
      <c r="R1344" s="15" t="s">
        <v>8755</v>
      </c>
      <c r="S1344" s="15" t="s">
        <v>4271</v>
      </c>
      <c r="T1344" s="16" t="s">
        <v>89</v>
      </c>
      <c r="U1344" s="11" t="str">
        <f>_xlfn.XLOOKUP(Customer[[#This Row],[Customer ID]],[1]!Address[ID],[1]!Address[Phone No.(2)])</f>
        <v/>
      </c>
      <c r="V1344" s="11" t="str">
        <f>_xlfn.XLOOKUP(Customer[[#This Row],[Customer ID]],[1]!Address[ID],[1]!Address[Type])</f>
        <v>SOCMED</v>
      </c>
      <c r="W1344" s="11" t="str">
        <f>_xlfn.XLOOKUP(Customer[[#This Row],[Customer ID]],[1]!Address[ID],[1]!Address[CT])</f>
        <v/>
      </c>
      <c r="X1344" s="11"/>
      <c r="Y1344" s="17" t="s">
        <v>90</v>
      </c>
      <c r="Z1344" s="17" t="e">
        <f>_xlfn.XLOOKUP(Customer[[#This Row],[NewType]],$AF$36:$AF$54,$AG$36:$AG$54)</f>
        <v>#N/A</v>
      </c>
      <c r="AA1344" s="17" t="s">
        <v>8756</v>
      </c>
      <c r="AB1344" s="11" t="str">
        <f>_xlfn.XLOOKUP(Customer[[#This Row],[Customer ID]],[1]!Address[ID],[1]!Address[Subtype])</f>
        <v>WHATSAPP</v>
      </c>
      <c r="AC1344" s="18" t="str">
        <f>_xlfn.XLOOKUP(Customer[[#This Row],[Customer ID]],[1]!Address[ID],[1]!Address[Zone])</f>
        <v>CENTRAL</v>
      </c>
    </row>
    <row r="1345" spans="1:29" x14ac:dyDescent="0.3">
      <c r="A1345" s="10" t="s">
        <v>8757</v>
      </c>
      <c r="B1345" s="11" t="str">
        <f>_xlfn.XLOOKUP(Customer[[#This Row],[Customer ID]],[1]!Name[ID],[1]!Name[Description(1)])</f>
        <v>HJ RAMLAN</v>
      </c>
      <c r="C1345" s="32" t="str">
        <f>_xlfn.XLOOKUP(Customer[[#This Row],[Customer ID]],[1]!Name[ID],[1]!Name[Description(2)])</f>
        <v/>
      </c>
      <c r="D1345" s="38" t="str">
        <f>_xlfn.XLOOKUP(Customer[[#This Row],[Customer ID]],[1]!Address[ID],[1]!Address[PIC])</f>
        <v/>
      </c>
      <c r="E1345" s="38" t="str">
        <f>_xlfn.XLOOKUP(Customer[[#This Row],[Customer ID]],[1]!Address[ID],[1]!Address[Full Address])</f>
        <v>NO 2 JALAN 2/1L, MUTIARA BANGI</v>
      </c>
      <c r="F1345" s="12" t="s">
        <v>8758</v>
      </c>
      <c r="G1345" s="12" t="s">
        <v>36</v>
      </c>
      <c r="H1345" s="12" t="s">
        <v>36</v>
      </c>
      <c r="I1345" s="12" t="b">
        <f>ISNUMBER(VALUE(LEFT(Customer[[#This Row],[Address Line 3 (30 char)]],1)))</f>
        <v>0</v>
      </c>
      <c r="J1345" s="32" t="s">
        <v>172</v>
      </c>
      <c r="K1345" s="32"/>
      <c r="L1345" s="12" t="s">
        <v>35</v>
      </c>
      <c r="M1345" s="13" t="e">
        <v>#N/A</v>
      </c>
      <c r="N1345" s="14" t="e">
        <v>#N/A</v>
      </c>
      <c r="O1345" s="14" t="e">
        <v>#N/A</v>
      </c>
      <c r="P1345" s="14" t="e">
        <v>#N/A</v>
      </c>
      <c r="Q1345" s="19" t="s">
        <v>8759</v>
      </c>
      <c r="R1345" s="15" t="s">
        <v>8760</v>
      </c>
      <c r="S1345" s="15" t="s">
        <v>4271</v>
      </c>
      <c r="T1345" s="16" t="s">
        <v>89</v>
      </c>
      <c r="U1345" s="11" t="str">
        <f>_xlfn.XLOOKUP(Customer[[#This Row],[Customer ID]],[1]!Address[ID],[1]!Address[Phone No.(2)])</f>
        <v/>
      </c>
      <c r="V1345" s="11" t="str">
        <f>_xlfn.XLOOKUP(Customer[[#This Row],[Customer ID]],[1]!Address[ID],[1]!Address[Type])</f>
        <v>SOCMED</v>
      </c>
      <c r="W1345" s="11" t="str">
        <f>_xlfn.XLOOKUP(Customer[[#This Row],[Customer ID]],[1]!Address[ID],[1]!Address[CT])</f>
        <v/>
      </c>
      <c r="X1345" s="11"/>
      <c r="Y1345" s="17" t="s">
        <v>90</v>
      </c>
      <c r="Z1345" s="17" t="e">
        <f>_xlfn.XLOOKUP(Customer[[#This Row],[NewType]],$AF$36:$AF$54,$AG$36:$AG$54)</f>
        <v>#N/A</v>
      </c>
      <c r="AA1345" s="17" t="s">
        <v>8761</v>
      </c>
      <c r="AB1345" s="11" t="str">
        <f>_xlfn.XLOOKUP(Customer[[#This Row],[Customer ID]],[1]!Address[ID],[1]!Address[Subtype])</f>
        <v>WHATSAPP</v>
      </c>
      <c r="AC1345" s="18" t="str">
        <f>_xlfn.XLOOKUP(Customer[[#This Row],[Customer ID]],[1]!Address[ID],[1]!Address[Zone])</f>
        <v>CENTRAL</v>
      </c>
    </row>
    <row r="1346" spans="1:29" x14ac:dyDescent="0.3">
      <c r="A1346" s="37" t="s">
        <v>8762</v>
      </c>
      <c r="B1346" s="38" t="str">
        <f>_xlfn.XLOOKUP(Customer[[#This Row],[Customer ID]],[1]!Name[ID],[1]!Name[Description(1)])</f>
        <v>KOPERASI SBP INTEGRASI RAWANG BERHAD</v>
      </c>
      <c r="C1346" s="38" t="str">
        <f>_xlfn.XLOOKUP(Customer[[#This Row],[Customer ID]],[1]!Name[ID],[1]!Name[Description(2)])</f>
        <v/>
      </c>
      <c r="D1346" s="38" t="str">
        <f>_xlfn.XLOOKUP(Customer[[#This Row],[Customer ID]],[1]!Address[ID],[1]!Address[PIC])</f>
        <v>SYUKRI</v>
      </c>
      <c r="E1346" s="38" t="str">
        <f>_xlfn.XLOOKUP(Customer[[#This Row],[Customer ID]],[1]!Address[ID],[1]!Address[Full Address])</f>
        <v>BANDAR TASIK PUTERI, 48020RAWANG, SELANGOR</v>
      </c>
      <c r="F1346" s="12" t="s">
        <v>8763</v>
      </c>
      <c r="G1346" s="12" t="s">
        <v>7979</v>
      </c>
      <c r="H1346" s="12" t="s">
        <v>36</v>
      </c>
      <c r="I1346" s="12" t="b">
        <f>ISNUMBER(VALUE(LEFT(Customer[[#This Row],[Address Line 3 (30 char)]],1)))</f>
        <v>0</v>
      </c>
      <c r="J1346" s="12" t="s">
        <v>1907</v>
      </c>
      <c r="K1346" s="12">
        <v>48020</v>
      </c>
      <c r="L1346" s="12" t="s">
        <v>35</v>
      </c>
      <c r="M1346" s="13" t="e">
        <v>#N/A</v>
      </c>
      <c r="N1346" s="14" t="e">
        <v>#N/A</v>
      </c>
      <c r="O1346" s="14" t="e">
        <v>#N/A</v>
      </c>
      <c r="P1346" s="14" t="e">
        <v>#N/A</v>
      </c>
      <c r="Q1346" s="14" t="e">
        <v>#N/A</v>
      </c>
      <c r="R1346" s="15" t="s">
        <v>8764</v>
      </c>
      <c r="S1346" s="15" t="s">
        <v>88</v>
      </c>
      <c r="T1346" s="16" t="s">
        <v>89</v>
      </c>
      <c r="U1346" s="11" t="str">
        <f>_xlfn.XLOOKUP(Customer[[#This Row],[Customer ID]],[1]!Address[ID],[1]!Address[Phone No.(2)])</f>
        <v/>
      </c>
      <c r="V1346" s="11" t="str">
        <f>_xlfn.XLOOKUP(Customer[[#This Row],[Customer ID]],[1]!Address[ID],[1]!Address[Type])</f>
        <v>SOCMED</v>
      </c>
      <c r="W1346" s="11" t="str">
        <f>_xlfn.XLOOKUP(Customer[[#This Row],[Customer ID]],[1]!Address[ID],[1]!Address[CT])</f>
        <v/>
      </c>
      <c r="X1346" s="11"/>
      <c r="Y1346" s="17" t="s">
        <v>90</v>
      </c>
      <c r="Z1346" s="17" t="e">
        <f>_xlfn.XLOOKUP(Customer[[#This Row],[NewType]],$AF$36:$AF$54,$AG$36:$AG$54)</f>
        <v>#N/A</v>
      </c>
      <c r="AA1346" s="17" t="s">
        <v>8765</v>
      </c>
      <c r="AB1346" s="11" t="str">
        <f>_xlfn.XLOOKUP(Customer[[#This Row],[Customer ID]],[1]!Address[ID],[1]!Address[Subtype])</f>
        <v>ONLINE ROS</v>
      </c>
      <c r="AC1346" s="18" t="str">
        <f>_xlfn.XLOOKUP(Customer[[#This Row],[Customer ID]],[1]!Address[ID],[1]!Address[Zone])</f>
        <v>EEEDH</v>
      </c>
    </row>
    <row r="1347" spans="1:29" x14ac:dyDescent="0.3">
      <c r="A1347" s="10" t="s">
        <v>8766</v>
      </c>
      <c r="B1347" s="11" t="str">
        <f>_xlfn.XLOOKUP(Customer[[#This Row],[Customer ID]],[1]!Name[ID],[1]!Name[Description(1)])</f>
        <v>SURAU MAWADDAH</v>
      </c>
      <c r="C1347" s="32" t="str">
        <f>_xlfn.XLOOKUP(Customer[[#This Row],[Customer ID]],[1]!Name[ID],[1]!Name[Description(2)])</f>
        <v>(SUMBANGAN)</v>
      </c>
      <c r="D1347" s="38" t="str">
        <f>_xlfn.XLOOKUP(Customer[[#This Row],[Customer ID]],[1]!Address[ID],[1]!Address[PIC])</f>
        <v/>
      </c>
      <c r="E1347" s="38" t="str">
        <f>_xlfn.XLOOKUP(Customer[[#This Row],[Customer ID]],[1]!Address[ID],[1]!Address[Full Address])</f>
        <v>MUTIARA BANGI</v>
      </c>
      <c r="F1347" s="12" t="s">
        <v>8485</v>
      </c>
      <c r="G1347" s="12" t="s">
        <v>36</v>
      </c>
      <c r="H1347" s="12" t="s">
        <v>36</v>
      </c>
      <c r="I1347" s="12" t="b">
        <f>ISNUMBER(VALUE(LEFT(Customer[[#This Row],[Address Line 3 (30 char)]],1)))</f>
        <v>0</v>
      </c>
      <c r="J1347" s="32" t="s">
        <v>172</v>
      </c>
      <c r="K1347" s="32">
        <v>73400</v>
      </c>
      <c r="L1347" s="12" t="s">
        <v>35</v>
      </c>
      <c r="M1347" s="13" t="e">
        <v>#N/A</v>
      </c>
      <c r="N1347" s="14" t="e">
        <v>#N/A</v>
      </c>
      <c r="O1347" s="14" t="e">
        <v>#N/A</v>
      </c>
      <c r="P1347" s="14" t="e">
        <v>#N/A</v>
      </c>
      <c r="Q1347" s="14" t="e">
        <v>#N/A</v>
      </c>
      <c r="R1347" s="15" t="s">
        <v>36</v>
      </c>
      <c r="S1347" s="15" t="s">
        <v>4271</v>
      </c>
      <c r="T1347" s="16" t="s">
        <v>89</v>
      </c>
      <c r="U1347" s="11" t="str">
        <f>_xlfn.XLOOKUP(Customer[[#This Row],[Customer ID]],[1]!Address[ID],[1]!Address[Phone No.(2)])</f>
        <v/>
      </c>
      <c r="V1347" s="11" t="str">
        <f>_xlfn.XLOOKUP(Customer[[#This Row],[Customer ID]],[1]!Address[ID],[1]!Address[Type])</f>
        <v>SOCMED</v>
      </c>
      <c r="W1347" s="11" t="str">
        <f>_xlfn.XLOOKUP(Customer[[#This Row],[Customer ID]],[1]!Address[ID],[1]!Address[CT])</f>
        <v/>
      </c>
      <c r="X1347" s="11"/>
      <c r="Y1347" s="17" t="s">
        <v>90</v>
      </c>
      <c r="Z1347" s="17" t="e">
        <f>_xlfn.XLOOKUP(Customer[[#This Row],[NewType]],$AF$36:$AF$54,$AG$36:$AG$54)</f>
        <v>#N/A</v>
      </c>
      <c r="AA1347" s="17" t="s">
        <v>8767</v>
      </c>
      <c r="AB1347" s="11" t="str">
        <f>_xlfn.XLOOKUP(Customer[[#This Row],[Customer ID]],[1]!Address[ID],[1]!Address[Subtype])</f>
        <v>WHATSAPP</v>
      </c>
      <c r="AC1347" s="18" t="str">
        <f>_xlfn.XLOOKUP(Customer[[#This Row],[Customer ID]],[1]!Address[ID],[1]!Address[Zone])</f>
        <v>CENTRAL</v>
      </c>
    </row>
    <row r="1348" spans="1:29" x14ac:dyDescent="0.3">
      <c r="A1348" s="56" t="s">
        <v>8768</v>
      </c>
      <c r="B1348" s="50" t="str">
        <f>_xlfn.XLOOKUP(Customer[[#This Row],[Customer ID]],[1]!Name[ID],[1]!Name[Description(1)])</f>
        <v>FARMASI ASSABIL</v>
      </c>
      <c r="C1348" s="38" t="str">
        <f>_xlfn.XLOOKUP(Customer[[#This Row],[Customer ID]],[1]!Name[ID],[1]!Name[Description(2)])</f>
        <v/>
      </c>
      <c r="D1348" s="38" t="str">
        <f>_xlfn.XLOOKUP(Customer[[#This Row],[Customer ID]],[1]!Address[ID],[1]!Address[PIC])</f>
        <v/>
      </c>
      <c r="E1348" s="38" t="str">
        <f>_xlfn.XLOOKUP(Customer[[#This Row],[Customer ID]],[1]!Address[ID],[1]!Address[Full Address])</f>
        <v>NO 6, PLAZA D MARA BESERI02400 BESERI, PERLIS</v>
      </c>
      <c r="F1348" s="12" t="s">
        <v>8769</v>
      </c>
      <c r="G1348" s="12" t="s">
        <v>8770</v>
      </c>
      <c r="H1348" s="12" t="s">
        <v>36</v>
      </c>
      <c r="I1348" s="12" t="b">
        <f>ISNUMBER(VALUE(LEFT(Customer[[#This Row],[Address Line 3 (30 char)]],1)))</f>
        <v>0</v>
      </c>
      <c r="J1348" s="12" t="s">
        <v>984</v>
      </c>
      <c r="K1348" s="30" t="s">
        <v>8771</v>
      </c>
      <c r="L1348" s="12" t="s">
        <v>35</v>
      </c>
      <c r="M1348" s="13" t="e">
        <v>#N/A</v>
      </c>
      <c r="N1348" s="14" t="e">
        <v>#N/A</v>
      </c>
      <c r="O1348" s="14" t="e">
        <v>#N/A</v>
      </c>
      <c r="P1348" s="14" t="e">
        <v>#N/A</v>
      </c>
      <c r="Q1348" s="14" t="e">
        <v>#N/A</v>
      </c>
      <c r="R1348" s="15" t="s">
        <v>8772</v>
      </c>
      <c r="S1348" s="15" t="s">
        <v>3212</v>
      </c>
      <c r="T1348" s="16" t="s">
        <v>89</v>
      </c>
      <c r="U1348" s="11" t="str">
        <f>_xlfn.XLOOKUP(Customer[[#This Row],[Customer ID]],[1]!Address[ID],[1]!Address[Phone No.(2)])</f>
        <v/>
      </c>
      <c r="V1348" s="11" t="str">
        <f>_xlfn.XLOOKUP(Customer[[#This Row],[Customer ID]],[1]!Address[ID],[1]!Address[Type])</f>
        <v>SOCMED</v>
      </c>
      <c r="W1348" s="11" t="str">
        <f>_xlfn.XLOOKUP(Customer[[#This Row],[Customer ID]],[1]!Address[ID],[1]!Address[CT])</f>
        <v/>
      </c>
      <c r="X1348" s="11"/>
      <c r="Y1348" s="17" t="s">
        <v>90</v>
      </c>
      <c r="Z1348" s="17" t="e">
        <f>_xlfn.XLOOKUP(Customer[[#This Row],[NewType]],$AF$36:$AF$54,$AG$36:$AG$54)</f>
        <v>#N/A</v>
      </c>
      <c r="AA1348" s="17" t="s">
        <v>8773</v>
      </c>
      <c r="AB1348" s="11" t="str">
        <f>_xlfn.XLOOKUP(Customer[[#This Row],[Customer ID]],[1]!Address[ID],[1]!Address[Subtype])</f>
        <v>ONLINE HAJAR</v>
      </c>
      <c r="AC1348" s="18" t="str">
        <f>_xlfn.XLOOKUP(Customer[[#This Row],[Customer ID]],[1]!Address[ID],[1]!Address[Zone])</f>
        <v>NORTH</v>
      </c>
    </row>
    <row r="1349" spans="1:29" x14ac:dyDescent="0.3">
      <c r="A1349" s="56" t="s">
        <v>8774</v>
      </c>
      <c r="B1349" s="50" t="str">
        <f>_xlfn.XLOOKUP(Customer[[#This Row],[Customer ID]],[1]!Name[ID],[1]!Name[Description(1)])</f>
        <v>MOFIZ D ENTERPRISE</v>
      </c>
      <c r="C1349" s="38" t="str">
        <f>_xlfn.XLOOKUP(Customer[[#This Row],[Customer ID]],[1]!Name[ID],[1]!Name[Description(2)])</f>
        <v>PS MUKIM KUSIAL</v>
      </c>
      <c r="D1349" s="38" t="str">
        <f>_xlfn.XLOOKUP(Customer[[#This Row],[Customer ID]],[1]!Address[ID],[1]!Address[PIC])</f>
        <v>NABILA (PIC)</v>
      </c>
      <c r="E1349" s="38" t="str">
        <f>_xlfn.XLOOKUP(Customer[[#This Row],[Customer ID]],[1]!Address[ID],[1]!Address[Full Address])</f>
        <v>PS MUKIM KUSIALLOT 2799, GM 2061 JALAN MACHANG17500 TANAH MERAH, KELANTAN</v>
      </c>
      <c r="F1349" s="12" t="s">
        <v>8775</v>
      </c>
      <c r="G1349" s="12" t="s">
        <v>8776</v>
      </c>
      <c r="H1349" s="24" t="s">
        <v>6977</v>
      </c>
      <c r="I1349" s="24" t="b">
        <f>ISNUMBER(VALUE(LEFT(Customer[[#This Row],[Address Line 3 (30 char)]],1)))</f>
        <v>0</v>
      </c>
      <c r="J1349" s="12" t="s">
        <v>1007</v>
      </c>
      <c r="K1349" s="12">
        <v>17500</v>
      </c>
      <c r="L1349" s="12" t="s">
        <v>35</v>
      </c>
      <c r="M1349" s="13">
        <v>200303037778</v>
      </c>
      <c r="N1349" s="31" t="e">
        <v>#N/A</v>
      </c>
      <c r="O1349" s="14" t="s">
        <v>54</v>
      </c>
      <c r="P1349" s="14">
        <v>47300</v>
      </c>
      <c r="Q1349" s="14" t="s">
        <v>8777</v>
      </c>
      <c r="R1349" s="15" t="s">
        <v>8778</v>
      </c>
      <c r="S1349" s="15" t="s">
        <v>3212</v>
      </c>
      <c r="T1349" s="16" t="s">
        <v>89</v>
      </c>
      <c r="U1349" s="11" t="str">
        <f>_xlfn.XLOOKUP(Customer[[#This Row],[Customer ID]],[1]!Address[ID],[1]!Address[Phone No.(2)])</f>
        <v/>
      </c>
      <c r="V1349" s="11" t="str">
        <f>_xlfn.XLOOKUP(Customer[[#This Row],[Customer ID]],[1]!Address[ID],[1]!Address[Type])</f>
        <v>SOCMED</v>
      </c>
      <c r="W1349" s="11" t="str">
        <f>_xlfn.XLOOKUP(Customer[[#This Row],[Customer ID]],[1]!Address[ID],[1]!Address[CT])</f>
        <v/>
      </c>
      <c r="X1349" s="11"/>
      <c r="Y1349" s="17" t="s">
        <v>90</v>
      </c>
      <c r="Z1349" s="17" t="e">
        <f>_xlfn.XLOOKUP(Customer[[#This Row],[NewType]],$AF$36:$AF$54,$AG$36:$AG$54)</f>
        <v>#N/A</v>
      </c>
      <c r="AA1349" s="17" t="s">
        <v>8779</v>
      </c>
      <c r="AB1349" s="11" t="str">
        <f>_xlfn.XLOOKUP(Customer[[#This Row],[Customer ID]],[1]!Address[ID],[1]!Address[Subtype])</f>
        <v>ONLINE HAJAR</v>
      </c>
      <c r="AC1349" s="18" t="str">
        <f>_xlfn.XLOOKUP(Customer[[#This Row],[Customer ID]],[1]!Address[ID],[1]!Address[Zone])</f>
        <v>EAST COAST</v>
      </c>
    </row>
    <row r="1350" spans="1:29" x14ac:dyDescent="0.3">
      <c r="A1350" s="37" t="s">
        <v>8780</v>
      </c>
      <c r="B1350" s="38" t="str">
        <f>_xlfn.XLOOKUP(Customer[[#This Row],[Customer ID]],[1]!Name[ID],[1]!Name[Description(1)])</f>
        <v>SHUKRI NASI AYAM</v>
      </c>
      <c r="C1350" s="38" t="str">
        <f>_xlfn.XLOOKUP(Customer[[#This Row],[Customer ID]],[1]!Name[ID],[1]!Name[Description(2)])</f>
        <v/>
      </c>
      <c r="D1350" s="38" t="str">
        <f>_xlfn.XLOOKUP(Customer[[#This Row],[Customer ID]],[1]!Address[ID],[1]!Address[PIC])</f>
        <v/>
      </c>
      <c r="E1350" s="38" t="str">
        <f>_xlfn.XLOOKUP(Customer[[#This Row],[Customer ID]],[1]!Address[ID],[1]!Address[Full Address])</f>
        <v>NO.14, STADIUM DARUL AMAN</v>
      </c>
      <c r="F1350" s="12" t="s">
        <v>8781</v>
      </c>
      <c r="G1350" s="12" t="s">
        <v>36</v>
      </c>
      <c r="H1350" s="12" t="s">
        <v>36</v>
      </c>
      <c r="I1350" s="12" t="b">
        <f>ISNUMBER(VALUE(LEFT(Customer[[#This Row],[Address Line 3 (30 char)]],1)))</f>
        <v>0</v>
      </c>
      <c r="J1350" s="12" t="s">
        <v>355</v>
      </c>
      <c r="K1350" s="20" t="s">
        <v>7216</v>
      </c>
      <c r="L1350" s="12" t="s">
        <v>35</v>
      </c>
      <c r="M1350" s="13" t="e">
        <v>#N/A</v>
      </c>
      <c r="N1350" s="14" t="e">
        <v>#N/A</v>
      </c>
      <c r="O1350" s="14" t="e">
        <v>#N/A</v>
      </c>
      <c r="P1350" s="14" t="e">
        <v>#N/A</v>
      </c>
      <c r="Q1350" s="14" t="e">
        <v>#N/A</v>
      </c>
      <c r="R1350" s="15" t="s">
        <v>8782</v>
      </c>
      <c r="S1350" s="15" t="s">
        <v>5925</v>
      </c>
      <c r="T1350" s="16" t="s">
        <v>3477</v>
      </c>
      <c r="U1350" s="11" t="str">
        <f>_xlfn.XLOOKUP(Customer[[#This Row],[Customer ID]],[1]!Address[ID],[1]!Address[Phone No.(2)])</f>
        <v/>
      </c>
      <c r="V1350" s="11" t="str">
        <f>_xlfn.XLOOKUP(Customer[[#This Row],[Customer ID]],[1]!Address[ID],[1]!Address[Type])</f>
        <v>CAFE</v>
      </c>
      <c r="W1350" s="11" t="str">
        <f>_xlfn.XLOOKUP(Customer[[#This Row],[Customer ID]],[1]!Address[ID],[1]!Address[CT])</f>
        <v>30 DAYS</v>
      </c>
      <c r="X1350" s="11"/>
      <c r="Y1350" s="17" t="s">
        <v>5926</v>
      </c>
      <c r="Z1350" s="17" t="e">
        <f>_xlfn.XLOOKUP(Customer[[#This Row],[NewType]],$AF$36:$AF$54,$AG$36:$AG$54)</f>
        <v>#N/A</v>
      </c>
      <c r="AA1350" s="17" t="s">
        <v>8783</v>
      </c>
      <c r="AB1350" s="11" t="str">
        <f>_xlfn.XLOOKUP(Customer[[#This Row],[Customer ID]],[1]!Address[ID],[1]!Address[Subtype])</f>
        <v>SHUKRI</v>
      </c>
      <c r="AC1350" s="18" t="str">
        <f>_xlfn.XLOOKUP(Customer[[#This Row],[Customer ID]],[1]!Address[ID],[1]!Address[Zone])</f>
        <v>NORTH</v>
      </c>
    </row>
    <row r="1351" spans="1:29" x14ac:dyDescent="0.3">
      <c r="A1351" s="10" t="s">
        <v>8784</v>
      </c>
      <c r="B1351" s="11" t="str">
        <f>_xlfn.XLOOKUP(Customer[[#This Row],[Customer ID]],[1]!Name[ID],[1]!Name[Description(1)])</f>
        <v>ACUMI KEREPEK</v>
      </c>
      <c r="C1351" s="38" t="str">
        <f>_xlfn.XLOOKUP(Customer[[#This Row],[Customer ID]],[1]!Name[ID],[1]!Name[Description(2)])</f>
        <v/>
      </c>
      <c r="D1351" s="38" t="str">
        <f>_xlfn.XLOOKUP(Customer[[#This Row],[Customer ID]],[1]!Address[ID],[1]!Address[PIC])</f>
        <v>AFHAM</v>
      </c>
      <c r="E1351" s="38" t="str">
        <f>_xlfn.XLOOKUP(Customer[[#This Row],[Customer ID]],[1]!Address[ID],[1]!Address[Full Address])</f>
        <v>NO. 10 JALAN PERAK P15,PRESINT 15, 62050 PUTRAJAYA</v>
      </c>
      <c r="F1351" s="12" t="s">
        <v>8785</v>
      </c>
      <c r="G1351" s="12" t="s">
        <v>8017</v>
      </c>
      <c r="H1351" s="12" t="s">
        <v>36</v>
      </c>
      <c r="I1351" s="12" t="b">
        <f>ISNUMBER(VALUE(LEFT(Customer[[#This Row],[Address Line 3 (30 char)]],1)))</f>
        <v>0</v>
      </c>
      <c r="J1351" s="12" t="s">
        <v>1907</v>
      </c>
      <c r="K1351" s="12">
        <v>62050</v>
      </c>
      <c r="L1351" s="12" t="s">
        <v>35</v>
      </c>
      <c r="M1351" s="13" t="e">
        <v>#N/A</v>
      </c>
      <c r="N1351" s="14" t="e">
        <v>#N/A</v>
      </c>
      <c r="O1351" s="14" t="e">
        <v>#N/A</v>
      </c>
      <c r="P1351" s="14" t="e">
        <v>#N/A</v>
      </c>
      <c r="Q1351" s="14" t="e">
        <v>#N/A</v>
      </c>
      <c r="R1351" s="15" t="s">
        <v>8786</v>
      </c>
      <c r="S1351" s="15" t="s">
        <v>89</v>
      </c>
      <c r="T1351" s="16" t="s">
        <v>89</v>
      </c>
      <c r="U1351" s="11" t="str">
        <f>_xlfn.XLOOKUP(Customer[[#This Row],[Customer ID]],[1]!Address[ID],[1]!Address[Phone No.(2)])</f>
        <v/>
      </c>
      <c r="V1351" s="11" t="str">
        <f>_xlfn.XLOOKUP(Customer[[#This Row],[Customer ID]],[1]!Address[ID],[1]!Address[Type])</f>
        <v>SOCMED</v>
      </c>
      <c r="W1351" s="11" t="str">
        <f>_xlfn.XLOOKUP(Customer[[#This Row],[Customer ID]],[1]!Address[ID],[1]!Address[CT])</f>
        <v/>
      </c>
      <c r="X1351" s="11"/>
      <c r="Y1351" s="17" t="s">
        <v>90</v>
      </c>
      <c r="Z1351" s="17" t="e">
        <f>_xlfn.XLOOKUP(Customer[[#This Row],[NewType]],$AF$36:$AF$54,$AG$36:$AG$54)</f>
        <v>#N/A</v>
      </c>
      <c r="AA1351" s="17" t="s">
        <v>8787</v>
      </c>
      <c r="AB1351" s="11" t="str">
        <f>_xlfn.XLOOKUP(Customer[[#This Row],[Customer ID]],[1]!Address[ID],[1]!Address[Subtype])</f>
        <v>WHATSAPP</v>
      </c>
      <c r="AC1351" s="18" t="str">
        <f>_xlfn.XLOOKUP(Customer[[#This Row],[Customer ID]],[1]!Address[ID],[1]!Address[Zone])</f>
        <v>CENTRAL</v>
      </c>
    </row>
    <row r="1352" spans="1:29" x14ac:dyDescent="0.3">
      <c r="A1352" s="37" t="s">
        <v>8788</v>
      </c>
      <c r="B1352" s="38" t="str">
        <f>_xlfn.XLOOKUP(Customer[[#This Row],[Customer ID]],[1]!Name[ID],[1]!Name[Description(1)])</f>
        <v>MASJID DATO' SHEIKH ADNAN PENAGA</v>
      </c>
      <c r="C1352" s="38" t="str">
        <f>_xlfn.XLOOKUP(Customer[[#This Row],[Customer ID]],[1]!Name[ID],[1]!Name[Description(2)])</f>
        <v>KOMSA BERHAD</v>
      </c>
      <c r="D1352" s="38" t="str">
        <f>_xlfn.XLOOKUP(Customer[[#This Row],[Customer ID]],[1]!Address[ID],[1]!Address[PIC])</f>
        <v/>
      </c>
      <c r="E1352" s="38" t="str">
        <f>_xlfn.XLOOKUP(Customer[[#This Row],[Customer ID]],[1]!Address[ID],[1]!Address[Full Address])</f>
        <v>KOPERASI KARIAHMASJID DATO' SHEIKH ADNAN PENAGAJALAN BESAR PENAGA,13100 PULAU PINANG</v>
      </c>
      <c r="F1352" s="12" t="s">
        <v>8789</v>
      </c>
      <c r="G1352" s="12" t="s">
        <v>8790</v>
      </c>
      <c r="H1352" s="12" t="s">
        <v>8791</v>
      </c>
      <c r="I1352" s="12" t="b">
        <f>ISNUMBER(VALUE(LEFT(Customer[[#This Row],[Address Line 3 (30 char)]],1)))</f>
        <v>0</v>
      </c>
      <c r="J1352" s="12" t="s">
        <v>179</v>
      </c>
      <c r="K1352" s="12">
        <v>13100</v>
      </c>
      <c r="L1352" s="12" t="s">
        <v>35</v>
      </c>
      <c r="M1352" s="13" t="e">
        <v>#N/A</v>
      </c>
      <c r="N1352" s="14" t="e">
        <v>#N/A</v>
      </c>
      <c r="O1352" s="14" t="e">
        <v>#N/A</v>
      </c>
      <c r="P1352" s="14" t="e">
        <v>#N/A</v>
      </c>
      <c r="Q1352" s="14" t="e">
        <v>#N/A</v>
      </c>
      <c r="R1352" s="15" t="s">
        <v>8792</v>
      </c>
      <c r="S1352" s="15" t="s">
        <v>88</v>
      </c>
      <c r="T1352" s="16" t="s">
        <v>89</v>
      </c>
      <c r="U1352" s="11" t="str">
        <f>_xlfn.XLOOKUP(Customer[[#This Row],[Customer ID]],[1]!Address[ID],[1]!Address[Phone No.(2)])</f>
        <v/>
      </c>
      <c r="V1352" s="11" t="str">
        <f>_xlfn.XLOOKUP(Customer[[#This Row],[Customer ID]],[1]!Address[ID],[1]!Address[Type])</f>
        <v>SOCMED</v>
      </c>
      <c r="W1352" s="11" t="str">
        <f>_xlfn.XLOOKUP(Customer[[#This Row],[Customer ID]],[1]!Address[ID],[1]!Address[CT])</f>
        <v/>
      </c>
      <c r="X1352" s="11"/>
      <c r="Y1352" s="17" t="s">
        <v>90</v>
      </c>
      <c r="Z1352" s="17" t="e">
        <f>_xlfn.XLOOKUP(Customer[[#This Row],[NewType]],$AF$36:$AF$54,$AG$36:$AG$54)</f>
        <v>#N/A</v>
      </c>
      <c r="AA1352" s="17" t="s">
        <v>8793</v>
      </c>
      <c r="AB1352" s="11" t="str">
        <f>_xlfn.XLOOKUP(Customer[[#This Row],[Customer ID]],[1]!Address[ID],[1]!Address[Subtype])</f>
        <v>ONLINE ROS</v>
      </c>
      <c r="AC1352" s="18" t="str">
        <f>_xlfn.XLOOKUP(Customer[[#This Row],[Customer ID]],[1]!Address[ID],[1]!Address[Zone])</f>
        <v>NORTH</v>
      </c>
    </row>
    <row r="1353" spans="1:29" x14ac:dyDescent="0.3">
      <c r="A1353" s="37" t="s">
        <v>8794</v>
      </c>
      <c r="B1353" s="38" t="str">
        <f>_xlfn.XLOOKUP(Customer[[#This Row],[Customer ID]],[1]!Name[ID],[1]!Name[Description(1)])</f>
        <v>KEKANDA CAFE</v>
      </c>
      <c r="C1353" s="38" t="str">
        <f>_xlfn.XLOOKUP(Customer[[#This Row],[Customer ID]],[1]!Name[ID],[1]!Name[Description(2)])</f>
        <v/>
      </c>
      <c r="D1353" s="38" t="str">
        <f>_xlfn.XLOOKUP(Customer[[#This Row],[Customer ID]],[1]!Address[ID],[1]!Address[PIC])</f>
        <v/>
      </c>
      <c r="E1353" s="38" t="str">
        <f>_xlfn.XLOOKUP(Customer[[#This Row],[Customer ID]],[1]!Address[ID],[1]!Address[Full Address])</f>
        <v>NO.37 B, BANDAR BARU DARUL AMAN,06000 JITRA, KEDAH</v>
      </c>
      <c r="F1353" s="12" t="s">
        <v>8795</v>
      </c>
      <c r="G1353" s="12" t="s">
        <v>8796</v>
      </c>
      <c r="H1353" s="12" t="s">
        <v>8474</v>
      </c>
      <c r="I1353" s="12" t="b">
        <f>ISNUMBER(VALUE(LEFT(Customer[[#This Row],[Address Line 3 (30 char)]],1)))</f>
        <v>0</v>
      </c>
      <c r="J1353" s="12" t="s">
        <v>355</v>
      </c>
      <c r="K1353" s="42" t="s">
        <v>5731</v>
      </c>
      <c r="L1353" s="12" t="s">
        <v>35</v>
      </c>
      <c r="M1353" s="13" t="e">
        <v>#N/A</v>
      </c>
      <c r="N1353" s="14" t="e">
        <v>#N/A</v>
      </c>
      <c r="O1353" s="14" t="e">
        <v>#N/A</v>
      </c>
      <c r="P1353" s="14" t="e">
        <v>#N/A</v>
      </c>
      <c r="Q1353" s="14" t="e">
        <v>#N/A</v>
      </c>
      <c r="R1353" s="15" t="s">
        <v>8797</v>
      </c>
      <c r="S1353" s="15" t="s">
        <v>5925</v>
      </c>
      <c r="T1353" s="16" t="s">
        <v>3477</v>
      </c>
      <c r="U1353" s="11" t="str">
        <f>_xlfn.XLOOKUP(Customer[[#This Row],[Customer ID]],[1]!Address[ID],[1]!Address[Phone No.(2)])</f>
        <v/>
      </c>
      <c r="V1353" s="11" t="str">
        <f>_xlfn.XLOOKUP(Customer[[#This Row],[Customer ID]],[1]!Address[ID],[1]!Address[Type])</f>
        <v>CAFE</v>
      </c>
      <c r="W1353" s="11" t="str">
        <f>_xlfn.XLOOKUP(Customer[[#This Row],[Customer ID]],[1]!Address[ID],[1]!Address[CT])</f>
        <v>30 DAYS</v>
      </c>
      <c r="X1353" s="11"/>
      <c r="Y1353" s="17" t="s">
        <v>5926</v>
      </c>
      <c r="Z1353" s="17" t="e">
        <f>_xlfn.XLOOKUP(Customer[[#This Row],[NewType]],$AF$36:$AF$54,$AG$36:$AG$54)</f>
        <v>#N/A</v>
      </c>
      <c r="AA1353" s="17" t="s">
        <v>8798</v>
      </c>
      <c r="AB1353" s="11" t="str">
        <f>_xlfn.XLOOKUP(Customer[[#This Row],[Customer ID]],[1]!Address[ID],[1]!Address[Subtype])</f>
        <v>KEKANDA CAFE</v>
      </c>
      <c r="AC1353" s="18" t="str">
        <f>_xlfn.XLOOKUP(Customer[[#This Row],[Customer ID]],[1]!Address[ID],[1]!Address[Zone])</f>
        <v>NORTH</v>
      </c>
    </row>
    <row r="1354" spans="1:29" x14ac:dyDescent="0.3">
      <c r="A1354" s="37" t="s">
        <v>8799</v>
      </c>
      <c r="B1354" s="38" t="str">
        <f>_xlfn.XLOOKUP(Customer[[#This Row],[Customer ID]],[1]!Name[ID],[1]!Name[Description(1)])</f>
        <v>RICHIAMO MART, SEREMBAN</v>
      </c>
      <c r="C1354" s="38" t="str">
        <f>_xlfn.XLOOKUP(Customer[[#This Row],[Customer ID]],[1]!Name[ID],[1]!Name[Description(2)])</f>
        <v/>
      </c>
      <c r="D1354" s="38" t="str">
        <f>_xlfn.XLOOKUP(Customer[[#This Row],[Customer ID]],[1]!Address[ID],[1]!Address[PIC])</f>
        <v>EN.AFIFI</v>
      </c>
      <c r="E1354" s="38" t="str">
        <f>_xlfn.XLOOKUP(Customer[[#This Row],[Customer ID]],[1]!Address[ID],[1]!Address[Full Address])</f>
        <v>10-G, JALAN OASIS 1,PUSAT PERNIAGAAN OASIS,70200 NEGERI SEMBILAN</v>
      </c>
      <c r="F1354" s="12" t="s">
        <v>8800</v>
      </c>
      <c r="G1354" s="12" t="s">
        <v>8801</v>
      </c>
      <c r="H1354" s="24"/>
      <c r="I1354" s="24" t="b">
        <f>ISNUMBER(VALUE(LEFT(Customer[[#This Row],[Address Line 3 (30 char)]],1)))</f>
        <v>0</v>
      </c>
      <c r="J1354" s="12" t="s">
        <v>203</v>
      </c>
      <c r="K1354" s="12">
        <v>70200</v>
      </c>
      <c r="L1354" s="12" t="s">
        <v>35</v>
      </c>
      <c r="M1354" s="13" t="e">
        <v>#N/A</v>
      </c>
      <c r="N1354" s="14" t="e">
        <v>#N/A</v>
      </c>
      <c r="O1354" s="14" t="e">
        <v>#N/A</v>
      </c>
      <c r="P1354" s="14" t="e">
        <v>#N/A</v>
      </c>
      <c r="Q1354" s="14" t="e">
        <v>#N/A</v>
      </c>
      <c r="R1354" s="15" t="s">
        <v>8802</v>
      </c>
      <c r="S1354" s="15" t="s">
        <v>5925</v>
      </c>
      <c r="T1354" s="16" t="s">
        <v>3477</v>
      </c>
      <c r="U1354" s="11" t="str">
        <f>_xlfn.XLOOKUP(Customer[[#This Row],[Customer ID]],[1]!Address[ID],[1]!Address[Phone No.(2)])</f>
        <v/>
      </c>
      <c r="V1354" s="11" t="str">
        <f>_xlfn.XLOOKUP(Customer[[#This Row],[Customer ID]],[1]!Address[ID],[1]!Address[Type])</f>
        <v>CAFE</v>
      </c>
      <c r="W1354" s="11" t="str">
        <f>_xlfn.XLOOKUP(Customer[[#This Row],[Customer ID]],[1]!Address[ID],[1]!Address[CT])</f>
        <v>CASH</v>
      </c>
      <c r="X1354" s="11"/>
      <c r="Y1354" s="17" t="s">
        <v>5926</v>
      </c>
      <c r="Z1354" s="17" t="e">
        <f>_xlfn.XLOOKUP(Customer[[#This Row],[NewType]],$AF$36:$AF$54,$AG$36:$AG$54)</f>
        <v>#N/A</v>
      </c>
      <c r="AA1354" s="17" t="s">
        <v>8803</v>
      </c>
      <c r="AB1354" s="11" t="str">
        <f>_xlfn.XLOOKUP(Customer[[#This Row],[Customer ID]],[1]!Address[ID],[1]!Address[Subtype])</f>
        <v>RICHIAMO</v>
      </c>
      <c r="AC1354" s="18" t="str">
        <f>_xlfn.XLOOKUP(Customer[[#This Row],[Customer ID]],[1]!Address[ID],[1]!Address[Zone])</f>
        <v>CENTRAL</v>
      </c>
    </row>
    <row r="1355" spans="1:29" x14ac:dyDescent="0.3">
      <c r="A1355" s="37" t="s">
        <v>8804</v>
      </c>
      <c r="B1355" s="38" t="str">
        <f>_xlfn.XLOOKUP(Customer[[#This Row],[Customer ID]],[1]!Name[ID],[1]!Name[Description(1)])</f>
        <v>BARITA ENTERPRISE</v>
      </c>
      <c r="C1355" s="38" t="str">
        <f>_xlfn.XLOOKUP(Customer[[#This Row],[Customer ID]],[1]!Name[ID],[1]!Name[Description(2)])</f>
        <v/>
      </c>
      <c r="D1355" s="38" t="str">
        <f>_xlfn.XLOOKUP(Customer[[#This Row],[Customer ID]],[1]!Address[ID],[1]!Address[PIC])</f>
        <v>EN. GHANI</v>
      </c>
      <c r="E1355" s="38" t="str">
        <f>_xlfn.XLOOKUP(Customer[[#This Row],[Customer ID]],[1]!Address[ID],[1]!Address[Full Address])</f>
        <v>PINTU-C, CASA-1,MAJLIS SUKAN NEGARA, BUKIT JALIL,57000, KUALA LUMPUR</v>
      </c>
      <c r="F1355" s="12" t="s">
        <v>8805</v>
      </c>
      <c r="G1355" s="12" t="s">
        <v>8806</v>
      </c>
      <c r="H1355" s="41" t="s">
        <v>8807</v>
      </c>
      <c r="I1355" s="41" t="b">
        <f>ISNUMBER(VALUE(LEFT(Customer[[#This Row],[Address Line 3 (30 char)]],1)))</f>
        <v>0</v>
      </c>
      <c r="J1355" s="12" t="s">
        <v>34</v>
      </c>
      <c r="K1355" s="12">
        <v>57000</v>
      </c>
      <c r="L1355" s="12" t="s">
        <v>35</v>
      </c>
      <c r="M1355" s="13" t="e">
        <v>#N/A</v>
      </c>
      <c r="N1355" s="14" t="e">
        <v>#N/A</v>
      </c>
      <c r="O1355" s="14" t="e">
        <v>#N/A</v>
      </c>
      <c r="P1355" s="14" t="e">
        <v>#N/A</v>
      </c>
      <c r="Q1355" s="14" t="e">
        <v>#N/A</v>
      </c>
      <c r="R1355" s="15" t="s">
        <v>8808</v>
      </c>
      <c r="S1355" s="15" t="s">
        <v>5917</v>
      </c>
      <c r="T1355" s="16" t="s">
        <v>3477</v>
      </c>
      <c r="U1355" s="11" t="str">
        <f>_xlfn.XLOOKUP(Customer[[#This Row],[Customer ID]],[1]!Address[ID],[1]!Address[Phone No.(2)])</f>
        <v/>
      </c>
      <c r="V1355" s="11" t="str">
        <f>_xlfn.XLOOKUP(Customer[[#This Row],[Customer ID]],[1]!Address[ID],[1]!Address[Type])</f>
        <v>CM</v>
      </c>
      <c r="W1355" s="11" t="str">
        <f>_xlfn.XLOOKUP(Customer[[#This Row],[Customer ID]],[1]!Address[ID],[1]!Address[CT])</f>
        <v>30 DAYS</v>
      </c>
      <c r="X1355" s="11"/>
      <c r="Y1355" s="17" t="s">
        <v>5918</v>
      </c>
      <c r="Z1355" s="17" t="e">
        <f>_xlfn.XLOOKUP(Customer[[#This Row],[NewType]],$AF$36:$AF$54,$AG$36:$AG$54)</f>
        <v>#N/A</v>
      </c>
      <c r="AA1355" s="17" t="s">
        <v>8809</v>
      </c>
      <c r="AB1355" s="11" t="str">
        <f>_xlfn.XLOOKUP(Customer[[#This Row],[Customer ID]],[1]!Address[ID],[1]!Address[Subtype])</f>
        <v>BARITA ENT</v>
      </c>
      <c r="AC1355" s="18" t="str">
        <f>_xlfn.XLOOKUP(Customer[[#This Row],[Customer ID]],[1]!Address[ID],[1]!Address[Zone])</f>
        <v>CENTRAL</v>
      </c>
    </row>
    <row r="1356" spans="1:29" x14ac:dyDescent="0.3">
      <c r="A1356" s="37" t="s">
        <v>8810</v>
      </c>
      <c r="B1356" s="38" t="str">
        <f>_xlfn.XLOOKUP(Customer[[#This Row],[Customer ID]],[1]!Name[ID],[1]!Name[Description(1)])</f>
        <v>PERSADA WARISAN KIMAN SDN BHD</v>
      </c>
      <c r="C1356" s="38" t="str">
        <f>_xlfn.XLOOKUP(Customer[[#This Row],[Customer ID]],[1]!Name[ID],[1]!Name[Description(2)])</f>
        <v>PETRON BOTA WESTBOUND</v>
      </c>
      <c r="D1356" s="38" t="str">
        <f>_xlfn.XLOOKUP(Customer[[#This Row],[Customer ID]],[1]!Address[ID],[1]!Address[PIC])</f>
        <v/>
      </c>
      <c r="E1356" s="38" t="str">
        <f>_xlfn.XLOOKUP(Customer[[#This Row],[Customer ID]],[1]!Address[ID],[1]!Address[Full Address])</f>
        <v>PETRON BOTA WESTBOUNDSTESYEN MINYAK PETRONPT 50803, KAMPUNG CHANGKAT CERMIN32400 AYER TAWAR, PERAK DARUL RIDZUAN</v>
      </c>
      <c r="F1356" s="12" t="s">
        <v>8811</v>
      </c>
      <c r="G1356" s="12" t="s">
        <v>8812</v>
      </c>
      <c r="H1356" s="12" t="s">
        <v>8813</v>
      </c>
      <c r="I1356" s="12" t="b">
        <f>ISNUMBER(VALUE(LEFT(Customer[[#This Row],[Address Line 3 (30 char)]],1)))</f>
        <v>0</v>
      </c>
      <c r="J1356" s="12" t="s">
        <v>387</v>
      </c>
      <c r="K1356" s="12">
        <v>32400</v>
      </c>
      <c r="L1356" s="12" t="s">
        <v>35</v>
      </c>
      <c r="M1356" s="13" t="e">
        <v>#N/A</v>
      </c>
      <c r="N1356" s="14" t="e">
        <v>#N/A</v>
      </c>
      <c r="O1356" s="14" t="e">
        <v>#N/A</v>
      </c>
      <c r="P1356" s="14" t="e">
        <v>#N/A</v>
      </c>
      <c r="Q1356" s="14" t="e">
        <v>#N/A</v>
      </c>
      <c r="R1356" s="15" t="s">
        <v>36</v>
      </c>
      <c r="S1356" s="15" t="s">
        <v>37</v>
      </c>
      <c r="T1356" s="16" t="s">
        <v>38</v>
      </c>
      <c r="U1356" s="11" t="str">
        <f>_xlfn.XLOOKUP(Customer[[#This Row],[Customer ID]],[1]!Address[ID],[1]!Address[Phone No.(2)])</f>
        <v/>
      </c>
      <c r="V1356" s="11" t="str">
        <f>_xlfn.XLOOKUP(Customer[[#This Row],[Customer ID]],[1]!Address[ID],[1]!Address[Type])</f>
        <v>PETROMART</v>
      </c>
      <c r="W1356" s="11" t="str">
        <f>_xlfn.XLOOKUP(Customer[[#This Row],[Customer ID]],[1]!Address[ID],[1]!Address[CT])</f>
        <v>30</v>
      </c>
      <c r="X1356" s="11" t="s">
        <v>39</v>
      </c>
      <c r="Y1356" s="17" t="s">
        <v>40</v>
      </c>
      <c r="Z1356" s="17" t="e">
        <f>_xlfn.XLOOKUP(Customer[[#This Row],[NewType]],$AF$36:$AF$54,$AG$36:$AG$54)</f>
        <v>#N/A</v>
      </c>
      <c r="AA1356" s="17" t="s">
        <v>8814</v>
      </c>
      <c r="AB1356" s="11" t="str">
        <f>_xlfn.XLOOKUP(Customer[[#This Row],[Customer ID]],[1]!Address[ID],[1]!Address[Subtype])</f>
        <v>PETRON</v>
      </c>
      <c r="AC1356" s="18" t="str">
        <f>_xlfn.XLOOKUP(Customer[[#This Row],[Customer ID]],[1]!Address[ID],[1]!Address[Zone])</f>
        <v>NORTH</v>
      </c>
    </row>
    <row r="1357" spans="1:29" x14ac:dyDescent="0.3">
      <c r="A1357" s="37" t="s">
        <v>8815</v>
      </c>
      <c r="B1357" s="38" t="str">
        <f>_xlfn.XLOOKUP(Customer[[#This Row],[Customer ID]],[1]!Name[ID],[1]!Name[Description(1)])</f>
        <v>WESTSTAR CAFE</v>
      </c>
      <c r="C1357" s="38" t="str">
        <f>_xlfn.XLOOKUP(Customer[[#This Row],[Customer ID]],[1]!Name[ID],[1]!Name[Description(2)])</f>
        <v/>
      </c>
      <c r="D1357" s="38" t="str">
        <f>_xlfn.XLOOKUP(Customer[[#This Row],[Customer ID]],[1]!Address[ID],[1]!Address[PIC])</f>
        <v/>
      </c>
      <c r="E1357" s="38" t="str">
        <f>_xlfn.XLOOKUP(Customer[[#This Row],[Customer ID]],[1]!Address[ID],[1]!Address[Full Address])</f>
        <v>WESTSTAR CAFE, BANGUNAN HONDA,MENARA WESTSTAR, JALAN LINGKARANTENGAH 2, 68000 AMPANG</v>
      </c>
      <c r="F1357" s="12" t="s">
        <v>8816</v>
      </c>
      <c r="G1357" s="12" t="s">
        <v>8817</v>
      </c>
      <c r="H1357" s="12" t="s">
        <v>8818</v>
      </c>
      <c r="I1357" s="12" t="b">
        <f>ISNUMBER(VALUE(LEFT(Customer[[#This Row],[Address Line 3 (30 char)]],1)))</f>
        <v>0</v>
      </c>
      <c r="J1357" s="12" t="s">
        <v>1907</v>
      </c>
      <c r="K1357" s="12">
        <v>68000</v>
      </c>
      <c r="L1357" s="12" t="s">
        <v>35</v>
      </c>
      <c r="M1357" s="13" t="e">
        <v>#N/A</v>
      </c>
      <c r="N1357" s="14" t="e">
        <v>#N/A</v>
      </c>
      <c r="O1357" s="14" t="e">
        <v>#N/A</v>
      </c>
      <c r="P1357" s="14" t="e">
        <v>#N/A</v>
      </c>
      <c r="Q1357" s="14" t="e">
        <v>#N/A</v>
      </c>
      <c r="R1357" s="15" t="s">
        <v>8819</v>
      </c>
      <c r="S1357" s="15" t="s">
        <v>88</v>
      </c>
      <c r="T1357" s="16" t="s">
        <v>89</v>
      </c>
      <c r="U1357" s="11" t="str">
        <f>_xlfn.XLOOKUP(Customer[[#This Row],[Customer ID]],[1]!Address[ID],[1]!Address[Phone No.(2)])</f>
        <v/>
      </c>
      <c r="V1357" s="11" t="str">
        <f>_xlfn.XLOOKUP(Customer[[#This Row],[Customer ID]],[1]!Address[ID],[1]!Address[Type])</f>
        <v>SOCMED</v>
      </c>
      <c r="W1357" s="11" t="str">
        <f>_xlfn.XLOOKUP(Customer[[#This Row],[Customer ID]],[1]!Address[ID],[1]!Address[CT])</f>
        <v/>
      </c>
      <c r="X1357" s="11"/>
      <c r="Y1357" s="17" t="s">
        <v>90</v>
      </c>
      <c r="Z1357" s="17" t="e">
        <f>_xlfn.XLOOKUP(Customer[[#This Row],[NewType]],$AF$36:$AF$54,$AG$36:$AG$54)</f>
        <v>#N/A</v>
      </c>
      <c r="AA1357" s="17" t="s">
        <v>8820</v>
      </c>
      <c r="AB1357" s="11" t="str">
        <f>_xlfn.XLOOKUP(Customer[[#This Row],[Customer ID]],[1]!Address[ID],[1]!Address[Subtype])</f>
        <v>ONLINE ROS</v>
      </c>
      <c r="AC1357" s="18" t="str">
        <f>_xlfn.XLOOKUP(Customer[[#This Row],[Customer ID]],[1]!Address[ID],[1]!Address[Zone])</f>
        <v>CENTRAL</v>
      </c>
    </row>
    <row r="1358" spans="1:29" x14ac:dyDescent="0.3">
      <c r="A1358" s="37" t="s">
        <v>8821</v>
      </c>
      <c r="B1358" s="38" t="str">
        <f>_xlfn.XLOOKUP(Customer[[#This Row],[Customer ID]],[1]!Name[ID],[1]!Name[Description(1)])</f>
        <v>KPF NIAGA SDN BHD</v>
      </c>
      <c r="C1358" s="38" t="str">
        <f>_xlfn.XLOOKUP(Customer[[#This Row],[Customer ID]],[1]!Name[ID],[1]!Name[Description(2)])</f>
        <v>BHP PASIR BESAR</v>
      </c>
      <c r="D1358" s="38" t="str">
        <f>_xlfn.XLOOKUP(Customer[[#This Row],[Customer ID]],[1]!Address[ID],[1]!Address[PIC])</f>
        <v/>
      </c>
      <c r="E1358" s="38" t="str">
        <f>_xlfn.XLOOKUP(Customer[[#This Row],[Customer ID]],[1]!Address[ID],[1]!Address[Full Address])</f>
        <v>BHP PASIR BESARFELDA PASIR BESAR,73420 GEMASNEGERI SEMBILAN</v>
      </c>
      <c r="F1358" s="12" t="s">
        <v>8822</v>
      </c>
      <c r="G1358" s="12" t="s">
        <v>8823</v>
      </c>
      <c r="H1358" s="24" t="s">
        <v>7453</v>
      </c>
      <c r="I1358" s="24" t="b">
        <f>ISNUMBER(VALUE(LEFT(Customer[[#This Row],[Address Line 3 (30 char)]],1)))</f>
        <v>0</v>
      </c>
      <c r="J1358" s="12" t="s">
        <v>2004</v>
      </c>
      <c r="K1358" s="12">
        <v>73420</v>
      </c>
      <c r="L1358" s="12" t="s">
        <v>35</v>
      </c>
      <c r="M1358" s="13" t="e">
        <v>#N/A</v>
      </c>
      <c r="N1358" s="14" t="s">
        <v>8824</v>
      </c>
      <c r="O1358" s="14" t="e">
        <v>#N/A</v>
      </c>
      <c r="P1358" s="14" t="e">
        <v>#N/A</v>
      </c>
      <c r="Q1358" s="19" t="s">
        <v>8825</v>
      </c>
      <c r="R1358" s="15" t="s">
        <v>8826</v>
      </c>
      <c r="S1358" s="15" t="s">
        <v>37</v>
      </c>
      <c r="T1358" s="16" t="s">
        <v>38</v>
      </c>
      <c r="U1358" s="11" t="str">
        <f>_xlfn.XLOOKUP(Customer[[#This Row],[Customer ID]],[1]!Address[ID],[1]!Address[Phone No.(2)])</f>
        <v/>
      </c>
      <c r="V1358" s="11" t="str">
        <f>_xlfn.XLOOKUP(Customer[[#This Row],[Customer ID]],[1]!Address[ID],[1]!Address[Type])</f>
        <v>PETROMART</v>
      </c>
      <c r="W1358" s="11" t="str">
        <f>_xlfn.XLOOKUP(Customer[[#This Row],[Customer ID]],[1]!Address[ID],[1]!Address[CT])</f>
        <v>30</v>
      </c>
      <c r="X1358" s="11" t="s">
        <v>39</v>
      </c>
      <c r="Y1358" s="17" t="s">
        <v>40</v>
      </c>
      <c r="Z1358" s="17" t="e">
        <f>_xlfn.XLOOKUP(Customer[[#This Row],[NewType]],$AF$36:$AF$54,$AG$36:$AG$54)</f>
        <v>#N/A</v>
      </c>
      <c r="AA1358" s="17" t="s">
        <v>8827</v>
      </c>
      <c r="AB1358" s="11" t="str">
        <f>_xlfn.XLOOKUP(Customer[[#This Row],[Customer ID]],[1]!Address[ID],[1]!Address[Subtype])</f>
        <v>BHP</v>
      </c>
      <c r="AC1358" s="18" t="str">
        <f>_xlfn.XLOOKUP(Customer[[#This Row],[Customer ID]],[1]!Address[ID],[1]!Address[Zone])</f>
        <v>CENTRAL</v>
      </c>
    </row>
    <row r="1359" spans="1:29" x14ac:dyDescent="0.3">
      <c r="A1359" s="37" t="s">
        <v>8828</v>
      </c>
      <c r="B1359" s="38" t="str">
        <f>_xlfn.XLOOKUP(Customer[[#This Row],[Customer ID]],[1]!Name[ID],[1]!Name[Description(1)])</f>
        <v>TEH TARIK CAFE</v>
      </c>
      <c r="C1359" s="38" t="str">
        <f>_xlfn.XLOOKUP(Customer[[#This Row],[Customer ID]],[1]!Name[ID],[1]!Name[Description(2)])</f>
        <v>NSS GEMILANG RESOURCE</v>
      </c>
      <c r="D1359" s="38" t="str">
        <f>_xlfn.XLOOKUP(Customer[[#This Row],[Customer ID]],[1]!Address[ID],[1]!Address[PIC])</f>
        <v/>
      </c>
      <c r="E1359" s="38" t="str">
        <f>_xlfn.XLOOKUP(Customer[[#This Row],[Customer ID]],[1]!Address[ID],[1]!Address[Full Address])</f>
        <v>GERAI NO.4, R&amp;R SEMANGGOL ARAH UTARA,34400 SIMPANG AMPAT, SEMANGGOL, PERAK</v>
      </c>
      <c r="F1359" s="12" t="s">
        <v>8829</v>
      </c>
      <c r="G1359" s="12" t="s">
        <v>8830</v>
      </c>
      <c r="H1359" s="12" t="s">
        <v>8831</v>
      </c>
      <c r="I1359" s="12" t="b">
        <f>ISNUMBER(VALUE(LEFT(Customer[[#This Row],[Address Line 3 (30 char)]],1)))</f>
        <v>0</v>
      </c>
      <c r="J1359" s="12" t="s">
        <v>242</v>
      </c>
      <c r="K1359" s="12">
        <v>34400</v>
      </c>
      <c r="L1359" s="12" t="s">
        <v>35</v>
      </c>
      <c r="M1359" s="13" t="e">
        <v>#N/A</v>
      </c>
      <c r="N1359" s="14" t="e">
        <v>#N/A</v>
      </c>
      <c r="O1359" s="14" t="e">
        <v>#N/A</v>
      </c>
      <c r="P1359" s="14" t="e">
        <v>#N/A</v>
      </c>
      <c r="Q1359" s="19" t="s">
        <v>8832</v>
      </c>
      <c r="R1359" s="15" t="s">
        <v>8833</v>
      </c>
      <c r="S1359" s="15" t="s">
        <v>5925</v>
      </c>
      <c r="T1359" s="16" t="s">
        <v>3477</v>
      </c>
      <c r="U1359" s="11" t="str">
        <f>_xlfn.XLOOKUP(Customer[[#This Row],[Customer ID]],[1]!Address[ID],[1]!Address[Phone No.(2)])</f>
        <v/>
      </c>
      <c r="V1359" s="11" t="str">
        <f>_xlfn.XLOOKUP(Customer[[#This Row],[Customer ID]],[1]!Address[ID],[1]!Address[Type])</f>
        <v>CAFE</v>
      </c>
      <c r="W1359" s="11" t="str">
        <f>_xlfn.XLOOKUP(Customer[[#This Row],[Customer ID]],[1]!Address[ID],[1]!Address[CT])</f>
        <v>30 DAYS</v>
      </c>
      <c r="X1359" s="11"/>
      <c r="Y1359" s="17" t="s">
        <v>5926</v>
      </c>
      <c r="Z1359" s="17" t="e">
        <f>_xlfn.XLOOKUP(Customer[[#This Row],[NewType]],$AF$36:$AF$54,$AG$36:$AG$54)</f>
        <v>#N/A</v>
      </c>
      <c r="AA1359" s="17" t="s">
        <v>8834</v>
      </c>
      <c r="AB1359" s="11" t="str">
        <f>_xlfn.XLOOKUP(Customer[[#This Row],[Customer ID]],[1]!Address[ID],[1]!Address[Subtype])</f>
        <v>PLUS</v>
      </c>
      <c r="AC1359" s="18" t="str">
        <f>_xlfn.XLOOKUP(Customer[[#This Row],[Customer ID]],[1]!Address[ID],[1]!Address[Zone])</f>
        <v>NORTH</v>
      </c>
    </row>
    <row r="1360" spans="1:29" x14ac:dyDescent="0.3">
      <c r="A1360" s="37" t="s">
        <v>8835</v>
      </c>
      <c r="B1360" s="38" t="str">
        <f>_xlfn.XLOOKUP(Customer[[#This Row],[Customer ID]],[1]!Name[ID],[1]!Name[Description(1)])</f>
        <v>JUICERIA CAFE</v>
      </c>
      <c r="C1360" s="38" t="str">
        <f>_xlfn.XLOOKUP(Customer[[#This Row],[Customer ID]],[1]!Name[ID],[1]!Name[Description(2)])</f>
        <v>PLUS</v>
      </c>
      <c r="D1360" s="38" t="str">
        <f>_xlfn.XLOOKUP(Customer[[#This Row],[Customer ID]],[1]!Address[ID],[1]!Address[PIC])</f>
        <v/>
      </c>
      <c r="E1360" s="38" t="str">
        <f>_xlfn.XLOOKUP(Customer[[#This Row],[Customer ID]],[1]!Address[ID],[1]!Address[Full Address])</f>
        <v>GERAI NO 8,KAWASAN REHAT DAN RAWAT ARAH SELATAN,GUNUNG SEMANGGOL, 34400 SPG AMPAT,SEMANGGOL, PERAK</v>
      </c>
      <c r="F1360" s="12" t="s">
        <v>8836</v>
      </c>
      <c r="G1360" s="12" t="s">
        <v>8837</v>
      </c>
      <c r="H1360" s="12" t="s">
        <v>8838</v>
      </c>
      <c r="I1360" s="12" t="b">
        <f>ISNUMBER(VALUE(LEFT(Customer[[#This Row],[Address Line 3 (30 char)]],1)))</f>
        <v>0</v>
      </c>
      <c r="J1360" s="12" t="s">
        <v>387</v>
      </c>
      <c r="K1360" s="41">
        <v>34400</v>
      </c>
      <c r="L1360" s="12" t="s">
        <v>35</v>
      </c>
      <c r="M1360" s="13" t="e">
        <v>#N/A</v>
      </c>
      <c r="N1360" s="14" t="e">
        <v>#N/A</v>
      </c>
      <c r="O1360" s="14" t="e">
        <v>#N/A</v>
      </c>
      <c r="P1360" s="14" t="e">
        <v>#N/A</v>
      </c>
      <c r="Q1360" s="14" t="e">
        <v>#N/A</v>
      </c>
      <c r="R1360" s="15" t="s">
        <v>8839</v>
      </c>
      <c r="S1360" s="15" t="s">
        <v>5925</v>
      </c>
      <c r="T1360" s="16" t="s">
        <v>3477</v>
      </c>
      <c r="U1360" s="11" t="str">
        <f>_xlfn.XLOOKUP(Customer[[#This Row],[Customer ID]],[1]!Address[ID],[1]!Address[Phone No.(2)])</f>
        <v/>
      </c>
      <c r="V1360" s="11" t="str">
        <f>_xlfn.XLOOKUP(Customer[[#This Row],[Customer ID]],[1]!Address[ID],[1]!Address[Type])</f>
        <v>CAFE</v>
      </c>
      <c r="W1360" s="11" t="str">
        <f>_xlfn.XLOOKUP(Customer[[#This Row],[Customer ID]],[1]!Address[ID],[1]!Address[CT])</f>
        <v>30 DAYS</v>
      </c>
      <c r="X1360" s="11"/>
      <c r="Y1360" s="17" t="s">
        <v>5926</v>
      </c>
      <c r="Z1360" s="17" t="e">
        <f>_xlfn.XLOOKUP(Customer[[#This Row],[NewType]],$AF$36:$AF$54,$AG$36:$AG$54)</f>
        <v>#N/A</v>
      </c>
      <c r="AA1360" s="17" t="s">
        <v>8840</v>
      </c>
      <c r="AB1360" s="11" t="str">
        <f>_xlfn.XLOOKUP(Customer[[#This Row],[Customer ID]],[1]!Address[ID],[1]!Address[Subtype])</f>
        <v>PLUS</v>
      </c>
      <c r="AC1360" s="18" t="str">
        <f>_xlfn.XLOOKUP(Customer[[#This Row],[Customer ID]],[1]!Address[ID],[1]!Address[Zone])</f>
        <v>NORTH</v>
      </c>
    </row>
    <row r="1361" spans="1:29" x14ac:dyDescent="0.3">
      <c r="A1361" s="37" t="s">
        <v>8841</v>
      </c>
      <c r="B1361" s="38" t="str">
        <f>_xlfn.XLOOKUP(Customer[[#This Row],[Customer ID]],[1]!Name[ID],[1]!Name[Description(1)])</f>
        <v>INA'S CAFE</v>
      </c>
      <c r="C1361" s="38" t="str">
        <f>_xlfn.XLOOKUP(Customer[[#This Row],[Customer ID]],[1]!Name[ID],[1]!Name[Description(2)])</f>
        <v>PLUS</v>
      </c>
      <c r="D1361" s="38" t="str">
        <f>_xlfn.XLOOKUP(Customer[[#This Row],[Customer ID]],[1]!Address[ID],[1]!Address[PIC])</f>
        <v/>
      </c>
      <c r="E1361" s="38" t="str">
        <f>_xlfn.XLOOKUP(Customer[[#This Row],[Customer ID]],[1]!Address[ID],[1]!Address[Full Address])</f>
        <v>NO 17HENTIAN SEBELAH BUKIT GANTANGARAH SELATAN,34850 CHANGKAT JERING,TAIPING, PERAK</v>
      </c>
      <c r="F1361" s="12" t="s">
        <v>8842</v>
      </c>
      <c r="G1361" s="12" t="s">
        <v>8843</v>
      </c>
      <c r="H1361" s="12" t="s">
        <v>7168</v>
      </c>
      <c r="I1361" s="12" t="b">
        <f>ISNUMBER(VALUE(LEFT(Customer[[#This Row],[Address Line 3 (30 char)]],1)))</f>
        <v>0</v>
      </c>
      <c r="J1361" s="12" t="s">
        <v>387</v>
      </c>
      <c r="K1361" s="12">
        <v>34850</v>
      </c>
      <c r="L1361" s="12" t="s">
        <v>35</v>
      </c>
      <c r="M1361" s="13" t="e">
        <v>#N/A</v>
      </c>
      <c r="N1361" s="14" t="e">
        <v>#N/A</v>
      </c>
      <c r="O1361" s="14" t="e">
        <v>#N/A</v>
      </c>
      <c r="P1361" s="14" t="e">
        <v>#N/A</v>
      </c>
      <c r="Q1361" s="14" t="e">
        <v>#N/A</v>
      </c>
      <c r="R1361" s="15" t="s">
        <v>8844</v>
      </c>
      <c r="S1361" s="15" t="s">
        <v>5925</v>
      </c>
      <c r="T1361" s="16" t="s">
        <v>3477</v>
      </c>
      <c r="U1361" s="11" t="str">
        <f>_xlfn.XLOOKUP(Customer[[#This Row],[Customer ID]],[1]!Address[ID],[1]!Address[Phone No.(2)])</f>
        <v/>
      </c>
      <c r="V1361" s="11" t="str">
        <f>_xlfn.XLOOKUP(Customer[[#This Row],[Customer ID]],[1]!Address[ID],[1]!Address[Type])</f>
        <v>CAFE</v>
      </c>
      <c r="W1361" s="11" t="str">
        <f>_xlfn.XLOOKUP(Customer[[#This Row],[Customer ID]],[1]!Address[ID],[1]!Address[CT])</f>
        <v>30 DAYS</v>
      </c>
      <c r="X1361" s="11"/>
      <c r="Y1361" s="17" t="s">
        <v>5926</v>
      </c>
      <c r="Z1361" s="17" t="e">
        <f>_xlfn.XLOOKUP(Customer[[#This Row],[NewType]],$AF$36:$AF$54,$AG$36:$AG$54)</f>
        <v>#N/A</v>
      </c>
      <c r="AA1361" s="17" t="s">
        <v>8845</v>
      </c>
      <c r="AB1361" s="11" t="str">
        <f>_xlfn.XLOOKUP(Customer[[#This Row],[Customer ID]],[1]!Address[ID],[1]!Address[Subtype])</f>
        <v>PLUS</v>
      </c>
      <c r="AC1361" s="18" t="str">
        <f>_xlfn.XLOOKUP(Customer[[#This Row],[Customer ID]],[1]!Address[ID],[1]!Address[Zone])</f>
        <v>NORTH</v>
      </c>
    </row>
    <row r="1362" spans="1:29" x14ac:dyDescent="0.3">
      <c r="A1362" s="37" t="s">
        <v>8846</v>
      </c>
      <c r="B1362" s="38" t="str">
        <f>_xlfn.XLOOKUP(Customer[[#This Row],[Customer ID]],[1]!Name[ID],[1]!Name[Description(1)])</f>
        <v>KUEKAS SDN BHD</v>
      </c>
      <c r="C1362" s="38" t="str">
        <f>_xlfn.XLOOKUP(Customer[[#This Row],[Customer ID]],[1]!Name[ID],[1]!Name[Description(2)])</f>
        <v/>
      </c>
      <c r="D1362" s="38" t="str">
        <f>_xlfn.XLOOKUP(Customer[[#This Row],[Customer ID]],[1]!Address[ID],[1]!Address[PIC])</f>
        <v>Pn.EmiRozaida</v>
      </c>
      <c r="E1362" s="38" t="str">
        <f>_xlfn.XLOOKUP(Customer[[#This Row],[Customer ID]],[1]!Address[ID],[1]!Address[Full Address])</f>
        <v>NO 13, JALAN KAJANG IMPIAN 1/2,TAMAN KAJANG IMPIAN 43000 KAJANG,SELANGOR</v>
      </c>
      <c r="F1362" s="12" t="s">
        <v>8847</v>
      </c>
      <c r="G1362" s="12" t="s">
        <v>8848</v>
      </c>
      <c r="H1362" s="12" t="s">
        <v>8849</v>
      </c>
      <c r="I1362" s="12" t="b">
        <f>ISNUMBER(VALUE(LEFT(Customer[[#This Row],[Address Line 3 (30 char)]],1)))</f>
        <v>0</v>
      </c>
      <c r="J1362" s="12" t="s">
        <v>172</v>
      </c>
      <c r="K1362" s="12">
        <v>43000</v>
      </c>
      <c r="L1362" s="12" t="s">
        <v>35</v>
      </c>
      <c r="M1362" s="13" t="e">
        <v>#N/A</v>
      </c>
      <c r="N1362" s="14" t="e">
        <v>#N/A</v>
      </c>
      <c r="O1362" s="14" t="e">
        <v>#N/A</v>
      </c>
      <c r="P1362" s="14" t="e">
        <v>#N/A</v>
      </c>
      <c r="Q1362" s="14" t="e">
        <v>#N/A</v>
      </c>
      <c r="R1362" s="15" t="s">
        <v>8850</v>
      </c>
      <c r="S1362" s="15" t="s">
        <v>5925</v>
      </c>
      <c r="T1362" s="16" t="s">
        <v>3477</v>
      </c>
      <c r="U1362" s="11" t="str">
        <f>_xlfn.XLOOKUP(Customer[[#This Row],[Customer ID]],[1]!Address[ID],[1]!Address[Phone No.(2)])</f>
        <v/>
      </c>
      <c r="V1362" s="11" t="str">
        <f>_xlfn.XLOOKUP(Customer[[#This Row],[Customer ID]],[1]!Address[ID],[1]!Address[Type])</f>
        <v>CAFE</v>
      </c>
      <c r="W1362" s="11" t="str">
        <f>_xlfn.XLOOKUP(Customer[[#This Row],[Customer ID]],[1]!Address[ID],[1]!Address[CT])</f>
        <v>30 DAYS</v>
      </c>
      <c r="X1362" s="11"/>
      <c r="Y1362" s="17" t="s">
        <v>5926</v>
      </c>
      <c r="Z1362" s="17" t="e">
        <f>_xlfn.XLOOKUP(Customer[[#This Row],[NewType]],$AF$36:$AF$54,$AG$36:$AG$54)</f>
        <v>#N/A</v>
      </c>
      <c r="AA1362" s="17" t="s">
        <v>8851</v>
      </c>
      <c r="AB1362" s="11" t="str">
        <f>_xlfn.XLOOKUP(Customer[[#This Row],[Customer ID]],[1]!Address[ID],[1]!Address[Subtype])</f>
        <v>KUEKAS</v>
      </c>
      <c r="AC1362" s="18">
        <f>_xlfn.XLOOKUP(Customer[[#This Row],[Customer ID]],[1]!Address[ID],[1]!Address[Zone])</f>
        <v>0</v>
      </c>
    </row>
    <row r="1363" spans="1:29" x14ac:dyDescent="0.3">
      <c r="A1363" s="37" t="s">
        <v>8852</v>
      </c>
      <c r="B1363" s="38" t="str">
        <f>_xlfn.XLOOKUP(Customer[[#This Row],[Customer ID]],[1]!Name[ID],[1]!Name[Description(1)])</f>
        <v>PROJEK LINTASAN KOTA HOLDINGS</v>
      </c>
      <c r="C1363" s="38" t="str">
        <f>_xlfn.XLOOKUP(Customer[[#This Row],[Customer ID]],[1]!Name[ID],[1]!Name[Description(2)])</f>
        <v>SDN BHD(PLKH)(331374-X)-PROLINTAS</v>
      </c>
      <c r="D1363" s="38" t="str">
        <f>_xlfn.XLOOKUP(Customer[[#This Row],[Customer ID]],[1]!Address[ID],[1]!Address[PIC])</f>
        <v/>
      </c>
      <c r="E1363" s="38" t="str">
        <f>_xlfn.XLOOKUP(Customer[[#This Row],[Customer ID]],[1]!Address[ID],[1]!Address[Full Address])</f>
        <v>TINGKAT 11, MENARA PNB,201-A, JALAN TUN RAZAK,50400 KUALA LUMPUR</v>
      </c>
      <c r="F1363" s="96" t="s">
        <v>8853</v>
      </c>
      <c r="G1363" s="96" t="s">
        <v>8854</v>
      </c>
      <c r="H1363" s="24"/>
      <c r="I1363" s="24" t="b">
        <f>ISNUMBER(VALUE(LEFT(Customer[[#This Row],[Address Line 3 (30 char)]],1)))</f>
        <v>0</v>
      </c>
      <c r="J1363" s="12" t="s">
        <v>8855</v>
      </c>
      <c r="K1363" s="12">
        <v>50400</v>
      </c>
      <c r="L1363" s="12" t="s">
        <v>35</v>
      </c>
      <c r="M1363" s="13" t="e">
        <v>#N/A</v>
      </c>
      <c r="N1363" s="14" t="e">
        <v>#N/A</v>
      </c>
      <c r="O1363" s="14" t="e">
        <v>#N/A</v>
      </c>
      <c r="P1363" s="14" t="e">
        <v>#N/A</v>
      </c>
      <c r="Q1363" s="14" t="e">
        <v>#N/A</v>
      </c>
      <c r="R1363" s="15" t="s">
        <v>8856</v>
      </c>
      <c r="S1363" s="15" t="s">
        <v>5934</v>
      </c>
      <c r="T1363" s="16" t="s">
        <v>3477</v>
      </c>
      <c r="U1363" s="11" t="str">
        <f>_xlfn.XLOOKUP(Customer[[#This Row],[Customer ID]],[1]!Address[ID],[1]!Address[Phone No.(2)])</f>
        <v/>
      </c>
      <c r="V1363" s="11" t="str">
        <f>_xlfn.XLOOKUP(Customer[[#This Row],[Customer ID]],[1]!Address[ID],[1]!Address[Type])</f>
        <v>CORPORATE</v>
      </c>
      <c r="W1363" s="11" t="str">
        <f>_xlfn.XLOOKUP(Customer[[#This Row],[Customer ID]],[1]!Address[ID],[1]!Address[CT])</f>
        <v>30 DAYS</v>
      </c>
      <c r="X1363" s="11"/>
      <c r="Y1363" s="17" t="s">
        <v>6418</v>
      </c>
      <c r="Z1363" s="17" t="e">
        <f>_xlfn.XLOOKUP(Customer[[#This Row],[NewType]],$AF$36:$AF$54,$AG$36:$AG$54)</f>
        <v>#N/A</v>
      </c>
      <c r="AA1363" s="17" t="s">
        <v>8857</v>
      </c>
      <c r="AB1363" s="11" t="str">
        <f>_xlfn.XLOOKUP(Customer[[#This Row],[Customer ID]],[1]!Address[ID],[1]!Address[Subtype])</f>
        <v>PROLINTAS</v>
      </c>
      <c r="AC1363" s="18" t="str">
        <f>_xlfn.XLOOKUP(Customer[[#This Row],[Customer ID]],[1]!Address[ID],[1]!Address[Zone])</f>
        <v>CENTRAL</v>
      </c>
    </row>
    <row r="1364" spans="1:29" x14ac:dyDescent="0.3">
      <c r="A1364" s="37" t="s">
        <v>8858</v>
      </c>
      <c r="B1364" s="38" t="str">
        <f>_xlfn.XLOOKUP(Customer[[#This Row],[Customer ID]],[1]!Name[ID],[1]!Name[Description(1)])</f>
        <v>RHM CENTER ENTERPRISE</v>
      </c>
      <c r="C1364" s="38" t="str">
        <f>_xlfn.XLOOKUP(Customer[[#This Row],[Customer ID]],[1]!Name[ID],[1]!Name[Description(2)])</f>
        <v>PETRON KG TUNKU</v>
      </c>
      <c r="D1364" s="38" t="str">
        <f>_xlfn.XLOOKUP(Customer[[#This Row],[Customer ID]],[1]!Address[ID],[1]!Address[PIC])</f>
        <v/>
      </c>
      <c r="E1364" s="38" t="str">
        <f>_xlfn.XLOOKUP(Customer[[#This Row],[Customer ID]],[1]!Address[ID],[1]!Address[Full Address])</f>
        <v>PETRON KG TUNKUNO 52 JLN SS 1/2247300 PETALING JAYA SELANGOR</v>
      </c>
      <c r="F1364" s="12" t="s">
        <v>8859</v>
      </c>
      <c r="G1364" s="12" t="s">
        <v>8860</v>
      </c>
      <c r="H1364" s="24" t="s">
        <v>5169</v>
      </c>
      <c r="I1364" s="24" t="b">
        <f>ISNUMBER(VALUE(LEFT(Customer[[#This Row],[Address Line 3 (30 char)]],1)))</f>
        <v>0</v>
      </c>
      <c r="J1364" s="12" t="s">
        <v>1907</v>
      </c>
      <c r="K1364" s="12">
        <v>47300</v>
      </c>
      <c r="L1364" s="12" t="s">
        <v>35</v>
      </c>
      <c r="M1364" s="13" t="e">
        <v>#N/A</v>
      </c>
      <c r="N1364" s="14" t="e">
        <v>#N/A</v>
      </c>
      <c r="O1364" s="14" t="e">
        <v>#N/A</v>
      </c>
      <c r="P1364" s="14" t="e">
        <v>#N/A</v>
      </c>
      <c r="Q1364" s="14" t="e">
        <v>#N/A</v>
      </c>
      <c r="R1364" s="15" t="s">
        <v>36</v>
      </c>
      <c r="S1364" s="15" t="s">
        <v>37</v>
      </c>
      <c r="T1364" s="16" t="s">
        <v>38</v>
      </c>
      <c r="U1364" s="11" t="str">
        <f>_xlfn.XLOOKUP(Customer[[#This Row],[Customer ID]],[1]!Address[ID],[1]!Address[Phone No.(2)])</f>
        <v/>
      </c>
      <c r="V1364" s="11" t="str">
        <f>_xlfn.XLOOKUP(Customer[[#This Row],[Customer ID]],[1]!Address[ID],[1]!Address[Type])</f>
        <v>PETROMART</v>
      </c>
      <c r="W1364" s="11" t="str">
        <f>_xlfn.XLOOKUP(Customer[[#This Row],[Customer ID]],[1]!Address[ID],[1]!Address[CT])</f>
        <v>30 DAYS</v>
      </c>
      <c r="X1364" s="11" t="s">
        <v>39</v>
      </c>
      <c r="Y1364" s="17" t="s">
        <v>40</v>
      </c>
      <c r="Z1364" s="17" t="e">
        <f>_xlfn.XLOOKUP(Customer[[#This Row],[NewType]],$AF$36:$AF$54,$AG$36:$AG$54)</f>
        <v>#N/A</v>
      </c>
      <c r="AA1364" s="17" t="s">
        <v>8861</v>
      </c>
      <c r="AB1364" s="11" t="str">
        <f>_xlfn.XLOOKUP(Customer[[#This Row],[Customer ID]],[1]!Address[ID],[1]!Address[Subtype])</f>
        <v>PETRON</v>
      </c>
      <c r="AC1364" s="18" t="str">
        <f>_xlfn.XLOOKUP(Customer[[#This Row],[Customer ID]],[1]!Address[ID],[1]!Address[Zone])</f>
        <v>CENTRAL</v>
      </c>
    </row>
    <row r="1365" spans="1:29" x14ac:dyDescent="0.3">
      <c r="A1365" s="37" t="s">
        <v>8862</v>
      </c>
      <c r="B1365" s="38" t="str">
        <f>_xlfn.XLOOKUP(Customer[[#This Row],[Customer ID]],[1]!Name[ID],[1]!Name[Description(1)])</f>
        <v>WARISAN PHARMA SDN BHD</v>
      </c>
      <c r="C1365" s="38" t="str">
        <f>_xlfn.XLOOKUP(Customer[[#This Row],[Customer ID]],[1]!Name[ID],[1]!Name[Description(2)])</f>
        <v/>
      </c>
      <c r="D1365" s="38" t="str">
        <f>_xlfn.XLOOKUP(Customer[[#This Row],[Customer ID]],[1]!Address[ID],[1]!Address[PIC])</f>
        <v/>
      </c>
      <c r="E1365" s="38" t="str">
        <f>_xlfn.XLOOKUP(Customer[[#This Row],[Customer ID]],[1]!Address[ID],[1]!Address[Full Address])</f>
        <v>NO. 28, JALAN SRI QASEH PERMAI,DESA SRI QASEH, 43900 SEPANG, SELANGOR</v>
      </c>
      <c r="F1365" s="12" t="s">
        <v>8863</v>
      </c>
      <c r="G1365" s="12" t="s">
        <v>8864</v>
      </c>
      <c r="H1365" s="12" t="s">
        <v>8865</v>
      </c>
      <c r="I1365" s="12" t="b">
        <f>ISNUMBER(VALUE(LEFT(Customer[[#This Row],[Address Line 3 (30 char)]],1)))</f>
        <v>0</v>
      </c>
      <c r="J1365" s="12" t="s">
        <v>172</v>
      </c>
      <c r="K1365" s="12">
        <v>43900</v>
      </c>
      <c r="L1365" s="12" t="s">
        <v>35</v>
      </c>
      <c r="M1365" s="13" t="e">
        <v>#N/A</v>
      </c>
      <c r="N1365" s="14" t="e">
        <v>#N/A</v>
      </c>
      <c r="O1365" s="14" t="e">
        <v>#N/A</v>
      </c>
      <c r="P1365" s="14" t="e">
        <v>#N/A</v>
      </c>
      <c r="Q1365" s="19" t="s">
        <v>8866</v>
      </c>
      <c r="R1365" s="15" t="s">
        <v>8867</v>
      </c>
      <c r="S1365" s="15" t="s">
        <v>88</v>
      </c>
      <c r="T1365" s="16" t="s">
        <v>89</v>
      </c>
      <c r="U1365" s="11" t="str">
        <f>_xlfn.XLOOKUP(Customer[[#This Row],[Customer ID]],[1]!Address[ID],[1]!Address[Phone No.(2)])</f>
        <v/>
      </c>
      <c r="V1365" s="11" t="str">
        <f>_xlfn.XLOOKUP(Customer[[#This Row],[Customer ID]],[1]!Address[ID],[1]!Address[Type])</f>
        <v>SOCMED</v>
      </c>
      <c r="W1365" s="11" t="str">
        <f>_xlfn.XLOOKUP(Customer[[#This Row],[Customer ID]],[1]!Address[ID],[1]!Address[CT])</f>
        <v/>
      </c>
      <c r="X1365" s="11"/>
      <c r="Y1365" s="17" t="s">
        <v>90</v>
      </c>
      <c r="Z1365" s="17" t="e">
        <f>_xlfn.XLOOKUP(Customer[[#This Row],[NewType]],$AF$36:$AF$54,$AG$36:$AG$54)</f>
        <v>#N/A</v>
      </c>
      <c r="AA1365" s="17" t="s">
        <v>8868</v>
      </c>
      <c r="AB1365" s="11" t="str">
        <f>_xlfn.XLOOKUP(Customer[[#This Row],[Customer ID]],[1]!Address[ID],[1]!Address[Subtype])</f>
        <v>ONLINE ROS</v>
      </c>
      <c r="AC1365" s="18" t="str">
        <f>_xlfn.XLOOKUP(Customer[[#This Row],[Customer ID]],[1]!Address[ID],[1]!Address[Zone])</f>
        <v>SOUTH</v>
      </c>
    </row>
    <row r="1366" spans="1:29" x14ac:dyDescent="0.3">
      <c r="A1366" s="56" t="s">
        <v>8869</v>
      </c>
      <c r="B1366" s="50" t="str">
        <f>_xlfn.XLOOKUP(Customer[[#This Row],[Customer ID]],[1]!Name[ID],[1]!Name[Description(1)])</f>
        <v>SHAH</v>
      </c>
      <c r="C1366" s="38" t="str">
        <f>_xlfn.XLOOKUP(Customer[[#This Row],[Customer ID]],[1]!Name[ID],[1]!Name[Description(2)])</f>
        <v/>
      </c>
      <c r="D1366" s="38" t="str">
        <f>_xlfn.XLOOKUP(Customer[[#This Row],[Customer ID]],[1]!Address[ID],[1]!Address[PIC])</f>
        <v/>
      </c>
      <c r="E1366" s="38" t="str">
        <f>_xlfn.XLOOKUP(Customer[[#This Row],[Customer ID]],[1]!Address[ID],[1]!Address[Full Address])</f>
        <v>13A-1, JALAN PUTRA 6,TAMAN PUTRA KAJANG, 43000KAJANG, SELANGOR</v>
      </c>
      <c r="F1366" s="12" t="s">
        <v>8870</v>
      </c>
      <c r="G1366" s="12" t="s">
        <v>8871</v>
      </c>
      <c r="H1366" s="12" t="s">
        <v>6089</v>
      </c>
      <c r="I1366" s="12" t="b">
        <f>ISNUMBER(VALUE(LEFT(Customer[[#This Row],[Address Line 3 (30 char)]],1)))</f>
        <v>0</v>
      </c>
      <c r="J1366" s="12" t="s">
        <v>1907</v>
      </c>
      <c r="K1366" s="12">
        <v>43000</v>
      </c>
      <c r="L1366" s="12" t="s">
        <v>35</v>
      </c>
      <c r="M1366" s="13" t="e">
        <v>#N/A</v>
      </c>
      <c r="N1366" s="14" t="e">
        <v>#N/A</v>
      </c>
      <c r="O1366" s="14" t="e">
        <v>#N/A</v>
      </c>
      <c r="P1366" s="14" t="e">
        <v>#N/A</v>
      </c>
      <c r="Q1366" s="14" t="e">
        <v>#N/A</v>
      </c>
      <c r="R1366" s="15" t="s">
        <v>8872</v>
      </c>
      <c r="S1366" s="15" t="s">
        <v>3212</v>
      </c>
      <c r="T1366" s="16" t="s">
        <v>89</v>
      </c>
      <c r="U1366" s="11" t="str">
        <f>_xlfn.XLOOKUP(Customer[[#This Row],[Customer ID]],[1]!Address[ID],[1]!Address[Phone No.(2)])</f>
        <v/>
      </c>
      <c r="V1366" s="11" t="str">
        <f>_xlfn.XLOOKUP(Customer[[#This Row],[Customer ID]],[1]!Address[ID],[1]!Address[Type])</f>
        <v>SOCMED</v>
      </c>
      <c r="W1366" s="11" t="str">
        <f>_xlfn.XLOOKUP(Customer[[#This Row],[Customer ID]],[1]!Address[ID],[1]!Address[CT])</f>
        <v/>
      </c>
      <c r="X1366" s="11"/>
      <c r="Y1366" s="17" t="s">
        <v>90</v>
      </c>
      <c r="Z1366" s="17" t="e">
        <f>_xlfn.XLOOKUP(Customer[[#This Row],[NewType]],$AF$36:$AF$54,$AG$36:$AG$54)</f>
        <v>#N/A</v>
      </c>
      <c r="AA1366" s="17" t="s">
        <v>8873</v>
      </c>
      <c r="AB1366" s="11" t="str">
        <f>_xlfn.XLOOKUP(Customer[[#This Row],[Customer ID]],[1]!Address[ID],[1]!Address[Subtype])</f>
        <v>ONLINE HAJAR</v>
      </c>
      <c r="AC1366" s="18" t="str">
        <f>_xlfn.XLOOKUP(Customer[[#This Row],[Customer ID]],[1]!Address[ID],[1]!Address[Zone])</f>
        <v>EEEDH</v>
      </c>
    </row>
    <row r="1367" spans="1:29" x14ac:dyDescent="0.3">
      <c r="A1367" s="37" t="s">
        <v>8874</v>
      </c>
      <c r="B1367" s="38" t="str">
        <f>_xlfn.XLOOKUP(Customer[[#This Row],[Customer ID]],[1]!Name[ID],[1]!Name[Description(1)])</f>
        <v>NUR AINA NASIHAH CHE MANSOR</v>
      </c>
      <c r="C1367" s="38" t="str">
        <f>_xlfn.XLOOKUP(Customer[[#This Row],[Customer ID]],[1]!Name[ID],[1]!Name[Description(2)])</f>
        <v/>
      </c>
      <c r="D1367" s="38" t="str">
        <f>_xlfn.XLOOKUP(Customer[[#This Row],[Customer ID]],[1]!Address[ID],[1]!Address[PIC])</f>
        <v/>
      </c>
      <c r="E1367" s="38" t="str">
        <f>_xlfn.XLOOKUP(Customer[[#This Row],[Customer ID]],[1]!Address[ID],[1]!Address[Full Address])</f>
        <v>A109 KG. PAGAR BESI BATU RAKIT21020 KUALA NERUS TERENGGANU</v>
      </c>
      <c r="F1367" s="12" t="s">
        <v>8875</v>
      </c>
      <c r="G1367" s="12" t="s">
        <v>8876</v>
      </c>
      <c r="H1367" s="12" t="s">
        <v>36</v>
      </c>
      <c r="I1367" s="12" t="b">
        <f>ISNUMBER(VALUE(LEFT(Customer[[#This Row],[Address Line 3 (30 char)]],1)))</f>
        <v>0</v>
      </c>
      <c r="J1367" s="12" t="s">
        <v>1056</v>
      </c>
      <c r="K1367" s="12">
        <v>21020</v>
      </c>
      <c r="L1367" s="12" t="s">
        <v>35</v>
      </c>
      <c r="M1367" s="13" t="e">
        <v>#N/A</v>
      </c>
      <c r="N1367" s="14" t="e">
        <v>#N/A</v>
      </c>
      <c r="O1367" s="14" t="e">
        <v>#N/A</v>
      </c>
      <c r="P1367" s="14" t="e">
        <v>#N/A</v>
      </c>
      <c r="Q1367" s="14" t="e">
        <v>#N/A</v>
      </c>
      <c r="R1367" s="15" t="s">
        <v>8877</v>
      </c>
      <c r="S1367" s="15" t="s">
        <v>88</v>
      </c>
      <c r="T1367" s="16" t="s">
        <v>89</v>
      </c>
      <c r="U1367" s="11" t="str">
        <f>_xlfn.XLOOKUP(Customer[[#This Row],[Customer ID]],[1]!Address[ID],[1]!Address[Phone No.(2)])</f>
        <v/>
      </c>
      <c r="V1367" s="11" t="str">
        <f>_xlfn.XLOOKUP(Customer[[#This Row],[Customer ID]],[1]!Address[ID],[1]!Address[Type])</f>
        <v>SOCMED</v>
      </c>
      <c r="W1367" s="11" t="str">
        <f>_xlfn.XLOOKUP(Customer[[#This Row],[Customer ID]],[1]!Address[ID],[1]!Address[CT])</f>
        <v/>
      </c>
      <c r="X1367" s="11"/>
      <c r="Y1367" s="17" t="s">
        <v>90</v>
      </c>
      <c r="Z1367" s="17" t="e">
        <f>_xlfn.XLOOKUP(Customer[[#This Row],[NewType]],$AF$36:$AF$54,$AG$36:$AG$54)</f>
        <v>#N/A</v>
      </c>
      <c r="AA1367" s="17" t="s">
        <v>8878</v>
      </c>
      <c r="AB1367" s="11" t="str">
        <f>_xlfn.XLOOKUP(Customer[[#This Row],[Customer ID]],[1]!Address[ID],[1]!Address[Subtype])</f>
        <v>ONLINE ROS</v>
      </c>
      <c r="AC1367" s="18" t="str">
        <f>_xlfn.XLOOKUP(Customer[[#This Row],[Customer ID]],[1]!Address[ID],[1]!Address[Zone])</f>
        <v>EAST COAST</v>
      </c>
    </row>
    <row r="1368" spans="1:29" x14ac:dyDescent="0.3">
      <c r="A1368" s="37" t="s">
        <v>8879</v>
      </c>
      <c r="B1368" s="38" t="str">
        <f>_xlfn.XLOOKUP(Customer[[#This Row],[Customer ID]],[1]!Name[ID],[1]!Name[Description(1)])</f>
        <v>RUSMINI BINTI HAT</v>
      </c>
      <c r="C1368" s="38" t="str">
        <f>_xlfn.XLOOKUP(Customer[[#This Row],[Customer ID]],[1]!Name[ID],[1]!Name[Description(2)])</f>
        <v/>
      </c>
      <c r="D1368" s="38" t="str">
        <f>_xlfn.XLOOKUP(Customer[[#This Row],[Customer ID]],[1]!Address[ID],[1]!Address[PIC])</f>
        <v/>
      </c>
      <c r="E1368" s="38" t="str">
        <f>_xlfn.XLOOKUP(Customer[[#This Row],[Customer ID]],[1]!Address[ID],[1]!Address[Full Address])</f>
        <v>KG KUBANG MENERONG PADANG SERA,06100 KODIANG, KEDAH</v>
      </c>
      <c r="F1368" s="12" t="s">
        <v>8880</v>
      </c>
      <c r="G1368" s="12" t="s">
        <v>8881</v>
      </c>
      <c r="H1368" s="12" t="s">
        <v>8882</v>
      </c>
      <c r="I1368" s="12" t="b">
        <f>ISNUMBER(VALUE(LEFT(Customer[[#This Row],[Address Line 3 (30 char)]],1)))</f>
        <v>0</v>
      </c>
      <c r="J1368" s="12" t="s">
        <v>355</v>
      </c>
      <c r="K1368" s="42" t="s">
        <v>8883</v>
      </c>
      <c r="L1368" s="12" t="s">
        <v>35</v>
      </c>
      <c r="M1368" s="13" t="e">
        <v>#N/A</v>
      </c>
      <c r="N1368" s="14" t="e">
        <v>#N/A</v>
      </c>
      <c r="O1368" s="14" t="e">
        <v>#N/A</v>
      </c>
      <c r="P1368" s="14" t="e">
        <v>#N/A</v>
      </c>
      <c r="Q1368" s="14" t="e">
        <v>#N/A</v>
      </c>
      <c r="R1368" s="15" t="s">
        <v>8884</v>
      </c>
      <c r="S1368" s="15" t="s">
        <v>88</v>
      </c>
      <c r="T1368" s="16" t="s">
        <v>89</v>
      </c>
      <c r="U1368" s="11" t="str">
        <f>_xlfn.XLOOKUP(Customer[[#This Row],[Customer ID]],[1]!Address[ID],[1]!Address[Phone No.(2)])</f>
        <v/>
      </c>
      <c r="V1368" s="11" t="str">
        <f>_xlfn.XLOOKUP(Customer[[#This Row],[Customer ID]],[1]!Address[ID],[1]!Address[Type])</f>
        <v>SOCMED</v>
      </c>
      <c r="W1368" s="11" t="str">
        <f>_xlfn.XLOOKUP(Customer[[#This Row],[Customer ID]],[1]!Address[ID],[1]!Address[CT])</f>
        <v/>
      </c>
      <c r="X1368" s="11"/>
      <c r="Y1368" s="17" t="s">
        <v>90</v>
      </c>
      <c r="Z1368" s="17" t="e">
        <f>_xlfn.XLOOKUP(Customer[[#This Row],[NewType]],$AF$36:$AF$54,$AG$36:$AG$54)</f>
        <v>#N/A</v>
      </c>
      <c r="AA1368" s="17" t="s">
        <v>8885</v>
      </c>
      <c r="AB1368" s="11" t="str">
        <f>_xlfn.XLOOKUP(Customer[[#This Row],[Customer ID]],[1]!Address[ID],[1]!Address[Subtype])</f>
        <v>ONLINE ROS</v>
      </c>
      <c r="AC1368" s="18" t="str">
        <f>_xlfn.XLOOKUP(Customer[[#This Row],[Customer ID]],[1]!Address[ID],[1]!Address[Zone])</f>
        <v>NORTH</v>
      </c>
    </row>
    <row r="1369" spans="1:29" x14ac:dyDescent="0.3">
      <c r="A1369" s="43" t="s">
        <v>8886</v>
      </c>
      <c r="B1369" s="44" t="str">
        <f>_xlfn.XLOOKUP(Customer[[#This Row],[Customer ID]],[1]!Name[ID],[1]!Name[Description(1)])</f>
        <v>HIG LANGKAWI HOLDINGS SDN BHD</v>
      </c>
      <c r="C1369" s="38" t="str">
        <f>_xlfn.XLOOKUP(Customer[[#This Row],[Customer ID]],[1]!Name[ID],[1]!Name[Description(2)])</f>
        <v/>
      </c>
      <c r="D1369" s="38" t="str">
        <f>_xlfn.XLOOKUP(Customer[[#This Row],[Customer ID]],[1]!Address[ID],[1]!Address[PIC])</f>
        <v>TUAN HJ ROSLEE</v>
      </c>
      <c r="E1369" s="38" t="str">
        <f>_xlfn.XLOOKUP(Customer[[#This Row],[Customer ID]],[1]!Address[ID],[1]!Address[Full Address])</f>
        <v>KOMPLEKS HIG,LOT 1852, KOMPLEK HIG,JALAN PENARAK,KUAH07000 LANGKAWI, KEDAH</v>
      </c>
      <c r="F1369" s="12" t="s">
        <v>8887</v>
      </c>
      <c r="G1369" s="12" t="s">
        <v>8888</v>
      </c>
      <c r="H1369" s="12" t="s">
        <v>8889</v>
      </c>
      <c r="I1369" s="12" t="b">
        <f>ISNUMBER(VALUE(LEFT(Customer[[#This Row],[Address Line 3 (30 char)]],1)))</f>
        <v>0</v>
      </c>
      <c r="J1369" s="12" t="s">
        <v>355</v>
      </c>
      <c r="K1369" s="30" t="s">
        <v>1847</v>
      </c>
      <c r="L1369" s="12" t="s">
        <v>35</v>
      </c>
      <c r="M1369" s="13" t="e">
        <v>#N/A</v>
      </c>
      <c r="N1369" s="14" t="e">
        <v>#N/A</v>
      </c>
      <c r="O1369" s="14" t="e">
        <v>#N/A</v>
      </c>
      <c r="P1369" s="14" t="e">
        <v>#N/A</v>
      </c>
      <c r="Q1369" s="19" t="s">
        <v>8890</v>
      </c>
      <c r="R1369" s="15" t="s">
        <v>8891</v>
      </c>
      <c r="S1369" s="15" t="s">
        <v>5925</v>
      </c>
      <c r="T1369" s="16" t="s">
        <v>3477</v>
      </c>
      <c r="U1369" s="11" t="str">
        <f>_xlfn.XLOOKUP(Customer[[#This Row],[Customer ID]],[1]!Address[ID],[1]!Address[Phone No.(2)])</f>
        <v/>
      </c>
      <c r="V1369" s="11" t="str">
        <f>_xlfn.XLOOKUP(Customer[[#This Row],[Customer ID]],[1]!Address[ID],[1]!Address[Type])</f>
        <v>CM</v>
      </c>
      <c r="W1369" s="11" t="str">
        <f>_xlfn.XLOOKUP(Customer[[#This Row],[Customer ID]],[1]!Address[ID],[1]!Address[CT])</f>
        <v>30 DAYS</v>
      </c>
      <c r="X1369" s="11"/>
      <c r="Y1369" s="17" t="s">
        <v>5918</v>
      </c>
      <c r="Z1369" s="17" t="e">
        <f>_xlfn.XLOOKUP(Customer[[#This Row],[NewType]],$AF$36:$AF$54,$AG$36:$AG$54)</f>
        <v>#N/A</v>
      </c>
      <c r="AA1369" s="17" t="s">
        <v>8892</v>
      </c>
      <c r="AB1369" s="11" t="str">
        <f>_xlfn.XLOOKUP(Customer[[#This Row],[Customer ID]],[1]!Address[ID],[1]!Address[Subtype])</f>
        <v>HIG LANGKAWI</v>
      </c>
      <c r="AC1369" s="18" t="str">
        <f>_xlfn.XLOOKUP(Customer[[#This Row],[Customer ID]],[1]!Address[ID],[1]!Address[Zone])</f>
        <v>NORTH</v>
      </c>
    </row>
    <row r="1370" spans="1:29" x14ac:dyDescent="0.3">
      <c r="A1370" s="10" t="s">
        <v>8893</v>
      </c>
      <c r="B1370" s="11" t="str">
        <f>_xlfn.XLOOKUP(Customer[[#This Row],[Customer ID]],[1]!Name[ID],[1]!Name[Description(1)])</f>
        <v>DATIN ENJAH BTE AHMAD</v>
      </c>
      <c r="C1370" s="38" t="str">
        <f>_xlfn.XLOOKUP(Customer[[#This Row],[Customer ID]],[1]!Name[ID],[1]!Name[Description(2)])</f>
        <v/>
      </c>
      <c r="D1370" s="38" t="str">
        <f>_xlfn.XLOOKUP(Customer[[#This Row],[Customer ID]],[1]!Address[ID],[1]!Address[PIC])</f>
        <v/>
      </c>
      <c r="E1370" s="38" t="str">
        <f>_xlfn.XLOOKUP(Customer[[#This Row],[Customer ID]],[1]!Address[ID],[1]!Address[Full Address])</f>
        <v>NO.34, SETIABAKTI 10, BUKIT DAMANSARA,50490 KUALA LUMPUR.</v>
      </c>
      <c r="F1370" s="12" t="s">
        <v>8894</v>
      </c>
      <c r="G1370" s="12" t="s">
        <v>8895</v>
      </c>
      <c r="H1370" s="12" t="s">
        <v>36</v>
      </c>
      <c r="I1370" s="12" t="b">
        <f>ISNUMBER(VALUE(LEFT(Customer[[#This Row],[Address Line 3 (30 char)]],1)))</f>
        <v>0</v>
      </c>
      <c r="J1370" s="12" t="s">
        <v>8896</v>
      </c>
      <c r="K1370" s="12">
        <v>50490</v>
      </c>
      <c r="L1370" s="12" t="s">
        <v>35</v>
      </c>
      <c r="M1370" s="13" t="e">
        <v>#N/A</v>
      </c>
      <c r="N1370" s="14" t="e">
        <v>#N/A</v>
      </c>
      <c r="O1370" s="14" t="e">
        <v>#N/A</v>
      </c>
      <c r="P1370" s="14" t="e">
        <v>#N/A</v>
      </c>
      <c r="Q1370" s="14" t="e">
        <v>#N/A</v>
      </c>
      <c r="R1370" s="15" t="s">
        <v>8897</v>
      </c>
      <c r="S1370" s="16" t="s">
        <v>89</v>
      </c>
      <c r="T1370" s="16" t="s">
        <v>89</v>
      </c>
      <c r="U1370" s="11" t="str">
        <f>_xlfn.XLOOKUP(Customer[[#This Row],[Customer ID]],[1]!Address[ID],[1]!Address[Phone No.(2)])</f>
        <v/>
      </c>
      <c r="V1370" s="11" t="str">
        <f>_xlfn.XLOOKUP(Customer[[#This Row],[Customer ID]],[1]!Address[ID],[1]!Address[Type])</f>
        <v>SOCMED</v>
      </c>
      <c r="W1370" s="11" t="str">
        <f>_xlfn.XLOOKUP(Customer[[#This Row],[Customer ID]],[1]!Address[ID],[1]!Address[CT])</f>
        <v/>
      </c>
      <c r="X1370" s="11"/>
      <c r="Y1370" s="17" t="s">
        <v>90</v>
      </c>
      <c r="Z1370" s="17" t="e">
        <f>_xlfn.XLOOKUP(Customer[[#This Row],[NewType]],$AF$36:$AF$54,$AG$36:$AG$54)</f>
        <v>#N/A</v>
      </c>
      <c r="AA1370" s="17" t="s">
        <v>8898</v>
      </c>
      <c r="AB1370" s="11" t="str">
        <f>_xlfn.XLOOKUP(Customer[[#This Row],[Customer ID]],[1]!Address[ID],[1]!Address[Subtype])</f>
        <v>WHATSAPP</v>
      </c>
      <c r="AC1370" s="18" t="str">
        <f>_xlfn.XLOOKUP(Customer[[#This Row],[Customer ID]],[1]!Address[ID],[1]!Address[Zone])</f>
        <v>CENTRAL</v>
      </c>
    </row>
    <row r="1371" spans="1:29" x14ac:dyDescent="0.3">
      <c r="A1371" s="37" t="s">
        <v>8899</v>
      </c>
      <c r="B1371" s="38" t="str">
        <f>_xlfn.XLOOKUP(Customer[[#This Row],[Customer ID]],[1]!Name[ID],[1]!Name[Description(1)])</f>
        <v>NORAIANI BINTI HAMBALI</v>
      </c>
      <c r="C1371" s="38" t="str">
        <f>_xlfn.XLOOKUP(Customer[[#This Row],[Customer ID]],[1]!Name[ID],[1]!Name[Description(2)])</f>
        <v/>
      </c>
      <c r="D1371" s="38" t="str">
        <f>_xlfn.XLOOKUP(Customer[[#This Row],[Customer ID]],[1]!Address[ID],[1]!Address[PIC])</f>
        <v/>
      </c>
      <c r="E1371" s="38" t="str">
        <f>_xlfn.XLOOKUP(Customer[[#This Row],[Customer ID]],[1]!Address[ID],[1]!Address[Full Address])</f>
        <v>A-15-03 DESA PUTRA CONDOMINIUMJALAN WANGSA PERDANA 3, WANGSA MAJU53300 KUALA LUMPUR</v>
      </c>
      <c r="F1371" s="12" t="s">
        <v>8900</v>
      </c>
      <c r="G1371" s="12" t="s">
        <v>8901</v>
      </c>
      <c r="H1371" s="41" t="s">
        <v>8902</v>
      </c>
      <c r="I1371" s="41" t="b">
        <f>ISNUMBER(VALUE(LEFT(Customer[[#This Row],[Address Line 3 (30 char)]],1)))</f>
        <v>0</v>
      </c>
      <c r="J1371" s="12" t="s">
        <v>8896</v>
      </c>
      <c r="K1371" s="12">
        <v>53300</v>
      </c>
      <c r="L1371" s="12" t="s">
        <v>35</v>
      </c>
      <c r="M1371" s="13" t="e">
        <v>#N/A</v>
      </c>
      <c r="N1371" s="14" t="e">
        <v>#N/A</v>
      </c>
      <c r="O1371" s="14" t="e">
        <v>#N/A</v>
      </c>
      <c r="P1371" s="14" t="e">
        <v>#N/A</v>
      </c>
      <c r="Q1371" s="14" t="e">
        <v>#N/A</v>
      </c>
      <c r="R1371" s="15" t="s">
        <v>8903</v>
      </c>
      <c r="S1371" s="15" t="s">
        <v>88</v>
      </c>
      <c r="T1371" s="16" t="s">
        <v>89</v>
      </c>
      <c r="U1371" s="11" t="str">
        <f>_xlfn.XLOOKUP(Customer[[#This Row],[Customer ID]],[1]!Address[ID],[1]!Address[Phone No.(2)])</f>
        <v/>
      </c>
      <c r="V1371" s="11" t="str">
        <f>_xlfn.XLOOKUP(Customer[[#This Row],[Customer ID]],[1]!Address[ID],[1]!Address[Type])</f>
        <v>SOCMED</v>
      </c>
      <c r="W1371" s="11" t="str">
        <f>_xlfn.XLOOKUP(Customer[[#This Row],[Customer ID]],[1]!Address[ID],[1]!Address[CT])</f>
        <v/>
      </c>
      <c r="X1371" s="11"/>
      <c r="Y1371" s="17" t="s">
        <v>90</v>
      </c>
      <c r="Z1371" s="17" t="e">
        <f>_xlfn.XLOOKUP(Customer[[#This Row],[NewType]],$AF$36:$AF$54,$AG$36:$AG$54)</f>
        <v>#N/A</v>
      </c>
      <c r="AA1371" s="17" t="s">
        <v>8904</v>
      </c>
      <c r="AB1371" s="11" t="str">
        <f>_xlfn.XLOOKUP(Customer[[#This Row],[Customer ID]],[1]!Address[ID],[1]!Address[Subtype])</f>
        <v>ONLINE ROS</v>
      </c>
      <c r="AC1371" s="18" t="str">
        <f>_xlfn.XLOOKUP(Customer[[#This Row],[Customer ID]],[1]!Address[ID],[1]!Address[Zone])</f>
        <v>CENTRAL</v>
      </c>
    </row>
    <row r="1372" spans="1:29" x14ac:dyDescent="0.3">
      <c r="A1372" s="37" t="s">
        <v>8905</v>
      </c>
      <c r="B1372" s="38" t="str">
        <f>_xlfn.XLOOKUP(Customer[[#This Row],[Customer ID]],[1]!Name[ID],[1]!Name[Description(1)])</f>
        <v>PEN GEMILANG SDN BHD</v>
      </c>
      <c r="C1372" s="38" t="str">
        <f>_xlfn.XLOOKUP(Customer[[#This Row],[Customer ID]],[1]!Name[ID],[1]!Name[Description(2)])</f>
        <v>CALTEX SEA PARK</v>
      </c>
      <c r="D1372" s="38" t="str">
        <f>_xlfn.XLOOKUP(Customer[[#This Row],[Customer ID]],[1]!Address[ID],[1]!Address[PIC])</f>
        <v>Noor Hasyikin b</v>
      </c>
      <c r="E1372" s="38" t="str">
        <f>_xlfn.XLOOKUP(Customer[[#This Row],[Customer ID]],[1]!Address[ID],[1]!Address[Full Address])</f>
        <v>CALTEX SEA PARK1, Jalan 20/1, Seapark,46300 Petaling Jaya,Selangor.</v>
      </c>
      <c r="F1372" s="12" t="s">
        <v>8906</v>
      </c>
      <c r="G1372" s="12" t="s">
        <v>8907</v>
      </c>
      <c r="H1372" s="24" t="s">
        <v>7800</v>
      </c>
      <c r="I1372" s="24" t="b">
        <f>ISNUMBER(VALUE(LEFT(Customer[[#This Row],[Address Line 3 (30 char)]],1)))</f>
        <v>0</v>
      </c>
      <c r="J1372" s="12" t="s">
        <v>1907</v>
      </c>
      <c r="K1372" s="12">
        <v>46300</v>
      </c>
      <c r="L1372" s="12" t="s">
        <v>35</v>
      </c>
      <c r="M1372" s="13">
        <v>202303156467</v>
      </c>
      <c r="N1372" s="14" t="s">
        <v>8908</v>
      </c>
      <c r="O1372" s="14" t="e">
        <v>#N/A</v>
      </c>
      <c r="P1372" s="14" t="e">
        <v>#N/A</v>
      </c>
      <c r="Q1372" s="14" t="e">
        <v>#N/A</v>
      </c>
      <c r="R1372" s="15" t="s">
        <v>8909</v>
      </c>
      <c r="S1372" s="15" t="s">
        <v>37</v>
      </c>
      <c r="T1372" s="16" t="s">
        <v>38</v>
      </c>
      <c r="U1372" s="11" t="str">
        <f>_xlfn.XLOOKUP(Customer[[#This Row],[Customer ID]],[1]!Address[ID],[1]!Address[Phone No.(2)])</f>
        <v/>
      </c>
      <c r="V1372" s="11" t="str">
        <f>_xlfn.XLOOKUP(Customer[[#This Row],[Customer ID]],[1]!Address[ID],[1]!Address[Type])</f>
        <v>PETROMART</v>
      </c>
      <c r="W1372" s="11" t="str">
        <f>_xlfn.XLOOKUP(Customer[[#This Row],[Customer ID]],[1]!Address[ID],[1]!Address[CT])</f>
        <v>30 DAYS</v>
      </c>
      <c r="X1372" s="11" t="s">
        <v>39</v>
      </c>
      <c r="Y1372" s="17" t="s">
        <v>40</v>
      </c>
      <c r="Z1372" s="17" t="e">
        <f>_xlfn.XLOOKUP(Customer[[#This Row],[NewType]],$AF$36:$AF$54,$AG$36:$AG$54)</f>
        <v>#N/A</v>
      </c>
      <c r="AA1372" s="17" t="s">
        <v>8910</v>
      </c>
      <c r="AB1372" s="11" t="str">
        <f>_xlfn.XLOOKUP(Customer[[#This Row],[Customer ID]],[1]!Address[ID],[1]!Address[Subtype])</f>
        <v>XPRESS POINT</v>
      </c>
      <c r="AC1372" s="18" t="str">
        <f>_xlfn.XLOOKUP(Customer[[#This Row],[Customer ID]],[1]!Address[ID],[1]!Address[Zone])</f>
        <v>CENTRAL</v>
      </c>
    </row>
    <row r="1373" spans="1:29" x14ac:dyDescent="0.3">
      <c r="A1373" s="37" t="s">
        <v>8911</v>
      </c>
      <c r="B1373" s="38" t="str">
        <f>_xlfn.XLOOKUP(Customer[[#This Row],[Customer ID]],[1]!Name[ID],[1]!Name[Description(1)])</f>
        <v>HOTAMAN ENTERPRISE</v>
      </c>
      <c r="C1373" s="38" t="str">
        <f>_xlfn.XLOOKUP(Customer[[#This Row],[Customer ID]],[1]!Name[ID],[1]!Name[Description(2)])</f>
        <v/>
      </c>
      <c r="D1373" s="38" t="str">
        <f>_xlfn.XLOOKUP(Customer[[#This Row],[Customer ID]],[1]!Address[ID],[1]!Address[PIC])</f>
        <v>EN.ZUBIR</v>
      </c>
      <c r="E1373" s="38" t="str">
        <f>_xlfn.XLOOKUP(Customer[[#This Row],[Customer ID]],[1]!Address[ID],[1]!Address[Full Address])</f>
        <v>LOT 711,JALAN MUNGKAL,KAMPUNG KUNDUR HULU,71400 PEDAS,NEGERI SEMBILAN</v>
      </c>
      <c r="F1373" s="12" t="s">
        <v>8912</v>
      </c>
      <c r="G1373" s="12" t="s">
        <v>8913</v>
      </c>
      <c r="H1373" s="24" t="s">
        <v>8914</v>
      </c>
      <c r="I1373" s="24" t="b">
        <f>ISNUMBER(VALUE(LEFT(Customer[[#This Row],[Address Line 3 (30 char)]],1)))</f>
        <v>0</v>
      </c>
      <c r="J1373" s="12" t="s">
        <v>2004</v>
      </c>
      <c r="K1373" s="12">
        <v>71400</v>
      </c>
      <c r="L1373" s="12" t="s">
        <v>35</v>
      </c>
      <c r="M1373" s="13" t="e">
        <v>#N/A</v>
      </c>
      <c r="N1373" s="14" t="e">
        <v>#N/A</v>
      </c>
      <c r="O1373" s="14" t="e">
        <v>#N/A</v>
      </c>
      <c r="P1373" s="14" t="e">
        <v>#N/A</v>
      </c>
      <c r="Q1373" s="14" t="e">
        <v>#N/A</v>
      </c>
      <c r="R1373" s="15" t="s">
        <v>8915</v>
      </c>
      <c r="S1373" s="15" t="s">
        <v>5934</v>
      </c>
      <c r="T1373" s="16" t="s">
        <v>3477</v>
      </c>
      <c r="U1373" s="11" t="str">
        <f>_xlfn.XLOOKUP(Customer[[#This Row],[Customer ID]],[1]!Address[ID],[1]!Address[Phone No.(2)])</f>
        <v/>
      </c>
      <c r="V1373" s="11" t="str">
        <f>_xlfn.XLOOKUP(Customer[[#This Row],[Customer ID]],[1]!Address[ID],[1]!Address[Type])</f>
        <v>KOPERASI</v>
      </c>
      <c r="W1373" s="11" t="str">
        <f>_xlfn.XLOOKUP(Customer[[#This Row],[Customer ID]],[1]!Address[ID],[1]!Address[CT])</f>
        <v>30 DAYS</v>
      </c>
      <c r="X1373" s="11"/>
      <c r="Y1373" s="17" t="s">
        <v>6126</v>
      </c>
      <c r="Z1373" s="17" t="e">
        <f>_xlfn.XLOOKUP(Customer[[#This Row],[NewType]],$AF$36:$AF$54,$AG$36:$AG$54)</f>
        <v>#N/A</v>
      </c>
      <c r="AA1373" s="17" t="s">
        <v>8916</v>
      </c>
      <c r="AB1373" s="11" t="str">
        <f>_xlfn.XLOOKUP(Customer[[#This Row],[Customer ID]],[1]!Address[ID],[1]!Address[Subtype])</f>
        <v>HOTAMAN ENT</v>
      </c>
      <c r="AC1373" s="18" t="str">
        <f>_xlfn.XLOOKUP(Customer[[#This Row],[Customer ID]],[1]!Address[ID],[1]!Address[Zone])</f>
        <v>CENTRAL</v>
      </c>
    </row>
    <row r="1374" spans="1:29" x14ac:dyDescent="0.3">
      <c r="A1374" s="10" t="s">
        <v>8917</v>
      </c>
      <c r="B1374" s="11" t="str">
        <f>_xlfn.XLOOKUP(Customer[[#This Row],[Customer ID]],[1]!Name[ID],[1]!Name[Description(1)])</f>
        <v>NURAINI CHE WAN</v>
      </c>
      <c r="C1374" s="38" t="str">
        <f>_xlfn.XLOOKUP(Customer[[#This Row],[Customer ID]],[1]!Name[ID],[1]!Name[Description(2)])</f>
        <v/>
      </c>
      <c r="D1374" s="38" t="str">
        <f>_xlfn.XLOOKUP(Customer[[#This Row],[Customer ID]],[1]!Address[ID],[1]!Address[PIC])</f>
        <v/>
      </c>
      <c r="E1374" s="38" t="str">
        <f>_xlfn.XLOOKUP(Customer[[#This Row],[Customer ID]],[1]!Address[ID],[1]!Address[Full Address])</f>
        <v>NO. 48, KG. TUALANG SALAK,JLN BEKELAM-JELAWAT,16070 BACHOK, KELANTAN</v>
      </c>
      <c r="F1374" s="12" t="s">
        <v>8918</v>
      </c>
      <c r="G1374" s="12" t="s">
        <v>8919</v>
      </c>
      <c r="H1374" s="24" t="s">
        <v>8920</v>
      </c>
      <c r="I1374" s="24" t="b">
        <f>ISNUMBER(VALUE(LEFT(Customer[[#This Row],[Address Line 3 (30 char)]],1)))</f>
        <v>0</v>
      </c>
      <c r="J1374" s="12" t="s">
        <v>1007</v>
      </c>
      <c r="K1374" s="12">
        <v>16070</v>
      </c>
      <c r="L1374" s="12" t="s">
        <v>35</v>
      </c>
      <c r="M1374" s="13" t="e">
        <v>#N/A</v>
      </c>
      <c r="N1374" s="14" t="e">
        <v>#N/A</v>
      </c>
      <c r="O1374" s="14" t="e">
        <v>#N/A</v>
      </c>
      <c r="P1374" s="14" t="e">
        <v>#N/A</v>
      </c>
      <c r="Q1374" s="14" t="e">
        <v>#N/A</v>
      </c>
      <c r="R1374" s="15" t="s">
        <v>8921</v>
      </c>
      <c r="S1374" s="15" t="s">
        <v>89</v>
      </c>
      <c r="T1374" s="16" t="s">
        <v>89</v>
      </c>
      <c r="U1374" s="11" t="str">
        <f>_xlfn.XLOOKUP(Customer[[#This Row],[Customer ID]],[1]!Address[ID],[1]!Address[Phone No.(2)])</f>
        <v/>
      </c>
      <c r="V1374" s="11" t="str">
        <f>_xlfn.XLOOKUP(Customer[[#This Row],[Customer ID]],[1]!Address[ID],[1]!Address[Type])</f>
        <v>SOCMED</v>
      </c>
      <c r="W1374" s="11" t="str">
        <f>_xlfn.XLOOKUP(Customer[[#This Row],[Customer ID]],[1]!Address[ID],[1]!Address[CT])</f>
        <v/>
      </c>
      <c r="X1374" s="11"/>
      <c r="Y1374" s="17" t="s">
        <v>90</v>
      </c>
      <c r="Z1374" s="17" t="e">
        <f>_xlfn.XLOOKUP(Customer[[#This Row],[NewType]],$AF$36:$AF$54,$AG$36:$AG$54)</f>
        <v>#N/A</v>
      </c>
      <c r="AA1374" s="17" t="s">
        <v>8922</v>
      </c>
      <c r="AB1374" s="11" t="str">
        <f>_xlfn.XLOOKUP(Customer[[#This Row],[Customer ID]],[1]!Address[ID],[1]!Address[Subtype])</f>
        <v>WHATSAPP</v>
      </c>
      <c r="AC1374" s="18" t="str">
        <f>_xlfn.XLOOKUP(Customer[[#This Row],[Customer ID]],[1]!Address[ID],[1]!Address[Zone])</f>
        <v>EAST COAST</v>
      </c>
    </row>
    <row r="1375" spans="1:29" x14ac:dyDescent="0.3">
      <c r="A1375" s="56" t="s">
        <v>8923</v>
      </c>
      <c r="B1375" s="50" t="str">
        <f>_xlfn.XLOOKUP(Customer[[#This Row],[Customer ID]],[1]!Name[ID],[1]!Name[Description(1)])</f>
        <v>SS GOLDEN GLOBAL ENTERPRISE</v>
      </c>
      <c r="C1375" s="38" t="str">
        <f>_xlfn.XLOOKUP(Customer[[#This Row],[Customer ID]],[1]!Name[ID],[1]!Name[Description(2)])</f>
        <v/>
      </c>
      <c r="D1375" s="38" t="str">
        <f>_xlfn.XLOOKUP(Customer[[#This Row],[Customer ID]],[1]!Address[ID],[1]!Address[PIC])</f>
        <v/>
      </c>
      <c r="E1375" s="38" t="str">
        <f>_xlfn.XLOOKUP(Customer[[#This Row],[Customer ID]],[1]!Address[ID],[1]!Address[Full Address])</f>
        <v>NO 5 LOT 2241 LORONG SARIDINKAMPUNG DELEK KANAN,41250 KLANG SELANGOR</v>
      </c>
      <c r="F1375" s="12" t="s">
        <v>8924</v>
      </c>
      <c r="G1375" s="12" t="s">
        <v>8925</v>
      </c>
      <c r="H1375" s="24" t="s">
        <v>827</v>
      </c>
      <c r="I1375" s="24" t="b">
        <f>ISNUMBER(VALUE(LEFT(Customer[[#This Row],[Address Line 3 (30 char)]],1)))</f>
        <v>0</v>
      </c>
      <c r="J1375" s="12" t="s">
        <v>1907</v>
      </c>
      <c r="K1375" s="12">
        <v>41250</v>
      </c>
      <c r="L1375" s="12" t="s">
        <v>35</v>
      </c>
      <c r="M1375" s="13" t="e">
        <v>#N/A</v>
      </c>
      <c r="N1375" s="14" t="e">
        <v>#N/A</v>
      </c>
      <c r="O1375" s="14" t="e">
        <v>#N/A</v>
      </c>
      <c r="P1375" s="14" t="e">
        <v>#N/A</v>
      </c>
      <c r="Q1375" s="14" t="e">
        <v>#N/A</v>
      </c>
      <c r="R1375" s="15" t="s">
        <v>8926</v>
      </c>
      <c r="S1375" s="15" t="s">
        <v>3212</v>
      </c>
      <c r="T1375" s="16" t="s">
        <v>89</v>
      </c>
      <c r="U1375" s="11" t="str">
        <f>_xlfn.XLOOKUP(Customer[[#This Row],[Customer ID]],[1]!Address[ID],[1]!Address[Phone No.(2)])</f>
        <v/>
      </c>
      <c r="V1375" s="11" t="str">
        <f>_xlfn.XLOOKUP(Customer[[#This Row],[Customer ID]],[1]!Address[ID],[1]!Address[Type])</f>
        <v>SOCMED</v>
      </c>
      <c r="W1375" s="11" t="str">
        <f>_xlfn.XLOOKUP(Customer[[#This Row],[Customer ID]],[1]!Address[ID],[1]!Address[CT])</f>
        <v/>
      </c>
      <c r="X1375" s="11"/>
      <c r="Y1375" s="17" t="s">
        <v>90</v>
      </c>
      <c r="Z1375" s="17" t="e">
        <f>_xlfn.XLOOKUP(Customer[[#This Row],[NewType]],$AF$36:$AF$54,$AG$36:$AG$54)</f>
        <v>#N/A</v>
      </c>
      <c r="AA1375" s="17" t="s">
        <v>8927</v>
      </c>
      <c r="AB1375" s="11" t="str">
        <f>_xlfn.XLOOKUP(Customer[[#This Row],[Customer ID]],[1]!Address[ID],[1]!Address[Subtype])</f>
        <v>ONLINE HAJAR</v>
      </c>
      <c r="AC1375" s="18" t="str">
        <f>_xlfn.XLOOKUP(Customer[[#This Row],[Customer ID]],[1]!Address[ID],[1]!Address[Zone])</f>
        <v>CENTRAL</v>
      </c>
    </row>
    <row r="1376" spans="1:29" x14ac:dyDescent="0.3">
      <c r="A1376" s="37" t="s">
        <v>8928</v>
      </c>
      <c r="B1376" s="38" t="str">
        <f>_xlfn.XLOOKUP(Customer[[#This Row],[Customer ID]],[1]!Name[ID],[1]!Name[Description(1)])</f>
        <v>HEALTHHOUZ FAMILY</v>
      </c>
      <c r="C1376" s="38" t="str">
        <f>_xlfn.XLOOKUP(Customer[[#This Row],[Customer ID]],[1]!Name[ID],[1]!Name[Description(2)])</f>
        <v>MAISARAH SHUKUR</v>
      </c>
      <c r="D1376" s="38" t="str">
        <f>_xlfn.XLOOKUP(Customer[[#This Row],[Customer ID]],[1]!Address[ID],[1]!Address[PIC])</f>
        <v/>
      </c>
      <c r="E1376" s="38" t="str">
        <f>_xlfn.XLOOKUP(Customer[[#This Row],[Customer ID]],[1]!Address[ID],[1]!Address[Full Address])</f>
        <v>PHARMACY NO 22-1,JALAN NOVA K, U5/K,SUBANG BESTARI 40150 SHAH ALAM</v>
      </c>
      <c r="F1376" s="12" t="s">
        <v>8929</v>
      </c>
      <c r="G1376" s="12" t="s">
        <v>8930</v>
      </c>
      <c r="H1376" s="12" t="s">
        <v>8931</v>
      </c>
      <c r="I1376" s="12" t="b">
        <f>ISNUMBER(VALUE(LEFT(Customer[[#This Row],[Address Line 3 (30 char)]],1)))</f>
        <v>0</v>
      </c>
      <c r="J1376" s="12" t="s">
        <v>1907</v>
      </c>
      <c r="K1376" s="12">
        <v>40150</v>
      </c>
      <c r="L1376" s="12" t="s">
        <v>35</v>
      </c>
      <c r="M1376" s="13" t="e">
        <v>#N/A</v>
      </c>
      <c r="N1376" s="14" t="e">
        <v>#N/A</v>
      </c>
      <c r="O1376" s="14" t="e">
        <v>#N/A</v>
      </c>
      <c r="P1376" s="14" t="e">
        <v>#N/A</v>
      </c>
      <c r="Q1376" s="14" t="e">
        <v>#N/A</v>
      </c>
      <c r="R1376" s="15" t="s">
        <v>8932</v>
      </c>
      <c r="S1376" s="15" t="s">
        <v>3476</v>
      </c>
      <c r="T1376" s="16" t="s">
        <v>3477</v>
      </c>
      <c r="U1376" s="11" t="str">
        <f>_xlfn.XLOOKUP(Customer[[#This Row],[Customer ID]],[1]!Address[ID],[1]!Address[Phone No.(2)])</f>
        <v/>
      </c>
      <c r="V1376" s="11" t="str">
        <f>_xlfn.XLOOKUP(Customer[[#This Row],[Customer ID]],[1]!Address[ID],[1]!Address[Type])</f>
        <v>PH</v>
      </c>
      <c r="W1376" s="11" t="str">
        <f>_xlfn.XLOOKUP(Customer[[#This Row],[Customer ID]],[1]!Address[ID],[1]!Address[CT])</f>
        <v>30 DAYS</v>
      </c>
      <c r="X1376" s="11"/>
      <c r="Y1376" s="17" t="s">
        <v>5955</v>
      </c>
      <c r="Z1376" s="17" t="e">
        <f>_xlfn.XLOOKUP(Customer[[#This Row],[NewType]],$AF$36:$AF$54,$AG$36:$AG$54)</f>
        <v>#N/A</v>
      </c>
      <c r="AA1376" s="17" t="s">
        <v>8933</v>
      </c>
      <c r="AB1376" s="11" t="str">
        <f>_xlfn.XLOOKUP(Customer[[#This Row],[Customer ID]],[1]!Address[ID],[1]!Address[Subtype])</f>
        <v>HEALTHHOUZ</v>
      </c>
      <c r="AC1376" s="18" t="str">
        <f>_xlfn.XLOOKUP(Customer[[#This Row],[Customer ID]],[1]!Address[ID],[1]!Address[Zone])</f>
        <v>ZAPHH</v>
      </c>
    </row>
    <row r="1377" spans="1:30" x14ac:dyDescent="0.3">
      <c r="A1377" s="37" t="s">
        <v>8934</v>
      </c>
      <c r="B1377" s="38" t="str">
        <f>_xlfn.XLOOKUP(Customer[[#This Row],[Customer ID]],[1]!Name[ID],[1]!Name[Description(1)])</f>
        <v>MOHAMAD SATAR ENTERPRISE</v>
      </c>
      <c r="C1377" s="38" t="str">
        <f>_xlfn.XLOOKUP(Customer[[#This Row],[Customer ID]],[1]!Name[ID],[1]!Name[Description(2)])</f>
        <v>CALTEX SRI TOK BALI (XP)</v>
      </c>
      <c r="D1377" s="38" t="str">
        <f>_xlfn.XLOOKUP(Customer[[#This Row],[Customer ID]],[1]!Address[ID],[1]!Address[PIC])</f>
        <v/>
      </c>
      <c r="E1377" s="38" t="str">
        <f>_xlfn.XLOOKUP(Customer[[#This Row],[Customer ID]],[1]!Address[ID],[1]!Address[Full Address])</f>
        <v>CALTEX SRI TOK BALI (XP)Lot PT 2575, Kampung Air Tawar,Mukim Semarak,16810 Pasir Puteh, Kelantan.</v>
      </c>
      <c r="F1377" s="12" t="s">
        <v>8935</v>
      </c>
      <c r="G1377" s="12" t="s">
        <v>8936</v>
      </c>
      <c r="H1377" s="12" t="s">
        <v>8937</v>
      </c>
      <c r="I1377" s="12" t="b">
        <f>ISNUMBER(VALUE(LEFT(Customer[[#This Row],[Address Line 3 (30 char)]],1)))</f>
        <v>0</v>
      </c>
      <c r="J1377" s="12" t="s">
        <v>1007</v>
      </c>
      <c r="K1377" s="12">
        <v>16810</v>
      </c>
      <c r="L1377" s="12" t="s">
        <v>35</v>
      </c>
      <c r="M1377" s="13">
        <v>200703093981</v>
      </c>
      <c r="N1377" s="14" t="s">
        <v>8938</v>
      </c>
      <c r="O1377" s="14" t="s">
        <v>54</v>
      </c>
      <c r="P1377" s="14">
        <v>46611</v>
      </c>
      <c r="Q1377" s="14" t="s">
        <v>8939</v>
      </c>
      <c r="R1377" s="15" t="s">
        <v>8940</v>
      </c>
      <c r="S1377" s="15" t="s">
        <v>37</v>
      </c>
      <c r="T1377" s="16" t="s">
        <v>38</v>
      </c>
      <c r="U1377" s="11" t="str">
        <f>_xlfn.XLOOKUP(Customer[[#This Row],[Customer ID]],[1]!Address[ID],[1]!Address[Phone No.(2)])</f>
        <v/>
      </c>
      <c r="V1377" s="11" t="str">
        <f>_xlfn.XLOOKUP(Customer[[#This Row],[Customer ID]],[1]!Address[ID],[1]!Address[Type])</f>
        <v>PETROMART</v>
      </c>
      <c r="W1377" s="11" t="str">
        <f>_xlfn.XLOOKUP(Customer[[#This Row],[Customer ID]],[1]!Address[ID],[1]!Address[CT])</f>
        <v>30</v>
      </c>
      <c r="X1377" s="11" t="s">
        <v>39</v>
      </c>
      <c r="Y1377" s="17" t="s">
        <v>40</v>
      </c>
      <c r="Z1377" s="17" t="e">
        <f>_xlfn.XLOOKUP(Customer[[#This Row],[NewType]],$AF$36:$AF$54,$AG$36:$AG$54)</f>
        <v>#N/A</v>
      </c>
      <c r="AA1377" s="17" t="s">
        <v>8941</v>
      </c>
      <c r="AB1377" s="11" t="str">
        <f>_xlfn.XLOOKUP(Customer[[#This Row],[Customer ID]],[1]!Address[ID],[1]!Address[Subtype])</f>
        <v>XPRESS POINT</v>
      </c>
      <c r="AC1377" s="18" t="str">
        <f>_xlfn.XLOOKUP(Customer[[#This Row],[Customer ID]],[1]!Address[ID],[1]!Address[Zone])</f>
        <v>EAST COAST</v>
      </c>
    </row>
    <row r="1378" spans="1:30" x14ac:dyDescent="0.3">
      <c r="A1378" s="37" t="s">
        <v>8942</v>
      </c>
      <c r="B1378" s="38" t="str">
        <f>_xlfn.XLOOKUP(Customer[[#This Row],[Customer ID]],[1]!Name[ID],[1]!Name[Description(1)])</f>
        <v>AZHAM ZAMIRI ENTERPRISE</v>
      </c>
      <c r="C1378" s="38" t="str">
        <f>_xlfn.XLOOKUP(Customer[[#This Row],[Customer ID]],[1]!Name[ID],[1]!Name[Description(2)])</f>
        <v>CALTEX SENTOSA BACHOK</v>
      </c>
      <c r="D1378" s="38" t="str">
        <f>_xlfn.XLOOKUP(Customer[[#This Row],[Customer ID]],[1]!Address[ID],[1]!Address[PIC])</f>
        <v/>
      </c>
      <c r="E1378" s="38" t="str">
        <f>_xlfn.XLOOKUP(Customer[[#This Row],[Customer ID]],[1]!Address[ID],[1]!Address[Full Address])</f>
        <v>CALTEX SENTOSA BACHOKLOT 1682 KG. SRI SENTOSA,BERIS KUBOR BESAR.16010 BACHOK KELANTAN</v>
      </c>
      <c r="F1378" s="12" t="s">
        <v>8943</v>
      </c>
      <c r="G1378" s="12" t="s">
        <v>8944</v>
      </c>
      <c r="H1378" s="12" t="s">
        <v>8945</v>
      </c>
      <c r="I1378" s="12" t="b">
        <f>ISNUMBER(VALUE(LEFT(Customer[[#This Row],[Address Line 3 (30 char)]],1)))</f>
        <v>0</v>
      </c>
      <c r="J1378" s="12" t="s">
        <v>1007</v>
      </c>
      <c r="K1378" s="12">
        <v>16010</v>
      </c>
      <c r="L1378" s="12" t="s">
        <v>35</v>
      </c>
      <c r="M1378" s="13" t="e">
        <v>#N/A</v>
      </c>
      <c r="N1378" s="14" t="e">
        <v>#N/A</v>
      </c>
      <c r="O1378" s="14" t="e">
        <v>#N/A</v>
      </c>
      <c r="P1378" s="14" t="e">
        <v>#N/A</v>
      </c>
      <c r="Q1378" s="14" t="e">
        <v>#N/A</v>
      </c>
      <c r="R1378" s="15" t="s">
        <v>8946</v>
      </c>
      <c r="S1378" s="15" t="s">
        <v>37</v>
      </c>
      <c r="T1378" s="16" t="s">
        <v>38</v>
      </c>
      <c r="U1378" s="11" t="str">
        <f>_xlfn.XLOOKUP(Customer[[#This Row],[Customer ID]],[1]!Address[ID],[1]!Address[Phone No.(2)])</f>
        <v/>
      </c>
      <c r="V1378" s="11" t="str">
        <f>_xlfn.XLOOKUP(Customer[[#This Row],[Customer ID]],[1]!Address[ID],[1]!Address[Type])</f>
        <v>PETROMART</v>
      </c>
      <c r="W1378" s="11" t="str">
        <f>_xlfn.XLOOKUP(Customer[[#This Row],[Customer ID]],[1]!Address[ID],[1]!Address[CT])</f>
        <v>30</v>
      </c>
      <c r="X1378" s="11" t="s">
        <v>39</v>
      </c>
      <c r="Y1378" s="17" t="s">
        <v>40</v>
      </c>
      <c r="Z1378" s="17" t="e">
        <f>_xlfn.XLOOKUP(Customer[[#This Row],[NewType]],$AF$36:$AF$54,$AG$36:$AG$54)</f>
        <v>#N/A</v>
      </c>
      <c r="AA1378" s="17" t="s">
        <v>8947</v>
      </c>
      <c r="AB1378" s="11" t="str">
        <f>_xlfn.XLOOKUP(Customer[[#This Row],[Customer ID]],[1]!Address[ID],[1]!Address[Subtype])</f>
        <v>CALTEX</v>
      </c>
      <c r="AC1378" s="18" t="str">
        <f>_xlfn.XLOOKUP(Customer[[#This Row],[Customer ID]],[1]!Address[ID],[1]!Address[Zone])</f>
        <v>EAST COAST</v>
      </c>
    </row>
    <row r="1379" spans="1:30" x14ac:dyDescent="0.3">
      <c r="A1379" s="97" t="s">
        <v>8948</v>
      </c>
      <c r="B1379" s="98" t="str">
        <f>_xlfn.XLOOKUP(Customer[[#This Row],[Customer ID]],[1]!Name[ID],[1]!Name[Description(1)])</f>
        <v>AOI</v>
      </c>
      <c r="C1379" s="98" t="str">
        <f>_xlfn.XLOOKUP(Customer[[#This Row],[Customer ID]],[1]!Name[ID],[1]!Name[Description(2)])</f>
        <v/>
      </c>
      <c r="D1379" s="62" t="str">
        <f>_xlfn.XLOOKUP(Customer[[#This Row],[Customer ID]],[1]!Address[ID],[1]!Address[PIC])</f>
        <v/>
      </c>
      <c r="E1379" s="38" t="str">
        <f>_xlfn.XLOOKUP(Customer[[#This Row],[Customer ID]],[1]!Address[ID],[1]!Address[Full Address])</f>
        <v>NO 9, LORONG TTJS 3/6,TAMAN TUANKU JAAFAR, 71450SG GADUT, SEREMBAN, NEGERI SEMBILAN</v>
      </c>
      <c r="F1379" s="12" t="s">
        <v>8949</v>
      </c>
      <c r="G1379" s="12" t="s">
        <v>8950</v>
      </c>
      <c r="H1379" s="12" t="s">
        <v>8951</v>
      </c>
      <c r="I1379" s="99" t="b">
        <f>ISNUMBER(VALUE(LEFT(Customer[[#This Row],[Address Line 3 (30 char)]],1)))</f>
        <v>0</v>
      </c>
      <c r="J1379" s="100" t="s">
        <v>203</v>
      </c>
      <c r="K1379" s="32"/>
      <c r="L1379" s="12" t="s">
        <v>35</v>
      </c>
      <c r="M1379" s="13" t="e">
        <v>#N/A</v>
      </c>
      <c r="N1379" s="14" t="e">
        <v>#N/A</v>
      </c>
      <c r="O1379" s="14" t="e">
        <v>#N/A</v>
      </c>
      <c r="P1379" s="14" t="e">
        <v>#N/A</v>
      </c>
      <c r="Q1379" s="14" t="e">
        <v>#N/A</v>
      </c>
      <c r="R1379" s="67" t="s">
        <v>8952</v>
      </c>
      <c r="S1379" s="67"/>
      <c r="T1379" s="76"/>
      <c r="U1379" s="68" t="str">
        <f>_xlfn.XLOOKUP(Customer[[#This Row],[Customer ID]],[1]!Address[ID],[1]!Address[Phone No.(2)])</f>
        <v/>
      </c>
      <c r="V1379" s="68" t="str">
        <f>_xlfn.XLOOKUP(Customer[[#This Row],[Customer ID]],[1]!Address[ID],[1]!Address[Type])</f>
        <v>SOCMED</v>
      </c>
      <c r="W1379" s="68" t="str">
        <f>_xlfn.XLOOKUP(Customer[[#This Row],[Customer ID]],[1]!Address[ID],[1]!Address[CT])</f>
        <v/>
      </c>
      <c r="X1379" s="68"/>
      <c r="Y1379" s="69" t="s">
        <v>90</v>
      </c>
      <c r="Z1379" s="69" t="e">
        <f>_xlfn.XLOOKUP(Customer[[#This Row],[NewType]],$AF$36:$AF$54,$AG$36:$AG$54)</f>
        <v>#N/A</v>
      </c>
      <c r="AA1379" s="69" t="s">
        <v>8953</v>
      </c>
      <c r="AB1379" s="68" t="str">
        <f>_xlfn.XLOOKUP(Customer[[#This Row],[Customer ID]],[1]!Address[ID],[1]!Address[Subtype])</f>
        <v>IPOH</v>
      </c>
      <c r="AC1379" s="70" t="str">
        <f>_xlfn.XLOOKUP(Customer[[#This Row],[Customer ID]],[1]!Address[ID],[1]!Address[Zone])</f>
        <v>CENTRAL</v>
      </c>
      <c r="AD1379" s="71"/>
    </row>
    <row r="1380" spans="1:30" x14ac:dyDescent="0.3">
      <c r="A1380" s="10" t="s">
        <v>8954</v>
      </c>
      <c r="B1380" s="11" t="str">
        <f>_xlfn.XLOOKUP(Customer[[#This Row],[Customer ID]],[1]!Name[ID],[1]!Name[Description(1)])</f>
        <v>PMG PHARMACY SDN BHD-KAMPAR</v>
      </c>
      <c r="C1380" s="38" t="str">
        <f>_xlfn.XLOOKUP(Customer[[#This Row],[Customer ID]],[1]!Name[ID],[1]!Name[Description(2)])</f>
        <v/>
      </c>
      <c r="D1380" s="38" t="str">
        <f>_xlfn.XLOOKUP(Customer[[#This Row],[Customer ID]],[1]!Address[ID],[1]!Address[PIC])</f>
        <v>NURUL ZARITH NA</v>
      </c>
      <c r="E1380" s="38" t="str">
        <f>_xlfn.XLOOKUP(Customer[[#This Row],[Customer ID]],[1]!Address[ID],[1]!Address[Full Address])</f>
        <v>NO 2236, TAMAN BANDAR BARU 31900KAMPAR, PERAK</v>
      </c>
      <c r="F1380" s="12" t="s">
        <v>8955</v>
      </c>
      <c r="G1380" s="12" t="s">
        <v>8956</v>
      </c>
      <c r="H1380" s="12" t="s">
        <v>36</v>
      </c>
      <c r="I1380" s="12" t="b">
        <f>ISNUMBER(VALUE(LEFT(Customer[[#This Row],[Address Line 3 (30 char)]],1)))</f>
        <v>0</v>
      </c>
      <c r="J1380" s="12" t="s">
        <v>242</v>
      </c>
      <c r="K1380" s="12">
        <v>31900</v>
      </c>
      <c r="L1380" s="12" t="s">
        <v>35</v>
      </c>
      <c r="M1380" s="13" t="s">
        <v>8957</v>
      </c>
      <c r="N1380" s="14" t="s">
        <v>8958</v>
      </c>
      <c r="O1380" s="14" t="e">
        <v>#N/A</v>
      </c>
      <c r="P1380" s="14" t="e">
        <v>#N/A</v>
      </c>
      <c r="Q1380" s="19" t="s">
        <v>8959</v>
      </c>
      <c r="R1380" s="15" t="s">
        <v>8960</v>
      </c>
      <c r="S1380" s="15" t="s">
        <v>89</v>
      </c>
      <c r="T1380" s="16" t="s">
        <v>89</v>
      </c>
      <c r="U1380" s="11" t="str">
        <f>_xlfn.XLOOKUP(Customer[[#This Row],[Customer ID]],[1]!Address[ID],[1]!Address[Phone No.(2)])</f>
        <v/>
      </c>
      <c r="V1380" s="11" t="str">
        <f>_xlfn.XLOOKUP(Customer[[#This Row],[Customer ID]],[1]!Address[ID],[1]!Address[Type])</f>
        <v>SOCMED</v>
      </c>
      <c r="W1380" s="11" t="str">
        <f>_xlfn.XLOOKUP(Customer[[#This Row],[Customer ID]],[1]!Address[ID],[1]!Address[CT])</f>
        <v/>
      </c>
      <c r="X1380" s="11"/>
      <c r="Y1380" s="17" t="s">
        <v>90</v>
      </c>
      <c r="Z1380" s="17" t="e">
        <f>_xlfn.XLOOKUP(Customer[[#This Row],[NewType]],$AF$36:$AF$54,$AG$36:$AG$54)</f>
        <v>#N/A</v>
      </c>
      <c r="AA1380" s="17" t="s">
        <v>8961</v>
      </c>
      <c r="AB1380" s="11" t="str">
        <f>_xlfn.XLOOKUP(Customer[[#This Row],[Customer ID]],[1]!Address[ID],[1]!Address[Subtype])</f>
        <v>WHATSAPP</v>
      </c>
      <c r="AC1380" s="18" t="str">
        <f>_xlfn.XLOOKUP(Customer[[#This Row],[Customer ID]],[1]!Address[ID],[1]!Address[Zone])</f>
        <v>NORTH</v>
      </c>
    </row>
    <row r="1381" spans="1:30" x14ac:dyDescent="0.3">
      <c r="A1381" s="43" t="s">
        <v>8962</v>
      </c>
      <c r="B1381" s="44" t="str">
        <f>_xlfn.XLOOKUP(Customer[[#This Row],[Customer ID]],[1]!Name[ID],[1]!Name[Description(1)])</f>
        <v>YUN SINAR BAHAGIA ENTERPRISE</v>
      </c>
      <c r="C1381" s="38" t="str">
        <f>_xlfn.XLOOKUP(Customer[[#This Row],[Customer ID]],[1]!Name[ID],[1]!Name[Description(2)])</f>
        <v>CALTEX JALAN KAKI BUKIT</v>
      </c>
      <c r="D1381" s="38" t="str">
        <f>_xlfn.XLOOKUP(Customer[[#This Row],[Customer ID]],[1]!Address[ID],[1]!Address[PIC])</f>
        <v/>
      </c>
      <c r="E1381" s="38" t="str">
        <f>_xlfn.XLOOKUP(Customer[[#This Row],[Customer ID]],[1]!Address[ID],[1]!Address[Full Address])</f>
        <v>CALTEX JALAN KAKI BUKITLOT 3608, BATU 7,JALAN KAKI BUKIT, MUKIM BERSERI02400 BERSERI, PERLIS</v>
      </c>
      <c r="F1381" s="12" t="s">
        <v>8963</v>
      </c>
      <c r="G1381" s="12" t="s">
        <v>8964</v>
      </c>
      <c r="H1381" s="12" t="s">
        <v>8965</v>
      </c>
      <c r="I1381" s="12" t="b">
        <f>ISNUMBER(VALUE(LEFT(Customer[[#This Row],[Address Line 3 (30 char)]],1)))</f>
        <v>0</v>
      </c>
      <c r="J1381" s="12" t="s">
        <v>984</v>
      </c>
      <c r="K1381" s="30" t="s">
        <v>8771</v>
      </c>
      <c r="L1381" s="12" t="s">
        <v>35</v>
      </c>
      <c r="M1381" s="13" t="e">
        <v>#N/A</v>
      </c>
      <c r="N1381" s="14" t="e">
        <v>#N/A</v>
      </c>
      <c r="O1381" s="14" t="e">
        <v>#N/A</v>
      </c>
      <c r="P1381" s="14" t="e">
        <v>#N/A</v>
      </c>
      <c r="Q1381" s="19" t="s">
        <v>8966</v>
      </c>
      <c r="R1381" s="15" t="s">
        <v>8967</v>
      </c>
      <c r="S1381" s="15" t="s">
        <v>37</v>
      </c>
      <c r="T1381" s="16" t="s">
        <v>38</v>
      </c>
      <c r="U1381" s="11" t="str">
        <f>_xlfn.XLOOKUP(Customer[[#This Row],[Customer ID]],[1]!Address[ID],[1]!Address[Phone No.(2)])</f>
        <v/>
      </c>
      <c r="V1381" s="11" t="str">
        <f>_xlfn.XLOOKUP(Customer[[#This Row],[Customer ID]],[1]!Address[ID],[1]!Address[Type])</f>
        <v>PETROMART</v>
      </c>
      <c r="W1381" s="11" t="str">
        <f>_xlfn.XLOOKUP(Customer[[#This Row],[Customer ID]],[1]!Address[ID],[1]!Address[CT])</f>
        <v>30</v>
      </c>
      <c r="X1381" s="11" t="s">
        <v>39</v>
      </c>
      <c r="Y1381" s="17" t="s">
        <v>40</v>
      </c>
      <c r="Z1381" s="17" t="e">
        <f>_xlfn.XLOOKUP(Customer[[#This Row],[NewType]],$AF$36:$AF$54,$AG$36:$AG$54)</f>
        <v>#N/A</v>
      </c>
      <c r="AA1381" s="17" t="s">
        <v>8968</v>
      </c>
      <c r="AB1381" s="11" t="str">
        <f>_xlfn.XLOOKUP(Customer[[#This Row],[Customer ID]],[1]!Address[ID],[1]!Address[Subtype])</f>
        <v>CALTEX</v>
      </c>
      <c r="AC1381" s="18" t="str">
        <f>_xlfn.XLOOKUP(Customer[[#This Row],[Customer ID]],[1]!Address[ID],[1]!Address[Zone])</f>
        <v>NORTH</v>
      </c>
    </row>
    <row r="1382" spans="1:30" x14ac:dyDescent="0.3">
      <c r="A1382" s="43" t="s">
        <v>8969</v>
      </c>
      <c r="B1382" s="44" t="str">
        <f>_xlfn.XLOOKUP(Customer[[#This Row],[Customer ID]],[1]!Name[ID],[1]!Name[Description(1)])</f>
        <v>PPP UTAMA ENTERPRISE (XPRESS POINT)</v>
      </c>
      <c r="C1382" s="38" t="str">
        <f>_xlfn.XLOOKUP(Customer[[#This Row],[Customer ID]],[1]!Name[ID],[1]!Name[Description(2)])</f>
        <v>CALTEX JALAN PEGAWAI</v>
      </c>
      <c r="D1382" s="38" t="str">
        <f>_xlfn.XLOOKUP(Customer[[#This Row],[Customer ID]],[1]!Address[ID],[1]!Address[PIC])</f>
        <v/>
      </c>
      <c r="E1382" s="38" t="str">
        <f>_xlfn.XLOOKUP(Customer[[#This Row],[Customer ID]],[1]!Address[ID],[1]!Address[Full Address])</f>
        <v>CALTEX JALAN PEGAWAILot 3337, Persiaran Sultan Abd. Hamid,(Jalan Pegawai),05050 Alor Setar, Kedah.</v>
      </c>
      <c r="F1382" s="12" t="s">
        <v>8970</v>
      </c>
      <c r="G1382" s="12" t="s">
        <v>8971</v>
      </c>
      <c r="H1382" s="12" t="s">
        <v>8972</v>
      </c>
      <c r="I1382" s="12" t="b">
        <f>ISNUMBER(VALUE(LEFT(Customer[[#This Row],[Address Line 3 (30 char)]],1)))</f>
        <v>0</v>
      </c>
      <c r="J1382" s="12" t="s">
        <v>355</v>
      </c>
      <c r="K1382" s="30" t="s">
        <v>4048</v>
      </c>
      <c r="L1382" s="12" t="s">
        <v>35</v>
      </c>
      <c r="M1382" s="13" t="e">
        <v>#N/A</v>
      </c>
      <c r="N1382" s="14" t="e">
        <v>#N/A</v>
      </c>
      <c r="O1382" s="14" t="e">
        <v>#N/A</v>
      </c>
      <c r="P1382" s="14" t="e">
        <v>#N/A</v>
      </c>
      <c r="Q1382" s="19" t="s">
        <v>8973</v>
      </c>
      <c r="R1382" s="15" t="s">
        <v>8974</v>
      </c>
      <c r="S1382" s="15" t="s">
        <v>37</v>
      </c>
      <c r="T1382" s="16" t="s">
        <v>38</v>
      </c>
      <c r="U1382" s="11" t="str">
        <f>_xlfn.XLOOKUP(Customer[[#This Row],[Customer ID]],[1]!Address[ID],[1]!Address[Phone No.(2)])</f>
        <v/>
      </c>
      <c r="V1382" s="11" t="str">
        <f>_xlfn.XLOOKUP(Customer[[#This Row],[Customer ID]],[1]!Address[ID],[1]!Address[Type])</f>
        <v>PETROMART</v>
      </c>
      <c r="W1382" s="11" t="str">
        <f>_xlfn.XLOOKUP(Customer[[#This Row],[Customer ID]],[1]!Address[ID],[1]!Address[CT])</f>
        <v>30 DAYS</v>
      </c>
      <c r="X1382" s="11" t="s">
        <v>39</v>
      </c>
      <c r="Y1382" s="17" t="s">
        <v>40</v>
      </c>
      <c r="Z1382" s="17" t="e">
        <f>_xlfn.XLOOKUP(Customer[[#This Row],[NewType]],$AF$36:$AF$54,$AG$36:$AG$54)</f>
        <v>#N/A</v>
      </c>
      <c r="AA1382" s="17" t="s">
        <v>8975</v>
      </c>
      <c r="AB1382" s="11" t="str">
        <f>_xlfn.XLOOKUP(Customer[[#This Row],[Customer ID]],[1]!Address[ID],[1]!Address[Subtype])</f>
        <v>XPRESS POINT</v>
      </c>
      <c r="AC1382" s="18" t="str">
        <f>_xlfn.XLOOKUP(Customer[[#This Row],[Customer ID]],[1]!Address[ID],[1]!Address[Zone])</f>
        <v>NORTH</v>
      </c>
    </row>
    <row r="1383" spans="1:30" x14ac:dyDescent="0.3">
      <c r="A1383" s="43" t="s">
        <v>8976</v>
      </c>
      <c r="B1383" s="44" t="str">
        <f>_xlfn.XLOOKUP(Customer[[#This Row],[Customer ID]],[1]!Name[ID],[1]!Name[Description(1)])</f>
        <v>TERATUNAS SDN BHD</v>
      </c>
      <c r="C1383" s="38" t="str">
        <f>_xlfn.XLOOKUP(Customer[[#This Row],[Customer ID]],[1]!Name[ID],[1]!Name[Description(2)])</f>
        <v>CALTEX MERGONG</v>
      </c>
      <c r="D1383" s="38" t="str">
        <f>_xlfn.XLOOKUP(Customer[[#This Row],[Customer ID]],[1]!Address[ID],[1]!Address[PIC])</f>
        <v/>
      </c>
      <c r="E1383" s="38" t="str">
        <f>_xlfn.XLOOKUP(Customer[[#This Row],[Customer ID]],[1]!Address[ID],[1]!Address[Full Address])</f>
        <v>CALTEX MERGONG333 PETROL STATION CALTEX JALAN LENCONGBARAT LEBUHRAYA SULTANAH BAHIYAH TAMANPERINDUSTRIAN 2010,05400 ALOR SETAR</v>
      </c>
      <c r="F1383" s="12" t="s">
        <v>8977</v>
      </c>
      <c r="G1383" s="12" t="s">
        <v>8978</v>
      </c>
      <c r="H1383" s="12" t="s">
        <v>8979</v>
      </c>
      <c r="I1383" s="12" t="b">
        <f>ISNUMBER(VALUE(LEFT(Customer[[#This Row],[Address Line 3 (30 char)]],1)))</f>
        <v>0</v>
      </c>
      <c r="J1383" s="12" t="s">
        <v>355</v>
      </c>
      <c r="K1383" s="30" t="s">
        <v>3202</v>
      </c>
      <c r="L1383" s="12" t="s">
        <v>35</v>
      </c>
      <c r="M1383" s="13" t="e">
        <v>#N/A</v>
      </c>
      <c r="N1383" s="14" t="e">
        <v>#N/A</v>
      </c>
      <c r="O1383" s="14" t="e">
        <v>#N/A</v>
      </c>
      <c r="P1383" s="14" t="e">
        <v>#N/A</v>
      </c>
      <c r="Q1383" s="19" t="s">
        <v>8980</v>
      </c>
      <c r="R1383" s="15" t="s">
        <v>8981</v>
      </c>
      <c r="S1383" s="15" t="s">
        <v>37</v>
      </c>
      <c r="T1383" s="16" t="s">
        <v>38</v>
      </c>
      <c r="U1383" s="11" t="str">
        <f>_xlfn.XLOOKUP(Customer[[#This Row],[Customer ID]],[1]!Address[ID],[1]!Address[Phone No.(2)])</f>
        <v/>
      </c>
      <c r="V1383" s="11" t="str">
        <f>_xlfn.XLOOKUP(Customer[[#This Row],[Customer ID]],[1]!Address[ID],[1]!Address[Type])</f>
        <v>PETROMART</v>
      </c>
      <c r="W1383" s="11" t="str">
        <f>_xlfn.XLOOKUP(Customer[[#This Row],[Customer ID]],[1]!Address[ID],[1]!Address[CT])</f>
        <v>30</v>
      </c>
      <c r="X1383" s="11" t="s">
        <v>39</v>
      </c>
      <c r="Y1383" s="17" t="s">
        <v>40</v>
      </c>
      <c r="Z1383" s="17" t="e">
        <f>_xlfn.XLOOKUP(Customer[[#This Row],[NewType]],$AF$36:$AF$54,$AG$36:$AG$54)</f>
        <v>#N/A</v>
      </c>
      <c r="AA1383" s="17" t="s">
        <v>8982</v>
      </c>
      <c r="AB1383" s="11" t="str">
        <f>_xlfn.XLOOKUP(Customer[[#This Row],[Customer ID]],[1]!Address[ID],[1]!Address[Subtype])</f>
        <v>XPRESS POINT</v>
      </c>
      <c r="AC1383" s="18" t="str">
        <f>_xlfn.XLOOKUP(Customer[[#This Row],[Customer ID]],[1]!Address[ID],[1]!Address[Zone])</f>
        <v>NORTH</v>
      </c>
    </row>
    <row r="1384" spans="1:30" x14ac:dyDescent="0.3">
      <c r="A1384" s="43" t="s">
        <v>8983</v>
      </c>
      <c r="B1384" s="44" t="str">
        <f>_xlfn.XLOOKUP(Customer[[#This Row],[Customer ID]],[1]!Name[ID],[1]!Name[Description(1)])</f>
        <v>FULL SHENG ENTERPRISE SDN BHD</v>
      </c>
      <c r="C1384" s="38" t="str">
        <f>_xlfn.XLOOKUP(Customer[[#This Row],[Customer ID]],[1]!Name[ID],[1]!Name[Description(2)])</f>
        <v>CALTEX TAMAN SURIA</v>
      </c>
      <c r="D1384" s="38" t="str">
        <f>_xlfn.XLOOKUP(Customer[[#This Row],[Customer ID]],[1]!Address[ID],[1]!Address[PIC])</f>
        <v/>
      </c>
      <c r="E1384" s="38" t="str">
        <f>_xlfn.XLOOKUP(Customer[[#This Row],[Customer ID]],[1]!Address[ID],[1]!Address[Full Address])</f>
        <v>CALTEX TAMAN SURIALOT 2210, JALAN KODIANG,06000 JITRA, KEDAH</v>
      </c>
      <c r="F1384" s="12" t="s">
        <v>8984</v>
      </c>
      <c r="G1384" s="12" t="s">
        <v>8985</v>
      </c>
      <c r="H1384" s="24" t="s">
        <v>8986</v>
      </c>
      <c r="I1384" s="24" t="b">
        <f>ISNUMBER(VALUE(LEFT(Customer[[#This Row],[Address Line 3 (30 char)]],1)))</f>
        <v>0</v>
      </c>
      <c r="J1384" s="12" t="s">
        <v>355</v>
      </c>
      <c r="K1384" s="30" t="s">
        <v>5731</v>
      </c>
      <c r="L1384" s="12" t="s">
        <v>35</v>
      </c>
      <c r="M1384" s="13" t="e">
        <v>#N/A</v>
      </c>
      <c r="N1384" s="14" t="e">
        <v>#N/A</v>
      </c>
      <c r="O1384" s="14" t="e">
        <v>#N/A</v>
      </c>
      <c r="P1384" s="14" t="e">
        <v>#N/A</v>
      </c>
      <c r="Q1384" s="19" t="s">
        <v>8987</v>
      </c>
      <c r="R1384" s="15" t="s">
        <v>8988</v>
      </c>
      <c r="S1384" s="15" t="s">
        <v>37</v>
      </c>
      <c r="T1384" s="16" t="s">
        <v>38</v>
      </c>
      <c r="U1384" s="11" t="str">
        <f>_xlfn.XLOOKUP(Customer[[#This Row],[Customer ID]],[1]!Address[ID],[1]!Address[Phone No.(2)])</f>
        <v/>
      </c>
      <c r="V1384" s="11" t="str">
        <f>_xlfn.XLOOKUP(Customer[[#This Row],[Customer ID]],[1]!Address[ID],[1]!Address[Type])</f>
        <v>PETROMART</v>
      </c>
      <c r="W1384" s="11" t="str">
        <f>_xlfn.XLOOKUP(Customer[[#This Row],[Customer ID]],[1]!Address[ID],[1]!Address[CT])</f>
        <v>30</v>
      </c>
      <c r="X1384" s="11" t="s">
        <v>39</v>
      </c>
      <c r="Y1384" s="17" t="s">
        <v>40</v>
      </c>
      <c r="Z1384" s="17" t="e">
        <f>_xlfn.XLOOKUP(Customer[[#This Row],[NewType]],$AF$36:$AF$54,$AG$36:$AG$54)</f>
        <v>#N/A</v>
      </c>
      <c r="AA1384" s="17" t="s">
        <v>8989</v>
      </c>
      <c r="AB1384" s="11" t="str">
        <f>_xlfn.XLOOKUP(Customer[[#This Row],[Customer ID]],[1]!Address[ID],[1]!Address[Subtype])</f>
        <v>XPRESS POINT</v>
      </c>
      <c r="AC1384" s="18" t="str">
        <f>_xlfn.XLOOKUP(Customer[[#This Row],[Customer ID]],[1]!Address[ID],[1]!Address[Zone])</f>
        <v>NORTH</v>
      </c>
    </row>
    <row r="1385" spans="1:30" x14ac:dyDescent="0.3">
      <c r="A1385" s="37" t="s">
        <v>8990</v>
      </c>
      <c r="B1385" s="38" t="str">
        <f>_xlfn.XLOOKUP(Customer[[#This Row],[Customer ID]],[1]!Name[ID],[1]!Name[Description(1)])</f>
        <v>LUTFI - HYRAX</v>
      </c>
      <c r="C1385" s="38" t="str">
        <f>_xlfn.XLOOKUP(Customer[[#This Row],[Customer ID]],[1]!Name[ID],[1]!Name[Description(2)])</f>
        <v/>
      </c>
      <c r="D1385" s="38" t="str">
        <f>_xlfn.XLOOKUP(Customer[[#This Row],[Customer ID]],[1]!Address[ID],[1]!Address[PIC])</f>
        <v/>
      </c>
      <c r="E1385" s="38" t="str">
        <f>_xlfn.XLOOKUP(Customer[[#This Row],[Customer ID]],[1]!Address[ID],[1]!Address[Full Address])</f>
        <v>27, JALAN KENT 3,KAMPUNG DATUK KERAMAT, 54000KUALA LUMPUR, WILAYAH PERSEKUTUANKUALA LUMPUR.</v>
      </c>
      <c r="F1385" s="12" t="s">
        <v>8991</v>
      </c>
      <c r="G1385" s="12" t="s">
        <v>8992</v>
      </c>
      <c r="H1385" s="12" t="s">
        <v>8993</v>
      </c>
      <c r="I1385" s="12" t="b">
        <f>ISNUMBER(VALUE(LEFT(Customer[[#This Row],[Address Line 3 (30 char)]],1)))</f>
        <v>0</v>
      </c>
      <c r="J1385" s="12" t="s">
        <v>34</v>
      </c>
      <c r="K1385" s="12">
        <v>54000</v>
      </c>
      <c r="L1385" s="12" t="s">
        <v>35</v>
      </c>
      <c r="M1385" s="13" t="e">
        <v>#N/A</v>
      </c>
      <c r="N1385" s="14" t="e">
        <v>#N/A</v>
      </c>
      <c r="O1385" s="14" t="e">
        <v>#N/A</v>
      </c>
      <c r="P1385" s="14" t="e">
        <v>#N/A</v>
      </c>
      <c r="Q1385" s="14" t="e">
        <v>#N/A</v>
      </c>
      <c r="R1385" s="15" t="s">
        <v>8994</v>
      </c>
      <c r="S1385" s="15" t="s">
        <v>88</v>
      </c>
      <c r="T1385" s="16" t="s">
        <v>89</v>
      </c>
      <c r="U1385" s="11" t="str">
        <f>_xlfn.XLOOKUP(Customer[[#This Row],[Customer ID]],[1]!Address[ID],[1]!Address[Phone No.(2)])</f>
        <v/>
      </c>
      <c r="V1385" s="11" t="str">
        <f>_xlfn.XLOOKUP(Customer[[#This Row],[Customer ID]],[1]!Address[ID],[1]!Address[Type])</f>
        <v>SOCMED</v>
      </c>
      <c r="W1385" s="11" t="str">
        <f>_xlfn.XLOOKUP(Customer[[#This Row],[Customer ID]],[1]!Address[ID],[1]!Address[CT])</f>
        <v/>
      </c>
      <c r="X1385" s="11"/>
      <c r="Y1385" s="17" t="s">
        <v>90</v>
      </c>
      <c r="Z1385" s="17" t="e">
        <f>_xlfn.XLOOKUP(Customer[[#This Row],[NewType]],$AF$36:$AF$54,$AG$36:$AG$54)</f>
        <v>#N/A</v>
      </c>
      <c r="AA1385" s="17" t="s">
        <v>8995</v>
      </c>
      <c r="AB1385" s="11" t="str">
        <f>_xlfn.XLOOKUP(Customer[[#This Row],[Customer ID]],[1]!Address[ID],[1]!Address[Subtype])</f>
        <v>ONLINE ROS</v>
      </c>
      <c r="AC1385" s="18" t="str">
        <f>_xlfn.XLOOKUP(Customer[[#This Row],[Customer ID]],[1]!Address[ID],[1]!Address[Zone])</f>
        <v>CENTRAL</v>
      </c>
    </row>
    <row r="1386" spans="1:30" x14ac:dyDescent="0.3">
      <c r="A1386" s="37" t="s">
        <v>8996</v>
      </c>
      <c r="B1386" s="38" t="str">
        <f>_xlfn.XLOOKUP(Customer[[#This Row],[Customer ID]],[1]!Name[ID],[1]!Name[Description(1)])</f>
        <v>DAPO BONDA CAFE &amp; CATERING</v>
      </c>
      <c r="C1386" s="38" t="str">
        <f>_xlfn.XLOOKUP(Customer[[#This Row],[Customer ID]],[1]!Name[ID],[1]!Name[Description(2)])</f>
        <v/>
      </c>
      <c r="D1386" s="38" t="str">
        <f>_xlfn.XLOOKUP(Customer[[#This Row],[Customer ID]],[1]!Address[ID],[1]!Address[PIC])</f>
        <v/>
      </c>
      <c r="E1386" s="38" t="str">
        <f>_xlfn.XLOOKUP(Customer[[#This Row],[Customer ID]],[1]!Address[ID],[1]!Address[Full Address])</f>
        <v>LOT 3430 BINTULU TOWN DISTRICT,SUBLOT 144, PARKCITY COMMERCIAL SQUARE,JALAN TUN AHMAD ZAIDI,97000 BINTULU</v>
      </c>
      <c r="F1386" s="12" t="s">
        <v>8997</v>
      </c>
      <c r="G1386" s="12" t="s">
        <v>8998</v>
      </c>
      <c r="H1386" s="12" t="s">
        <v>8999</v>
      </c>
      <c r="I1386" s="12" t="b">
        <f>ISNUMBER(VALUE(LEFT(Customer[[#This Row],[Address Line 3 (30 char)]],1)))</f>
        <v>0</v>
      </c>
      <c r="J1386" s="12" t="s">
        <v>9000</v>
      </c>
      <c r="K1386" s="12">
        <v>97000</v>
      </c>
      <c r="L1386" s="12" t="s">
        <v>35</v>
      </c>
      <c r="M1386" s="13" t="e">
        <v>#N/A</v>
      </c>
      <c r="N1386" s="14" t="e">
        <v>#N/A</v>
      </c>
      <c r="O1386" s="14" t="e">
        <v>#N/A</v>
      </c>
      <c r="P1386" s="14" t="e">
        <v>#N/A</v>
      </c>
      <c r="Q1386" s="14" t="e">
        <v>#N/A</v>
      </c>
      <c r="R1386" s="15" t="s">
        <v>9001</v>
      </c>
      <c r="S1386" s="15" t="s">
        <v>5925</v>
      </c>
      <c r="T1386" s="16" t="s">
        <v>3477</v>
      </c>
      <c r="U1386" s="11" t="str">
        <f>_xlfn.XLOOKUP(Customer[[#This Row],[Customer ID]],[1]!Address[ID],[1]!Address[Phone No.(2)])</f>
        <v/>
      </c>
      <c r="V1386" s="11" t="str">
        <f>_xlfn.XLOOKUP(Customer[[#This Row],[Customer ID]],[1]!Address[ID],[1]!Address[Type])</f>
        <v>CAFE</v>
      </c>
      <c r="W1386" s="11" t="str">
        <f>_xlfn.XLOOKUP(Customer[[#This Row],[Customer ID]],[1]!Address[ID],[1]!Address[CT])</f>
        <v>15 DAYS</v>
      </c>
      <c r="X1386" s="11"/>
      <c r="Y1386" s="17" t="s">
        <v>5926</v>
      </c>
      <c r="Z1386" s="17" t="e">
        <f>_xlfn.XLOOKUP(Customer[[#This Row],[NewType]],$AF$36:$AF$54,$AG$36:$AG$54)</f>
        <v>#N/A</v>
      </c>
      <c r="AA1386" s="17" t="s">
        <v>9002</v>
      </c>
      <c r="AB1386" s="11" t="str">
        <f>_xlfn.XLOOKUP(Customer[[#This Row],[Customer ID]],[1]!Address[ID],[1]!Address[Subtype])</f>
        <v>DAPO BONDA</v>
      </c>
      <c r="AC1386" s="18" t="str">
        <f>_xlfn.XLOOKUP(Customer[[#This Row],[Customer ID]],[1]!Address[ID],[1]!Address[Zone])</f>
        <v>SARAWAK</v>
      </c>
    </row>
    <row r="1387" spans="1:30" x14ac:dyDescent="0.3">
      <c r="A1387" s="37" t="s">
        <v>9003</v>
      </c>
      <c r="B1387" s="38" t="str">
        <f>_xlfn.XLOOKUP(Customer[[#This Row],[Customer ID]],[1]!Name[ID],[1]!Name[Description(1)])</f>
        <v>CHE YAM &amp; FAMILY SDN BHD</v>
      </c>
      <c r="C1387" s="38" t="str">
        <f>_xlfn.XLOOKUP(Customer[[#This Row],[Customer ID]],[1]!Name[ID],[1]!Name[Description(2)])</f>
        <v>CALTEX RANTAU PANJANG</v>
      </c>
      <c r="D1387" s="38" t="str">
        <f>_xlfn.XLOOKUP(Customer[[#This Row],[Customer ID]],[1]!Address[ID],[1]!Address[PIC])</f>
        <v>ZALIZA BINTI AW</v>
      </c>
      <c r="E1387" s="38" t="str">
        <f>_xlfn.XLOOKUP(Customer[[#This Row],[Customer ID]],[1]!Address[ID],[1]!Address[Full Address])</f>
        <v>CALTEX RANTAU PANJANGLot 140, Jalan Lebuh Raya17200 RantauPanjang Kelantan</v>
      </c>
      <c r="F1387" s="12" t="s">
        <v>9004</v>
      </c>
      <c r="G1387" s="12" t="s">
        <v>9005</v>
      </c>
      <c r="H1387" s="24" t="s">
        <v>9006</v>
      </c>
      <c r="I1387" s="24" t="b">
        <f>ISNUMBER(VALUE(LEFT(Customer[[#This Row],[Address Line 3 (30 char)]],1)))</f>
        <v>0</v>
      </c>
      <c r="J1387" s="12" t="s">
        <v>1007</v>
      </c>
      <c r="K1387" s="12">
        <v>17200</v>
      </c>
      <c r="L1387" s="12" t="s">
        <v>35</v>
      </c>
      <c r="M1387" s="13">
        <v>201503174292</v>
      </c>
      <c r="N1387" s="14" t="s">
        <v>9007</v>
      </c>
      <c r="O1387" s="14" t="e">
        <v>#N/A</v>
      </c>
      <c r="P1387" s="14" t="e">
        <v>#N/A</v>
      </c>
      <c r="Q1387" s="14" t="e">
        <v>#N/A</v>
      </c>
      <c r="R1387" s="15" t="s">
        <v>36</v>
      </c>
      <c r="S1387" s="15" t="s">
        <v>37</v>
      </c>
      <c r="T1387" s="16" t="s">
        <v>38</v>
      </c>
      <c r="U1387" s="11" t="str">
        <f>_xlfn.XLOOKUP(Customer[[#This Row],[Customer ID]],[1]!Address[ID],[1]!Address[Phone No.(2)])</f>
        <v/>
      </c>
      <c r="V1387" s="11" t="str">
        <f>_xlfn.XLOOKUP(Customer[[#This Row],[Customer ID]],[1]!Address[ID],[1]!Address[Type])</f>
        <v>PETROMART</v>
      </c>
      <c r="W1387" s="11" t="str">
        <f>_xlfn.XLOOKUP(Customer[[#This Row],[Customer ID]],[1]!Address[ID],[1]!Address[CT])</f>
        <v>30</v>
      </c>
      <c r="X1387" s="11" t="s">
        <v>39</v>
      </c>
      <c r="Y1387" s="17" t="s">
        <v>40</v>
      </c>
      <c r="Z1387" s="17" t="e">
        <f>_xlfn.XLOOKUP(Customer[[#This Row],[NewType]],$AF$36:$AF$54,$AG$36:$AG$54)</f>
        <v>#N/A</v>
      </c>
      <c r="AA1387" s="17" t="s">
        <v>9008</v>
      </c>
      <c r="AB1387" s="11" t="str">
        <f>_xlfn.XLOOKUP(Customer[[#This Row],[Customer ID]],[1]!Address[ID],[1]!Address[Subtype])</f>
        <v>CALTEX</v>
      </c>
      <c r="AC1387" s="18" t="str">
        <f>_xlfn.XLOOKUP(Customer[[#This Row],[Customer ID]],[1]!Address[ID],[1]!Address[Zone])</f>
        <v>EAST COAST</v>
      </c>
    </row>
    <row r="1388" spans="1:30" x14ac:dyDescent="0.3">
      <c r="A1388" s="37" t="s">
        <v>9009</v>
      </c>
      <c r="B1388" s="38" t="str">
        <f>_xlfn.XLOOKUP(Customer[[#This Row],[Customer ID]],[1]!Name[ID],[1]!Name[Description(1)])</f>
        <v>MUHAMMAD TARMIZI BIN ISMAIL</v>
      </c>
      <c r="C1388" s="38" t="str">
        <f>_xlfn.XLOOKUP(Customer[[#This Row],[Customer ID]],[1]!Name[ID],[1]!Name[Description(2)])</f>
        <v/>
      </c>
      <c r="D1388" s="38" t="str">
        <f>_xlfn.XLOOKUP(Customer[[#This Row],[Customer ID]],[1]!Address[ID],[1]!Address[PIC])</f>
        <v/>
      </c>
      <c r="E1388" s="38" t="str">
        <f>_xlfn.XLOOKUP(Customer[[#This Row],[Customer ID]],[1]!Address[ID],[1]!Address[Full Address])</f>
        <v>MAKMAL STRUKTUR BERATKOLEJ KEJURUTERAAN AWAMUITM SHAH ALAM 40450 SHAH ALAMSELANGOR</v>
      </c>
      <c r="F1388" s="12" t="s">
        <v>9010</v>
      </c>
      <c r="G1388" s="12" t="s">
        <v>9011</v>
      </c>
      <c r="H1388" s="12" t="s">
        <v>9012</v>
      </c>
      <c r="I1388" s="12" t="b">
        <f>ISNUMBER(VALUE(LEFT(Customer[[#This Row],[Address Line 3 (30 char)]],1)))</f>
        <v>0</v>
      </c>
      <c r="J1388" s="12" t="s">
        <v>1907</v>
      </c>
      <c r="K1388" s="12">
        <v>40450</v>
      </c>
      <c r="L1388" s="12" t="s">
        <v>35</v>
      </c>
      <c r="M1388" s="13" t="e">
        <v>#N/A</v>
      </c>
      <c r="N1388" s="14" t="e">
        <v>#N/A</v>
      </c>
      <c r="O1388" s="14" t="e">
        <v>#N/A</v>
      </c>
      <c r="P1388" s="14" t="e">
        <v>#N/A</v>
      </c>
      <c r="Q1388" s="14" t="e">
        <v>#N/A</v>
      </c>
      <c r="R1388" s="15" t="s">
        <v>9013</v>
      </c>
      <c r="S1388" s="15" t="s">
        <v>3212</v>
      </c>
      <c r="T1388" s="16" t="s">
        <v>89</v>
      </c>
      <c r="U1388" s="11" t="str">
        <f>_xlfn.XLOOKUP(Customer[[#This Row],[Customer ID]],[1]!Address[ID],[1]!Address[Phone No.(2)])</f>
        <v/>
      </c>
      <c r="V1388" s="11" t="str">
        <f>_xlfn.XLOOKUP(Customer[[#This Row],[Customer ID]],[1]!Address[ID],[1]!Address[Type])</f>
        <v>SOCMED</v>
      </c>
      <c r="W1388" s="11" t="str">
        <f>_xlfn.XLOOKUP(Customer[[#This Row],[Customer ID]],[1]!Address[ID],[1]!Address[CT])</f>
        <v/>
      </c>
      <c r="X1388" s="11"/>
      <c r="Y1388" s="17" t="s">
        <v>90</v>
      </c>
      <c r="Z1388" s="17" t="e">
        <f>_xlfn.XLOOKUP(Customer[[#This Row],[NewType]],$AF$36:$AF$54,$AG$36:$AG$54)</f>
        <v>#N/A</v>
      </c>
      <c r="AA1388" s="17" t="s">
        <v>9014</v>
      </c>
      <c r="AB1388" s="11" t="str">
        <f>_xlfn.XLOOKUP(Customer[[#This Row],[Customer ID]],[1]!Address[ID],[1]!Address[Subtype])</f>
        <v>ONLINE HAJAR</v>
      </c>
      <c r="AC1388" s="18" t="str">
        <f>_xlfn.XLOOKUP(Customer[[#This Row],[Customer ID]],[1]!Address[ID],[1]!Address[Zone])</f>
        <v>CENTRAL</v>
      </c>
    </row>
    <row r="1389" spans="1:30" x14ac:dyDescent="0.3">
      <c r="A1389" s="37" t="s">
        <v>9015</v>
      </c>
      <c r="B1389" s="38" t="str">
        <f>_xlfn.XLOOKUP(Customer[[#This Row],[Customer ID]],[1]!Name[ID],[1]!Name[Description(1)])</f>
        <v>SHAFENAZ VENTURES</v>
      </c>
      <c r="C1389" s="38" t="str">
        <f>_xlfn.XLOOKUP(Customer[[#This Row],[Customer ID]],[1]!Name[ID],[1]!Name[Description(2)])</f>
        <v>MM PAHANG</v>
      </c>
      <c r="D1389" s="38" t="str">
        <f>_xlfn.XLOOKUP(Customer[[#This Row],[Customer ID]],[1]!Address[ID],[1]!Address[PIC])</f>
        <v/>
      </c>
      <c r="E1389" s="38" t="str">
        <f>_xlfn.XLOOKUP(Customer[[#This Row],[Customer ID]],[1]!Address[ID],[1]!Address[Full Address])</f>
        <v>MM PAHANGLOT 3 KAWASAN PERINDUTRIAN26500 MARAN, PAHANG</v>
      </c>
      <c r="F1389" s="12" t="s">
        <v>9016</v>
      </c>
      <c r="G1389" s="12" t="s">
        <v>9017</v>
      </c>
      <c r="H1389" s="24" t="s">
        <v>9018</v>
      </c>
      <c r="I1389" s="24" t="b">
        <f>ISNUMBER(VALUE(LEFT(Customer[[#This Row],[Address Line 3 (30 char)]],1)))</f>
        <v>0</v>
      </c>
      <c r="J1389" s="12" t="s">
        <v>339</v>
      </c>
      <c r="K1389" s="12">
        <v>26500</v>
      </c>
      <c r="L1389" s="12" t="s">
        <v>35</v>
      </c>
      <c r="M1389" s="13" t="e">
        <v>#N/A</v>
      </c>
      <c r="N1389" s="14" t="e">
        <v>#N/A</v>
      </c>
      <c r="O1389" s="14" t="e">
        <v>#N/A</v>
      </c>
      <c r="P1389" s="14" t="e">
        <v>#N/A</v>
      </c>
      <c r="Q1389" s="19" t="s">
        <v>9019</v>
      </c>
      <c r="R1389" s="15" t="s">
        <v>9020</v>
      </c>
      <c r="S1389" s="15" t="s">
        <v>37</v>
      </c>
      <c r="T1389" s="16" t="s">
        <v>38</v>
      </c>
      <c r="U1389" s="11" t="str">
        <f>_xlfn.XLOOKUP(Customer[[#This Row],[Customer ID]],[1]!Address[ID],[1]!Address[Phone No.(2)])</f>
        <v/>
      </c>
      <c r="V1389" s="11" t="str">
        <f>_xlfn.XLOOKUP(Customer[[#This Row],[Customer ID]],[1]!Address[ID],[1]!Address[Type])</f>
        <v>PETROMART</v>
      </c>
      <c r="W1389" s="11" t="str">
        <f>_xlfn.XLOOKUP(Customer[[#This Row],[Customer ID]],[1]!Address[ID],[1]!Address[CT])</f>
        <v>30</v>
      </c>
      <c r="X1389" s="11" t="s">
        <v>39</v>
      </c>
      <c r="Y1389" s="17" t="s">
        <v>40</v>
      </c>
      <c r="Z1389" s="17" t="e">
        <f>_xlfn.XLOOKUP(Customer[[#This Row],[NewType]],$AF$36:$AF$54,$AG$36:$AG$54)</f>
        <v>#N/A</v>
      </c>
      <c r="AA1389" s="17" t="s">
        <v>9021</v>
      </c>
      <c r="AB1389" s="11" t="str">
        <f>_xlfn.XLOOKUP(Customer[[#This Row],[Customer ID]],[1]!Address[ID],[1]!Address[Subtype])</f>
        <v>PETRONAS</v>
      </c>
      <c r="AC1389" s="18" t="str">
        <f>_xlfn.XLOOKUP(Customer[[#This Row],[Customer ID]],[1]!Address[ID],[1]!Address[Zone])</f>
        <v>EAST COAST</v>
      </c>
    </row>
    <row r="1390" spans="1:30" x14ac:dyDescent="0.3">
      <c r="A1390" s="37" t="s">
        <v>9022</v>
      </c>
      <c r="B1390" s="38" t="str">
        <f>_xlfn.XLOOKUP(Customer[[#This Row],[Customer ID]],[1]!Name[ID],[1]!Name[Description(1)])</f>
        <v>FARMASI SAAS II (SAAS IMPIANA SDN BHD)</v>
      </c>
      <c r="C1390" s="38" t="str">
        <f>_xlfn.XLOOKUP(Customer[[#This Row],[Customer ID]],[1]!Name[ID],[1]!Name[Description(2)])</f>
        <v/>
      </c>
      <c r="D1390" s="38" t="str">
        <f>_xlfn.XLOOKUP(Customer[[#This Row],[Customer ID]],[1]!Address[ID],[1]!Address[PIC])</f>
        <v/>
      </c>
      <c r="E1390" s="38" t="str">
        <f>_xlfn.XLOOKUP(Customer[[#This Row],[Customer ID]],[1]!Address[ID],[1]!Address[Full Address])</f>
        <v>PT 731B, KG PINTU GERBANG, TAWANG,16020 BACHOK, KELANTAN</v>
      </c>
      <c r="F1390" s="12" t="s">
        <v>9023</v>
      </c>
      <c r="G1390" s="12" t="s">
        <v>9024</v>
      </c>
      <c r="H1390" s="12" t="s">
        <v>9025</v>
      </c>
      <c r="I1390" s="12" t="b">
        <f>ISNUMBER(VALUE(LEFT(Customer[[#This Row],[Address Line 3 (30 char)]],1)))</f>
        <v>0</v>
      </c>
      <c r="J1390" s="12" t="s">
        <v>1007</v>
      </c>
      <c r="K1390" s="12">
        <v>16020</v>
      </c>
      <c r="L1390" s="12" t="s">
        <v>35</v>
      </c>
      <c r="M1390" s="13" t="e">
        <v>#N/A</v>
      </c>
      <c r="N1390" s="14" t="e">
        <v>#N/A</v>
      </c>
      <c r="O1390" s="14" t="e">
        <v>#N/A</v>
      </c>
      <c r="P1390" s="14" t="e">
        <v>#N/A</v>
      </c>
      <c r="Q1390" s="14" t="e">
        <v>#N/A</v>
      </c>
      <c r="R1390" s="15" t="s">
        <v>9026</v>
      </c>
      <c r="S1390" s="15" t="s">
        <v>88</v>
      </c>
      <c r="T1390" s="16" t="s">
        <v>89</v>
      </c>
      <c r="U1390" s="11" t="str">
        <f>_xlfn.XLOOKUP(Customer[[#This Row],[Customer ID]],[1]!Address[ID],[1]!Address[Phone No.(2)])</f>
        <v/>
      </c>
      <c r="V1390" s="11" t="str">
        <f>_xlfn.XLOOKUP(Customer[[#This Row],[Customer ID]],[1]!Address[ID],[1]!Address[Type])</f>
        <v>SOCMED</v>
      </c>
      <c r="W1390" s="11" t="str">
        <f>_xlfn.XLOOKUP(Customer[[#This Row],[Customer ID]],[1]!Address[ID],[1]!Address[CT])</f>
        <v/>
      </c>
      <c r="X1390" s="11"/>
      <c r="Y1390" s="17" t="s">
        <v>90</v>
      </c>
      <c r="Z1390" s="17" t="e">
        <f>_xlfn.XLOOKUP(Customer[[#This Row],[NewType]],$AF$36:$AF$54,$AG$36:$AG$54)</f>
        <v>#N/A</v>
      </c>
      <c r="AA1390" s="17" t="s">
        <v>9027</v>
      </c>
      <c r="AB1390" s="11" t="str">
        <f>_xlfn.XLOOKUP(Customer[[#This Row],[Customer ID]],[1]!Address[ID],[1]!Address[Subtype])</f>
        <v>ONLINE ROS</v>
      </c>
      <c r="AC1390" s="18" t="str">
        <f>_xlfn.XLOOKUP(Customer[[#This Row],[Customer ID]],[1]!Address[ID],[1]!Address[Zone])</f>
        <v>EAST COAST</v>
      </c>
    </row>
    <row r="1391" spans="1:30" x14ac:dyDescent="0.3">
      <c r="A1391" s="10" t="s">
        <v>9028</v>
      </c>
      <c r="B1391" s="11" t="str">
        <f>_xlfn.XLOOKUP(Customer[[#This Row],[Customer ID]],[1]!Name[ID],[1]!Name[Description(1)])</f>
        <v>DATO BADARUDDIN</v>
      </c>
      <c r="C1391" s="32" t="str">
        <f>_xlfn.XLOOKUP(Customer[[#This Row],[Customer ID]],[1]!Name[ID],[1]!Name[Description(2)])</f>
        <v/>
      </c>
      <c r="D1391" s="38" t="str">
        <f>_xlfn.XLOOKUP(Customer[[#This Row],[Customer ID]],[1]!Address[ID],[1]!Address[PIC])</f>
        <v/>
      </c>
      <c r="E1391" s="38" t="str">
        <f>_xlfn.XLOOKUP(Customer[[#This Row],[Customer ID]],[1]!Address[ID],[1]!Address[Full Address])</f>
        <v>NO 4, JALAN 2/1 J, MUTIARA BANGI</v>
      </c>
      <c r="F1391" s="12" t="s">
        <v>9029</v>
      </c>
      <c r="G1391" s="12" t="s">
        <v>9030</v>
      </c>
      <c r="H1391" s="12" t="s">
        <v>36</v>
      </c>
      <c r="I1391" s="12" t="b">
        <f>ISNUMBER(VALUE(LEFT(Customer[[#This Row],[Address Line 3 (30 char)]],1)))</f>
        <v>0</v>
      </c>
      <c r="J1391" s="32" t="s">
        <v>172</v>
      </c>
      <c r="K1391" s="32"/>
      <c r="L1391" s="12" t="s">
        <v>35</v>
      </c>
      <c r="M1391" s="13" t="e">
        <v>#N/A</v>
      </c>
      <c r="N1391" s="14" t="e">
        <v>#N/A</v>
      </c>
      <c r="O1391" s="14" t="e">
        <v>#N/A</v>
      </c>
      <c r="P1391" s="14" t="e">
        <v>#N/A</v>
      </c>
      <c r="Q1391" s="14" t="e">
        <v>#N/A</v>
      </c>
      <c r="R1391" s="15" t="s">
        <v>9031</v>
      </c>
      <c r="S1391" s="15" t="s">
        <v>4271</v>
      </c>
      <c r="T1391" s="16" t="s">
        <v>89</v>
      </c>
      <c r="U1391" s="11" t="str">
        <f>_xlfn.XLOOKUP(Customer[[#This Row],[Customer ID]],[1]!Address[ID],[1]!Address[Phone No.(2)])</f>
        <v/>
      </c>
      <c r="V1391" s="11" t="str">
        <f>_xlfn.XLOOKUP(Customer[[#This Row],[Customer ID]],[1]!Address[ID],[1]!Address[Type])</f>
        <v>SOCMED</v>
      </c>
      <c r="W1391" s="11" t="str">
        <f>_xlfn.XLOOKUP(Customer[[#This Row],[Customer ID]],[1]!Address[ID],[1]!Address[CT])</f>
        <v/>
      </c>
      <c r="X1391" s="11"/>
      <c r="Y1391" s="17" t="s">
        <v>90</v>
      </c>
      <c r="Z1391" s="17" t="e">
        <f>_xlfn.XLOOKUP(Customer[[#This Row],[NewType]],$AF$36:$AF$54,$AG$36:$AG$54)</f>
        <v>#N/A</v>
      </c>
      <c r="AA1391" s="17" t="s">
        <v>9032</v>
      </c>
      <c r="AB1391" s="11" t="str">
        <f>_xlfn.XLOOKUP(Customer[[#This Row],[Customer ID]],[1]!Address[ID],[1]!Address[Subtype])</f>
        <v>WHATSAPP</v>
      </c>
      <c r="AC1391" s="18" t="str">
        <f>_xlfn.XLOOKUP(Customer[[#This Row],[Customer ID]],[1]!Address[ID],[1]!Address[Zone])</f>
        <v>CENTRAL</v>
      </c>
    </row>
    <row r="1392" spans="1:30" x14ac:dyDescent="0.3">
      <c r="A1392" s="10" t="s">
        <v>9033</v>
      </c>
      <c r="B1392" s="11" t="str">
        <f>_xlfn.XLOOKUP(Customer[[#This Row],[Customer ID]],[1]!Name[ID],[1]!Name[Description(1)])</f>
        <v>HAFIZAL BIN ABDUL WAHAB</v>
      </c>
      <c r="C1392" s="38" t="str">
        <f>_xlfn.XLOOKUP(Customer[[#This Row],[Customer ID]],[1]!Name[ID],[1]!Name[Description(2)])</f>
        <v/>
      </c>
      <c r="D1392" s="38" t="str">
        <f>_xlfn.XLOOKUP(Customer[[#This Row],[Customer ID]],[1]!Address[ID],[1]!Address[PIC])</f>
        <v>HAFIZAL</v>
      </c>
      <c r="E1392" s="38" t="str">
        <f>_xlfn.XLOOKUP(Customer[[#This Row],[Customer ID]],[1]!Address[ID],[1]!Address[Full Address])</f>
        <v>NO 22, JALAN BM 1/1, SEKSYEN 1,BANDAR BUKIT MAHKOTA,BANGI 43000 KAJANG, SELANGOR</v>
      </c>
      <c r="F1392" s="12" t="s">
        <v>9034</v>
      </c>
      <c r="G1392" s="12" t="s">
        <v>6205</v>
      </c>
      <c r="H1392" s="12" t="s">
        <v>9035</v>
      </c>
      <c r="I1392" s="12" t="b">
        <f>ISNUMBER(VALUE(LEFT(Customer[[#This Row],[Address Line 3 (30 char)]],1)))</f>
        <v>0</v>
      </c>
      <c r="J1392" s="12" t="s">
        <v>172</v>
      </c>
      <c r="K1392" s="12">
        <v>43000</v>
      </c>
      <c r="L1392" s="12" t="s">
        <v>35</v>
      </c>
      <c r="M1392" s="13" t="e">
        <v>#N/A</v>
      </c>
      <c r="N1392" s="14" t="e">
        <v>#N/A</v>
      </c>
      <c r="O1392" s="14" t="e">
        <v>#N/A</v>
      </c>
      <c r="P1392" s="14" t="e">
        <v>#N/A</v>
      </c>
      <c r="Q1392" s="14" t="e">
        <v>#N/A</v>
      </c>
      <c r="R1392" s="15" t="s">
        <v>9036</v>
      </c>
      <c r="S1392" s="15" t="s">
        <v>4271</v>
      </c>
      <c r="T1392" s="16" t="s">
        <v>89</v>
      </c>
      <c r="U1392" s="11" t="str">
        <f>_xlfn.XLOOKUP(Customer[[#This Row],[Customer ID]],[1]!Address[ID],[1]!Address[Phone No.(2)])</f>
        <v/>
      </c>
      <c r="V1392" s="11" t="str">
        <f>_xlfn.XLOOKUP(Customer[[#This Row],[Customer ID]],[1]!Address[ID],[1]!Address[Type])</f>
        <v>SOCMED</v>
      </c>
      <c r="W1392" s="11" t="str">
        <f>_xlfn.XLOOKUP(Customer[[#This Row],[Customer ID]],[1]!Address[ID],[1]!Address[CT])</f>
        <v/>
      </c>
      <c r="X1392" s="11"/>
      <c r="Y1392" s="17" t="s">
        <v>90</v>
      </c>
      <c r="Z1392" s="17" t="e">
        <f>_xlfn.XLOOKUP(Customer[[#This Row],[NewType]],$AF$36:$AF$54,$AG$36:$AG$54)</f>
        <v>#N/A</v>
      </c>
      <c r="AA1392" s="17" t="s">
        <v>9037</v>
      </c>
      <c r="AB1392" s="11" t="str">
        <f>_xlfn.XLOOKUP(Customer[[#This Row],[Customer ID]],[1]!Address[ID],[1]!Address[Subtype])</f>
        <v>WHATSAPP</v>
      </c>
      <c r="AC1392" s="18">
        <f>_xlfn.XLOOKUP(Customer[[#This Row],[Customer ID]],[1]!Address[ID],[1]!Address[Zone])</f>
        <v>0</v>
      </c>
    </row>
    <row r="1393" spans="1:30" x14ac:dyDescent="0.3">
      <c r="A1393" s="37" t="s">
        <v>9038</v>
      </c>
      <c r="B1393" s="38" t="str">
        <f>_xlfn.XLOOKUP(Customer[[#This Row],[Customer ID]],[1]!Name[ID],[1]!Name[Description(1)])</f>
        <v>VIORA EMPIRE ENT</v>
      </c>
      <c r="C1393" s="38" t="str">
        <f>_xlfn.XLOOKUP(Customer[[#This Row],[Customer ID]],[1]!Name[ID],[1]!Name[Description(2)])</f>
        <v/>
      </c>
      <c r="D1393" s="38" t="str">
        <f>_xlfn.XLOOKUP(Customer[[#This Row],[Customer ID]],[1]!Address[ID],[1]!Address[PIC])</f>
        <v/>
      </c>
      <c r="E1393" s="38" t="str">
        <f>_xlfn.XLOOKUP(Customer[[#This Row],[Customer ID]],[1]!Address[ID],[1]!Address[Full Address])</f>
        <v>LOT 49622, JALAN OTHMAN LAMA,RANTAU PANJANG, 42100 KLANG,SELANGOR</v>
      </c>
      <c r="F1393" s="12" t="s">
        <v>9039</v>
      </c>
      <c r="G1393" s="12" t="s">
        <v>9040</v>
      </c>
      <c r="H1393" s="12"/>
      <c r="I1393" s="12" t="b">
        <f>ISNUMBER(VALUE(LEFT(Customer[[#This Row],[Address Line 3 (30 char)]],1)))</f>
        <v>0</v>
      </c>
      <c r="J1393" s="12" t="s">
        <v>1907</v>
      </c>
      <c r="K1393" s="12">
        <v>42100</v>
      </c>
      <c r="L1393" s="12" t="s">
        <v>35</v>
      </c>
      <c r="M1393" s="13" t="e">
        <v>#N/A</v>
      </c>
      <c r="N1393" s="14" t="e">
        <v>#N/A</v>
      </c>
      <c r="O1393" s="14" t="e">
        <v>#N/A</v>
      </c>
      <c r="P1393" s="14" t="e">
        <v>#N/A</v>
      </c>
      <c r="Q1393" s="14" t="e">
        <v>#N/A</v>
      </c>
      <c r="R1393" s="15" t="s">
        <v>9041</v>
      </c>
      <c r="S1393" s="15" t="s">
        <v>88</v>
      </c>
      <c r="T1393" s="16" t="s">
        <v>89</v>
      </c>
      <c r="U1393" s="11" t="str">
        <f>_xlfn.XLOOKUP(Customer[[#This Row],[Customer ID]],[1]!Address[ID],[1]!Address[Phone No.(2)])</f>
        <v/>
      </c>
      <c r="V1393" s="11" t="str">
        <f>_xlfn.XLOOKUP(Customer[[#This Row],[Customer ID]],[1]!Address[ID],[1]!Address[Type])</f>
        <v>SOCMED</v>
      </c>
      <c r="W1393" s="11" t="str">
        <f>_xlfn.XLOOKUP(Customer[[#This Row],[Customer ID]],[1]!Address[ID],[1]!Address[CT])</f>
        <v/>
      </c>
      <c r="X1393" s="11"/>
      <c r="Y1393" s="17" t="s">
        <v>90</v>
      </c>
      <c r="Z1393" s="17" t="e">
        <f>_xlfn.XLOOKUP(Customer[[#This Row],[NewType]],$AF$36:$AF$54,$AG$36:$AG$54)</f>
        <v>#N/A</v>
      </c>
      <c r="AA1393" s="17" t="s">
        <v>9042</v>
      </c>
      <c r="AB1393" s="11" t="str">
        <f>_xlfn.XLOOKUP(Customer[[#This Row],[Customer ID]],[1]!Address[ID],[1]!Address[Subtype])</f>
        <v>ONLINE ROS</v>
      </c>
      <c r="AC1393" s="18" t="str">
        <f>_xlfn.XLOOKUP(Customer[[#This Row],[Customer ID]],[1]!Address[ID],[1]!Address[Zone])</f>
        <v>EEEDH</v>
      </c>
    </row>
    <row r="1394" spans="1:30" x14ac:dyDescent="0.3">
      <c r="A1394" s="37" t="s">
        <v>9043</v>
      </c>
      <c r="B1394" s="38" t="str">
        <f>_xlfn.XLOOKUP(Customer[[#This Row],[Customer ID]],[1]!Name[ID],[1]!Name[Description(1)])</f>
        <v>YP HEVEA SDN BHD</v>
      </c>
      <c r="C1394" s="38" t="str">
        <f>_xlfn.XLOOKUP(Customer[[#This Row],[Customer ID]],[1]!Name[ID],[1]!Name[Description(2)])</f>
        <v/>
      </c>
      <c r="D1394" s="38" t="str">
        <f>_xlfn.XLOOKUP(Customer[[#This Row],[Customer ID]],[1]!Address[ID],[1]!Address[PIC])</f>
        <v/>
      </c>
      <c r="E1394" s="38" t="str">
        <f>_xlfn.XLOOKUP(Customer[[#This Row],[Customer ID]],[1]!Address[ID],[1]!Address[Full Address])</f>
        <v>KOMPLEKS YAYASAN PAHANG JALANTANJUNG LUMPUR 26060 KUANTAN , PAHANG</v>
      </c>
      <c r="F1394" s="12" t="s">
        <v>9044</v>
      </c>
      <c r="G1394" s="12" t="s">
        <v>9045</v>
      </c>
      <c r="H1394" s="86" t="s">
        <v>1038</v>
      </c>
      <c r="I1394" s="86" t="b">
        <f>ISNUMBER(VALUE(LEFT(Customer[[#This Row],[Address Line 3 (30 char)]],1)))</f>
        <v>0</v>
      </c>
      <c r="J1394" s="12" t="s">
        <v>339</v>
      </c>
      <c r="K1394" s="12">
        <v>26060</v>
      </c>
      <c r="L1394" s="12" t="s">
        <v>35</v>
      </c>
      <c r="M1394" s="13" t="e">
        <v>#N/A</v>
      </c>
      <c r="N1394" s="14" t="e">
        <v>#N/A</v>
      </c>
      <c r="O1394" s="14" t="e">
        <v>#N/A</v>
      </c>
      <c r="P1394" s="14" t="e">
        <v>#N/A</v>
      </c>
      <c r="Q1394" s="14" t="e">
        <v>#N/A</v>
      </c>
      <c r="R1394" s="15" t="s">
        <v>9046</v>
      </c>
      <c r="S1394" s="15" t="s">
        <v>88</v>
      </c>
      <c r="T1394" s="16" t="s">
        <v>89</v>
      </c>
      <c r="U1394" s="11" t="str">
        <f>_xlfn.XLOOKUP(Customer[[#This Row],[Customer ID]],[1]!Address[ID],[1]!Address[Phone No.(2)])</f>
        <v/>
      </c>
      <c r="V1394" s="11" t="str">
        <f>_xlfn.XLOOKUP(Customer[[#This Row],[Customer ID]],[1]!Address[ID],[1]!Address[Type])</f>
        <v>SOCMED</v>
      </c>
      <c r="W1394" s="11" t="str">
        <f>_xlfn.XLOOKUP(Customer[[#This Row],[Customer ID]],[1]!Address[ID],[1]!Address[CT])</f>
        <v/>
      </c>
      <c r="X1394" s="11"/>
      <c r="Y1394" s="17" t="s">
        <v>90</v>
      </c>
      <c r="Z1394" s="17" t="e">
        <f>_xlfn.XLOOKUP(Customer[[#This Row],[NewType]],$AF$36:$AF$54,$AG$36:$AG$54)</f>
        <v>#N/A</v>
      </c>
      <c r="AA1394" s="17" t="s">
        <v>9047</v>
      </c>
      <c r="AB1394" s="11" t="str">
        <f>_xlfn.XLOOKUP(Customer[[#This Row],[Customer ID]],[1]!Address[ID],[1]!Address[Subtype])</f>
        <v>ONLINE ROS</v>
      </c>
      <c r="AC1394" s="18" t="str">
        <f>_xlfn.XLOOKUP(Customer[[#This Row],[Customer ID]],[1]!Address[ID],[1]!Address[Zone])</f>
        <v>EEEDH</v>
      </c>
    </row>
    <row r="1395" spans="1:30" x14ac:dyDescent="0.3">
      <c r="A1395" s="37" t="s">
        <v>9048</v>
      </c>
      <c r="B1395" s="38" t="str">
        <f>_xlfn.XLOOKUP(Customer[[#This Row],[Customer ID]],[1]!Name[ID],[1]!Name[Description(1)])</f>
        <v>PASARAYA HAFIFAH</v>
      </c>
      <c r="C1395" s="38" t="str">
        <f>_xlfn.XLOOKUP(Customer[[#This Row],[Customer ID]],[1]!Name[ID],[1]!Name[Description(2)])</f>
        <v>HAFIFAH BORONG SDN BHD</v>
      </c>
      <c r="D1395" s="38" t="str">
        <f>_xlfn.XLOOKUP(Customer[[#This Row],[Customer ID]],[1]!Address[ID],[1]!Address[PIC])</f>
        <v>HAZIZAN/HAFIFAH</v>
      </c>
      <c r="E1395" s="38" t="str">
        <f>_xlfn.XLOOKUP(Customer[[#This Row],[Customer ID]],[1]!Address[ID],[1]!Address[Full Address])</f>
        <v>PLAZA MARA, JALAN RAJA SYED ALWI,01000 KANGAR PERLIS</v>
      </c>
      <c r="F1395" s="12" t="s">
        <v>9049</v>
      </c>
      <c r="G1395" s="12" t="s">
        <v>2215</v>
      </c>
      <c r="H1395" s="12" t="s">
        <v>9050</v>
      </c>
      <c r="I1395" s="12" t="b">
        <f>ISNUMBER(VALUE(LEFT(Customer[[#This Row],[Address Line 3 (30 char)]],1)))</f>
        <v>0</v>
      </c>
      <c r="J1395" s="12" t="s">
        <v>984</v>
      </c>
      <c r="K1395" s="42" t="s">
        <v>985</v>
      </c>
      <c r="L1395" s="12" t="s">
        <v>35</v>
      </c>
      <c r="M1395" s="13" t="e">
        <v>#N/A</v>
      </c>
      <c r="N1395" s="14" t="e">
        <v>#N/A</v>
      </c>
      <c r="O1395" s="14" t="e">
        <v>#N/A</v>
      </c>
      <c r="P1395" s="14" t="e">
        <v>#N/A</v>
      </c>
      <c r="Q1395" s="14" t="e">
        <v>#N/A</v>
      </c>
      <c r="R1395" s="15" t="s">
        <v>9051</v>
      </c>
      <c r="S1395" s="15" t="s">
        <v>5917</v>
      </c>
      <c r="T1395" s="16" t="s">
        <v>3477</v>
      </c>
      <c r="U1395" s="11" t="str">
        <f>_xlfn.XLOOKUP(Customer[[#This Row],[Customer ID]],[1]!Address[ID],[1]!Address[Phone No.(2)])</f>
        <v/>
      </c>
      <c r="V1395" s="11" t="str">
        <f>_xlfn.XLOOKUP(Customer[[#This Row],[Customer ID]],[1]!Address[ID],[1]!Address[Type])</f>
        <v>CM</v>
      </c>
      <c r="W1395" s="11" t="str">
        <f>_xlfn.XLOOKUP(Customer[[#This Row],[Customer ID]],[1]!Address[ID],[1]!Address[CT])</f>
        <v>7 DAYS</v>
      </c>
      <c r="X1395" s="11"/>
      <c r="Y1395" s="17" t="s">
        <v>5918</v>
      </c>
      <c r="Z1395" s="17" t="e">
        <f>_xlfn.XLOOKUP(Customer[[#This Row],[NewType]],$AF$36:$AF$54,$AG$36:$AG$54)</f>
        <v>#N/A</v>
      </c>
      <c r="AA1395" s="17" t="s">
        <v>9052</v>
      </c>
      <c r="AB1395" s="11" t="str">
        <f>_xlfn.XLOOKUP(Customer[[#This Row],[Customer ID]],[1]!Address[ID],[1]!Address[Subtype])</f>
        <v>HAFIFAH</v>
      </c>
      <c r="AC1395" s="18" t="str">
        <f>_xlfn.XLOOKUP(Customer[[#This Row],[Customer ID]],[1]!Address[ID],[1]!Address[Zone])</f>
        <v>NORTH</v>
      </c>
    </row>
    <row r="1396" spans="1:30" x14ac:dyDescent="0.3">
      <c r="A1396" s="73" t="s">
        <v>9053</v>
      </c>
      <c r="B1396" s="62" t="str">
        <f>_xlfn.XLOOKUP(Customer[[#This Row],[Customer ID]],[1]!Name[ID],[1]!Name[Description(1)])</f>
        <v>SHARIFAH NADIA</v>
      </c>
      <c r="C1396" s="62" t="str">
        <f>_xlfn.XLOOKUP(Customer[[#This Row],[Customer ID]],[1]!Name[ID],[1]!Name[Description(2)])</f>
        <v/>
      </c>
      <c r="D1396" s="62" t="str">
        <f>_xlfn.XLOOKUP(Customer[[#This Row],[Customer ID]],[1]!Address[ID],[1]!Address[PIC])</f>
        <v/>
      </c>
      <c r="E1396" s="38" t="str">
        <f>_xlfn.XLOOKUP(Customer[[#This Row],[Customer ID]],[1]!Address[ID],[1]!Address[Full Address])</f>
        <v>FARMASI TACOMA JEJAWI TRADING,NO 15 PERSIARAN JEJAWI UTARA,KOMPLEKS PERNIAGAAN UTARA JEJAWI,02600 ARAU, PERLIS</v>
      </c>
      <c r="F1396" s="74" t="s">
        <v>9054</v>
      </c>
      <c r="G1396" s="63" t="s">
        <v>9055</v>
      </c>
      <c r="H1396" s="63" t="s">
        <v>9056</v>
      </c>
      <c r="I1396" s="63" t="b">
        <f>ISNUMBER(VALUE(LEFT(Customer[[#This Row],[Address Line 3 (30 char)]],1)))</f>
        <v>0</v>
      </c>
      <c r="J1396" s="63" t="s">
        <v>984</v>
      </c>
      <c r="K1396" s="75" t="s">
        <v>2472</v>
      </c>
      <c r="L1396" s="63" t="s">
        <v>35</v>
      </c>
      <c r="M1396" s="65" t="e">
        <v>#N/A</v>
      </c>
      <c r="N1396" s="66" t="e">
        <v>#N/A</v>
      </c>
      <c r="O1396" s="66" t="e">
        <v>#N/A</v>
      </c>
      <c r="P1396" s="66" t="e">
        <v>#N/A</v>
      </c>
      <c r="Q1396" s="66" t="e">
        <v>#N/A</v>
      </c>
      <c r="R1396" s="67" t="s">
        <v>9057</v>
      </c>
      <c r="S1396" s="67" t="s">
        <v>88</v>
      </c>
      <c r="T1396" s="76" t="s">
        <v>89</v>
      </c>
      <c r="U1396" s="68" t="str">
        <f>_xlfn.XLOOKUP(Customer[[#This Row],[Customer ID]],[1]!Address[ID],[1]!Address[Phone No.(2)])</f>
        <v/>
      </c>
      <c r="V1396" s="68" t="str">
        <f>_xlfn.XLOOKUP(Customer[[#This Row],[Customer ID]],[1]!Address[ID],[1]!Address[Type])</f>
        <v>SOCMED</v>
      </c>
      <c r="W1396" s="68" t="str">
        <f>_xlfn.XLOOKUP(Customer[[#This Row],[Customer ID]],[1]!Address[ID],[1]!Address[CT])</f>
        <v/>
      </c>
      <c r="X1396" s="68"/>
      <c r="Y1396" s="69" t="s">
        <v>90</v>
      </c>
      <c r="Z1396" s="69" t="e">
        <f>_xlfn.XLOOKUP(Customer[[#This Row],[NewType]],$AF$36:$AF$54,$AG$36:$AG$54)</f>
        <v>#N/A</v>
      </c>
      <c r="AA1396" s="69" t="s">
        <v>9058</v>
      </c>
      <c r="AB1396" s="68" t="str">
        <f>_xlfn.XLOOKUP(Customer[[#This Row],[Customer ID]],[1]!Address[ID],[1]!Address[Subtype])</f>
        <v>ONLINE ROS</v>
      </c>
      <c r="AC1396" s="70" t="str">
        <f>_xlfn.XLOOKUP(Customer[[#This Row],[Customer ID]],[1]!Address[ID],[1]!Address[Zone])</f>
        <v>NORTH</v>
      </c>
      <c r="AD1396" s="71"/>
    </row>
    <row r="1397" spans="1:30" x14ac:dyDescent="0.3">
      <c r="A1397" s="37" t="s">
        <v>9059</v>
      </c>
      <c r="B1397" s="38" t="str">
        <f>_xlfn.XLOOKUP(Customer[[#This Row],[Customer ID]],[1]!Name[ID],[1]!Name[Description(1)])</f>
        <v>TAWAKAL INDAH TRADING</v>
      </c>
      <c r="C1397" s="38" t="str">
        <f>_xlfn.XLOOKUP(Customer[[#This Row],[Customer ID]],[1]!Name[ID],[1]!Name[Description(2)])</f>
        <v/>
      </c>
      <c r="D1397" s="38" t="str">
        <f>_xlfn.XLOOKUP(Customer[[#This Row],[Customer ID]],[1]!Address[ID],[1]!Address[PIC])</f>
        <v/>
      </c>
      <c r="E1397" s="38" t="str">
        <f>_xlfn.XLOOKUP(Customer[[#This Row],[Customer ID]],[1]!Address[ID],[1]!Address[Full Address])</f>
        <v>7-G, MEDAN BUKIT INDAH 2,TAMAN BUKIT INDAH68000 AMPANG SELANGOR</v>
      </c>
      <c r="F1397" s="12" t="s">
        <v>9060</v>
      </c>
      <c r="G1397" s="12" t="s">
        <v>9061</v>
      </c>
      <c r="H1397" s="24" t="s">
        <v>3837</v>
      </c>
      <c r="I1397" s="24" t="b">
        <f>ISNUMBER(VALUE(LEFT(Customer[[#This Row],[Address Line 3 (30 char)]],1)))</f>
        <v>0</v>
      </c>
      <c r="J1397" s="12" t="s">
        <v>1907</v>
      </c>
      <c r="K1397" s="12">
        <v>68000</v>
      </c>
      <c r="L1397" s="12" t="s">
        <v>35</v>
      </c>
      <c r="M1397" s="13" t="s">
        <v>9062</v>
      </c>
      <c r="N1397" s="14" t="s">
        <v>9063</v>
      </c>
      <c r="O1397" s="14" t="s">
        <v>54</v>
      </c>
      <c r="P1397" s="14">
        <v>47113</v>
      </c>
      <c r="Q1397" s="14" t="s">
        <v>9064</v>
      </c>
      <c r="R1397" s="15" t="s">
        <v>9065</v>
      </c>
      <c r="S1397" s="15" t="s">
        <v>5917</v>
      </c>
      <c r="T1397" s="16" t="s">
        <v>3477</v>
      </c>
      <c r="U1397" s="11" t="str">
        <f>_xlfn.XLOOKUP(Customer[[#This Row],[Customer ID]],[1]!Address[ID],[1]!Address[Phone No.(2)])</f>
        <v/>
      </c>
      <c r="V1397" s="11" t="str">
        <f>_xlfn.XLOOKUP(Customer[[#This Row],[Customer ID]],[1]!Address[ID],[1]!Address[Type])</f>
        <v>CM</v>
      </c>
      <c r="W1397" s="11" t="str">
        <f>_xlfn.XLOOKUP(Customer[[#This Row],[Customer ID]],[1]!Address[ID],[1]!Address[CT])</f>
        <v>30 DAYS</v>
      </c>
      <c r="X1397" s="11"/>
      <c r="Y1397" s="17" t="s">
        <v>5918</v>
      </c>
      <c r="Z1397" s="17" t="e">
        <f>_xlfn.XLOOKUP(Customer[[#This Row],[NewType]],$AF$36:$AF$54,$AG$36:$AG$54)</f>
        <v>#N/A</v>
      </c>
      <c r="AA1397" s="17" t="s">
        <v>9066</v>
      </c>
      <c r="AB1397" s="11" t="str">
        <f>_xlfn.XLOOKUP(Customer[[#This Row],[Customer ID]],[1]!Address[ID],[1]!Address[Subtype])</f>
        <v>TAWAKAL</v>
      </c>
      <c r="AC1397" s="18" t="str">
        <f>_xlfn.XLOOKUP(Customer[[#This Row],[Customer ID]],[1]!Address[ID],[1]!Address[Zone])</f>
        <v>CENTRAL</v>
      </c>
    </row>
    <row r="1398" spans="1:30" x14ac:dyDescent="0.3">
      <c r="A1398" s="37" t="s">
        <v>9067</v>
      </c>
      <c r="B1398" s="38" t="str">
        <f>_xlfn.XLOOKUP(Customer[[#This Row],[Customer ID]],[1]!Name[ID],[1]!Name[Description(1)])</f>
        <v>K3 PHARMACY SDN. BHD.</v>
      </c>
      <c r="C1398" s="38" t="str">
        <f>_xlfn.XLOOKUP(Customer[[#This Row],[Customer ID]],[1]!Name[ID],[1]!Name[Description(2)])</f>
        <v/>
      </c>
      <c r="D1398" s="38" t="str">
        <f>_xlfn.XLOOKUP(Customer[[#This Row],[Customer ID]],[1]!Address[ID],[1]!Address[PIC])</f>
        <v/>
      </c>
      <c r="E1398" s="38" t="str">
        <f>_xlfn.XLOOKUP(Customer[[#This Row],[Customer ID]],[1]!Address[ID],[1]!Address[Full Address])</f>
        <v>17-G, JALAN PRIMA UTAMA 1A,TAMAN PUCHONG PRIMA,41750 PUCHONG,SELANGOR</v>
      </c>
      <c r="F1398" s="12" t="s">
        <v>9068</v>
      </c>
      <c r="G1398" s="12" t="s">
        <v>9069</v>
      </c>
      <c r="H1398" s="24" t="s">
        <v>9070</v>
      </c>
      <c r="I1398" s="24" t="b">
        <f>ISNUMBER(VALUE(LEFT(Customer[[#This Row],[Address Line 3 (30 char)]],1)))</f>
        <v>0</v>
      </c>
      <c r="J1398" s="12" t="s">
        <v>1907</v>
      </c>
      <c r="K1398" s="12">
        <v>41750</v>
      </c>
      <c r="L1398" s="12" t="s">
        <v>35</v>
      </c>
      <c r="M1398" s="13" t="e">
        <v>#N/A</v>
      </c>
      <c r="N1398" s="14" t="e">
        <v>#N/A</v>
      </c>
      <c r="O1398" s="14" t="e">
        <v>#N/A</v>
      </c>
      <c r="P1398" s="14" t="e">
        <v>#N/A</v>
      </c>
      <c r="Q1398" s="14" t="e">
        <v>#N/A</v>
      </c>
      <c r="R1398" s="15" t="s">
        <v>9071</v>
      </c>
      <c r="S1398" s="15" t="s">
        <v>3476</v>
      </c>
      <c r="T1398" s="16" t="s">
        <v>3477</v>
      </c>
      <c r="U1398" s="11" t="str">
        <f>_xlfn.XLOOKUP(Customer[[#This Row],[Customer ID]],[1]!Address[ID],[1]!Address[Phone No.(2)])</f>
        <v/>
      </c>
      <c r="V1398" s="11" t="str">
        <f>_xlfn.XLOOKUP(Customer[[#This Row],[Customer ID]],[1]!Address[ID],[1]!Address[Type])</f>
        <v>PH</v>
      </c>
      <c r="W1398" s="11" t="str">
        <f>_xlfn.XLOOKUP(Customer[[#This Row],[Customer ID]],[1]!Address[ID],[1]!Address[CT])</f>
        <v>CASH</v>
      </c>
      <c r="X1398" s="11"/>
      <c r="Y1398" s="17" t="s">
        <v>5955</v>
      </c>
      <c r="Z1398" s="17" t="e">
        <f>_xlfn.XLOOKUP(Customer[[#This Row],[NewType]],$AF$36:$AF$54,$AG$36:$AG$54)</f>
        <v>#N/A</v>
      </c>
      <c r="AA1398" s="17" t="s">
        <v>9072</v>
      </c>
      <c r="AB1398" s="11" t="str">
        <f>_xlfn.XLOOKUP(Customer[[#This Row],[Customer ID]],[1]!Address[ID],[1]!Address[Subtype])</f>
        <v>K3 PHARMACY</v>
      </c>
      <c r="AC1398" s="18" t="str">
        <f>_xlfn.XLOOKUP(Customer[[#This Row],[Customer ID]],[1]!Address[ID],[1]!Address[Zone])</f>
        <v>CENTRAL</v>
      </c>
    </row>
    <row r="1399" spans="1:30" x14ac:dyDescent="0.3">
      <c r="A1399" s="37" t="s">
        <v>9073</v>
      </c>
      <c r="B1399" s="38" t="str">
        <f>_xlfn.XLOOKUP(Customer[[#This Row],[Customer ID]],[1]!Name[ID],[1]!Name[Description(1)])</f>
        <v>MSN - LE TOUR DE LANGKAWI</v>
      </c>
      <c r="C1399" s="38" t="str">
        <f>_xlfn.XLOOKUP(Customer[[#This Row],[Customer ID]],[1]!Name[ID],[1]!Name[Description(2)])</f>
        <v/>
      </c>
      <c r="D1399" s="38" t="str">
        <f>_xlfn.XLOOKUP(Customer[[#This Row],[Customer ID]],[1]!Address[ID],[1]!Address[PIC])</f>
        <v/>
      </c>
      <c r="E1399" s="38" t="str">
        <f>_xlfn.XLOOKUP(Customer[[#This Row],[Customer ID]],[1]!Address[ID],[1]!Address[Full Address])</f>
        <v>LE TOUR DE LANGKAWI - BUKIT JALILNATIONAL SPORTS COUNCIL OF MALAYSIANATIONAL SPORTS COMPLEX,BUKIT JALIL57000 KUALA LUMPUR</v>
      </c>
      <c r="F1399" s="12" t="s">
        <v>9074</v>
      </c>
      <c r="G1399" s="12" t="s">
        <v>9075</v>
      </c>
      <c r="H1399" s="12" t="s">
        <v>5676</v>
      </c>
      <c r="I1399" s="12" t="b">
        <f>ISNUMBER(VALUE(LEFT(Customer[[#This Row],[Address Line 3 (30 char)]],1)))</f>
        <v>0</v>
      </c>
      <c r="J1399" s="12" t="s">
        <v>34</v>
      </c>
      <c r="K1399" s="12">
        <v>57000</v>
      </c>
      <c r="L1399" s="12" t="s">
        <v>35</v>
      </c>
      <c r="M1399" s="13" t="e">
        <v>#N/A</v>
      </c>
      <c r="N1399" s="14" t="e">
        <v>#N/A</v>
      </c>
      <c r="O1399" s="14" t="e">
        <v>#N/A</v>
      </c>
      <c r="P1399" s="14" t="e">
        <v>#N/A</v>
      </c>
      <c r="Q1399" s="14" t="e">
        <v>#N/A</v>
      </c>
      <c r="R1399" s="15" t="s">
        <v>9076</v>
      </c>
      <c r="S1399" s="15" t="s">
        <v>6418</v>
      </c>
      <c r="T1399" s="16"/>
      <c r="U1399" s="11" t="str">
        <f>_xlfn.XLOOKUP(Customer[[#This Row],[Customer ID]],[1]!Address[ID],[1]!Address[Phone No.(2)])</f>
        <v/>
      </c>
      <c r="V1399" s="11" t="str">
        <f>_xlfn.XLOOKUP(Customer[[#This Row],[Customer ID]],[1]!Address[ID],[1]!Address[Type])</f>
        <v>CORPORATE</v>
      </c>
      <c r="W1399" s="11" t="str">
        <f>_xlfn.XLOOKUP(Customer[[#This Row],[Customer ID]],[1]!Address[ID],[1]!Address[CT])</f>
        <v>30 DAYS</v>
      </c>
      <c r="X1399" s="11"/>
      <c r="Y1399" s="17" t="s">
        <v>6418</v>
      </c>
      <c r="Z1399" s="17" t="e">
        <f>_xlfn.XLOOKUP(Customer[[#This Row],[NewType]],$AF$36:$AF$54,$AG$36:$AG$54)</f>
        <v>#N/A</v>
      </c>
      <c r="AA1399" s="17" t="s">
        <v>9077</v>
      </c>
      <c r="AB1399" s="11" t="str">
        <f>_xlfn.XLOOKUP(Customer[[#This Row],[Customer ID]],[1]!Address[ID],[1]!Address[Subtype])</f>
        <v>LTDL</v>
      </c>
      <c r="AC1399" s="18" t="str">
        <f>_xlfn.XLOOKUP(Customer[[#This Row],[Customer ID]],[1]!Address[ID],[1]!Address[Zone])</f>
        <v>CENTRAL</v>
      </c>
    </row>
    <row r="1400" spans="1:30" x14ac:dyDescent="0.3">
      <c r="A1400" s="101" t="s">
        <v>9078</v>
      </c>
      <c r="B1400" s="102" t="str">
        <f>_xlfn.XLOOKUP(Customer[[#This Row],[Customer ID]],[1]!Name[ID],[1]!Name[Description(1)])</f>
        <v>MR NOH FOOD INDUSTRIES (M) SDN BHD</v>
      </c>
      <c r="C1400" s="62" t="str">
        <f>_xlfn.XLOOKUP(Customer[[#This Row],[Customer ID]],[1]!Name[ID],[1]!Name[Description(2)])</f>
        <v/>
      </c>
      <c r="D1400" s="62" t="str">
        <f>_xlfn.XLOOKUP(Customer[[#This Row],[Customer ID]],[1]!Address[ID],[1]!Address[PIC])</f>
        <v/>
      </c>
      <c r="E1400" s="38" t="str">
        <f>_xlfn.XLOOKUP(Customer[[#This Row],[Customer ID]],[1]!Address[ID],[1]!Address[Full Address])</f>
        <v/>
      </c>
      <c r="F1400" s="29" t="s">
        <v>36</v>
      </c>
      <c r="G1400" s="29" t="s">
        <v>36</v>
      </c>
      <c r="H1400" s="29" t="s">
        <v>36</v>
      </c>
      <c r="I1400" s="29" t="b">
        <f>ISNUMBER(VALUE(LEFT(Customer[[#This Row],[Address Line 3 (30 char)]],1)))</f>
        <v>0</v>
      </c>
      <c r="J1400" s="29" t="s">
        <v>52</v>
      </c>
      <c r="K1400" s="29">
        <v>81300</v>
      </c>
      <c r="L1400" s="29" t="s">
        <v>35</v>
      </c>
      <c r="M1400" s="31" t="e">
        <v>#N/A</v>
      </c>
      <c r="N1400" s="36" t="e">
        <v>#N/A</v>
      </c>
      <c r="O1400" s="36" t="e">
        <v>#N/A</v>
      </c>
      <c r="P1400" s="36" t="e">
        <v>#N/A</v>
      </c>
      <c r="Q1400" s="36" t="e">
        <v>#N/A</v>
      </c>
      <c r="R1400" s="67" t="s">
        <v>9079</v>
      </c>
      <c r="S1400" s="67"/>
      <c r="T1400" s="76"/>
      <c r="U1400" s="68" t="str">
        <f>_xlfn.XLOOKUP(Customer[[#This Row],[Customer ID]],[1]!Address[ID],[1]!Address[Phone No.(2)])</f>
        <v/>
      </c>
      <c r="V1400" s="68" t="str">
        <f>_xlfn.XLOOKUP(Customer[[#This Row],[Customer ID]],[1]!Address[ID],[1]!Address[Type])</f>
        <v>SOCMED</v>
      </c>
      <c r="W1400" s="68" t="str">
        <f>_xlfn.XLOOKUP(Customer[[#This Row],[Customer ID]],[1]!Address[ID],[1]!Address[CT])</f>
        <v/>
      </c>
      <c r="X1400" s="68"/>
      <c r="Y1400" s="69" t="s">
        <v>90</v>
      </c>
      <c r="Z1400" s="69" t="e">
        <f>_xlfn.XLOOKUP(Customer[[#This Row],[NewType]],$AF$36:$AF$54,$AG$36:$AG$54)</f>
        <v>#N/A</v>
      </c>
      <c r="AA1400" s="69" t="s">
        <v>9080</v>
      </c>
      <c r="AB1400" s="68" t="str">
        <f>_xlfn.XLOOKUP(Customer[[#This Row],[Customer ID]],[1]!Address[ID],[1]!Address[Subtype])</f>
        <v>ONLINE ROS</v>
      </c>
      <c r="AC1400" s="70" t="str">
        <f>_xlfn.XLOOKUP(Customer[[#This Row],[Customer ID]],[1]!Address[ID],[1]!Address[Zone])</f>
        <v>EEEDH</v>
      </c>
      <c r="AD1400" s="71"/>
    </row>
    <row r="1401" spans="1:30" x14ac:dyDescent="0.3">
      <c r="A1401" s="37" t="s">
        <v>9081</v>
      </c>
      <c r="B1401" s="38" t="str">
        <f>_xlfn.XLOOKUP(Customer[[#This Row],[Customer ID]],[1]!Name[ID],[1]!Name[Description(1)])</f>
        <v>DENINAAZ DELIGHT (ISNIN TUTUP)</v>
      </c>
      <c r="C1401" s="38" t="str">
        <f>_xlfn.XLOOKUP(Customer[[#This Row],[Customer ID]],[1]!Name[ID],[1]!Name[Description(2)])</f>
        <v/>
      </c>
      <c r="D1401" s="38" t="str">
        <f>_xlfn.XLOOKUP(Customer[[#This Row],[Customer ID]],[1]!Address[ID],[1]!Address[PIC])</f>
        <v/>
      </c>
      <c r="E1401" s="38" t="str">
        <f>_xlfn.XLOOKUP(Customer[[#This Row],[Customer ID]],[1]!Address[ID],[1]!Address[Full Address])</f>
        <v>NO. 18, JALAN SUAKASIH 1/3BANDAR TUN HUSSEIN ONN,43200 CHERAS</v>
      </c>
      <c r="F1401" s="12" t="s">
        <v>9082</v>
      </c>
      <c r="G1401" s="12" t="s">
        <v>9083</v>
      </c>
      <c r="H1401" s="24" t="s">
        <v>5973</v>
      </c>
      <c r="I1401" s="24" t="b">
        <f>ISNUMBER(VALUE(LEFT(Customer[[#This Row],[Address Line 3 (30 char)]],1)))</f>
        <v>0</v>
      </c>
      <c r="J1401" s="12" t="s">
        <v>1907</v>
      </c>
      <c r="K1401" s="12">
        <v>43200</v>
      </c>
      <c r="L1401" s="12" t="s">
        <v>35</v>
      </c>
      <c r="M1401" s="13" t="e">
        <v>#N/A</v>
      </c>
      <c r="N1401" s="14" t="e">
        <v>#N/A</v>
      </c>
      <c r="O1401" s="14" t="e">
        <v>#N/A</v>
      </c>
      <c r="P1401" s="14" t="e">
        <v>#N/A</v>
      </c>
      <c r="Q1401" s="14" t="e">
        <v>#N/A</v>
      </c>
      <c r="R1401" s="15" t="s">
        <v>9084</v>
      </c>
      <c r="S1401" s="15" t="s">
        <v>88</v>
      </c>
      <c r="T1401" s="16" t="s">
        <v>89</v>
      </c>
      <c r="U1401" s="11" t="str">
        <f>_xlfn.XLOOKUP(Customer[[#This Row],[Customer ID]],[1]!Address[ID],[1]!Address[Phone No.(2)])</f>
        <v/>
      </c>
      <c r="V1401" s="11" t="str">
        <f>_xlfn.XLOOKUP(Customer[[#This Row],[Customer ID]],[1]!Address[ID],[1]!Address[Type])</f>
        <v>SOCMED</v>
      </c>
      <c r="W1401" s="11" t="str">
        <f>_xlfn.XLOOKUP(Customer[[#This Row],[Customer ID]],[1]!Address[ID],[1]!Address[CT])</f>
        <v/>
      </c>
      <c r="X1401" s="11"/>
      <c r="Y1401" s="17" t="s">
        <v>90</v>
      </c>
      <c r="Z1401" s="17" t="e">
        <f>_xlfn.XLOOKUP(Customer[[#This Row],[NewType]],$AF$36:$AF$54,$AG$36:$AG$54)</f>
        <v>#N/A</v>
      </c>
      <c r="AA1401" s="17" t="s">
        <v>9085</v>
      </c>
      <c r="AB1401" s="11" t="str">
        <f>_xlfn.XLOOKUP(Customer[[#This Row],[Customer ID]],[1]!Address[ID],[1]!Address[Subtype])</f>
        <v>ONLINE ROS</v>
      </c>
      <c r="AC1401" s="18" t="str">
        <f>_xlfn.XLOOKUP(Customer[[#This Row],[Customer ID]],[1]!Address[ID],[1]!Address[Zone])</f>
        <v>CENTRAL</v>
      </c>
    </row>
    <row r="1402" spans="1:30" x14ac:dyDescent="0.3">
      <c r="A1402" s="37" t="s">
        <v>9086</v>
      </c>
      <c r="B1402" s="38" t="str">
        <f>_xlfn.XLOOKUP(Customer[[#This Row],[Customer ID]],[1]!Name[ID],[1]!Name[Description(1)])</f>
        <v>CERR MART SDN BHD</v>
      </c>
      <c r="C1402" s="38" t="str">
        <f>_xlfn.XLOOKUP(Customer[[#This Row],[Customer ID]],[1]!Name[ID],[1]!Name[Description(2)])</f>
        <v>LEGASI SABASUN HYPER</v>
      </c>
      <c r="D1402" s="38" t="str">
        <f>_xlfn.XLOOKUP(Customer[[#This Row],[Customer ID]],[1]!Address[ID],[1]!Address[PIC])</f>
        <v/>
      </c>
      <c r="E1402" s="38" t="str">
        <f>_xlfn.XLOOKUP(Customer[[#This Row],[Customer ID]],[1]!Address[ID],[1]!Address[Full Address])</f>
        <v>CERR MART SDN BHDNO.8, PERSIARAN PINGGIRAN PUTRA 4A,DESA PINGGIRAN PUTRA,43000 KAJANG, SELANGOR.</v>
      </c>
      <c r="F1402" s="41" t="s">
        <v>9087</v>
      </c>
      <c r="G1402" s="12" t="s">
        <v>9088</v>
      </c>
      <c r="H1402" s="12" t="s">
        <v>9089</v>
      </c>
      <c r="I1402" s="12" t="b">
        <f>ISNUMBER(VALUE(LEFT(Customer[[#This Row],[Address Line 3 (30 char)]],1)))</f>
        <v>0</v>
      </c>
      <c r="J1402" s="12" t="s">
        <v>1907</v>
      </c>
      <c r="K1402" s="12">
        <v>43000</v>
      </c>
      <c r="L1402" s="12" t="s">
        <v>35</v>
      </c>
      <c r="M1402" s="13">
        <v>202101001319</v>
      </c>
      <c r="N1402" s="14" t="s">
        <v>9090</v>
      </c>
      <c r="O1402" s="14" t="s">
        <v>54</v>
      </c>
      <c r="P1402" s="14">
        <v>47199</v>
      </c>
      <c r="Q1402" s="14" t="s">
        <v>9091</v>
      </c>
      <c r="R1402" s="15" t="s">
        <v>9092</v>
      </c>
      <c r="S1402" s="15" t="s">
        <v>88</v>
      </c>
      <c r="T1402" s="16" t="s">
        <v>89</v>
      </c>
      <c r="U1402" s="11" t="str">
        <f>_xlfn.XLOOKUP(Customer[[#This Row],[Customer ID]],[1]!Address[ID],[1]!Address[Phone No.(2)])</f>
        <v/>
      </c>
      <c r="V1402" s="11" t="str">
        <f>_xlfn.XLOOKUP(Customer[[#This Row],[Customer ID]],[1]!Address[ID],[1]!Address[Type])</f>
        <v>SOCMED</v>
      </c>
      <c r="W1402" s="11" t="str">
        <f>_xlfn.XLOOKUP(Customer[[#This Row],[Customer ID]],[1]!Address[ID],[1]!Address[CT])</f>
        <v/>
      </c>
      <c r="X1402" s="11"/>
      <c r="Y1402" s="17" t="s">
        <v>90</v>
      </c>
      <c r="Z1402" s="17" t="e">
        <f>_xlfn.XLOOKUP(Customer[[#This Row],[NewType]],$AF$36:$AF$54,$AG$36:$AG$54)</f>
        <v>#N/A</v>
      </c>
      <c r="AA1402" s="17" t="s">
        <v>9093</v>
      </c>
      <c r="AB1402" s="11" t="str">
        <f>_xlfn.XLOOKUP(Customer[[#This Row],[Customer ID]],[1]!Address[ID],[1]!Address[Subtype])</f>
        <v>ONLINE ROS</v>
      </c>
      <c r="AC1402" s="18" t="str">
        <f>_xlfn.XLOOKUP(Customer[[#This Row],[Customer ID]],[1]!Address[ID],[1]!Address[Zone])</f>
        <v>EGASI-UGH</v>
      </c>
    </row>
    <row r="1403" spans="1:30" x14ac:dyDescent="0.3">
      <c r="A1403" s="37" t="s">
        <v>9094</v>
      </c>
      <c r="B1403" s="38" t="str">
        <f>_xlfn.XLOOKUP(Customer[[#This Row],[Customer ID]],[1]!Name[ID],[1]!Name[Description(1)])</f>
        <v>KSB PHARMA SDN BHD</v>
      </c>
      <c r="C1403" s="38" t="str">
        <f>_xlfn.XLOOKUP(Customer[[#This Row],[Customer ID]],[1]!Name[ID],[1]!Name[Description(2)])</f>
        <v/>
      </c>
      <c r="D1403" s="38" t="str">
        <f>_xlfn.XLOOKUP(Customer[[#This Row],[Customer ID]],[1]!Address[ID],[1]!Address[PIC])</f>
        <v/>
      </c>
      <c r="E1403" s="38" t="str">
        <f>_xlfn.XLOOKUP(Customer[[#This Row],[Customer ID]],[1]!Address[ID],[1]!Address[Full Address])</f>
        <v>B22 PUSAT PERKHIDMATAN BALOK,26100 KUANTAN,PAHANG</v>
      </c>
      <c r="F1403" s="12" t="s">
        <v>9095</v>
      </c>
      <c r="G1403" s="12" t="s">
        <v>9096</v>
      </c>
      <c r="H1403" s="12" t="s">
        <v>36</v>
      </c>
      <c r="I1403" s="12" t="b">
        <f>ISNUMBER(VALUE(LEFT(Customer[[#This Row],[Address Line 3 (30 char)]],1)))</f>
        <v>0</v>
      </c>
      <c r="J1403" s="12" t="s">
        <v>339</v>
      </c>
      <c r="K1403" s="12">
        <v>26100</v>
      </c>
      <c r="L1403" s="12" t="s">
        <v>35</v>
      </c>
      <c r="M1403" s="13" t="e">
        <v>#N/A</v>
      </c>
      <c r="N1403" s="14" t="e">
        <v>#N/A</v>
      </c>
      <c r="O1403" s="14" t="e">
        <v>#N/A</v>
      </c>
      <c r="P1403" s="14" t="e">
        <v>#N/A</v>
      </c>
      <c r="Q1403" s="14" t="e">
        <v>#N/A</v>
      </c>
      <c r="R1403" s="15" t="s">
        <v>9097</v>
      </c>
      <c r="S1403" s="15" t="s">
        <v>3476</v>
      </c>
      <c r="T1403" s="16" t="s">
        <v>3477</v>
      </c>
      <c r="U1403" s="11" t="str">
        <f>_xlfn.XLOOKUP(Customer[[#This Row],[Customer ID]],[1]!Address[ID],[1]!Address[Phone No.(2)])</f>
        <v/>
      </c>
      <c r="V1403" s="11" t="str">
        <f>_xlfn.XLOOKUP(Customer[[#This Row],[Customer ID]],[1]!Address[ID],[1]!Address[Type])</f>
        <v>PH</v>
      </c>
      <c r="W1403" s="11" t="str">
        <f>_xlfn.XLOOKUP(Customer[[#This Row],[Customer ID]],[1]!Address[ID],[1]!Address[CT])</f>
        <v>CASH</v>
      </c>
      <c r="X1403" s="11"/>
      <c r="Y1403" s="17" t="s">
        <v>5955</v>
      </c>
      <c r="Z1403" s="17" t="e">
        <f>_xlfn.XLOOKUP(Customer[[#This Row],[NewType]],$AF$36:$AF$54,$AG$36:$AG$54)</f>
        <v>#N/A</v>
      </c>
      <c r="AA1403" s="17" t="s">
        <v>9098</v>
      </c>
      <c r="AB1403" s="11" t="str">
        <f>_xlfn.XLOOKUP(Customer[[#This Row],[Customer ID]],[1]!Address[ID],[1]!Address[Subtype])</f>
        <v>KSB PHARMA</v>
      </c>
      <c r="AC1403" s="18">
        <f>_xlfn.XLOOKUP(Customer[[#This Row],[Customer ID]],[1]!Address[ID],[1]!Address[Zone])</f>
        <v>0</v>
      </c>
    </row>
    <row r="1404" spans="1:30" x14ac:dyDescent="0.3">
      <c r="A1404" s="43" t="s">
        <v>9099</v>
      </c>
      <c r="B1404" s="44" t="str">
        <f>_xlfn.XLOOKUP(Customer[[#This Row],[Customer ID]],[1]!Name[ID],[1]!Name[Description(1)])</f>
        <v>BILLION DUTY-FREE (LANGKAWI) SDN BHD</v>
      </c>
      <c r="C1404" s="38" t="str">
        <f>_xlfn.XLOOKUP(Customer[[#This Row],[Customer ID]],[1]!Name[ID],[1]!Name[Description(2)])</f>
        <v/>
      </c>
      <c r="D1404" s="38" t="str">
        <f>_xlfn.XLOOKUP(Customer[[#This Row],[Customer ID]],[1]!Address[ID],[1]!Address[PIC])</f>
        <v/>
      </c>
      <c r="E1404" s="38" t="str">
        <f>_xlfn.XLOOKUP(Customer[[#This Row],[Customer ID]],[1]!Address[ID],[1]!Address[Full Address])</f>
        <v>LOT 605-1,BILLION DUTY-FREE (LANGKAWI) SDN.BHD,KAMPUNG BOHOR DARAT, MUKIM KEDAWANG07000 LANGKAWI KEDAH</v>
      </c>
      <c r="F1404" s="12" t="s">
        <v>9100</v>
      </c>
      <c r="G1404" s="12" t="s">
        <v>9101</v>
      </c>
      <c r="H1404" s="12" t="s">
        <v>9102</v>
      </c>
      <c r="I1404" s="12" t="b">
        <f>ISNUMBER(VALUE(LEFT(Customer[[#This Row],[Address Line 3 (30 char)]],1)))</f>
        <v>0</v>
      </c>
      <c r="J1404" s="12" t="s">
        <v>355</v>
      </c>
      <c r="K1404" s="30" t="s">
        <v>1847</v>
      </c>
      <c r="L1404" s="12" t="s">
        <v>35</v>
      </c>
      <c r="M1404" s="13" t="e">
        <v>#N/A</v>
      </c>
      <c r="N1404" s="14" t="e">
        <v>#N/A</v>
      </c>
      <c r="O1404" s="14" t="e">
        <v>#N/A</v>
      </c>
      <c r="P1404" s="14" t="e">
        <v>#N/A</v>
      </c>
      <c r="Q1404" s="14" t="e">
        <v>#N/A</v>
      </c>
      <c r="R1404" s="15" t="s">
        <v>9103</v>
      </c>
      <c r="S1404" s="15" t="s">
        <v>74</v>
      </c>
      <c r="T1404" s="16" t="s">
        <v>3477</v>
      </c>
      <c r="U1404" s="11" t="str">
        <f>_xlfn.XLOOKUP(Customer[[#This Row],[Customer ID]],[1]!Address[ID],[1]!Address[Phone No.(2)])</f>
        <v/>
      </c>
      <c r="V1404" s="11" t="str">
        <f>_xlfn.XLOOKUP(Customer[[#This Row],[Customer ID]],[1]!Address[ID],[1]!Address[Type])</f>
        <v>HM</v>
      </c>
      <c r="W1404" s="11" t="str">
        <f>_xlfn.XLOOKUP(Customer[[#This Row],[Customer ID]],[1]!Address[ID],[1]!Address[CT])</f>
        <v>30 DAYS</v>
      </c>
      <c r="X1404" s="11"/>
      <c r="Y1404" s="17" t="s">
        <v>5968</v>
      </c>
      <c r="Z1404" s="17" t="e">
        <f>_xlfn.XLOOKUP(Customer[[#This Row],[NewType]],$AF$36:$AF$54,$AG$36:$AG$54)</f>
        <v>#N/A</v>
      </c>
      <c r="AA1404" s="17" t="s">
        <v>9104</v>
      </c>
      <c r="AB1404" s="11" t="str">
        <f>_xlfn.XLOOKUP(Customer[[#This Row],[Customer ID]],[1]!Address[ID],[1]!Address[Subtype])</f>
        <v>BILLION DUTY</v>
      </c>
      <c r="AC1404" s="18" t="str">
        <f>_xlfn.XLOOKUP(Customer[[#This Row],[Customer ID]],[1]!Address[ID],[1]!Address[Zone])</f>
        <v>NORTH</v>
      </c>
    </row>
    <row r="1405" spans="1:30" x14ac:dyDescent="0.3">
      <c r="A1405" s="10" t="s">
        <v>9105</v>
      </c>
      <c r="B1405" s="11" t="str">
        <f>_xlfn.XLOOKUP(Customer[[#This Row],[Customer ID]],[1]!Name[ID],[1]!Name[Description(1)])</f>
        <v>MOHD YUSZAIRIE</v>
      </c>
      <c r="C1405" s="38" t="str">
        <f>_xlfn.XLOOKUP(Customer[[#This Row],[Customer ID]],[1]!Name[ID],[1]!Name[Description(2)])</f>
        <v/>
      </c>
      <c r="D1405" s="38" t="str">
        <f>_xlfn.XLOOKUP(Customer[[#This Row],[Customer ID]],[1]!Address[ID],[1]!Address[PIC])</f>
        <v/>
      </c>
      <c r="E1405" s="38" t="str">
        <f>_xlfn.XLOOKUP(Customer[[#This Row],[Customer ID]],[1]!Address[ID],[1]!Address[Full Address])</f>
        <v>JALAN BUKIT JALIL INDAH 2,BUKIT JALIL,57000 KUALA LUMPUR</v>
      </c>
      <c r="F1405" s="12" t="s">
        <v>9106</v>
      </c>
      <c r="G1405" s="12" t="s">
        <v>8807</v>
      </c>
      <c r="H1405" s="24"/>
      <c r="I1405" s="24" t="b">
        <f>ISNUMBER(VALUE(LEFT(Customer[[#This Row],[Address Line 3 (30 char)]],1)))</f>
        <v>0</v>
      </c>
      <c r="J1405" s="12" t="s">
        <v>8855</v>
      </c>
      <c r="K1405" s="12">
        <v>57000</v>
      </c>
      <c r="L1405" s="12" t="s">
        <v>35</v>
      </c>
      <c r="M1405" s="13" t="e">
        <v>#N/A</v>
      </c>
      <c r="N1405" s="14" t="e">
        <v>#N/A</v>
      </c>
      <c r="O1405" s="14" t="e">
        <v>#N/A</v>
      </c>
      <c r="P1405" s="14" t="e">
        <v>#N/A</v>
      </c>
      <c r="Q1405" s="14" t="e">
        <v>#N/A</v>
      </c>
      <c r="R1405" s="15" t="s">
        <v>9107</v>
      </c>
      <c r="S1405" s="15" t="s">
        <v>6418</v>
      </c>
      <c r="T1405" s="16" t="s">
        <v>3477</v>
      </c>
      <c r="U1405" s="11" t="str">
        <f>_xlfn.XLOOKUP(Customer[[#This Row],[Customer ID]],[1]!Address[ID],[1]!Address[Phone No.(2)])</f>
        <v/>
      </c>
      <c r="V1405" s="11" t="str">
        <f>_xlfn.XLOOKUP(Customer[[#This Row],[Customer ID]],[1]!Address[ID],[1]!Address[Type])</f>
        <v>SOCMED</v>
      </c>
      <c r="W1405" s="11" t="str">
        <f>_xlfn.XLOOKUP(Customer[[#This Row],[Customer ID]],[1]!Address[ID],[1]!Address[CT])</f>
        <v>CASH</v>
      </c>
      <c r="X1405" s="11"/>
      <c r="Y1405" s="17" t="s">
        <v>90</v>
      </c>
      <c r="Z1405" s="17" t="e">
        <f>_xlfn.XLOOKUP(Customer[[#This Row],[NewType]],$AF$36:$AF$54,$AG$36:$AG$54)</f>
        <v>#N/A</v>
      </c>
      <c r="AA1405" s="17" t="s">
        <v>9108</v>
      </c>
      <c r="AB1405" s="11" t="str">
        <f>_xlfn.XLOOKUP(Customer[[#This Row],[Customer ID]],[1]!Address[ID],[1]!Address[Subtype])</f>
        <v>WHATSAPP</v>
      </c>
      <c r="AC1405" s="18" t="str">
        <f>_xlfn.XLOOKUP(Customer[[#This Row],[Customer ID]],[1]!Address[ID],[1]!Address[Zone])</f>
        <v>CENTRAL</v>
      </c>
    </row>
    <row r="1406" spans="1:30" x14ac:dyDescent="0.3">
      <c r="A1406" s="37" t="s">
        <v>9109</v>
      </c>
      <c r="B1406" s="38" t="str">
        <f>_xlfn.XLOOKUP(Customer[[#This Row],[Customer ID]],[1]!Name[ID],[1]!Name[Description(1)])</f>
        <v>HIKMAT SERVICE STATION</v>
      </c>
      <c r="C1406" s="38" t="str">
        <f>_xlfn.XLOOKUP(Customer[[#This Row],[Customer ID]],[1]!Name[ID],[1]!Name[Description(2)])</f>
        <v>CALTEX RNR GUA MUSANG</v>
      </c>
      <c r="D1406" s="38" t="str">
        <f>_xlfn.XLOOKUP(Customer[[#This Row],[Customer ID]],[1]!Address[ID],[1]!Address[PIC])</f>
        <v/>
      </c>
      <c r="E1406" s="38" t="str">
        <f>_xlfn.XLOOKUP(Customer[[#This Row],[Customer ID]],[1]!Address[ID],[1]!Address[Full Address])</f>
        <v>CALTEX RNR GUA MUSANG18300 GUA MUSANG  PT 3922 JALAN GUA MUS18300 GUA MUSANGKELANTAN DARUL NAIM</v>
      </c>
      <c r="F1406" s="12" t="s">
        <v>9110</v>
      </c>
      <c r="G1406" s="12" t="s">
        <v>9111</v>
      </c>
      <c r="H1406" s="24" t="s">
        <v>1754</v>
      </c>
      <c r="I1406" s="24" t="b">
        <f>ISNUMBER(VALUE(LEFT(Customer[[#This Row],[Address Line 3 (30 char)]],1)))</f>
        <v>0</v>
      </c>
      <c r="J1406" s="12" t="s">
        <v>1007</v>
      </c>
      <c r="K1406" s="12">
        <v>18300</v>
      </c>
      <c r="L1406" s="12" t="s">
        <v>35</v>
      </c>
      <c r="M1406" s="13" t="e">
        <v>#N/A</v>
      </c>
      <c r="N1406" s="14" t="e">
        <v>#N/A</v>
      </c>
      <c r="O1406" s="14" t="e">
        <v>#N/A</v>
      </c>
      <c r="P1406" s="14" t="e">
        <v>#N/A</v>
      </c>
      <c r="Q1406" s="14" t="e">
        <v>#N/A</v>
      </c>
      <c r="R1406" s="15" t="s">
        <v>9112</v>
      </c>
      <c r="S1406" s="15" t="s">
        <v>37</v>
      </c>
      <c r="T1406" s="16" t="s">
        <v>38</v>
      </c>
      <c r="U1406" s="11" t="str">
        <f>_xlfn.XLOOKUP(Customer[[#This Row],[Customer ID]],[1]!Address[ID],[1]!Address[Phone No.(2)])</f>
        <v/>
      </c>
      <c r="V1406" s="11" t="str">
        <f>_xlfn.XLOOKUP(Customer[[#This Row],[Customer ID]],[1]!Address[ID],[1]!Address[Type])</f>
        <v>PETROMART</v>
      </c>
      <c r="W1406" s="11" t="str">
        <f>_xlfn.XLOOKUP(Customer[[#This Row],[Customer ID]],[1]!Address[ID],[1]!Address[CT])</f>
        <v>30</v>
      </c>
      <c r="X1406" s="11" t="s">
        <v>39</v>
      </c>
      <c r="Y1406" s="17" t="s">
        <v>40</v>
      </c>
      <c r="Z1406" s="17" t="e">
        <f>_xlfn.XLOOKUP(Customer[[#This Row],[NewType]],$AF$36:$AF$54,$AG$36:$AG$54)</f>
        <v>#N/A</v>
      </c>
      <c r="AA1406" s="17" t="s">
        <v>9113</v>
      </c>
      <c r="AB1406" s="11" t="str">
        <f>_xlfn.XLOOKUP(Customer[[#This Row],[Customer ID]],[1]!Address[ID],[1]!Address[Subtype])</f>
        <v>XPRESS POINT</v>
      </c>
      <c r="AC1406" s="18" t="str">
        <f>_xlfn.XLOOKUP(Customer[[#This Row],[Customer ID]],[1]!Address[ID],[1]!Address[Zone])</f>
        <v>EAST COAST</v>
      </c>
    </row>
    <row r="1407" spans="1:30" x14ac:dyDescent="0.3">
      <c r="A1407" s="37" t="s">
        <v>9114</v>
      </c>
      <c r="B1407" s="38" t="str">
        <f>_xlfn.XLOOKUP(Customer[[#This Row],[Customer ID]],[1]!Name[ID],[1]!Name[Description(1)])</f>
        <v>PERBADANAN NASIONAL BERHAD</v>
      </c>
      <c r="C1407" s="38" t="str">
        <f>_xlfn.XLOOKUP(Customer[[#This Row],[Customer ID]],[1]!Name[ID],[1]!Name[Description(2)])</f>
        <v>PERNAS</v>
      </c>
      <c r="D1407" s="38" t="str">
        <f>_xlfn.XLOOKUP(Customer[[#This Row],[Customer ID]],[1]!Address[ID],[1]!Address[PIC])</f>
        <v/>
      </c>
      <c r="E1407" s="38" t="str">
        <f>_xlfn.XLOOKUP(Customer[[#This Row],[Customer ID]],[1]!Address[ID],[1]!Address[Full Address])</f>
        <v>LEVEL 3A, MENARA PERNAS, TOWER 7,AVENUE 7, BANGSAR SOUTH CITY,NO 8, JALAN KERINCHI,59200 KUALA LUMPUR</v>
      </c>
      <c r="F1407" s="12" t="s">
        <v>9115</v>
      </c>
      <c r="G1407" s="12" t="s">
        <v>9116</v>
      </c>
      <c r="H1407" s="12" t="s">
        <v>9117</v>
      </c>
      <c r="I1407" s="12" t="b">
        <f>ISNUMBER(VALUE(LEFT(Customer[[#This Row],[Address Line 3 (30 char)]],1)))</f>
        <v>0</v>
      </c>
      <c r="J1407" s="12" t="s">
        <v>34</v>
      </c>
      <c r="K1407" s="12">
        <v>59200</v>
      </c>
      <c r="L1407" s="12" t="s">
        <v>35</v>
      </c>
      <c r="M1407" s="13" t="e">
        <v>#N/A</v>
      </c>
      <c r="N1407" s="14" t="e">
        <v>#N/A</v>
      </c>
      <c r="O1407" s="14" t="e">
        <v>#N/A</v>
      </c>
      <c r="P1407" s="14" t="e">
        <v>#N/A</v>
      </c>
      <c r="Q1407" s="19" t="s">
        <v>9118</v>
      </c>
      <c r="R1407" s="15" t="s">
        <v>9119</v>
      </c>
      <c r="S1407" s="15" t="s">
        <v>6418</v>
      </c>
      <c r="T1407" s="16" t="s">
        <v>3477</v>
      </c>
      <c r="U1407" s="11" t="str">
        <f>_xlfn.XLOOKUP(Customer[[#This Row],[Customer ID]],[1]!Address[ID],[1]!Address[Phone No.(2)])</f>
        <v/>
      </c>
      <c r="V1407" s="11" t="str">
        <f>_xlfn.XLOOKUP(Customer[[#This Row],[Customer ID]],[1]!Address[ID],[1]!Address[Type])</f>
        <v>CORPORATE</v>
      </c>
      <c r="W1407" s="11" t="str">
        <f>_xlfn.XLOOKUP(Customer[[#This Row],[Customer ID]],[1]!Address[ID],[1]!Address[CT])</f>
        <v>30 DAYS</v>
      </c>
      <c r="X1407" s="11"/>
      <c r="Y1407" s="17" t="s">
        <v>6418</v>
      </c>
      <c r="Z1407" s="17" t="e">
        <f>_xlfn.XLOOKUP(Customer[[#This Row],[NewType]],$AF$36:$AF$54,$AG$36:$AG$54)</f>
        <v>#N/A</v>
      </c>
      <c r="AA1407" s="17" t="s">
        <v>9120</v>
      </c>
      <c r="AB1407" s="11" t="str">
        <f>_xlfn.XLOOKUP(Customer[[#This Row],[Customer ID]],[1]!Address[ID],[1]!Address[Subtype])</f>
        <v>PERNAS</v>
      </c>
      <c r="AC1407" s="18" t="str">
        <f>_xlfn.XLOOKUP(Customer[[#This Row],[Customer ID]],[1]!Address[ID],[1]!Address[Zone])</f>
        <v>CENTRAL</v>
      </c>
    </row>
    <row r="1408" spans="1:30" x14ac:dyDescent="0.3">
      <c r="A1408" s="37" t="s">
        <v>9121</v>
      </c>
      <c r="B1408" s="38" t="str">
        <f>_xlfn.XLOOKUP(Customer[[#This Row],[Customer ID]],[1]!Name[ID],[1]!Name[Description(1)])</f>
        <v>MOFA TULEN ENTERPRISE</v>
      </c>
      <c r="C1408" s="38" t="str">
        <f>_xlfn.XLOOKUP(Customer[[#This Row],[Customer ID]],[1]!Name[ID],[1]!Name[Description(2)])</f>
        <v>PS KESAS ARAH BARAT KM 34.5 (CENTRAL 1)</v>
      </c>
      <c r="D1408" s="38" t="str">
        <f>_xlfn.XLOOKUP(Customer[[#This Row],[Customer ID]],[1]!Address[ID],[1]!Address[PIC])</f>
        <v/>
      </c>
      <c r="E1408" s="38" t="str">
        <f>_xlfn.XLOOKUP(Customer[[#This Row],[Customer ID]],[1]!Address[ID],[1]!Address[Full Address])</f>
        <v>PS KESAS ARAH BARAT KM 34.5 (CENTRAL 1)Km 34.5 KESAS Highway(Shah Alam Bound), Selangor,40000, Petaling, Selangor</v>
      </c>
      <c r="F1408" s="12" t="s">
        <v>9122</v>
      </c>
      <c r="G1408" s="12" t="s">
        <v>9123</v>
      </c>
      <c r="H1408" s="12" t="s">
        <v>9124</v>
      </c>
      <c r="I1408" s="12" t="b">
        <f>ISNUMBER(VALUE(LEFT(Customer[[#This Row],[Address Line 3 (30 char)]],1)))</f>
        <v>0</v>
      </c>
      <c r="J1408" s="12" t="s">
        <v>1907</v>
      </c>
      <c r="K1408" s="12">
        <v>40000</v>
      </c>
      <c r="L1408" s="12" t="s">
        <v>35</v>
      </c>
      <c r="M1408" s="13" t="e">
        <v>#N/A</v>
      </c>
      <c r="N1408" s="14" t="e">
        <v>#N/A</v>
      </c>
      <c r="O1408" s="14" t="e">
        <v>#N/A</v>
      </c>
      <c r="P1408" s="14" t="e">
        <v>#N/A</v>
      </c>
      <c r="Q1408" s="19" t="s">
        <v>9125</v>
      </c>
      <c r="R1408" s="15" t="s">
        <v>9126</v>
      </c>
      <c r="S1408" s="15" t="s">
        <v>37</v>
      </c>
      <c r="T1408" s="16" t="s">
        <v>38</v>
      </c>
      <c r="U1408" s="11" t="str">
        <f>_xlfn.XLOOKUP(Customer[[#This Row],[Customer ID]],[1]!Address[ID],[1]!Address[Phone No.(2)])</f>
        <v/>
      </c>
      <c r="V1408" s="11" t="str">
        <f>_xlfn.XLOOKUP(Customer[[#This Row],[Customer ID]],[1]!Address[ID],[1]!Address[Type])</f>
        <v>PETROMART</v>
      </c>
      <c r="W1408" s="11" t="str">
        <f>_xlfn.XLOOKUP(Customer[[#This Row],[Customer ID]],[1]!Address[ID],[1]!Address[CT])</f>
        <v>30</v>
      </c>
      <c r="X1408" s="11" t="s">
        <v>39</v>
      </c>
      <c r="Y1408" s="17" t="s">
        <v>40</v>
      </c>
      <c r="Z1408" s="17" t="e">
        <f>_xlfn.XLOOKUP(Customer[[#This Row],[NewType]],$AF$36:$AF$54,$AG$36:$AG$54)</f>
        <v>#N/A</v>
      </c>
      <c r="AA1408" s="17" t="s">
        <v>9127</v>
      </c>
      <c r="AB1408" s="11" t="str">
        <f>_xlfn.XLOOKUP(Customer[[#This Row],[Customer ID]],[1]!Address[ID],[1]!Address[Subtype])</f>
        <v>PETRONAS</v>
      </c>
      <c r="AC1408" s="18" t="str">
        <f>_xlfn.XLOOKUP(Customer[[#This Row],[Customer ID]],[1]!Address[ID],[1]!Address[Zone])</f>
        <v>CENTRAL</v>
      </c>
    </row>
    <row r="1409" spans="1:29" x14ac:dyDescent="0.3">
      <c r="A1409" s="37" t="s">
        <v>9128</v>
      </c>
      <c r="B1409" s="38" t="str">
        <f>_xlfn.XLOOKUP(Customer[[#This Row],[Customer ID]],[1]!Name[ID],[1]!Name[Description(1)])</f>
        <v>AINI FAZLIANA/ EMBUN BAKERY</v>
      </c>
      <c r="C1409" s="38" t="str">
        <f>_xlfn.XLOOKUP(Customer[[#This Row],[Customer ID]],[1]!Name[ID],[1]!Name[Description(2)])</f>
        <v/>
      </c>
      <c r="D1409" s="38" t="str">
        <f>_xlfn.XLOOKUP(Customer[[#This Row],[Customer ID]],[1]!Address[ID],[1]!Address[PIC])</f>
        <v/>
      </c>
      <c r="E1409" s="38" t="str">
        <f>_xlfn.XLOOKUP(Customer[[#This Row],[Customer ID]],[1]!Address[ID],[1]!Address[Full Address])</f>
        <v>NO. 1831, KAMPUNG SEMPAM,JALAN CHEROH, 27600 RAUB, PAHANG</v>
      </c>
      <c r="F1409" s="12" t="s">
        <v>9129</v>
      </c>
      <c r="G1409" s="12" t="s">
        <v>9130</v>
      </c>
      <c r="H1409" s="86" t="s">
        <v>9131</v>
      </c>
      <c r="I1409" s="86" t="b">
        <f>ISNUMBER(VALUE(LEFT(Customer[[#This Row],[Address Line 3 (30 char)]],1)))</f>
        <v>0</v>
      </c>
      <c r="J1409" s="12" t="s">
        <v>339</v>
      </c>
      <c r="K1409" s="12">
        <v>27600</v>
      </c>
      <c r="L1409" s="12" t="s">
        <v>35</v>
      </c>
      <c r="M1409" s="13" t="e">
        <v>#N/A</v>
      </c>
      <c r="N1409" s="14" t="e">
        <v>#N/A</v>
      </c>
      <c r="O1409" s="14" t="e">
        <v>#N/A</v>
      </c>
      <c r="P1409" s="14" t="e">
        <v>#N/A</v>
      </c>
      <c r="Q1409" s="14" t="e">
        <v>#N/A</v>
      </c>
      <c r="R1409" s="15" t="s">
        <v>9132</v>
      </c>
      <c r="S1409" s="15" t="s">
        <v>88</v>
      </c>
      <c r="T1409" s="16" t="s">
        <v>89</v>
      </c>
      <c r="U1409" s="11" t="str">
        <f>_xlfn.XLOOKUP(Customer[[#This Row],[Customer ID]],[1]!Address[ID],[1]!Address[Phone No.(2)])</f>
        <v/>
      </c>
      <c r="V1409" s="11" t="str">
        <f>_xlfn.XLOOKUP(Customer[[#This Row],[Customer ID]],[1]!Address[ID],[1]!Address[Type])</f>
        <v>SOCMED</v>
      </c>
      <c r="W1409" s="11" t="str">
        <f>_xlfn.XLOOKUP(Customer[[#This Row],[Customer ID]],[1]!Address[ID],[1]!Address[CT])</f>
        <v/>
      </c>
      <c r="X1409" s="11"/>
      <c r="Y1409" s="17" t="s">
        <v>90</v>
      </c>
      <c r="Z1409" s="17" t="e">
        <f>_xlfn.XLOOKUP(Customer[[#This Row],[NewType]],$AF$36:$AF$54,$AG$36:$AG$54)</f>
        <v>#N/A</v>
      </c>
      <c r="AA1409" s="17" t="s">
        <v>9133</v>
      </c>
      <c r="AB1409" s="11" t="str">
        <f>_xlfn.XLOOKUP(Customer[[#This Row],[Customer ID]],[1]!Address[ID],[1]!Address[Subtype])</f>
        <v>ONLINE ROS</v>
      </c>
      <c r="AC1409" s="18" t="str">
        <f>_xlfn.XLOOKUP(Customer[[#This Row],[Customer ID]],[1]!Address[ID],[1]!Address[Zone])</f>
        <v>EEEDH</v>
      </c>
    </row>
    <row r="1410" spans="1:29" x14ac:dyDescent="0.3">
      <c r="A1410" s="37" t="s">
        <v>9134</v>
      </c>
      <c r="B1410" s="38" t="str">
        <f>_xlfn.XLOOKUP(Customer[[#This Row],[Customer ID]],[1]!Name[ID],[1]!Name[Description(1)])</f>
        <v>FARMASI KRUBONG</v>
      </c>
      <c r="C1410" s="38" t="str">
        <f>_xlfn.XLOOKUP(Customer[[#This Row],[Customer ID]],[1]!Name[ID],[1]!Name[Description(2)])</f>
        <v/>
      </c>
      <c r="D1410" s="38" t="str">
        <f>_xlfn.XLOOKUP(Customer[[#This Row],[Customer ID]],[1]!Address[ID],[1]!Address[PIC])</f>
        <v/>
      </c>
      <c r="E1410" s="38" t="str">
        <f>_xlfn.XLOOKUP(Customer[[#This Row],[Customer ID]],[1]!Address[ID],[1]!Address[Full Address])</f>
        <v>NO. 51, JALAN 1 KRUBONG,TAMAN 1 KRUBONG,75260 MELAKA.</v>
      </c>
      <c r="F1410" s="12" t="s">
        <v>9135</v>
      </c>
      <c r="G1410" s="12" t="s">
        <v>9136</v>
      </c>
      <c r="H1410" s="24"/>
      <c r="I1410" s="24" t="b">
        <f>ISNUMBER(VALUE(LEFT(Customer[[#This Row],[Address Line 3 (30 char)]],1)))</f>
        <v>0</v>
      </c>
      <c r="J1410" s="12" t="s">
        <v>61</v>
      </c>
      <c r="K1410" s="12">
        <v>75260</v>
      </c>
      <c r="L1410" s="12" t="s">
        <v>35</v>
      </c>
      <c r="M1410" s="13" t="e">
        <v>#N/A</v>
      </c>
      <c r="N1410" s="14" t="e">
        <v>#N/A</v>
      </c>
      <c r="O1410" s="14" t="e">
        <v>#N/A</v>
      </c>
      <c r="P1410" s="14" t="e">
        <v>#N/A</v>
      </c>
      <c r="Q1410" s="14" t="e">
        <v>#N/A</v>
      </c>
      <c r="R1410" s="15" t="s">
        <v>9137</v>
      </c>
      <c r="S1410" s="15" t="s">
        <v>88</v>
      </c>
      <c r="T1410" s="16" t="s">
        <v>89</v>
      </c>
      <c r="U1410" s="11" t="str">
        <f>_xlfn.XLOOKUP(Customer[[#This Row],[Customer ID]],[1]!Address[ID],[1]!Address[Phone No.(2)])</f>
        <v/>
      </c>
      <c r="V1410" s="11" t="str">
        <f>_xlfn.XLOOKUP(Customer[[#This Row],[Customer ID]],[1]!Address[ID],[1]!Address[Type])</f>
        <v>SOCMED</v>
      </c>
      <c r="W1410" s="11" t="str">
        <f>_xlfn.XLOOKUP(Customer[[#This Row],[Customer ID]],[1]!Address[ID],[1]!Address[CT])</f>
        <v/>
      </c>
      <c r="X1410" s="11"/>
      <c r="Y1410" s="17" t="s">
        <v>90</v>
      </c>
      <c r="Z1410" s="17" t="e">
        <f>_xlfn.XLOOKUP(Customer[[#This Row],[NewType]],$AF$36:$AF$54,$AG$36:$AG$54)</f>
        <v>#N/A</v>
      </c>
      <c r="AA1410" s="17" t="s">
        <v>9138</v>
      </c>
      <c r="AB1410" s="11" t="str">
        <f>_xlfn.XLOOKUP(Customer[[#This Row],[Customer ID]],[1]!Address[ID],[1]!Address[Subtype])</f>
        <v>ONLINE ROS</v>
      </c>
      <c r="AC1410" s="18" t="str">
        <f>_xlfn.XLOOKUP(Customer[[#This Row],[Customer ID]],[1]!Address[ID],[1]!Address[Zone])</f>
        <v>SOUTH</v>
      </c>
    </row>
    <row r="1411" spans="1:29" x14ac:dyDescent="0.3">
      <c r="A1411" s="37" t="s">
        <v>9139</v>
      </c>
      <c r="B1411" s="38" t="str">
        <f>_xlfn.XLOOKUP(Customer[[#This Row],[Customer ID]],[1]!Name[ID],[1]!Name[Description(1)])</f>
        <v>JOSLINA CAFE</v>
      </c>
      <c r="C1411" s="38" t="str">
        <f>_xlfn.XLOOKUP(Customer[[#This Row],[Customer ID]],[1]!Name[ID],[1]!Name[Description(2)])</f>
        <v/>
      </c>
      <c r="D1411" s="38" t="str">
        <f>_xlfn.XLOOKUP(Customer[[#This Row],[Customer ID]],[1]!Address[ID],[1]!Address[PIC])</f>
        <v/>
      </c>
      <c r="E1411" s="38" t="str">
        <f>_xlfn.XLOOKUP(Customer[[#This Row],[Customer ID]],[1]!Address[ID],[1]!Address[Full Address])</f>
        <v>GROUND FLOOR, MENARA PERKESO281 JALAN AMPANG50358 KUALA LUMPUR</v>
      </c>
      <c r="F1411" s="12" t="s">
        <v>9140</v>
      </c>
      <c r="G1411" s="12" t="s">
        <v>9141</v>
      </c>
      <c r="H1411" s="24"/>
      <c r="I1411" s="24" t="b">
        <f>ISNUMBER(VALUE(LEFT(Customer[[#This Row],[Address Line 3 (30 char)]],1)))</f>
        <v>0</v>
      </c>
      <c r="J1411" s="12" t="s">
        <v>8855</v>
      </c>
      <c r="K1411" s="12">
        <v>50358</v>
      </c>
      <c r="L1411" s="12" t="s">
        <v>35</v>
      </c>
      <c r="M1411" s="13" t="e">
        <v>#N/A</v>
      </c>
      <c r="N1411" s="14" t="e">
        <v>#N/A</v>
      </c>
      <c r="O1411" s="14" t="e">
        <v>#N/A</v>
      </c>
      <c r="P1411" s="14" t="e">
        <v>#N/A</v>
      </c>
      <c r="Q1411" s="19" t="s">
        <v>9142</v>
      </c>
      <c r="R1411" s="15" t="s">
        <v>9143</v>
      </c>
      <c r="S1411" s="15" t="s">
        <v>5925</v>
      </c>
      <c r="T1411" s="16" t="s">
        <v>3477</v>
      </c>
      <c r="U1411" s="11" t="str">
        <f>_xlfn.XLOOKUP(Customer[[#This Row],[Customer ID]],[1]!Address[ID],[1]!Address[Phone No.(2)])</f>
        <v/>
      </c>
      <c r="V1411" s="11" t="str">
        <f>_xlfn.XLOOKUP(Customer[[#This Row],[Customer ID]],[1]!Address[ID],[1]!Address[Type])</f>
        <v>CAFE</v>
      </c>
      <c r="W1411" s="11" t="str">
        <f>_xlfn.XLOOKUP(Customer[[#This Row],[Customer ID]],[1]!Address[ID],[1]!Address[CT])</f>
        <v>CASH</v>
      </c>
      <c r="X1411" s="11"/>
      <c r="Y1411" s="17" t="s">
        <v>5926</v>
      </c>
      <c r="Z1411" s="17" t="e">
        <f>_xlfn.XLOOKUP(Customer[[#This Row],[NewType]],$AF$36:$AF$54,$AG$36:$AG$54)</f>
        <v>#N/A</v>
      </c>
      <c r="AA1411" s="17" t="s">
        <v>9144</v>
      </c>
      <c r="AB1411" s="11" t="str">
        <f>_xlfn.XLOOKUP(Customer[[#This Row],[Customer ID]],[1]!Address[ID],[1]!Address[Subtype])</f>
        <v>JOSLINA CFE</v>
      </c>
      <c r="AC1411" s="18" t="str">
        <f>_xlfn.XLOOKUP(Customer[[#This Row],[Customer ID]],[1]!Address[ID],[1]!Address[Zone])</f>
        <v>CENTRAL</v>
      </c>
    </row>
    <row r="1412" spans="1:29" x14ac:dyDescent="0.3">
      <c r="A1412" s="10" t="s">
        <v>9145</v>
      </c>
      <c r="B1412" s="11" t="str">
        <f>_xlfn.XLOOKUP(Customer[[#This Row],[Customer ID]],[1]!Name[ID],[1]!Name[Description(1)])</f>
        <v>FARIZ NAZRUL BIN CHE NOH</v>
      </c>
      <c r="C1412" s="38" t="str">
        <f>_xlfn.XLOOKUP(Customer[[#This Row],[Customer ID]],[1]!Name[ID],[1]!Name[Description(2)])</f>
        <v>(DATO FARIZ)</v>
      </c>
      <c r="D1412" s="38" t="str">
        <f>_xlfn.XLOOKUP(Customer[[#This Row],[Customer ID]],[1]!Address[ID],[1]!Address[PIC])</f>
        <v>DATO FARIZ</v>
      </c>
      <c r="E1412" s="38" t="str">
        <f>_xlfn.XLOOKUP(Customer[[#This Row],[Customer ID]],[1]!Address[ID],[1]!Address[Full Address])</f>
        <v>NO 32 JALAN TP 1 TROPIKA PUTRABRP, SUNGAI BULOH 47000 SELANGOR</v>
      </c>
      <c r="F1412" s="12" t="s">
        <v>9146</v>
      </c>
      <c r="G1412" s="12" t="s">
        <v>9147</v>
      </c>
      <c r="H1412" s="86"/>
      <c r="I1412" s="86" t="b">
        <f>ISNUMBER(VALUE(LEFT(Customer[[#This Row],[Address Line 3 (30 char)]],1)))</f>
        <v>0</v>
      </c>
      <c r="J1412" s="12" t="s">
        <v>1907</v>
      </c>
      <c r="K1412" s="12">
        <v>47000</v>
      </c>
      <c r="L1412" s="12" t="s">
        <v>35</v>
      </c>
      <c r="M1412" s="13" t="e">
        <v>#N/A</v>
      </c>
      <c r="N1412" s="14" t="e">
        <v>#N/A</v>
      </c>
      <c r="O1412" s="14" t="e">
        <v>#N/A</v>
      </c>
      <c r="P1412" s="14" t="e">
        <v>#N/A</v>
      </c>
      <c r="Q1412" s="19" t="s">
        <v>9148</v>
      </c>
      <c r="R1412" s="15" t="s">
        <v>9149</v>
      </c>
      <c r="S1412" s="15" t="s">
        <v>4271</v>
      </c>
      <c r="T1412" s="16" t="s">
        <v>89</v>
      </c>
      <c r="U1412" s="11" t="str">
        <f>_xlfn.XLOOKUP(Customer[[#This Row],[Customer ID]],[1]!Address[ID],[1]!Address[Phone No.(2)])</f>
        <v/>
      </c>
      <c r="V1412" s="11" t="str">
        <f>_xlfn.XLOOKUP(Customer[[#This Row],[Customer ID]],[1]!Address[ID],[1]!Address[Type])</f>
        <v>SOCMED</v>
      </c>
      <c r="W1412" s="11" t="str">
        <f>_xlfn.XLOOKUP(Customer[[#This Row],[Customer ID]],[1]!Address[ID],[1]!Address[CT])</f>
        <v>30 DAYS</v>
      </c>
      <c r="X1412" s="11"/>
      <c r="Y1412" s="17" t="s">
        <v>90</v>
      </c>
      <c r="Z1412" s="17" t="e">
        <f>_xlfn.XLOOKUP(Customer[[#This Row],[NewType]],$AF$36:$AF$54,$AG$36:$AG$54)</f>
        <v>#N/A</v>
      </c>
      <c r="AA1412" s="17" t="s">
        <v>9150</v>
      </c>
      <c r="AB1412" s="11" t="str">
        <f>_xlfn.XLOOKUP(Customer[[#This Row],[Customer ID]],[1]!Address[ID],[1]!Address[Subtype])</f>
        <v>WHATSAPP</v>
      </c>
      <c r="AC1412" s="18" t="str">
        <f>_xlfn.XLOOKUP(Customer[[#This Row],[Customer ID]],[1]!Address[ID],[1]!Address[Zone])</f>
        <v>CENTRAL</v>
      </c>
    </row>
    <row r="1413" spans="1:29" x14ac:dyDescent="0.3">
      <c r="A1413" s="56" t="s">
        <v>9151</v>
      </c>
      <c r="B1413" s="50" t="str">
        <f>_xlfn.XLOOKUP(Customer[[#This Row],[Customer ID]],[1]!Name[ID],[1]!Name[Description(1)])</f>
        <v>SHAMSHIDAR BT HJ MOHAMAD YUSOF</v>
      </c>
      <c r="C1413" s="38" t="str">
        <f>_xlfn.XLOOKUP(Customer[[#This Row],[Customer ID]],[1]!Name[ID],[1]!Name[Description(2)])</f>
        <v/>
      </c>
      <c r="D1413" s="38" t="str">
        <f>_xlfn.XLOOKUP(Customer[[#This Row],[Customer ID]],[1]!Address[ID],[1]!Address[PIC])</f>
        <v/>
      </c>
      <c r="E1413" s="38" t="str">
        <f>_xlfn.XLOOKUP(Customer[[#This Row],[Customer ID]],[1]!Address[ID],[1]!Address[Full Address])</f>
        <v>L5, JALAN SUNSURIA 3B/3AMONET SPRINGTIME, SUNSURIA CITY43900 SEPANG</v>
      </c>
      <c r="F1413" s="12" t="s">
        <v>9152</v>
      </c>
      <c r="G1413" s="12" t="s">
        <v>9153</v>
      </c>
      <c r="H1413" s="24" t="s">
        <v>6537</v>
      </c>
      <c r="I1413" s="24" t="b">
        <f>ISNUMBER(VALUE(LEFT(Customer[[#This Row],[Address Line 3 (30 char)]],1)))</f>
        <v>0</v>
      </c>
      <c r="J1413" s="12" t="s">
        <v>1907</v>
      </c>
      <c r="K1413" s="12">
        <v>43900</v>
      </c>
      <c r="L1413" s="12" t="s">
        <v>35</v>
      </c>
      <c r="M1413" s="13" t="e">
        <v>#N/A</v>
      </c>
      <c r="N1413" s="14" t="e">
        <v>#N/A</v>
      </c>
      <c r="O1413" s="14" t="e">
        <v>#N/A</v>
      </c>
      <c r="P1413" s="14" t="e">
        <v>#N/A</v>
      </c>
      <c r="Q1413" s="14" t="e">
        <v>#N/A</v>
      </c>
      <c r="R1413" s="15" t="s">
        <v>9154</v>
      </c>
      <c r="S1413" s="15" t="s">
        <v>3212</v>
      </c>
      <c r="T1413" s="16" t="s">
        <v>89</v>
      </c>
      <c r="U1413" s="11" t="str">
        <f>_xlfn.XLOOKUP(Customer[[#This Row],[Customer ID]],[1]!Address[ID],[1]!Address[Phone No.(2)])</f>
        <v/>
      </c>
      <c r="V1413" s="11" t="str">
        <f>_xlfn.XLOOKUP(Customer[[#This Row],[Customer ID]],[1]!Address[ID],[1]!Address[Type])</f>
        <v>SOCMED</v>
      </c>
      <c r="W1413" s="11" t="str">
        <f>_xlfn.XLOOKUP(Customer[[#This Row],[Customer ID]],[1]!Address[ID],[1]!Address[CT])</f>
        <v/>
      </c>
      <c r="X1413" s="11"/>
      <c r="Y1413" s="17" t="s">
        <v>90</v>
      </c>
      <c r="Z1413" s="17" t="e">
        <f>_xlfn.XLOOKUP(Customer[[#This Row],[NewType]],$AF$36:$AF$54,$AG$36:$AG$54)</f>
        <v>#N/A</v>
      </c>
      <c r="AA1413" s="17" t="s">
        <v>9155</v>
      </c>
      <c r="AB1413" s="11" t="str">
        <f>_xlfn.XLOOKUP(Customer[[#This Row],[Customer ID]],[1]!Address[ID],[1]!Address[Subtype])</f>
        <v>ONLINE HAJAR</v>
      </c>
      <c r="AC1413" s="18" t="str">
        <f>_xlfn.XLOOKUP(Customer[[#This Row],[Customer ID]],[1]!Address[ID],[1]!Address[Zone])</f>
        <v>CENTRAL</v>
      </c>
    </row>
    <row r="1414" spans="1:29" x14ac:dyDescent="0.3">
      <c r="A1414" s="37" t="s">
        <v>9156</v>
      </c>
      <c r="B1414" s="38" t="str">
        <f>_xlfn.XLOOKUP(Customer[[#This Row],[Customer ID]],[1]!Name[ID],[1]!Name[Description(1)])</f>
        <v>HANGKAT LADA SERVICE STATION SDN.BHD</v>
      </c>
      <c r="C1414" s="38" t="str">
        <f>_xlfn.XLOOKUP(Customer[[#This Row],[Customer ID]],[1]!Name[ID],[1]!Name[Description(2)])</f>
        <v>CALTEX SEBERANG PERAK</v>
      </c>
      <c r="D1414" s="38" t="str">
        <f>_xlfn.XLOOKUP(Customer[[#This Row],[Customer ID]],[1]!Address[ID],[1]!Address[PIC])</f>
        <v/>
      </c>
      <c r="E1414" s="38" t="str">
        <f>_xlfn.XLOOKUP(Customer[[#This Row],[Customer ID]],[1]!Address[ID],[1]!Address[Full Address])</f>
        <v>CALTEX SEBERANG PERAKLOT 588, FELCRA SEBERANG PERAK36000 TELUK INTAN, PERAK</v>
      </c>
      <c r="F1414" s="12" t="s">
        <v>9157</v>
      </c>
      <c r="G1414" s="12" t="s">
        <v>9158</v>
      </c>
      <c r="H1414" s="24" t="s">
        <v>9159</v>
      </c>
      <c r="I1414" s="24" t="b">
        <f>ISNUMBER(VALUE(LEFT(Customer[[#This Row],[Address Line 3 (30 char)]],1)))</f>
        <v>0</v>
      </c>
      <c r="J1414" s="12" t="s">
        <v>242</v>
      </c>
      <c r="K1414" s="12">
        <v>36000</v>
      </c>
      <c r="L1414" s="12" t="s">
        <v>35</v>
      </c>
      <c r="M1414" s="13" t="e">
        <v>#N/A</v>
      </c>
      <c r="N1414" s="14" t="e">
        <v>#N/A</v>
      </c>
      <c r="O1414" s="14" t="e">
        <v>#N/A</v>
      </c>
      <c r="P1414" s="14" t="e">
        <v>#N/A</v>
      </c>
      <c r="Q1414" s="14" t="e">
        <v>#N/A</v>
      </c>
      <c r="R1414" s="15" t="s">
        <v>9160</v>
      </c>
      <c r="S1414" s="15" t="s">
        <v>37</v>
      </c>
      <c r="T1414" s="16" t="s">
        <v>38</v>
      </c>
      <c r="U1414" s="11" t="str">
        <f>_xlfn.XLOOKUP(Customer[[#This Row],[Customer ID]],[1]!Address[ID],[1]!Address[Phone No.(2)])</f>
        <v/>
      </c>
      <c r="V1414" s="11" t="str">
        <f>_xlfn.XLOOKUP(Customer[[#This Row],[Customer ID]],[1]!Address[ID],[1]!Address[Type])</f>
        <v>PETROMART</v>
      </c>
      <c r="W1414" s="11" t="str">
        <f>_xlfn.XLOOKUP(Customer[[#This Row],[Customer ID]],[1]!Address[ID],[1]!Address[CT])</f>
        <v>30</v>
      </c>
      <c r="X1414" s="11" t="s">
        <v>39</v>
      </c>
      <c r="Y1414" s="17" t="s">
        <v>40</v>
      </c>
      <c r="Z1414" s="17" t="e">
        <f>_xlfn.XLOOKUP(Customer[[#This Row],[NewType]],$AF$36:$AF$54,$AG$36:$AG$54)</f>
        <v>#N/A</v>
      </c>
      <c r="AA1414" s="17" t="s">
        <v>9161</v>
      </c>
      <c r="AB1414" s="11" t="str">
        <f>_xlfn.XLOOKUP(Customer[[#This Row],[Customer ID]],[1]!Address[ID],[1]!Address[Subtype])</f>
        <v>CALTEX</v>
      </c>
      <c r="AC1414" s="18" t="str">
        <f>_xlfn.XLOOKUP(Customer[[#This Row],[Customer ID]],[1]!Address[ID],[1]!Address[Zone])</f>
        <v>NORTH</v>
      </c>
    </row>
    <row r="1415" spans="1:29" x14ac:dyDescent="0.3">
      <c r="A1415" s="56" t="s">
        <v>9162</v>
      </c>
      <c r="B1415" s="50" t="str">
        <f>_xlfn.XLOOKUP(Customer[[#This Row],[Customer ID]],[1]!Name[ID],[1]!Name[Description(1)])</f>
        <v>WAN HANINI MEOR ARIF</v>
      </c>
      <c r="C1415" s="38" t="str">
        <f>_xlfn.XLOOKUP(Customer[[#This Row],[Customer ID]],[1]!Name[ID],[1]!Name[Description(2)])</f>
        <v/>
      </c>
      <c r="D1415" s="38" t="str">
        <f>_xlfn.XLOOKUP(Customer[[#This Row],[Customer ID]],[1]!Address[ID],[1]!Address[PIC])</f>
        <v/>
      </c>
      <c r="E1415" s="38" t="str">
        <f>_xlfn.XLOOKUP(Customer[[#This Row],[Customer ID]],[1]!Address[ID],[1]!Address[Full Address])</f>
        <v>NINI HARDWARENO 19 JALAN SIMPANG FELDA KEPAYANG28200 BERA, PAHANG</v>
      </c>
      <c r="F1415" s="12" t="s">
        <v>9163</v>
      </c>
      <c r="G1415" s="12" t="s">
        <v>9164</v>
      </c>
      <c r="H1415" s="24" t="s">
        <v>1561</v>
      </c>
      <c r="I1415" s="24" t="b">
        <f>ISNUMBER(VALUE(LEFT(Customer[[#This Row],[Address Line 3 (30 char)]],1)))</f>
        <v>0</v>
      </c>
      <c r="J1415" s="12" t="s">
        <v>339</v>
      </c>
      <c r="K1415" s="12">
        <v>28200</v>
      </c>
      <c r="L1415" s="12" t="s">
        <v>35</v>
      </c>
      <c r="M1415" s="13" t="e">
        <v>#N/A</v>
      </c>
      <c r="N1415" s="14" t="e">
        <v>#N/A</v>
      </c>
      <c r="O1415" s="14" t="e">
        <v>#N/A</v>
      </c>
      <c r="P1415" s="14" t="e">
        <v>#N/A</v>
      </c>
      <c r="Q1415" s="14" t="e">
        <v>#N/A</v>
      </c>
      <c r="R1415" s="15" t="s">
        <v>9165</v>
      </c>
      <c r="S1415" s="15" t="s">
        <v>3212</v>
      </c>
      <c r="T1415" s="16" t="s">
        <v>89</v>
      </c>
      <c r="U1415" s="11" t="str">
        <f>_xlfn.XLOOKUP(Customer[[#This Row],[Customer ID]],[1]!Address[ID],[1]!Address[Phone No.(2)])</f>
        <v/>
      </c>
      <c r="V1415" s="11" t="str">
        <f>_xlfn.XLOOKUP(Customer[[#This Row],[Customer ID]],[1]!Address[ID],[1]!Address[Type])</f>
        <v>SOCMED</v>
      </c>
      <c r="W1415" s="11" t="str">
        <f>_xlfn.XLOOKUP(Customer[[#This Row],[Customer ID]],[1]!Address[ID],[1]!Address[CT])</f>
        <v/>
      </c>
      <c r="X1415" s="11"/>
      <c r="Y1415" s="17" t="s">
        <v>90</v>
      </c>
      <c r="Z1415" s="17" t="e">
        <f>_xlfn.XLOOKUP(Customer[[#This Row],[NewType]],$AF$36:$AF$54,$AG$36:$AG$54)</f>
        <v>#N/A</v>
      </c>
      <c r="AA1415" s="17" t="s">
        <v>9166</v>
      </c>
      <c r="AB1415" s="11" t="str">
        <f>_xlfn.XLOOKUP(Customer[[#This Row],[Customer ID]],[1]!Address[ID],[1]!Address[Subtype])</f>
        <v>ONLINE HAJAR</v>
      </c>
      <c r="AC1415" s="18" t="str">
        <f>_xlfn.XLOOKUP(Customer[[#This Row],[Customer ID]],[1]!Address[ID],[1]!Address[Zone])</f>
        <v>M HAJAR200 AO HAJAR200 BERA</v>
      </c>
    </row>
    <row r="1416" spans="1:29" x14ac:dyDescent="0.3">
      <c r="A1416" s="37" t="s">
        <v>9167</v>
      </c>
      <c r="B1416" s="38" t="str">
        <f>_xlfn.XLOOKUP(Customer[[#This Row],[Customer ID]],[1]!Name[ID],[1]!Name[Description(1)])</f>
        <v>SRI TERNAK MART (SK) SDN BHD</v>
      </c>
      <c r="C1416" s="38" t="str">
        <f>_xlfn.XLOOKUP(Customer[[#This Row],[Customer ID]],[1]!Name[ID],[1]!Name[Description(2)])</f>
        <v>SERI KEMBANGAN</v>
      </c>
      <c r="D1416" s="38" t="str">
        <f>_xlfn.XLOOKUP(Customer[[#This Row],[Customer ID]],[1]!Address[ID],[1]!Address[PIC])</f>
        <v/>
      </c>
      <c r="E1416" s="38" t="str">
        <f>_xlfn.XLOOKUP(Customer[[#This Row],[Customer ID]],[1]!Address[ID],[1]!Address[Full Address])</f>
        <v>LOT 3, KOMPLEKS PERNIAGAAN,PASAR BORONG SELANGOR,KM 10 JALAN SERI KEMBANGAN,43300 SELANGOR</v>
      </c>
      <c r="F1416" s="12" t="s">
        <v>9168</v>
      </c>
      <c r="G1416" s="12" t="s">
        <v>9169</v>
      </c>
      <c r="H1416" s="12" t="s">
        <v>9170</v>
      </c>
      <c r="I1416" s="12" t="b">
        <f>ISNUMBER(VALUE(LEFT(Customer[[#This Row],[Address Line 3 (30 char)]],1)))</f>
        <v>0</v>
      </c>
      <c r="J1416" s="12" t="s">
        <v>1907</v>
      </c>
      <c r="K1416" s="12">
        <v>43300</v>
      </c>
      <c r="L1416" s="12" t="s">
        <v>35</v>
      </c>
      <c r="M1416" s="13" t="e">
        <v>#N/A</v>
      </c>
      <c r="N1416" s="14" t="e">
        <v>#N/A</v>
      </c>
      <c r="O1416" s="14" t="e">
        <v>#N/A</v>
      </c>
      <c r="P1416" s="14" t="e">
        <v>#N/A</v>
      </c>
      <c r="Q1416" s="14" t="e">
        <v>#N/A</v>
      </c>
      <c r="R1416" s="15" t="s">
        <v>9171</v>
      </c>
      <c r="S1416" s="15" t="s">
        <v>5917</v>
      </c>
      <c r="T1416" s="16" t="s">
        <v>3477</v>
      </c>
      <c r="U1416" s="11" t="str">
        <f>_xlfn.XLOOKUP(Customer[[#This Row],[Customer ID]],[1]!Address[ID],[1]!Address[Phone No.(2)])</f>
        <v/>
      </c>
      <c r="V1416" s="11" t="str">
        <f>_xlfn.XLOOKUP(Customer[[#This Row],[Customer ID]],[1]!Address[ID],[1]!Address[Type])</f>
        <v>HM</v>
      </c>
      <c r="W1416" s="11" t="str">
        <f>_xlfn.XLOOKUP(Customer[[#This Row],[Customer ID]],[1]!Address[ID],[1]!Address[CT])</f>
        <v>60 DAYS</v>
      </c>
      <c r="X1416" s="11"/>
      <c r="Y1416" s="17" t="s">
        <v>5968</v>
      </c>
      <c r="Z1416" s="17" t="e">
        <f>_xlfn.XLOOKUP(Customer[[#This Row],[NewType]],$AF$36:$AF$54,$AG$36:$AG$54)</f>
        <v>#N/A</v>
      </c>
      <c r="AA1416" s="17" t="s">
        <v>9172</v>
      </c>
      <c r="AB1416" s="11" t="str">
        <f>_xlfn.XLOOKUP(Customer[[#This Row],[Customer ID]],[1]!Address[ID],[1]!Address[Subtype])</f>
        <v>SRI TERNAK</v>
      </c>
      <c r="AC1416" s="18" t="str">
        <f>_xlfn.XLOOKUP(Customer[[#This Row],[Customer ID]],[1]!Address[ID],[1]!Address[Zone])</f>
        <v>CENTRAL</v>
      </c>
    </row>
    <row r="1417" spans="1:29" x14ac:dyDescent="0.3">
      <c r="A1417" s="56" t="s">
        <v>9173</v>
      </c>
      <c r="B1417" s="50" t="str">
        <f>_xlfn.XLOOKUP(Customer[[#This Row],[Customer ID]],[1]!Name[ID],[1]!Name[Description(1)])</f>
        <v>HS MEDHEALTH ENTERPRISE</v>
      </c>
      <c r="C1417" s="38" t="str">
        <f>_xlfn.XLOOKUP(Customer[[#This Row],[Customer ID]],[1]!Name[ID],[1]!Name[Description(2)])</f>
        <v>202403122192(003600086-D)</v>
      </c>
      <c r="D1417" s="38" t="str">
        <f>_xlfn.XLOOKUP(Customer[[#This Row],[Customer ID]],[1]!Address[ID],[1]!Address[PIC])</f>
        <v/>
      </c>
      <c r="E1417" s="38" t="str">
        <f>_xlfn.XLOOKUP(Customer[[#This Row],[Customer ID]],[1]!Address[ID],[1]!Address[Full Address])</f>
        <v>PT12947, JALAN BBN 1/7D PUTRA INDAH,PUTRA NILAI, 71800 NEGERI SEMBILAN</v>
      </c>
      <c r="F1417" s="12" t="s">
        <v>9174</v>
      </c>
      <c r="G1417" s="12" t="s">
        <v>9175</v>
      </c>
      <c r="H1417" s="12" t="s">
        <v>9176</v>
      </c>
      <c r="I1417" s="12" t="b">
        <f>ISNUMBER(VALUE(LEFT(Customer[[#This Row],[Address Line 3 (30 char)]],1)))</f>
        <v>0</v>
      </c>
      <c r="J1417" s="12" t="s">
        <v>203</v>
      </c>
      <c r="K1417" s="12">
        <v>71800</v>
      </c>
      <c r="L1417" s="12" t="s">
        <v>35</v>
      </c>
      <c r="M1417" s="13" t="e">
        <v>#N/A</v>
      </c>
      <c r="N1417" s="14" t="e">
        <v>#N/A</v>
      </c>
      <c r="O1417" s="14" t="e">
        <v>#N/A</v>
      </c>
      <c r="P1417" s="14" t="e">
        <v>#N/A</v>
      </c>
      <c r="Q1417" s="14" t="e">
        <v>#N/A</v>
      </c>
      <c r="R1417" s="15" t="s">
        <v>9177</v>
      </c>
      <c r="S1417" s="15" t="s">
        <v>3212</v>
      </c>
      <c r="T1417" s="16" t="s">
        <v>89</v>
      </c>
      <c r="U1417" s="11" t="str">
        <f>_xlfn.XLOOKUP(Customer[[#This Row],[Customer ID]],[1]!Address[ID],[1]!Address[Phone No.(2)])</f>
        <v/>
      </c>
      <c r="V1417" s="11" t="str">
        <f>_xlfn.XLOOKUP(Customer[[#This Row],[Customer ID]],[1]!Address[ID],[1]!Address[Type])</f>
        <v>SOCMED</v>
      </c>
      <c r="W1417" s="11" t="str">
        <f>_xlfn.XLOOKUP(Customer[[#This Row],[Customer ID]],[1]!Address[ID],[1]!Address[CT])</f>
        <v/>
      </c>
      <c r="X1417" s="11"/>
      <c r="Y1417" s="17" t="s">
        <v>90</v>
      </c>
      <c r="Z1417" s="17" t="e">
        <f>_xlfn.XLOOKUP(Customer[[#This Row],[NewType]],$AF$36:$AF$54,$AG$36:$AG$54)</f>
        <v>#N/A</v>
      </c>
      <c r="AA1417" s="17" t="s">
        <v>9178</v>
      </c>
      <c r="AB1417" s="11" t="str">
        <f>_xlfn.XLOOKUP(Customer[[#This Row],[Customer ID]],[1]!Address[ID],[1]!Address[Subtype])</f>
        <v>ONLINE HAJAR</v>
      </c>
      <c r="AC1417" s="18" t="str">
        <f>_xlfn.XLOOKUP(Customer[[#This Row],[Customer ID]],[1]!Address[ID],[1]!Address[Zone])</f>
        <v>CENTRAL</v>
      </c>
    </row>
    <row r="1418" spans="1:29" x14ac:dyDescent="0.3">
      <c r="A1418" s="37" t="s">
        <v>9179</v>
      </c>
      <c r="B1418" s="38" t="str">
        <f>_xlfn.XLOOKUP(Customer[[#This Row],[Customer ID]],[1]!Name[ID],[1]!Name[Description(1)])</f>
        <v>CAFE MESRA@MRANTI BUSSTO</v>
      </c>
      <c r="C1418" s="38" t="str">
        <f>_xlfn.XLOOKUP(Customer[[#This Row],[Customer ID]],[1]!Name[ID],[1]!Name[Description(2)])</f>
        <v/>
      </c>
      <c r="D1418" s="38" t="str">
        <f>_xlfn.XLOOKUP(Customer[[#This Row],[Customer ID]],[1]!Address[ID],[1]!Address[PIC])</f>
        <v/>
      </c>
      <c r="E1418" s="38" t="str">
        <f>_xlfn.XLOOKUP(Customer[[#This Row],[Customer ID]],[1]!Address[ID],[1]!Address[Full Address])</f>
        <v>Taman Teknologi MRANTIBukit Jalil, 57000 Kuala LumpurWilayahPersekutuan Kuala Lumpur</v>
      </c>
      <c r="F1418" s="12" t="s">
        <v>9180</v>
      </c>
      <c r="G1418" s="12" t="s">
        <v>9181</v>
      </c>
      <c r="H1418" s="12" t="s">
        <v>9182</v>
      </c>
      <c r="I1418" s="12" t="b">
        <f>ISNUMBER(VALUE(LEFT(Customer[[#This Row],[Address Line 3 (30 char)]],1)))</f>
        <v>0</v>
      </c>
      <c r="J1418" s="12" t="s">
        <v>34</v>
      </c>
      <c r="K1418" s="12">
        <v>57000</v>
      </c>
      <c r="L1418" s="12" t="s">
        <v>35</v>
      </c>
      <c r="M1418" s="13" t="e">
        <v>#N/A</v>
      </c>
      <c r="N1418" s="14" t="e">
        <v>#N/A</v>
      </c>
      <c r="O1418" s="14" t="e">
        <v>#N/A</v>
      </c>
      <c r="P1418" s="14" t="e">
        <v>#N/A</v>
      </c>
      <c r="Q1418" s="14" t="e">
        <v>#N/A</v>
      </c>
      <c r="R1418" s="15" t="s">
        <v>36</v>
      </c>
      <c r="S1418" s="15" t="s">
        <v>37</v>
      </c>
      <c r="T1418" s="16" t="s">
        <v>38</v>
      </c>
      <c r="U1418" s="11" t="str">
        <f>_xlfn.XLOOKUP(Customer[[#This Row],[Customer ID]],[1]!Address[ID],[1]!Address[Phone No.(2)])</f>
        <v/>
      </c>
      <c r="V1418" s="11" t="str">
        <f>_xlfn.XLOOKUP(Customer[[#This Row],[Customer ID]],[1]!Address[ID],[1]!Address[Type])</f>
        <v>PETROMART</v>
      </c>
      <c r="W1418" s="11" t="str">
        <f>_xlfn.XLOOKUP(Customer[[#This Row],[Customer ID]],[1]!Address[ID],[1]!Address[CT])</f>
        <v>30</v>
      </c>
      <c r="X1418" s="11" t="s">
        <v>39</v>
      </c>
      <c r="Y1418" s="17" t="s">
        <v>40</v>
      </c>
      <c r="Z1418" s="17" t="e">
        <f>_xlfn.XLOOKUP(Customer[[#This Row],[NewType]],$AF$36:$AF$54,$AG$36:$AG$54)</f>
        <v>#N/A</v>
      </c>
      <c r="AA1418" s="17" t="s">
        <v>9183</v>
      </c>
      <c r="AB1418" s="11" t="str">
        <f>_xlfn.XLOOKUP(Customer[[#This Row],[Customer ID]],[1]!Address[ID],[1]!Address[Subtype])</f>
        <v>PETRONAS</v>
      </c>
      <c r="AC1418" s="18" t="str">
        <f>_xlfn.XLOOKUP(Customer[[#This Row],[Customer ID]],[1]!Address[ID],[1]!Address[Zone])</f>
        <v>CENTRAL</v>
      </c>
    </row>
    <row r="1419" spans="1:29" x14ac:dyDescent="0.3">
      <c r="A1419" s="37" t="s">
        <v>9184</v>
      </c>
      <c r="B1419" s="38" t="str">
        <f>_xlfn.XLOOKUP(Customer[[#This Row],[Customer ID]],[1]!Name[ID],[1]!Name[Description(1)])</f>
        <v>NURUL JANNAH ZAKARIYA</v>
      </c>
      <c r="C1419" s="38" t="str">
        <f>_xlfn.XLOOKUP(Customer[[#This Row],[Customer ID]],[1]!Name[ID],[1]!Name[Description(2)])</f>
        <v/>
      </c>
      <c r="D1419" s="38" t="str">
        <f>_xlfn.XLOOKUP(Customer[[#This Row],[Customer ID]],[1]!Address[ID],[1]!Address[PIC])</f>
        <v/>
      </c>
      <c r="E1419" s="38" t="str">
        <f>_xlfn.XLOOKUP(Customer[[#This Row],[Customer ID]],[1]!Address[ID],[1]!Address[Full Address])</f>
        <v>LHDNM BLOCK 11, KOMPLEKS KERAJAANJALAN TUANKU ABDUL HALIM,50600 KUALA LUMPUR</v>
      </c>
      <c r="F1419" s="12" t="s">
        <v>9185</v>
      </c>
      <c r="G1419" s="12" t="s">
        <v>9186</v>
      </c>
      <c r="H1419" s="12" t="s">
        <v>9187</v>
      </c>
      <c r="I1419" s="12" t="b">
        <f>ISNUMBER(VALUE(LEFT(Customer[[#This Row],[Address Line 3 (30 char)]],1)))</f>
        <v>0</v>
      </c>
      <c r="J1419" s="12" t="s">
        <v>34</v>
      </c>
      <c r="K1419" s="12">
        <v>50600</v>
      </c>
      <c r="L1419" s="12" t="s">
        <v>35</v>
      </c>
      <c r="M1419" s="13" t="e">
        <v>#N/A</v>
      </c>
      <c r="N1419" s="14" t="e">
        <v>#N/A</v>
      </c>
      <c r="O1419" s="14" t="e">
        <v>#N/A</v>
      </c>
      <c r="P1419" s="14" t="e">
        <v>#N/A</v>
      </c>
      <c r="Q1419" s="19" t="s">
        <v>9188</v>
      </c>
      <c r="R1419" s="15" t="s">
        <v>9189</v>
      </c>
      <c r="S1419" s="15" t="s">
        <v>88</v>
      </c>
      <c r="T1419" s="16" t="s">
        <v>89</v>
      </c>
      <c r="U1419" s="11" t="str">
        <f>_xlfn.XLOOKUP(Customer[[#This Row],[Customer ID]],[1]!Address[ID],[1]!Address[Phone No.(2)])</f>
        <v/>
      </c>
      <c r="V1419" s="11" t="str">
        <f>_xlfn.XLOOKUP(Customer[[#This Row],[Customer ID]],[1]!Address[ID],[1]!Address[Type])</f>
        <v>SOCMED</v>
      </c>
      <c r="W1419" s="11" t="str">
        <f>_xlfn.XLOOKUP(Customer[[#This Row],[Customer ID]],[1]!Address[ID],[1]!Address[CT])</f>
        <v/>
      </c>
      <c r="X1419" s="11"/>
      <c r="Y1419" s="17" t="s">
        <v>90</v>
      </c>
      <c r="Z1419" s="17" t="e">
        <f>_xlfn.XLOOKUP(Customer[[#This Row],[NewType]],$AF$36:$AF$54,$AG$36:$AG$54)</f>
        <v>#N/A</v>
      </c>
      <c r="AA1419" s="17" t="s">
        <v>9190</v>
      </c>
      <c r="AB1419" s="11" t="str">
        <f>_xlfn.XLOOKUP(Customer[[#This Row],[Customer ID]],[1]!Address[ID],[1]!Address[Subtype])</f>
        <v>ONLINE ROS</v>
      </c>
      <c r="AC1419" s="18" t="str">
        <f>_xlfn.XLOOKUP(Customer[[#This Row],[Customer ID]],[1]!Address[ID],[1]!Address[Zone])</f>
        <v>CENTRAL</v>
      </c>
    </row>
    <row r="1420" spans="1:29" x14ac:dyDescent="0.3">
      <c r="A1420" s="37" t="s">
        <v>9191</v>
      </c>
      <c r="B1420" s="38" t="str">
        <f>_xlfn.XLOOKUP(Customer[[#This Row],[Customer ID]],[1]!Name[ID],[1]!Name[Description(1)])</f>
        <v>SITI ZULAIKHA BT MOHAMED YUNUS</v>
      </c>
      <c r="C1420" s="38" t="str">
        <f>_xlfn.XLOOKUP(Customer[[#This Row],[Customer ID]],[1]!Name[ID],[1]!Name[Description(2)])</f>
        <v/>
      </c>
      <c r="D1420" s="38" t="str">
        <f>_xlfn.XLOOKUP(Customer[[#This Row],[Customer ID]],[1]!Address[ID],[1]!Address[PIC])</f>
        <v/>
      </c>
      <c r="E1420" s="38" t="str">
        <f>_xlfn.XLOOKUP(Customer[[#This Row],[Customer ID]],[1]!Address[ID],[1]!Address[Full Address])</f>
        <v>720, JALAN MELATI 17,TAMAN DUSUN SETIA 70100 SEREMBANNEGERI SEMBILAN</v>
      </c>
      <c r="F1420" s="12" t="s">
        <v>9192</v>
      </c>
      <c r="G1420" s="12" t="s">
        <v>9193</v>
      </c>
      <c r="H1420" s="12"/>
      <c r="I1420" s="12" t="b">
        <f>ISNUMBER(VALUE(LEFT(Customer[[#This Row],[Address Line 3 (30 char)]],1)))</f>
        <v>0</v>
      </c>
      <c r="J1420" s="12" t="s">
        <v>2004</v>
      </c>
      <c r="K1420" s="12">
        <v>70100</v>
      </c>
      <c r="L1420" s="12" t="s">
        <v>35</v>
      </c>
      <c r="M1420" s="13" t="e">
        <v>#N/A</v>
      </c>
      <c r="N1420" s="14" t="e">
        <v>#N/A</v>
      </c>
      <c r="O1420" s="14" t="e">
        <v>#N/A</v>
      </c>
      <c r="P1420" s="14" t="e">
        <v>#N/A</v>
      </c>
      <c r="Q1420" s="14" t="e">
        <v>#N/A</v>
      </c>
      <c r="R1420" s="15" t="s">
        <v>9194</v>
      </c>
      <c r="S1420" s="15" t="s">
        <v>88</v>
      </c>
      <c r="T1420" s="16" t="s">
        <v>89</v>
      </c>
      <c r="U1420" s="11" t="str">
        <f>_xlfn.XLOOKUP(Customer[[#This Row],[Customer ID]],[1]!Address[ID],[1]!Address[Phone No.(2)])</f>
        <v/>
      </c>
      <c r="V1420" s="11" t="str">
        <f>_xlfn.XLOOKUP(Customer[[#This Row],[Customer ID]],[1]!Address[ID],[1]!Address[Type])</f>
        <v>SOCMED</v>
      </c>
      <c r="W1420" s="11" t="str">
        <f>_xlfn.XLOOKUP(Customer[[#This Row],[Customer ID]],[1]!Address[ID],[1]!Address[CT])</f>
        <v/>
      </c>
      <c r="X1420" s="11"/>
      <c r="Y1420" s="17" t="s">
        <v>90</v>
      </c>
      <c r="Z1420" s="17" t="e">
        <f>_xlfn.XLOOKUP(Customer[[#This Row],[NewType]],$AF$36:$AF$54,$AG$36:$AG$54)</f>
        <v>#N/A</v>
      </c>
      <c r="AA1420" s="17" t="s">
        <v>9195</v>
      </c>
      <c r="AB1420" s="11" t="str">
        <f>_xlfn.XLOOKUP(Customer[[#This Row],[Customer ID]],[1]!Address[ID],[1]!Address[Subtype])</f>
        <v>ONLINE ROS</v>
      </c>
      <c r="AC1420" s="18" t="str">
        <f>_xlfn.XLOOKUP(Customer[[#This Row],[Customer ID]],[1]!Address[ID],[1]!Address[Zone])</f>
        <v>CENTRAL</v>
      </c>
    </row>
    <row r="1421" spans="1:29" x14ac:dyDescent="0.3">
      <c r="A1421" s="37" t="s">
        <v>9196</v>
      </c>
      <c r="B1421" s="38" t="str">
        <f>_xlfn.XLOOKUP(Customer[[#This Row],[Customer ID]],[1]!Name[ID],[1]!Name[Description(1)])</f>
        <v>FARMASI PERDANA</v>
      </c>
      <c r="C1421" s="38" t="str">
        <f>_xlfn.XLOOKUP(Customer[[#This Row],[Customer ID]],[1]!Name[ID],[1]!Name[Description(2)])</f>
        <v/>
      </c>
      <c r="D1421" s="38" t="str">
        <f>_xlfn.XLOOKUP(Customer[[#This Row],[Customer ID]],[1]!Address[ID],[1]!Address[PIC])</f>
        <v/>
      </c>
      <c r="E1421" s="38" t="str">
        <f>_xlfn.XLOOKUP(Customer[[#This Row],[Customer ID]],[1]!Address[ID],[1]!Address[Full Address])</f>
        <v>LOT G30/31 MEDAN USAHAWAN,JALAN MAHMOOD,16000 KOTA BHARU, KELANTAN</v>
      </c>
      <c r="F1421" s="12" t="s">
        <v>9197</v>
      </c>
      <c r="G1421" s="12" t="s">
        <v>9198</v>
      </c>
      <c r="H1421" s="24" t="s">
        <v>9199</v>
      </c>
      <c r="I1421" s="24" t="b">
        <f>ISNUMBER(VALUE(LEFT(Customer[[#This Row],[Address Line 3 (30 char)]],1)))</f>
        <v>0</v>
      </c>
      <c r="J1421" s="12" t="s">
        <v>1007</v>
      </c>
      <c r="K1421" s="12">
        <v>16000</v>
      </c>
      <c r="L1421" s="12" t="s">
        <v>35</v>
      </c>
      <c r="M1421" s="13" t="e">
        <v>#N/A</v>
      </c>
      <c r="N1421" s="14" t="e">
        <v>#N/A</v>
      </c>
      <c r="O1421" s="14" t="e">
        <v>#N/A</v>
      </c>
      <c r="P1421" s="14" t="e">
        <v>#N/A</v>
      </c>
      <c r="Q1421" s="14" t="e">
        <v>#N/A</v>
      </c>
      <c r="R1421" s="15" t="s">
        <v>9200</v>
      </c>
      <c r="S1421" s="15"/>
      <c r="T1421" s="16" t="s">
        <v>6749</v>
      </c>
      <c r="U1421" s="11" t="str">
        <f>_xlfn.XLOOKUP(Customer[[#This Row],[Customer ID]],[1]!Address[ID],[1]!Address[Phone No.(2)])</f>
        <v/>
      </c>
      <c r="V1421" s="11" t="str">
        <f>_xlfn.XLOOKUP(Customer[[#This Row],[Customer ID]],[1]!Address[ID],[1]!Address[Type])</f>
        <v>SOCMED</v>
      </c>
      <c r="W1421" s="11" t="str">
        <f>_xlfn.XLOOKUP(Customer[[#This Row],[Customer ID]],[1]!Address[ID],[1]!Address[CT])</f>
        <v>14 DAYS</v>
      </c>
      <c r="X1421" s="11"/>
      <c r="Y1421" s="17" t="s">
        <v>90</v>
      </c>
      <c r="Z1421" s="17" t="e">
        <f>_xlfn.XLOOKUP(Customer[[#This Row],[NewType]],$AF$36:$AF$54,$AG$36:$AG$54)</f>
        <v>#N/A</v>
      </c>
      <c r="AA1421" s="17" t="s">
        <v>9201</v>
      </c>
      <c r="AB1421" s="11" t="str">
        <f>_xlfn.XLOOKUP(Customer[[#This Row],[Customer ID]],[1]!Address[ID],[1]!Address[Subtype])</f>
        <v>KB</v>
      </c>
      <c r="AC1421" s="18" t="str">
        <f>_xlfn.XLOOKUP(Customer[[#This Row],[Customer ID]],[1]!Address[ID],[1]!Address[Zone])</f>
        <v>EAST COAST</v>
      </c>
    </row>
    <row r="1422" spans="1:29" x14ac:dyDescent="0.3">
      <c r="A1422" s="37" t="s">
        <v>9202</v>
      </c>
      <c r="B1422" s="38" t="str">
        <f>_xlfn.XLOOKUP(Customer[[#This Row],[Customer ID]],[1]!Name[ID],[1]!Name[Description(1)])</f>
        <v>IZUWAN AUTOMOBILE SDN BHD</v>
      </c>
      <c r="C1422" s="38" t="str">
        <f>_xlfn.XLOOKUP(Customer[[#This Row],[Customer ID]],[1]!Name[ID],[1]!Name[Description(2)])</f>
        <v/>
      </c>
      <c r="D1422" s="38" t="str">
        <f>_xlfn.XLOOKUP(Customer[[#This Row],[Customer ID]],[1]!Address[ID],[1]!Address[PIC])</f>
        <v>DIANA</v>
      </c>
      <c r="E1422" s="38" t="str">
        <f>_xlfn.XLOOKUP(Customer[[#This Row],[Customer ID]],[1]!Address[ID],[1]!Address[Full Address])</f>
        <v>NO 99 LOT 6A, JALAN MRR2ARAH KARAK SRI GOMBAK,68100 BATU CAVES,SELANGOR</v>
      </c>
      <c r="F1422" s="12" t="s">
        <v>9203</v>
      </c>
      <c r="G1422" s="12" t="s">
        <v>9204</v>
      </c>
      <c r="H1422" s="24" t="s">
        <v>5565</v>
      </c>
      <c r="I1422" s="24" t="b">
        <f>ISNUMBER(VALUE(LEFT(Customer[[#This Row],[Address Line 3 (30 char)]],1)))</f>
        <v>0</v>
      </c>
      <c r="J1422" s="12" t="s">
        <v>1907</v>
      </c>
      <c r="K1422" s="12">
        <v>68100</v>
      </c>
      <c r="L1422" s="12" t="s">
        <v>35</v>
      </c>
      <c r="M1422" s="13">
        <v>202101021268</v>
      </c>
      <c r="N1422" s="14" t="s">
        <v>9205</v>
      </c>
      <c r="O1422" s="14" t="e">
        <v>#N/A</v>
      </c>
      <c r="P1422" s="14" t="e">
        <v>#N/A</v>
      </c>
      <c r="Q1422" s="14" t="e">
        <v>#N/A</v>
      </c>
      <c r="R1422" s="15" t="s">
        <v>9206</v>
      </c>
      <c r="S1422" s="15" t="s">
        <v>5934</v>
      </c>
      <c r="T1422" s="16" t="s">
        <v>3477</v>
      </c>
      <c r="U1422" s="11" t="str">
        <f>_xlfn.XLOOKUP(Customer[[#This Row],[Customer ID]],[1]!Address[ID],[1]!Address[Phone No.(2)])</f>
        <v/>
      </c>
      <c r="V1422" s="11" t="str">
        <f>_xlfn.XLOOKUP(Customer[[#This Row],[Customer ID]],[1]!Address[ID],[1]!Address[Type])</f>
        <v>CM</v>
      </c>
      <c r="W1422" s="11" t="str">
        <f>_xlfn.XLOOKUP(Customer[[#This Row],[Customer ID]],[1]!Address[ID],[1]!Address[CT])</f>
        <v>CASH</v>
      </c>
      <c r="X1422" s="11"/>
      <c r="Y1422" s="17" t="s">
        <v>5918</v>
      </c>
      <c r="Z1422" s="17" t="e">
        <f>_xlfn.XLOOKUP(Customer[[#This Row],[NewType]],$AF$36:$AF$54,$AG$36:$AG$54)</f>
        <v>#N/A</v>
      </c>
      <c r="AA1422" s="17" t="s">
        <v>9207</v>
      </c>
      <c r="AB1422" s="11" t="str">
        <f>_xlfn.XLOOKUP(Customer[[#This Row],[Customer ID]],[1]!Address[ID],[1]!Address[Subtype])</f>
        <v>IZUWAN AUTO</v>
      </c>
      <c r="AC1422" s="18">
        <f>_xlfn.XLOOKUP(Customer[[#This Row],[Customer ID]],[1]!Address[ID],[1]!Address[Zone])</f>
        <v>0</v>
      </c>
    </row>
    <row r="1423" spans="1:29" x14ac:dyDescent="0.3">
      <c r="A1423" s="56" t="s">
        <v>9208</v>
      </c>
      <c r="B1423" s="50" t="str">
        <f>_xlfn.XLOOKUP(Customer[[#This Row],[Customer ID]],[1]!Name[ID],[1]!Name[Description(1)])</f>
        <v>ARENA IRC MANAGEMENT</v>
      </c>
      <c r="C1423" s="38" t="str">
        <f>_xlfn.XLOOKUP(Customer[[#This Row],[Customer ID]],[1]!Name[ID],[1]!Name[Description(2)])</f>
        <v/>
      </c>
      <c r="D1423" s="38" t="str">
        <f>_xlfn.XLOOKUP(Customer[[#This Row],[Customer ID]],[1]!Address[ID],[1]!Address[PIC])</f>
        <v/>
      </c>
      <c r="E1423" s="38" t="str">
        <f>_xlfn.XLOOKUP(Customer[[#This Row],[Customer ID]],[1]!Address[ID],[1]!Address[Full Address])</f>
        <v>ARENA IRC, PERSIARAN 1,SENDAYAN BAYU, 71950BANDAR BARU SENDAYAN, NEGERI SEMBILANDARUL KHUSUS, MALAYSIA</v>
      </c>
      <c r="F1423" s="12" t="s">
        <v>9209</v>
      </c>
      <c r="G1423" s="12" t="s">
        <v>9210</v>
      </c>
      <c r="H1423" s="12" t="s">
        <v>9211</v>
      </c>
      <c r="I1423" s="99" t="b">
        <f>ISNUMBER(VALUE(LEFT(Customer[[#This Row],[Address Line 3 (30 char)]],1)))</f>
        <v>0</v>
      </c>
      <c r="J1423" s="41" t="s">
        <v>203</v>
      </c>
      <c r="K1423" s="12">
        <v>71950</v>
      </c>
      <c r="L1423" s="12" t="s">
        <v>35</v>
      </c>
      <c r="M1423" s="13" t="e">
        <v>#N/A</v>
      </c>
      <c r="N1423" s="14" t="e">
        <v>#N/A</v>
      </c>
      <c r="O1423" s="14" t="e">
        <v>#N/A</v>
      </c>
      <c r="P1423" s="14" t="e">
        <v>#N/A</v>
      </c>
      <c r="Q1423" s="14" t="e">
        <v>#N/A</v>
      </c>
      <c r="R1423" s="15" t="s">
        <v>9212</v>
      </c>
      <c r="S1423" s="15" t="s">
        <v>3212</v>
      </c>
      <c r="T1423" s="16" t="s">
        <v>89</v>
      </c>
      <c r="U1423" s="11" t="str">
        <f>_xlfn.XLOOKUP(Customer[[#This Row],[Customer ID]],[1]!Address[ID],[1]!Address[Phone No.(2)])</f>
        <v/>
      </c>
      <c r="V1423" s="11" t="str">
        <f>_xlfn.XLOOKUP(Customer[[#This Row],[Customer ID]],[1]!Address[ID],[1]!Address[Type])</f>
        <v>SOCMED</v>
      </c>
      <c r="W1423" s="11" t="str">
        <f>_xlfn.XLOOKUP(Customer[[#This Row],[Customer ID]],[1]!Address[ID],[1]!Address[CT])</f>
        <v/>
      </c>
      <c r="X1423" s="11"/>
      <c r="Y1423" s="17" t="s">
        <v>90</v>
      </c>
      <c r="Z1423" s="17" t="e">
        <f>_xlfn.XLOOKUP(Customer[[#This Row],[NewType]],$AF$36:$AF$54,$AG$36:$AG$54)</f>
        <v>#N/A</v>
      </c>
      <c r="AA1423" s="17" t="s">
        <v>9213</v>
      </c>
      <c r="AB1423" s="11" t="str">
        <f>_xlfn.XLOOKUP(Customer[[#This Row],[Customer ID]],[1]!Address[ID],[1]!Address[Subtype])</f>
        <v>ONLINE HAJAR</v>
      </c>
      <c r="AC1423" s="18" t="str">
        <f>_xlfn.XLOOKUP(Customer[[#This Row],[Customer ID]],[1]!Address[ID],[1]!Address[Zone])</f>
        <v>CENTRAL</v>
      </c>
    </row>
    <row r="1424" spans="1:29" x14ac:dyDescent="0.3">
      <c r="A1424" s="10" t="s">
        <v>9214</v>
      </c>
      <c r="B1424" s="11" t="str">
        <f>_xlfn.XLOOKUP(Customer[[#This Row],[Customer ID]],[1]!Name[ID],[1]!Name[Description(1)])</f>
        <v>DATO SAHAR</v>
      </c>
      <c r="C1424" s="38" t="str">
        <f>_xlfn.XLOOKUP(Customer[[#This Row],[Customer ID]],[1]!Name[ID],[1]!Name[Description(2)])</f>
        <v/>
      </c>
      <c r="D1424" s="38" t="str">
        <f>_xlfn.XLOOKUP(Customer[[#This Row],[Customer ID]],[1]!Address[ID],[1]!Address[PIC])</f>
        <v/>
      </c>
      <c r="E1424" s="38" t="str">
        <f>_xlfn.XLOOKUP(Customer[[#This Row],[Customer ID]],[1]!Address[ID],[1]!Address[Full Address])</f>
        <v>RUMAH SAHAR @ CYBERJAYANO 1, JALAN SRI TASIK TIMUR 8C,PERDANA LAKEVIEW EAST, 63000CYBERJAYA, SELANGOR</v>
      </c>
      <c r="F1424" s="12" t="s">
        <v>9215</v>
      </c>
      <c r="G1424" s="12" t="s">
        <v>9216</v>
      </c>
      <c r="H1424" s="12" t="s">
        <v>9217</v>
      </c>
      <c r="I1424" s="12" t="b">
        <f>ISNUMBER(VALUE(LEFT(Customer[[#This Row],[Address Line 3 (30 char)]],1)))</f>
        <v>0</v>
      </c>
      <c r="J1424" s="12" t="s">
        <v>1907</v>
      </c>
      <c r="K1424" s="12">
        <v>63000</v>
      </c>
      <c r="L1424" s="12" t="s">
        <v>35</v>
      </c>
      <c r="M1424" s="13" t="e">
        <v>#N/A</v>
      </c>
      <c r="N1424" s="14" t="e">
        <v>#N/A</v>
      </c>
      <c r="O1424" s="14" t="e">
        <v>#N/A</v>
      </c>
      <c r="P1424" s="14" t="e">
        <v>#N/A</v>
      </c>
      <c r="Q1424" s="14" t="e">
        <v>#N/A</v>
      </c>
      <c r="R1424" s="15" t="s">
        <v>9218</v>
      </c>
      <c r="S1424" s="15" t="s">
        <v>4271</v>
      </c>
      <c r="T1424" s="16" t="s">
        <v>89</v>
      </c>
      <c r="U1424" s="11" t="str">
        <f>_xlfn.XLOOKUP(Customer[[#This Row],[Customer ID]],[1]!Address[ID],[1]!Address[Phone No.(2)])</f>
        <v/>
      </c>
      <c r="V1424" s="11" t="str">
        <f>_xlfn.XLOOKUP(Customer[[#This Row],[Customer ID]],[1]!Address[ID],[1]!Address[Type])</f>
        <v>SOCMED</v>
      </c>
      <c r="W1424" s="11" t="str">
        <f>_xlfn.XLOOKUP(Customer[[#This Row],[Customer ID]],[1]!Address[ID],[1]!Address[CT])</f>
        <v/>
      </c>
      <c r="X1424" s="11"/>
      <c r="Y1424" s="17" t="s">
        <v>90</v>
      </c>
      <c r="Z1424" s="17" t="e">
        <f>_xlfn.XLOOKUP(Customer[[#This Row],[NewType]],$AF$36:$AF$54,$AG$36:$AG$54)</f>
        <v>#N/A</v>
      </c>
      <c r="AA1424" s="17" t="s">
        <v>9219</v>
      </c>
      <c r="AB1424" s="11" t="str">
        <f>_xlfn.XLOOKUP(Customer[[#This Row],[Customer ID]],[1]!Address[ID],[1]!Address[Subtype])</f>
        <v>WHATSAPP</v>
      </c>
      <c r="AC1424" s="18" t="str">
        <f>_xlfn.XLOOKUP(Customer[[#This Row],[Customer ID]],[1]!Address[ID],[1]!Address[Zone])</f>
        <v>CENTRAL</v>
      </c>
    </row>
    <row r="1425" spans="1:29" x14ac:dyDescent="0.3">
      <c r="A1425" s="37" t="s">
        <v>9220</v>
      </c>
      <c r="B1425" s="38" t="str">
        <f>_xlfn.XLOOKUP(Customer[[#This Row],[Customer ID]],[1]!Name[ID],[1]!Name[Description(1)])</f>
        <v>ALLSTAR NETWORKS SDN. BHD.</v>
      </c>
      <c r="C1425" s="38" t="str">
        <f>_xlfn.XLOOKUP(Customer[[#This Row],[Customer ID]],[1]!Name[ID],[1]!Name[Description(2)])</f>
        <v>CALTEX SIMPANG</v>
      </c>
      <c r="D1425" s="38" t="str">
        <f>_xlfn.XLOOKUP(Customer[[#This Row],[Customer ID]],[1]!Address[ID],[1]!Address[PIC])</f>
        <v>Hasnun Najmi bi</v>
      </c>
      <c r="E1425" s="38" t="str">
        <f>_xlfn.XLOOKUP(Customer[[#This Row],[Customer ID]],[1]!Address[ID],[1]!Address[Full Address])</f>
        <v>CALTEX SIMPANGNo. 87, Jalan Kuala Kangsar, Batu 6,Simpang, 34700 Taiping.</v>
      </c>
      <c r="F1425" s="12" t="s">
        <v>9221</v>
      </c>
      <c r="G1425" s="12" t="s">
        <v>9222</v>
      </c>
      <c r="H1425" s="12" t="s">
        <v>9223</v>
      </c>
      <c r="I1425" s="12" t="b">
        <f>ISNUMBER(VALUE(LEFT(Customer[[#This Row],[Address Line 3 (30 char)]],1)))</f>
        <v>0</v>
      </c>
      <c r="J1425" s="12" t="s">
        <v>242</v>
      </c>
      <c r="K1425" s="12">
        <v>34700</v>
      </c>
      <c r="L1425" s="12" t="s">
        <v>35</v>
      </c>
      <c r="M1425" s="13">
        <v>202001016094</v>
      </c>
      <c r="N1425" s="14" t="s">
        <v>9224</v>
      </c>
      <c r="O1425" s="14" t="e">
        <v>#N/A</v>
      </c>
      <c r="P1425" s="14" t="e">
        <v>#N/A</v>
      </c>
      <c r="Q1425" s="19" t="s">
        <v>9225</v>
      </c>
      <c r="R1425" s="15" t="s">
        <v>9226</v>
      </c>
      <c r="S1425" s="15" t="s">
        <v>37</v>
      </c>
      <c r="T1425" s="16" t="s">
        <v>38</v>
      </c>
      <c r="U1425" s="11" t="str">
        <f>_xlfn.XLOOKUP(Customer[[#This Row],[Customer ID]],[1]!Address[ID],[1]!Address[Phone No.(2)])</f>
        <v/>
      </c>
      <c r="V1425" s="11" t="str">
        <f>_xlfn.XLOOKUP(Customer[[#This Row],[Customer ID]],[1]!Address[ID],[1]!Address[Type])</f>
        <v>PETROMART</v>
      </c>
      <c r="W1425" s="11" t="str">
        <f>_xlfn.XLOOKUP(Customer[[#This Row],[Customer ID]],[1]!Address[ID],[1]!Address[CT])</f>
        <v>30 DAYS</v>
      </c>
      <c r="X1425" s="11" t="s">
        <v>39</v>
      </c>
      <c r="Y1425" s="17" t="s">
        <v>40</v>
      </c>
      <c r="Z1425" s="17" t="e">
        <f>_xlfn.XLOOKUP(Customer[[#This Row],[NewType]],$AF$36:$AF$54,$AG$36:$AG$54)</f>
        <v>#N/A</v>
      </c>
      <c r="AA1425" s="17" t="s">
        <v>9227</v>
      </c>
      <c r="AB1425" s="11" t="str">
        <f>_xlfn.XLOOKUP(Customer[[#This Row],[Customer ID]],[1]!Address[ID],[1]!Address[Subtype])</f>
        <v>XPRESS POINT</v>
      </c>
      <c r="AC1425" s="18" t="str">
        <f>_xlfn.XLOOKUP(Customer[[#This Row],[Customer ID]],[1]!Address[ID],[1]!Address[Zone])</f>
        <v>NORTH</v>
      </c>
    </row>
    <row r="1426" spans="1:29" x14ac:dyDescent="0.3">
      <c r="A1426" s="37" t="s">
        <v>9228</v>
      </c>
      <c r="B1426" s="38" t="str">
        <f>_xlfn.XLOOKUP(Customer[[#This Row],[Customer ID]],[1]!Name[ID],[1]!Name[Description(1)])</f>
        <v>ZARIN ENTERPRISE</v>
      </c>
      <c r="C1426" s="38" t="str">
        <f>_xlfn.XLOOKUP(Customer[[#This Row],[Customer ID]],[1]!Name[ID],[1]!Name[Description(2)])</f>
        <v>PETRON KERTEH</v>
      </c>
      <c r="D1426" s="38" t="str">
        <f>_xlfn.XLOOKUP(Customer[[#This Row],[Customer ID]],[1]!Address[ID],[1]!Address[PIC])</f>
        <v/>
      </c>
      <c r="E1426" s="38" t="str">
        <f>_xlfn.XLOOKUP(Customer[[#This Row],[Customer ID]],[1]!Address[ID],[1]!Address[Full Address])</f>
        <v>PETRON KERTEH817, KG BARU KERTEH24300, KEMAMANTERENGGANU</v>
      </c>
      <c r="F1426" s="12" t="s">
        <v>9229</v>
      </c>
      <c r="G1426" s="12" t="s">
        <v>9230</v>
      </c>
      <c r="H1426" s="24" t="s">
        <v>1055</v>
      </c>
      <c r="I1426" s="24" t="b">
        <f>ISNUMBER(VALUE(LEFT(Customer[[#This Row],[Address Line 3 (30 char)]],1)))</f>
        <v>0</v>
      </c>
      <c r="J1426" s="12" t="s">
        <v>1056</v>
      </c>
      <c r="K1426" s="12">
        <v>34700</v>
      </c>
      <c r="L1426" s="12" t="s">
        <v>35</v>
      </c>
      <c r="M1426" s="13" t="e">
        <v>#N/A</v>
      </c>
      <c r="N1426" s="14" t="e">
        <v>#N/A</v>
      </c>
      <c r="O1426" s="14" t="e">
        <v>#N/A</v>
      </c>
      <c r="P1426" s="14" t="e">
        <v>#N/A</v>
      </c>
      <c r="Q1426" s="14" t="e">
        <v>#N/A</v>
      </c>
      <c r="R1426" s="15" t="s">
        <v>9231</v>
      </c>
      <c r="S1426" s="15" t="s">
        <v>37</v>
      </c>
      <c r="T1426" s="16" t="s">
        <v>38</v>
      </c>
      <c r="U1426" s="11" t="str">
        <f>_xlfn.XLOOKUP(Customer[[#This Row],[Customer ID]],[1]!Address[ID],[1]!Address[Phone No.(2)])</f>
        <v/>
      </c>
      <c r="V1426" s="11" t="str">
        <f>_xlfn.XLOOKUP(Customer[[#This Row],[Customer ID]],[1]!Address[ID],[1]!Address[Type])</f>
        <v>PETROMART</v>
      </c>
      <c r="W1426" s="11" t="str">
        <f>_xlfn.XLOOKUP(Customer[[#This Row],[Customer ID]],[1]!Address[ID],[1]!Address[CT])</f>
        <v>45</v>
      </c>
      <c r="X1426" s="11" t="s">
        <v>39</v>
      </c>
      <c r="Y1426" s="17" t="s">
        <v>40</v>
      </c>
      <c r="Z1426" s="17" t="e">
        <f>_xlfn.XLOOKUP(Customer[[#This Row],[NewType]],$AF$36:$AF$54,$AG$36:$AG$54)</f>
        <v>#N/A</v>
      </c>
      <c r="AA1426" s="17" t="s">
        <v>9232</v>
      </c>
      <c r="AB1426" s="11" t="str">
        <f>_xlfn.XLOOKUP(Customer[[#This Row],[Customer ID]],[1]!Address[ID],[1]!Address[Subtype])</f>
        <v>PETRON</v>
      </c>
      <c r="AC1426" s="18" t="str">
        <f>_xlfn.XLOOKUP(Customer[[#This Row],[Customer ID]],[1]!Address[ID],[1]!Address[Zone])</f>
        <v>EAST COAST</v>
      </c>
    </row>
    <row r="1427" spans="1:29" x14ac:dyDescent="0.3">
      <c r="A1427" s="37" t="s">
        <v>9233</v>
      </c>
      <c r="B1427" s="38" t="str">
        <f>_xlfn.XLOOKUP(Customer[[#This Row],[Customer ID]],[1]!Name[ID],[1]!Name[Description(1)])</f>
        <v>KOPERASI WARGA JABATAN BELIA DAN SUKAN</v>
      </c>
      <c r="C1427" s="38" t="str">
        <f>_xlfn.XLOOKUP(Customer[[#This Row],[Customer ID]],[1]!Name[ID],[1]!Name[Description(2)])</f>
        <v>NEGERI SEMBILAN(KOWARIS)</v>
      </c>
      <c r="D1427" s="38" t="str">
        <f>_xlfn.XLOOKUP(Customer[[#This Row],[Customer ID]],[1]!Address[ID],[1]!Address[PIC])</f>
        <v/>
      </c>
      <c r="E1427" s="38" t="str">
        <f>_xlfn.XLOOKUP(Customer[[#This Row],[Customer ID]],[1]!Address[ID],[1]!Address[Full Address])</f>
        <v>KOMPLEKS BELIA DAN SUKAN NEGERI SEMBILAN70400 SEREMBAN, NEGERI SEMBILAN</v>
      </c>
      <c r="F1427" s="12" t="s">
        <v>9234</v>
      </c>
      <c r="G1427" s="12" t="s">
        <v>9235</v>
      </c>
      <c r="H1427" s="12" t="s">
        <v>1971</v>
      </c>
      <c r="I1427" s="12" t="b">
        <f>ISNUMBER(VALUE(LEFT(Customer[[#This Row],[Address Line 3 (30 char)]],1)))</f>
        <v>0</v>
      </c>
      <c r="J1427" s="12" t="s">
        <v>203</v>
      </c>
      <c r="K1427" s="12">
        <v>70400</v>
      </c>
      <c r="L1427" s="12" t="s">
        <v>35</v>
      </c>
      <c r="M1427" s="13" t="e">
        <v>#N/A</v>
      </c>
      <c r="N1427" s="14" t="e">
        <v>#N/A</v>
      </c>
      <c r="O1427" s="14" t="e">
        <v>#N/A</v>
      </c>
      <c r="P1427" s="14" t="e">
        <v>#N/A</v>
      </c>
      <c r="Q1427" s="14" t="e">
        <v>#N/A</v>
      </c>
      <c r="R1427" s="15" t="s">
        <v>9236</v>
      </c>
      <c r="S1427" s="15" t="s">
        <v>5934</v>
      </c>
      <c r="T1427" s="16" t="s">
        <v>3477</v>
      </c>
      <c r="U1427" s="11" t="str">
        <f>_xlfn.XLOOKUP(Customer[[#This Row],[Customer ID]],[1]!Address[ID],[1]!Address[Phone No.(2)])</f>
        <v/>
      </c>
      <c r="V1427" s="11" t="str">
        <f>_xlfn.XLOOKUP(Customer[[#This Row],[Customer ID]],[1]!Address[ID],[1]!Address[Type])</f>
        <v>CORPORATE</v>
      </c>
      <c r="W1427" s="11" t="str">
        <f>_xlfn.XLOOKUP(Customer[[#This Row],[Customer ID]],[1]!Address[ID],[1]!Address[CT])</f>
        <v>30 DAYS</v>
      </c>
      <c r="X1427" s="11"/>
      <c r="Y1427" s="17" t="s">
        <v>6418</v>
      </c>
      <c r="Z1427" s="17" t="e">
        <f>_xlfn.XLOOKUP(Customer[[#This Row],[NewType]],$AF$36:$AF$54,$AG$36:$AG$54)</f>
        <v>#N/A</v>
      </c>
      <c r="AA1427" s="17" t="s">
        <v>9237</v>
      </c>
      <c r="AB1427" s="11" t="str">
        <f>_xlfn.XLOOKUP(Customer[[#This Row],[Customer ID]],[1]!Address[ID],[1]!Address[Subtype])</f>
        <v>KOWARIS</v>
      </c>
      <c r="AC1427" s="18" t="str">
        <f>_xlfn.XLOOKUP(Customer[[#This Row],[Customer ID]],[1]!Address[ID],[1]!Address[Zone])</f>
        <v>CENTRAL</v>
      </c>
    </row>
    <row r="1428" spans="1:29" x14ac:dyDescent="0.3">
      <c r="A1428" s="37" t="s">
        <v>9238</v>
      </c>
      <c r="B1428" s="38" t="str">
        <f>_xlfn.XLOOKUP(Customer[[#This Row],[Customer ID]],[1]!Name[ID],[1]!Name[Description(1)])</f>
        <v>RENGIT PHARMACY (RENGIT)</v>
      </c>
      <c r="C1428" s="38" t="str">
        <f>_xlfn.XLOOKUP(Customer[[#This Row],[Customer ID]],[1]!Name[ID],[1]!Name[Description(2)])</f>
        <v>GOLDEN SAILS HEALTHCARE</v>
      </c>
      <c r="D1428" s="38" t="str">
        <f>_xlfn.XLOOKUP(Customer[[#This Row],[Customer ID]],[1]!Address[ID],[1]!Address[PIC])</f>
        <v/>
      </c>
      <c r="E1428" s="38" t="str">
        <f>_xlfn.XLOOKUP(Customer[[#This Row],[Customer ID]],[1]!Address[ID],[1]!Address[Full Address])</f>
        <v>25, JALAN BESAR, 83100 RENGIT,JOHOR</v>
      </c>
      <c r="F1428" s="12" t="s">
        <v>9239</v>
      </c>
      <c r="G1428" s="12" t="s">
        <v>52</v>
      </c>
      <c r="H1428" s="12" t="s">
        <v>36</v>
      </c>
      <c r="I1428" s="12" t="b">
        <f>ISNUMBER(VALUE(LEFT(Customer[[#This Row],[Address Line 3 (30 char)]],1)))</f>
        <v>0</v>
      </c>
      <c r="J1428" s="12" t="s">
        <v>52</v>
      </c>
      <c r="K1428" s="12">
        <v>83100</v>
      </c>
      <c r="L1428" s="12" t="s">
        <v>35</v>
      </c>
      <c r="M1428" s="13">
        <v>202201025754</v>
      </c>
      <c r="N1428" s="14" t="s">
        <v>9240</v>
      </c>
      <c r="O1428" s="14" t="e">
        <v>#N/A</v>
      </c>
      <c r="P1428" s="14" t="e">
        <v>#N/A</v>
      </c>
      <c r="Q1428" s="19" t="s">
        <v>9241</v>
      </c>
      <c r="R1428" s="15" t="s">
        <v>9242</v>
      </c>
      <c r="S1428" s="15" t="s">
        <v>88</v>
      </c>
      <c r="T1428" s="16" t="s">
        <v>89</v>
      </c>
      <c r="U1428" s="11" t="str">
        <f>_xlfn.XLOOKUP(Customer[[#This Row],[Customer ID]],[1]!Address[ID],[1]!Address[Phone No.(2)])</f>
        <v/>
      </c>
      <c r="V1428" s="11" t="str">
        <f>_xlfn.XLOOKUP(Customer[[#This Row],[Customer ID]],[1]!Address[ID],[1]!Address[Type])</f>
        <v>SOCMED</v>
      </c>
      <c r="W1428" s="11" t="str">
        <f>_xlfn.XLOOKUP(Customer[[#This Row],[Customer ID]],[1]!Address[ID],[1]!Address[CT])</f>
        <v/>
      </c>
      <c r="X1428" s="11"/>
      <c r="Y1428" s="17" t="s">
        <v>90</v>
      </c>
      <c r="Z1428" s="17" t="e">
        <f>_xlfn.XLOOKUP(Customer[[#This Row],[NewType]],$AF$36:$AF$54,$AG$36:$AG$54)</f>
        <v>#N/A</v>
      </c>
      <c r="AA1428" s="17" t="s">
        <v>9243</v>
      </c>
      <c r="AB1428" s="11" t="str">
        <f>_xlfn.XLOOKUP(Customer[[#This Row],[Customer ID]],[1]!Address[ID],[1]!Address[Subtype])</f>
        <v>ONLINE ROS</v>
      </c>
      <c r="AC1428" s="18" t="str">
        <f>_xlfn.XLOOKUP(Customer[[#This Row],[Customer ID]],[1]!Address[ID],[1]!Address[Zone])</f>
        <v>SOUTH</v>
      </c>
    </row>
    <row r="1429" spans="1:29" x14ac:dyDescent="0.3">
      <c r="A1429" s="37" t="s">
        <v>9244</v>
      </c>
      <c r="B1429" s="38" t="str">
        <f>_xlfn.XLOOKUP(Customer[[#This Row],[Customer ID]],[1]!Name[ID],[1]!Name[Description(1)])</f>
        <v>RENGIT PHARMACY (SRI MEDAN, JOHOR)</v>
      </c>
      <c r="C1429" s="38" t="str">
        <f>_xlfn.XLOOKUP(Customer[[#This Row],[Customer ID]],[1]!Name[ID],[1]!Name[Description(2)])</f>
        <v>(SRI MEDAN, JOHOR)</v>
      </c>
      <c r="D1429" s="38" t="str">
        <f>_xlfn.XLOOKUP(Customer[[#This Row],[Customer ID]],[1]!Address[ID],[1]!Address[PIC])</f>
        <v/>
      </c>
      <c r="E1429" s="38" t="str">
        <f>_xlfn.XLOOKUP(Customer[[#This Row],[Customer ID]],[1]!Address[ID],[1]!Address[Full Address])</f>
        <v>13, JALAN EMAS 10,TAMAN EMAS 2, 83400 SRI MEDAN,JOHOR</v>
      </c>
      <c r="F1429" s="12" t="s">
        <v>9245</v>
      </c>
      <c r="G1429" s="12" t="s">
        <v>9246</v>
      </c>
      <c r="H1429" s="12"/>
      <c r="I1429" s="12" t="b">
        <f>ISNUMBER(VALUE(LEFT(Customer[[#This Row],[Address Line 3 (30 char)]],1)))</f>
        <v>0</v>
      </c>
      <c r="J1429" s="12" t="s">
        <v>52</v>
      </c>
      <c r="K1429" s="12">
        <v>83400</v>
      </c>
      <c r="L1429" s="12" t="s">
        <v>35</v>
      </c>
      <c r="M1429" s="13" t="e">
        <v>#N/A</v>
      </c>
      <c r="N1429" s="14" t="e">
        <v>#N/A</v>
      </c>
      <c r="O1429" s="14" t="e">
        <v>#N/A</v>
      </c>
      <c r="P1429" s="14" t="e">
        <v>#N/A</v>
      </c>
      <c r="Q1429" s="14" t="e">
        <v>#N/A</v>
      </c>
      <c r="R1429" s="15" t="s">
        <v>9242</v>
      </c>
      <c r="S1429" s="15" t="s">
        <v>88</v>
      </c>
      <c r="T1429" s="16" t="s">
        <v>89</v>
      </c>
      <c r="U1429" s="11" t="str">
        <f>_xlfn.XLOOKUP(Customer[[#This Row],[Customer ID]],[1]!Address[ID],[1]!Address[Phone No.(2)])</f>
        <v/>
      </c>
      <c r="V1429" s="11" t="str">
        <f>_xlfn.XLOOKUP(Customer[[#This Row],[Customer ID]],[1]!Address[ID],[1]!Address[Type])</f>
        <v>SOCMED</v>
      </c>
      <c r="W1429" s="11" t="str">
        <f>_xlfn.XLOOKUP(Customer[[#This Row],[Customer ID]],[1]!Address[ID],[1]!Address[CT])</f>
        <v/>
      </c>
      <c r="X1429" s="11"/>
      <c r="Y1429" s="17" t="s">
        <v>90</v>
      </c>
      <c r="Z1429" s="17" t="e">
        <f>_xlfn.XLOOKUP(Customer[[#This Row],[NewType]],$AF$36:$AF$54,$AG$36:$AG$54)</f>
        <v>#N/A</v>
      </c>
      <c r="AA1429" s="17" t="s">
        <v>9247</v>
      </c>
      <c r="AB1429" s="11" t="str">
        <f>_xlfn.XLOOKUP(Customer[[#This Row],[Customer ID]],[1]!Address[ID],[1]!Address[Subtype])</f>
        <v>ONLINE ROS</v>
      </c>
      <c r="AC1429" s="18" t="str">
        <f>_xlfn.XLOOKUP(Customer[[#This Row],[Customer ID]],[1]!Address[ID],[1]!Address[Zone])</f>
        <v>SOUTH</v>
      </c>
    </row>
    <row r="1430" spans="1:29" x14ac:dyDescent="0.3">
      <c r="A1430" s="37" t="s">
        <v>9248</v>
      </c>
      <c r="B1430" s="38" t="str">
        <f>_xlfn.XLOOKUP(Customer[[#This Row],[Customer ID]],[1]!Name[ID],[1]!Name[Description(1)])</f>
        <v>MUHAMMAD ILYAS AHMAD KAMAL</v>
      </c>
      <c r="C1430" s="38" t="str">
        <f>_xlfn.XLOOKUP(Customer[[#This Row],[Customer ID]],[1]!Name[ID],[1]!Name[Description(2)])</f>
        <v/>
      </c>
      <c r="D1430" s="38" t="str">
        <f>_xlfn.XLOOKUP(Customer[[#This Row],[Customer ID]],[1]!Address[ID],[1]!Address[PIC])</f>
        <v>ILYAS</v>
      </c>
      <c r="E1430" s="38" t="str">
        <f>_xlfn.XLOOKUP(Customer[[#This Row],[Customer ID]],[1]!Address[ID],[1]!Address[Full Address])</f>
        <v>NO 2A, JALAN BUKIT IMPIANA 5A,TAMAN BUKIT IMPIANA, COUNTRY HEIGHT43000 KAJANG, SELANGOR</v>
      </c>
      <c r="F1430" s="12" t="s">
        <v>9249</v>
      </c>
      <c r="G1430" s="12" t="s">
        <v>9250</v>
      </c>
      <c r="H1430" s="12" t="s">
        <v>9251</v>
      </c>
      <c r="I1430" s="12" t="b">
        <f>ISNUMBER(VALUE(LEFT(Customer[[#This Row],[Address Line 3 (30 char)]],1)))</f>
        <v>0</v>
      </c>
      <c r="J1430" s="12" t="s">
        <v>172</v>
      </c>
      <c r="K1430" s="12">
        <v>43000</v>
      </c>
      <c r="L1430" s="12" t="s">
        <v>35</v>
      </c>
      <c r="M1430" s="13" t="e">
        <v>#N/A</v>
      </c>
      <c r="N1430" s="14" t="e">
        <v>#N/A</v>
      </c>
      <c r="O1430" s="14" t="e">
        <v>#N/A</v>
      </c>
      <c r="P1430" s="14" t="e">
        <v>#N/A</v>
      </c>
      <c r="Q1430" s="19" t="s">
        <v>9252</v>
      </c>
      <c r="R1430" s="15" t="s">
        <v>9253</v>
      </c>
      <c r="S1430" s="15" t="s">
        <v>88</v>
      </c>
      <c r="T1430" s="16" t="s">
        <v>89</v>
      </c>
      <c r="U1430" s="11" t="str">
        <f>_xlfn.XLOOKUP(Customer[[#This Row],[Customer ID]],[1]!Address[ID],[1]!Address[Phone No.(2)])</f>
        <v/>
      </c>
      <c r="V1430" s="11" t="str">
        <f>_xlfn.XLOOKUP(Customer[[#This Row],[Customer ID]],[1]!Address[ID],[1]!Address[Type])</f>
        <v>SOCMED</v>
      </c>
      <c r="W1430" s="11" t="str">
        <f>_xlfn.XLOOKUP(Customer[[#This Row],[Customer ID]],[1]!Address[ID],[1]!Address[CT])</f>
        <v/>
      </c>
      <c r="X1430" s="11"/>
      <c r="Y1430" s="17" t="s">
        <v>90</v>
      </c>
      <c r="Z1430" s="17" t="e">
        <f>_xlfn.XLOOKUP(Customer[[#This Row],[NewType]],$AF$36:$AF$54,$AG$36:$AG$54)</f>
        <v>#N/A</v>
      </c>
      <c r="AA1430" s="17" t="s">
        <v>9254</v>
      </c>
      <c r="AB1430" s="11" t="str">
        <f>_xlfn.XLOOKUP(Customer[[#This Row],[Customer ID]],[1]!Address[ID],[1]!Address[Subtype])</f>
        <v>ONLINE ROS</v>
      </c>
      <c r="AC1430" s="18" t="str">
        <f>_xlfn.XLOOKUP(Customer[[#This Row],[Customer ID]],[1]!Address[ID],[1]!Address[Zone])</f>
        <v>CENTRAL</v>
      </c>
    </row>
    <row r="1431" spans="1:29" x14ac:dyDescent="0.3">
      <c r="A1431" s="37" t="s">
        <v>9255</v>
      </c>
      <c r="B1431" s="38" t="str">
        <f>_xlfn.XLOOKUP(Customer[[#This Row],[Customer ID]],[1]!Name[ID],[1]!Name[Description(1)])</f>
        <v>MIIZU DISTRIBUTOR SDN BHD</v>
      </c>
      <c r="C1431" s="38" t="str">
        <f>_xlfn.XLOOKUP(Customer[[#This Row],[Customer ID]],[1]!Name[ID],[1]!Name[Description(2)])</f>
        <v/>
      </c>
      <c r="D1431" s="38" t="str">
        <f>_xlfn.XLOOKUP(Customer[[#This Row],[Customer ID]],[1]!Address[ID],[1]!Address[PIC])</f>
        <v/>
      </c>
      <c r="E1431" s="38" t="str">
        <f>_xlfn.XLOOKUP(Customer[[#This Row],[Customer ID]],[1]!Address[ID],[1]!Address[Full Address])</f>
        <v>NO.18, JALAN 7/3,TAMAN INDUSTRI SELESA JAYA,BALAKONG 43300 SERI KEMBANGAN SELANGOR</v>
      </c>
      <c r="F1431" s="12" t="s">
        <v>9256</v>
      </c>
      <c r="G1431" s="12" t="s">
        <v>9257</v>
      </c>
      <c r="H1431" s="12" t="s">
        <v>9258</v>
      </c>
      <c r="I1431" s="99" t="b">
        <f>ISNUMBER(VALUE(LEFT(Customer[[#This Row],[Address Line 3 (30 char)]],1)))</f>
        <v>0</v>
      </c>
      <c r="J1431" s="41" t="s">
        <v>172</v>
      </c>
      <c r="K1431" s="12">
        <v>43300</v>
      </c>
      <c r="L1431" s="12" t="s">
        <v>35</v>
      </c>
      <c r="M1431" s="13" t="e">
        <v>#N/A</v>
      </c>
      <c r="N1431" s="14" t="e">
        <v>#N/A</v>
      </c>
      <c r="O1431" s="14" t="e">
        <v>#N/A</v>
      </c>
      <c r="P1431" s="14" t="e">
        <v>#N/A</v>
      </c>
      <c r="Q1431" s="14" t="e">
        <v>#N/A</v>
      </c>
      <c r="R1431" s="15" t="s">
        <v>9259</v>
      </c>
      <c r="S1431" s="15" t="s">
        <v>5917</v>
      </c>
      <c r="T1431" s="16" t="s">
        <v>3477</v>
      </c>
      <c r="U1431" s="11" t="str">
        <f>_xlfn.XLOOKUP(Customer[[#This Row],[Customer ID]],[1]!Address[ID],[1]!Address[Phone No.(2)])</f>
        <v/>
      </c>
      <c r="V1431" s="11" t="str">
        <f>_xlfn.XLOOKUP(Customer[[#This Row],[Customer ID]],[1]!Address[ID],[1]!Address[Type])</f>
        <v>CM</v>
      </c>
      <c r="W1431" s="11" t="str">
        <f>_xlfn.XLOOKUP(Customer[[#This Row],[Customer ID]],[1]!Address[ID],[1]!Address[CT])</f>
        <v>CASH</v>
      </c>
      <c r="X1431" s="11"/>
      <c r="Y1431" s="17" t="s">
        <v>5918</v>
      </c>
      <c r="Z1431" s="17" t="e">
        <f>_xlfn.XLOOKUP(Customer[[#This Row],[NewType]],$AF$36:$AF$54,$AG$36:$AG$54)</f>
        <v>#N/A</v>
      </c>
      <c r="AA1431" s="17" t="s">
        <v>9260</v>
      </c>
      <c r="AB1431" s="11" t="str">
        <f>_xlfn.XLOOKUP(Customer[[#This Row],[Customer ID]],[1]!Address[ID],[1]!Address[Subtype])</f>
        <v>MIIZU</v>
      </c>
      <c r="AC1431" s="18">
        <f>_xlfn.XLOOKUP(Customer[[#This Row],[Customer ID]],[1]!Address[ID],[1]!Address[Zone])</f>
        <v>0</v>
      </c>
    </row>
    <row r="1432" spans="1:29" x14ac:dyDescent="0.3">
      <c r="A1432" s="37" t="s">
        <v>9261</v>
      </c>
      <c r="B1432" s="38" t="str">
        <f>_xlfn.XLOOKUP(Customer[[#This Row],[Customer ID]],[1]!Name[ID],[1]!Name[Description(1)])</f>
        <v>SHASHA MART ENTERPRISE</v>
      </c>
      <c r="C1432" s="38" t="str">
        <f>_xlfn.XLOOKUP(Customer[[#This Row],[Customer ID]],[1]!Name[ID],[1]!Name[Description(2)])</f>
        <v/>
      </c>
      <c r="D1432" s="38" t="str">
        <f>_xlfn.XLOOKUP(Customer[[#This Row],[Customer ID]],[1]!Address[ID],[1]!Address[PIC])</f>
        <v/>
      </c>
      <c r="E1432" s="38" t="str">
        <f>_xlfn.XLOOKUP(Customer[[#This Row],[Customer ID]],[1]!Address[ID],[1]!Address[Full Address])</f>
        <v>NO. 55 JALAN MERU BESTARI A2,MEDAN MERU BESTARI30020 IPOH PERAK</v>
      </c>
      <c r="F1432" s="12" t="s">
        <v>9262</v>
      </c>
      <c r="G1432" s="12" t="s">
        <v>9263</v>
      </c>
      <c r="H1432" s="24" t="s">
        <v>9264</v>
      </c>
      <c r="I1432" s="24" t="b">
        <f>ISNUMBER(VALUE(LEFT(Customer[[#This Row],[Address Line 3 (30 char)]],1)))</f>
        <v>0</v>
      </c>
      <c r="J1432" s="12" t="s">
        <v>242</v>
      </c>
      <c r="K1432" s="12">
        <v>30020</v>
      </c>
      <c r="L1432" s="12" t="s">
        <v>35</v>
      </c>
      <c r="M1432" s="13" t="e">
        <v>#N/A</v>
      </c>
      <c r="N1432" s="14" t="e">
        <v>#N/A</v>
      </c>
      <c r="O1432" s="14" t="e">
        <v>#N/A</v>
      </c>
      <c r="P1432" s="14" t="e">
        <v>#N/A</v>
      </c>
      <c r="Q1432" s="14" t="e">
        <v>#N/A</v>
      </c>
      <c r="R1432" s="15" t="s">
        <v>9265</v>
      </c>
      <c r="S1432" s="15" t="s">
        <v>5917</v>
      </c>
      <c r="T1432" s="16" t="s">
        <v>3477</v>
      </c>
      <c r="U1432" s="11" t="str">
        <f>_xlfn.XLOOKUP(Customer[[#This Row],[Customer ID]],[1]!Address[ID],[1]!Address[Phone No.(2)])</f>
        <v/>
      </c>
      <c r="V1432" s="11" t="str">
        <f>_xlfn.XLOOKUP(Customer[[#This Row],[Customer ID]],[1]!Address[ID],[1]!Address[Type])</f>
        <v>CM</v>
      </c>
      <c r="W1432" s="11" t="str">
        <f>_xlfn.XLOOKUP(Customer[[#This Row],[Customer ID]],[1]!Address[ID],[1]!Address[CT])</f>
        <v>30 DAYS</v>
      </c>
      <c r="X1432" s="11"/>
      <c r="Y1432" s="17" t="s">
        <v>5918</v>
      </c>
      <c r="Z1432" s="17" t="e">
        <f>_xlfn.XLOOKUP(Customer[[#This Row],[NewType]],$AF$36:$AF$54,$AG$36:$AG$54)</f>
        <v>#N/A</v>
      </c>
      <c r="AA1432" s="17" t="s">
        <v>9266</v>
      </c>
      <c r="AB1432" s="11" t="str">
        <f>_xlfn.XLOOKUP(Customer[[#This Row],[Customer ID]],[1]!Address[ID],[1]!Address[Subtype])</f>
        <v>SHASHA MART</v>
      </c>
      <c r="AC1432" s="18" t="str">
        <f>_xlfn.XLOOKUP(Customer[[#This Row],[Customer ID]],[1]!Address[ID],[1]!Address[Zone])</f>
        <v>NORTH</v>
      </c>
    </row>
    <row r="1433" spans="1:29" x14ac:dyDescent="0.3">
      <c r="A1433" s="37" t="s">
        <v>9267</v>
      </c>
      <c r="B1433" s="38" t="str">
        <f>_xlfn.XLOOKUP(Customer[[#This Row],[Customer ID]],[1]!Name[ID],[1]!Name[Description(1)])</f>
        <v>WESRIA FOOD SDN BHD-ALAMANDA</v>
      </c>
      <c r="C1433" s="38" t="str">
        <f>_xlfn.XLOOKUP(Customer[[#This Row],[Customer ID]],[1]!Name[ID],[1]!Name[Description(2)])</f>
        <v/>
      </c>
      <c r="D1433" s="38" t="str">
        <f>_xlfn.XLOOKUP(Customer[[#This Row],[Customer ID]],[1]!Address[ID],[1]!Address[PIC])</f>
        <v/>
      </c>
      <c r="E1433" s="38" t="str">
        <f>_xlfn.XLOOKUP(Customer[[#This Row],[Customer ID]],[1]!Address[ID],[1]!Address[Full Address])</f>
        <v>LOT G17, GROUND FLOOR ALAMANDA,ALAMANDA PUTRAJAYA SHOPPING CENTRE,JALAN ALAMANDA PRESINT 1,62000 PUTRAJAYA</v>
      </c>
      <c r="F1433" s="12" t="s">
        <v>9268</v>
      </c>
      <c r="G1433" s="12" t="s">
        <v>9269</v>
      </c>
      <c r="H1433" s="12" t="s">
        <v>9270</v>
      </c>
      <c r="I1433" s="12" t="b">
        <f>ISNUMBER(VALUE(LEFT(Customer[[#This Row],[Address Line 3 (30 char)]],1)))</f>
        <v>0</v>
      </c>
      <c r="J1433" s="12" t="s">
        <v>4229</v>
      </c>
      <c r="K1433" s="12">
        <v>62000</v>
      </c>
      <c r="L1433" s="12" t="s">
        <v>35</v>
      </c>
      <c r="M1433" s="13" t="e">
        <v>#N/A</v>
      </c>
      <c r="N1433" s="14" t="e">
        <v>#N/A</v>
      </c>
      <c r="O1433" s="14" t="e">
        <v>#N/A</v>
      </c>
      <c r="P1433" s="14" t="e">
        <v>#N/A</v>
      </c>
      <c r="Q1433" s="14" t="e">
        <v>#N/A</v>
      </c>
      <c r="R1433" s="15" t="s">
        <v>9271</v>
      </c>
      <c r="S1433" s="15" t="s">
        <v>5925</v>
      </c>
      <c r="T1433" s="16" t="s">
        <v>3477</v>
      </c>
      <c r="U1433" s="11" t="str">
        <f>_xlfn.XLOOKUP(Customer[[#This Row],[Customer ID]],[1]!Address[ID],[1]!Address[Phone No.(2)])</f>
        <v/>
      </c>
      <c r="V1433" s="11" t="str">
        <f>_xlfn.XLOOKUP(Customer[[#This Row],[Customer ID]],[1]!Address[ID],[1]!Address[Type])</f>
        <v>CAFE</v>
      </c>
      <c r="W1433" s="11" t="str">
        <f>_xlfn.XLOOKUP(Customer[[#This Row],[Customer ID]],[1]!Address[ID],[1]!Address[CT])</f>
        <v>60 DAYS</v>
      </c>
      <c r="X1433" s="11"/>
      <c r="Y1433" s="17" t="s">
        <v>5926</v>
      </c>
      <c r="Z1433" s="17" t="e">
        <f>_xlfn.XLOOKUP(Customer[[#This Row],[NewType]],$AF$36:$AF$54,$AG$36:$AG$54)</f>
        <v>#N/A</v>
      </c>
      <c r="AA1433" s="17" t="s">
        <v>9272</v>
      </c>
      <c r="AB1433" s="11" t="str">
        <f>_xlfn.XLOOKUP(Customer[[#This Row],[Customer ID]],[1]!Address[ID],[1]!Address[Subtype])</f>
        <v>WESRIA FOOD</v>
      </c>
      <c r="AC1433" s="18" t="str">
        <f>_xlfn.XLOOKUP(Customer[[#This Row],[Customer ID]],[1]!Address[ID],[1]!Address[Zone])</f>
        <v>CENTRAL</v>
      </c>
    </row>
    <row r="1434" spans="1:29" x14ac:dyDescent="0.3">
      <c r="A1434" s="37" t="s">
        <v>9273</v>
      </c>
      <c r="B1434" s="38" t="str">
        <f>_xlfn.XLOOKUP(Customer[[#This Row],[Customer ID]],[1]!Name[ID],[1]!Name[Description(1)])</f>
        <v>WESRIA FOOD SDN BHD-NU SENTRAL</v>
      </c>
      <c r="C1434" s="38" t="str">
        <f>_xlfn.XLOOKUP(Customer[[#This Row],[Customer ID]],[1]!Name[ID],[1]!Name[Description(2)])</f>
        <v/>
      </c>
      <c r="D1434" s="38" t="str">
        <f>_xlfn.XLOOKUP(Customer[[#This Row],[Customer ID]],[1]!Address[ID],[1]!Address[PIC])</f>
        <v/>
      </c>
      <c r="E1434" s="38" t="str">
        <f>_xlfn.XLOOKUP(Customer[[#This Row],[Customer ID]],[1]!Address[ID],[1]!Address[Full Address])</f>
        <v>QUIZINN BY RASA, LOT 3.14,LEVEL 3 NU SENTRAL,NO.201, JALAN TUN SAMBATHAN50470KUALA LUMPUR</v>
      </c>
      <c r="F1434" s="12" t="s">
        <v>9274</v>
      </c>
      <c r="G1434" s="12" t="s">
        <v>9275</v>
      </c>
      <c r="H1434" s="12" t="s">
        <v>9276</v>
      </c>
      <c r="I1434" s="12" t="b">
        <f>ISNUMBER(VALUE(LEFT(Customer[[#This Row],[Address Line 3 (30 char)]],1)))</f>
        <v>0</v>
      </c>
      <c r="J1434" s="12" t="s">
        <v>8855</v>
      </c>
      <c r="K1434" s="12">
        <v>50470</v>
      </c>
      <c r="L1434" s="12" t="s">
        <v>35</v>
      </c>
      <c r="M1434" s="13" t="e">
        <v>#N/A</v>
      </c>
      <c r="N1434" s="14" t="e">
        <v>#N/A</v>
      </c>
      <c r="O1434" s="14" t="e">
        <v>#N/A</v>
      </c>
      <c r="P1434" s="14" t="e">
        <v>#N/A</v>
      </c>
      <c r="Q1434" s="14" t="e">
        <v>#N/A</v>
      </c>
      <c r="R1434" s="15" t="s">
        <v>9277</v>
      </c>
      <c r="S1434" s="15" t="s">
        <v>5925</v>
      </c>
      <c r="T1434" s="16" t="s">
        <v>3477</v>
      </c>
      <c r="U1434" s="11" t="str">
        <f>_xlfn.XLOOKUP(Customer[[#This Row],[Customer ID]],[1]!Address[ID],[1]!Address[Phone No.(2)])</f>
        <v/>
      </c>
      <c r="V1434" s="11" t="str">
        <f>_xlfn.XLOOKUP(Customer[[#This Row],[Customer ID]],[1]!Address[ID],[1]!Address[Type])</f>
        <v>CAFE</v>
      </c>
      <c r="W1434" s="11" t="str">
        <f>_xlfn.XLOOKUP(Customer[[#This Row],[Customer ID]],[1]!Address[ID],[1]!Address[CT])</f>
        <v>60 DAYS</v>
      </c>
      <c r="X1434" s="11"/>
      <c r="Y1434" s="17" t="s">
        <v>5926</v>
      </c>
      <c r="Z1434" s="17" t="e">
        <f>_xlfn.XLOOKUP(Customer[[#This Row],[NewType]],$AF$36:$AF$54,$AG$36:$AG$54)</f>
        <v>#N/A</v>
      </c>
      <c r="AA1434" s="17" t="s">
        <v>9278</v>
      </c>
      <c r="AB1434" s="11" t="str">
        <f>_xlfn.XLOOKUP(Customer[[#This Row],[Customer ID]],[1]!Address[ID],[1]!Address[Subtype])</f>
        <v>WESRIA FOOD</v>
      </c>
      <c r="AC1434" s="18" t="str">
        <f>_xlfn.XLOOKUP(Customer[[#This Row],[Customer ID]],[1]!Address[ID],[1]!Address[Zone])</f>
        <v>CENTRAL</v>
      </c>
    </row>
    <row r="1435" spans="1:29" x14ac:dyDescent="0.3">
      <c r="A1435" s="37" t="s">
        <v>9279</v>
      </c>
      <c r="B1435" s="38" t="str">
        <f>_xlfn.XLOOKUP(Customer[[#This Row],[Customer ID]],[1]!Name[ID],[1]!Name[Description(1)])</f>
        <v>WESRIA FOOD SDN BHD-SETIA CITY MALL</v>
      </c>
      <c r="C1435" s="38" t="s">
        <v>9280</v>
      </c>
      <c r="D1435" s="38" t="str">
        <f>_xlfn.XLOOKUP(Customer[[#This Row],[Customer ID]],[1]!Address[ID],[1]!Address[PIC])</f>
        <v/>
      </c>
      <c r="E1435" s="38" t="str">
        <f>_xlfn.XLOOKUP(Customer[[#This Row],[Customer ID]],[1]!Address[ID],[1]!Address[Full Address])</f>
        <v>RASA FOOD ARENA, BEVERAGE STALL, L1,24 LEVEL 1 SETIA CITY MALL,NO 7 PERSIARAN SETIA DAGANGBANDAR SETIA ALAM, 40170 SHAH ALAM</v>
      </c>
      <c r="F1435" s="12" t="s">
        <v>9281</v>
      </c>
      <c r="G1435" s="12" t="s">
        <v>9282</v>
      </c>
      <c r="H1435" s="12" t="s">
        <v>9283</v>
      </c>
      <c r="I1435" s="12" t="b">
        <f>ISNUMBER(VALUE(LEFT(Customer[[#This Row],[Address Line 3 (30 char)]],1)))</f>
        <v>0</v>
      </c>
      <c r="J1435" s="12" t="s">
        <v>172</v>
      </c>
      <c r="K1435" s="12">
        <v>40170</v>
      </c>
      <c r="L1435" s="12" t="s">
        <v>35</v>
      </c>
      <c r="M1435" s="13" t="e">
        <v>#N/A</v>
      </c>
      <c r="N1435" s="14" t="e">
        <v>#N/A</v>
      </c>
      <c r="O1435" s="14" t="e">
        <v>#N/A</v>
      </c>
      <c r="P1435" s="14" t="e">
        <v>#N/A</v>
      </c>
      <c r="Q1435" s="14" t="e">
        <v>#N/A</v>
      </c>
      <c r="R1435" s="15" t="s">
        <v>9284</v>
      </c>
      <c r="S1435" s="15" t="s">
        <v>5925</v>
      </c>
      <c r="T1435" s="16" t="s">
        <v>3477</v>
      </c>
      <c r="U1435" s="11" t="str">
        <f>_xlfn.XLOOKUP(Customer[[#This Row],[Customer ID]],[1]!Address[ID],[1]!Address[Phone No.(2)])</f>
        <v/>
      </c>
      <c r="V1435" s="11" t="str">
        <f>_xlfn.XLOOKUP(Customer[[#This Row],[Customer ID]],[1]!Address[ID],[1]!Address[Type])</f>
        <v>CAFE</v>
      </c>
      <c r="W1435" s="11" t="str">
        <f>_xlfn.XLOOKUP(Customer[[#This Row],[Customer ID]],[1]!Address[ID],[1]!Address[CT])</f>
        <v>60 DAYS</v>
      </c>
      <c r="X1435" s="11"/>
      <c r="Y1435" s="17" t="s">
        <v>5926</v>
      </c>
      <c r="Z1435" s="17" t="e">
        <f>_xlfn.XLOOKUP(Customer[[#This Row],[NewType]],$AF$36:$AF$54,$AG$36:$AG$54)</f>
        <v>#N/A</v>
      </c>
      <c r="AA1435" s="17" t="s">
        <v>9285</v>
      </c>
      <c r="AB1435" s="11" t="str">
        <f>_xlfn.XLOOKUP(Customer[[#This Row],[Customer ID]],[1]!Address[ID],[1]!Address[Subtype])</f>
        <v>WESRIA FOOD</v>
      </c>
      <c r="AC1435" s="18" t="str">
        <f>_xlfn.XLOOKUP(Customer[[#This Row],[Customer ID]],[1]!Address[ID],[1]!Address[Zone])</f>
        <v>CENTRAL</v>
      </c>
    </row>
    <row r="1436" spans="1:29" x14ac:dyDescent="0.3">
      <c r="A1436" s="37" t="s">
        <v>9286</v>
      </c>
      <c r="B1436" s="38" t="str">
        <f>_xlfn.XLOOKUP(Customer[[#This Row],[Customer ID]],[1]!Name[ID],[1]!Name[Description(1)])</f>
        <v>FARMASI ROSE</v>
      </c>
      <c r="C1436" s="38" t="s">
        <v>9287</v>
      </c>
      <c r="D1436" s="38" t="str">
        <f>_xlfn.XLOOKUP(Customer[[#This Row],[Customer ID]],[1]!Address[ID],[1]!Address[PIC])</f>
        <v/>
      </c>
      <c r="E1436" s="38" t="str">
        <f>_xlfn.XLOOKUP(Customer[[#This Row],[Customer ID]],[1]!Address[ID],[1]!Address[Full Address])</f>
        <v>PUSAT ALATAN REHABILITASI HOUSE PHARMACYNO. 29, JALAN SHAH BANDAR 2,BERTAM PERDANA 3,13200 KEPALA BATASPULAU PINANG</v>
      </c>
      <c r="F1436" s="12" t="s">
        <v>9288</v>
      </c>
      <c r="G1436" s="12" t="s">
        <v>9289</v>
      </c>
      <c r="H1436" s="12" t="s">
        <v>9290</v>
      </c>
      <c r="I1436" s="12" t="b">
        <f>ISNUMBER(VALUE(LEFT(Customer[[#This Row],[Address Line 3 (30 char)]],1)))</f>
        <v>0</v>
      </c>
      <c r="J1436" s="12" t="s">
        <v>179</v>
      </c>
      <c r="K1436" s="12">
        <v>13200</v>
      </c>
      <c r="L1436" s="12" t="s">
        <v>35</v>
      </c>
      <c r="M1436" s="13" t="e">
        <v>#N/A</v>
      </c>
      <c r="N1436" s="14" t="e">
        <v>#N/A</v>
      </c>
      <c r="O1436" s="14" t="e">
        <v>#N/A</v>
      </c>
      <c r="P1436" s="14" t="e">
        <v>#N/A</v>
      </c>
      <c r="Q1436" s="14" t="e">
        <v>#N/A</v>
      </c>
      <c r="R1436" s="15" t="s">
        <v>9291</v>
      </c>
      <c r="S1436" s="15" t="s">
        <v>3476</v>
      </c>
      <c r="T1436" s="16" t="s">
        <v>3477</v>
      </c>
      <c r="U1436" s="11" t="str">
        <f>_xlfn.XLOOKUP(Customer[[#This Row],[Customer ID]],[1]!Address[ID],[1]!Address[Phone No.(2)])</f>
        <v/>
      </c>
      <c r="V1436" s="11" t="str">
        <f>_xlfn.XLOOKUP(Customer[[#This Row],[Customer ID]],[1]!Address[ID],[1]!Address[Type])</f>
        <v>PH</v>
      </c>
      <c r="W1436" s="11" t="str">
        <f>_xlfn.XLOOKUP(Customer[[#This Row],[Customer ID]],[1]!Address[ID],[1]!Address[CT])</f>
        <v>CASH</v>
      </c>
      <c r="X1436" s="11"/>
      <c r="Y1436" s="17" t="s">
        <v>5955</v>
      </c>
      <c r="Z1436" s="17" t="e">
        <f>_xlfn.XLOOKUP(Customer[[#This Row],[NewType]],$AF$36:$AF$54,$AG$36:$AG$54)</f>
        <v>#N/A</v>
      </c>
      <c r="AA1436" s="17" t="s">
        <v>9292</v>
      </c>
      <c r="AB1436" s="11" t="str">
        <f>_xlfn.XLOOKUP(Customer[[#This Row],[Customer ID]],[1]!Address[ID],[1]!Address[Subtype])</f>
        <v>FARMASI ROSE</v>
      </c>
      <c r="AC1436" s="18" t="str">
        <f>_xlfn.XLOOKUP(Customer[[#This Row],[Customer ID]],[1]!Address[ID],[1]!Address[Zone])</f>
        <v>NORTH</v>
      </c>
    </row>
    <row r="1437" spans="1:29" x14ac:dyDescent="0.3">
      <c r="A1437" s="37" t="s">
        <v>9293</v>
      </c>
      <c r="B1437" s="38" t="str">
        <f>_xlfn.XLOOKUP(Customer[[#This Row],[Customer ID]],[1]!Name[ID],[1]!Name[Description(1)])</f>
        <v>ROSMAH MINI STATION</v>
      </c>
      <c r="C1437" s="38" t="str">
        <f>_xlfn.XLOOKUP(Customer[[#This Row],[Customer ID]],[1]!Name[ID],[1]!Name[Description(2)])</f>
        <v>CALTEX ASSAM JAWA</v>
      </c>
      <c r="D1437" s="38" t="str">
        <f>_xlfn.XLOOKUP(Customer[[#This Row],[Customer ID]],[1]!Address[ID],[1]!Address[PIC])</f>
        <v/>
      </c>
      <c r="E1437" s="38" t="str">
        <f>_xlfn.XLOOKUP(Customer[[#This Row],[Customer ID]],[1]!Address[ID],[1]!Address[Full Address])</f>
        <v>CALTEX ASSAM JAWALOT 1194 KG BHARU JLN BKTROTAN ASSAM JAWA 45700 KSELANGOR</v>
      </c>
      <c r="F1437" s="12" t="s">
        <v>9294</v>
      </c>
      <c r="G1437" s="12" t="s">
        <v>9295</v>
      </c>
      <c r="H1437" s="12" t="s">
        <v>9296</v>
      </c>
      <c r="I1437" s="12" t="b">
        <f>ISNUMBER(VALUE(LEFT(Customer[[#This Row],[Address Line 3 (30 char)]],1)))</f>
        <v>0</v>
      </c>
      <c r="J1437" s="12" t="s">
        <v>1907</v>
      </c>
      <c r="K1437" s="12">
        <v>45700</v>
      </c>
      <c r="L1437" s="12" t="s">
        <v>35</v>
      </c>
      <c r="M1437" s="13" t="e">
        <v>#N/A</v>
      </c>
      <c r="N1437" s="14" t="e">
        <v>#N/A</v>
      </c>
      <c r="O1437" s="14" t="e">
        <v>#N/A</v>
      </c>
      <c r="P1437" s="14" t="e">
        <v>#N/A</v>
      </c>
      <c r="Q1437" s="14" t="e">
        <v>#N/A</v>
      </c>
      <c r="R1437" s="15" t="s">
        <v>9297</v>
      </c>
      <c r="S1437" s="15" t="s">
        <v>37</v>
      </c>
      <c r="T1437" s="16" t="s">
        <v>38</v>
      </c>
      <c r="U1437" s="11" t="str">
        <f>_xlfn.XLOOKUP(Customer[[#This Row],[Customer ID]],[1]!Address[ID],[1]!Address[Phone No.(2)])</f>
        <v/>
      </c>
      <c r="V1437" s="11" t="str">
        <f>_xlfn.XLOOKUP(Customer[[#This Row],[Customer ID]],[1]!Address[ID],[1]!Address[Type])</f>
        <v>PETROMART</v>
      </c>
      <c r="W1437" s="11" t="str">
        <f>_xlfn.XLOOKUP(Customer[[#This Row],[Customer ID]],[1]!Address[ID],[1]!Address[CT])</f>
        <v>30</v>
      </c>
      <c r="X1437" s="11" t="s">
        <v>39</v>
      </c>
      <c r="Y1437" s="17" t="s">
        <v>40</v>
      </c>
      <c r="Z1437" s="17" t="e">
        <f>_xlfn.XLOOKUP(Customer[[#This Row],[NewType]],$AF$36:$AF$54,$AG$36:$AG$54)</f>
        <v>#N/A</v>
      </c>
      <c r="AA1437" s="17" t="s">
        <v>9298</v>
      </c>
      <c r="AB1437" s="11" t="str">
        <f>_xlfn.XLOOKUP(Customer[[#This Row],[Customer ID]],[1]!Address[ID],[1]!Address[Subtype])</f>
        <v>XPRESS POINT</v>
      </c>
      <c r="AC1437" s="18" t="str">
        <f>_xlfn.XLOOKUP(Customer[[#This Row],[Customer ID]],[1]!Address[ID],[1]!Address[Zone])</f>
        <v>CENTRAL</v>
      </c>
    </row>
    <row r="1438" spans="1:29" x14ac:dyDescent="0.3">
      <c r="A1438" s="37" t="s">
        <v>9299</v>
      </c>
      <c r="B1438" s="38" t="str">
        <f>_xlfn.XLOOKUP(Customer[[#This Row],[Customer ID]],[1]!Name[ID],[1]!Name[Description(1)])</f>
        <v>SERI MUTIARA SERVICE STATION</v>
      </c>
      <c r="C1438" s="38" t="str">
        <f>_xlfn.XLOOKUP(Customer[[#This Row],[Customer ID]],[1]!Name[ID],[1]!Name[Description(2)])</f>
        <v>CALTEX JALAN KLANG LAMA</v>
      </c>
      <c r="D1438" s="38" t="str">
        <f>_xlfn.XLOOKUP(Customer[[#This Row],[Customer ID]],[1]!Address[ID],[1]!Address[PIC])</f>
        <v/>
      </c>
      <c r="E1438" s="38" t="str">
        <f>_xlfn.XLOOKUP(Customer[[#This Row],[Customer ID]],[1]!Address[ID],[1]!Address[Full Address])</f>
        <v>CALTEX JALAN KLANG LAMALOT 147-149, TAMANKANAGAPURAM JAYA, JALAN KLANGLAMA, 46000 PETALING JAYA</v>
      </c>
      <c r="F1438" s="12" t="s">
        <v>9300</v>
      </c>
      <c r="G1438" s="12" t="s">
        <v>9301</v>
      </c>
      <c r="H1438" s="12" t="s">
        <v>9302</v>
      </c>
      <c r="I1438" s="12" t="b">
        <f>ISNUMBER(VALUE(LEFT(Customer[[#This Row],[Address Line 3 (30 char)]],1)))</f>
        <v>0</v>
      </c>
      <c r="J1438" s="12" t="s">
        <v>1907</v>
      </c>
      <c r="K1438" s="12">
        <v>46000</v>
      </c>
      <c r="L1438" s="12" t="s">
        <v>35</v>
      </c>
      <c r="M1438" s="13" t="e">
        <v>#N/A</v>
      </c>
      <c r="N1438" s="14" t="e">
        <v>#N/A</v>
      </c>
      <c r="O1438" s="14" t="e">
        <v>#N/A</v>
      </c>
      <c r="P1438" s="14" t="e">
        <v>#N/A</v>
      </c>
      <c r="Q1438" s="19" t="s">
        <v>9303</v>
      </c>
      <c r="R1438" s="15" t="s">
        <v>9304</v>
      </c>
      <c r="S1438" s="15" t="s">
        <v>37</v>
      </c>
      <c r="T1438" s="16" t="s">
        <v>38</v>
      </c>
      <c r="U1438" s="11" t="str">
        <f>_xlfn.XLOOKUP(Customer[[#This Row],[Customer ID]],[1]!Address[ID],[1]!Address[Phone No.(2)])</f>
        <v/>
      </c>
      <c r="V1438" s="11" t="str">
        <f>_xlfn.XLOOKUP(Customer[[#This Row],[Customer ID]],[1]!Address[ID],[1]!Address[Type])</f>
        <v>PETROMART</v>
      </c>
      <c r="W1438" s="11" t="str">
        <f>_xlfn.XLOOKUP(Customer[[#This Row],[Customer ID]],[1]!Address[ID],[1]!Address[CT])</f>
        <v>30</v>
      </c>
      <c r="X1438" s="11" t="s">
        <v>39</v>
      </c>
      <c r="Y1438" s="17" t="s">
        <v>40</v>
      </c>
      <c r="Z1438" s="17" t="e">
        <f>_xlfn.XLOOKUP(Customer[[#This Row],[NewType]],$AF$36:$AF$54,$AG$36:$AG$54)</f>
        <v>#N/A</v>
      </c>
      <c r="AA1438" s="17" t="s">
        <v>9305</v>
      </c>
      <c r="AB1438" s="11" t="str">
        <f>_xlfn.XLOOKUP(Customer[[#This Row],[Customer ID]],[1]!Address[ID],[1]!Address[Subtype])</f>
        <v>CALTEX</v>
      </c>
      <c r="AC1438" s="18" t="str">
        <f>_xlfn.XLOOKUP(Customer[[#This Row],[Customer ID]],[1]!Address[ID],[1]!Address[Zone])</f>
        <v>CENTRAL</v>
      </c>
    </row>
    <row r="1439" spans="1:29" x14ac:dyDescent="0.3">
      <c r="A1439" s="37" t="s">
        <v>9306</v>
      </c>
      <c r="B1439" s="38" t="str">
        <f>_xlfn.XLOOKUP(Customer[[#This Row],[Customer ID]],[1]!Name[ID],[1]!Name[Description(1)])</f>
        <v>PARAMOUNT SERVICE STATION SDN BHD (XP)</v>
      </c>
      <c r="C1439" s="38" t="str">
        <f>_xlfn.XLOOKUP(Customer[[#This Row],[Customer ID]],[1]!Name[ID],[1]!Name[Description(2)])</f>
        <v>CALTEX TAMAN PARAMOUNT XP</v>
      </c>
      <c r="D1439" s="38" t="str">
        <f>_xlfn.XLOOKUP(Customer[[#This Row],[Customer ID]],[1]!Address[ID],[1]!Address[PIC])</f>
        <v/>
      </c>
      <c r="E1439" s="38" t="str">
        <f>_xlfn.XLOOKUP(Customer[[#This Row],[Customer ID]],[1]!Address[ID],[1]!Address[Full Address])</f>
        <v>CALTEX TAMAN PARAMOUNT XP131, Jalan 20/7 ParamountGarden, 46300 Petaling Jaya,Selangor</v>
      </c>
      <c r="F1439" s="12" t="s">
        <v>9307</v>
      </c>
      <c r="G1439" s="12" t="s">
        <v>9308</v>
      </c>
      <c r="H1439" s="12" t="s">
        <v>9309</v>
      </c>
      <c r="I1439" s="12" t="b">
        <f>ISNUMBER(VALUE(LEFT(Customer[[#This Row],[Address Line 3 (30 char)]],1)))</f>
        <v>0</v>
      </c>
      <c r="J1439" s="12" t="s">
        <v>1907</v>
      </c>
      <c r="K1439" s="12">
        <v>46300</v>
      </c>
      <c r="L1439" s="12" t="s">
        <v>35</v>
      </c>
      <c r="M1439" s="13">
        <v>199603078283</v>
      </c>
      <c r="N1439" s="14" t="s">
        <v>9310</v>
      </c>
      <c r="O1439" s="14" t="e">
        <v>#N/A</v>
      </c>
      <c r="P1439" s="14" t="e">
        <v>#N/A</v>
      </c>
      <c r="Q1439" s="14" t="e">
        <v>#N/A</v>
      </c>
      <c r="R1439" s="15" t="s">
        <v>9311</v>
      </c>
      <c r="S1439" s="15" t="s">
        <v>37</v>
      </c>
      <c r="T1439" s="16" t="s">
        <v>38</v>
      </c>
      <c r="U1439" s="11" t="str">
        <f>_xlfn.XLOOKUP(Customer[[#This Row],[Customer ID]],[1]!Address[ID],[1]!Address[Phone No.(2)])</f>
        <v/>
      </c>
      <c r="V1439" s="11" t="str">
        <f>_xlfn.XLOOKUP(Customer[[#This Row],[Customer ID]],[1]!Address[ID],[1]!Address[Type])</f>
        <v>PETROMART</v>
      </c>
      <c r="W1439" s="11" t="str">
        <f>_xlfn.XLOOKUP(Customer[[#This Row],[Customer ID]],[1]!Address[ID],[1]!Address[CT])</f>
        <v>30</v>
      </c>
      <c r="X1439" s="11" t="s">
        <v>39</v>
      </c>
      <c r="Y1439" s="17" t="s">
        <v>40</v>
      </c>
      <c r="Z1439" s="17" t="e">
        <f>_xlfn.XLOOKUP(Customer[[#This Row],[NewType]],$AF$36:$AF$54,$AG$36:$AG$54)</f>
        <v>#N/A</v>
      </c>
      <c r="AA1439" s="17" t="s">
        <v>9312</v>
      </c>
      <c r="AB1439" s="11" t="str">
        <f>_xlfn.XLOOKUP(Customer[[#This Row],[Customer ID]],[1]!Address[ID],[1]!Address[Subtype])</f>
        <v>XPRESS POINT</v>
      </c>
      <c r="AC1439" s="18" t="str">
        <f>_xlfn.XLOOKUP(Customer[[#This Row],[Customer ID]],[1]!Address[ID],[1]!Address[Zone])</f>
        <v>CENTRAL</v>
      </c>
    </row>
    <row r="1440" spans="1:29" x14ac:dyDescent="0.3">
      <c r="A1440" s="37" t="s">
        <v>9313</v>
      </c>
      <c r="B1440" s="38" t="str">
        <f>_xlfn.XLOOKUP(Customer[[#This Row],[Customer ID]],[1]!Name[ID],[1]!Name[Description(1)])</f>
        <v>CALTEX TAMAN BAYU PERDANA</v>
      </c>
      <c r="C1440" s="38" t="str">
        <f>_xlfn.XLOOKUP(Customer[[#This Row],[Customer ID]],[1]!Name[ID],[1]!Name[Description(2)])</f>
        <v/>
      </c>
      <c r="D1440" s="38" t="str">
        <f>_xlfn.XLOOKUP(Customer[[#This Row],[Customer ID]],[1]!Address[ID],[1]!Address[PIC])</f>
        <v/>
      </c>
      <c r="E1440" s="38" t="str">
        <f>_xlfn.XLOOKUP(Customer[[#This Row],[Customer ID]],[1]!Address[ID],[1]!Address[Full Address])</f>
        <v>Lot PT 41354, Jalan Batu Unjur 1Taman Bayu Perdana41200 Klang, Selangor</v>
      </c>
      <c r="F1440" s="12" t="s">
        <v>9314</v>
      </c>
      <c r="G1440" s="12"/>
      <c r="H1440" s="12" t="s">
        <v>9315</v>
      </c>
      <c r="I1440" s="12" t="b">
        <f>ISNUMBER(VALUE(LEFT(Customer[[#This Row],[Address Line 3 (30 char)]],1)))</f>
        <v>0</v>
      </c>
      <c r="J1440" s="12" t="s">
        <v>1907</v>
      </c>
      <c r="K1440" s="12">
        <v>41200</v>
      </c>
      <c r="L1440" s="12" t="s">
        <v>35</v>
      </c>
      <c r="M1440" s="13" t="e">
        <v>#N/A</v>
      </c>
      <c r="N1440" s="14" t="e">
        <v>#N/A</v>
      </c>
      <c r="O1440" s="14" t="e">
        <v>#N/A</v>
      </c>
      <c r="P1440" s="14" t="e">
        <v>#N/A</v>
      </c>
      <c r="Q1440" s="14" t="e">
        <v>#N/A</v>
      </c>
      <c r="R1440" s="15" t="s">
        <v>9316</v>
      </c>
      <c r="S1440" s="15" t="s">
        <v>37</v>
      </c>
      <c r="T1440" s="16" t="s">
        <v>38</v>
      </c>
      <c r="U1440" s="11" t="str">
        <f>_xlfn.XLOOKUP(Customer[[#This Row],[Customer ID]],[1]!Address[ID],[1]!Address[Phone No.(2)])</f>
        <v/>
      </c>
      <c r="V1440" s="11" t="str">
        <f>_xlfn.XLOOKUP(Customer[[#This Row],[Customer ID]],[1]!Address[ID],[1]!Address[Type])</f>
        <v>PETROMART</v>
      </c>
      <c r="W1440" s="11" t="str">
        <f>_xlfn.XLOOKUP(Customer[[#This Row],[Customer ID]],[1]!Address[ID],[1]!Address[CT])</f>
        <v>30 DAYS</v>
      </c>
      <c r="X1440" s="11" t="s">
        <v>39</v>
      </c>
      <c r="Y1440" s="17" t="s">
        <v>40</v>
      </c>
      <c r="Z1440" s="17" t="e">
        <f>_xlfn.XLOOKUP(Customer[[#This Row],[NewType]],$AF$36:$AF$54,$AG$36:$AG$54)</f>
        <v>#N/A</v>
      </c>
      <c r="AA1440" s="17" t="s">
        <v>9317</v>
      </c>
      <c r="AB1440" s="11" t="str">
        <f>_xlfn.XLOOKUP(Customer[[#This Row],[Customer ID]],[1]!Address[ID],[1]!Address[Subtype])</f>
        <v>CALTEX</v>
      </c>
      <c r="AC1440" s="18" t="str">
        <f>_xlfn.XLOOKUP(Customer[[#This Row],[Customer ID]],[1]!Address[ID],[1]!Address[Zone])</f>
        <v>CENTRAL</v>
      </c>
    </row>
    <row r="1441" spans="1:29" x14ac:dyDescent="0.3">
      <c r="A1441" s="37" t="s">
        <v>9318</v>
      </c>
      <c r="B1441" s="38" t="str">
        <f>_xlfn.XLOOKUP(Customer[[#This Row],[Customer ID]],[1]!Name[ID],[1]!Name[Description(1)])</f>
        <v>RB PELANGI TECH</v>
      </c>
      <c r="C1441" s="38" t="str">
        <f>_xlfn.XLOOKUP(Customer[[#This Row],[Customer ID]],[1]!Name[ID],[1]!Name[Description(2)])</f>
        <v>CALTEX TAMAN PELANGI INDAH</v>
      </c>
      <c r="D1441" s="38" t="str">
        <f>_xlfn.XLOOKUP(Customer[[#This Row],[Customer ID]],[1]!Address[ID],[1]!Address[PIC])</f>
        <v/>
      </c>
      <c r="E1441" s="38" t="str">
        <f>_xlfn.XLOOKUP(Customer[[#This Row],[Customer ID]],[1]!Address[ID],[1]!Address[Full Address])</f>
        <v>CALTEX TAMAN PELANGI INDAHSTESYENG MINYAK CALTEX OT88070 PERSIARAN UTAMA,TAMAN PELANGIINDAH81800 JOHOR BAHRU</v>
      </c>
      <c r="F1441" s="12" t="s">
        <v>9319</v>
      </c>
      <c r="G1441" s="12" t="s">
        <v>9320</v>
      </c>
      <c r="H1441" s="12" t="s">
        <v>9321</v>
      </c>
      <c r="I1441" s="12" t="b">
        <f>ISNUMBER(VALUE(LEFT(Customer[[#This Row],[Address Line 3 (30 char)]],1)))</f>
        <v>0</v>
      </c>
      <c r="J1441" s="12" t="s">
        <v>52</v>
      </c>
      <c r="K1441" s="41">
        <v>88070</v>
      </c>
      <c r="L1441" s="12" t="s">
        <v>35</v>
      </c>
      <c r="M1441" s="13" t="e">
        <v>#N/A</v>
      </c>
      <c r="N1441" s="14" t="e">
        <v>#N/A</v>
      </c>
      <c r="O1441" s="14" t="e">
        <v>#N/A</v>
      </c>
      <c r="P1441" s="14" t="e">
        <v>#N/A</v>
      </c>
      <c r="Q1441" s="14" t="e">
        <v>#N/A</v>
      </c>
      <c r="R1441" s="15" t="s">
        <v>9322</v>
      </c>
      <c r="S1441" s="15" t="s">
        <v>37</v>
      </c>
      <c r="T1441" s="16" t="s">
        <v>38</v>
      </c>
      <c r="U1441" s="11" t="str">
        <f>_xlfn.XLOOKUP(Customer[[#This Row],[Customer ID]],[1]!Address[ID],[1]!Address[Phone No.(2)])</f>
        <v/>
      </c>
      <c r="V1441" s="11" t="str">
        <f>_xlfn.XLOOKUP(Customer[[#This Row],[Customer ID]],[1]!Address[ID],[1]!Address[Type])</f>
        <v>PETROMART</v>
      </c>
      <c r="W1441" s="11" t="str">
        <f>_xlfn.XLOOKUP(Customer[[#This Row],[Customer ID]],[1]!Address[ID],[1]!Address[CT])</f>
        <v>30 DAYS</v>
      </c>
      <c r="X1441" s="11" t="s">
        <v>39</v>
      </c>
      <c r="Y1441" s="17" t="s">
        <v>40</v>
      </c>
      <c r="Z1441" s="17" t="e">
        <f>_xlfn.XLOOKUP(Customer[[#This Row],[NewType]],$AF$36:$AF$54,$AG$36:$AG$54)</f>
        <v>#N/A</v>
      </c>
      <c r="AA1441" s="17" t="s">
        <v>9323</v>
      </c>
      <c r="AB1441" s="11" t="str">
        <f>_xlfn.XLOOKUP(Customer[[#This Row],[Customer ID]],[1]!Address[ID],[1]!Address[Subtype])</f>
        <v>CALTEX</v>
      </c>
      <c r="AC1441" s="18" t="str">
        <f>_xlfn.XLOOKUP(Customer[[#This Row],[Customer ID]],[1]!Address[ID],[1]!Address[Zone])</f>
        <v>SOUTH</v>
      </c>
    </row>
    <row r="1442" spans="1:29" x14ac:dyDescent="0.3">
      <c r="A1442" s="37" t="s">
        <v>9324</v>
      </c>
      <c r="B1442" s="38" t="str">
        <f>_xlfn.XLOOKUP(Customer[[#This Row],[Customer ID]],[1]!Name[ID],[1]!Name[Description(1)])</f>
        <v>BUDI FILLING STATION (XPRESS POINT)</v>
      </c>
      <c r="C1442" s="38" t="str">
        <f>_xlfn.XLOOKUP(Customer[[#This Row],[Customer ID]],[1]!Name[ID],[1]!Name[Description(2)])</f>
        <v>CALTEX BUKIT BUNGA XP</v>
      </c>
      <c r="D1442" s="38" t="str">
        <f>_xlfn.XLOOKUP(Customer[[#This Row],[Customer ID]],[1]!Address[ID],[1]!Address[PIC])</f>
        <v/>
      </c>
      <c r="E1442" s="38" t="str">
        <f>_xlfn.XLOOKUP(Customer[[#This Row],[Customer ID]],[1]!Address[ID],[1]!Address[Full Address])</f>
        <v>CALTEX BUKIT BUNGA XPLot 748, Kampung Chedok17500 Tanah Merah, Kelantan.</v>
      </c>
      <c r="F1442" s="12" t="s">
        <v>9325</v>
      </c>
      <c r="G1442" s="12" t="s">
        <v>9326</v>
      </c>
      <c r="H1442" s="24" t="s">
        <v>9327</v>
      </c>
      <c r="I1442" s="24" t="b">
        <f>ISNUMBER(VALUE(LEFT(Customer[[#This Row],[Address Line 3 (30 char)]],1)))</f>
        <v>0</v>
      </c>
      <c r="J1442" s="12" t="s">
        <v>1007</v>
      </c>
      <c r="K1442" s="12">
        <v>17500</v>
      </c>
      <c r="L1442" s="12" t="s">
        <v>35</v>
      </c>
      <c r="M1442" s="13" t="e">
        <v>#N/A</v>
      </c>
      <c r="N1442" s="14" t="e">
        <v>#N/A</v>
      </c>
      <c r="O1442" s="14" t="e">
        <v>#N/A</v>
      </c>
      <c r="P1442" s="14" t="e">
        <v>#N/A</v>
      </c>
      <c r="Q1442" s="19" t="s">
        <v>9328</v>
      </c>
      <c r="R1442" s="15" t="s">
        <v>9329</v>
      </c>
      <c r="S1442" s="15" t="s">
        <v>37</v>
      </c>
      <c r="T1442" s="16" t="s">
        <v>38</v>
      </c>
      <c r="U1442" s="11" t="str">
        <f>_xlfn.XLOOKUP(Customer[[#This Row],[Customer ID]],[1]!Address[ID],[1]!Address[Phone No.(2)])</f>
        <v/>
      </c>
      <c r="V1442" s="11" t="str">
        <f>_xlfn.XLOOKUP(Customer[[#This Row],[Customer ID]],[1]!Address[ID],[1]!Address[Type])</f>
        <v>PETROMART</v>
      </c>
      <c r="W1442" s="11" t="str">
        <f>_xlfn.XLOOKUP(Customer[[#This Row],[Customer ID]],[1]!Address[ID],[1]!Address[CT])</f>
        <v>30</v>
      </c>
      <c r="X1442" s="11" t="s">
        <v>39</v>
      </c>
      <c r="Y1442" s="17" t="s">
        <v>40</v>
      </c>
      <c r="Z1442" s="17" t="e">
        <f>_xlfn.XLOOKUP(Customer[[#This Row],[NewType]],$AF$36:$AF$54,$AG$36:$AG$54)</f>
        <v>#N/A</v>
      </c>
      <c r="AA1442" s="17" t="s">
        <v>9330</v>
      </c>
      <c r="AB1442" s="11" t="str">
        <f>_xlfn.XLOOKUP(Customer[[#This Row],[Customer ID]],[1]!Address[ID],[1]!Address[Subtype])</f>
        <v>XPRESS POINT</v>
      </c>
      <c r="AC1442" s="18" t="str">
        <f>_xlfn.XLOOKUP(Customer[[#This Row],[Customer ID]],[1]!Address[ID],[1]!Address[Zone])</f>
        <v>EAST COAST</v>
      </c>
    </row>
    <row r="1443" spans="1:29" x14ac:dyDescent="0.3">
      <c r="A1443" s="43" t="s">
        <v>9331</v>
      </c>
      <c r="B1443" s="44" t="str">
        <f>_xlfn.XLOOKUP(Customer[[#This Row],[Customer ID]],[1]!Name[ID],[1]!Name[Description(1)])</f>
        <v>STESYEN MINYAK MERGONG UTAMA (XPRESS PO)</v>
      </c>
      <c r="C1443" s="38" t="str">
        <f>_xlfn.XLOOKUP(Customer[[#This Row],[Customer ID]],[1]!Name[ID],[1]!Name[Description(2)])</f>
        <v>CALTEX JALAN MERGONG XP</v>
      </c>
      <c r="D1443" s="38" t="str">
        <f>_xlfn.XLOOKUP(Customer[[#This Row],[Customer ID]],[1]!Address[ID],[1]!Address[PIC])</f>
        <v/>
      </c>
      <c r="E1443" s="38" t="str">
        <f>_xlfn.XLOOKUP(Customer[[#This Row],[Customer ID]],[1]!Address[ID],[1]!Address[Full Address])</f>
        <v>CALTEX JALAN MERGONG XPPT Lot 2118, MK Ujong Mergong,05150 Ujong Mergong,Kedah.</v>
      </c>
      <c r="F1443" s="12" t="s">
        <v>9332</v>
      </c>
      <c r="G1443" s="12" t="s">
        <v>9333</v>
      </c>
      <c r="H1443" s="24" t="s">
        <v>9334</v>
      </c>
      <c r="I1443" s="24" t="b">
        <f>ISNUMBER(VALUE(LEFT(Customer[[#This Row],[Address Line 3 (30 char)]],1)))</f>
        <v>0</v>
      </c>
      <c r="J1443" s="12" t="s">
        <v>355</v>
      </c>
      <c r="K1443" s="30" t="s">
        <v>3421</v>
      </c>
      <c r="L1443" s="12" t="s">
        <v>35</v>
      </c>
      <c r="M1443" s="13" t="e">
        <v>#N/A</v>
      </c>
      <c r="N1443" s="14" t="e">
        <v>#N/A</v>
      </c>
      <c r="O1443" s="14" t="e">
        <v>#N/A</v>
      </c>
      <c r="P1443" s="14" t="e">
        <v>#N/A</v>
      </c>
      <c r="Q1443" s="19" t="s">
        <v>9335</v>
      </c>
      <c r="R1443" s="15" t="s">
        <v>9336</v>
      </c>
      <c r="S1443" s="15" t="s">
        <v>37</v>
      </c>
      <c r="T1443" s="16" t="s">
        <v>38</v>
      </c>
      <c r="U1443" s="11" t="str">
        <f>_xlfn.XLOOKUP(Customer[[#This Row],[Customer ID]],[1]!Address[ID],[1]!Address[Phone No.(2)])</f>
        <v/>
      </c>
      <c r="V1443" s="11" t="str">
        <f>_xlfn.XLOOKUP(Customer[[#This Row],[Customer ID]],[1]!Address[ID],[1]!Address[Type])</f>
        <v>PETROMART</v>
      </c>
      <c r="W1443" s="11" t="str">
        <f>_xlfn.XLOOKUP(Customer[[#This Row],[Customer ID]],[1]!Address[ID],[1]!Address[CT])</f>
        <v>30</v>
      </c>
      <c r="X1443" s="11" t="s">
        <v>39</v>
      </c>
      <c r="Y1443" s="17" t="s">
        <v>40</v>
      </c>
      <c r="Z1443" s="17" t="e">
        <f>_xlfn.XLOOKUP(Customer[[#This Row],[NewType]],$AF$36:$AF$54,$AG$36:$AG$54)</f>
        <v>#N/A</v>
      </c>
      <c r="AA1443" s="17" t="s">
        <v>9337</v>
      </c>
      <c r="AB1443" s="11" t="str">
        <f>_xlfn.XLOOKUP(Customer[[#This Row],[Customer ID]],[1]!Address[ID],[1]!Address[Subtype])</f>
        <v>XPRESS POINT</v>
      </c>
      <c r="AC1443" s="18" t="str">
        <f>_xlfn.XLOOKUP(Customer[[#This Row],[Customer ID]],[1]!Address[ID],[1]!Address[Zone])</f>
        <v>NORTH</v>
      </c>
    </row>
    <row r="1444" spans="1:29" x14ac:dyDescent="0.3">
      <c r="A1444" s="37" t="s">
        <v>9338</v>
      </c>
      <c r="B1444" s="38" t="str">
        <f>_xlfn.XLOOKUP(Customer[[#This Row],[Customer ID]],[1]!Name[ID],[1]!Name[Description(1)])</f>
        <v>PEN SUTERA SERVICES SDN BHD</v>
      </c>
      <c r="C1444" s="38" t="str">
        <f>_xlfn.XLOOKUP(Customer[[#This Row],[Customer ID]],[1]!Name[ID],[1]!Name[Description(2)])</f>
        <v>CALTEX PINANG TUNGGAL XP</v>
      </c>
      <c r="D1444" s="38" t="str">
        <f>_xlfn.XLOOKUP(Customer[[#This Row],[Customer ID]],[1]!Address[ID],[1]!Address[PIC])</f>
        <v/>
      </c>
      <c r="E1444" s="38" t="str">
        <f>_xlfn.XLOOKUP(Customer[[#This Row],[Customer ID]],[1]!Address[ID],[1]!Address[Full Address])</f>
        <v>CALTEX PINANG TUNGGAL XPNo. 1-08, Wisma LanSaidin Jalanpermatang Langsat, Pinang  Tunggal 13210KEPALA BATAS Seberang Perai Utara, Pulau</v>
      </c>
      <c r="F1444" s="12" t="s">
        <v>9339</v>
      </c>
      <c r="G1444" s="41" t="s">
        <v>9340</v>
      </c>
      <c r="H1444" s="12" t="s">
        <v>9341</v>
      </c>
      <c r="I1444" s="12" t="b">
        <f>ISNUMBER(VALUE(LEFT(Customer[[#This Row],[Address Line 3 (30 char)]],1)))</f>
        <v>0</v>
      </c>
      <c r="J1444" s="12" t="s">
        <v>179</v>
      </c>
      <c r="K1444" s="12">
        <v>13210</v>
      </c>
      <c r="L1444" s="12" t="s">
        <v>35</v>
      </c>
      <c r="M1444" s="13" t="e">
        <v>#N/A</v>
      </c>
      <c r="N1444" s="14" t="e">
        <v>#N/A</v>
      </c>
      <c r="O1444" s="14" t="e">
        <v>#N/A</v>
      </c>
      <c r="P1444" s="14" t="e">
        <v>#N/A</v>
      </c>
      <c r="Q1444" s="19" t="s">
        <v>9342</v>
      </c>
      <c r="R1444" s="15" t="s">
        <v>9343</v>
      </c>
      <c r="S1444" s="15" t="s">
        <v>37</v>
      </c>
      <c r="T1444" s="16" t="s">
        <v>38</v>
      </c>
      <c r="U1444" s="11" t="str">
        <f>_xlfn.XLOOKUP(Customer[[#This Row],[Customer ID]],[1]!Address[ID],[1]!Address[Phone No.(2)])</f>
        <v/>
      </c>
      <c r="V1444" s="11" t="str">
        <f>_xlfn.XLOOKUP(Customer[[#This Row],[Customer ID]],[1]!Address[ID],[1]!Address[Type])</f>
        <v>PETROMART</v>
      </c>
      <c r="W1444" s="11" t="str">
        <f>_xlfn.XLOOKUP(Customer[[#This Row],[Customer ID]],[1]!Address[ID],[1]!Address[CT])</f>
        <v>30</v>
      </c>
      <c r="X1444" s="11" t="s">
        <v>39</v>
      </c>
      <c r="Y1444" s="17" t="s">
        <v>40</v>
      </c>
      <c r="Z1444" s="17" t="e">
        <f>_xlfn.XLOOKUP(Customer[[#This Row],[NewType]],$AF$36:$AF$54,$AG$36:$AG$54)</f>
        <v>#N/A</v>
      </c>
      <c r="AA1444" s="17" t="s">
        <v>9344</v>
      </c>
      <c r="AB1444" s="11" t="str">
        <f>_xlfn.XLOOKUP(Customer[[#This Row],[Customer ID]],[1]!Address[ID],[1]!Address[Subtype])</f>
        <v>XPRESS POINT</v>
      </c>
      <c r="AC1444" s="18" t="str">
        <f>_xlfn.XLOOKUP(Customer[[#This Row],[Customer ID]],[1]!Address[ID],[1]!Address[Zone])</f>
        <v>NORTH</v>
      </c>
    </row>
    <row r="1445" spans="1:29" x14ac:dyDescent="0.3">
      <c r="A1445" s="37" t="s">
        <v>9345</v>
      </c>
      <c r="B1445" s="38" t="str">
        <f>_xlfn.XLOOKUP(Customer[[#This Row],[Customer ID]],[1]!Name[ID],[1]!Name[Description(1)])</f>
        <v>PAKMAT WESTERN HQ</v>
      </c>
      <c r="C1445" s="38" t="str">
        <f>_xlfn.XLOOKUP(Customer[[#This Row],[Customer ID]],[1]!Name[ID],[1]!Name[Description(2)])</f>
        <v/>
      </c>
      <c r="D1445" s="38" t="str">
        <f>_xlfn.XLOOKUP(Customer[[#This Row],[Customer ID]],[1]!Address[ID],[1]!Address[PIC])</f>
        <v/>
      </c>
      <c r="E1445" s="38" t="str">
        <f>_xlfn.XLOOKUP(Customer[[#This Row],[Customer ID]],[1]!Address[ID],[1]!Address[Full Address])</f>
        <v>NO.6 JALAN INDUSTRI TANGKAS 2 TAMANINDUSTRI TANGKAS KAMPUNG SEKOLAH, JURU,14000 BUKIT MERTAJAM ,PULAU PINANG</v>
      </c>
      <c r="F1445" s="12" t="s">
        <v>9346</v>
      </c>
      <c r="G1445" s="12" t="s">
        <v>9347</v>
      </c>
      <c r="H1445" s="12" t="s">
        <v>5591</v>
      </c>
      <c r="I1445" s="12" t="b">
        <f>ISNUMBER(VALUE(LEFT(Customer[[#This Row],[Address Line 3 (30 char)]],1)))</f>
        <v>0</v>
      </c>
      <c r="J1445" s="12" t="s">
        <v>179</v>
      </c>
      <c r="K1445" s="12">
        <v>14000</v>
      </c>
      <c r="L1445" s="12" t="s">
        <v>35</v>
      </c>
      <c r="M1445" s="13" t="e">
        <v>#N/A</v>
      </c>
      <c r="N1445" s="14" t="e">
        <v>#N/A</v>
      </c>
      <c r="O1445" s="14" t="e">
        <v>#N/A</v>
      </c>
      <c r="P1445" s="14" t="e">
        <v>#N/A</v>
      </c>
      <c r="Q1445" s="14" t="e">
        <v>#N/A</v>
      </c>
      <c r="R1445" s="15" t="s">
        <v>9348</v>
      </c>
      <c r="S1445" s="15" t="s">
        <v>5925</v>
      </c>
      <c r="T1445" s="16" t="s">
        <v>3477</v>
      </c>
      <c r="U1445" s="11" t="str">
        <f>_xlfn.XLOOKUP(Customer[[#This Row],[Customer ID]],[1]!Address[ID],[1]!Address[Phone No.(2)])</f>
        <v/>
      </c>
      <c r="V1445" s="11" t="str">
        <f>_xlfn.XLOOKUP(Customer[[#This Row],[Customer ID]],[1]!Address[ID],[1]!Address[Type])</f>
        <v>CAFE</v>
      </c>
      <c r="W1445" s="11" t="str">
        <f>_xlfn.XLOOKUP(Customer[[#This Row],[Customer ID]],[1]!Address[ID],[1]!Address[CT])</f>
        <v>CASH</v>
      </c>
      <c r="X1445" s="11"/>
      <c r="Y1445" s="17" t="s">
        <v>5926</v>
      </c>
      <c r="Z1445" s="17" t="e">
        <f>_xlfn.XLOOKUP(Customer[[#This Row],[NewType]],$AF$36:$AF$54,$AG$36:$AG$54)</f>
        <v>#N/A</v>
      </c>
      <c r="AA1445" s="17" t="s">
        <v>9349</v>
      </c>
      <c r="AB1445" s="11" t="str">
        <f>_xlfn.XLOOKUP(Customer[[#This Row],[Customer ID]],[1]!Address[ID],[1]!Address[Subtype])</f>
        <v>PAKMAT WEST</v>
      </c>
      <c r="AC1445" s="18" t="str">
        <f>_xlfn.XLOOKUP(Customer[[#This Row],[Customer ID]],[1]!Address[ID],[1]!Address[Zone])</f>
        <v>NORTH</v>
      </c>
    </row>
    <row r="1446" spans="1:29" x14ac:dyDescent="0.3">
      <c r="A1446" s="10" t="s">
        <v>9350</v>
      </c>
      <c r="B1446" s="11" t="str">
        <f>_xlfn.XLOOKUP(Customer[[#This Row],[Customer ID]],[1]!Name[ID],[1]!Name[Description(1)])</f>
        <v>DATO NUR ISKANDAR</v>
      </c>
      <c r="C1446" s="32" t="str">
        <f>_xlfn.XLOOKUP(Customer[[#This Row],[Customer ID]],[1]!Name[ID],[1]!Name[Description(2)])</f>
        <v/>
      </c>
      <c r="D1446" s="38" t="str">
        <f>_xlfn.XLOOKUP(Customer[[#This Row],[Customer ID]],[1]!Address[ID],[1]!Address[PIC])</f>
        <v>ISKANDAR</v>
      </c>
      <c r="E1446" s="38" t="str">
        <f>_xlfn.XLOOKUP(Customer[[#This Row],[Customer ID]],[1]!Address[ID],[1]!Address[Full Address])</f>
        <v>MUTIARA BANGI</v>
      </c>
      <c r="F1446" s="12" t="s">
        <v>8485</v>
      </c>
      <c r="G1446" s="12" t="s">
        <v>36</v>
      </c>
      <c r="H1446" s="12" t="s">
        <v>36</v>
      </c>
      <c r="I1446" s="12" t="b">
        <f>ISNUMBER(VALUE(LEFT(Customer[[#This Row],[Address Line 3 (30 char)]],1)))</f>
        <v>0</v>
      </c>
      <c r="J1446" s="32" t="s">
        <v>172</v>
      </c>
      <c r="K1446" s="32"/>
      <c r="L1446" s="12" t="s">
        <v>35</v>
      </c>
      <c r="M1446" s="13" t="e">
        <v>#N/A</v>
      </c>
      <c r="N1446" s="14" t="e">
        <v>#N/A</v>
      </c>
      <c r="O1446" s="14" t="e">
        <v>#N/A</v>
      </c>
      <c r="P1446" s="14" t="e">
        <v>#N/A</v>
      </c>
      <c r="Q1446" s="14" t="e">
        <v>#N/A</v>
      </c>
      <c r="R1446" s="15" t="s">
        <v>9351</v>
      </c>
      <c r="S1446" s="15" t="s">
        <v>4271</v>
      </c>
      <c r="T1446" s="16" t="s">
        <v>89</v>
      </c>
      <c r="U1446" s="11" t="str">
        <f>_xlfn.XLOOKUP(Customer[[#This Row],[Customer ID]],[1]!Address[ID],[1]!Address[Phone No.(2)])</f>
        <v/>
      </c>
      <c r="V1446" s="11" t="str">
        <f>_xlfn.XLOOKUP(Customer[[#This Row],[Customer ID]],[1]!Address[ID],[1]!Address[Type])</f>
        <v>SOCMED</v>
      </c>
      <c r="W1446" s="11" t="str">
        <f>_xlfn.XLOOKUP(Customer[[#This Row],[Customer ID]],[1]!Address[ID],[1]!Address[CT])</f>
        <v/>
      </c>
      <c r="X1446" s="11"/>
      <c r="Y1446" s="17" t="s">
        <v>90</v>
      </c>
      <c r="Z1446" s="17" t="e">
        <f>_xlfn.XLOOKUP(Customer[[#This Row],[NewType]],$AF$36:$AF$54,$AG$36:$AG$54)</f>
        <v>#N/A</v>
      </c>
      <c r="AA1446" s="17" t="s">
        <v>9352</v>
      </c>
      <c r="AB1446" s="11" t="str">
        <f>_xlfn.XLOOKUP(Customer[[#This Row],[Customer ID]],[1]!Address[ID],[1]!Address[Subtype])</f>
        <v>WHATSAPP</v>
      </c>
      <c r="AC1446" s="18" t="str">
        <f>_xlfn.XLOOKUP(Customer[[#This Row],[Customer ID]],[1]!Address[ID],[1]!Address[Zone])</f>
        <v>CENTRAL</v>
      </c>
    </row>
    <row r="1447" spans="1:29" x14ac:dyDescent="0.3">
      <c r="A1447" s="10" t="s">
        <v>9353</v>
      </c>
      <c r="B1447" s="11" t="str">
        <f>_xlfn.XLOOKUP(Customer[[#This Row],[Customer ID]],[1]!Name[ID],[1]!Name[Description(1)])</f>
        <v>TG DATO ROZANNA TG NASRUN</v>
      </c>
      <c r="C1447" s="38" t="str">
        <f>_xlfn.XLOOKUP(Customer[[#This Row],[Customer ID]],[1]!Name[ID],[1]!Name[Description(2)])</f>
        <v/>
      </c>
      <c r="D1447" s="38" t="str">
        <f>_xlfn.XLOOKUP(Customer[[#This Row],[Customer ID]],[1]!Address[ID],[1]!Address[PIC])</f>
        <v/>
      </c>
      <c r="E1447" s="38" t="str">
        <f>_xlfn.XLOOKUP(Customer[[#This Row],[Customer ID]],[1]!Address[ID],[1]!Address[Full Address])</f>
        <v>C-5-2 AMPERSANDJALAN KIA PENG50450 KL</v>
      </c>
      <c r="F1447" s="29" t="s">
        <v>9354</v>
      </c>
      <c r="G1447" s="29" t="s">
        <v>9355</v>
      </c>
      <c r="H1447" s="79"/>
      <c r="I1447" s="79" t="b">
        <f>ISNUMBER(VALUE(LEFT(Customer[[#This Row],[Address Line 3 (30 char)]],1)))</f>
        <v>0</v>
      </c>
      <c r="J1447" s="29" t="s">
        <v>8855</v>
      </c>
      <c r="K1447" s="29">
        <v>50450</v>
      </c>
      <c r="L1447" s="29" t="s">
        <v>35</v>
      </c>
      <c r="M1447" s="31" t="e">
        <v>#N/A</v>
      </c>
      <c r="N1447" s="36" t="e">
        <v>#N/A</v>
      </c>
      <c r="O1447" s="36" t="e">
        <v>#N/A</v>
      </c>
      <c r="P1447" s="36" t="e">
        <v>#N/A</v>
      </c>
      <c r="Q1447" s="36" t="e">
        <v>#N/A</v>
      </c>
      <c r="R1447" s="15" t="s">
        <v>9356</v>
      </c>
      <c r="S1447" s="15" t="s">
        <v>4271</v>
      </c>
      <c r="T1447" s="16" t="s">
        <v>89</v>
      </c>
      <c r="U1447" s="11" t="str">
        <f>_xlfn.XLOOKUP(Customer[[#This Row],[Customer ID]],[1]!Address[ID],[1]!Address[Phone No.(2)])</f>
        <v/>
      </c>
      <c r="V1447" s="11" t="str">
        <f>_xlfn.XLOOKUP(Customer[[#This Row],[Customer ID]],[1]!Address[ID],[1]!Address[Type])</f>
        <v>SOCMED</v>
      </c>
      <c r="W1447" s="11" t="str">
        <f>_xlfn.XLOOKUP(Customer[[#This Row],[Customer ID]],[1]!Address[ID],[1]!Address[CT])</f>
        <v/>
      </c>
      <c r="X1447" s="11"/>
      <c r="Y1447" s="17" t="s">
        <v>90</v>
      </c>
      <c r="Z1447" s="17" t="e">
        <f>_xlfn.XLOOKUP(Customer[[#This Row],[NewType]],$AF$36:$AF$54,$AG$36:$AG$54)</f>
        <v>#N/A</v>
      </c>
      <c r="AA1447" s="17" t="s">
        <v>9357</v>
      </c>
      <c r="AB1447" s="11" t="str">
        <f>_xlfn.XLOOKUP(Customer[[#This Row],[Customer ID]],[1]!Address[ID],[1]!Address[Subtype])</f>
        <v>WHATSAPP</v>
      </c>
      <c r="AC1447" s="18" t="str">
        <f>_xlfn.XLOOKUP(Customer[[#This Row],[Customer ID]],[1]!Address[ID],[1]!Address[Zone])</f>
        <v>CENTRAL</v>
      </c>
    </row>
    <row r="1448" spans="1:29" x14ac:dyDescent="0.3">
      <c r="A1448" s="37" t="s">
        <v>9358</v>
      </c>
      <c r="B1448" s="38" t="str">
        <f>_xlfn.XLOOKUP(Customer[[#This Row],[Customer ID]],[1]!Name[ID],[1]!Name[Description(1)])</f>
        <v>TEAN SENG SDN. BHD</v>
      </c>
      <c r="C1448" s="38" t="str">
        <f>_xlfn.XLOOKUP(Customer[[#This Row],[Customer ID]],[1]!Name[ID],[1]!Name[Description(2)])</f>
        <v/>
      </c>
      <c r="D1448" s="38" t="str">
        <f>_xlfn.XLOOKUP(Customer[[#This Row],[Customer ID]],[1]!Address[ID],[1]!Address[PIC])</f>
        <v/>
      </c>
      <c r="E1448" s="38" t="str">
        <f>_xlfn.XLOOKUP(Customer[[#This Row],[Customer ID]],[1]!Address[ID],[1]!Address[Full Address])</f>
        <v>PT 4144, KAWASAN PERINDUSTRIAN,PENGKALAN CHEPA FASA II,16100 KOTA BHARU,KELANTAN</v>
      </c>
      <c r="F1448" s="12" t="s">
        <v>9359</v>
      </c>
      <c r="G1448" s="12" t="s">
        <v>9360</v>
      </c>
      <c r="H1448" s="12" t="s">
        <v>2824</v>
      </c>
      <c r="I1448" s="12" t="b">
        <f>ISNUMBER(VALUE(LEFT(Customer[[#This Row],[Address Line 3 (30 char)]],1)))</f>
        <v>0</v>
      </c>
      <c r="J1448" s="12" t="s">
        <v>1007</v>
      </c>
      <c r="K1448" s="12">
        <v>16100</v>
      </c>
      <c r="L1448" s="12" t="s">
        <v>35</v>
      </c>
      <c r="M1448" s="103">
        <v>202101026876</v>
      </c>
      <c r="N1448" s="12" t="s">
        <v>9361</v>
      </c>
      <c r="O1448" s="14" t="e">
        <v>#N/A</v>
      </c>
      <c r="P1448" s="14" t="e">
        <v>#N/A</v>
      </c>
      <c r="Q1448" s="19" t="s">
        <v>9362</v>
      </c>
      <c r="R1448" s="15" t="s">
        <v>9363</v>
      </c>
      <c r="S1448" s="15" t="s">
        <v>5934</v>
      </c>
      <c r="T1448" s="16" t="s">
        <v>3477</v>
      </c>
      <c r="U1448" s="11" t="str">
        <f>_xlfn.XLOOKUP(Customer[[#This Row],[Customer ID]],[1]!Address[ID],[1]!Address[Phone No.(2)])</f>
        <v/>
      </c>
      <c r="V1448" s="11" t="str">
        <f>_xlfn.XLOOKUP(Customer[[#This Row],[Customer ID]],[1]!Address[ID],[1]!Address[Type])</f>
        <v>CM</v>
      </c>
      <c r="W1448" s="11" t="str">
        <f>_xlfn.XLOOKUP(Customer[[#This Row],[Customer ID]],[1]!Address[ID],[1]!Address[CT])</f>
        <v>CASH</v>
      </c>
      <c r="X1448" s="11"/>
      <c r="Y1448" s="17" t="s">
        <v>5918</v>
      </c>
      <c r="Z1448" s="17" t="e">
        <f>_xlfn.XLOOKUP(Customer[[#This Row],[NewType]],$AF$36:$AF$54,$AG$36:$AG$54)</f>
        <v>#N/A</v>
      </c>
      <c r="AA1448" s="17" t="s">
        <v>9364</v>
      </c>
      <c r="AB1448" s="11" t="str">
        <f>_xlfn.XLOOKUP(Customer[[#This Row],[Customer ID]],[1]!Address[ID],[1]!Address[Subtype])</f>
        <v>TEAN SENG</v>
      </c>
      <c r="AC1448" s="18" t="str">
        <f>_xlfn.XLOOKUP(Customer[[#This Row],[Customer ID]],[1]!Address[ID],[1]!Address[Zone])</f>
        <v>EAST COAST</v>
      </c>
    </row>
    <row r="1449" spans="1:29" x14ac:dyDescent="0.3">
      <c r="A1449" s="37" t="s">
        <v>9365</v>
      </c>
      <c r="B1449" s="38" t="str">
        <f>_xlfn.XLOOKUP(Customer[[#This Row],[Customer ID]],[1]!Name[ID],[1]!Name[Description(1)])</f>
        <v>ST ROSYAM MART (TMN EHSAN) SDN BHD</v>
      </c>
      <c r="C1449" s="38" t="str">
        <f>_xlfn.XLOOKUP(Customer[[#This Row],[Customer ID]],[1]!Name[ID],[1]!Name[Description(2)])</f>
        <v/>
      </c>
      <c r="D1449" s="38" t="str">
        <f>_xlfn.XLOOKUP(Customer[[#This Row],[Customer ID]],[1]!Address[ID],[1]!Address[PIC])</f>
        <v/>
      </c>
      <c r="E1449" s="38" t="str">
        <f>_xlfn.XLOOKUP(Customer[[#This Row],[Customer ID]],[1]!Address[ID],[1]!Address[Full Address])</f>
        <v>PASAR MODEN TAMAN EHSAN,JALAN E3/6A, TAMAN EHSAN,52100 KEPONG,SELANGOR</v>
      </c>
      <c r="F1449" s="12" t="s">
        <v>9366</v>
      </c>
      <c r="G1449" s="12" t="s">
        <v>9367</v>
      </c>
      <c r="H1449" s="24" t="s">
        <v>5162</v>
      </c>
      <c r="I1449" s="24" t="b">
        <f>ISNUMBER(VALUE(LEFT(Customer[[#This Row],[Address Line 3 (30 char)]],1)))</f>
        <v>0</v>
      </c>
      <c r="J1449" s="12" t="s">
        <v>1907</v>
      </c>
      <c r="K1449" s="12">
        <v>52100</v>
      </c>
      <c r="L1449" s="12" t="s">
        <v>35</v>
      </c>
      <c r="M1449" s="13" t="e">
        <v>#N/A</v>
      </c>
      <c r="N1449" s="14" t="e">
        <v>#N/A</v>
      </c>
      <c r="O1449" s="14" t="e">
        <v>#N/A</v>
      </c>
      <c r="P1449" s="14" t="e">
        <v>#N/A</v>
      </c>
      <c r="Q1449" s="14" t="e">
        <v>#N/A</v>
      </c>
      <c r="R1449" s="15" t="s">
        <v>9368</v>
      </c>
      <c r="S1449" s="15" t="s">
        <v>5917</v>
      </c>
      <c r="T1449" s="16" t="s">
        <v>3477</v>
      </c>
      <c r="U1449" s="11" t="str">
        <f>_xlfn.XLOOKUP(Customer[[#This Row],[Customer ID]],[1]!Address[ID],[1]!Address[Phone No.(2)])</f>
        <v/>
      </c>
      <c r="V1449" s="11" t="str">
        <f>_xlfn.XLOOKUP(Customer[[#This Row],[Customer ID]],[1]!Address[ID],[1]!Address[Type])</f>
        <v>HM</v>
      </c>
      <c r="W1449" s="11" t="str">
        <f>_xlfn.XLOOKUP(Customer[[#This Row],[Customer ID]],[1]!Address[ID],[1]!Address[CT])</f>
        <v>60 DAYS</v>
      </c>
      <c r="X1449" s="11"/>
      <c r="Y1449" s="17" t="s">
        <v>5968</v>
      </c>
      <c r="Z1449" s="17" t="e">
        <f>_xlfn.XLOOKUP(Customer[[#This Row],[NewType]],$AF$36:$AF$54,$AG$36:$AG$54)</f>
        <v>#N/A</v>
      </c>
      <c r="AA1449" s="17" t="s">
        <v>9369</v>
      </c>
      <c r="AB1449" s="11" t="str">
        <f>_xlfn.XLOOKUP(Customer[[#This Row],[Customer ID]],[1]!Address[ID],[1]!Address[Subtype])</f>
        <v>ST ROSYAM</v>
      </c>
      <c r="AC1449" s="18" t="str">
        <f>_xlfn.XLOOKUP(Customer[[#This Row],[Customer ID]],[1]!Address[ID],[1]!Address[Zone])</f>
        <v>CENTRAL</v>
      </c>
    </row>
    <row r="1450" spans="1:29" x14ac:dyDescent="0.3">
      <c r="A1450" s="37" t="s">
        <v>9370</v>
      </c>
      <c r="B1450" s="38" t="str">
        <f>_xlfn.XLOOKUP(Customer[[#This Row],[Customer ID]],[1]!Name[ID],[1]!Name[Description(1)])</f>
        <v>RJ CHIPS STORE</v>
      </c>
      <c r="C1450" s="38" t="str">
        <f>_xlfn.XLOOKUP(Customer[[#This Row],[Customer ID]],[1]!Name[ID],[1]!Name[Description(2)])</f>
        <v/>
      </c>
      <c r="D1450" s="38" t="str">
        <f>_xlfn.XLOOKUP(Customer[[#This Row],[Customer ID]],[1]!Address[ID],[1]!Address[PIC])</f>
        <v/>
      </c>
      <c r="E1450" s="38" t="str">
        <f>_xlfn.XLOOKUP(Customer[[#This Row],[Customer ID]],[1]!Address[ID],[1]!Address[Full Address])</f>
        <v>LOT 2 TINGKAT 1,POS MALAYSIA KUALA LUMPUR,KOMPLEKS DAYABUMI,KL CITY CENTER50050, KUALA LUMPUR</v>
      </c>
      <c r="F1450" s="12" t="s">
        <v>9371</v>
      </c>
      <c r="G1450" s="12" t="s">
        <v>9372</v>
      </c>
      <c r="H1450" s="12" t="s">
        <v>9373</v>
      </c>
      <c r="I1450" s="12" t="b">
        <f>ISNUMBER(VALUE(LEFT(Customer[[#This Row],[Address Line 3 (30 char)]],1)))</f>
        <v>0</v>
      </c>
      <c r="J1450" s="12" t="s">
        <v>8855</v>
      </c>
      <c r="K1450" s="12">
        <v>50050</v>
      </c>
      <c r="L1450" s="12" t="s">
        <v>35</v>
      </c>
      <c r="M1450" s="13"/>
      <c r="N1450" s="14"/>
      <c r="O1450" s="14" t="e">
        <v>#N/A</v>
      </c>
      <c r="P1450" s="14" t="e">
        <v>#N/A</v>
      </c>
      <c r="Q1450" s="14" t="e">
        <v>#N/A</v>
      </c>
      <c r="R1450" s="15" t="s">
        <v>9374</v>
      </c>
      <c r="S1450" s="15" t="s">
        <v>5917</v>
      </c>
      <c r="T1450" s="16" t="s">
        <v>3477</v>
      </c>
      <c r="U1450" s="11" t="str">
        <f>_xlfn.XLOOKUP(Customer[[#This Row],[Customer ID]],[1]!Address[ID],[1]!Address[Phone No.(2)])</f>
        <v/>
      </c>
      <c r="V1450" s="11" t="str">
        <f>_xlfn.XLOOKUP(Customer[[#This Row],[Customer ID]],[1]!Address[ID],[1]!Address[Type])</f>
        <v>CM</v>
      </c>
      <c r="W1450" s="11" t="str">
        <f>_xlfn.XLOOKUP(Customer[[#This Row],[Customer ID]],[1]!Address[ID],[1]!Address[CT])</f>
        <v>60 DAYS</v>
      </c>
      <c r="X1450" s="11"/>
      <c r="Y1450" s="17" t="s">
        <v>5918</v>
      </c>
      <c r="Z1450" s="17" t="e">
        <f>_xlfn.XLOOKUP(Customer[[#This Row],[NewType]],$AF$36:$AF$54,$AG$36:$AG$54)</f>
        <v>#N/A</v>
      </c>
      <c r="AA1450" s="17" t="s">
        <v>9375</v>
      </c>
      <c r="AB1450" s="11" t="str">
        <f>_xlfn.XLOOKUP(Customer[[#This Row],[Customer ID]],[1]!Address[ID],[1]!Address[Subtype])</f>
        <v>RJ CHIPS</v>
      </c>
      <c r="AC1450" s="18" t="str">
        <f>_xlfn.XLOOKUP(Customer[[#This Row],[Customer ID]],[1]!Address[ID],[1]!Address[Zone])</f>
        <v>CENTRAL</v>
      </c>
    </row>
    <row r="1451" spans="1:29" x14ac:dyDescent="0.3">
      <c r="A1451" s="37" t="s">
        <v>9376</v>
      </c>
      <c r="B1451" s="38" t="str">
        <f>_xlfn.XLOOKUP(Customer[[#This Row],[Customer ID]],[1]!Name[ID],[1]!Name[Description(1)])</f>
        <v>RESTORAN SALAM SENTOSA SDN. BHD.</v>
      </c>
      <c r="C1451" s="38" t="str">
        <f>_xlfn.XLOOKUP(Customer[[#This Row],[Customer ID]],[1]!Name[ID],[1]!Name[Description(2)])</f>
        <v>SALAM ONE CAFE</v>
      </c>
      <c r="D1451" s="38" t="str">
        <f>_xlfn.XLOOKUP(Customer[[#This Row],[Customer ID]],[1]!Address[ID],[1]!Address[PIC])</f>
        <v>ABDUL MUJEEB</v>
      </c>
      <c r="E1451" s="38" t="str">
        <f>_xlfn.XLOOKUP(Customer[[#This Row],[Customer ID]],[1]!Address[ID],[1]!Address[Full Address])</f>
        <v>NO.11 JALAN BUNGA KERTAS 1A,SEKSYEN BS 1, BUKIT SENTOSA,48300 RAWANG SELANGOR</v>
      </c>
      <c r="F1451" s="12" t="s">
        <v>9377</v>
      </c>
      <c r="G1451" s="12" t="s">
        <v>9378</v>
      </c>
      <c r="H1451" s="24" t="s">
        <v>7979</v>
      </c>
      <c r="I1451" s="24" t="b">
        <f>ISNUMBER(VALUE(LEFT(Customer[[#This Row],[Address Line 3 (30 char)]],1)))</f>
        <v>0</v>
      </c>
      <c r="J1451" s="12" t="s">
        <v>1907</v>
      </c>
      <c r="K1451" s="12">
        <v>48300</v>
      </c>
      <c r="L1451" s="12" t="s">
        <v>35</v>
      </c>
      <c r="M1451" s="13">
        <v>200901029638</v>
      </c>
      <c r="N1451" s="14" t="s">
        <v>9379</v>
      </c>
      <c r="O1451" s="14" t="e">
        <v>#N/A</v>
      </c>
      <c r="P1451" s="14" t="e">
        <v>#N/A</v>
      </c>
      <c r="Q1451" s="14" t="e">
        <v>#N/A</v>
      </c>
      <c r="R1451" s="15" t="s">
        <v>9380</v>
      </c>
      <c r="S1451" s="15" t="s">
        <v>3476</v>
      </c>
      <c r="T1451" s="16" t="s">
        <v>3477</v>
      </c>
      <c r="U1451" s="11" t="str">
        <f>_xlfn.XLOOKUP(Customer[[#This Row],[Customer ID]],[1]!Address[ID],[1]!Address[Phone No.(2)])</f>
        <v/>
      </c>
      <c r="V1451" s="11" t="str">
        <f>_xlfn.XLOOKUP(Customer[[#This Row],[Customer ID]],[1]!Address[ID],[1]!Address[Type])</f>
        <v>CAFE</v>
      </c>
      <c r="W1451" s="11" t="str">
        <f>_xlfn.XLOOKUP(Customer[[#This Row],[Customer ID]],[1]!Address[ID],[1]!Address[CT])</f>
        <v>30 DAYS</v>
      </c>
      <c r="X1451" s="11"/>
      <c r="Y1451" s="17" t="s">
        <v>5926</v>
      </c>
      <c r="Z1451" s="17" t="e">
        <f>_xlfn.XLOOKUP(Customer[[#This Row],[NewType]],$AF$36:$AF$54,$AG$36:$AG$54)</f>
        <v>#N/A</v>
      </c>
      <c r="AA1451" s="17" t="s">
        <v>9381</v>
      </c>
      <c r="AB1451" s="11" t="str">
        <f>_xlfn.XLOOKUP(Customer[[#This Row],[Customer ID]],[1]!Address[ID],[1]!Address[Subtype])</f>
        <v>RES. SALAM</v>
      </c>
      <c r="AC1451" s="18" t="str">
        <f>_xlfn.XLOOKUP(Customer[[#This Row],[Customer ID]],[1]!Address[ID],[1]!Address[Zone])</f>
        <v>ALAMEUKSYENH</v>
      </c>
    </row>
    <row r="1452" spans="1:29" x14ac:dyDescent="0.3">
      <c r="A1452" s="10" t="s">
        <v>9382</v>
      </c>
      <c r="B1452" s="11" t="str">
        <f>_xlfn.XLOOKUP(Customer[[#This Row],[Customer ID]],[1]!Name[ID],[1]!Name[Description(1)])</f>
        <v>EN MUSTAPA (PETRONAS)</v>
      </c>
      <c r="C1452" s="38" t="str">
        <f>_xlfn.XLOOKUP(Customer[[#This Row],[Customer ID]],[1]!Name[ID],[1]!Name[Description(2)])</f>
        <v/>
      </c>
      <c r="D1452" s="38" t="str">
        <f>_xlfn.XLOOKUP(Customer[[#This Row],[Customer ID]],[1]!Address[ID],[1]!Address[PIC])</f>
        <v/>
      </c>
      <c r="E1452" s="38" t="str">
        <f>_xlfn.XLOOKUP(Customer[[#This Row],[Customer ID]],[1]!Address[ID],[1]!Address[Full Address])</f>
        <v>NO 2, JALAN CENDANA P14/12,PRESINT 14 62050 PUTRAJAYA</v>
      </c>
      <c r="F1452" s="12" t="s">
        <v>9383</v>
      </c>
      <c r="G1452" s="12" t="s">
        <v>9384</v>
      </c>
      <c r="H1452" s="12" t="s">
        <v>36</v>
      </c>
      <c r="I1452" s="12" t="b">
        <f>ISNUMBER(VALUE(LEFT(Customer[[#This Row],[Address Line 3 (30 char)]],1)))</f>
        <v>0</v>
      </c>
      <c r="J1452" s="12" t="s">
        <v>1907</v>
      </c>
      <c r="K1452" s="12">
        <v>62050</v>
      </c>
      <c r="L1452" s="12" t="s">
        <v>35</v>
      </c>
      <c r="M1452" s="13" t="e">
        <v>#N/A</v>
      </c>
      <c r="N1452" s="14" t="e">
        <v>#N/A</v>
      </c>
      <c r="O1452" s="14" t="e">
        <v>#N/A</v>
      </c>
      <c r="P1452" s="14" t="e">
        <v>#N/A</v>
      </c>
      <c r="Q1452" s="14" t="e">
        <v>#N/A</v>
      </c>
      <c r="R1452" s="15" t="s">
        <v>36</v>
      </c>
      <c r="S1452" s="15" t="s">
        <v>4271</v>
      </c>
      <c r="T1452" s="16" t="s">
        <v>89</v>
      </c>
      <c r="U1452" s="11" t="str">
        <f>_xlfn.XLOOKUP(Customer[[#This Row],[Customer ID]],[1]!Address[ID],[1]!Address[Phone No.(2)])</f>
        <v/>
      </c>
      <c r="V1452" s="11" t="str">
        <f>_xlfn.XLOOKUP(Customer[[#This Row],[Customer ID]],[1]!Address[ID],[1]!Address[Type])</f>
        <v>SOCMED</v>
      </c>
      <c r="W1452" s="11" t="str">
        <f>_xlfn.XLOOKUP(Customer[[#This Row],[Customer ID]],[1]!Address[ID],[1]!Address[CT])</f>
        <v/>
      </c>
      <c r="X1452" s="11"/>
      <c r="Y1452" s="17" t="s">
        <v>90</v>
      </c>
      <c r="Z1452" s="17" t="e">
        <f>_xlfn.XLOOKUP(Customer[[#This Row],[NewType]],$AF$36:$AF$54,$AG$36:$AG$54)</f>
        <v>#N/A</v>
      </c>
      <c r="AA1452" s="17" t="s">
        <v>9385</v>
      </c>
      <c r="AB1452" s="11" t="str">
        <f>_xlfn.XLOOKUP(Customer[[#This Row],[Customer ID]],[1]!Address[ID],[1]!Address[Subtype])</f>
        <v>WHATSAPP</v>
      </c>
      <c r="AC1452" s="18" t="str">
        <f>_xlfn.XLOOKUP(Customer[[#This Row],[Customer ID]],[1]!Address[ID],[1]!Address[Zone])</f>
        <v>CENTRAL</v>
      </c>
    </row>
    <row r="1453" spans="1:29" x14ac:dyDescent="0.3">
      <c r="A1453" s="37" t="s">
        <v>9386</v>
      </c>
      <c r="B1453" s="38" t="str">
        <f>_xlfn.XLOOKUP(Customer[[#This Row],[Customer ID]],[1]!Name[ID],[1]!Name[Description(1)])</f>
        <v>SOFAN STATION</v>
      </c>
      <c r="C1453" s="38" t="str">
        <f>_xlfn.XLOOKUP(Customer[[#This Row],[Customer ID]],[1]!Name[ID],[1]!Name[Description(2)])</f>
        <v>PS KAMPUNG GAJAH</v>
      </c>
      <c r="D1453" s="38" t="str">
        <f>_xlfn.XLOOKUP(Customer[[#This Row],[Customer ID]],[1]!Address[ID],[1]!Address[PIC])</f>
        <v>FATRIN LIYANA B</v>
      </c>
      <c r="E1453" s="38" t="str">
        <f>_xlfn.XLOOKUP(Customer[[#This Row],[Customer ID]],[1]!Address[ID],[1]!Address[Full Address])</f>
        <v>PS KAMPUNG GAJAHLot 3032, Kampung Bendang Besar36800 Kampung Gajah,Perak, Malaysia</v>
      </c>
      <c r="F1453" s="12" t="s">
        <v>9387</v>
      </c>
      <c r="G1453" s="12" t="s">
        <v>9388</v>
      </c>
      <c r="H1453" s="24" t="s">
        <v>9389</v>
      </c>
      <c r="I1453" s="24" t="b">
        <f>ISNUMBER(VALUE(LEFT(Customer[[#This Row],[Address Line 3 (30 char)]],1)))</f>
        <v>0</v>
      </c>
      <c r="J1453" s="12" t="s">
        <v>242</v>
      </c>
      <c r="K1453" s="12">
        <v>36800</v>
      </c>
      <c r="L1453" s="12" t="s">
        <v>35</v>
      </c>
      <c r="M1453" s="13">
        <v>201103283455</v>
      </c>
      <c r="N1453" s="14" t="s">
        <v>9390</v>
      </c>
      <c r="O1453" s="14" t="e">
        <v>#N/A</v>
      </c>
      <c r="P1453" s="14" t="e">
        <v>#N/A</v>
      </c>
      <c r="Q1453" s="14" t="e">
        <v>#N/A</v>
      </c>
      <c r="R1453" s="15" t="s">
        <v>9391</v>
      </c>
      <c r="S1453" s="15" t="s">
        <v>37</v>
      </c>
      <c r="T1453" s="16" t="s">
        <v>38</v>
      </c>
      <c r="U1453" s="11" t="str">
        <f>_xlfn.XLOOKUP(Customer[[#This Row],[Customer ID]],[1]!Address[ID],[1]!Address[Phone No.(2)])</f>
        <v/>
      </c>
      <c r="V1453" s="11" t="str">
        <f>_xlfn.XLOOKUP(Customer[[#This Row],[Customer ID]],[1]!Address[ID],[1]!Address[Type])</f>
        <v>PETROMART</v>
      </c>
      <c r="W1453" s="11" t="str">
        <f>_xlfn.XLOOKUP(Customer[[#This Row],[Customer ID]],[1]!Address[ID],[1]!Address[CT])</f>
        <v>30</v>
      </c>
      <c r="X1453" s="11" t="s">
        <v>39</v>
      </c>
      <c r="Y1453" s="17" t="s">
        <v>40</v>
      </c>
      <c r="Z1453" s="17" t="e">
        <f>_xlfn.XLOOKUP(Customer[[#This Row],[NewType]],$AF$36:$AF$54,$AG$36:$AG$54)</f>
        <v>#N/A</v>
      </c>
      <c r="AA1453" s="17" t="s">
        <v>9392</v>
      </c>
      <c r="AB1453" s="11" t="str">
        <f>_xlfn.XLOOKUP(Customer[[#This Row],[Customer ID]],[1]!Address[ID],[1]!Address[Subtype])</f>
        <v>PETRONAS</v>
      </c>
      <c r="AC1453" s="18" t="str">
        <f>_xlfn.XLOOKUP(Customer[[#This Row],[Customer ID]],[1]!Address[ID],[1]!Address[Zone])</f>
        <v>NORTH</v>
      </c>
    </row>
    <row r="1454" spans="1:29" x14ac:dyDescent="0.3">
      <c r="A1454" s="37" t="s">
        <v>9393</v>
      </c>
      <c r="B1454" s="38" t="str">
        <f>_xlfn.XLOOKUP(Customer[[#This Row],[Customer ID]],[1]!Name[ID],[1]!Name[Description(1)])</f>
        <v>CHECKERS HYPERMARKET SDN BHD</v>
      </c>
      <c r="C1454" s="38" t="str">
        <f>_xlfn.XLOOKUP(Customer[[#This Row],[Customer ID]],[1]!Name[ID],[1]!Name[Description(2)])</f>
        <v>HQ</v>
      </c>
      <c r="D1454" s="38" t="str">
        <f>_xlfn.XLOOKUP(Customer[[#This Row],[Customer ID]],[1]!Address[ID],[1]!Address[PIC])</f>
        <v/>
      </c>
      <c r="E1454" s="38" t="str">
        <f>_xlfn.XLOOKUP(Customer[[#This Row],[Customer ID]],[1]!Address[ID],[1]!Address[Full Address])</f>
        <v>LOT 7, PERSIARAN SELANGOR,SECTION 15, 40000 SHAH ALAMSELANGOR</v>
      </c>
      <c r="F1454" s="12" t="s">
        <v>9394</v>
      </c>
      <c r="G1454" s="12" t="s">
        <v>9395</v>
      </c>
      <c r="H1454" s="12"/>
      <c r="I1454" s="12" t="b">
        <f>ISNUMBER(VALUE(LEFT(Customer[[#This Row],[Address Line 3 (30 char)]],1)))</f>
        <v>0</v>
      </c>
      <c r="J1454" s="12" t="s">
        <v>1907</v>
      </c>
      <c r="K1454" s="12">
        <v>40000</v>
      </c>
      <c r="L1454" s="12" t="s">
        <v>35</v>
      </c>
      <c r="M1454" s="13" t="e">
        <v>#N/A</v>
      </c>
      <c r="N1454" s="14" t="e">
        <v>#N/A</v>
      </c>
      <c r="O1454" s="14" t="e">
        <v>#N/A</v>
      </c>
      <c r="P1454" s="14" t="e">
        <v>#N/A</v>
      </c>
      <c r="Q1454" s="14" t="e">
        <v>#N/A</v>
      </c>
      <c r="R1454" s="15" t="s">
        <v>9396</v>
      </c>
      <c r="S1454" s="15" t="s">
        <v>5925</v>
      </c>
      <c r="T1454" s="16" t="s">
        <v>3477</v>
      </c>
      <c r="U1454" s="11" t="str">
        <f>_xlfn.XLOOKUP(Customer[[#This Row],[Customer ID]],[1]!Address[ID],[1]!Address[Phone No.(2)])</f>
        <v/>
      </c>
      <c r="V1454" s="11" t="str">
        <f>_xlfn.XLOOKUP(Customer[[#This Row],[Customer ID]],[1]!Address[ID],[1]!Address[Type])</f>
        <v>HM</v>
      </c>
      <c r="W1454" s="11" t="str">
        <f>_xlfn.XLOOKUP(Customer[[#This Row],[Customer ID]],[1]!Address[ID],[1]!Address[CT])</f>
        <v>30 DAYS</v>
      </c>
      <c r="X1454" s="11"/>
      <c r="Y1454" s="17" t="s">
        <v>5968</v>
      </c>
      <c r="Z1454" s="17" t="e">
        <f>_xlfn.XLOOKUP(Customer[[#This Row],[NewType]],$AF$36:$AF$54,$AG$36:$AG$54)</f>
        <v>#N/A</v>
      </c>
      <c r="AA1454" s="17" t="s">
        <v>9397</v>
      </c>
      <c r="AB1454" s="11" t="str">
        <f>_xlfn.XLOOKUP(Customer[[#This Row],[Customer ID]],[1]!Address[ID],[1]!Address[Subtype])</f>
        <v>CHECKERS</v>
      </c>
      <c r="AC1454" s="18" t="str">
        <f>_xlfn.XLOOKUP(Customer[[#This Row],[Customer ID]],[1]!Address[ID],[1]!Address[Zone])</f>
        <v>CENTRAL</v>
      </c>
    </row>
    <row r="1455" spans="1:29" x14ac:dyDescent="0.3">
      <c r="A1455" s="37" t="s">
        <v>9398</v>
      </c>
      <c r="B1455" s="38" t="str">
        <f>_xlfn.XLOOKUP(Customer[[#This Row],[Customer ID]],[1]!Name[ID],[1]!Name[Description(1)])</f>
        <v>KOPERASI SM ST ANTHONY BERHAD</v>
      </c>
      <c r="C1455" s="38" t="str">
        <f>_xlfn.XLOOKUP(Customer[[#This Row],[Customer ID]],[1]!Name[ID],[1]!Name[Description(2)])</f>
        <v/>
      </c>
      <c r="D1455" s="38" t="str">
        <f>_xlfn.XLOOKUP(Customer[[#This Row],[Customer ID]],[1]!Address[ID],[1]!Address[PIC])</f>
        <v/>
      </c>
      <c r="E1455" s="38" t="str">
        <f>_xlfn.XLOOKUP(Customer[[#This Row],[Customer ID]],[1]!Address[ID],[1]!Address[Full Address])</f>
        <v>SM ST ANTHONYPETI SURAT 8139587008 WILAYAH PERSEKUTUAN LABUAN</v>
      </c>
      <c r="F1455" s="12" t="s">
        <v>9399</v>
      </c>
      <c r="G1455" s="12" t="s">
        <v>9400</v>
      </c>
      <c r="H1455" s="12" t="s">
        <v>9401</v>
      </c>
      <c r="I1455" s="12" t="b">
        <f>ISNUMBER(VALUE(LEFT(Customer[[#This Row],[Address Line 3 (30 char)]],1)))</f>
        <v>0</v>
      </c>
      <c r="J1455" s="12" t="s">
        <v>1907</v>
      </c>
      <c r="K1455" s="41">
        <v>87008</v>
      </c>
      <c r="L1455" s="12" t="s">
        <v>35</v>
      </c>
      <c r="M1455" s="13" t="e">
        <v>#N/A</v>
      </c>
      <c r="N1455" s="14" t="e">
        <v>#N/A</v>
      </c>
      <c r="O1455" s="14" t="e">
        <v>#N/A</v>
      </c>
      <c r="P1455" s="14" t="e">
        <v>#N/A</v>
      </c>
      <c r="Q1455" s="14" t="e">
        <v>#N/A</v>
      </c>
      <c r="R1455" s="15" t="s">
        <v>9402</v>
      </c>
      <c r="S1455" s="15" t="s">
        <v>5934</v>
      </c>
      <c r="T1455" s="16" t="s">
        <v>3477</v>
      </c>
      <c r="U1455" s="11" t="str">
        <f>_xlfn.XLOOKUP(Customer[[#This Row],[Customer ID]],[1]!Address[ID],[1]!Address[Phone No.(2)])</f>
        <v/>
      </c>
      <c r="V1455" s="11" t="str">
        <f>_xlfn.XLOOKUP(Customer[[#This Row],[Customer ID]],[1]!Address[ID],[1]!Address[Type])</f>
        <v>KOPERASI</v>
      </c>
      <c r="W1455" s="11" t="str">
        <f>_xlfn.XLOOKUP(Customer[[#This Row],[Customer ID]],[1]!Address[ID],[1]!Address[CT])</f>
        <v>CASH</v>
      </c>
      <c r="X1455" s="11"/>
      <c r="Y1455" s="17" t="s">
        <v>6126</v>
      </c>
      <c r="Z1455" s="17" t="e">
        <f>_xlfn.XLOOKUP(Customer[[#This Row],[NewType]],$AF$36:$AF$54,$AG$36:$AG$54)</f>
        <v>#N/A</v>
      </c>
      <c r="AA1455" s="17" t="s">
        <v>9403</v>
      </c>
      <c r="AB1455" s="11" t="str">
        <f>_xlfn.XLOOKUP(Customer[[#This Row],[Customer ID]],[1]!Address[ID],[1]!Address[Subtype])</f>
        <v>KOP.SM ST</v>
      </c>
      <c r="AC1455" s="18" t="str">
        <f>_xlfn.XLOOKUP(Customer[[#This Row],[Customer ID]],[1]!Address[ID],[1]!Address[Zone])</f>
        <v>MRIH</v>
      </c>
    </row>
    <row r="1456" spans="1:29" x14ac:dyDescent="0.3">
      <c r="A1456" s="37" t="s">
        <v>9404</v>
      </c>
      <c r="B1456" s="38" t="str">
        <f>_xlfn.XLOOKUP(Customer[[#This Row],[Customer ID]],[1]!Name[ID],[1]!Name[Description(1)])</f>
        <v>CAKRA DUNIA SDN. BHD</v>
      </c>
      <c r="C1456" s="38" t="str">
        <f>_xlfn.XLOOKUP(Customer[[#This Row],[Customer ID]],[1]!Name[ID],[1]!Name[Description(2)])</f>
        <v>PAK MAT WESTERN</v>
      </c>
      <c r="D1456" s="38" t="str">
        <f>_xlfn.XLOOKUP(Customer[[#This Row],[Customer ID]],[1]!Address[ID],[1]!Address[PIC])</f>
        <v/>
      </c>
      <c r="E1456" s="38" t="str">
        <f>_xlfn.XLOOKUP(Customer[[#This Row],[Customer ID]],[1]!Address[ID],[1]!Address[Full Address])</f>
        <v>NO.2, JALAN INDUSTRI TANGKAS 2,TAMAN INDUSTRI TANGKAS14000 BUKIT MERTAJAM,PULAU PINANG</v>
      </c>
      <c r="F1456" s="12" t="s">
        <v>9405</v>
      </c>
      <c r="G1456" s="12" t="s">
        <v>9406</v>
      </c>
      <c r="H1456" s="12" t="s">
        <v>724</v>
      </c>
      <c r="I1456" s="12" t="b">
        <f>ISNUMBER(VALUE(LEFT(Customer[[#This Row],[Address Line 3 (30 char)]],1)))</f>
        <v>0</v>
      </c>
      <c r="J1456" s="12" t="s">
        <v>179</v>
      </c>
      <c r="K1456" s="12">
        <v>14000</v>
      </c>
      <c r="L1456" s="12" t="s">
        <v>35</v>
      </c>
      <c r="M1456" s="13" t="e">
        <v>#N/A</v>
      </c>
      <c r="N1456" s="14" t="e">
        <v>#N/A</v>
      </c>
      <c r="O1456" s="14" t="e">
        <v>#N/A</v>
      </c>
      <c r="P1456" s="14" t="e">
        <v>#N/A</v>
      </c>
      <c r="Q1456" s="19" t="s">
        <v>9407</v>
      </c>
      <c r="R1456" s="15" t="s">
        <v>6059</v>
      </c>
      <c r="S1456" s="15" t="s">
        <v>5917</v>
      </c>
      <c r="T1456" s="16" t="s">
        <v>3477</v>
      </c>
      <c r="U1456" s="11" t="str">
        <f>_xlfn.XLOOKUP(Customer[[#This Row],[Customer ID]],[1]!Address[ID],[1]!Address[Phone No.(2)])</f>
        <v/>
      </c>
      <c r="V1456" s="11" t="str">
        <f>_xlfn.XLOOKUP(Customer[[#This Row],[Customer ID]],[1]!Address[ID],[1]!Address[Type])</f>
        <v>CM</v>
      </c>
      <c r="W1456" s="11" t="str">
        <f>_xlfn.XLOOKUP(Customer[[#This Row],[Customer ID]],[1]!Address[ID],[1]!Address[CT])</f>
        <v>30 DAYS</v>
      </c>
      <c r="X1456" s="11"/>
      <c r="Y1456" s="17" t="s">
        <v>5918</v>
      </c>
      <c r="Z1456" s="17" t="e">
        <f>_xlfn.XLOOKUP(Customer[[#This Row],[NewType]],$AF$36:$AF$54,$AG$36:$AG$54)</f>
        <v>#N/A</v>
      </c>
      <c r="AA1456" s="17" t="s">
        <v>9408</v>
      </c>
      <c r="AB1456" s="11" t="str">
        <f>_xlfn.XLOOKUP(Customer[[#This Row],[Customer ID]],[1]!Address[ID],[1]!Address[Subtype])</f>
        <v>CAKRA DUNIA</v>
      </c>
      <c r="AC1456" s="18" t="str">
        <f>_xlfn.XLOOKUP(Customer[[#This Row],[Customer ID]],[1]!Address[ID],[1]!Address[Zone])</f>
        <v>NORTH</v>
      </c>
    </row>
    <row r="1457" spans="1:30" x14ac:dyDescent="0.3">
      <c r="A1457" s="37" t="s">
        <v>9409</v>
      </c>
      <c r="B1457" s="38" t="str">
        <f>_xlfn.XLOOKUP(Customer[[#This Row],[Customer ID]],[1]!Name[ID],[1]!Name[Description(1)])</f>
        <v>CRUFFEE &amp; CRUST CAFE</v>
      </c>
      <c r="C1457" s="38" t="str">
        <f>_xlfn.XLOOKUP(Customer[[#This Row],[Customer ID]],[1]!Name[ID],[1]!Name[Description(2)])</f>
        <v/>
      </c>
      <c r="D1457" s="38" t="str">
        <f>_xlfn.XLOOKUP(Customer[[#This Row],[Customer ID]],[1]!Address[ID],[1]!Address[PIC])</f>
        <v/>
      </c>
      <c r="E1457" s="38" t="str">
        <f>_xlfn.XLOOKUP(Customer[[#This Row],[Customer ID]],[1]!Address[ID],[1]!Address[Full Address])</f>
        <v>NO 10,JLN PUSAT PERNIAGAAN DESA KOLEJ 1,TAMAN DESA KOLEJ,71800 NILAI NEGERI SEMBILAN</v>
      </c>
      <c r="F1457" s="12" t="s">
        <v>9410</v>
      </c>
      <c r="G1457" s="12" t="s">
        <v>9411</v>
      </c>
      <c r="H1457" s="12" t="s">
        <v>9412</v>
      </c>
      <c r="I1457" s="12" t="b">
        <f>ISNUMBER(VALUE(LEFT(Customer[[#This Row],[Address Line 3 (30 char)]],1)))</f>
        <v>0</v>
      </c>
      <c r="J1457" s="12" t="s">
        <v>203</v>
      </c>
      <c r="K1457" s="12">
        <v>71800</v>
      </c>
      <c r="L1457" s="12" t="s">
        <v>35</v>
      </c>
      <c r="M1457" s="13" t="e">
        <v>#N/A</v>
      </c>
      <c r="N1457" s="14" t="e">
        <v>#N/A</v>
      </c>
      <c r="O1457" s="14" t="e">
        <v>#N/A</v>
      </c>
      <c r="P1457" s="14" t="e">
        <v>#N/A</v>
      </c>
      <c r="Q1457" s="14" t="e">
        <v>#N/A</v>
      </c>
      <c r="R1457" s="15" t="s">
        <v>9413</v>
      </c>
      <c r="S1457" s="15" t="s">
        <v>5925</v>
      </c>
      <c r="T1457" s="16" t="s">
        <v>3477</v>
      </c>
      <c r="U1457" s="11" t="str">
        <f>_xlfn.XLOOKUP(Customer[[#This Row],[Customer ID]],[1]!Address[ID],[1]!Address[Phone No.(2)])</f>
        <v/>
      </c>
      <c r="V1457" s="11" t="str">
        <f>_xlfn.XLOOKUP(Customer[[#This Row],[Customer ID]],[1]!Address[ID],[1]!Address[Type])</f>
        <v>CAFE</v>
      </c>
      <c r="W1457" s="11" t="str">
        <f>_xlfn.XLOOKUP(Customer[[#This Row],[Customer ID]],[1]!Address[ID],[1]!Address[CT])</f>
        <v>7 DAYS</v>
      </c>
      <c r="X1457" s="11"/>
      <c r="Y1457" s="17" t="s">
        <v>5926</v>
      </c>
      <c r="Z1457" s="17" t="e">
        <f>_xlfn.XLOOKUP(Customer[[#This Row],[NewType]],$AF$36:$AF$54,$AG$36:$AG$54)</f>
        <v>#N/A</v>
      </c>
      <c r="AA1457" s="17" t="s">
        <v>9414</v>
      </c>
      <c r="AB1457" s="11" t="str">
        <f>_xlfn.XLOOKUP(Customer[[#This Row],[Customer ID]],[1]!Address[ID],[1]!Address[Subtype])</f>
        <v>CRUFFEE</v>
      </c>
      <c r="AC1457" s="18" t="str">
        <f>_xlfn.XLOOKUP(Customer[[#This Row],[Customer ID]],[1]!Address[ID],[1]!Address[Zone])</f>
        <v>CENTRAL</v>
      </c>
    </row>
    <row r="1458" spans="1:30" x14ac:dyDescent="0.3">
      <c r="A1458" s="37" t="s">
        <v>9415</v>
      </c>
      <c r="B1458" s="38" t="str">
        <f>_xlfn.XLOOKUP(Customer[[#This Row],[Customer ID]],[1]!Name[ID],[1]!Name[Description(1)])</f>
        <v>STESEN SERVIS TIMUR SEJATI</v>
      </c>
      <c r="C1458" s="38" t="str">
        <f>_xlfn.XLOOKUP(Customer[[#This Row],[Customer ID]],[1]!Name[ID],[1]!Name[Description(2)])</f>
        <v>PS TANAH PUTIH</v>
      </c>
      <c r="D1458" s="38" t="str">
        <f>_xlfn.XLOOKUP(Customer[[#This Row],[Customer ID]],[1]!Address[ID],[1]!Address[PIC])</f>
        <v/>
      </c>
      <c r="E1458" s="38" t="str">
        <f>_xlfn.XLOOKUP(Customer[[#This Row],[Customer ID]],[1]!Address[ID],[1]!Address[Full Address])</f>
        <v>PS TANAH PUTIHLOT 10693 KM 4,JALAN GAMBANG TANAH PUTIH BARU25150 KUANTAN</v>
      </c>
      <c r="F1458" s="12" t="s">
        <v>9416</v>
      </c>
      <c r="G1458" s="12" t="s">
        <v>9417</v>
      </c>
      <c r="H1458" s="12" t="s">
        <v>9418</v>
      </c>
      <c r="I1458" s="12" t="b">
        <f>ISNUMBER(VALUE(LEFT(Customer[[#This Row],[Address Line 3 (30 char)]],1)))</f>
        <v>0</v>
      </c>
      <c r="J1458" s="12" t="s">
        <v>339</v>
      </c>
      <c r="K1458" s="12">
        <v>25150</v>
      </c>
      <c r="L1458" s="12" t="s">
        <v>35</v>
      </c>
      <c r="M1458" s="13" t="e">
        <v>#N/A</v>
      </c>
      <c r="N1458" s="14" t="e">
        <v>#N/A</v>
      </c>
      <c r="O1458" s="14" t="e">
        <v>#N/A</v>
      </c>
      <c r="P1458" s="14" t="e">
        <v>#N/A</v>
      </c>
      <c r="Q1458" s="19" t="s">
        <v>9419</v>
      </c>
      <c r="R1458" s="15" t="s">
        <v>9420</v>
      </c>
      <c r="S1458" s="15" t="s">
        <v>37</v>
      </c>
      <c r="T1458" s="16" t="s">
        <v>38</v>
      </c>
      <c r="U1458" s="11" t="str">
        <f>_xlfn.XLOOKUP(Customer[[#This Row],[Customer ID]],[1]!Address[ID],[1]!Address[Phone No.(2)])</f>
        <v/>
      </c>
      <c r="V1458" s="11" t="str">
        <f>_xlfn.XLOOKUP(Customer[[#This Row],[Customer ID]],[1]!Address[ID],[1]!Address[Type])</f>
        <v>PETROMART</v>
      </c>
      <c r="W1458" s="11" t="str">
        <f>_xlfn.XLOOKUP(Customer[[#This Row],[Customer ID]],[1]!Address[ID],[1]!Address[CT])</f>
        <v>30</v>
      </c>
      <c r="X1458" s="11" t="s">
        <v>39</v>
      </c>
      <c r="Y1458" s="17" t="s">
        <v>40</v>
      </c>
      <c r="Z1458" s="17" t="e">
        <f>_xlfn.XLOOKUP(Customer[[#This Row],[NewType]],$AF$36:$AF$54,$AG$36:$AG$54)</f>
        <v>#N/A</v>
      </c>
      <c r="AA1458" s="17" t="s">
        <v>9421</v>
      </c>
      <c r="AB1458" s="11" t="str">
        <f>_xlfn.XLOOKUP(Customer[[#This Row],[Customer ID]],[1]!Address[ID],[1]!Address[Subtype])</f>
        <v>PETRONAS</v>
      </c>
      <c r="AC1458" s="18" t="str">
        <f>_xlfn.XLOOKUP(Customer[[#This Row],[Customer ID]],[1]!Address[ID],[1]!Address[Zone])</f>
        <v>EAST COAST</v>
      </c>
    </row>
    <row r="1459" spans="1:30" x14ac:dyDescent="0.3">
      <c r="A1459" s="37" t="s">
        <v>9422</v>
      </c>
      <c r="B1459" s="38" t="str">
        <f>_xlfn.XLOOKUP(Customer[[#This Row],[Customer ID]],[1]!Name[ID],[1]!Name[Description(1)])</f>
        <v>HAPPY FUEL SDN BHD</v>
      </c>
      <c r="C1459" s="38" t="str">
        <f>_xlfn.XLOOKUP(Customer[[#This Row],[Customer ID]],[1]!Name[ID],[1]!Name[Description(2)])</f>
        <v>PS BANDAR SPRINGHILL</v>
      </c>
      <c r="D1459" s="38" t="str">
        <f>_xlfn.XLOOKUP(Customer[[#This Row],[Customer ID]],[1]!Address[ID],[1]!Address[PIC])</f>
        <v/>
      </c>
      <c r="E1459" s="38" t="str">
        <f>_xlfn.XLOOKUP(Customer[[#This Row],[Customer ID]],[1]!Address[ID],[1]!Address[Full Address])</f>
        <v>PS BANDAR SPRINGHILLPT 2361, 7 AVENUE, PERSIARAN SPRINGHILL71010 PORT DICKSON,NEGERI SEMBILAN DARUL KHUSUS</v>
      </c>
      <c r="F1459" s="12" t="s">
        <v>9423</v>
      </c>
      <c r="G1459" s="12" t="s">
        <v>9424</v>
      </c>
      <c r="H1459" s="24" t="s">
        <v>1438</v>
      </c>
      <c r="I1459" s="24" t="b">
        <f>ISNUMBER(VALUE(LEFT(Customer[[#This Row],[Address Line 3 (30 char)]],1)))</f>
        <v>0</v>
      </c>
      <c r="J1459" s="12" t="s">
        <v>2004</v>
      </c>
      <c r="K1459" s="12">
        <v>71010</v>
      </c>
      <c r="L1459" s="12" t="s">
        <v>35</v>
      </c>
      <c r="M1459" s="13" t="e">
        <v>#N/A</v>
      </c>
      <c r="N1459" s="14" t="e">
        <v>#N/A</v>
      </c>
      <c r="O1459" s="14" t="e">
        <v>#N/A</v>
      </c>
      <c r="P1459" s="14" t="e">
        <v>#N/A</v>
      </c>
      <c r="Q1459" s="19" t="s">
        <v>9425</v>
      </c>
      <c r="R1459" s="15" t="s">
        <v>9426</v>
      </c>
      <c r="S1459" s="15" t="s">
        <v>37</v>
      </c>
      <c r="T1459" s="16" t="s">
        <v>38</v>
      </c>
      <c r="U1459" s="11" t="str">
        <f>_xlfn.XLOOKUP(Customer[[#This Row],[Customer ID]],[1]!Address[ID],[1]!Address[Phone No.(2)])</f>
        <v/>
      </c>
      <c r="V1459" s="11" t="str">
        <f>_xlfn.XLOOKUP(Customer[[#This Row],[Customer ID]],[1]!Address[ID],[1]!Address[Type])</f>
        <v>PETROMART</v>
      </c>
      <c r="W1459" s="11" t="str">
        <f>_xlfn.XLOOKUP(Customer[[#This Row],[Customer ID]],[1]!Address[ID],[1]!Address[CT])</f>
        <v>30</v>
      </c>
      <c r="X1459" s="11" t="s">
        <v>39</v>
      </c>
      <c r="Y1459" s="17" t="s">
        <v>40</v>
      </c>
      <c r="Z1459" s="17" t="e">
        <f>_xlfn.XLOOKUP(Customer[[#This Row],[NewType]],$AF$36:$AF$54,$AG$36:$AG$54)</f>
        <v>#N/A</v>
      </c>
      <c r="AA1459" s="17" t="s">
        <v>9427</v>
      </c>
      <c r="AB1459" s="11" t="str">
        <f>_xlfn.XLOOKUP(Customer[[#This Row],[Customer ID]],[1]!Address[ID],[1]!Address[Subtype])</f>
        <v>PETRONAS</v>
      </c>
      <c r="AC1459" s="18" t="str">
        <f>_xlfn.XLOOKUP(Customer[[#This Row],[Customer ID]],[1]!Address[ID],[1]!Address[Zone])</f>
        <v>CENTRAL</v>
      </c>
    </row>
    <row r="1460" spans="1:30" x14ac:dyDescent="0.3">
      <c r="A1460" s="43" t="s">
        <v>9428</v>
      </c>
      <c r="B1460" s="44" t="str">
        <f>_xlfn.XLOOKUP(Customer[[#This Row],[Customer ID]],[1]!Name[ID],[1]!Name[Description(1)])</f>
        <v>AGENT SHAHRIZAT</v>
      </c>
      <c r="C1460" s="38" t="str">
        <f>_xlfn.XLOOKUP(Customer[[#This Row],[Customer ID]],[1]!Name[ID],[1]!Name[Description(2)])</f>
        <v/>
      </c>
      <c r="D1460" s="38" t="str">
        <f>_xlfn.XLOOKUP(Customer[[#This Row],[Customer ID]],[1]!Address[ID],[1]!Address[PIC])</f>
        <v>SHAHRIZAT BINTI</v>
      </c>
      <c r="E1460" s="38" t="str">
        <f>_xlfn.XLOOKUP(Customer[[#This Row],[Customer ID]],[1]!Address[ID],[1]!Address[Full Address])</f>
        <v>LOT 2460 JALAN KG JENDERAMHILIR 43800 DENGKIL SELANGOR</v>
      </c>
      <c r="F1460" s="12" t="s">
        <v>9429</v>
      </c>
      <c r="G1460" s="12" t="s">
        <v>9430</v>
      </c>
      <c r="H1460" s="12" t="s">
        <v>36</v>
      </c>
      <c r="I1460" s="12" t="b">
        <f>ISNUMBER(VALUE(LEFT(Customer[[#This Row],[Address Line 3 (30 char)]],1)))</f>
        <v>0</v>
      </c>
      <c r="J1460" s="12" t="s">
        <v>1907</v>
      </c>
      <c r="K1460" s="12">
        <v>43800</v>
      </c>
      <c r="L1460" s="12" t="s">
        <v>35</v>
      </c>
      <c r="M1460" s="31" t="e">
        <v>#N/A</v>
      </c>
      <c r="N1460" s="14" t="s">
        <v>9431</v>
      </c>
      <c r="O1460" s="14" t="e">
        <v>#N/A</v>
      </c>
      <c r="P1460" s="14" t="e">
        <v>#N/A</v>
      </c>
      <c r="Q1460" s="19" t="s">
        <v>9432</v>
      </c>
      <c r="R1460" s="15" t="s">
        <v>9433</v>
      </c>
      <c r="S1460" s="15" t="s">
        <v>6645</v>
      </c>
      <c r="T1460" s="16" t="s">
        <v>38</v>
      </c>
      <c r="U1460" s="11" t="str">
        <f>_xlfn.XLOOKUP(Customer[[#This Row],[Customer ID]],[1]!Address[ID],[1]!Address[Phone No.(2)])</f>
        <v/>
      </c>
      <c r="V1460" s="11" t="str">
        <f>_xlfn.XLOOKUP(Customer[[#This Row],[Customer ID]],[1]!Address[ID],[1]!Address[Type])</f>
        <v>AGENT</v>
      </c>
      <c r="W1460" s="11" t="str">
        <f>_xlfn.XLOOKUP(Customer[[#This Row],[Customer ID]],[1]!Address[ID],[1]!Address[CT])</f>
        <v/>
      </c>
      <c r="X1460" s="11"/>
      <c r="Y1460" s="17" t="s">
        <v>6639</v>
      </c>
      <c r="Z1460" s="17" t="e">
        <f>_xlfn.XLOOKUP(Customer[[#This Row],[NewType]],$AF$36:$AF$54,$AG$36:$AG$54)</f>
        <v>#N/A</v>
      </c>
      <c r="AA1460" s="17" t="s">
        <v>9434</v>
      </c>
      <c r="AB1460" s="11" t="str">
        <f>_xlfn.XLOOKUP(Customer[[#This Row],[Customer ID]],[1]!Address[ID],[1]!Address[Subtype])</f>
        <v>AGENT HQ</v>
      </c>
      <c r="AC1460" s="18" t="str">
        <f>_xlfn.XLOOKUP(Customer[[#This Row],[Customer ID]],[1]!Address[ID],[1]!Address[Zone])</f>
        <v>HINTH</v>
      </c>
    </row>
    <row r="1461" spans="1:30" x14ac:dyDescent="0.3">
      <c r="A1461" s="46" t="s">
        <v>9435</v>
      </c>
      <c r="B1461" s="24" t="str">
        <f>_xlfn.XLOOKUP(Customer[[#This Row],[Customer ID]],[1]!Name[ID],[1]!Name[Description(1)])</f>
        <v>CUSTOMER WALK IN KAJANG</v>
      </c>
      <c r="C1461" s="24" t="str">
        <f>_xlfn.XLOOKUP(Customer[[#This Row],[Customer ID]],[1]!Name[ID],[1]!Name[Description(2)])</f>
        <v/>
      </c>
      <c r="D1461" s="38" t="str">
        <f>_xlfn.XLOOKUP(Customer[[#This Row],[Customer ID]],[1]!Address[ID],[1]!Address[PIC])</f>
        <v/>
      </c>
      <c r="E1461" s="38" t="str">
        <f>_xlfn.XLOOKUP(Customer[[#This Row],[Customer ID]],[1]!Address[ID],[1]!Address[Full Address])</f>
        <v>WAREHOUSE KAJANG</v>
      </c>
      <c r="F1461" s="12" t="s">
        <v>9436</v>
      </c>
      <c r="G1461" s="12" t="s">
        <v>36</v>
      </c>
      <c r="H1461" s="12" t="s">
        <v>36</v>
      </c>
      <c r="I1461" s="12" t="b">
        <f>ISNUMBER(VALUE(LEFT(Customer[[#This Row],[Address Line 3 (30 char)]],1)))</f>
        <v>0</v>
      </c>
      <c r="J1461" s="24"/>
      <c r="K1461" s="24"/>
      <c r="L1461" s="12" t="s">
        <v>35</v>
      </c>
      <c r="M1461" s="13" t="e">
        <v>#N/A</v>
      </c>
      <c r="N1461" s="14" t="e">
        <v>#N/A</v>
      </c>
      <c r="O1461" s="14" t="e">
        <v>#N/A</v>
      </c>
      <c r="P1461" s="14" t="e">
        <v>#N/A</v>
      </c>
      <c r="Q1461" s="14" t="e">
        <v>#N/A</v>
      </c>
      <c r="R1461" s="15" t="s">
        <v>36</v>
      </c>
      <c r="S1461" s="15"/>
      <c r="T1461" s="16"/>
      <c r="U1461" s="11" t="str">
        <f>_xlfn.XLOOKUP(Customer[[#This Row],[Customer ID]],[1]!Address[ID],[1]!Address[Phone No.(2)])</f>
        <v/>
      </c>
      <c r="V1461" s="11" t="str">
        <f>_xlfn.XLOOKUP(Customer[[#This Row],[Customer ID]],[1]!Address[ID],[1]!Address[Type])</f>
        <v>WALK IN</v>
      </c>
      <c r="W1461" s="11" t="str">
        <f>_xlfn.XLOOKUP(Customer[[#This Row],[Customer ID]],[1]!Address[ID],[1]!Address[CT])</f>
        <v/>
      </c>
      <c r="X1461" s="11"/>
      <c r="Y1461" s="17" t="s">
        <v>6284</v>
      </c>
      <c r="Z1461" s="17" t="e">
        <f>_xlfn.XLOOKUP(Customer[[#This Row],[NewType]],$AF$36:$AF$54,$AG$36:$AG$54)</f>
        <v>#N/A</v>
      </c>
      <c r="AA1461" s="17" t="s">
        <v>9437</v>
      </c>
      <c r="AB1461" s="11" t="str">
        <f>_xlfn.XLOOKUP(Customer[[#This Row],[Customer ID]],[1]!Address[ID],[1]!Address[Subtype])</f>
        <v>KAJANG</v>
      </c>
      <c r="AC1461" s="18" t="str">
        <f>_xlfn.XLOOKUP(Customer[[#This Row],[Customer ID]],[1]!Address[ID],[1]!Address[Zone])</f>
        <v>CENTRAL</v>
      </c>
    </row>
    <row r="1462" spans="1:30" x14ac:dyDescent="0.3">
      <c r="A1462" s="10" t="s">
        <v>9438</v>
      </c>
      <c r="B1462" s="11" t="str">
        <f>_xlfn.XLOOKUP(Customer[[#This Row],[Customer ID]],[1]!Name[ID],[1]!Name[Description(1)])</f>
        <v>DATUK JAI SUBOH</v>
      </c>
      <c r="C1462" s="38" t="str">
        <f>_xlfn.XLOOKUP(Customer[[#This Row],[Customer ID]],[1]!Name[ID],[1]!Name[Description(2)])</f>
        <v/>
      </c>
      <c r="D1462" s="38" t="str">
        <f>_xlfn.XLOOKUP(Customer[[#This Row],[Customer ID]],[1]!Address[ID],[1]!Address[PIC])</f>
        <v/>
      </c>
      <c r="E1462" s="38" t="str">
        <f>_xlfn.XLOOKUP(Customer[[#This Row],[Customer ID]],[1]!Address[ID],[1]!Address[Full Address])</f>
        <v>17, JLN PJU 1A/33, ARA DAMANSARA,47301 PETALING JAYA, SELANGOR</v>
      </c>
      <c r="F1462" s="12" t="s">
        <v>9439</v>
      </c>
      <c r="G1462" s="12" t="s">
        <v>9440</v>
      </c>
      <c r="H1462" s="12" t="s">
        <v>1477</v>
      </c>
      <c r="I1462" s="12" t="b">
        <f>ISNUMBER(VALUE(LEFT(Customer[[#This Row],[Address Line 3 (30 char)]],1)))</f>
        <v>0</v>
      </c>
      <c r="J1462" s="12" t="s">
        <v>9441</v>
      </c>
      <c r="K1462" s="12">
        <v>47301</v>
      </c>
      <c r="L1462" s="12" t="s">
        <v>35</v>
      </c>
      <c r="M1462" s="13" t="e">
        <v>#N/A</v>
      </c>
      <c r="N1462" s="14" t="e">
        <v>#N/A</v>
      </c>
      <c r="O1462" s="14" t="e">
        <v>#N/A</v>
      </c>
      <c r="P1462" s="14" t="e">
        <v>#N/A</v>
      </c>
      <c r="Q1462" s="14" t="e">
        <v>#N/A</v>
      </c>
      <c r="R1462" s="15" t="s">
        <v>9442</v>
      </c>
      <c r="S1462" s="15" t="s">
        <v>4271</v>
      </c>
      <c r="T1462" s="16" t="s">
        <v>89</v>
      </c>
      <c r="U1462" s="11" t="str">
        <f>_xlfn.XLOOKUP(Customer[[#This Row],[Customer ID]],[1]!Address[ID],[1]!Address[Phone No.(2)])</f>
        <v/>
      </c>
      <c r="V1462" s="11" t="str">
        <f>_xlfn.XLOOKUP(Customer[[#This Row],[Customer ID]],[1]!Address[ID],[1]!Address[Type])</f>
        <v>SOCMED</v>
      </c>
      <c r="W1462" s="11" t="str">
        <f>_xlfn.XLOOKUP(Customer[[#This Row],[Customer ID]],[1]!Address[ID],[1]!Address[CT])</f>
        <v/>
      </c>
      <c r="X1462" s="11"/>
      <c r="Y1462" s="17" t="s">
        <v>90</v>
      </c>
      <c r="Z1462" s="17" t="e">
        <f>_xlfn.XLOOKUP(Customer[[#This Row],[NewType]],$AF$36:$AF$54,$AG$36:$AG$54)</f>
        <v>#N/A</v>
      </c>
      <c r="AA1462" s="17" t="s">
        <v>9443</v>
      </c>
      <c r="AB1462" s="11" t="str">
        <f>_xlfn.XLOOKUP(Customer[[#This Row],[Customer ID]],[1]!Address[ID],[1]!Address[Subtype])</f>
        <v>WHATSAPP</v>
      </c>
      <c r="AC1462" s="18" t="str">
        <f>_xlfn.XLOOKUP(Customer[[#This Row],[Customer ID]],[1]!Address[ID],[1]!Address[Zone])</f>
        <v>AEEDH</v>
      </c>
    </row>
    <row r="1463" spans="1:30" x14ac:dyDescent="0.3">
      <c r="A1463" s="10" t="s">
        <v>9444</v>
      </c>
      <c r="B1463" s="11" t="str">
        <f>_xlfn.XLOOKUP(Customer[[#This Row],[Customer ID]],[1]!Name[ID],[1]!Name[Description(1)])</f>
        <v>ABDUL RANI AHMAD</v>
      </c>
      <c r="C1463" s="38" t="str">
        <f>_xlfn.XLOOKUP(Customer[[#This Row],[Customer ID]],[1]!Name[ID],[1]!Name[Description(2)])</f>
        <v/>
      </c>
      <c r="D1463" s="38" t="str">
        <f>_xlfn.XLOOKUP(Customer[[#This Row],[Customer ID]],[1]!Address[ID],[1]!Address[PIC])</f>
        <v/>
      </c>
      <c r="E1463" s="38" t="str">
        <f>_xlfn.XLOOKUP(Customer[[#This Row],[Customer ID]],[1]!Address[ID],[1]!Address[Full Address])</f>
        <v>UNIT G03, BLOK L,RIANA GREEN CONDOMINIUM, NO 1,JALAN TROPICANA UTARA, 47410PETALING JAYA, SELANGOR</v>
      </c>
      <c r="F1463" s="12" t="s">
        <v>9445</v>
      </c>
      <c r="G1463" s="12" t="s">
        <v>9446</v>
      </c>
      <c r="H1463" s="12" t="s">
        <v>9447</v>
      </c>
      <c r="I1463" s="12" t="b">
        <f>ISNUMBER(VALUE(LEFT(Customer[[#This Row],[Address Line 3 (30 char)]],1)))</f>
        <v>0</v>
      </c>
      <c r="J1463" s="12" t="s">
        <v>1907</v>
      </c>
      <c r="K1463" s="12">
        <v>47410</v>
      </c>
      <c r="L1463" s="12" t="s">
        <v>35</v>
      </c>
      <c r="M1463" s="13" t="e">
        <v>#N/A</v>
      </c>
      <c r="N1463" s="14" t="e">
        <v>#N/A</v>
      </c>
      <c r="O1463" s="14" t="e">
        <v>#N/A</v>
      </c>
      <c r="P1463" s="14" t="e">
        <v>#N/A</v>
      </c>
      <c r="Q1463" s="14" t="e">
        <v>#N/A</v>
      </c>
      <c r="R1463" s="15" t="s">
        <v>9448</v>
      </c>
      <c r="S1463" s="15" t="s">
        <v>89</v>
      </c>
      <c r="T1463" s="16" t="s">
        <v>89</v>
      </c>
      <c r="U1463" s="11" t="str">
        <f>_xlfn.XLOOKUP(Customer[[#This Row],[Customer ID]],[1]!Address[ID],[1]!Address[Phone No.(2)])</f>
        <v/>
      </c>
      <c r="V1463" s="11" t="str">
        <f>_xlfn.XLOOKUP(Customer[[#This Row],[Customer ID]],[1]!Address[ID],[1]!Address[Type])</f>
        <v>SOCMED</v>
      </c>
      <c r="W1463" s="11" t="str">
        <f>_xlfn.XLOOKUP(Customer[[#This Row],[Customer ID]],[1]!Address[ID],[1]!Address[CT])</f>
        <v/>
      </c>
      <c r="X1463" s="11"/>
      <c r="Y1463" s="17" t="s">
        <v>90</v>
      </c>
      <c r="Z1463" s="17" t="e">
        <f>_xlfn.XLOOKUP(Customer[[#This Row],[NewType]],$AF$36:$AF$54,$AG$36:$AG$54)</f>
        <v>#N/A</v>
      </c>
      <c r="AA1463" s="17" t="s">
        <v>9449</v>
      </c>
      <c r="AB1463" s="11" t="str">
        <f>_xlfn.XLOOKUP(Customer[[#This Row],[Customer ID]],[1]!Address[ID],[1]!Address[Subtype])</f>
        <v>WHATSAPP</v>
      </c>
      <c r="AC1463" s="18" t="str">
        <f>_xlfn.XLOOKUP(Customer[[#This Row],[Customer ID]],[1]!Address[ID],[1]!Address[Zone])</f>
        <v>CENTRAL</v>
      </c>
    </row>
    <row r="1464" spans="1:30" x14ac:dyDescent="0.3">
      <c r="A1464" s="10" t="s">
        <v>9450</v>
      </c>
      <c r="B1464" s="11" t="str">
        <f>_xlfn.XLOOKUP(Customer[[#This Row],[Customer ID]],[1]!Name[ID],[1]!Name[Description(1)])</f>
        <v>KAMARIAH SULONG</v>
      </c>
      <c r="C1464" s="38" t="str">
        <f>_xlfn.XLOOKUP(Customer[[#This Row],[Customer ID]],[1]!Name[ID],[1]!Name[Description(2)])</f>
        <v/>
      </c>
      <c r="D1464" s="38" t="str">
        <f>_xlfn.XLOOKUP(Customer[[#This Row],[Customer ID]],[1]!Address[ID],[1]!Address[PIC])</f>
        <v/>
      </c>
      <c r="E1464" s="38" t="str">
        <f>_xlfn.XLOOKUP(Customer[[#This Row],[Customer ID]],[1]!Address[ID],[1]!Address[Full Address])</f>
        <v>LOT 5061, BATU 40, 45200SABAK BERNAM, SELANGOR</v>
      </c>
      <c r="F1464" s="12" t="s">
        <v>9451</v>
      </c>
      <c r="G1464" s="12" t="s">
        <v>9452</v>
      </c>
      <c r="H1464" s="12" t="s">
        <v>36</v>
      </c>
      <c r="I1464" s="12" t="b">
        <f>ISNUMBER(VALUE(LEFT(Customer[[#This Row],[Address Line 3 (30 char)]],1)))</f>
        <v>0</v>
      </c>
      <c r="J1464" s="12" t="s">
        <v>1907</v>
      </c>
      <c r="K1464" s="12">
        <v>45200</v>
      </c>
      <c r="L1464" s="12" t="s">
        <v>35</v>
      </c>
      <c r="M1464" s="13" t="e">
        <v>#N/A</v>
      </c>
      <c r="N1464" s="14" t="e">
        <v>#N/A</v>
      </c>
      <c r="O1464" s="14" t="e">
        <v>#N/A</v>
      </c>
      <c r="P1464" s="14" t="e">
        <v>#N/A</v>
      </c>
      <c r="Q1464" s="14" t="e">
        <v>#N/A</v>
      </c>
      <c r="R1464" s="15" t="s">
        <v>9453</v>
      </c>
      <c r="S1464" s="15" t="s">
        <v>4271</v>
      </c>
      <c r="T1464" s="16" t="s">
        <v>89</v>
      </c>
      <c r="U1464" s="11" t="str">
        <f>_xlfn.XLOOKUP(Customer[[#This Row],[Customer ID]],[1]!Address[ID],[1]!Address[Phone No.(2)])</f>
        <v/>
      </c>
      <c r="V1464" s="11" t="str">
        <f>_xlfn.XLOOKUP(Customer[[#This Row],[Customer ID]],[1]!Address[ID],[1]!Address[Type])</f>
        <v>SOCMED</v>
      </c>
      <c r="W1464" s="11" t="str">
        <f>_xlfn.XLOOKUP(Customer[[#This Row],[Customer ID]],[1]!Address[ID],[1]!Address[CT])</f>
        <v/>
      </c>
      <c r="X1464" s="11"/>
      <c r="Y1464" s="17" t="s">
        <v>90</v>
      </c>
      <c r="Z1464" s="17" t="e">
        <f>_xlfn.XLOOKUP(Customer[[#This Row],[NewType]],$AF$36:$AF$54,$AG$36:$AG$54)</f>
        <v>#N/A</v>
      </c>
      <c r="AA1464" s="17" t="s">
        <v>9454</v>
      </c>
      <c r="AB1464" s="11" t="str">
        <f>_xlfn.XLOOKUP(Customer[[#This Row],[Customer ID]],[1]!Address[ID],[1]!Address[Subtype])</f>
        <v>WHATSAPP</v>
      </c>
      <c r="AC1464" s="18" t="str">
        <f>_xlfn.XLOOKUP(Customer[[#This Row],[Customer ID]],[1]!Address[ID],[1]!Address[Zone])</f>
        <v>CENTRAL</v>
      </c>
    </row>
    <row r="1465" spans="1:30" x14ac:dyDescent="0.3">
      <c r="A1465" s="37" t="s">
        <v>9455</v>
      </c>
      <c r="B1465" s="38" t="str">
        <f>_xlfn.XLOOKUP(Customer[[#This Row],[Customer ID]],[1]!Name[ID],[1]!Name[Description(1)])</f>
        <v>SNACK &amp; CANDY</v>
      </c>
      <c r="C1465" s="38" t="str">
        <f>_xlfn.XLOOKUP(Customer[[#This Row],[Customer ID]],[1]!Name[ID],[1]!Name[Description(2)])</f>
        <v/>
      </c>
      <c r="D1465" s="38" t="str">
        <f>_xlfn.XLOOKUP(Customer[[#This Row],[Customer ID]],[1]!Address[ID],[1]!Address[PIC])</f>
        <v/>
      </c>
      <c r="E1465" s="38" t="str">
        <f>_xlfn.XLOOKUP(Customer[[#This Row],[Customer ID]],[1]!Address[ID],[1]!Address[Full Address])</f>
        <v>NO.15, KAWASAN REHAT &amp; RAWAT DENGKILARAH UTARA, KM 23 LEBUHRAYA UTAMASELATAN HUBUNGAN TENGAH,48800 DENGKILSELANGOR</v>
      </c>
      <c r="F1465" s="12" t="s">
        <v>9456</v>
      </c>
      <c r="G1465" s="12" t="s">
        <v>9457</v>
      </c>
      <c r="H1465" s="12" t="s">
        <v>6052</v>
      </c>
      <c r="I1465" s="12" t="b">
        <f>ISNUMBER(VALUE(LEFT(Customer[[#This Row],[Address Line 3 (30 char)]],1)))</f>
        <v>0</v>
      </c>
      <c r="J1465" s="12" t="s">
        <v>172</v>
      </c>
      <c r="K1465" s="12">
        <v>48800</v>
      </c>
      <c r="L1465" s="12" t="s">
        <v>35</v>
      </c>
      <c r="M1465" s="13" t="e">
        <v>#N/A</v>
      </c>
      <c r="N1465" s="14" t="e">
        <v>#N/A</v>
      </c>
      <c r="O1465" s="14" t="e">
        <v>#N/A</v>
      </c>
      <c r="P1465" s="14" t="e">
        <v>#N/A</v>
      </c>
      <c r="Q1465" s="14" t="e">
        <v>#N/A</v>
      </c>
      <c r="R1465" s="15" t="s">
        <v>9458</v>
      </c>
      <c r="S1465" s="15" t="s">
        <v>5925</v>
      </c>
      <c r="T1465" s="16" t="s">
        <v>3477</v>
      </c>
      <c r="U1465" s="11" t="str">
        <f>_xlfn.XLOOKUP(Customer[[#This Row],[Customer ID]],[1]!Address[ID],[1]!Address[Phone No.(2)])</f>
        <v/>
      </c>
      <c r="V1465" s="11" t="str">
        <f>_xlfn.XLOOKUP(Customer[[#This Row],[Customer ID]],[1]!Address[ID],[1]!Address[Type])</f>
        <v>CAFE</v>
      </c>
      <c r="W1465" s="11" t="str">
        <f>_xlfn.XLOOKUP(Customer[[#This Row],[Customer ID]],[1]!Address[ID],[1]!Address[CT])</f>
        <v>30 DAYS</v>
      </c>
      <c r="X1465" s="11"/>
      <c r="Y1465" s="17" t="s">
        <v>5926</v>
      </c>
      <c r="Z1465" s="17" t="e">
        <f>_xlfn.XLOOKUP(Customer[[#This Row],[NewType]],$AF$36:$AF$54,$AG$36:$AG$54)</f>
        <v>#N/A</v>
      </c>
      <c r="AA1465" s="17" t="s">
        <v>9459</v>
      </c>
      <c r="AB1465" s="11" t="str">
        <f>_xlfn.XLOOKUP(Customer[[#This Row],[Customer ID]],[1]!Address[ID],[1]!Address[Subtype])</f>
        <v>PLUS</v>
      </c>
      <c r="AC1465" s="18" t="str">
        <f>_xlfn.XLOOKUP(Customer[[#This Row],[Customer ID]],[1]!Address[ID],[1]!Address[Zone])</f>
        <v>CENTRAL</v>
      </c>
    </row>
    <row r="1466" spans="1:30" x14ac:dyDescent="0.3">
      <c r="A1466" s="37" t="s">
        <v>9460</v>
      </c>
      <c r="B1466" s="38" t="str">
        <f>_xlfn.XLOOKUP(Customer[[#This Row],[Customer ID]],[1]!Name[ID],[1]!Name[Description(1)])</f>
        <v>KPF NIAGA SDN BHD</v>
      </c>
      <c r="C1466" s="38" t="str">
        <f>_xlfn.XLOOKUP(Customer[[#This Row],[Customer ID]],[1]!Name[ID],[1]!Name[Description(2)])</f>
        <v>PS KECHAU</v>
      </c>
      <c r="D1466" s="38" t="str">
        <f>_xlfn.XLOOKUP(Customer[[#This Row],[Customer ID]],[1]!Address[ID],[1]!Address[PIC])</f>
        <v/>
      </c>
      <c r="E1466" s="38" t="str">
        <f>_xlfn.XLOOKUP(Customer[[#This Row],[Customer ID]],[1]!Address[ID],[1]!Address[Full Address])</f>
        <v>PS KECHAUFELDA KECHAU 0127100 PADANG TENGKUPAHANG DARUL MAKMUR</v>
      </c>
      <c r="F1466" s="12" t="s">
        <v>9461</v>
      </c>
      <c r="G1466" s="12" t="s">
        <v>1621</v>
      </c>
      <c r="H1466" s="24" t="s">
        <v>1622</v>
      </c>
      <c r="I1466" s="24" t="b">
        <f>ISNUMBER(VALUE(LEFT(Customer[[#This Row],[Address Line 3 (30 char)]],1)))</f>
        <v>0</v>
      </c>
      <c r="J1466" s="12" t="s">
        <v>339</v>
      </c>
      <c r="K1466" s="12">
        <v>27100</v>
      </c>
      <c r="L1466" s="12" t="s">
        <v>35</v>
      </c>
      <c r="M1466" s="13">
        <v>201701047216</v>
      </c>
      <c r="N1466" s="14" t="s">
        <v>432</v>
      </c>
      <c r="O1466" s="14" t="e">
        <v>#N/A</v>
      </c>
      <c r="P1466" s="14" t="e">
        <v>#N/A</v>
      </c>
      <c r="Q1466" s="19" t="s">
        <v>9462</v>
      </c>
      <c r="R1466" s="15" t="s">
        <v>9463</v>
      </c>
      <c r="S1466" s="15" t="s">
        <v>37</v>
      </c>
      <c r="T1466" s="16" t="s">
        <v>38</v>
      </c>
      <c r="U1466" s="11" t="str">
        <f>_xlfn.XLOOKUP(Customer[[#This Row],[Customer ID]],[1]!Address[ID],[1]!Address[Phone No.(2)])</f>
        <v/>
      </c>
      <c r="V1466" s="11" t="str">
        <f>_xlfn.XLOOKUP(Customer[[#This Row],[Customer ID]],[1]!Address[ID],[1]!Address[Type])</f>
        <v>PETROMART</v>
      </c>
      <c r="W1466" s="11" t="str">
        <f>_xlfn.XLOOKUP(Customer[[#This Row],[Customer ID]],[1]!Address[ID],[1]!Address[CT])</f>
        <v>30</v>
      </c>
      <c r="X1466" s="11" t="s">
        <v>39</v>
      </c>
      <c r="Y1466" s="17" t="s">
        <v>40</v>
      </c>
      <c r="Z1466" s="17" t="e">
        <f>_xlfn.XLOOKUP(Customer[[#This Row],[NewType]],$AF$36:$AF$54,$AG$36:$AG$54)</f>
        <v>#N/A</v>
      </c>
      <c r="AA1466" s="17" t="s">
        <v>9464</v>
      </c>
      <c r="AB1466" s="11" t="str">
        <f>_xlfn.XLOOKUP(Customer[[#This Row],[Customer ID]],[1]!Address[ID],[1]!Address[Subtype])</f>
        <v>PETRONAS</v>
      </c>
      <c r="AC1466" s="18" t="str">
        <f>_xlfn.XLOOKUP(Customer[[#This Row],[Customer ID]],[1]!Address[ID],[1]!Address[Zone])</f>
        <v>EAST COAST</v>
      </c>
    </row>
    <row r="1467" spans="1:30" x14ac:dyDescent="0.3">
      <c r="A1467" s="46" t="s">
        <v>9465</v>
      </c>
      <c r="B1467" s="24" t="str">
        <f>_xlfn.XLOOKUP(Customer[[#This Row],[Customer ID]],[1]!Name[ID],[1]!Name[Description(1)])</f>
        <v>BOOTH SALES</v>
      </c>
      <c r="C1467" s="24" t="str">
        <f>_xlfn.XLOOKUP(Customer[[#This Row],[Customer ID]],[1]!Name[ID],[1]!Name[Description(2)])</f>
        <v/>
      </c>
      <c r="D1467" s="38" t="str">
        <f>_xlfn.XLOOKUP(Customer[[#This Row],[Customer ID]],[1]!Address[ID],[1]!Address[PIC])</f>
        <v>MUHAMMAD BIN MU</v>
      </c>
      <c r="E1467" s="38" t="str">
        <f>_xlfn.XLOOKUP(Customer[[#This Row],[Customer ID]],[1]!Address[ID],[1]!Address[Full Address])</f>
        <v>LOT 4494,4495,4498,4499,KAWASAN PERINDUSTRIAN HALAL MIEL,KAMPUNG MERBAU SEMBILAN,PEDAS</v>
      </c>
      <c r="F1467" s="12" t="s">
        <v>9466</v>
      </c>
      <c r="G1467" s="12" t="s">
        <v>9467</v>
      </c>
      <c r="H1467" s="12" t="s">
        <v>9468</v>
      </c>
      <c r="I1467" s="12" t="b">
        <f>ISNUMBER(VALUE(LEFT(Customer[[#This Row],[Address Line 3 (30 char)]],1)))</f>
        <v>0</v>
      </c>
      <c r="J1467" s="24" t="s">
        <v>203</v>
      </c>
      <c r="K1467" s="24"/>
      <c r="L1467" s="12" t="s">
        <v>35</v>
      </c>
      <c r="M1467" s="13">
        <v>940116105083</v>
      </c>
      <c r="N1467" s="14" t="e">
        <v>#N/A</v>
      </c>
      <c r="O1467" s="14" t="e">
        <v>#N/A</v>
      </c>
      <c r="P1467" s="14" t="e">
        <v>#N/A</v>
      </c>
      <c r="Q1467" s="19" t="s">
        <v>9469</v>
      </c>
      <c r="R1467" s="15" t="s">
        <v>9470</v>
      </c>
      <c r="S1467" s="15"/>
      <c r="T1467" s="16"/>
      <c r="U1467" s="11" t="str">
        <f>_xlfn.XLOOKUP(Customer[[#This Row],[Customer ID]],[1]!Address[ID],[1]!Address[Phone No.(2)])</f>
        <v/>
      </c>
      <c r="V1467" s="11" t="str">
        <f>_xlfn.XLOOKUP(Customer[[#This Row],[Customer ID]],[1]!Address[ID],[1]!Address[Type])</f>
        <v>OTHERS</v>
      </c>
      <c r="W1467" s="11" t="str">
        <f>_xlfn.XLOOKUP(Customer[[#This Row],[Customer ID]],[1]!Address[ID],[1]!Address[CT])</f>
        <v/>
      </c>
      <c r="X1467" s="11"/>
      <c r="Y1467" s="17" t="s">
        <v>6284</v>
      </c>
      <c r="Z1467" s="17" t="e">
        <f>_xlfn.XLOOKUP(Customer[[#This Row],[NewType]],$AF$36:$AF$54,$AG$36:$AG$54)</f>
        <v>#N/A</v>
      </c>
      <c r="AA1467" s="17" t="s">
        <v>9471</v>
      </c>
      <c r="AB1467" s="11" t="str">
        <f>_xlfn.XLOOKUP(Customer[[#This Row],[Customer ID]],[1]!Address[ID],[1]!Address[Subtype])</f>
        <v>BOOTH SALES</v>
      </c>
      <c r="AC1467" s="18" t="str">
        <f>_xlfn.XLOOKUP(Customer[[#This Row],[Customer ID]],[1]!Address[ID],[1]!Address[Zone])</f>
        <v>TSALESMPUNG L SALESMPUNG</v>
      </c>
    </row>
    <row r="1468" spans="1:30" x14ac:dyDescent="0.3">
      <c r="A1468" s="10" t="s">
        <v>9472</v>
      </c>
      <c r="B1468" s="11" t="str">
        <f>_xlfn.XLOOKUP(Customer[[#This Row],[Customer ID]],[1]!Name[ID],[1]!Name[Description(1)])</f>
        <v>TAN SRI HAKIM</v>
      </c>
      <c r="C1468" s="32" t="str">
        <f>_xlfn.XLOOKUP(Customer[[#This Row],[Customer ID]],[1]!Name[ID],[1]!Name[Description(2)])</f>
        <v/>
      </c>
      <c r="D1468" s="38" t="str">
        <f>_xlfn.XLOOKUP(Customer[[#This Row],[Customer ID]],[1]!Address[ID],[1]!Address[PIC])</f>
        <v>TAN SRI HAKIM</v>
      </c>
      <c r="E1468" s="38" t="str">
        <f>_xlfn.XLOOKUP(Customer[[#This Row],[Customer ID]],[1]!Address[ID],[1]!Address[Full Address])</f>
        <v>MUTIARA BANGI</v>
      </c>
      <c r="F1468" s="12" t="s">
        <v>8485</v>
      </c>
      <c r="G1468" s="12" t="s">
        <v>36</v>
      </c>
      <c r="H1468" s="12" t="s">
        <v>36</v>
      </c>
      <c r="I1468" s="12" t="b">
        <f>ISNUMBER(VALUE(LEFT(Customer[[#This Row],[Address Line 3 (30 char)]],1)))</f>
        <v>0</v>
      </c>
      <c r="J1468" s="32"/>
      <c r="K1468" s="32"/>
      <c r="L1468" s="12" t="s">
        <v>35</v>
      </c>
      <c r="M1468" s="13" t="e">
        <v>#N/A</v>
      </c>
      <c r="N1468" s="14" t="e">
        <v>#N/A</v>
      </c>
      <c r="O1468" s="14" t="e">
        <v>#N/A</v>
      </c>
      <c r="P1468" s="14" t="e">
        <v>#N/A</v>
      </c>
      <c r="Q1468" s="14" t="e">
        <v>#N/A</v>
      </c>
      <c r="R1468" s="15" t="s">
        <v>36</v>
      </c>
      <c r="S1468" s="15" t="s">
        <v>4271</v>
      </c>
      <c r="T1468" s="16" t="s">
        <v>89</v>
      </c>
      <c r="U1468" s="11" t="str">
        <f>_xlfn.XLOOKUP(Customer[[#This Row],[Customer ID]],[1]!Address[ID],[1]!Address[Phone No.(2)])</f>
        <v/>
      </c>
      <c r="V1468" s="11" t="str">
        <f>_xlfn.XLOOKUP(Customer[[#This Row],[Customer ID]],[1]!Address[ID],[1]!Address[Type])</f>
        <v>SOCMED</v>
      </c>
      <c r="W1468" s="11" t="str">
        <f>_xlfn.XLOOKUP(Customer[[#This Row],[Customer ID]],[1]!Address[ID],[1]!Address[CT])</f>
        <v/>
      </c>
      <c r="X1468" s="11"/>
      <c r="Y1468" s="17" t="s">
        <v>90</v>
      </c>
      <c r="Z1468" s="17" t="e">
        <f>_xlfn.XLOOKUP(Customer[[#This Row],[NewType]],$AF$36:$AF$54,$AG$36:$AG$54)</f>
        <v>#N/A</v>
      </c>
      <c r="AA1468" s="17" t="s">
        <v>9473</v>
      </c>
      <c r="AB1468" s="11" t="str">
        <f>_xlfn.XLOOKUP(Customer[[#This Row],[Customer ID]],[1]!Address[ID],[1]!Address[Subtype])</f>
        <v>WHATSAPP</v>
      </c>
      <c r="AC1468" s="18" t="str">
        <f>_xlfn.XLOOKUP(Customer[[#This Row],[Customer ID]],[1]!Address[ID],[1]!Address[Zone])</f>
        <v>CENTRAL</v>
      </c>
    </row>
    <row r="1469" spans="1:30" x14ac:dyDescent="0.3">
      <c r="A1469" s="56" t="s">
        <v>9474</v>
      </c>
      <c r="B1469" s="50" t="str">
        <f>_xlfn.XLOOKUP(Customer[[#This Row],[Customer ID]],[1]!Name[ID],[1]!Name[Description(1)])</f>
        <v>PELANGI CARE TRADING (FARMASI PELANGI)</v>
      </c>
      <c r="C1469" s="50" t="str">
        <f>_xlfn.XLOOKUP(Customer[[#This Row],[Customer ID]],[1]!Name[ID],[1]!Name[Description(2)])</f>
        <v/>
      </c>
      <c r="D1469" s="50" t="str">
        <f>_xlfn.XLOOKUP(Customer[[#This Row],[Customer ID]],[1]!Address[ID],[1]!Address[PIC])</f>
        <v/>
      </c>
      <c r="E1469" s="38" t="str">
        <f>_xlfn.XLOOKUP(Customer[[#This Row],[Customer ID]],[1]!Address[ID],[1]!Address[Full Address])</f>
        <v>GEMILANG SP MARKETING(PELANGI CARE TRADING) NO 4, JALANCEMPAKA 1/1, PERSIARAN CEMPAKA BANDARAMAN JAYA, 08000 SUNGAI PETANI, KEDAH</v>
      </c>
      <c r="F1469" s="41" t="s">
        <v>9475</v>
      </c>
      <c r="G1469" s="57" t="s">
        <v>9476</v>
      </c>
      <c r="H1469" s="57" t="s">
        <v>9477</v>
      </c>
      <c r="I1469" s="57" t="b">
        <f>ISNUMBER(VALUE(LEFT(Customer[[#This Row],[Address Line 3 (30 char)]],1)))</f>
        <v>0</v>
      </c>
      <c r="J1469" s="57" t="s">
        <v>355</v>
      </c>
      <c r="K1469" s="61" t="s">
        <v>296</v>
      </c>
      <c r="L1469" s="57" t="s">
        <v>35</v>
      </c>
      <c r="M1469" s="58" t="e">
        <v>#N/A</v>
      </c>
      <c r="N1469" s="59" t="e">
        <v>#N/A</v>
      </c>
      <c r="O1469" s="59" t="e">
        <v>#N/A</v>
      </c>
      <c r="P1469" s="59" t="e">
        <v>#N/A</v>
      </c>
      <c r="Q1469" s="59" t="e">
        <v>#N/A</v>
      </c>
      <c r="R1469" s="51" t="s">
        <v>9478</v>
      </c>
      <c r="S1469" s="51" t="s">
        <v>88</v>
      </c>
      <c r="T1469" s="52" t="s">
        <v>89</v>
      </c>
      <c r="U1469" s="49" t="str">
        <f>_xlfn.XLOOKUP(Customer[[#This Row],[Customer ID]],[1]!Address[ID],[1]!Address[Phone No.(2)])</f>
        <v/>
      </c>
      <c r="V1469" s="49" t="str">
        <f>_xlfn.XLOOKUP(Customer[[#This Row],[Customer ID]],[1]!Address[ID],[1]!Address[Type])</f>
        <v>SOCMED</v>
      </c>
      <c r="W1469" s="49" t="str">
        <f>_xlfn.XLOOKUP(Customer[[#This Row],[Customer ID]],[1]!Address[ID],[1]!Address[CT])</f>
        <v/>
      </c>
      <c r="X1469" s="49"/>
      <c r="Y1469" s="53" t="s">
        <v>90</v>
      </c>
      <c r="Z1469" s="53" t="e">
        <f>_xlfn.XLOOKUP(Customer[[#This Row],[NewType]],$AF$36:$AF$54,$AG$36:$AG$54)</f>
        <v>#N/A</v>
      </c>
      <c r="AA1469" s="53" t="s">
        <v>9479</v>
      </c>
      <c r="AB1469" s="49" t="str">
        <f>_xlfn.XLOOKUP(Customer[[#This Row],[Customer ID]],[1]!Address[ID],[1]!Address[Subtype])</f>
        <v>ONLINE ROS</v>
      </c>
      <c r="AC1469" s="54" t="str">
        <f>_xlfn.XLOOKUP(Customer[[#This Row],[Customer ID]],[1]!Address[ID],[1]!Address[Zone])</f>
        <v>SOUTH</v>
      </c>
      <c r="AD1469" s="55"/>
    </row>
    <row r="1470" spans="1:30" x14ac:dyDescent="0.3">
      <c r="A1470" s="45" t="s">
        <v>9480</v>
      </c>
      <c r="B1470" s="32" t="str">
        <f>_xlfn.XLOOKUP(Customer[[#This Row],[Customer ID]],[1]!Name[ID],[1]!Name[Description(1)])</f>
        <v>SUZILAWATI GHAZALI</v>
      </c>
      <c r="C1470" s="32" t="str">
        <f>_xlfn.XLOOKUP(Customer[[#This Row],[Customer ID]],[1]!Name[ID],[1]!Name[Description(2)])</f>
        <v/>
      </c>
      <c r="D1470" s="38" t="str">
        <f>_xlfn.XLOOKUP(Customer[[#This Row],[Customer ID]],[1]!Address[ID],[1]!Address[PIC])</f>
        <v/>
      </c>
      <c r="E1470" s="38" t="str">
        <f>_xlfn.XLOOKUP(Customer[[#This Row],[Customer ID]],[1]!Address[ID],[1]!Address[Full Address])</f>
        <v>PERSATUAN RAUDHAH AUTISME</v>
      </c>
      <c r="F1470" s="12" t="s">
        <v>9481</v>
      </c>
      <c r="G1470" s="12" t="s">
        <v>36</v>
      </c>
      <c r="H1470" s="12" t="s">
        <v>36</v>
      </c>
      <c r="I1470" s="12" t="b">
        <f>ISNUMBER(VALUE(LEFT(Customer[[#This Row],[Address Line 3 (30 char)]],1)))</f>
        <v>0</v>
      </c>
      <c r="J1470" s="32" t="s">
        <v>172</v>
      </c>
      <c r="K1470" s="32"/>
      <c r="L1470" s="12" t="s">
        <v>35</v>
      </c>
      <c r="M1470" s="13" t="e">
        <v>#N/A</v>
      </c>
      <c r="N1470" s="14" t="e">
        <v>#N/A</v>
      </c>
      <c r="O1470" s="14" t="e">
        <v>#N/A</v>
      </c>
      <c r="P1470" s="14" t="e">
        <v>#N/A</v>
      </c>
      <c r="Q1470" s="14" t="e">
        <v>#N/A</v>
      </c>
      <c r="R1470" s="15" t="s">
        <v>9482</v>
      </c>
      <c r="S1470" s="15" t="s">
        <v>88</v>
      </c>
      <c r="T1470" s="16" t="s">
        <v>89</v>
      </c>
      <c r="U1470" s="11" t="str">
        <f>_xlfn.XLOOKUP(Customer[[#This Row],[Customer ID]],[1]!Address[ID],[1]!Address[Phone No.(2)])</f>
        <v/>
      </c>
      <c r="V1470" s="11" t="s">
        <v>7755</v>
      </c>
      <c r="W1470" s="11" t="str">
        <f>_xlfn.XLOOKUP(Customer[[#This Row],[Customer ID]],[1]!Address[ID],[1]!Address[CT])</f>
        <v/>
      </c>
      <c r="X1470" s="11"/>
      <c r="Y1470" s="17" t="s">
        <v>90</v>
      </c>
      <c r="Z1470" s="17" t="e">
        <f>_xlfn.XLOOKUP(Customer[[#This Row],[NewType]],$AF$36:$AF$54,$AG$36:$AG$54)</f>
        <v>#N/A</v>
      </c>
      <c r="AA1470" s="17" t="s">
        <v>9483</v>
      </c>
      <c r="AB1470" s="11" t="str">
        <f>_xlfn.XLOOKUP(Customer[[#This Row],[Customer ID]],[1]!Address[ID],[1]!Address[Subtype])</f>
        <v>ONLINE ROS</v>
      </c>
      <c r="AC1470" s="18" t="str">
        <f>_xlfn.XLOOKUP(Customer[[#This Row],[Customer ID]],[1]!Address[ID],[1]!Address[Zone])</f>
        <v>CENTRAL</v>
      </c>
    </row>
    <row r="1471" spans="1:30" x14ac:dyDescent="0.3">
      <c r="A1471" s="39" t="s">
        <v>9484</v>
      </c>
      <c r="B1471" s="40" t="str">
        <f>_xlfn.XLOOKUP(Customer[[#This Row],[Customer ID]],[1]!Name[ID],[1]!Name[Description(1)])</f>
        <v>DIANG RENDANG ENTERPRISE SDN. BHD.</v>
      </c>
      <c r="C1471" s="38" t="str">
        <f>_xlfn.XLOOKUP(Customer[[#This Row],[Customer ID]],[1]!Name[ID],[1]!Name[Description(2)])</f>
        <v>(820289-X)</v>
      </c>
      <c r="D1471" s="38" t="str">
        <f>_xlfn.XLOOKUP(Customer[[#This Row],[Customer ID]],[1]!Address[ID],[1]!Address[PIC])</f>
        <v/>
      </c>
      <c r="E1471" s="38" t="str">
        <f>_xlfn.XLOOKUP(Customer[[#This Row],[Customer ID]],[1]!Address[ID],[1]!Address[Full Address])</f>
        <v/>
      </c>
      <c r="F1471" s="12" t="s">
        <v>36</v>
      </c>
      <c r="G1471" s="12" t="s">
        <v>36</v>
      </c>
      <c r="H1471" s="12" t="s">
        <v>36</v>
      </c>
      <c r="I1471" s="12" t="b">
        <f>ISNUMBER(VALUE(LEFT(Customer[[#This Row],[Address Line 3 (30 char)]],1)))</f>
        <v>0</v>
      </c>
      <c r="J1471" s="12" t="s">
        <v>1907</v>
      </c>
      <c r="K1471" s="12">
        <v>68000</v>
      </c>
      <c r="L1471" s="12" t="s">
        <v>35</v>
      </c>
      <c r="M1471" s="13" t="e">
        <v>#N/A</v>
      </c>
      <c r="N1471" s="14" t="e">
        <v>#N/A</v>
      </c>
      <c r="O1471" s="14" t="e">
        <v>#N/A</v>
      </c>
      <c r="P1471" s="14" t="e">
        <v>#N/A</v>
      </c>
      <c r="Q1471" s="14" t="e">
        <v>#N/A</v>
      </c>
      <c r="R1471" s="15" t="s">
        <v>9485</v>
      </c>
      <c r="S1471" s="15" t="s">
        <v>3476</v>
      </c>
      <c r="T1471" s="16" t="s">
        <v>3477</v>
      </c>
      <c r="U1471" s="11" t="str">
        <f>_xlfn.XLOOKUP(Customer[[#This Row],[Customer ID]],[1]!Address[ID],[1]!Address[Phone No.(2)])</f>
        <v/>
      </c>
      <c r="V1471" s="11" t="str">
        <f>_xlfn.XLOOKUP(Customer[[#This Row],[Customer ID]],[1]!Address[ID],[1]!Address[Type])</f>
        <v>CM</v>
      </c>
      <c r="W1471" s="11" t="str">
        <f>_xlfn.XLOOKUP(Customer[[#This Row],[Customer ID]],[1]!Address[ID],[1]!Address[CT])</f>
        <v>30 DAYS</v>
      </c>
      <c r="X1471" s="11"/>
      <c r="Y1471" s="17" t="s">
        <v>5918</v>
      </c>
      <c r="Z1471" s="17" t="e">
        <f>_xlfn.XLOOKUP(Customer[[#This Row],[NewType]],$AF$36:$AF$54,$AG$36:$AG$54)</f>
        <v>#N/A</v>
      </c>
      <c r="AA1471" s="17" t="s">
        <v>9486</v>
      </c>
      <c r="AB1471" s="11" t="str">
        <f>_xlfn.XLOOKUP(Customer[[#This Row],[Customer ID]],[1]!Address[ID],[1]!Address[Subtype])</f>
        <v>THB</v>
      </c>
      <c r="AC1471" s="18">
        <f>_xlfn.XLOOKUP(Customer[[#This Row],[Customer ID]],[1]!Address[ID],[1]!Address[Zone])</f>
        <v>0</v>
      </c>
    </row>
    <row r="1472" spans="1:30" x14ac:dyDescent="0.3">
      <c r="A1472" s="39" t="s">
        <v>9487</v>
      </c>
      <c r="B1472" s="40" t="str">
        <f>_xlfn.XLOOKUP(Customer[[#This Row],[Customer ID]],[1]!Name[ID],[1]!Name[Description(1)])</f>
        <v>ZAMZAM ASAS (M) SDN. BHD (770221-X)</v>
      </c>
      <c r="C1472" s="38" t="str">
        <f>_xlfn.XLOOKUP(Customer[[#This Row],[Customer ID]],[1]!Name[ID],[1]!Name[Description(2)])</f>
        <v/>
      </c>
      <c r="D1472" s="38" t="str">
        <f>_xlfn.XLOOKUP(Customer[[#This Row],[Customer ID]],[1]!Address[ID],[1]!Address[PIC])</f>
        <v/>
      </c>
      <c r="E1472" s="38" t="str">
        <f>_xlfn.XLOOKUP(Customer[[#This Row],[Customer ID]],[1]!Address[ID],[1]!Address[Full Address])</f>
        <v/>
      </c>
      <c r="F1472" s="12" t="s">
        <v>36</v>
      </c>
      <c r="G1472" s="12" t="s">
        <v>36</v>
      </c>
      <c r="H1472" s="12" t="s">
        <v>36</v>
      </c>
      <c r="I1472" s="12" t="b">
        <f>ISNUMBER(VALUE(LEFT(Customer[[#This Row],[Address Line 3 (30 char)]],1)))</f>
        <v>0</v>
      </c>
      <c r="J1472" s="12" t="s">
        <v>172</v>
      </c>
      <c r="K1472" s="12">
        <v>68100</v>
      </c>
      <c r="L1472" s="12" t="s">
        <v>35</v>
      </c>
      <c r="M1472" s="13" t="e">
        <v>#N/A</v>
      </c>
      <c r="N1472" s="14" t="e">
        <v>#N/A</v>
      </c>
      <c r="O1472" s="14" t="e">
        <v>#N/A</v>
      </c>
      <c r="P1472" s="14" t="e">
        <v>#N/A</v>
      </c>
      <c r="Q1472" s="19" t="s">
        <v>9488</v>
      </c>
      <c r="R1472" s="15"/>
      <c r="S1472" s="15" t="s">
        <v>3476</v>
      </c>
      <c r="T1472" s="16" t="s">
        <v>3477</v>
      </c>
      <c r="U1472" s="11" t="str">
        <f>_xlfn.XLOOKUP(Customer[[#This Row],[Customer ID]],[1]!Address[ID],[1]!Address[Phone No.(2)])</f>
        <v/>
      </c>
      <c r="V1472" s="11" t="str">
        <f>_xlfn.XLOOKUP(Customer[[#This Row],[Customer ID]],[1]!Address[ID],[1]!Address[Type])</f>
        <v>CM</v>
      </c>
      <c r="W1472" s="11" t="str">
        <f>_xlfn.XLOOKUP(Customer[[#This Row],[Customer ID]],[1]!Address[ID],[1]!Address[CT])</f>
        <v>30 DAYS</v>
      </c>
      <c r="X1472" s="11"/>
      <c r="Y1472" s="17" t="s">
        <v>5918</v>
      </c>
      <c r="Z1472" s="17" t="e">
        <f>_xlfn.XLOOKUP(Customer[[#This Row],[NewType]],$AF$36:$AF$54,$AG$36:$AG$54)</f>
        <v>#N/A</v>
      </c>
      <c r="AA1472" s="17" t="s">
        <v>9489</v>
      </c>
      <c r="AB1472" s="11" t="str">
        <f>_xlfn.XLOOKUP(Customer[[#This Row],[Customer ID]],[1]!Address[ID],[1]!Address[Subtype])</f>
        <v>THB</v>
      </c>
      <c r="AC1472" s="18">
        <f>_xlfn.XLOOKUP(Customer[[#This Row],[Customer ID]],[1]!Address[ID],[1]!Address[Zone])</f>
        <v>0</v>
      </c>
    </row>
    <row r="1473" spans="1:29" x14ac:dyDescent="0.3">
      <c r="A1473" s="43" t="s">
        <v>9490</v>
      </c>
      <c r="B1473" s="44" t="str">
        <f>_xlfn.XLOOKUP(Customer[[#This Row],[Customer ID]],[1]!Name[ID],[1]!Name[Description(1)])</f>
        <v>DAMILA ENTERPRISE</v>
      </c>
      <c r="C1473" s="38" t="str">
        <f>_xlfn.XLOOKUP(Customer[[#This Row],[Customer ID]],[1]!Name[ID],[1]!Name[Description(2)])</f>
        <v>PETRON KESAS</v>
      </c>
      <c r="D1473" s="38" t="str">
        <f>_xlfn.XLOOKUP(Customer[[#This Row],[Customer ID]],[1]!Address[ID],[1]!Address[PIC])</f>
        <v/>
      </c>
      <c r="E1473" s="38" t="str">
        <f>_xlfn.XLOOKUP(Customer[[#This Row],[Customer ID]],[1]!Address[ID],[1]!Address[Full Address])</f>
        <v>PETRON KESASPETRON KESAS EASTBOUNDLEBUHRAYA KESAS ARAH TIMUR4000 SHAH ALAM, SELANGOR</v>
      </c>
      <c r="F1473" s="12" t="s">
        <v>9491</v>
      </c>
      <c r="G1473" s="12" t="s">
        <v>9492</v>
      </c>
      <c r="H1473" s="12" t="s">
        <v>9493</v>
      </c>
      <c r="I1473" s="12" t="b">
        <f>ISNUMBER(VALUE(LEFT(Customer[[#This Row],[Address Line 3 (30 char)]],1)))</f>
        <v>0</v>
      </c>
      <c r="J1473" s="12" t="s">
        <v>1907</v>
      </c>
      <c r="K1473" s="30" t="s">
        <v>4489</v>
      </c>
      <c r="L1473" s="12" t="s">
        <v>35</v>
      </c>
      <c r="M1473" s="13" t="e">
        <v>#N/A</v>
      </c>
      <c r="N1473" s="14" t="e">
        <v>#N/A</v>
      </c>
      <c r="O1473" s="14" t="e">
        <v>#N/A</v>
      </c>
      <c r="P1473" s="14" t="e">
        <v>#N/A</v>
      </c>
      <c r="Q1473" s="14" t="e">
        <v>#N/A</v>
      </c>
      <c r="R1473" s="15" t="s">
        <v>9494</v>
      </c>
      <c r="S1473" s="15" t="s">
        <v>37</v>
      </c>
      <c r="T1473" s="16" t="s">
        <v>38</v>
      </c>
      <c r="U1473" s="11" t="str">
        <f>_xlfn.XLOOKUP(Customer[[#This Row],[Customer ID]],[1]!Address[ID],[1]!Address[Phone No.(2)])</f>
        <v/>
      </c>
      <c r="V1473" s="11" t="str">
        <f>_xlfn.XLOOKUP(Customer[[#This Row],[Customer ID]],[1]!Address[ID],[1]!Address[Type])</f>
        <v>PETROMART</v>
      </c>
      <c r="W1473" s="11" t="str">
        <f>_xlfn.XLOOKUP(Customer[[#This Row],[Customer ID]],[1]!Address[ID],[1]!Address[CT])</f>
        <v>30</v>
      </c>
      <c r="X1473" s="11" t="s">
        <v>39</v>
      </c>
      <c r="Y1473" s="17" t="s">
        <v>40</v>
      </c>
      <c r="Z1473" s="17" t="e">
        <f>_xlfn.XLOOKUP(Customer[[#This Row],[NewType]],$AF$36:$AF$54,$AG$36:$AG$54)</f>
        <v>#N/A</v>
      </c>
      <c r="AA1473" s="17" t="s">
        <v>9495</v>
      </c>
      <c r="AB1473" s="11" t="str">
        <f>_xlfn.XLOOKUP(Customer[[#This Row],[Customer ID]],[1]!Address[ID],[1]!Address[Subtype])</f>
        <v>PETRON</v>
      </c>
      <c r="AC1473" s="18" t="str">
        <f>_xlfn.XLOOKUP(Customer[[#This Row],[Customer ID]],[1]!Address[ID],[1]!Address[Zone])</f>
        <v>CENTRAL</v>
      </c>
    </row>
    <row r="1474" spans="1:29" x14ac:dyDescent="0.3">
      <c r="A1474" s="37" t="s">
        <v>9496</v>
      </c>
      <c r="B1474" s="38" t="str">
        <f>_xlfn.XLOOKUP(Customer[[#This Row],[Customer ID]],[1]!Name[ID],[1]!Name[Description(1)])</f>
        <v>PHARMACY ANDA</v>
      </c>
      <c r="C1474" s="38" t="str">
        <f>_xlfn.XLOOKUP(Customer[[#This Row],[Customer ID]],[1]!Name[ID],[1]!Name[Description(2)])</f>
        <v>KPA PHARMA SDN BHD(1335011-P)</v>
      </c>
      <c r="D1474" s="38" t="str">
        <f>_xlfn.XLOOKUP(Customer[[#This Row],[Customer ID]],[1]!Address[ID],[1]!Address[PIC])</f>
        <v/>
      </c>
      <c r="E1474" s="38" t="str">
        <f>_xlfn.XLOOKUP(Customer[[#This Row],[Customer ID]],[1]!Address[ID],[1]!Address[Full Address])</f>
        <v>9150 JALAN BANDAR 4,TAMAN MELAWATI 53100KUALA LUMPUR</v>
      </c>
      <c r="F1474" s="12" t="s">
        <v>9497</v>
      </c>
      <c r="G1474" s="12" t="s">
        <v>9498</v>
      </c>
      <c r="H1474" s="12"/>
      <c r="I1474" s="12" t="b">
        <f>ISNUMBER(VALUE(LEFT(Customer[[#This Row],[Address Line 3 (30 char)]],1)))</f>
        <v>0</v>
      </c>
      <c r="J1474" s="12" t="s">
        <v>8855</v>
      </c>
      <c r="K1474" s="12">
        <v>53100</v>
      </c>
      <c r="L1474" s="12" t="s">
        <v>35</v>
      </c>
      <c r="M1474" s="13" t="e">
        <v>#N/A</v>
      </c>
      <c r="N1474" s="14" t="e">
        <v>#N/A</v>
      </c>
      <c r="O1474" s="14" t="e">
        <v>#N/A</v>
      </c>
      <c r="P1474" s="14" t="e">
        <v>#N/A</v>
      </c>
      <c r="Q1474" s="14" t="e">
        <v>#N/A</v>
      </c>
      <c r="R1474" s="15" t="s">
        <v>9499</v>
      </c>
      <c r="S1474" s="15" t="s">
        <v>3476</v>
      </c>
      <c r="T1474" s="16" t="s">
        <v>3477</v>
      </c>
      <c r="U1474" s="11" t="str">
        <f>_xlfn.XLOOKUP(Customer[[#This Row],[Customer ID]],[1]!Address[ID],[1]!Address[Phone No.(2)])</f>
        <v/>
      </c>
      <c r="V1474" s="11" t="str">
        <f>_xlfn.XLOOKUP(Customer[[#This Row],[Customer ID]],[1]!Address[ID],[1]!Address[Type])</f>
        <v>PH</v>
      </c>
      <c r="W1474" s="11" t="str">
        <f>_xlfn.XLOOKUP(Customer[[#This Row],[Customer ID]],[1]!Address[ID],[1]!Address[CT])</f>
        <v>CASH</v>
      </c>
      <c r="X1474" s="11"/>
      <c r="Y1474" s="17" t="s">
        <v>5955</v>
      </c>
      <c r="Z1474" s="17" t="e">
        <f>_xlfn.XLOOKUP(Customer[[#This Row],[NewType]],$AF$36:$AF$54,$AG$36:$AG$54)</f>
        <v>#N/A</v>
      </c>
      <c r="AA1474" s="17" t="s">
        <v>9500</v>
      </c>
      <c r="AB1474" s="11" t="str">
        <f>_xlfn.XLOOKUP(Customer[[#This Row],[Customer ID]],[1]!Address[ID],[1]!Address[Subtype])</f>
        <v>FARMASI ANDA</v>
      </c>
      <c r="AC1474" s="18" t="str">
        <f>_xlfn.XLOOKUP(Customer[[#This Row],[Customer ID]],[1]!Address[ID],[1]!Address[Zone])</f>
        <v>CENTRAL</v>
      </c>
    </row>
    <row r="1475" spans="1:29" x14ac:dyDescent="0.3">
      <c r="A1475" s="10" t="s">
        <v>9501</v>
      </c>
      <c r="B1475" s="11" t="str">
        <f>_xlfn.XLOOKUP(Customer[[#This Row],[Customer ID]],[1]!Name[ID],[1]!Name[Description(1)])</f>
        <v>DATO OTHMAN DESA (MB)</v>
      </c>
      <c r="C1475" s="32" t="str">
        <f>_xlfn.XLOOKUP(Customer[[#This Row],[Customer ID]],[1]!Name[ID],[1]!Name[Description(2)])</f>
        <v/>
      </c>
      <c r="D1475" s="38" t="str">
        <f>_xlfn.XLOOKUP(Customer[[#This Row],[Customer ID]],[1]!Address[ID],[1]!Address[PIC])</f>
        <v/>
      </c>
      <c r="E1475" s="38" t="str">
        <f>_xlfn.XLOOKUP(Customer[[#This Row],[Customer ID]],[1]!Address[ID],[1]!Address[Full Address])</f>
        <v>NO 10 JALAN 2/1G MUTIARA BANGI</v>
      </c>
      <c r="F1475" s="12" t="s">
        <v>9502</v>
      </c>
      <c r="G1475" s="12" t="s">
        <v>36</v>
      </c>
      <c r="H1475" s="12" t="s">
        <v>36</v>
      </c>
      <c r="I1475" s="12" t="b">
        <f>ISNUMBER(VALUE(LEFT(Customer[[#This Row],[Address Line 3 (30 char)]],1)))</f>
        <v>0</v>
      </c>
      <c r="J1475" s="32" t="s">
        <v>1907</v>
      </c>
      <c r="K1475" s="32"/>
      <c r="L1475" s="12" t="s">
        <v>35</v>
      </c>
      <c r="M1475" s="13" t="e">
        <v>#N/A</v>
      </c>
      <c r="N1475" s="14" t="e">
        <v>#N/A</v>
      </c>
      <c r="O1475" s="14" t="e">
        <v>#N/A</v>
      </c>
      <c r="P1475" s="14" t="e">
        <v>#N/A</v>
      </c>
      <c r="Q1475" s="14" t="e">
        <v>#N/A</v>
      </c>
      <c r="R1475" s="15" t="s">
        <v>9503</v>
      </c>
      <c r="S1475" s="15" t="s">
        <v>4271</v>
      </c>
      <c r="T1475" s="16" t="s">
        <v>89</v>
      </c>
      <c r="U1475" s="11" t="str">
        <f>_xlfn.XLOOKUP(Customer[[#This Row],[Customer ID]],[1]!Address[ID],[1]!Address[Phone No.(2)])</f>
        <v/>
      </c>
      <c r="V1475" s="11" t="str">
        <f>_xlfn.XLOOKUP(Customer[[#This Row],[Customer ID]],[1]!Address[ID],[1]!Address[Type])</f>
        <v>SOCMED</v>
      </c>
      <c r="W1475" s="11" t="str">
        <f>_xlfn.XLOOKUP(Customer[[#This Row],[Customer ID]],[1]!Address[ID],[1]!Address[CT])</f>
        <v/>
      </c>
      <c r="X1475" s="11"/>
      <c r="Y1475" s="17" t="s">
        <v>90</v>
      </c>
      <c r="Z1475" s="17" t="e">
        <f>_xlfn.XLOOKUP(Customer[[#This Row],[NewType]],$AF$36:$AF$54,$AG$36:$AG$54)</f>
        <v>#N/A</v>
      </c>
      <c r="AA1475" s="17" t="s">
        <v>9504</v>
      </c>
      <c r="AB1475" s="11" t="str">
        <f>_xlfn.XLOOKUP(Customer[[#This Row],[Customer ID]],[1]!Address[ID],[1]!Address[Subtype])</f>
        <v>WHATSAPP</v>
      </c>
      <c r="AC1475" s="18" t="str">
        <f>_xlfn.XLOOKUP(Customer[[#This Row],[Customer ID]],[1]!Address[ID],[1]!Address[Zone])</f>
        <v>CENTRAL</v>
      </c>
    </row>
    <row r="1476" spans="1:29" x14ac:dyDescent="0.3">
      <c r="A1476" s="10" t="s">
        <v>9505</v>
      </c>
      <c r="B1476" s="11" t="str">
        <f>_xlfn.XLOOKUP(Customer[[#This Row],[Customer ID]],[1]!Name[ID],[1]!Name[Description(1)])</f>
        <v>DATO SAADON (MB)</v>
      </c>
      <c r="C1476" s="32" t="str">
        <f>_xlfn.XLOOKUP(Customer[[#This Row],[Customer ID]],[1]!Name[ID],[1]!Name[Description(2)])</f>
        <v/>
      </c>
      <c r="D1476" s="38" t="str">
        <f>_xlfn.XLOOKUP(Customer[[#This Row],[Customer ID]],[1]!Address[ID],[1]!Address[PIC])</f>
        <v>SAADON</v>
      </c>
      <c r="E1476" s="38" t="str">
        <f>_xlfn.XLOOKUP(Customer[[#This Row],[Customer ID]],[1]!Address[ID],[1]!Address[Full Address])</f>
        <v>RMH NO 6, JLN 2/1L, MUTIARA BANGI</v>
      </c>
      <c r="F1476" s="12" t="s">
        <v>9506</v>
      </c>
      <c r="G1476" s="12" t="s">
        <v>9507</v>
      </c>
      <c r="H1476" s="12" t="s">
        <v>36</v>
      </c>
      <c r="I1476" s="12" t="b">
        <f>ISNUMBER(VALUE(LEFT(Customer[[#This Row],[Address Line 3 (30 char)]],1)))</f>
        <v>0</v>
      </c>
      <c r="J1476" s="32" t="s">
        <v>1907</v>
      </c>
      <c r="K1476" s="32"/>
      <c r="L1476" s="12" t="s">
        <v>35</v>
      </c>
      <c r="M1476" s="13" t="e">
        <v>#N/A</v>
      </c>
      <c r="N1476" s="14" t="e">
        <v>#N/A</v>
      </c>
      <c r="O1476" s="14" t="e">
        <v>#N/A</v>
      </c>
      <c r="P1476" s="14" t="e">
        <v>#N/A</v>
      </c>
      <c r="Q1476" s="14" t="e">
        <v>#N/A</v>
      </c>
      <c r="R1476" s="15" t="s">
        <v>9508</v>
      </c>
      <c r="S1476" s="15" t="s">
        <v>4271</v>
      </c>
      <c r="T1476" s="16" t="s">
        <v>89</v>
      </c>
      <c r="U1476" s="11" t="str">
        <f>_xlfn.XLOOKUP(Customer[[#This Row],[Customer ID]],[1]!Address[ID],[1]!Address[Phone No.(2)])</f>
        <v/>
      </c>
      <c r="V1476" s="11" t="str">
        <f>_xlfn.XLOOKUP(Customer[[#This Row],[Customer ID]],[1]!Address[ID],[1]!Address[Type])</f>
        <v>SOCMED</v>
      </c>
      <c r="W1476" s="11" t="str">
        <f>_xlfn.XLOOKUP(Customer[[#This Row],[Customer ID]],[1]!Address[ID],[1]!Address[CT])</f>
        <v/>
      </c>
      <c r="X1476" s="11"/>
      <c r="Y1476" s="17" t="s">
        <v>90</v>
      </c>
      <c r="Z1476" s="17" t="e">
        <f>_xlfn.XLOOKUP(Customer[[#This Row],[NewType]],$AF$36:$AF$54,$AG$36:$AG$54)</f>
        <v>#N/A</v>
      </c>
      <c r="AA1476" s="17" t="s">
        <v>9509</v>
      </c>
      <c r="AB1476" s="11" t="str">
        <f>_xlfn.XLOOKUP(Customer[[#This Row],[Customer ID]],[1]!Address[ID],[1]!Address[Subtype])</f>
        <v>WHATSAPP</v>
      </c>
      <c r="AC1476" s="18" t="str">
        <f>_xlfn.XLOOKUP(Customer[[#This Row],[Customer ID]],[1]!Address[ID],[1]!Address[Zone])</f>
        <v>CENTRAL</v>
      </c>
    </row>
    <row r="1477" spans="1:29" x14ac:dyDescent="0.3">
      <c r="A1477" s="37" t="s">
        <v>9510</v>
      </c>
      <c r="B1477" s="38" t="str">
        <f>_xlfn.XLOOKUP(Customer[[#This Row],[Customer ID]],[1]!Name[ID],[1]!Name[Description(1)])</f>
        <v>DESSERT HAUZ &amp; BOUTIQUE</v>
      </c>
      <c r="C1477" s="38" t="str">
        <f>_xlfn.XLOOKUP(Customer[[#This Row],[Customer ID]],[1]!Name[ID],[1]!Name[Description(2)])</f>
        <v/>
      </c>
      <c r="D1477" s="38" t="str">
        <f>_xlfn.XLOOKUP(Customer[[#This Row],[Customer ID]],[1]!Address[ID],[1]!Address[PIC])</f>
        <v/>
      </c>
      <c r="E1477" s="38" t="str">
        <f>_xlfn.XLOOKUP(Customer[[#This Row],[Customer ID]],[1]!Address[ID],[1]!Address[Full Address])</f>
        <v>A45, JALAN INDERA MAHKOTA 7/1,25200 KUANTAN, PAHANG</v>
      </c>
      <c r="F1477" s="12" t="s">
        <v>9511</v>
      </c>
      <c r="G1477" s="12" t="s">
        <v>9512</v>
      </c>
      <c r="H1477" s="12" t="s">
        <v>36</v>
      </c>
      <c r="I1477" s="12" t="b">
        <f>ISNUMBER(VALUE(LEFT(Customer[[#This Row],[Address Line 3 (30 char)]],1)))</f>
        <v>0</v>
      </c>
      <c r="J1477" s="12" t="s">
        <v>339</v>
      </c>
      <c r="K1477" s="12">
        <v>25200</v>
      </c>
      <c r="L1477" s="12" t="s">
        <v>35</v>
      </c>
      <c r="M1477" s="13" t="e">
        <v>#N/A</v>
      </c>
      <c r="N1477" s="14" t="e">
        <v>#N/A</v>
      </c>
      <c r="O1477" s="14" t="e">
        <v>#N/A</v>
      </c>
      <c r="P1477" s="14" t="e">
        <v>#N/A</v>
      </c>
      <c r="Q1477" s="14" t="e">
        <v>#N/A</v>
      </c>
      <c r="R1477" s="15" t="s">
        <v>9513</v>
      </c>
      <c r="S1477" s="15" t="s">
        <v>88</v>
      </c>
      <c r="T1477" s="16" t="s">
        <v>89</v>
      </c>
      <c r="U1477" s="11" t="str">
        <f>_xlfn.XLOOKUP(Customer[[#This Row],[Customer ID]],[1]!Address[ID],[1]!Address[Phone No.(2)])</f>
        <v/>
      </c>
      <c r="V1477" s="11" t="str">
        <f>_xlfn.XLOOKUP(Customer[[#This Row],[Customer ID]],[1]!Address[ID],[1]!Address[Type])</f>
        <v>SOCMED</v>
      </c>
      <c r="W1477" s="11" t="str">
        <f>_xlfn.XLOOKUP(Customer[[#This Row],[Customer ID]],[1]!Address[ID],[1]!Address[CT])</f>
        <v/>
      </c>
      <c r="X1477" s="11"/>
      <c r="Y1477" s="17" t="s">
        <v>90</v>
      </c>
      <c r="Z1477" s="17" t="e">
        <f>_xlfn.XLOOKUP(Customer[[#This Row],[NewType]],$AF$36:$AF$54,$AG$36:$AG$54)</f>
        <v>#N/A</v>
      </c>
      <c r="AA1477" s="17" t="s">
        <v>9514</v>
      </c>
      <c r="AB1477" s="11" t="str">
        <f>_xlfn.XLOOKUP(Customer[[#This Row],[Customer ID]],[1]!Address[ID],[1]!Address[Subtype])</f>
        <v>ONLINE ROS</v>
      </c>
      <c r="AC1477" s="18" t="str">
        <f>_xlfn.XLOOKUP(Customer[[#This Row],[Customer ID]],[1]!Address[ID],[1]!Address[Zone])</f>
        <v>EEEDH</v>
      </c>
    </row>
    <row r="1478" spans="1:29" x14ac:dyDescent="0.3">
      <c r="A1478" s="56" t="s">
        <v>9515</v>
      </c>
      <c r="B1478" s="50" t="str">
        <f>_xlfn.XLOOKUP(Customer[[#This Row],[Customer ID]],[1]!Name[ID],[1]!Name[Description(1)])</f>
        <v>PUAN SAUBIE</v>
      </c>
      <c r="C1478" s="38" t="str">
        <f>_xlfn.XLOOKUP(Customer[[#This Row],[Customer ID]],[1]!Name[ID],[1]!Name[Description(2)])</f>
        <v>RPHARMA SDN.BHD.</v>
      </c>
      <c r="D1478" s="38" t="str">
        <f>_xlfn.XLOOKUP(Customer[[#This Row],[Customer ID]],[1]!Address[ID],[1]!Address[PIC])</f>
        <v/>
      </c>
      <c r="E1478" s="38" t="str">
        <f>_xlfn.XLOOKUP(Customer[[#This Row],[Customer ID]],[1]!Address[ID],[1]!Address[Full Address])</f>
        <v>FARMASI RAUDHAHNO D5 SIMPANG PEKAN AWAH28030 TEMERLOH PAHANG</v>
      </c>
      <c r="F1478" s="12" t="s">
        <v>9516</v>
      </c>
      <c r="G1478" s="12" t="s">
        <v>9517</v>
      </c>
      <c r="H1478" s="24" t="s">
        <v>4801</v>
      </c>
      <c r="I1478" s="24" t="b">
        <f>ISNUMBER(VALUE(LEFT(Customer[[#This Row],[Address Line 3 (30 char)]],1)))</f>
        <v>0</v>
      </c>
      <c r="J1478" s="12" t="s">
        <v>339</v>
      </c>
      <c r="K1478" s="12">
        <v>28030</v>
      </c>
      <c r="L1478" s="12" t="s">
        <v>35</v>
      </c>
      <c r="M1478" s="13" t="e">
        <v>#N/A</v>
      </c>
      <c r="N1478" s="14" t="e">
        <v>#N/A</v>
      </c>
      <c r="O1478" s="14" t="e">
        <v>#N/A</v>
      </c>
      <c r="P1478" s="14" t="e">
        <v>#N/A</v>
      </c>
      <c r="Q1478" s="14" t="e">
        <v>#N/A</v>
      </c>
      <c r="R1478" s="15" t="s">
        <v>9518</v>
      </c>
      <c r="S1478" s="15" t="s">
        <v>3212</v>
      </c>
      <c r="T1478" s="16" t="s">
        <v>89</v>
      </c>
      <c r="U1478" s="11" t="str">
        <f>_xlfn.XLOOKUP(Customer[[#This Row],[Customer ID]],[1]!Address[ID],[1]!Address[Phone No.(2)])</f>
        <v/>
      </c>
      <c r="V1478" s="11" t="str">
        <f>_xlfn.XLOOKUP(Customer[[#This Row],[Customer ID]],[1]!Address[ID],[1]!Address[Type])</f>
        <v>SOCMED</v>
      </c>
      <c r="W1478" s="11" t="str">
        <f>_xlfn.XLOOKUP(Customer[[#This Row],[Customer ID]],[1]!Address[ID],[1]!Address[CT])</f>
        <v/>
      </c>
      <c r="X1478" s="11"/>
      <c r="Y1478" s="17" t="s">
        <v>90</v>
      </c>
      <c r="Z1478" s="17" t="e">
        <f>_xlfn.XLOOKUP(Customer[[#This Row],[NewType]],$AF$36:$AF$54,$AG$36:$AG$54)</f>
        <v>#N/A</v>
      </c>
      <c r="AA1478" s="17" t="s">
        <v>9519</v>
      </c>
      <c r="AB1478" s="11" t="str">
        <f>_xlfn.XLOOKUP(Customer[[#This Row],[Customer ID]],[1]!Address[ID],[1]!Address[Subtype])</f>
        <v>ONLINE HAJAR</v>
      </c>
      <c r="AC1478" s="18" t="str">
        <f>_xlfn.XLOOKUP(Customer[[#This Row],[Customer ID]],[1]!Address[ID],[1]!Address[Zone])</f>
        <v>N HAJAR030 BS HAJAR030 TEMERLOH</v>
      </c>
    </row>
    <row r="1479" spans="1:29" x14ac:dyDescent="0.3">
      <c r="A1479" s="56" t="s">
        <v>9520</v>
      </c>
      <c r="B1479" s="50" t="str">
        <f>_xlfn.XLOOKUP(Customer[[#This Row],[Customer ID]],[1]!Name[ID],[1]!Name[Description(1)])</f>
        <v>AZHAR BIN ABDULLAH</v>
      </c>
      <c r="C1479" s="38" t="str">
        <f>_xlfn.XLOOKUP(Customer[[#This Row],[Customer ID]],[1]!Name[ID],[1]!Name[Description(2)])</f>
        <v/>
      </c>
      <c r="D1479" s="38" t="str">
        <f>_xlfn.XLOOKUP(Customer[[#This Row],[Customer ID]],[1]!Address[ID],[1]!Address[PIC])</f>
        <v/>
      </c>
      <c r="E1479" s="38" t="str">
        <f>_xlfn.XLOOKUP(Customer[[#This Row],[Customer ID]],[1]!Address[ID],[1]!Address[Full Address])</f>
        <v>YAQQIN TAWAQQAL ENTERPRISEF7 TINGKAT ATAS,BANGUNAN ARKED SRI KENDONG,71350 KOTA, NEGERI SEMBILAN</v>
      </c>
      <c r="F1479" s="12" t="s">
        <v>9521</v>
      </c>
      <c r="G1479" s="12" t="s">
        <v>9522</v>
      </c>
      <c r="H1479" s="12" t="s">
        <v>9523</v>
      </c>
      <c r="I1479" s="12" t="b">
        <f>ISNUMBER(VALUE(LEFT(Customer[[#This Row],[Address Line 3 (30 char)]],1)))</f>
        <v>0</v>
      </c>
      <c r="J1479" s="12" t="s">
        <v>2004</v>
      </c>
      <c r="K1479" s="12">
        <v>71350</v>
      </c>
      <c r="L1479" s="12" t="s">
        <v>35</v>
      </c>
      <c r="M1479" s="13" t="e">
        <v>#N/A</v>
      </c>
      <c r="N1479" s="14" t="e">
        <v>#N/A</v>
      </c>
      <c r="O1479" s="14" t="e">
        <v>#N/A</v>
      </c>
      <c r="P1479" s="14" t="e">
        <v>#N/A</v>
      </c>
      <c r="Q1479" s="14" t="e">
        <v>#N/A</v>
      </c>
      <c r="R1479" s="15" t="s">
        <v>9524</v>
      </c>
      <c r="S1479" s="15" t="s">
        <v>3212</v>
      </c>
      <c r="T1479" s="16" t="s">
        <v>89</v>
      </c>
      <c r="U1479" s="11" t="str">
        <f>_xlfn.XLOOKUP(Customer[[#This Row],[Customer ID]],[1]!Address[ID],[1]!Address[Phone No.(2)])</f>
        <v/>
      </c>
      <c r="V1479" s="11" t="str">
        <f>_xlfn.XLOOKUP(Customer[[#This Row],[Customer ID]],[1]!Address[ID],[1]!Address[Type])</f>
        <v>SOCMED</v>
      </c>
      <c r="W1479" s="11" t="str">
        <f>_xlfn.XLOOKUP(Customer[[#This Row],[Customer ID]],[1]!Address[ID],[1]!Address[CT])</f>
        <v/>
      </c>
      <c r="X1479" s="11"/>
      <c r="Y1479" s="17" t="s">
        <v>90</v>
      </c>
      <c r="Z1479" s="17" t="e">
        <f>_xlfn.XLOOKUP(Customer[[#This Row],[NewType]],$AF$36:$AF$54,$AG$36:$AG$54)</f>
        <v>#N/A</v>
      </c>
      <c r="AA1479" s="17" t="s">
        <v>9525</v>
      </c>
      <c r="AB1479" s="11" t="str">
        <f>_xlfn.XLOOKUP(Customer[[#This Row],[Customer ID]],[1]!Address[ID],[1]!Address[Subtype])</f>
        <v>ONLINE HAJAR</v>
      </c>
      <c r="AC1479" s="18" t="str">
        <f>_xlfn.XLOOKUP(Customer[[#This Row],[Customer ID]],[1]!Address[ID],[1]!Address[Zone])</f>
        <v>CENTRAL</v>
      </c>
    </row>
    <row r="1480" spans="1:29" x14ac:dyDescent="0.3">
      <c r="A1480" s="37" t="s">
        <v>9526</v>
      </c>
      <c r="B1480" s="38" t="str">
        <f>_xlfn.XLOOKUP(Customer[[#This Row],[Customer ID]],[1]!Name[ID],[1]!Name[Description(1)])</f>
        <v>BERKAT REZEKI NH ENTERPRISE</v>
      </c>
      <c r="C1480" s="38" t="str">
        <f>_xlfn.XLOOKUP(Customer[[#This Row],[Customer ID]],[1]!Name[ID],[1]!Name[Description(2)])</f>
        <v>NO 14 MACHAP UTARA</v>
      </c>
      <c r="D1480" s="38" t="str">
        <f>_xlfn.XLOOKUP(Customer[[#This Row],[Customer ID]],[1]!Address[ID],[1]!Address[PIC])</f>
        <v/>
      </c>
      <c r="E1480" s="38" t="str">
        <f>_xlfn.XLOOKUP(Customer[[#This Row],[Customer ID]],[1]!Address[ID],[1]!Address[Full Address])</f>
        <v>NO 14 KAWASAN REHAT &amp;RAWAT MACHAP UTARA86200, JOHOR</v>
      </c>
      <c r="F1480" s="12" t="s">
        <v>9527</v>
      </c>
      <c r="G1480" s="12" t="s">
        <v>9528</v>
      </c>
      <c r="H1480" s="24"/>
      <c r="I1480" s="24" t="b">
        <f>ISNUMBER(VALUE(LEFT(Customer[[#This Row],[Address Line 3 (30 char)]],1)))</f>
        <v>0</v>
      </c>
      <c r="J1480" s="12" t="s">
        <v>1995</v>
      </c>
      <c r="K1480" s="12">
        <v>86200</v>
      </c>
      <c r="L1480" s="12" t="s">
        <v>35</v>
      </c>
      <c r="M1480" s="13" t="e">
        <v>#N/A</v>
      </c>
      <c r="N1480" s="14" t="e">
        <v>#N/A</v>
      </c>
      <c r="O1480" s="14" t="e">
        <v>#N/A</v>
      </c>
      <c r="P1480" s="14" t="e">
        <v>#N/A</v>
      </c>
      <c r="Q1480" s="14" t="e">
        <v>#N/A</v>
      </c>
      <c r="R1480" s="15" t="s">
        <v>9529</v>
      </c>
      <c r="S1480" s="15" t="s">
        <v>5925</v>
      </c>
      <c r="T1480" s="16" t="s">
        <v>3477</v>
      </c>
      <c r="U1480" s="11" t="str">
        <f>_xlfn.XLOOKUP(Customer[[#This Row],[Customer ID]],[1]!Address[ID],[1]!Address[Phone No.(2)])</f>
        <v/>
      </c>
      <c r="V1480" s="11" t="str">
        <f>_xlfn.XLOOKUP(Customer[[#This Row],[Customer ID]],[1]!Address[ID],[1]!Address[Type])</f>
        <v>CAFE</v>
      </c>
      <c r="W1480" s="11" t="str">
        <f>_xlfn.XLOOKUP(Customer[[#This Row],[Customer ID]],[1]!Address[ID],[1]!Address[CT])</f>
        <v>30 DAYS</v>
      </c>
      <c r="X1480" s="11"/>
      <c r="Y1480" s="17" t="s">
        <v>5926</v>
      </c>
      <c r="Z1480" s="17" t="e">
        <f>_xlfn.XLOOKUP(Customer[[#This Row],[NewType]],$AF$36:$AF$54,$AG$36:$AG$54)</f>
        <v>#N/A</v>
      </c>
      <c r="AA1480" s="17" t="s">
        <v>9530</v>
      </c>
      <c r="AB1480" s="11" t="str">
        <f>_xlfn.XLOOKUP(Customer[[#This Row],[Customer ID]],[1]!Address[ID],[1]!Address[Subtype])</f>
        <v>PLUS</v>
      </c>
      <c r="AC1480" s="18" t="str">
        <f>_xlfn.XLOOKUP(Customer[[#This Row],[Customer ID]],[1]!Address[ID],[1]!Address[Zone])</f>
        <v>SOUTH</v>
      </c>
    </row>
    <row r="1481" spans="1:29" x14ac:dyDescent="0.3">
      <c r="A1481" s="37" t="s">
        <v>9531</v>
      </c>
      <c r="B1481" s="38" t="str">
        <f>_xlfn.XLOOKUP(Customer[[#This Row],[Customer ID]],[1]!Name[ID],[1]!Name[Description(1)])</f>
        <v>NORENTAN BINTI HJ MUNAHAR</v>
      </c>
      <c r="C1481" s="38" t="str">
        <f>_xlfn.XLOOKUP(Customer[[#This Row],[Customer ID]],[1]!Name[ID],[1]!Name[Description(2)])</f>
        <v>RABBANA CAFE</v>
      </c>
      <c r="D1481" s="38" t="str">
        <f>_xlfn.XLOOKUP(Customer[[#This Row],[Customer ID]],[1]!Address[ID],[1]!Address[PIC])</f>
        <v/>
      </c>
      <c r="E1481" s="38" t="str">
        <f>_xlfn.XLOOKUP(Customer[[#This Row],[Customer ID]],[1]!Address[ID],[1]!Address[Full Address])</f>
        <v>RABBANA CAFENO 4 KM209 S/B,KAWASAN REHAT DAN RAWATAYER KEROH ARAH SELATAN 75450 MELAKA</v>
      </c>
      <c r="F1481" s="41" t="s">
        <v>9532</v>
      </c>
      <c r="G1481" s="12" t="s">
        <v>9533</v>
      </c>
      <c r="H1481" s="12" t="s">
        <v>9534</v>
      </c>
      <c r="I1481" s="12" t="b">
        <f>ISNUMBER(VALUE(LEFT(Customer[[#This Row],[Address Line 3 (30 char)]],1)))</f>
        <v>0</v>
      </c>
      <c r="J1481" s="12" t="s">
        <v>61</v>
      </c>
      <c r="K1481" s="12">
        <v>75450</v>
      </c>
      <c r="L1481" s="12" t="s">
        <v>35</v>
      </c>
      <c r="M1481" s="13" t="e">
        <v>#N/A</v>
      </c>
      <c r="N1481" s="14" t="e">
        <v>#N/A</v>
      </c>
      <c r="O1481" s="14" t="e">
        <v>#N/A</v>
      </c>
      <c r="P1481" s="14" t="e">
        <v>#N/A</v>
      </c>
      <c r="Q1481" s="19" t="s">
        <v>9535</v>
      </c>
      <c r="R1481" s="15" t="s">
        <v>9536</v>
      </c>
      <c r="S1481" s="15" t="s">
        <v>5925</v>
      </c>
      <c r="T1481" s="16" t="s">
        <v>3477</v>
      </c>
      <c r="U1481" s="11" t="str">
        <f>_xlfn.XLOOKUP(Customer[[#This Row],[Customer ID]],[1]!Address[ID],[1]!Address[Phone No.(2)])</f>
        <v/>
      </c>
      <c r="V1481" s="11" t="str">
        <f>_xlfn.XLOOKUP(Customer[[#This Row],[Customer ID]],[1]!Address[ID],[1]!Address[Type])</f>
        <v>CAFE</v>
      </c>
      <c r="W1481" s="11" t="str">
        <f>_xlfn.XLOOKUP(Customer[[#This Row],[Customer ID]],[1]!Address[ID],[1]!Address[CT])</f>
        <v>30 DAYS</v>
      </c>
      <c r="X1481" s="11"/>
      <c r="Y1481" s="17" t="s">
        <v>5926</v>
      </c>
      <c r="Z1481" s="17" t="e">
        <f>_xlfn.XLOOKUP(Customer[[#This Row],[NewType]],$AF$36:$AF$54,$AG$36:$AG$54)</f>
        <v>#N/A</v>
      </c>
      <c r="AA1481" s="17" t="s">
        <v>9537</v>
      </c>
      <c r="AB1481" s="11" t="str">
        <f>_xlfn.XLOOKUP(Customer[[#This Row],[Customer ID]],[1]!Address[ID],[1]!Address[Subtype])</f>
        <v>PLUS</v>
      </c>
      <c r="AC1481" s="18" t="str">
        <f>_xlfn.XLOOKUP(Customer[[#This Row],[Customer ID]],[1]!Address[ID],[1]!Address[Zone])</f>
        <v>SOUTH</v>
      </c>
    </row>
    <row r="1482" spans="1:29" x14ac:dyDescent="0.3">
      <c r="A1482" s="37" t="s">
        <v>9538</v>
      </c>
      <c r="B1482" s="38" t="str">
        <f>_xlfn.XLOOKUP(Customer[[#This Row],[Customer ID]],[1]!Name[ID],[1]!Name[Description(1)])</f>
        <v>OOI KEE LI</v>
      </c>
      <c r="C1482" s="38" t="str">
        <f>_xlfn.XLOOKUP(Customer[[#This Row],[Customer ID]],[1]!Name[ID],[1]!Name[Description(2)])</f>
        <v>COFFEE CORNER</v>
      </c>
      <c r="D1482" s="38" t="str">
        <f>_xlfn.XLOOKUP(Customer[[#This Row],[Customer ID]],[1]!Address[ID],[1]!Address[PIC])</f>
        <v/>
      </c>
      <c r="E1482" s="38" t="str">
        <f>_xlfn.XLOOKUP(Customer[[#This Row],[Customer ID]],[1]!Address[ID],[1]!Address[Full Address])</f>
        <v>GERAI NO 10 KAWASAN REHAT DAN RAWATG. SEMANGGOLARAH UTARA 3440 PERAK</v>
      </c>
      <c r="F1482" s="12" t="s">
        <v>9539</v>
      </c>
      <c r="G1482" s="12" t="s">
        <v>9540</v>
      </c>
      <c r="H1482" s="12" t="s">
        <v>9541</v>
      </c>
      <c r="I1482" s="12" t="b">
        <f>ISNUMBER(VALUE(LEFT(Customer[[#This Row],[Address Line 3 (30 char)]],1)))</f>
        <v>0</v>
      </c>
      <c r="J1482" s="12" t="s">
        <v>242</v>
      </c>
      <c r="K1482" s="42" t="s">
        <v>9542</v>
      </c>
      <c r="L1482" s="12" t="s">
        <v>35</v>
      </c>
      <c r="M1482" s="13" t="e">
        <v>#N/A</v>
      </c>
      <c r="N1482" s="14" t="e">
        <v>#N/A</v>
      </c>
      <c r="O1482" s="14" t="e">
        <v>#N/A</v>
      </c>
      <c r="P1482" s="14" t="e">
        <v>#N/A</v>
      </c>
      <c r="Q1482" s="14" t="e">
        <v>#N/A</v>
      </c>
      <c r="R1482" s="15" t="s">
        <v>9543</v>
      </c>
      <c r="S1482" s="15" t="s">
        <v>5925</v>
      </c>
      <c r="T1482" s="16" t="s">
        <v>3477</v>
      </c>
      <c r="U1482" s="11" t="str">
        <f>_xlfn.XLOOKUP(Customer[[#This Row],[Customer ID]],[1]!Address[ID],[1]!Address[Phone No.(2)])</f>
        <v/>
      </c>
      <c r="V1482" s="11" t="str">
        <f>_xlfn.XLOOKUP(Customer[[#This Row],[Customer ID]],[1]!Address[ID],[1]!Address[Type])</f>
        <v>CAFE</v>
      </c>
      <c r="W1482" s="11" t="str">
        <f>_xlfn.XLOOKUP(Customer[[#This Row],[Customer ID]],[1]!Address[ID],[1]!Address[CT])</f>
        <v>30 DAYS</v>
      </c>
      <c r="X1482" s="11"/>
      <c r="Y1482" s="17" t="s">
        <v>5926</v>
      </c>
      <c r="Z1482" s="17" t="e">
        <f>_xlfn.XLOOKUP(Customer[[#This Row],[NewType]],$AF$36:$AF$54,$AG$36:$AG$54)</f>
        <v>#N/A</v>
      </c>
      <c r="AA1482" s="17" t="s">
        <v>9544</v>
      </c>
      <c r="AB1482" s="11" t="str">
        <f>_xlfn.XLOOKUP(Customer[[#This Row],[Customer ID]],[1]!Address[ID],[1]!Address[Subtype])</f>
        <v>PLUS</v>
      </c>
      <c r="AC1482" s="18" t="str">
        <f>_xlfn.XLOOKUP(Customer[[#This Row],[Customer ID]],[1]!Address[ID],[1]!Address[Zone])</f>
        <v>NORTH</v>
      </c>
    </row>
    <row r="1483" spans="1:29" x14ac:dyDescent="0.3">
      <c r="A1483" s="37" t="s">
        <v>9545</v>
      </c>
      <c r="B1483" s="38" t="str">
        <f>_xlfn.XLOOKUP(Customer[[#This Row],[Customer ID]],[1]!Name[ID],[1]!Name[Description(1)])</f>
        <v>PAK TAM ZAM CAFE</v>
      </c>
      <c r="C1483" s="38" t="str">
        <f>_xlfn.XLOOKUP(Customer[[#This Row],[Customer ID]],[1]!Name[ID],[1]!Name[Description(2)])</f>
        <v/>
      </c>
      <c r="D1483" s="38" t="str">
        <f>_xlfn.XLOOKUP(Customer[[#This Row],[Customer ID]],[1]!Address[ID],[1]!Address[PIC])</f>
        <v/>
      </c>
      <c r="E1483" s="38" t="str">
        <f>_xlfn.XLOOKUP(Customer[[#This Row],[Customer ID]],[1]!Address[ID],[1]!Address[Full Address])</f>
        <v>KEDAI NO 07 HENTIAN NILAIARAH UTARA R&amp;R NILAI NORTHBOUND 71800 NILAI N SEMBILAN</v>
      </c>
      <c r="F1483" s="12" t="s">
        <v>9546</v>
      </c>
      <c r="G1483" s="12" t="s">
        <v>9547</v>
      </c>
      <c r="H1483" s="12" t="s">
        <v>9548</v>
      </c>
      <c r="I1483" s="12" t="b">
        <f>ISNUMBER(VALUE(LEFT(Customer[[#This Row],[Address Line 3 (30 char)]],1)))</f>
        <v>0</v>
      </c>
      <c r="J1483" s="12" t="s">
        <v>2004</v>
      </c>
      <c r="K1483" s="12">
        <v>71800</v>
      </c>
      <c r="L1483" s="12" t="s">
        <v>35</v>
      </c>
      <c r="M1483" s="13" t="e">
        <v>#N/A</v>
      </c>
      <c r="N1483" s="14" t="e">
        <v>#N/A</v>
      </c>
      <c r="O1483" s="14" t="e">
        <v>#N/A</v>
      </c>
      <c r="P1483" s="14" t="e">
        <v>#N/A</v>
      </c>
      <c r="Q1483" s="14" t="e">
        <v>#N/A</v>
      </c>
      <c r="R1483" s="15" t="s">
        <v>9549</v>
      </c>
      <c r="S1483" s="15" t="s">
        <v>5925</v>
      </c>
      <c r="T1483" s="16" t="s">
        <v>3477</v>
      </c>
      <c r="U1483" s="11" t="str">
        <f>_xlfn.XLOOKUP(Customer[[#This Row],[Customer ID]],[1]!Address[ID],[1]!Address[Phone No.(2)])</f>
        <v/>
      </c>
      <c r="V1483" s="11" t="str">
        <f>_xlfn.XLOOKUP(Customer[[#This Row],[Customer ID]],[1]!Address[ID],[1]!Address[Type])</f>
        <v>CAFE</v>
      </c>
      <c r="W1483" s="11" t="str">
        <f>_xlfn.XLOOKUP(Customer[[#This Row],[Customer ID]],[1]!Address[ID],[1]!Address[CT])</f>
        <v>30 DAYS</v>
      </c>
      <c r="X1483" s="11"/>
      <c r="Y1483" s="17" t="s">
        <v>5926</v>
      </c>
      <c r="Z1483" s="17" t="e">
        <f>_xlfn.XLOOKUP(Customer[[#This Row],[NewType]],$AF$36:$AF$54,$AG$36:$AG$54)</f>
        <v>#N/A</v>
      </c>
      <c r="AA1483" s="17" t="s">
        <v>9550</v>
      </c>
      <c r="AB1483" s="11" t="str">
        <f>_xlfn.XLOOKUP(Customer[[#This Row],[Customer ID]],[1]!Address[ID],[1]!Address[Subtype])</f>
        <v>PLUS</v>
      </c>
      <c r="AC1483" s="18" t="str">
        <f>_xlfn.XLOOKUP(Customer[[#This Row],[Customer ID]],[1]!Address[ID],[1]!Address[Zone])</f>
        <v>CENTRAL</v>
      </c>
    </row>
    <row r="1484" spans="1:29" x14ac:dyDescent="0.3">
      <c r="A1484" s="37" t="s">
        <v>9551</v>
      </c>
      <c r="B1484" s="38" t="str">
        <f>_xlfn.XLOOKUP(Customer[[#This Row],[Customer ID]],[1]!Name[ID],[1]!Name[Description(1)])</f>
        <v>PN ASLINA ABU</v>
      </c>
      <c r="C1484" s="38" t="str">
        <f>_xlfn.XLOOKUP(Customer[[#This Row],[Customer ID]],[1]!Name[ID],[1]!Name[Description(2)])</f>
        <v>MACHAP SELATAN NO 6 PLUS</v>
      </c>
      <c r="D1484" s="38" t="str">
        <f>_xlfn.XLOOKUP(Customer[[#This Row],[Customer ID]],[1]!Address[ID],[1]!Address[PIC])</f>
        <v/>
      </c>
      <c r="E1484" s="38" t="str">
        <f>_xlfn.XLOOKUP(Customer[[#This Row],[Customer ID]],[1]!Address[ID],[1]!Address[Full Address])</f>
        <v>NO 6 KAWASAN REHATMACHAP SELATAN SIMPANG RENGGAM86200 KLUANG JOHOR</v>
      </c>
      <c r="F1484" s="12" t="s">
        <v>9552</v>
      </c>
      <c r="G1484" s="12" t="s">
        <v>9553</v>
      </c>
      <c r="H1484" s="24" t="s">
        <v>5197</v>
      </c>
      <c r="I1484" s="24" t="b">
        <f>ISNUMBER(VALUE(LEFT(Customer[[#This Row],[Address Line 3 (30 char)]],1)))</f>
        <v>0</v>
      </c>
      <c r="J1484" s="12" t="s">
        <v>1995</v>
      </c>
      <c r="K1484" s="12">
        <v>86200</v>
      </c>
      <c r="L1484" s="12" t="s">
        <v>35</v>
      </c>
      <c r="M1484" s="13" t="e">
        <v>#N/A</v>
      </c>
      <c r="N1484" s="14" t="e">
        <v>#N/A</v>
      </c>
      <c r="O1484" s="14" t="e">
        <v>#N/A</v>
      </c>
      <c r="P1484" s="14" t="e">
        <v>#N/A</v>
      </c>
      <c r="Q1484" s="14" t="e">
        <v>#N/A</v>
      </c>
      <c r="R1484" s="15" t="s">
        <v>9554</v>
      </c>
      <c r="S1484" s="15" t="s">
        <v>5925</v>
      </c>
      <c r="T1484" s="16" t="s">
        <v>3477</v>
      </c>
      <c r="U1484" s="11" t="str">
        <f>_xlfn.XLOOKUP(Customer[[#This Row],[Customer ID]],[1]!Address[ID],[1]!Address[Phone No.(2)])</f>
        <v/>
      </c>
      <c r="V1484" s="11" t="str">
        <f>_xlfn.XLOOKUP(Customer[[#This Row],[Customer ID]],[1]!Address[ID],[1]!Address[Type])</f>
        <v>CAFE</v>
      </c>
      <c r="W1484" s="11" t="str">
        <f>_xlfn.XLOOKUP(Customer[[#This Row],[Customer ID]],[1]!Address[ID],[1]!Address[CT])</f>
        <v>30 DAYS</v>
      </c>
      <c r="X1484" s="11"/>
      <c r="Y1484" s="17" t="s">
        <v>5926</v>
      </c>
      <c r="Z1484" s="17" t="e">
        <f>_xlfn.XLOOKUP(Customer[[#This Row],[NewType]],$AF$36:$AF$54,$AG$36:$AG$54)</f>
        <v>#N/A</v>
      </c>
      <c r="AA1484" s="17" t="s">
        <v>9555</v>
      </c>
      <c r="AB1484" s="11" t="str">
        <f>_xlfn.XLOOKUP(Customer[[#This Row],[Customer ID]],[1]!Address[ID],[1]!Address[Subtype])</f>
        <v>PLUS</v>
      </c>
      <c r="AC1484" s="18" t="str">
        <f>_xlfn.XLOOKUP(Customer[[#This Row],[Customer ID]],[1]!Address[ID],[1]!Address[Zone])</f>
        <v>SOUTH</v>
      </c>
    </row>
    <row r="1485" spans="1:29" x14ac:dyDescent="0.3">
      <c r="A1485" s="37" t="s">
        <v>9556</v>
      </c>
      <c r="B1485" s="38" t="str">
        <f>_xlfn.XLOOKUP(Customer[[#This Row],[Customer ID]],[1]!Name[ID],[1]!Name[Description(1)])</f>
        <v>MNK CAFE</v>
      </c>
      <c r="C1485" s="38" t="str">
        <f>_xlfn.XLOOKUP(Customer[[#This Row],[Customer ID]],[1]!Name[ID],[1]!Name[Description(2)])</f>
        <v>R&amp;R DENGKIL ARAH UTARA NO 10</v>
      </c>
      <c r="D1485" s="38" t="str">
        <f>_xlfn.XLOOKUP(Customer[[#This Row],[Customer ID]],[1]!Address[ID],[1]!Address[PIC])</f>
        <v/>
      </c>
      <c r="E1485" s="38" t="str">
        <f>_xlfn.XLOOKUP(Customer[[#This Row],[Customer ID]],[1]!Address[ID],[1]!Address[Full Address])</f>
        <v>STALL 10 L/RAYA HUBUNGAN TENGAH (ELITE)KWSN REHAT &amp; RAWAT DENGKIL UTARA43800 DENGKIL SELANGOR</v>
      </c>
      <c r="F1485" s="12" t="s">
        <v>9557</v>
      </c>
      <c r="G1485" s="12" t="s">
        <v>9558</v>
      </c>
      <c r="H1485" s="12" t="s">
        <v>9559</v>
      </c>
      <c r="I1485" s="12" t="b">
        <f>ISNUMBER(VALUE(LEFT(Customer[[#This Row],[Address Line 3 (30 char)]],1)))</f>
        <v>0</v>
      </c>
      <c r="J1485" s="12" t="s">
        <v>172</v>
      </c>
      <c r="K1485" s="12">
        <v>43800</v>
      </c>
      <c r="L1485" s="12" t="s">
        <v>35</v>
      </c>
      <c r="M1485" s="13" t="e">
        <v>#N/A</v>
      </c>
      <c r="N1485" s="14" t="e">
        <v>#N/A</v>
      </c>
      <c r="O1485" s="14" t="e">
        <v>#N/A</v>
      </c>
      <c r="P1485" s="14" t="e">
        <v>#N/A</v>
      </c>
      <c r="Q1485" s="14" t="e">
        <v>#N/A</v>
      </c>
      <c r="R1485" s="15" t="s">
        <v>9560</v>
      </c>
      <c r="S1485" s="15" t="s">
        <v>5925</v>
      </c>
      <c r="T1485" s="16" t="s">
        <v>3477</v>
      </c>
      <c r="U1485" s="11" t="str">
        <f>_xlfn.XLOOKUP(Customer[[#This Row],[Customer ID]],[1]!Address[ID],[1]!Address[Phone No.(2)])</f>
        <v/>
      </c>
      <c r="V1485" s="11" t="str">
        <f>_xlfn.XLOOKUP(Customer[[#This Row],[Customer ID]],[1]!Address[ID],[1]!Address[Type])</f>
        <v>CAFE</v>
      </c>
      <c r="W1485" s="11" t="str">
        <f>_xlfn.XLOOKUP(Customer[[#This Row],[Customer ID]],[1]!Address[ID],[1]!Address[CT])</f>
        <v>30 DAYS</v>
      </c>
      <c r="X1485" s="11"/>
      <c r="Y1485" s="17" t="s">
        <v>5926</v>
      </c>
      <c r="Z1485" s="17" t="e">
        <f>_xlfn.XLOOKUP(Customer[[#This Row],[NewType]],$AF$36:$AF$54,$AG$36:$AG$54)</f>
        <v>#N/A</v>
      </c>
      <c r="AA1485" s="17" t="s">
        <v>9561</v>
      </c>
      <c r="AB1485" s="11" t="str">
        <f>_xlfn.XLOOKUP(Customer[[#This Row],[Customer ID]],[1]!Address[ID],[1]!Address[Subtype])</f>
        <v>PLUS</v>
      </c>
      <c r="AC1485" s="18" t="str">
        <f>_xlfn.XLOOKUP(Customer[[#This Row],[Customer ID]],[1]!Address[ID],[1]!Address[Zone])</f>
        <v>&amp;RWUSNH</v>
      </c>
    </row>
    <row r="1486" spans="1:29" x14ac:dyDescent="0.3">
      <c r="A1486" s="37" t="s">
        <v>9562</v>
      </c>
      <c r="B1486" s="38" t="str">
        <f>_xlfn.XLOOKUP(Customer[[#This Row],[Customer ID]],[1]!Name[ID],[1]!Name[Description(1)])</f>
        <v>RESTORAN JUMAAT</v>
      </c>
      <c r="C1486" s="38" t="str">
        <f>_xlfn.XLOOKUP(Customer[[#This Row],[Customer ID]],[1]!Name[ID],[1]!Name[Description(2)])</f>
        <v>JUMAAT CAFE</v>
      </c>
      <c r="D1486" s="38" t="str">
        <f>_xlfn.XLOOKUP(Customer[[#This Row],[Customer ID]],[1]!Address[ID],[1]!Address[PIC])</f>
        <v/>
      </c>
      <c r="E1486" s="38" t="str">
        <f>_xlfn.XLOOKUP(Customer[[#This Row],[Customer ID]],[1]!Address[ID],[1]!Address[Full Address])</f>
        <v>NO 7 KAWASAN REHAT &amp; RAWATMACHAP ARAH UTARA86000 JOHOR</v>
      </c>
      <c r="F1486" s="12" t="s">
        <v>9563</v>
      </c>
      <c r="G1486" s="12" t="s">
        <v>9564</v>
      </c>
      <c r="H1486" s="24"/>
      <c r="I1486" s="24" t="b">
        <f>ISNUMBER(VALUE(LEFT(Customer[[#This Row],[Address Line 3 (30 char)]],1)))</f>
        <v>0</v>
      </c>
      <c r="J1486" s="12" t="s">
        <v>1995</v>
      </c>
      <c r="K1486" s="12">
        <v>86000</v>
      </c>
      <c r="L1486" s="12" t="s">
        <v>35</v>
      </c>
      <c r="M1486" s="13" t="e">
        <v>#N/A</v>
      </c>
      <c r="N1486" s="14" t="e">
        <v>#N/A</v>
      </c>
      <c r="O1486" s="14" t="e">
        <v>#N/A</v>
      </c>
      <c r="P1486" s="14" t="e">
        <v>#N/A</v>
      </c>
      <c r="Q1486" s="14" t="e">
        <v>#N/A</v>
      </c>
      <c r="R1486" s="15" t="s">
        <v>9565</v>
      </c>
      <c r="S1486" s="15" t="s">
        <v>5925</v>
      </c>
      <c r="T1486" s="16" t="s">
        <v>3477</v>
      </c>
      <c r="U1486" s="11" t="str">
        <f>_xlfn.XLOOKUP(Customer[[#This Row],[Customer ID]],[1]!Address[ID],[1]!Address[Phone No.(2)])</f>
        <v/>
      </c>
      <c r="V1486" s="11" t="str">
        <f>_xlfn.XLOOKUP(Customer[[#This Row],[Customer ID]],[1]!Address[ID],[1]!Address[Type])</f>
        <v>CAFE</v>
      </c>
      <c r="W1486" s="11" t="str">
        <f>_xlfn.XLOOKUP(Customer[[#This Row],[Customer ID]],[1]!Address[ID],[1]!Address[CT])</f>
        <v>30 DAYS</v>
      </c>
      <c r="X1486" s="11"/>
      <c r="Y1486" s="17" t="s">
        <v>5926</v>
      </c>
      <c r="Z1486" s="17" t="e">
        <f>_xlfn.XLOOKUP(Customer[[#This Row],[NewType]],$AF$36:$AF$54,$AG$36:$AG$54)</f>
        <v>#N/A</v>
      </c>
      <c r="AA1486" s="17" t="s">
        <v>9566</v>
      </c>
      <c r="AB1486" s="11" t="str">
        <f>_xlfn.XLOOKUP(Customer[[#This Row],[Customer ID]],[1]!Address[ID],[1]!Address[Subtype])</f>
        <v>PLUS</v>
      </c>
      <c r="AC1486" s="18" t="str">
        <f>_xlfn.XLOOKUP(Customer[[#This Row],[Customer ID]],[1]!Address[ID],[1]!Address[Zone])</f>
        <v>SOUTH</v>
      </c>
    </row>
    <row r="1487" spans="1:29" x14ac:dyDescent="0.3">
      <c r="A1487" s="37" t="s">
        <v>9567</v>
      </c>
      <c r="B1487" s="38" t="str">
        <f>_xlfn.XLOOKUP(Customer[[#This Row],[Customer ID]],[1]!Name[ID],[1]!Name[Description(1)])</f>
        <v>ROSLINDA CAFE</v>
      </c>
      <c r="C1487" s="38" t="str">
        <f>_xlfn.XLOOKUP(Customer[[#This Row],[Customer ID]],[1]!Name[ID],[1]!Name[Description(2)])</f>
        <v/>
      </c>
      <c r="D1487" s="38" t="str">
        <f>_xlfn.XLOOKUP(Customer[[#This Row],[Customer ID]],[1]!Address[ID],[1]!Address[PIC])</f>
        <v/>
      </c>
      <c r="E1487" s="38" t="str">
        <f>_xlfn.XLOOKUP(Customer[[#This Row],[Customer ID]],[1]!Address[ID],[1]!Address[Full Address])</f>
        <v>BUTTER TEA ENT BANDAR MAHARANIKAWASAN REHAT DAN RAWAT GELANG PATAHARAH SELATAN,BUKIT KUCHING,81550 JOHOR</v>
      </c>
      <c r="F1487" s="41" t="s">
        <v>9568</v>
      </c>
      <c r="G1487" s="12" t="s">
        <v>9569</v>
      </c>
      <c r="H1487" s="12" t="s">
        <v>9570</v>
      </c>
      <c r="I1487" s="12" t="b">
        <f>ISNUMBER(VALUE(LEFT(Customer[[#This Row],[Address Line 3 (30 char)]],1)))</f>
        <v>0</v>
      </c>
      <c r="J1487" s="12" t="s">
        <v>1995</v>
      </c>
      <c r="K1487" s="12">
        <v>81550</v>
      </c>
      <c r="L1487" s="12" t="s">
        <v>35</v>
      </c>
      <c r="M1487" s="13" t="e">
        <v>#N/A</v>
      </c>
      <c r="N1487" s="14" t="e">
        <v>#N/A</v>
      </c>
      <c r="O1487" s="14" t="e">
        <v>#N/A</v>
      </c>
      <c r="P1487" s="14" t="e">
        <v>#N/A</v>
      </c>
      <c r="Q1487" s="14" t="e">
        <v>#N/A</v>
      </c>
      <c r="R1487" s="15" t="s">
        <v>9571</v>
      </c>
      <c r="S1487" s="15" t="s">
        <v>5925</v>
      </c>
      <c r="T1487" s="16" t="s">
        <v>3477</v>
      </c>
      <c r="U1487" s="11" t="str">
        <f>_xlfn.XLOOKUP(Customer[[#This Row],[Customer ID]],[1]!Address[ID],[1]!Address[Phone No.(2)])</f>
        <v/>
      </c>
      <c r="V1487" s="11" t="str">
        <f>_xlfn.XLOOKUP(Customer[[#This Row],[Customer ID]],[1]!Address[ID],[1]!Address[Type])</f>
        <v>CAFE</v>
      </c>
      <c r="W1487" s="11" t="str">
        <f>_xlfn.XLOOKUP(Customer[[#This Row],[Customer ID]],[1]!Address[ID],[1]!Address[CT])</f>
        <v>30 DAYS</v>
      </c>
      <c r="X1487" s="11"/>
      <c r="Y1487" s="17" t="s">
        <v>5926</v>
      </c>
      <c r="Z1487" s="17" t="e">
        <f>_xlfn.XLOOKUP(Customer[[#This Row],[NewType]],$AF$36:$AF$54,$AG$36:$AG$54)</f>
        <v>#N/A</v>
      </c>
      <c r="AA1487" s="17" t="s">
        <v>9572</v>
      </c>
      <c r="AB1487" s="11" t="str">
        <f>_xlfn.XLOOKUP(Customer[[#This Row],[Customer ID]],[1]!Address[ID],[1]!Address[Subtype])</f>
        <v>PLUS</v>
      </c>
      <c r="AC1487" s="18" t="str">
        <f>_xlfn.XLOOKUP(Customer[[#This Row],[Customer ID]],[1]!Address[ID],[1]!Address[Zone])</f>
        <v>SOUTH</v>
      </c>
    </row>
    <row r="1488" spans="1:29" x14ac:dyDescent="0.3">
      <c r="A1488" s="37" t="s">
        <v>9573</v>
      </c>
      <c r="B1488" s="38" t="str">
        <f>_xlfn.XLOOKUP(Customer[[#This Row],[Customer ID]],[1]!Name[ID],[1]!Name[Description(1)])</f>
        <v>SERI MELODY</v>
      </c>
      <c r="C1488" s="38" t="str">
        <f>_xlfn.XLOOKUP(Customer[[#This Row],[Customer ID]],[1]!Name[ID],[1]!Name[Description(2)])</f>
        <v/>
      </c>
      <c r="D1488" s="38" t="str">
        <f>_xlfn.XLOOKUP(Customer[[#This Row],[Customer ID]],[1]!Address[ID],[1]!Address[PIC])</f>
        <v/>
      </c>
      <c r="E1488" s="38" t="str">
        <f>_xlfn.XLOOKUP(Customer[[#This Row],[Customer ID]],[1]!Address[ID],[1]!Address[Full Address])</f>
        <v>S09, KAWASAN REHAT &amp;RAWAT DENGKIL ARAHSELATAN,</v>
      </c>
      <c r="F1488" s="12" t="s">
        <v>9574</v>
      </c>
      <c r="G1488" s="12" t="s">
        <v>9575</v>
      </c>
      <c r="H1488" s="12" t="s">
        <v>9576</v>
      </c>
      <c r="I1488" s="12" t="b">
        <f>ISNUMBER(VALUE(LEFT(Customer[[#This Row],[Address Line 3 (30 char)]],1)))</f>
        <v>0</v>
      </c>
      <c r="J1488" s="12" t="s">
        <v>172</v>
      </c>
      <c r="K1488" s="12">
        <v>63000</v>
      </c>
      <c r="L1488" s="12" t="s">
        <v>35</v>
      </c>
      <c r="M1488" s="13" t="e">
        <v>#N/A</v>
      </c>
      <c r="N1488" s="14" t="e">
        <v>#N/A</v>
      </c>
      <c r="O1488" s="14" t="e">
        <v>#N/A</v>
      </c>
      <c r="P1488" s="14" t="e">
        <v>#N/A</v>
      </c>
      <c r="Q1488" s="14" t="e">
        <v>#N/A</v>
      </c>
      <c r="R1488" s="15" t="s">
        <v>9577</v>
      </c>
      <c r="S1488" s="15" t="s">
        <v>5925</v>
      </c>
      <c r="T1488" s="16" t="s">
        <v>3477</v>
      </c>
      <c r="U1488" s="11" t="str">
        <f>_xlfn.XLOOKUP(Customer[[#This Row],[Customer ID]],[1]!Address[ID],[1]!Address[Phone No.(2)])</f>
        <v/>
      </c>
      <c r="V1488" s="11" t="str">
        <f>_xlfn.XLOOKUP(Customer[[#This Row],[Customer ID]],[1]!Address[ID],[1]!Address[Type])</f>
        <v>CAFE</v>
      </c>
      <c r="W1488" s="11" t="str">
        <f>_xlfn.XLOOKUP(Customer[[#This Row],[Customer ID]],[1]!Address[ID],[1]!Address[CT])</f>
        <v>30 DAYS</v>
      </c>
      <c r="X1488" s="11"/>
      <c r="Y1488" s="17" t="s">
        <v>5926</v>
      </c>
      <c r="Z1488" s="17" t="e">
        <f>_xlfn.XLOOKUP(Customer[[#This Row],[NewType]],$AF$36:$AF$54,$AG$36:$AG$54)</f>
        <v>#N/A</v>
      </c>
      <c r="AA1488" s="17" t="s">
        <v>9578</v>
      </c>
      <c r="AB1488" s="11" t="str">
        <f>_xlfn.XLOOKUP(Customer[[#This Row],[Customer ID]],[1]!Address[ID],[1]!Address[Subtype])</f>
        <v>PLUS</v>
      </c>
      <c r="AC1488" s="18" t="str">
        <f>_xlfn.XLOOKUP(Customer[[#This Row],[Customer ID]],[1]!Address[ID],[1]!Address[Zone])</f>
        <v>CENTRAL</v>
      </c>
    </row>
    <row r="1489" spans="1:29" x14ac:dyDescent="0.3">
      <c r="A1489" s="37" t="s">
        <v>9579</v>
      </c>
      <c r="B1489" s="38" t="str">
        <f>_xlfn.XLOOKUP(Customer[[#This Row],[Customer ID]],[1]!Name[ID],[1]!Name[Description(1)])</f>
        <v>SOUP &amp; PORRIDGE</v>
      </c>
      <c r="C1489" s="38" t="str">
        <f>_xlfn.XLOOKUP(Customer[[#This Row],[Customer ID]],[1]!Name[ID],[1]!Name[Description(2)])</f>
        <v>HAZIQ ENTERPRISE (PLUS)</v>
      </c>
      <c r="D1489" s="38" t="str">
        <f>_xlfn.XLOOKUP(Customer[[#This Row],[Customer ID]],[1]!Address[ID],[1]!Address[PIC])</f>
        <v/>
      </c>
      <c r="E1489" s="38" t="str">
        <f>_xlfn.XLOOKUP(Customer[[#This Row],[Customer ID]],[1]!Address[ID],[1]!Address[Full Address])</f>
        <v>LOT S10-NB &amp; S12-NB,ARAH UTARA, RESTORANJEJANTAS SUNGAI BULOH</v>
      </c>
      <c r="F1489" s="12" t="s">
        <v>9580</v>
      </c>
      <c r="G1489" s="12" t="s">
        <v>9581</v>
      </c>
      <c r="H1489" s="12" t="s">
        <v>9582</v>
      </c>
      <c r="I1489" s="12" t="b">
        <f>ISNUMBER(VALUE(LEFT(Customer[[#This Row],[Address Line 3 (30 char)]],1)))</f>
        <v>0</v>
      </c>
      <c r="J1489" s="12" t="s">
        <v>1907</v>
      </c>
      <c r="K1489" s="12">
        <v>47830</v>
      </c>
      <c r="L1489" s="12" t="s">
        <v>35</v>
      </c>
      <c r="M1489" s="13" t="e">
        <v>#N/A</v>
      </c>
      <c r="N1489" s="14" t="e">
        <v>#N/A</v>
      </c>
      <c r="O1489" s="14" t="e">
        <v>#N/A</v>
      </c>
      <c r="P1489" s="14" t="e">
        <v>#N/A</v>
      </c>
      <c r="Q1489" s="14" t="e">
        <v>#N/A</v>
      </c>
      <c r="R1489" s="15" t="s">
        <v>9583</v>
      </c>
      <c r="S1489" s="15" t="s">
        <v>5925</v>
      </c>
      <c r="T1489" s="16" t="s">
        <v>3477</v>
      </c>
      <c r="U1489" s="11" t="str">
        <f>_xlfn.XLOOKUP(Customer[[#This Row],[Customer ID]],[1]!Address[ID],[1]!Address[Phone No.(2)])</f>
        <v/>
      </c>
      <c r="V1489" s="11" t="str">
        <f>_xlfn.XLOOKUP(Customer[[#This Row],[Customer ID]],[1]!Address[ID],[1]!Address[Type])</f>
        <v>CAFE</v>
      </c>
      <c r="W1489" s="11" t="str">
        <f>_xlfn.XLOOKUP(Customer[[#This Row],[Customer ID]],[1]!Address[ID],[1]!Address[CT])</f>
        <v>30 DAYS</v>
      </c>
      <c r="X1489" s="11"/>
      <c r="Y1489" s="17" t="s">
        <v>5926</v>
      </c>
      <c r="Z1489" s="17" t="e">
        <f>_xlfn.XLOOKUP(Customer[[#This Row],[NewType]],$AF$36:$AF$54,$AG$36:$AG$54)</f>
        <v>#N/A</v>
      </c>
      <c r="AA1489" s="17" t="s">
        <v>9584</v>
      </c>
      <c r="AB1489" s="11" t="str">
        <f>_xlfn.XLOOKUP(Customer[[#This Row],[Customer ID]],[1]!Address[ID],[1]!Address[Subtype])</f>
        <v>PLUS</v>
      </c>
      <c r="AC1489" s="18" t="str">
        <f>_xlfn.XLOOKUP(Customer[[#This Row],[Customer ID]],[1]!Address[ID],[1]!Address[Zone])</f>
        <v>CENTRAL</v>
      </c>
    </row>
    <row r="1490" spans="1:29" x14ac:dyDescent="0.3">
      <c r="A1490" s="37" t="s">
        <v>9585</v>
      </c>
      <c r="B1490" s="38" t="str">
        <f>_xlfn.XLOOKUP(Customer[[#This Row],[Customer ID]],[1]!Name[ID],[1]!Name[Description(1)])</f>
        <v>PUAN NOR SEHA KARIM</v>
      </c>
      <c r="C1490" s="38" t="str">
        <f>_xlfn.XLOOKUP(Customer[[#This Row],[Customer ID]],[1]!Name[ID],[1]!Name[Description(2)])</f>
        <v>ENHANCED PERFORMANCE SOLUTIONS SDN BHD</v>
      </c>
      <c r="D1490" s="38" t="str">
        <f>_xlfn.XLOOKUP(Customer[[#This Row],[Customer ID]],[1]!Address[ID],[1]!Address[PIC])</f>
        <v>SEHA</v>
      </c>
      <c r="E1490" s="38" t="str">
        <f>_xlfn.XLOOKUP(Customer[[#This Row],[Customer ID]],[1]!Address[ID],[1]!Address[Full Address])</f>
        <v>NO 11 JALAN PUTRA PERDANA 1/2,TAMAN PUTRA PERDANA47100 PUCHONG</v>
      </c>
      <c r="F1490" s="12" t="s">
        <v>9586</v>
      </c>
      <c r="G1490" s="12" t="s">
        <v>9587</v>
      </c>
      <c r="H1490" s="24" t="s">
        <v>9070</v>
      </c>
      <c r="I1490" s="24" t="b">
        <f>ISNUMBER(VALUE(LEFT(Customer[[#This Row],[Address Line 3 (30 char)]],1)))</f>
        <v>0</v>
      </c>
      <c r="J1490" s="12" t="s">
        <v>1907</v>
      </c>
      <c r="K1490" s="12">
        <v>47100</v>
      </c>
      <c r="L1490" s="12" t="s">
        <v>35</v>
      </c>
      <c r="M1490" s="13" t="e">
        <v>#N/A</v>
      </c>
      <c r="N1490" s="14" t="e">
        <v>#N/A</v>
      </c>
      <c r="O1490" s="14" t="e">
        <v>#N/A</v>
      </c>
      <c r="P1490" s="14" t="e">
        <v>#N/A</v>
      </c>
      <c r="Q1490" s="19" t="s">
        <v>9588</v>
      </c>
      <c r="R1490" s="15" t="s">
        <v>9589</v>
      </c>
      <c r="S1490" s="15" t="s">
        <v>88</v>
      </c>
      <c r="T1490" s="16" t="s">
        <v>89</v>
      </c>
      <c r="U1490" s="11" t="str">
        <f>_xlfn.XLOOKUP(Customer[[#This Row],[Customer ID]],[1]!Address[ID],[1]!Address[Phone No.(2)])</f>
        <v/>
      </c>
      <c r="V1490" s="11" t="str">
        <f>_xlfn.XLOOKUP(Customer[[#This Row],[Customer ID]],[1]!Address[ID],[1]!Address[Type])</f>
        <v>SOCMED</v>
      </c>
      <c r="W1490" s="11" t="str">
        <f>_xlfn.XLOOKUP(Customer[[#This Row],[Customer ID]],[1]!Address[ID],[1]!Address[CT])</f>
        <v/>
      </c>
      <c r="X1490" s="11"/>
      <c r="Y1490" s="17" t="s">
        <v>90</v>
      </c>
      <c r="Z1490" s="17" t="e">
        <f>_xlfn.XLOOKUP(Customer[[#This Row],[NewType]],$AF$36:$AF$54,$AG$36:$AG$54)</f>
        <v>#N/A</v>
      </c>
      <c r="AA1490" s="17" t="s">
        <v>9590</v>
      </c>
      <c r="AB1490" s="11" t="str">
        <f>_xlfn.XLOOKUP(Customer[[#This Row],[Customer ID]],[1]!Address[ID],[1]!Address[Subtype])</f>
        <v>ONLINE ROS</v>
      </c>
      <c r="AC1490" s="18" t="str">
        <f>_xlfn.XLOOKUP(Customer[[#This Row],[Customer ID]],[1]!Address[ID],[1]!Address[Zone])</f>
        <v>EEEDH</v>
      </c>
    </row>
    <row r="1491" spans="1:29" x14ac:dyDescent="0.3">
      <c r="A1491" s="37" t="s">
        <v>9591</v>
      </c>
      <c r="B1491" s="38" t="str">
        <f>_xlfn.XLOOKUP(Customer[[#This Row],[Customer ID]],[1]!Name[ID],[1]!Name[Description(1)])</f>
        <v>SREE CAFE</v>
      </c>
      <c r="C1491" s="38" t="str">
        <f>_xlfn.XLOOKUP(Customer[[#This Row],[Customer ID]],[1]!Name[ID],[1]!Name[Description(2)])</f>
        <v>GERAI MINUMAN SHANTRA SEKARAN(PLUS)</v>
      </c>
      <c r="D1491" s="38" t="str">
        <f>_xlfn.XLOOKUP(Customer[[#This Row],[Customer ID]],[1]!Address[ID],[1]!Address[PIC])</f>
        <v/>
      </c>
      <c r="E1491" s="38" t="str">
        <f>_xlfn.XLOOKUP(Customer[[#This Row],[Customer ID]],[1]!Address[ID],[1]!Address[Full Address])</f>
        <v>GERAI NO.2,KAWASAN REHAT &amp; RAWAT AYERKEROH ARAH UTARA,78000ALOR GAJAH MELAKA.</v>
      </c>
      <c r="F1491" s="12" t="s">
        <v>9592</v>
      </c>
      <c r="G1491" s="12" t="s">
        <v>9593</v>
      </c>
      <c r="H1491" s="12" t="s">
        <v>9594</v>
      </c>
      <c r="I1491" s="12" t="b">
        <f>ISNUMBER(VALUE(LEFT(Customer[[#This Row],[Address Line 3 (30 char)]],1)))</f>
        <v>0</v>
      </c>
      <c r="J1491" s="12" t="s">
        <v>61</v>
      </c>
      <c r="K1491" s="12">
        <v>78000</v>
      </c>
      <c r="L1491" s="12" t="s">
        <v>35</v>
      </c>
      <c r="M1491" s="13" t="e">
        <v>#N/A</v>
      </c>
      <c r="N1491" s="14" t="e">
        <v>#N/A</v>
      </c>
      <c r="O1491" s="14" t="e">
        <v>#N/A</v>
      </c>
      <c r="P1491" s="14" t="e">
        <v>#N/A</v>
      </c>
      <c r="Q1491" s="14" t="e">
        <v>#N/A</v>
      </c>
      <c r="R1491" s="15" t="s">
        <v>9595</v>
      </c>
      <c r="S1491" s="15" t="s">
        <v>5925</v>
      </c>
      <c r="T1491" s="16" t="s">
        <v>3477</v>
      </c>
      <c r="U1491" s="11" t="str">
        <f>_xlfn.XLOOKUP(Customer[[#This Row],[Customer ID]],[1]!Address[ID],[1]!Address[Phone No.(2)])</f>
        <v/>
      </c>
      <c r="V1491" s="11" t="str">
        <f>_xlfn.XLOOKUP(Customer[[#This Row],[Customer ID]],[1]!Address[ID],[1]!Address[Type])</f>
        <v>CAFE</v>
      </c>
      <c r="W1491" s="11" t="str">
        <f>_xlfn.XLOOKUP(Customer[[#This Row],[Customer ID]],[1]!Address[ID],[1]!Address[CT])</f>
        <v>30 DAYS</v>
      </c>
      <c r="X1491" s="11"/>
      <c r="Y1491" s="17" t="s">
        <v>5926</v>
      </c>
      <c r="Z1491" s="17" t="e">
        <f>_xlfn.XLOOKUP(Customer[[#This Row],[NewType]],$AF$36:$AF$54,$AG$36:$AG$54)</f>
        <v>#N/A</v>
      </c>
      <c r="AA1491" s="17" t="s">
        <v>9596</v>
      </c>
      <c r="AB1491" s="11" t="str">
        <f>_xlfn.XLOOKUP(Customer[[#This Row],[Customer ID]],[1]!Address[ID],[1]!Address[Subtype])</f>
        <v>PLUS</v>
      </c>
      <c r="AC1491" s="18" t="str">
        <f>_xlfn.XLOOKUP(Customer[[#This Row],[Customer ID]],[1]!Address[ID],[1]!Address[Zone])</f>
        <v>SOUTH</v>
      </c>
    </row>
    <row r="1492" spans="1:29" x14ac:dyDescent="0.3">
      <c r="A1492" s="37" t="s">
        <v>9597</v>
      </c>
      <c r="B1492" s="38" t="str">
        <f>_xlfn.XLOOKUP(Customer[[#This Row],[Customer ID]],[1]!Name[ID],[1]!Name[Description(1)])</f>
        <v>SUMAAYAH BINTI KHAMIS</v>
      </c>
      <c r="C1492" s="38" t="str">
        <f>_xlfn.XLOOKUP(Customer[[#This Row],[Customer ID]],[1]!Name[ID],[1]!Name[Description(2)])</f>
        <v/>
      </c>
      <c r="D1492" s="38" t="str">
        <f>_xlfn.XLOOKUP(Customer[[#This Row],[Customer ID]],[1]!Address[ID],[1]!Address[PIC])</f>
        <v/>
      </c>
      <c r="E1492" s="38" t="str">
        <f>_xlfn.XLOOKUP(Customer[[#This Row],[Customer ID]],[1]!Address[ID],[1]!Address[Full Address])</f>
        <v>GERAI NO 1, KM 74,MACHAP ARAH SELATAN,86200 SIMPANG RENGGAM KLUANG JOHOR</v>
      </c>
      <c r="F1492" s="12" t="s">
        <v>9598</v>
      </c>
      <c r="G1492" s="12" t="s">
        <v>9599</v>
      </c>
      <c r="H1492" s="12" t="s">
        <v>9600</v>
      </c>
      <c r="I1492" s="12" t="b">
        <f>ISNUMBER(VALUE(LEFT(Customer[[#This Row],[Address Line 3 (30 char)]],1)))</f>
        <v>0</v>
      </c>
      <c r="J1492" s="12" t="s">
        <v>1995</v>
      </c>
      <c r="K1492" s="12">
        <v>86800</v>
      </c>
      <c r="L1492" s="12" t="s">
        <v>35</v>
      </c>
      <c r="M1492" s="13" t="e">
        <v>#N/A</v>
      </c>
      <c r="N1492" s="14" t="e">
        <v>#N/A</v>
      </c>
      <c r="O1492" s="14" t="e">
        <v>#N/A</v>
      </c>
      <c r="P1492" s="14" t="e">
        <v>#N/A</v>
      </c>
      <c r="Q1492" s="14" t="e">
        <v>#N/A</v>
      </c>
      <c r="R1492" s="15" t="s">
        <v>9601</v>
      </c>
      <c r="S1492" s="15" t="s">
        <v>5925</v>
      </c>
      <c r="T1492" s="16" t="s">
        <v>3477</v>
      </c>
      <c r="U1492" s="11" t="str">
        <f>_xlfn.XLOOKUP(Customer[[#This Row],[Customer ID]],[1]!Address[ID],[1]!Address[Phone No.(2)])</f>
        <v/>
      </c>
      <c r="V1492" s="11" t="str">
        <f>_xlfn.XLOOKUP(Customer[[#This Row],[Customer ID]],[1]!Address[ID],[1]!Address[Type])</f>
        <v>CAFE</v>
      </c>
      <c r="W1492" s="11" t="str">
        <f>_xlfn.XLOOKUP(Customer[[#This Row],[Customer ID]],[1]!Address[ID],[1]!Address[CT])</f>
        <v>30 DAYS</v>
      </c>
      <c r="X1492" s="11"/>
      <c r="Y1492" s="17" t="s">
        <v>5926</v>
      </c>
      <c r="Z1492" s="17" t="e">
        <f>_xlfn.XLOOKUP(Customer[[#This Row],[NewType]],$AF$36:$AF$54,$AG$36:$AG$54)</f>
        <v>#N/A</v>
      </c>
      <c r="AA1492" s="17" t="s">
        <v>9602</v>
      </c>
      <c r="AB1492" s="11" t="str">
        <f>_xlfn.XLOOKUP(Customer[[#This Row],[Customer ID]],[1]!Address[ID],[1]!Address[Subtype])</f>
        <v>PLUS</v>
      </c>
      <c r="AC1492" s="18" t="str">
        <f>_xlfn.XLOOKUP(Customer[[#This Row],[Customer ID]],[1]!Address[ID],[1]!Address[Zone])</f>
        <v>SOUTH</v>
      </c>
    </row>
    <row r="1493" spans="1:29" x14ac:dyDescent="0.3">
      <c r="A1493" s="37" t="s">
        <v>9603</v>
      </c>
      <c r="B1493" s="38" t="str">
        <f>_xlfn.XLOOKUP(Customer[[#This Row],[Customer ID]],[1]!Name[ID],[1]!Name[Description(1)])</f>
        <v>TERATAK AA</v>
      </c>
      <c r="C1493" s="38" t="str">
        <f>_xlfn.XLOOKUP(Customer[[#This Row],[Customer ID]],[1]!Name[ID],[1]!Name[Description(2)])</f>
        <v/>
      </c>
      <c r="D1493" s="38" t="str">
        <f>_xlfn.XLOOKUP(Customer[[#This Row],[Customer ID]],[1]!Address[ID],[1]!Address[PIC])</f>
        <v/>
      </c>
      <c r="E1493" s="38" t="str">
        <f>_xlfn.XLOOKUP(Customer[[#This Row],[Customer ID]],[1]!Address[ID],[1]!Address[Full Address])</f>
        <v>KIOSK NO 4,R&amp;R ULUBERNAM,ARAH SELATAN,SELANGOR</v>
      </c>
      <c r="F1493" s="12" t="s">
        <v>9604</v>
      </c>
      <c r="G1493" s="12" t="s">
        <v>9605</v>
      </c>
      <c r="H1493" s="12" t="s">
        <v>172</v>
      </c>
      <c r="I1493" s="12" t="b">
        <f>ISNUMBER(VALUE(LEFT(Customer[[#This Row],[Address Line 3 (30 char)]],1)))</f>
        <v>0</v>
      </c>
      <c r="J1493" s="12" t="s">
        <v>1907</v>
      </c>
      <c r="K1493" s="12">
        <v>50480</v>
      </c>
      <c r="L1493" s="12" t="s">
        <v>35</v>
      </c>
      <c r="M1493" s="13" t="e">
        <v>#N/A</v>
      </c>
      <c r="N1493" s="14" t="e">
        <v>#N/A</v>
      </c>
      <c r="O1493" s="14" t="e">
        <v>#N/A</v>
      </c>
      <c r="P1493" s="14" t="e">
        <v>#N/A</v>
      </c>
      <c r="Q1493" s="14" t="e">
        <v>#N/A</v>
      </c>
      <c r="R1493" s="15" t="s">
        <v>9606</v>
      </c>
      <c r="S1493" s="15" t="s">
        <v>5925</v>
      </c>
      <c r="T1493" s="16" t="s">
        <v>3477</v>
      </c>
      <c r="U1493" s="11" t="str">
        <f>_xlfn.XLOOKUP(Customer[[#This Row],[Customer ID]],[1]!Address[ID],[1]!Address[Phone No.(2)])</f>
        <v/>
      </c>
      <c r="V1493" s="11" t="str">
        <f>_xlfn.XLOOKUP(Customer[[#This Row],[Customer ID]],[1]!Address[ID],[1]!Address[Type])</f>
        <v>CAFE</v>
      </c>
      <c r="W1493" s="11" t="str">
        <f>_xlfn.XLOOKUP(Customer[[#This Row],[Customer ID]],[1]!Address[ID],[1]!Address[CT])</f>
        <v>30 DAYS</v>
      </c>
      <c r="X1493" s="11"/>
      <c r="Y1493" s="17" t="s">
        <v>5926</v>
      </c>
      <c r="Z1493" s="17" t="e">
        <f>_xlfn.XLOOKUP(Customer[[#This Row],[NewType]],$AF$36:$AF$54,$AG$36:$AG$54)</f>
        <v>#N/A</v>
      </c>
      <c r="AA1493" s="17" t="s">
        <v>9607</v>
      </c>
      <c r="AB1493" s="11" t="str">
        <f>_xlfn.XLOOKUP(Customer[[#This Row],[Customer ID]],[1]!Address[ID],[1]!Address[Subtype])</f>
        <v>PLUS</v>
      </c>
      <c r="AC1493" s="18" t="str">
        <f>_xlfn.XLOOKUP(Customer[[#This Row],[Customer ID]],[1]!Address[ID],[1]!Address[Zone])</f>
        <v>AEFEH</v>
      </c>
    </row>
    <row r="1494" spans="1:29" x14ac:dyDescent="0.3">
      <c r="A1494" s="37" t="s">
        <v>9608</v>
      </c>
      <c r="B1494" s="38" t="str">
        <f>_xlfn.XLOOKUP(Customer[[#This Row],[Customer ID]],[1]!Name[ID],[1]!Name[Description(1)])</f>
        <v>WARIGH DEN CAFE</v>
      </c>
      <c r="C1494" s="38" t="str">
        <f>_xlfn.XLOOKUP(Customer[[#This Row],[Customer ID]],[1]!Name[ID],[1]!Name[Description(2)])</f>
        <v/>
      </c>
      <c r="D1494" s="38" t="str">
        <f>_xlfn.XLOOKUP(Customer[[#This Row],[Customer ID]],[1]!Address[ID],[1]!Address[PIC])</f>
        <v/>
      </c>
      <c r="E1494" s="38" t="str">
        <f>_xlfn.XLOOKUP(Customer[[#This Row],[Customer ID]],[1]!Address[ID],[1]!Address[Full Address])</f>
        <v>NO.9, KAWASAN REHATDAN RAWAT MAMBAUARAH UTARA, 70300 SEREMBAN N SEMBILAN</v>
      </c>
      <c r="F1494" s="12" t="s">
        <v>9609</v>
      </c>
      <c r="G1494" s="12" t="s">
        <v>9610</v>
      </c>
      <c r="H1494" s="12" t="s">
        <v>9611</v>
      </c>
      <c r="I1494" s="12" t="b">
        <f>ISNUMBER(VALUE(LEFT(Customer[[#This Row],[Address Line 3 (30 char)]],1)))</f>
        <v>0</v>
      </c>
      <c r="J1494" s="12" t="s">
        <v>2004</v>
      </c>
      <c r="K1494" s="12">
        <v>70300</v>
      </c>
      <c r="L1494" s="12" t="s">
        <v>35</v>
      </c>
      <c r="M1494" s="13" t="e">
        <v>#N/A</v>
      </c>
      <c r="N1494" s="14" t="e">
        <v>#N/A</v>
      </c>
      <c r="O1494" s="14" t="e">
        <v>#N/A</v>
      </c>
      <c r="P1494" s="14" t="e">
        <v>#N/A</v>
      </c>
      <c r="Q1494" s="14" t="e">
        <v>#N/A</v>
      </c>
      <c r="R1494" s="15" t="s">
        <v>9612</v>
      </c>
      <c r="S1494" s="15" t="s">
        <v>5925</v>
      </c>
      <c r="T1494" s="16" t="s">
        <v>3477</v>
      </c>
      <c r="U1494" s="11" t="str">
        <f>_xlfn.XLOOKUP(Customer[[#This Row],[Customer ID]],[1]!Address[ID],[1]!Address[Phone No.(2)])</f>
        <v/>
      </c>
      <c r="V1494" s="11" t="str">
        <f>_xlfn.XLOOKUP(Customer[[#This Row],[Customer ID]],[1]!Address[ID],[1]!Address[Type])</f>
        <v>CAFE</v>
      </c>
      <c r="W1494" s="11" t="str">
        <f>_xlfn.XLOOKUP(Customer[[#This Row],[Customer ID]],[1]!Address[ID],[1]!Address[CT])</f>
        <v>30 DAYS</v>
      </c>
      <c r="X1494" s="11"/>
      <c r="Y1494" s="17" t="s">
        <v>5926</v>
      </c>
      <c r="Z1494" s="17" t="e">
        <f>_xlfn.XLOOKUP(Customer[[#This Row],[NewType]],$AF$36:$AF$54,$AG$36:$AG$54)</f>
        <v>#N/A</v>
      </c>
      <c r="AA1494" s="17" t="s">
        <v>9613</v>
      </c>
      <c r="AB1494" s="11" t="str">
        <f>_xlfn.XLOOKUP(Customer[[#This Row],[Customer ID]],[1]!Address[ID],[1]!Address[Subtype])</f>
        <v>PLUS</v>
      </c>
      <c r="AC1494" s="18" t="str">
        <f>_xlfn.XLOOKUP(Customer[[#This Row],[Customer ID]],[1]!Address[ID],[1]!Address[Zone])</f>
        <v>CENTRAL</v>
      </c>
    </row>
    <row r="1495" spans="1:29" x14ac:dyDescent="0.3">
      <c r="A1495" s="37" t="s">
        <v>9614</v>
      </c>
      <c r="B1495" s="38" t="str">
        <f>_xlfn.XLOOKUP(Customer[[#This Row],[Customer ID]],[1]!Name[ID],[1]!Name[Description(1)])</f>
        <v>ABD MALEK CHIN ABDULLAH</v>
      </c>
      <c r="C1495" s="38" t="str">
        <f>_xlfn.XLOOKUP(Customer[[#This Row],[Customer ID]],[1]!Name[ID],[1]!Name[Description(2)])</f>
        <v/>
      </c>
      <c r="D1495" s="38" t="str">
        <f>_xlfn.XLOOKUP(Customer[[#This Row],[Customer ID]],[1]!Address[ID],[1]!Address[PIC])</f>
        <v/>
      </c>
      <c r="E1495" s="38" t="str">
        <f>_xlfn.XLOOKUP(Customer[[#This Row],[Customer ID]],[1]!Address[ID],[1]!Address[Full Address])</f>
        <v>LOT 10 CAFE (PLUS)NO.10, KM205, LEBUHRAYAAYER KEROH,ALOR GAJAH,78000 MELAKA</v>
      </c>
      <c r="F1495" s="12" t="s">
        <v>9615</v>
      </c>
      <c r="G1495" s="12" t="s">
        <v>9616</v>
      </c>
      <c r="H1495" s="12" t="s">
        <v>9617</v>
      </c>
      <c r="I1495" s="12" t="b">
        <f>ISNUMBER(VALUE(LEFT(Customer[[#This Row],[Address Line 3 (30 char)]],1)))</f>
        <v>0</v>
      </c>
      <c r="J1495" s="12" t="s">
        <v>61</v>
      </c>
      <c r="K1495" s="12">
        <v>78000</v>
      </c>
      <c r="L1495" s="12" t="s">
        <v>35</v>
      </c>
      <c r="M1495" s="13" t="e">
        <v>#N/A</v>
      </c>
      <c r="N1495" s="14" t="e">
        <v>#N/A</v>
      </c>
      <c r="O1495" s="14" t="e">
        <v>#N/A</v>
      </c>
      <c r="P1495" s="14" t="e">
        <v>#N/A</v>
      </c>
      <c r="Q1495" s="14" t="e">
        <v>#N/A</v>
      </c>
      <c r="R1495" s="15" t="s">
        <v>9618</v>
      </c>
      <c r="S1495" s="15" t="s">
        <v>5925</v>
      </c>
      <c r="T1495" s="16" t="s">
        <v>3477</v>
      </c>
      <c r="U1495" s="11" t="str">
        <f>_xlfn.XLOOKUP(Customer[[#This Row],[Customer ID]],[1]!Address[ID],[1]!Address[Phone No.(2)])</f>
        <v/>
      </c>
      <c r="V1495" s="11" t="str">
        <f>_xlfn.XLOOKUP(Customer[[#This Row],[Customer ID]],[1]!Address[ID],[1]!Address[Type])</f>
        <v>CAFE</v>
      </c>
      <c r="W1495" s="11" t="str">
        <f>_xlfn.XLOOKUP(Customer[[#This Row],[Customer ID]],[1]!Address[ID],[1]!Address[CT])</f>
        <v>30 DAYS</v>
      </c>
      <c r="X1495" s="11"/>
      <c r="Y1495" s="17" t="s">
        <v>5926</v>
      </c>
      <c r="Z1495" s="17" t="e">
        <f>_xlfn.XLOOKUP(Customer[[#This Row],[NewType]],$AF$36:$AF$54,$AG$36:$AG$54)</f>
        <v>#N/A</v>
      </c>
      <c r="AA1495" s="17" t="s">
        <v>9619</v>
      </c>
      <c r="AB1495" s="11" t="str">
        <f>_xlfn.XLOOKUP(Customer[[#This Row],[Customer ID]],[1]!Address[ID],[1]!Address[Subtype])</f>
        <v>PLUS</v>
      </c>
      <c r="AC1495" s="18" t="str">
        <f>_xlfn.XLOOKUP(Customer[[#This Row],[Customer ID]],[1]!Address[ID],[1]!Address[Zone])</f>
        <v>SOUTH</v>
      </c>
    </row>
    <row r="1496" spans="1:29" x14ac:dyDescent="0.3">
      <c r="A1496" s="37" t="s">
        <v>9620</v>
      </c>
      <c r="B1496" s="38" t="str">
        <f>_xlfn.XLOOKUP(Customer[[#This Row],[Customer ID]],[1]!Name[ID],[1]!Name[Description(1)])</f>
        <v>MACHAP S/B NO4</v>
      </c>
      <c r="C1496" s="38" t="str">
        <f>_xlfn.XLOOKUP(Customer[[#This Row],[Customer ID]],[1]!Name[ID],[1]!Name[Description(2)])</f>
        <v>MAT ISA BIN SELAMAT</v>
      </c>
      <c r="D1496" s="38" t="str">
        <f>_xlfn.XLOOKUP(Customer[[#This Row],[Customer ID]],[1]!Address[ID],[1]!Address[PIC])</f>
        <v/>
      </c>
      <c r="E1496" s="38" t="str">
        <f>_xlfn.XLOOKUP(Customer[[#This Row],[Customer ID]],[1]!Address[ID],[1]!Address[Full Address])</f>
        <v>GERAI NO 4, KM 74, RSA MACHAP SELATAN,86200 SIMPANG RENGGAM,JOHOR</v>
      </c>
      <c r="F1496" s="12" t="s">
        <v>9621</v>
      </c>
      <c r="G1496" s="12" t="s">
        <v>9622</v>
      </c>
      <c r="H1496" s="12" t="s">
        <v>9623</v>
      </c>
      <c r="I1496" s="12" t="b">
        <f>ISNUMBER(VALUE(LEFT(Customer[[#This Row],[Address Line 3 (30 char)]],1)))</f>
        <v>0</v>
      </c>
      <c r="J1496" s="12" t="s">
        <v>52</v>
      </c>
      <c r="K1496" s="12">
        <v>86200</v>
      </c>
      <c r="L1496" s="12" t="s">
        <v>35</v>
      </c>
      <c r="M1496" s="13" t="e">
        <v>#N/A</v>
      </c>
      <c r="N1496" s="14" t="e">
        <v>#N/A</v>
      </c>
      <c r="O1496" s="14" t="e">
        <v>#N/A</v>
      </c>
      <c r="P1496" s="14" t="e">
        <v>#N/A</v>
      </c>
      <c r="Q1496" s="14" t="s">
        <v>9624</v>
      </c>
      <c r="R1496" s="15" t="s">
        <v>9601</v>
      </c>
      <c r="S1496" s="15" t="s">
        <v>5925</v>
      </c>
      <c r="T1496" s="16" t="s">
        <v>3477</v>
      </c>
      <c r="U1496" s="11" t="str">
        <f>_xlfn.XLOOKUP(Customer[[#This Row],[Customer ID]],[1]!Address[ID],[1]!Address[Phone No.(2)])</f>
        <v/>
      </c>
      <c r="V1496" s="11" t="str">
        <f>_xlfn.XLOOKUP(Customer[[#This Row],[Customer ID]],[1]!Address[ID],[1]!Address[Type])</f>
        <v>CAFE</v>
      </c>
      <c r="W1496" s="11" t="str">
        <f>_xlfn.XLOOKUP(Customer[[#This Row],[Customer ID]],[1]!Address[ID],[1]!Address[CT])</f>
        <v>30 DAYS</v>
      </c>
      <c r="X1496" s="11"/>
      <c r="Y1496" s="17" t="s">
        <v>5926</v>
      </c>
      <c r="Z1496" s="17" t="e">
        <f>_xlfn.XLOOKUP(Customer[[#This Row],[NewType]],$AF$36:$AF$54,$AG$36:$AG$54)</f>
        <v>#N/A</v>
      </c>
      <c r="AA1496" s="17" t="s">
        <v>9625</v>
      </c>
      <c r="AB1496" s="11" t="str">
        <f>_xlfn.XLOOKUP(Customer[[#This Row],[Customer ID]],[1]!Address[ID],[1]!Address[Subtype])</f>
        <v>PLUS</v>
      </c>
      <c r="AC1496" s="18" t="str">
        <f>_xlfn.XLOOKUP(Customer[[#This Row],[Customer ID]],[1]!Address[ID],[1]!Address[Zone])</f>
        <v>SOUTH</v>
      </c>
    </row>
    <row r="1497" spans="1:29" x14ac:dyDescent="0.3">
      <c r="A1497" s="37" t="s">
        <v>9626</v>
      </c>
      <c r="B1497" s="38" t="str">
        <f>_xlfn.XLOOKUP(Customer[[#This Row],[Customer ID]],[1]!Name[ID],[1]!Name[Description(1)])</f>
        <v>AN- NUR CAFE</v>
      </c>
      <c r="C1497" s="38" t="str">
        <f>_xlfn.XLOOKUP(Customer[[#This Row],[Customer ID]],[1]!Name[ID],[1]!Name[Description(2)])</f>
        <v/>
      </c>
      <c r="D1497" s="38" t="str">
        <f>_xlfn.XLOOKUP(Customer[[#This Row],[Customer ID]],[1]!Address[ID],[1]!Address[PIC])</f>
        <v/>
      </c>
      <c r="E1497" s="38" t="str">
        <f>_xlfn.XLOOKUP(Customer[[#This Row],[Customer ID]],[1]!Address[ID],[1]!Address[Full Address])</f>
        <v>GERAI NO 9 HENTIAN SERDANG ARAH SELATANPROJEK USAHASAMA BERHAD4330 SRI KEMBANGAN SLEANGOR</v>
      </c>
      <c r="F1497" s="12" t="s">
        <v>9627</v>
      </c>
      <c r="G1497" s="12" t="s">
        <v>9628</v>
      </c>
      <c r="H1497" s="12" t="s">
        <v>9629</v>
      </c>
      <c r="I1497" s="12" t="b">
        <f>ISNUMBER(VALUE(LEFT(Customer[[#This Row],[Address Line 3 (30 char)]],1)))</f>
        <v>0</v>
      </c>
      <c r="J1497" s="12" t="s">
        <v>172</v>
      </c>
      <c r="K1497" s="12">
        <v>43300</v>
      </c>
      <c r="L1497" s="12" t="s">
        <v>35</v>
      </c>
      <c r="M1497" s="13" t="e">
        <v>#N/A</v>
      </c>
      <c r="N1497" s="14" t="e">
        <v>#N/A</v>
      </c>
      <c r="O1497" s="14" t="e">
        <v>#N/A</v>
      </c>
      <c r="P1497" s="14" t="e">
        <v>#N/A</v>
      </c>
      <c r="Q1497" s="14" t="e">
        <v>#N/A</v>
      </c>
      <c r="R1497" s="15" t="s">
        <v>9630</v>
      </c>
      <c r="S1497" s="15" t="s">
        <v>5925</v>
      </c>
      <c r="T1497" s="16" t="s">
        <v>3477</v>
      </c>
      <c r="U1497" s="11" t="str">
        <f>_xlfn.XLOOKUP(Customer[[#This Row],[Customer ID]],[1]!Address[ID],[1]!Address[Phone No.(2)])</f>
        <v/>
      </c>
      <c r="V1497" s="11" t="str">
        <f>_xlfn.XLOOKUP(Customer[[#This Row],[Customer ID]],[1]!Address[ID],[1]!Address[Type])</f>
        <v>CAFE</v>
      </c>
      <c r="W1497" s="11" t="str">
        <f>_xlfn.XLOOKUP(Customer[[#This Row],[Customer ID]],[1]!Address[ID],[1]!Address[CT])</f>
        <v>30 DAYS</v>
      </c>
      <c r="X1497" s="11"/>
      <c r="Y1497" s="17" t="s">
        <v>5926</v>
      </c>
      <c r="Z1497" s="17" t="e">
        <f>_xlfn.XLOOKUP(Customer[[#This Row],[NewType]],$AF$36:$AF$54,$AG$36:$AG$54)</f>
        <v>#N/A</v>
      </c>
      <c r="AA1497" s="17" t="s">
        <v>9631</v>
      </c>
      <c r="AB1497" s="11" t="str">
        <f>_xlfn.XLOOKUP(Customer[[#This Row],[Customer ID]],[1]!Address[ID],[1]!Address[Subtype])</f>
        <v>PLUS</v>
      </c>
      <c r="AC1497" s="18">
        <f>_xlfn.XLOOKUP(Customer[[#This Row],[Customer ID]],[1]!Address[ID],[1]!Address[Zone])</f>
        <v>0</v>
      </c>
    </row>
    <row r="1498" spans="1:29" x14ac:dyDescent="0.3">
      <c r="A1498" s="37" t="s">
        <v>9632</v>
      </c>
      <c r="B1498" s="38" t="str">
        <f>_xlfn.XLOOKUP(Customer[[#This Row],[Customer ID]],[1]!Name[ID],[1]!Name[Description(1)])</f>
        <v>ATIQA CORNER</v>
      </c>
      <c r="C1498" s="38" t="str">
        <f>_xlfn.XLOOKUP(Customer[[#This Row],[Customer ID]],[1]!Name[ID],[1]!Name[Description(2)])</f>
        <v/>
      </c>
      <c r="D1498" s="38" t="str">
        <f>_xlfn.XLOOKUP(Customer[[#This Row],[Customer ID]],[1]!Address[ID],[1]!Address[PIC])</f>
        <v/>
      </c>
      <c r="E1498" s="38" t="str">
        <f>_xlfn.XLOOKUP(Customer[[#This Row],[Customer ID]],[1]!Address[ID],[1]!Address[Full Address])</f>
        <v>NO 4 R&amp;R SEREMBAN ARAH UTARALEBUHRAYA UTARA SELATAN (PLUS)71900 LABU NEGERI SEMBILAN</v>
      </c>
      <c r="F1498" s="12" t="s">
        <v>9633</v>
      </c>
      <c r="G1498" s="12" t="s">
        <v>9634</v>
      </c>
      <c r="H1498" s="24" t="s">
        <v>9635</v>
      </c>
      <c r="I1498" s="24" t="b">
        <f>ISNUMBER(VALUE(LEFT(Customer[[#This Row],[Address Line 3 (30 char)]],1)))</f>
        <v>0</v>
      </c>
      <c r="J1498" s="12" t="s">
        <v>2004</v>
      </c>
      <c r="K1498" s="12">
        <v>71900</v>
      </c>
      <c r="L1498" s="12" t="s">
        <v>35</v>
      </c>
      <c r="M1498" s="13" t="e">
        <v>#N/A</v>
      </c>
      <c r="N1498" s="14" t="e">
        <v>#N/A</v>
      </c>
      <c r="O1498" s="14" t="e">
        <v>#N/A</v>
      </c>
      <c r="P1498" s="14" t="e">
        <v>#N/A</v>
      </c>
      <c r="Q1498" s="14" t="e">
        <v>#N/A</v>
      </c>
      <c r="R1498" s="15" t="s">
        <v>9636</v>
      </c>
      <c r="S1498" s="15" t="s">
        <v>5925</v>
      </c>
      <c r="T1498" s="16" t="s">
        <v>3477</v>
      </c>
      <c r="U1498" s="11" t="str">
        <f>_xlfn.XLOOKUP(Customer[[#This Row],[Customer ID]],[1]!Address[ID],[1]!Address[Phone No.(2)])</f>
        <v/>
      </c>
      <c r="V1498" s="11" t="str">
        <f>_xlfn.XLOOKUP(Customer[[#This Row],[Customer ID]],[1]!Address[ID],[1]!Address[Type])</f>
        <v>CAFE</v>
      </c>
      <c r="W1498" s="11" t="str">
        <f>_xlfn.XLOOKUP(Customer[[#This Row],[Customer ID]],[1]!Address[ID],[1]!Address[CT])</f>
        <v>30 DAYS</v>
      </c>
      <c r="X1498" s="11"/>
      <c r="Y1498" s="17" t="s">
        <v>5926</v>
      </c>
      <c r="Z1498" s="17" t="e">
        <f>_xlfn.XLOOKUP(Customer[[#This Row],[NewType]],$AF$36:$AF$54,$AG$36:$AG$54)</f>
        <v>#N/A</v>
      </c>
      <c r="AA1498" s="17" t="s">
        <v>9637</v>
      </c>
      <c r="AB1498" s="11" t="str">
        <f>_xlfn.XLOOKUP(Customer[[#This Row],[Customer ID]],[1]!Address[ID],[1]!Address[Subtype])</f>
        <v>PLUS</v>
      </c>
      <c r="AC1498" s="18" t="str">
        <f>_xlfn.XLOOKUP(Customer[[#This Row],[Customer ID]],[1]!Address[ID],[1]!Address[Zone])</f>
        <v>CENTRAL</v>
      </c>
    </row>
    <row r="1499" spans="1:29" x14ac:dyDescent="0.3">
      <c r="A1499" s="43" t="s">
        <v>9638</v>
      </c>
      <c r="B1499" s="44" t="str">
        <f>_xlfn.XLOOKUP(Customer[[#This Row],[Customer ID]],[1]!Name[ID],[1]!Name[Description(1)])</f>
        <v>C-CREATE CUP CORNER</v>
      </c>
      <c r="C1499" s="38" t="str">
        <f>_xlfn.XLOOKUP(Customer[[#This Row],[Customer ID]],[1]!Name[ID],[1]!Name[Description(2)])</f>
        <v/>
      </c>
      <c r="D1499" s="38" t="str">
        <f>_xlfn.XLOOKUP(Customer[[#This Row],[Customer ID]],[1]!Address[ID],[1]!Address[PIC])</f>
        <v/>
      </c>
      <c r="E1499" s="38" t="str">
        <f>_xlfn.XLOOKUP(Customer[[#This Row],[Customer ID]],[1]!Address[ID],[1]!Address[Full Address])</f>
        <v>NO 8 GURUN ARAH SELATAN08300 GURUN KEDAH</v>
      </c>
      <c r="F1499" s="12" t="s">
        <v>9639</v>
      </c>
      <c r="G1499" s="12" t="s">
        <v>9640</v>
      </c>
      <c r="H1499" s="12" t="s">
        <v>36</v>
      </c>
      <c r="I1499" s="12" t="b">
        <f>ISNUMBER(VALUE(LEFT(Customer[[#This Row],[Address Line 3 (30 char)]],1)))</f>
        <v>0</v>
      </c>
      <c r="J1499" s="12" t="s">
        <v>79</v>
      </c>
      <c r="K1499" s="30" t="s">
        <v>1336</v>
      </c>
      <c r="L1499" s="12" t="s">
        <v>35</v>
      </c>
      <c r="M1499" s="13" t="e">
        <v>#N/A</v>
      </c>
      <c r="N1499" s="14" t="e">
        <v>#N/A</v>
      </c>
      <c r="O1499" s="14" t="e">
        <v>#N/A</v>
      </c>
      <c r="P1499" s="14" t="e">
        <v>#N/A</v>
      </c>
      <c r="Q1499" s="14" t="e">
        <v>#N/A</v>
      </c>
      <c r="R1499" s="15" t="s">
        <v>9641</v>
      </c>
      <c r="S1499" s="15" t="s">
        <v>5925</v>
      </c>
      <c r="T1499" s="16" t="s">
        <v>3477</v>
      </c>
      <c r="U1499" s="11" t="str">
        <f>_xlfn.XLOOKUP(Customer[[#This Row],[Customer ID]],[1]!Address[ID],[1]!Address[Phone No.(2)])</f>
        <v/>
      </c>
      <c r="V1499" s="11" t="str">
        <f>_xlfn.XLOOKUP(Customer[[#This Row],[Customer ID]],[1]!Address[ID],[1]!Address[Type])</f>
        <v>CAFE</v>
      </c>
      <c r="W1499" s="11" t="str">
        <f>_xlfn.XLOOKUP(Customer[[#This Row],[Customer ID]],[1]!Address[ID],[1]!Address[CT])</f>
        <v>30 DAYS</v>
      </c>
      <c r="X1499" s="11"/>
      <c r="Y1499" s="17" t="s">
        <v>5926</v>
      </c>
      <c r="Z1499" s="17" t="e">
        <f>_xlfn.XLOOKUP(Customer[[#This Row],[NewType]],$AF$36:$AF$54,$AG$36:$AG$54)</f>
        <v>#N/A</v>
      </c>
      <c r="AA1499" s="17" t="s">
        <v>9642</v>
      </c>
      <c r="AB1499" s="11" t="str">
        <f>_xlfn.XLOOKUP(Customer[[#This Row],[Customer ID]],[1]!Address[ID],[1]!Address[Subtype])</f>
        <v>PLUS</v>
      </c>
      <c r="AC1499" s="18" t="str">
        <f>_xlfn.XLOOKUP(Customer[[#This Row],[Customer ID]],[1]!Address[ID],[1]!Address[Zone])</f>
        <v>NORTH</v>
      </c>
    </row>
    <row r="1500" spans="1:29" x14ac:dyDescent="0.3">
      <c r="A1500" s="37" t="s">
        <v>9643</v>
      </c>
      <c r="B1500" s="38" t="str">
        <f>_xlfn.XLOOKUP(Customer[[#This Row],[Customer ID]],[1]!Name[ID],[1]!Name[Description(1)])</f>
        <v>CAFE SINAR</v>
      </c>
      <c r="C1500" s="38" t="str">
        <f>_xlfn.XLOOKUP(Customer[[#This Row],[Customer ID]],[1]!Name[ID],[1]!Name[Description(2)])</f>
        <v/>
      </c>
      <c r="D1500" s="38" t="str">
        <f>_xlfn.XLOOKUP(Customer[[#This Row],[Customer ID]],[1]!Address[ID],[1]!Address[PIC])</f>
        <v/>
      </c>
      <c r="E1500" s="38" t="str">
        <f>_xlfn.XLOOKUP(Customer[[#This Row],[Customer ID]],[1]!Address[ID],[1]!Address[Full Address])</f>
        <v>NO. 7 KAWASAN REHAT DAN RAWATLEBUHRAYA UTARA SELATAN (PLUS)35900 HULU BERNAM, TJ MALIM, PERAK</v>
      </c>
      <c r="F1500" s="12" t="s">
        <v>9644</v>
      </c>
      <c r="G1500" s="12" t="s">
        <v>9634</v>
      </c>
      <c r="H1500" s="12" t="s">
        <v>9645</v>
      </c>
      <c r="I1500" s="12" t="b">
        <f>ISNUMBER(VALUE(LEFT(Customer[[#This Row],[Address Line 3 (30 char)]],1)))</f>
        <v>0</v>
      </c>
      <c r="J1500" s="12" t="s">
        <v>242</v>
      </c>
      <c r="K1500" s="12">
        <v>35900</v>
      </c>
      <c r="L1500" s="12" t="s">
        <v>35</v>
      </c>
      <c r="M1500" s="13" t="e">
        <v>#N/A</v>
      </c>
      <c r="N1500" s="14" t="e">
        <v>#N/A</v>
      </c>
      <c r="O1500" s="14" t="e">
        <v>#N/A</v>
      </c>
      <c r="P1500" s="14" t="e">
        <v>#N/A</v>
      </c>
      <c r="Q1500" s="14" t="e">
        <v>#N/A</v>
      </c>
      <c r="R1500" s="15" t="s">
        <v>9646</v>
      </c>
      <c r="S1500" s="15" t="s">
        <v>5925</v>
      </c>
      <c r="T1500" s="16" t="s">
        <v>3477</v>
      </c>
      <c r="U1500" s="11" t="str">
        <f>_xlfn.XLOOKUP(Customer[[#This Row],[Customer ID]],[1]!Address[ID],[1]!Address[Phone No.(2)])</f>
        <v/>
      </c>
      <c r="V1500" s="11" t="str">
        <f>_xlfn.XLOOKUP(Customer[[#This Row],[Customer ID]],[1]!Address[ID],[1]!Address[Type])</f>
        <v>CAFE</v>
      </c>
      <c r="W1500" s="11" t="str">
        <f>_xlfn.XLOOKUP(Customer[[#This Row],[Customer ID]],[1]!Address[ID],[1]!Address[CT])</f>
        <v>30 DAYS</v>
      </c>
      <c r="X1500" s="11"/>
      <c r="Y1500" s="17" t="s">
        <v>5926</v>
      </c>
      <c r="Z1500" s="17" t="e">
        <f>_xlfn.XLOOKUP(Customer[[#This Row],[NewType]],$AF$36:$AF$54,$AG$36:$AG$54)</f>
        <v>#N/A</v>
      </c>
      <c r="AA1500" s="17" t="s">
        <v>9647</v>
      </c>
      <c r="AB1500" s="11" t="str">
        <f>_xlfn.XLOOKUP(Customer[[#This Row],[Customer ID]],[1]!Address[ID],[1]!Address[Subtype])</f>
        <v>PLUS</v>
      </c>
      <c r="AC1500" s="18" t="str">
        <f>_xlfn.XLOOKUP(Customer[[#This Row],[Customer ID]],[1]!Address[ID],[1]!Address[Zone])</f>
        <v>NORTH</v>
      </c>
    </row>
    <row r="1501" spans="1:29" x14ac:dyDescent="0.3">
      <c r="A1501" s="43" t="s">
        <v>9648</v>
      </c>
      <c r="B1501" s="44" t="str">
        <f>_xlfn.XLOOKUP(Customer[[#This Row],[Customer ID]],[1]!Name[ID],[1]!Name[Description(1)])</f>
        <v>DIG DE GURUN</v>
      </c>
      <c r="C1501" s="38" t="str">
        <f>_xlfn.XLOOKUP(Customer[[#This Row],[Customer ID]],[1]!Name[ID],[1]!Name[Description(2)])</f>
        <v/>
      </c>
      <c r="D1501" s="38" t="str">
        <f>_xlfn.XLOOKUP(Customer[[#This Row],[Customer ID]],[1]!Address[ID],[1]!Address[PIC])</f>
        <v/>
      </c>
      <c r="E1501" s="38" t="str">
        <f>_xlfn.XLOOKUP(Customer[[#This Row],[Customer ID]],[1]!Address[ID],[1]!Address[Full Address])</f>
        <v>NO 6 RNR GURUN SB 08700 GURUN</v>
      </c>
      <c r="F1501" s="12" t="s">
        <v>9649</v>
      </c>
      <c r="G1501" s="12" t="s">
        <v>36</v>
      </c>
      <c r="H1501" s="12" t="s">
        <v>36</v>
      </c>
      <c r="I1501" s="12" t="b">
        <f>ISNUMBER(VALUE(LEFT(Customer[[#This Row],[Address Line 3 (30 char)]],1)))</f>
        <v>0</v>
      </c>
      <c r="J1501" s="12" t="s">
        <v>79</v>
      </c>
      <c r="K1501" s="30" t="s">
        <v>9650</v>
      </c>
      <c r="L1501" s="12" t="s">
        <v>35</v>
      </c>
      <c r="M1501" s="13" t="e">
        <v>#N/A</v>
      </c>
      <c r="N1501" s="14" t="e">
        <v>#N/A</v>
      </c>
      <c r="O1501" s="14" t="e">
        <v>#N/A</v>
      </c>
      <c r="P1501" s="14" t="e">
        <v>#N/A</v>
      </c>
      <c r="Q1501" s="14" t="e">
        <v>#N/A</v>
      </c>
      <c r="R1501" s="15" t="s">
        <v>9651</v>
      </c>
      <c r="S1501" s="15" t="s">
        <v>5925</v>
      </c>
      <c r="T1501" s="16" t="s">
        <v>3477</v>
      </c>
      <c r="U1501" s="11" t="str">
        <f>_xlfn.XLOOKUP(Customer[[#This Row],[Customer ID]],[1]!Address[ID],[1]!Address[Phone No.(2)])</f>
        <v/>
      </c>
      <c r="V1501" s="11" t="str">
        <f>_xlfn.XLOOKUP(Customer[[#This Row],[Customer ID]],[1]!Address[ID],[1]!Address[Type])</f>
        <v>CAFE</v>
      </c>
      <c r="W1501" s="11" t="str">
        <f>_xlfn.XLOOKUP(Customer[[#This Row],[Customer ID]],[1]!Address[ID],[1]!Address[CT])</f>
        <v>30 DAYS</v>
      </c>
      <c r="X1501" s="11"/>
      <c r="Y1501" s="17" t="s">
        <v>5926</v>
      </c>
      <c r="Z1501" s="17" t="e">
        <f>_xlfn.XLOOKUP(Customer[[#This Row],[NewType]],$AF$36:$AF$54,$AG$36:$AG$54)</f>
        <v>#N/A</v>
      </c>
      <c r="AA1501" s="17" t="s">
        <v>9652</v>
      </c>
      <c r="AB1501" s="11" t="str">
        <f>_xlfn.XLOOKUP(Customer[[#This Row],[Customer ID]],[1]!Address[ID],[1]!Address[Subtype])</f>
        <v>PLUS</v>
      </c>
      <c r="AC1501" s="18" t="str">
        <f>_xlfn.XLOOKUP(Customer[[#This Row],[Customer ID]],[1]!Address[ID],[1]!Address[Zone])</f>
        <v>NORTH</v>
      </c>
    </row>
    <row r="1502" spans="1:29" x14ac:dyDescent="0.3">
      <c r="A1502" s="43" t="s">
        <v>9653</v>
      </c>
      <c r="B1502" s="44" t="str">
        <f>_xlfn.XLOOKUP(Customer[[#This Row],[Customer ID]],[1]!Name[ID],[1]!Name[Description(1)])</f>
        <v>ETHNO WORLD RESOURCES</v>
      </c>
      <c r="C1502" s="38" t="str">
        <f>_xlfn.XLOOKUP(Customer[[#This Row],[Customer ID]],[1]!Name[ID],[1]!Name[Description(2)])</f>
        <v/>
      </c>
      <c r="D1502" s="38" t="str">
        <f>_xlfn.XLOOKUP(Customer[[#This Row],[Customer ID]],[1]!Address[ID],[1]!Address[PIC])</f>
        <v/>
      </c>
      <c r="E1502" s="38" t="str">
        <f>_xlfn.XLOOKUP(Customer[[#This Row],[Customer ID]],[1]!Address[ID],[1]!Address[Full Address])</f>
        <v>NO 4, RNR GURUN ARAH UTARA,08300 GURUN, KEDAH.</v>
      </c>
      <c r="F1502" s="12" t="s">
        <v>9654</v>
      </c>
      <c r="G1502" s="12" t="s">
        <v>9655</v>
      </c>
      <c r="H1502" s="12" t="s">
        <v>36</v>
      </c>
      <c r="I1502" s="12" t="b">
        <f>ISNUMBER(VALUE(LEFT(Customer[[#This Row],[Address Line 3 (30 char)]],1)))</f>
        <v>0</v>
      </c>
      <c r="J1502" s="12" t="s">
        <v>79</v>
      </c>
      <c r="K1502" s="30" t="s">
        <v>1336</v>
      </c>
      <c r="L1502" s="12" t="s">
        <v>35</v>
      </c>
      <c r="M1502" s="13" t="e">
        <v>#N/A</v>
      </c>
      <c r="N1502" s="14" t="e">
        <v>#N/A</v>
      </c>
      <c r="O1502" s="14" t="e">
        <v>#N/A</v>
      </c>
      <c r="P1502" s="14" t="e">
        <v>#N/A</v>
      </c>
      <c r="Q1502" s="14" t="e">
        <v>#N/A</v>
      </c>
      <c r="R1502" s="15" t="s">
        <v>9656</v>
      </c>
      <c r="S1502" s="15" t="s">
        <v>5925</v>
      </c>
      <c r="T1502" s="16" t="s">
        <v>3477</v>
      </c>
      <c r="U1502" s="11" t="str">
        <f>_xlfn.XLOOKUP(Customer[[#This Row],[Customer ID]],[1]!Address[ID],[1]!Address[Phone No.(2)])</f>
        <v/>
      </c>
      <c r="V1502" s="11" t="str">
        <f>_xlfn.XLOOKUP(Customer[[#This Row],[Customer ID]],[1]!Address[ID],[1]!Address[Type])</f>
        <v>CAFE</v>
      </c>
      <c r="W1502" s="11" t="str">
        <f>_xlfn.XLOOKUP(Customer[[#This Row],[Customer ID]],[1]!Address[ID],[1]!Address[CT])</f>
        <v>30 DAYS</v>
      </c>
      <c r="X1502" s="11"/>
      <c r="Y1502" s="17" t="s">
        <v>5926</v>
      </c>
      <c r="Z1502" s="17" t="e">
        <f>_xlfn.XLOOKUP(Customer[[#This Row],[NewType]],$AF$36:$AF$54,$AG$36:$AG$54)</f>
        <v>#N/A</v>
      </c>
      <c r="AA1502" s="17" t="s">
        <v>9657</v>
      </c>
      <c r="AB1502" s="11" t="str">
        <f>_xlfn.XLOOKUP(Customer[[#This Row],[Customer ID]],[1]!Address[ID],[1]!Address[Subtype])</f>
        <v>PLUS</v>
      </c>
      <c r="AC1502" s="18" t="str">
        <f>_xlfn.XLOOKUP(Customer[[#This Row],[Customer ID]],[1]!Address[ID],[1]!Address[Zone])</f>
        <v>NORTH</v>
      </c>
    </row>
    <row r="1503" spans="1:29" x14ac:dyDescent="0.3">
      <c r="A1503" s="37" t="s">
        <v>9658</v>
      </c>
      <c r="B1503" s="38" t="str">
        <f>_xlfn.XLOOKUP(Customer[[#This Row],[Customer ID]],[1]!Name[ID],[1]!Name[Description(1)])</f>
        <v>GERAI MINUMAN GP</v>
      </c>
      <c r="C1503" s="38" t="str">
        <f>_xlfn.XLOOKUP(Customer[[#This Row],[Customer ID]],[1]!Name[ID],[1]!Name[Description(2)])</f>
        <v/>
      </c>
      <c r="D1503" s="38" t="str">
        <f>_xlfn.XLOOKUP(Customer[[#This Row],[Customer ID]],[1]!Address[ID],[1]!Address[PIC])</f>
        <v/>
      </c>
      <c r="E1503" s="38" t="str">
        <f>_xlfn.XLOOKUP(Customer[[#This Row],[Customer ID]],[1]!Address[ID],[1]!Address[Full Address])</f>
        <v>GERAI NO 8,KAWASAN REHAT DAN RAWATGELANG PATAH SELATAN LINK KE-2,GELANG PATAH,81550, JOHOR</v>
      </c>
      <c r="F1503" s="12" t="s">
        <v>9659</v>
      </c>
      <c r="G1503" s="12" t="s">
        <v>9533</v>
      </c>
      <c r="H1503" s="12" t="s">
        <v>9660</v>
      </c>
      <c r="I1503" s="12" t="b">
        <f>ISNUMBER(VALUE(LEFT(Customer[[#This Row],[Address Line 3 (30 char)]],1)))</f>
        <v>0</v>
      </c>
      <c r="J1503" s="12" t="s">
        <v>52</v>
      </c>
      <c r="K1503" s="12">
        <v>81550</v>
      </c>
      <c r="L1503" s="12" t="s">
        <v>35</v>
      </c>
      <c r="M1503" s="13" t="e">
        <v>#N/A</v>
      </c>
      <c r="N1503" s="14" t="e">
        <v>#N/A</v>
      </c>
      <c r="O1503" s="14" t="e">
        <v>#N/A</v>
      </c>
      <c r="P1503" s="14" t="e">
        <v>#N/A</v>
      </c>
      <c r="Q1503" s="14" t="e">
        <v>#N/A</v>
      </c>
      <c r="R1503" s="15" t="s">
        <v>36</v>
      </c>
      <c r="S1503" s="15" t="s">
        <v>5925</v>
      </c>
      <c r="T1503" s="16" t="s">
        <v>3477</v>
      </c>
      <c r="U1503" s="11" t="str">
        <f>_xlfn.XLOOKUP(Customer[[#This Row],[Customer ID]],[1]!Address[ID],[1]!Address[Phone No.(2)])</f>
        <v/>
      </c>
      <c r="V1503" s="11" t="str">
        <f>_xlfn.XLOOKUP(Customer[[#This Row],[Customer ID]],[1]!Address[ID],[1]!Address[Type])</f>
        <v>CAFE</v>
      </c>
      <c r="W1503" s="11" t="str">
        <f>_xlfn.XLOOKUP(Customer[[#This Row],[Customer ID]],[1]!Address[ID],[1]!Address[CT])</f>
        <v>30 DAYS</v>
      </c>
      <c r="X1503" s="11"/>
      <c r="Y1503" s="17" t="s">
        <v>5926</v>
      </c>
      <c r="Z1503" s="17" t="e">
        <f>_xlfn.XLOOKUP(Customer[[#This Row],[NewType]],$AF$36:$AF$54,$AG$36:$AG$54)</f>
        <v>#N/A</v>
      </c>
      <c r="AA1503" s="17" t="s">
        <v>9661</v>
      </c>
      <c r="AB1503" s="11" t="str">
        <f>_xlfn.XLOOKUP(Customer[[#This Row],[Customer ID]],[1]!Address[ID],[1]!Address[Subtype])</f>
        <v>PLUS</v>
      </c>
      <c r="AC1503" s="18" t="str">
        <f>_xlfn.XLOOKUP(Customer[[#This Row],[Customer ID]],[1]!Address[ID],[1]!Address[Zone])</f>
        <v>SOUTH</v>
      </c>
    </row>
    <row r="1504" spans="1:29" x14ac:dyDescent="0.3">
      <c r="A1504" s="37" t="s">
        <v>9662</v>
      </c>
      <c r="B1504" s="38" t="str">
        <f>_xlfn.XLOOKUP(Customer[[#This Row],[Customer ID]],[1]!Name[ID],[1]!Name[Description(1)])</f>
        <v>HIJRAH KITCHEN</v>
      </c>
      <c r="C1504" s="38" t="str">
        <f>_xlfn.XLOOKUP(Customer[[#This Row],[Customer ID]],[1]!Name[ID],[1]!Name[Description(2)])</f>
        <v/>
      </c>
      <c r="D1504" s="38" t="str">
        <f>_xlfn.XLOOKUP(Customer[[#This Row],[Customer ID]],[1]!Address[ID],[1]!Address[PIC])</f>
        <v/>
      </c>
      <c r="E1504" s="38" t="str">
        <f>_xlfn.XLOOKUP(Customer[[#This Row],[Customer ID]],[1]!Address[ID],[1]!Address[Full Address])</f>
        <v>S-10-5B, RESTORAN JEJANTASSG BULOH ARAH SELATAN,JALAN LEBUHRAYA UTARA SELATAN,47000 SUNGAI BULOH, SELANGOR</v>
      </c>
      <c r="F1504" s="12" t="s">
        <v>9663</v>
      </c>
      <c r="G1504" s="12" t="s">
        <v>9664</v>
      </c>
      <c r="H1504" s="12" t="s">
        <v>9665</v>
      </c>
      <c r="I1504" s="12" t="b">
        <f>ISNUMBER(VALUE(LEFT(Customer[[#This Row],[Address Line 3 (30 char)]],1)))</f>
        <v>0</v>
      </c>
      <c r="J1504" s="12" t="s">
        <v>1907</v>
      </c>
      <c r="K1504" s="12">
        <v>47000</v>
      </c>
      <c r="L1504" s="12" t="s">
        <v>35</v>
      </c>
      <c r="M1504" s="13" t="e">
        <v>#N/A</v>
      </c>
      <c r="N1504" s="14" t="e">
        <v>#N/A</v>
      </c>
      <c r="O1504" s="14" t="e">
        <v>#N/A</v>
      </c>
      <c r="P1504" s="14" t="e">
        <v>#N/A</v>
      </c>
      <c r="Q1504" s="14" t="e">
        <v>#N/A</v>
      </c>
      <c r="R1504" s="15" t="s">
        <v>9666</v>
      </c>
      <c r="S1504" s="15" t="s">
        <v>5925</v>
      </c>
      <c r="T1504" s="16" t="s">
        <v>3477</v>
      </c>
      <c r="U1504" s="11" t="str">
        <f>_xlfn.XLOOKUP(Customer[[#This Row],[Customer ID]],[1]!Address[ID],[1]!Address[Phone No.(2)])</f>
        <v/>
      </c>
      <c r="V1504" s="11" t="str">
        <f>_xlfn.XLOOKUP(Customer[[#This Row],[Customer ID]],[1]!Address[ID],[1]!Address[Type])</f>
        <v>CAFE</v>
      </c>
      <c r="W1504" s="11" t="str">
        <f>_xlfn.XLOOKUP(Customer[[#This Row],[Customer ID]],[1]!Address[ID],[1]!Address[CT])</f>
        <v>30 DAYS</v>
      </c>
      <c r="X1504" s="11"/>
      <c r="Y1504" s="17" t="s">
        <v>5926</v>
      </c>
      <c r="Z1504" s="17" t="e">
        <f>_xlfn.XLOOKUP(Customer[[#This Row],[NewType]],$AF$36:$AF$54,$AG$36:$AG$54)</f>
        <v>#N/A</v>
      </c>
      <c r="AA1504" s="17" t="s">
        <v>9667</v>
      </c>
      <c r="AB1504" s="11" t="str">
        <f>_xlfn.XLOOKUP(Customer[[#This Row],[Customer ID]],[1]!Address[ID],[1]!Address[Subtype])</f>
        <v>PLUS</v>
      </c>
      <c r="AC1504" s="18" t="str">
        <f>_xlfn.XLOOKUP(Customer[[#This Row],[Customer ID]],[1]!Address[ID],[1]!Address[Zone])</f>
        <v>CENTRAL</v>
      </c>
    </row>
    <row r="1505" spans="1:30" x14ac:dyDescent="0.3">
      <c r="A1505" s="37" t="s">
        <v>9668</v>
      </c>
      <c r="B1505" s="38" t="str">
        <f>_xlfn.XLOOKUP(Customer[[#This Row],[Customer ID]],[1]!Name[ID],[1]!Name[Description(1)])</f>
        <v>JITU DAYA RESOURCES</v>
      </c>
      <c r="C1505" s="38" t="str">
        <f>_xlfn.XLOOKUP(Customer[[#This Row],[Customer ID]],[1]!Name[ID],[1]!Name[Description(2)])</f>
        <v/>
      </c>
      <c r="D1505" s="38" t="str">
        <f>_xlfn.XLOOKUP(Customer[[#This Row],[Customer ID]],[1]!Address[ID],[1]!Address[PIC])</f>
        <v/>
      </c>
      <c r="E1505" s="38" t="str">
        <f>_xlfn.XLOOKUP(Customer[[#This Row],[Customer ID]],[1]!Address[ID],[1]!Address[Full Address])</f>
        <v>GERAI NO 11,HENTIAN NILAI ARAH SELATAN,71800 NILAI, NEGERI SEMBILAN.</v>
      </c>
      <c r="F1505" s="12" t="s">
        <v>9669</v>
      </c>
      <c r="G1505" s="12" t="s">
        <v>9670</v>
      </c>
      <c r="H1505" s="24" t="s">
        <v>2620</v>
      </c>
      <c r="I1505" s="24" t="b">
        <f>ISNUMBER(VALUE(LEFT(Customer[[#This Row],[Address Line 3 (30 char)]],1)))</f>
        <v>0</v>
      </c>
      <c r="J1505" s="12" t="s">
        <v>2004</v>
      </c>
      <c r="K1505" s="12">
        <v>71800</v>
      </c>
      <c r="L1505" s="12" t="s">
        <v>35</v>
      </c>
      <c r="M1505" s="13" t="e">
        <v>#N/A</v>
      </c>
      <c r="N1505" s="14" t="e">
        <v>#N/A</v>
      </c>
      <c r="O1505" s="14" t="e">
        <v>#N/A</v>
      </c>
      <c r="P1505" s="14" t="e">
        <v>#N/A</v>
      </c>
      <c r="Q1505" s="14" t="e">
        <v>#N/A</v>
      </c>
      <c r="R1505" s="15" t="s">
        <v>9671</v>
      </c>
      <c r="S1505" s="15" t="s">
        <v>5925</v>
      </c>
      <c r="T1505" s="16" t="s">
        <v>3477</v>
      </c>
      <c r="U1505" s="11" t="str">
        <f>_xlfn.XLOOKUP(Customer[[#This Row],[Customer ID]],[1]!Address[ID],[1]!Address[Phone No.(2)])</f>
        <v/>
      </c>
      <c r="V1505" s="11" t="str">
        <f>_xlfn.XLOOKUP(Customer[[#This Row],[Customer ID]],[1]!Address[ID],[1]!Address[Type])</f>
        <v>CAFE</v>
      </c>
      <c r="W1505" s="11" t="str">
        <f>_xlfn.XLOOKUP(Customer[[#This Row],[Customer ID]],[1]!Address[ID],[1]!Address[CT])</f>
        <v>30 DAYS</v>
      </c>
      <c r="X1505" s="11"/>
      <c r="Y1505" s="17" t="s">
        <v>5926</v>
      </c>
      <c r="Z1505" s="17" t="e">
        <f>_xlfn.XLOOKUP(Customer[[#This Row],[NewType]],$AF$36:$AF$54,$AG$36:$AG$54)</f>
        <v>#N/A</v>
      </c>
      <c r="AA1505" s="17" t="s">
        <v>9672</v>
      </c>
      <c r="AB1505" s="11" t="str">
        <f>_xlfn.XLOOKUP(Customer[[#This Row],[Customer ID]],[1]!Address[ID],[1]!Address[Subtype])</f>
        <v>PLUS</v>
      </c>
      <c r="AC1505" s="18" t="str">
        <f>_xlfn.XLOOKUP(Customer[[#This Row],[Customer ID]],[1]!Address[ID],[1]!Address[Zone])</f>
        <v>CENTRAL</v>
      </c>
    </row>
    <row r="1506" spans="1:30" x14ac:dyDescent="0.3">
      <c r="A1506" s="37" t="s">
        <v>9673</v>
      </c>
      <c r="B1506" s="38" t="str">
        <f>_xlfn.XLOOKUP(Customer[[#This Row],[Customer ID]],[1]!Name[ID],[1]!Name[Description(1)])</f>
        <v>ANFORT CORPORATION SDN. BHD.</v>
      </c>
      <c r="C1506" s="38" t="str">
        <f>_xlfn.XLOOKUP(Customer[[#This Row],[Customer ID]],[1]!Name[ID],[1]!Name[Description(2)])</f>
        <v/>
      </c>
      <c r="D1506" s="38" t="str">
        <f>_xlfn.XLOOKUP(Customer[[#This Row],[Customer ID]],[1]!Address[ID],[1]!Address[PIC])</f>
        <v/>
      </c>
      <c r="E1506" s="38" t="str">
        <f>_xlfn.XLOOKUP(Customer[[#This Row],[Customer ID]],[1]!Address[ID],[1]!Address[Full Address])</f>
        <v>NO.10, JALAN NILAM 2,TAMAN PERINDUSTRAN TEKNOLOGI SUBANG,SUBANG HI-TECH(BATU 3)47500 SUBANG,SELANGOR</v>
      </c>
      <c r="F1506" s="12" t="s">
        <v>9674</v>
      </c>
      <c r="G1506" s="12" t="s">
        <v>9675</v>
      </c>
      <c r="H1506" s="12" t="s">
        <v>9676</v>
      </c>
      <c r="I1506" s="12" t="b">
        <f>ISNUMBER(VALUE(LEFT(Customer[[#This Row],[Address Line 3 (30 char)]],1)))</f>
        <v>0</v>
      </c>
      <c r="J1506" s="12" t="s">
        <v>1907</v>
      </c>
      <c r="K1506" s="12">
        <v>47500</v>
      </c>
      <c r="L1506" s="12" t="s">
        <v>35</v>
      </c>
      <c r="M1506" s="13" t="e">
        <v>#N/A</v>
      </c>
      <c r="N1506" s="14" t="e">
        <v>#N/A</v>
      </c>
      <c r="O1506" s="14" t="e">
        <v>#N/A</v>
      </c>
      <c r="P1506" s="14" t="e">
        <v>#N/A</v>
      </c>
      <c r="Q1506" s="19" t="s">
        <v>9677</v>
      </c>
      <c r="R1506" s="15" t="s">
        <v>9678</v>
      </c>
      <c r="S1506" s="15" t="s">
        <v>5934</v>
      </c>
      <c r="T1506" s="16"/>
      <c r="U1506" s="11" t="str">
        <f>_xlfn.XLOOKUP(Customer[[#This Row],[Customer ID]],[1]!Address[ID],[1]!Address[Phone No.(2)])</f>
        <v/>
      </c>
      <c r="V1506" s="11" t="str">
        <f>_xlfn.XLOOKUP(Customer[[#This Row],[Customer ID]],[1]!Address[ID],[1]!Address[Type])</f>
        <v>CORPORATE</v>
      </c>
      <c r="W1506" s="11" t="str">
        <f>_xlfn.XLOOKUP(Customer[[#This Row],[Customer ID]],[1]!Address[ID],[1]!Address[CT])</f>
        <v>30 DAYS</v>
      </c>
      <c r="X1506" s="11"/>
      <c r="Y1506" s="17" t="s">
        <v>6418</v>
      </c>
      <c r="Z1506" s="17" t="e">
        <f>_xlfn.XLOOKUP(Customer[[#This Row],[NewType]],$AF$36:$AF$54,$AG$36:$AG$54)</f>
        <v>#N/A</v>
      </c>
      <c r="AA1506" s="17" t="s">
        <v>9679</v>
      </c>
      <c r="AB1506" s="11" t="str">
        <f>_xlfn.XLOOKUP(Customer[[#This Row],[Customer ID]],[1]!Address[ID],[1]!Address[Subtype])</f>
        <v>ANFORT</v>
      </c>
      <c r="AC1506" s="18" t="str">
        <f>_xlfn.XLOOKUP(Customer[[#This Row],[Customer ID]],[1]!Address[ID],[1]!Address[Zone])</f>
        <v>TOUTH</v>
      </c>
    </row>
    <row r="1507" spans="1:30" x14ac:dyDescent="0.3">
      <c r="A1507" s="37" t="s">
        <v>9680</v>
      </c>
      <c r="B1507" s="38" t="str">
        <f>_xlfn.XLOOKUP(Customer[[#This Row],[Customer ID]],[1]!Name[ID],[1]!Name[Description(1)])</f>
        <v>MAZNIHA MOHD ALI NOH</v>
      </c>
      <c r="C1507" s="38" t="str">
        <f>_xlfn.XLOOKUP(Customer[[#This Row],[Customer ID]],[1]!Name[ID],[1]!Name[Description(2)])</f>
        <v/>
      </c>
      <c r="D1507" s="38" t="str">
        <f>_xlfn.XLOOKUP(Customer[[#This Row],[Customer ID]],[1]!Address[ID],[1]!Address[PIC])</f>
        <v/>
      </c>
      <c r="E1507" s="38" t="str">
        <f>_xlfn.XLOOKUP(Customer[[#This Row],[Customer ID]],[1]!Address[ID],[1]!Address[Full Address])</f>
        <v>66 JALAN 2/1, TAMAN TAR68000 AMPANG, SELANGOR</v>
      </c>
      <c r="F1507" s="12" t="s">
        <v>9681</v>
      </c>
      <c r="G1507" s="12" t="s">
        <v>3837</v>
      </c>
      <c r="H1507" s="12" t="s">
        <v>36</v>
      </c>
      <c r="I1507" s="12" t="b">
        <f>ISNUMBER(VALUE(LEFT(Customer[[#This Row],[Address Line 3 (30 char)]],1)))</f>
        <v>0</v>
      </c>
      <c r="J1507" s="12" t="s">
        <v>1907</v>
      </c>
      <c r="K1507" s="12">
        <v>68000</v>
      </c>
      <c r="L1507" s="12" t="s">
        <v>35</v>
      </c>
      <c r="M1507" s="13" t="e">
        <v>#N/A</v>
      </c>
      <c r="N1507" s="14" t="e">
        <v>#N/A</v>
      </c>
      <c r="O1507" s="14" t="e">
        <v>#N/A</v>
      </c>
      <c r="P1507" s="14" t="e">
        <v>#N/A</v>
      </c>
      <c r="Q1507" s="14" t="e">
        <v>#N/A</v>
      </c>
      <c r="R1507" s="15" t="s">
        <v>9682</v>
      </c>
      <c r="S1507" s="15" t="s">
        <v>88</v>
      </c>
      <c r="T1507" s="16" t="s">
        <v>89</v>
      </c>
      <c r="U1507" s="11" t="str">
        <f>_xlfn.XLOOKUP(Customer[[#This Row],[Customer ID]],[1]!Address[ID],[1]!Address[Phone No.(2)])</f>
        <v/>
      </c>
      <c r="V1507" s="11" t="str">
        <f>_xlfn.XLOOKUP(Customer[[#This Row],[Customer ID]],[1]!Address[ID],[1]!Address[Type])</f>
        <v>SOCMED</v>
      </c>
      <c r="W1507" s="11" t="str">
        <f>_xlfn.XLOOKUP(Customer[[#This Row],[Customer ID]],[1]!Address[ID],[1]!Address[CT])</f>
        <v/>
      </c>
      <c r="X1507" s="11"/>
      <c r="Y1507" s="17" t="s">
        <v>90</v>
      </c>
      <c r="Z1507" s="17" t="e">
        <f>_xlfn.XLOOKUP(Customer[[#This Row],[NewType]],$AF$36:$AF$54,$AG$36:$AG$54)</f>
        <v>#N/A</v>
      </c>
      <c r="AA1507" s="17" t="s">
        <v>9683</v>
      </c>
      <c r="AB1507" s="11" t="str">
        <f>_xlfn.XLOOKUP(Customer[[#This Row],[Customer ID]],[1]!Address[ID],[1]!Address[Subtype])</f>
        <v>ONLINE ROS</v>
      </c>
      <c r="AC1507" s="18" t="str">
        <f>_xlfn.XLOOKUP(Customer[[#This Row],[Customer ID]],[1]!Address[ID],[1]!Address[Zone])</f>
        <v>EEEDH</v>
      </c>
    </row>
    <row r="1508" spans="1:30" x14ac:dyDescent="0.3">
      <c r="A1508" s="37" t="s">
        <v>9684</v>
      </c>
      <c r="B1508" s="38" t="str">
        <f>_xlfn.XLOOKUP(Customer[[#This Row],[Customer ID]],[1]!Name[ID],[1]!Name[Description(1)])</f>
        <v>DANIAL / HJH ROSNI</v>
      </c>
      <c r="C1508" s="38" t="str">
        <f>_xlfn.XLOOKUP(Customer[[#This Row],[Customer ID]],[1]!Name[ID],[1]!Name[Description(2)])</f>
        <v/>
      </c>
      <c r="D1508" s="38" t="str">
        <f>_xlfn.XLOOKUP(Customer[[#This Row],[Customer ID]],[1]!Address[ID],[1]!Address[PIC])</f>
        <v/>
      </c>
      <c r="E1508" s="38" t="str">
        <f>_xlfn.XLOOKUP(Customer[[#This Row],[Customer ID]],[1]!Address[ID],[1]!Address[Full Address])</f>
        <v>NO 3, JALAN BUNGA RAYA 11,TAMAN TASIK JAYA, 70400 SEREMBAN</v>
      </c>
      <c r="F1508" s="12" t="s">
        <v>9685</v>
      </c>
      <c r="G1508" s="12" t="s">
        <v>9686</v>
      </c>
      <c r="H1508" s="86" t="s">
        <v>2411</v>
      </c>
      <c r="I1508" s="86" t="b">
        <f>ISNUMBER(VALUE(LEFT(Customer[[#This Row],[Address Line 3 (30 char)]],1)))</f>
        <v>0</v>
      </c>
      <c r="J1508" s="12" t="s">
        <v>2004</v>
      </c>
      <c r="K1508" s="12">
        <v>70400</v>
      </c>
      <c r="L1508" s="12" t="s">
        <v>35</v>
      </c>
      <c r="M1508" s="13" t="e">
        <v>#N/A</v>
      </c>
      <c r="N1508" s="14" t="e">
        <v>#N/A</v>
      </c>
      <c r="O1508" s="14" t="e">
        <v>#N/A</v>
      </c>
      <c r="P1508" s="14" t="e">
        <v>#N/A</v>
      </c>
      <c r="Q1508" s="14" t="e">
        <v>#N/A</v>
      </c>
      <c r="R1508" s="15" t="s">
        <v>9687</v>
      </c>
      <c r="S1508" s="15" t="s">
        <v>88</v>
      </c>
      <c r="T1508" s="16" t="s">
        <v>89</v>
      </c>
      <c r="U1508" s="11" t="str">
        <f>_xlfn.XLOOKUP(Customer[[#This Row],[Customer ID]],[1]!Address[ID],[1]!Address[Phone No.(2)])</f>
        <v/>
      </c>
      <c r="V1508" s="11" t="str">
        <f>_xlfn.XLOOKUP(Customer[[#This Row],[Customer ID]],[1]!Address[ID],[1]!Address[Type])</f>
        <v>SOCMED</v>
      </c>
      <c r="W1508" s="11" t="str">
        <f>_xlfn.XLOOKUP(Customer[[#This Row],[Customer ID]],[1]!Address[ID],[1]!Address[CT])</f>
        <v/>
      </c>
      <c r="X1508" s="11"/>
      <c r="Y1508" s="17" t="s">
        <v>90</v>
      </c>
      <c r="Z1508" s="17" t="e">
        <f>_xlfn.XLOOKUP(Customer[[#This Row],[NewType]],$AF$36:$AF$54,$AG$36:$AG$54)</f>
        <v>#N/A</v>
      </c>
      <c r="AA1508" s="17" t="s">
        <v>9688</v>
      </c>
      <c r="AB1508" s="11" t="str">
        <f>_xlfn.XLOOKUP(Customer[[#This Row],[Customer ID]],[1]!Address[ID],[1]!Address[Subtype])</f>
        <v>ONLINE ROS</v>
      </c>
      <c r="AC1508" s="18" t="str">
        <f>_xlfn.XLOOKUP(Customer[[#This Row],[Customer ID]],[1]!Address[ID],[1]!Address[Zone])</f>
        <v>CENTRAL</v>
      </c>
    </row>
    <row r="1509" spans="1:30" x14ac:dyDescent="0.3">
      <c r="A1509" s="37" t="s">
        <v>9689</v>
      </c>
      <c r="B1509" s="38" t="str">
        <f>_xlfn.XLOOKUP(Customer[[#This Row],[Customer ID]],[1]!Name[ID],[1]!Name[Description(1)])</f>
        <v>MAAHAD TAHFIZ AL-AMMAR</v>
      </c>
      <c r="C1509" s="38" t="str">
        <f>_xlfn.XLOOKUP(Customer[[#This Row],[Customer ID]],[1]!Name[ID],[1]!Name[Description(2)])</f>
        <v/>
      </c>
      <c r="D1509" s="38" t="str">
        <f>_xlfn.XLOOKUP(Customer[[#This Row],[Customer ID]],[1]!Address[ID],[1]!Address[PIC])</f>
        <v>MUHAMMAD SYAMIL</v>
      </c>
      <c r="E1509" s="38" t="str">
        <f>_xlfn.XLOOKUP(Customer[[#This Row],[Customer ID]],[1]!Address[ID],[1]!Address[Full Address])</f>
        <v>AL-AMMAR COMPLEX,KAMPUNG TANJUNG, KANCHONG,71200 RANTAU,NEGERI SEMBILAN</v>
      </c>
      <c r="F1509" s="12" t="s">
        <v>9690</v>
      </c>
      <c r="G1509" s="12" t="s">
        <v>9691</v>
      </c>
      <c r="H1509" s="24" t="s">
        <v>6428</v>
      </c>
      <c r="I1509" s="24" t="b">
        <f>ISNUMBER(VALUE(LEFT(Customer[[#This Row],[Address Line 3 (30 char)]],1)))</f>
        <v>0</v>
      </c>
      <c r="J1509" s="12" t="s">
        <v>2004</v>
      </c>
      <c r="K1509" s="12">
        <v>71200</v>
      </c>
      <c r="L1509" s="12" t="s">
        <v>35</v>
      </c>
      <c r="M1509" s="13" t="e">
        <v>#N/A</v>
      </c>
      <c r="N1509" s="14" t="s">
        <v>9692</v>
      </c>
      <c r="O1509" s="14" t="e">
        <v>#N/A</v>
      </c>
      <c r="P1509" s="14" t="e">
        <v>#N/A</v>
      </c>
      <c r="Q1509" s="14" t="e">
        <v>#N/A</v>
      </c>
      <c r="R1509" s="15" t="s">
        <v>9693</v>
      </c>
      <c r="S1509" s="15"/>
      <c r="T1509" s="16"/>
      <c r="U1509" s="11" t="str">
        <f>_xlfn.XLOOKUP(Customer[[#This Row],[Customer ID]],[1]!Address[ID],[1]!Address[Phone No.(2)])</f>
        <v/>
      </c>
      <c r="V1509" s="11" t="str">
        <f>_xlfn.XLOOKUP(Customer[[#This Row],[Customer ID]],[1]!Address[ID],[1]!Address[Type])</f>
        <v>AGENT</v>
      </c>
      <c r="W1509" s="11" t="str">
        <f>_xlfn.XLOOKUP(Customer[[#This Row],[Customer ID]],[1]!Address[ID],[1]!Address[CT])</f>
        <v/>
      </c>
      <c r="X1509" s="11"/>
      <c r="Y1509" s="17" t="s">
        <v>6639</v>
      </c>
      <c r="Z1509" s="17" t="e">
        <f>_xlfn.XLOOKUP(Customer[[#This Row],[NewType]],$AF$36:$AF$54,$AG$36:$AG$54)</f>
        <v>#N/A</v>
      </c>
      <c r="AA1509" s="17" t="s">
        <v>9694</v>
      </c>
      <c r="AB1509" s="11" t="str">
        <f>_xlfn.XLOOKUP(Customer[[#This Row],[Customer ID]],[1]!Address[ID],[1]!Address[Subtype])</f>
        <v>AGENT HQ</v>
      </c>
      <c r="AC1509" s="18" t="str">
        <f>_xlfn.XLOOKUP(Customer[[#This Row],[Customer ID]],[1]!Address[ID],[1]!Address[Zone])</f>
        <v>CENTRAL</v>
      </c>
    </row>
    <row r="1510" spans="1:30" x14ac:dyDescent="0.3">
      <c r="A1510" s="37" t="s">
        <v>9695</v>
      </c>
      <c r="B1510" s="38" t="str">
        <f>_xlfn.XLOOKUP(Customer[[#This Row],[Customer ID]],[1]!Name[ID],[1]!Name[Description(1)])</f>
        <v>NOR ASMIDAR BINTI HUSAIN</v>
      </c>
      <c r="C1510" s="38" t="str">
        <f>_xlfn.XLOOKUP(Customer[[#This Row],[Customer ID]],[1]!Name[ID],[1]!Name[Description(2)])</f>
        <v/>
      </c>
      <c r="D1510" s="38" t="str">
        <f>_xlfn.XLOOKUP(Customer[[#This Row],[Customer ID]],[1]!Address[ID],[1]!Address[PIC])</f>
        <v/>
      </c>
      <c r="E1510" s="38" t="str">
        <f>_xlfn.XLOOKUP(Customer[[#This Row],[Customer ID]],[1]!Address[ID],[1]!Address[Full Address])</f>
        <v>NO 290 JALAN BSS 2/1TAMAN BUKIT SRI SENAWANG 71450 SEREMBAN.</v>
      </c>
      <c r="F1510" s="12" t="s">
        <v>9696</v>
      </c>
      <c r="G1510" s="12" t="s">
        <v>9697</v>
      </c>
      <c r="H1510" s="86" t="s">
        <v>2411</v>
      </c>
      <c r="I1510" s="86" t="b">
        <f>ISNUMBER(VALUE(LEFT(Customer[[#This Row],[Address Line 3 (30 char)]],1)))</f>
        <v>0</v>
      </c>
      <c r="J1510" s="12" t="s">
        <v>2004</v>
      </c>
      <c r="K1510" s="12">
        <v>71450</v>
      </c>
      <c r="L1510" s="12" t="s">
        <v>35</v>
      </c>
      <c r="M1510" s="13" t="e">
        <v>#N/A</v>
      </c>
      <c r="N1510" s="14" t="e">
        <v>#N/A</v>
      </c>
      <c r="O1510" s="14" t="e">
        <v>#N/A</v>
      </c>
      <c r="P1510" s="14" t="e">
        <v>#N/A</v>
      </c>
      <c r="Q1510" s="14" t="e">
        <v>#N/A</v>
      </c>
      <c r="R1510" s="15" t="s">
        <v>9698</v>
      </c>
      <c r="S1510" s="15" t="s">
        <v>88</v>
      </c>
      <c r="T1510" s="16" t="s">
        <v>89</v>
      </c>
      <c r="U1510" s="11" t="str">
        <f>_xlfn.XLOOKUP(Customer[[#This Row],[Customer ID]],[1]!Address[ID],[1]!Address[Phone No.(2)])</f>
        <v/>
      </c>
      <c r="V1510" s="11" t="str">
        <f>_xlfn.XLOOKUP(Customer[[#This Row],[Customer ID]],[1]!Address[ID],[1]!Address[Type])</f>
        <v>SOCMED</v>
      </c>
      <c r="W1510" s="11" t="str">
        <f>_xlfn.XLOOKUP(Customer[[#This Row],[Customer ID]],[1]!Address[ID],[1]!Address[CT])</f>
        <v/>
      </c>
      <c r="X1510" s="11"/>
      <c r="Y1510" s="17" t="s">
        <v>90</v>
      </c>
      <c r="Z1510" s="17" t="e">
        <f>_xlfn.XLOOKUP(Customer[[#This Row],[NewType]],$AF$36:$AF$54,$AG$36:$AG$54)</f>
        <v>#N/A</v>
      </c>
      <c r="AA1510" s="17" t="s">
        <v>9699</v>
      </c>
      <c r="AB1510" s="11" t="str">
        <f>_xlfn.XLOOKUP(Customer[[#This Row],[Customer ID]],[1]!Address[ID],[1]!Address[Subtype])</f>
        <v>ONLINE ROS</v>
      </c>
      <c r="AC1510" s="18" t="str">
        <f>_xlfn.XLOOKUP(Customer[[#This Row],[Customer ID]],[1]!Address[ID],[1]!Address[Zone])</f>
        <v>CENTRAL</v>
      </c>
    </row>
    <row r="1511" spans="1:30" x14ac:dyDescent="0.3">
      <c r="A1511" s="37" t="s">
        <v>9700</v>
      </c>
      <c r="B1511" s="38" t="str">
        <f>_xlfn.XLOOKUP(Customer[[#This Row],[Customer ID]],[1]!Name[ID],[1]!Name[Description(1)])</f>
        <v>MEGA MENG HONG</v>
      </c>
      <c r="C1511" s="38" t="str">
        <f>_xlfn.XLOOKUP(Customer[[#This Row],[Customer ID]],[1]!Name[ID],[1]!Name[Description(2)])</f>
        <v/>
      </c>
      <c r="D1511" s="38" t="str">
        <f>_xlfn.XLOOKUP(Customer[[#This Row],[Customer ID]],[1]!Address[ID],[1]!Address[PIC])</f>
        <v/>
      </c>
      <c r="E1511" s="38" t="str">
        <f>_xlfn.XLOOKUP(Customer[[#This Row],[Customer ID]],[1]!Address[ID],[1]!Address[Full Address])</f>
        <v>NO.5, HENTIAN NILAI UTARA,LEBUHRAYA KL-SEREMBAN,71800 NILAI,NEGERI SEMBILAN</v>
      </c>
      <c r="F1511" s="12" t="s">
        <v>9701</v>
      </c>
      <c r="G1511" s="12" t="s">
        <v>9702</v>
      </c>
      <c r="H1511" s="24" t="s">
        <v>2620</v>
      </c>
      <c r="I1511" s="24" t="b">
        <f>ISNUMBER(VALUE(LEFT(Customer[[#This Row],[Address Line 3 (30 char)]],1)))</f>
        <v>0</v>
      </c>
      <c r="J1511" s="12" t="s">
        <v>2004</v>
      </c>
      <c r="K1511" s="12">
        <v>71800</v>
      </c>
      <c r="L1511" s="12" t="s">
        <v>35</v>
      </c>
      <c r="M1511" s="13" t="e">
        <v>#N/A</v>
      </c>
      <c r="N1511" s="14" t="e">
        <v>#N/A</v>
      </c>
      <c r="O1511" s="14" t="e">
        <v>#N/A</v>
      </c>
      <c r="P1511" s="14" t="e">
        <v>#N/A</v>
      </c>
      <c r="Q1511" s="14" t="e">
        <v>#N/A</v>
      </c>
      <c r="R1511" s="15" t="s">
        <v>9703</v>
      </c>
      <c r="S1511" s="15" t="s">
        <v>5925</v>
      </c>
      <c r="T1511" s="16" t="s">
        <v>3477</v>
      </c>
      <c r="U1511" s="11" t="str">
        <f>_xlfn.XLOOKUP(Customer[[#This Row],[Customer ID]],[1]!Address[ID],[1]!Address[Phone No.(2)])</f>
        <v/>
      </c>
      <c r="V1511" s="11" t="str">
        <f>_xlfn.XLOOKUP(Customer[[#This Row],[Customer ID]],[1]!Address[ID],[1]!Address[Type])</f>
        <v>CAFE</v>
      </c>
      <c r="W1511" s="11" t="str">
        <f>_xlfn.XLOOKUP(Customer[[#This Row],[Customer ID]],[1]!Address[ID],[1]!Address[CT])</f>
        <v>30 DAYS</v>
      </c>
      <c r="X1511" s="11"/>
      <c r="Y1511" s="17" t="s">
        <v>5926</v>
      </c>
      <c r="Z1511" s="17" t="e">
        <f>_xlfn.XLOOKUP(Customer[[#This Row],[NewType]],$AF$36:$AF$54,$AG$36:$AG$54)</f>
        <v>#N/A</v>
      </c>
      <c r="AA1511" s="17" t="s">
        <v>9704</v>
      </c>
      <c r="AB1511" s="11" t="str">
        <f>_xlfn.XLOOKUP(Customer[[#This Row],[Customer ID]],[1]!Address[ID],[1]!Address[Subtype])</f>
        <v>PLUS</v>
      </c>
      <c r="AC1511" s="18" t="str">
        <f>_xlfn.XLOOKUP(Customer[[#This Row],[Customer ID]],[1]!Address[ID],[1]!Address[Zone])</f>
        <v>CENTRAL</v>
      </c>
    </row>
    <row r="1512" spans="1:30" x14ac:dyDescent="0.3">
      <c r="A1512" s="37" t="s">
        <v>9705</v>
      </c>
      <c r="B1512" s="38" t="str">
        <f>_xlfn.XLOOKUP(Customer[[#This Row],[Customer ID]],[1]!Name[ID],[1]!Name[Description(1)])</f>
        <v>NASI KERABU KERAMAT</v>
      </c>
      <c r="C1512" s="38" t="str">
        <f>_xlfn.XLOOKUP(Customer[[#This Row],[Customer ID]],[1]!Name[ID],[1]!Name[Description(2)])</f>
        <v/>
      </c>
      <c r="D1512" s="38" t="str">
        <f>_xlfn.XLOOKUP(Customer[[#This Row],[Customer ID]],[1]!Address[ID],[1]!Address[PIC])</f>
        <v/>
      </c>
      <c r="E1512" s="38" t="str">
        <f>_xlfn.XLOOKUP(Customer[[#This Row],[Customer ID]],[1]!Address[ID],[1]!Address[Full Address])</f>
        <v>G-05 Sentul Village 51100 SentulVillage, KL Malaysia</v>
      </c>
      <c r="F1512" s="12" t="s">
        <v>9706</v>
      </c>
      <c r="G1512" s="12" t="s">
        <v>9707</v>
      </c>
      <c r="H1512" s="12" t="s">
        <v>9708</v>
      </c>
      <c r="I1512" s="12" t="b">
        <f>ISNUMBER(VALUE(LEFT(Customer[[#This Row],[Address Line 3 (30 char)]],1)))</f>
        <v>0</v>
      </c>
      <c r="J1512" s="12" t="s">
        <v>8855</v>
      </c>
      <c r="K1512" s="12">
        <v>51100</v>
      </c>
      <c r="L1512" s="12" t="s">
        <v>35</v>
      </c>
      <c r="M1512" s="13" t="e">
        <v>#N/A</v>
      </c>
      <c r="N1512" s="14" t="e">
        <v>#N/A</v>
      </c>
      <c r="O1512" s="14" t="e">
        <v>#N/A</v>
      </c>
      <c r="P1512" s="14" t="e">
        <v>#N/A</v>
      </c>
      <c r="Q1512" s="14" t="e">
        <v>#N/A</v>
      </c>
      <c r="R1512" s="15" t="s">
        <v>9709</v>
      </c>
      <c r="S1512" s="15" t="s">
        <v>5925</v>
      </c>
      <c r="T1512" s="16" t="s">
        <v>3477</v>
      </c>
      <c r="U1512" s="11" t="str">
        <f>_xlfn.XLOOKUP(Customer[[#This Row],[Customer ID]],[1]!Address[ID],[1]!Address[Phone No.(2)])</f>
        <v/>
      </c>
      <c r="V1512" s="11" t="str">
        <f>_xlfn.XLOOKUP(Customer[[#This Row],[Customer ID]],[1]!Address[ID],[1]!Address[Type])</f>
        <v>CAFE</v>
      </c>
      <c r="W1512" s="11" t="str">
        <f>_xlfn.XLOOKUP(Customer[[#This Row],[Customer ID]],[1]!Address[ID],[1]!Address[CT])</f>
        <v>30 DAYS</v>
      </c>
      <c r="X1512" s="11"/>
      <c r="Y1512" s="17" t="s">
        <v>5926</v>
      </c>
      <c r="Z1512" s="17" t="e">
        <f>_xlfn.XLOOKUP(Customer[[#This Row],[NewType]],$AF$36:$AF$54,$AG$36:$AG$54)</f>
        <v>#N/A</v>
      </c>
      <c r="AA1512" s="17" t="s">
        <v>9710</v>
      </c>
      <c r="AB1512" s="11" t="str">
        <f>_xlfn.XLOOKUP(Customer[[#This Row],[Customer ID]],[1]!Address[ID],[1]!Address[Subtype])</f>
        <v>PLUS</v>
      </c>
      <c r="AC1512" s="18" t="str">
        <f>_xlfn.XLOOKUP(Customer[[#This Row],[Customer ID]],[1]!Address[ID],[1]!Address[Zone])</f>
        <v>CENTRAL</v>
      </c>
    </row>
    <row r="1513" spans="1:30" x14ac:dyDescent="0.3">
      <c r="A1513" s="37" t="s">
        <v>9711</v>
      </c>
      <c r="B1513" s="38" t="str">
        <f>_xlfn.XLOOKUP(Customer[[#This Row],[Customer ID]],[1]!Name[ID],[1]!Name[Description(1)])</f>
        <v>ABU TALIB MOHD NAWI (IPK KB)</v>
      </c>
      <c r="C1513" s="38" t="str">
        <f>_xlfn.XLOOKUP(Customer[[#This Row],[Customer ID]],[1]!Name[ID],[1]!Name[Description(2)])</f>
        <v/>
      </c>
      <c r="D1513" s="38" t="str">
        <f>_xlfn.XLOOKUP(Customer[[#This Row],[Customer ID]],[1]!Address[ID],[1]!Address[PIC])</f>
        <v/>
      </c>
      <c r="E1513" s="38" t="str">
        <f>_xlfn.XLOOKUP(Customer[[#This Row],[Customer ID]],[1]!Address[ID],[1]!Address[Full Address])</f>
        <v>DS 9-1, ARKED PERBADANAN,JLN TENGKU PETRA SEMERAK,15000 KOTA BHARU,KELANTAN</v>
      </c>
      <c r="F1513" s="12" t="s">
        <v>9712</v>
      </c>
      <c r="G1513" s="12" t="s">
        <v>9713</v>
      </c>
      <c r="H1513" s="24" t="s">
        <v>2824</v>
      </c>
      <c r="I1513" s="24" t="b">
        <f>ISNUMBER(VALUE(LEFT(Customer[[#This Row],[Address Line 3 (30 char)]],1)))</f>
        <v>0</v>
      </c>
      <c r="J1513" s="12" t="s">
        <v>1007</v>
      </c>
      <c r="K1513" s="12">
        <v>15000</v>
      </c>
      <c r="L1513" s="12" t="s">
        <v>35</v>
      </c>
      <c r="M1513" s="13" t="e">
        <v>#N/A</v>
      </c>
      <c r="N1513" s="14" t="e">
        <v>#N/A</v>
      </c>
      <c r="O1513" s="14" t="e">
        <v>#N/A</v>
      </c>
      <c r="P1513" s="14" t="e">
        <v>#N/A</v>
      </c>
      <c r="Q1513" s="14" t="e">
        <v>#N/A</v>
      </c>
      <c r="R1513" s="15" t="s">
        <v>9714</v>
      </c>
      <c r="S1513" s="15"/>
      <c r="T1513" s="16" t="s">
        <v>6749</v>
      </c>
      <c r="U1513" s="11" t="str">
        <f>_xlfn.XLOOKUP(Customer[[#This Row],[Customer ID]],[1]!Address[ID],[1]!Address[Phone No.(2)])</f>
        <v/>
      </c>
      <c r="V1513" s="11" t="str">
        <f>_xlfn.XLOOKUP(Customer[[#This Row],[Customer ID]],[1]!Address[ID],[1]!Address[Type])</f>
        <v>WALK IN</v>
      </c>
      <c r="W1513" s="11" t="str">
        <f>_xlfn.XLOOKUP(Customer[[#This Row],[Customer ID]],[1]!Address[ID],[1]!Address[CT])</f>
        <v/>
      </c>
      <c r="X1513" s="11"/>
      <c r="Y1513" s="17" t="s">
        <v>6284</v>
      </c>
      <c r="Z1513" s="17" t="e">
        <f>_xlfn.XLOOKUP(Customer[[#This Row],[NewType]],$AF$36:$AF$54,$AG$36:$AG$54)</f>
        <v>#N/A</v>
      </c>
      <c r="AA1513" s="17" t="s">
        <v>9715</v>
      </c>
      <c r="AB1513" s="11" t="str">
        <f>_xlfn.XLOOKUP(Customer[[#This Row],[Customer ID]],[1]!Address[ID],[1]!Address[Subtype])</f>
        <v>KB</v>
      </c>
      <c r="AC1513" s="18" t="str">
        <f>_xlfn.XLOOKUP(Customer[[#This Row],[Customer ID]],[1]!Address[ID],[1]!Address[Zone])</f>
        <v>EAST COAST</v>
      </c>
    </row>
    <row r="1514" spans="1:30" x14ac:dyDescent="0.3">
      <c r="A1514" s="10" t="s">
        <v>9716</v>
      </c>
      <c r="B1514" s="11" t="str">
        <f>_xlfn.XLOOKUP(Customer[[#This Row],[Customer ID]],[1]!Name[ID],[1]!Name[Description(1)])</f>
        <v>SITI INSAH BT MAT ISA</v>
      </c>
      <c r="C1514" s="38" t="str">
        <f>_xlfn.XLOOKUP(Customer[[#This Row],[Customer ID]],[1]!Name[ID],[1]!Name[Description(2)])</f>
        <v/>
      </c>
      <c r="D1514" s="38" t="str">
        <f>_xlfn.XLOOKUP(Customer[[#This Row],[Customer ID]],[1]!Address[ID],[1]!Address[PIC])</f>
        <v/>
      </c>
      <c r="E1514" s="38" t="str">
        <f>_xlfn.XLOOKUP(Customer[[#This Row],[Customer ID]],[1]!Address[ID],[1]!Address[Full Address])</f>
        <v>NO. 71, JALAN PALMA KIPAS,TAMAN PALMA 4,  34600 KAMUNTING, PERAK</v>
      </c>
      <c r="F1514" s="29" t="s">
        <v>9717</v>
      </c>
      <c r="G1514" s="29" t="s">
        <v>9718</v>
      </c>
      <c r="H1514" s="104" t="s">
        <v>1363</v>
      </c>
      <c r="I1514" s="104" t="b">
        <f>ISNUMBER(VALUE(LEFT(Customer[[#This Row],[Address Line 3 (30 char)]],1)))</f>
        <v>0</v>
      </c>
      <c r="J1514" s="29" t="s">
        <v>387</v>
      </c>
      <c r="K1514" s="29">
        <v>34600</v>
      </c>
      <c r="L1514" s="29" t="s">
        <v>35</v>
      </c>
      <c r="M1514" s="31" t="e">
        <v>#N/A</v>
      </c>
      <c r="N1514" s="36" t="e">
        <v>#N/A</v>
      </c>
      <c r="O1514" s="36" t="e">
        <v>#N/A</v>
      </c>
      <c r="P1514" s="36" t="e">
        <v>#N/A</v>
      </c>
      <c r="Q1514" s="36" t="e">
        <v>#N/A</v>
      </c>
      <c r="R1514" s="15" t="s">
        <v>9719</v>
      </c>
      <c r="S1514" s="15" t="s">
        <v>4271</v>
      </c>
      <c r="T1514" s="16" t="s">
        <v>89</v>
      </c>
      <c r="U1514" s="11" t="str">
        <f>_xlfn.XLOOKUP(Customer[[#This Row],[Customer ID]],[1]!Address[ID],[1]!Address[Phone No.(2)])</f>
        <v/>
      </c>
      <c r="V1514" s="11" t="str">
        <f>_xlfn.XLOOKUP(Customer[[#This Row],[Customer ID]],[1]!Address[ID],[1]!Address[Type])</f>
        <v>SOCMED</v>
      </c>
      <c r="W1514" s="11" t="str">
        <f>_xlfn.XLOOKUP(Customer[[#This Row],[Customer ID]],[1]!Address[ID],[1]!Address[CT])</f>
        <v/>
      </c>
      <c r="X1514" s="11"/>
      <c r="Y1514" s="17" t="s">
        <v>90</v>
      </c>
      <c r="Z1514" s="17" t="e">
        <f>_xlfn.XLOOKUP(Customer[[#This Row],[NewType]],$AF$36:$AF$54,$AG$36:$AG$54)</f>
        <v>#N/A</v>
      </c>
      <c r="AA1514" s="17" t="s">
        <v>9720</v>
      </c>
      <c r="AB1514" s="11" t="str">
        <f>_xlfn.XLOOKUP(Customer[[#This Row],[Customer ID]],[1]!Address[ID],[1]!Address[Subtype])</f>
        <v>WHATSAPP</v>
      </c>
      <c r="AC1514" s="18" t="str">
        <f>_xlfn.XLOOKUP(Customer[[#This Row],[Customer ID]],[1]!Address[ID],[1]!Address[Zone])</f>
        <v>NORTH</v>
      </c>
    </row>
    <row r="1515" spans="1:30" x14ac:dyDescent="0.3">
      <c r="A1515" s="37" t="s">
        <v>9721</v>
      </c>
      <c r="B1515" s="38" t="str">
        <f>_xlfn.XLOOKUP(Customer[[#This Row],[Customer ID]],[1]!Name[ID],[1]!Name[Description(1)])</f>
        <v>CHECKERS HYPERMARKET SDN BHD</v>
      </c>
      <c r="C1515" s="38" t="str">
        <f>_xlfn.XLOOKUP(Customer[[#This Row],[Customer ID]],[1]!Name[ID],[1]!Name[Description(2)])</f>
        <v>CHERAS UTAMA BRANCH</v>
      </c>
      <c r="D1515" s="38" t="str">
        <f>_xlfn.XLOOKUP(Customer[[#This Row],[Customer ID]],[1]!Address[ID],[1]!Address[PIC])</f>
        <v/>
      </c>
      <c r="E1515" s="38" t="str">
        <f>_xlfn.XLOOKUP(Customer[[#This Row],[Customer ID]],[1]!Address[ID],[1]!Address[Full Address])</f>
        <v>LOT 38284, JALAN CHERAS UTAMA 15.TAMAN CHERAS UTAMA,43200 CHERAS,SELANGOR</v>
      </c>
      <c r="F1515" s="12" t="s">
        <v>9722</v>
      </c>
      <c r="G1515" s="12" t="s">
        <v>9723</v>
      </c>
      <c r="H1515" s="12" t="s">
        <v>9724</v>
      </c>
      <c r="I1515" s="12" t="b">
        <f>ISNUMBER(VALUE(LEFT(Customer[[#This Row],[Address Line 3 (30 char)]],1)))</f>
        <v>0</v>
      </c>
      <c r="J1515" s="12" t="s">
        <v>172</v>
      </c>
      <c r="K1515" s="12">
        <v>43200</v>
      </c>
      <c r="L1515" s="12" t="s">
        <v>35</v>
      </c>
      <c r="M1515" s="13" t="e">
        <v>#N/A</v>
      </c>
      <c r="N1515" s="14" t="e">
        <v>#N/A</v>
      </c>
      <c r="O1515" s="14" t="e">
        <v>#N/A</v>
      </c>
      <c r="P1515" s="14" t="e">
        <v>#N/A</v>
      </c>
      <c r="Q1515" s="14" t="e">
        <v>#N/A</v>
      </c>
      <c r="R1515" s="15" t="s">
        <v>9725</v>
      </c>
      <c r="S1515" s="15" t="s">
        <v>5925</v>
      </c>
      <c r="T1515" s="16" t="s">
        <v>3477</v>
      </c>
      <c r="U1515" s="11" t="str">
        <f>_xlfn.XLOOKUP(Customer[[#This Row],[Customer ID]],[1]!Address[ID],[1]!Address[Phone No.(2)])</f>
        <v/>
      </c>
      <c r="V1515" s="11" t="str">
        <f>_xlfn.XLOOKUP(Customer[[#This Row],[Customer ID]],[1]!Address[ID],[1]!Address[Type])</f>
        <v>HM</v>
      </c>
      <c r="W1515" s="11" t="str">
        <f>_xlfn.XLOOKUP(Customer[[#This Row],[Customer ID]],[1]!Address[ID],[1]!Address[CT])</f>
        <v>30 DAYS</v>
      </c>
      <c r="X1515" s="11"/>
      <c r="Y1515" s="17" t="s">
        <v>5968</v>
      </c>
      <c r="Z1515" s="17" t="e">
        <f>_xlfn.XLOOKUP(Customer[[#This Row],[NewType]],$AF$36:$AF$54,$AG$36:$AG$54)</f>
        <v>#N/A</v>
      </c>
      <c r="AA1515" s="17" t="s">
        <v>9726</v>
      </c>
      <c r="AB1515" s="11" t="str">
        <f>_xlfn.XLOOKUP(Customer[[#This Row],[Customer ID]],[1]!Address[ID],[1]!Address[Subtype])</f>
        <v>CHECKERS</v>
      </c>
      <c r="AC1515" s="18" t="str">
        <f>_xlfn.XLOOKUP(Customer[[#This Row],[Customer ID]],[1]!Address[ID],[1]!Address[Zone])</f>
        <v>CENTRAL</v>
      </c>
    </row>
    <row r="1516" spans="1:30" x14ac:dyDescent="0.3">
      <c r="A1516" s="43" t="s">
        <v>9727</v>
      </c>
      <c r="B1516" s="44" t="str">
        <f>_xlfn.XLOOKUP(Customer[[#This Row],[Customer ID]],[1]!Name[ID],[1]!Name[Description(1)])</f>
        <v>CHECKERS HYPERMARKET SDN BHD</v>
      </c>
      <c r="C1516" s="38" t="str">
        <f>_xlfn.XLOOKUP(Customer[[#This Row],[Customer ID]],[1]!Name[ID],[1]!Name[Description(2)])</f>
        <v>OLD KLANG ROAD BRANCH</v>
      </c>
      <c r="D1516" s="38" t="str">
        <f>_xlfn.XLOOKUP(Customer[[#This Row],[Customer ID]],[1]!Address[ID],[1]!Address[PIC])</f>
        <v/>
      </c>
      <c r="E1516" s="38" t="str">
        <f>_xlfn.XLOOKUP(Customer[[#This Row],[Customer ID]],[1]!Address[ID],[1]!Address[Full Address])</f>
        <v>LOT 2942 &amp; 2945, JALAN SERI SENTOSA 8,SERI SENTOSA,OFF JALAN KLANG LAMA,58000 KUALA LUMPUR</v>
      </c>
      <c r="F1516" s="12" t="s">
        <v>9728</v>
      </c>
      <c r="G1516" s="12" t="s">
        <v>9729</v>
      </c>
      <c r="H1516" s="12" t="s">
        <v>9730</v>
      </c>
      <c r="I1516" s="12" t="b">
        <f>ISNUMBER(VALUE(LEFT(Customer[[#This Row],[Address Line 3 (30 char)]],1)))</f>
        <v>0</v>
      </c>
      <c r="J1516" s="29" t="s">
        <v>34</v>
      </c>
      <c r="K1516" s="12">
        <v>58000</v>
      </c>
      <c r="L1516" s="12" t="s">
        <v>35</v>
      </c>
      <c r="M1516" s="13" t="e">
        <v>#N/A</v>
      </c>
      <c r="N1516" s="14" t="e">
        <v>#N/A</v>
      </c>
      <c r="O1516" s="14" t="e">
        <v>#N/A</v>
      </c>
      <c r="P1516" s="14" t="e">
        <v>#N/A</v>
      </c>
      <c r="Q1516" s="14" t="e">
        <v>#N/A</v>
      </c>
      <c r="R1516" s="15" t="s">
        <v>9731</v>
      </c>
      <c r="S1516" s="15" t="s">
        <v>5934</v>
      </c>
      <c r="T1516" s="16" t="s">
        <v>3477</v>
      </c>
      <c r="U1516" s="11" t="str">
        <f>_xlfn.XLOOKUP(Customer[[#This Row],[Customer ID]],[1]!Address[ID],[1]!Address[Phone No.(2)])</f>
        <v/>
      </c>
      <c r="V1516" s="11" t="str">
        <f>_xlfn.XLOOKUP(Customer[[#This Row],[Customer ID]],[1]!Address[ID],[1]!Address[Type])</f>
        <v>HM</v>
      </c>
      <c r="W1516" s="11" t="str">
        <f>_xlfn.XLOOKUP(Customer[[#This Row],[Customer ID]],[1]!Address[ID],[1]!Address[CT])</f>
        <v>30 DAYS</v>
      </c>
      <c r="X1516" s="11"/>
      <c r="Y1516" s="17" t="s">
        <v>5968</v>
      </c>
      <c r="Z1516" s="17" t="e">
        <f>_xlfn.XLOOKUP(Customer[[#This Row],[NewType]],$AF$36:$AF$54,$AG$36:$AG$54)</f>
        <v>#N/A</v>
      </c>
      <c r="AA1516" s="17" t="s">
        <v>9732</v>
      </c>
      <c r="AB1516" s="11" t="str">
        <f>_xlfn.XLOOKUP(Customer[[#This Row],[Customer ID]],[1]!Address[ID],[1]!Address[Subtype])</f>
        <v>CHECKERS</v>
      </c>
      <c r="AC1516" s="18" t="str">
        <f>_xlfn.XLOOKUP(Customer[[#This Row],[Customer ID]],[1]!Address[ID],[1]!Address[Zone])</f>
        <v>CENTRAL</v>
      </c>
    </row>
    <row r="1517" spans="1:30" x14ac:dyDescent="0.3">
      <c r="A1517" s="37" t="s">
        <v>9733</v>
      </c>
      <c r="B1517" s="38" t="str">
        <f>_xlfn.XLOOKUP(Customer[[#This Row],[Customer ID]],[1]!Name[ID],[1]!Name[Description(1)])</f>
        <v>NAUTICAL RESOURCES SDN BHD</v>
      </c>
      <c r="C1517" s="38" t="str">
        <f>_xlfn.XLOOKUP(Customer[[#This Row],[Customer ID]],[1]!Name[ID],[1]!Name[Description(2)])</f>
        <v/>
      </c>
      <c r="D1517" s="38" t="str">
        <f>_xlfn.XLOOKUP(Customer[[#This Row],[Customer ID]],[1]!Address[ID],[1]!Address[PIC])</f>
        <v/>
      </c>
      <c r="E1517" s="38" t="str">
        <f>_xlfn.XLOOKUP(Customer[[#This Row],[Customer ID]],[1]!Address[ID],[1]!Address[Full Address])</f>
        <v>NO.51, JALAN NILAM B 1/2,TAMAN PERINDUSTRIAN TEKNOLOGI TINGGI,47500 SUBANG JAYA,SELANGOR</v>
      </c>
      <c r="F1517" s="12" t="s">
        <v>9734</v>
      </c>
      <c r="G1517" s="12" t="s">
        <v>9735</v>
      </c>
      <c r="H1517" s="12" t="s">
        <v>9736</v>
      </c>
      <c r="I1517" s="12" t="b">
        <f>ISNUMBER(VALUE(LEFT(Customer[[#This Row],[Address Line 3 (30 char)]],1)))</f>
        <v>0</v>
      </c>
      <c r="J1517" s="12" t="s">
        <v>172</v>
      </c>
      <c r="K1517" s="12">
        <v>47500</v>
      </c>
      <c r="L1517" s="12" t="s">
        <v>35</v>
      </c>
      <c r="M1517" s="13" t="e">
        <v>#N/A</v>
      </c>
      <c r="N1517" s="14" t="e">
        <v>#N/A</v>
      </c>
      <c r="O1517" s="14" t="e">
        <v>#N/A</v>
      </c>
      <c r="P1517" s="14" t="e">
        <v>#N/A</v>
      </c>
      <c r="Q1517" s="14" t="e">
        <v>#N/A</v>
      </c>
      <c r="R1517" s="15" t="s">
        <v>36</v>
      </c>
      <c r="S1517" s="15" t="s">
        <v>5934</v>
      </c>
      <c r="T1517" s="16" t="s">
        <v>3477</v>
      </c>
      <c r="U1517" s="11" t="str">
        <f>_xlfn.XLOOKUP(Customer[[#This Row],[Customer ID]],[1]!Address[ID],[1]!Address[Phone No.(2)])</f>
        <v/>
      </c>
      <c r="V1517" s="11" t="str">
        <f>_xlfn.XLOOKUP(Customer[[#This Row],[Customer ID]],[1]!Address[ID],[1]!Address[Type])</f>
        <v>KOPERASI</v>
      </c>
      <c r="W1517" s="11" t="str">
        <f>_xlfn.XLOOKUP(Customer[[#This Row],[Customer ID]],[1]!Address[ID],[1]!Address[CT])</f>
        <v>30 DAYS</v>
      </c>
      <c r="X1517" s="11"/>
      <c r="Y1517" s="17" t="s">
        <v>6126</v>
      </c>
      <c r="Z1517" s="17" t="e">
        <f>_xlfn.XLOOKUP(Customer[[#This Row],[NewType]],$AF$36:$AF$54,$AG$36:$AG$54)</f>
        <v>#N/A</v>
      </c>
      <c r="AA1517" s="17" t="s">
        <v>9737</v>
      </c>
      <c r="AB1517" s="11" t="str">
        <f>_xlfn.XLOOKUP(Customer[[#This Row],[Customer ID]],[1]!Address[ID],[1]!Address[Subtype])</f>
        <v>NAUTICAL</v>
      </c>
      <c r="AC1517" s="18" t="str">
        <f>_xlfn.XLOOKUP(Customer[[#This Row],[Customer ID]],[1]!Address[ID],[1]!Address[Zone])</f>
        <v>CRIH</v>
      </c>
    </row>
    <row r="1518" spans="1:30" x14ac:dyDescent="0.3">
      <c r="A1518" s="73" t="s">
        <v>9738</v>
      </c>
      <c r="B1518" s="62" t="str">
        <f>_xlfn.XLOOKUP(Customer[[#This Row],[Customer ID]],[1]!Name[ID],[1]!Name[Description(1)])</f>
        <v>AZIZAH ZAINUDDIN</v>
      </c>
      <c r="C1518" s="62" t="str">
        <f>_xlfn.XLOOKUP(Customer[[#This Row],[Customer ID]],[1]!Name[ID],[1]!Name[Description(2)])</f>
        <v/>
      </c>
      <c r="D1518" s="62" t="str">
        <f>_xlfn.XLOOKUP(Customer[[#This Row],[Customer ID]],[1]!Address[ID],[1]!Address[PIC])</f>
        <v/>
      </c>
      <c r="E1518" s="38" t="str">
        <f>_xlfn.XLOOKUP(Customer[[#This Row],[Customer ID]],[1]!Address[ID],[1]!Address[Full Address])</f>
        <v>NO 50, JLN ACASIA 11,TMN BUKIT NIBONG 70400 SIKAMAT NS</v>
      </c>
      <c r="F1518" s="63" t="s">
        <v>9739</v>
      </c>
      <c r="G1518" s="63" t="s">
        <v>9740</v>
      </c>
      <c r="H1518" s="63" t="s">
        <v>36</v>
      </c>
      <c r="I1518" s="63" t="b">
        <f>ISNUMBER(VALUE(LEFT(Customer[[#This Row],[Address Line 3 (30 char)]],1)))</f>
        <v>0</v>
      </c>
      <c r="J1518" s="63" t="s">
        <v>203</v>
      </c>
      <c r="K1518" s="63">
        <v>70400</v>
      </c>
      <c r="L1518" s="63" t="s">
        <v>35</v>
      </c>
      <c r="M1518" s="65" t="e">
        <v>#N/A</v>
      </c>
      <c r="N1518" s="66" t="e">
        <v>#N/A</v>
      </c>
      <c r="O1518" s="66" t="e">
        <v>#N/A</v>
      </c>
      <c r="P1518" s="66" t="e">
        <v>#N/A</v>
      </c>
      <c r="Q1518" s="66" t="e">
        <v>#N/A</v>
      </c>
      <c r="R1518" s="67" t="s">
        <v>9741</v>
      </c>
      <c r="S1518" s="67" t="s">
        <v>88</v>
      </c>
      <c r="T1518" s="76" t="s">
        <v>89</v>
      </c>
      <c r="U1518" s="68" t="str">
        <f>_xlfn.XLOOKUP(Customer[[#This Row],[Customer ID]],[1]!Address[ID],[1]!Address[Phone No.(2)])</f>
        <v/>
      </c>
      <c r="V1518" s="68" t="str">
        <f>_xlfn.XLOOKUP(Customer[[#This Row],[Customer ID]],[1]!Address[ID],[1]!Address[Type])</f>
        <v>SOCMED</v>
      </c>
      <c r="W1518" s="68" t="str">
        <f>_xlfn.XLOOKUP(Customer[[#This Row],[Customer ID]],[1]!Address[ID],[1]!Address[CT])</f>
        <v/>
      </c>
      <c r="X1518" s="68"/>
      <c r="Y1518" s="69" t="s">
        <v>90</v>
      </c>
      <c r="Z1518" s="69" t="e">
        <f>_xlfn.XLOOKUP(Customer[[#This Row],[NewType]],$AF$36:$AF$54,$AG$36:$AG$54)</f>
        <v>#N/A</v>
      </c>
      <c r="AA1518" s="69" t="s">
        <v>9742</v>
      </c>
      <c r="AB1518" s="68" t="str">
        <f>_xlfn.XLOOKUP(Customer[[#This Row],[Customer ID]],[1]!Address[ID],[1]!Address[Subtype])</f>
        <v>ONLINE ROS</v>
      </c>
      <c r="AC1518" s="70" t="str">
        <f>_xlfn.XLOOKUP(Customer[[#This Row],[Customer ID]],[1]!Address[ID],[1]!Address[Zone])</f>
        <v>CENTRAL</v>
      </c>
      <c r="AD1518" s="71"/>
    </row>
    <row r="1519" spans="1:30" x14ac:dyDescent="0.3">
      <c r="A1519" s="37" t="s">
        <v>9743</v>
      </c>
      <c r="B1519" s="38" t="str">
        <f>_xlfn.XLOOKUP(Customer[[#This Row],[Customer ID]],[1]!Name[ID],[1]!Name[Description(1)])</f>
        <v>EUREKA PHARMACY</v>
      </c>
      <c r="C1519" s="38" t="str">
        <f>_xlfn.XLOOKUP(Customer[[#This Row],[Customer ID]],[1]!Name[ID],[1]!Name[Description(2)])</f>
        <v/>
      </c>
      <c r="D1519" s="38" t="str">
        <f>_xlfn.XLOOKUP(Customer[[#This Row],[Customer ID]],[1]!Address[ID],[1]!Address[PIC])</f>
        <v/>
      </c>
      <c r="E1519" s="38" t="str">
        <f>_xlfn.XLOOKUP(Customer[[#This Row],[Customer ID]],[1]!Address[ID],[1]!Address[Full Address])</f>
        <v>NO 4A,JALAN 4/11 SEKSYEN 4 TAMBAHAN,43650 BANDAR BARU BANGI</v>
      </c>
      <c r="F1519" s="12" t="s">
        <v>9744</v>
      </c>
      <c r="G1519" s="12" t="s">
        <v>9745</v>
      </c>
      <c r="H1519" s="12" t="s">
        <v>9746</v>
      </c>
      <c r="I1519" s="12" t="b">
        <f>ISNUMBER(VALUE(LEFT(Customer[[#This Row],[Address Line 3 (30 char)]],1)))</f>
        <v>0</v>
      </c>
      <c r="J1519" s="12" t="s">
        <v>172</v>
      </c>
      <c r="K1519" s="12">
        <v>43650</v>
      </c>
      <c r="L1519" s="12" t="s">
        <v>35</v>
      </c>
      <c r="M1519" s="13" t="e">
        <v>#N/A</v>
      </c>
      <c r="N1519" s="14" t="e">
        <v>#N/A</v>
      </c>
      <c r="O1519" s="14" t="e">
        <v>#N/A</v>
      </c>
      <c r="P1519" s="14" t="e">
        <v>#N/A</v>
      </c>
      <c r="Q1519" s="19" t="s">
        <v>9747</v>
      </c>
      <c r="R1519" s="15" t="s">
        <v>9748</v>
      </c>
      <c r="S1519" s="15" t="s">
        <v>3476</v>
      </c>
      <c r="T1519" s="16" t="s">
        <v>3477</v>
      </c>
      <c r="U1519" s="11" t="str">
        <f>_xlfn.XLOOKUP(Customer[[#This Row],[Customer ID]],[1]!Address[ID],[1]!Address[Phone No.(2)])</f>
        <v/>
      </c>
      <c r="V1519" s="11" t="str">
        <f>_xlfn.XLOOKUP(Customer[[#This Row],[Customer ID]],[1]!Address[ID],[1]!Address[Type])</f>
        <v>PH</v>
      </c>
      <c r="W1519" s="11" t="str">
        <f>_xlfn.XLOOKUP(Customer[[#This Row],[Customer ID]],[1]!Address[ID],[1]!Address[CT])</f>
        <v>30 DAYS</v>
      </c>
      <c r="X1519" s="11"/>
      <c r="Y1519" s="17" t="s">
        <v>5955</v>
      </c>
      <c r="Z1519" s="17" t="e">
        <f>_xlfn.XLOOKUP(Customer[[#This Row],[NewType]],$AF$36:$AF$54,$AG$36:$AG$54)</f>
        <v>#N/A</v>
      </c>
      <c r="AA1519" s="17" t="s">
        <v>9749</v>
      </c>
      <c r="AB1519" s="11" t="str">
        <f>_xlfn.XLOOKUP(Customer[[#This Row],[Customer ID]],[1]!Address[ID],[1]!Address[Subtype])</f>
        <v>EUREKA</v>
      </c>
      <c r="AC1519" s="18" t="str">
        <f>_xlfn.XLOOKUP(Customer[[#This Row],[Customer ID]],[1]!Address[ID],[1]!Address[Zone])</f>
        <v>CENTRAL</v>
      </c>
    </row>
    <row r="1520" spans="1:30" x14ac:dyDescent="0.3">
      <c r="A1520" s="56" t="s">
        <v>9750</v>
      </c>
      <c r="B1520" s="50" t="str">
        <f>_xlfn.XLOOKUP(Customer[[#This Row],[Customer ID]],[1]!Name[ID],[1]!Name[Description(1)])</f>
        <v>BELLANURMAN ENTERPRISE</v>
      </c>
      <c r="C1520" s="38" t="str">
        <f>_xlfn.XLOOKUP(Customer[[#This Row],[Customer ID]],[1]!Name[ID],[1]!Name[Description(2)])</f>
        <v/>
      </c>
      <c r="D1520" s="38" t="str">
        <f>_xlfn.XLOOKUP(Customer[[#This Row],[Customer ID]],[1]!Address[ID],[1]!Address[PIC])</f>
        <v/>
      </c>
      <c r="E1520" s="38" t="str">
        <f>_xlfn.XLOOKUP(Customer[[#This Row],[Customer ID]],[1]!Address[ID],[1]!Address[Full Address])</f>
        <v>ARAS 1, SETIA PERDANA 1,KOMPLEKS SETIA PERDANA,PUSAT PENTADBIRAN KERAJAAN PERSEKUTUAN62502 PUTRAJAYA W.P PUTRAJAYA</v>
      </c>
      <c r="F1520" s="12" t="s">
        <v>9751</v>
      </c>
      <c r="G1520" s="12" t="s">
        <v>9752</v>
      </c>
      <c r="H1520" s="12" t="s">
        <v>9753</v>
      </c>
      <c r="I1520" s="12" t="b">
        <f>ISNUMBER(VALUE(LEFT(Customer[[#This Row],[Address Line 3 (30 char)]],1)))</f>
        <v>0</v>
      </c>
      <c r="J1520" s="12" t="s">
        <v>1907</v>
      </c>
      <c r="K1520" s="12">
        <v>62502</v>
      </c>
      <c r="L1520" s="12" t="s">
        <v>35</v>
      </c>
      <c r="M1520" s="13" t="e">
        <v>#N/A</v>
      </c>
      <c r="N1520" s="14" t="e">
        <v>#N/A</v>
      </c>
      <c r="O1520" s="14" t="e">
        <v>#N/A</v>
      </c>
      <c r="P1520" s="14" t="e">
        <v>#N/A</v>
      </c>
      <c r="Q1520" s="14" t="e">
        <v>#N/A</v>
      </c>
      <c r="R1520" s="15" t="s">
        <v>9754</v>
      </c>
      <c r="S1520" s="15" t="s">
        <v>3212</v>
      </c>
      <c r="T1520" s="16" t="s">
        <v>89</v>
      </c>
      <c r="U1520" s="11" t="str">
        <f>_xlfn.XLOOKUP(Customer[[#This Row],[Customer ID]],[1]!Address[ID],[1]!Address[Phone No.(2)])</f>
        <v/>
      </c>
      <c r="V1520" s="11" t="str">
        <f>_xlfn.XLOOKUP(Customer[[#This Row],[Customer ID]],[1]!Address[ID],[1]!Address[Type])</f>
        <v>SOCMED</v>
      </c>
      <c r="W1520" s="11" t="str">
        <f>_xlfn.XLOOKUP(Customer[[#This Row],[Customer ID]],[1]!Address[ID],[1]!Address[CT])</f>
        <v/>
      </c>
      <c r="X1520" s="11"/>
      <c r="Y1520" s="17" t="s">
        <v>90</v>
      </c>
      <c r="Z1520" s="17" t="e">
        <f>_xlfn.XLOOKUP(Customer[[#This Row],[NewType]],$AF$36:$AF$54,$AG$36:$AG$54)</f>
        <v>#N/A</v>
      </c>
      <c r="AA1520" s="17" t="s">
        <v>9755</v>
      </c>
      <c r="AB1520" s="11" t="str">
        <f>_xlfn.XLOOKUP(Customer[[#This Row],[Customer ID]],[1]!Address[ID],[1]!Address[Subtype])</f>
        <v>ONLINE HAJAR</v>
      </c>
      <c r="AC1520" s="18" t="str">
        <f>_xlfn.XLOOKUP(Customer[[#This Row],[Customer ID]],[1]!Address[ID],[1]!Address[Zone])</f>
        <v>CENTRAL</v>
      </c>
    </row>
    <row r="1521" spans="1:30" x14ac:dyDescent="0.3">
      <c r="A1521" s="37" t="s">
        <v>9756</v>
      </c>
      <c r="B1521" s="38" t="str">
        <f>_xlfn.XLOOKUP(Customer[[#This Row],[Customer ID]],[1]!Name[ID],[1]!Name[Description(1)])</f>
        <v>5 LIGHT ENTERPRISE</v>
      </c>
      <c r="C1521" s="38" t="str">
        <f>_xlfn.XLOOKUP(Customer[[#This Row],[Customer ID]],[1]!Name[ID],[1]!Name[Description(2)])</f>
        <v/>
      </c>
      <c r="D1521" s="38" t="str">
        <f>_xlfn.XLOOKUP(Customer[[#This Row],[Customer ID]],[1]!Address[ID],[1]!Address[PIC])</f>
        <v/>
      </c>
      <c r="E1521" s="38" t="str">
        <f>_xlfn.XLOOKUP(Customer[[#This Row],[Customer ID]],[1]!Address[ID],[1]!Address[Full Address])</f>
        <v>No 10-11 Kampung BaruSimpang Ijok 45600 BestariJaya Selangor</v>
      </c>
      <c r="F1521" s="12" t="s">
        <v>9757</v>
      </c>
      <c r="G1521" s="12" t="s">
        <v>9758</v>
      </c>
      <c r="H1521" s="12" t="s">
        <v>9759</v>
      </c>
      <c r="I1521" s="12" t="b">
        <f>ISNUMBER(VALUE(LEFT(Customer[[#This Row],[Address Line 3 (30 char)]],1)))</f>
        <v>0</v>
      </c>
      <c r="J1521" s="12" t="s">
        <v>1907</v>
      </c>
      <c r="K1521" s="12">
        <v>45600</v>
      </c>
      <c r="L1521" s="12" t="s">
        <v>35</v>
      </c>
      <c r="M1521" s="13" t="e">
        <v>#N/A</v>
      </c>
      <c r="N1521" s="14" t="e">
        <v>#N/A</v>
      </c>
      <c r="O1521" s="14" t="e">
        <v>#N/A</v>
      </c>
      <c r="P1521" s="14" t="e">
        <v>#N/A</v>
      </c>
      <c r="Q1521" s="14" t="e">
        <v>#N/A</v>
      </c>
      <c r="R1521" s="15" t="s">
        <v>36</v>
      </c>
      <c r="S1521" s="15" t="s">
        <v>37</v>
      </c>
      <c r="T1521" s="16" t="s">
        <v>38</v>
      </c>
      <c r="U1521" s="11" t="str">
        <f>_xlfn.XLOOKUP(Customer[[#This Row],[Customer ID]],[1]!Address[ID],[1]!Address[Phone No.(2)])</f>
        <v/>
      </c>
      <c r="V1521" s="11" t="str">
        <f>_xlfn.XLOOKUP(Customer[[#This Row],[Customer ID]],[1]!Address[ID],[1]!Address[Type])</f>
        <v>PETROMART</v>
      </c>
      <c r="W1521" s="11" t="str">
        <f>_xlfn.XLOOKUP(Customer[[#This Row],[Customer ID]],[1]!Address[ID],[1]!Address[CT])</f>
        <v>30 DAYS</v>
      </c>
      <c r="X1521" s="11" t="s">
        <v>39</v>
      </c>
      <c r="Y1521" s="17" t="s">
        <v>40</v>
      </c>
      <c r="Z1521" s="17" t="e">
        <f>_xlfn.XLOOKUP(Customer[[#This Row],[NewType]],$AF$36:$AF$54,$AG$36:$AG$54)</f>
        <v>#N/A</v>
      </c>
      <c r="AA1521" s="17" t="s">
        <v>9760</v>
      </c>
      <c r="AB1521" s="11" t="str">
        <f>_xlfn.XLOOKUP(Customer[[#This Row],[Customer ID]],[1]!Address[ID],[1]!Address[Subtype])</f>
        <v>FIVE PETROL</v>
      </c>
      <c r="AC1521" s="18" t="str">
        <f>_xlfn.XLOOKUP(Customer[[#This Row],[Customer ID]],[1]!Address[ID],[1]!Address[Zone])</f>
        <v>CENTRAL</v>
      </c>
    </row>
    <row r="1522" spans="1:30" x14ac:dyDescent="0.3">
      <c r="A1522" s="37" t="s">
        <v>9761</v>
      </c>
      <c r="B1522" s="38" t="str">
        <f>_xlfn.XLOOKUP(Customer[[#This Row],[Customer ID]],[1]!Name[ID],[1]!Name[Description(1)])</f>
        <v>DOSZ COFFEE</v>
      </c>
      <c r="C1522" s="38" t="str">
        <f>_xlfn.XLOOKUP(Customer[[#This Row],[Customer ID]],[1]!Name[ID],[1]!Name[Description(2)])</f>
        <v>THE A FOOD SDN. BHD.</v>
      </c>
      <c r="D1522" s="38" t="str">
        <f>_xlfn.XLOOKUP(Customer[[#This Row],[Customer ID]],[1]!Address[ID],[1]!Address[PIC])</f>
        <v/>
      </c>
      <c r="E1522" s="38" t="str">
        <f>_xlfn.XLOOKUP(Customer[[#This Row],[Customer ID]],[1]!Address[ID],[1]!Address[Full Address])</f>
        <v>LEVEL 23, MENARA EXCHANGE 106,LINGKARAN TRX, TUN RAZAK EXCHANGE,55188 KUALA LUMPUR</v>
      </c>
      <c r="F1522" s="96" t="s">
        <v>9762</v>
      </c>
      <c r="G1522" s="96" t="s">
        <v>9763</v>
      </c>
      <c r="H1522" s="105" t="s">
        <v>9764</v>
      </c>
      <c r="I1522" s="105" t="b">
        <f>ISNUMBER(VALUE(LEFT(Customer[[#This Row],[Address Line 3 (30 char)]],1)))</f>
        <v>0</v>
      </c>
      <c r="J1522" s="12" t="s">
        <v>34</v>
      </c>
      <c r="K1522" s="12">
        <v>55188</v>
      </c>
      <c r="L1522" s="12" t="s">
        <v>35</v>
      </c>
      <c r="M1522" s="13" t="e">
        <v>#N/A</v>
      </c>
      <c r="N1522" s="14" t="e">
        <v>#N/A</v>
      </c>
      <c r="O1522" s="14" t="e">
        <v>#N/A</v>
      </c>
      <c r="P1522" s="14" t="e">
        <v>#N/A</v>
      </c>
      <c r="Q1522" s="19" t="s">
        <v>9765</v>
      </c>
      <c r="R1522" s="15" t="s">
        <v>9766</v>
      </c>
      <c r="S1522" s="15" t="s">
        <v>5925</v>
      </c>
      <c r="T1522" s="16" t="s">
        <v>3477</v>
      </c>
      <c r="U1522" s="11" t="str">
        <f>_xlfn.XLOOKUP(Customer[[#This Row],[Customer ID]],[1]!Address[ID],[1]!Address[Phone No.(2)])</f>
        <v/>
      </c>
      <c r="V1522" s="11" t="str">
        <f>_xlfn.XLOOKUP(Customer[[#This Row],[Customer ID]],[1]!Address[ID],[1]!Address[Type])</f>
        <v>CAFE</v>
      </c>
      <c r="W1522" s="11" t="str">
        <f>_xlfn.XLOOKUP(Customer[[#This Row],[Customer ID]],[1]!Address[ID],[1]!Address[CT])</f>
        <v>30 DAYS</v>
      </c>
      <c r="X1522" s="11"/>
      <c r="Y1522" s="17" t="s">
        <v>5926</v>
      </c>
      <c r="Z1522" s="17" t="e">
        <f>_xlfn.XLOOKUP(Customer[[#This Row],[NewType]],$AF$36:$AF$54,$AG$36:$AG$54)</f>
        <v>#N/A</v>
      </c>
      <c r="AA1522" s="17" t="s">
        <v>9767</v>
      </c>
      <c r="AB1522" s="11" t="str">
        <f>_xlfn.XLOOKUP(Customer[[#This Row],[Customer ID]],[1]!Address[ID],[1]!Address[Subtype])</f>
        <v>DOSZ COFFEE</v>
      </c>
      <c r="AC1522" s="18" t="str">
        <f>_xlfn.XLOOKUP(Customer[[#This Row],[Customer ID]],[1]!Address[ID],[1]!Address[Zone])</f>
        <v>CENTRAL</v>
      </c>
    </row>
    <row r="1523" spans="1:30" x14ac:dyDescent="0.3">
      <c r="A1523" s="37" t="s">
        <v>9768</v>
      </c>
      <c r="B1523" s="38" t="str">
        <f>_xlfn.XLOOKUP(Customer[[#This Row],[Customer ID]],[1]!Name[ID],[1]!Name[Description(1)])</f>
        <v>MKM MART  SDN. BHD.</v>
      </c>
      <c r="C1523" s="38" t="str">
        <f>_xlfn.XLOOKUP(Customer[[#This Row],[Customer ID]],[1]!Name[ID],[1]!Name[Description(2)])</f>
        <v/>
      </c>
      <c r="D1523" s="38" t="str">
        <f>_xlfn.XLOOKUP(Customer[[#This Row],[Customer ID]],[1]!Address[ID],[1]!Address[PIC])</f>
        <v/>
      </c>
      <c r="E1523" s="38" t="str">
        <f>_xlfn.XLOOKUP(Customer[[#This Row],[Customer ID]],[1]!Address[ID],[1]!Address[Full Address])</f>
        <v>NO.5, 7 &amp; 9,JALAN ECO GRANDUER 1/3C,ECO GRANDEUR,42300 BANDAR PUNCAK ALAM,SELANGOR</v>
      </c>
      <c r="F1523" s="12" t="s">
        <v>9769</v>
      </c>
      <c r="G1523" s="12" t="s">
        <v>9770</v>
      </c>
      <c r="H1523" s="12" t="s">
        <v>9771</v>
      </c>
      <c r="I1523" s="12" t="b">
        <f>ISNUMBER(VALUE(LEFT(Customer[[#This Row],[Address Line 3 (30 char)]],1)))</f>
        <v>0</v>
      </c>
      <c r="J1523" s="12" t="s">
        <v>172</v>
      </c>
      <c r="K1523" s="12">
        <v>42300</v>
      </c>
      <c r="L1523" s="12" t="s">
        <v>35</v>
      </c>
      <c r="M1523" s="13" t="e">
        <v>#N/A</v>
      </c>
      <c r="N1523" s="14" t="e">
        <v>#N/A</v>
      </c>
      <c r="O1523" s="14" t="e">
        <v>#N/A</v>
      </c>
      <c r="P1523" s="14" t="e">
        <v>#N/A</v>
      </c>
      <c r="Q1523" s="19" t="s">
        <v>9772</v>
      </c>
      <c r="R1523" s="15" t="s">
        <v>9773</v>
      </c>
      <c r="S1523" s="15" t="s">
        <v>5917</v>
      </c>
      <c r="T1523" s="16" t="s">
        <v>3477</v>
      </c>
      <c r="U1523" s="11" t="str">
        <f>_xlfn.XLOOKUP(Customer[[#This Row],[Customer ID]],[1]!Address[ID],[1]!Address[Phone No.(2)])</f>
        <v/>
      </c>
      <c r="V1523" s="11" t="str">
        <f>_xlfn.XLOOKUP(Customer[[#This Row],[Customer ID]],[1]!Address[ID],[1]!Address[Type])</f>
        <v>CM</v>
      </c>
      <c r="W1523" s="11" t="str">
        <f>_xlfn.XLOOKUP(Customer[[#This Row],[Customer ID]],[1]!Address[ID],[1]!Address[CT])</f>
        <v>30 DAYS</v>
      </c>
      <c r="X1523" s="11"/>
      <c r="Y1523" s="17" t="s">
        <v>5918</v>
      </c>
      <c r="Z1523" s="17" t="e">
        <f>_xlfn.XLOOKUP(Customer[[#This Row],[NewType]],$AF$36:$AF$54,$AG$36:$AG$54)</f>
        <v>#N/A</v>
      </c>
      <c r="AA1523" s="17" t="s">
        <v>9774</v>
      </c>
      <c r="AB1523" s="11" t="str">
        <f>_xlfn.XLOOKUP(Customer[[#This Row],[Customer ID]],[1]!Address[ID],[1]!Address[Subtype])</f>
        <v>MKM MART</v>
      </c>
      <c r="AC1523" s="18">
        <f>_xlfn.XLOOKUP(Customer[[#This Row],[Customer ID]],[1]!Address[ID],[1]!Address[Zone])</f>
        <v>0</v>
      </c>
    </row>
    <row r="1524" spans="1:30" x14ac:dyDescent="0.3">
      <c r="A1524" s="37" t="s">
        <v>9775</v>
      </c>
      <c r="B1524" s="38" t="str">
        <f>_xlfn.XLOOKUP(Customer[[#This Row],[Customer ID]],[1]!Name[ID],[1]!Name[Description(1)])</f>
        <v>PERBADANAN KEMAJUAN PERTANIAN SELANGOR</v>
      </c>
      <c r="C1524" s="38" t="str">
        <f>_xlfn.XLOOKUP(Customer[[#This Row],[Customer ID]],[1]!Name[ID],[1]!Name[Description(2)])</f>
        <v>(PKPS)</v>
      </c>
      <c r="D1524" s="38" t="str">
        <f>_xlfn.XLOOKUP(Customer[[#This Row],[Customer ID]],[1]!Address[ID],[1]!Address[PIC])</f>
        <v/>
      </c>
      <c r="E1524" s="38" t="str">
        <f>_xlfn.XLOOKUP(Customer[[#This Row],[Customer ID]],[1]!Address[ID],[1]!Address[Full Address])</f>
        <v>TINGKAT 7,10-11WISMA PKPS, PERSIARAN PERBANDARAN,SEKSYEN 14,40675 SHAH ALAM,SELANGOR</v>
      </c>
      <c r="F1524" s="12" t="s">
        <v>9776</v>
      </c>
      <c r="G1524" s="12" t="s">
        <v>9777</v>
      </c>
      <c r="H1524" s="12" t="s">
        <v>9778</v>
      </c>
      <c r="I1524" s="12" t="b">
        <f>ISNUMBER(VALUE(LEFT(Customer[[#This Row],[Address Line 3 (30 char)]],1)))</f>
        <v>0</v>
      </c>
      <c r="J1524" s="12" t="s">
        <v>172</v>
      </c>
      <c r="K1524" s="12">
        <v>40675</v>
      </c>
      <c r="L1524" s="12" t="s">
        <v>35</v>
      </c>
      <c r="M1524" s="13" t="e">
        <v>#N/A</v>
      </c>
      <c r="N1524" s="14" t="e">
        <v>#N/A</v>
      </c>
      <c r="O1524" s="14" t="e">
        <v>#N/A</v>
      </c>
      <c r="P1524" s="14" t="e">
        <v>#N/A</v>
      </c>
      <c r="Q1524" s="19" t="s">
        <v>9779</v>
      </c>
      <c r="R1524" s="15" t="s">
        <v>9780</v>
      </c>
      <c r="S1524" s="15" t="s">
        <v>5934</v>
      </c>
      <c r="T1524" s="16" t="s">
        <v>3477</v>
      </c>
      <c r="U1524" s="11" t="str">
        <f>_xlfn.XLOOKUP(Customer[[#This Row],[Customer ID]],[1]!Address[ID],[1]!Address[Phone No.(2)])</f>
        <v/>
      </c>
      <c r="V1524" s="11" t="str">
        <f>_xlfn.XLOOKUP(Customer[[#This Row],[Customer ID]],[1]!Address[ID],[1]!Address[Type])</f>
        <v>KOPERASI</v>
      </c>
      <c r="W1524" s="11" t="str">
        <f>_xlfn.XLOOKUP(Customer[[#This Row],[Customer ID]],[1]!Address[ID],[1]!Address[CT])</f>
        <v>30 DAYS</v>
      </c>
      <c r="X1524" s="11"/>
      <c r="Y1524" s="17" t="s">
        <v>6126</v>
      </c>
      <c r="Z1524" s="17" t="e">
        <f>_xlfn.XLOOKUP(Customer[[#This Row],[NewType]],$AF$36:$AF$54,$AG$36:$AG$54)</f>
        <v>#N/A</v>
      </c>
      <c r="AA1524" s="17" t="s">
        <v>9781</v>
      </c>
      <c r="AB1524" s="11" t="str">
        <f>_xlfn.XLOOKUP(Customer[[#This Row],[Customer ID]],[1]!Address[ID],[1]!Address[Subtype])</f>
        <v>PKPS</v>
      </c>
      <c r="AC1524" s="18" t="str">
        <f>_xlfn.XLOOKUP(Customer[[#This Row],[Customer ID]],[1]!Address[ID],[1]!Address[Zone])</f>
        <v>KPSKSYEN UMPSKSYEN</v>
      </c>
    </row>
    <row r="1525" spans="1:30" x14ac:dyDescent="0.3">
      <c r="A1525" s="37" t="s">
        <v>9782</v>
      </c>
      <c r="B1525" s="38" t="str">
        <f>_xlfn.XLOOKUP(Customer[[#This Row],[Customer ID]],[1]!Name[ID],[1]!Name[Description(1)])</f>
        <v>SITI NOOR BINTI ISMAIL</v>
      </c>
      <c r="C1525" s="38" t="str">
        <f>_xlfn.XLOOKUP(Customer[[#This Row],[Customer ID]],[1]!Name[ID],[1]!Name[Description(2)])</f>
        <v/>
      </c>
      <c r="D1525" s="38" t="str">
        <f>_xlfn.XLOOKUP(Customer[[#This Row],[Customer ID]],[1]!Address[ID],[1]!Address[PIC])</f>
        <v/>
      </c>
      <c r="E1525" s="38" t="str">
        <f>_xlfn.XLOOKUP(Customer[[#This Row],[Customer ID]],[1]!Address[ID],[1]!Address[Full Address])</f>
        <v>NO 3, LORONG TSR 3,TAMAN SERAYA REMBAU, 71300REMBAU,NEGERI SEMBILAN</v>
      </c>
      <c r="F1525" s="12" t="s">
        <v>9783</v>
      </c>
      <c r="G1525" s="12" t="s">
        <v>9784</v>
      </c>
      <c r="H1525" s="12" t="s">
        <v>7985</v>
      </c>
      <c r="I1525" s="12" t="b">
        <f>ISNUMBER(VALUE(LEFT(Customer[[#This Row],[Address Line 3 (30 char)]],1)))</f>
        <v>0</v>
      </c>
      <c r="J1525" s="12" t="s">
        <v>2004</v>
      </c>
      <c r="K1525" s="12">
        <v>71300</v>
      </c>
      <c r="L1525" s="12" t="s">
        <v>35</v>
      </c>
      <c r="M1525" s="13" t="e">
        <v>#N/A</v>
      </c>
      <c r="N1525" s="14" t="e">
        <v>#N/A</v>
      </c>
      <c r="O1525" s="14" t="e">
        <v>#N/A</v>
      </c>
      <c r="P1525" s="14" t="e">
        <v>#N/A</v>
      </c>
      <c r="Q1525" s="14" t="e">
        <v>#N/A</v>
      </c>
      <c r="R1525" s="15" t="s">
        <v>9785</v>
      </c>
      <c r="S1525" s="15" t="s">
        <v>88</v>
      </c>
      <c r="T1525" s="16" t="s">
        <v>89</v>
      </c>
      <c r="U1525" s="11" t="str">
        <f>_xlfn.XLOOKUP(Customer[[#This Row],[Customer ID]],[1]!Address[ID],[1]!Address[Phone No.(2)])</f>
        <v/>
      </c>
      <c r="V1525" s="11" t="str">
        <f>_xlfn.XLOOKUP(Customer[[#This Row],[Customer ID]],[1]!Address[ID],[1]!Address[Type])</f>
        <v>SOCMED</v>
      </c>
      <c r="W1525" s="11" t="str">
        <f>_xlfn.XLOOKUP(Customer[[#This Row],[Customer ID]],[1]!Address[ID],[1]!Address[CT])</f>
        <v/>
      </c>
      <c r="X1525" s="11"/>
      <c r="Y1525" s="17" t="s">
        <v>90</v>
      </c>
      <c r="Z1525" s="17" t="e">
        <f>_xlfn.XLOOKUP(Customer[[#This Row],[NewType]],$AF$36:$AF$54,$AG$36:$AG$54)</f>
        <v>#N/A</v>
      </c>
      <c r="AA1525" s="17" t="s">
        <v>9786</v>
      </c>
      <c r="AB1525" s="11" t="str">
        <f>_xlfn.XLOOKUP(Customer[[#This Row],[Customer ID]],[1]!Address[ID],[1]!Address[Subtype])</f>
        <v>ONLINE ROS</v>
      </c>
      <c r="AC1525" s="18" t="str">
        <f>_xlfn.XLOOKUP(Customer[[#This Row],[Customer ID]],[1]!Address[ID],[1]!Address[Zone])</f>
        <v>CENTRAL</v>
      </c>
    </row>
    <row r="1526" spans="1:30" x14ac:dyDescent="0.3">
      <c r="A1526" s="10" t="s">
        <v>9787</v>
      </c>
      <c r="B1526" s="11" t="str">
        <f>_xlfn.XLOOKUP(Customer[[#This Row],[Customer ID]],[1]!Name[ID],[1]!Name[Description(1)])</f>
        <v>HJ NAHAR (MB)</v>
      </c>
      <c r="C1526" s="32" t="str">
        <f>_xlfn.XLOOKUP(Customer[[#This Row],[Customer ID]],[1]!Name[ID],[1]!Name[Description(2)])</f>
        <v/>
      </c>
      <c r="D1526" s="38" t="str">
        <f>_xlfn.XLOOKUP(Customer[[#This Row],[Customer ID]],[1]!Address[ID],[1]!Address[PIC])</f>
        <v>NAHAR</v>
      </c>
      <c r="E1526" s="38" t="str">
        <f>_xlfn.XLOOKUP(Customer[[#This Row],[Customer ID]],[1]!Address[ID],[1]!Address[Full Address])</f>
        <v>ZON A, MUTIARA BANGI</v>
      </c>
      <c r="F1526" s="12" t="s">
        <v>9788</v>
      </c>
      <c r="G1526" s="12" t="s">
        <v>36</v>
      </c>
      <c r="H1526" s="12" t="s">
        <v>36</v>
      </c>
      <c r="I1526" s="12" t="b">
        <f>ISNUMBER(VALUE(LEFT(Customer[[#This Row],[Address Line 3 (30 char)]],1)))</f>
        <v>0</v>
      </c>
      <c r="J1526" s="32" t="s">
        <v>1907</v>
      </c>
      <c r="K1526" s="32"/>
      <c r="L1526" s="12" t="s">
        <v>35</v>
      </c>
      <c r="M1526" s="13" t="e">
        <v>#N/A</v>
      </c>
      <c r="N1526" s="14" t="e">
        <v>#N/A</v>
      </c>
      <c r="O1526" s="14" t="e">
        <v>#N/A</v>
      </c>
      <c r="P1526" s="14" t="e">
        <v>#N/A</v>
      </c>
      <c r="Q1526" s="14" t="e">
        <v>#N/A</v>
      </c>
      <c r="R1526" s="15" t="s">
        <v>9789</v>
      </c>
      <c r="S1526" s="15" t="s">
        <v>4271</v>
      </c>
      <c r="T1526" s="16" t="s">
        <v>89</v>
      </c>
      <c r="U1526" s="11" t="str">
        <f>_xlfn.XLOOKUP(Customer[[#This Row],[Customer ID]],[1]!Address[ID],[1]!Address[Phone No.(2)])</f>
        <v/>
      </c>
      <c r="V1526" s="11" t="str">
        <f>_xlfn.XLOOKUP(Customer[[#This Row],[Customer ID]],[1]!Address[ID],[1]!Address[Type])</f>
        <v>SOCMED</v>
      </c>
      <c r="W1526" s="11" t="str">
        <f>_xlfn.XLOOKUP(Customer[[#This Row],[Customer ID]],[1]!Address[ID],[1]!Address[CT])</f>
        <v/>
      </c>
      <c r="X1526" s="11"/>
      <c r="Y1526" s="17" t="s">
        <v>90</v>
      </c>
      <c r="Z1526" s="17" t="e">
        <f>_xlfn.XLOOKUP(Customer[[#This Row],[NewType]],$AF$36:$AF$54,$AG$36:$AG$54)</f>
        <v>#N/A</v>
      </c>
      <c r="AA1526" s="17" t="s">
        <v>9790</v>
      </c>
      <c r="AB1526" s="11" t="str">
        <f>_xlfn.XLOOKUP(Customer[[#This Row],[Customer ID]],[1]!Address[ID],[1]!Address[Subtype])</f>
        <v>WHATSAPP</v>
      </c>
      <c r="AC1526" s="18" t="str">
        <f>_xlfn.XLOOKUP(Customer[[#This Row],[Customer ID]],[1]!Address[ID],[1]!Address[Zone])</f>
        <v>CENTRAL</v>
      </c>
    </row>
    <row r="1527" spans="1:30" x14ac:dyDescent="0.3">
      <c r="A1527" s="10" t="s">
        <v>9791</v>
      </c>
      <c r="B1527" s="11" t="str">
        <f>_xlfn.XLOOKUP(Customer[[#This Row],[Customer ID]],[1]!Name[ID],[1]!Name[Description(1)])</f>
        <v>HJ IDRIS DUSA (MB)</v>
      </c>
      <c r="C1527" s="32" t="str">
        <f>_xlfn.XLOOKUP(Customer[[#This Row],[Customer ID]],[1]!Name[ID],[1]!Name[Description(2)])</f>
        <v/>
      </c>
      <c r="D1527" s="38" t="str">
        <f>_xlfn.XLOOKUP(Customer[[#This Row],[Customer ID]],[1]!Address[ID],[1]!Address[PIC])</f>
        <v/>
      </c>
      <c r="E1527" s="38" t="str">
        <f>_xlfn.XLOOKUP(Customer[[#This Row],[Customer ID]],[1]!Address[ID],[1]!Address[Full Address])</f>
        <v>5, JALAN 1/3Q ZON D MUTIARA BANGI</v>
      </c>
      <c r="F1527" s="12" t="s">
        <v>9792</v>
      </c>
      <c r="G1527" s="12" t="s">
        <v>9793</v>
      </c>
      <c r="H1527" s="12" t="s">
        <v>8485</v>
      </c>
      <c r="I1527" s="12" t="b">
        <f>ISNUMBER(VALUE(LEFT(Customer[[#This Row],[Address Line 3 (30 char)]],1)))</f>
        <v>0</v>
      </c>
      <c r="J1527" s="32" t="s">
        <v>172</v>
      </c>
      <c r="K1527" s="32"/>
      <c r="L1527" s="12" t="s">
        <v>35</v>
      </c>
      <c r="M1527" s="13" t="e">
        <v>#N/A</v>
      </c>
      <c r="N1527" s="14" t="e">
        <v>#N/A</v>
      </c>
      <c r="O1527" s="14" t="e">
        <v>#N/A</v>
      </c>
      <c r="P1527" s="14" t="e">
        <v>#N/A</v>
      </c>
      <c r="Q1527" s="14" t="e">
        <v>#N/A</v>
      </c>
      <c r="R1527" s="15" t="s">
        <v>9794</v>
      </c>
      <c r="S1527" s="15" t="s">
        <v>4271</v>
      </c>
      <c r="T1527" s="16" t="s">
        <v>89</v>
      </c>
      <c r="U1527" s="11" t="str">
        <f>_xlfn.XLOOKUP(Customer[[#This Row],[Customer ID]],[1]!Address[ID],[1]!Address[Phone No.(2)])</f>
        <v/>
      </c>
      <c r="V1527" s="11" t="str">
        <f>_xlfn.XLOOKUP(Customer[[#This Row],[Customer ID]],[1]!Address[ID],[1]!Address[Type])</f>
        <v>SOCMED</v>
      </c>
      <c r="W1527" s="11" t="str">
        <f>_xlfn.XLOOKUP(Customer[[#This Row],[Customer ID]],[1]!Address[ID],[1]!Address[CT])</f>
        <v/>
      </c>
      <c r="X1527" s="11"/>
      <c r="Y1527" s="17" t="s">
        <v>90</v>
      </c>
      <c r="Z1527" s="17" t="e">
        <f>_xlfn.XLOOKUP(Customer[[#This Row],[NewType]],$AF$36:$AF$54,$AG$36:$AG$54)</f>
        <v>#N/A</v>
      </c>
      <c r="AA1527" s="17" t="s">
        <v>9795</v>
      </c>
      <c r="AB1527" s="11" t="str">
        <f>_xlfn.XLOOKUP(Customer[[#This Row],[Customer ID]],[1]!Address[ID],[1]!Address[Subtype])</f>
        <v>WHATSAPP</v>
      </c>
      <c r="AC1527" s="18" t="str">
        <f>_xlfn.XLOOKUP(Customer[[#This Row],[Customer ID]],[1]!Address[ID],[1]!Address[Zone])</f>
        <v>CENTRAL</v>
      </c>
    </row>
    <row r="1528" spans="1:30" x14ac:dyDescent="0.3">
      <c r="A1528" s="48" t="s">
        <v>9796</v>
      </c>
      <c r="B1528" s="49" t="str">
        <f>_xlfn.XLOOKUP(Customer[[#This Row],[Customer ID]],[1]!Name[ID],[1]!Name[Description(1)])</f>
        <v>AZAIDI BIN MOHD LAZIM</v>
      </c>
      <c r="C1528" s="50" t="str">
        <f>_xlfn.XLOOKUP(Customer[[#This Row],[Customer ID]],[1]!Name[ID],[1]!Name[Description(2)])</f>
        <v/>
      </c>
      <c r="D1528" s="50" t="str">
        <f>_xlfn.XLOOKUP(Customer[[#This Row],[Customer ID]],[1]!Address[ID],[1]!Address[PIC])</f>
        <v>AZAIDI</v>
      </c>
      <c r="E1528" s="38" t="str">
        <f>_xlfn.XLOOKUP(Customer[[#This Row],[Customer ID]],[1]!Address[ID],[1]!Address[Full Address])</f>
        <v>NO 31, JALAN 12,TAMAN TUN ABDUL RAZAK (TAR)68000 AMPANG, SELANGOR</v>
      </c>
      <c r="F1528" s="12" t="s">
        <v>9797</v>
      </c>
      <c r="G1528" s="12" t="s">
        <v>9798</v>
      </c>
      <c r="H1528" s="24" t="s">
        <v>3837</v>
      </c>
      <c r="I1528" s="24" t="b">
        <f>ISNUMBER(VALUE(LEFT(Customer[[#This Row],[Address Line 3 (30 char)]],1)))</f>
        <v>0</v>
      </c>
      <c r="J1528" s="12" t="s">
        <v>172</v>
      </c>
      <c r="K1528" s="12">
        <v>68000</v>
      </c>
      <c r="L1528" s="12" t="s">
        <v>35</v>
      </c>
      <c r="M1528" s="13" t="e">
        <v>#N/A</v>
      </c>
      <c r="N1528" s="31" t="s">
        <v>9799</v>
      </c>
      <c r="O1528" s="14" t="e">
        <v>#N/A</v>
      </c>
      <c r="P1528" s="14" t="e">
        <v>#N/A</v>
      </c>
      <c r="Q1528" s="19" t="s">
        <v>9800</v>
      </c>
      <c r="R1528" s="51" t="s">
        <v>9801</v>
      </c>
      <c r="S1528" s="51" t="s">
        <v>4271</v>
      </c>
      <c r="T1528" s="52" t="s">
        <v>89</v>
      </c>
      <c r="U1528" s="49" t="str">
        <f>_xlfn.XLOOKUP(Customer[[#This Row],[Customer ID]],[1]!Address[ID],[1]!Address[Phone No.(2)])</f>
        <v/>
      </c>
      <c r="V1528" s="49" t="str">
        <f>_xlfn.XLOOKUP(Customer[[#This Row],[Customer ID]],[1]!Address[ID],[1]!Address[Type])</f>
        <v>SOCMED</v>
      </c>
      <c r="W1528" s="49" t="str">
        <f>_xlfn.XLOOKUP(Customer[[#This Row],[Customer ID]],[1]!Address[ID],[1]!Address[CT])</f>
        <v/>
      </c>
      <c r="X1528" s="49"/>
      <c r="Y1528" s="53" t="s">
        <v>90</v>
      </c>
      <c r="Z1528" s="53" t="e">
        <f>_xlfn.XLOOKUP(Customer[[#This Row],[NewType]],$AF$36:$AF$54,$AG$36:$AG$54)</f>
        <v>#N/A</v>
      </c>
      <c r="AA1528" s="53" t="s">
        <v>9802</v>
      </c>
      <c r="AB1528" s="49" t="str">
        <f>_xlfn.XLOOKUP(Customer[[#This Row],[Customer ID]],[1]!Address[ID],[1]!Address[Subtype])</f>
        <v>WHATSAPP</v>
      </c>
      <c r="AC1528" s="54" t="str">
        <f>_xlfn.XLOOKUP(Customer[[#This Row],[Customer ID]],[1]!Address[ID],[1]!Address[Zone])</f>
        <v>CENTRAL</v>
      </c>
      <c r="AD1528" s="55"/>
    </row>
    <row r="1529" spans="1:30" x14ac:dyDescent="0.3">
      <c r="A1529" s="37" t="s">
        <v>9803</v>
      </c>
      <c r="B1529" s="38" t="str">
        <f>_xlfn.XLOOKUP(Customer[[#This Row],[Customer ID]],[1]!Name[ID],[1]!Name[Description(1)])</f>
        <v>KOPERASI KUSKOP (KUSCOOP) BERHAD</v>
      </c>
      <c r="C1529" s="38" t="str">
        <f>_xlfn.XLOOKUP(Customer[[#This Row],[Customer ID]],[1]!Name[ID],[1]!Name[Description(2)])</f>
        <v/>
      </c>
      <c r="D1529" s="38" t="str">
        <f>_xlfn.XLOOKUP(Customer[[#This Row],[Customer ID]],[1]!Address[ID],[1]!Address[PIC])</f>
        <v/>
      </c>
      <c r="E1529" s="38" t="str">
        <f>_xlfn.XLOOKUP(Customer[[#This Row],[Customer ID]],[1]!Address[ID],[1]!Address[Full Address])</f>
        <v>BLOK E4/5, KOMPLEKS KERAJAAN PARCEL E,PUSAT PENTADBIRAN KERAJAAN PERSEKUTUAN62668 PUTRAJAYA</v>
      </c>
      <c r="F1529" s="12" t="s">
        <v>9804</v>
      </c>
      <c r="G1529" s="12" t="s">
        <v>9805</v>
      </c>
      <c r="H1529" s="12" t="s">
        <v>9806</v>
      </c>
      <c r="I1529" s="12" t="b">
        <f>ISNUMBER(VALUE(LEFT(Customer[[#This Row],[Address Line 3 (30 char)]],1)))</f>
        <v>0</v>
      </c>
      <c r="J1529" s="12" t="s">
        <v>4229</v>
      </c>
      <c r="K1529" s="12">
        <v>62668</v>
      </c>
      <c r="L1529" s="12" t="s">
        <v>35</v>
      </c>
      <c r="M1529" s="13" t="e">
        <v>#N/A</v>
      </c>
      <c r="N1529" s="14" t="e">
        <v>#N/A</v>
      </c>
      <c r="O1529" s="14" t="e">
        <v>#N/A</v>
      </c>
      <c r="P1529" s="14" t="e">
        <v>#N/A</v>
      </c>
      <c r="Q1529" s="19" t="s">
        <v>9807</v>
      </c>
      <c r="R1529" s="15" t="s">
        <v>9808</v>
      </c>
      <c r="S1529" s="15" t="s">
        <v>88</v>
      </c>
      <c r="T1529" s="16" t="s">
        <v>89</v>
      </c>
      <c r="U1529" s="11" t="str">
        <f>_xlfn.XLOOKUP(Customer[[#This Row],[Customer ID]],[1]!Address[ID],[1]!Address[Phone No.(2)])</f>
        <v/>
      </c>
      <c r="V1529" s="11" t="str">
        <f>_xlfn.XLOOKUP(Customer[[#This Row],[Customer ID]],[1]!Address[ID],[1]!Address[Type])</f>
        <v>SOCMED</v>
      </c>
      <c r="W1529" s="11" t="str">
        <f>_xlfn.XLOOKUP(Customer[[#This Row],[Customer ID]],[1]!Address[ID],[1]!Address[CT])</f>
        <v/>
      </c>
      <c r="X1529" s="11"/>
      <c r="Y1529" s="17" t="s">
        <v>90</v>
      </c>
      <c r="Z1529" s="17" t="e">
        <f>_xlfn.XLOOKUP(Customer[[#This Row],[NewType]],$AF$36:$AF$54,$AG$36:$AG$54)</f>
        <v>#N/A</v>
      </c>
      <c r="AA1529" s="17" t="s">
        <v>9809</v>
      </c>
      <c r="AB1529" s="11" t="str">
        <f>_xlfn.XLOOKUP(Customer[[#This Row],[Customer ID]],[1]!Address[ID],[1]!Address[Subtype])</f>
        <v>ONLINE ROS</v>
      </c>
      <c r="AC1529" s="18" t="str">
        <f>_xlfn.XLOOKUP(Customer[[#This Row],[Customer ID]],[1]!Address[ID],[1]!Address[Zone])</f>
        <v>CENTRAL</v>
      </c>
    </row>
    <row r="1530" spans="1:30" x14ac:dyDescent="0.3">
      <c r="A1530" s="10" t="s">
        <v>9810</v>
      </c>
      <c r="B1530" s="11" t="str">
        <f>_xlfn.XLOOKUP(Customer[[#This Row],[Customer ID]],[1]!Name[ID],[1]!Name[Description(1)])</f>
        <v>IZAN (MB)</v>
      </c>
      <c r="C1530" s="32" t="str">
        <f>_xlfn.XLOOKUP(Customer[[#This Row],[Customer ID]],[1]!Name[ID],[1]!Name[Description(2)])</f>
        <v/>
      </c>
      <c r="D1530" s="38" t="str">
        <f>_xlfn.XLOOKUP(Customer[[#This Row],[Customer ID]],[1]!Address[ID],[1]!Address[PIC])</f>
        <v/>
      </c>
      <c r="E1530" s="38" t="str">
        <f>_xlfn.XLOOKUP(Customer[[#This Row],[Customer ID]],[1]!Address[ID],[1]!Address[Full Address])</f>
        <v/>
      </c>
      <c r="F1530" s="12" t="s">
        <v>36</v>
      </c>
      <c r="G1530" s="12" t="s">
        <v>36</v>
      </c>
      <c r="H1530" s="12" t="s">
        <v>36</v>
      </c>
      <c r="I1530" s="12" t="b">
        <f>ISNUMBER(VALUE(LEFT(Customer[[#This Row],[Address Line 3 (30 char)]],1)))</f>
        <v>0</v>
      </c>
      <c r="J1530" s="32"/>
      <c r="K1530" s="32"/>
      <c r="L1530" s="12" t="s">
        <v>35</v>
      </c>
      <c r="M1530" s="13" t="e">
        <v>#N/A</v>
      </c>
      <c r="N1530" s="14" t="e">
        <v>#N/A</v>
      </c>
      <c r="O1530" s="14" t="e">
        <v>#N/A</v>
      </c>
      <c r="P1530" s="14" t="e">
        <v>#N/A</v>
      </c>
      <c r="Q1530" s="14" t="e">
        <v>#N/A</v>
      </c>
      <c r="R1530" s="15" t="s">
        <v>36</v>
      </c>
      <c r="S1530" s="15" t="s">
        <v>4271</v>
      </c>
      <c r="T1530" s="16" t="s">
        <v>89</v>
      </c>
      <c r="U1530" s="11" t="str">
        <f>_xlfn.XLOOKUP(Customer[[#This Row],[Customer ID]],[1]!Address[ID],[1]!Address[Phone No.(2)])</f>
        <v/>
      </c>
      <c r="V1530" s="11" t="str">
        <f>_xlfn.XLOOKUP(Customer[[#This Row],[Customer ID]],[1]!Address[ID],[1]!Address[Type])</f>
        <v>SOCMED</v>
      </c>
      <c r="W1530" s="11" t="str">
        <f>_xlfn.XLOOKUP(Customer[[#This Row],[Customer ID]],[1]!Address[ID],[1]!Address[CT])</f>
        <v/>
      </c>
      <c r="X1530" s="11"/>
      <c r="Y1530" s="17" t="s">
        <v>90</v>
      </c>
      <c r="Z1530" s="17" t="e">
        <f>_xlfn.XLOOKUP(Customer[[#This Row],[NewType]],$AF$36:$AF$54,$AG$36:$AG$54)</f>
        <v>#N/A</v>
      </c>
      <c r="AA1530" s="17" t="s">
        <v>9811</v>
      </c>
      <c r="AB1530" s="11" t="str">
        <f>_xlfn.XLOOKUP(Customer[[#This Row],[Customer ID]],[1]!Address[ID],[1]!Address[Subtype])</f>
        <v>WHATSAPP</v>
      </c>
      <c r="AC1530" s="18" t="str">
        <f>_xlfn.XLOOKUP(Customer[[#This Row],[Customer ID]],[1]!Address[ID],[1]!Address[Zone])</f>
        <v>AEEDH</v>
      </c>
    </row>
    <row r="1531" spans="1:30" x14ac:dyDescent="0.3">
      <c r="A1531" s="10" t="s">
        <v>9812</v>
      </c>
      <c r="B1531" s="11" t="str">
        <f>_xlfn.XLOOKUP(Customer[[#This Row],[Customer ID]],[1]!Name[ID],[1]!Name[Description(1)])</f>
        <v>DATO KJ (MB)</v>
      </c>
      <c r="C1531" s="32" t="str">
        <f>_xlfn.XLOOKUP(Customer[[#This Row],[Customer ID]],[1]!Name[ID],[1]!Name[Description(2)])</f>
        <v/>
      </c>
      <c r="D1531" s="38" t="str">
        <f>_xlfn.XLOOKUP(Customer[[#This Row],[Customer ID]],[1]!Address[ID],[1]!Address[PIC])</f>
        <v/>
      </c>
      <c r="E1531" s="38" t="str">
        <f>_xlfn.XLOOKUP(Customer[[#This Row],[Customer ID]],[1]!Address[ID],[1]!Address[Full Address])</f>
        <v/>
      </c>
      <c r="F1531" s="12" t="s">
        <v>36</v>
      </c>
      <c r="G1531" s="12" t="s">
        <v>36</v>
      </c>
      <c r="H1531" s="12" t="s">
        <v>36</v>
      </c>
      <c r="I1531" s="12" t="b">
        <f>ISNUMBER(VALUE(LEFT(Customer[[#This Row],[Address Line 3 (30 char)]],1)))</f>
        <v>0</v>
      </c>
      <c r="J1531" s="32"/>
      <c r="K1531" s="32"/>
      <c r="L1531" s="12" t="s">
        <v>35</v>
      </c>
      <c r="M1531" s="13" t="e">
        <v>#N/A</v>
      </c>
      <c r="N1531" s="14" t="e">
        <v>#N/A</v>
      </c>
      <c r="O1531" s="14" t="e">
        <v>#N/A</v>
      </c>
      <c r="P1531" s="14" t="e">
        <v>#N/A</v>
      </c>
      <c r="Q1531" s="14" t="e">
        <v>#N/A</v>
      </c>
      <c r="R1531" s="15" t="s">
        <v>36</v>
      </c>
      <c r="S1531" s="15" t="s">
        <v>4271</v>
      </c>
      <c r="T1531" s="16" t="s">
        <v>89</v>
      </c>
      <c r="U1531" s="11" t="str">
        <f>_xlfn.XLOOKUP(Customer[[#This Row],[Customer ID]],[1]!Address[ID],[1]!Address[Phone No.(2)])</f>
        <v/>
      </c>
      <c r="V1531" s="11" t="str">
        <f>_xlfn.XLOOKUP(Customer[[#This Row],[Customer ID]],[1]!Address[ID],[1]!Address[Type])</f>
        <v>SOCMED</v>
      </c>
      <c r="W1531" s="11" t="str">
        <f>_xlfn.XLOOKUP(Customer[[#This Row],[Customer ID]],[1]!Address[ID],[1]!Address[CT])</f>
        <v/>
      </c>
      <c r="X1531" s="11"/>
      <c r="Y1531" s="17" t="s">
        <v>90</v>
      </c>
      <c r="Z1531" s="17" t="e">
        <f>_xlfn.XLOOKUP(Customer[[#This Row],[NewType]],$AF$36:$AF$54,$AG$36:$AG$54)</f>
        <v>#N/A</v>
      </c>
      <c r="AA1531" s="17" t="s">
        <v>9813</v>
      </c>
      <c r="AB1531" s="11" t="str">
        <f>_xlfn.XLOOKUP(Customer[[#This Row],[Customer ID]],[1]!Address[ID],[1]!Address[Subtype])</f>
        <v>WHATSAPP</v>
      </c>
      <c r="AC1531" s="18" t="str">
        <f>_xlfn.XLOOKUP(Customer[[#This Row],[Customer ID]],[1]!Address[ID],[1]!Address[Zone])</f>
        <v>AEEDH</v>
      </c>
    </row>
    <row r="1532" spans="1:30" x14ac:dyDescent="0.3">
      <c r="A1532" s="10" t="s">
        <v>9814</v>
      </c>
      <c r="B1532" s="11" t="str">
        <f>_xlfn.XLOOKUP(Customer[[#This Row],[Customer ID]],[1]!Name[ID],[1]!Name[Description(1)])</f>
        <v>ASNITA (MB)</v>
      </c>
      <c r="C1532" s="32" t="str">
        <f>_xlfn.XLOOKUP(Customer[[#This Row],[Customer ID]],[1]!Name[ID],[1]!Name[Description(2)])</f>
        <v/>
      </c>
      <c r="D1532" s="38" t="str">
        <f>_xlfn.XLOOKUP(Customer[[#This Row],[Customer ID]],[1]!Address[ID],[1]!Address[PIC])</f>
        <v/>
      </c>
      <c r="E1532" s="38" t="str">
        <f>_xlfn.XLOOKUP(Customer[[#This Row],[Customer ID]],[1]!Address[ID],[1]!Address[Full Address])</f>
        <v/>
      </c>
      <c r="F1532" s="12" t="s">
        <v>36</v>
      </c>
      <c r="G1532" s="12" t="s">
        <v>36</v>
      </c>
      <c r="H1532" s="12" t="s">
        <v>36</v>
      </c>
      <c r="I1532" s="12" t="b">
        <f>ISNUMBER(VALUE(LEFT(Customer[[#This Row],[Address Line 3 (30 char)]],1)))</f>
        <v>0</v>
      </c>
      <c r="J1532" s="32"/>
      <c r="K1532" s="32"/>
      <c r="L1532" s="12" t="s">
        <v>35</v>
      </c>
      <c r="M1532" s="13" t="e">
        <v>#N/A</v>
      </c>
      <c r="N1532" s="14" t="e">
        <v>#N/A</v>
      </c>
      <c r="O1532" s="14" t="e">
        <v>#N/A</v>
      </c>
      <c r="P1532" s="14" t="e">
        <v>#N/A</v>
      </c>
      <c r="Q1532" s="14" t="e">
        <v>#N/A</v>
      </c>
      <c r="R1532" s="15" t="s">
        <v>36</v>
      </c>
      <c r="S1532" s="15" t="s">
        <v>4271</v>
      </c>
      <c r="T1532" s="16" t="s">
        <v>89</v>
      </c>
      <c r="U1532" s="11" t="str">
        <f>_xlfn.XLOOKUP(Customer[[#This Row],[Customer ID]],[1]!Address[ID],[1]!Address[Phone No.(2)])</f>
        <v/>
      </c>
      <c r="V1532" s="11" t="str">
        <f>_xlfn.XLOOKUP(Customer[[#This Row],[Customer ID]],[1]!Address[ID],[1]!Address[Type])</f>
        <v>SOCMED</v>
      </c>
      <c r="W1532" s="11" t="str">
        <f>_xlfn.XLOOKUP(Customer[[#This Row],[Customer ID]],[1]!Address[ID],[1]!Address[CT])</f>
        <v/>
      </c>
      <c r="X1532" s="11"/>
      <c r="Y1532" s="17" t="s">
        <v>90</v>
      </c>
      <c r="Z1532" s="17" t="e">
        <f>_xlfn.XLOOKUP(Customer[[#This Row],[NewType]],$AF$36:$AF$54,$AG$36:$AG$54)</f>
        <v>#N/A</v>
      </c>
      <c r="AA1532" s="17" t="s">
        <v>9815</v>
      </c>
      <c r="AB1532" s="11" t="str">
        <f>_xlfn.XLOOKUP(Customer[[#This Row],[Customer ID]],[1]!Address[ID],[1]!Address[Subtype])</f>
        <v>WHATSAPP</v>
      </c>
      <c r="AC1532" s="18" t="str">
        <f>_xlfn.XLOOKUP(Customer[[#This Row],[Customer ID]],[1]!Address[ID],[1]!Address[Zone])</f>
        <v>AEEDH</v>
      </c>
    </row>
    <row r="1533" spans="1:30" x14ac:dyDescent="0.3">
      <c r="A1533" s="27" t="s">
        <v>9816</v>
      </c>
      <c r="B1533" s="11" t="str">
        <f>_xlfn.XLOOKUP(Customer[[#This Row],[Customer ID]],[1]!Name[ID],[1]!Name[Description(1)])</f>
        <v>NUMIRA RESOURCES</v>
      </c>
      <c r="C1533" s="44" t="str">
        <f>_xlfn.XLOOKUP(Customer[[#This Row],[Customer ID]],[1]!Name[ID],[1]!Name[Description(2)])</f>
        <v/>
      </c>
      <c r="D1533" s="44" t="str">
        <f>_xlfn.XLOOKUP(Customer[[#This Row],[Customer ID]],[1]!Address[ID],[1]!Address[PIC])</f>
        <v/>
      </c>
      <c r="E1533" s="38" t="str">
        <f>_xlfn.XLOOKUP(Customer[[#This Row],[Customer ID]],[1]!Address[ID],[1]!Address[Full Address])</f>
        <v>230-1A JALAN HARUAN5/6 PUSAT KOMERSIAL OAKLAND II70300 SEREMBAN NEGERI SEMBILAN</v>
      </c>
      <c r="F1533" s="29" t="s">
        <v>9817</v>
      </c>
      <c r="G1533" s="29" t="s">
        <v>9818</v>
      </c>
      <c r="H1533" s="79" t="s">
        <v>2411</v>
      </c>
      <c r="I1533" s="79" t="b">
        <f>ISNUMBER(VALUE(LEFT(Customer[[#This Row],[Address Line 3 (30 char)]],1)))</f>
        <v>0</v>
      </c>
      <c r="J1533" s="29" t="s">
        <v>2004</v>
      </c>
      <c r="K1533" s="29">
        <v>70300</v>
      </c>
      <c r="L1533" s="29" t="s">
        <v>35</v>
      </c>
      <c r="M1533" s="31" t="e">
        <v>#N/A</v>
      </c>
      <c r="N1533" s="36" t="e">
        <v>#N/A</v>
      </c>
      <c r="O1533" s="36" t="e">
        <v>#N/A</v>
      </c>
      <c r="P1533" s="36" t="e">
        <v>#N/A</v>
      </c>
      <c r="Q1533" s="89" t="s">
        <v>9819</v>
      </c>
      <c r="R1533" s="80" t="s">
        <v>9820</v>
      </c>
      <c r="S1533" s="15" t="s">
        <v>6418</v>
      </c>
      <c r="T1533" s="16" t="s">
        <v>7974</v>
      </c>
      <c r="U1533" s="28" t="str">
        <f>_xlfn.XLOOKUP(Customer[[#This Row],[Customer ID]],[1]!Address[ID],[1]!Address[Phone No.(2)])</f>
        <v/>
      </c>
      <c r="V1533" s="28" t="str">
        <f>_xlfn.XLOOKUP(Customer[[#This Row],[Customer ID]],[1]!Address[ID],[1]!Address[Type])</f>
        <v>SOCMED</v>
      </c>
      <c r="W1533" s="28" t="str">
        <f>_xlfn.XLOOKUP(Customer[[#This Row],[Customer ID]],[1]!Address[ID],[1]!Address[CT])</f>
        <v>30 DAYS</v>
      </c>
      <c r="X1533" s="28"/>
      <c r="Y1533" s="82" t="s">
        <v>90</v>
      </c>
      <c r="Z1533" s="82" t="e">
        <f>_xlfn.XLOOKUP(Customer[[#This Row],[NewType]],$AF$36:$AF$54,$AG$36:$AG$54)</f>
        <v>#N/A</v>
      </c>
      <c r="AA1533" s="82" t="s">
        <v>9821</v>
      </c>
      <c r="AB1533" s="28" t="str">
        <f>_xlfn.XLOOKUP(Customer[[#This Row],[Customer ID]],[1]!Address[ID],[1]!Address[Subtype])</f>
        <v>WHATSAPP</v>
      </c>
      <c r="AC1533" s="83" t="str">
        <f>_xlfn.XLOOKUP(Customer[[#This Row],[Customer ID]],[1]!Address[ID],[1]!Address[Zone])</f>
        <v>CENTRAL</v>
      </c>
      <c r="AD1533" s="84"/>
    </row>
    <row r="1534" spans="1:30" x14ac:dyDescent="0.3">
      <c r="A1534" s="37" t="s">
        <v>9822</v>
      </c>
      <c r="B1534" s="38" t="str">
        <f>_xlfn.XLOOKUP(Customer[[#This Row],[Customer ID]],[1]!Name[ID],[1]!Name[Description(1)])</f>
        <v>EN FADIL (CIMB JALAN DUTA)</v>
      </c>
      <c r="C1534" s="38" t="str">
        <f>_xlfn.XLOOKUP(Customer[[#This Row],[Customer ID]],[1]!Name[ID],[1]!Name[Description(2)])</f>
        <v/>
      </c>
      <c r="D1534" s="38" t="str">
        <f>_xlfn.XLOOKUP(Customer[[#This Row],[Customer ID]],[1]!Address[ID],[1]!Address[PIC])</f>
        <v/>
      </c>
      <c r="E1534" s="38" t="str">
        <f>_xlfn.XLOOKUP(Customer[[#This Row],[Customer ID]],[1]!Address[ID],[1]!Address[Full Address])</f>
        <v>CIMB BANK JALAN DUTA,BLOCK 8, KOMPLEKS PEJABAT KERAJAAN,JLN TUANKU ABDUL HALIM, KOMPLEKSKERAJAAN, 50480 KUALA LUMPUR</v>
      </c>
      <c r="F1534" s="12" t="s">
        <v>9823</v>
      </c>
      <c r="G1534" s="12" t="s">
        <v>9824</v>
      </c>
      <c r="H1534" s="12" t="s">
        <v>9825</v>
      </c>
      <c r="I1534" s="12" t="b">
        <f>ISNUMBER(VALUE(LEFT(Customer[[#This Row],[Address Line 3 (30 char)]],1)))</f>
        <v>0</v>
      </c>
      <c r="J1534" s="12" t="s">
        <v>34</v>
      </c>
      <c r="K1534" s="12">
        <v>50480</v>
      </c>
      <c r="L1534" s="12" t="s">
        <v>35</v>
      </c>
      <c r="M1534" s="13" t="e">
        <v>#N/A</v>
      </c>
      <c r="N1534" s="14" t="e">
        <v>#N/A</v>
      </c>
      <c r="O1534" s="14" t="e">
        <v>#N/A</v>
      </c>
      <c r="P1534" s="14" t="e">
        <v>#N/A</v>
      </c>
      <c r="Q1534" s="14" t="e">
        <v>#N/A</v>
      </c>
      <c r="R1534" s="15" t="s">
        <v>9826</v>
      </c>
      <c r="S1534" s="15" t="s">
        <v>88</v>
      </c>
      <c r="T1534" s="16" t="s">
        <v>89</v>
      </c>
      <c r="U1534" s="11" t="str">
        <f>_xlfn.XLOOKUP(Customer[[#This Row],[Customer ID]],[1]!Address[ID],[1]!Address[Phone No.(2)])</f>
        <v/>
      </c>
      <c r="V1534" s="11" t="str">
        <f>_xlfn.XLOOKUP(Customer[[#This Row],[Customer ID]],[1]!Address[ID],[1]!Address[Type])</f>
        <v>SOCMED</v>
      </c>
      <c r="W1534" s="11" t="str">
        <f>_xlfn.XLOOKUP(Customer[[#This Row],[Customer ID]],[1]!Address[ID],[1]!Address[CT])</f>
        <v/>
      </c>
      <c r="X1534" s="11"/>
      <c r="Y1534" s="17" t="s">
        <v>90</v>
      </c>
      <c r="Z1534" s="17" t="e">
        <f>_xlfn.XLOOKUP(Customer[[#This Row],[NewType]],$AF$36:$AF$54,$AG$36:$AG$54)</f>
        <v>#N/A</v>
      </c>
      <c r="AA1534" s="17" t="s">
        <v>9827</v>
      </c>
      <c r="AB1534" s="11" t="str">
        <f>_xlfn.XLOOKUP(Customer[[#This Row],[Customer ID]],[1]!Address[ID],[1]!Address[Subtype])</f>
        <v>ONLINE ROS</v>
      </c>
      <c r="AC1534" s="18" t="str">
        <f>_xlfn.XLOOKUP(Customer[[#This Row],[Customer ID]],[1]!Address[ID],[1]!Address[Zone])</f>
        <v>CENTRAL</v>
      </c>
    </row>
    <row r="1535" spans="1:30" x14ac:dyDescent="0.3">
      <c r="A1535" s="10" t="s">
        <v>9828</v>
      </c>
      <c r="B1535" s="11" t="str">
        <f>_xlfn.XLOOKUP(Customer[[#This Row],[Customer ID]],[1]!Name[ID],[1]!Name[Description(1)])</f>
        <v>TEACHER MUTHLA (LEARNING OASIS)</v>
      </c>
      <c r="C1535" s="38" t="str">
        <f>_xlfn.XLOOKUP(Customer[[#This Row],[Customer ID]],[1]!Name[ID],[1]!Name[Description(2)])</f>
        <v/>
      </c>
      <c r="D1535" s="38" t="str">
        <f>_xlfn.XLOOKUP(Customer[[#This Row],[Customer ID]],[1]!Address[ID],[1]!Address[PIC])</f>
        <v/>
      </c>
      <c r="E1535" s="38" t="str">
        <f>_xlfn.XLOOKUP(Customer[[#This Row],[Customer ID]],[1]!Address[ID],[1]!Address[Full Address])</f>
        <v>LEARNING OASIS, 2A, JLN SERI REJANG 5,RAMPAI BUSINESS PARK, 53300KUALA LUMPUR, WILAYAH PERSEKUTUANKUALA LUMPUR</v>
      </c>
      <c r="F1535" s="12" t="s">
        <v>9829</v>
      </c>
      <c r="G1535" s="12" t="s">
        <v>8147</v>
      </c>
      <c r="H1535" s="12" t="s">
        <v>2797</v>
      </c>
      <c r="I1535" s="12" t="b">
        <f>ISNUMBER(VALUE(LEFT(Customer[[#This Row],[Address Line 3 (30 char)]],1)))</f>
        <v>0</v>
      </c>
      <c r="J1535" s="12" t="s">
        <v>34</v>
      </c>
      <c r="K1535" s="12">
        <v>53300</v>
      </c>
      <c r="L1535" s="12" t="s">
        <v>35</v>
      </c>
      <c r="M1535" s="13" t="e">
        <v>#N/A</v>
      </c>
      <c r="N1535" s="14" t="e">
        <v>#N/A</v>
      </c>
      <c r="O1535" s="14" t="e">
        <v>#N/A</v>
      </c>
      <c r="P1535" s="14" t="e">
        <v>#N/A</v>
      </c>
      <c r="Q1535" s="14" t="e">
        <v>#N/A</v>
      </c>
      <c r="R1535" s="15" t="s">
        <v>36</v>
      </c>
      <c r="S1535" s="15" t="s">
        <v>4271</v>
      </c>
      <c r="T1535" s="16" t="s">
        <v>89</v>
      </c>
      <c r="U1535" s="11" t="str">
        <f>_xlfn.XLOOKUP(Customer[[#This Row],[Customer ID]],[1]!Address[ID],[1]!Address[Phone No.(2)])</f>
        <v/>
      </c>
      <c r="V1535" s="11" t="str">
        <f>_xlfn.XLOOKUP(Customer[[#This Row],[Customer ID]],[1]!Address[ID],[1]!Address[Type])</f>
        <v>SOCMED</v>
      </c>
      <c r="W1535" s="11" t="str">
        <f>_xlfn.XLOOKUP(Customer[[#This Row],[Customer ID]],[1]!Address[ID],[1]!Address[CT])</f>
        <v/>
      </c>
      <c r="X1535" s="11"/>
      <c r="Y1535" s="17" t="s">
        <v>90</v>
      </c>
      <c r="Z1535" s="17" t="e">
        <f>_xlfn.XLOOKUP(Customer[[#This Row],[NewType]],$AF$36:$AF$54,$AG$36:$AG$54)</f>
        <v>#N/A</v>
      </c>
      <c r="AA1535" s="17" t="s">
        <v>9830</v>
      </c>
      <c r="AB1535" s="11" t="str">
        <f>_xlfn.XLOOKUP(Customer[[#This Row],[Customer ID]],[1]!Address[ID],[1]!Address[Subtype])</f>
        <v>WHATSAPP</v>
      </c>
      <c r="AC1535" s="18" t="str">
        <f>_xlfn.XLOOKUP(Customer[[#This Row],[Customer ID]],[1]!Address[ID],[1]!Address[Zone])</f>
        <v>CENTRAL</v>
      </c>
    </row>
    <row r="1536" spans="1:30" x14ac:dyDescent="0.3">
      <c r="A1536" s="56" t="s">
        <v>9831</v>
      </c>
      <c r="B1536" s="50" t="str">
        <f>_xlfn.XLOOKUP(Customer[[#This Row],[Customer ID]],[1]!Name[ID],[1]!Name[Description(1)])</f>
        <v>MEGAH PETRO NIAGA</v>
      </c>
      <c r="C1536" s="38" t="str">
        <f>_xlfn.XLOOKUP(Customer[[#This Row],[Customer ID]],[1]!Name[ID],[1]!Name[Description(2)])</f>
        <v/>
      </c>
      <c r="D1536" s="38" t="str">
        <f>_xlfn.XLOOKUP(Customer[[#This Row],[Customer ID]],[1]!Address[ID],[1]!Address[PIC])</f>
        <v/>
      </c>
      <c r="E1536" s="38" t="str">
        <f>_xlfn.XLOOKUP(Customer[[#This Row],[Customer ID]],[1]!Address[ID],[1]!Address[Full Address])</f>
        <v>SHELL TMN MEGAH RIAPTD 25231, JALAN BAYAN 31,TMN MEGAH RIA, MUKIM PLENTONG,81750 MASAI, JOHOR</v>
      </c>
      <c r="F1536" s="12" t="s">
        <v>9832</v>
      </c>
      <c r="G1536" s="12" t="s">
        <v>9833</v>
      </c>
      <c r="H1536" s="12" t="s">
        <v>9834</v>
      </c>
      <c r="I1536" s="12" t="b">
        <f>ISNUMBER(VALUE(LEFT(Customer[[#This Row],[Address Line 3 (30 char)]],1)))</f>
        <v>0</v>
      </c>
      <c r="J1536" s="12" t="s">
        <v>1995</v>
      </c>
      <c r="K1536" s="12">
        <v>81750</v>
      </c>
      <c r="L1536" s="12" t="s">
        <v>35</v>
      </c>
      <c r="M1536" s="13" t="e">
        <v>#N/A</v>
      </c>
      <c r="N1536" s="14" t="e">
        <v>#N/A</v>
      </c>
      <c r="O1536" s="14" t="e">
        <v>#N/A</v>
      </c>
      <c r="P1536" s="14" t="e">
        <v>#N/A</v>
      </c>
      <c r="Q1536" s="14" t="e">
        <v>#N/A</v>
      </c>
      <c r="R1536" s="15" t="s">
        <v>9835</v>
      </c>
      <c r="S1536" s="15" t="s">
        <v>3212</v>
      </c>
      <c r="T1536" s="16" t="s">
        <v>89</v>
      </c>
      <c r="U1536" s="11" t="str">
        <f>_xlfn.XLOOKUP(Customer[[#This Row],[Customer ID]],[1]!Address[ID],[1]!Address[Phone No.(2)])</f>
        <v/>
      </c>
      <c r="V1536" s="11" t="str">
        <f>_xlfn.XLOOKUP(Customer[[#This Row],[Customer ID]],[1]!Address[ID],[1]!Address[Type])</f>
        <v>SOCMED</v>
      </c>
      <c r="W1536" s="11" t="str">
        <f>_xlfn.XLOOKUP(Customer[[#This Row],[Customer ID]],[1]!Address[ID],[1]!Address[CT])</f>
        <v/>
      </c>
      <c r="X1536" s="11"/>
      <c r="Y1536" s="17" t="s">
        <v>90</v>
      </c>
      <c r="Z1536" s="17" t="e">
        <f>_xlfn.XLOOKUP(Customer[[#This Row],[NewType]],$AF$36:$AF$54,$AG$36:$AG$54)</f>
        <v>#N/A</v>
      </c>
      <c r="AA1536" s="17" t="s">
        <v>9836</v>
      </c>
      <c r="AB1536" s="11" t="str">
        <f>_xlfn.XLOOKUP(Customer[[#This Row],[Customer ID]],[1]!Address[ID],[1]!Address[Subtype])</f>
        <v>ONLINE HAJAR</v>
      </c>
      <c r="AC1536" s="18" t="str">
        <f>_xlfn.XLOOKUP(Customer[[#This Row],[Customer ID]],[1]!Address[ID],[1]!Address[Zone])</f>
        <v>SOUTH</v>
      </c>
    </row>
    <row r="1537" spans="1:30" x14ac:dyDescent="0.3">
      <c r="A1537" s="56" t="s">
        <v>9837</v>
      </c>
      <c r="B1537" s="50" t="str">
        <f>_xlfn.XLOOKUP(Customer[[#This Row],[Customer ID]],[1]!Name[ID],[1]!Name[Description(1)])</f>
        <v>RADEN EMBUN SDN BHD (1391838-M)</v>
      </c>
      <c r="C1537" s="38" t="str">
        <f>_xlfn.XLOOKUP(Customer[[#This Row],[Customer ID]],[1]!Name[ID],[1]!Name[Description(2)])</f>
        <v>SUTERA DAMANSARA</v>
      </c>
      <c r="D1537" s="38" t="str">
        <f>_xlfn.XLOOKUP(Customer[[#This Row],[Customer ID]],[1]!Address[ID],[1]!Address[PIC])</f>
        <v/>
      </c>
      <c r="E1537" s="38" t="str">
        <f>_xlfn.XLOOKUP(Customer[[#This Row],[Customer ID]],[1]!Address[ID],[1]!Address[Full Address])</f>
        <v>NO 102A, JALAN PJU 10/17,SUTERA DAMANSARA, 47830 PETALING JAYA,SELANGOR</v>
      </c>
      <c r="F1537" s="12" t="s">
        <v>9838</v>
      </c>
      <c r="G1537" s="12" t="s">
        <v>9839</v>
      </c>
      <c r="H1537" s="86" t="s">
        <v>5169</v>
      </c>
      <c r="I1537" s="86" t="b">
        <f>ISNUMBER(VALUE(LEFT(Customer[[#This Row],[Address Line 3 (30 char)]],1)))</f>
        <v>0</v>
      </c>
      <c r="J1537" s="12" t="s">
        <v>172</v>
      </c>
      <c r="K1537" s="12">
        <v>47830</v>
      </c>
      <c r="L1537" s="12" t="s">
        <v>35</v>
      </c>
      <c r="M1537" s="13" t="e">
        <v>#N/A</v>
      </c>
      <c r="N1537" s="14" t="e">
        <v>#N/A</v>
      </c>
      <c r="O1537" s="14" t="e">
        <v>#N/A</v>
      </c>
      <c r="P1537" s="14" t="e">
        <v>#N/A</v>
      </c>
      <c r="Q1537" s="14" t="e">
        <v>#N/A</v>
      </c>
      <c r="R1537" s="15" t="s">
        <v>5171</v>
      </c>
      <c r="S1537" s="15" t="s">
        <v>3212</v>
      </c>
      <c r="T1537" s="16" t="s">
        <v>89</v>
      </c>
      <c r="U1537" s="11" t="str">
        <f>_xlfn.XLOOKUP(Customer[[#This Row],[Customer ID]],[1]!Address[ID],[1]!Address[Phone No.(2)])</f>
        <v/>
      </c>
      <c r="V1537" s="11" t="str">
        <f>_xlfn.XLOOKUP(Customer[[#This Row],[Customer ID]],[1]!Address[ID],[1]!Address[Type])</f>
        <v>SOCMED</v>
      </c>
      <c r="W1537" s="11" t="str">
        <f>_xlfn.XLOOKUP(Customer[[#This Row],[Customer ID]],[1]!Address[ID],[1]!Address[CT])</f>
        <v/>
      </c>
      <c r="X1537" s="11"/>
      <c r="Y1537" s="17" t="s">
        <v>90</v>
      </c>
      <c r="Z1537" s="17" t="e">
        <f>_xlfn.XLOOKUP(Customer[[#This Row],[NewType]],$AF$36:$AF$54,$AG$36:$AG$54)</f>
        <v>#N/A</v>
      </c>
      <c r="AA1537" s="17" t="s">
        <v>9840</v>
      </c>
      <c r="AB1537" s="11" t="str">
        <f>_xlfn.XLOOKUP(Customer[[#This Row],[Customer ID]],[1]!Address[ID],[1]!Address[Subtype])</f>
        <v>ONLINE HAJAR</v>
      </c>
      <c r="AC1537" s="18" t="str">
        <f>_xlfn.XLOOKUP(Customer[[#This Row],[Customer ID]],[1]!Address[ID],[1]!Address[Zone])</f>
        <v>UTERAUUTERAH</v>
      </c>
    </row>
    <row r="1538" spans="1:30" x14ac:dyDescent="0.3">
      <c r="A1538" s="56" t="s">
        <v>9841</v>
      </c>
      <c r="B1538" s="50" t="str">
        <f>_xlfn.XLOOKUP(Customer[[#This Row],[Customer ID]],[1]!Name[ID],[1]!Name[Description(1)])</f>
        <v>PONDOK KEREPEK LEGACY</v>
      </c>
      <c r="C1538" s="38" t="str">
        <f>_xlfn.XLOOKUP(Customer[[#This Row],[Customer ID]],[1]!Name[ID],[1]!Name[Description(2)])</f>
        <v/>
      </c>
      <c r="D1538" s="38" t="str">
        <f>_xlfn.XLOOKUP(Customer[[#This Row],[Customer ID]],[1]!Address[ID],[1]!Address[PIC])</f>
        <v/>
      </c>
      <c r="E1538" s="38" t="str">
        <f>_xlfn.XLOOKUP(Customer[[#This Row],[Customer ID]],[1]!Address[ID],[1]!Address[Full Address])</f>
        <v>NO 22, KAWASAN REHAT &amp; RAWAT,PAGOH UTARA, PANCHOR 84500 MUAR, JOHOR</v>
      </c>
      <c r="F1538" s="12" t="s">
        <v>9842</v>
      </c>
      <c r="G1538" s="12" t="s">
        <v>9843</v>
      </c>
      <c r="H1538" s="106" t="s">
        <v>9844</v>
      </c>
      <c r="I1538" s="86" t="b">
        <f>ISNUMBER(VALUE(LEFT(Customer[[#This Row],[Address Line 3 (30 char)]],1)))</f>
        <v>0</v>
      </c>
      <c r="J1538" s="12" t="s">
        <v>1995</v>
      </c>
      <c r="K1538" s="12">
        <v>84500</v>
      </c>
      <c r="L1538" s="12" t="s">
        <v>35</v>
      </c>
      <c r="M1538" s="13" t="e">
        <v>#N/A</v>
      </c>
      <c r="N1538" s="14" t="e">
        <v>#N/A</v>
      </c>
      <c r="O1538" s="14" t="e">
        <v>#N/A</v>
      </c>
      <c r="P1538" s="14" t="e">
        <v>#N/A</v>
      </c>
      <c r="Q1538" s="14" t="e">
        <v>#N/A</v>
      </c>
      <c r="R1538" s="15" t="s">
        <v>3211</v>
      </c>
      <c r="S1538" s="15" t="s">
        <v>3212</v>
      </c>
      <c r="T1538" s="16" t="s">
        <v>89</v>
      </c>
      <c r="U1538" s="11" t="str">
        <f>_xlfn.XLOOKUP(Customer[[#This Row],[Customer ID]],[1]!Address[ID],[1]!Address[Phone No.(2)])</f>
        <v/>
      </c>
      <c r="V1538" s="11" t="str">
        <f>_xlfn.XLOOKUP(Customer[[#This Row],[Customer ID]],[1]!Address[ID],[1]!Address[Type])</f>
        <v>SOCMED</v>
      </c>
      <c r="W1538" s="11" t="str">
        <f>_xlfn.XLOOKUP(Customer[[#This Row],[Customer ID]],[1]!Address[ID],[1]!Address[CT])</f>
        <v/>
      </c>
      <c r="X1538" s="11"/>
      <c r="Y1538" s="17" t="s">
        <v>90</v>
      </c>
      <c r="Z1538" s="17" t="e">
        <f>_xlfn.XLOOKUP(Customer[[#This Row],[NewType]],$AF$36:$AF$54,$AG$36:$AG$54)</f>
        <v>#N/A</v>
      </c>
      <c r="AA1538" s="17" t="s">
        <v>9845</v>
      </c>
      <c r="AB1538" s="11" t="str">
        <f>_xlfn.XLOOKUP(Customer[[#This Row],[Customer ID]],[1]!Address[ID],[1]!Address[Subtype])</f>
        <v>ONLINE HAJAR</v>
      </c>
      <c r="AC1538" s="18" t="str">
        <f>_xlfn.XLOOKUP(Customer[[#This Row],[Customer ID]],[1]!Address[ID],[1]!Address[Zone])</f>
        <v>SOUTH</v>
      </c>
    </row>
    <row r="1539" spans="1:30" x14ac:dyDescent="0.3">
      <c r="A1539" s="37" t="s">
        <v>9846</v>
      </c>
      <c r="B1539" s="38" t="str">
        <f>_xlfn.XLOOKUP(Customer[[#This Row],[Customer ID]],[1]!Name[ID],[1]!Name[Description(1)])</f>
        <v>ADAWIYAH SABRI</v>
      </c>
      <c r="C1539" s="38" t="str">
        <f>_xlfn.XLOOKUP(Customer[[#This Row],[Customer ID]],[1]!Name[ID],[1]!Name[Description(2)])</f>
        <v/>
      </c>
      <c r="D1539" s="38" t="str">
        <f>_xlfn.XLOOKUP(Customer[[#This Row],[Customer ID]],[1]!Address[ID],[1]!Address[PIC])</f>
        <v/>
      </c>
      <c r="E1539" s="38" t="str">
        <f>_xlfn.XLOOKUP(Customer[[#This Row],[Customer ID]],[1]!Address[ID],[1]!Address[Full Address])</f>
        <v>604, JALAN NUSA INTAN 5/2TAMAN NUSA INTAN 70400SEREMBAN NEGERI SEMBILAN.</v>
      </c>
      <c r="F1539" s="12" t="s">
        <v>9847</v>
      </c>
      <c r="G1539" s="12" t="s">
        <v>9848</v>
      </c>
      <c r="H1539" s="94" t="s">
        <v>2411</v>
      </c>
      <c r="I1539" s="94" t="b">
        <f>ISNUMBER(VALUE(LEFT(Customer[[#This Row],[Address Line 3 (30 char)]],1)))</f>
        <v>0</v>
      </c>
      <c r="J1539" s="12" t="s">
        <v>203</v>
      </c>
      <c r="K1539" s="12">
        <v>70400</v>
      </c>
      <c r="L1539" s="12" t="s">
        <v>35</v>
      </c>
      <c r="M1539" s="13" t="e">
        <v>#N/A</v>
      </c>
      <c r="N1539" s="14" t="e">
        <v>#N/A</v>
      </c>
      <c r="O1539" s="14" t="e">
        <v>#N/A</v>
      </c>
      <c r="P1539" s="14" t="e">
        <v>#N/A</v>
      </c>
      <c r="Q1539" s="14" t="e">
        <v>#N/A</v>
      </c>
      <c r="R1539" s="15" t="s">
        <v>9849</v>
      </c>
      <c r="S1539" s="15" t="s">
        <v>88</v>
      </c>
      <c r="T1539" s="16" t="s">
        <v>89</v>
      </c>
      <c r="U1539" s="11" t="str">
        <f>_xlfn.XLOOKUP(Customer[[#This Row],[Customer ID]],[1]!Address[ID],[1]!Address[Phone No.(2)])</f>
        <v/>
      </c>
      <c r="V1539" s="11" t="str">
        <f>_xlfn.XLOOKUP(Customer[[#This Row],[Customer ID]],[1]!Address[ID],[1]!Address[Type])</f>
        <v>SOCMED</v>
      </c>
      <c r="W1539" s="11" t="str">
        <f>_xlfn.XLOOKUP(Customer[[#This Row],[Customer ID]],[1]!Address[ID],[1]!Address[CT])</f>
        <v/>
      </c>
      <c r="X1539" s="11"/>
      <c r="Y1539" s="17" t="s">
        <v>90</v>
      </c>
      <c r="Z1539" s="17" t="e">
        <f>_xlfn.XLOOKUP(Customer[[#This Row],[NewType]],$AF$36:$AF$54,$AG$36:$AG$54)</f>
        <v>#N/A</v>
      </c>
      <c r="AA1539" s="17" t="s">
        <v>9850</v>
      </c>
      <c r="AB1539" s="11" t="str">
        <f>_xlfn.XLOOKUP(Customer[[#This Row],[Customer ID]],[1]!Address[ID],[1]!Address[Subtype])</f>
        <v>ONLINE ROS</v>
      </c>
      <c r="AC1539" s="18" t="str">
        <f>_xlfn.XLOOKUP(Customer[[#This Row],[Customer ID]],[1]!Address[ID],[1]!Address[Zone])</f>
        <v>CENTRAL</v>
      </c>
    </row>
    <row r="1540" spans="1:30" x14ac:dyDescent="0.3">
      <c r="A1540" s="48" t="s">
        <v>9851</v>
      </c>
      <c r="B1540" s="49" t="str">
        <f>_xlfn.XLOOKUP(Customer[[#This Row],[Customer ID]],[1]!Name[ID],[1]!Name[Description(1)])</f>
        <v>LEARNBAZAAR ENTERPRISE</v>
      </c>
      <c r="C1540" s="88" t="str">
        <f>_xlfn.XLOOKUP(Customer[[#This Row],[Customer ID]],[1]!Name[ID],[1]!Name[Description(2)])</f>
        <v/>
      </c>
      <c r="D1540" s="50" t="str">
        <f>_xlfn.XLOOKUP(Customer[[#This Row],[Customer ID]],[1]!Address[ID],[1]!Address[PIC])</f>
        <v/>
      </c>
      <c r="E1540" s="38" t="str">
        <f>_xlfn.XLOOKUP(Customer[[#This Row],[Customer ID]],[1]!Address[ID],[1]!Address[Full Address])</f>
        <v>ARAS 3, BLOK E 8, PARCEL E,KOMPLEKS KERAJAAN PUTRAJAYA.</v>
      </c>
      <c r="F1540" s="29" t="s">
        <v>9852</v>
      </c>
      <c r="G1540" s="29" t="s">
        <v>9853</v>
      </c>
      <c r="H1540" s="29" t="s">
        <v>36</v>
      </c>
      <c r="I1540" s="29" t="b">
        <f>ISNUMBER(VALUE(LEFT(Customer[[#This Row],[Address Line 3 (30 char)]],1)))</f>
        <v>0</v>
      </c>
      <c r="J1540" s="95" t="s">
        <v>1907</v>
      </c>
      <c r="K1540" s="95"/>
      <c r="L1540" s="29" t="s">
        <v>35</v>
      </c>
      <c r="M1540" s="31" t="e">
        <v>#N/A</v>
      </c>
      <c r="N1540" s="36" t="e">
        <v>#N/A</v>
      </c>
      <c r="O1540" s="36" t="e">
        <v>#N/A</v>
      </c>
      <c r="P1540" s="36" t="e">
        <v>#N/A</v>
      </c>
      <c r="Q1540" s="36" t="e">
        <v>#N/A</v>
      </c>
      <c r="R1540" s="51" t="s">
        <v>9854</v>
      </c>
      <c r="S1540" s="51"/>
      <c r="T1540" s="52"/>
      <c r="U1540" s="49" t="str">
        <f>_xlfn.XLOOKUP(Customer[[#This Row],[Customer ID]],[1]!Address[ID],[1]!Address[Phone No.(2)])</f>
        <v/>
      </c>
      <c r="V1540" s="49" t="str">
        <f>_xlfn.XLOOKUP(Customer[[#This Row],[Customer ID]],[1]!Address[ID],[1]!Address[Type])</f>
        <v>SOCMED</v>
      </c>
      <c r="W1540" s="49" t="str">
        <f>_xlfn.XLOOKUP(Customer[[#This Row],[Customer ID]],[1]!Address[ID],[1]!Address[CT])</f>
        <v/>
      </c>
      <c r="X1540" s="49"/>
      <c r="Y1540" s="53" t="s">
        <v>90</v>
      </c>
      <c r="Z1540" s="53" t="e">
        <f>_xlfn.XLOOKUP(Customer[[#This Row],[NewType]],$AF$36:$AF$54,$AG$36:$AG$54)</f>
        <v>#N/A</v>
      </c>
      <c r="AA1540" s="53" t="s">
        <v>9855</v>
      </c>
      <c r="AB1540" s="49" t="str">
        <f>_xlfn.XLOOKUP(Customer[[#This Row],[Customer ID]],[1]!Address[ID],[1]!Address[Subtype])</f>
        <v>WHATSAPP</v>
      </c>
      <c r="AC1540" s="54" t="str">
        <f>_xlfn.XLOOKUP(Customer[[#This Row],[Customer ID]],[1]!Address[ID],[1]!Address[Zone])</f>
        <v>CENTRAL</v>
      </c>
      <c r="AD1540" s="55"/>
    </row>
    <row r="1541" spans="1:30" x14ac:dyDescent="0.3">
      <c r="A1541" s="37" t="s">
        <v>9856</v>
      </c>
      <c r="B1541" s="38" t="str">
        <f>_xlfn.XLOOKUP(Customer[[#This Row],[Customer ID]],[1]!Name[ID],[1]!Name[Description(1)])</f>
        <v>KOPERASI SMK PEKAN PAHANG BERHAD</v>
      </c>
      <c r="C1541" s="38" t="str">
        <f>_xlfn.XLOOKUP(Customer[[#This Row],[Customer ID]],[1]!Name[ID],[1]!Name[Description(2)])</f>
        <v>KOSMEP</v>
      </c>
      <c r="D1541" s="38" t="str">
        <f>_xlfn.XLOOKUP(Customer[[#This Row],[Customer ID]],[1]!Address[ID],[1]!Address[PIC])</f>
        <v/>
      </c>
      <c r="E1541" s="38" t="str">
        <f>_xlfn.XLOOKUP(Customer[[#This Row],[Customer ID]],[1]!Address[ID],[1]!Address[Full Address])</f>
        <v>SMK PEKAN, JALAN PEKAN - NENASI,26600 PEKAN, PAHANG</v>
      </c>
      <c r="F1541" s="12" t="s">
        <v>9857</v>
      </c>
      <c r="G1541" s="12" t="s">
        <v>9858</v>
      </c>
      <c r="H1541" s="12" t="s">
        <v>575</v>
      </c>
      <c r="I1541" s="12" t="b">
        <f>ISNUMBER(VALUE(LEFT(Customer[[#This Row],[Address Line 3 (30 char)]],1)))</f>
        <v>0</v>
      </c>
      <c r="J1541" s="12" t="s">
        <v>339</v>
      </c>
      <c r="K1541" s="12">
        <v>26600</v>
      </c>
      <c r="L1541" s="12" t="s">
        <v>35</v>
      </c>
      <c r="M1541" s="13" t="e">
        <v>#N/A</v>
      </c>
      <c r="N1541" s="14" t="e">
        <v>#N/A</v>
      </c>
      <c r="O1541" s="14" t="e">
        <v>#N/A</v>
      </c>
      <c r="P1541" s="14" t="e">
        <v>#N/A</v>
      </c>
      <c r="Q1541" s="14" t="e">
        <v>#N/A</v>
      </c>
      <c r="R1541" s="15" t="s">
        <v>9859</v>
      </c>
      <c r="S1541" s="15" t="s">
        <v>88</v>
      </c>
      <c r="T1541" s="16" t="s">
        <v>89</v>
      </c>
      <c r="U1541" s="11" t="str">
        <f>_xlfn.XLOOKUP(Customer[[#This Row],[Customer ID]],[1]!Address[ID],[1]!Address[Phone No.(2)])</f>
        <v/>
      </c>
      <c r="V1541" s="11" t="str">
        <f>_xlfn.XLOOKUP(Customer[[#This Row],[Customer ID]],[1]!Address[ID],[1]!Address[Type])</f>
        <v>SOCMED</v>
      </c>
      <c r="W1541" s="11" t="str">
        <f>_xlfn.XLOOKUP(Customer[[#This Row],[Customer ID]],[1]!Address[ID],[1]!Address[CT])</f>
        <v/>
      </c>
      <c r="X1541" s="11"/>
      <c r="Y1541" s="17" t="s">
        <v>90</v>
      </c>
      <c r="Z1541" s="17" t="e">
        <f>_xlfn.XLOOKUP(Customer[[#This Row],[NewType]],$AF$36:$AF$54,$AG$36:$AG$54)</f>
        <v>#N/A</v>
      </c>
      <c r="AA1541" s="17" t="s">
        <v>9860</v>
      </c>
      <c r="AB1541" s="11" t="str">
        <f>_xlfn.XLOOKUP(Customer[[#This Row],[Customer ID]],[1]!Address[ID],[1]!Address[Subtype])</f>
        <v>ONLINE ROS</v>
      </c>
      <c r="AC1541" s="18" t="str">
        <f>_xlfn.XLOOKUP(Customer[[#This Row],[Customer ID]],[1]!Address[ID],[1]!Address[Zone])</f>
        <v>EEEDH</v>
      </c>
    </row>
    <row r="1542" spans="1:30" x14ac:dyDescent="0.3">
      <c r="A1542" s="37" t="s">
        <v>9861</v>
      </c>
      <c r="B1542" s="38" t="str">
        <f>_xlfn.XLOOKUP(Customer[[#This Row],[Customer ID]],[1]!Name[ID],[1]!Name[Description(1)])</f>
        <v>WAFEEQAH FILLING STATION</v>
      </c>
      <c r="C1542" s="38" t="str">
        <f>_xlfn.XLOOKUP(Customer[[#This Row],[Customer ID]],[1]!Name[ID],[1]!Name[Description(2)])</f>
        <v>PETRON TG BUNGAH</v>
      </c>
      <c r="D1542" s="38" t="str">
        <f>_xlfn.XLOOKUP(Customer[[#This Row],[Customer ID]],[1]!Address[ID],[1]!Address[PIC])</f>
        <v/>
      </c>
      <c r="E1542" s="38" t="str">
        <f>_xlfn.XLOOKUP(Customer[[#This Row],[Customer ID]],[1]!Address[ID],[1]!Address[Full Address])</f>
        <v>PETRON TG BUNGAH2-A, JALAN SG KELIAN (TIGER POWER)11200 TANJUNG BUNGAH,PULAU PINANG</v>
      </c>
      <c r="F1542" s="12" t="s">
        <v>9862</v>
      </c>
      <c r="G1542" s="12" t="s">
        <v>9863</v>
      </c>
      <c r="H1542" s="24" t="s">
        <v>9864</v>
      </c>
      <c r="I1542" s="24" t="b">
        <f>ISNUMBER(VALUE(LEFT(Customer[[#This Row],[Address Line 3 (30 char)]],1)))</f>
        <v>0</v>
      </c>
      <c r="J1542" s="12" t="s">
        <v>203</v>
      </c>
      <c r="K1542" s="12">
        <v>11200</v>
      </c>
      <c r="L1542" s="12" t="s">
        <v>35</v>
      </c>
      <c r="M1542" s="13" t="e">
        <v>#N/A</v>
      </c>
      <c r="N1542" s="14" t="e">
        <v>#N/A</v>
      </c>
      <c r="O1542" s="14" t="e">
        <v>#N/A</v>
      </c>
      <c r="P1542" s="14" t="e">
        <v>#N/A</v>
      </c>
      <c r="Q1542" s="14" t="e">
        <v>#N/A</v>
      </c>
      <c r="R1542" s="15" t="s">
        <v>9865</v>
      </c>
      <c r="S1542" s="15" t="s">
        <v>37</v>
      </c>
      <c r="T1542" s="16" t="s">
        <v>38</v>
      </c>
      <c r="U1542" s="11" t="str">
        <f>_xlfn.XLOOKUP(Customer[[#This Row],[Customer ID]],[1]!Address[ID],[1]!Address[Phone No.(2)])</f>
        <v/>
      </c>
      <c r="V1542" s="11" t="str">
        <f>_xlfn.XLOOKUP(Customer[[#This Row],[Customer ID]],[1]!Address[ID],[1]!Address[Type])</f>
        <v>PETROMART</v>
      </c>
      <c r="W1542" s="11" t="str">
        <f>_xlfn.XLOOKUP(Customer[[#This Row],[Customer ID]],[1]!Address[ID],[1]!Address[CT])</f>
        <v>30</v>
      </c>
      <c r="X1542" s="11" t="s">
        <v>39</v>
      </c>
      <c r="Y1542" s="17" t="s">
        <v>40</v>
      </c>
      <c r="Z1542" s="17" t="e">
        <f>_xlfn.XLOOKUP(Customer[[#This Row],[NewType]],$AF$36:$AF$54,$AG$36:$AG$54)</f>
        <v>#N/A</v>
      </c>
      <c r="AA1542" s="17" t="s">
        <v>9866</v>
      </c>
      <c r="AB1542" s="11" t="str">
        <f>_xlfn.XLOOKUP(Customer[[#This Row],[Customer ID]],[1]!Address[ID],[1]!Address[Subtype])</f>
        <v>PETRON</v>
      </c>
      <c r="AC1542" s="18" t="str">
        <f>_xlfn.XLOOKUP(Customer[[#This Row],[Customer ID]],[1]!Address[ID],[1]!Address[Zone])</f>
        <v>NORTH</v>
      </c>
    </row>
    <row r="1543" spans="1:30" x14ac:dyDescent="0.3">
      <c r="A1543" s="10" t="s">
        <v>9867</v>
      </c>
      <c r="B1543" s="11" t="str">
        <f>_xlfn.XLOOKUP(Customer[[#This Row],[Customer ID]],[1]!Name[ID],[1]!Name[Description(1)])</f>
        <v>NOOR ZURIANI BT BUSRA</v>
      </c>
      <c r="C1543" s="38" t="str">
        <f>_xlfn.XLOOKUP(Customer[[#This Row],[Customer ID]],[1]!Name[ID],[1]!Name[Description(2)])</f>
        <v/>
      </c>
      <c r="D1543" s="38" t="str">
        <f>_xlfn.XLOOKUP(Customer[[#This Row],[Customer ID]],[1]!Address[ID],[1]!Address[PIC])</f>
        <v/>
      </c>
      <c r="E1543" s="38" t="str">
        <f>_xlfn.XLOOKUP(Customer[[#This Row],[Customer ID]],[1]!Address[ID],[1]!Address[Full Address])</f>
        <v>3544, JALAN RJ 5/23, TAMAN RASAH JAYA70300 SEREMBAN, NEGERI SEMBILAN</v>
      </c>
      <c r="F1543" s="12" t="s">
        <v>9868</v>
      </c>
      <c r="G1543" s="12" t="s">
        <v>9869</v>
      </c>
      <c r="H1543" s="12" t="s">
        <v>2411</v>
      </c>
      <c r="I1543" s="12" t="b">
        <f>ISNUMBER(VALUE(LEFT(Customer[[#This Row],[Address Line 3 (30 char)]],1)))</f>
        <v>0</v>
      </c>
      <c r="J1543" s="12" t="s">
        <v>203</v>
      </c>
      <c r="K1543" s="12">
        <v>70300</v>
      </c>
      <c r="L1543" s="12" t="s">
        <v>35</v>
      </c>
      <c r="M1543" s="13" t="e">
        <v>#N/A</v>
      </c>
      <c r="N1543" s="14" t="e">
        <v>#N/A</v>
      </c>
      <c r="O1543" s="14" t="e">
        <v>#N/A</v>
      </c>
      <c r="P1543" s="14" t="e">
        <v>#N/A</v>
      </c>
      <c r="Q1543" s="14" t="e">
        <v>#N/A</v>
      </c>
      <c r="R1543" s="15" t="s">
        <v>9870</v>
      </c>
      <c r="S1543" s="15" t="s">
        <v>4271</v>
      </c>
      <c r="T1543" s="16" t="s">
        <v>89</v>
      </c>
      <c r="U1543" s="11" t="str">
        <f>_xlfn.XLOOKUP(Customer[[#This Row],[Customer ID]],[1]!Address[ID],[1]!Address[Phone No.(2)])</f>
        <v/>
      </c>
      <c r="V1543" s="11" t="str">
        <f>_xlfn.XLOOKUP(Customer[[#This Row],[Customer ID]],[1]!Address[ID],[1]!Address[Type])</f>
        <v>SOCMED</v>
      </c>
      <c r="W1543" s="11" t="str">
        <f>_xlfn.XLOOKUP(Customer[[#This Row],[Customer ID]],[1]!Address[ID],[1]!Address[CT])</f>
        <v/>
      </c>
      <c r="X1543" s="11"/>
      <c r="Y1543" s="17" t="s">
        <v>90</v>
      </c>
      <c r="Z1543" s="17" t="e">
        <f>_xlfn.XLOOKUP(Customer[[#This Row],[NewType]],$AF$36:$AF$54,$AG$36:$AG$54)</f>
        <v>#N/A</v>
      </c>
      <c r="AA1543" s="17" t="s">
        <v>9871</v>
      </c>
      <c r="AB1543" s="11" t="str">
        <f>_xlfn.XLOOKUP(Customer[[#This Row],[Customer ID]],[1]!Address[ID],[1]!Address[Subtype])</f>
        <v>WHATSAPP</v>
      </c>
      <c r="AC1543" s="18" t="str">
        <f>_xlfn.XLOOKUP(Customer[[#This Row],[Customer ID]],[1]!Address[ID],[1]!Address[Zone])</f>
        <v>CENTRAL</v>
      </c>
    </row>
    <row r="1544" spans="1:30" x14ac:dyDescent="0.3">
      <c r="A1544" s="37" t="s">
        <v>9872</v>
      </c>
      <c r="B1544" s="38" t="str">
        <f>_xlfn.XLOOKUP(Customer[[#This Row],[Customer ID]],[1]!Name[ID],[1]!Name[Description(1)])</f>
        <v>LULU HYPERMARKET &amp; DEPARTMENT STORE</v>
      </c>
      <c r="C1544" s="38" t="str">
        <f>_xlfn.XLOOKUP(Customer[[#This Row],[Customer ID]],[1]!Name[ID],[1]!Name[Description(2)])</f>
        <v>LULU GROUP RETAIL.SDN BHD</v>
      </c>
      <c r="D1544" s="38" t="str">
        <f>_xlfn.XLOOKUP(Customer[[#This Row],[Customer ID]],[1]!Address[ID],[1]!Address[PIC])</f>
        <v/>
      </c>
      <c r="E1544" s="107" t="str">
        <f>_xlfn.XLOOKUP(Customer[[#This Row],[Customer ID]],[1]!Address[ID],[1]!Address[Full Address])</f>
        <v>LULU GROUP RETAIL.SDN BHDCAPITAL SQUARE,LOT 159,PERSIARAN CAP SQUARE,JLN MUNSHI ABDULLAH,50100 KL</v>
      </c>
      <c r="F1544" s="96" t="s">
        <v>9873</v>
      </c>
      <c r="G1544" s="96" t="s">
        <v>9874</v>
      </c>
      <c r="H1544" s="96" t="s">
        <v>9875</v>
      </c>
      <c r="I1544" s="96" t="b">
        <f>ISNUMBER(VALUE(LEFT(Customer[[#This Row],[Address Line 3 (30 char)]],1)))</f>
        <v>0</v>
      </c>
      <c r="J1544" s="12" t="s">
        <v>34</v>
      </c>
      <c r="K1544" s="12">
        <v>50100</v>
      </c>
      <c r="L1544" s="12" t="s">
        <v>35</v>
      </c>
      <c r="M1544" s="13" t="e">
        <v>#N/A</v>
      </c>
      <c r="N1544" s="14" t="e">
        <v>#N/A</v>
      </c>
      <c r="O1544" s="14" t="e">
        <v>#N/A</v>
      </c>
      <c r="P1544" s="14" t="e">
        <v>#N/A</v>
      </c>
      <c r="Q1544" s="14" t="e">
        <v>#N/A</v>
      </c>
      <c r="R1544" s="15" t="s">
        <v>9876</v>
      </c>
      <c r="S1544" s="15" t="s">
        <v>5934</v>
      </c>
      <c r="T1544" s="16" t="s">
        <v>3477</v>
      </c>
      <c r="U1544" s="11" t="str">
        <f>_xlfn.XLOOKUP(Customer[[#This Row],[Customer ID]],[1]!Address[ID],[1]!Address[Phone No.(2)])</f>
        <v/>
      </c>
      <c r="V1544" s="11" t="str">
        <f>_xlfn.XLOOKUP(Customer[[#This Row],[Customer ID]],[1]!Address[ID],[1]!Address[Type])</f>
        <v>HM</v>
      </c>
      <c r="W1544" s="11" t="str">
        <f>_xlfn.XLOOKUP(Customer[[#This Row],[Customer ID]],[1]!Address[ID],[1]!Address[CT])</f>
        <v>30 DAYS</v>
      </c>
      <c r="X1544" s="11"/>
      <c r="Y1544" s="17" t="s">
        <v>5968</v>
      </c>
      <c r="Z1544" s="17" t="e">
        <f>_xlfn.XLOOKUP(Customer[[#This Row],[NewType]],$AF$36:$AF$54,$AG$36:$AG$54)</f>
        <v>#N/A</v>
      </c>
      <c r="AA1544" s="17" t="s">
        <v>9877</v>
      </c>
      <c r="AB1544" s="11" t="str">
        <f>_xlfn.XLOOKUP(Customer[[#This Row],[Customer ID]],[1]!Address[ID],[1]!Address[Subtype])</f>
        <v>LULU</v>
      </c>
      <c r="AC1544" s="18" t="str">
        <f>_xlfn.XLOOKUP(Customer[[#This Row],[Customer ID]],[1]!Address[ID],[1]!Address[Zone])</f>
        <v>CENTRAL</v>
      </c>
    </row>
    <row r="1545" spans="1:30" x14ac:dyDescent="0.3">
      <c r="A1545" s="46" t="s">
        <v>9878</v>
      </c>
      <c r="B1545" s="24" t="str">
        <f>_xlfn.XLOOKUP(Customer[[#This Row],[Customer ID]],[1]!Name[ID],[1]!Name[Description(1)])</f>
        <v>AGENT NORIATI</v>
      </c>
      <c r="C1545" s="24" t="str">
        <f>_xlfn.XLOOKUP(Customer[[#This Row],[Customer ID]],[1]!Name[ID],[1]!Name[Description(2)])</f>
        <v/>
      </c>
      <c r="D1545" s="38" t="str">
        <f>_xlfn.XLOOKUP(Customer[[#This Row],[Customer ID]],[1]!Address[ID],[1]!Address[PIC])</f>
        <v/>
      </c>
      <c r="E1545" s="38" t="str">
        <f>_xlfn.XLOOKUP(Customer[[#This Row],[Customer ID]],[1]!Address[ID],[1]!Address[Full Address])</f>
        <v/>
      </c>
      <c r="F1545" s="12" t="s">
        <v>36</v>
      </c>
      <c r="G1545" s="12" t="s">
        <v>36</v>
      </c>
      <c r="H1545" s="12" t="s">
        <v>36</v>
      </c>
      <c r="I1545" s="12" t="b">
        <f>ISNUMBER(VALUE(LEFT(Customer[[#This Row],[Address Line 3 (30 char)]],1)))</f>
        <v>0</v>
      </c>
      <c r="J1545" s="24"/>
      <c r="K1545" s="24"/>
      <c r="L1545" s="12" t="s">
        <v>35</v>
      </c>
      <c r="M1545" s="13" t="e">
        <v>#N/A</v>
      </c>
      <c r="N1545" s="14" t="e">
        <v>#N/A</v>
      </c>
      <c r="O1545" s="14" t="e">
        <v>#N/A</v>
      </c>
      <c r="P1545" s="14" t="e">
        <v>#N/A</v>
      </c>
      <c r="Q1545" s="14" t="e">
        <v>#N/A</v>
      </c>
      <c r="R1545" s="15" t="s">
        <v>36</v>
      </c>
      <c r="S1545" s="15" t="s">
        <v>6645</v>
      </c>
      <c r="T1545" s="16" t="s">
        <v>38</v>
      </c>
      <c r="U1545" s="11" t="str">
        <f>_xlfn.XLOOKUP(Customer[[#This Row],[Customer ID]],[1]!Address[ID],[1]!Address[Phone No.(2)])</f>
        <v/>
      </c>
      <c r="V1545" s="11" t="str">
        <f>_xlfn.XLOOKUP(Customer[[#This Row],[Customer ID]],[1]!Address[ID],[1]!Address[Type])</f>
        <v>AGENT</v>
      </c>
      <c r="W1545" s="11" t="str">
        <f>_xlfn.XLOOKUP(Customer[[#This Row],[Customer ID]],[1]!Address[ID],[1]!Address[CT])</f>
        <v/>
      </c>
      <c r="X1545" s="11"/>
      <c r="Y1545" s="17" t="s">
        <v>6639</v>
      </c>
      <c r="Z1545" s="17" t="e">
        <f>_xlfn.XLOOKUP(Customer[[#This Row],[NewType]],$AF$36:$AF$54,$AG$36:$AG$54)</f>
        <v>#N/A</v>
      </c>
      <c r="AA1545" s="17" t="s">
        <v>9879</v>
      </c>
      <c r="AB1545" s="11" t="str">
        <f>_xlfn.XLOOKUP(Customer[[#This Row],[Customer ID]],[1]!Address[ID],[1]!Address[Subtype])</f>
        <v>AGENT HQ</v>
      </c>
      <c r="AC1545" s="18" t="str">
        <f>_xlfn.XLOOKUP(Customer[[#This Row],[Customer ID]],[1]!Address[ID],[1]!Address[Zone])</f>
        <v xml:space="preserve"> TNTH</v>
      </c>
    </row>
    <row r="1546" spans="1:30" x14ac:dyDescent="0.3">
      <c r="A1546" s="56" t="s">
        <v>9880</v>
      </c>
      <c r="B1546" s="50" t="str">
        <f>_xlfn.XLOOKUP(Customer[[#This Row],[Customer ID]],[1]!Name[ID],[1]!Name[Description(1)])</f>
        <v>KOPERASI SMK PERNU MELAKA BERHAD</v>
      </c>
      <c r="C1546" s="38" t="str">
        <f>_xlfn.XLOOKUP(Customer[[#This Row],[Customer ID]],[1]!Name[ID],[1]!Name[Description(2)])</f>
        <v/>
      </c>
      <c r="D1546" s="38" t="str">
        <f>_xlfn.XLOOKUP(Customer[[#This Row],[Customer ID]],[1]!Address[ID],[1]!Address[PIC])</f>
        <v/>
      </c>
      <c r="E1546" s="38" t="str">
        <f>_xlfn.XLOOKUP(Customer[[#This Row],[Customer ID]],[1]!Address[ID],[1]!Address[Full Address])</f>
        <v>SEKOLAH MENENGAH KEBANGSAAN PERNU ,JALAN TELOK MAS, 75460 MELAKA.</v>
      </c>
      <c r="F1546" s="12" t="s">
        <v>9881</v>
      </c>
      <c r="G1546" s="12" t="s">
        <v>9882</v>
      </c>
      <c r="H1546" s="12" t="s">
        <v>9883</v>
      </c>
      <c r="I1546" s="12" t="b">
        <f>ISNUMBER(VALUE(LEFT(Customer[[#This Row],[Address Line 3 (30 char)]],1)))</f>
        <v>0</v>
      </c>
      <c r="J1546" s="12" t="s">
        <v>61</v>
      </c>
      <c r="K1546" s="12">
        <v>75460</v>
      </c>
      <c r="L1546" s="12" t="s">
        <v>35</v>
      </c>
      <c r="M1546" s="13" t="e">
        <v>#N/A</v>
      </c>
      <c r="N1546" s="14" t="e">
        <v>#N/A</v>
      </c>
      <c r="O1546" s="14" t="e">
        <v>#N/A</v>
      </c>
      <c r="P1546" s="14" t="e">
        <v>#N/A</v>
      </c>
      <c r="Q1546" s="19" t="s">
        <v>9884</v>
      </c>
      <c r="R1546" s="15" t="s">
        <v>9885</v>
      </c>
      <c r="S1546" s="15" t="s">
        <v>3212</v>
      </c>
      <c r="T1546" s="16" t="s">
        <v>89</v>
      </c>
      <c r="U1546" s="11" t="str">
        <f>_xlfn.XLOOKUP(Customer[[#This Row],[Customer ID]],[1]!Address[ID],[1]!Address[Phone No.(2)])</f>
        <v/>
      </c>
      <c r="V1546" s="11" t="str">
        <f>_xlfn.XLOOKUP(Customer[[#This Row],[Customer ID]],[1]!Address[ID],[1]!Address[Type])</f>
        <v>SOCMED</v>
      </c>
      <c r="W1546" s="11" t="str">
        <f>_xlfn.XLOOKUP(Customer[[#This Row],[Customer ID]],[1]!Address[ID],[1]!Address[CT])</f>
        <v/>
      </c>
      <c r="X1546" s="11"/>
      <c r="Y1546" s="17" t="s">
        <v>90</v>
      </c>
      <c r="Z1546" s="17" t="e">
        <f>_xlfn.XLOOKUP(Customer[[#This Row],[NewType]],$AF$36:$AF$54,$AG$36:$AG$54)</f>
        <v>#N/A</v>
      </c>
      <c r="AA1546" s="17" t="s">
        <v>9886</v>
      </c>
      <c r="AB1546" s="11" t="str">
        <f>_xlfn.XLOOKUP(Customer[[#This Row],[Customer ID]],[1]!Address[ID],[1]!Address[Subtype])</f>
        <v>ONLINE HAJAR</v>
      </c>
      <c r="AC1546" s="18" t="str">
        <f>_xlfn.XLOOKUP(Customer[[#This Row],[Customer ID]],[1]!Address[ID],[1]!Address[Zone])</f>
        <v>SOUTH</v>
      </c>
    </row>
    <row r="1547" spans="1:30" x14ac:dyDescent="0.3">
      <c r="A1547" s="27" t="s">
        <v>9887</v>
      </c>
      <c r="B1547" s="11" t="str">
        <f>_xlfn.XLOOKUP(Customer[[#This Row],[Customer ID]],[1]!Name[ID],[1]!Name[Description(1)])</f>
        <v>DATO' HAJI ABU BAKAR AS-SIDEK</v>
      </c>
      <c r="C1547" s="44" t="str">
        <f>_xlfn.XLOOKUP(Customer[[#This Row],[Customer ID]],[1]!Name[ID],[1]!Name[Description(2)])</f>
        <v/>
      </c>
      <c r="D1547" s="44" t="str">
        <f>_xlfn.XLOOKUP(Customer[[#This Row],[Customer ID]],[1]!Address[ID],[1]!Address[PIC])</f>
        <v/>
      </c>
      <c r="E1547" s="38" t="str">
        <f>_xlfn.XLOOKUP(Customer[[#This Row],[Customer ID]],[1]!Address[ID],[1]!Address[Full Address])</f>
        <v>363-Y, JALAN PEMANCAR GELUGOR,11700 PULAU PINANG</v>
      </c>
      <c r="F1547" s="29" t="s">
        <v>9888</v>
      </c>
      <c r="G1547" s="29" t="s">
        <v>9889</v>
      </c>
      <c r="H1547" s="29" t="s">
        <v>36</v>
      </c>
      <c r="I1547" s="29" t="b">
        <f>ISNUMBER(VALUE(LEFT(Customer[[#This Row],[Address Line 3 (30 char)]],1)))</f>
        <v>0</v>
      </c>
      <c r="J1547" s="29" t="s">
        <v>179</v>
      </c>
      <c r="K1547" s="29">
        <v>11700</v>
      </c>
      <c r="L1547" s="29" t="s">
        <v>35</v>
      </c>
      <c r="M1547" s="31" t="e">
        <v>#N/A</v>
      </c>
      <c r="N1547" s="36" t="e">
        <v>#N/A</v>
      </c>
      <c r="O1547" s="36" t="e">
        <v>#N/A</v>
      </c>
      <c r="P1547" s="36" t="e">
        <v>#N/A</v>
      </c>
      <c r="Q1547" s="36" t="e">
        <v>#N/A</v>
      </c>
      <c r="R1547" s="80" t="s">
        <v>9890</v>
      </c>
      <c r="S1547" s="15" t="s">
        <v>4271</v>
      </c>
      <c r="T1547" s="16" t="s">
        <v>7974</v>
      </c>
      <c r="U1547" s="28" t="str">
        <f>_xlfn.XLOOKUP(Customer[[#This Row],[Customer ID]],[1]!Address[ID],[1]!Address[Phone No.(2)])</f>
        <v/>
      </c>
      <c r="V1547" s="28" t="str">
        <f>_xlfn.XLOOKUP(Customer[[#This Row],[Customer ID]],[1]!Address[ID],[1]!Address[Type])</f>
        <v>SOCMED</v>
      </c>
      <c r="W1547" s="28" t="str">
        <f>_xlfn.XLOOKUP(Customer[[#This Row],[Customer ID]],[1]!Address[ID],[1]!Address[CT])</f>
        <v>30 DAYS</v>
      </c>
      <c r="X1547" s="28"/>
      <c r="Y1547" s="82" t="s">
        <v>90</v>
      </c>
      <c r="Z1547" s="82" t="e">
        <f>_xlfn.XLOOKUP(Customer[[#This Row],[NewType]],$AF$36:$AF$54,$AG$36:$AG$54)</f>
        <v>#N/A</v>
      </c>
      <c r="AA1547" s="82" t="s">
        <v>9891</v>
      </c>
      <c r="AB1547" s="28" t="str">
        <f>_xlfn.XLOOKUP(Customer[[#This Row],[Customer ID]],[1]!Address[ID],[1]!Address[Subtype])</f>
        <v>WHATSAPP</v>
      </c>
      <c r="AC1547" s="83" t="str">
        <f>_xlfn.XLOOKUP(Customer[[#This Row],[Customer ID]],[1]!Address[ID],[1]!Address[Zone])</f>
        <v>NORTH</v>
      </c>
      <c r="AD1547" s="84"/>
    </row>
    <row r="1548" spans="1:30" x14ac:dyDescent="0.3">
      <c r="A1548" s="37" t="s">
        <v>9892</v>
      </c>
      <c r="B1548" s="38" t="str">
        <f>_xlfn.XLOOKUP(Customer[[#This Row],[Customer ID]],[1]!Name[ID],[1]!Name[Description(1)])</f>
        <v>THE LOT 9 - R&amp;R LESTARI</v>
      </c>
      <c r="C1548" s="38" t="str">
        <f>_xlfn.XLOOKUP(Customer[[#This Row],[Customer ID]],[1]!Name[ID],[1]!Name[Description(2)])</f>
        <v/>
      </c>
      <c r="D1548" s="38" t="str">
        <f>_xlfn.XLOOKUP(Customer[[#This Row],[Customer ID]],[1]!Address[ID],[1]!Address[PIC])</f>
        <v/>
      </c>
      <c r="E1548" s="38" t="str">
        <f>_xlfn.XLOOKUP(Customer[[#This Row],[Customer ID]],[1]!Address[ID],[1]!Address[Full Address])</f>
        <v>GERAI NO.9, R&amp;R LESTARI,HENTIAN SEREMBAN ARAH SELATAN,71900 LABU,NEGERI SEMBILAN</v>
      </c>
      <c r="F1548" s="90" t="s">
        <v>9893</v>
      </c>
      <c r="G1548" s="12" t="s">
        <v>9894</v>
      </c>
      <c r="H1548" s="24" t="s">
        <v>9635</v>
      </c>
      <c r="I1548" s="24" t="b">
        <f>ISNUMBER(VALUE(LEFT(Customer[[#This Row],[Address Line 3 (30 char)]],1)))</f>
        <v>0</v>
      </c>
      <c r="J1548" s="12" t="s">
        <v>2004</v>
      </c>
      <c r="K1548" s="12">
        <v>71900</v>
      </c>
      <c r="L1548" s="12" t="s">
        <v>35</v>
      </c>
      <c r="M1548" s="13" t="e">
        <v>#N/A</v>
      </c>
      <c r="N1548" s="14" t="e">
        <v>#N/A</v>
      </c>
      <c r="O1548" s="14" t="e">
        <v>#N/A</v>
      </c>
      <c r="P1548" s="14" t="e">
        <v>#N/A</v>
      </c>
      <c r="Q1548" s="14" t="e">
        <v>#N/A</v>
      </c>
      <c r="R1548" s="15" t="s">
        <v>9895</v>
      </c>
      <c r="S1548" s="15" t="s">
        <v>5925</v>
      </c>
      <c r="T1548" s="16" t="s">
        <v>3477</v>
      </c>
      <c r="U1548" s="11" t="str">
        <f>_xlfn.XLOOKUP(Customer[[#This Row],[Customer ID]],[1]!Address[ID],[1]!Address[Phone No.(2)])</f>
        <v/>
      </c>
      <c r="V1548" s="11" t="str">
        <f>_xlfn.XLOOKUP(Customer[[#This Row],[Customer ID]],[1]!Address[ID],[1]!Address[Type])</f>
        <v>CAFE</v>
      </c>
      <c r="W1548" s="11" t="str">
        <f>_xlfn.XLOOKUP(Customer[[#This Row],[Customer ID]],[1]!Address[ID],[1]!Address[CT])</f>
        <v>30 DAYS</v>
      </c>
      <c r="X1548" s="11"/>
      <c r="Y1548" s="17" t="s">
        <v>5926</v>
      </c>
      <c r="Z1548" s="17" t="e">
        <f>_xlfn.XLOOKUP(Customer[[#This Row],[NewType]],$AF$36:$AF$54,$AG$36:$AG$54)</f>
        <v>#N/A</v>
      </c>
      <c r="AA1548" s="17" t="s">
        <v>9896</v>
      </c>
      <c r="AB1548" s="11" t="str">
        <f>_xlfn.XLOOKUP(Customer[[#This Row],[Customer ID]],[1]!Address[ID],[1]!Address[Subtype])</f>
        <v>PLUS</v>
      </c>
      <c r="AC1548" s="18" t="str">
        <f>_xlfn.XLOOKUP(Customer[[#This Row],[Customer ID]],[1]!Address[ID],[1]!Address[Zone])</f>
        <v>CENTRAL</v>
      </c>
    </row>
    <row r="1549" spans="1:30" x14ac:dyDescent="0.3">
      <c r="A1549" s="37" t="s">
        <v>9897</v>
      </c>
      <c r="B1549" s="38" t="str">
        <f>_xlfn.XLOOKUP(Customer[[#This Row],[Customer ID]],[1]!Name[ID],[1]!Name[Description(1)])</f>
        <v>EM IMPEX VENTURES (M) SDN.BHD.</v>
      </c>
      <c r="C1549" s="38" t="str">
        <f>_xlfn.XLOOKUP(Customer[[#This Row],[Customer ID]],[1]!Name[ID],[1]!Name[Description(2)])</f>
        <v>PS KOTA SERIEMAS</v>
      </c>
      <c r="D1549" s="38" t="str">
        <f>_xlfn.XLOOKUP(Customer[[#This Row],[Customer ID]],[1]!Address[ID],[1]!Address[PIC])</f>
        <v/>
      </c>
      <c r="E1549" s="108" t="str">
        <f>_xlfn.XLOOKUP(Customer[[#This Row],[Customer ID]],[1]!Address[ID],[1]!Address[Full Address])</f>
        <v>PS KOTA SERIEMASPT 610, PERSIARAN SERIEMAS PERDANA,KOTA SERI EMAS PERDANAKOTA SERIEMAS  71800 NILAI</v>
      </c>
      <c r="F1549" s="93" t="s">
        <v>9898</v>
      </c>
      <c r="G1549" s="12" t="s">
        <v>9899</v>
      </c>
      <c r="H1549" s="12" t="s">
        <v>9900</v>
      </c>
      <c r="I1549" s="12" t="b">
        <f>ISNUMBER(VALUE(LEFT(Customer[[#This Row],[Address Line 3 (30 char)]],1)))</f>
        <v>0</v>
      </c>
      <c r="J1549" s="12" t="s">
        <v>2004</v>
      </c>
      <c r="K1549" s="12">
        <v>71800</v>
      </c>
      <c r="L1549" s="12" t="s">
        <v>35</v>
      </c>
      <c r="M1549" s="13" t="e">
        <v>#N/A</v>
      </c>
      <c r="N1549" s="14" t="e">
        <v>#N/A</v>
      </c>
      <c r="O1549" s="14" t="e">
        <v>#N/A</v>
      </c>
      <c r="P1549" s="14" t="e">
        <v>#N/A</v>
      </c>
      <c r="Q1549" s="19" t="s">
        <v>9901</v>
      </c>
      <c r="R1549" s="15" t="s">
        <v>9902</v>
      </c>
      <c r="S1549" s="15" t="s">
        <v>37</v>
      </c>
      <c r="T1549" s="16" t="s">
        <v>38</v>
      </c>
      <c r="U1549" s="11" t="str">
        <f>_xlfn.XLOOKUP(Customer[[#This Row],[Customer ID]],[1]!Address[ID],[1]!Address[Phone No.(2)])</f>
        <v/>
      </c>
      <c r="V1549" s="11" t="str">
        <f>_xlfn.XLOOKUP(Customer[[#This Row],[Customer ID]],[1]!Address[ID],[1]!Address[Type])</f>
        <v>PETROMART</v>
      </c>
      <c r="W1549" s="11" t="str">
        <f>_xlfn.XLOOKUP(Customer[[#This Row],[Customer ID]],[1]!Address[ID],[1]!Address[CT])</f>
        <v>30</v>
      </c>
      <c r="X1549" s="11" t="s">
        <v>39</v>
      </c>
      <c r="Y1549" s="17" t="s">
        <v>40</v>
      </c>
      <c r="Z1549" s="17" t="e">
        <f>_xlfn.XLOOKUP(Customer[[#This Row],[NewType]],$AF$36:$AF$54,$AG$36:$AG$54)</f>
        <v>#N/A</v>
      </c>
      <c r="AA1549" s="17" t="s">
        <v>9903</v>
      </c>
      <c r="AB1549" s="11" t="str">
        <f>_xlfn.XLOOKUP(Customer[[#This Row],[Customer ID]],[1]!Address[ID],[1]!Address[Subtype])</f>
        <v>PETRONAS</v>
      </c>
      <c r="AC1549" s="18" t="str">
        <f>_xlfn.XLOOKUP(Customer[[#This Row],[Customer ID]],[1]!Address[ID],[1]!Address[Zone])</f>
        <v>CENTRAL</v>
      </c>
    </row>
    <row r="1550" spans="1:30" x14ac:dyDescent="0.3">
      <c r="A1550" s="37" t="s">
        <v>9904</v>
      </c>
      <c r="B1550" s="38" t="str">
        <f>_xlfn.XLOOKUP(Customer[[#This Row],[Customer ID]],[1]!Name[ID],[1]!Name[Description(1)])</f>
        <v>ZS PETROMART LEGACY</v>
      </c>
      <c r="C1550" s="38" t="str">
        <f>_xlfn.XLOOKUP(Customer[[#This Row],[Customer ID]],[1]!Name[ID],[1]!Name[Description(2)])</f>
        <v>PS CHICHA ARAH PASIR PUTEH</v>
      </c>
      <c r="D1550" s="38" t="str">
        <f>_xlfn.XLOOKUP(Customer[[#This Row],[Customer ID]],[1]!Address[ID],[1]!Address[PIC])</f>
        <v/>
      </c>
      <c r="E1550" s="38" t="str">
        <f>_xlfn.XLOOKUP(Customer[[#This Row],[Customer ID]],[1]!Address[ID],[1]!Address[Full Address])</f>
        <v>PS CHICHA ARAH PASIR PUTEHS/57, PT 993 NO 1992 &amp; 723 KAMPUNGCHICA JALAN PASIR PUTEH, 16150 KOTABHARU, KELANTAN.</v>
      </c>
      <c r="F1550" s="41" t="s">
        <v>9905</v>
      </c>
      <c r="G1550" s="12" t="s">
        <v>9906</v>
      </c>
      <c r="H1550" s="12" t="s">
        <v>9907</v>
      </c>
      <c r="I1550" s="12" t="b">
        <f>ISNUMBER(VALUE(LEFT(Customer[[#This Row],[Address Line 3 (30 char)]],1)))</f>
        <v>0</v>
      </c>
      <c r="J1550" s="12" t="s">
        <v>1007</v>
      </c>
      <c r="K1550" s="12">
        <v>16150</v>
      </c>
      <c r="L1550" s="12" t="s">
        <v>35</v>
      </c>
      <c r="M1550" s="13" t="e">
        <v>#N/A</v>
      </c>
      <c r="N1550" s="14" t="e">
        <v>#N/A</v>
      </c>
      <c r="O1550" s="14" t="e">
        <v>#N/A</v>
      </c>
      <c r="P1550" s="14" t="e">
        <v>#N/A</v>
      </c>
      <c r="Q1550" s="19" t="s">
        <v>9908</v>
      </c>
      <c r="R1550" s="15" t="s">
        <v>1417</v>
      </c>
      <c r="S1550" s="15" t="s">
        <v>37</v>
      </c>
      <c r="T1550" s="16" t="s">
        <v>38</v>
      </c>
      <c r="U1550" s="11" t="str">
        <f>_xlfn.XLOOKUP(Customer[[#This Row],[Customer ID]],[1]!Address[ID],[1]!Address[Phone No.(2)])</f>
        <v/>
      </c>
      <c r="V1550" s="11" t="str">
        <f>_xlfn.XLOOKUP(Customer[[#This Row],[Customer ID]],[1]!Address[ID],[1]!Address[Type])</f>
        <v>PETROMART</v>
      </c>
      <c r="W1550" s="11" t="str">
        <f>_xlfn.XLOOKUP(Customer[[#This Row],[Customer ID]],[1]!Address[ID],[1]!Address[CT])</f>
        <v>30</v>
      </c>
      <c r="X1550" s="11" t="s">
        <v>39</v>
      </c>
      <c r="Y1550" s="17" t="s">
        <v>40</v>
      </c>
      <c r="Z1550" s="17" t="e">
        <f>_xlfn.XLOOKUP(Customer[[#This Row],[NewType]],$AF$36:$AF$54,$AG$36:$AG$54)</f>
        <v>#N/A</v>
      </c>
      <c r="AA1550" s="17" t="s">
        <v>9909</v>
      </c>
      <c r="AB1550" s="11" t="str">
        <f>_xlfn.XLOOKUP(Customer[[#This Row],[Customer ID]],[1]!Address[ID],[1]!Address[Subtype])</f>
        <v>PETRONAS</v>
      </c>
      <c r="AC1550" s="18" t="str">
        <f>_xlfn.XLOOKUP(Customer[[#This Row],[Customer ID]],[1]!Address[ID],[1]!Address[Zone])</f>
        <v>EAST COAST</v>
      </c>
    </row>
    <row r="1551" spans="1:30" x14ac:dyDescent="0.3">
      <c r="A1551" s="37" t="s">
        <v>9910</v>
      </c>
      <c r="B1551" s="38" t="str">
        <f>_xlfn.XLOOKUP(Customer[[#This Row],[Customer ID]],[1]!Name[ID],[1]!Name[Description(1)])</f>
        <v>OPUS RESIDENCES KUALA LUMPUR</v>
      </c>
      <c r="C1551" s="38" t="str">
        <f>_xlfn.XLOOKUP(Customer[[#This Row],[Customer ID]],[1]!Name[ID],[1]!Name[Description(2)])</f>
        <v/>
      </c>
      <c r="D1551" s="38" t="str">
        <f>_xlfn.XLOOKUP(Customer[[#This Row],[Customer ID]],[1]!Address[ID],[1]!Address[PIC])</f>
        <v/>
      </c>
      <c r="E1551" s="38" t="str">
        <f>_xlfn.XLOOKUP(Customer[[#This Row],[Customer ID]],[1]!Address[ID],[1]!Address[Full Address])</f>
        <v>OPUS HOSPITALITY SDN BHDG1 OPUS KUALA LUMPUR, 82 JALAN TALLALAKAMPUNG ATTAP, 50460 KUALA LUMPUR</v>
      </c>
      <c r="F1551" s="12" t="s">
        <v>9911</v>
      </c>
      <c r="G1551" s="12" t="s">
        <v>9912</v>
      </c>
      <c r="H1551" s="12" t="s">
        <v>9913</v>
      </c>
      <c r="I1551" s="12" t="b">
        <f>ISNUMBER(VALUE(LEFT(Customer[[#This Row],[Address Line 3 (30 char)]],1)))</f>
        <v>0</v>
      </c>
      <c r="J1551" s="12" t="s">
        <v>34</v>
      </c>
      <c r="K1551" s="12">
        <v>50460</v>
      </c>
      <c r="L1551" s="12" t="s">
        <v>35</v>
      </c>
      <c r="M1551" s="13" t="e">
        <v>#N/A</v>
      </c>
      <c r="N1551" s="14" t="e">
        <v>#N/A</v>
      </c>
      <c r="O1551" s="14" t="e">
        <v>#N/A</v>
      </c>
      <c r="P1551" s="14" t="e">
        <v>#N/A</v>
      </c>
      <c r="Q1551" s="19" t="s">
        <v>9914</v>
      </c>
      <c r="R1551" s="15" t="s">
        <v>9915</v>
      </c>
      <c r="S1551" s="15" t="s">
        <v>88</v>
      </c>
      <c r="T1551" s="16" t="s">
        <v>89</v>
      </c>
      <c r="U1551" s="11" t="str">
        <f>_xlfn.XLOOKUP(Customer[[#This Row],[Customer ID]],[1]!Address[ID],[1]!Address[Phone No.(2)])</f>
        <v/>
      </c>
      <c r="V1551" s="11" t="str">
        <f>_xlfn.XLOOKUP(Customer[[#This Row],[Customer ID]],[1]!Address[ID],[1]!Address[Type])</f>
        <v>SOCMED</v>
      </c>
      <c r="W1551" s="11" t="str">
        <f>_xlfn.XLOOKUP(Customer[[#This Row],[Customer ID]],[1]!Address[ID],[1]!Address[CT])</f>
        <v/>
      </c>
      <c r="X1551" s="11"/>
      <c r="Y1551" s="17" t="s">
        <v>90</v>
      </c>
      <c r="Z1551" s="17" t="e">
        <f>_xlfn.XLOOKUP(Customer[[#This Row],[NewType]],$AF$36:$AF$54,$AG$36:$AG$54)</f>
        <v>#N/A</v>
      </c>
      <c r="AA1551" s="17" t="s">
        <v>9916</v>
      </c>
      <c r="AB1551" s="11" t="str">
        <f>_xlfn.XLOOKUP(Customer[[#This Row],[Customer ID]],[1]!Address[ID],[1]!Address[Subtype])</f>
        <v>ONLINE ROS</v>
      </c>
      <c r="AC1551" s="18" t="str">
        <f>_xlfn.XLOOKUP(Customer[[#This Row],[Customer ID]],[1]!Address[ID],[1]!Address[Zone])</f>
        <v>CENTRAL</v>
      </c>
    </row>
    <row r="1552" spans="1:30" x14ac:dyDescent="0.3">
      <c r="A1552" s="37" t="s">
        <v>9917</v>
      </c>
      <c r="B1552" s="38" t="str">
        <f>_xlfn.XLOOKUP(Customer[[#This Row],[Customer ID]],[1]!Name[ID],[1]!Name[Description(1)])</f>
        <v>BATARAS SDN BHD</v>
      </c>
      <c r="C1552" s="38" t="str">
        <f>_xlfn.XLOOKUP(Customer[[#This Row],[Customer ID]],[1]!Name[ID],[1]!Name[Description(2)])</f>
        <v/>
      </c>
      <c r="D1552" s="38" t="str">
        <f>_xlfn.XLOOKUP(Customer[[#This Row],[Customer ID]],[1]!Address[ID],[1]!Address[PIC])</f>
        <v/>
      </c>
      <c r="E1552" s="38" t="str">
        <f>_xlfn.XLOOKUP(Customer[[#This Row],[Customer ID]],[1]!Address[ID],[1]!Address[Full Address])</f>
        <v>BATARAS HQ OFFICE,BATARAS HYPERMARKET KOLOMBONG,MILE 5 1/2,JALAN TUARAN,TAMAN KOLOMBONG,88450 KOTA KINABALU,SABAH</v>
      </c>
      <c r="F1552" s="12" t="s">
        <v>9918</v>
      </c>
      <c r="G1552" s="12" t="s">
        <v>9919</v>
      </c>
      <c r="H1552" s="24" t="s">
        <v>9920</v>
      </c>
      <c r="I1552" s="24" t="b">
        <f>ISNUMBER(VALUE(LEFT(Customer[[#This Row],[Address Line 3 (30 char)]],1)))</f>
        <v>1</v>
      </c>
      <c r="J1552" s="12" t="s">
        <v>6636</v>
      </c>
      <c r="K1552" s="12">
        <v>88450</v>
      </c>
      <c r="L1552" s="12" t="s">
        <v>35</v>
      </c>
      <c r="M1552" s="13" t="e">
        <v>#N/A</v>
      </c>
      <c r="N1552" s="14" t="e">
        <v>#N/A</v>
      </c>
      <c r="O1552" s="14" t="e">
        <v>#N/A</v>
      </c>
      <c r="P1552" s="14" t="e">
        <v>#N/A</v>
      </c>
      <c r="Q1552" s="19" t="s">
        <v>9921</v>
      </c>
      <c r="R1552" s="15" t="s">
        <v>9922</v>
      </c>
      <c r="S1552" s="15" t="s">
        <v>5934</v>
      </c>
      <c r="T1552" s="16" t="s">
        <v>3477</v>
      </c>
      <c r="U1552" s="11" t="str">
        <f>_xlfn.XLOOKUP(Customer[[#This Row],[Customer ID]],[1]!Address[ID],[1]!Address[Phone No.(2)])</f>
        <v/>
      </c>
      <c r="V1552" s="11" t="str">
        <f>_xlfn.XLOOKUP(Customer[[#This Row],[Customer ID]],[1]!Address[ID],[1]!Address[Type])</f>
        <v>HM</v>
      </c>
      <c r="W1552" s="11" t="str">
        <f>_xlfn.XLOOKUP(Customer[[#This Row],[Customer ID]],[1]!Address[ID],[1]!Address[CT])</f>
        <v>CASH</v>
      </c>
      <c r="X1552" s="11"/>
      <c r="Y1552" s="17" t="s">
        <v>5968</v>
      </c>
      <c r="Z1552" s="17" t="e">
        <f>_xlfn.XLOOKUP(Customer[[#This Row],[NewType]],$AF$36:$AF$54,$AG$36:$AG$54)</f>
        <v>#N/A</v>
      </c>
      <c r="AA1552" s="17" t="s">
        <v>9923</v>
      </c>
      <c r="AB1552" s="11" t="str">
        <f>_xlfn.XLOOKUP(Customer[[#This Row],[Customer ID]],[1]!Address[ID],[1]!Address[Subtype])</f>
        <v>BATARAS</v>
      </c>
      <c r="AC1552" s="18">
        <f>_xlfn.XLOOKUP(Customer[[#This Row],[Customer ID]],[1]!Address[ID],[1]!Address[Zone])</f>
        <v>0</v>
      </c>
      <c r="AD1552" t="s">
        <v>9924</v>
      </c>
    </row>
    <row r="1553" spans="1:30" x14ac:dyDescent="0.3">
      <c r="A1553" s="73" t="s">
        <v>9925</v>
      </c>
      <c r="B1553" s="62" t="str">
        <f>_xlfn.XLOOKUP(Customer[[#This Row],[Customer ID]],[1]!Name[ID],[1]!Name[Description(1)])</f>
        <v>FARMASI AZAM PAUH</v>
      </c>
      <c r="C1553" s="62" t="str">
        <f>_xlfn.XLOOKUP(Customer[[#This Row],[Customer ID]],[1]!Name[ID],[1]!Name[Description(2)])</f>
        <v/>
      </c>
      <c r="D1553" s="62" t="str">
        <f>_xlfn.XLOOKUP(Customer[[#This Row],[Customer ID]],[1]!Address[ID],[1]!Address[PIC])</f>
        <v/>
      </c>
      <c r="E1553" s="38" t="str">
        <f>_xlfn.XLOOKUP(Customer[[#This Row],[Customer ID]],[1]!Address[ID],[1]!Address[Full Address])</f>
        <v>NO 11 JALAN 2, PUSAT PERNIAGAAN PAUH,02600 ARAU PERLIS</v>
      </c>
      <c r="F1553" s="63" t="s">
        <v>9926</v>
      </c>
      <c r="G1553" s="63" t="s">
        <v>9927</v>
      </c>
      <c r="H1553" s="63" t="s">
        <v>9928</v>
      </c>
      <c r="I1553" s="63" t="b">
        <f>ISNUMBER(VALUE(LEFT(Customer[[#This Row],[Address Line 3 (30 char)]],1)))</f>
        <v>0</v>
      </c>
      <c r="J1553" s="63" t="s">
        <v>984</v>
      </c>
      <c r="K1553" s="75" t="s">
        <v>2472</v>
      </c>
      <c r="L1553" s="63" t="s">
        <v>35</v>
      </c>
      <c r="M1553" s="65" t="e">
        <v>#N/A</v>
      </c>
      <c r="N1553" s="66" t="e">
        <v>#N/A</v>
      </c>
      <c r="O1553" s="66" t="e">
        <v>#N/A</v>
      </c>
      <c r="P1553" s="66" t="e">
        <v>#N/A</v>
      </c>
      <c r="Q1553" s="66" t="e">
        <v>#N/A</v>
      </c>
      <c r="R1553" s="67" t="s">
        <v>9929</v>
      </c>
      <c r="S1553" s="67" t="s">
        <v>88</v>
      </c>
      <c r="T1553" s="76" t="s">
        <v>89</v>
      </c>
      <c r="U1553" s="68" t="str">
        <f>_xlfn.XLOOKUP(Customer[[#This Row],[Customer ID]],[1]!Address[ID],[1]!Address[Phone No.(2)])</f>
        <v/>
      </c>
      <c r="V1553" s="68" t="str">
        <f>_xlfn.XLOOKUP(Customer[[#This Row],[Customer ID]],[1]!Address[ID],[1]!Address[Type])</f>
        <v>SOCMED</v>
      </c>
      <c r="W1553" s="68" t="str">
        <f>_xlfn.XLOOKUP(Customer[[#This Row],[Customer ID]],[1]!Address[ID],[1]!Address[CT])</f>
        <v/>
      </c>
      <c r="X1553" s="68"/>
      <c r="Y1553" s="69" t="s">
        <v>90</v>
      </c>
      <c r="Z1553" s="69" t="e">
        <f>_xlfn.XLOOKUP(Customer[[#This Row],[NewType]],$AF$36:$AF$54,$AG$36:$AG$54)</f>
        <v>#N/A</v>
      </c>
      <c r="AA1553" s="69" t="s">
        <v>9930</v>
      </c>
      <c r="AB1553" s="68" t="str">
        <f>_xlfn.XLOOKUP(Customer[[#This Row],[Customer ID]],[1]!Address[ID],[1]!Address[Subtype])</f>
        <v>ONLINE ROS</v>
      </c>
      <c r="AC1553" s="70" t="str">
        <f>_xlfn.XLOOKUP(Customer[[#This Row],[Customer ID]],[1]!Address[ID],[1]!Address[Zone])</f>
        <v>NORTH</v>
      </c>
      <c r="AD1553" s="71"/>
    </row>
    <row r="1554" spans="1:30" x14ac:dyDescent="0.3">
      <c r="A1554" s="37" t="s">
        <v>9931</v>
      </c>
      <c r="B1554" s="38" t="str">
        <f>_xlfn.XLOOKUP(Customer[[#This Row],[Customer ID]],[1]!Name[ID],[1]!Name[Description(1)])</f>
        <v>UDS MEDIA</v>
      </c>
      <c r="C1554" s="38" t="str">
        <f>_xlfn.XLOOKUP(Customer[[#This Row],[Customer ID]],[1]!Name[ID],[1]!Name[Description(2)])</f>
        <v/>
      </c>
      <c r="D1554" s="38" t="str">
        <f>_xlfn.XLOOKUP(Customer[[#This Row],[Customer ID]],[1]!Address[ID],[1]!Address[PIC])</f>
        <v/>
      </c>
      <c r="E1554" s="38" t="str">
        <f>_xlfn.XLOOKUP(Customer[[#This Row],[Customer ID]],[1]!Address[ID],[1]!Address[Full Address])</f>
        <v>THE 3 TOWER (MENARA 3),UNIT T03-08-09, 296 JALAN AMPANG,50450 KUALA LUMPUR</v>
      </c>
      <c r="F1554" s="12" t="s">
        <v>9932</v>
      </c>
      <c r="G1554" s="12" t="s">
        <v>9933</v>
      </c>
      <c r="H1554" s="24"/>
      <c r="I1554" s="24" t="b">
        <f>ISNUMBER(VALUE(LEFT(Customer[[#This Row],[Address Line 3 (30 char)]],1)))</f>
        <v>0</v>
      </c>
      <c r="J1554" s="12" t="s">
        <v>34</v>
      </c>
      <c r="K1554" s="12">
        <v>50450</v>
      </c>
      <c r="L1554" s="12" t="s">
        <v>35</v>
      </c>
      <c r="M1554" s="13" t="e">
        <v>#N/A</v>
      </c>
      <c r="N1554" s="14" t="e">
        <v>#N/A</v>
      </c>
      <c r="O1554" s="14" t="e">
        <v>#N/A</v>
      </c>
      <c r="P1554" s="14" t="e">
        <v>#N/A</v>
      </c>
      <c r="Q1554" s="14" t="e">
        <v>#N/A</v>
      </c>
      <c r="R1554" s="15" t="s">
        <v>9934</v>
      </c>
      <c r="S1554" s="15" t="s">
        <v>5934</v>
      </c>
      <c r="T1554" s="16" t="s">
        <v>3477</v>
      </c>
      <c r="U1554" s="11" t="str">
        <f>_xlfn.XLOOKUP(Customer[[#This Row],[Customer ID]],[1]!Address[ID],[1]!Address[Phone No.(2)])</f>
        <v/>
      </c>
      <c r="V1554" s="11" t="str">
        <f>_xlfn.XLOOKUP(Customer[[#This Row],[Customer ID]],[1]!Address[ID],[1]!Address[Type])</f>
        <v>HOCA</v>
      </c>
      <c r="W1554" s="11" t="str">
        <f>_xlfn.XLOOKUP(Customer[[#This Row],[Customer ID]],[1]!Address[ID],[1]!Address[CT])</f>
        <v>CASH</v>
      </c>
      <c r="X1554" s="11"/>
      <c r="Y1554" s="17" t="s">
        <v>6028</v>
      </c>
      <c r="Z1554" s="17" t="e">
        <f>_xlfn.XLOOKUP(Customer[[#This Row],[NewType]],$AF$36:$AF$54,$AG$36:$AG$54)</f>
        <v>#N/A</v>
      </c>
      <c r="AA1554" s="17" t="s">
        <v>9935</v>
      </c>
      <c r="AB1554" s="11" t="str">
        <f>_xlfn.XLOOKUP(Customer[[#This Row],[Customer ID]],[1]!Address[ID],[1]!Address[Subtype])</f>
        <v>UDS MEDIA</v>
      </c>
      <c r="AC1554" s="18" t="str">
        <f>_xlfn.XLOOKUP(Customer[[#This Row],[Customer ID]],[1]!Address[ID],[1]!Address[Zone])</f>
        <v>CENTRAL</v>
      </c>
    </row>
    <row r="1555" spans="1:30" x14ac:dyDescent="0.3">
      <c r="A1555" s="37" t="s">
        <v>9936</v>
      </c>
      <c r="B1555" s="38" t="str">
        <f>_xlfn.XLOOKUP(Customer[[#This Row],[Customer ID]],[1]!Name[ID],[1]!Name[Description(1)])</f>
        <v>MUHAMMAD SHAHRUL B SUKANDAR</v>
      </c>
      <c r="C1555" s="38" t="str">
        <f>_xlfn.XLOOKUP(Customer[[#This Row],[Customer ID]],[1]!Name[ID],[1]!Name[Description(2)])</f>
        <v>SITI NAZWA BINTI SAI</v>
      </c>
      <c r="D1555" s="38" t="str">
        <f>_xlfn.XLOOKUP(Customer[[#This Row],[Customer ID]],[1]!Address[ID],[1]!Address[PIC])</f>
        <v/>
      </c>
      <c r="E1555" s="38" t="str">
        <f>_xlfn.XLOOKUP(Customer[[#This Row],[Customer ID]],[1]!Address[ID],[1]!Address[Full Address])</f>
        <v>KEDAI WAWA, NO 3 JALAN KESTURI,TAMAN BUNGA RAYA, TONGKANG PECHAH,83010 BATU PAHAT, JOHOR</v>
      </c>
      <c r="F1555" s="12" t="s">
        <v>9937</v>
      </c>
      <c r="G1555" s="12" t="s">
        <v>9938</v>
      </c>
      <c r="H1555" s="12" t="s">
        <v>9939</v>
      </c>
      <c r="I1555" s="12" t="b">
        <f>ISNUMBER(VALUE(LEFT(Customer[[#This Row],[Address Line 3 (30 char)]],1)))</f>
        <v>0</v>
      </c>
      <c r="J1555" s="12" t="s">
        <v>52</v>
      </c>
      <c r="K1555" s="12">
        <v>83010</v>
      </c>
      <c r="L1555" s="12" t="s">
        <v>35</v>
      </c>
      <c r="M1555" s="13" t="e">
        <v>#N/A</v>
      </c>
      <c r="N1555" s="14" t="e">
        <v>#N/A</v>
      </c>
      <c r="O1555" s="14" t="e">
        <v>#N/A</v>
      </c>
      <c r="P1555" s="14" t="e">
        <v>#N/A</v>
      </c>
      <c r="Q1555" s="14" t="e">
        <v>#N/A</v>
      </c>
      <c r="R1555" s="15" t="s">
        <v>9940</v>
      </c>
      <c r="S1555" s="15" t="s">
        <v>88</v>
      </c>
      <c r="T1555" s="16" t="s">
        <v>89</v>
      </c>
      <c r="U1555" s="11" t="str">
        <f>_xlfn.XLOOKUP(Customer[[#This Row],[Customer ID]],[1]!Address[ID],[1]!Address[Phone No.(2)])</f>
        <v/>
      </c>
      <c r="V1555" s="11" t="str">
        <f>_xlfn.XLOOKUP(Customer[[#This Row],[Customer ID]],[1]!Address[ID],[1]!Address[Type])</f>
        <v>SOCMED</v>
      </c>
      <c r="W1555" s="11" t="str">
        <f>_xlfn.XLOOKUP(Customer[[#This Row],[Customer ID]],[1]!Address[ID],[1]!Address[CT])</f>
        <v/>
      </c>
      <c r="X1555" s="11"/>
      <c r="Y1555" s="17" t="s">
        <v>90</v>
      </c>
      <c r="Z1555" s="17" t="e">
        <f>_xlfn.XLOOKUP(Customer[[#This Row],[NewType]],$AF$36:$AF$54,$AG$36:$AG$54)</f>
        <v>#N/A</v>
      </c>
      <c r="AA1555" s="17" t="s">
        <v>9941</v>
      </c>
      <c r="AB1555" s="11" t="str">
        <f>_xlfn.XLOOKUP(Customer[[#This Row],[Customer ID]],[1]!Address[ID],[1]!Address[Subtype])</f>
        <v>ONLINE ROS</v>
      </c>
      <c r="AC1555" s="18" t="str">
        <f>_xlfn.XLOOKUP(Customer[[#This Row],[Customer ID]],[1]!Address[ID],[1]!Address[Zone])</f>
        <v>SOUTH</v>
      </c>
    </row>
    <row r="1556" spans="1:30" x14ac:dyDescent="0.3">
      <c r="A1556" s="56" t="s">
        <v>9942</v>
      </c>
      <c r="B1556" s="50" t="str">
        <f>_xlfn.XLOOKUP(Customer[[#This Row],[Customer ID]],[1]!Name[ID],[1]!Name[Description(1)])</f>
        <v>LEENORSHA ENTERPRISE</v>
      </c>
      <c r="C1556" s="38" t="str">
        <f>_xlfn.XLOOKUP(Customer[[#This Row],[Customer ID]],[1]!Name[ID],[1]!Name[Description(2)])</f>
        <v>SITI NOR ATIKAH BINT</v>
      </c>
      <c r="D1556" s="38" t="str">
        <f>_xlfn.XLOOKUP(Customer[[#This Row],[Customer ID]],[1]!Address[ID],[1]!Address[PIC])</f>
        <v/>
      </c>
      <c r="E1556" s="38" t="str">
        <f>_xlfn.XLOOKUP(Customer[[#This Row],[Customer ID]],[1]!Address[ID],[1]!Address[Full Address])</f>
        <v>NO 2A, KEDAI MAKAN CIKNO,FELDA CHIKU 02, 18300 GUA MUSANG,KELANTAN</v>
      </c>
      <c r="F1556" s="12" t="s">
        <v>9943</v>
      </c>
      <c r="G1556" s="12" t="s">
        <v>9944</v>
      </c>
      <c r="H1556" s="41" t="s">
        <v>9945</v>
      </c>
      <c r="I1556" s="41" t="b">
        <f>ISNUMBER(VALUE(LEFT(Customer[[#This Row],[Address Line 3 (30 char)]],1)))</f>
        <v>0</v>
      </c>
      <c r="J1556" s="12" t="s">
        <v>1007</v>
      </c>
      <c r="K1556" s="12">
        <v>18300</v>
      </c>
      <c r="L1556" s="12" t="s">
        <v>35</v>
      </c>
      <c r="M1556" s="13">
        <v>201603158588</v>
      </c>
      <c r="N1556" s="36" t="e">
        <v>#N/A</v>
      </c>
      <c r="O1556" s="14" t="s">
        <v>54</v>
      </c>
      <c r="P1556" s="14" t="s">
        <v>9946</v>
      </c>
      <c r="Q1556" s="14" t="s">
        <v>9947</v>
      </c>
      <c r="R1556" s="15" t="s">
        <v>9948</v>
      </c>
      <c r="S1556" s="15" t="s">
        <v>3212</v>
      </c>
      <c r="T1556" s="16" t="s">
        <v>89</v>
      </c>
      <c r="U1556" s="11" t="str">
        <f>_xlfn.XLOOKUP(Customer[[#This Row],[Customer ID]],[1]!Address[ID],[1]!Address[Phone No.(2)])</f>
        <v/>
      </c>
      <c r="V1556" s="11" t="str">
        <f>_xlfn.XLOOKUP(Customer[[#This Row],[Customer ID]],[1]!Address[ID],[1]!Address[Type])</f>
        <v>SOCMED</v>
      </c>
      <c r="W1556" s="11" t="str">
        <f>_xlfn.XLOOKUP(Customer[[#This Row],[Customer ID]],[1]!Address[ID],[1]!Address[CT])</f>
        <v/>
      </c>
      <c r="X1556" s="11"/>
      <c r="Y1556" s="17" t="s">
        <v>90</v>
      </c>
      <c r="Z1556" s="17" t="e">
        <f>_xlfn.XLOOKUP(Customer[[#This Row],[NewType]],$AF$36:$AF$54,$AG$36:$AG$54)</f>
        <v>#N/A</v>
      </c>
      <c r="AA1556" s="17" t="s">
        <v>9949</v>
      </c>
      <c r="AB1556" s="11" t="str">
        <f>_xlfn.XLOOKUP(Customer[[#This Row],[Customer ID]],[1]!Address[ID],[1]!Address[Subtype])</f>
        <v>ONLINE HAJAR</v>
      </c>
      <c r="AC1556" s="18" t="str">
        <f>_xlfn.XLOOKUP(Customer[[#This Row],[Customer ID]],[1]!Address[ID],[1]!Address[Zone])</f>
        <v>EAST COAST</v>
      </c>
    </row>
    <row r="1557" spans="1:30" x14ac:dyDescent="0.3">
      <c r="A1557" s="27" t="s">
        <v>9950</v>
      </c>
      <c r="B1557" s="11" t="str">
        <f>_xlfn.XLOOKUP(Customer[[#This Row],[Customer ID]],[1]!Name[ID],[1]!Name[Description(1)])</f>
        <v>EN AZHARUDIN IDRIS</v>
      </c>
      <c r="C1557" s="95" t="str">
        <f>_xlfn.XLOOKUP(Customer[[#This Row],[Customer ID]],[1]!Name[ID],[1]!Name[Description(2)])</f>
        <v/>
      </c>
      <c r="D1557" s="44" t="str">
        <f>_xlfn.XLOOKUP(Customer[[#This Row],[Customer ID]],[1]!Address[ID],[1]!Address[PIC])</f>
        <v/>
      </c>
      <c r="E1557" s="38" t="str">
        <f>_xlfn.XLOOKUP(Customer[[#This Row],[Customer ID]],[1]!Address[ID],[1]!Address[Full Address])</f>
        <v/>
      </c>
      <c r="F1557" s="29" t="s">
        <v>36</v>
      </c>
      <c r="G1557" s="29" t="s">
        <v>36</v>
      </c>
      <c r="H1557" s="29" t="s">
        <v>36</v>
      </c>
      <c r="I1557" s="29" t="b">
        <f>ISNUMBER(VALUE(LEFT(Customer[[#This Row],[Address Line 3 (30 char)]],1)))</f>
        <v>0</v>
      </c>
      <c r="J1557" s="95"/>
      <c r="K1557" s="95"/>
      <c r="L1557" s="29" t="s">
        <v>35</v>
      </c>
      <c r="M1557" s="31" t="e">
        <v>#N/A</v>
      </c>
      <c r="N1557" s="36" t="e">
        <v>#N/A</v>
      </c>
      <c r="O1557" s="36" t="e">
        <v>#N/A</v>
      </c>
      <c r="P1557" s="36" t="e">
        <v>#N/A</v>
      </c>
      <c r="Q1557" s="36" t="e">
        <v>#N/A</v>
      </c>
      <c r="R1557" s="80" t="s">
        <v>9951</v>
      </c>
      <c r="S1557" s="15" t="s">
        <v>6418</v>
      </c>
      <c r="T1557" s="16" t="s">
        <v>7974</v>
      </c>
      <c r="U1557" s="28" t="str">
        <f>_xlfn.XLOOKUP(Customer[[#This Row],[Customer ID]],[1]!Address[ID],[1]!Address[Phone No.(2)])</f>
        <v/>
      </c>
      <c r="V1557" s="28" t="str">
        <f>_xlfn.XLOOKUP(Customer[[#This Row],[Customer ID]],[1]!Address[ID],[1]!Address[Type])</f>
        <v>SOCMED</v>
      </c>
      <c r="W1557" s="28" t="str">
        <f>_xlfn.XLOOKUP(Customer[[#This Row],[Customer ID]],[1]!Address[ID],[1]!Address[CT])</f>
        <v>CASH</v>
      </c>
      <c r="X1557" s="28"/>
      <c r="Y1557" s="82" t="s">
        <v>90</v>
      </c>
      <c r="Z1557" s="82" t="e">
        <f>_xlfn.XLOOKUP(Customer[[#This Row],[NewType]],$AF$36:$AF$54,$AG$36:$AG$54)</f>
        <v>#N/A</v>
      </c>
      <c r="AA1557" s="82" t="s">
        <v>9952</v>
      </c>
      <c r="AB1557" s="28" t="str">
        <f>_xlfn.XLOOKUP(Customer[[#This Row],[Customer ID]],[1]!Address[ID],[1]!Address[Subtype])</f>
        <v>WHATSAPP</v>
      </c>
      <c r="AC1557" s="83" t="str">
        <f>_xlfn.XLOOKUP(Customer[[#This Row],[Customer ID]],[1]!Address[ID],[1]!Address[Zone])</f>
        <v>AEEDH</v>
      </c>
      <c r="AD1557" s="84"/>
    </row>
    <row r="1558" spans="1:30" x14ac:dyDescent="0.3">
      <c r="A1558" s="37" t="s">
        <v>9953</v>
      </c>
      <c r="B1558" s="38" t="str">
        <f>_xlfn.XLOOKUP(Customer[[#This Row],[Customer ID]],[1]!Name[ID],[1]!Name[Description(1)])</f>
        <v>WHISK SDN BHD</v>
      </c>
      <c r="C1558" s="38" t="str">
        <f>_xlfn.XLOOKUP(Customer[[#This Row],[Customer ID]],[1]!Name[ID],[1]!Name[Description(2)])</f>
        <v>WHISK COFFEE &amp; PANTRY</v>
      </c>
      <c r="D1558" s="38" t="str">
        <f>_xlfn.XLOOKUP(Customer[[#This Row],[Customer ID]],[1]!Address[ID],[1]!Address[PIC])</f>
        <v/>
      </c>
      <c r="E1558" s="38" t="str">
        <f>_xlfn.XLOOKUP(Customer[[#This Row],[Customer ID]],[1]!Address[ID],[1]!Address[Full Address])</f>
        <v>GF-10, 163 RETAIL PARK,NO. 8, JALAN KIARA, MONT KIARA,50480, KUALA LUMPUR</v>
      </c>
      <c r="F1558" s="12" t="s">
        <v>9954</v>
      </c>
      <c r="G1558" s="12" t="s">
        <v>9955</v>
      </c>
      <c r="H1558" s="41" t="s">
        <v>9956</v>
      </c>
      <c r="I1558" s="41" t="b">
        <f>ISNUMBER(VALUE(LEFT(Customer[[#This Row],[Address Line 3 (30 char)]],1)))</f>
        <v>0</v>
      </c>
      <c r="J1558" s="12" t="s">
        <v>34</v>
      </c>
      <c r="K1558" s="12">
        <v>50480</v>
      </c>
      <c r="L1558" s="12" t="s">
        <v>35</v>
      </c>
      <c r="M1558" s="13" t="s">
        <v>9957</v>
      </c>
      <c r="N1558" s="14" t="s">
        <v>9958</v>
      </c>
      <c r="O1558" s="14" t="s">
        <v>9959</v>
      </c>
      <c r="P1558" s="14">
        <v>56102</v>
      </c>
      <c r="Q1558" s="14" t="s">
        <v>9960</v>
      </c>
      <c r="R1558" s="15" t="s">
        <v>9961</v>
      </c>
      <c r="S1558" s="15" t="s">
        <v>5925</v>
      </c>
      <c r="T1558" s="16" t="s">
        <v>3477</v>
      </c>
      <c r="U1558" s="11" t="str">
        <f>_xlfn.XLOOKUP(Customer[[#This Row],[Customer ID]],[1]!Address[ID],[1]!Address[Phone No.(2)])</f>
        <v/>
      </c>
      <c r="V1558" s="11" t="str">
        <f>_xlfn.XLOOKUP(Customer[[#This Row],[Customer ID]],[1]!Address[ID],[1]!Address[Type])</f>
        <v>CAFE</v>
      </c>
      <c r="W1558" s="11" t="str">
        <f>_xlfn.XLOOKUP(Customer[[#This Row],[Customer ID]],[1]!Address[ID],[1]!Address[CT])</f>
        <v>45 DAYS</v>
      </c>
      <c r="X1558" s="11"/>
      <c r="Y1558" s="17" t="s">
        <v>5926</v>
      </c>
      <c r="Z1558" s="17" t="e">
        <f>_xlfn.XLOOKUP(Customer[[#This Row],[NewType]],$AF$36:$AF$54,$AG$36:$AG$54)</f>
        <v>#N/A</v>
      </c>
      <c r="AA1558" s="17" t="s">
        <v>9962</v>
      </c>
      <c r="AB1558" s="11" t="str">
        <f>_xlfn.XLOOKUP(Customer[[#This Row],[Customer ID]],[1]!Address[ID],[1]!Address[Subtype])</f>
        <v>WHISK</v>
      </c>
      <c r="AC1558" s="18" t="str">
        <f>_xlfn.XLOOKUP(Customer[[#This Row],[Customer ID]],[1]!Address[ID],[1]!Address[Zone])</f>
        <v>CENTRAL</v>
      </c>
    </row>
    <row r="1559" spans="1:30" x14ac:dyDescent="0.3">
      <c r="A1559" s="10" t="s">
        <v>9963</v>
      </c>
      <c r="B1559" s="11" t="str">
        <f>_xlfn.XLOOKUP(Customer[[#This Row],[Customer ID]],[1]!Name[ID],[1]!Name[Description(1)])</f>
        <v>PMG PHARMACY SERI MANJUNG</v>
      </c>
      <c r="C1559" s="38" t="str">
        <f>_xlfn.XLOOKUP(Customer[[#This Row],[Customer ID]],[1]!Name[ID],[1]!Name[Description(2)])</f>
        <v/>
      </c>
      <c r="D1559" s="38" t="str">
        <f>_xlfn.XLOOKUP(Customer[[#This Row],[Customer ID]],[1]!Address[ID],[1]!Address[PIC])</f>
        <v>LEE XUE YONG</v>
      </c>
      <c r="E1559" s="38" t="str">
        <f>_xlfn.XLOOKUP(Customer[[#This Row],[Customer ID]],[1]!Address[ID],[1]!Address[Full Address])</f>
        <v>PMG PHARMACY SDN BHD,NO 77, PUSAT BANDAR SERI MANJUNG,32040 SERI MANJUNG, PERAK.</v>
      </c>
      <c r="F1559" s="12" t="s">
        <v>6309</v>
      </c>
      <c r="G1559" s="12" t="s">
        <v>9964</v>
      </c>
      <c r="H1559" s="96" t="s">
        <v>9965</v>
      </c>
      <c r="I1559" s="96" t="b">
        <f>ISNUMBER(VALUE(LEFT(Customer[[#This Row],[Address Line 3 (30 char)]],1)))</f>
        <v>0</v>
      </c>
      <c r="J1559" s="12" t="s">
        <v>242</v>
      </c>
      <c r="K1559" s="12">
        <v>32040</v>
      </c>
      <c r="L1559" s="12" t="s">
        <v>35</v>
      </c>
      <c r="M1559" s="13" t="e">
        <v>#N/A</v>
      </c>
      <c r="N1559" s="14" t="e">
        <v>#N/A</v>
      </c>
      <c r="O1559" s="14" t="e">
        <v>#N/A</v>
      </c>
      <c r="P1559" s="14" t="e">
        <v>#N/A</v>
      </c>
      <c r="Q1559" s="19" t="s">
        <v>9966</v>
      </c>
      <c r="R1559" s="15" t="s">
        <v>9967</v>
      </c>
      <c r="S1559" s="15" t="s">
        <v>89</v>
      </c>
      <c r="T1559" s="16" t="s">
        <v>89</v>
      </c>
      <c r="U1559" s="11" t="str">
        <f>_xlfn.XLOOKUP(Customer[[#This Row],[Customer ID]],[1]!Address[ID],[1]!Address[Phone No.(2)])</f>
        <v/>
      </c>
      <c r="V1559" s="11" t="str">
        <f>_xlfn.XLOOKUP(Customer[[#This Row],[Customer ID]],[1]!Address[ID],[1]!Address[Type])</f>
        <v>SOCMED</v>
      </c>
      <c r="W1559" s="11" t="str">
        <f>_xlfn.XLOOKUP(Customer[[#This Row],[Customer ID]],[1]!Address[ID],[1]!Address[CT])</f>
        <v/>
      </c>
      <c r="X1559" s="11"/>
      <c r="Y1559" s="17" t="s">
        <v>90</v>
      </c>
      <c r="Z1559" s="17" t="e">
        <f>_xlfn.XLOOKUP(Customer[[#This Row],[NewType]],$AF$36:$AF$54,$AG$36:$AG$54)</f>
        <v>#N/A</v>
      </c>
      <c r="AA1559" s="17" t="s">
        <v>9968</v>
      </c>
      <c r="AB1559" s="11" t="str">
        <f>_xlfn.XLOOKUP(Customer[[#This Row],[Customer ID]],[1]!Address[ID],[1]!Address[Subtype])</f>
        <v>WHATSAPP</v>
      </c>
      <c r="AC1559" s="18" t="str">
        <f>_xlfn.XLOOKUP(Customer[[#This Row],[Customer ID]],[1]!Address[ID],[1]!Address[Zone])</f>
        <v>NORTH</v>
      </c>
    </row>
    <row r="1560" spans="1:30" x14ac:dyDescent="0.3">
      <c r="A1560" s="56" t="s">
        <v>9969</v>
      </c>
      <c r="B1560" s="50" t="str">
        <f>_xlfn.XLOOKUP(Customer[[#This Row],[Customer ID]],[1]!Name[ID],[1]!Name[Description(1)])</f>
        <v>UC DAILY MART</v>
      </c>
      <c r="C1560" s="38" t="str">
        <f>_xlfn.XLOOKUP(Customer[[#This Row],[Customer ID]],[1]!Name[ID],[1]!Name[Description(2)])</f>
        <v/>
      </c>
      <c r="D1560" s="38" t="str">
        <f>_xlfn.XLOOKUP(Customer[[#This Row],[Customer ID]],[1]!Address[ID],[1]!Address[PIC])</f>
        <v/>
      </c>
      <c r="E1560" s="38" t="str">
        <f>_xlfn.XLOOKUP(Customer[[#This Row],[Customer ID]],[1]!Address[ID],[1]!Address[Full Address])</f>
        <v>UC MART, NO A16 GROUND FLOOR,LORONG HAJI ABDUL RAHMAN 1, 25000KUANTAN , PAHANG</v>
      </c>
      <c r="F1560" s="12" t="s">
        <v>9970</v>
      </c>
      <c r="G1560" s="12" t="s">
        <v>9971</v>
      </c>
      <c r="H1560" s="12" t="s">
        <v>1038</v>
      </c>
      <c r="I1560" s="12" t="b">
        <f>ISNUMBER(VALUE(LEFT(Customer[[#This Row],[Address Line 3 (30 char)]],1)))</f>
        <v>0</v>
      </c>
      <c r="J1560" s="12" t="s">
        <v>339</v>
      </c>
      <c r="K1560" s="12">
        <v>25000</v>
      </c>
      <c r="L1560" s="12" t="s">
        <v>35</v>
      </c>
      <c r="M1560" s="31"/>
      <c r="N1560" s="36"/>
      <c r="O1560" s="14"/>
      <c r="P1560" s="14"/>
      <c r="Q1560" s="14" t="s">
        <v>9972</v>
      </c>
      <c r="R1560" s="15" t="s">
        <v>9973</v>
      </c>
      <c r="S1560" s="15" t="s">
        <v>3212</v>
      </c>
      <c r="T1560" s="16" t="s">
        <v>89</v>
      </c>
      <c r="U1560" s="11" t="str">
        <f>_xlfn.XLOOKUP(Customer[[#This Row],[Customer ID]],[1]!Address[ID],[1]!Address[Phone No.(2)])</f>
        <v/>
      </c>
      <c r="V1560" s="11" t="str">
        <f>_xlfn.XLOOKUP(Customer[[#This Row],[Customer ID]],[1]!Address[ID],[1]!Address[Type])</f>
        <v>SOCMED</v>
      </c>
      <c r="W1560" s="11" t="str">
        <f>_xlfn.XLOOKUP(Customer[[#This Row],[Customer ID]],[1]!Address[ID],[1]!Address[CT])</f>
        <v/>
      </c>
      <c r="X1560" s="11"/>
      <c r="Y1560" s="17" t="s">
        <v>90</v>
      </c>
      <c r="Z1560" s="17" t="e">
        <f>_xlfn.XLOOKUP(Customer[[#This Row],[NewType]],$AF$36:$AF$54,$AG$36:$AG$54)</f>
        <v>#N/A</v>
      </c>
      <c r="AA1560" s="17" t="s">
        <v>9974</v>
      </c>
      <c r="AB1560" s="11" t="str">
        <f>_xlfn.XLOOKUP(Customer[[#This Row],[Customer ID]],[1]!Address[ID],[1]!Address[Subtype])</f>
        <v>ONLINE HAJAR</v>
      </c>
      <c r="AC1560" s="18" t="str">
        <f>_xlfn.XLOOKUP(Customer[[#This Row],[Customer ID]],[1]!Address[ID],[1]!Address[Zone])</f>
        <v>CENTRAL</v>
      </c>
    </row>
    <row r="1561" spans="1:30" x14ac:dyDescent="0.3">
      <c r="A1561" s="56" t="s">
        <v>9975</v>
      </c>
      <c r="B1561" s="50" t="str">
        <f>_xlfn.XLOOKUP(Customer[[#This Row],[Customer ID]],[1]!Name[ID],[1]!Name[Description(1)])</f>
        <v>HO NGEE SHEONG</v>
      </c>
      <c r="C1561" s="38" t="str">
        <f>_xlfn.XLOOKUP(Customer[[#This Row],[Customer ID]],[1]!Name[ID],[1]!Name[Description(2)])</f>
        <v>HUCARE PHARMACY</v>
      </c>
      <c r="D1561" s="38" t="str">
        <f>_xlfn.XLOOKUP(Customer[[#This Row],[Customer ID]],[1]!Address[ID],[1]!Address[PIC])</f>
        <v/>
      </c>
      <c r="E1561" s="38" t="str">
        <f>_xlfn.XLOOKUP(Customer[[#This Row],[Customer ID]],[1]!Address[ID],[1]!Address[Full Address])</f>
        <v>HUCARE PHARMACY189A, PEKAN JITRA 2, 06000 JITRAKEDAH DARUL AMAN</v>
      </c>
      <c r="F1561" s="12" t="s">
        <v>9976</v>
      </c>
      <c r="G1561" s="12" t="s">
        <v>9977</v>
      </c>
      <c r="H1561" s="12" t="s">
        <v>9978</v>
      </c>
      <c r="I1561" s="12" t="b">
        <f>ISNUMBER(VALUE(LEFT(Customer[[#This Row],[Address Line 3 (30 char)]],1)))</f>
        <v>0</v>
      </c>
      <c r="J1561" s="12" t="s">
        <v>79</v>
      </c>
      <c r="K1561" s="12">
        <v>60000</v>
      </c>
      <c r="L1561" s="12" t="s">
        <v>35</v>
      </c>
      <c r="M1561" s="13" t="e">
        <v>#N/A</v>
      </c>
      <c r="N1561" s="14" t="e">
        <v>#N/A</v>
      </c>
      <c r="O1561" s="14" t="e">
        <v>#N/A</v>
      </c>
      <c r="P1561" s="14" t="e">
        <v>#N/A</v>
      </c>
      <c r="Q1561" s="14" t="e">
        <v>#N/A</v>
      </c>
      <c r="R1561" s="15" t="s">
        <v>9979</v>
      </c>
      <c r="S1561" s="15" t="s">
        <v>3212</v>
      </c>
      <c r="T1561" s="16" t="s">
        <v>89</v>
      </c>
      <c r="U1561" s="11" t="str">
        <f>_xlfn.XLOOKUP(Customer[[#This Row],[Customer ID]],[1]!Address[ID],[1]!Address[Phone No.(2)])</f>
        <v/>
      </c>
      <c r="V1561" s="11" t="str">
        <f>_xlfn.XLOOKUP(Customer[[#This Row],[Customer ID]],[1]!Address[ID],[1]!Address[Type])</f>
        <v>SOCMED</v>
      </c>
      <c r="W1561" s="11" t="str">
        <f>_xlfn.XLOOKUP(Customer[[#This Row],[Customer ID]],[1]!Address[ID],[1]!Address[CT])</f>
        <v/>
      </c>
      <c r="X1561" s="11"/>
      <c r="Y1561" s="17" t="s">
        <v>90</v>
      </c>
      <c r="Z1561" s="17" t="e">
        <f>_xlfn.XLOOKUP(Customer[[#This Row],[NewType]],$AF$36:$AF$54,$AG$36:$AG$54)</f>
        <v>#N/A</v>
      </c>
      <c r="AA1561" s="17" t="s">
        <v>9980</v>
      </c>
      <c r="AB1561" s="11" t="str">
        <f>_xlfn.XLOOKUP(Customer[[#This Row],[Customer ID]],[1]!Address[ID],[1]!Address[Subtype])</f>
        <v>ONLINE HAJAR</v>
      </c>
      <c r="AC1561" s="18" t="str">
        <f>_xlfn.XLOOKUP(Customer[[#This Row],[Customer ID]],[1]!Address[ID],[1]!Address[Zone])</f>
        <v>NORTH</v>
      </c>
    </row>
    <row r="1562" spans="1:30" x14ac:dyDescent="0.3">
      <c r="A1562" s="10" t="s">
        <v>9981</v>
      </c>
      <c r="B1562" s="11" t="str">
        <f>_xlfn.XLOOKUP(Customer[[#This Row],[Customer ID]],[1]!Name[ID],[1]!Name[Description(1)])</f>
        <v>MARIANI BINTI MAJID</v>
      </c>
      <c r="C1562" s="38" t="str">
        <f>_xlfn.XLOOKUP(Customer[[#This Row],[Customer ID]],[1]!Name[ID],[1]!Name[Description(2)])</f>
        <v/>
      </c>
      <c r="D1562" s="38" t="str">
        <f>_xlfn.XLOOKUP(Customer[[#This Row],[Customer ID]],[1]!Address[ID],[1]!Address[PIC])</f>
        <v/>
      </c>
      <c r="E1562" s="38" t="str">
        <f>_xlfn.XLOOKUP(Customer[[#This Row],[Customer ID]],[1]!Address[ID],[1]!Address[Full Address])</f>
        <v>SMK RANTAUJALAN LINSUM 71200 RANTAU, NS</v>
      </c>
      <c r="F1562" s="12" t="s">
        <v>9982</v>
      </c>
      <c r="G1562" s="12" t="s">
        <v>9983</v>
      </c>
      <c r="H1562" s="12" t="s">
        <v>36</v>
      </c>
      <c r="I1562" s="12" t="b">
        <f>ISNUMBER(VALUE(LEFT(Customer[[#This Row],[Address Line 3 (30 char)]],1)))</f>
        <v>0</v>
      </c>
      <c r="J1562" s="12" t="s">
        <v>2004</v>
      </c>
      <c r="K1562" s="12">
        <v>71200</v>
      </c>
      <c r="L1562" s="12" t="s">
        <v>35</v>
      </c>
      <c r="M1562" s="13" t="e">
        <v>#N/A</v>
      </c>
      <c r="N1562" s="14" t="e">
        <v>#N/A</v>
      </c>
      <c r="O1562" s="14" t="e">
        <v>#N/A</v>
      </c>
      <c r="P1562" s="14" t="e">
        <v>#N/A</v>
      </c>
      <c r="Q1562" s="14" t="e">
        <v>#N/A</v>
      </c>
      <c r="R1562" s="15" t="s">
        <v>9984</v>
      </c>
      <c r="S1562" s="15" t="s">
        <v>89</v>
      </c>
      <c r="T1562" s="16" t="s">
        <v>89</v>
      </c>
      <c r="U1562" s="11" t="str">
        <f>_xlfn.XLOOKUP(Customer[[#This Row],[Customer ID]],[1]!Address[ID],[1]!Address[Phone No.(2)])</f>
        <v/>
      </c>
      <c r="V1562" s="11" t="str">
        <f>_xlfn.XLOOKUP(Customer[[#This Row],[Customer ID]],[1]!Address[ID],[1]!Address[Type])</f>
        <v>SOCMED</v>
      </c>
      <c r="W1562" s="11" t="str">
        <f>_xlfn.XLOOKUP(Customer[[#This Row],[Customer ID]],[1]!Address[ID],[1]!Address[CT])</f>
        <v/>
      </c>
      <c r="X1562" s="11"/>
      <c r="Y1562" s="17" t="s">
        <v>90</v>
      </c>
      <c r="Z1562" s="17" t="e">
        <f>_xlfn.XLOOKUP(Customer[[#This Row],[NewType]],$AF$36:$AF$54,$AG$36:$AG$54)</f>
        <v>#N/A</v>
      </c>
      <c r="AA1562" s="17" t="s">
        <v>9985</v>
      </c>
      <c r="AB1562" s="11" t="str">
        <f>_xlfn.XLOOKUP(Customer[[#This Row],[Customer ID]],[1]!Address[ID],[1]!Address[Subtype])</f>
        <v>WHATSAPP</v>
      </c>
      <c r="AC1562" s="18" t="str">
        <f>_xlfn.XLOOKUP(Customer[[#This Row],[Customer ID]],[1]!Address[ID],[1]!Address[Zone])</f>
        <v>AEEDH</v>
      </c>
    </row>
    <row r="1563" spans="1:30" x14ac:dyDescent="0.3">
      <c r="A1563" s="10" t="s">
        <v>9986</v>
      </c>
      <c r="B1563" s="11" t="str">
        <f>_xlfn.XLOOKUP(Customer[[#This Row],[Customer ID]],[1]!Name[ID],[1]!Name[Description(1)])</f>
        <v>EN JALLUDDIN (MB)</v>
      </c>
      <c r="C1563" s="32" t="str">
        <f>_xlfn.XLOOKUP(Customer[[#This Row],[Customer ID]],[1]!Name[ID],[1]!Name[Description(2)])</f>
        <v/>
      </c>
      <c r="D1563" s="38" t="str">
        <f>_xlfn.XLOOKUP(Customer[[#This Row],[Customer ID]],[1]!Address[ID],[1]!Address[PIC])</f>
        <v/>
      </c>
      <c r="E1563" s="38" t="str">
        <f>_xlfn.XLOOKUP(Customer[[#This Row],[Customer ID]],[1]!Address[ID],[1]!Address[Full Address])</f>
        <v>NO 2, JLN 2/1F, MUTIARA BANGI</v>
      </c>
      <c r="F1563" s="12" t="s">
        <v>9987</v>
      </c>
      <c r="G1563" s="12" t="s">
        <v>36</v>
      </c>
      <c r="H1563" s="12" t="s">
        <v>36</v>
      </c>
      <c r="I1563" s="12" t="b">
        <f>ISNUMBER(VALUE(LEFT(Customer[[#This Row],[Address Line 3 (30 char)]],1)))</f>
        <v>0</v>
      </c>
      <c r="J1563" s="32" t="s">
        <v>1907</v>
      </c>
      <c r="K1563" s="32"/>
      <c r="L1563" s="12" t="s">
        <v>35</v>
      </c>
      <c r="M1563" s="13" t="e">
        <v>#N/A</v>
      </c>
      <c r="N1563" s="14" t="e">
        <v>#N/A</v>
      </c>
      <c r="O1563" s="14" t="e">
        <v>#N/A</v>
      </c>
      <c r="P1563" s="14" t="e">
        <v>#N/A</v>
      </c>
      <c r="Q1563" s="14" t="e">
        <v>#N/A</v>
      </c>
      <c r="R1563" s="15" t="s">
        <v>9988</v>
      </c>
      <c r="S1563" s="15" t="s">
        <v>4271</v>
      </c>
      <c r="T1563" s="16" t="s">
        <v>89</v>
      </c>
      <c r="U1563" s="11" t="str">
        <f>_xlfn.XLOOKUP(Customer[[#This Row],[Customer ID]],[1]!Address[ID],[1]!Address[Phone No.(2)])</f>
        <v/>
      </c>
      <c r="V1563" s="11" t="str">
        <f>_xlfn.XLOOKUP(Customer[[#This Row],[Customer ID]],[1]!Address[ID],[1]!Address[Type])</f>
        <v>SOCMED</v>
      </c>
      <c r="W1563" s="11" t="str">
        <f>_xlfn.XLOOKUP(Customer[[#This Row],[Customer ID]],[1]!Address[ID],[1]!Address[CT])</f>
        <v/>
      </c>
      <c r="X1563" s="11"/>
      <c r="Y1563" s="17" t="s">
        <v>90</v>
      </c>
      <c r="Z1563" s="17" t="e">
        <f>_xlfn.XLOOKUP(Customer[[#This Row],[NewType]],$AF$36:$AF$54,$AG$36:$AG$54)</f>
        <v>#N/A</v>
      </c>
      <c r="AA1563" s="17" t="s">
        <v>9989</v>
      </c>
      <c r="AB1563" s="11" t="str">
        <f>_xlfn.XLOOKUP(Customer[[#This Row],[Customer ID]],[1]!Address[ID],[1]!Address[Subtype])</f>
        <v>WHATSAPP</v>
      </c>
      <c r="AC1563" s="18" t="str">
        <f>_xlfn.XLOOKUP(Customer[[#This Row],[Customer ID]],[1]!Address[ID],[1]!Address[Zone])</f>
        <v>CENTRAL</v>
      </c>
    </row>
    <row r="1564" spans="1:30" x14ac:dyDescent="0.3">
      <c r="A1564" s="10" t="s">
        <v>9990</v>
      </c>
      <c r="B1564" s="11" t="str">
        <f>_xlfn.XLOOKUP(Customer[[#This Row],[Customer ID]],[1]!Name[ID],[1]!Name[Description(1)])</f>
        <v>ZAKI SAKDILAH</v>
      </c>
      <c r="C1564" s="32" t="str">
        <f>_xlfn.XLOOKUP(Customer[[#This Row],[Customer ID]],[1]!Name[ID],[1]!Name[Description(2)])</f>
        <v/>
      </c>
      <c r="D1564" s="38" t="str">
        <f>_xlfn.XLOOKUP(Customer[[#This Row],[Customer ID]],[1]!Address[ID],[1]!Address[PIC])</f>
        <v/>
      </c>
      <c r="E1564" s="38" t="str">
        <f>_xlfn.XLOOKUP(Customer[[#This Row],[Customer ID]],[1]!Address[ID],[1]!Address[Full Address])</f>
        <v>NO 36, JALAN PRIMA SAUJANA 5/3,SAUJANA VILLA, KAJANG</v>
      </c>
      <c r="F1564" s="12" t="s">
        <v>9991</v>
      </c>
      <c r="G1564" s="12" t="s">
        <v>9992</v>
      </c>
      <c r="H1564" s="12" t="s">
        <v>9993</v>
      </c>
      <c r="I1564" s="12" t="b">
        <f>ISNUMBER(VALUE(LEFT(Customer[[#This Row],[Address Line 3 (30 char)]],1)))</f>
        <v>0</v>
      </c>
      <c r="J1564" s="32" t="s">
        <v>172</v>
      </c>
      <c r="K1564" s="32">
        <v>43000</v>
      </c>
      <c r="L1564" s="12" t="s">
        <v>35</v>
      </c>
      <c r="M1564" s="13" t="e">
        <v>#N/A</v>
      </c>
      <c r="N1564" s="14" t="e">
        <v>#N/A</v>
      </c>
      <c r="O1564" s="14" t="e">
        <v>#N/A</v>
      </c>
      <c r="P1564" s="14" t="e">
        <v>#N/A</v>
      </c>
      <c r="Q1564" s="14" t="e">
        <v>#N/A</v>
      </c>
      <c r="R1564" s="15" t="s">
        <v>9994</v>
      </c>
      <c r="S1564" s="15" t="s">
        <v>4271</v>
      </c>
      <c r="T1564" s="16" t="s">
        <v>89</v>
      </c>
      <c r="U1564" s="11" t="str">
        <f>_xlfn.XLOOKUP(Customer[[#This Row],[Customer ID]],[1]!Address[ID],[1]!Address[Phone No.(2)])</f>
        <v/>
      </c>
      <c r="V1564" s="11" t="str">
        <f>_xlfn.XLOOKUP(Customer[[#This Row],[Customer ID]],[1]!Address[ID],[1]!Address[Type])</f>
        <v>SOCMED</v>
      </c>
      <c r="W1564" s="11" t="str">
        <f>_xlfn.XLOOKUP(Customer[[#This Row],[Customer ID]],[1]!Address[ID],[1]!Address[CT])</f>
        <v/>
      </c>
      <c r="X1564" s="11"/>
      <c r="Y1564" s="17" t="s">
        <v>90</v>
      </c>
      <c r="Z1564" s="17" t="e">
        <f>_xlfn.XLOOKUP(Customer[[#This Row],[NewType]],$AF$36:$AF$54,$AG$36:$AG$54)</f>
        <v>#N/A</v>
      </c>
      <c r="AA1564" s="17" t="s">
        <v>9995</v>
      </c>
      <c r="AB1564" s="11" t="str">
        <f>_xlfn.XLOOKUP(Customer[[#This Row],[Customer ID]],[1]!Address[ID],[1]!Address[Subtype])</f>
        <v>WHATSAPP</v>
      </c>
      <c r="AC1564" s="18" t="str">
        <f>_xlfn.XLOOKUP(Customer[[#This Row],[Customer ID]],[1]!Address[ID],[1]!Address[Zone])</f>
        <v>CENTRAL</v>
      </c>
    </row>
    <row r="1565" spans="1:30" x14ac:dyDescent="0.3">
      <c r="A1565" s="39" t="s">
        <v>9996</v>
      </c>
      <c r="B1565" s="40" t="str">
        <f>_xlfn.XLOOKUP(Customer[[#This Row],[Customer ID]],[1]!Name[ID],[1]!Name[Description(1)])</f>
        <v>MESA ON 51 SDN BHD</v>
      </c>
      <c r="C1565" s="38" t="str">
        <f>_xlfn.XLOOKUP(Customer[[#This Row],[Customer ID]],[1]!Name[ID],[1]!Name[Description(2)])</f>
        <v/>
      </c>
      <c r="D1565" s="38" t="str">
        <f>_xlfn.XLOOKUP(Customer[[#This Row],[Customer ID]],[1]!Address[ID],[1]!Address[PIC])</f>
        <v/>
      </c>
      <c r="E1565" s="38" t="str">
        <f>_xlfn.XLOOKUP(Customer[[#This Row],[Customer ID]],[1]!Address[ID],[1]!Address[Full Address])</f>
        <v>P1 MENARA 3 KLCC LOADING BAY(MARINI'S GROUP STORE)</v>
      </c>
      <c r="F1565" s="12" t="s">
        <v>9997</v>
      </c>
      <c r="G1565" s="12" t="s">
        <v>9998</v>
      </c>
      <c r="H1565" s="12" t="s">
        <v>36</v>
      </c>
      <c r="I1565" s="12" t="b">
        <f>ISNUMBER(VALUE(LEFT(Customer[[#This Row],[Address Line 3 (30 char)]],1)))</f>
        <v>0</v>
      </c>
      <c r="J1565" s="12" t="s">
        <v>34</v>
      </c>
      <c r="K1565" s="12">
        <v>50088</v>
      </c>
      <c r="L1565" s="12" t="s">
        <v>35</v>
      </c>
      <c r="M1565" s="13" t="e">
        <v>#N/A</v>
      </c>
      <c r="N1565" s="14" t="e">
        <v>#N/A</v>
      </c>
      <c r="O1565" s="14" t="e">
        <v>#N/A</v>
      </c>
      <c r="P1565" s="14" t="e">
        <v>#N/A</v>
      </c>
      <c r="Q1565" s="19" t="s">
        <v>9999</v>
      </c>
      <c r="R1565" s="15" t="s">
        <v>10000</v>
      </c>
      <c r="S1565" s="15" t="s">
        <v>3476</v>
      </c>
      <c r="T1565" s="16" t="s">
        <v>3477</v>
      </c>
      <c r="U1565" s="11" t="str">
        <f>_xlfn.XLOOKUP(Customer[[#This Row],[Customer ID]],[1]!Address[ID],[1]!Address[Phone No.(2)])</f>
        <v/>
      </c>
      <c r="V1565" s="11" t="str">
        <f>_xlfn.XLOOKUP(Customer[[#This Row],[Customer ID]],[1]!Address[ID],[1]!Address[Type])</f>
        <v>CM</v>
      </c>
      <c r="W1565" s="11" t="str">
        <f>_xlfn.XLOOKUP(Customer[[#This Row],[Customer ID]],[1]!Address[ID],[1]!Address[CT])</f>
        <v>30 DAYS</v>
      </c>
      <c r="X1565" s="11"/>
      <c r="Y1565" s="17" t="s">
        <v>5918</v>
      </c>
      <c r="Z1565" s="17" t="e">
        <f>_xlfn.XLOOKUP(Customer[[#This Row],[NewType]],$AF$36:$AF$54,$AG$36:$AG$54)</f>
        <v>#N/A</v>
      </c>
      <c r="AA1565" s="17" t="s">
        <v>10001</v>
      </c>
      <c r="AB1565" s="11" t="str">
        <f>_xlfn.XLOOKUP(Customer[[#This Row],[Customer ID]],[1]!Address[ID],[1]!Address[Subtype])</f>
        <v>MESA ON 52</v>
      </c>
      <c r="AC1565" s="18" t="str">
        <f>_xlfn.XLOOKUP(Customer[[#This Row],[Customer ID]],[1]!Address[ID],[1]!Address[Zone])</f>
        <v>CENTRAL</v>
      </c>
    </row>
    <row r="1566" spans="1:30" x14ac:dyDescent="0.3">
      <c r="A1566" s="56" t="s">
        <v>10002</v>
      </c>
      <c r="B1566" s="50" t="str">
        <f>_xlfn.XLOOKUP(Customer[[#This Row],[Customer ID]],[1]!Name[ID],[1]!Name[Description(1)])</f>
        <v>PERNIAGAAN WARISAN AZ</v>
      </c>
      <c r="C1566" s="38" t="str">
        <f>_xlfn.XLOOKUP(Customer[[#This Row],[Customer ID]],[1]!Name[ID],[1]!Name[Description(2)])</f>
        <v/>
      </c>
      <c r="D1566" s="38" t="str">
        <f>_xlfn.XLOOKUP(Customer[[#This Row],[Customer ID]],[1]!Address[ID],[1]!Address[PIC])</f>
        <v/>
      </c>
      <c r="E1566" s="38" t="str">
        <f>_xlfn.XLOOKUP(Customer[[#This Row],[Customer ID]],[1]!Address[ID],[1]!Address[Full Address])</f>
        <v>PETRONAS PERNIAGAAN WARISAN AZ,LOT 697 MUKIM 15, KAMPUNG KIJANG,JALAN ROZHAN, ALMA 14000 BUKITMERTAJAM, PULAU PINANG.</v>
      </c>
      <c r="F1566" s="12" t="s">
        <v>10003</v>
      </c>
      <c r="G1566" s="12" t="s">
        <v>10004</v>
      </c>
      <c r="H1566" s="12" t="s">
        <v>5591</v>
      </c>
      <c r="I1566" s="12" t="b">
        <f>ISNUMBER(VALUE(LEFT(Customer[[#This Row],[Address Line 3 (30 char)]],1)))</f>
        <v>0</v>
      </c>
      <c r="J1566" s="12" t="s">
        <v>179</v>
      </c>
      <c r="K1566" s="12">
        <v>14000</v>
      </c>
      <c r="L1566" s="12" t="s">
        <v>35</v>
      </c>
      <c r="M1566" s="13" t="e">
        <v>#N/A</v>
      </c>
      <c r="N1566" s="14" t="e">
        <v>#N/A</v>
      </c>
      <c r="O1566" s="14" t="e">
        <v>#N/A</v>
      </c>
      <c r="P1566" s="14" t="e">
        <v>#N/A</v>
      </c>
      <c r="Q1566" s="14" t="e">
        <v>#N/A</v>
      </c>
      <c r="R1566" s="15" t="s">
        <v>10005</v>
      </c>
      <c r="S1566" s="15" t="s">
        <v>3212</v>
      </c>
      <c r="T1566" s="16" t="s">
        <v>89</v>
      </c>
      <c r="U1566" s="11" t="str">
        <f>_xlfn.XLOOKUP(Customer[[#This Row],[Customer ID]],[1]!Address[ID],[1]!Address[Phone No.(2)])</f>
        <v/>
      </c>
      <c r="V1566" s="11" t="str">
        <f>_xlfn.XLOOKUP(Customer[[#This Row],[Customer ID]],[1]!Address[ID],[1]!Address[Type])</f>
        <v>SOCMED</v>
      </c>
      <c r="W1566" s="11" t="str">
        <f>_xlfn.XLOOKUP(Customer[[#This Row],[Customer ID]],[1]!Address[ID],[1]!Address[CT])</f>
        <v/>
      </c>
      <c r="X1566" s="11"/>
      <c r="Y1566" s="17" t="s">
        <v>90</v>
      </c>
      <c r="Z1566" s="17" t="e">
        <f>_xlfn.XLOOKUP(Customer[[#This Row],[NewType]],$AF$36:$AF$54,$AG$36:$AG$54)</f>
        <v>#N/A</v>
      </c>
      <c r="AA1566" s="17" t="s">
        <v>10006</v>
      </c>
      <c r="AB1566" s="11" t="str">
        <f>_xlfn.XLOOKUP(Customer[[#This Row],[Customer ID]],[1]!Address[ID],[1]!Address[Subtype])</f>
        <v>ONLINE HAJAR</v>
      </c>
      <c r="AC1566" s="18" t="str">
        <f>_xlfn.XLOOKUP(Customer[[#This Row],[Customer ID]],[1]!Address[ID],[1]!Address[Zone])</f>
        <v>NORTH</v>
      </c>
    </row>
    <row r="1567" spans="1:30" x14ac:dyDescent="0.3">
      <c r="A1567" s="43" t="s">
        <v>10007</v>
      </c>
      <c r="B1567" s="44" t="str">
        <f>_xlfn.XLOOKUP(Customer[[#This Row],[Customer ID]],[1]!Name[ID],[1]!Name[Description(1)])</f>
        <v>NFS AMG TRADING</v>
      </c>
      <c r="C1567" s="38" t="str">
        <f>_xlfn.XLOOKUP(Customer[[#This Row],[Customer ID]],[1]!Name[ID],[1]!Name[Description(2)])</f>
        <v/>
      </c>
      <c r="D1567" s="38" t="str">
        <f>_xlfn.XLOOKUP(Customer[[#This Row],[Customer ID]],[1]!Address[ID],[1]!Address[PIC])</f>
        <v/>
      </c>
      <c r="E1567" s="38" t="str">
        <f>_xlfn.XLOOKUP(Customer[[#This Row],[Customer ID]],[1]!Address[ID],[1]!Address[Full Address])</f>
        <v>NO 39, BATU 1/2,DEPAN KILANG JALAN PAUH,02600 ARAU PERLIS</v>
      </c>
      <c r="F1567" s="12" t="s">
        <v>10008</v>
      </c>
      <c r="G1567" s="12" t="s">
        <v>10009</v>
      </c>
      <c r="H1567" s="24" t="s">
        <v>9928</v>
      </c>
      <c r="I1567" s="24" t="b">
        <f>ISNUMBER(VALUE(LEFT(Customer[[#This Row],[Address Line 3 (30 char)]],1)))</f>
        <v>0</v>
      </c>
      <c r="J1567" s="12" t="s">
        <v>984</v>
      </c>
      <c r="K1567" s="30" t="s">
        <v>2472</v>
      </c>
      <c r="L1567" s="12" t="s">
        <v>35</v>
      </c>
      <c r="M1567" s="13" t="e">
        <v>#N/A</v>
      </c>
      <c r="N1567" s="14" t="e">
        <v>#N/A</v>
      </c>
      <c r="O1567" s="14" t="e">
        <v>#N/A</v>
      </c>
      <c r="P1567" s="14" t="e">
        <v>#N/A</v>
      </c>
      <c r="Q1567" s="19" t="s">
        <v>10010</v>
      </c>
      <c r="R1567" s="15" t="s">
        <v>10011</v>
      </c>
      <c r="S1567" s="15" t="s">
        <v>5934</v>
      </c>
      <c r="T1567" s="16" t="s">
        <v>3477</v>
      </c>
      <c r="U1567" s="11" t="str">
        <f>_xlfn.XLOOKUP(Customer[[#This Row],[Customer ID]],[1]!Address[ID],[1]!Address[Phone No.(2)])</f>
        <v/>
      </c>
      <c r="V1567" s="11" t="str">
        <f>_xlfn.XLOOKUP(Customer[[#This Row],[Customer ID]],[1]!Address[ID],[1]!Address[Type])</f>
        <v>CM</v>
      </c>
      <c r="W1567" s="11" t="str">
        <f>_xlfn.XLOOKUP(Customer[[#This Row],[Customer ID]],[1]!Address[ID],[1]!Address[CT])</f>
        <v>30 DAYS</v>
      </c>
      <c r="X1567" s="11"/>
      <c r="Y1567" s="17" t="s">
        <v>5918</v>
      </c>
      <c r="Z1567" s="17" t="e">
        <f>_xlfn.XLOOKUP(Customer[[#This Row],[NewType]],$AF$36:$AF$54,$AG$36:$AG$54)</f>
        <v>#N/A</v>
      </c>
      <c r="AA1567" s="17" t="s">
        <v>10012</v>
      </c>
      <c r="AB1567" s="11" t="str">
        <f>_xlfn.XLOOKUP(Customer[[#This Row],[Customer ID]],[1]!Address[ID],[1]!Address[Subtype])</f>
        <v>NFS AMG</v>
      </c>
      <c r="AC1567" s="18" t="str">
        <f>_xlfn.XLOOKUP(Customer[[#This Row],[Customer ID]],[1]!Address[ID],[1]!Address[Zone])</f>
        <v>NORTH</v>
      </c>
    </row>
    <row r="1568" spans="1:30" x14ac:dyDescent="0.3">
      <c r="A1568" s="56" t="s">
        <v>10013</v>
      </c>
      <c r="B1568" s="50" t="str">
        <f>_xlfn.XLOOKUP(Customer[[#This Row],[Customer ID]],[1]!Name[ID],[1]!Name[Description(1)])</f>
        <v>SALAM ENSTEK ENTERPRISE</v>
      </c>
      <c r="C1568" s="38" t="str">
        <f>_xlfn.XLOOKUP(Customer[[#This Row],[Customer ID]],[1]!Name[ID],[1]!Name[Description(2)])</f>
        <v/>
      </c>
      <c r="D1568" s="38" t="str">
        <f>_xlfn.XLOOKUP(Customer[[#This Row],[Customer ID]],[1]!Address[ID],[1]!Address[PIC])</f>
        <v/>
      </c>
      <c r="E1568" s="38" t="str">
        <f>_xlfn.XLOOKUP(Customer[[#This Row],[Customer ID]],[1]!Address[ID],[1]!Address[Full Address])</f>
        <v>LOT 5&amp;6, VILLAGE @ ENSTEK,BANDAR ENSTEK, 71760 NILAI,NEGERI SEMBILAN</v>
      </c>
      <c r="F1568" s="12" t="s">
        <v>10014</v>
      </c>
      <c r="G1568" s="12" t="s">
        <v>10015</v>
      </c>
      <c r="H1568" s="12"/>
      <c r="I1568" s="12" t="b">
        <f>ISNUMBER(VALUE(LEFT(Customer[[#This Row],[Address Line 3 (30 char)]],1)))</f>
        <v>0</v>
      </c>
      <c r="J1568" s="12" t="s">
        <v>2004</v>
      </c>
      <c r="K1568" s="12">
        <v>71760</v>
      </c>
      <c r="L1568" s="12" t="s">
        <v>35</v>
      </c>
      <c r="M1568" s="13" t="e">
        <v>#N/A</v>
      </c>
      <c r="N1568" s="14" t="e">
        <v>#N/A</v>
      </c>
      <c r="O1568" s="14" t="e">
        <v>#N/A</v>
      </c>
      <c r="P1568" s="14" t="e">
        <v>#N/A</v>
      </c>
      <c r="Q1568" s="14" t="e">
        <v>#N/A</v>
      </c>
      <c r="R1568" s="15" t="s">
        <v>10016</v>
      </c>
      <c r="S1568" s="15" t="s">
        <v>3212</v>
      </c>
      <c r="T1568" s="16" t="s">
        <v>89</v>
      </c>
      <c r="U1568" s="11" t="str">
        <f>_xlfn.XLOOKUP(Customer[[#This Row],[Customer ID]],[1]!Address[ID],[1]!Address[Phone No.(2)])</f>
        <v/>
      </c>
      <c r="V1568" s="11" t="str">
        <f>_xlfn.XLOOKUP(Customer[[#This Row],[Customer ID]],[1]!Address[ID],[1]!Address[Type])</f>
        <v>SOCMED</v>
      </c>
      <c r="W1568" s="11" t="str">
        <f>_xlfn.XLOOKUP(Customer[[#This Row],[Customer ID]],[1]!Address[ID],[1]!Address[CT])</f>
        <v/>
      </c>
      <c r="X1568" s="11"/>
      <c r="Y1568" s="17" t="s">
        <v>90</v>
      </c>
      <c r="Z1568" s="17" t="e">
        <f>_xlfn.XLOOKUP(Customer[[#This Row],[NewType]],$AF$36:$AF$54,$AG$36:$AG$54)</f>
        <v>#N/A</v>
      </c>
      <c r="AA1568" s="17" t="s">
        <v>10017</v>
      </c>
      <c r="AB1568" s="11" t="str">
        <f>_xlfn.XLOOKUP(Customer[[#This Row],[Customer ID]],[1]!Address[ID],[1]!Address[Subtype])</f>
        <v>ONLINE HAJAR</v>
      </c>
      <c r="AC1568" s="18" t="str">
        <f>_xlfn.XLOOKUP(Customer[[#This Row],[Customer ID]],[1]!Address[ID],[1]!Address[Zone])</f>
        <v>CENTRAL</v>
      </c>
    </row>
    <row r="1569" spans="1:30" x14ac:dyDescent="0.3">
      <c r="A1569" s="10" t="s">
        <v>10018</v>
      </c>
      <c r="B1569" s="11" t="str">
        <f>_xlfn.XLOOKUP(Customer[[#This Row],[Customer ID]],[1]!Name[ID],[1]!Name[Description(1)])</f>
        <v>RADZALI MOKHSIN (MB)</v>
      </c>
      <c r="C1569" s="38" t="str">
        <f>_xlfn.XLOOKUP(Customer[[#This Row],[Customer ID]],[1]!Name[ID],[1]!Name[Description(2)])</f>
        <v/>
      </c>
      <c r="D1569" s="38" t="str">
        <f>_xlfn.XLOOKUP(Customer[[#This Row],[Customer ID]],[1]!Address[ID],[1]!Address[PIC])</f>
        <v>HJ RADZALI</v>
      </c>
      <c r="E1569" s="38" t="str">
        <f>_xlfn.XLOOKUP(Customer[[#This Row],[Customer ID]],[1]!Address[ID],[1]!Address[Full Address])</f>
        <v>2 JLN 1/3P MUTIARA BANGI 43650BANDAR BARU BANGI KAJANG, SELANGOR</v>
      </c>
      <c r="F1569" s="12" t="s">
        <v>10019</v>
      </c>
      <c r="G1569" s="12" t="s">
        <v>5964</v>
      </c>
      <c r="H1569" s="109" t="s">
        <v>6089</v>
      </c>
      <c r="I1569" s="109" t="b">
        <f>ISNUMBER(VALUE(LEFT(Customer[[#This Row],[Address Line 3 (30 char)]],1)))</f>
        <v>0</v>
      </c>
      <c r="J1569" s="12" t="s">
        <v>172</v>
      </c>
      <c r="K1569" s="12">
        <v>43650</v>
      </c>
      <c r="L1569" s="12" t="s">
        <v>35</v>
      </c>
      <c r="M1569" s="13" t="e">
        <v>#N/A</v>
      </c>
      <c r="N1569" s="14" t="e">
        <v>#N/A</v>
      </c>
      <c r="O1569" s="14" t="e">
        <v>#N/A</v>
      </c>
      <c r="P1569" s="14" t="e">
        <v>#N/A</v>
      </c>
      <c r="Q1569" s="14" t="e">
        <v>#N/A</v>
      </c>
      <c r="R1569" s="15" t="s">
        <v>10020</v>
      </c>
      <c r="S1569" s="15" t="s">
        <v>4271</v>
      </c>
      <c r="T1569" s="16" t="s">
        <v>89</v>
      </c>
      <c r="U1569" s="11" t="str">
        <f>_xlfn.XLOOKUP(Customer[[#This Row],[Customer ID]],[1]!Address[ID],[1]!Address[Phone No.(2)])</f>
        <v/>
      </c>
      <c r="V1569" s="11" t="str">
        <f>_xlfn.XLOOKUP(Customer[[#This Row],[Customer ID]],[1]!Address[ID],[1]!Address[Type])</f>
        <v>SOCMED</v>
      </c>
      <c r="W1569" s="11" t="str">
        <f>_xlfn.XLOOKUP(Customer[[#This Row],[Customer ID]],[1]!Address[ID],[1]!Address[CT])</f>
        <v>30 DAYS</v>
      </c>
      <c r="X1569" s="11"/>
      <c r="Y1569" s="17" t="s">
        <v>90</v>
      </c>
      <c r="Z1569" s="17" t="e">
        <f>_xlfn.XLOOKUP(Customer[[#This Row],[NewType]],$AF$36:$AF$54,$AG$36:$AG$54)</f>
        <v>#N/A</v>
      </c>
      <c r="AA1569" s="17" t="s">
        <v>10021</v>
      </c>
      <c r="AB1569" s="11" t="str">
        <f>_xlfn.XLOOKUP(Customer[[#This Row],[Customer ID]],[1]!Address[ID],[1]!Address[Subtype])</f>
        <v>WHATSAPP</v>
      </c>
      <c r="AC1569" s="18" t="str">
        <f>_xlfn.XLOOKUP(Customer[[#This Row],[Customer ID]],[1]!Address[ID],[1]!Address[Zone])</f>
        <v>AEEDH</v>
      </c>
    </row>
    <row r="1570" spans="1:30" x14ac:dyDescent="0.3">
      <c r="A1570" s="37" t="s">
        <v>10022</v>
      </c>
      <c r="B1570" s="38" t="str">
        <f>_xlfn.XLOOKUP(Customer[[#This Row],[Customer ID]],[1]!Name[ID],[1]!Name[Description(1)])</f>
        <v>KONSORTIUM YAKIN SDN BHD</v>
      </c>
      <c r="C1570" s="38" t="str">
        <f>_xlfn.XLOOKUP(Customer[[#This Row],[Customer ID]],[1]!Name[ID],[1]!Name[Description(2)])</f>
        <v>YAKIN MART</v>
      </c>
      <c r="D1570" s="38" t="str">
        <f>_xlfn.XLOOKUP(Customer[[#This Row],[Customer ID]],[1]!Address[ID],[1]!Address[PIC])</f>
        <v/>
      </c>
      <c r="E1570" s="38" t="str">
        <f>_xlfn.XLOOKUP(Customer[[#This Row],[Customer ID]],[1]!Address[ID],[1]!Address[Full Address])</f>
        <v>NO.58-G &amp; NO.58-1, JALAN 7/7BSEKSYEN 7,43650 BANDAR BARU BANGISELANGOR</v>
      </c>
      <c r="F1570" s="12" t="s">
        <v>10023</v>
      </c>
      <c r="G1570" s="12" t="s">
        <v>10024</v>
      </c>
      <c r="H1570" s="12" t="s">
        <v>5964</v>
      </c>
      <c r="I1570" s="12" t="b">
        <f>ISNUMBER(VALUE(LEFT(Customer[[#This Row],[Address Line 3 (30 char)]],1)))</f>
        <v>0</v>
      </c>
      <c r="J1570" s="12" t="s">
        <v>172</v>
      </c>
      <c r="K1570" s="12">
        <v>43650</v>
      </c>
      <c r="L1570" s="12" t="s">
        <v>35</v>
      </c>
      <c r="M1570" s="13" t="e">
        <v>#N/A</v>
      </c>
      <c r="N1570" s="14" t="e">
        <v>#N/A</v>
      </c>
      <c r="O1570" s="14" t="e">
        <v>#N/A</v>
      </c>
      <c r="P1570" s="14" t="e">
        <v>#N/A</v>
      </c>
      <c r="Q1570" s="14" t="e">
        <v>#N/A</v>
      </c>
      <c r="R1570" s="15" t="s">
        <v>10025</v>
      </c>
      <c r="S1570" s="15" t="s">
        <v>5934</v>
      </c>
      <c r="T1570" s="16" t="s">
        <v>3477</v>
      </c>
      <c r="U1570" s="11" t="str">
        <f>_xlfn.XLOOKUP(Customer[[#This Row],[Customer ID]],[1]!Address[ID],[1]!Address[Phone No.(2)])</f>
        <v/>
      </c>
      <c r="V1570" s="11" t="str">
        <f>_xlfn.XLOOKUP(Customer[[#This Row],[Customer ID]],[1]!Address[ID],[1]!Address[Type])</f>
        <v>CM</v>
      </c>
      <c r="W1570" s="11" t="str">
        <f>_xlfn.XLOOKUP(Customer[[#This Row],[Customer ID]],[1]!Address[ID],[1]!Address[CT])</f>
        <v>30 DAYS</v>
      </c>
      <c r="X1570" s="11"/>
      <c r="Y1570" s="17" t="s">
        <v>5918</v>
      </c>
      <c r="Z1570" s="17" t="e">
        <f>_xlfn.XLOOKUP(Customer[[#This Row],[NewType]],$AF$36:$AF$54,$AG$36:$AG$54)</f>
        <v>#N/A</v>
      </c>
      <c r="AA1570" s="17" t="s">
        <v>10026</v>
      </c>
      <c r="AB1570" s="11" t="str">
        <f>_xlfn.XLOOKUP(Customer[[#This Row],[Customer ID]],[1]!Address[ID],[1]!Address[Subtype])</f>
        <v>YAKIN</v>
      </c>
      <c r="AC1570" s="18" t="str">
        <f>_xlfn.XLOOKUP(Customer[[#This Row],[Customer ID]],[1]!Address[ID],[1]!Address[Zone])</f>
        <v>CENTRAL</v>
      </c>
    </row>
    <row r="1571" spans="1:30" x14ac:dyDescent="0.3">
      <c r="A1571" s="43" t="s">
        <v>10027</v>
      </c>
      <c r="B1571" s="44" t="str">
        <f>_xlfn.XLOOKUP(Customer[[#This Row],[Customer ID]],[1]!Name[ID],[1]!Name[Description(1)])</f>
        <v>MK MART&amp;SERVICES ENTERPRISE</v>
      </c>
      <c r="C1571" s="38" t="str">
        <f>_xlfn.XLOOKUP(Customer[[#This Row],[Customer ID]],[1]!Name[ID],[1]!Name[Description(2)])</f>
        <v>CALTEX TAMAN TEJA</v>
      </c>
      <c r="D1571" s="38" t="str">
        <f>_xlfn.XLOOKUP(Customer[[#This Row],[Customer ID]],[1]!Address[ID],[1]!Address[PIC])</f>
        <v/>
      </c>
      <c r="E1571" s="38" t="str">
        <f>_xlfn.XLOOKUP(Customer[[#This Row],[Customer ID]],[1]!Address[ID],[1]!Address[Full Address])</f>
        <v>CALTEX TAMAN TEJALOT 3911, LEBUHRAYA UTARA/ SELATAN,TAMAN TEJA, 06010 CHANGLOON, KEDAH</v>
      </c>
      <c r="F1571" s="12" t="s">
        <v>10028</v>
      </c>
      <c r="G1571" s="12" t="s">
        <v>10029</v>
      </c>
      <c r="H1571" s="12" t="s">
        <v>10030</v>
      </c>
      <c r="I1571" s="12" t="b">
        <f>ISNUMBER(VALUE(LEFT(Customer[[#This Row],[Address Line 3 (30 char)]],1)))</f>
        <v>0</v>
      </c>
      <c r="J1571" s="12" t="s">
        <v>79</v>
      </c>
      <c r="K1571" s="30" t="s">
        <v>1300</v>
      </c>
      <c r="L1571" s="12" t="s">
        <v>35</v>
      </c>
      <c r="M1571" s="13" t="e">
        <v>#N/A</v>
      </c>
      <c r="N1571" s="14" t="e">
        <v>#N/A</v>
      </c>
      <c r="O1571" s="14" t="e">
        <v>#N/A</v>
      </c>
      <c r="P1571" s="14" t="e">
        <v>#N/A</v>
      </c>
      <c r="Q1571" s="19" t="s">
        <v>10031</v>
      </c>
      <c r="R1571" s="15" t="s">
        <v>10032</v>
      </c>
      <c r="S1571" s="15" t="s">
        <v>37</v>
      </c>
      <c r="T1571" s="16" t="s">
        <v>38</v>
      </c>
      <c r="U1571" s="11" t="str">
        <f>_xlfn.XLOOKUP(Customer[[#This Row],[Customer ID]],[1]!Address[ID],[1]!Address[Phone No.(2)])</f>
        <v/>
      </c>
      <c r="V1571" s="11" t="str">
        <f>_xlfn.XLOOKUP(Customer[[#This Row],[Customer ID]],[1]!Address[ID],[1]!Address[Type])</f>
        <v>PETROMART</v>
      </c>
      <c r="W1571" s="11" t="str">
        <f>_xlfn.XLOOKUP(Customer[[#This Row],[Customer ID]],[1]!Address[ID],[1]!Address[CT])</f>
        <v>30</v>
      </c>
      <c r="X1571" s="11" t="s">
        <v>39</v>
      </c>
      <c r="Y1571" s="17" t="s">
        <v>40</v>
      </c>
      <c r="Z1571" s="17" t="e">
        <f>_xlfn.XLOOKUP(Customer[[#This Row],[NewType]],$AF$36:$AF$54,$AG$36:$AG$54)</f>
        <v>#N/A</v>
      </c>
      <c r="AA1571" s="17" t="s">
        <v>10033</v>
      </c>
      <c r="AB1571" s="11" t="str">
        <f>_xlfn.XLOOKUP(Customer[[#This Row],[Customer ID]],[1]!Address[ID],[1]!Address[Subtype])</f>
        <v>XPRESS POINT</v>
      </c>
      <c r="AC1571" s="18" t="str">
        <f>_xlfn.XLOOKUP(Customer[[#This Row],[Customer ID]],[1]!Address[ID],[1]!Address[Zone])</f>
        <v>NORTH</v>
      </c>
    </row>
    <row r="1572" spans="1:30" x14ac:dyDescent="0.3">
      <c r="A1572" s="27" t="s">
        <v>10034</v>
      </c>
      <c r="B1572" s="11" t="str">
        <f>_xlfn.XLOOKUP(Customer[[#This Row],[Customer ID]],[1]!Name[ID],[1]!Name[Description(1)])</f>
        <v>NUR SAKINAH - AGROBANK</v>
      </c>
      <c r="C1572" s="44" t="str">
        <f>_xlfn.XLOOKUP(Customer[[#This Row],[Customer ID]],[1]!Name[ID],[1]!Name[Description(2)])</f>
        <v/>
      </c>
      <c r="D1572" s="44" t="str">
        <f>_xlfn.XLOOKUP(Customer[[#This Row],[Customer ID]],[1]!Address[ID],[1]!Address[PIC])</f>
        <v/>
      </c>
      <c r="E1572" s="38" t="str">
        <f>_xlfn.XLOOKUP(Customer[[#This Row],[Customer ID]],[1]!Address[ID],[1]!Address[Full Address])</f>
        <v>LOT 7, PERSIARANG INSTITUSI,KAWASAN INSTITUSI BANGI,43000 KAJANG,SELANGOR</v>
      </c>
      <c r="F1572" s="29" t="s">
        <v>10035</v>
      </c>
      <c r="G1572" s="29" t="s">
        <v>10036</v>
      </c>
      <c r="H1572" s="79" t="s">
        <v>6089</v>
      </c>
      <c r="I1572" s="79" t="b">
        <f>ISNUMBER(VALUE(LEFT(Customer[[#This Row],[Address Line 3 (30 char)]],1)))</f>
        <v>0</v>
      </c>
      <c r="J1572" s="29" t="s">
        <v>172</v>
      </c>
      <c r="K1572" s="29">
        <v>43000</v>
      </c>
      <c r="L1572" s="29" t="s">
        <v>35</v>
      </c>
      <c r="M1572" s="31" t="e">
        <v>#N/A</v>
      </c>
      <c r="N1572" s="36" t="e">
        <v>#N/A</v>
      </c>
      <c r="O1572" s="36" t="e">
        <v>#N/A</v>
      </c>
      <c r="P1572" s="36" t="e">
        <v>#N/A</v>
      </c>
      <c r="Q1572" s="36" t="e">
        <v>#N/A</v>
      </c>
      <c r="R1572" s="80" t="s">
        <v>10037</v>
      </c>
      <c r="S1572" s="15" t="s">
        <v>6418</v>
      </c>
      <c r="T1572" s="16" t="s">
        <v>7974</v>
      </c>
      <c r="U1572" s="28" t="str">
        <f>_xlfn.XLOOKUP(Customer[[#This Row],[Customer ID]],[1]!Address[ID],[1]!Address[Phone No.(2)])</f>
        <v/>
      </c>
      <c r="V1572" s="28" t="str">
        <f>_xlfn.XLOOKUP(Customer[[#This Row],[Customer ID]],[1]!Address[ID],[1]!Address[Type])</f>
        <v>SOCMED</v>
      </c>
      <c r="W1572" s="28" t="str">
        <f>_xlfn.XLOOKUP(Customer[[#This Row],[Customer ID]],[1]!Address[ID],[1]!Address[CT])</f>
        <v>CASH</v>
      </c>
      <c r="X1572" s="28"/>
      <c r="Y1572" s="82" t="s">
        <v>90</v>
      </c>
      <c r="Z1572" s="82" t="e">
        <f>_xlfn.XLOOKUP(Customer[[#This Row],[NewType]],$AF$36:$AF$54,$AG$36:$AG$54)</f>
        <v>#N/A</v>
      </c>
      <c r="AA1572" s="82" t="s">
        <v>10038</v>
      </c>
      <c r="AB1572" s="28" t="str">
        <f>_xlfn.XLOOKUP(Customer[[#This Row],[Customer ID]],[1]!Address[ID],[1]!Address[Subtype])</f>
        <v>WHATSAPP</v>
      </c>
      <c r="AC1572" s="83" t="str">
        <f>_xlfn.XLOOKUP(Customer[[#This Row],[Customer ID]],[1]!Address[ID],[1]!Address[Zone])</f>
        <v>AEEDH</v>
      </c>
      <c r="AD1572" s="84"/>
    </row>
    <row r="1573" spans="1:30" x14ac:dyDescent="0.3">
      <c r="A1573" s="43" t="s">
        <v>10039</v>
      </c>
      <c r="B1573" s="44" t="str">
        <f>_xlfn.XLOOKUP(Customer[[#This Row],[Customer ID]],[1]!Name[ID],[1]!Name[Description(1)])</f>
        <v>RISSMART RETAIL DEPARTMENT</v>
      </c>
      <c r="C1573" s="38" t="str">
        <f>_xlfn.XLOOKUP(Customer[[#This Row],[Customer ID]],[1]!Name[ID],[1]!Name[Description(2)])</f>
        <v>AGRI FOOD INDUSTRIES SDN. BHD</v>
      </c>
      <c r="D1573" s="38" t="str">
        <f>_xlfn.XLOOKUP(Customer[[#This Row],[Customer ID]],[1]!Address[ID],[1]!Address[PIC])</f>
        <v/>
      </c>
      <c r="E1573" s="38" t="str">
        <f>_xlfn.XLOOKUP(Customer[[#This Row],[Customer ID]],[1]!Address[ID],[1]!Address[Full Address])</f>
        <v>TINGKAT 21, MENARA KORPORAT RISDA,JALAN AMPANG ULU 3,55000 KUALA LUMPUR</v>
      </c>
      <c r="F1573" s="12" t="s">
        <v>10040</v>
      </c>
      <c r="G1573" s="12" t="s">
        <v>10041</v>
      </c>
      <c r="H1573" s="12" t="s">
        <v>10042</v>
      </c>
      <c r="I1573" s="12" t="b">
        <f>ISNUMBER(VALUE(LEFT(Customer[[#This Row],[Address Line 3 (30 char)]],1)))</f>
        <v>0</v>
      </c>
      <c r="J1573" s="29" t="s">
        <v>34</v>
      </c>
      <c r="K1573" s="12">
        <v>55000</v>
      </c>
      <c r="L1573" s="12" t="s">
        <v>35</v>
      </c>
      <c r="M1573" s="13" t="e">
        <v>#N/A</v>
      </c>
      <c r="N1573" s="14" t="e">
        <v>#N/A</v>
      </c>
      <c r="O1573" s="14" t="e">
        <v>#N/A</v>
      </c>
      <c r="P1573" s="14" t="e">
        <v>#N/A</v>
      </c>
      <c r="Q1573" s="19" t="s">
        <v>10043</v>
      </c>
      <c r="R1573" s="15" t="s">
        <v>10044</v>
      </c>
      <c r="S1573" s="15" t="s">
        <v>5917</v>
      </c>
      <c r="T1573" s="16" t="s">
        <v>3477</v>
      </c>
      <c r="U1573" s="11" t="str">
        <f>_xlfn.XLOOKUP(Customer[[#This Row],[Customer ID]],[1]!Address[ID],[1]!Address[Phone No.(2)])</f>
        <v/>
      </c>
      <c r="V1573" s="11" t="str">
        <f>_xlfn.XLOOKUP(Customer[[#This Row],[Customer ID]],[1]!Address[ID],[1]!Address[Type])</f>
        <v>CM</v>
      </c>
      <c r="W1573" s="11" t="str">
        <f>_xlfn.XLOOKUP(Customer[[#This Row],[Customer ID]],[1]!Address[ID],[1]!Address[CT])</f>
        <v>30 DAYS</v>
      </c>
      <c r="X1573" s="11"/>
      <c r="Y1573" s="17" t="s">
        <v>5918</v>
      </c>
      <c r="Z1573" s="17" t="e">
        <f>_xlfn.XLOOKUP(Customer[[#This Row],[NewType]],$AF$36:$AF$54,$AG$36:$AG$54)</f>
        <v>#N/A</v>
      </c>
      <c r="AA1573" s="17" t="s">
        <v>10045</v>
      </c>
      <c r="AB1573" s="11" t="str">
        <f>_xlfn.XLOOKUP(Customer[[#This Row],[Customer ID]],[1]!Address[ID],[1]!Address[Subtype])</f>
        <v>RISSMART</v>
      </c>
      <c r="AC1573" s="18" t="str">
        <f>_xlfn.XLOOKUP(Customer[[#This Row],[Customer ID]],[1]!Address[ID],[1]!Address[Zone])</f>
        <v>CENTRAL</v>
      </c>
    </row>
    <row r="1574" spans="1:30" x14ac:dyDescent="0.3">
      <c r="A1574" s="37" t="s">
        <v>10046</v>
      </c>
      <c r="B1574" s="38" t="str">
        <f>_xlfn.XLOOKUP(Customer[[#This Row],[Customer ID]],[1]!Name[ID],[1]!Name[Description(1)])</f>
        <v>GOLDEN KISWAH RESOURCES</v>
      </c>
      <c r="C1574" s="38" t="str">
        <f>_xlfn.XLOOKUP(Customer[[#This Row],[Customer ID]],[1]!Name[ID],[1]!Name[Description(2)])</f>
        <v/>
      </c>
      <c r="D1574" s="38" t="str">
        <f>_xlfn.XLOOKUP(Customer[[#This Row],[Customer ID]],[1]!Address[ID],[1]!Address[PIC])</f>
        <v/>
      </c>
      <c r="E1574" s="38" t="str">
        <f>_xlfn.XLOOKUP(Customer[[#This Row],[Customer ID]],[1]!Address[ID],[1]!Address[Full Address])</f>
        <v>GERAI 1 , RNR JURU ARAH SELATAN13600 BKT MERTAJAM PENANG</v>
      </c>
      <c r="F1574" s="12" t="s">
        <v>10047</v>
      </c>
      <c r="G1574" s="12" t="s">
        <v>10048</v>
      </c>
      <c r="H1574" s="12" t="s">
        <v>5591</v>
      </c>
      <c r="I1574" s="12" t="b">
        <f>ISNUMBER(VALUE(LEFT(Customer[[#This Row],[Address Line 3 (30 char)]],1)))</f>
        <v>0</v>
      </c>
      <c r="J1574" s="12" t="s">
        <v>179</v>
      </c>
      <c r="K1574" s="12">
        <v>13600</v>
      </c>
      <c r="L1574" s="12" t="s">
        <v>35</v>
      </c>
      <c r="M1574" s="13" t="e">
        <v>#N/A</v>
      </c>
      <c r="N1574" s="14" t="e">
        <v>#N/A</v>
      </c>
      <c r="O1574" s="14" t="e">
        <v>#N/A</v>
      </c>
      <c r="P1574" s="14" t="e">
        <v>#N/A</v>
      </c>
      <c r="Q1574" s="14" t="e">
        <v>#N/A</v>
      </c>
      <c r="R1574" s="15" t="s">
        <v>10049</v>
      </c>
      <c r="S1574" s="15" t="s">
        <v>5925</v>
      </c>
      <c r="T1574" s="16" t="s">
        <v>3477</v>
      </c>
      <c r="U1574" s="11" t="str">
        <f>_xlfn.XLOOKUP(Customer[[#This Row],[Customer ID]],[1]!Address[ID],[1]!Address[Phone No.(2)])</f>
        <v/>
      </c>
      <c r="V1574" s="11" t="str">
        <f>_xlfn.XLOOKUP(Customer[[#This Row],[Customer ID]],[1]!Address[ID],[1]!Address[Type])</f>
        <v>CAFE</v>
      </c>
      <c r="W1574" s="11" t="str">
        <f>_xlfn.XLOOKUP(Customer[[#This Row],[Customer ID]],[1]!Address[ID],[1]!Address[CT])</f>
        <v>30 DAYS</v>
      </c>
      <c r="X1574" s="11"/>
      <c r="Y1574" s="17" t="s">
        <v>5926</v>
      </c>
      <c r="Z1574" s="17" t="e">
        <f>_xlfn.XLOOKUP(Customer[[#This Row],[NewType]],$AF$36:$AF$54,$AG$36:$AG$54)</f>
        <v>#N/A</v>
      </c>
      <c r="AA1574" s="17" t="s">
        <v>10050</v>
      </c>
      <c r="AB1574" s="11" t="str">
        <f>_xlfn.XLOOKUP(Customer[[#This Row],[Customer ID]],[1]!Address[ID],[1]!Address[Subtype])</f>
        <v>PLUS</v>
      </c>
      <c r="AC1574" s="18">
        <f>_xlfn.XLOOKUP(Customer[[#This Row],[Customer ID]],[1]!Address[ID],[1]!Address[Zone])</f>
        <v>0</v>
      </c>
    </row>
    <row r="1575" spans="1:30" x14ac:dyDescent="0.3">
      <c r="A1575" s="37" t="s">
        <v>10051</v>
      </c>
      <c r="B1575" s="38" t="str">
        <f>_xlfn.XLOOKUP(Customer[[#This Row],[Customer ID]],[1]!Name[ID],[1]!Name[Description(1)])</f>
        <v>MUTIARA PERMATA ENTERPRISE</v>
      </c>
      <c r="C1575" s="38" t="str">
        <f>_xlfn.XLOOKUP(Customer[[#This Row],[Customer ID]],[1]!Name[ID],[1]!Name[Description(2)])</f>
        <v>PS SUNGAI LALANG 2</v>
      </c>
      <c r="D1575" s="38" t="str">
        <f>_xlfn.XLOOKUP(Customer[[#This Row],[Customer ID]],[1]!Address[ID],[1]!Address[PIC])</f>
        <v/>
      </c>
      <c r="E1575" s="38" t="str">
        <f>_xlfn.XLOOKUP(Customer[[#This Row],[Customer ID]],[1]!Address[ID],[1]!Address[Full Address])</f>
        <v>PS SUNGAI LALANG 2Lot PT 23517 Kawasan Industri 3 BandarAman Jaya Mukim Sg Petani, Kedah</v>
      </c>
      <c r="F1575" s="12" t="s">
        <v>10052</v>
      </c>
      <c r="G1575" s="12" t="s">
        <v>10053</v>
      </c>
      <c r="H1575" s="12" t="s">
        <v>10054</v>
      </c>
      <c r="I1575" s="12" t="b">
        <f>ISNUMBER(VALUE(LEFT(Customer[[#This Row],[Address Line 3 (30 char)]],1)))</f>
        <v>0</v>
      </c>
      <c r="J1575" s="12" t="s">
        <v>79</v>
      </c>
      <c r="K1575" s="20" t="s">
        <v>10055</v>
      </c>
      <c r="L1575" s="12" t="s">
        <v>35</v>
      </c>
      <c r="M1575" s="13">
        <v>200203024023</v>
      </c>
      <c r="N1575" s="14" t="s">
        <v>10056</v>
      </c>
      <c r="O1575" s="14" t="s">
        <v>54</v>
      </c>
      <c r="P1575" s="14" t="s">
        <v>54</v>
      </c>
      <c r="Q1575" s="14" t="s">
        <v>10057</v>
      </c>
      <c r="R1575" s="15" t="s">
        <v>10058</v>
      </c>
      <c r="S1575" s="15" t="s">
        <v>37</v>
      </c>
      <c r="T1575" s="16" t="s">
        <v>38</v>
      </c>
      <c r="U1575" s="11" t="str">
        <f>_xlfn.XLOOKUP(Customer[[#This Row],[Customer ID]],[1]!Address[ID],[1]!Address[Phone No.(2)])</f>
        <v/>
      </c>
      <c r="V1575" s="11" t="str">
        <f>_xlfn.XLOOKUP(Customer[[#This Row],[Customer ID]],[1]!Address[ID],[1]!Address[Type])</f>
        <v>PETROMART</v>
      </c>
      <c r="W1575" s="11" t="str">
        <f>_xlfn.XLOOKUP(Customer[[#This Row],[Customer ID]],[1]!Address[ID],[1]!Address[CT])</f>
        <v>30</v>
      </c>
      <c r="X1575" s="11" t="s">
        <v>39</v>
      </c>
      <c r="Y1575" s="17" t="s">
        <v>40</v>
      </c>
      <c r="Z1575" s="17" t="e">
        <f>_xlfn.XLOOKUP(Customer[[#This Row],[NewType]],$AF$36:$AF$54,$AG$36:$AG$54)</f>
        <v>#N/A</v>
      </c>
      <c r="AA1575" s="17" t="s">
        <v>10059</v>
      </c>
      <c r="AB1575" s="11" t="str">
        <f>_xlfn.XLOOKUP(Customer[[#This Row],[Customer ID]],[1]!Address[ID],[1]!Address[Subtype])</f>
        <v>PETRONAS</v>
      </c>
      <c r="AC1575" s="18" t="str">
        <f>_xlfn.XLOOKUP(Customer[[#This Row],[Customer ID]],[1]!Address[ID],[1]!Address[Zone])</f>
        <v>NORTH</v>
      </c>
    </row>
    <row r="1576" spans="1:30" x14ac:dyDescent="0.3">
      <c r="A1576" s="37" t="s">
        <v>10060</v>
      </c>
      <c r="B1576" s="38" t="str">
        <f>_xlfn.XLOOKUP(Customer[[#This Row],[Customer ID]],[1]!Name[ID],[1]!Name[Description(1)])</f>
        <v>YS MARKETING &amp; SERVICES S/B</v>
      </c>
      <c r="C1576" s="38" t="str">
        <f>_xlfn.XLOOKUP(Customer[[#This Row],[Customer ID]],[1]!Name[ID],[1]!Name[Description(2)])</f>
        <v/>
      </c>
      <c r="D1576" s="38" t="str">
        <f>_xlfn.XLOOKUP(Customer[[#This Row],[Customer ID]],[1]!Address[ID],[1]!Address[PIC])</f>
        <v/>
      </c>
      <c r="E1576" s="38" t="str">
        <f>_xlfn.XLOOKUP(Customer[[#This Row],[Customer ID]],[1]!Address[ID],[1]!Address[Full Address])</f>
        <v>91, JALAN KOTA,34000 TAIPING PERAK</v>
      </c>
      <c r="F1576" s="12" t="s">
        <v>10061</v>
      </c>
      <c r="G1576" s="12" t="s">
        <v>10062</v>
      </c>
      <c r="H1576" s="12" t="s">
        <v>36</v>
      </c>
      <c r="I1576" s="12" t="b">
        <f>ISNUMBER(VALUE(LEFT(Customer[[#This Row],[Address Line 3 (30 char)]],1)))</f>
        <v>0</v>
      </c>
      <c r="J1576" s="12" t="s">
        <v>242</v>
      </c>
      <c r="K1576" s="12">
        <v>34000</v>
      </c>
      <c r="L1576" s="12" t="s">
        <v>35</v>
      </c>
      <c r="M1576" s="13" t="e">
        <v>#N/A</v>
      </c>
      <c r="N1576" s="14" t="e">
        <v>#N/A</v>
      </c>
      <c r="O1576" s="14" t="e">
        <v>#N/A</v>
      </c>
      <c r="P1576" s="14" t="e">
        <v>#N/A</v>
      </c>
      <c r="Q1576" s="19" t="s">
        <v>10063</v>
      </c>
      <c r="R1576" s="15" t="s">
        <v>10064</v>
      </c>
      <c r="S1576" s="15" t="s">
        <v>5934</v>
      </c>
      <c r="T1576" s="16" t="s">
        <v>3477</v>
      </c>
      <c r="U1576" s="11" t="str">
        <f>_xlfn.XLOOKUP(Customer[[#This Row],[Customer ID]],[1]!Address[ID],[1]!Address[Phone No.(2)])</f>
        <v/>
      </c>
      <c r="V1576" s="11" t="str">
        <f>_xlfn.XLOOKUP(Customer[[#This Row],[Customer ID]],[1]!Address[ID],[1]!Address[Type])</f>
        <v>CM</v>
      </c>
      <c r="W1576" s="11" t="str">
        <f>_xlfn.XLOOKUP(Customer[[#This Row],[Customer ID]],[1]!Address[ID],[1]!Address[CT])</f>
        <v>CASH</v>
      </c>
      <c r="X1576" s="11"/>
      <c r="Y1576" s="17" t="s">
        <v>5918</v>
      </c>
      <c r="Z1576" s="17" t="e">
        <f>_xlfn.XLOOKUP(Customer[[#This Row],[NewType]],$AF$36:$AF$54,$AG$36:$AG$54)</f>
        <v>#N/A</v>
      </c>
      <c r="AA1576" s="17" t="s">
        <v>10065</v>
      </c>
      <c r="AB1576" s="11" t="str">
        <f>_xlfn.XLOOKUP(Customer[[#This Row],[Customer ID]],[1]!Address[ID],[1]!Address[Subtype])</f>
        <v>YS MARKETING</v>
      </c>
      <c r="AC1576" s="18" t="str">
        <f>_xlfn.XLOOKUP(Customer[[#This Row],[Customer ID]],[1]!Address[ID],[1]!Address[Zone])</f>
        <v>NORTH</v>
      </c>
    </row>
    <row r="1577" spans="1:30" x14ac:dyDescent="0.3">
      <c r="A1577" s="37" t="s">
        <v>10066</v>
      </c>
      <c r="B1577" s="38" t="str">
        <f>_xlfn.XLOOKUP(Customer[[#This Row],[Customer ID]],[1]!Name[ID],[1]!Name[Description(1)])</f>
        <v>IMAR MAJU SDN BHD</v>
      </c>
      <c r="C1577" s="38" t="str">
        <f>_xlfn.XLOOKUP(Customer[[#This Row],[Customer ID]],[1]!Name[ID],[1]!Name[Description(2)])</f>
        <v>IMAR MARINE SERVICES</v>
      </c>
      <c r="D1577" s="38" t="str">
        <f>_xlfn.XLOOKUP(Customer[[#This Row],[Customer ID]],[1]!Address[ID],[1]!Address[PIC])</f>
        <v/>
      </c>
      <c r="E1577" s="38" t="str">
        <f>_xlfn.XLOOKUP(Customer[[#This Row],[Customer ID]],[1]!Address[ID],[1]!Address[Full Address])</f>
        <v>NO 173,1ST &amp; 2ND FLOOR,JALAN PPMP 3/3,PUSAT PERNIAGAAN  MANJUNG POINTSEKSYEN 3, 32040 SERI MANJUNG,PERAK</v>
      </c>
      <c r="F1577" s="12" t="s">
        <v>10067</v>
      </c>
      <c r="G1577" s="12" t="s">
        <v>10068</v>
      </c>
      <c r="H1577" s="12" t="s">
        <v>10069</v>
      </c>
      <c r="I1577" s="12" t="b">
        <f>ISNUMBER(VALUE(LEFT(Customer[[#This Row],[Address Line 3 (30 char)]],1)))</f>
        <v>0</v>
      </c>
      <c r="J1577" s="12" t="s">
        <v>242</v>
      </c>
      <c r="K1577" s="12">
        <v>32040</v>
      </c>
      <c r="L1577" s="12" t="s">
        <v>35</v>
      </c>
      <c r="M1577" s="13" t="e">
        <v>#N/A</v>
      </c>
      <c r="N1577" s="14" t="e">
        <v>#N/A</v>
      </c>
      <c r="O1577" s="14" t="e">
        <v>#N/A</v>
      </c>
      <c r="P1577" s="14" t="e">
        <v>#N/A</v>
      </c>
      <c r="Q1577" s="19" t="s">
        <v>10070</v>
      </c>
      <c r="R1577" s="15" t="s">
        <v>10071</v>
      </c>
      <c r="S1577" s="15" t="s">
        <v>5917</v>
      </c>
      <c r="T1577" s="16" t="s">
        <v>3477</v>
      </c>
      <c r="U1577" s="11" t="str">
        <f>_xlfn.XLOOKUP(Customer[[#This Row],[Customer ID]],[1]!Address[ID],[1]!Address[Phone No.(2)])</f>
        <v/>
      </c>
      <c r="V1577" s="11" t="str">
        <f>_xlfn.XLOOKUP(Customer[[#This Row],[Customer ID]],[1]!Address[ID],[1]!Address[Type])</f>
        <v>CM</v>
      </c>
      <c r="W1577" s="11" t="str">
        <f>_xlfn.XLOOKUP(Customer[[#This Row],[Customer ID]],[1]!Address[ID],[1]!Address[CT])</f>
        <v>CASH</v>
      </c>
      <c r="X1577" s="11"/>
      <c r="Y1577" s="17" t="s">
        <v>5918</v>
      </c>
      <c r="Z1577" s="17" t="e">
        <f>_xlfn.XLOOKUP(Customer[[#This Row],[NewType]],$AF$36:$AF$54,$AG$36:$AG$54)</f>
        <v>#N/A</v>
      </c>
      <c r="AA1577" s="17" t="s">
        <v>10072</v>
      </c>
      <c r="AB1577" s="11" t="str">
        <f>_xlfn.XLOOKUP(Customer[[#This Row],[Customer ID]],[1]!Address[ID],[1]!Address[Subtype])</f>
        <v>IMAR MAJU</v>
      </c>
      <c r="AC1577" s="18" t="str">
        <f>_xlfn.XLOOKUP(Customer[[#This Row],[Customer ID]],[1]!Address[ID],[1]!Address[Zone])</f>
        <v>NORTH</v>
      </c>
    </row>
    <row r="1578" spans="1:30" x14ac:dyDescent="0.3">
      <c r="A1578" s="37" t="s">
        <v>10073</v>
      </c>
      <c r="B1578" s="38" t="str">
        <f>_xlfn.XLOOKUP(Customer[[#This Row],[Customer ID]],[1]!Name[ID],[1]!Name[Description(1)])</f>
        <v>KLCC FOOD TRUCK CLUB</v>
      </c>
      <c r="C1578" s="38" t="str">
        <f>_xlfn.XLOOKUP(Customer[[#This Row],[Customer ID]],[1]!Name[ID],[1]!Name[Description(2)])</f>
        <v/>
      </c>
      <c r="D1578" s="38" t="str">
        <f>_xlfn.XLOOKUP(Customer[[#This Row],[Customer ID]],[1]!Address[ID],[1]!Address[PIC])</f>
        <v/>
      </c>
      <c r="E1578" s="38" t="str">
        <f>_xlfn.XLOOKUP(Customer[[#This Row],[Customer ID]],[1]!Address[ID],[1]!Address[Full Address])</f>
        <v>KELAB TRAK MAKANAN BANDARAYA KL SUITENGO 4,LEVEL UG URBAN TRANSFORMATIONCENTER(UTC) KERAMAT MALL,54000 KUALA LUMPUR</v>
      </c>
      <c r="F1578" s="12" t="s">
        <v>10074</v>
      </c>
      <c r="G1578" s="12" t="s">
        <v>10075</v>
      </c>
      <c r="H1578" s="12" t="s">
        <v>10076</v>
      </c>
      <c r="I1578" s="12" t="b">
        <f>ISNUMBER(VALUE(LEFT(Customer[[#This Row],[Address Line 3 (30 char)]],1)))</f>
        <v>0</v>
      </c>
      <c r="J1578" s="12" t="s">
        <v>34</v>
      </c>
      <c r="K1578" s="12">
        <v>54000</v>
      </c>
      <c r="L1578" s="12" t="s">
        <v>35</v>
      </c>
      <c r="M1578" s="13" t="e">
        <v>#N/A</v>
      </c>
      <c r="N1578" s="14" t="e">
        <v>#N/A</v>
      </c>
      <c r="O1578" s="14" t="e">
        <v>#N/A</v>
      </c>
      <c r="P1578" s="14" t="e">
        <v>#N/A</v>
      </c>
      <c r="Q1578" s="19" t="s">
        <v>10077</v>
      </c>
      <c r="R1578" s="15" t="s">
        <v>10078</v>
      </c>
      <c r="S1578" s="15" t="s">
        <v>5925</v>
      </c>
      <c r="T1578" s="16" t="s">
        <v>3477</v>
      </c>
      <c r="U1578" s="11" t="str">
        <f>_xlfn.XLOOKUP(Customer[[#This Row],[Customer ID]],[1]!Address[ID],[1]!Address[Phone No.(2)])</f>
        <v/>
      </c>
      <c r="V1578" s="11" t="str">
        <f>_xlfn.XLOOKUP(Customer[[#This Row],[Customer ID]],[1]!Address[ID],[1]!Address[Type])</f>
        <v>CAFE</v>
      </c>
      <c r="W1578" s="11" t="str">
        <f>_xlfn.XLOOKUP(Customer[[#This Row],[Customer ID]],[1]!Address[ID],[1]!Address[CT])</f>
        <v>CASH</v>
      </c>
      <c r="X1578" s="11"/>
      <c r="Y1578" s="17" t="s">
        <v>5926</v>
      </c>
      <c r="Z1578" s="17" t="e">
        <f>_xlfn.XLOOKUP(Customer[[#This Row],[NewType]],$AF$36:$AF$54,$AG$36:$AG$54)</f>
        <v>#N/A</v>
      </c>
      <c r="AA1578" s="17" t="s">
        <v>10079</v>
      </c>
      <c r="AB1578" s="11" t="str">
        <f>_xlfn.XLOOKUP(Customer[[#This Row],[Customer ID]],[1]!Address[ID],[1]!Address[Subtype])</f>
        <v>KLCC FOOD</v>
      </c>
      <c r="AC1578" s="18" t="str">
        <f>_xlfn.XLOOKUP(Customer[[#This Row],[Customer ID]],[1]!Address[ID],[1]!Address[Zone])</f>
        <v>CENTRAL</v>
      </c>
    </row>
    <row r="1579" spans="1:30" x14ac:dyDescent="0.3">
      <c r="A1579" s="27" t="s">
        <v>10080</v>
      </c>
      <c r="B1579" s="28" t="str">
        <f>_xlfn.XLOOKUP(Customer[[#This Row],[Customer ID]],[1]!Name[ID],[1]!Name[Description(1)])</f>
        <v>UNIT PERANCANG EKONOMI NEGERI(UPEN)</v>
      </c>
      <c r="C1579" s="44" t="str">
        <f>_xlfn.XLOOKUP(Customer[[#This Row],[Customer ID]],[1]!Name[ID],[1]!Name[Description(2)])</f>
        <v/>
      </c>
      <c r="D1579" s="44" t="str">
        <f>_xlfn.XLOOKUP(Customer[[#This Row],[Customer ID]],[1]!Address[ID],[1]!Address[PIC])</f>
        <v/>
      </c>
      <c r="E1579" s="38" t="str">
        <f>_xlfn.XLOOKUP(Customer[[#This Row],[Customer ID]],[1]!Address[ID],[1]!Address[Full Address])</f>
        <v>PEJABAT SETIAUSAHA KERAJAAN,NEGERI SEMBILAN TINGKAT 5,BLOK D, WISMA NEGERI,70503 SEREMBAN</v>
      </c>
      <c r="F1579" s="29" t="s">
        <v>10081</v>
      </c>
      <c r="G1579" s="29" t="s">
        <v>10082</v>
      </c>
      <c r="H1579" s="29" t="s">
        <v>10083</v>
      </c>
      <c r="I1579" s="29" t="b">
        <f>ISNUMBER(VALUE(LEFT(Customer[[#This Row],[Address Line 3 (30 char)]],1)))</f>
        <v>0</v>
      </c>
      <c r="J1579" s="29" t="s">
        <v>2004</v>
      </c>
      <c r="K1579" s="29">
        <v>70503</v>
      </c>
      <c r="L1579" s="29" t="s">
        <v>35</v>
      </c>
      <c r="M1579" s="31" t="e">
        <v>#N/A</v>
      </c>
      <c r="N1579" s="36" t="e">
        <v>#N/A</v>
      </c>
      <c r="O1579" s="36" t="e">
        <v>#N/A</v>
      </c>
      <c r="P1579" s="36" t="e">
        <v>#N/A</v>
      </c>
      <c r="Q1579" s="89" t="s">
        <v>10084</v>
      </c>
      <c r="R1579" s="80" t="s">
        <v>10085</v>
      </c>
      <c r="S1579" s="15" t="s">
        <v>6418</v>
      </c>
      <c r="T1579" s="16" t="s">
        <v>3477</v>
      </c>
      <c r="U1579" s="28" t="str">
        <f>_xlfn.XLOOKUP(Customer[[#This Row],[Customer ID]],[1]!Address[ID],[1]!Address[Phone No.(2)])</f>
        <v/>
      </c>
      <c r="V1579" s="28" t="str">
        <f>_xlfn.XLOOKUP(Customer[[#This Row],[Customer ID]],[1]!Address[ID],[1]!Address[Type])</f>
        <v>SOCMED</v>
      </c>
      <c r="W1579" s="28" t="str">
        <f>_xlfn.XLOOKUP(Customer[[#This Row],[Customer ID]],[1]!Address[ID],[1]!Address[CT])</f>
        <v>CASH</v>
      </c>
      <c r="X1579" s="28"/>
      <c r="Y1579" s="82" t="s">
        <v>90</v>
      </c>
      <c r="Z1579" s="82" t="e">
        <f>_xlfn.XLOOKUP(Customer[[#This Row],[NewType]],$AF$36:$AF$54,$AG$36:$AG$54)</f>
        <v>#N/A</v>
      </c>
      <c r="AA1579" s="82" t="s">
        <v>10086</v>
      </c>
      <c r="AB1579" s="28" t="str">
        <f>_xlfn.XLOOKUP(Customer[[#This Row],[Customer ID]],[1]!Address[ID],[1]!Address[Subtype])</f>
        <v>WHATSAPP</v>
      </c>
      <c r="AC1579" s="83" t="str">
        <f>_xlfn.XLOOKUP(Customer[[#This Row],[Customer ID]],[1]!Address[ID],[1]!Address[Zone])</f>
        <v>CENTRAL</v>
      </c>
      <c r="AD1579" s="84"/>
    </row>
    <row r="1580" spans="1:30" x14ac:dyDescent="0.3">
      <c r="A1580" s="37" t="s">
        <v>10087</v>
      </c>
      <c r="B1580" s="38" t="str">
        <f>_xlfn.XLOOKUP(Customer[[#This Row],[Customer ID]],[1]!Name[ID],[1]!Name[Description(1)])</f>
        <v>KOPERASI STRAWARNA MELAKA BERHAD</v>
      </c>
      <c r="C1580" s="38" t="str">
        <f>_xlfn.XLOOKUP(Customer[[#This Row],[Customer ID]],[1]!Name[ID],[1]!Name[Description(2)])</f>
        <v/>
      </c>
      <c r="D1580" s="38" t="str">
        <f>_xlfn.XLOOKUP(Customer[[#This Row],[Customer ID]],[1]!Address[ID],[1]!Address[PIC])</f>
        <v/>
      </c>
      <c r="E1580" s="38" t="str">
        <f>_xlfn.XLOOKUP(Customer[[#This Row],[Customer ID]],[1]!Address[ID],[1]!Address[Full Address])</f>
        <v>MT 2898 JALAN TBBMT UTAMA,TAMAN BANDAR BARU UTAMA,78300 MASJID TANAH MELAKA</v>
      </c>
      <c r="F1580" s="12" t="s">
        <v>10088</v>
      </c>
      <c r="G1580" s="12" t="s">
        <v>10089</v>
      </c>
      <c r="H1580" s="24" t="s">
        <v>10090</v>
      </c>
      <c r="I1580" s="24" t="b">
        <f>ISNUMBER(VALUE(LEFT(Customer[[#This Row],[Address Line 3 (30 char)]],1)))</f>
        <v>0</v>
      </c>
      <c r="J1580" s="12" t="s">
        <v>61</v>
      </c>
      <c r="K1580" s="12">
        <v>78300</v>
      </c>
      <c r="L1580" s="12" t="s">
        <v>35</v>
      </c>
      <c r="M1580" s="13" t="e">
        <v>#N/A</v>
      </c>
      <c r="N1580" s="14" t="e">
        <v>#N/A</v>
      </c>
      <c r="O1580" s="14" t="e">
        <v>#N/A</v>
      </c>
      <c r="P1580" s="14" t="e">
        <v>#N/A</v>
      </c>
      <c r="Q1580" s="14" t="e">
        <v>#N/A</v>
      </c>
      <c r="R1580" s="15" t="s">
        <v>10091</v>
      </c>
      <c r="S1580" s="15" t="s">
        <v>5934</v>
      </c>
      <c r="T1580" s="16" t="s">
        <v>3477</v>
      </c>
      <c r="U1580" s="11" t="str">
        <f>_xlfn.XLOOKUP(Customer[[#This Row],[Customer ID]],[1]!Address[ID],[1]!Address[Phone No.(2)])</f>
        <v/>
      </c>
      <c r="V1580" s="11" t="str">
        <f>_xlfn.XLOOKUP(Customer[[#This Row],[Customer ID]],[1]!Address[ID],[1]!Address[Type])</f>
        <v>KOPERASI</v>
      </c>
      <c r="W1580" s="11" t="str">
        <f>_xlfn.XLOOKUP(Customer[[#This Row],[Customer ID]],[1]!Address[ID],[1]!Address[CT])</f>
        <v>30 DAYS</v>
      </c>
      <c r="X1580" s="11"/>
      <c r="Y1580" s="17" t="s">
        <v>6126</v>
      </c>
      <c r="Z1580" s="17" t="e">
        <f>_xlfn.XLOOKUP(Customer[[#This Row],[NewType]],$AF$36:$AF$54,$AG$36:$AG$54)</f>
        <v>#N/A</v>
      </c>
      <c r="AA1580" s="17" t="s">
        <v>10092</v>
      </c>
      <c r="AB1580" s="11" t="str">
        <f>_xlfn.XLOOKUP(Customer[[#This Row],[Customer ID]],[1]!Address[ID],[1]!Address[Subtype])</f>
        <v>STRAWARNA</v>
      </c>
      <c r="AC1580" s="18" t="str">
        <f>_xlfn.XLOOKUP(Customer[[#This Row],[Customer ID]],[1]!Address[ID],[1]!Address[Zone])</f>
        <v>SOUTH</v>
      </c>
    </row>
    <row r="1581" spans="1:30" x14ac:dyDescent="0.3">
      <c r="A1581" s="37" t="s">
        <v>10093</v>
      </c>
      <c r="B1581" s="38" t="str">
        <f>_xlfn.XLOOKUP(Customer[[#This Row],[Customer ID]],[1]!Name[ID],[1]!Name[Description(1)])</f>
        <v>SBP PETROMART</v>
      </c>
      <c r="C1581" s="38" t="str">
        <f>_xlfn.XLOOKUP(Customer[[#This Row],[Customer ID]],[1]!Name[ID],[1]!Name[Description(2)])</f>
        <v>PETRON BUKIT PAYONG</v>
      </c>
      <c r="D1581" s="38" t="str">
        <f>_xlfn.XLOOKUP(Customer[[#This Row],[Customer ID]],[1]!Address[ID],[1]!Address[PIC])</f>
        <v/>
      </c>
      <c r="E1581" s="38" t="str">
        <f>_xlfn.XLOOKUP(Customer[[#This Row],[Customer ID]],[1]!Address[ID],[1]!Address[Full Address])</f>
        <v>PETRON BUKIT PAYONGLOT 62480, PADANG MENGKUANGBUKIT PAYUNG21400 MARANG TERENGGANU</v>
      </c>
      <c r="F1581" s="12" t="s">
        <v>10094</v>
      </c>
      <c r="G1581" s="12" t="s">
        <v>10095</v>
      </c>
      <c r="H1581" s="12" t="s">
        <v>1226</v>
      </c>
      <c r="I1581" s="12" t="b">
        <f>ISNUMBER(VALUE(LEFT(Customer[[#This Row],[Address Line 3 (30 char)]],1)))</f>
        <v>0</v>
      </c>
      <c r="J1581" s="12" t="s">
        <v>1056</v>
      </c>
      <c r="K1581" s="12">
        <v>21400</v>
      </c>
      <c r="L1581" s="12" t="s">
        <v>35</v>
      </c>
      <c r="M1581" s="13" t="e">
        <v>#N/A</v>
      </c>
      <c r="N1581" s="14" t="e">
        <v>#N/A</v>
      </c>
      <c r="O1581" s="14" t="e">
        <v>#N/A</v>
      </c>
      <c r="P1581" s="14" t="e">
        <v>#N/A</v>
      </c>
      <c r="Q1581" s="14" t="e">
        <v>#N/A</v>
      </c>
      <c r="R1581" s="15" t="s">
        <v>36</v>
      </c>
      <c r="S1581" s="15" t="s">
        <v>37</v>
      </c>
      <c r="T1581" s="16" t="s">
        <v>38</v>
      </c>
      <c r="U1581" s="11" t="str">
        <f>_xlfn.XLOOKUP(Customer[[#This Row],[Customer ID]],[1]!Address[ID],[1]!Address[Phone No.(2)])</f>
        <v/>
      </c>
      <c r="V1581" s="11" t="str">
        <f>_xlfn.XLOOKUP(Customer[[#This Row],[Customer ID]],[1]!Address[ID],[1]!Address[Type])</f>
        <v>PETROMART</v>
      </c>
      <c r="W1581" s="11" t="str">
        <f>_xlfn.XLOOKUP(Customer[[#This Row],[Customer ID]],[1]!Address[ID],[1]!Address[CT])</f>
        <v>30</v>
      </c>
      <c r="X1581" s="11" t="s">
        <v>39</v>
      </c>
      <c r="Y1581" s="17" t="s">
        <v>40</v>
      </c>
      <c r="Z1581" s="17" t="e">
        <f>_xlfn.XLOOKUP(Customer[[#This Row],[NewType]],$AF$36:$AF$54,$AG$36:$AG$54)</f>
        <v>#N/A</v>
      </c>
      <c r="AA1581" s="17" t="s">
        <v>10096</v>
      </c>
      <c r="AB1581" s="11" t="str">
        <f>_xlfn.XLOOKUP(Customer[[#This Row],[Customer ID]],[1]!Address[ID],[1]!Address[Subtype])</f>
        <v>PETRON</v>
      </c>
      <c r="AC1581" s="18" t="str">
        <f>_xlfn.XLOOKUP(Customer[[#This Row],[Customer ID]],[1]!Address[ID],[1]!Address[Zone])</f>
        <v>EAST COAST</v>
      </c>
    </row>
    <row r="1582" spans="1:30" x14ac:dyDescent="0.3">
      <c r="A1582" s="37" t="s">
        <v>10097</v>
      </c>
      <c r="B1582" s="38" t="str">
        <f>_xlfn.XLOOKUP(Customer[[#This Row],[Customer ID]],[1]!Name[ID],[1]!Name[Description(1)])</f>
        <v>SABASUN HYPERRUNCIT SDN. BHD</v>
      </c>
      <c r="C1582" s="38" t="str">
        <f>_xlfn.XLOOKUP(Customer[[#This Row],[Customer ID]],[1]!Name[ID],[1]!Name[Description(2)])</f>
        <v/>
      </c>
      <c r="D1582" s="38" t="str">
        <f>_xlfn.XLOOKUP(Customer[[#This Row],[Customer ID]],[1]!Address[ID],[1]!Address[PIC])</f>
        <v/>
      </c>
      <c r="E1582" s="38" t="str">
        <f>_xlfn.XLOOKUP(Customer[[#This Row],[Customer ID]],[1]!Address[ID],[1]!Address[Full Address])</f>
        <v>1125, JALAN BUKIT KECIL,21100 KUALA TERENGGANUTERENGGANU</v>
      </c>
      <c r="F1582" s="12" t="s">
        <v>10098</v>
      </c>
      <c r="G1582" s="12" t="s">
        <v>10099</v>
      </c>
      <c r="H1582" s="12"/>
      <c r="I1582" s="12" t="b">
        <f>ISNUMBER(VALUE(LEFT(Customer[[#This Row],[Address Line 3 (30 char)]],1)))</f>
        <v>0</v>
      </c>
      <c r="J1582" s="12" t="s">
        <v>1056</v>
      </c>
      <c r="K1582" s="12">
        <v>21100</v>
      </c>
      <c r="L1582" s="12" t="s">
        <v>35</v>
      </c>
      <c r="M1582" s="13" t="e">
        <v>#N/A</v>
      </c>
      <c r="N1582" s="14" t="e">
        <v>#N/A</v>
      </c>
      <c r="O1582" s="14" t="e">
        <v>#N/A</v>
      </c>
      <c r="P1582" s="14" t="e">
        <v>#N/A</v>
      </c>
      <c r="Q1582" s="14" t="e">
        <v>#N/A</v>
      </c>
      <c r="R1582" s="15" t="s">
        <v>10100</v>
      </c>
      <c r="S1582" s="15" t="s">
        <v>5934</v>
      </c>
      <c r="T1582" s="16" t="s">
        <v>3477</v>
      </c>
      <c r="U1582" s="11" t="str">
        <f>_xlfn.XLOOKUP(Customer[[#This Row],[Customer ID]],[1]!Address[ID],[1]!Address[Phone No.(2)])</f>
        <v/>
      </c>
      <c r="V1582" s="11" t="str">
        <f>_xlfn.XLOOKUP(Customer[[#This Row],[Customer ID]],[1]!Address[ID],[1]!Address[Type])</f>
        <v>HM</v>
      </c>
      <c r="W1582" s="11" t="str">
        <f>_xlfn.XLOOKUP(Customer[[#This Row],[Customer ID]],[1]!Address[ID],[1]!Address[CT])</f>
        <v>60 DAYS</v>
      </c>
      <c r="X1582" s="11"/>
      <c r="Y1582" s="17" t="s">
        <v>5968</v>
      </c>
      <c r="Z1582" s="17" t="e">
        <f>_xlfn.XLOOKUP(Customer[[#This Row],[NewType]],$AF$36:$AF$54,$AG$36:$AG$54)</f>
        <v>#N/A</v>
      </c>
      <c r="AA1582" s="17" t="s">
        <v>10101</v>
      </c>
      <c r="AB1582" s="11" t="str">
        <f>_xlfn.XLOOKUP(Customer[[#This Row],[Customer ID]],[1]!Address[ID],[1]!Address[Subtype])</f>
        <v>SABASUN</v>
      </c>
      <c r="AC1582" s="18" t="str">
        <f>_xlfn.XLOOKUP(Customer[[#This Row],[Customer ID]],[1]!Address[ID],[1]!Address[Zone])</f>
        <v>EAST COAST</v>
      </c>
    </row>
    <row r="1583" spans="1:30" x14ac:dyDescent="0.3">
      <c r="A1583" s="37" t="s">
        <v>10102</v>
      </c>
      <c r="B1583" s="38" t="str">
        <f>_xlfn.XLOOKUP(Customer[[#This Row],[Customer ID]],[1]!Name[ID],[1]!Name[Description(1)])</f>
        <v>RICHIAMO COFFEE SDN BHD</v>
      </c>
      <c r="C1583" s="38" t="str">
        <f>_xlfn.XLOOKUP(Customer[[#This Row],[Customer ID]],[1]!Name[ID],[1]!Name[Description(2)])</f>
        <v/>
      </c>
      <c r="D1583" s="38" t="str">
        <f>_xlfn.XLOOKUP(Customer[[#This Row],[Customer ID]],[1]!Address[ID],[1]!Address[PIC])</f>
        <v/>
      </c>
      <c r="E1583" s="38" t="str">
        <f>_xlfn.XLOOKUP(Customer[[#This Row],[Customer ID]],[1]!Address[ID],[1]!Address[Full Address])</f>
        <v>NO.6, JALAN UB 1,TAMAN PERINDUSTRIAN UB RAWANG,48000 RAWANG SELANGOR</v>
      </c>
      <c r="F1583" s="12" t="s">
        <v>10103</v>
      </c>
      <c r="G1583" s="12" t="s">
        <v>10104</v>
      </c>
      <c r="H1583" s="24" t="s">
        <v>7979</v>
      </c>
      <c r="I1583" s="24" t="b">
        <f>ISNUMBER(VALUE(LEFT(Customer[[#This Row],[Address Line 3 (30 char)]],1)))</f>
        <v>0</v>
      </c>
      <c r="J1583" s="12" t="s">
        <v>172</v>
      </c>
      <c r="K1583" s="12">
        <v>48000</v>
      </c>
      <c r="L1583" s="12" t="s">
        <v>35</v>
      </c>
      <c r="M1583" s="13" t="e">
        <v>#N/A</v>
      </c>
      <c r="N1583" s="14" t="e">
        <v>#N/A</v>
      </c>
      <c r="O1583" s="14" t="e">
        <v>#N/A</v>
      </c>
      <c r="P1583" s="14" t="e">
        <v>#N/A</v>
      </c>
      <c r="Q1583" s="19" t="s">
        <v>10105</v>
      </c>
      <c r="R1583" s="15" t="s">
        <v>10106</v>
      </c>
      <c r="S1583" s="15" t="s">
        <v>5925</v>
      </c>
      <c r="T1583" s="16" t="s">
        <v>3477</v>
      </c>
      <c r="U1583" s="11" t="str">
        <f>_xlfn.XLOOKUP(Customer[[#This Row],[Customer ID]],[1]!Address[ID],[1]!Address[Phone No.(2)])</f>
        <v/>
      </c>
      <c r="V1583" s="11" t="str">
        <f>_xlfn.XLOOKUP(Customer[[#This Row],[Customer ID]],[1]!Address[ID],[1]!Address[Type])</f>
        <v>CAFE</v>
      </c>
      <c r="W1583" s="11" t="str">
        <f>_xlfn.XLOOKUP(Customer[[#This Row],[Customer ID]],[1]!Address[ID],[1]!Address[CT])</f>
        <v>CASH</v>
      </c>
      <c r="X1583" s="11"/>
      <c r="Y1583" s="17" t="s">
        <v>5926</v>
      </c>
      <c r="Z1583" s="17" t="e">
        <f>_xlfn.XLOOKUP(Customer[[#This Row],[NewType]],$AF$36:$AF$54,$AG$36:$AG$54)</f>
        <v>#N/A</v>
      </c>
      <c r="AA1583" s="17" t="s">
        <v>10107</v>
      </c>
      <c r="AB1583" s="11" t="str">
        <f>_xlfn.XLOOKUP(Customer[[#This Row],[Customer ID]],[1]!Address[ID],[1]!Address[Subtype])</f>
        <v>RICHIAMO</v>
      </c>
      <c r="AC1583" s="18" t="str">
        <f>_xlfn.XLOOKUP(Customer[[#This Row],[Customer ID]],[1]!Address[ID],[1]!Address[Zone])</f>
        <v>CENTRAL</v>
      </c>
    </row>
    <row r="1584" spans="1:30" x14ac:dyDescent="0.3">
      <c r="A1584" s="37" t="s">
        <v>10108</v>
      </c>
      <c r="B1584" s="38" t="str">
        <f>_xlfn.XLOOKUP(Customer[[#This Row],[Customer ID]],[1]!Name[ID],[1]!Name[Description(1)])</f>
        <v>NSK TRADE CITY SDN BHD</v>
      </c>
      <c r="C1584" s="38" t="str">
        <f>_xlfn.XLOOKUP(Customer[[#This Row],[Customer ID]],[1]!Name[ID],[1]!Name[Description(2)])</f>
        <v/>
      </c>
      <c r="D1584" s="38" t="str">
        <f>_xlfn.XLOOKUP(Customer[[#This Row],[Customer ID]],[1]!Address[ID],[1]!Address[PIC])</f>
        <v/>
      </c>
      <c r="E1584" s="38" t="str">
        <f>_xlfn.XLOOKUP(Customer[[#This Row],[Customer ID]],[1]!Address[ID],[1]!Address[Full Address])</f>
        <v>PUSAT DAGANGAN NSK,LOT 4674 &amp; 4675, WISMA YAP TIEH,SELAYANG BATU 8,JALAN IPOH,68100 BATU CAVES,SELANGOR</v>
      </c>
      <c r="F1584" s="12" t="s">
        <v>10109</v>
      </c>
      <c r="G1584" s="12" t="s">
        <v>10110</v>
      </c>
      <c r="H1584" s="12" t="s">
        <v>10111</v>
      </c>
      <c r="I1584" s="12" t="b">
        <f>ISNUMBER(VALUE(LEFT(Customer[[#This Row],[Address Line 3 (30 char)]],1)))</f>
        <v>0</v>
      </c>
      <c r="J1584" s="12" t="s">
        <v>172</v>
      </c>
      <c r="K1584" s="12">
        <v>68100</v>
      </c>
      <c r="L1584" s="12" t="s">
        <v>35</v>
      </c>
      <c r="M1584" s="13" t="e">
        <v>#N/A</v>
      </c>
      <c r="N1584" s="14" t="e">
        <v>#N/A</v>
      </c>
      <c r="O1584" s="14" t="e">
        <v>#N/A</v>
      </c>
      <c r="P1584" s="14" t="e">
        <v>#N/A</v>
      </c>
      <c r="Q1584" s="14" t="e">
        <v>#N/A</v>
      </c>
      <c r="R1584" s="15" t="s">
        <v>10112</v>
      </c>
      <c r="S1584" s="15" t="s">
        <v>5934</v>
      </c>
      <c r="T1584" s="16" t="s">
        <v>3477</v>
      </c>
      <c r="U1584" s="11" t="str">
        <f>_xlfn.XLOOKUP(Customer[[#This Row],[Customer ID]],[1]!Address[ID],[1]!Address[Phone No.(2)])</f>
        <v/>
      </c>
      <c r="V1584" s="11" t="str">
        <f>_xlfn.XLOOKUP(Customer[[#This Row],[Customer ID]],[1]!Address[ID],[1]!Address[Type])</f>
        <v>HM</v>
      </c>
      <c r="W1584" s="11" t="str">
        <f>_xlfn.XLOOKUP(Customer[[#This Row],[Customer ID]],[1]!Address[ID],[1]!Address[CT])</f>
        <v>45 DAYS</v>
      </c>
      <c r="X1584" s="11"/>
      <c r="Y1584" s="17" t="s">
        <v>5968</v>
      </c>
      <c r="Z1584" s="17" t="e">
        <f>_xlfn.XLOOKUP(Customer[[#This Row],[NewType]],$AF$36:$AF$54,$AG$36:$AG$54)</f>
        <v>#N/A</v>
      </c>
      <c r="AA1584" s="17" t="s">
        <v>10113</v>
      </c>
      <c r="AB1584" s="11" t="str">
        <f>_xlfn.XLOOKUP(Customer[[#This Row],[Customer ID]],[1]!Address[ID],[1]!Address[Subtype])</f>
        <v>NSK</v>
      </c>
      <c r="AC1584" s="18">
        <f>_xlfn.XLOOKUP(Customer[[#This Row],[Customer ID]],[1]!Address[ID],[1]!Address[Zone])</f>
        <v>0</v>
      </c>
    </row>
    <row r="1585" spans="1:30" x14ac:dyDescent="0.3">
      <c r="A1585" s="43" t="s">
        <v>10114</v>
      </c>
      <c r="B1585" s="44" t="str">
        <f>_xlfn.XLOOKUP(Customer[[#This Row],[Customer ID]],[1]!Name[ID],[1]!Name[Description(1)])</f>
        <v>MUTIARA IQBAL AND WELLNESS SDN BHD</v>
      </c>
      <c r="C1585" s="38" t="str">
        <f>_xlfn.XLOOKUP(Customer[[#This Row],[Customer ID]],[1]!Name[ID],[1]!Name[Description(2)])</f>
        <v/>
      </c>
      <c r="D1585" s="38" t="str">
        <f>_xlfn.XLOOKUP(Customer[[#This Row],[Customer ID]],[1]!Address[ID],[1]!Address[PIC])</f>
        <v/>
      </c>
      <c r="E1585" s="38" t="str">
        <f>_xlfn.XLOOKUP(Customer[[#This Row],[Customer ID]],[1]!Address[ID],[1]!Address[Full Address])</f>
        <v>46,47,48, JALAN SEROJA 1/1,TAMAN SEROJA BANDAR AMANJAYA,08000 SUNGAI PETANI,KEDAH</v>
      </c>
      <c r="F1585" s="12" t="s">
        <v>10115</v>
      </c>
      <c r="G1585" s="12" t="s">
        <v>10116</v>
      </c>
      <c r="H1585" s="24" t="s">
        <v>7686</v>
      </c>
      <c r="I1585" s="24" t="b">
        <f>ISNUMBER(VALUE(LEFT(Customer[[#This Row],[Address Line 3 (30 char)]],1)))</f>
        <v>0</v>
      </c>
      <c r="J1585" s="12" t="s">
        <v>79</v>
      </c>
      <c r="K1585" s="30" t="s">
        <v>296</v>
      </c>
      <c r="L1585" s="12" t="s">
        <v>35</v>
      </c>
      <c r="M1585" s="13" t="e">
        <v>#N/A</v>
      </c>
      <c r="N1585" s="14" t="e">
        <v>#N/A</v>
      </c>
      <c r="O1585" s="14" t="e">
        <v>#N/A</v>
      </c>
      <c r="P1585" s="14" t="e">
        <v>#N/A</v>
      </c>
      <c r="Q1585" s="14" t="e">
        <v>#N/A</v>
      </c>
      <c r="R1585" s="15" t="s">
        <v>36</v>
      </c>
      <c r="S1585" s="15" t="s">
        <v>5934</v>
      </c>
      <c r="T1585" s="16" t="s">
        <v>3477</v>
      </c>
      <c r="U1585" s="11" t="str">
        <f>_xlfn.XLOOKUP(Customer[[#This Row],[Customer ID]],[1]!Address[ID],[1]!Address[Phone No.(2)])</f>
        <v/>
      </c>
      <c r="V1585" s="11" t="str">
        <f>_xlfn.XLOOKUP(Customer[[#This Row],[Customer ID]],[1]!Address[ID],[1]!Address[Type])</f>
        <v>CM</v>
      </c>
      <c r="W1585" s="11" t="str">
        <f>_xlfn.XLOOKUP(Customer[[#This Row],[Customer ID]],[1]!Address[ID],[1]!Address[CT])</f>
        <v>CASH</v>
      </c>
      <c r="X1585" s="11"/>
      <c r="Y1585" s="17" t="s">
        <v>5918</v>
      </c>
      <c r="Z1585" s="17" t="e">
        <f>_xlfn.XLOOKUP(Customer[[#This Row],[NewType]],$AF$36:$AF$54,$AG$36:$AG$54)</f>
        <v>#N/A</v>
      </c>
      <c r="AA1585" s="17" t="s">
        <v>10117</v>
      </c>
      <c r="AB1585" s="11" t="str">
        <f>_xlfn.XLOOKUP(Customer[[#This Row],[Customer ID]],[1]!Address[ID],[1]!Address[Subtype])</f>
        <v>MUTIARA</v>
      </c>
      <c r="AC1585" s="18" t="str">
        <f>_xlfn.XLOOKUP(Customer[[#This Row],[Customer ID]],[1]!Address[ID],[1]!Address[Zone])</f>
        <v>NORTH</v>
      </c>
    </row>
    <row r="1586" spans="1:30" x14ac:dyDescent="0.3">
      <c r="A1586" s="48" t="s">
        <v>10118</v>
      </c>
      <c r="B1586" s="49" t="str">
        <f>_xlfn.XLOOKUP(Customer[[#This Row],[Customer ID]],[1]!Name[ID],[1]!Name[Description(1)])</f>
        <v>MAZIDAH BINTI ABDUL LATIB</v>
      </c>
      <c r="C1586" s="50" t="str">
        <f>_xlfn.XLOOKUP(Customer[[#This Row],[Customer ID]],[1]!Name[ID],[1]!Name[Description(2)])</f>
        <v/>
      </c>
      <c r="D1586" s="50" t="str">
        <f>_xlfn.XLOOKUP(Customer[[#This Row],[Customer ID]],[1]!Address[ID],[1]!Address[PIC])</f>
        <v/>
      </c>
      <c r="E1586" s="38" t="str">
        <f>_xlfn.XLOOKUP(Customer[[#This Row],[Customer ID]],[1]!Address[ID],[1]!Address[Full Address])</f>
        <v>NO 8A-4 KAMPUNG KUALA JEMPOL,JEMPOL, 72100 NEGERI SEMBILAN</v>
      </c>
      <c r="F1586" s="29" t="s">
        <v>10119</v>
      </c>
      <c r="G1586" s="29" t="s">
        <v>10120</v>
      </c>
      <c r="H1586" s="29" t="s">
        <v>36</v>
      </c>
      <c r="I1586" s="29" t="b">
        <f>ISNUMBER(VALUE(LEFT(Customer[[#This Row],[Address Line 3 (30 char)]],1)))</f>
        <v>0</v>
      </c>
      <c r="J1586" s="29" t="s">
        <v>2004</v>
      </c>
      <c r="K1586" s="29">
        <v>72100</v>
      </c>
      <c r="L1586" s="29" t="s">
        <v>35</v>
      </c>
      <c r="M1586" s="31" t="e">
        <v>#N/A</v>
      </c>
      <c r="N1586" s="36" t="e">
        <v>#N/A</v>
      </c>
      <c r="O1586" s="36" t="e">
        <v>#N/A</v>
      </c>
      <c r="P1586" s="36" t="e">
        <v>#N/A</v>
      </c>
      <c r="Q1586" s="36" t="e">
        <v>#N/A</v>
      </c>
      <c r="R1586" s="51" t="s">
        <v>10121</v>
      </c>
      <c r="S1586" s="51"/>
      <c r="T1586" s="52"/>
      <c r="U1586" s="49" t="str">
        <f>_xlfn.XLOOKUP(Customer[[#This Row],[Customer ID]],[1]!Address[ID],[1]!Address[Phone No.(2)])</f>
        <v/>
      </c>
      <c r="V1586" s="49" t="str">
        <f>_xlfn.XLOOKUP(Customer[[#This Row],[Customer ID]],[1]!Address[ID],[1]!Address[Type])</f>
        <v>SOCMED</v>
      </c>
      <c r="W1586" s="49" t="str">
        <f>_xlfn.XLOOKUP(Customer[[#This Row],[Customer ID]],[1]!Address[ID],[1]!Address[CT])</f>
        <v/>
      </c>
      <c r="X1586" s="49"/>
      <c r="Y1586" s="53" t="s">
        <v>90</v>
      </c>
      <c r="Z1586" s="53" t="e">
        <f>_xlfn.XLOOKUP(Customer[[#This Row],[NewType]],$AF$36:$AF$54,$AG$36:$AG$54)</f>
        <v>#N/A</v>
      </c>
      <c r="AA1586" s="53" t="s">
        <v>10122</v>
      </c>
      <c r="AB1586" s="49" t="str">
        <f>_xlfn.XLOOKUP(Customer[[#This Row],[Customer ID]],[1]!Address[ID],[1]!Address[Subtype])</f>
        <v>WHATSAPP</v>
      </c>
      <c r="AC1586" s="54" t="str">
        <f>_xlfn.XLOOKUP(Customer[[#This Row],[Customer ID]],[1]!Address[ID],[1]!Address[Zone])</f>
        <v>CENTRAL</v>
      </c>
      <c r="AD1586" s="55"/>
    </row>
    <row r="1587" spans="1:30" x14ac:dyDescent="0.3">
      <c r="A1587" s="37" t="s">
        <v>10123</v>
      </c>
      <c r="B1587" s="38" t="str">
        <f>_xlfn.XLOOKUP(Customer[[#This Row],[Customer ID]],[1]!Name[ID],[1]!Name[Description(1)])</f>
        <v>MULIAJAYA BUKIT GANTANG SERVICE STATION</v>
      </c>
      <c r="C1587" s="38" t="str">
        <f>_xlfn.XLOOKUP(Customer[[#This Row],[Customer ID]],[1]!Name[ID],[1]!Name[Description(2)])</f>
        <v>CALTEX BUKIT GANTANG</v>
      </c>
      <c r="D1587" s="38" t="str">
        <f>_xlfn.XLOOKUP(Customer[[#This Row],[Customer ID]],[1]!Address[ID],[1]!Address[PIC])</f>
        <v/>
      </c>
      <c r="E1587" s="38" t="str">
        <f>_xlfn.XLOOKUP(Customer[[#This Row],[Customer ID]],[1]!Address[ID],[1]!Address[Full Address])</f>
        <v>CALTEX BUKIT GANTANGKM225(SOUTH BOUND)LEBUHRAYA UTARA- SELATAN34850 CHANGKAT    JERING PERAK</v>
      </c>
      <c r="F1587" s="12" t="s">
        <v>10124</v>
      </c>
      <c r="G1587" s="12" t="s">
        <v>10125</v>
      </c>
      <c r="H1587" s="12" t="s">
        <v>10126</v>
      </c>
      <c r="I1587" s="12" t="b">
        <f>ISNUMBER(VALUE(LEFT(Customer[[#This Row],[Address Line 3 (30 char)]],1)))</f>
        <v>0</v>
      </c>
      <c r="J1587" s="12" t="s">
        <v>242</v>
      </c>
      <c r="K1587" s="12">
        <v>34850</v>
      </c>
      <c r="L1587" s="12" t="s">
        <v>35</v>
      </c>
      <c r="M1587" s="13" t="e">
        <v>#N/A</v>
      </c>
      <c r="N1587" s="14" t="e">
        <v>#N/A</v>
      </c>
      <c r="O1587" s="14" t="e">
        <v>#N/A</v>
      </c>
      <c r="P1587" s="14" t="e">
        <v>#N/A</v>
      </c>
      <c r="Q1587" s="19" t="s">
        <v>10127</v>
      </c>
      <c r="R1587" s="15" t="s">
        <v>10128</v>
      </c>
      <c r="S1587" s="15" t="s">
        <v>37</v>
      </c>
      <c r="T1587" s="16" t="s">
        <v>38</v>
      </c>
      <c r="U1587" s="11" t="str">
        <f>_xlfn.XLOOKUP(Customer[[#This Row],[Customer ID]],[1]!Address[ID],[1]!Address[Phone No.(2)])</f>
        <v/>
      </c>
      <c r="V1587" s="11" t="str">
        <f>_xlfn.XLOOKUP(Customer[[#This Row],[Customer ID]],[1]!Address[ID],[1]!Address[Type])</f>
        <v>PETROMART</v>
      </c>
      <c r="W1587" s="11" t="str">
        <f>_xlfn.XLOOKUP(Customer[[#This Row],[Customer ID]],[1]!Address[ID],[1]!Address[CT])</f>
        <v>30</v>
      </c>
      <c r="X1587" s="11" t="s">
        <v>39</v>
      </c>
      <c r="Y1587" s="17" t="s">
        <v>40</v>
      </c>
      <c r="Z1587" s="17" t="e">
        <f>_xlfn.XLOOKUP(Customer[[#This Row],[NewType]],$AF$36:$AF$54,$AG$36:$AG$54)</f>
        <v>#N/A</v>
      </c>
      <c r="AA1587" s="17" t="s">
        <v>10129</v>
      </c>
      <c r="AB1587" s="11" t="str">
        <f>_xlfn.XLOOKUP(Customer[[#This Row],[Customer ID]],[1]!Address[ID],[1]!Address[Subtype])</f>
        <v>CALTEX</v>
      </c>
      <c r="AC1587" s="18" t="str">
        <f>_xlfn.XLOOKUP(Customer[[#This Row],[Customer ID]],[1]!Address[ID],[1]!Address[Zone])</f>
        <v>NORTH</v>
      </c>
    </row>
    <row r="1588" spans="1:30" x14ac:dyDescent="0.3">
      <c r="A1588" s="48" t="s">
        <v>10130</v>
      </c>
      <c r="B1588" s="49" t="str">
        <f>_xlfn.XLOOKUP(Customer[[#This Row],[Customer ID]],[1]!Name[ID],[1]!Name[Description(1)])</f>
        <v>MOHD IMRAN BIN ZAKARIA</v>
      </c>
      <c r="C1588" s="50" t="str">
        <f>_xlfn.XLOOKUP(Customer[[#This Row],[Customer ID]],[1]!Name[ID],[1]!Name[Description(2)])</f>
        <v/>
      </c>
      <c r="D1588" s="50" t="str">
        <f>_xlfn.XLOOKUP(Customer[[#This Row],[Customer ID]],[1]!Address[ID],[1]!Address[PIC])</f>
        <v/>
      </c>
      <c r="E1588" s="38" t="str">
        <f>_xlfn.XLOOKUP(Customer[[#This Row],[Customer ID]],[1]!Address[ID],[1]!Address[Full Address])</f>
        <v>368-B JLN SEMANGKA,BT 6 1/2 KG SRI JAYA,81200 JOHOR BAHRU, JOHOR</v>
      </c>
      <c r="F1588" s="29" t="s">
        <v>10131</v>
      </c>
      <c r="G1588" s="29" t="s">
        <v>10132</v>
      </c>
      <c r="H1588" s="79" t="s">
        <v>1155</v>
      </c>
      <c r="I1588" s="79" t="b">
        <f>ISNUMBER(VALUE(LEFT(Customer[[#This Row],[Address Line 3 (30 char)]],1)))</f>
        <v>0</v>
      </c>
      <c r="J1588" s="29" t="s">
        <v>52</v>
      </c>
      <c r="K1588" s="29">
        <v>81200</v>
      </c>
      <c r="L1588" s="29" t="s">
        <v>35</v>
      </c>
      <c r="M1588" s="31" t="e">
        <v>#N/A</v>
      </c>
      <c r="N1588" s="36" t="e">
        <v>#N/A</v>
      </c>
      <c r="O1588" s="36" t="e">
        <v>#N/A</v>
      </c>
      <c r="P1588" s="36" t="e">
        <v>#N/A</v>
      </c>
      <c r="Q1588" s="36" t="e">
        <v>#N/A</v>
      </c>
      <c r="R1588" s="51" t="s">
        <v>10133</v>
      </c>
      <c r="S1588" s="51"/>
      <c r="T1588" s="52"/>
      <c r="U1588" s="49" t="str">
        <f>_xlfn.XLOOKUP(Customer[[#This Row],[Customer ID]],[1]!Address[ID],[1]!Address[Phone No.(2)])</f>
        <v/>
      </c>
      <c r="V1588" s="49" t="str">
        <f>_xlfn.XLOOKUP(Customer[[#This Row],[Customer ID]],[1]!Address[ID],[1]!Address[Type])</f>
        <v>SOCMED</v>
      </c>
      <c r="W1588" s="49" t="str">
        <f>_xlfn.XLOOKUP(Customer[[#This Row],[Customer ID]],[1]!Address[ID],[1]!Address[CT])</f>
        <v/>
      </c>
      <c r="X1588" s="49"/>
      <c r="Y1588" s="53" t="s">
        <v>90</v>
      </c>
      <c r="Z1588" s="53" t="e">
        <f>_xlfn.XLOOKUP(Customer[[#This Row],[NewType]],$AF$36:$AF$54,$AG$36:$AG$54)</f>
        <v>#N/A</v>
      </c>
      <c r="AA1588" s="53" t="s">
        <v>10134</v>
      </c>
      <c r="AB1588" s="49" t="str">
        <f>_xlfn.XLOOKUP(Customer[[#This Row],[Customer ID]],[1]!Address[ID],[1]!Address[Subtype])</f>
        <v>WHATSAPP</v>
      </c>
      <c r="AC1588" s="54" t="str">
        <f>_xlfn.XLOOKUP(Customer[[#This Row],[Customer ID]],[1]!Address[ID],[1]!Address[Zone])</f>
        <v>SOUTH</v>
      </c>
      <c r="AD1588" s="55"/>
    </row>
    <row r="1589" spans="1:30" x14ac:dyDescent="0.3">
      <c r="A1589" s="56" t="s">
        <v>10135</v>
      </c>
      <c r="B1589" s="50" t="str">
        <f>_xlfn.XLOOKUP(Customer[[#This Row],[Customer ID]],[1]!Name[ID],[1]!Name[Description(1)])</f>
        <v>UNI FARMASI SHAH ALAM</v>
      </c>
      <c r="C1589" s="38" t="str">
        <f>_xlfn.XLOOKUP(Customer[[#This Row],[Customer ID]],[1]!Name[ID],[1]!Name[Description(2)])</f>
        <v/>
      </c>
      <c r="D1589" s="38" t="str">
        <f>_xlfn.XLOOKUP(Customer[[#This Row],[Customer ID]],[1]!Address[ID],[1]!Address[PIC])</f>
        <v/>
      </c>
      <c r="E1589" s="38" t="str">
        <f>_xlfn.XLOOKUP(Customer[[#This Row],[Customer ID]],[1]!Address[ID],[1]!Address[Full Address])</f>
        <v>NO 18, JALAN ZIRKON E 7/E,SEKSYEN 7,  40000 SHAH ALAM</v>
      </c>
      <c r="F1589" s="12" t="s">
        <v>10136</v>
      </c>
      <c r="G1589" s="12" t="s">
        <v>10137</v>
      </c>
      <c r="H1589" s="12" t="s">
        <v>36</v>
      </c>
      <c r="I1589" s="12" t="b">
        <f>ISNUMBER(VALUE(LEFT(Customer[[#This Row],[Address Line 3 (30 char)]],1)))</f>
        <v>0</v>
      </c>
      <c r="J1589" s="12" t="s">
        <v>172</v>
      </c>
      <c r="K1589" s="12">
        <v>40000</v>
      </c>
      <c r="L1589" s="12" t="s">
        <v>35</v>
      </c>
      <c r="M1589" s="13" t="e">
        <v>#N/A</v>
      </c>
      <c r="N1589" s="14" t="e">
        <v>#N/A</v>
      </c>
      <c r="O1589" s="14" t="e">
        <v>#N/A</v>
      </c>
      <c r="P1589" s="14" t="e">
        <v>#N/A</v>
      </c>
      <c r="Q1589" s="14" t="e">
        <v>#N/A</v>
      </c>
      <c r="R1589" s="15" t="s">
        <v>10138</v>
      </c>
      <c r="S1589" s="15" t="s">
        <v>3212</v>
      </c>
      <c r="T1589" s="16" t="s">
        <v>89</v>
      </c>
      <c r="U1589" s="11" t="str">
        <f>_xlfn.XLOOKUP(Customer[[#This Row],[Customer ID]],[1]!Address[ID],[1]!Address[Phone No.(2)])</f>
        <v/>
      </c>
      <c r="V1589" s="11" t="str">
        <f>_xlfn.XLOOKUP(Customer[[#This Row],[Customer ID]],[1]!Address[ID],[1]!Address[Type])</f>
        <v>SOCMED</v>
      </c>
      <c r="W1589" s="11" t="str">
        <f>_xlfn.XLOOKUP(Customer[[#This Row],[Customer ID]],[1]!Address[ID],[1]!Address[CT])</f>
        <v/>
      </c>
      <c r="X1589" s="11"/>
      <c r="Y1589" s="17" t="s">
        <v>90</v>
      </c>
      <c r="Z1589" s="17" t="e">
        <f>_xlfn.XLOOKUP(Customer[[#This Row],[NewType]],$AF$36:$AF$54,$AG$36:$AG$54)</f>
        <v>#N/A</v>
      </c>
      <c r="AA1589" s="17" t="s">
        <v>10139</v>
      </c>
      <c r="AB1589" s="11" t="str">
        <f>_xlfn.XLOOKUP(Customer[[#This Row],[Customer ID]],[1]!Address[ID],[1]!Address[Subtype])</f>
        <v>ONLINE HAJAR</v>
      </c>
      <c r="AC1589" s="18" t="str">
        <f>_xlfn.XLOOKUP(Customer[[#This Row],[Customer ID]],[1]!Address[ID],[1]!Address[Zone])</f>
        <v>EEEDH</v>
      </c>
    </row>
    <row r="1590" spans="1:30" x14ac:dyDescent="0.3">
      <c r="A1590" s="39" t="s">
        <v>10140</v>
      </c>
      <c r="B1590" s="40" t="str">
        <f>_xlfn.XLOOKUP(Customer[[#This Row],[Customer ID]],[1]!Name[ID],[1]!Name[Description(1)])</f>
        <v>MUSALLAS ENTERPRISE</v>
      </c>
      <c r="C1590" s="38" t="str">
        <f>_xlfn.XLOOKUP(Customer[[#This Row],[Customer ID]],[1]!Name[ID],[1]!Name[Description(2)])</f>
        <v/>
      </c>
      <c r="D1590" s="38" t="str">
        <f>_xlfn.XLOOKUP(Customer[[#This Row],[Customer ID]],[1]!Address[ID],[1]!Address[PIC])</f>
        <v/>
      </c>
      <c r="E1590" s="38" t="str">
        <f>_xlfn.XLOOKUP(Customer[[#This Row],[Customer ID]],[1]!Address[ID],[1]!Address[Full Address])</f>
        <v/>
      </c>
      <c r="F1590" s="12" t="s">
        <v>36</v>
      </c>
      <c r="G1590" s="12" t="s">
        <v>36</v>
      </c>
      <c r="H1590" s="12" t="s">
        <v>36</v>
      </c>
      <c r="I1590" s="12" t="b">
        <f>ISNUMBER(VALUE(LEFT(Customer[[#This Row],[Address Line 3 (30 char)]],1)))</f>
        <v>0</v>
      </c>
      <c r="J1590" s="12" t="s">
        <v>52</v>
      </c>
      <c r="K1590" s="12">
        <v>84000</v>
      </c>
      <c r="L1590" s="12" t="s">
        <v>35</v>
      </c>
      <c r="M1590" s="13" t="e">
        <v>#N/A</v>
      </c>
      <c r="N1590" s="14" t="e">
        <v>#N/A</v>
      </c>
      <c r="O1590" s="14" t="e">
        <v>#N/A</v>
      </c>
      <c r="P1590" s="14" t="e">
        <v>#N/A</v>
      </c>
      <c r="Q1590" s="14" t="e">
        <v>#N/A</v>
      </c>
      <c r="R1590" s="15" t="s">
        <v>6618</v>
      </c>
      <c r="S1590" s="15" t="s">
        <v>5917</v>
      </c>
      <c r="T1590" s="16" t="s">
        <v>3477</v>
      </c>
      <c r="U1590" s="11" t="str">
        <f>_xlfn.XLOOKUP(Customer[[#This Row],[Customer ID]],[1]!Address[ID],[1]!Address[Phone No.(2)])</f>
        <v/>
      </c>
      <c r="V1590" s="11" t="str">
        <f>_xlfn.XLOOKUP(Customer[[#This Row],[Customer ID]],[1]!Address[ID],[1]!Address[Type])</f>
        <v>CM</v>
      </c>
      <c r="W1590" s="11" t="str">
        <f>_xlfn.XLOOKUP(Customer[[#This Row],[Customer ID]],[1]!Address[ID],[1]!Address[CT])</f>
        <v>30 DAYS</v>
      </c>
      <c r="X1590" s="11"/>
      <c r="Y1590" s="17" t="s">
        <v>5918</v>
      </c>
      <c r="Z1590" s="17" t="e">
        <f>_xlfn.XLOOKUP(Customer[[#This Row],[NewType]],$AF$36:$AF$54,$AG$36:$AG$54)</f>
        <v>#N/A</v>
      </c>
      <c r="AA1590" s="17" t="s">
        <v>10141</v>
      </c>
      <c r="AB1590" s="11" t="str">
        <f>_xlfn.XLOOKUP(Customer[[#This Row],[Customer ID]],[1]!Address[ID],[1]!Address[Subtype])</f>
        <v>MUSALLAS</v>
      </c>
      <c r="AC1590" s="18">
        <f>_xlfn.XLOOKUP(Customer[[#This Row],[Customer ID]],[1]!Address[ID],[1]!Address[Zone])</f>
        <v>0</v>
      </c>
    </row>
    <row r="1591" spans="1:30" x14ac:dyDescent="0.3">
      <c r="A1591" s="48" t="s">
        <v>10142</v>
      </c>
      <c r="B1591" s="49" t="str">
        <f>_xlfn.XLOOKUP(Customer[[#This Row],[Customer ID]],[1]!Name[ID],[1]!Name[Description(1)])</f>
        <v>AMIR</v>
      </c>
      <c r="C1591" s="50" t="str">
        <f>_xlfn.XLOOKUP(Customer[[#This Row],[Customer ID]],[1]!Name[ID],[1]!Name[Description(2)])</f>
        <v/>
      </c>
      <c r="D1591" s="50" t="str">
        <f>_xlfn.XLOOKUP(Customer[[#This Row],[Customer ID]],[1]!Address[ID],[1]!Address[PIC])</f>
        <v/>
      </c>
      <c r="E1591" s="38" t="str">
        <f>_xlfn.XLOOKUP(Customer[[#This Row],[Customer ID]],[1]!Address[ID],[1]!Address[Full Address])</f>
        <v>BLOCK B: B16-04 IDAMAN RESIDENCE,JALAN IDAMAN 9, NUSA IDAMAN79100 ISKANDAR PUTERI, JOHOR BAHRU</v>
      </c>
      <c r="F1591" s="29" t="s">
        <v>10143</v>
      </c>
      <c r="G1591" s="29" t="s">
        <v>10144</v>
      </c>
      <c r="H1591" s="29" t="s">
        <v>10145</v>
      </c>
      <c r="I1591" s="29" t="b">
        <f>ISNUMBER(VALUE(LEFT(Customer[[#This Row],[Address Line 3 (30 char)]],1)))</f>
        <v>0</v>
      </c>
      <c r="J1591" s="29" t="s">
        <v>52</v>
      </c>
      <c r="K1591" s="29">
        <v>79100</v>
      </c>
      <c r="L1591" s="29" t="s">
        <v>35</v>
      </c>
      <c r="M1591" s="31" t="e">
        <v>#N/A</v>
      </c>
      <c r="N1591" s="36" t="e">
        <v>#N/A</v>
      </c>
      <c r="O1591" s="36" t="e">
        <v>#N/A</v>
      </c>
      <c r="P1591" s="36" t="e">
        <v>#N/A</v>
      </c>
      <c r="Q1591" s="36" t="e">
        <v>#N/A</v>
      </c>
      <c r="R1591" s="51" t="s">
        <v>10146</v>
      </c>
      <c r="S1591" s="51"/>
      <c r="T1591" s="52"/>
      <c r="U1591" s="49" t="str">
        <f>_xlfn.XLOOKUP(Customer[[#This Row],[Customer ID]],[1]!Address[ID],[1]!Address[Phone No.(2)])</f>
        <v/>
      </c>
      <c r="V1591" s="49" t="str">
        <f>_xlfn.XLOOKUP(Customer[[#This Row],[Customer ID]],[1]!Address[ID],[1]!Address[Type])</f>
        <v>SOCMED</v>
      </c>
      <c r="W1591" s="49" t="str">
        <f>_xlfn.XLOOKUP(Customer[[#This Row],[Customer ID]],[1]!Address[ID],[1]!Address[CT])</f>
        <v/>
      </c>
      <c r="X1591" s="49"/>
      <c r="Y1591" s="53" t="s">
        <v>90</v>
      </c>
      <c r="Z1591" s="53" t="e">
        <f>_xlfn.XLOOKUP(Customer[[#This Row],[NewType]],$AF$36:$AF$54,$AG$36:$AG$54)</f>
        <v>#N/A</v>
      </c>
      <c r="AA1591" s="53" t="s">
        <v>10147</v>
      </c>
      <c r="AB1591" s="49" t="str">
        <f>_xlfn.XLOOKUP(Customer[[#This Row],[Customer ID]],[1]!Address[ID],[1]!Address[Subtype])</f>
        <v>WHATSAPP</v>
      </c>
      <c r="AC1591" s="54" t="str">
        <f>_xlfn.XLOOKUP(Customer[[#This Row],[Customer ID]],[1]!Address[ID],[1]!Address[Zone])</f>
        <v>SOUTH</v>
      </c>
      <c r="AD1591" s="55"/>
    </row>
    <row r="1592" spans="1:30" x14ac:dyDescent="0.3">
      <c r="A1592" s="37" t="s">
        <v>10148</v>
      </c>
      <c r="B1592" s="38" t="str">
        <f>_xlfn.XLOOKUP(Customer[[#This Row],[Customer ID]],[1]!Name[ID],[1]!Name[Description(1)])</f>
        <v>IRZA HANIE BINTI ABU SAMAH</v>
      </c>
      <c r="C1592" s="38" t="str">
        <f>_xlfn.XLOOKUP(Customer[[#This Row],[Customer ID]],[1]!Name[ID],[1]!Name[Description(2)])</f>
        <v/>
      </c>
      <c r="D1592" s="38" t="str">
        <f>_xlfn.XLOOKUP(Customer[[#This Row],[Customer ID]],[1]!Address[ID],[1]!Address[PIC])</f>
        <v/>
      </c>
      <c r="E1592" s="38" t="str">
        <f>_xlfn.XLOOKUP(Customer[[#This Row],[Customer ID]],[1]!Address[ID],[1]!Address[Full Address])</f>
        <v>NO.23, JLN SETIA TROPIKA,4/13,MN SETIA TROPIKA, 81200 JOHOR BAHRU.</v>
      </c>
      <c r="F1592" s="12" t="s">
        <v>10149</v>
      </c>
      <c r="G1592" s="12" t="s">
        <v>10150</v>
      </c>
      <c r="H1592" s="86" t="s">
        <v>1155</v>
      </c>
      <c r="I1592" s="86" t="b">
        <f>ISNUMBER(VALUE(LEFT(Customer[[#This Row],[Address Line 3 (30 char)]],1)))</f>
        <v>0</v>
      </c>
      <c r="J1592" s="12" t="s">
        <v>52</v>
      </c>
      <c r="K1592" s="12">
        <v>81200</v>
      </c>
      <c r="L1592" s="12" t="s">
        <v>35</v>
      </c>
      <c r="M1592" s="13" t="e">
        <v>#N/A</v>
      </c>
      <c r="N1592" s="14" t="e">
        <v>#N/A</v>
      </c>
      <c r="O1592" s="14" t="e">
        <v>#N/A</v>
      </c>
      <c r="P1592" s="14" t="e">
        <v>#N/A</v>
      </c>
      <c r="Q1592" s="14" t="e">
        <v>#N/A</v>
      </c>
      <c r="R1592" s="15" t="s">
        <v>10151</v>
      </c>
      <c r="S1592" s="15" t="s">
        <v>88</v>
      </c>
      <c r="T1592" s="16" t="s">
        <v>89</v>
      </c>
      <c r="U1592" s="11" t="str">
        <f>_xlfn.XLOOKUP(Customer[[#This Row],[Customer ID]],[1]!Address[ID],[1]!Address[Phone No.(2)])</f>
        <v/>
      </c>
      <c r="V1592" s="11" t="str">
        <f>_xlfn.XLOOKUP(Customer[[#This Row],[Customer ID]],[1]!Address[ID],[1]!Address[Type])</f>
        <v>SOCMED</v>
      </c>
      <c r="W1592" s="11" t="str">
        <f>_xlfn.XLOOKUP(Customer[[#This Row],[Customer ID]],[1]!Address[ID],[1]!Address[CT])</f>
        <v/>
      </c>
      <c r="X1592" s="11"/>
      <c r="Y1592" s="17" t="s">
        <v>90</v>
      </c>
      <c r="Z1592" s="17" t="e">
        <f>_xlfn.XLOOKUP(Customer[[#This Row],[NewType]],$AF$36:$AF$54,$AG$36:$AG$54)</f>
        <v>#N/A</v>
      </c>
      <c r="AA1592" s="17" t="s">
        <v>10152</v>
      </c>
      <c r="AB1592" s="11" t="str">
        <f>_xlfn.XLOOKUP(Customer[[#This Row],[Customer ID]],[1]!Address[ID],[1]!Address[Subtype])</f>
        <v>ONLINE ROS</v>
      </c>
      <c r="AC1592" s="18" t="str">
        <f>_xlfn.XLOOKUP(Customer[[#This Row],[Customer ID]],[1]!Address[ID],[1]!Address[Zone])</f>
        <v>SOUTH</v>
      </c>
    </row>
    <row r="1593" spans="1:30" x14ac:dyDescent="0.3">
      <c r="A1593" s="37" t="s">
        <v>10153</v>
      </c>
      <c r="B1593" s="38" t="str">
        <f>_xlfn.XLOOKUP(Customer[[#This Row],[Customer ID]],[1]!Name[ID],[1]!Name[Description(1)])</f>
        <v>U.N.I FARMASI KEMASIK</v>
      </c>
      <c r="C1593" s="38" t="str">
        <f>_xlfn.XLOOKUP(Customer[[#This Row],[Customer ID]],[1]!Name[ID],[1]!Name[Description(2)])</f>
        <v>NURVIA CARE ENTERPRISE</v>
      </c>
      <c r="D1593" s="38" t="str">
        <f>_xlfn.XLOOKUP(Customer[[#This Row],[Customer ID]],[1]!Address[ID],[1]!Address[PIC])</f>
        <v>AINNUR NADUA</v>
      </c>
      <c r="E1593" s="38" t="str">
        <f>_xlfn.XLOOKUP(Customer[[#This Row],[Customer ID]],[1]!Address[ID],[1]!Address[Full Address])</f>
        <v>PT765, TINGKAT BAWAH, PERKEDAIANKEMASIK LALUAN PERSEKUTUAN 3,24200, KEMASEK TERENGGANU</v>
      </c>
      <c r="F1593" s="12" t="s">
        <v>10154</v>
      </c>
      <c r="G1593" s="12" t="s">
        <v>10155</v>
      </c>
      <c r="H1593" s="12" t="s">
        <v>10156</v>
      </c>
      <c r="I1593" s="12" t="b">
        <f>ISNUMBER(VALUE(LEFT(Customer[[#This Row],[Address Line 3 (30 char)]],1)))</f>
        <v>0</v>
      </c>
      <c r="J1593" s="12" t="s">
        <v>1056</v>
      </c>
      <c r="K1593" s="12">
        <v>24200</v>
      </c>
      <c r="L1593" s="12" t="s">
        <v>35</v>
      </c>
      <c r="M1593" s="13">
        <v>202503074407</v>
      </c>
      <c r="N1593" s="12" t="s">
        <v>10157</v>
      </c>
      <c r="O1593" s="14" t="e">
        <v>#N/A</v>
      </c>
      <c r="P1593" s="14" t="e">
        <v>#N/A</v>
      </c>
      <c r="Q1593" s="19" t="s">
        <v>10158</v>
      </c>
      <c r="R1593" s="15" t="s">
        <v>10159</v>
      </c>
      <c r="S1593" s="15" t="s">
        <v>88</v>
      </c>
      <c r="T1593" s="16" t="s">
        <v>89</v>
      </c>
      <c r="U1593" s="11" t="str">
        <f>_xlfn.XLOOKUP(Customer[[#This Row],[Customer ID]],[1]!Address[ID],[1]!Address[Phone No.(2)])</f>
        <v/>
      </c>
      <c r="V1593" s="11" t="str">
        <f>_xlfn.XLOOKUP(Customer[[#This Row],[Customer ID]],[1]!Address[ID],[1]!Address[Type])</f>
        <v>SOCMED</v>
      </c>
      <c r="W1593" s="11" t="str">
        <f>_xlfn.XLOOKUP(Customer[[#This Row],[Customer ID]],[1]!Address[ID],[1]!Address[CT])</f>
        <v/>
      </c>
      <c r="X1593" s="11"/>
      <c r="Y1593" s="17" t="s">
        <v>90</v>
      </c>
      <c r="Z1593" s="17" t="e">
        <f>_xlfn.XLOOKUP(Customer[[#This Row],[NewType]],$AF$36:$AF$54,$AG$36:$AG$54)</f>
        <v>#N/A</v>
      </c>
      <c r="AA1593" s="17" t="s">
        <v>10160</v>
      </c>
      <c r="AB1593" s="11" t="str">
        <f>_xlfn.XLOOKUP(Customer[[#This Row],[Customer ID]],[1]!Address[ID],[1]!Address[Subtype])</f>
        <v>ONLINE ROS</v>
      </c>
      <c r="AC1593" s="18" t="str">
        <f>_xlfn.XLOOKUP(Customer[[#This Row],[Customer ID]],[1]!Address[ID],[1]!Address[Zone])</f>
        <v>EAST COAST</v>
      </c>
    </row>
    <row r="1594" spans="1:30" x14ac:dyDescent="0.3">
      <c r="A1594" s="37" t="s">
        <v>10161</v>
      </c>
      <c r="B1594" s="38" t="str">
        <f>_xlfn.XLOOKUP(Customer[[#This Row],[Customer ID]],[1]!Name[ID],[1]!Name[Description(1)])</f>
        <v>U.N.I FARMASI TROPICANA AMAN</v>
      </c>
      <c r="C1594" s="38" t="str">
        <f>_xlfn.XLOOKUP(Customer[[#This Row],[Customer ID]],[1]!Name[ID],[1]!Name[Description(2)])</f>
        <v>AURUM WELLNESS GROUP</v>
      </c>
      <c r="D1594" s="38" t="str">
        <f>_xlfn.XLOOKUP(Customer[[#This Row],[Customer ID]],[1]!Address[ID],[1]!Address[PIC])</f>
        <v/>
      </c>
      <c r="E1594" s="38" t="str">
        <f>_xlfn.XLOOKUP(Customer[[#This Row],[Customer ID]],[1]!Address[ID],[1]!Address[Full Address])</f>
        <v>NO 10G, JALAN AMAN TIARA 8,BANDARA TROPICANA AMAN, 42500TELUK PANGLIMA GARANG, SELANGOR</v>
      </c>
      <c r="F1594" s="12" t="s">
        <v>10162</v>
      </c>
      <c r="G1594" s="12" t="s">
        <v>10163</v>
      </c>
      <c r="H1594" s="12" t="s">
        <v>7307</v>
      </c>
      <c r="I1594" s="12" t="b">
        <f>ISNUMBER(VALUE(LEFT(Customer[[#This Row],[Address Line 3 (30 char)]],1)))</f>
        <v>0</v>
      </c>
      <c r="J1594" s="12" t="s">
        <v>172</v>
      </c>
      <c r="K1594" s="12">
        <v>42500</v>
      </c>
      <c r="L1594" s="12" t="s">
        <v>35</v>
      </c>
      <c r="M1594" s="13" t="e">
        <v>#N/A</v>
      </c>
      <c r="N1594" s="14" t="e">
        <v>#N/A</v>
      </c>
      <c r="O1594" s="14" t="e">
        <v>#N/A</v>
      </c>
      <c r="P1594" s="14" t="e">
        <v>#N/A</v>
      </c>
      <c r="Q1594" s="14" t="e">
        <v>#N/A</v>
      </c>
      <c r="R1594" s="15" t="s">
        <v>10164</v>
      </c>
      <c r="S1594" s="15" t="s">
        <v>88</v>
      </c>
      <c r="T1594" s="16" t="s">
        <v>89</v>
      </c>
      <c r="U1594" s="11" t="str">
        <f>_xlfn.XLOOKUP(Customer[[#This Row],[Customer ID]],[1]!Address[ID],[1]!Address[Phone No.(2)])</f>
        <v/>
      </c>
      <c r="V1594" s="11" t="str">
        <f>_xlfn.XLOOKUP(Customer[[#This Row],[Customer ID]],[1]!Address[ID],[1]!Address[Type])</f>
        <v>SOCMED</v>
      </c>
      <c r="W1594" s="11" t="str">
        <f>_xlfn.XLOOKUP(Customer[[#This Row],[Customer ID]],[1]!Address[ID],[1]!Address[CT])</f>
        <v/>
      </c>
      <c r="X1594" s="11"/>
      <c r="Y1594" s="17" t="s">
        <v>90</v>
      </c>
      <c r="Z1594" s="17" t="e">
        <f>_xlfn.XLOOKUP(Customer[[#This Row],[NewType]],$AF$36:$AF$54,$AG$36:$AG$54)</f>
        <v>#N/A</v>
      </c>
      <c r="AA1594" s="17" t="s">
        <v>10165</v>
      </c>
      <c r="AB1594" s="11" t="str">
        <f>_xlfn.XLOOKUP(Customer[[#This Row],[Customer ID]],[1]!Address[ID],[1]!Address[Subtype])</f>
        <v>ONLINE ROS</v>
      </c>
      <c r="AC1594" s="18" t="str">
        <f>_xlfn.XLOOKUP(Customer[[#This Row],[Customer ID]],[1]!Address[ID],[1]!Address[Zone])</f>
        <v>CENTRAL</v>
      </c>
    </row>
    <row r="1595" spans="1:30" x14ac:dyDescent="0.3">
      <c r="A1595" s="37" t="s">
        <v>10166</v>
      </c>
      <c r="B1595" s="38" t="str">
        <f>_xlfn.XLOOKUP(Customer[[#This Row],[Customer ID]],[1]!Name[ID],[1]!Name[Description(1)])</f>
        <v>MESRA RETAIL &amp; CAFE SDN.BHD</v>
      </c>
      <c r="C1595" s="38" t="str">
        <f>_xlfn.XLOOKUP(Customer[[#This Row],[Customer ID]],[1]!Name[ID],[1]!Name[Description(2)])</f>
        <v/>
      </c>
      <c r="D1595" s="38" t="str">
        <f>_xlfn.XLOOKUP(Customer[[#This Row],[Customer ID]],[1]!Address[ID],[1]!Address[PIC])</f>
        <v/>
      </c>
      <c r="E1595" s="38" t="str">
        <f>_xlfn.XLOOKUP(Customer[[#This Row],[Customer ID]],[1]!Address[ID],[1]!Address[Full Address])</f>
        <v>BILIK TB-0-001, BANGUNAN PUSAT PELAJARUNIVERSITI TENAGA NASIONALKAMPUS PUTRAJAYA, JALAN IKRAMUNITEN 43000 KAJANG SELANGOR</v>
      </c>
      <c r="F1595" s="12" t="s">
        <v>10167</v>
      </c>
      <c r="G1595" s="12" t="s">
        <v>10168</v>
      </c>
      <c r="H1595" s="12" t="s">
        <v>10169</v>
      </c>
      <c r="I1595" s="12" t="b">
        <f>ISNUMBER(VALUE(LEFT(Customer[[#This Row],[Address Line 3 (30 char)]],1)))</f>
        <v>0</v>
      </c>
      <c r="J1595" s="12" t="s">
        <v>172</v>
      </c>
      <c r="K1595" s="12">
        <v>43000</v>
      </c>
      <c r="L1595" s="12" t="s">
        <v>35</v>
      </c>
      <c r="M1595" s="13" t="e">
        <v>#N/A</v>
      </c>
      <c r="N1595" s="14" t="e">
        <v>#N/A</v>
      </c>
      <c r="O1595" s="14" t="e">
        <v>#N/A</v>
      </c>
      <c r="P1595" s="14" t="e">
        <v>#N/A</v>
      </c>
      <c r="Q1595" s="14" t="e">
        <v>#N/A</v>
      </c>
      <c r="R1595" s="15" t="s">
        <v>36</v>
      </c>
      <c r="S1595" s="15" t="s">
        <v>37</v>
      </c>
      <c r="T1595" s="16" t="s">
        <v>38</v>
      </c>
      <c r="U1595" s="11" t="str">
        <f>_xlfn.XLOOKUP(Customer[[#This Row],[Customer ID]],[1]!Address[ID],[1]!Address[Phone No.(2)])</f>
        <v/>
      </c>
      <c r="V1595" s="11" t="str">
        <f>_xlfn.XLOOKUP(Customer[[#This Row],[Customer ID]],[1]!Address[ID],[1]!Address[Type])</f>
        <v>PETROMART</v>
      </c>
      <c r="W1595" s="11" t="str">
        <f>_xlfn.XLOOKUP(Customer[[#This Row],[Customer ID]],[1]!Address[ID],[1]!Address[CT])</f>
        <v>30</v>
      </c>
      <c r="X1595" s="11" t="s">
        <v>39</v>
      </c>
      <c r="Y1595" s="17" t="s">
        <v>40</v>
      </c>
      <c r="Z1595" s="17" t="e">
        <f>_xlfn.XLOOKUP(Customer[[#This Row],[NewType]],$AF$36:$AF$54,$AG$36:$AG$54)</f>
        <v>#N/A</v>
      </c>
      <c r="AA1595" s="17" t="s">
        <v>10170</v>
      </c>
      <c r="AB1595" s="11" t="str">
        <f>_xlfn.XLOOKUP(Customer[[#This Row],[Customer ID]],[1]!Address[ID],[1]!Address[Subtype])</f>
        <v>PETRONAS</v>
      </c>
      <c r="AC1595" s="18" t="str">
        <f>_xlfn.XLOOKUP(Customer[[#This Row],[Customer ID]],[1]!Address[ID],[1]!Address[Zone])</f>
        <v>CENTRAL</v>
      </c>
    </row>
    <row r="1596" spans="1:30" x14ac:dyDescent="0.3">
      <c r="A1596" s="56" t="s">
        <v>10171</v>
      </c>
      <c r="B1596" s="50" t="str">
        <f>_xlfn.XLOOKUP(Customer[[#This Row],[Customer ID]],[1]!Name[ID],[1]!Name[Description(1)])</f>
        <v>PERAK SADC</v>
      </c>
      <c r="C1596" s="50" t="str">
        <f>_xlfn.XLOOKUP(Customer[[#This Row],[Customer ID]],[1]!Name[ID],[1]!Name[Description(2)])</f>
        <v/>
      </c>
      <c r="D1596" s="50" t="str">
        <f>_xlfn.XLOOKUP(Customer[[#This Row],[Customer ID]],[1]!Address[ID],[1]!Address[PIC])</f>
        <v/>
      </c>
      <c r="E1596" s="38" t="str">
        <f>_xlfn.XLOOKUP(Customer[[#This Row],[Customer ID]],[1]!Address[ID],[1]!Address[Full Address])</f>
        <v>PERAK STATE AGRICULTURAL DEVELOPMENTCORPORATION (PERAK SADC),3, JALAN TAMAN KINTA,TAMAN CHATEAU 30250 IPOH, PERAK</v>
      </c>
      <c r="F1596" s="12" t="s">
        <v>10172</v>
      </c>
      <c r="G1596" s="12" t="s">
        <v>10173</v>
      </c>
      <c r="H1596" s="12" t="s">
        <v>9264</v>
      </c>
      <c r="I1596" s="12" t="b">
        <f>ISNUMBER(VALUE(LEFT(Customer[[#This Row],[Address Line 3 (30 char)]],1)))</f>
        <v>0</v>
      </c>
      <c r="J1596" s="12" t="s">
        <v>242</v>
      </c>
      <c r="K1596" s="12">
        <v>30250</v>
      </c>
      <c r="L1596" s="12" t="s">
        <v>35</v>
      </c>
      <c r="M1596" s="13" t="e">
        <v>#N/A</v>
      </c>
      <c r="N1596" s="14" t="e">
        <v>#N/A</v>
      </c>
      <c r="O1596" s="14" t="e">
        <v>#N/A</v>
      </c>
      <c r="P1596" s="14" t="e">
        <v>#N/A</v>
      </c>
      <c r="Q1596" s="14" t="e">
        <v>#N/A</v>
      </c>
      <c r="R1596" s="51" t="s">
        <v>36</v>
      </c>
      <c r="S1596" s="52"/>
      <c r="T1596" s="52"/>
      <c r="U1596" s="49" t="str">
        <f>_xlfn.XLOOKUP(Customer[[#This Row],[Customer ID]],[1]!Address[ID],[1]!Address[Phone No.(2)])</f>
        <v/>
      </c>
      <c r="V1596" s="49" t="str">
        <f>_xlfn.XLOOKUP(Customer[[#This Row],[Customer ID]],[1]!Address[ID],[1]!Address[Type])</f>
        <v>WALK IN</v>
      </c>
      <c r="W1596" s="49" t="str">
        <f>_xlfn.XLOOKUP(Customer[[#This Row],[Customer ID]],[1]!Address[ID],[1]!Address[CT])</f>
        <v/>
      </c>
      <c r="X1596" s="49"/>
      <c r="Y1596" s="53" t="s">
        <v>6284</v>
      </c>
      <c r="Z1596" s="53" t="e">
        <f>_xlfn.XLOOKUP(Customer[[#This Row],[NewType]],$AF$36:$AF$54,$AG$36:$AG$54)</f>
        <v>#N/A</v>
      </c>
      <c r="AA1596" s="53" t="s">
        <v>10174</v>
      </c>
      <c r="AB1596" s="49" t="str">
        <f>_xlfn.XLOOKUP(Customer[[#This Row],[Customer ID]],[1]!Address[ID],[1]!Address[Subtype])</f>
        <v>RANTAU</v>
      </c>
      <c r="AC1596" s="54" t="str">
        <f>_xlfn.XLOOKUP(Customer[[#This Row],[Customer ID]],[1]!Address[ID],[1]!Address[Zone])</f>
        <v>NORTH</v>
      </c>
      <c r="AD1596" s="55"/>
    </row>
    <row r="1597" spans="1:30" x14ac:dyDescent="0.3">
      <c r="A1597" s="27" t="s">
        <v>10175</v>
      </c>
      <c r="B1597" s="11" t="str">
        <f>_xlfn.XLOOKUP(Customer[[#This Row],[Customer ID]],[1]!Name[ID],[1]!Name[Description(1)])</f>
        <v>EN AFIFI</v>
      </c>
      <c r="C1597" s="38" t="str">
        <f>_xlfn.XLOOKUP(Customer[[#This Row],[Customer ID]],[1]!Name[ID],[1]!Name[Description(2)])</f>
        <v/>
      </c>
      <c r="D1597" s="38" t="str">
        <f>_xlfn.XLOOKUP(Customer[[#This Row],[Customer ID]],[1]!Address[ID],[1]!Address[PIC])</f>
        <v/>
      </c>
      <c r="E1597" s="38" t="str">
        <f>_xlfn.XLOOKUP(Customer[[#This Row],[Customer ID]],[1]!Address[ID],[1]!Address[Full Address])</f>
        <v>366, TAMAN TUNKU SARINA,JALAN SARINA 1,06000 JITRA, KEDAH DARUL AMAN.</v>
      </c>
      <c r="F1597" s="12" t="s">
        <v>10176</v>
      </c>
      <c r="G1597" s="12" t="s">
        <v>10177</v>
      </c>
      <c r="H1597" s="24" t="s">
        <v>10178</v>
      </c>
      <c r="I1597" s="24" t="b">
        <f>ISNUMBER(VALUE(LEFT(Customer[[#This Row],[Address Line 3 (30 char)]],1)))</f>
        <v>0</v>
      </c>
      <c r="J1597" s="12" t="s">
        <v>79</v>
      </c>
      <c r="K1597" s="30" t="s">
        <v>5731</v>
      </c>
      <c r="L1597" s="12" t="s">
        <v>35</v>
      </c>
      <c r="M1597" s="13" t="e">
        <v>#N/A</v>
      </c>
      <c r="N1597" s="14" t="e">
        <v>#N/A</v>
      </c>
      <c r="O1597" s="14" t="e">
        <v>#N/A</v>
      </c>
      <c r="P1597" s="14" t="e">
        <v>#N/A</v>
      </c>
      <c r="Q1597" s="14" t="e">
        <v>#N/A</v>
      </c>
      <c r="R1597" s="15" t="s">
        <v>10179</v>
      </c>
      <c r="S1597" s="15" t="s">
        <v>5934</v>
      </c>
      <c r="T1597" s="16" t="s">
        <v>7974</v>
      </c>
      <c r="U1597" s="11" t="str">
        <f>_xlfn.XLOOKUP(Customer[[#This Row],[Customer ID]],[1]!Address[ID],[1]!Address[Phone No.(2)])</f>
        <v/>
      </c>
      <c r="V1597" s="11" t="str">
        <f>_xlfn.XLOOKUP(Customer[[#This Row],[Customer ID]],[1]!Address[ID],[1]!Address[Type])</f>
        <v>SOCMED</v>
      </c>
      <c r="W1597" s="11" t="str">
        <f>_xlfn.XLOOKUP(Customer[[#This Row],[Customer ID]],[1]!Address[ID],[1]!Address[CT])</f>
        <v/>
      </c>
      <c r="X1597" s="11"/>
      <c r="Y1597" s="17" t="s">
        <v>90</v>
      </c>
      <c r="Z1597" s="17" t="e">
        <f>_xlfn.XLOOKUP(Customer[[#This Row],[NewType]],$AF$36:$AF$54,$AG$36:$AG$54)</f>
        <v>#N/A</v>
      </c>
      <c r="AA1597" s="17" t="s">
        <v>10180</v>
      </c>
      <c r="AB1597" s="11" t="str">
        <f>_xlfn.XLOOKUP(Customer[[#This Row],[Customer ID]],[1]!Address[ID],[1]!Address[Subtype])</f>
        <v>WHATSAPP</v>
      </c>
      <c r="AC1597" s="18" t="str">
        <f>_xlfn.XLOOKUP(Customer[[#This Row],[Customer ID]],[1]!Address[ID],[1]!Address[Zone])</f>
        <v>NORTH</v>
      </c>
    </row>
    <row r="1598" spans="1:30" x14ac:dyDescent="0.3">
      <c r="A1598" s="37" t="s">
        <v>10181</v>
      </c>
      <c r="B1598" s="38" t="str">
        <f>_xlfn.XLOOKUP(Customer[[#This Row],[Customer ID]],[1]!Name[ID],[1]!Name[Description(1)])</f>
        <v>MINI MART HEBHK</v>
      </c>
      <c r="C1598" s="38" t="str">
        <f>_xlfn.XLOOKUP(Customer[[#This Row],[Customer ID]],[1]!Name[ID],[1]!Name[Description(2)])</f>
        <v>EXCEL MILLION ENTERPRISE</v>
      </c>
      <c r="D1598" s="38" t="str">
        <f>_xlfn.XLOOKUP(Customer[[#This Row],[Customer ID]],[1]!Address[ID],[1]!Address[PIC])</f>
        <v/>
      </c>
      <c r="E1598" s="38" t="str">
        <f>_xlfn.XLOOKUP(Customer[[#This Row],[Customer ID]],[1]!Address[ID],[1]!Address[Full Address])</f>
        <v>HOSPITAL ENCHE BESAR,HAJJAH KHALSOM KM5,JALAN KOTA TINGGI 86000 KLUANG JOHOR</v>
      </c>
      <c r="F1598" s="12" t="s">
        <v>10182</v>
      </c>
      <c r="G1598" s="12" t="s">
        <v>10183</v>
      </c>
      <c r="H1598" s="12" t="s">
        <v>10184</v>
      </c>
      <c r="I1598" s="12" t="b">
        <f>ISNUMBER(VALUE(LEFT(Customer[[#This Row],[Address Line 3 (30 char)]],1)))</f>
        <v>0</v>
      </c>
      <c r="J1598" s="12" t="s">
        <v>52</v>
      </c>
      <c r="K1598" s="12">
        <v>86000</v>
      </c>
      <c r="L1598" s="12" t="s">
        <v>35</v>
      </c>
      <c r="M1598" s="13" t="e">
        <v>#N/A</v>
      </c>
      <c r="N1598" s="14" t="e">
        <v>#N/A</v>
      </c>
      <c r="O1598" s="14" t="e">
        <v>#N/A</v>
      </c>
      <c r="P1598" s="14" t="e">
        <v>#N/A</v>
      </c>
      <c r="Q1598" s="14" t="e">
        <v>#N/A</v>
      </c>
      <c r="R1598" s="15" t="s">
        <v>10185</v>
      </c>
      <c r="S1598" s="15" t="s">
        <v>5917</v>
      </c>
      <c r="T1598" s="16" t="s">
        <v>3477</v>
      </c>
      <c r="U1598" s="11" t="str">
        <f>_xlfn.XLOOKUP(Customer[[#This Row],[Customer ID]],[1]!Address[ID],[1]!Address[Phone No.(2)])</f>
        <v/>
      </c>
      <c r="V1598" s="11" t="str">
        <f>_xlfn.XLOOKUP(Customer[[#This Row],[Customer ID]],[1]!Address[ID],[1]!Address[Type])</f>
        <v>CM</v>
      </c>
      <c r="W1598" s="11" t="str">
        <f>_xlfn.XLOOKUP(Customer[[#This Row],[Customer ID]],[1]!Address[ID],[1]!Address[CT])</f>
        <v>CASH</v>
      </c>
      <c r="X1598" s="11"/>
      <c r="Y1598" s="17" t="s">
        <v>5918</v>
      </c>
      <c r="Z1598" s="17" t="e">
        <f>_xlfn.XLOOKUP(Customer[[#This Row],[NewType]],$AF$36:$AF$54,$AG$36:$AG$54)</f>
        <v>#N/A</v>
      </c>
      <c r="AA1598" s="17" t="s">
        <v>10186</v>
      </c>
      <c r="AB1598" s="11" t="str">
        <f>_xlfn.XLOOKUP(Customer[[#This Row],[Customer ID]],[1]!Address[ID],[1]!Address[Subtype])</f>
        <v>MINI MART</v>
      </c>
      <c r="AC1598" s="18" t="str">
        <f>_xlfn.XLOOKUP(Customer[[#This Row],[Customer ID]],[1]!Address[ID],[1]!Address[Zone])</f>
        <v>SOUTH</v>
      </c>
    </row>
    <row r="1599" spans="1:30" x14ac:dyDescent="0.3">
      <c r="A1599" s="43" t="s">
        <v>10187</v>
      </c>
      <c r="B1599" s="44" t="str">
        <f>_xlfn.XLOOKUP(Customer[[#This Row],[Customer ID]],[1]!Name[ID],[1]!Name[Description(1)])</f>
        <v>LUBITRADE SENDIRIAN BERHAD</v>
      </c>
      <c r="C1599" s="38" t="str">
        <f>_xlfn.XLOOKUP(Customer[[#This Row],[Customer ID]],[1]!Name[ID],[1]!Name[Description(2)])</f>
        <v>PS POKOK SENA, KEDAH (NORTH 1)</v>
      </c>
      <c r="D1599" s="38" t="str">
        <f>_xlfn.XLOOKUP(Customer[[#This Row],[Customer ID]],[1]!Address[ID],[1]!Address[PIC])</f>
        <v/>
      </c>
      <c r="E1599" s="38" t="str">
        <f>_xlfn.XLOOKUP(Customer[[#This Row],[Customer ID]],[1]!Address[ID],[1]!Address[Full Address])</f>
        <v>PS POKOK SENA, KEDAH (NORTH 1)Lot 1247, Mukim Jabi, PokokSena, Kedah, 06400, PokokSena, Kedah</v>
      </c>
      <c r="F1599" s="12" t="s">
        <v>10188</v>
      </c>
      <c r="G1599" s="12" t="s">
        <v>10189</v>
      </c>
      <c r="H1599" s="12" t="s">
        <v>10190</v>
      </c>
      <c r="I1599" s="12" t="b">
        <f>ISNUMBER(VALUE(LEFT(Customer[[#This Row],[Address Line 3 (30 char)]],1)))</f>
        <v>0</v>
      </c>
      <c r="J1599" s="12" t="s">
        <v>79</v>
      </c>
      <c r="K1599" s="30" t="s">
        <v>7949</v>
      </c>
      <c r="L1599" s="12" t="s">
        <v>35</v>
      </c>
      <c r="M1599" s="13">
        <v>198903069659</v>
      </c>
      <c r="N1599" s="14" t="s">
        <v>10191</v>
      </c>
      <c r="O1599" s="14" t="e">
        <v>#N/A</v>
      </c>
      <c r="P1599" s="14" t="e">
        <v>#N/A</v>
      </c>
      <c r="Q1599" s="14" t="e">
        <v>#N/A</v>
      </c>
      <c r="R1599" s="15" t="s">
        <v>10192</v>
      </c>
      <c r="S1599" s="15" t="s">
        <v>37</v>
      </c>
      <c r="T1599" s="16" t="s">
        <v>38</v>
      </c>
      <c r="U1599" s="11" t="str">
        <f>_xlfn.XLOOKUP(Customer[[#This Row],[Customer ID]],[1]!Address[ID],[1]!Address[Phone No.(2)])</f>
        <v/>
      </c>
      <c r="V1599" s="11" t="str">
        <f>_xlfn.XLOOKUP(Customer[[#This Row],[Customer ID]],[1]!Address[ID],[1]!Address[Type])</f>
        <v>PETROMART</v>
      </c>
      <c r="W1599" s="11" t="str">
        <f>_xlfn.XLOOKUP(Customer[[#This Row],[Customer ID]],[1]!Address[ID],[1]!Address[CT])</f>
        <v>30 DAYS</v>
      </c>
      <c r="X1599" s="11" t="s">
        <v>39</v>
      </c>
      <c r="Y1599" s="17" t="s">
        <v>40</v>
      </c>
      <c r="Z1599" s="17" t="e">
        <f>_xlfn.XLOOKUP(Customer[[#This Row],[NewType]],$AF$36:$AF$54,$AG$36:$AG$54)</f>
        <v>#N/A</v>
      </c>
      <c r="AA1599" s="17" t="s">
        <v>10193</v>
      </c>
      <c r="AB1599" s="11" t="str">
        <f>_xlfn.XLOOKUP(Customer[[#This Row],[Customer ID]],[1]!Address[ID],[1]!Address[Subtype])</f>
        <v>PETRONAS</v>
      </c>
      <c r="AC1599" s="18" t="str">
        <f>_xlfn.XLOOKUP(Customer[[#This Row],[Customer ID]],[1]!Address[ID],[1]!Address[Zone])</f>
        <v>NORTH</v>
      </c>
    </row>
    <row r="1600" spans="1:30" x14ac:dyDescent="0.3">
      <c r="A1600" s="37" t="s">
        <v>10194</v>
      </c>
      <c r="B1600" s="38" t="str">
        <f>_xlfn.XLOOKUP(Customer[[#This Row],[Customer ID]],[1]!Name[ID],[1]!Name[Description(1)])</f>
        <v>ANGKATAN KOPERASI KEBANGSAAN MALAYSIA</v>
      </c>
      <c r="C1600" s="38" t="str">
        <f>_xlfn.XLOOKUP(Customer[[#This Row],[Customer ID]],[1]!Name[ID],[1]!Name[Description(2)])</f>
        <v>BERHAD - ANGKASA</v>
      </c>
      <c r="D1600" s="38" t="str">
        <f>_xlfn.XLOOKUP(Customer[[#This Row],[Customer ID]],[1]!Address[ID],[1]!Address[PIC])</f>
        <v/>
      </c>
      <c r="E1600" s="38" t="str">
        <f>_xlfn.XLOOKUP(Customer[[#This Row],[Customer ID]],[1]!Address[ID],[1]!Address[Full Address])</f>
        <v>C310, TINGKAT 2, GLOMAC BUSINESS CENTREJALAN SS6/1,KELANA JAYA,47301 PETALING JAYA,SELANGOR</v>
      </c>
      <c r="F1600" s="12" t="s">
        <v>10195</v>
      </c>
      <c r="G1600" s="12" t="s">
        <v>10196</v>
      </c>
      <c r="H1600" s="12" t="s">
        <v>10197</v>
      </c>
      <c r="I1600" s="12" t="b">
        <f>ISNUMBER(VALUE(LEFT(Customer[[#This Row],[Address Line 3 (30 char)]],1)))</f>
        <v>0</v>
      </c>
      <c r="J1600" s="12" t="s">
        <v>172</v>
      </c>
      <c r="K1600" s="12">
        <v>47301</v>
      </c>
      <c r="L1600" s="12" t="s">
        <v>35</v>
      </c>
      <c r="M1600" s="13" t="e">
        <v>#N/A</v>
      </c>
      <c r="N1600" s="14" t="e">
        <v>#N/A</v>
      </c>
      <c r="O1600" s="14" t="e">
        <v>#N/A</v>
      </c>
      <c r="P1600" s="14" t="e">
        <v>#N/A</v>
      </c>
      <c r="Q1600" s="19" t="s">
        <v>10198</v>
      </c>
      <c r="R1600" s="15" t="s">
        <v>10199</v>
      </c>
      <c r="S1600" s="15" t="s">
        <v>5934</v>
      </c>
      <c r="T1600" s="16" t="s">
        <v>3477</v>
      </c>
      <c r="U1600" s="11" t="str">
        <f>_xlfn.XLOOKUP(Customer[[#This Row],[Customer ID]],[1]!Address[ID],[1]!Address[Phone No.(2)])</f>
        <v/>
      </c>
      <c r="V1600" s="11" t="str">
        <f>_xlfn.XLOOKUP(Customer[[#This Row],[Customer ID]],[1]!Address[ID],[1]!Address[Type])</f>
        <v>KOPERASI</v>
      </c>
      <c r="W1600" s="11" t="str">
        <f>_xlfn.XLOOKUP(Customer[[#This Row],[Customer ID]],[1]!Address[ID],[1]!Address[CT])</f>
        <v>30 DAYS</v>
      </c>
      <c r="X1600" s="11"/>
      <c r="Y1600" s="17" t="s">
        <v>6126</v>
      </c>
      <c r="Z1600" s="17" t="e">
        <f>_xlfn.XLOOKUP(Customer[[#This Row],[NewType]],$AF$36:$AF$54,$AG$36:$AG$54)</f>
        <v>#N/A</v>
      </c>
      <c r="AA1600" s="17" t="s">
        <v>10200</v>
      </c>
      <c r="AB1600" s="11" t="str">
        <f>_xlfn.XLOOKUP(Customer[[#This Row],[Customer ID]],[1]!Address[ID],[1]!Address[Subtype])</f>
        <v>ANGKASA</v>
      </c>
      <c r="AC1600" s="18" t="str">
        <f>_xlfn.XLOOKUP(Customer[[#This Row],[Customer ID]],[1]!Address[ID],[1]!Address[Zone])</f>
        <v>SRIH</v>
      </c>
    </row>
    <row r="1601" spans="1:30" x14ac:dyDescent="0.3">
      <c r="A1601" s="37" t="s">
        <v>10201</v>
      </c>
      <c r="B1601" s="38" t="str">
        <f>_xlfn.XLOOKUP(Customer[[#This Row],[Customer ID]],[1]!Name[ID],[1]!Name[Description(1)])</f>
        <v>REMEN TRADING (B.S) SDN BHD</v>
      </c>
      <c r="C1601" s="38" t="str">
        <f>_xlfn.XLOOKUP(Customer[[#This Row],[Customer ID]],[1]!Name[ID],[1]!Name[Description(2)])</f>
        <v>CALTEX JALAN PEKAKA</v>
      </c>
      <c r="D1601" s="38" t="str">
        <f>_xlfn.XLOOKUP(Customer[[#This Row],[Customer ID]],[1]!Address[ID],[1]!Address[PIC])</f>
        <v/>
      </c>
      <c r="E1601" s="38" t="str">
        <f>_xlfn.XLOOKUP(Customer[[#This Row],[Customer ID]],[1]!Address[ID],[1]!Address[Full Address])</f>
        <v>CALTEX JALAN PEKAKACO. NO 872813TPMT2381, JALAN PEKAKA14300 NIBONG TEBAL PULAU PINANG</v>
      </c>
      <c r="F1601" s="12" t="s">
        <v>10202</v>
      </c>
      <c r="G1601" s="12" t="s">
        <v>10203</v>
      </c>
      <c r="H1601" s="12" t="s">
        <v>10204</v>
      </c>
      <c r="I1601" s="12" t="b">
        <f>ISNUMBER(VALUE(LEFT(Customer[[#This Row],[Address Line 3 (30 char)]],1)))</f>
        <v>0</v>
      </c>
      <c r="J1601" s="12" t="s">
        <v>179</v>
      </c>
      <c r="K1601" s="12">
        <v>14300</v>
      </c>
      <c r="L1601" s="12" t="s">
        <v>35</v>
      </c>
      <c r="M1601" s="13" t="e">
        <v>#N/A</v>
      </c>
      <c r="N1601" s="14" t="e">
        <v>#N/A</v>
      </c>
      <c r="O1601" s="14" t="e">
        <v>#N/A</v>
      </c>
      <c r="P1601" s="14" t="e">
        <v>#N/A</v>
      </c>
      <c r="Q1601" s="14" t="e">
        <v>#N/A</v>
      </c>
      <c r="R1601" s="15" t="s">
        <v>10205</v>
      </c>
      <c r="S1601" s="15" t="s">
        <v>37</v>
      </c>
      <c r="T1601" s="16" t="s">
        <v>38</v>
      </c>
      <c r="U1601" s="11" t="str">
        <f>_xlfn.XLOOKUP(Customer[[#This Row],[Customer ID]],[1]!Address[ID],[1]!Address[Phone No.(2)])</f>
        <v/>
      </c>
      <c r="V1601" s="11" t="str">
        <f>_xlfn.XLOOKUP(Customer[[#This Row],[Customer ID]],[1]!Address[ID],[1]!Address[Type])</f>
        <v>PETROMART</v>
      </c>
      <c r="W1601" s="11" t="str">
        <f>_xlfn.XLOOKUP(Customer[[#This Row],[Customer ID]],[1]!Address[ID],[1]!Address[CT])</f>
        <v>30</v>
      </c>
      <c r="X1601" s="11" t="s">
        <v>39</v>
      </c>
      <c r="Y1601" s="17" t="s">
        <v>40</v>
      </c>
      <c r="Z1601" s="17" t="e">
        <f>_xlfn.XLOOKUP(Customer[[#This Row],[NewType]],$AF$36:$AF$54,$AG$36:$AG$54)</f>
        <v>#N/A</v>
      </c>
      <c r="AA1601" s="17" t="s">
        <v>10206</v>
      </c>
      <c r="AB1601" s="11" t="str">
        <f>_xlfn.XLOOKUP(Customer[[#This Row],[Customer ID]],[1]!Address[ID],[1]!Address[Subtype])</f>
        <v>CALTEX</v>
      </c>
      <c r="AC1601" s="18" t="str">
        <f>_xlfn.XLOOKUP(Customer[[#This Row],[Customer ID]],[1]!Address[ID],[1]!Address[Zone])</f>
        <v>NORTH</v>
      </c>
    </row>
    <row r="1602" spans="1:30" x14ac:dyDescent="0.3">
      <c r="A1602" s="56" t="s">
        <v>10207</v>
      </c>
      <c r="B1602" s="50" t="str">
        <f>_xlfn.XLOOKUP(Customer[[#This Row],[Customer ID]],[1]!Name[ID],[1]!Name[Description(1)])</f>
        <v>SEEHAT STORE</v>
      </c>
      <c r="C1602" s="38" t="str">
        <f>_xlfn.XLOOKUP(Customer[[#This Row],[Customer ID]],[1]!Name[ID],[1]!Name[Description(2)])</f>
        <v/>
      </c>
      <c r="D1602" s="38" t="str">
        <f>_xlfn.XLOOKUP(Customer[[#This Row],[Customer ID]],[1]!Address[ID],[1]!Address[PIC])</f>
        <v/>
      </c>
      <c r="E1602" s="38" t="str">
        <f>_xlfn.XLOOKUP(Customer[[#This Row],[Customer ID]],[1]!Address[ID],[1]!Address[Full Address])</f>
        <v>PT 13004 GROUND FLOOR,JALAN BBN 1/7 B, PUTRA NILAI, 71800NILAI, NEGERI SEMBILAN</v>
      </c>
      <c r="F1602" s="12" t="s">
        <v>10208</v>
      </c>
      <c r="G1602" s="12" t="s">
        <v>10209</v>
      </c>
      <c r="H1602" s="12" t="s">
        <v>2620</v>
      </c>
      <c r="I1602" s="12" t="b">
        <f>ISNUMBER(VALUE(LEFT(Customer[[#This Row],[Address Line 3 (30 char)]],1)))</f>
        <v>0</v>
      </c>
      <c r="J1602" s="12" t="s">
        <v>203</v>
      </c>
      <c r="K1602" s="12">
        <v>71800</v>
      </c>
      <c r="L1602" s="12" t="s">
        <v>35</v>
      </c>
      <c r="M1602" s="13" t="e">
        <v>#N/A</v>
      </c>
      <c r="N1602" s="14" t="e">
        <v>#N/A</v>
      </c>
      <c r="O1602" s="14" t="e">
        <v>#N/A</v>
      </c>
      <c r="P1602" s="14" t="e">
        <v>#N/A</v>
      </c>
      <c r="Q1602" s="14" t="e">
        <v>#N/A</v>
      </c>
      <c r="R1602" s="15" t="s">
        <v>10210</v>
      </c>
      <c r="S1602" s="15" t="s">
        <v>3212</v>
      </c>
      <c r="T1602" s="16" t="s">
        <v>89</v>
      </c>
      <c r="U1602" s="11" t="str">
        <f>_xlfn.XLOOKUP(Customer[[#This Row],[Customer ID]],[1]!Address[ID],[1]!Address[Phone No.(2)])</f>
        <v/>
      </c>
      <c r="V1602" s="11" t="str">
        <f>_xlfn.XLOOKUP(Customer[[#This Row],[Customer ID]],[1]!Address[ID],[1]!Address[Type])</f>
        <v>SOCMED</v>
      </c>
      <c r="W1602" s="11" t="str">
        <f>_xlfn.XLOOKUP(Customer[[#This Row],[Customer ID]],[1]!Address[ID],[1]!Address[CT])</f>
        <v/>
      </c>
      <c r="X1602" s="11"/>
      <c r="Y1602" s="17" t="s">
        <v>90</v>
      </c>
      <c r="Z1602" s="17" t="e">
        <f>_xlfn.XLOOKUP(Customer[[#This Row],[NewType]],$AF$36:$AF$54,$AG$36:$AG$54)</f>
        <v>#N/A</v>
      </c>
      <c r="AA1602" s="17" t="s">
        <v>10211</v>
      </c>
      <c r="AB1602" s="11" t="str">
        <f>_xlfn.XLOOKUP(Customer[[#This Row],[Customer ID]],[1]!Address[ID],[1]!Address[Subtype])</f>
        <v>ONLINE HAJAR</v>
      </c>
      <c r="AC1602" s="18" t="str">
        <f>_xlfn.XLOOKUP(Customer[[#This Row],[Customer ID]],[1]!Address[ID],[1]!Address[Zone])</f>
        <v>CENTRAL</v>
      </c>
    </row>
    <row r="1603" spans="1:30" x14ac:dyDescent="0.3">
      <c r="A1603" s="37" t="s">
        <v>10212</v>
      </c>
      <c r="B1603" s="38" t="str">
        <f>_xlfn.XLOOKUP(Customer[[#This Row],[Customer ID]],[1]!Name[ID],[1]!Name[Description(1)])</f>
        <v>FARMASI IDEAL DESA LATANIA</v>
      </c>
      <c r="C1603" s="38" t="str">
        <f>_xlfn.XLOOKUP(Customer[[#This Row],[Customer ID]],[1]!Name[ID],[1]!Name[Description(2)])</f>
        <v>IDEAL NAUTICARE SDN</v>
      </c>
      <c r="D1603" s="38" t="str">
        <f>_xlfn.XLOOKUP(Customer[[#This Row],[Customer ID]],[1]!Address[ID],[1]!Address[PIC])</f>
        <v/>
      </c>
      <c r="E1603" s="38" t="str">
        <f>_xlfn.XLOOKUP(Customer[[#This Row],[Customer ID]],[1]!Address[ID],[1]!Address[Full Address])</f>
        <v>NO 10,JALAN NAGASARI E36/E DESA LATANIA40470 SHAH ALAM</v>
      </c>
      <c r="F1603" s="12" t="s">
        <v>10213</v>
      </c>
      <c r="G1603" s="12" t="s">
        <v>10214</v>
      </c>
      <c r="H1603" s="12" t="s">
        <v>10215</v>
      </c>
      <c r="I1603" s="12" t="b">
        <f>ISNUMBER(VALUE(LEFT(Customer[[#This Row],[Address Line 3 (30 char)]],1)))</f>
        <v>0</v>
      </c>
      <c r="J1603" s="12" t="s">
        <v>172</v>
      </c>
      <c r="K1603" s="12">
        <v>40470</v>
      </c>
      <c r="L1603" s="12" t="s">
        <v>35</v>
      </c>
      <c r="M1603" s="13" t="e">
        <v>#N/A</v>
      </c>
      <c r="N1603" s="14" t="e">
        <v>#N/A</v>
      </c>
      <c r="O1603" s="14" t="e">
        <v>#N/A</v>
      </c>
      <c r="P1603" s="14" t="e">
        <v>#N/A</v>
      </c>
      <c r="Q1603" s="14" t="e">
        <v>#N/A</v>
      </c>
      <c r="R1603" s="15" t="s">
        <v>10216</v>
      </c>
      <c r="S1603" s="15" t="s">
        <v>88</v>
      </c>
      <c r="T1603" s="16" t="s">
        <v>89</v>
      </c>
      <c r="U1603" s="11" t="str">
        <f>_xlfn.XLOOKUP(Customer[[#This Row],[Customer ID]],[1]!Address[ID],[1]!Address[Phone No.(2)])</f>
        <v/>
      </c>
      <c r="V1603" s="11" t="str">
        <f>_xlfn.XLOOKUP(Customer[[#This Row],[Customer ID]],[1]!Address[ID],[1]!Address[Type])</f>
        <v>SOCMED</v>
      </c>
      <c r="W1603" s="11" t="str">
        <f>_xlfn.XLOOKUP(Customer[[#This Row],[Customer ID]],[1]!Address[ID],[1]!Address[CT])</f>
        <v/>
      </c>
      <c r="X1603" s="11"/>
      <c r="Y1603" s="17" t="s">
        <v>90</v>
      </c>
      <c r="Z1603" s="17" t="e">
        <f>_xlfn.XLOOKUP(Customer[[#This Row],[NewType]],$AF$36:$AF$54,$AG$36:$AG$54)</f>
        <v>#N/A</v>
      </c>
      <c r="AA1603" s="17" t="s">
        <v>10217</v>
      </c>
      <c r="AB1603" s="11" t="str">
        <f>_xlfn.XLOOKUP(Customer[[#This Row],[Customer ID]],[1]!Address[ID],[1]!Address[Subtype])</f>
        <v>ONLINE ROS</v>
      </c>
      <c r="AC1603" s="18" t="str">
        <f>_xlfn.XLOOKUP(Customer[[#This Row],[Customer ID]],[1]!Address[ID],[1]!Address[Zone])</f>
        <v>CENTRAL</v>
      </c>
    </row>
    <row r="1604" spans="1:30" x14ac:dyDescent="0.3">
      <c r="A1604" s="37" t="s">
        <v>10218</v>
      </c>
      <c r="B1604" s="38" t="str">
        <f>_xlfn.XLOOKUP(Customer[[#This Row],[Customer ID]],[1]!Name[ID],[1]!Name[Description(1)])</f>
        <v>SOHHO GROCER</v>
      </c>
      <c r="C1604" s="38" t="str">
        <f>_xlfn.XLOOKUP(Customer[[#This Row],[Customer ID]],[1]!Name[ID],[1]!Name[Description(2)])</f>
        <v>TAJA PERNIAGAAN (M) SDN BHD</v>
      </c>
      <c r="D1604" s="38" t="str">
        <f>_xlfn.XLOOKUP(Customer[[#This Row],[Customer ID]],[1]!Address[ID],[1]!Address[PIC])</f>
        <v/>
      </c>
      <c r="E1604" s="38" t="str">
        <f>_xlfn.XLOOKUP(Customer[[#This Row],[Customer ID]],[1]!Address[ID],[1]!Address[Full Address])</f>
        <v>K200 TAMAN BAIDURI 24000KEMAMAN TERENGGANU</v>
      </c>
      <c r="F1604" s="12" t="s">
        <v>10219</v>
      </c>
      <c r="G1604" s="12" t="s">
        <v>10220</v>
      </c>
      <c r="H1604" s="12" t="s">
        <v>36</v>
      </c>
      <c r="I1604" s="12" t="b">
        <f>ISNUMBER(VALUE(LEFT(Customer[[#This Row],[Address Line 3 (30 char)]],1)))</f>
        <v>0</v>
      </c>
      <c r="J1604" s="12" t="s">
        <v>1056</v>
      </c>
      <c r="K1604" s="12">
        <v>24000</v>
      </c>
      <c r="L1604" s="12" t="s">
        <v>35</v>
      </c>
      <c r="M1604" s="13" t="e">
        <v>#N/A</v>
      </c>
      <c r="N1604" s="14" t="e">
        <v>#N/A</v>
      </c>
      <c r="O1604" s="14" t="e">
        <v>#N/A</v>
      </c>
      <c r="P1604" s="14" t="e">
        <v>#N/A</v>
      </c>
      <c r="Q1604" s="14" t="e">
        <v>#N/A</v>
      </c>
      <c r="R1604" s="15" t="s">
        <v>10221</v>
      </c>
      <c r="S1604" s="15" t="s">
        <v>88</v>
      </c>
      <c r="T1604" s="16" t="s">
        <v>89</v>
      </c>
      <c r="U1604" s="11" t="str">
        <f>_xlfn.XLOOKUP(Customer[[#This Row],[Customer ID]],[1]!Address[ID],[1]!Address[Phone No.(2)])</f>
        <v/>
      </c>
      <c r="V1604" s="11" t="str">
        <f>_xlfn.XLOOKUP(Customer[[#This Row],[Customer ID]],[1]!Address[ID],[1]!Address[Type])</f>
        <v>SOCMED</v>
      </c>
      <c r="W1604" s="11" t="str">
        <f>_xlfn.XLOOKUP(Customer[[#This Row],[Customer ID]],[1]!Address[ID],[1]!Address[CT])</f>
        <v/>
      </c>
      <c r="X1604" s="11"/>
      <c r="Y1604" s="17" t="s">
        <v>90</v>
      </c>
      <c r="Z1604" s="17" t="e">
        <f>_xlfn.XLOOKUP(Customer[[#This Row],[NewType]],$AF$36:$AF$54,$AG$36:$AG$54)</f>
        <v>#N/A</v>
      </c>
      <c r="AA1604" s="17" t="s">
        <v>10222</v>
      </c>
      <c r="AB1604" s="11" t="str">
        <f>_xlfn.XLOOKUP(Customer[[#This Row],[Customer ID]],[1]!Address[ID],[1]!Address[Subtype])</f>
        <v>ONLINE ROS</v>
      </c>
      <c r="AC1604" s="18" t="str">
        <f>_xlfn.XLOOKUP(Customer[[#This Row],[Customer ID]],[1]!Address[ID],[1]!Address[Zone])</f>
        <v>EAST COAST</v>
      </c>
    </row>
    <row r="1605" spans="1:30" x14ac:dyDescent="0.3">
      <c r="A1605" s="37" t="s">
        <v>10223</v>
      </c>
      <c r="B1605" s="38" t="str">
        <f>_xlfn.XLOOKUP(Customer[[#This Row],[Customer ID]],[1]!Name[ID],[1]!Name[Description(1)])</f>
        <v>FARMASI SIHAT SDN BHD</v>
      </c>
      <c r="C1605" s="38" t="str">
        <f>_xlfn.XLOOKUP(Customer[[#This Row],[Customer ID]],[1]!Name[ID],[1]!Name[Description(2)])</f>
        <v>(PAGOH)</v>
      </c>
      <c r="D1605" s="38" t="str">
        <f>_xlfn.XLOOKUP(Customer[[#This Row],[Customer ID]],[1]!Address[ID],[1]!Address[PIC])</f>
        <v/>
      </c>
      <c r="E1605" s="38" t="str">
        <f>_xlfn.XLOOKUP(Customer[[#This Row],[Customer ID]],[1]!Address[ID],[1]!Address[Full Address])</f>
        <v>14-2 JALAN BESAR PAGOH84600 PAGOH, MUAR, JOHOR</v>
      </c>
      <c r="F1605" s="12" t="s">
        <v>10224</v>
      </c>
      <c r="G1605" s="12" t="s">
        <v>10225</v>
      </c>
      <c r="H1605" s="12" t="s">
        <v>36</v>
      </c>
      <c r="I1605" s="12" t="b">
        <f>ISNUMBER(VALUE(LEFT(Customer[[#This Row],[Address Line 3 (30 char)]],1)))</f>
        <v>0</v>
      </c>
      <c r="J1605" s="12" t="s">
        <v>52</v>
      </c>
      <c r="K1605" s="12">
        <v>84600</v>
      </c>
      <c r="L1605" s="12" t="s">
        <v>35</v>
      </c>
      <c r="M1605" s="13" t="e">
        <v>#N/A</v>
      </c>
      <c r="N1605" s="14" t="e">
        <v>#N/A</v>
      </c>
      <c r="O1605" s="14" t="e">
        <v>#N/A</v>
      </c>
      <c r="P1605" s="14" t="e">
        <v>#N/A</v>
      </c>
      <c r="Q1605" s="14" t="e">
        <v>#N/A</v>
      </c>
      <c r="R1605" s="15" t="s">
        <v>10226</v>
      </c>
      <c r="S1605" s="15" t="s">
        <v>88</v>
      </c>
      <c r="T1605" s="16" t="s">
        <v>89</v>
      </c>
      <c r="U1605" s="11" t="str">
        <f>_xlfn.XLOOKUP(Customer[[#This Row],[Customer ID]],[1]!Address[ID],[1]!Address[Phone No.(2)])</f>
        <v/>
      </c>
      <c r="V1605" s="11" t="str">
        <f>_xlfn.XLOOKUP(Customer[[#This Row],[Customer ID]],[1]!Address[ID],[1]!Address[Type])</f>
        <v>SOCMED</v>
      </c>
      <c r="W1605" s="11" t="str">
        <f>_xlfn.XLOOKUP(Customer[[#This Row],[Customer ID]],[1]!Address[ID],[1]!Address[CT])</f>
        <v/>
      </c>
      <c r="X1605" s="11"/>
      <c r="Y1605" s="17" t="s">
        <v>90</v>
      </c>
      <c r="Z1605" s="17" t="e">
        <f>_xlfn.XLOOKUP(Customer[[#This Row],[NewType]],$AF$36:$AF$54,$AG$36:$AG$54)</f>
        <v>#N/A</v>
      </c>
      <c r="AA1605" s="17" t="s">
        <v>10227</v>
      </c>
      <c r="AB1605" s="11" t="str">
        <f>_xlfn.XLOOKUP(Customer[[#This Row],[Customer ID]],[1]!Address[ID],[1]!Address[Subtype])</f>
        <v>ONLINE ROS</v>
      </c>
      <c r="AC1605" s="18" t="str">
        <f>_xlfn.XLOOKUP(Customer[[#This Row],[Customer ID]],[1]!Address[ID],[1]!Address[Zone])</f>
        <v>SOUTH</v>
      </c>
    </row>
    <row r="1606" spans="1:30" x14ac:dyDescent="0.3">
      <c r="A1606" s="73" t="s">
        <v>10228</v>
      </c>
      <c r="B1606" s="62" t="str">
        <f>_xlfn.XLOOKUP(Customer[[#This Row],[Customer ID]],[1]!Name[ID],[1]!Name[Description(1)])</f>
        <v>NOR AIN HAYATI BINTI ROSLI</v>
      </c>
      <c r="C1606" s="62" t="str">
        <f>_xlfn.XLOOKUP(Customer[[#This Row],[Customer ID]],[1]!Name[ID],[1]!Name[Description(2)])</f>
        <v/>
      </c>
      <c r="D1606" s="62" t="str">
        <f>_xlfn.XLOOKUP(Customer[[#This Row],[Customer ID]],[1]!Address[ID],[1]!Address[PIC])</f>
        <v/>
      </c>
      <c r="E1606" s="38" t="str">
        <f>_xlfn.XLOOKUP(Customer[[#This Row],[Customer ID]],[1]!Address[ID],[1]!Address[Full Address])</f>
        <v>396 , LORONG DESA IXORA 2/4,TAMAN DESA IXORA 2 SENAWANG,SEREMBAN 70450 NEGERI SEMBILAN</v>
      </c>
      <c r="F1606" s="12" t="s">
        <v>10229</v>
      </c>
      <c r="G1606" s="12" t="s">
        <v>10230</v>
      </c>
      <c r="H1606" s="12" t="s">
        <v>2411</v>
      </c>
      <c r="I1606" s="12" t="b">
        <f>ISNUMBER(VALUE(LEFT(Customer[[#This Row],[Address Line 3 (30 char)]],1)))</f>
        <v>0</v>
      </c>
      <c r="J1606" s="12" t="s">
        <v>203</v>
      </c>
      <c r="K1606" s="12">
        <v>70450</v>
      </c>
      <c r="L1606" s="12" t="s">
        <v>35</v>
      </c>
      <c r="M1606" s="13" t="e">
        <v>#N/A</v>
      </c>
      <c r="N1606" s="14" t="e">
        <v>#N/A</v>
      </c>
      <c r="O1606" s="14" t="e">
        <v>#N/A</v>
      </c>
      <c r="P1606" s="14" t="e">
        <v>#N/A</v>
      </c>
      <c r="Q1606" s="14" t="e">
        <v>#N/A</v>
      </c>
      <c r="R1606" s="67" t="s">
        <v>10231</v>
      </c>
      <c r="S1606" s="67"/>
      <c r="T1606" s="76"/>
      <c r="U1606" s="68" t="str">
        <f>_xlfn.XLOOKUP(Customer[[#This Row],[Customer ID]],[1]!Address[ID],[1]!Address[Phone No.(2)])</f>
        <v/>
      </c>
      <c r="V1606" s="68" t="str">
        <f>_xlfn.XLOOKUP(Customer[[#This Row],[Customer ID]],[1]!Address[ID],[1]!Address[Type])</f>
        <v>SOCMED</v>
      </c>
      <c r="W1606" s="68" t="str">
        <f>_xlfn.XLOOKUP(Customer[[#This Row],[Customer ID]],[1]!Address[ID],[1]!Address[CT])</f>
        <v/>
      </c>
      <c r="X1606" s="68"/>
      <c r="Y1606" s="69" t="s">
        <v>90</v>
      </c>
      <c r="Z1606" s="69" t="e">
        <f>_xlfn.XLOOKUP(Customer[[#This Row],[NewType]],$AF$36:$AF$54,$AG$36:$AG$54)</f>
        <v>#N/A</v>
      </c>
      <c r="AA1606" s="69" t="s">
        <v>10232</v>
      </c>
      <c r="AB1606" s="68" t="str">
        <f>_xlfn.XLOOKUP(Customer[[#This Row],[Customer ID]],[1]!Address[ID],[1]!Address[Subtype])</f>
        <v>SHOPEE</v>
      </c>
      <c r="AC1606" s="70" t="str">
        <f>_xlfn.XLOOKUP(Customer[[#This Row],[Customer ID]],[1]!Address[ID],[1]!Address[Zone])</f>
        <v>CENTRAL</v>
      </c>
      <c r="AD1606" s="71"/>
    </row>
    <row r="1607" spans="1:30" x14ac:dyDescent="0.3">
      <c r="A1607" s="37" t="s">
        <v>10233</v>
      </c>
      <c r="B1607" s="38" t="str">
        <f>_xlfn.XLOOKUP(Customer[[#This Row],[Customer ID]],[1]!Name[ID],[1]!Name[Description(1)])</f>
        <v>RICHIAMO MART DC</v>
      </c>
      <c r="C1607" s="38" t="str">
        <f>_xlfn.XLOOKUP(Customer[[#This Row],[Customer ID]],[1]!Name[ID],[1]!Name[Description(2)])</f>
        <v>DC RAWANG</v>
      </c>
      <c r="D1607" s="38" t="str">
        <f>_xlfn.XLOOKUP(Customer[[#This Row],[Customer ID]],[1]!Address[ID],[1]!Address[PIC])</f>
        <v/>
      </c>
      <c r="E1607" s="38" t="str">
        <f>_xlfn.XLOOKUP(Customer[[#This Row],[Customer ID]],[1]!Address[ID],[1]!Address[Full Address])</f>
        <v>LOT 6, JALAN UB1,TAMAN PERINDUSTRIAN UB,48000 RAWANG SELANGOR</v>
      </c>
      <c r="F1607" s="12" t="s">
        <v>10234</v>
      </c>
      <c r="G1607" s="12" t="s">
        <v>10235</v>
      </c>
      <c r="H1607" s="24" t="s">
        <v>7979</v>
      </c>
      <c r="I1607" s="24" t="b">
        <f>ISNUMBER(VALUE(LEFT(Customer[[#This Row],[Address Line 3 (30 char)]],1)))</f>
        <v>0</v>
      </c>
      <c r="J1607" s="12" t="s">
        <v>172</v>
      </c>
      <c r="K1607" s="12">
        <v>70450</v>
      </c>
      <c r="L1607" s="12" t="s">
        <v>35</v>
      </c>
      <c r="M1607" s="13" t="e">
        <v>#N/A</v>
      </c>
      <c r="N1607" s="14" t="e">
        <v>#N/A</v>
      </c>
      <c r="O1607" s="14" t="e">
        <v>#N/A</v>
      </c>
      <c r="P1607" s="14" t="e">
        <v>#N/A</v>
      </c>
      <c r="Q1607" s="14" t="e">
        <v>#N/A</v>
      </c>
      <c r="R1607" s="15" t="s">
        <v>10236</v>
      </c>
      <c r="S1607" s="15" t="s">
        <v>5925</v>
      </c>
      <c r="T1607" s="16" t="s">
        <v>3477</v>
      </c>
      <c r="U1607" s="11" t="str">
        <f>_xlfn.XLOOKUP(Customer[[#This Row],[Customer ID]],[1]!Address[ID],[1]!Address[Phone No.(2)])</f>
        <v/>
      </c>
      <c r="V1607" s="11" t="str">
        <f>_xlfn.XLOOKUP(Customer[[#This Row],[Customer ID]],[1]!Address[ID],[1]!Address[Type])</f>
        <v>CAFE</v>
      </c>
      <c r="W1607" s="11" t="str">
        <f>_xlfn.XLOOKUP(Customer[[#This Row],[Customer ID]],[1]!Address[ID],[1]!Address[CT])</f>
        <v>30 DAYS</v>
      </c>
      <c r="X1607" s="11"/>
      <c r="Y1607" s="17" t="s">
        <v>5926</v>
      </c>
      <c r="Z1607" s="17" t="e">
        <f>_xlfn.XLOOKUP(Customer[[#This Row],[NewType]],$AF$36:$AF$54,$AG$36:$AG$54)</f>
        <v>#N/A</v>
      </c>
      <c r="AA1607" s="17" t="s">
        <v>10237</v>
      </c>
      <c r="AB1607" s="11" t="str">
        <f>_xlfn.XLOOKUP(Customer[[#This Row],[Customer ID]],[1]!Address[ID],[1]!Address[Subtype])</f>
        <v>RICHIAMO</v>
      </c>
      <c r="AC1607" s="18" t="str">
        <f>_xlfn.XLOOKUP(Customer[[#This Row],[Customer ID]],[1]!Address[ID],[1]!Address[Zone])</f>
        <v>CENTRAL</v>
      </c>
    </row>
    <row r="1608" spans="1:30" x14ac:dyDescent="0.3">
      <c r="A1608" s="10" t="s">
        <v>10238</v>
      </c>
      <c r="B1608" s="11" t="str">
        <f>_xlfn.XLOOKUP(Customer[[#This Row],[Customer ID]],[1]!Name[ID],[1]!Name[Description(1)])</f>
        <v>DR MARZIAH - MB</v>
      </c>
      <c r="C1608" s="32" t="str">
        <f>_xlfn.XLOOKUP(Customer[[#This Row],[Customer ID]],[1]!Name[ID],[1]!Name[Description(2)])</f>
        <v/>
      </c>
      <c r="D1608" s="38" t="str">
        <f>_xlfn.XLOOKUP(Customer[[#This Row],[Customer ID]],[1]!Address[ID],[1]!Address[PIC])</f>
        <v/>
      </c>
      <c r="E1608" s="38" t="str">
        <f>_xlfn.XLOOKUP(Customer[[#This Row],[Customer ID]],[1]!Address[ID],[1]!Address[Full Address])</f>
        <v/>
      </c>
      <c r="F1608" s="12" t="s">
        <v>36</v>
      </c>
      <c r="G1608" s="12" t="s">
        <v>36</v>
      </c>
      <c r="H1608" s="12" t="s">
        <v>36</v>
      </c>
      <c r="I1608" s="12" t="b">
        <f>ISNUMBER(VALUE(LEFT(Customer[[#This Row],[Address Line 3 (30 char)]],1)))</f>
        <v>0</v>
      </c>
      <c r="J1608" s="32"/>
      <c r="K1608" s="32"/>
      <c r="L1608" s="12" t="s">
        <v>35</v>
      </c>
      <c r="M1608" s="13" t="e">
        <v>#N/A</v>
      </c>
      <c r="N1608" s="14" t="e">
        <v>#N/A</v>
      </c>
      <c r="O1608" s="14" t="e">
        <v>#N/A</v>
      </c>
      <c r="P1608" s="14" t="e">
        <v>#N/A</v>
      </c>
      <c r="Q1608" s="14" t="e">
        <v>#N/A</v>
      </c>
      <c r="R1608" s="15" t="s">
        <v>36</v>
      </c>
      <c r="S1608" s="15" t="s">
        <v>4271</v>
      </c>
      <c r="T1608" s="16" t="s">
        <v>89</v>
      </c>
      <c r="U1608" s="11" t="str">
        <f>_xlfn.XLOOKUP(Customer[[#This Row],[Customer ID]],[1]!Address[ID],[1]!Address[Phone No.(2)])</f>
        <v/>
      </c>
      <c r="V1608" s="11" t="str">
        <f>_xlfn.XLOOKUP(Customer[[#This Row],[Customer ID]],[1]!Address[ID],[1]!Address[Type])</f>
        <v>SOCMED</v>
      </c>
      <c r="W1608" s="11" t="str">
        <f>_xlfn.XLOOKUP(Customer[[#This Row],[Customer ID]],[1]!Address[ID],[1]!Address[CT])</f>
        <v/>
      </c>
      <c r="X1608" s="11"/>
      <c r="Y1608" s="17" t="s">
        <v>90</v>
      </c>
      <c r="Z1608" s="17" t="e">
        <f>_xlfn.XLOOKUP(Customer[[#This Row],[NewType]],$AF$36:$AF$54,$AG$36:$AG$54)</f>
        <v>#N/A</v>
      </c>
      <c r="AA1608" s="17" t="s">
        <v>10239</v>
      </c>
      <c r="AB1608" s="11" t="str">
        <f>_xlfn.XLOOKUP(Customer[[#This Row],[Customer ID]],[1]!Address[ID],[1]!Address[Subtype])</f>
        <v>WHATSAPP</v>
      </c>
      <c r="AC1608" s="18" t="str">
        <f>_xlfn.XLOOKUP(Customer[[#This Row],[Customer ID]],[1]!Address[ID],[1]!Address[Zone])</f>
        <v>AEEDH</v>
      </c>
    </row>
    <row r="1609" spans="1:30" x14ac:dyDescent="0.3">
      <c r="A1609" s="37" t="s">
        <v>10240</v>
      </c>
      <c r="B1609" s="38" t="str">
        <f>_xlfn.XLOOKUP(Customer[[#This Row],[Customer ID]],[1]!Name[ID],[1]!Name[Description(1)])</f>
        <v>BHP PETROL JELI</v>
      </c>
      <c r="C1609" s="38" t="str">
        <f>_xlfn.XLOOKUP(Customer[[#This Row],[Customer ID]],[1]!Name[ID],[1]!Name[Description(2)])</f>
        <v>RUSDI FILLING STATION</v>
      </c>
      <c r="D1609" s="38" t="str">
        <f>_xlfn.XLOOKUP(Customer[[#This Row],[Customer ID]],[1]!Address[ID],[1]!Address[PIC])</f>
        <v/>
      </c>
      <c r="E1609" s="38" t="str">
        <f>_xlfn.XLOOKUP(Customer[[#This Row],[Customer ID]],[1]!Address[ID],[1]!Address[Full Address])</f>
        <v>LOT 791, MUKIM JELI, 17600 JELI,KELANTAN</v>
      </c>
      <c r="F1609" s="12" t="s">
        <v>10241</v>
      </c>
      <c r="G1609" s="12" t="s">
        <v>10242</v>
      </c>
      <c r="H1609" s="12" t="s">
        <v>6972</v>
      </c>
      <c r="I1609" s="12" t="b">
        <f>ISNUMBER(VALUE(LEFT(Customer[[#This Row],[Address Line 3 (30 char)]],1)))</f>
        <v>0</v>
      </c>
      <c r="J1609" s="12" t="s">
        <v>1007</v>
      </c>
      <c r="K1609" s="12">
        <v>17600</v>
      </c>
      <c r="L1609" s="12" t="s">
        <v>35</v>
      </c>
      <c r="M1609" s="13" t="e">
        <v>#N/A</v>
      </c>
      <c r="N1609" s="14" t="e">
        <v>#N/A</v>
      </c>
      <c r="O1609" s="14" t="e">
        <v>#N/A</v>
      </c>
      <c r="P1609" s="14" t="e">
        <v>#N/A</v>
      </c>
      <c r="Q1609" s="19" t="s">
        <v>10243</v>
      </c>
      <c r="R1609" s="15" t="s">
        <v>10244</v>
      </c>
      <c r="S1609" s="15" t="s">
        <v>37</v>
      </c>
      <c r="T1609" s="16" t="s">
        <v>38</v>
      </c>
      <c r="U1609" s="11" t="str">
        <f>_xlfn.XLOOKUP(Customer[[#This Row],[Customer ID]],[1]!Address[ID],[1]!Address[Phone No.(2)])</f>
        <v/>
      </c>
      <c r="V1609" s="11" t="str">
        <f>_xlfn.XLOOKUP(Customer[[#This Row],[Customer ID]],[1]!Address[ID],[1]!Address[Type])</f>
        <v>PETROMART</v>
      </c>
      <c r="W1609" s="11" t="str">
        <f>_xlfn.XLOOKUP(Customer[[#This Row],[Customer ID]],[1]!Address[ID],[1]!Address[CT])</f>
        <v>30</v>
      </c>
      <c r="X1609" s="11" t="s">
        <v>39</v>
      </c>
      <c r="Y1609" s="17" t="s">
        <v>40</v>
      </c>
      <c r="Z1609" s="17" t="e">
        <f>_xlfn.XLOOKUP(Customer[[#This Row],[NewType]],$AF$36:$AF$54,$AG$36:$AG$54)</f>
        <v>#N/A</v>
      </c>
      <c r="AA1609" s="17" t="s">
        <v>10245</v>
      </c>
      <c r="AB1609" s="11" t="str">
        <f>_xlfn.XLOOKUP(Customer[[#This Row],[Customer ID]],[1]!Address[ID],[1]!Address[Subtype])</f>
        <v>BHP</v>
      </c>
      <c r="AC1609" s="18" t="str">
        <f>_xlfn.XLOOKUP(Customer[[#This Row],[Customer ID]],[1]!Address[ID],[1]!Address[Zone])</f>
        <v>EAST COAST</v>
      </c>
    </row>
    <row r="1610" spans="1:30" x14ac:dyDescent="0.3">
      <c r="A1610" s="37" t="s">
        <v>10246</v>
      </c>
      <c r="B1610" s="38" t="str">
        <f>_xlfn.XLOOKUP(Customer[[#This Row],[Customer ID]],[1]!Name[ID],[1]!Name[Description(1)])</f>
        <v>HAUS COFFEE CORNER</v>
      </c>
      <c r="C1610" s="38" t="str">
        <f>_xlfn.XLOOKUP(Customer[[#This Row],[Customer ID]],[1]!Name[ID],[1]!Name[Description(2)])</f>
        <v/>
      </c>
      <c r="D1610" s="38" t="str">
        <f>_xlfn.XLOOKUP(Customer[[#This Row],[Customer ID]],[1]!Address[ID],[1]!Address[PIC])</f>
        <v/>
      </c>
      <c r="E1610" s="38" t="str">
        <f>_xlfn.XLOOKUP(Customer[[#This Row],[Customer ID]],[1]!Address[ID],[1]!Address[Full Address])</f>
        <v>NO6 R&amp;R SG PERAK ARAH UTARA</v>
      </c>
      <c r="F1610" s="12" t="s">
        <v>10247</v>
      </c>
      <c r="G1610" s="12" t="s">
        <v>36</v>
      </c>
      <c r="H1610" s="12" t="s">
        <v>36</v>
      </c>
      <c r="I1610" s="12" t="b">
        <f>ISNUMBER(VALUE(LEFT(Customer[[#This Row],[Address Line 3 (30 char)]],1)))</f>
        <v>0</v>
      </c>
      <c r="J1610" s="12" t="s">
        <v>242</v>
      </c>
      <c r="K1610" s="12">
        <v>33000</v>
      </c>
      <c r="L1610" s="12" t="s">
        <v>35</v>
      </c>
      <c r="M1610" s="13" t="e">
        <v>#N/A</v>
      </c>
      <c r="N1610" s="14" t="e">
        <v>#N/A</v>
      </c>
      <c r="O1610" s="14" t="e">
        <v>#N/A</v>
      </c>
      <c r="P1610" s="14" t="e">
        <v>#N/A</v>
      </c>
      <c r="Q1610" s="14" t="e">
        <v>#N/A</v>
      </c>
      <c r="R1610" s="15" t="s">
        <v>10248</v>
      </c>
      <c r="S1610" s="15" t="s">
        <v>5925</v>
      </c>
      <c r="T1610" s="16" t="s">
        <v>3477</v>
      </c>
      <c r="U1610" s="11" t="str">
        <f>_xlfn.XLOOKUP(Customer[[#This Row],[Customer ID]],[1]!Address[ID],[1]!Address[Phone No.(2)])</f>
        <v/>
      </c>
      <c r="V1610" s="11" t="str">
        <f>_xlfn.XLOOKUP(Customer[[#This Row],[Customer ID]],[1]!Address[ID],[1]!Address[Type])</f>
        <v>CAFE</v>
      </c>
      <c r="W1610" s="11" t="str">
        <f>_xlfn.XLOOKUP(Customer[[#This Row],[Customer ID]],[1]!Address[ID],[1]!Address[CT])</f>
        <v>30 DAYS</v>
      </c>
      <c r="X1610" s="11"/>
      <c r="Y1610" s="17" t="s">
        <v>5926</v>
      </c>
      <c r="Z1610" s="17" t="e">
        <f>_xlfn.XLOOKUP(Customer[[#This Row],[NewType]],$AF$36:$AF$54,$AG$36:$AG$54)</f>
        <v>#N/A</v>
      </c>
      <c r="AA1610" s="17" t="s">
        <v>10249</v>
      </c>
      <c r="AB1610" s="11" t="str">
        <f>_xlfn.XLOOKUP(Customer[[#This Row],[Customer ID]],[1]!Address[ID],[1]!Address[Subtype])</f>
        <v>PLUS</v>
      </c>
      <c r="AC1610" s="18" t="str">
        <f>_xlfn.XLOOKUP(Customer[[#This Row],[Customer ID]],[1]!Address[ID],[1]!Address[Zone])</f>
        <v>NORTH</v>
      </c>
    </row>
    <row r="1611" spans="1:30" x14ac:dyDescent="0.3">
      <c r="A1611" s="37" t="s">
        <v>10250</v>
      </c>
      <c r="B1611" s="38" t="str">
        <f>_xlfn.XLOOKUP(Customer[[#This Row],[Customer ID]],[1]!Name[ID],[1]!Name[Description(1)])</f>
        <v>AZRO FRUIT &amp; DESSERT</v>
      </c>
      <c r="C1611" s="38" t="str">
        <f>_xlfn.XLOOKUP(Customer[[#This Row],[Customer ID]],[1]!Name[ID],[1]!Name[Description(2)])</f>
        <v/>
      </c>
      <c r="D1611" s="38" t="str">
        <f>_xlfn.XLOOKUP(Customer[[#This Row],[Customer ID]],[1]!Address[ID],[1]!Address[PIC])</f>
        <v/>
      </c>
      <c r="E1611" s="38" t="str">
        <f>_xlfn.XLOOKUP(Customer[[#This Row],[Customer ID]],[1]!Address[ID],[1]!Address[Full Address])</f>
        <v>NO 2, R&amp;R TAPAH ARAH UTARA</v>
      </c>
      <c r="F1611" s="12" t="s">
        <v>10251</v>
      </c>
      <c r="G1611" s="12" t="s">
        <v>36</v>
      </c>
      <c r="H1611" s="12" t="s">
        <v>36</v>
      </c>
      <c r="I1611" s="12" t="b">
        <f>ISNUMBER(VALUE(LEFT(Customer[[#This Row],[Address Line 3 (30 char)]],1)))</f>
        <v>0</v>
      </c>
      <c r="J1611" s="12" t="s">
        <v>242</v>
      </c>
      <c r="K1611" s="12">
        <v>35000</v>
      </c>
      <c r="L1611" s="12" t="s">
        <v>35</v>
      </c>
      <c r="M1611" s="13" t="e">
        <v>#N/A</v>
      </c>
      <c r="N1611" s="14" t="e">
        <v>#N/A</v>
      </c>
      <c r="O1611" s="14" t="e">
        <v>#N/A</v>
      </c>
      <c r="P1611" s="14" t="e">
        <v>#N/A</v>
      </c>
      <c r="Q1611" s="14" t="e">
        <v>#N/A</v>
      </c>
      <c r="R1611" s="15" t="s">
        <v>10252</v>
      </c>
      <c r="S1611" s="15" t="s">
        <v>5925</v>
      </c>
      <c r="T1611" s="16" t="s">
        <v>3477</v>
      </c>
      <c r="U1611" s="11" t="str">
        <f>_xlfn.XLOOKUP(Customer[[#This Row],[Customer ID]],[1]!Address[ID],[1]!Address[Phone No.(2)])</f>
        <v/>
      </c>
      <c r="V1611" s="11" t="str">
        <f>_xlfn.XLOOKUP(Customer[[#This Row],[Customer ID]],[1]!Address[ID],[1]!Address[Type])</f>
        <v>CAFE</v>
      </c>
      <c r="W1611" s="11" t="str">
        <f>_xlfn.XLOOKUP(Customer[[#This Row],[Customer ID]],[1]!Address[ID],[1]!Address[CT])</f>
        <v>30 DAYS</v>
      </c>
      <c r="X1611" s="11"/>
      <c r="Y1611" s="17" t="s">
        <v>5926</v>
      </c>
      <c r="Z1611" s="17" t="e">
        <f>_xlfn.XLOOKUP(Customer[[#This Row],[NewType]],$AF$36:$AF$54,$AG$36:$AG$54)</f>
        <v>#N/A</v>
      </c>
      <c r="AA1611" s="17" t="s">
        <v>10253</v>
      </c>
      <c r="AB1611" s="11" t="str">
        <f>_xlfn.XLOOKUP(Customer[[#This Row],[Customer ID]],[1]!Address[ID],[1]!Address[Subtype])</f>
        <v>PLUS</v>
      </c>
      <c r="AC1611" s="18" t="str">
        <f>_xlfn.XLOOKUP(Customer[[#This Row],[Customer ID]],[1]!Address[ID],[1]!Address[Zone])</f>
        <v>NORTH</v>
      </c>
    </row>
    <row r="1612" spans="1:30" x14ac:dyDescent="0.3">
      <c r="A1612" s="37" t="s">
        <v>10254</v>
      </c>
      <c r="B1612" s="38" t="str">
        <f>_xlfn.XLOOKUP(Customer[[#This Row],[Customer ID]],[1]!Name[ID],[1]!Name[Description(1)])</f>
        <v>ALLSTAR LEGACY</v>
      </c>
      <c r="C1612" s="38" t="str">
        <f>_xlfn.XLOOKUP(Customer[[#This Row],[Customer ID]],[1]!Name[ID],[1]!Name[Description(2)])</f>
        <v>CALTEX MEDAN TAIPING</v>
      </c>
      <c r="D1612" s="38" t="str">
        <f>_xlfn.XLOOKUP(Customer[[#This Row],[Customer ID]],[1]!Address[ID],[1]!Address[PIC])</f>
        <v/>
      </c>
      <c r="E1612" s="38" t="str">
        <f>_xlfn.XLOOKUP(Customer[[#This Row],[Customer ID]],[1]!Address[ID],[1]!Address[Full Address])</f>
        <v>CALTEX SMEDAN TAIPINGNO 62, JALAN SIMPANG34000TAIPING PERAK</v>
      </c>
      <c r="F1612" s="12" t="s">
        <v>10255</v>
      </c>
      <c r="G1612" s="12" t="s">
        <v>10256</v>
      </c>
      <c r="H1612" s="24"/>
      <c r="I1612" s="24" t="b">
        <f>ISNUMBER(VALUE(LEFT(Customer[[#This Row],[Address Line 3 (30 char)]],1)))</f>
        <v>0</v>
      </c>
      <c r="J1612" s="12" t="s">
        <v>242</v>
      </c>
      <c r="K1612" s="12">
        <v>34000</v>
      </c>
      <c r="L1612" s="12" t="s">
        <v>35</v>
      </c>
      <c r="M1612" s="13" t="e">
        <v>#N/A</v>
      </c>
      <c r="N1612" s="14" t="e">
        <v>#N/A</v>
      </c>
      <c r="O1612" s="14" t="e">
        <v>#N/A</v>
      </c>
      <c r="P1612" s="14" t="e">
        <v>#N/A</v>
      </c>
      <c r="Q1612" s="14" t="e">
        <v>#N/A</v>
      </c>
      <c r="R1612" s="15" t="s">
        <v>10257</v>
      </c>
      <c r="S1612" s="15" t="s">
        <v>37</v>
      </c>
      <c r="T1612" s="16" t="s">
        <v>38</v>
      </c>
      <c r="U1612" s="11" t="str">
        <f>_xlfn.XLOOKUP(Customer[[#This Row],[Customer ID]],[1]!Address[ID],[1]!Address[Phone No.(2)])</f>
        <v/>
      </c>
      <c r="V1612" s="11" t="str">
        <f>_xlfn.XLOOKUP(Customer[[#This Row],[Customer ID]],[1]!Address[ID],[1]!Address[Type])</f>
        <v>PETROMART</v>
      </c>
      <c r="W1612" s="11" t="str">
        <f>_xlfn.XLOOKUP(Customer[[#This Row],[Customer ID]],[1]!Address[ID],[1]!Address[CT])</f>
        <v>30</v>
      </c>
      <c r="X1612" s="11" t="s">
        <v>39</v>
      </c>
      <c r="Y1612" s="17" t="s">
        <v>40</v>
      </c>
      <c r="Z1612" s="17" t="e">
        <f>_xlfn.XLOOKUP(Customer[[#This Row],[NewType]],$AF$36:$AF$54,$AG$36:$AG$54)</f>
        <v>#N/A</v>
      </c>
      <c r="AA1612" s="17" t="s">
        <v>10258</v>
      </c>
      <c r="AB1612" s="11" t="str">
        <f>_xlfn.XLOOKUP(Customer[[#This Row],[Customer ID]],[1]!Address[ID],[1]!Address[Subtype])</f>
        <v>CALTEX</v>
      </c>
      <c r="AC1612" s="18" t="str">
        <f>_xlfn.XLOOKUP(Customer[[#This Row],[Customer ID]],[1]!Address[ID],[1]!Address[Zone])</f>
        <v>NORTH</v>
      </c>
    </row>
    <row r="1613" spans="1:30" x14ac:dyDescent="0.3">
      <c r="A1613" s="56" t="s">
        <v>10259</v>
      </c>
      <c r="B1613" s="50" t="str">
        <f>_xlfn.XLOOKUP(Customer[[#This Row],[Customer ID]],[1]!Name[ID],[1]!Name[Description(1)])</f>
        <v>FARMASI MEDI CALIPH</v>
      </c>
      <c r="C1613" s="38" t="str">
        <f>_xlfn.XLOOKUP(Customer[[#This Row],[Customer ID]],[1]!Name[ID],[1]!Name[Description(2)])</f>
        <v/>
      </c>
      <c r="D1613" s="38" t="str">
        <f>_xlfn.XLOOKUP(Customer[[#This Row],[Customer ID]],[1]!Address[ID],[1]!Address[PIC])</f>
        <v/>
      </c>
      <c r="E1613" s="38" t="str">
        <f>_xlfn.XLOOKUP(Customer[[#This Row],[Customer ID]],[1]!Address[ID],[1]!Address[Full Address])</f>
        <v>NO. 2, JALAN SUNGKAI,TAMAN OKID JAYA, 35600SUNGKAI, PERAK</v>
      </c>
      <c r="F1613" s="12" t="s">
        <v>10260</v>
      </c>
      <c r="G1613" s="12" t="s">
        <v>10261</v>
      </c>
      <c r="H1613" s="12" t="s">
        <v>10262</v>
      </c>
      <c r="I1613" s="12" t="b">
        <f>ISNUMBER(VALUE(LEFT(Customer[[#This Row],[Address Line 3 (30 char)]],1)))</f>
        <v>0</v>
      </c>
      <c r="J1613" s="12" t="s">
        <v>242</v>
      </c>
      <c r="K1613" s="12">
        <v>35600</v>
      </c>
      <c r="L1613" s="12" t="s">
        <v>35</v>
      </c>
      <c r="M1613" s="13" t="e">
        <v>#N/A</v>
      </c>
      <c r="N1613" s="14" t="e">
        <v>#N/A</v>
      </c>
      <c r="O1613" s="14" t="e">
        <v>#N/A</v>
      </c>
      <c r="P1613" s="14" t="e">
        <v>#N/A</v>
      </c>
      <c r="Q1613" s="14" t="e">
        <v>#N/A</v>
      </c>
      <c r="R1613" s="15" t="s">
        <v>10263</v>
      </c>
      <c r="S1613" s="15" t="s">
        <v>3212</v>
      </c>
      <c r="T1613" s="16" t="s">
        <v>89</v>
      </c>
      <c r="U1613" s="11" t="str">
        <f>_xlfn.XLOOKUP(Customer[[#This Row],[Customer ID]],[1]!Address[ID],[1]!Address[Phone No.(2)])</f>
        <v/>
      </c>
      <c r="V1613" s="11" t="str">
        <f>_xlfn.XLOOKUP(Customer[[#This Row],[Customer ID]],[1]!Address[ID],[1]!Address[Type])</f>
        <v>SOCMED</v>
      </c>
      <c r="W1613" s="11" t="str">
        <f>_xlfn.XLOOKUP(Customer[[#This Row],[Customer ID]],[1]!Address[ID],[1]!Address[CT])</f>
        <v/>
      </c>
      <c r="X1613" s="11"/>
      <c r="Y1613" s="17" t="s">
        <v>90</v>
      </c>
      <c r="Z1613" s="17" t="e">
        <f>_xlfn.XLOOKUP(Customer[[#This Row],[NewType]],$AF$36:$AF$54,$AG$36:$AG$54)</f>
        <v>#N/A</v>
      </c>
      <c r="AA1613" s="17" t="s">
        <v>10264</v>
      </c>
      <c r="AB1613" s="11" t="str">
        <f>_xlfn.XLOOKUP(Customer[[#This Row],[Customer ID]],[1]!Address[ID],[1]!Address[Subtype])</f>
        <v>ONLINE HAJAR</v>
      </c>
      <c r="AC1613" s="18" t="str">
        <f>_xlfn.XLOOKUP(Customer[[#This Row],[Customer ID]],[1]!Address[ID],[1]!Address[Zone])</f>
        <v>NORTH</v>
      </c>
    </row>
    <row r="1614" spans="1:30" x14ac:dyDescent="0.3">
      <c r="A1614" s="37" t="s">
        <v>10265</v>
      </c>
      <c r="B1614" s="38" t="str">
        <f>_xlfn.XLOOKUP(Customer[[#This Row],[Customer ID]],[1]!Name[ID],[1]!Name[Description(1)])</f>
        <v>SHAFENAS VENTURE</v>
      </c>
      <c r="C1614" s="38" t="str">
        <f>_xlfn.XLOOKUP(Customer[[#This Row],[Customer ID]],[1]!Name[ID],[1]!Name[Description(2)])</f>
        <v>PS MARAN</v>
      </c>
      <c r="D1614" s="38" t="str">
        <f>_xlfn.XLOOKUP(Customer[[#This Row],[Customer ID]],[1]!Address[ID],[1]!Address[PIC])</f>
        <v/>
      </c>
      <c r="E1614" s="38" t="str">
        <f>_xlfn.XLOOKUP(Customer[[#This Row],[Customer ID]],[1]!Address[ID],[1]!Address[Full Address])</f>
        <v>PS MARANLOT 3, KAWASAN PERINDUSTRIAN26500 MARAN, PAHANG</v>
      </c>
      <c r="F1614" s="12" t="s">
        <v>10266</v>
      </c>
      <c r="G1614" s="12" t="s">
        <v>10267</v>
      </c>
      <c r="H1614" s="24" t="s">
        <v>9018</v>
      </c>
      <c r="I1614" s="24" t="b">
        <f>ISNUMBER(VALUE(LEFT(Customer[[#This Row],[Address Line 3 (30 char)]],1)))</f>
        <v>0</v>
      </c>
      <c r="J1614" s="12" t="s">
        <v>339</v>
      </c>
      <c r="K1614" s="12">
        <v>26500</v>
      </c>
      <c r="L1614" s="12" t="s">
        <v>35</v>
      </c>
      <c r="M1614" s="13" t="e">
        <v>#N/A</v>
      </c>
      <c r="N1614" s="14" t="e">
        <v>#N/A</v>
      </c>
      <c r="O1614" s="14" t="e">
        <v>#N/A</v>
      </c>
      <c r="P1614" s="14" t="e">
        <v>#N/A</v>
      </c>
      <c r="Q1614" s="14" t="e">
        <v>#N/A</v>
      </c>
      <c r="R1614" s="15" t="s">
        <v>9020</v>
      </c>
      <c r="S1614" s="15" t="s">
        <v>37</v>
      </c>
      <c r="T1614" s="16" t="s">
        <v>38</v>
      </c>
      <c r="U1614" s="11" t="str">
        <f>_xlfn.XLOOKUP(Customer[[#This Row],[Customer ID]],[1]!Address[ID],[1]!Address[Phone No.(2)])</f>
        <v/>
      </c>
      <c r="V1614" s="11" t="str">
        <f>_xlfn.XLOOKUP(Customer[[#This Row],[Customer ID]],[1]!Address[ID],[1]!Address[Type])</f>
        <v>PETROMART</v>
      </c>
      <c r="W1614" s="11" t="str">
        <f>_xlfn.XLOOKUP(Customer[[#This Row],[Customer ID]],[1]!Address[ID],[1]!Address[CT])</f>
        <v>30</v>
      </c>
      <c r="X1614" s="11" t="s">
        <v>39</v>
      </c>
      <c r="Y1614" s="17" t="s">
        <v>40</v>
      </c>
      <c r="Z1614" s="17" t="e">
        <f>_xlfn.XLOOKUP(Customer[[#This Row],[NewType]],$AF$36:$AF$54,$AG$36:$AG$54)</f>
        <v>#N/A</v>
      </c>
      <c r="AA1614" s="17" t="s">
        <v>10268</v>
      </c>
      <c r="AB1614" s="11" t="str">
        <f>_xlfn.XLOOKUP(Customer[[#This Row],[Customer ID]],[1]!Address[ID],[1]!Address[Subtype])</f>
        <v>PETRONAS</v>
      </c>
      <c r="AC1614" s="18" t="str">
        <f>_xlfn.XLOOKUP(Customer[[#This Row],[Customer ID]],[1]!Address[ID],[1]!Address[Zone])</f>
        <v>EAST COAST</v>
      </c>
    </row>
    <row r="1615" spans="1:30" x14ac:dyDescent="0.3">
      <c r="A1615" s="56" t="s">
        <v>10269</v>
      </c>
      <c r="B1615" s="50" t="str">
        <f>_xlfn.XLOOKUP(Customer[[#This Row],[Customer ID]],[1]!Name[ID],[1]!Name[Description(1)])</f>
        <v>ARRIEZKI BERKAT</v>
      </c>
      <c r="C1615" s="38" t="str">
        <f>_xlfn.XLOOKUP(Customer[[#This Row],[Customer ID]],[1]!Name[ID],[1]!Name[Description(2)])</f>
        <v/>
      </c>
      <c r="D1615" s="38" t="str">
        <f>_xlfn.XLOOKUP(Customer[[#This Row],[Customer ID]],[1]!Address[ID],[1]!Address[PIC])</f>
        <v/>
      </c>
      <c r="E1615" s="38" t="str">
        <f>_xlfn.XLOOKUP(Customer[[#This Row],[Customer ID]],[1]!Address[ID],[1]!Address[Full Address])</f>
        <v>NO 51 KM9, JALAN DATUK KUMBAR, 05300ALOR SETAR, KEDAH DARUL AMAN</v>
      </c>
      <c r="F1615" s="12" t="s">
        <v>10270</v>
      </c>
      <c r="G1615" s="12" t="s">
        <v>1930</v>
      </c>
      <c r="H1615" s="12" t="s">
        <v>2335</v>
      </c>
      <c r="I1615" s="12" t="b">
        <f>ISNUMBER(VALUE(LEFT(Customer[[#This Row],[Address Line 3 (30 char)]],1)))</f>
        <v>0</v>
      </c>
      <c r="J1615" s="12" t="s">
        <v>355</v>
      </c>
      <c r="K1615" s="30" t="s">
        <v>1499</v>
      </c>
      <c r="L1615" s="12" t="s">
        <v>35</v>
      </c>
      <c r="M1615" s="13" t="e">
        <v>#N/A</v>
      </c>
      <c r="N1615" s="14" t="e">
        <v>#N/A</v>
      </c>
      <c r="O1615" s="14" t="e">
        <v>#N/A</v>
      </c>
      <c r="P1615" s="14" t="e">
        <v>#N/A</v>
      </c>
      <c r="Q1615" s="14" t="e">
        <v>#N/A</v>
      </c>
      <c r="R1615" s="15" t="s">
        <v>10271</v>
      </c>
      <c r="S1615" s="15" t="s">
        <v>3212</v>
      </c>
      <c r="T1615" s="16" t="s">
        <v>89</v>
      </c>
      <c r="U1615" s="11" t="str">
        <f>_xlfn.XLOOKUP(Customer[[#This Row],[Customer ID]],[1]!Address[ID],[1]!Address[Phone No.(2)])</f>
        <v/>
      </c>
      <c r="V1615" s="11" t="str">
        <f>_xlfn.XLOOKUP(Customer[[#This Row],[Customer ID]],[1]!Address[ID],[1]!Address[Type])</f>
        <v>SOCMED</v>
      </c>
      <c r="W1615" s="11" t="str">
        <f>_xlfn.XLOOKUP(Customer[[#This Row],[Customer ID]],[1]!Address[ID],[1]!Address[CT])</f>
        <v/>
      </c>
      <c r="X1615" s="11"/>
      <c r="Y1615" s="17" t="s">
        <v>90</v>
      </c>
      <c r="Z1615" s="17" t="e">
        <f>_xlfn.XLOOKUP(Customer[[#This Row],[NewType]],$AF$36:$AF$54,$AG$36:$AG$54)</f>
        <v>#N/A</v>
      </c>
      <c r="AA1615" s="17" t="s">
        <v>10272</v>
      </c>
      <c r="AB1615" s="11" t="str">
        <f>_xlfn.XLOOKUP(Customer[[#This Row],[Customer ID]],[1]!Address[ID],[1]!Address[Subtype])</f>
        <v>ONLINE HAJAR</v>
      </c>
      <c r="AC1615" s="18" t="str">
        <f>_xlfn.XLOOKUP(Customer[[#This Row],[Customer ID]],[1]!Address[ID],[1]!Address[Zone])</f>
        <v>NORTH</v>
      </c>
    </row>
    <row r="1616" spans="1:30" x14ac:dyDescent="0.3">
      <c r="A1616" s="37" t="s">
        <v>10273</v>
      </c>
      <c r="B1616" s="38" t="str">
        <f>_xlfn.XLOOKUP(Customer[[#This Row],[Customer ID]],[1]!Name[ID],[1]!Name[Description(1)])</f>
        <v>AHMADS FRIED CHCIKEN (M) SDN BHD</v>
      </c>
      <c r="C1616" s="38" t="str">
        <f>_xlfn.XLOOKUP(Customer[[#This Row],[Customer ID]],[1]!Name[ID],[1]!Name[Description(2)])</f>
        <v>AFC</v>
      </c>
      <c r="D1616" s="38" t="str">
        <f>_xlfn.XLOOKUP(Customer[[#This Row],[Customer ID]],[1]!Address[ID],[1]!Address[PIC])</f>
        <v/>
      </c>
      <c r="E1616" s="38" t="str">
        <f>_xlfn.XLOOKUP(Customer[[#This Row],[Customer ID]],[1]!Address[ID],[1]!Address[Full Address])</f>
        <v>NO 4JALAN WU SHU 13/49, BLOK 2,WORLDWIDE BUSINESS PARK,SEKSYEN 13,40100 SHAH ALAM,SELANGOR,</v>
      </c>
      <c r="F1616" s="12" t="s">
        <v>10274</v>
      </c>
      <c r="G1616" s="12" t="s">
        <v>10275</v>
      </c>
      <c r="H1616" s="12" t="s">
        <v>10276</v>
      </c>
      <c r="I1616" s="12" t="b">
        <f>ISNUMBER(VALUE(LEFT(Customer[[#This Row],[Address Line 3 (30 char)]],1)))</f>
        <v>0</v>
      </c>
      <c r="J1616" s="12" t="s">
        <v>172</v>
      </c>
      <c r="K1616" s="12">
        <v>40100</v>
      </c>
      <c r="L1616" s="12" t="s">
        <v>35</v>
      </c>
      <c r="M1616" s="13" t="e">
        <v>#N/A</v>
      </c>
      <c r="N1616" s="14" t="e">
        <v>#N/A</v>
      </c>
      <c r="O1616" s="14" t="e">
        <v>#N/A</v>
      </c>
      <c r="P1616" s="14" t="e">
        <v>#N/A</v>
      </c>
      <c r="Q1616" s="19" t="s">
        <v>10277</v>
      </c>
      <c r="R1616" s="15" t="s">
        <v>10278</v>
      </c>
      <c r="S1616" s="15" t="s">
        <v>5925</v>
      </c>
      <c r="T1616" s="16" t="s">
        <v>3477</v>
      </c>
      <c r="U1616" s="11" t="str">
        <f>_xlfn.XLOOKUP(Customer[[#This Row],[Customer ID]],[1]!Address[ID],[1]!Address[Phone No.(2)])</f>
        <v/>
      </c>
      <c r="V1616" s="11" t="str">
        <f>_xlfn.XLOOKUP(Customer[[#This Row],[Customer ID]],[1]!Address[ID],[1]!Address[Type])</f>
        <v>CAFE</v>
      </c>
      <c r="W1616" s="11" t="str">
        <f>_xlfn.XLOOKUP(Customer[[#This Row],[Customer ID]],[1]!Address[ID],[1]!Address[CT])</f>
        <v>45 DAYS</v>
      </c>
      <c r="X1616" s="11"/>
      <c r="Y1616" s="17" t="s">
        <v>5926</v>
      </c>
      <c r="Z1616" s="17" t="e">
        <f>_xlfn.XLOOKUP(Customer[[#This Row],[NewType]],$AF$36:$AF$54,$AG$36:$AG$54)</f>
        <v>#N/A</v>
      </c>
      <c r="AA1616" s="17" t="s">
        <v>10279</v>
      </c>
      <c r="AB1616" s="11" t="str">
        <f>_xlfn.XLOOKUP(Customer[[#This Row],[Customer ID]],[1]!Address[ID],[1]!Address[Subtype])</f>
        <v>AFC</v>
      </c>
      <c r="AC1616" s="18">
        <f>_xlfn.XLOOKUP(Customer[[#This Row],[Customer ID]],[1]!Address[ID],[1]!Address[Zone])</f>
        <v>0</v>
      </c>
    </row>
    <row r="1617" spans="1:30" x14ac:dyDescent="0.3">
      <c r="A1617" s="37" t="s">
        <v>10280</v>
      </c>
      <c r="B1617" s="38" t="str">
        <f>_xlfn.XLOOKUP(Customer[[#This Row],[Customer ID]],[1]!Name[ID],[1]!Name[Description(1)])</f>
        <v>STESEN MINYAK NIK SDN BHD</v>
      </c>
      <c r="C1617" s="38" t="str">
        <f>_xlfn.XLOOKUP(Customer[[#This Row],[Customer ID]],[1]!Name[ID],[1]!Name[Description(2)])</f>
        <v>PS LEMAL</v>
      </c>
      <c r="D1617" s="38" t="str">
        <f>_xlfn.XLOOKUP(Customer[[#This Row],[Customer ID]],[1]!Address[ID],[1]!Address[PIC])</f>
        <v/>
      </c>
      <c r="E1617" s="38" t="str">
        <f>_xlfn.XLOOKUP(Customer[[#This Row],[Customer ID]],[1]!Address[ID],[1]!Address[Full Address])</f>
        <v>PS LEMALLOT 985 JALAN JEMAL17000 PASIR MAS KELANTAN</v>
      </c>
      <c r="F1617" s="12" t="s">
        <v>10281</v>
      </c>
      <c r="G1617" s="12" t="s">
        <v>10282</v>
      </c>
      <c r="H1617" s="24" t="s">
        <v>2684</v>
      </c>
      <c r="I1617" s="24" t="b">
        <f>ISNUMBER(VALUE(LEFT(Customer[[#This Row],[Address Line 3 (30 char)]],1)))</f>
        <v>0</v>
      </c>
      <c r="J1617" s="12" t="s">
        <v>1007</v>
      </c>
      <c r="K1617" s="12">
        <v>17000</v>
      </c>
      <c r="L1617" s="12" t="s">
        <v>35</v>
      </c>
      <c r="M1617" s="13" t="e">
        <v>#N/A</v>
      </c>
      <c r="N1617" s="14" t="e">
        <v>#N/A</v>
      </c>
      <c r="O1617" s="14" t="e">
        <v>#N/A</v>
      </c>
      <c r="P1617" s="14" t="e">
        <v>#N/A</v>
      </c>
      <c r="Q1617" s="14" t="e">
        <v>#N/A</v>
      </c>
      <c r="R1617" s="15" t="s">
        <v>10283</v>
      </c>
      <c r="S1617" s="15" t="s">
        <v>37</v>
      </c>
      <c r="T1617" s="16" t="s">
        <v>38</v>
      </c>
      <c r="U1617" s="11" t="str">
        <f>_xlfn.XLOOKUP(Customer[[#This Row],[Customer ID]],[1]!Address[ID],[1]!Address[Phone No.(2)])</f>
        <v/>
      </c>
      <c r="V1617" s="11" t="str">
        <f>_xlfn.XLOOKUP(Customer[[#This Row],[Customer ID]],[1]!Address[ID],[1]!Address[Type])</f>
        <v>PETROMART</v>
      </c>
      <c r="W1617" s="11" t="str">
        <f>_xlfn.XLOOKUP(Customer[[#This Row],[Customer ID]],[1]!Address[ID],[1]!Address[CT])</f>
        <v>30</v>
      </c>
      <c r="X1617" s="11" t="s">
        <v>39</v>
      </c>
      <c r="Y1617" s="17" t="s">
        <v>40</v>
      </c>
      <c r="Z1617" s="17" t="e">
        <f>_xlfn.XLOOKUP(Customer[[#This Row],[NewType]],$AF$36:$AF$54,$AG$36:$AG$54)</f>
        <v>#N/A</v>
      </c>
      <c r="AA1617" s="17" t="s">
        <v>10284</v>
      </c>
      <c r="AB1617" s="11" t="str">
        <f>_xlfn.XLOOKUP(Customer[[#This Row],[Customer ID]],[1]!Address[ID],[1]!Address[Subtype])</f>
        <v>PETRONAS</v>
      </c>
      <c r="AC1617" s="18" t="str">
        <f>_xlfn.XLOOKUP(Customer[[#This Row],[Customer ID]],[1]!Address[ID],[1]!Address[Zone])</f>
        <v>EAST COAST</v>
      </c>
    </row>
    <row r="1618" spans="1:30" x14ac:dyDescent="0.3">
      <c r="A1618" s="37" t="s">
        <v>10285</v>
      </c>
      <c r="B1618" s="38" t="str">
        <f>_xlfn.XLOOKUP(Customer[[#This Row],[Customer ID]],[1]!Name[ID],[1]!Name[Description(1)])</f>
        <v>OASIS EDEN ENTERPRISE</v>
      </c>
      <c r="C1618" s="38" t="str">
        <f>_xlfn.XLOOKUP(Customer[[#This Row],[Customer ID]],[1]!Name[ID],[1]!Name[Description(2)])</f>
        <v>PS KUALA PILAH JALAN MELANG</v>
      </c>
      <c r="D1618" s="38" t="str">
        <f>_xlfn.XLOOKUP(Customer[[#This Row],[Customer ID]],[1]!Address[ID],[1]!Address[PIC])</f>
        <v/>
      </c>
      <c r="E1618" s="38" t="str">
        <f>_xlfn.XLOOKUP(Customer[[#This Row],[Customer ID]],[1]!Address[ID],[1]!Address[Full Address])</f>
        <v>PS KUALA PILAH JALAN MELANGLOT 324, JALAN MELANG72000 KUALA PILAHNEGERI SEMBILAN</v>
      </c>
      <c r="F1618" s="12" t="s">
        <v>10286</v>
      </c>
      <c r="G1618" s="12" t="s">
        <v>10287</v>
      </c>
      <c r="H1618" s="24" t="s">
        <v>4565</v>
      </c>
      <c r="I1618" s="24" t="b">
        <f>ISNUMBER(VALUE(LEFT(Customer[[#This Row],[Address Line 3 (30 char)]],1)))</f>
        <v>0</v>
      </c>
      <c r="J1618" s="12" t="s">
        <v>2004</v>
      </c>
      <c r="K1618" s="12">
        <v>72000</v>
      </c>
      <c r="L1618" s="12" t="s">
        <v>35</v>
      </c>
      <c r="M1618" s="13" t="e">
        <v>#N/A</v>
      </c>
      <c r="N1618" s="14" t="e">
        <v>#N/A</v>
      </c>
      <c r="O1618" s="14" t="e">
        <v>#N/A</v>
      </c>
      <c r="P1618" s="14" t="e">
        <v>#N/A</v>
      </c>
      <c r="Q1618" s="14" t="e">
        <v>#N/A</v>
      </c>
      <c r="R1618" s="15" t="s">
        <v>10288</v>
      </c>
      <c r="S1618" s="15" t="s">
        <v>37</v>
      </c>
      <c r="T1618" s="16" t="s">
        <v>38</v>
      </c>
      <c r="U1618" s="11" t="str">
        <f>_xlfn.XLOOKUP(Customer[[#This Row],[Customer ID]],[1]!Address[ID],[1]!Address[Phone No.(2)])</f>
        <v/>
      </c>
      <c r="V1618" s="11" t="str">
        <f>_xlfn.XLOOKUP(Customer[[#This Row],[Customer ID]],[1]!Address[ID],[1]!Address[Type])</f>
        <v>PETROMART</v>
      </c>
      <c r="W1618" s="11" t="str">
        <f>_xlfn.XLOOKUP(Customer[[#This Row],[Customer ID]],[1]!Address[ID],[1]!Address[CT])</f>
        <v>30</v>
      </c>
      <c r="X1618" s="11" t="s">
        <v>39</v>
      </c>
      <c r="Y1618" s="17" t="s">
        <v>40</v>
      </c>
      <c r="Z1618" s="17" t="e">
        <f>_xlfn.XLOOKUP(Customer[[#This Row],[NewType]],$AF$36:$AF$54,$AG$36:$AG$54)</f>
        <v>#N/A</v>
      </c>
      <c r="AA1618" s="17" t="s">
        <v>10289</v>
      </c>
      <c r="AB1618" s="11" t="str">
        <f>_xlfn.XLOOKUP(Customer[[#This Row],[Customer ID]],[1]!Address[ID],[1]!Address[Subtype])</f>
        <v>PETRONAS</v>
      </c>
      <c r="AC1618" s="18" t="str">
        <f>_xlfn.XLOOKUP(Customer[[#This Row],[Customer ID]],[1]!Address[ID],[1]!Address[Zone])</f>
        <v>CENTRAL</v>
      </c>
    </row>
    <row r="1619" spans="1:30" x14ac:dyDescent="0.3">
      <c r="A1619" s="37" t="s">
        <v>10290</v>
      </c>
      <c r="B1619" s="38" t="str">
        <f>_xlfn.XLOOKUP(Customer[[#This Row],[Customer ID]],[1]!Name[ID],[1]!Name[Description(1)])</f>
        <v>GSS ENTERPRISE (RA0093879-V)</v>
      </c>
      <c r="C1619" s="38" t="str">
        <f>_xlfn.XLOOKUP(Customer[[#This Row],[Customer ID]],[1]!Name[ID],[1]!Name[Description(2)])</f>
        <v/>
      </c>
      <c r="D1619" s="38" t="str">
        <f>_xlfn.XLOOKUP(Customer[[#This Row],[Customer ID]],[1]!Address[ID],[1]!Address[PIC])</f>
        <v>SALMAN</v>
      </c>
      <c r="E1619" s="38" t="str">
        <f>_xlfn.XLOOKUP(Customer[[#This Row],[Customer ID]],[1]!Address[ID],[1]!Address[Full Address])</f>
        <v>4062-LEVEL 4, UNIMART, UNIKL-BUSINESS,SCHOOL, QUILL CITY MALL, 1018, JLNSULTAN ISMAIL, BANDAR WAWASAN, 50250WILAYAH PERSEKUTUAN KUALA LUMPUR</v>
      </c>
      <c r="F1619" s="12" t="s">
        <v>10291</v>
      </c>
      <c r="G1619" s="12" t="s">
        <v>10292</v>
      </c>
      <c r="H1619" s="12" t="s">
        <v>10293</v>
      </c>
      <c r="I1619" s="12" t="b">
        <f>ISNUMBER(VALUE(LEFT(Customer[[#This Row],[Address Line 3 (30 char)]],1)))</f>
        <v>0</v>
      </c>
      <c r="J1619" s="12" t="s">
        <v>34</v>
      </c>
      <c r="K1619" s="12">
        <v>50250</v>
      </c>
      <c r="L1619" s="12" t="s">
        <v>35</v>
      </c>
      <c r="M1619" s="13" t="e">
        <v>#N/A</v>
      </c>
      <c r="N1619" s="14" t="e">
        <v>#N/A</v>
      </c>
      <c r="O1619" s="14" t="e">
        <v>#N/A</v>
      </c>
      <c r="P1619" s="14" t="e">
        <v>#N/A</v>
      </c>
      <c r="Q1619" s="19" t="s">
        <v>10294</v>
      </c>
      <c r="R1619" s="15" t="s">
        <v>10295</v>
      </c>
      <c r="S1619" s="15" t="s">
        <v>88</v>
      </c>
      <c r="T1619" s="16" t="s">
        <v>89</v>
      </c>
      <c r="U1619" s="11" t="str">
        <f>_xlfn.XLOOKUP(Customer[[#This Row],[Customer ID]],[1]!Address[ID],[1]!Address[Phone No.(2)])</f>
        <v/>
      </c>
      <c r="V1619" s="11" t="str">
        <f>_xlfn.XLOOKUP(Customer[[#This Row],[Customer ID]],[1]!Address[ID],[1]!Address[Type])</f>
        <v>SOCMED</v>
      </c>
      <c r="W1619" s="11" t="str">
        <f>_xlfn.XLOOKUP(Customer[[#This Row],[Customer ID]],[1]!Address[ID],[1]!Address[CT])</f>
        <v/>
      </c>
      <c r="X1619" s="11"/>
      <c r="Y1619" s="17" t="s">
        <v>90</v>
      </c>
      <c r="Z1619" s="17" t="e">
        <f>_xlfn.XLOOKUP(Customer[[#This Row],[NewType]],$AF$36:$AF$54,$AG$36:$AG$54)</f>
        <v>#N/A</v>
      </c>
      <c r="AA1619" s="17" t="s">
        <v>10296</v>
      </c>
      <c r="AB1619" s="11" t="str">
        <f>_xlfn.XLOOKUP(Customer[[#This Row],[Customer ID]],[1]!Address[ID],[1]!Address[Subtype])</f>
        <v>ONLINE ROS</v>
      </c>
      <c r="AC1619" s="18" t="str">
        <f>_xlfn.XLOOKUP(Customer[[#This Row],[Customer ID]],[1]!Address[ID],[1]!Address[Zone])</f>
        <v>CENTRAL</v>
      </c>
    </row>
    <row r="1620" spans="1:30" x14ac:dyDescent="0.3">
      <c r="A1620" s="48" t="s">
        <v>10297</v>
      </c>
      <c r="B1620" s="49" t="str">
        <f>_xlfn.XLOOKUP(Customer[[#This Row],[Customer ID]],[1]!Name[ID],[1]!Name[Description(1)])</f>
        <v>NURAINNADIA BINTI MOHD RADZI</v>
      </c>
      <c r="C1620" s="50" t="str">
        <f>_xlfn.XLOOKUP(Customer[[#This Row],[Customer ID]],[1]!Name[ID],[1]!Name[Description(2)])</f>
        <v/>
      </c>
      <c r="D1620" s="50" t="str">
        <f>_xlfn.XLOOKUP(Customer[[#This Row],[Customer ID]],[1]!Address[ID],[1]!Address[PIC])</f>
        <v/>
      </c>
      <c r="E1620" s="38" t="str">
        <f>_xlfn.XLOOKUP(Customer[[#This Row],[Customer ID]],[1]!Address[ID],[1]!Address[Full Address])</f>
        <v>AGROBANK COMMERCIAL CENTRE,BLOCK 13-5, SEREMBAN CITY CENTRE,JALAN PASAR, 70000 SEREMBAN</v>
      </c>
      <c r="F1620" s="29" t="s">
        <v>10298</v>
      </c>
      <c r="G1620" s="29" t="s">
        <v>10299</v>
      </c>
      <c r="H1620" s="29" t="s">
        <v>10300</v>
      </c>
      <c r="I1620" s="29" t="b">
        <f>ISNUMBER(VALUE(LEFT(Customer[[#This Row],[Address Line 3 (30 char)]],1)))</f>
        <v>0</v>
      </c>
      <c r="J1620" s="29" t="s">
        <v>2004</v>
      </c>
      <c r="K1620" s="29">
        <v>70000</v>
      </c>
      <c r="L1620" s="29" t="s">
        <v>35</v>
      </c>
      <c r="M1620" s="31" t="e">
        <v>#N/A</v>
      </c>
      <c r="N1620" s="36" t="e">
        <v>#N/A</v>
      </c>
      <c r="O1620" s="36" t="e">
        <v>#N/A</v>
      </c>
      <c r="P1620" s="36" t="e">
        <v>#N/A</v>
      </c>
      <c r="Q1620" s="36" t="e">
        <v>#N/A</v>
      </c>
      <c r="R1620" s="51" t="s">
        <v>10301</v>
      </c>
      <c r="S1620" s="51"/>
      <c r="T1620" s="52"/>
      <c r="U1620" s="49" t="str">
        <f>_xlfn.XLOOKUP(Customer[[#This Row],[Customer ID]],[1]!Address[ID],[1]!Address[Phone No.(2)])</f>
        <v/>
      </c>
      <c r="V1620" s="49" t="str">
        <f>_xlfn.XLOOKUP(Customer[[#This Row],[Customer ID]],[1]!Address[ID],[1]!Address[Type])</f>
        <v>SOCMED</v>
      </c>
      <c r="W1620" s="49" t="str">
        <f>_xlfn.XLOOKUP(Customer[[#This Row],[Customer ID]],[1]!Address[ID],[1]!Address[CT])</f>
        <v/>
      </c>
      <c r="X1620" s="49"/>
      <c r="Y1620" s="53" t="s">
        <v>90</v>
      </c>
      <c r="Z1620" s="53" t="e">
        <f>_xlfn.XLOOKUP(Customer[[#This Row],[NewType]],$AF$36:$AF$54,$AG$36:$AG$54)</f>
        <v>#N/A</v>
      </c>
      <c r="AA1620" s="53" t="s">
        <v>10302</v>
      </c>
      <c r="AB1620" s="49" t="str">
        <f>_xlfn.XLOOKUP(Customer[[#This Row],[Customer ID]],[1]!Address[ID],[1]!Address[Subtype])</f>
        <v>WHATSAPP</v>
      </c>
      <c r="AC1620" s="54" t="str">
        <f>_xlfn.XLOOKUP(Customer[[#This Row],[Customer ID]],[1]!Address[ID],[1]!Address[Zone])</f>
        <v>CENTRAL</v>
      </c>
      <c r="AD1620" s="55"/>
    </row>
    <row r="1621" spans="1:30" x14ac:dyDescent="0.3">
      <c r="A1621" s="46" t="s">
        <v>10303</v>
      </c>
      <c r="B1621" s="24" t="str">
        <f>_xlfn.XLOOKUP(Customer[[#This Row],[Customer ID]],[1]!Name[ID],[1]!Name[Description(1)])</f>
        <v>AGENT ELINA</v>
      </c>
      <c r="C1621" s="24" t="str">
        <f>_xlfn.XLOOKUP(Customer[[#This Row],[Customer ID]],[1]!Name[ID],[1]!Name[Description(2)])</f>
        <v/>
      </c>
      <c r="D1621" s="38" t="str">
        <f>_xlfn.XLOOKUP(Customer[[#This Row],[Customer ID]],[1]!Address[ID],[1]!Address[PIC])</f>
        <v/>
      </c>
      <c r="E1621" s="38" t="str">
        <f>_xlfn.XLOOKUP(Customer[[#This Row],[Customer ID]],[1]!Address[ID],[1]!Address[Full Address])</f>
        <v/>
      </c>
      <c r="F1621" s="12" t="s">
        <v>36</v>
      </c>
      <c r="G1621" s="12" t="s">
        <v>36</v>
      </c>
      <c r="H1621" s="12" t="s">
        <v>36</v>
      </c>
      <c r="I1621" s="12" t="b">
        <f>ISNUMBER(VALUE(LEFT(Customer[[#This Row],[Address Line 3 (30 char)]],1)))</f>
        <v>0</v>
      </c>
      <c r="J1621" s="24"/>
      <c r="K1621" s="24"/>
      <c r="L1621" s="12" t="s">
        <v>35</v>
      </c>
      <c r="M1621" s="13" t="e">
        <v>#N/A</v>
      </c>
      <c r="N1621" s="14" t="e">
        <v>#N/A</v>
      </c>
      <c r="O1621" s="14" t="e">
        <v>#N/A</v>
      </c>
      <c r="P1621" s="14" t="e">
        <v>#N/A</v>
      </c>
      <c r="Q1621" s="14" t="e">
        <v>#N/A</v>
      </c>
      <c r="R1621" s="15" t="s">
        <v>36</v>
      </c>
      <c r="S1621" s="15" t="s">
        <v>6645</v>
      </c>
      <c r="T1621" s="16" t="s">
        <v>38</v>
      </c>
      <c r="U1621" s="11" t="str">
        <f>_xlfn.XLOOKUP(Customer[[#This Row],[Customer ID]],[1]!Address[ID],[1]!Address[Phone No.(2)])</f>
        <v/>
      </c>
      <c r="V1621" s="11" t="str">
        <f>_xlfn.XLOOKUP(Customer[[#This Row],[Customer ID]],[1]!Address[ID],[1]!Address[Type])</f>
        <v>AGENT</v>
      </c>
      <c r="W1621" s="11" t="str">
        <f>_xlfn.XLOOKUP(Customer[[#This Row],[Customer ID]],[1]!Address[ID],[1]!Address[CT])</f>
        <v/>
      </c>
      <c r="X1621" s="11"/>
      <c r="Y1621" s="17" t="s">
        <v>6639</v>
      </c>
      <c r="Z1621" s="17" t="e">
        <f>_xlfn.XLOOKUP(Customer[[#This Row],[NewType]],$AF$36:$AF$54,$AG$36:$AG$54)</f>
        <v>#N/A</v>
      </c>
      <c r="AA1621" s="17" t="s">
        <v>10304</v>
      </c>
      <c r="AB1621" s="11" t="str">
        <f>_xlfn.XLOOKUP(Customer[[#This Row],[Customer ID]],[1]!Address[ID],[1]!Address[Subtype])</f>
        <v>AGENT HQ</v>
      </c>
      <c r="AC1621" s="18" t="str">
        <f>_xlfn.XLOOKUP(Customer[[#This Row],[Customer ID]],[1]!Address[ID],[1]!Address[Zone])</f>
        <v xml:space="preserve"> TNTH</v>
      </c>
    </row>
    <row r="1622" spans="1:30" x14ac:dyDescent="0.3">
      <c r="A1622" s="37" t="s">
        <v>10305</v>
      </c>
      <c r="B1622" s="38" t="str">
        <f>_xlfn.XLOOKUP(Customer[[#This Row],[Customer ID]],[1]!Name[ID],[1]!Name[Description(1)])</f>
        <v>PERBADANAN KEMAJUAN NEGERI,NEGERI SEMBIL</v>
      </c>
      <c r="C1622" s="38" t="str">
        <f>_xlfn.XLOOKUP(Customer[[#This Row],[Customer ID]],[1]!Name[ID],[1]!Name[Description(2)])</f>
        <v>PKNNS</v>
      </c>
      <c r="D1622" s="38" t="str">
        <f>_xlfn.XLOOKUP(Customer[[#This Row],[Customer ID]],[1]!Address[ID],[1]!Address[PIC])</f>
        <v>DARUIS BIN DAIN</v>
      </c>
      <c r="E1622" s="38" t="str">
        <f>_xlfn.XLOOKUP(Customer[[#This Row],[Customer ID]],[1]!Address[ID],[1]!Address[Full Address])</f>
        <v>158, JALAN YAM TUAN,SEREMBAN 70710 SEREMBAN,NEGERI SEMBILAN.</v>
      </c>
      <c r="F1622" s="12" t="s">
        <v>10306</v>
      </c>
      <c r="G1622" s="12" t="s">
        <v>10307</v>
      </c>
      <c r="H1622" s="12"/>
      <c r="I1622" s="12" t="b">
        <f>ISNUMBER(VALUE(LEFT(Customer[[#This Row],[Address Line 3 (30 char)]],1)))</f>
        <v>0</v>
      </c>
      <c r="J1622" s="12" t="s">
        <v>203</v>
      </c>
      <c r="K1622" s="12">
        <v>70710</v>
      </c>
      <c r="L1622" s="12" t="s">
        <v>35</v>
      </c>
      <c r="M1622" s="13" t="e">
        <v>#N/A</v>
      </c>
      <c r="N1622" s="14" t="e">
        <v>#N/A</v>
      </c>
      <c r="O1622" s="14" t="e">
        <v>#N/A</v>
      </c>
      <c r="P1622" s="14" t="e">
        <v>#N/A</v>
      </c>
      <c r="Q1622" s="19" t="s">
        <v>10308</v>
      </c>
      <c r="R1622" s="15" t="s">
        <v>10309</v>
      </c>
      <c r="S1622" s="15" t="s">
        <v>5934</v>
      </c>
      <c r="T1622" s="16" t="s">
        <v>3477</v>
      </c>
      <c r="U1622" s="11" t="str">
        <f>_xlfn.XLOOKUP(Customer[[#This Row],[Customer ID]],[1]!Address[ID],[1]!Address[Phone No.(2)])</f>
        <v/>
      </c>
      <c r="V1622" s="11" t="str">
        <f>_xlfn.XLOOKUP(Customer[[#This Row],[Customer ID]],[1]!Address[ID],[1]!Address[Type])</f>
        <v>CORPORATE</v>
      </c>
      <c r="W1622" s="11" t="str">
        <f>_xlfn.XLOOKUP(Customer[[#This Row],[Customer ID]],[1]!Address[ID],[1]!Address[CT])</f>
        <v>14 DAYS</v>
      </c>
      <c r="X1622" s="11"/>
      <c r="Y1622" s="17" t="s">
        <v>6418</v>
      </c>
      <c r="Z1622" s="17" t="e">
        <f>_xlfn.XLOOKUP(Customer[[#This Row],[NewType]],$AF$36:$AF$54,$AG$36:$AG$54)</f>
        <v>#N/A</v>
      </c>
      <c r="AA1622" s="17" t="s">
        <v>10310</v>
      </c>
      <c r="AB1622" s="11" t="str">
        <f>_xlfn.XLOOKUP(Customer[[#This Row],[Customer ID]],[1]!Address[ID],[1]!Address[Subtype])</f>
        <v>PKNNS</v>
      </c>
      <c r="AC1622" s="18" t="str">
        <f>_xlfn.XLOOKUP(Customer[[#This Row],[Customer ID]],[1]!Address[ID],[1]!Address[Zone])</f>
        <v>CENTRAL</v>
      </c>
    </row>
    <row r="1623" spans="1:30" x14ac:dyDescent="0.3">
      <c r="A1623" s="56" t="s">
        <v>10311</v>
      </c>
      <c r="B1623" s="50" t="str">
        <f>_xlfn.XLOOKUP(Customer[[#This Row],[Customer ID]],[1]!Name[ID],[1]!Name[Description(1)])</f>
        <v>KOPERASI SMK RAJA PEREMPUAN KELSOM</v>
      </c>
      <c r="C1623" s="38" t="str">
        <f>_xlfn.XLOOKUP(Customer[[#This Row],[Customer ID]],[1]!Name[ID],[1]!Name[Description(2)])</f>
        <v/>
      </c>
      <c r="D1623" s="38" t="str">
        <f>_xlfn.XLOOKUP(Customer[[#This Row],[Customer ID]],[1]!Address[ID],[1]!Address[PIC])</f>
        <v/>
      </c>
      <c r="E1623" s="38" t="str">
        <f>_xlfn.XLOOKUP(Customer[[#This Row],[Customer ID]],[1]!Address[ID],[1]!Address[Full Address])</f>
        <v>JALAN BUKIT KERAJAAN 33000KUALA KANGSAR, PERAK</v>
      </c>
      <c r="F1623" s="12" t="s">
        <v>10312</v>
      </c>
      <c r="G1623" s="12" t="s">
        <v>10313</v>
      </c>
      <c r="H1623" s="12" t="s">
        <v>36</v>
      </c>
      <c r="I1623" s="12" t="b">
        <f>ISNUMBER(VALUE(LEFT(Customer[[#This Row],[Address Line 3 (30 char)]],1)))</f>
        <v>0</v>
      </c>
      <c r="J1623" s="12" t="s">
        <v>242</v>
      </c>
      <c r="K1623" s="12">
        <v>33000</v>
      </c>
      <c r="L1623" s="12" t="s">
        <v>35</v>
      </c>
      <c r="M1623" s="13" t="e">
        <v>#N/A</v>
      </c>
      <c r="N1623" s="14" t="s">
        <v>10314</v>
      </c>
      <c r="O1623" s="14" t="e">
        <v>#N/A</v>
      </c>
      <c r="P1623" s="14" t="e">
        <v>#N/A</v>
      </c>
      <c r="Q1623" s="14" t="e">
        <v>#N/A</v>
      </c>
      <c r="R1623" s="15" t="s">
        <v>10315</v>
      </c>
      <c r="S1623" s="15" t="s">
        <v>3212</v>
      </c>
      <c r="T1623" s="16" t="s">
        <v>89</v>
      </c>
      <c r="U1623" s="11" t="str">
        <f>_xlfn.XLOOKUP(Customer[[#This Row],[Customer ID]],[1]!Address[ID],[1]!Address[Phone No.(2)])</f>
        <v/>
      </c>
      <c r="V1623" s="11" t="str">
        <f>_xlfn.XLOOKUP(Customer[[#This Row],[Customer ID]],[1]!Address[ID],[1]!Address[Type])</f>
        <v>SOCMED</v>
      </c>
      <c r="W1623" s="11" t="str">
        <f>_xlfn.XLOOKUP(Customer[[#This Row],[Customer ID]],[1]!Address[ID],[1]!Address[CT])</f>
        <v/>
      </c>
      <c r="X1623" s="11"/>
      <c r="Y1623" s="17" t="s">
        <v>90</v>
      </c>
      <c r="Z1623" s="17" t="e">
        <f>_xlfn.XLOOKUP(Customer[[#This Row],[NewType]],$AF$36:$AF$54,$AG$36:$AG$54)</f>
        <v>#N/A</v>
      </c>
      <c r="AA1623" s="17" t="s">
        <v>10316</v>
      </c>
      <c r="AB1623" s="11" t="str">
        <f>_xlfn.XLOOKUP(Customer[[#This Row],[Customer ID]],[1]!Address[ID],[1]!Address[Subtype])</f>
        <v>ONLINE HAJAR</v>
      </c>
      <c r="AC1623" s="18" t="str">
        <f>_xlfn.XLOOKUP(Customer[[#This Row],[Customer ID]],[1]!Address[ID],[1]!Address[Zone])</f>
        <v>NORTH</v>
      </c>
    </row>
    <row r="1624" spans="1:30" x14ac:dyDescent="0.3">
      <c r="A1624" s="37" t="s">
        <v>10317</v>
      </c>
      <c r="B1624" s="38" t="str">
        <f>_xlfn.XLOOKUP(Customer[[#This Row],[Customer ID]],[1]!Name[ID],[1]!Name[Description(1)])</f>
        <v>KOPERASI SANTUN - YAPEIM BERHAD</v>
      </c>
      <c r="C1624" s="38" t="str">
        <f>_xlfn.XLOOKUP(Customer[[#This Row],[Customer ID]],[1]!Name[ID],[1]!Name[Description(2)])</f>
        <v/>
      </c>
      <c r="D1624" s="38" t="str">
        <f>_xlfn.XLOOKUP(Customer[[#This Row],[Customer ID]],[1]!Address[ID],[1]!Address[PIC])</f>
        <v/>
      </c>
      <c r="E1624" s="38" t="str">
        <f>_xlfn.XLOOKUP(Customer[[#This Row],[Customer ID]],[1]!Address[ID],[1]!Address[Full Address])</f>
        <v>UNIT 46A-4, MENTARI BUSINESS PARK,JALAN PJS 8/2, DATARAN MENTARI,46150 BANDAR SUNWAYPETALING JAYA,SELANGOR</v>
      </c>
      <c r="F1624" s="12" t="s">
        <v>10318</v>
      </c>
      <c r="G1624" s="12" t="s">
        <v>10319</v>
      </c>
      <c r="H1624" s="12" t="s">
        <v>10320</v>
      </c>
      <c r="I1624" s="12" t="b">
        <f>ISNUMBER(VALUE(LEFT(Customer[[#This Row],[Address Line 3 (30 char)]],1)))</f>
        <v>0</v>
      </c>
      <c r="J1624" s="12" t="s">
        <v>172</v>
      </c>
      <c r="K1624" s="12">
        <v>46150</v>
      </c>
      <c r="L1624" s="12" t="s">
        <v>35</v>
      </c>
      <c r="M1624" s="13" t="e">
        <v>#N/A</v>
      </c>
      <c r="N1624" s="14" t="e">
        <v>#N/A</v>
      </c>
      <c r="O1624" s="14" t="e">
        <v>#N/A</v>
      </c>
      <c r="P1624" s="14" t="e">
        <v>#N/A</v>
      </c>
      <c r="Q1624" s="19" t="s">
        <v>10321</v>
      </c>
      <c r="R1624" s="15" t="s">
        <v>10322</v>
      </c>
      <c r="S1624" s="15" t="s">
        <v>5934</v>
      </c>
      <c r="T1624" s="16" t="s">
        <v>3477</v>
      </c>
      <c r="U1624" s="11" t="str">
        <f>_xlfn.XLOOKUP(Customer[[#This Row],[Customer ID]],[1]!Address[ID],[1]!Address[Phone No.(2)])</f>
        <v/>
      </c>
      <c r="V1624" s="11" t="str">
        <f>_xlfn.XLOOKUP(Customer[[#This Row],[Customer ID]],[1]!Address[ID],[1]!Address[Type])</f>
        <v>KOPERASI</v>
      </c>
      <c r="W1624" s="11" t="str">
        <f>_xlfn.XLOOKUP(Customer[[#This Row],[Customer ID]],[1]!Address[ID],[1]!Address[CT])</f>
        <v>60 DAYS</v>
      </c>
      <c r="X1624" s="11"/>
      <c r="Y1624" s="17" t="s">
        <v>6126</v>
      </c>
      <c r="Z1624" s="17" t="e">
        <f>_xlfn.XLOOKUP(Customer[[#This Row],[NewType]],$AF$36:$AF$54,$AG$36:$AG$54)</f>
        <v>#N/A</v>
      </c>
      <c r="AA1624" s="17" t="s">
        <v>10323</v>
      </c>
      <c r="AB1624" s="11" t="str">
        <f>_xlfn.XLOOKUP(Customer[[#This Row],[Customer ID]],[1]!Address[ID],[1]!Address[Subtype])</f>
        <v>KOP.SANTUN</v>
      </c>
      <c r="AC1624" s="18" t="str">
        <f>_xlfn.XLOOKUP(Customer[[#This Row],[Customer ID]],[1]!Address[ID],[1]!Address[Zone])</f>
        <v>NEUTH</v>
      </c>
    </row>
    <row r="1625" spans="1:30" x14ac:dyDescent="0.3">
      <c r="A1625" s="56" t="s">
        <v>10324</v>
      </c>
      <c r="B1625" s="50" t="str">
        <f>_xlfn.XLOOKUP(Customer[[#This Row],[Customer ID]],[1]!Name[ID],[1]!Name[Description(1)])</f>
        <v>RADEN EMBUN SDN BHD (1391838-M)</v>
      </c>
      <c r="C1625" s="38" t="str">
        <f>_xlfn.XLOOKUP(Customer[[#This Row],[Customer ID]],[1]!Name[ID],[1]!Name[Description(2)])</f>
        <v>TAMAN MAJU JAYA, CHERAS</v>
      </c>
      <c r="D1625" s="38" t="str">
        <f>_xlfn.XLOOKUP(Customer[[#This Row],[Customer ID]],[1]!Address[ID],[1]!Address[PIC])</f>
        <v>NAZRI ABDULLAH</v>
      </c>
      <c r="E1625" s="38" t="str">
        <f>_xlfn.XLOOKUP(Customer[[#This Row],[Customer ID]],[1]!Address[ID],[1]!Address[Full Address])</f>
        <v>NO 46, JALAN BUNGA MELATI 2,TAMAN MAJU JAYA, CHERAS 56100KUALA LUMPUR</v>
      </c>
      <c r="F1625" s="12" t="s">
        <v>10325</v>
      </c>
      <c r="G1625" s="12" t="s">
        <v>10326</v>
      </c>
      <c r="H1625" s="12"/>
      <c r="I1625" s="12" t="b">
        <f>ISNUMBER(VALUE(LEFT(Customer[[#This Row],[Address Line 3 (30 char)]],1)))</f>
        <v>0</v>
      </c>
      <c r="J1625" s="12" t="s">
        <v>34</v>
      </c>
      <c r="K1625" s="12">
        <v>56100</v>
      </c>
      <c r="L1625" s="12" t="s">
        <v>35</v>
      </c>
      <c r="M1625" s="13" t="e">
        <v>#N/A</v>
      </c>
      <c r="N1625" s="14" t="e">
        <v>#N/A</v>
      </c>
      <c r="O1625" s="14" t="e">
        <v>#N/A</v>
      </c>
      <c r="P1625" s="14" t="e">
        <v>#N/A</v>
      </c>
      <c r="Q1625" s="19" t="s">
        <v>10327</v>
      </c>
      <c r="R1625" s="15" t="s">
        <v>5171</v>
      </c>
      <c r="S1625" s="15" t="s">
        <v>3212</v>
      </c>
      <c r="T1625" s="16" t="s">
        <v>89</v>
      </c>
      <c r="U1625" s="11" t="str">
        <f>_xlfn.XLOOKUP(Customer[[#This Row],[Customer ID]],[1]!Address[ID],[1]!Address[Phone No.(2)])</f>
        <v/>
      </c>
      <c r="V1625" s="11" t="str">
        <f>_xlfn.XLOOKUP(Customer[[#This Row],[Customer ID]],[1]!Address[ID],[1]!Address[Type])</f>
        <v>SOCMED</v>
      </c>
      <c r="W1625" s="11" t="str">
        <f>_xlfn.XLOOKUP(Customer[[#This Row],[Customer ID]],[1]!Address[ID],[1]!Address[CT])</f>
        <v/>
      </c>
      <c r="X1625" s="11"/>
      <c r="Y1625" s="17" t="s">
        <v>90</v>
      </c>
      <c r="Z1625" s="17" t="e">
        <f>_xlfn.XLOOKUP(Customer[[#This Row],[NewType]],$AF$36:$AF$54,$AG$36:$AG$54)</f>
        <v>#N/A</v>
      </c>
      <c r="AA1625" s="17" t="s">
        <v>10328</v>
      </c>
      <c r="AB1625" s="11" t="str">
        <f>_xlfn.XLOOKUP(Customer[[#This Row],[Customer ID]],[1]!Address[ID],[1]!Address[Subtype])</f>
        <v>ONLINE HAJAR</v>
      </c>
      <c r="AC1625" s="18" t="str">
        <f>_xlfn.XLOOKUP(Customer[[#This Row],[Customer ID]],[1]!Address[ID],[1]!Address[Zone])</f>
        <v>CENTRAL</v>
      </c>
    </row>
    <row r="1626" spans="1:30" x14ac:dyDescent="0.3">
      <c r="A1626" s="56" t="s">
        <v>10329</v>
      </c>
      <c r="B1626" s="50" t="str">
        <f>_xlfn.XLOOKUP(Customer[[#This Row],[Customer ID]],[1]!Name[ID],[1]!Name[Description(1)])</f>
        <v>NUR IZZATI</v>
      </c>
      <c r="C1626" s="38" t="str">
        <f>_xlfn.XLOOKUP(Customer[[#This Row],[Customer ID]],[1]!Name[ID],[1]!Name[Description(2)])</f>
        <v/>
      </c>
      <c r="D1626" s="38" t="str">
        <f>_xlfn.XLOOKUP(Customer[[#This Row],[Customer ID]],[1]!Address[ID],[1]!Address[PIC])</f>
        <v/>
      </c>
      <c r="E1626" s="38" t="str">
        <f>_xlfn.XLOOKUP(Customer[[#This Row],[Customer ID]],[1]!Address[ID],[1]!Address[Full Address])</f>
        <v>NO 19, LORONG SEPAKAT,KAMPUNG PARIT SENTANG BATU,83500 PARIT SULONG, BATU PAHAT,JOHOR</v>
      </c>
      <c r="F1626" s="12" t="s">
        <v>10330</v>
      </c>
      <c r="G1626" s="12" t="s">
        <v>10331</v>
      </c>
      <c r="H1626" s="12" t="s">
        <v>10332</v>
      </c>
      <c r="I1626" s="12" t="b">
        <f>ISNUMBER(VALUE(LEFT(Customer[[#This Row],[Address Line 3 (30 char)]],1)))</f>
        <v>0</v>
      </c>
      <c r="J1626" s="12" t="s">
        <v>52</v>
      </c>
      <c r="K1626" s="12">
        <v>83500</v>
      </c>
      <c r="L1626" s="12" t="s">
        <v>35</v>
      </c>
      <c r="M1626" s="13" t="e">
        <v>#N/A</v>
      </c>
      <c r="N1626" s="14" t="e">
        <v>#N/A</v>
      </c>
      <c r="O1626" s="14" t="e">
        <v>#N/A</v>
      </c>
      <c r="P1626" s="14" t="e">
        <v>#N/A</v>
      </c>
      <c r="Q1626" s="14" t="e">
        <v>#N/A</v>
      </c>
      <c r="R1626" s="15" t="s">
        <v>10333</v>
      </c>
      <c r="S1626" s="15" t="s">
        <v>3212</v>
      </c>
      <c r="T1626" s="16" t="s">
        <v>89</v>
      </c>
      <c r="U1626" s="11" t="str">
        <f>_xlfn.XLOOKUP(Customer[[#This Row],[Customer ID]],[1]!Address[ID],[1]!Address[Phone No.(2)])</f>
        <v/>
      </c>
      <c r="V1626" s="11" t="str">
        <f>_xlfn.XLOOKUP(Customer[[#This Row],[Customer ID]],[1]!Address[ID],[1]!Address[Type])</f>
        <v>SOCMED</v>
      </c>
      <c r="W1626" s="11" t="str">
        <f>_xlfn.XLOOKUP(Customer[[#This Row],[Customer ID]],[1]!Address[ID],[1]!Address[CT])</f>
        <v/>
      </c>
      <c r="X1626" s="11"/>
      <c r="Y1626" s="17" t="s">
        <v>90</v>
      </c>
      <c r="Z1626" s="17" t="e">
        <f>_xlfn.XLOOKUP(Customer[[#This Row],[NewType]],$AF$36:$AF$54,$AG$36:$AG$54)</f>
        <v>#N/A</v>
      </c>
      <c r="AA1626" s="17" t="s">
        <v>10334</v>
      </c>
      <c r="AB1626" s="11" t="str">
        <f>_xlfn.XLOOKUP(Customer[[#This Row],[Customer ID]],[1]!Address[ID],[1]!Address[Subtype])</f>
        <v>ONLINE HAJAR</v>
      </c>
      <c r="AC1626" s="18" t="str">
        <f>_xlfn.XLOOKUP(Customer[[#This Row],[Customer ID]],[1]!Address[ID],[1]!Address[Zone])</f>
        <v>SOUTH</v>
      </c>
    </row>
    <row r="1627" spans="1:30" x14ac:dyDescent="0.3">
      <c r="A1627" s="37" t="s">
        <v>10335</v>
      </c>
      <c r="B1627" s="38" t="str">
        <f>_xlfn.XLOOKUP(Customer[[#This Row],[Customer ID]],[1]!Name[ID],[1]!Name[Description(1)])</f>
        <v>MUAZ</v>
      </c>
      <c r="C1627" s="38" t="str">
        <f>_xlfn.XLOOKUP(Customer[[#This Row],[Customer ID]],[1]!Name[ID],[1]!Name[Description(2)])</f>
        <v/>
      </c>
      <c r="D1627" s="38" t="str">
        <f>_xlfn.XLOOKUP(Customer[[#This Row],[Customer ID]],[1]!Address[ID],[1]!Address[PIC])</f>
        <v/>
      </c>
      <c r="E1627" s="38" t="str">
        <f>_xlfn.XLOOKUP(Customer[[#This Row],[Customer ID]],[1]!Address[ID],[1]!Address[Full Address])</f>
        <v>25, JALAN BUKIT BALDWIN,PUSAT PERNIAGAAN BUKIT BALDWIN35000 TAPAH, PERAK</v>
      </c>
      <c r="F1627" s="12" t="s">
        <v>10336</v>
      </c>
      <c r="G1627" s="12" t="s">
        <v>10337</v>
      </c>
      <c r="H1627" s="24" t="s">
        <v>10338</v>
      </c>
      <c r="I1627" s="24" t="b">
        <f>ISNUMBER(VALUE(LEFT(Customer[[#This Row],[Address Line 3 (30 char)]],1)))</f>
        <v>0</v>
      </c>
      <c r="J1627" s="12" t="s">
        <v>242</v>
      </c>
      <c r="K1627" s="12">
        <v>35000</v>
      </c>
      <c r="L1627" s="12" t="s">
        <v>35</v>
      </c>
      <c r="M1627" s="13" t="e">
        <v>#N/A</v>
      </c>
      <c r="N1627" s="14" t="e">
        <v>#N/A</v>
      </c>
      <c r="O1627" s="14" t="e">
        <v>#N/A</v>
      </c>
      <c r="P1627" s="14" t="e">
        <v>#N/A</v>
      </c>
      <c r="Q1627" s="14" t="e">
        <v>#N/A</v>
      </c>
      <c r="R1627" s="15" t="s">
        <v>10339</v>
      </c>
      <c r="S1627" s="15" t="s">
        <v>88</v>
      </c>
      <c r="T1627" s="16" t="s">
        <v>89</v>
      </c>
      <c r="U1627" s="11" t="str">
        <f>_xlfn.XLOOKUP(Customer[[#This Row],[Customer ID]],[1]!Address[ID],[1]!Address[Phone No.(2)])</f>
        <v/>
      </c>
      <c r="V1627" s="11" t="str">
        <f>_xlfn.XLOOKUP(Customer[[#This Row],[Customer ID]],[1]!Address[ID],[1]!Address[Type])</f>
        <v>SOCMED</v>
      </c>
      <c r="W1627" s="11" t="str">
        <f>_xlfn.XLOOKUP(Customer[[#This Row],[Customer ID]],[1]!Address[ID],[1]!Address[CT])</f>
        <v/>
      </c>
      <c r="X1627" s="11"/>
      <c r="Y1627" s="17" t="s">
        <v>90</v>
      </c>
      <c r="Z1627" s="17" t="e">
        <f>_xlfn.XLOOKUP(Customer[[#This Row],[NewType]],$AF$36:$AF$54,$AG$36:$AG$54)</f>
        <v>#N/A</v>
      </c>
      <c r="AA1627" s="17" t="s">
        <v>10340</v>
      </c>
      <c r="AB1627" s="11" t="str">
        <f>_xlfn.XLOOKUP(Customer[[#This Row],[Customer ID]],[1]!Address[ID],[1]!Address[Subtype])</f>
        <v>ONLINE ROS</v>
      </c>
      <c r="AC1627" s="18" t="str">
        <f>_xlfn.XLOOKUP(Customer[[#This Row],[Customer ID]],[1]!Address[ID],[1]!Address[Zone])</f>
        <v>NORTH</v>
      </c>
    </row>
    <row r="1628" spans="1:30" x14ac:dyDescent="0.3">
      <c r="A1628" s="37" t="s">
        <v>10341</v>
      </c>
      <c r="B1628" s="38" t="str">
        <f>_xlfn.XLOOKUP(Customer[[#This Row],[Customer ID]],[1]!Name[ID],[1]!Name[Description(1)])</f>
        <v>PETRON BANDAR GAMBANG PERDANA</v>
      </c>
      <c r="C1628" s="38" t="str">
        <f>_xlfn.XLOOKUP(Customer[[#This Row],[Customer ID]],[1]!Name[ID],[1]!Name[Description(2)])</f>
        <v/>
      </c>
      <c r="D1628" s="38" t="str">
        <f>_xlfn.XLOOKUP(Customer[[#This Row],[Customer ID]],[1]!Address[ID],[1]!Address[PIC])</f>
        <v/>
      </c>
      <c r="E1628" s="38" t="str">
        <f>_xlfn.XLOOKUP(Customer[[#This Row],[Customer ID]],[1]!Address[ID],[1]!Address[Full Address])</f>
        <v>PERSIARAN TUN KHALIL YAAKO,26300 GAMBANG, KUANTAN,PAHANG DARUL MAKMUR</v>
      </c>
      <c r="F1628" s="12" t="s">
        <v>10342</v>
      </c>
      <c r="G1628" s="12" t="s">
        <v>10343</v>
      </c>
      <c r="H1628" s="12" t="s">
        <v>10344</v>
      </c>
      <c r="I1628" s="12" t="b">
        <f>ISNUMBER(VALUE(LEFT(Customer[[#This Row],[Address Line 3 (30 char)]],1)))</f>
        <v>0</v>
      </c>
      <c r="J1628" s="12" t="s">
        <v>339</v>
      </c>
      <c r="K1628" s="12">
        <v>35000</v>
      </c>
      <c r="L1628" s="12" t="s">
        <v>35</v>
      </c>
      <c r="M1628" s="13" t="e">
        <v>#N/A</v>
      </c>
      <c r="N1628" s="14" t="e">
        <v>#N/A</v>
      </c>
      <c r="O1628" s="14" t="e">
        <v>#N/A</v>
      </c>
      <c r="P1628" s="14" t="e">
        <v>#N/A</v>
      </c>
      <c r="Q1628" s="14" t="e">
        <v>#N/A</v>
      </c>
      <c r="R1628" s="15" t="s">
        <v>10345</v>
      </c>
      <c r="S1628" s="15" t="s">
        <v>37</v>
      </c>
      <c r="T1628" s="16" t="s">
        <v>38</v>
      </c>
      <c r="U1628" s="11" t="str">
        <f>_xlfn.XLOOKUP(Customer[[#This Row],[Customer ID]],[1]!Address[ID],[1]!Address[Phone No.(2)])</f>
        <v/>
      </c>
      <c r="V1628" s="11" t="str">
        <f>_xlfn.XLOOKUP(Customer[[#This Row],[Customer ID]],[1]!Address[ID],[1]!Address[Type])</f>
        <v>PETROMART</v>
      </c>
      <c r="W1628" s="11" t="str">
        <f>_xlfn.XLOOKUP(Customer[[#This Row],[Customer ID]],[1]!Address[ID],[1]!Address[CT])</f>
        <v>30</v>
      </c>
      <c r="X1628" s="11" t="s">
        <v>39</v>
      </c>
      <c r="Y1628" s="17" t="s">
        <v>40</v>
      </c>
      <c r="Z1628" s="17" t="e">
        <f>_xlfn.XLOOKUP(Customer[[#This Row],[NewType]],$AF$36:$AF$54,$AG$36:$AG$54)</f>
        <v>#N/A</v>
      </c>
      <c r="AA1628" s="17" t="s">
        <v>10346</v>
      </c>
      <c r="AB1628" s="11" t="str">
        <f>_xlfn.XLOOKUP(Customer[[#This Row],[Customer ID]],[1]!Address[ID],[1]!Address[Subtype])</f>
        <v>PETRON</v>
      </c>
      <c r="AC1628" s="18" t="str">
        <f>_xlfn.XLOOKUP(Customer[[#This Row],[Customer ID]],[1]!Address[ID],[1]!Address[Zone])</f>
        <v>EAST COAST</v>
      </c>
    </row>
    <row r="1629" spans="1:30" x14ac:dyDescent="0.3">
      <c r="A1629" s="37" t="s">
        <v>10347</v>
      </c>
      <c r="B1629" s="38" t="str">
        <f>_xlfn.XLOOKUP(Customer[[#This Row],[Customer ID]],[1]!Name[ID],[1]!Name[Description(1)])</f>
        <v>TRIAZ PETROL STATION</v>
      </c>
      <c r="C1629" s="38" t="str">
        <f>_xlfn.XLOOKUP(Customer[[#This Row],[Customer ID]],[1]!Name[ID],[1]!Name[Description(2)])</f>
        <v>PS KM 10 JALAN KARAK</v>
      </c>
      <c r="D1629" s="38" t="str">
        <f>_xlfn.XLOOKUP(Customer[[#This Row],[Customer ID]],[1]!Address[ID],[1]!Address[PIC])</f>
        <v/>
      </c>
      <c r="E1629" s="38" t="str">
        <f>_xlfn.XLOOKUP(Customer[[#This Row],[Customer ID]],[1]!Address[ID],[1]!Address[Full Address])</f>
        <v>PS KM 10 JALAN KARAKKM 10, JALAN KARAK,28400 MENTAKAB, PAHANG</v>
      </c>
      <c r="F1629" s="12" t="s">
        <v>10348</v>
      </c>
      <c r="G1629" s="12" t="s">
        <v>10349</v>
      </c>
      <c r="H1629" s="24" t="s">
        <v>10350</v>
      </c>
      <c r="I1629" s="24" t="b">
        <f>ISNUMBER(VALUE(LEFT(Customer[[#This Row],[Address Line 3 (30 char)]],1)))</f>
        <v>0</v>
      </c>
      <c r="J1629" s="12" t="s">
        <v>339</v>
      </c>
      <c r="K1629" s="12">
        <v>28400</v>
      </c>
      <c r="L1629" s="12" t="s">
        <v>35</v>
      </c>
      <c r="M1629" s="13">
        <v>202203046834</v>
      </c>
      <c r="N1629" s="14" t="s">
        <v>1039</v>
      </c>
      <c r="O1629" s="14" t="s">
        <v>54</v>
      </c>
      <c r="P1629" s="14">
        <v>47300</v>
      </c>
      <c r="Q1629" s="14" t="s">
        <v>10351</v>
      </c>
      <c r="R1629" s="15" t="s">
        <v>1041</v>
      </c>
      <c r="S1629" s="15" t="s">
        <v>37</v>
      </c>
      <c r="T1629" s="16" t="s">
        <v>38</v>
      </c>
      <c r="U1629" s="11" t="str">
        <f>_xlfn.XLOOKUP(Customer[[#This Row],[Customer ID]],[1]!Address[ID],[1]!Address[Phone No.(2)])</f>
        <v/>
      </c>
      <c r="V1629" s="11" t="str">
        <f>_xlfn.XLOOKUP(Customer[[#This Row],[Customer ID]],[1]!Address[ID],[1]!Address[Type])</f>
        <v>PETROMART</v>
      </c>
      <c r="W1629" s="11" t="str">
        <f>_xlfn.XLOOKUP(Customer[[#This Row],[Customer ID]],[1]!Address[ID],[1]!Address[CT])</f>
        <v>30</v>
      </c>
      <c r="X1629" s="11" t="s">
        <v>39</v>
      </c>
      <c r="Y1629" s="17" t="s">
        <v>40</v>
      </c>
      <c r="Z1629" s="17" t="e">
        <f>_xlfn.XLOOKUP(Customer[[#This Row],[NewType]],$AF$36:$AF$54,$AG$36:$AG$54)</f>
        <v>#N/A</v>
      </c>
      <c r="AA1629" s="17" t="s">
        <v>10352</v>
      </c>
      <c r="AB1629" s="11" t="str">
        <f>_xlfn.XLOOKUP(Customer[[#This Row],[Customer ID]],[1]!Address[ID],[1]!Address[Subtype])</f>
        <v>PETRONAS</v>
      </c>
      <c r="AC1629" s="18" t="str">
        <f>_xlfn.XLOOKUP(Customer[[#This Row],[Customer ID]],[1]!Address[ID],[1]!Address[Zone])</f>
        <v>EAST COAST</v>
      </c>
    </row>
    <row r="1630" spans="1:30" x14ac:dyDescent="0.3">
      <c r="A1630" s="48" t="s">
        <v>10353</v>
      </c>
      <c r="B1630" s="49" t="str">
        <f>_xlfn.XLOOKUP(Customer[[#This Row],[Customer ID]],[1]!Name[ID],[1]!Name[Description(1)])</f>
        <v>CAPT IZZUAN ISMAIL</v>
      </c>
      <c r="C1630" s="50" t="str">
        <f>_xlfn.XLOOKUP(Customer[[#This Row],[Customer ID]],[1]!Name[ID],[1]!Name[Description(2)])</f>
        <v/>
      </c>
      <c r="D1630" s="50" t="str">
        <f>_xlfn.XLOOKUP(Customer[[#This Row],[Customer ID]],[1]!Address[ID],[1]!Address[PIC])</f>
        <v/>
      </c>
      <c r="E1630" s="38" t="str">
        <f>_xlfn.XLOOKUP(Customer[[#This Row],[Customer ID]],[1]!Address[ID],[1]!Address[Full Address])</f>
        <v>26, JALAN DAFODIL 1,LUCENT RESIDENCE GAMUDA KEMUNING 25.742500 TELOK PANGLIMA GARANG, SELANGOR</v>
      </c>
      <c r="F1630" s="29" t="s">
        <v>10354</v>
      </c>
      <c r="G1630" s="29" t="s">
        <v>10355</v>
      </c>
      <c r="H1630" s="29" t="s">
        <v>10356</v>
      </c>
      <c r="I1630" s="29" t="b">
        <f>ISNUMBER(VALUE(LEFT(Customer[[#This Row],[Address Line 3 (30 char)]],1)))</f>
        <v>0</v>
      </c>
      <c r="J1630" s="29" t="s">
        <v>172</v>
      </c>
      <c r="K1630" s="29">
        <v>42500</v>
      </c>
      <c r="L1630" s="29" t="s">
        <v>35</v>
      </c>
      <c r="M1630" s="31" t="e">
        <v>#N/A</v>
      </c>
      <c r="N1630" s="36" t="e">
        <v>#N/A</v>
      </c>
      <c r="O1630" s="36" t="e">
        <v>#N/A</v>
      </c>
      <c r="P1630" s="36" t="e">
        <v>#N/A</v>
      </c>
      <c r="Q1630" s="36" t="e">
        <v>#N/A</v>
      </c>
      <c r="R1630" s="51" t="s">
        <v>10357</v>
      </c>
      <c r="S1630" s="15" t="s">
        <v>4271</v>
      </c>
      <c r="T1630" s="52" t="s">
        <v>89</v>
      </c>
      <c r="U1630" s="49" t="str">
        <f>_xlfn.XLOOKUP(Customer[[#This Row],[Customer ID]],[1]!Address[ID],[1]!Address[Phone No.(2)])</f>
        <v/>
      </c>
      <c r="V1630" s="49" t="str">
        <f>_xlfn.XLOOKUP(Customer[[#This Row],[Customer ID]],[1]!Address[ID],[1]!Address[Type])</f>
        <v>SOCMED</v>
      </c>
      <c r="W1630" s="49" t="str">
        <f>_xlfn.XLOOKUP(Customer[[#This Row],[Customer ID]],[1]!Address[ID],[1]!Address[CT])</f>
        <v/>
      </c>
      <c r="X1630" s="49"/>
      <c r="Y1630" s="53" t="s">
        <v>90</v>
      </c>
      <c r="Z1630" s="53" t="e">
        <f>_xlfn.XLOOKUP(Customer[[#This Row],[NewType]],$AF$36:$AF$54,$AG$36:$AG$54)</f>
        <v>#N/A</v>
      </c>
      <c r="AA1630" s="53" t="s">
        <v>10358</v>
      </c>
      <c r="AB1630" s="49" t="str">
        <f>_xlfn.XLOOKUP(Customer[[#This Row],[Customer ID]],[1]!Address[ID],[1]!Address[Subtype])</f>
        <v>WHATSAPP</v>
      </c>
      <c r="AC1630" s="54" t="str">
        <f>_xlfn.XLOOKUP(Customer[[#This Row],[Customer ID]],[1]!Address[ID],[1]!Address[Zone])</f>
        <v>POUTH</v>
      </c>
      <c r="AD1630" s="55"/>
    </row>
    <row r="1631" spans="1:30" x14ac:dyDescent="0.3">
      <c r="A1631" s="37" t="s">
        <v>10359</v>
      </c>
      <c r="B1631" s="38" t="str">
        <f>_xlfn.XLOOKUP(Customer[[#This Row],[Customer ID]],[1]!Name[ID],[1]!Name[Description(1)])</f>
        <v>LEMBAGA PEMBANGUNAN SENI VISUAL NEGARA</v>
      </c>
      <c r="C1631" s="38" t="str">
        <f>_xlfn.XLOOKUP(Customer[[#This Row],[Customer ID]],[1]!Name[ID],[1]!Name[Description(2)])</f>
        <v/>
      </c>
      <c r="D1631" s="38" t="str">
        <f>_xlfn.XLOOKUP(Customer[[#This Row],[Customer ID]],[1]!Address[ID],[1]!Address[PIC])</f>
        <v/>
      </c>
      <c r="E1631" s="38" t="str">
        <f>_xlfn.XLOOKUP(Customer[[#This Row],[Customer ID]],[1]!Address[ID],[1]!Address[Full Address])</f>
        <v>NO 2 JALAN TEMERLOH,OFF JALAN TUN RAZAK 53200 KL</v>
      </c>
      <c r="F1631" s="12" t="s">
        <v>10360</v>
      </c>
      <c r="G1631" s="12" t="s">
        <v>10361</v>
      </c>
      <c r="H1631" s="12" t="s">
        <v>36</v>
      </c>
      <c r="I1631" s="12" t="b">
        <f>ISNUMBER(VALUE(LEFT(Customer[[#This Row],[Address Line 3 (30 char)]],1)))</f>
        <v>0</v>
      </c>
      <c r="J1631" s="12" t="s">
        <v>34</v>
      </c>
      <c r="K1631" s="12">
        <v>53200</v>
      </c>
      <c r="L1631" s="12" t="s">
        <v>35</v>
      </c>
      <c r="M1631" s="13" t="e">
        <v>#N/A</v>
      </c>
      <c r="N1631" s="14" t="e">
        <v>#N/A</v>
      </c>
      <c r="O1631" s="14" t="e">
        <v>#N/A</v>
      </c>
      <c r="P1631" s="14" t="e">
        <v>#N/A</v>
      </c>
      <c r="Q1631" s="19" t="s">
        <v>10362</v>
      </c>
      <c r="R1631" s="15" t="s">
        <v>36</v>
      </c>
      <c r="S1631" s="15" t="s">
        <v>88</v>
      </c>
      <c r="T1631" s="16" t="s">
        <v>89</v>
      </c>
      <c r="U1631" s="11" t="str">
        <f>_xlfn.XLOOKUP(Customer[[#This Row],[Customer ID]],[1]!Address[ID],[1]!Address[Phone No.(2)])</f>
        <v/>
      </c>
      <c r="V1631" s="11" t="str">
        <f>_xlfn.XLOOKUP(Customer[[#This Row],[Customer ID]],[1]!Address[ID],[1]!Address[Type])</f>
        <v>SOCMED</v>
      </c>
      <c r="W1631" s="11" t="str">
        <f>_xlfn.XLOOKUP(Customer[[#This Row],[Customer ID]],[1]!Address[ID],[1]!Address[CT])</f>
        <v/>
      </c>
      <c r="X1631" s="11"/>
      <c r="Y1631" s="17" t="s">
        <v>90</v>
      </c>
      <c r="Z1631" s="17" t="e">
        <f>_xlfn.XLOOKUP(Customer[[#This Row],[NewType]],$AF$36:$AF$54,$AG$36:$AG$54)</f>
        <v>#N/A</v>
      </c>
      <c r="AA1631" s="17" t="s">
        <v>10363</v>
      </c>
      <c r="AB1631" s="11" t="str">
        <f>_xlfn.XLOOKUP(Customer[[#This Row],[Customer ID]],[1]!Address[ID],[1]!Address[Subtype])</f>
        <v>ONLINE ROS</v>
      </c>
      <c r="AC1631" s="18" t="str">
        <f>_xlfn.XLOOKUP(Customer[[#This Row],[Customer ID]],[1]!Address[ID],[1]!Address[Zone])</f>
        <v>CENTRAL</v>
      </c>
    </row>
    <row r="1632" spans="1:30" x14ac:dyDescent="0.3">
      <c r="A1632" s="37" t="s">
        <v>10364</v>
      </c>
      <c r="B1632" s="38" t="str">
        <f>_xlfn.XLOOKUP(Customer[[#This Row],[Customer ID]],[1]!Name[ID],[1]!Name[Description(1)])</f>
        <v>NEXTAGE PHARMACY - BANDAR SERI PUTRA</v>
      </c>
      <c r="C1632" s="38" t="str">
        <f>_xlfn.XLOOKUP(Customer[[#This Row],[Customer ID]],[1]!Name[ID],[1]!Name[Description(2)])</f>
        <v/>
      </c>
      <c r="D1632" s="38" t="str">
        <f>_xlfn.XLOOKUP(Customer[[#This Row],[Customer ID]],[1]!Address[ID],[1]!Address[PIC])</f>
        <v/>
      </c>
      <c r="E1632" s="38" t="str">
        <f>_xlfn.XLOOKUP(Customer[[#This Row],[Customer ID]],[1]!Address[ID],[1]!Address[Full Address])</f>
        <v>NO.5-G, MUTIARA AVENUE,JALAN MUTIARA 1,MUTIARA HEIGHT,43000 KAJANG</v>
      </c>
      <c r="F1632" s="12" t="s">
        <v>10365</v>
      </c>
      <c r="G1632" s="12" t="s">
        <v>10366</v>
      </c>
      <c r="H1632" s="12" t="s">
        <v>10367</v>
      </c>
      <c r="I1632" s="12" t="b">
        <f>ISNUMBER(VALUE(LEFT(Customer[[#This Row],[Address Line 3 (30 char)]],1)))</f>
        <v>0</v>
      </c>
      <c r="J1632" s="12" t="s">
        <v>34</v>
      </c>
      <c r="K1632" s="12">
        <v>43000</v>
      </c>
      <c r="L1632" s="12" t="s">
        <v>35</v>
      </c>
      <c r="M1632" s="13" t="e">
        <v>#N/A</v>
      </c>
      <c r="N1632" s="14" t="e">
        <v>#N/A</v>
      </c>
      <c r="O1632" s="14" t="e">
        <v>#N/A</v>
      </c>
      <c r="P1632" s="14" t="e">
        <v>#N/A</v>
      </c>
      <c r="Q1632" s="19" t="s">
        <v>10368</v>
      </c>
      <c r="R1632" s="15" t="s">
        <v>10369</v>
      </c>
      <c r="S1632" s="15" t="s">
        <v>3476</v>
      </c>
      <c r="T1632" s="16" t="s">
        <v>3477</v>
      </c>
      <c r="U1632" s="11" t="str">
        <f>_xlfn.XLOOKUP(Customer[[#This Row],[Customer ID]],[1]!Address[ID],[1]!Address[Phone No.(2)])</f>
        <v/>
      </c>
      <c r="V1632" s="11" t="str">
        <f>_xlfn.XLOOKUP(Customer[[#This Row],[Customer ID]],[1]!Address[ID],[1]!Address[Type])</f>
        <v>PH</v>
      </c>
      <c r="W1632" s="11" t="str">
        <f>_xlfn.XLOOKUP(Customer[[#This Row],[Customer ID]],[1]!Address[ID],[1]!Address[CT])</f>
        <v>30 DAYS</v>
      </c>
      <c r="X1632" s="11"/>
      <c r="Y1632" s="17" t="s">
        <v>5955</v>
      </c>
      <c r="Z1632" s="17" t="e">
        <f>_xlfn.XLOOKUP(Customer[[#This Row],[NewType]],$AF$36:$AF$54,$AG$36:$AG$54)</f>
        <v>#N/A</v>
      </c>
      <c r="AA1632" s="17" t="s">
        <v>10370</v>
      </c>
      <c r="AB1632" s="11" t="str">
        <f>_xlfn.XLOOKUP(Customer[[#This Row],[Customer ID]],[1]!Address[ID],[1]!Address[Subtype])</f>
        <v>NEXTAGE</v>
      </c>
      <c r="AC1632" s="18" t="str">
        <f>_xlfn.XLOOKUP(Customer[[#This Row],[Customer ID]],[1]!Address[ID],[1]!Address[Zone])</f>
        <v>CENTRAL</v>
      </c>
    </row>
    <row r="1633" spans="1:29" x14ac:dyDescent="0.3">
      <c r="A1633" s="56" t="s">
        <v>10371</v>
      </c>
      <c r="B1633" s="50" t="str">
        <f>_xlfn.XLOOKUP(Customer[[#This Row],[Customer ID]],[1]!Name[ID],[1]!Name[Description(1)])</f>
        <v>ALFA MEDIX PHARMA (FARMASI ALFA PHARMA)</v>
      </c>
      <c r="C1633" s="38" t="str">
        <f>_xlfn.XLOOKUP(Customer[[#This Row],[Customer ID]],[1]!Name[ID],[1]!Name[Description(2)])</f>
        <v/>
      </c>
      <c r="D1633" s="38" t="str">
        <f>_xlfn.XLOOKUP(Customer[[#This Row],[Customer ID]],[1]!Address[ID],[1]!Address[PIC])</f>
        <v/>
      </c>
      <c r="E1633" s="38" t="str">
        <f>_xlfn.XLOOKUP(Customer[[#This Row],[Customer ID]],[1]!Address[ID],[1]!Address[Full Address])</f>
        <v>NO 21, JALAN TEMBUSU 1,TAMAN RINTING 81750 MASAI, JOHOR</v>
      </c>
      <c r="F1633" s="12" t="s">
        <v>10372</v>
      </c>
      <c r="G1633" s="12" t="s">
        <v>10373</v>
      </c>
      <c r="H1633" s="41" t="s">
        <v>8521</v>
      </c>
      <c r="I1633" s="41" t="b">
        <f>ISNUMBER(VALUE(LEFT(Customer[[#This Row],[Address Line 3 (30 char)]],1)))</f>
        <v>0</v>
      </c>
      <c r="J1633" s="12" t="s">
        <v>52</v>
      </c>
      <c r="K1633" s="12">
        <v>43000</v>
      </c>
      <c r="L1633" s="12" t="s">
        <v>35</v>
      </c>
      <c r="M1633" s="13" t="e">
        <v>#N/A</v>
      </c>
      <c r="N1633" s="14" t="e">
        <v>#N/A</v>
      </c>
      <c r="O1633" s="14" t="e">
        <v>#N/A</v>
      </c>
      <c r="P1633" s="14" t="e">
        <v>#N/A</v>
      </c>
      <c r="Q1633" s="14" t="e">
        <v>#N/A</v>
      </c>
      <c r="R1633" s="15" t="s">
        <v>9835</v>
      </c>
      <c r="S1633" s="15" t="s">
        <v>3212</v>
      </c>
      <c r="T1633" s="16" t="s">
        <v>89</v>
      </c>
      <c r="U1633" s="11" t="str">
        <f>_xlfn.XLOOKUP(Customer[[#This Row],[Customer ID]],[1]!Address[ID],[1]!Address[Phone No.(2)])</f>
        <v/>
      </c>
      <c r="V1633" s="11" t="str">
        <f>_xlfn.XLOOKUP(Customer[[#This Row],[Customer ID]],[1]!Address[ID],[1]!Address[Type])</f>
        <v>SOCMED</v>
      </c>
      <c r="W1633" s="11" t="str">
        <f>_xlfn.XLOOKUP(Customer[[#This Row],[Customer ID]],[1]!Address[ID],[1]!Address[CT])</f>
        <v/>
      </c>
      <c r="X1633" s="11"/>
      <c r="Y1633" s="17" t="s">
        <v>90</v>
      </c>
      <c r="Z1633" s="17" t="e">
        <f>_xlfn.XLOOKUP(Customer[[#This Row],[NewType]],$AF$36:$AF$54,$AG$36:$AG$54)</f>
        <v>#N/A</v>
      </c>
      <c r="AA1633" s="17" t="s">
        <v>10374</v>
      </c>
      <c r="AB1633" s="11" t="str">
        <f>_xlfn.XLOOKUP(Customer[[#This Row],[Customer ID]],[1]!Address[ID],[1]!Address[Subtype])</f>
        <v>ONLINE HAJAR</v>
      </c>
      <c r="AC1633" s="18" t="str">
        <f>_xlfn.XLOOKUP(Customer[[#This Row],[Customer ID]],[1]!Address[ID],[1]!Address[Zone])</f>
        <v>SOUTH</v>
      </c>
    </row>
    <row r="1634" spans="1:29" x14ac:dyDescent="0.3">
      <c r="A1634" s="37" t="s">
        <v>10375</v>
      </c>
      <c r="B1634" s="38" t="str">
        <f>_xlfn.XLOOKUP(Customer[[#This Row],[Customer ID]],[1]!Name[ID],[1]!Name[Description(1)])</f>
        <v>BISERA ENTERPRISE</v>
      </c>
      <c r="C1634" s="38" t="str">
        <f>_xlfn.XLOOKUP(Customer[[#This Row],[Customer ID]],[1]!Name[ID],[1]!Name[Description(2)])</f>
        <v/>
      </c>
      <c r="D1634" s="38" t="str">
        <f>_xlfn.XLOOKUP(Customer[[#This Row],[Customer ID]],[1]!Address[ID],[1]!Address[PIC])</f>
        <v/>
      </c>
      <c r="E1634" s="38" t="str">
        <f>_xlfn.XLOOKUP(Customer[[#This Row],[Customer ID]],[1]!Address[ID],[1]!Address[Full Address])</f>
        <v>TN76, JALAN BBSE 3,TAMAN BANDAR BARU SIMPANG 4,78000 ALOR GAJAH MELAKA</v>
      </c>
      <c r="F1634" s="12" t="s">
        <v>10376</v>
      </c>
      <c r="G1634" s="12" t="s">
        <v>10377</v>
      </c>
      <c r="H1634" s="24" t="s">
        <v>1568</v>
      </c>
      <c r="I1634" s="24" t="b">
        <f>ISNUMBER(VALUE(LEFT(Customer[[#This Row],[Address Line 3 (30 char)]],1)))</f>
        <v>0</v>
      </c>
      <c r="J1634" s="12" t="s">
        <v>61</v>
      </c>
      <c r="K1634" s="12">
        <v>78000</v>
      </c>
      <c r="L1634" s="12" t="s">
        <v>35</v>
      </c>
      <c r="M1634" s="13" t="e">
        <v>#N/A</v>
      </c>
      <c r="N1634" s="14" t="e">
        <v>#N/A</v>
      </c>
      <c r="O1634" s="14" t="e">
        <v>#N/A</v>
      </c>
      <c r="P1634" s="14" t="e">
        <v>#N/A</v>
      </c>
      <c r="Q1634" s="14" t="e">
        <v>#N/A</v>
      </c>
      <c r="R1634" s="15" t="s">
        <v>10378</v>
      </c>
      <c r="S1634" s="15" t="s">
        <v>88</v>
      </c>
      <c r="T1634" s="16" t="s">
        <v>89</v>
      </c>
      <c r="U1634" s="11" t="str">
        <f>_xlfn.XLOOKUP(Customer[[#This Row],[Customer ID]],[1]!Address[ID],[1]!Address[Phone No.(2)])</f>
        <v/>
      </c>
      <c r="V1634" s="11" t="str">
        <f>_xlfn.XLOOKUP(Customer[[#This Row],[Customer ID]],[1]!Address[ID],[1]!Address[Type])</f>
        <v>SOCMED</v>
      </c>
      <c r="W1634" s="11" t="str">
        <f>_xlfn.XLOOKUP(Customer[[#This Row],[Customer ID]],[1]!Address[ID],[1]!Address[CT])</f>
        <v/>
      </c>
      <c r="X1634" s="11"/>
      <c r="Y1634" s="17" t="s">
        <v>90</v>
      </c>
      <c r="Z1634" s="17" t="e">
        <f>_xlfn.XLOOKUP(Customer[[#This Row],[NewType]],$AF$36:$AF$54,$AG$36:$AG$54)</f>
        <v>#N/A</v>
      </c>
      <c r="AA1634" s="17" t="s">
        <v>10379</v>
      </c>
      <c r="AB1634" s="11" t="str">
        <f>_xlfn.XLOOKUP(Customer[[#This Row],[Customer ID]],[1]!Address[ID],[1]!Address[Subtype])</f>
        <v>ONLINE ROS</v>
      </c>
      <c r="AC1634" s="18" t="str">
        <f>_xlfn.XLOOKUP(Customer[[#This Row],[Customer ID]],[1]!Address[ID],[1]!Address[Zone])</f>
        <v>SOUTH</v>
      </c>
    </row>
    <row r="1635" spans="1:29" x14ac:dyDescent="0.3">
      <c r="A1635" s="37" t="s">
        <v>10380</v>
      </c>
      <c r="B1635" s="38" t="str">
        <f>_xlfn.XLOOKUP(Customer[[#This Row],[Customer ID]],[1]!Name[ID],[1]!Name[Description(1)])</f>
        <v>FARMASI NORIFA WAKAF BHARU</v>
      </c>
      <c r="C1635" s="38" t="str">
        <f>_xlfn.XLOOKUP(Customer[[#This Row],[Customer ID]],[1]!Name[ID],[1]!Name[Description(2)])</f>
        <v/>
      </c>
      <c r="D1635" s="38" t="str">
        <f>_xlfn.XLOOKUP(Customer[[#This Row],[Customer ID]],[1]!Address[ID],[1]!Address[PIC])</f>
        <v/>
      </c>
      <c r="E1635" s="38" t="str">
        <f>_xlfn.XLOOKUP(Customer[[#This Row],[Customer ID]],[1]!Address[ID],[1]!Address[Full Address])</f>
        <v>LOT 4615-A, KG PALOH16040 WAKAF BHARU, KELANTAN</v>
      </c>
      <c r="F1635" s="12" t="s">
        <v>10381</v>
      </c>
      <c r="G1635" s="12" t="s">
        <v>10382</v>
      </c>
      <c r="H1635" s="12" t="s">
        <v>36</v>
      </c>
      <c r="I1635" s="12" t="b">
        <f>ISNUMBER(VALUE(LEFT(Customer[[#This Row],[Address Line 3 (30 char)]],1)))</f>
        <v>0</v>
      </c>
      <c r="J1635" s="12" t="s">
        <v>1007</v>
      </c>
      <c r="K1635" s="12">
        <v>16040</v>
      </c>
      <c r="L1635" s="12" t="s">
        <v>35</v>
      </c>
      <c r="M1635" s="13" t="e">
        <v>#N/A</v>
      </c>
      <c r="N1635" s="14" t="e">
        <v>#N/A</v>
      </c>
      <c r="O1635" s="14" t="e">
        <v>#N/A</v>
      </c>
      <c r="P1635" s="14" t="e">
        <v>#N/A</v>
      </c>
      <c r="Q1635" s="14" t="e">
        <v>#N/A</v>
      </c>
      <c r="R1635" s="15" t="s">
        <v>10383</v>
      </c>
      <c r="S1635" s="15" t="s">
        <v>88</v>
      </c>
      <c r="T1635" s="16" t="s">
        <v>89</v>
      </c>
      <c r="U1635" s="11" t="str">
        <f>_xlfn.XLOOKUP(Customer[[#This Row],[Customer ID]],[1]!Address[ID],[1]!Address[Phone No.(2)])</f>
        <v/>
      </c>
      <c r="V1635" s="11" t="str">
        <f>_xlfn.XLOOKUP(Customer[[#This Row],[Customer ID]],[1]!Address[ID],[1]!Address[Type])</f>
        <v>SOCMED</v>
      </c>
      <c r="W1635" s="11" t="str">
        <f>_xlfn.XLOOKUP(Customer[[#This Row],[Customer ID]],[1]!Address[ID],[1]!Address[CT])</f>
        <v/>
      </c>
      <c r="X1635" s="11"/>
      <c r="Y1635" s="17" t="s">
        <v>90</v>
      </c>
      <c r="Z1635" s="17" t="e">
        <f>_xlfn.XLOOKUP(Customer[[#This Row],[NewType]],$AF$36:$AF$54,$AG$36:$AG$54)</f>
        <v>#N/A</v>
      </c>
      <c r="AA1635" s="17" t="s">
        <v>10384</v>
      </c>
      <c r="AB1635" s="11" t="str">
        <f>_xlfn.XLOOKUP(Customer[[#This Row],[Customer ID]],[1]!Address[ID],[1]!Address[Subtype])</f>
        <v>ONLINE ROS</v>
      </c>
      <c r="AC1635" s="18" t="str">
        <f>_xlfn.XLOOKUP(Customer[[#This Row],[Customer ID]],[1]!Address[ID],[1]!Address[Zone])</f>
        <v>EAST COAST</v>
      </c>
    </row>
    <row r="1636" spans="1:29" x14ac:dyDescent="0.3">
      <c r="A1636" s="37" t="s">
        <v>10385</v>
      </c>
      <c r="B1636" s="38" t="str">
        <f>_xlfn.XLOOKUP(Customer[[#This Row],[Customer ID]],[1]!Name[ID],[1]!Name[Description(1)])</f>
        <v>SERI PAGI BAKERI</v>
      </c>
      <c r="C1636" s="38" t="str">
        <f>_xlfn.XLOOKUP(Customer[[#This Row],[Customer ID]],[1]!Name[ID],[1]!Name[Description(2)])</f>
        <v/>
      </c>
      <c r="D1636" s="38" t="str">
        <f>_xlfn.XLOOKUP(Customer[[#This Row],[Customer ID]],[1]!Address[ID],[1]!Address[PIC])</f>
        <v/>
      </c>
      <c r="E1636" s="38" t="str">
        <f>_xlfn.XLOOKUP(Customer[[#This Row],[Customer ID]],[1]!Address[ID],[1]!Address[Full Address])</f>
        <v>KIOSK NO 1A, R&amp;R SEREMBAN ARAH SELATAN,LEBUHRAYA UTARA-SELATAN (PLUS)</v>
      </c>
      <c r="F1636" s="12" t="s">
        <v>10386</v>
      </c>
      <c r="G1636" s="12" t="s">
        <v>10387</v>
      </c>
      <c r="H1636" s="12" t="s">
        <v>4343</v>
      </c>
      <c r="I1636" s="12" t="b">
        <f>ISNUMBER(VALUE(LEFT(Customer[[#This Row],[Address Line 3 (30 char)]],1)))</f>
        <v>0</v>
      </c>
      <c r="J1636" s="12" t="s">
        <v>203</v>
      </c>
      <c r="K1636" s="12">
        <v>71900</v>
      </c>
      <c r="L1636" s="12" t="s">
        <v>35</v>
      </c>
      <c r="M1636" s="13" t="e">
        <v>#N/A</v>
      </c>
      <c r="N1636" s="14" t="e">
        <v>#N/A</v>
      </c>
      <c r="O1636" s="14" t="e">
        <v>#N/A</v>
      </c>
      <c r="P1636" s="14" t="e">
        <v>#N/A</v>
      </c>
      <c r="Q1636" s="14" t="e">
        <v>#N/A</v>
      </c>
      <c r="R1636" s="15" t="s">
        <v>9671</v>
      </c>
      <c r="S1636" s="15" t="s">
        <v>5925</v>
      </c>
      <c r="T1636" s="16" t="s">
        <v>3477</v>
      </c>
      <c r="U1636" s="11" t="str">
        <f>_xlfn.XLOOKUP(Customer[[#This Row],[Customer ID]],[1]!Address[ID],[1]!Address[Phone No.(2)])</f>
        <v/>
      </c>
      <c r="V1636" s="11" t="str">
        <f>_xlfn.XLOOKUP(Customer[[#This Row],[Customer ID]],[1]!Address[ID],[1]!Address[Type])</f>
        <v>CAFE</v>
      </c>
      <c r="W1636" s="11" t="str">
        <f>_xlfn.XLOOKUP(Customer[[#This Row],[Customer ID]],[1]!Address[ID],[1]!Address[CT])</f>
        <v>30 DAYS</v>
      </c>
      <c r="X1636" s="11"/>
      <c r="Y1636" s="17" t="s">
        <v>5926</v>
      </c>
      <c r="Z1636" s="17" t="e">
        <f>_xlfn.XLOOKUP(Customer[[#This Row],[NewType]],$AF$36:$AF$54,$AG$36:$AG$54)</f>
        <v>#N/A</v>
      </c>
      <c r="AA1636" s="17" t="s">
        <v>10388</v>
      </c>
      <c r="AB1636" s="11" t="str">
        <f>_xlfn.XLOOKUP(Customer[[#This Row],[Customer ID]],[1]!Address[ID],[1]!Address[Subtype])</f>
        <v>PLUS</v>
      </c>
      <c r="AC1636" s="18">
        <f>_xlfn.XLOOKUP(Customer[[#This Row],[Customer ID]],[1]!Address[ID],[1]!Address[Zone])</f>
        <v>0</v>
      </c>
    </row>
    <row r="1637" spans="1:29" x14ac:dyDescent="0.3">
      <c r="A1637" s="37" t="s">
        <v>10389</v>
      </c>
      <c r="B1637" s="38" t="str">
        <f>_xlfn.XLOOKUP(Customer[[#This Row],[Customer ID]],[1]!Name[ID],[1]!Name[Description(1)])</f>
        <v>NOR KASIM BIN ABDUL KARIM(PLUS)</v>
      </c>
      <c r="C1637" s="38" t="str">
        <f>_xlfn.XLOOKUP(Customer[[#This Row],[Customer ID]],[1]!Name[ID],[1]!Name[Description(2)])</f>
        <v/>
      </c>
      <c r="D1637" s="38" t="str">
        <f>_xlfn.XLOOKUP(Customer[[#This Row],[Customer ID]],[1]!Address[ID],[1]!Address[PIC])</f>
        <v/>
      </c>
      <c r="E1637" s="38" t="str">
        <f>_xlfn.XLOOKUP(Customer[[#This Row],[Customer ID]],[1]!Address[ID],[1]!Address[Full Address])</f>
        <v>PEKAN LABU, BATU 10 LABU,71900 LABU,SEREMBAN,</v>
      </c>
      <c r="F1637" s="12" t="s">
        <v>10390</v>
      </c>
      <c r="G1637" s="12" t="s">
        <v>10391</v>
      </c>
      <c r="H1637" s="12" t="s">
        <v>36</v>
      </c>
      <c r="I1637" s="12" t="b">
        <f>ISNUMBER(VALUE(LEFT(Customer[[#This Row],[Address Line 3 (30 char)]],1)))</f>
        <v>0</v>
      </c>
      <c r="J1637" s="12" t="s">
        <v>203</v>
      </c>
      <c r="K1637" s="12">
        <v>71900</v>
      </c>
      <c r="L1637" s="12" t="s">
        <v>35</v>
      </c>
      <c r="M1637" s="13" t="e">
        <v>#N/A</v>
      </c>
      <c r="N1637" s="14" t="e">
        <v>#N/A</v>
      </c>
      <c r="O1637" s="14" t="e">
        <v>#N/A</v>
      </c>
      <c r="P1637" s="14" t="e">
        <v>#N/A</v>
      </c>
      <c r="Q1637" s="14" t="e">
        <v>#N/A</v>
      </c>
      <c r="R1637" s="15" t="s">
        <v>10392</v>
      </c>
      <c r="S1637" s="15" t="s">
        <v>5925</v>
      </c>
      <c r="T1637" s="16" t="s">
        <v>3477</v>
      </c>
      <c r="U1637" s="11" t="str">
        <f>_xlfn.XLOOKUP(Customer[[#This Row],[Customer ID]],[1]!Address[ID],[1]!Address[Phone No.(2)])</f>
        <v/>
      </c>
      <c r="V1637" s="11" t="str">
        <f>_xlfn.XLOOKUP(Customer[[#This Row],[Customer ID]],[1]!Address[ID],[1]!Address[Type])</f>
        <v>CAFE</v>
      </c>
      <c r="W1637" s="11" t="str">
        <f>_xlfn.XLOOKUP(Customer[[#This Row],[Customer ID]],[1]!Address[ID],[1]!Address[CT])</f>
        <v>30 DAYS</v>
      </c>
      <c r="X1637" s="11"/>
      <c r="Y1637" s="17" t="s">
        <v>5926</v>
      </c>
      <c r="Z1637" s="17" t="e">
        <f>_xlfn.XLOOKUP(Customer[[#This Row],[NewType]],$AF$36:$AF$54,$AG$36:$AG$54)</f>
        <v>#N/A</v>
      </c>
      <c r="AA1637" s="17" t="s">
        <v>10393</v>
      </c>
      <c r="AB1637" s="11" t="str">
        <f>_xlfn.XLOOKUP(Customer[[#This Row],[Customer ID]],[1]!Address[ID],[1]!Address[Subtype])</f>
        <v>PLUS</v>
      </c>
      <c r="AC1637" s="18" t="str">
        <f>_xlfn.XLOOKUP(Customer[[#This Row],[Customer ID]],[1]!Address[ID],[1]!Address[Zone])</f>
        <v>CENTRAL</v>
      </c>
    </row>
    <row r="1638" spans="1:29" x14ac:dyDescent="0.3">
      <c r="A1638" s="37" t="s">
        <v>10394</v>
      </c>
      <c r="B1638" s="38" t="str">
        <f>_xlfn.XLOOKUP(Customer[[#This Row],[Customer ID]],[1]!Name[ID],[1]!Name[Description(1)])</f>
        <v>ANZ PROPERTIES SDN BHD</v>
      </c>
      <c r="C1638" s="38" t="str">
        <f>_xlfn.XLOOKUP(Customer[[#This Row],[Customer ID]],[1]!Name[ID],[1]!Name[Description(2)])</f>
        <v>PETRON JALAN BATU PAHAT</v>
      </c>
      <c r="D1638" s="38" t="str">
        <f>_xlfn.XLOOKUP(Customer[[#This Row],[Customer ID]],[1]!Address[ID],[1]!Address[PIC])</f>
        <v/>
      </c>
      <c r="E1638" s="38" t="str">
        <f>_xlfn.XLOOKUP(Customer[[#This Row],[Customer ID]],[1]!Address[ID],[1]!Address[Full Address])</f>
        <v>PETRON JALAN BATU PAHATNO 1, JALAN SAHABAT 1TAMAN EMAS, 86000 KLUANGJOHOR</v>
      </c>
      <c r="F1638" s="12" t="s">
        <v>10395</v>
      </c>
      <c r="G1638" s="12" t="s">
        <v>10396</v>
      </c>
      <c r="H1638" s="12" t="s">
        <v>10397</v>
      </c>
      <c r="I1638" s="12" t="b">
        <f>ISNUMBER(VALUE(LEFT(Customer[[#This Row],[Address Line 3 (30 char)]],1)))</f>
        <v>0</v>
      </c>
      <c r="J1638" s="12" t="s">
        <v>52</v>
      </c>
      <c r="K1638" s="12">
        <v>86000</v>
      </c>
      <c r="L1638" s="12" t="s">
        <v>35</v>
      </c>
      <c r="M1638" s="13" t="e">
        <v>#N/A</v>
      </c>
      <c r="N1638" s="14" t="e">
        <v>#N/A</v>
      </c>
      <c r="O1638" s="14" t="e">
        <v>#N/A</v>
      </c>
      <c r="P1638" s="14" t="e">
        <v>#N/A</v>
      </c>
      <c r="Q1638" s="14" t="e">
        <v>#N/A</v>
      </c>
      <c r="R1638" s="15" t="s">
        <v>10398</v>
      </c>
      <c r="S1638" s="15" t="s">
        <v>37</v>
      </c>
      <c r="T1638" s="16" t="s">
        <v>38</v>
      </c>
      <c r="U1638" s="11" t="str">
        <f>_xlfn.XLOOKUP(Customer[[#This Row],[Customer ID]],[1]!Address[ID],[1]!Address[Phone No.(2)])</f>
        <v/>
      </c>
      <c r="V1638" s="11" t="str">
        <f>_xlfn.XLOOKUP(Customer[[#This Row],[Customer ID]],[1]!Address[ID],[1]!Address[Type])</f>
        <v>PETROMART</v>
      </c>
      <c r="W1638" s="11" t="str">
        <f>_xlfn.XLOOKUP(Customer[[#This Row],[Customer ID]],[1]!Address[ID],[1]!Address[CT])</f>
        <v>30</v>
      </c>
      <c r="X1638" s="11" t="s">
        <v>39</v>
      </c>
      <c r="Y1638" s="17" t="s">
        <v>40</v>
      </c>
      <c r="Z1638" s="17" t="e">
        <f>_xlfn.XLOOKUP(Customer[[#This Row],[NewType]],$AF$36:$AF$54,$AG$36:$AG$54)</f>
        <v>#N/A</v>
      </c>
      <c r="AA1638" s="17" t="s">
        <v>10399</v>
      </c>
      <c r="AB1638" s="11" t="str">
        <f>_xlfn.XLOOKUP(Customer[[#This Row],[Customer ID]],[1]!Address[ID],[1]!Address[Subtype])</f>
        <v>PETRON</v>
      </c>
      <c r="AC1638" s="18" t="str">
        <f>_xlfn.XLOOKUP(Customer[[#This Row],[Customer ID]],[1]!Address[ID],[1]!Address[Zone])</f>
        <v>SOUTH</v>
      </c>
    </row>
    <row r="1639" spans="1:29" x14ac:dyDescent="0.3">
      <c r="A1639" s="37" t="s">
        <v>10400</v>
      </c>
      <c r="B1639" s="38" t="str">
        <f>_xlfn.XLOOKUP(Customer[[#This Row],[Customer ID]],[1]!Name[ID],[1]!Name[Description(1)])</f>
        <v>FARAHIN'S - PLUS</v>
      </c>
      <c r="C1639" s="38" t="str">
        <f>_xlfn.XLOOKUP(Customer[[#This Row],[Customer ID]],[1]!Name[ID],[1]!Name[Description(2)])</f>
        <v/>
      </c>
      <c r="D1639" s="38" t="str">
        <f>_xlfn.XLOOKUP(Customer[[#This Row],[Customer ID]],[1]!Address[ID],[1]!Address[PIC])</f>
        <v/>
      </c>
      <c r="E1639" s="38" t="str">
        <f>_xlfn.XLOOKUP(Customer[[#This Row],[Customer ID]],[1]!Address[ID],[1]!Address[Full Address])</f>
        <v>NO.11 KM135 R&amp;R PAGOH SELATAN84600 PAGOH MUAR,JOHOR</v>
      </c>
      <c r="F1639" s="12" t="s">
        <v>10401</v>
      </c>
      <c r="G1639" s="12" t="s">
        <v>10402</v>
      </c>
      <c r="H1639" s="12" t="s">
        <v>36</v>
      </c>
      <c r="I1639" s="12" t="b">
        <f>ISNUMBER(VALUE(LEFT(Customer[[#This Row],[Address Line 3 (30 char)]],1)))</f>
        <v>0</v>
      </c>
      <c r="J1639" s="12" t="s">
        <v>52</v>
      </c>
      <c r="K1639" s="12">
        <v>84600</v>
      </c>
      <c r="L1639" s="12" t="s">
        <v>35</v>
      </c>
      <c r="M1639" s="13" t="e">
        <v>#N/A</v>
      </c>
      <c r="N1639" s="14" t="e">
        <v>#N/A</v>
      </c>
      <c r="O1639" s="14" t="e">
        <v>#N/A</v>
      </c>
      <c r="P1639" s="14" t="e">
        <v>#N/A</v>
      </c>
      <c r="Q1639" s="14" t="e">
        <v>#N/A</v>
      </c>
      <c r="R1639" s="15" t="s">
        <v>3211</v>
      </c>
      <c r="S1639" s="15" t="s">
        <v>5925</v>
      </c>
      <c r="T1639" s="16" t="s">
        <v>38</v>
      </c>
      <c r="U1639" s="11" t="str">
        <f>_xlfn.XLOOKUP(Customer[[#This Row],[Customer ID]],[1]!Address[ID],[1]!Address[Phone No.(2)])</f>
        <v/>
      </c>
      <c r="V1639" s="11" t="str">
        <f>_xlfn.XLOOKUP(Customer[[#This Row],[Customer ID]],[1]!Address[ID],[1]!Address[Type])</f>
        <v>CAFE</v>
      </c>
      <c r="W1639" s="11" t="str">
        <f>_xlfn.XLOOKUP(Customer[[#This Row],[Customer ID]],[1]!Address[ID],[1]!Address[CT])</f>
        <v>30 DAYS</v>
      </c>
      <c r="X1639" s="11"/>
      <c r="Y1639" s="17" t="s">
        <v>5926</v>
      </c>
      <c r="Z1639" s="17" t="e">
        <f>_xlfn.XLOOKUP(Customer[[#This Row],[NewType]],$AF$36:$AF$54,$AG$36:$AG$54)</f>
        <v>#N/A</v>
      </c>
      <c r="AA1639" s="17" t="s">
        <v>10403</v>
      </c>
      <c r="AB1639" s="11" t="str">
        <f>_xlfn.XLOOKUP(Customer[[#This Row],[Customer ID]],[1]!Address[ID],[1]!Address[Subtype])</f>
        <v>PLUS</v>
      </c>
      <c r="AC1639" s="18" t="str">
        <f>_xlfn.XLOOKUP(Customer[[#This Row],[Customer ID]],[1]!Address[ID],[1]!Address[Zone])</f>
        <v>SOUTH</v>
      </c>
    </row>
    <row r="1640" spans="1:29" x14ac:dyDescent="0.3">
      <c r="A1640" s="39" t="s">
        <v>10404</v>
      </c>
      <c r="B1640" s="40" t="str">
        <f>_xlfn.XLOOKUP(Customer[[#This Row],[Customer ID]],[1]!Name[ID],[1]!Name[Description(1)])</f>
        <v>IKS BONDA KATIJA ENTERPRISE</v>
      </c>
      <c r="C1640" s="38" t="str">
        <f>_xlfn.XLOOKUP(Customer[[#This Row],[Customer ID]],[1]!Name[ID],[1]!Name[Description(2)])</f>
        <v/>
      </c>
      <c r="D1640" s="38" t="str">
        <f>_xlfn.XLOOKUP(Customer[[#This Row],[Customer ID]],[1]!Address[ID],[1]!Address[PIC])</f>
        <v/>
      </c>
      <c r="E1640" s="38" t="str">
        <f>_xlfn.XLOOKUP(Customer[[#This Row],[Customer ID]],[1]!Address[ID],[1]!Address[Full Address])</f>
        <v>RSA 153 R&amp;R PAGOH SELATAN</v>
      </c>
      <c r="F1640" s="12" t="s">
        <v>10405</v>
      </c>
      <c r="G1640" s="12" t="s">
        <v>36</v>
      </c>
      <c r="H1640" s="12" t="s">
        <v>36</v>
      </c>
      <c r="I1640" s="12" t="b">
        <f>ISNUMBER(VALUE(LEFT(Customer[[#This Row],[Address Line 3 (30 char)]],1)))</f>
        <v>0</v>
      </c>
      <c r="J1640" s="12" t="s">
        <v>52</v>
      </c>
      <c r="K1640" s="12">
        <v>84600</v>
      </c>
      <c r="L1640" s="12" t="s">
        <v>35</v>
      </c>
      <c r="M1640" s="13" t="e">
        <v>#N/A</v>
      </c>
      <c r="N1640" s="14" t="e">
        <v>#N/A</v>
      </c>
      <c r="O1640" s="14" t="e">
        <v>#N/A</v>
      </c>
      <c r="P1640" s="14" t="e">
        <v>#N/A</v>
      </c>
      <c r="Q1640" s="14" t="e">
        <v>#N/A</v>
      </c>
      <c r="R1640" s="15" t="s">
        <v>10406</v>
      </c>
      <c r="S1640" s="15" t="s">
        <v>5925</v>
      </c>
      <c r="T1640" s="16" t="s">
        <v>3477</v>
      </c>
      <c r="U1640" s="11" t="str">
        <f>_xlfn.XLOOKUP(Customer[[#This Row],[Customer ID]],[1]!Address[ID],[1]!Address[Phone No.(2)])</f>
        <v/>
      </c>
      <c r="V1640" s="11" t="str">
        <f>_xlfn.XLOOKUP(Customer[[#This Row],[Customer ID]],[1]!Address[ID],[1]!Address[Type])</f>
        <v>CAFE</v>
      </c>
      <c r="W1640" s="11" t="str">
        <f>_xlfn.XLOOKUP(Customer[[#This Row],[Customer ID]],[1]!Address[ID],[1]!Address[CT])</f>
        <v>30 DAYS</v>
      </c>
      <c r="X1640" s="11"/>
      <c r="Y1640" s="17" t="s">
        <v>5926</v>
      </c>
      <c r="Z1640" s="17" t="e">
        <f>_xlfn.XLOOKUP(Customer[[#This Row],[NewType]],$AF$36:$AF$54,$AG$36:$AG$54)</f>
        <v>#N/A</v>
      </c>
      <c r="AA1640" s="17" t="s">
        <v>10407</v>
      </c>
      <c r="AB1640" s="11" t="str">
        <f>_xlfn.XLOOKUP(Customer[[#This Row],[Customer ID]],[1]!Address[ID],[1]!Address[Subtype])</f>
        <v>PLUS</v>
      </c>
      <c r="AC1640" s="18">
        <f>_xlfn.XLOOKUP(Customer[[#This Row],[Customer ID]],[1]!Address[ID],[1]!Address[Zone])</f>
        <v>0</v>
      </c>
    </row>
    <row r="1641" spans="1:29" x14ac:dyDescent="0.3">
      <c r="A1641" s="37" t="s">
        <v>10408</v>
      </c>
      <c r="B1641" s="38" t="str">
        <f>_xlfn.XLOOKUP(Customer[[#This Row],[Customer ID]],[1]!Name[ID],[1]!Name[Description(1)])</f>
        <v>ROKAMAH OTHMAN</v>
      </c>
      <c r="C1641" s="38" t="str">
        <f>_xlfn.XLOOKUP(Customer[[#This Row],[Customer ID]],[1]!Name[ID],[1]!Name[Description(2)])</f>
        <v/>
      </c>
      <c r="D1641" s="38" t="str">
        <f>_xlfn.XLOOKUP(Customer[[#This Row],[Customer ID]],[1]!Address[ID],[1]!Address[PIC])</f>
        <v/>
      </c>
      <c r="E1641" s="38" t="str">
        <f>_xlfn.XLOOKUP(Customer[[#This Row],[Customer ID]],[1]!Address[ID],[1]!Address[Full Address])</f>
        <v>NO.8, KAWASAN REHAT &amp; RAWATMACHAP ARAH SELATAN86200 SIMPANG RENGGAM, JOHOR</v>
      </c>
      <c r="F1641" s="12" t="s">
        <v>10409</v>
      </c>
      <c r="G1641" s="12" t="s">
        <v>10410</v>
      </c>
      <c r="H1641" s="24" t="s">
        <v>10411</v>
      </c>
      <c r="I1641" s="24" t="b">
        <f>ISNUMBER(VALUE(LEFT(Customer[[#This Row],[Address Line 3 (30 char)]],1)))</f>
        <v>0</v>
      </c>
      <c r="J1641" s="12" t="s">
        <v>52</v>
      </c>
      <c r="K1641" s="12">
        <v>86200</v>
      </c>
      <c r="L1641" s="12" t="s">
        <v>35</v>
      </c>
      <c r="M1641" s="13" t="e">
        <v>#N/A</v>
      </c>
      <c r="N1641" s="14" t="e">
        <v>#N/A</v>
      </c>
      <c r="O1641" s="14" t="e">
        <v>#N/A</v>
      </c>
      <c r="P1641" s="14" t="e">
        <v>#N/A</v>
      </c>
      <c r="Q1641" s="14" t="e">
        <v>#N/A</v>
      </c>
      <c r="R1641" s="15" t="s">
        <v>10412</v>
      </c>
      <c r="S1641" s="15" t="s">
        <v>5925</v>
      </c>
      <c r="T1641" s="16" t="s">
        <v>3477</v>
      </c>
      <c r="U1641" s="11" t="str">
        <f>_xlfn.XLOOKUP(Customer[[#This Row],[Customer ID]],[1]!Address[ID],[1]!Address[Phone No.(2)])</f>
        <v/>
      </c>
      <c r="V1641" s="11" t="str">
        <f>_xlfn.XLOOKUP(Customer[[#This Row],[Customer ID]],[1]!Address[ID],[1]!Address[Type])</f>
        <v>CAFE</v>
      </c>
      <c r="W1641" s="11" t="str">
        <f>_xlfn.XLOOKUP(Customer[[#This Row],[Customer ID]],[1]!Address[ID],[1]!Address[CT])</f>
        <v>30 DAYS</v>
      </c>
      <c r="X1641" s="11"/>
      <c r="Y1641" s="17" t="s">
        <v>5926</v>
      </c>
      <c r="Z1641" s="17" t="e">
        <f>_xlfn.XLOOKUP(Customer[[#This Row],[NewType]],$AF$36:$AF$54,$AG$36:$AG$54)</f>
        <v>#N/A</v>
      </c>
      <c r="AA1641" s="17" t="s">
        <v>10413</v>
      </c>
      <c r="AB1641" s="11" t="str">
        <f>_xlfn.XLOOKUP(Customer[[#This Row],[Customer ID]],[1]!Address[ID],[1]!Address[Subtype])</f>
        <v>PLUS</v>
      </c>
      <c r="AC1641" s="18" t="str">
        <f>_xlfn.XLOOKUP(Customer[[#This Row],[Customer ID]],[1]!Address[ID],[1]!Address[Zone])</f>
        <v>SOUTH</v>
      </c>
    </row>
    <row r="1642" spans="1:29" x14ac:dyDescent="0.3">
      <c r="A1642" s="37" t="s">
        <v>10414</v>
      </c>
      <c r="B1642" s="38" t="str">
        <f>_xlfn.XLOOKUP(Customer[[#This Row],[Customer ID]],[1]!Name[ID],[1]!Name[Description(1)])</f>
        <v>KEDAI MAKAN ZAINON BT ABU BAKAR</v>
      </c>
      <c r="C1642" s="38" t="str">
        <f>_xlfn.XLOOKUP(Customer[[#This Row],[Customer ID]],[1]!Name[ID],[1]!Name[Description(2)])</f>
        <v/>
      </c>
      <c r="D1642" s="38" t="str">
        <f>_xlfn.XLOOKUP(Customer[[#This Row],[Customer ID]],[1]!Address[ID],[1]!Address[PIC])</f>
        <v/>
      </c>
      <c r="E1642" s="38" t="str">
        <f>_xlfn.XLOOKUP(Customer[[#This Row],[Customer ID]],[1]!Address[ID],[1]!Address[Full Address])</f>
        <v>NO 7, KAWASAN REHAT DAN RAWATARAH SELATAN, 81550 GELANG PATAH JOHOR</v>
      </c>
      <c r="F1642" s="12" t="s">
        <v>10415</v>
      </c>
      <c r="G1642" s="12" t="s">
        <v>10416</v>
      </c>
      <c r="H1642" s="41" t="s">
        <v>9660</v>
      </c>
      <c r="I1642" s="41" t="b">
        <f>ISNUMBER(VALUE(LEFT(Customer[[#This Row],[Address Line 3 (30 char)]],1)))</f>
        <v>0</v>
      </c>
      <c r="J1642" s="12" t="s">
        <v>52</v>
      </c>
      <c r="K1642" s="12">
        <v>81550</v>
      </c>
      <c r="L1642" s="12" t="s">
        <v>35</v>
      </c>
      <c r="M1642" s="13" t="e">
        <v>#N/A</v>
      </c>
      <c r="N1642" s="14" t="e">
        <v>#N/A</v>
      </c>
      <c r="O1642" s="14" t="e">
        <v>#N/A</v>
      </c>
      <c r="P1642" s="14" t="e">
        <v>#N/A</v>
      </c>
      <c r="Q1642" s="14" t="e">
        <v>#N/A</v>
      </c>
      <c r="R1642" s="15" t="s">
        <v>10417</v>
      </c>
      <c r="S1642" s="15" t="s">
        <v>5925</v>
      </c>
      <c r="T1642" s="16" t="s">
        <v>3477</v>
      </c>
      <c r="U1642" s="11" t="str">
        <f>_xlfn.XLOOKUP(Customer[[#This Row],[Customer ID]],[1]!Address[ID],[1]!Address[Phone No.(2)])</f>
        <v/>
      </c>
      <c r="V1642" s="11" t="str">
        <f>_xlfn.XLOOKUP(Customer[[#This Row],[Customer ID]],[1]!Address[ID],[1]!Address[Type])</f>
        <v>CAFE</v>
      </c>
      <c r="W1642" s="11" t="str">
        <f>_xlfn.XLOOKUP(Customer[[#This Row],[Customer ID]],[1]!Address[ID],[1]!Address[CT])</f>
        <v>30 DAYS</v>
      </c>
      <c r="X1642" s="11"/>
      <c r="Y1642" s="17" t="s">
        <v>5926</v>
      </c>
      <c r="Z1642" s="17" t="e">
        <f>_xlfn.XLOOKUP(Customer[[#This Row],[NewType]],$AF$36:$AF$54,$AG$36:$AG$54)</f>
        <v>#N/A</v>
      </c>
      <c r="AA1642" s="17" t="s">
        <v>10418</v>
      </c>
      <c r="AB1642" s="11" t="str">
        <f>_xlfn.XLOOKUP(Customer[[#This Row],[Customer ID]],[1]!Address[ID],[1]!Address[Subtype])</f>
        <v>PLUS</v>
      </c>
      <c r="AC1642" s="18" t="str">
        <f>_xlfn.XLOOKUP(Customer[[#This Row],[Customer ID]],[1]!Address[ID],[1]!Address[Zone])</f>
        <v>SOUTH</v>
      </c>
    </row>
    <row r="1643" spans="1:29" x14ac:dyDescent="0.3">
      <c r="A1643" s="37" t="s">
        <v>10419</v>
      </c>
      <c r="B1643" s="38" t="str">
        <f>_xlfn.XLOOKUP(Customer[[#This Row],[Customer ID]],[1]!Name[ID],[1]!Name[Description(1)])</f>
        <v>JUICY CAFE</v>
      </c>
      <c r="C1643" s="38" t="str">
        <f>_xlfn.XLOOKUP(Customer[[#This Row],[Customer ID]],[1]!Name[ID],[1]!Name[Description(2)])</f>
        <v/>
      </c>
      <c r="D1643" s="38" t="str">
        <f>_xlfn.XLOOKUP(Customer[[#This Row],[Customer ID]],[1]!Address[ID],[1]!Address[PIC])</f>
        <v/>
      </c>
      <c r="E1643" s="38" t="str">
        <f>_xlfn.XLOOKUP(Customer[[#This Row],[Customer ID]],[1]!Address[ID],[1]!Address[Full Address])</f>
        <v>NO. 8, KAWASAN R&amp;R DENGKIL ARAH UTARAKM23, LEBUHRAYA UTARA SELATAN42700 DENGKIL SELANGOR</v>
      </c>
      <c r="F1643" s="12" t="s">
        <v>10420</v>
      </c>
      <c r="G1643" s="12" t="s">
        <v>10421</v>
      </c>
      <c r="H1643" s="12" t="s">
        <v>2573</v>
      </c>
      <c r="I1643" s="12" t="b">
        <f>ISNUMBER(VALUE(LEFT(Customer[[#This Row],[Address Line 3 (30 char)]],1)))</f>
        <v>0</v>
      </c>
      <c r="J1643" s="12" t="s">
        <v>172</v>
      </c>
      <c r="K1643" s="12">
        <v>42700</v>
      </c>
      <c r="L1643" s="12" t="s">
        <v>35</v>
      </c>
      <c r="M1643" s="13" t="e">
        <v>#N/A</v>
      </c>
      <c r="N1643" s="14" t="e">
        <v>#N/A</v>
      </c>
      <c r="O1643" s="14" t="e">
        <v>#N/A</v>
      </c>
      <c r="P1643" s="14" t="e">
        <v>#N/A</v>
      </c>
      <c r="Q1643" s="14" t="e">
        <v>#N/A</v>
      </c>
      <c r="R1643" s="15" t="s">
        <v>10422</v>
      </c>
      <c r="S1643" s="15" t="s">
        <v>5925</v>
      </c>
      <c r="T1643" s="16" t="s">
        <v>3477</v>
      </c>
      <c r="U1643" s="11" t="str">
        <f>_xlfn.XLOOKUP(Customer[[#This Row],[Customer ID]],[1]!Address[ID],[1]!Address[Phone No.(2)])</f>
        <v/>
      </c>
      <c r="V1643" s="11" t="str">
        <f>_xlfn.XLOOKUP(Customer[[#This Row],[Customer ID]],[1]!Address[ID],[1]!Address[Type])</f>
        <v>CAFE</v>
      </c>
      <c r="W1643" s="11" t="str">
        <f>_xlfn.XLOOKUP(Customer[[#This Row],[Customer ID]],[1]!Address[ID],[1]!Address[CT])</f>
        <v>30 DAYS</v>
      </c>
      <c r="X1643" s="11"/>
      <c r="Y1643" s="17" t="s">
        <v>5926</v>
      </c>
      <c r="Z1643" s="17" t="e">
        <f>_xlfn.XLOOKUP(Customer[[#This Row],[NewType]],$AF$36:$AF$54,$AG$36:$AG$54)</f>
        <v>#N/A</v>
      </c>
      <c r="AA1643" s="17" t="s">
        <v>10423</v>
      </c>
      <c r="AB1643" s="11" t="str">
        <f>_xlfn.XLOOKUP(Customer[[#This Row],[Customer ID]],[1]!Address[ID],[1]!Address[Subtype])</f>
        <v>PLUS</v>
      </c>
      <c r="AC1643" s="18" t="str">
        <f>_xlfn.XLOOKUP(Customer[[#This Row],[Customer ID]],[1]!Address[ID],[1]!Address[Zone])</f>
        <v>CENTRAL</v>
      </c>
    </row>
    <row r="1644" spans="1:29" x14ac:dyDescent="0.3">
      <c r="A1644" s="37" t="s">
        <v>10424</v>
      </c>
      <c r="B1644" s="38" t="str">
        <f>_xlfn.XLOOKUP(Customer[[#This Row],[Customer ID]],[1]!Name[ID],[1]!Name[Description(1)])</f>
        <v>DAUS CAFE</v>
      </c>
      <c r="C1644" s="38" t="str">
        <f>_xlfn.XLOOKUP(Customer[[#This Row],[Customer ID]],[1]!Name[ID],[1]!Name[Description(2)])</f>
        <v>CRF TRADING</v>
      </c>
      <c r="D1644" s="38" t="str">
        <f>_xlfn.XLOOKUP(Customer[[#This Row],[Customer ID]],[1]!Address[ID],[1]!Address[PIC])</f>
        <v/>
      </c>
      <c r="E1644" s="38" t="str">
        <f>_xlfn.XLOOKUP(Customer[[#This Row],[Customer ID]],[1]!Address[ID],[1]!Address[Full Address])</f>
        <v>NO 4, RSA 205 AYER KEROH ARAH UTARA78000 ALOR GAJAH,MELAKA</v>
      </c>
      <c r="F1644" s="12" t="s">
        <v>10425</v>
      </c>
      <c r="G1644" s="12" t="s">
        <v>10426</v>
      </c>
      <c r="H1644" s="12" t="s">
        <v>1568</v>
      </c>
      <c r="I1644" s="12" t="b">
        <f>ISNUMBER(VALUE(LEFT(Customer[[#This Row],[Address Line 3 (30 char)]],1)))</f>
        <v>0</v>
      </c>
      <c r="J1644" s="12" t="s">
        <v>61</v>
      </c>
      <c r="K1644" s="12">
        <v>78000</v>
      </c>
      <c r="L1644" s="12" t="s">
        <v>35</v>
      </c>
      <c r="M1644" s="13" t="e">
        <v>#N/A</v>
      </c>
      <c r="N1644" s="14" t="e">
        <v>#N/A</v>
      </c>
      <c r="O1644" s="14" t="e">
        <v>#N/A</v>
      </c>
      <c r="P1644" s="14" t="e">
        <v>#N/A</v>
      </c>
      <c r="Q1644" s="19" t="s">
        <v>10427</v>
      </c>
      <c r="R1644" s="15" t="s">
        <v>10378</v>
      </c>
      <c r="S1644" s="15" t="s">
        <v>5925</v>
      </c>
      <c r="T1644" s="16" t="s">
        <v>3477</v>
      </c>
      <c r="U1644" s="11" t="str">
        <f>_xlfn.XLOOKUP(Customer[[#This Row],[Customer ID]],[1]!Address[ID],[1]!Address[Phone No.(2)])</f>
        <v/>
      </c>
      <c r="V1644" s="11" t="str">
        <f>_xlfn.XLOOKUP(Customer[[#This Row],[Customer ID]],[1]!Address[ID],[1]!Address[Type])</f>
        <v>CAFE</v>
      </c>
      <c r="W1644" s="11" t="str">
        <f>_xlfn.XLOOKUP(Customer[[#This Row],[Customer ID]],[1]!Address[ID],[1]!Address[CT])</f>
        <v>30 DAYS</v>
      </c>
      <c r="X1644" s="11"/>
      <c r="Y1644" s="17" t="s">
        <v>5926</v>
      </c>
      <c r="Z1644" s="17" t="e">
        <f>_xlfn.XLOOKUP(Customer[[#This Row],[NewType]],$AF$36:$AF$54,$AG$36:$AG$54)</f>
        <v>#N/A</v>
      </c>
      <c r="AA1644" s="17" t="s">
        <v>10428</v>
      </c>
      <c r="AB1644" s="11" t="str">
        <f>_xlfn.XLOOKUP(Customer[[#This Row],[Customer ID]],[1]!Address[ID],[1]!Address[Subtype])</f>
        <v>PLUS</v>
      </c>
      <c r="AC1644" s="18" t="str">
        <f>_xlfn.XLOOKUP(Customer[[#This Row],[Customer ID]],[1]!Address[ID],[1]!Address[Zone])</f>
        <v>SOUTH</v>
      </c>
    </row>
    <row r="1645" spans="1:29" x14ac:dyDescent="0.3">
      <c r="A1645" s="37" t="s">
        <v>10429</v>
      </c>
      <c r="B1645" s="38" t="str">
        <f>_xlfn.XLOOKUP(Customer[[#This Row],[Customer ID]],[1]!Name[ID],[1]!Name[Description(1)])</f>
        <v>HIZZAZ ENTERPRISE</v>
      </c>
      <c r="C1645" s="38" t="str">
        <f>_xlfn.XLOOKUP(Customer[[#This Row],[Customer ID]],[1]!Name[ID],[1]!Name[Description(2)])</f>
        <v>PETRON PAGOH HIGHWAY</v>
      </c>
      <c r="D1645" s="38" t="str">
        <f>_xlfn.XLOOKUP(Customer[[#This Row],[Customer ID]],[1]!Address[ID],[1]!Address[PIC])</f>
        <v/>
      </c>
      <c r="E1645" s="38" t="str">
        <f>_xlfn.XLOOKUP(Customer[[#This Row],[Customer ID]],[1]!Address[ID],[1]!Address[Full Address])</f>
        <v>PETRON PAGOH HIGHWAYKM 135 KAWASAN REHAT DAN RAWATLEBUHRAYA UTARA SELATAN84600 PAGOH JOHOR</v>
      </c>
      <c r="F1645" s="12" t="s">
        <v>10430</v>
      </c>
      <c r="G1645" s="12" t="s">
        <v>10431</v>
      </c>
      <c r="H1645" s="12" t="s">
        <v>2573</v>
      </c>
      <c r="I1645" s="12" t="b">
        <f>ISNUMBER(VALUE(LEFT(Customer[[#This Row],[Address Line 3 (30 char)]],1)))</f>
        <v>0</v>
      </c>
      <c r="J1645" s="12" t="s">
        <v>52</v>
      </c>
      <c r="K1645" s="12">
        <v>84600</v>
      </c>
      <c r="L1645" s="12" t="s">
        <v>35</v>
      </c>
      <c r="M1645" s="13" t="e">
        <v>#N/A</v>
      </c>
      <c r="N1645" s="14" t="e">
        <v>#N/A</v>
      </c>
      <c r="O1645" s="14" t="e">
        <v>#N/A</v>
      </c>
      <c r="P1645" s="14" t="e">
        <v>#N/A</v>
      </c>
      <c r="Q1645" s="14" t="e">
        <v>#N/A</v>
      </c>
      <c r="R1645" s="15" t="s">
        <v>10432</v>
      </c>
      <c r="S1645" s="15" t="s">
        <v>37</v>
      </c>
      <c r="T1645" s="16" t="s">
        <v>38</v>
      </c>
      <c r="U1645" s="11" t="str">
        <f>_xlfn.XLOOKUP(Customer[[#This Row],[Customer ID]],[1]!Address[ID],[1]!Address[Phone No.(2)])</f>
        <v/>
      </c>
      <c r="V1645" s="11" t="str">
        <f>_xlfn.XLOOKUP(Customer[[#This Row],[Customer ID]],[1]!Address[ID],[1]!Address[Type])</f>
        <v>PETROMART</v>
      </c>
      <c r="W1645" s="11" t="str">
        <f>_xlfn.XLOOKUP(Customer[[#This Row],[Customer ID]],[1]!Address[ID],[1]!Address[CT])</f>
        <v>30</v>
      </c>
      <c r="X1645" s="11" t="s">
        <v>39</v>
      </c>
      <c r="Y1645" s="17" t="s">
        <v>40</v>
      </c>
      <c r="Z1645" s="17" t="e">
        <f>_xlfn.XLOOKUP(Customer[[#This Row],[NewType]],$AF$36:$AF$54,$AG$36:$AG$54)</f>
        <v>#N/A</v>
      </c>
      <c r="AA1645" s="17" t="s">
        <v>10433</v>
      </c>
      <c r="AB1645" s="11" t="str">
        <f>_xlfn.XLOOKUP(Customer[[#This Row],[Customer ID]],[1]!Address[ID],[1]!Address[Subtype])</f>
        <v>PETRON</v>
      </c>
      <c r="AC1645" s="18" t="str">
        <f>_xlfn.XLOOKUP(Customer[[#This Row],[Customer ID]],[1]!Address[ID],[1]!Address[Zone])</f>
        <v>SOUTH</v>
      </c>
    </row>
    <row r="1646" spans="1:29" x14ac:dyDescent="0.3">
      <c r="A1646" s="37" t="s">
        <v>10434</v>
      </c>
      <c r="B1646" s="38" t="str">
        <f>_xlfn.XLOOKUP(Customer[[#This Row],[Customer ID]],[1]!Name[ID],[1]!Name[Description(1)])</f>
        <v>MIDAS MERGE SDN BHD</v>
      </c>
      <c r="C1646" s="38" t="str">
        <f>_xlfn.XLOOKUP(Customer[[#This Row],[Customer ID]],[1]!Name[ID],[1]!Name[Description(2)])</f>
        <v>MIDAS MART</v>
      </c>
      <c r="D1646" s="38" t="str">
        <f>_xlfn.XLOOKUP(Customer[[#This Row],[Customer ID]],[1]!Address[ID],[1]!Address[PIC])</f>
        <v/>
      </c>
      <c r="E1646" s="38" t="str">
        <f>_xlfn.XLOOKUP(Customer[[#This Row],[Customer ID]],[1]!Address[ID],[1]!Address[Full Address])</f>
        <v>LOT NO.G11, S'MART BUILDING,PTD 154409, BATU 7 1/2,JALAN KOTA TINGGI,81100 JOHOR BAHRU</v>
      </c>
      <c r="F1646" s="12" t="s">
        <v>10435</v>
      </c>
      <c r="G1646" s="12" t="s">
        <v>10436</v>
      </c>
      <c r="H1646" s="12" t="s">
        <v>10437</v>
      </c>
      <c r="I1646" s="12" t="b">
        <f>ISNUMBER(VALUE(LEFT(Customer[[#This Row],[Address Line 3 (30 char)]],1)))</f>
        <v>0</v>
      </c>
      <c r="J1646" s="12" t="s">
        <v>52</v>
      </c>
      <c r="K1646" s="12">
        <v>81100</v>
      </c>
      <c r="L1646" s="12" t="s">
        <v>35</v>
      </c>
      <c r="M1646" s="13" t="e">
        <v>#N/A</v>
      </c>
      <c r="N1646" s="14" t="e">
        <v>#N/A</v>
      </c>
      <c r="O1646" s="14" t="e">
        <v>#N/A</v>
      </c>
      <c r="P1646" s="14" t="e">
        <v>#N/A</v>
      </c>
      <c r="Q1646" s="19" t="s">
        <v>10438</v>
      </c>
      <c r="R1646" s="15" t="s">
        <v>10439</v>
      </c>
      <c r="S1646" s="15" t="s">
        <v>5917</v>
      </c>
      <c r="T1646" s="16" t="s">
        <v>3477</v>
      </c>
      <c r="U1646" s="11" t="str">
        <f>_xlfn.XLOOKUP(Customer[[#This Row],[Customer ID]],[1]!Address[ID],[1]!Address[Phone No.(2)])</f>
        <v/>
      </c>
      <c r="V1646" s="11" t="str">
        <f>_xlfn.XLOOKUP(Customer[[#This Row],[Customer ID]],[1]!Address[ID],[1]!Address[Type])</f>
        <v>CM</v>
      </c>
      <c r="W1646" s="11" t="str">
        <f>_xlfn.XLOOKUP(Customer[[#This Row],[Customer ID]],[1]!Address[ID],[1]!Address[CT])</f>
        <v>45 DAYS</v>
      </c>
      <c r="X1646" s="11"/>
      <c r="Y1646" s="17" t="s">
        <v>5918</v>
      </c>
      <c r="Z1646" s="17" t="e">
        <f>_xlfn.XLOOKUP(Customer[[#This Row],[NewType]],$AF$36:$AF$54,$AG$36:$AG$54)</f>
        <v>#N/A</v>
      </c>
      <c r="AA1646" s="17" t="s">
        <v>10440</v>
      </c>
      <c r="AB1646" s="11" t="str">
        <f>_xlfn.XLOOKUP(Customer[[#This Row],[Customer ID]],[1]!Address[ID],[1]!Address[Subtype])</f>
        <v>MIDAS MERGE</v>
      </c>
      <c r="AC1646" s="18" t="str">
        <f>_xlfn.XLOOKUP(Customer[[#This Row],[Customer ID]],[1]!Address[ID],[1]!Address[Zone])</f>
        <v>SOUTH</v>
      </c>
    </row>
    <row r="1647" spans="1:29" x14ac:dyDescent="0.3">
      <c r="A1647" s="37" t="s">
        <v>10441</v>
      </c>
      <c r="B1647" s="38" t="str">
        <f>_xlfn.XLOOKUP(Customer[[#This Row],[Customer ID]],[1]!Name[ID],[1]!Name[Description(1)])</f>
        <v>PASARAYA SRI KASSIM SDN BHD</v>
      </c>
      <c r="C1647" s="38" t="str">
        <f>_xlfn.XLOOKUP(Customer[[#This Row],[Customer ID]],[1]!Name[ID],[1]!Name[Description(2)])</f>
        <v/>
      </c>
      <c r="D1647" s="38" t="str">
        <f>_xlfn.XLOOKUP(Customer[[#This Row],[Customer ID]],[1]!Address[ID],[1]!Address[PIC])</f>
        <v/>
      </c>
      <c r="E1647" s="38" t="str">
        <f>_xlfn.XLOOKUP(Customer[[#This Row],[Customer ID]],[1]!Address[ID],[1]!Address[Full Address])</f>
        <v>LOT 1605 MEDAN SUNGAI BESAR45300 SUNGAI BESAR, SELANGOR</v>
      </c>
      <c r="F1647" s="12" t="s">
        <v>10442</v>
      </c>
      <c r="G1647" s="12" t="s">
        <v>10443</v>
      </c>
      <c r="H1647" s="12" t="s">
        <v>36</v>
      </c>
      <c r="I1647" s="12" t="b">
        <f>ISNUMBER(VALUE(LEFT(Customer[[#This Row],[Address Line 3 (30 char)]],1)))</f>
        <v>0</v>
      </c>
      <c r="J1647" s="12" t="s">
        <v>172</v>
      </c>
      <c r="K1647" s="12">
        <v>45300</v>
      </c>
      <c r="L1647" s="12" t="s">
        <v>35</v>
      </c>
      <c r="M1647" s="13" t="e">
        <v>#N/A</v>
      </c>
      <c r="N1647" s="14" t="e">
        <v>#N/A</v>
      </c>
      <c r="O1647" s="14" t="e">
        <v>#N/A</v>
      </c>
      <c r="P1647" s="14" t="e">
        <v>#N/A</v>
      </c>
      <c r="Q1647" s="14" t="e">
        <v>#N/A</v>
      </c>
      <c r="R1647" s="15" t="s">
        <v>10444</v>
      </c>
      <c r="S1647" s="15" t="s">
        <v>88</v>
      </c>
      <c r="T1647" s="16" t="s">
        <v>89</v>
      </c>
      <c r="U1647" s="11" t="str">
        <f>_xlfn.XLOOKUP(Customer[[#This Row],[Customer ID]],[1]!Address[ID],[1]!Address[Phone No.(2)])</f>
        <v/>
      </c>
      <c r="V1647" s="11" t="str">
        <f>_xlfn.XLOOKUP(Customer[[#This Row],[Customer ID]],[1]!Address[ID],[1]!Address[Type])</f>
        <v>SOCMED</v>
      </c>
      <c r="W1647" s="11" t="str">
        <f>_xlfn.XLOOKUP(Customer[[#This Row],[Customer ID]],[1]!Address[ID],[1]!Address[CT])</f>
        <v/>
      </c>
      <c r="X1647" s="11"/>
      <c r="Y1647" s="17" t="s">
        <v>90</v>
      </c>
      <c r="Z1647" s="17" t="e">
        <f>_xlfn.XLOOKUP(Customer[[#This Row],[NewType]],$AF$36:$AF$54,$AG$36:$AG$54)</f>
        <v>#N/A</v>
      </c>
      <c r="AA1647" s="17" t="s">
        <v>10445</v>
      </c>
      <c r="AB1647" s="11" t="str">
        <f>_xlfn.XLOOKUP(Customer[[#This Row],[Customer ID]],[1]!Address[ID],[1]!Address[Subtype])</f>
        <v>ONLINE ROS</v>
      </c>
      <c r="AC1647" s="18" t="str">
        <f>_xlfn.XLOOKUP(Customer[[#This Row],[Customer ID]],[1]!Address[ID],[1]!Address[Zone])</f>
        <v>EEEDH</v>
      </c>
    </row>
    <row r="1648" spans="1:29" x14ac:dyDescent="0.3">
      <c r="A1648" s="37" t="s">
        <v>10446</v>
      </c>
      <c r="B1648" s="38" t="str">
        <f>_xlfn.XLOOKUP(Customer[[#This Row],[Customer ID]],[1]!Name[ID],[1]!Name[Description(1)])</f>
        <v>PERNIGAAAN MUFAKAT KADIR</v>
      </c>
      <c r="C1648" s="38" t="str">
        <f>_xlfn.XLOOKUP(Customer[[#This Row],[Customer ID]],[1]!Name[ID],[1]!Name[Description(2)])</f>
        <v/>
      </c>
      <c r="D1648" s="38" t="str">
        <f>_xlfn.XLOOKUP(Customer[[#This Row],[Customer ID]],[1]!Address[ID],[1]!Address[PIC])</f>
        <v/>
      </c>
      <c r="E1648" s="38" t="str">
        <f>_xlfn.XLOOKUP(Customer[[#This Row],[Customer ID]],[1]!Address[ID],[1]!Address[Full Address])</f>
        <v>NO.10 KAWASAN REHAT &amp; RAWATARAH UTARA GELANG PATAH,81550 JOHOR</v>
      </c>
      <c r="F1648" s="12" t="s">
        <v>10447</v>
      </c>
      <c r="G1648" s="12" t="s">
        <v>10448</v>
      </c>
      <c r="H1648" s="24"/>
      <c r="I1648" s="24" t="b">
        <f>ISNUMBER(VALUE(LEFT(Customer[[#This Row],[Address Line 3 (30 char)]],1)))</f>
        <v>0</v>
      </c>
      <c r="J1648" s="12" t="s">
        <v>52</v>
      </c>
      <c r="K1648" s="12">
        <v>81550</v>
      </c>
      <c r="L1648" s="12" t="s">
        <v>35</v>
      </c>
      <c r="M1648" s="13" t="e">
        <v>#N/A</v>
      </c>
      <c r="N1648" s="14" t="e">
        <v>#N/A</v>
      </c>
      <c r="O1648" s="14" t="e">
        <v>#N/A</v>
      </c>
      <c r="P1648" s="14" t="e">
        <v>#N/A</v>
      </c>
      <c r="Q1648" s="14" t="e">
        <v>#N/A</v>
      </c>
      <c r="R1648" s="15" t="s">
        <v>10449</v>
      </c>
      <c r="S1648" s="15" t="s">
        <v>5925</v>
      </c>
      <c r="T1648" s="16" t="s">
        <v>3477</v>
      </c>
      <c r="U1648" s="11" t="str">
        <f>_xlfn.XLOOKUP(Customer[[#This Row],[Customer ID]],[1]!Address[ID],[1]!Address[Phone No.(2)])</f>
        <v/>
      </c>
      <c r="V1648" s="11" t="str">
        <f>_xlfn.XLOOKUP(Customer[[#This Row],[Customer ID]],[1]!Address[ID],[1]!Address[Type])</f>
        <v>CAFE</v>
      </c>
      <c r="W1648" s="11" t="str">
        <f>_xlfn.XLOOKUP(Customer[[#This Row],[Customer ID]],[1]!Address[ID],[1]!Address[CT])</f>
        <v>30 DAYS</v>
      </c>
      <c r="X1648" s="11"/>
      <c r="Y1648" s="17" t="s">
        <v>5926</v>
      </c>
      <c r="Z1648" s="17" t="e">
        <f>_xlfn.XLOOKUP(Customer[[#This Row],[NewType]],$AF$36:$AF$54,$AG$36:$AG$54)</f>
        <v>#N/A</v>
      </c>
      <c r="AA1648" s="17" t="s">
        <v>10450</v>
      </c>
      <c r="AB1648" s="11" t="str">
        <f>_xlfn.XLOOKUP(Customer[[#This Row],[Customer ID]],[1]!Address[ID],[1]!Address[Subtype])</f>
        <v>PLUS</v>
      </c>
      <c r="AC1648" s="18" t="str">
        <f>_xlfn.XLOOKUP(Customer[[#This Row],[Customer ID]],[1]!Address[ID],[1]!Address[Zone])</f>
        <v>SOUTH</v>
      </c>
    </row>
    <row r="1649" spans="1:29" x14ac:dyDescent="0.3">
      <c r="A1649" s="37" t="s">
        <v>10451</v>
      </c>
      <c r="B1649" s="38" t="str">
        <f>_xlfn.XLOOKUP(Customer[[#This Row],[Customer ID]],[1]!Name[ID],[1]!Name[Description(1)])</f>
        <v>SNEK</v>
      </c>
      <c r="C1649" s="38" t="str">
        <f>_xlfn.XLOOKUP(Customer[[#This Row],[Customer ID]],[1]!Name[ID],[1]!Name[Description(2)])</f>
        <v>RESKI SHAHAYA OTAK-OTAK ENTERPRISE</v>
      </c>
      <c r="D1649" s="38" t="str">
        <f>_xlfn.XLOOKUP(Customer[[#This Row],[Customer ID]],[1]!Address[ID],[1]!Address[PIC])</f>
        <v/>
      </c>
      <c r="E1649" s="38" t="str">
        <f>_xlfn.XLOOKUP(Customer[[#This Row],[Customer ID]],[1]!Address[ID],[1]!Address[Full Address])</f>
        <v>NO.14 KAWASAN RAWAT &amp; REHATARAH UTARA 81550 GELANG PATAH JOHOR</v>
      </c>
      <c r="F1649" s="12" t="s">
        <v>10452</v>
      </c>
      <c r="G1649" s="12" t="s">
        <v>10453</v>
      </c>
      <c r="H1649" s="41" t="s">
        <v>10454</v>
      </c>
      <c r="I1649" s="41" t="b">
        <f>ISNUMBER(VALUE(LEFT(Customer[[#This Row],[Address Line 3 (30 char)]],1)))</f>
        <v>0</v>
      </c>
      <c r="J1649" s="12" t="s">
        <v>52</v>
      </c>
      <c r="K1649" s="12">
        <v>81550</v>
      </c>
      <c r="L1649" s="12" t="s">
        <v>35</v>
      </c>
      <c r="M1649" s="13" t="e">
        <v>#N/A</v>
      </c>
      <c r="N1649" s="14" t="e">
        <v>#N/A</v>
      </c>
      <c r="O1649" s="14" t="e">
        <v>#N/A</v>
      </c>
      <c r="P1649" s="14" t="e">
        <v>#N/A</v>
      </c>
      <c r="Q1649" s="14" t="e">
        <v>#N/A</v>
      </c>
      <c r="R1649" s="15" t="s">
        <v>10455</v>
      </c>
      <c r="S1649" s="15" t="s">
        <v>5925</v>
      </c>
      <c r="T1649" s="16" t="s">
        <v>3477</v>
      </c>
      <c r="U1649" s="11" t="str">
        <f>_xlfn.XLOOKUP(Customer[[#This Row],[Customer ID]],[1]!Address[ID],[1]!Address[Phone No.(2)])</f>
        <v/>
      </c>
      <c r="V1649" s="11" t="str">
        <f>_xlfn.XLOOKUP(Customer[[#This Row],[Customer ID]],[1]!Address[ID],[1]!Address[Type])</f>
        <v>CAFE</v>
      </c>
      <c r="W1649" s="11" t="str">
        <f>_xlfn.XLOOKUP(Customer[[#This Row],[Customer ID]],[1]!Address[ID],[1]!Address[CT])</f>
        <v>30 DAYS</v>
      </c>
      <c r="X1649" s="11"/>
      <c r="Y1649" s="17" t="s">
        <v>5926</v>
      </c>
      <c r="Z1649" s="17" t="e">
        <f>_xlfn.XLOOKUP(Customer[[#This Row],[NewType]],$AF$36:$AF$54,$AG$36:$AG$54)</f>
        <v>#N/A</v>
      </c>
      <c r="AA1649" s="17" t="s">
        <v>10456</v>
      </c>
      <c r="AB1649" s="11" t="str">
        <f>_xlfn.XLOOKUP(Customer[[#This Row],[Customer ID]],[1]!Address[ID],[1]!Address[Subtype])</f>
        <v>PLUS</v>
      </c>
      <c r="AC1649" s="18" t="str">
        <f>_xlfn.XLOOKUP(Customer[[#This Row],[Customer ID]],[1]!Address[ID],[1]!Address[Zone])</f>
        <v>SOUTH</v>
      </c>
    </row>
    <row r="1650" spans="1:29" x14ac:dyDescent="0.3">
      <c r="A1650" s="37" t="s">
        <v>10457</v>
      </c>
      <c r="B1650" s="38" t="str">
        <f>_xlfn.XLOOKUP(Customer[[#This Row],[Customer ID]],[1]!Name[ID],[1]!Name[Description(1)])</f>
        <v>FOODTRUCK MOHAMAD KASAN ENTERPRISE</v>
      </c>
      <c r="C1650" s="38" t="str">
        <f>_xlfn.XLOOKUP(Customer[[#This Row],[Customer ID]],[1]!Name[ID],[1]!Name[Description(2)])</f>
        <v/>
      </c>
      <c r="D1650" s="38" t="str">
        <f>_xlfn.XLOOKUP(Customer[[#This Row],[Customer ID]],[1]!Address[ID],[1]!Address[PIC])</f>
        <v/>
      </c>
      <c r="E1650" s="38" t="str">
        <f>_xlfn.XLOOKUP(Customer[[#This Row],[Customer ID]],[1]!Address[ID],[1]!Address[Full Address])</f>
        <v>FOODTRUCK R&amp;R KULAI ARAHA UTARA</v>
      </c>
      <c r="F1650" s="12" t="s">
        <v>10458</v>
      </c>
      <c r="G1650" s="12" t="s">
        <v>10459</v>
      </c>
      <c r="H1650" s="12" t="s">
        <v>3230</v>
      </c>
      <c r="I1650" s="12" t="b">
        <f>ISNUMBER(VALUE(LEFT(Customer[[#This Row],[Address Line 3 (30 char)]],1)))</f>
        <v>0</v>
      </c>
      <c r="J1650" s="12" t="s">
        <v>52</v>
      </c>
      <c r="K1650" s="12">
        <v>81000</v>
      </c>
      <c r="L1650" s="12" t="s">
        <v>35</v>
      </c>
      <c r="M1650" s="13" t="e">
        <v>#N/A</v>
      </c>
      <c r="N1650" s="14" t="e">
        <v>#N/A</v>
      </c>
      <c r="O1650" s="14" t="e">
        <v>#N/A</v>
      </c>
      <c r="P1650" s="14" t="e">
        <v>#N/A</v>
      </c>
      <c r="Q1650" s="14" t="e">
        <v>#N/A</v>
      </c>
      <c r="R1650" s="15" t="s">
        <v>10460</v>
      </c>
      <c r="S1650" s="15" t="s">
        <v>5925</v>
      </c>
      <c r="T1650" s="16" t="s">
        <v>3477</v>
      </c>
      <c r="U1650" s="11" t="str">
        <f>_xlfn.XLOOKUP(Customer[[#This Row],[Customer ID]],[1]!Address[ID],[1]!Address[Phone No.(2)])</f>
        <v/>
      </c>
      <c r="V1650" s="11" t="str">
        <f>_xlfn.XLOOKUP(Customer[[#This Row],[Customer ID]],[1]!Address[ID],[1]!Address[Type])</f>
        <v>CAFE</v>
      </c>
      <c r="W1650" s="11" t="str">
        <f>_xlfn.XLOOKUP(Customer[[#This Row],[Customer ID]],[1]!Address[ID],[1]!Address[CT])</f>
        <v>30 DAYS</v>
      </c>
      <c r="X1650" s="11"/>
      <c r="Y1650" s="17" t="s">
        <v>5926</v>
      </c>
      <c r="Z1650" s="17" t="e">
        <f>_xlfn.XLOOKUP(Customer[[#This Row],[NewType]],$AF$36:$AF$54,$AG$36:$AG$54)</f>
        <v>#N/A</v>
      </c>
      <c r="AA1650" s="17" t="s">
        <v>10461</v>
      </c>
      <c r="AB1650" s="11" t="str">
        <f>_xlfn.XLOOKUP(Customer[[#This Row],[Customer ID]],[1]!Address[ID],[1]!Address[Subtype])</f>
        <v>PLUS</v>
      </c>
      <c r="AC1650" s="18" t="str">
        <f>_xlfn.XLOOKUP(Customer[[#This Row],[Customer ID]],[1]!Address[ID],[1]!Address[Zone])</f>
        <v>SOUTH</v>
      </c>
    </row>
    <row r="1651" spans="1:29" x14ac:dyDescent="0.3">
      <c r="A1651" s="37" t="s">
        <v>10462</v>
      </c>
      <c r="B1651" s="38" t="str">
        <f>_xlfn.XLOOKUP(Customer[[#This Row],[Customer ID]],[1]!Name[ID],[1]!Name[Description(1)])</f>
        <v>HAIRAK N HAIRUL ENTERPRISE -PLUS</v>
      </c>
      <c r="C1651" s="38" t="str">
        <f>_xlfn.XLOOKUP(Customer[[#This Row],[Customer ID]],[1]!Name[ID],[1]!Name[Description(2)])</f>
        <v/>
      </c>
      <c r="D1651" s="38" t="str">
        <f>_xlfn.XLOOKUP(Customer[[#This Row],[Customer ID]],[1]!Address[ID],[1]!Address[PIC])</f>
        <v/>
      </c>
      <c r="E1651" s="38" t="str">
        <f>_xlfn.XLOOKUP(Customer[[#This Row],[Customer ID]],[1]!Address[ID],[1]!Address[Full Address])</f>
        <v>HENTIAN SEBELAH SPG RENGGAM ARAH UTARA,LEBUHRAYA UTARA SELATAN(PLUS),86200 SPG RENGGAM</v>
      </c>
      <c r="F1651" s="12" t="s">
        <v>10463</v>
      </c>
      <c r="G1651" s="12" t="s">
        <v>2573</v>
      </c>
      <c r="H1651" s="12" t="s">
        <v>10464</v>
      </c>
      <c r="I1651" s="12" t="b">
        <f>ISNUMBER(VALUE(LEFT(Customer[[#This Row],[Address Line 3 (30 char)]],1)))</f>
        <v>0</v>
      </c>
      <c r="J1651" s="12" t="s">
        <v>52</v>
      </c>
      <c r="K1651" s="12">
        <v>86200</v>
      </c>
      <c r="L1651" s="12" t="s">
        <v>35</v>
      </c>
      <c r="M1651" s="13" t="e">
        <v>#N/A</v>
      </c>
      <c r="N1651" s="14" t="e">
        <v>#N/A</v>
      </c>
      <c r="O1651" s="14" t="e">
        <v>#N/A</v>
      </c>
      <c r="P1651" s="14" t="e">
        <v>#N/A</v>
      </c>
      <c r="Q1651" s="14" t="e">
        <v>#N/A</v>
      </c>
      <c r="R1651" s="15" t="s">
        <v>10465</v>
      </c>
      <c r="S1651" s="15" t="s">
        <v>5925</v>
      </c>
      <c r="T1651" s="16" t="s">
        <v>3477</v>
      </c>
      <c r="U1651" s="11" t="str">
        <f>_xlfn.XLOOKUP(Customer[[#This Row],[Customer ID]],[1]!Address[ID],[1]!Address[Phone No.(2)])</f>
        <v/>
      </c>
      <c r="V1651" s="11" t="str">
        <f>_xlfn.XLOOKUP(Customer[[#This Row],[Customer ID]],[1]!Address[ID],[1]!Address[Type])</f>
        <v>CAFE</v>
      </c>
      <c r="W1651" s="11" t="str">
        <f>_xlfn.XLOOKUP(Customer[[#This Row],[Customer ID]],[1]!Address[ID],[1]!Address[CT])</f>
        <v>30 DAYS</v>
      </c>
      <c r="X1651" s="11"/>
      <c r="Y1651" s="17" t="s">
        <v>5926</v>
      </c>
      <c r="Z1651" s="17" t="e">
        <f>_xlfn.XLOOKUP(Customer[[#This Row],[NewType]],$AF$36:$AF$54,$AG$36:$AG$54)</f>
        <v>#N/A</v>
      </c>
      <c r="AA1651" s="17" t="s">
        <v>10466</v>
      </c>
      <c r="AB1651" s="11" t="str">
        <f>_xlfn.XLOOKUP(Customer[[#This Row],[Customer ID]],[1]!Address[ID],[1]!Address[Subtype])</f>
        <v>PLUS</v>
      </c>
      <c r="AC1651" s="18">
        <f>_xlfn.XLOOKUP(Customer[[#This Row],[Customer ID]],[1]!Address[ID],[1]!Address[Zone])</f>
        <v>0</v>
      </c>
    </row>
    <row r="1652" spans="1:29" x14ac:dyDescent="0.3">
      <c r="A1652" s="37" t="s">
        <v>10467</v>
      </c>
      <c r="B1652" s="38" t="str">
        <f>_xlfn.XLOOKUP(Customer[[#This Row],[Customer ID]],[1]!Name[ID],[1]!Name[Description(1)])</f>
        <v>SENI RASA CATERING SDN BHD</v>
      </c>
      <c r="C1652" s="38" t="str">
        <f>_xlfn.XLOOKUP(Customer[[#This Row],[Customer ID]],[1]!Name[ID],[1]!Name[Description(2)])</f>
        <v>KTMB-ETS</v>
      </c>
      <c r="D1652" s="38" t="str">
        <f>_xlfn.XLOOKUP(Customer[[#This Row],[Customer ID]],[1]!Address[ID],[1]!Address[PIC])</f>
        <v/>
      </c>
      <c r="E1652" s="38" t="str">
        <f>_xlfn.XLOOKUP(Customer[[#This Row],[Customer ID]],[1]!Address[ID],[1]!Address[Full Address])</f>
        <v>KUALA LUMPUR RAILWAY STATION,JALAN SULTAN HISHAMUDDIN,50621 KUALA LUMPUR</v>
      </c>
      <c r="F1652" s="12" t="s">
        <v>8669</v>
      </c>
      <c r="G1652" s="12" t="s">
        <v>8670</v>
      </c>
      <c r="H1652" s="24"/>
      <c r="I1652" s="24" t="b">
        <f>ISNUMBER(VALUE(LEFT(Customer[[#This Row],[Address Line 3 (30 char)]],1)))</f>
        <v>0</v>
      </c>
      <c r="J1652" s="12" t="s">
        <v>34</v>
      </c>
      <c r="K1652" s="12">
        <v>50621</v>
      </c>
      <c r="L1652" s="12" t="s">
        <v>35</v>
      </c>
      <c r="M1652" s="13" t="e">
        <v>#N/A</v>
      </c>
      <c r="N1652" s="14" t="e">
        <v>#N/A</v>
      </c>
      <c r="O1652" s="14" t="e">
        <v>#N/A</v>
      </c>
      <c r="P1652" s="14" t="e">
        <v>#N/A</v>
      </c>
      <c r="Q1652" s="14" t="e">
        <v>#N/A</v>
      </c>
      <c r="R1652" s="15" t="s">
        <v>10468</v>
      </c>
      <c r="S1652" s="15" t="s">
        <v>5917</v>
      </c>
      <c r="T1652" s="16" t="s">
        <v>3477</v>
      </c>
      <c r="U1652" s="11" t="str">
        <f>_xlfn.XLOOKUP(Customer[[#This Row],[Customer ID]],[1]!Address[ID],[1]!Address[Phone No.(2)])</f>
        <v/>
      </c>
      <c r="V1652" s="11" t="str">
        <f>_xlfn.XLOOKUP(Customer[[#This Row],[Customer ID]],[1]!Address[ID],[1]!Address[Type])</f>
        <v>CM</v>
      </c>
      <c r="W1652" s="11" t="str">
        <f>_xlfn.XLOOKUP(Customer[[#This Row],[Customer ID]],[1]!Address[ID],[1]!Address[CT])</f>
        <v>14 DAYS</v>
      </c>
      <c r="X1652" s="11"/>
      <c r="Y1652" s="17" t="s">
        <v>5918</v>
      </c>
      <c r="Z1652" s="17" t="e">
        <f>_xlfn.XLOOKUP(Customer[[#This Row],[NewType]],$AF$36:$AF$54,$AG$36:$AG$54)</f>
        <v>#N/A</v>
      </c>
      <c r="AA1652" s="17" t="s">
        <v>10469</v>
      </c>
      <c r="AB1652" s="11" t="str">
        <f>_xlfn.XLOOKUP(Customer[[#This Row],[Customer ID]],[1]!Address[ID],[1]!Address[Subtype])</f>
        <v>SENI RASA</v>
      </c>
      <c r="AC1652" s="18" t="str">
        <f>_xlfn.XLOOKUP(Customer[[#This Row],[Customer ID]],[1]!Address[ID],[1]!Address[Zone])</f>
        <v>CENTRAL</v>
      </c>
    </row>
    <row r="1653" spans="1:29" x14ac:dyDescent="0.3">
      <c r="A1653" s="37" t="s">
        <v>10470</v>
      </c>
      <c r="B1653" s="38" t="str">
        <f>_xlfn.XLOOKUP(Customer[[#This Row],[Customer ID]],[1]!Name[ID],[1]!Name[Description(1)])</f>
        <v>IMALI FOOD</v>
      </c>
      <c r="C1653" s="38" t="str">
        <f>_xlfn.XLOOKUP(Customer[[#This Row],[Customer ID]],[1]!Name[ID],[1]!Name[Description(2)])</f>
        <v/>
      </c>
      <c r="D1653" s="38" t="str">
        <f>_xlfn.XLOOKUP(Customer[[#This Row],[Customer ID]],[1]!Address[ID],[1]!Address[PIC])</f>
        <v/>
      </c>
      <c r="E1653" s="38" t="str">
        <f>_xlfn.XLOOKUP(Customer[[#This Row],[Customer ID]],[1]!Address[ID],[1]!Address[Full Address])</f>
        <v>GERAI NO 23, R&amp;R PAGOH,ARAH UTARA84500 MUAR JOHOR</v>
      </c>
      <c r="F1653" s="12" t="s">
        <v>10471</v>
      </c>
      <c r="G1653" s="12" t="s">
        <v>3230</v>
      </c>
      <c r="H1653" s="24" t="s">
        <v>9844</v>
      </c>
      <c r="I1653" s="24" t="b">
        <f>ISNUMBER(VALUE(LEFT(Customer[[#This Row],[Address Line 3 (30 char)]],1)))</f>
        <v>0</v>
      </c>
      <c r="J1653" s="12" t="s">
        <v>52</v>
      </c>
      <c r="K1653" s="12">
        <v>84500</v>
      </c>
      <c r="L1653" s="12" t="s">
        <v>35</v>
      </c>
      <c r="M1653" s="13" t="e">
        <v>#N/A</v>
      </c>
      <c r="N1653" s="14" t="e">
        <v>#N/A</v>
      </c>
      <c r="O1653" s="14" t="e">
        <v>#N/A</v>
      </c>
      <c r="P1653" s="14" t="e">
        <v>#N/A</v>
      </c>
      <c r="Q1653" s="14" t="e">
        <v>#N/A</v>
      </c>
      <c r="R1653" s="15" t="s">
        <v>10472</v>
      </c>
      <c r="S1653" s="15" t="s">
        <v>5925</v>
      </c>
      <c r="T1653" s="16" t="s">
        <v>3477</v>
      </c>
      <c r="U1653" s="11" t="str">
        <f>_xlfn.XLOOKUP(Customer[[#This Row],[Customer ID]],[1]!Address[ID],[1]!Address[Phone No.(2)])</f>
        <v/>
      </c>
      <c r="V1653" s="11" t="str">
        <f>_xlfn.XLOOKUP(Customer[[#This Row],[Customer ID]],[1]!Address[ID],[1]!Address[Type])</f>
        <v>CAFE</v>
      </c>
      <c r="W1653" s="11" t="str">
        <f>_xlfn.XLOOKUP(Customer[[#This Row],[Customer ID]],[1]!Address[ID],[1]!Address[CT])</f>
        <v>30 DAYS</v>
      </c>
      <c r="X1653" s="11"/>
      <c r="Y1653" s="17" t="s">
        <v>5926</v>
      </c>
      <c r="Z1653" s="17" t="e">
        <f>_xlfn.XLOOKUP(Customer[[#This Row],[NewType]],$AF$36:$AF$54,$AG$36:$AG$54)</f>
        <v>#N/A</v>
      </c>
      <c r="AA1653" s="17" t="s">
        <v>10473</v>
      </c>
      <c r="AB1653" s="11" t="str">
        <f>_xlfn.XLOOKUP(Customer[[#This Row],[Customer ID]],[1]!Address[ID],[1]!Address[Subtype])</f>
        <v>PLUS</v>
      </c>
      <c r="AC1653" s="18" t="str">
        <f>_xlfn.XLOOKUP(Customer[[#This Row],[Customer ID]],[1]!Address[ID],[1]!Address[Zone])</f>
        <v>SOUTH</v>
      </c>
    </row>
    <row r="1654" spans="1:29" x14ac:dyDescent="0.3">
      <c r="A1654" s="10" t="s">
        <v>10474</v>
      </c>
      <c r="B1654" s="11" t="str">
        <f>_xlfn.XLOOKUP(Customer[[#This Row],[Customer ID]],[1]!Name[ID],[1]!Name[Description(1)])</f>
        <v>MY NORDIANA FOOD</v>
      </c>
      <c r="C1654" s="11" t="str">
        <f>_xlfn.XLOOKUP(Customer[[#This Row],[Customer ID]],[1]!Name[ID],[1]!Name[Description(2)])</f>
        <v/>
      </c>
      <c r="D1654" s="11" t="str">
        <f>_xlfn.XLOOKUP(Customer[[#This Row],[Customer ID]],[1]!Address[ID],[1]!Address[PIC])</f>
        <v/>
      </c>
      <c r="E1654" s="11" t="str">
        <f>_xlfn.XLOOKUP(Customer[[#This Row],[Customer ID]],[1]!Address[ID],[1]!Address[Full Address])</f>
        <v>GERAI NO.14, KAWASAN REHAT DAN RAWAT,PAGOH ARAH UTARA</v>
      </c>
      <c r="F1654" s="12" t="s">
        <v>10475</v>
      </c>
      <c r="G1654" s="12" t="s">
        <v>9533</v>
      </c>
      <c r="H1654" s="12" t="s">
        <v>10476</v>
      </c>
      <c r="I1654" s="12" t="b">
        <f>ISNUMBER(VALUE(LEFT(Customer[[#This Row],[Address Line 3 (30 char)]],1)))</f>
        <v>0</v>
      </c>
      <c r="J1654" s="12" t="s">
        <v>52</v>
      </c>
      <c r="K1654" s="12">
        <v>50480</v>
      </c>
      <c r="L1654" s="12" t="s">
        <v>35</v>
      </c>
      <c r="M1654" s="13" t="e">
        <v>#N/A</v>
      </c>
      <c r="N1654" s="14" t="e">
        <v>#N/A</v>
      </c>
      <c r="O1654" s="14" t="e">
        <v>#N/A</v>
      </c>
      <c r="P1654" s="14" t="e">
        <v>#N/A</v>
      </c>
      <c r="Q1654" s="14" t="e">
        <v>#N/A</v>
      </c>
      <c r="R1654" s="15" t="s">
        <v>10477</v>
      </c>
      <c r="S1654" s="15" t="s">
        <v>5925</v>
      </c>
      <c r="T1654" s="16" t="s">
        <v>3477</v>
      </c>
      <c r="U1654" s="11" t="str">
        <f>_xlfn.XLOOKUP(Customer[[#This Row],[Customer ID]],[1]!Address[ID],[1]!Address[Phone No.(2)])</f>
        <v/>
      </c>
      <c r="V1654" s="11" t="str">
        <f>_xlfn.XLOOKUP(Customer[[#This Row],[Customer ID]],[1]!Address[ID],[1]!Address[Type])</f>
        <v>CAFE</v>
      </c>
      <c r="W1654" s="11" t="str">
        <f>_xlfn.XLOOKUP(Customer[[#This Row],[Customer ID]],[1]!Address[ID],[1]!Address[CT])</f>
        <v>30 DAYS</v>
      </c>
      <c r="X1654" s="11"/>
      <c r="Y1654" s="17" t="s">
        <v>5926</v>
      </c>
      <c r="Z1654" s="17" t="e">
        <f>_xlfn.XLOOKUP(Customer[[#This Row],[NewType]],$AF$36:$AF$54,$AG$36:$AG$54)</f>
        <v>#N/A</v>
      </c>
      <c r="AA1654" s="17" t="s">
        <v>10478</v>
      </c>
      <c r="AB1654" s="11" t="str">
        <f>_xlfn.XLOOKUP(Customer[[#This Row],[Customer ID]],[1]!Address[ID],[1]!Address[Subtype])</f>
        <v>PLUS</v>
      </c>
      <c r="AC1654" s="18" t="str">
        <f>_xlfn.XLOOKUP(Customer[[#This Row],[Customer ID]],[1]!Address[ID],[1]!Address[Zone])</f>
        <v>SOUTH</v>
      </c>
    </row>
    <row r="1655" spans="1:29" x14ac:dyDescent="0.3">
      <c r="A1655" s="10" t="s">
        <v>10479</v>
      </c>
      <c r="B1655" s="11" t="str">
        <f>_xlfn.XLOOKUP(Customer[[#This Row],[Customer ID]],[1]!Name[ID],[1]!Name[Description(1)])</f>
        <v>THE COFFEE SHOP</v>
      </c>
      <c r="C1655" s="11" t="str">
        <f>_xlfn.XLOOKUP(Customer[[#This Row],[Customer ID]],[1]!Name[ID],[1]!Name[Description(2)])</f>
        <v/>
      </c>
      <c r="D1655" s="11" t="str">
        <f>_xlfn.XLOOKUP(Customer[[#This Row],[Customer ID]],[1]!Address[ID],[1]!Address[PIC])</f>
        <v/>
      </c>
      <c r="E1655" s="11" t="str">
        <f>_xlfn.XLOOKUP(Customer[[#This Row],[Customer ID]],[1]!Address[ID],[1]!Address[Full Address])</f>
        <v>NO.4, KM 146, ARAH UTARA,DATARAN PAGOH LEBUHRAYA, PLUS, PAGOH,84600 MUAR,JOHOR</v>
      </c>
      <c r="F1655" s="12" t="s">
        <v>10480</v>
      </c>
      <c r="G1655" s="12" t="s">
        <v>10481</v>
      </c>
      <c r="H1655" s="12" t="s">
        <v>10482</v>
      </c>
      <c r="I1655" s="12" t="b">
        <f>ISNUMBER(VALUE(LEFT(Customer[[#This Row],[Address Line 3 (30 char)]],1)))</f>
        <v>0</v>
      </c>
      <c r="J1655" s="12" t="s">
        <v>52</v>
      </c>
      <c r="K1655" s="12">
        <v>84600</v>
      </c>
      <c r="L1655" s="12" t="s">
        <v>35</v>
      </c>
      <c r="M1655" s="13" t="e">
        <v>#N/A</v>
      </c>
      <c r="N1655" s="14" t="e">
        <v>#N/A</v>
      </c>
      <c r="O1655" s="14" t="e">
        <v>#N/A</v>
      </c>
      <c r="P1655" s="14" t="e">
        <v>#N/A</v>
      </c>
      <c r="Q1655" s="14" t="e">
        <v>#N/A</v>
      </c>
      <c r="R1655" s="15" t="s">
        <v>10483</v>
      </c>
      <c r="S1655" s="15" t="s">
        <v>5925</v>
      </c>
      <c r="T1655" s="16" t="s">
        <v>3477</v>
      </c>
      <c r="U1655" s="11" t="str">
        <f>_xlfn.XLOOKUP(Customer[[#This Row],[Customer ID]],[1]!Address[ID],[1]!Address[Phone No.(2)])</f>
        <v/>
      </c>
      <c r="V1655" s="11" t="str">
        <f>_xlfn.XLOOKUP(Customer[[#This Row],[Customer ID]],[1]!Address[ID],[1]!Address[Type])</f>
        <v>CAFE</v>
      </c>
      <c r="W1655" s="11" t="str">
        <f>_xlfn.XLOOKUP(Customer[[#This Row],[Customer ID]],[1]!Address[ID],[1]!Address[CT])</f>
        <v>30 DAYS</v>
      </c>
      <c r="X1655" s="11"/>
      <c r="Y1655" s="17" t="s">
        <v>5926</v>
      </c>
      <c r="Z1655" s="17" t="e">
        <f>_xlfn.XLOOKUP(Customer[[#This Row],[NewType]],$AF$36:$AF$54,$AG$36:$AG$54)</f>
        <v>#N/A</v>
      </c>
      <c r="AA1655" s="17" t="s">
        <v>10484</v>
      </c>
      <c r="AB1655" s="11" t="str">
        <f>_xlfn.XLOOKUP(Customer[[#This Row],[Customer ID]],[1]!Address[ID],[1]!Address[Subtype])</f>
        <v>PLUS</v>
      </c>
      <c r="AC1655" s="18" t="str">
        <f>_xlfn.XLOOKUP(Customer[[#This Row],[Customer ID]],[1]!Address[ID],[1]!Address[Zone])</f>
        <v>SOUTH</v>
      </c>
    </row>
    <row r="1656" spans="1:29" x14ac:dyDescent="0.3">
      <c r="A1656" s="10" t="s">
        <v>10485</v>
      </c>
      <c r="B1656" s="11" t="str">
        <f>_xlfn.XLOOKUP(Customer[[#This Row],[Customer ID]],[1]!Name[ID],[1]!Name[Description(1)])</f>
        <v>RUMAH KOPI 38</v>
      </c>
      <c r="C1656" s="11" t="str">
        <f>_xlfn.XLOOKUP(Customer[[#This Row],[Customer ID]],[1]!Name[ID],[1]!Name[Description(2)])</f>
        <v/>
      </c>
      <c r="D1656" s="11" t="str">
        <f>_xlfn.XLOOKUP(Customer[[#This Row],[Customer ID]],[1]!Address[ID],[1]!Address[PIC])</f>
        <v/>
      </c>
      <c r="E1656" s="11" t="str">
        <f>_xlfn.XLOOKUP(Customer[[#This Row],[Customer ID]],[1]!Address[ID],[1]!Address[Full Address])</f>
        <v>NO.6 JALAN SEHARUM 5,TAMAN BUKIT DAHLIA,81700 PASIR GUDANG,JOHOR</v>
      </c>
      <c r="F1656" s="12" t="s">
        <v>10486</v>
      </c>
      <c r="G1656" s="12" t="s">
        <v>10487</v>
      </c>
      <c r="H1656" s="24" t="s">
        <v>3772</v>
      </c>
      <c r="I1656" s="24" t="b">
        <f>ISNUMBER(VALUE(LEFT(Customer[[#This Row],[Address Line 3 (30 char)]],1)))</f>
        <v>0</v>
      </c>
      <c r="J1656" s="12" t="s">
        <v>52</v>
      </c>
      <c r="K1656" s="12">
        <v>81700</v>
      </c>
      <c r="L1656" s="12" t="s">
        <v>35</v>
      </c>
      <c r="M1656" s="13" t="e">
        <v>#N/A</v>
      </c>
      <c r="N1656" s="14" t="e">
        <v>#N/A</v>
      </c>
      <c r="O1656" s="14" t="e">
        <v>#N/A</v>
      </c>
      <c r="P1656" s="14" t="e">
        <v>#N/A</v>
      </c>
      <c r="Q1656" s="14" t="e">
        <v>#N/A</v>
      </c>
      <c r="R1656" s="15" t="s">
        <v>10488</v>
      </c>
      <c r="S1656" s="15" t="s">
        <v>5925</v>
      </c>
      <c r="T1656" s="16" t="s">
        <v>3477</v>
      </c>
      <c r="U1656" s="11" t="str">
        <f>_xlfn.XLOOKUP(Customer[[#This Row],[Customer ID]],[1]!Address[ID],[1]!Address[Phone No.(2)])</f>
        <v/>
      </c>
      <c r="V1656" s="11" t="str">
        <f>_xlfn.XLOOKUP(Customer[[#This Row],[Customer ID]],[1]!Address[ID],[1]!Address[Type])</f>
        <v>CAFE</v>
      </c>
      <c r="W1656" s="11" t="str">
        <f>_xlfn.XLOOKUP(Customer[[#This Row],[Customer ID]],[1]!Address[ID],[1]!Address[CT])</f>
        <v>30 DAYS</v>
      </c>
      <c r="X1656" s="11"/>
      <c r="Y1656" s="17" t="s">
        <v>5926</v>
      </c>
      <c r="Z1656" s="17" t="e">
        <f>_xlfn.XLOOKUP(Customer[[#This Row],[NewType]],$AF$36:$AF$54,$AG$36:$AG$54)</f>
        <v>#N/A</v>
      </c>
      <c r="AA1656" s="17" t="s">
        <v>10489</v>
      </c>
      <c r="AB1656" s="11" t="str">
        <f>_xlfn.XLOOKUP(Customer[[#This Row],[Customer ID]],[1]!Address[ID],[1]!Address[Subtype])</f>
        <v>CAFE</v>
      </c>
      <c r="AC1656" s="18" t="str">
        <f>_xlfn.XLOOKUP(Customer[[#This Row],[Customer ID]],[1]!Address[ID],[1]!Address[Zone])</f>
        <v>SOUTH</v>
      </c>
    </row>
    <row r="1657" spans="1:29" x14ac:dyDescent="0.3">
      <c r="A1657" s="10" t="s">
        <v>10490</v>
      </c>
      <c r="B1657" s="11" t="str">
        <f>_xlfn.XLOOKUP(Customer[[#This Row],[Customer ID]],[1]!Name[ID],[1]!Name[Description(1)])</f>
        <v>DESERTOPIA CAFE</v>
      </c>
      <c r="C1657" s="11" t="str">
        <f>_xlfn.XLOOKUP(Customer[[#This Row],[Customer ID]],[1]!Name[ID],[1]!Name[Description(2)])</f>
        <v/>
      </c>
      <c r="D1657" s="11" t="str">
        <f>_xlfn.XLOOKUP(Customer[[#This Row],[Customer ID]],[1]!Address[ID],[1]!Address[PIC])</f>
        <v/>
      </c>
      <c r="E1657" s="11" t="str">
        <f>_xlfn.XLOOKUP(Customer[[#This Row],[Customer ID]],[1]!Address[ID],[1]!Address[Full Address])</f>
        <v>MEDAN SELERA R&amp;R AYER KEROH UTARA,78000 ALOR GAJAH,MELAKA</v>
      </c>
      <c r="F1657" s="12" t="s">
        <v>10491</v>
      </c>
      <c r="G1657" s="12" t="s">
        <v>10492</v>
      </c>
      <c r="H1657" s="12" t="s">
        <v>1568</v>
      </c>
      <c r="I1657" s="12" t="b">
        <f>ISNUMBER(VALUE(LEFT(Customer[[#This Row],[Address Line 3 (30 char)]],1)))</f>
        <v>0</v>
      </c>
      <c r="J1657" s="12" t="s">
        <v>61</v>
      </c>
      <c r="K1657" s="12">
        <v>78000</v>
      </c>
      <c r="L1657" s="12" t="s">
        <v>35</v>
      </c>
      <c r="M1657" s="13" t="e">
        <v>#N/A</v>
      </c>
      <c r="N1657" s="14" t="e">
        <v>#N/A</v>
      </c>
      <c r="O1657" s="14" t="e">
        <v>#N/A</v>
      </c>
      <c r="P1657" s="14" t="e">
        <v>#N/A</v>
      </c>
      <c r="Q1657" s="14" t="e">
        <v>#N/A</v>
      </c>
      <c r="R1657" s="15" t="s">
        <v>10493</v>
      </c>
      <c r="S1657" s="15" t="s">
        <v>5925</v>
      </c>
      <c r="T1657" s="16" t="s">
        <v>3477</v>
      </c>
      <c r="U1657" s="11" t="str">
        <f>_xlfn.XLOOKUP(Customer[[#This Row],[Customer ID]],[1]!Address[ID],[1]!Address[Phone No.(2)])</f>
        <v/>
      </c>
      <c r="V1657" s="11" t="str">
        <f>_xlfn.XLOOKUP(Customer[[#This Row],[Customer ID]],[1]!Address[ID],[1]!Address[Type])</f>
        <v>CAFE</v>
      </c>
      <c r="W1657" s="11" t="str">
        <f>_xlfn.XLOOKUP(Customer[[#This Row],[Customer ID]],[1]!Address[ID],[1]!Address[CT])</f>
        <v>30 DAYS</v>
      </c>
      <c r="X1657" s="11"/>
      <c r="Y1657" s="17" t="s">
        <v>5926</v>
      </c>
      <c r="Z1657" s="17" t="e">
        <f>_xlfn.XLOOKUP(Customer[[#This Row],[NewType]],$AF$36:$AF$54,$AG$36:$AG$54)</f>
        <v>#N/A</v>
      </c>
      <c r="AA1657" s="17" t="s">
        <v>10494</v>
      </c>
      <c r="AB1657" s="11" t="str">
        <f>_xlfn.XLOOKUP(Customer[[#This Row],[Customer ID]],[1]!Address[ID],[1]!Address[Subtype])</f>
        <v>PLUS</v>
      </c>
      <c r="AC1657" s="18" t="str">
        <f>_xlfn.XLOOKUP(Customer[[#This Row],[Customer ID]],[1]!Address[ID],[1]!Address[Zone])</f>
        <v>SOUTH</v>
      </c>
    </row>
    <row r="1658" spans="1:29" x14ac:dyDescent="0.3">
      <c r="A1658" s="10" t="s">
        <v>10495</v>
      </c>
      <c r="B1658" s="11" t="str">
        <f>_xlfn.XLOOKUP(Customer[[#This Row],[Customer ID]],[1]!Name[ID],[1]!Name[Description(1)])</f>
        <v>FRUITTELLER</v>
      </c>
      <c r="C1658" s="11" t="str">
        <f>_xlfn.XLOOKUP(Customer[[#This Row],[Customer ID]],[1]!Name[ID],[1]!Name[Description(2)])</f>
        <v>SAR BERKAT ENTERPRISE</v>
      </c>
      <c r="D1658" s="11" t="str">
        <f>_xlfn.XLOOKUP(Customer[[#This Row],[Customer ID]],[1]!Address[ID],[1]!Address[PIC])</f>
        <v/>
      </c>
      <c r="E1658" s="11" t="str">
        <f>_xlfn.XLOOKUP(Customer[[#This Row],[Customer ID]],[1]!Address[ID],[1]!Address[Full Address])</f>
        <v>NO 10, ARAH UTARARESTORAN JEJANTAS AYER KEROH,78000 ALOR GAJAH,MELAKA</v>
      </c>
      <c r="F1658" s="12" t="s">
        <v>10496</v>
      </c>
      <c r="G1658" s="12" t="s">
        <v>10497</v>
      </c>
      <c r="H1658" s="24" t="s">
        <v>1568</v>
      </c>
      <c r="I1658" s="24" t="b">
        <f>ISNUMBER(VALUE(LEFT(Customer[[#This Row],[Address Line 3 (30 char)]],1)))</f>
        <v>0</v>
      </c>
      <c r="J1658" s="12" t="s">
        <v>61</v>
      </c>
      <c r="K1658" s="12">
        <v>78000</v>
      </c>
      <c r="L1658" s="12" t="s">
        <v>35</v>
      </c>
      <c r="M1658" s="13" t="e">
        <v>#N/A</v>
      </c>
      <c r="N1658" s="14" t="e">
        <v>#N/A</v>
      </c>
      <c r="O1658" s="14" t="e">
        <v>#N/A</v>
      </c>
      <c r="P1658" s="14" t="e">
        <v>#N/A</v>
      </c>
      <c r="Q1658" s="14" t="e">
        <v>#N/A</v>
      </c>
      <c r="R1658" s="15" t="s">
        <v>10498</v>
      </c>
      <c r="S1658" s="15" t="s">
        <v>5925</v>
      </c>
      <c r="T1658" s="16" t="s">
        <v>3477</v>
      </c>
      <c r="U1658" s="11" t="str">
        <f>_xlfn.XLOOKUP(Customer[[#This Row],[Customer ID]],[1]!Address[ID],[1]!Address[Phone No.(2)])</f>
        <v/>
      </c>
      <c r="V1658" s="11" t="str">
        <f>_xlfn.XLOOKUP(Customer[[#This Row],[Customer ID]],[1]!Address[ID],[1]!Address[Type])</f>
        <v>CAFE</v>
      </c>
      <c r="W1658" s="11" t="str">
        <f>_xlfn.XLOOKUP(Customer[[#This Row],[Customer ID]],[1]!Address[ID],[1]!Address[CT])</f>
        <v>30 DAYS</v>
      </c>
      <c r="X1658" s="11"/>
      <c r="Y1658" s="17" t="s">
        <v>5926</v>
      </c>
      <c r="Z1658" s="17" t="e">
        <f>_xlfn.XLOOKUP(Customer[[#This Row],[NewType]],$AF$36:$AF$54,$AG$36:$AG$54)</f>
        <v>#N/A</v>
      </c>
      <c r="AA1658" s="17" t="s">
        <v>10499</v>
      </c>
      <c r="AB1658" s="11" t="str">
        <f>_xlfn.XLOOKUP(Customer[[#This Row],[Customer ID]],[1]!Address[ID],[1]!Address[Subtype])</f>
        <v>PLUS</v>
      </c>
      <c r="AC1658" s="18" t="str">
        <f>_xlfn.XLOOKUP(Customer[[#This Row],[Customer ID]],[1]!Address[ID],[1]!Address[Zone])</f>
        <v>SOUTH</v>
      </c>
    </row>
    <row r="1659" spans="1:29" x14ac:dyDescent="0.3">
      <c r="A1659" s="10" t="s">
        <v>10500</v>
      </c>
      <c r="B1659" s="11" t="str">
        <f>_xlfn.XLOOKUP(Customer[[#This Row],[Customer ID]],[1]!Name[ID],[1]!Name[Description(1)])</f>
        <v>FARAH LIYANA</v>
      </c>
      <c r="C1659" s="11" t="str">
        <f>_xlfn.XLOOKUP(Customer[[#This Row],[Customer ID]],[1]!Name[ID],[1]!Name[Description(2)])</f>
        <v/>
      </c>
      <c r="D1659" s="11" t="str">
        <f>_xlfn.XLOOKUP(Customer[[#This Row],[Customer ID]],[1]!Address[ID],[1]!Address[PIC])</f>
        <v/>
      </c>
      <c r="E1659" s="11" t="str">
        <f>_xlfn.XLOOKUP(Customer[[#This Row],[Customer ID]],[1]!Address[ID],[1]!Address[Full Address])</f>
        <v>584, DINAWAN 4, TAMAN PANTAI LOKKAWI88200 KINARUT, SABAH</v>
      </c>
      <c r="F1659" s="12" t="s">
        <v>10501</v>
      </c>
      <c r="G1659" s="12" t="s">
        <v>10502</v>
      </c>
      <c r="H1659" s="12" t="s">
        <v>10503</v>
      </c>
      <c r="I1659" s="12" t="b">
        <f>ISNUMBER(VALUE(LEFT(Customer[[#This Row],[Address Line 3 (30 char)]],1)))</f>
        <v>0</v>
      </c>
      <c r="J1659" s="12" t="s">
        <v>6636</v>
      </c>
      <c r="K1659" s="12">
        <v>88200</v>
      </c>
      <c r="L1659" s="12" t="s">
        <v>35</v>
      </c>
      <c r="M1659" s="13" t="e">
        <v>#N/A</v>
      </c>
      <c r="N1659" s="14" t="e">
        <v>#N/A</v>
      </c>
      <c r="O1659" s="14" t="e">
        <v>#N/A</v>
      </c>
      <c r="P1659" s="14" t="e">
        <v>#N/A</v>
      </c>
      <c r="Q1659" s="14" t="e">
        <v>#N/A</v>
      </c>
      <c r="R1659" s="15" t="s">
        <v>10504</v>
      </c>
      <c r="S1659" s="15" t="s">
        <v>88</v>
      </c>
      <c r="T1659" s="16" t="s">
        <v>89</v>
      </c>
      <c r="U1659" s="11" t="str">
        <f>_xlfn.XLOOKUP(Customer[[#This Row],[Customer ID]],[1]!Address[ID],[1]!Address[Phone No.(2)])</f>
        <v/>
      </c>
      <c r="V1659" s="11" t="str">
        <f>_xlfn.XLOOKUP(Customer[[#This Row],[Customer ID]],[1]!Address[ID],[1]!Address[Type])</f>
        <v>SOCMED</v>
      </c>
      <c r="W1659" s="11" t="str">
        <f>_xlfn.XLOOKUP(Customer[[#This Row],[Customer ID]],[1]!Address[ID],[1]!Address[CT])</f>
        <v/>
      </c>
      <c r="X1659" s="11"/>
      <c r="Y1659" s="17" t="s">
        <v>90</v>
      </c>
      <c r="Z1659" s="17" t="e">
        <f>_xlfn.XLOOKUP(Customer[[#This Row],[NewType]],$AF$36:$AF$54,$AG$36:$AG$54)</f>
        <v>#N/A</v>
      </c>
      <c r="AA1659" s="17" t="s">
        <v>10505</v>
      </c>
      <c r="AB1659" s="11" t="str">
        <f>_xlfn.XLOOKUP(Customer[[#This Row],[Customer ID]],[1]!Address[ID],[1]!Address[Subtype])</f>
        <v>ONLINE ROS</v>
      </c>
      <c r="AC1659" s="18" t="str">
        <f>_xlfn.XLOOKUP(Customer[[#This Row],[Customer ID]],[1]!Address[ID],[1]!Address[Zone])</f>
        <v>CENTRAL</v>
      </c>
    </row>
    <row r="1660" spans="1:29" x14ac:dyDescent="0.3">
      <c r="A1660" s="10" t="s">
        <v>10506</v>
      </c>
      <c r="B1660" s="11" t="str">
        <f>_xlfn.XLOOKUP(Customer[[#This Row],[Customer ID]],[1]!Name[ID],[1]!Name[Description(1)])</f>
        <v>STESEN ALOR BINTANG SDN BHD</v>
      </c>
      <c r="C1660" s="11" t="str">
        <f>_xlfn.XLOOKUP(Customer[[#This Row],[Customer ID]],[1]!Name[ID],[1]!Name[Description(2)])</f>
        <v>CALTEX STESEN ALOR BINTANG</v>
      </c>
      <c r="D1660" s="11" t="str">
        <f>_xlfn.XLOOKUP(Customer[[#This Row],[Customer ID]],[1]!Address[ID],[1]!Address[PIC])</f>
        <v/>
      </c>
      <c r="E1660" s="11" t="str">
        <f>_xlfn.XLOOKUP(Customer[[#This Row],[Customer ID]],[1]!Address[ID],[1]!Address[Full Address])</f>
        <v>CALTEX STESEN ALOR BINTANGNO 228 JALAN KAMUNTING34600 KAMUNTING, PERAK</v>
      </c>
      <c r="F1660" s="12" t="s">
        <v>10507</v>
      </c>
      <c r="G1660" s="12" t="s">
        <v>10508</v>
      </c>
      <c r="H1660" s="24" t="s">
        <v>1363</v>
      </c>
      <c r="I1660" s="24" t="b">
        <f>ISNUMBER(VALUE(LEFT(Customer[[#This Row],[Address Line 3 (30 char)]],1)))</f>
        <v>0</v>
      </c>
      <c r="J1660" s="12" t="s">
        <v>242</v>
      </c>
      <c r="K1660" s="12">
        <v>34600</v>
      </c>
      <c r="L1660" s="12" t="s">
        <v>35</v>
      </c>
      <c r="M1660" s="13">
        <v>202503082382</v>
      </c>
      <c r="N1660" s="14" t="s">
        <v>10509</v>
      </c>
      <c r="O1660" s="14" t="e">
        <v>#N/A</v>
      </c>
      <c r="P1660" s="14" t="e">
        <v>#N/A</v>
      </c>
      <c r="Q1660" s="14" t="e">
        <v>#N/A</v>
      </c>
      <c r="R1660" s="15" t="s">
        <v>36</v>
      </c>
      <c r="S1660" s="15" t="s">
        <v>37</v>
      </c>
      <c r="T1660" s="16" t="s">
        <v>38</v>
      </c>
      <c r="U1660" s="11" t="str">
        <f>_xlfn.XLOOKUP(Customer[[#This Row],[Customer ID]],[1]!Address[ID],[1]!Address[Phone No.(2)])</f>
        <v/>
      </c>
      <c r="V1660" s="11" t="str">
        <f>_xlfn.XLOOKUP(Customer[[#This Row],[Customer ID]],[1]!Address[ID],[1]!Address[Type])</f>
        <v>PETROMART</v>
      </c>
      <c r="W1660" s="11" t="str">
        <f>_xlfn.XLOOKUP(Customer[[#This Row],[Customer ID]],[1]!Address[ID],[1]!Address[CT])</f>
        <v>30</v>
      </c>
      <c r="X1660" s="11" t="s">
        <v>39</v>
      </c>
      <c r="Y1660" s="17" t="s">
        <v>40</v>
      </c>
      <c r="Z1660" s="17" t="e">
        <f>_xlfn.XLOOKUP(Customer[[#This Row],[NewType]],$AF$36:$AF$54,$AG$36:$AG$54)</f>
        <v>#N/A</v>
      </c>
      <c r="AA1660" s="17" t="s">
        <v>10510</v>
      </c>
      <c r="AB1660" s="11" t="str">
        <f>_xlfn.XLOOKUP(Customer[[#This Row],[Customer ID]],[1]!Address[ID],[1]!Address[Subtype])</f>
        <v>CALTEX</v>
      </c>
      <c r="AC1660" s="18" t="str">
        <f>_xlfn.XLOOKUP(Customer[[#This Row],[Customer ID]],[1]!Address[ID],[1]!Address[Zone])</f>
        <v>NORTH</v>
      </c>
    </row>
    <row r="1661" spans="1:29" x14ac:dyDescent="0.3">
      <c r="A1661" s="10" t="s">
        <v>10511</v>
      </c>
      <c r="B1661" s="11" t="str">
        <f>_xlfn.XLOOKUP(Customer[[#This Row],[Customer ID]],[1]!Name[ID],[1]!Name[Description(1)])</f>
        <v>OBR MART - PLUS</v>
      </c>
      <c r="C1661" s="11" t="str">
        <f>_xlfn.XLOOKUP(Customer[[#This Row],[Customer ID]],[1]!Name[ID],[1]!Name[Description(2)])</f>
        <v/>
      </c>
      <c r="D1661" s="11" t="str">
        <f>_xlfn.XLOOKUP(Customer[[#This Row],[Customer ID]],[1]!Address[ID],[1]!Address[PIC])</f>
        <v/>
      </c>
      <c r="E1661" s="11" t="str">
        <f>_xlfn.XLOOKUP(Customer[[#This Row],[Customer ID]],[1]!Address[ID],[1]!Address[Full Address])</f>
        <v>NO 16 JEJANTAS AIR KEROHARAH UTARA</v>
      </c>
      <c r="F1661" s="12" t="s">
        <v>10512</v>
      </c>
      <c r="G1661" s="12" t="s">
        <v>3230</v>
      </c>
      <c r="H1661" s="12" t="s">
        <v>36</v>
      </c>
      <c r="I1661" s="12" t="b">
        <f>ISNUMBER(VALUE(LEFT(Customer[[#This Row],[Address Line 3 (30 char)]],1)))</f>
        <v>0</v>
      </c>
      <c r="J1661" s="12" t="s">
        <v>61</v>
      </c>
      <c r="K1661" s="12">
        <v>78000</v>
      </c>
      <c r="L1661" s="12" t="s">
        <v>35</v>
      </c>
      <c r="M1661" s="13" t="e">
        <v>#N/A</v>
      </c>
      <c r="N1661" s="14" t="e">
        <v>#N/A</v>
      </c>
      <c r="O1661" s="14" t="e">
        <v>#N/A</v>
      </c>
      <c r="P1661" s="14" t="e">
        <v>#N/A</v>
      </c>
      <c r="Q1661" s="14" t="e">
        <v>#N/A</v>
      </c>
      <c r="R1661" s="15" t="s">
        <v>10513</v>
      </c>
      <c r="S1661" s="15" t="s">
        <v>5925</v>
      </c>
      <c r="T1661" s="16" t="s">
        <v>3477</v>
      </c>
      <c r="U1661" s="11" t="str">
        <f>_xlfn.XLOOKUP(Customer[[#This Row],[Customer ID]],[1]!Address[ID],[1]!Address[Phone No.(2)])</f>
        <v/>
      </c>
      <c r="V1661" s="11" t="str">
        <f>_xlfn.XLOOKUP(Customer[[#This Row],[Customer ID]],[1]!Address[ID],[1]!Address[Type])</f>
        <v>CAFE</v>
      </c>
      <c r="W1661" s="11" t="str">
        <f>_xlfn.XLOOKUP(Customer[[#This Row],[Customer ID]],[1]!Address[ID],[1]!Address[CT])</f>
        <v>30 DAYS</v>
      </c>
      <c r="X1661" s="11"/>
      <c r="Y1661" s="17" t="s">
        <v>5926</v>
      </c>
      <c r="Z1661" s="17" t="e">
        <f>_xlfn.XLOOKUP(Customer[[#This Row],[NewType]],$AF$36:$AF$54,$AG$36:$AG$54)</f>
        <v>#N/A</v>
      </c>
      <c r="AA1661" s="17" t="s">
        <v>10514</v>
      </c>
      <c r="AB1661" s="11" t="str">
        <f>_xlfn.XLOOKUP(Customer[[#This Row],[Customer ID]],[1]!Address[ID],[1]!Address[Subtype])</f>
        <v>PLUS</v>
      </c>
      <c r="AC1661" s="18" t="str">
        <f>_xlfn.XLOOKUP(Customer[[#This Row],[Customer ID]],[1]!Address[ID],[1]!Address[Zone])</f>
        <v>SOUTH</v>
      </c>
    </row>
    <row r="1662" spans="1:29" x14ac:dyDescent="0.3">
      <c r="A1662" s="10" t="s">
        <v>10515</v>
      </c>
      <c r="B1662" s="11" t="str">
        <f>_xlfn.XLOOKUP(Customer[[#This Row],[Customer ID]],[1]!Name[ID],[1]!Name[Description(1)])</f>
        <v>BAHRUDIN MINI STATION</v>
      </c>
      <c r="C1662" s="11" t="str">
        <f>_xlfn.XLOOKUP(Customer[[#This Row],[Customer ID]],[1]!Name[ID],[1]!Name[Description(2)])</f>
        <v>PS JELI</v>
      </c>
      <c r="D1662" s="11" t="str">
        <f>_xlfn.XLOOKUP(Customer[[#This Row],[Customer ID]],[1]!Address[ID],[1]!Address[PIC])</f>
        <v/>
      </c>
      <c r="E1662" s="11" t="str">
        <f>_xlfn.XLOOKUP(Customer[[#This Row],[Customer ID]],[1]!Address[ID],[1]!Address[Full Address])</f>
        <v>PS JELILOT PT 2736MUKIM JELI TEPI SUNGAI,17600 JELI, KELANTAN</v>
      </c>
      <c r="F1662" s="12" t="s">
        <v>10516</v>
      </c>
      <c r="G1662" s="12" t="s">
        <v>10517</v>
      </c>
      <c r="H1662" s="12" t="s">
        <v>10518</v>
      </c>
      <c r="I1662" s="12" t="b">
        <f>ISNUMBER(VALUE(LEFT(Customer[[#This Row],[Address Line 3 (30 char)]],1)))</f>
        <v>0</v>
      </c>
      <c r="J1662" s="12" t="s">
        <v>1007</v>
      </c>
      <c r="K1662" s="12">
        <v>17600</v>
      </c>
      <c r="L1662" s="12" t="s">
        <v>35</v>
      </c>
      <c r="M1662" s="13" t="e">
        <v>#N/A</v>
      </c>
      <c r="N1662" s="14" t="e">
        <v>#N/A</v>
      </c>
      <c r="O1662" s="14" t="e">
        <v>#N/A</v>
      </c>
      <c r="P1662" s="14" t="e">
        <v>#N/A</v>
      </c>
      <c r="Q1662" s="19" t="s">
        <v>10519</v>
      </c>
      <c r="R1662" s="15" t="s">
        <v>10520</v>
      </c>
      <c r="S1662" s="15" t="s">
        <v>37</v>
      </c>
      <c r="T1662" s="16" t="s">
        <v>38</v>
      </c>
      <c r="U1662" s="11" t="str">
        <f>_xlfn.XLOOKUP(Customer[[#This Row],[Customer ID]],[1]!Address[ID],[1]!Address[Phone No.(2)])</f>
        <v/>
      </c>
      <c r="V1662" s="11" t="str">
        <f>_xlfn.XLOOKUP(Customer[[#This Row],[Customer ID]],[1]!Address[ID],[1]!Address[Type])</f>
        <v>PETROMART</v>
      </c>
      <c r="W1662" s="11" t="str">
        <f>_xlfn.XLOOKUP(Customer[[#This Row],[Customer ID]],[1]!Address[ID],[1]!Address[CT])</f>
        <v>30 DAYS</v>
      </c>
      <c r="X1662" s="11" t="s">
        <v>39</v>
      </c>
      <c r="Y1662" s="17" t="s">
        <v>40</v>
      </c>
      <c r="Z1662" s="17" t="e">
        <f>_xlfn.XLOOKUP(Customer[[#This Row],[NewType]],$AF$36:$AF$54,$AG$36:$AG$54)</f>
        <v>#N/A</v>
      </c>
      <c r="AA1662" s="17" t="s">
        <v>10521</v>
      </c>
      <c r="AB1662" s="11" t="str">
        <f>_xlfn.XLOOKUP(Customer[[#This Row],[Customer ID]],[1]!Address[ID],[1]!Address[Subtype])</f>
        <v>PETRONAS</v>
      </c>
      <c r="AC1662" s="18" t="str">
        <f>_xlfn.XLOOKUP(Customer[[#This Row],[Customer ID]],[1]!Address[ID],[1]!Address[Zone])</f>
        <v>EAST COAST</v>
      </c>
    </row>
    <row r="1663" spans="1:29" x14ac:dyDescent="0.3">
      <c r="A1663" s="10" t="s">
        <v>10522</v>
      </c>
      <c r="B1663" s="11" t="str">
        <f>_xlfn.XLOOKUP(Customer[[#This Row],[Customer ID]],[1]!Name[ID],[1]!Name[Description(1)])</f>
        <v>LAU &amp; TAN PHARMACY SDN BHD</v>
      </c>
      <c r="C1663" s="11" t="str">
        <f>_xlfn.XLOOKUP(Customer[[#This Row],[Customer ID]],[1]!Name[ID],[1]!Name[Description(2)])</f>
        <v>FARMASI LAUTAN</v>
      </c>
      <c r="D1663" s="11" t="str">
        <f>_xlfn.XLOOKUP(Customer[[#This Row],[Customer ID]],[1]!Address[ID],[1]!Address[PIC])</f>
        <v/>
      </c>
      <c r="E1663" s="11" t="str">
        <f>_xlfn.XLOOKUP(Customer[[#This Row],[Customer ID]],[1]!Address[ID],[1]!Address[Full Address])</f>
        <v>20, PUSAT KOMERSIAL CABANG TIGA,21000 KUALA TERENGGANU</v>
      </c>
      <c r="F1663" s="12" t="s">
        <v>10523</v>
      </c>
      <c r="G1663" s="12" t="s">
        <v>10524</v>
      </c>
      <c r="H1663" s="12" t="s">
        <v>5736</v>
      </c>
      <c r="I1663" s="12" t="b">
        <f>ISNUMBER(VALUE(LEFT(Customer[[#This Row],[Address Line 3 (30 char)]],1)))</f>
        <v>0</v>
      </c>
      <c r="J1663" s="12" t="s">
        <v>1056</v>
      </c>
      <c r="K1663" s="12">
        <v>21000</v>
      </c>
      <c r="L1663" s="12" t="s">
        <v>35</v>
      </c>
      <c r="M1663" s="13" t="e">
        <v>#N/A</v>
      </c>
      <c r="N1663" s="14" t="e">
        <v>#N/A</v>
      </c>
      <c r="O1663" s="14" t="e">
        <v>#N/A</v>
      </c>
      <c r="P1663" s="14" t="e">
        <v>#N/A</v>
      </c>
      <c r="Q1663" s="19" t="s">
        <v>10525</v>
      </c>
      <c r="R1663" s="15" t="s">
        <v>10526</v>
      </c>
      <c r="S1663" s="15" t="s">
        <v>5934</v>
      </c>
      <c r="T1663" s="16" t="s">
        <v>3477</v>
      </c>
      <c r="U1663" s="11" t="str">
        <f>_xlfn.XLOOKUP(Customer[[#This Row],[Customer ID]],[1]!Address[ID],[1]!Address[Phone No.(2)])</f>
        <v/>
      </c>
      <c r="V1663" s="11" t="str">
        <f>_xlfn.XLOOKUP(Customer[[#This Row],[Customer ID]],[1]!Address[ID],[1]!Address[Type])</f>
        <v>PH</v>
      </c>
      <c r="W1663" s="11" t="str">
        <f>_xlfn.XLOOKUP(Customer[[#This Row],[Customer ID]],[1]!Address[ID],[1]!Address[CT])</f>
        <v>CASH</v>
      </c>
      <c r="X1663" s="11"/>
      <c r="Y1663" s="17" t="s">
        <v>5955</v>
      </c>
      <c r="Z1663" s="17" t="e">
        <f>_xlfn.XLOOKUP(Customer[[#This Row],[NewType]],$AF$36:$AF$54,$AG$36:$AG$54)</f>
        <v>#N/A</v>
      </c>
      <c r="AA1663" s="17" t="s">
        <v>10527</v>
      </c>
      <c r="AB1663" s="11" t="str">
        <f>_xlfn.XLOOKUP(Customer[[#This Row],[Customer ID]],[1]!Address[ID],[1]!Address[Subtype])</f>
        <v>FAR.LAUTAN</v>
      </c>
      <c r="AC1663" s="18" t="str">
        <f>_xlfn.XLOOKUP(Customer[[#This Row],[Customer ID]],[1]!Address[ID],[1]!Address[Zone])</f>
        <v>EAST COAST</v>
      </c>
    </row>
    <row r="1664" spans="1:29" x14ac:dyDescent="0.3">
      <c r="A1664" s="10" t="s">
        <v>10528</v>
      </c>
      <c r="B1664" s="11" t="str">
        <f>_xlfn.XLOOKUP(Customer[[#This Row],[Customer ID]],[1]!Name[ID],[1]!Name[Description(1)])</f>
        <v>CAFE JONG BERLABOH</v>
      </c>
      <c r="C1664" s="11" t="str">
        <f>_xlfn.XLOOKUP(Customer[[#This Row],[Customer ID]],[1]!Name[ID],[1]!Name[Description(2)])</f>
        <v/>
      </c>
      <c r="D1664" s="11" t="str">
        <f>_xlfn.XLOOKUP(Customer[[#This Row],[Customer ID]],[1]!Address[ID],[1]!Address[PIC])</f>
        <v/>
      </c>
      <c r="E1664" s="11" t="str">
        <f>_xlfn.XLOOKUP(Customer[[#This Row],[Customer ID]],[1]!Address[ID],[1]!Address[Full Address])</f>
        <v>NO.1, KAWASAN REHAT &amp; RAWAT DENGKILARAH SELATAN,LEBUHRAYA UTARA-SELATAN,HUBUNGAN TENGAH 42700 DENGKIL,SELANGOR</v>
      </c>
      <c r="F1664" s="12" t="s">
        <v>10529</v>
      </c>
      <c r="G1664" s="12" t="s">
        <v>6033</v>
      </c>
      <c r="H1664" s="12" t="s">
        <v>10530</v>
      </c>
      <c r="I1664" s="12" t="b">
        <f>ISNUMBER(VALUE(LEFT(Customer[[#This Row],[Address Line 3 (30 char)]],1)))</f>
        <v>0</v>
      </c>
      <c r="J1664" s="12" t="s">
        <v>172</v>
      </c>
      <c r="K1664" s="12">
        <v>42700</v>
      </c>
      <c r="L1664" s="12" t="s">
        <v>35</v>
      </c>
      <c r="M1664" s="13" t="e">
        <v>#N/A</v>
      </c>
      <c r="N1664" s="14" t="e">
        <v>#N/A</v>
      </c>
      <c r="O1664" s="14" t="e">
        <v>#N/A</v>
      </c>
      <c r="P1664" s="14" t="e">
        <v>#N/A</v>
      </c>
      <c r="Q1664" s="14" t="e">
        <v>#N/A</v>
      </c>
      <c r="R1664" s="15" t="s">
        <v>10531</v>
      </c>
      <c r="S1664" s="15" t="s">
        <v>5925</v>
      </c>
      <c r="T1664" s="16" t="s">
        <v>3477</v>
      </c>
      <c r="U1664" s="11" t="str">
        <f>_xlfn.XLOOKUP(Customer[[#This Row],[Customer ID]],[1]!Address[ID],[1]!Address[Phone No.(2)])</f>
        <v/>
      </c>
      <c r="V1664" s="11" t="str">
        <f>_xlfn.XLOOKUP(Customer[[#This Row],[Customer ID]],[1]!Address[ID],[1]!Address[Type])</f>
        <v>CAFE</v>
      </c>
      <c r="W1664" s="11" t="str">
        <f>_xlfn.XLOOKUP(Customer[[#This Row],[Customer ID]],[1]!Address[ID],[1]!Address[CT])</f>
        <v>30 DAYS</v>
      </c>
      <c r="X1664" s="11"/>
      <c r="Y1664" s="17" t="s">
        <v>5926</v>
      </c>
      <c r="Z1664" s="17" t="e">
        <f>_xlfn.XLOOKUP(Customer[[#This Row],[NewType]],$AF$36:$AF$54,$AG$36:$AG$54)</f>
        <v>#N/A</v>
      </c>
      <c r="AA1664" s="17" t="s">
        <v>10532</v>
      </c>
      <c r="AB1664" s="11" t="str">
        <f>_xlfn.XLOOKUP(Customer[[#This Row],[Customer ID]],[1]!Address[ID],[1]!Address[Subtype])</f>
        <v>PLUS</v>
      </c>
      <c r="AC1664" s="18">
        <f>_xlfn.XLOOKUP(Customer[[#This Row],[Customer ID]],[1]!Address[ID],[1]!Address[Zone])</f>
        <v>0</v>
      </c>
    </row>
    <row r="1665" spans="1:30" x14ac:dyDescent="0.3">
      <c r="A1665" s="10" t="s">
        <v>10533</v>
      </c>
      <c r="B1665" s="11" t="str">
        <f>_xlfn.XLOOKUP(Customer[[#This Row],[Customer ID]],[1]!Name[ID],[1]!Name[Description(1)])</f>
        <v>FARMASI IDEAL KEMAMAN</v>
      </c>
      <c r="C1665" s="11" t="str">
        <f>_xlfn.XLOOKUP(Customer[[#This Row],[Customer ID]],[1]!Name[ID],[1]!Name[Description(2)])</f>
        <v>ZED PHARMA SDN. BHD.</v>
      </c>
      <c r="D1665" s="11" t="str">
        <f>_xlfn.XLOOKUP(Customer[[#This Row],[Customer ID]],[1]!Address[ID],[1]!Address[PIC])</f>
        <v/>
      </c>
      <c r="E1665" s="11" t="str">
        <f>_xlfn.XLOOKUP(Customer[[#This Row],[Customer ID]],[1]!Address[ID],[1]!Address[Full Address])</f>
        <v>C-G-03, COAST KEMAMAN 24000KEMAMAN, TERENGGANU</v>
      </c>
      <c r="F1665" s="12" t="s">
        <v>10534</v>
      </c>
      <c r="G1665" s="12" t="s">
        <v>10535</v>
      </c>
      <c r="H1665" s="12" t="s">
        <v>36</v>
      </c>
      <c r="I1665" s="12" t="b">
        <f>ISNUMBER(VALUE(LEFT(Customer[[#This Row],[Address Line 3 (30 char)]],1)))</f>
        <v>0</v>
      </c>
      <c r="J1665" s="12" t="s">
        <v>1056</v>
      </c>
      <c r="K1665" s="12">
        <v>24000</v>
      </c>
      <c r="L1665" s="12" t="s">
        <v>35</v>
      </c>
      <c r="M1665" s="13" t="e">
        <v>#N/A</v>
      </c>
      <c r="N1665" s="14" t="e">
        <v>#N/A</v>
      </c>
      <c r="O1665" s="14" t="e">
        <v>#N/A</v>
      </c>
      <c r="P1665" s="14" t="e">
        <v>#N/A</v>
      </c>
      <c r="Q1665" s="19" t="s">
        <v>10536</v>
      </c>
      <c r="R1665" s="15" t="s">
        <v>10537</v>
      </c>
      <c r="S1665" s="15" t="s">
        <v>88</v>
      </c>
      <c r="T1665" s="16" t="s">
        <v>89</v>
      </c>
      <c r="U1665" s="11" t="str">
        <f>_xlfn.XLOOKUP(Customer[[#This Row],[Customer ID]],[1]!Address[ID],[1]!Address[Phone No.(2)])</f>
        <v/>
      </c>
      <c r="V1665" s="11" t="str">
        <f>_xlfn.XLOOKUP(Customer[[#This Row],[Customer ID]],[1]!Address[ID],[1]!Address[Type])</f>
        <v>SOCMED</v>
      </c>
      <c r="W1665" s="11" t="str">
        <f>_xlfn.XLOOKUP(Customer[[#This Row],[Customer ID]],[1]!Address[ID],[1]!Address[CT])</f>
        <v/>
      </c>
      <c r="X1665" s="11"/>
      <c r="Y1665" s="17" t="s">
        <v>90</v>
      </c>
      <c r="Z1665" s="17" t="e">
        <f>_xlfn.XLOOKUP(Customer[[#This Row],[NewType]],$AF$36:$AF$54,$AG$36:$AG$54)</f>
        <v>#N/A</v>
      </c>
      <c r="AA1665" s="17" t="s">
        <v>10538</v>
      </c>
      <c r="AB1665" s="11" t="str">
        <f>_xlfn.XLOOKUP(Customer[[#This Row],[Customer ID]],[1]!Address[ID],[1]!Address[Subtype])</f>
        <v>ONLINE ROS</v>
      </c>
      <c r="AC1665" s="18" t="str">
        <f>_xlfn.XLOOKUP(Customer[[#This Row],[Customer ID]],[1]!Address[ID],[1]!Address[Zone])</f>
        <v>EAST COAST</v>
      </c>
    </row>
    <row r="1666" spans="1:30" x14ac:dyDescent="0.3">
      <c r="A1666" s="10" t="s">
        <v>10539</v>
      </c>
      <c r="B1666" s="11" t="str">
        <f>_xlfn.XLOOKUP(Customer[[#This Row],[Customer ID]],[1]!Name[ID],[1]!Name[Description(1)])</f>
        <v>MUTAMA ENTERPRISE SDN BHD</v>
      </c>
      <c r="C1666" s="11" t="str">
        <f>_xlfn.XLOOKUP(Customer[[#This Row],[Customer ID]],[1]!Name[ID],[1]!Name[Description(2)])</f>
        <v/>
      </c>
      <c r="D1666" s="11" t="str">
        <f>_xlfn.XLOOKUP(Customer[[#This Row],[Customer ID]],[1]!Address[ID],[1]!Address[PIC])</f>
        <v>EZURA</v>
      </c>
      <c r="E1666" s="11" t="str">
        <f>_xlfn.XLOOKUP(Customer[[#This Row],[Customer ID]],[1]!Address[ID],[1]!Address[Full Address])</f>
        <v>G-07, PV15 PLATINUM LAKE CONDOMINIUM,NO.2A, JALAN DANAU SAUJANA, 53300DANAU KOTA, KUALA LUMPUR</v>
      </c>
      <c r="F1666" s="12" t="s">
        <v>10540</v>
      </c>
      <c r="G1666" s="12" t="s">
        <v>10541</v>
      </c>
      <c r="H1666" s="12" t="s">
        <v>10542</v>
      </c>
      <c r="I1666" s="12" t="b">
        <f>ISNUMBER(VALUE(LEFT(Customer[[#This Row],[Address Line 3 (30 char)]],1)))</f>
        <v>0</v>
      </c>
      <c r="J1666" s="12" t="s">
        <v>34</v>
      </c>
      <c r="K1666" s="12">
        <v>53300</v>
      </c>
      <c r="L1666" s="12" t="s">
        <v>35</v>
      </c>
      <c r="M1666" s="13">
        <v>200901022740</v>
      </c>
      <c r="N1666" s="14" t="s">
        <v>10543</v>
      </c>
      <c r="O1666" s="14" t="s">
        <v>54</v>
      </c>
      <c r="P1666" s="14" t="s">
        <v>10544</v>
      </c>
      <c r="Q1666" s="14" t="s">
        <v>10545</v>
      </c>
      <c r="R1666" s="15" t="s">
        <v>10546</v>
      </c>
      <c r="S1666" s="15" t="s">
        <v>89</v>
      </c>
      <c r="T1666" s="16" t="s">
        <v>89</v>
      </c>
      <c r="U1666" s="11" t="str">
        <f>_xlfn.XLOOKUP(Customer[[#This Row],[Customer ID]],[1]!Address[ID],[1]!Address[Phone No.(2)])</f>
        <v/>
      </c>
      <c r="V1666" s="11" t="str">
        <f>_xlfn.XLOOKUP(Customer[[#This Row],[Customer ID]],[1]!Address[ID],[1]!Address[Type])</f>
        <v>SOCMED</v>
      </c>
      <c r="W1666" s="11" t="str">
        <f>_xlfn.XLOOKUP(Customer[[#This Row],[Customer ID]],[1]!Address[ID],[1]!Address[CT])</f>
        <v/>
      </c>
      <c r="X1666" s="11"/>
      <c r="Y1666" s="17" t="s">
        <v>90</v>
      </c>
      <c r="Z1666" s="17" t="e">
        <f>_xlfn.XLOOKUP(Customer[[#This Row],[NewType]],$AF$36:$AF$54,$AG$36:$AG$54)</f>
        <v>#N/A</v>
      </c>
      <c r="AA1666" s="17" t="s">
        <v>10547</v>
      </c>
      <c r="AB1666" s="11" t="str">
        <f>_xlfn.XLOOKUP(Customer[[#This Row],[Customer ID]],[1]!Address[ID],[1]!Address[Subtype])</f>
        <v>WHATSAPP</v>
      </c>
      <c r="AC1666" s="18" t="str">
        <f>_xlfn.XLOOKUP(Customer[[#This Row],[Customer ID]],[1]!Address[ID],[1]!Address[Zone])</f>
        <v>CENTRAL</v>
      </c>
    </row>
    <row r="1667" spans="1:30" x14ac:dyDescent="0.3">
      <c r="A1667" s="10" t="s">
        <v>10548</v>
      </c>
      <c r="B1667" s="11" t="str">
        <f>_xlfn.XLOOKUP(Customer[[#This Row],[Customer ID]],[1]!Name[ID],[1]!Name[Description(1)])</f>
        <v>TRENDCELL SDN BHD</v>
      </c>
      <c r="C1667" s="11" t="str">
        <f>_xlfn.XLOOKUP(Customer[[#This Row],[Customer ID]],[1]!Name[ID],[1]!Name[Description(2)])</f>
        <v>JAYA GROCER HOLDINGS SDN. BHD.</v>
      </c>
      <c r="D1667" s="11" t="str">
        <f>_xlfn.XLOOKUP(Customer[[#This Row],[Customer ID]],[1]!Address[ID],[1]!Address[PIC])</f>
        <v/>
      </c>
      <c r="E1667" s="11" t="str">
        <f>_xlfn.XLOOKUP(Customer[[#This Row],[Customer ID]],[1]!Address[ID],[1]!Address[Full Address])</f>
        <v>LOT 41730-A, BATU 14,JALAN PUCHONG UTAMA 2,47100 PUCHONG</v>
      </c>
      <c r="F1667" s="12" t="s">
        <v>10549</v>
      </c>
      <c r="G1667" s="12" t="s">
        <v>10550</v>
      </c>
      <c r="H1667" s="24" t="s">
        <v>9070</v>
      </c>
      <c r="I1667" s="24" t="b">
        <f>ISNUMBER(VALUE(LEFT(Customer[[#This Row],[Address Line 3 (30 char)]],1)))</f>
        <v>0</v>
      </c>
      <c r="J1667" s="12" t="s">
        <v>172</v>
      </c>
      <c r="K1667" s="12">
        <v>47100</v>
      </c>
      <c r="L1667" s="12" t="s">
        <v>35</v>
      </c>
      <c r="M1667" s="13" t="e">
        <v>#N/A</v>
      </c>
      <c r="N1667" s="14" t="e">
        <v>#N/A</v>
      </c>
      <c r="O1667" s="14" t="e">
        <v>#N/A</v>
      </c>
      <c r="P1667" s="14" t="e">
        <v>#N/A</v>
      </c>
      <c r="Q1667" s="19" t="s">
        <v>10551</v>
      </c>
      <c r="R1667" s="15" t="s">
        <v>10552</v>
      </c>
      <c r="S1667" s="15" t="s">
        <v>5917</v>
      </c>
      <c r="T1667" s="16" t="s">
        <v>3477</v>
      </c>
      <c r="U1667" s="11" t="str">
        <f>_xlfn.XLOOKUP(Customer[[#This Row],[Customer ID]],[1]!Address[ID],[1]!Address[Phone No.(2)])</f>
        <v/>
      </c>
      <c r="V1667" s="11" t="str">
        <f>_xlfn.XLOOKUP(Customer[[#This Row],[Customer ID]],[1]!Address[ID],[1]!Address[Type])</f>
        <v>HM</v>
      </c>
      <c r="W1667" s="11" t="str">
        <f>_xlfn.XLOOKUP(Customer[[#This Row],[Customer ID]],[1]!Address[ID],[1]!Address[CT])</f>
        <v>60 DAYS</v>
      </c>
      <c r="X1667" s="11"/>
      <c r="Y1667" s="17" t="s">
        <v>5968</v>
      </c>
      <c r="Z1667" s="17" t="e">
        <f>_xlfn.XLOOKUP(Customer[[#This Row],[NewType]],$AF$36:$AF$54,$AG$36:$AG$54)</f>
        <v>#N/A</v>
      </c>
      <c r="AA1667" s="17" t="s">
        <v>10553</v>
      </c>
      <c r="AB1667" s="11" t="str">
        <f>_xlfn.XLOOKUP(Customer[[#This Row],[Customer ID]],[1]!Address[ID],[1]!Address[Subtype])</f>
        <v>JAYA GROSER</v>
      </c>
      <c r="AC1667" s="18">
        <f>_xlfn.XLOOKUP(Customer[[#This Row],[Customer ID]],[1]!Address[ID],[1]!Address[Zone])</f>
        <v>0</v>
      </c>
    </row>
    <row r="1668" spans="1:30" x14ac:dyDescent="0.3">
      <c r="A1668" s="48" t="s">
        <v>10554</v>
      </c>
      <c r="B1668" s="49" t="str">
        <f>_xlfn.XLOOKUP(Customer[[#This Row],[Customer ID]],[1]!Name[ID],[1]!Name[Description(1)])</f>
        <v>NURNAS MEDICARE SDN BHD</v>
      </c>
      <c r="C1668" s="11" t="str">
        <f>_xlfn.XLOOKUP(Customer[[#This Row],[Customer ID]],[1]!Name[ID],[1]!Name[Description(2)])</f>
        <v/>
      </c>
      <c r="D1668" s="11" t="str">
        <f>_xlfn.XLOOKUP(Customer[[#This Row],[Customer ID]],[1]!Address[ID],[1]!Address[PIC])</f>
        <v/>
      </c>
      <c r="E1668" s="11" t="str">
        <f>_xlfn.XLOOKUP(Customer[[#This Row],[Customer ID]],[1]!Address[ID],[1]!Address[Full Address])</f>
        <v>18, JALAN ZIKRON E 7/E SEKSYEN 7.SHAH ALAM 40000 SELANGOR</v>
      </c>
      <c r="F1668" s="12" t="s">
        <v>10555</v>
      </c>
      <c r="G1668" s="12" t="s">
        <v>4503</v>
      </c>
      <c r="H1668" s="12" t="s">
        <v>4488</v>
      </c>
      <c r="I1668" s="12" t="b">
        <f>ISNUMBER(VALUE(LEFT(Customer[[#This Row],[Address Line 3 (30 char)]],1)))</f>
        <v>0</v>
      </c>
      <c r="J1668" s="12" t="s">
        <v>172</v>
      </c>
      <c r="K1668" s="12">
        <v>40000</v>
      </c>
      <c r="L1668" s="12" t="s">
        <v>35</v>
      </c>
      <c r="M1668" s="13">
        <v>202201042936</v>
      </c>
      <c r="N1668" s="14" t="s">
        <v>10556</v>
      </c>
      <c r="O1668" s="14" t="s">
        <v>54</v>
      </c>
      <c r="P1668" s="14" t="s">
        <v>10557</v>
      </c>
      <c r="Q1668" s="14" t="s">
        <v>10558</v>
      </c>
      <c r="R1668" s="15" t="s">
        <v>10559</v>
      </c>
      <c r="S1668" s="15" t="s">
        <v>3212</v>
      </c>
      <c r="T1668" s="16" t="s">
        <v>89</v>
      </c>
      <c r="U1668" s="11" t="str">
        <f>_xlfn.XLOOKUP(Customer[[#This Row],[Customer ID]],[1]!Address[ID],[1]!Address[Phone No.(2)])</f>
        <v/>
      </c>
      <c r="V1668" s="11" t="str">
        <f>_xlfn.XLOOKUP(Customer[[#This Row],[Customer ID]],[1]!Address[ID],[1]!Address[Type])</f>
        <v>SOCMED</v>
      </c>
      <c r="W1668" s="11" t="str">
        <f>_xlfn.XLOOKUP(Customer[[#This Row],[Customer ID]],[1]!Address[ID],[1]!Address[CT])</f>
        <v/>
      </c>
      <c r="X1668" s="11"/>
      <c r="Y1668" s="17" t="s">
        <v>90</v>
      </c>
      <c r="Z1668" s="17" t="e">
        <f>_xlfn.XLOOKUP(Customer[[#This Row],[NewType]],$AF$36:$AF$54,$AG$36:$AG$54)</f>
        <v>#N/A</v>
      </c>
      <c r="AA1668" s="17" t="s">
        <v>10560</v>
      </c>
      <c r="AB1668" s="11" t="str">
        <f>_xlfn.XLOOKUP(Customer[[#This Row],[Customer ID]],[1]!Address[ID],[1]!Address[Subtype])</f>
        <v>ONLINE HAJAR</v>
      </c>
      <c r="AC1668" s="18" t="str">
        <f>_xlfn.XLOOKUP(Customer[[#This Row],[Customer ID]],[1]!Address[ID],[1]!Address[Zone])</f>
        <v>EEEDH</v>
      </c>
    </row>
    <row r="1669" spans="1:30" x14ac:dyDescent="0.3">
      <c r="A1669" s="48" t="s">
        <v>10561</v>
      </c>
      <c r="B1669" s="49" t="str">
        <f>_xlfn.XLOOKUP(Customer[[#This Row],[Customer ID]],[1]!Name[ID],[1]!Name[Description(1)])</f>
        <v>CENTURY BRU COFFEE</v>
      </c>
      <c r="C1669" s="11" t="str">
        <f>_xlfn.XLOOKUP(Customer[[#This Row],[Customer ID]],[1]!Name[ID],[1]!Name[Description(2)])</f>
        <v>COFFEE PLATINUM ACADEMY</v>
      </c>
      <c r="D1669" s="11" t="str">
        <f>_xlfn.XLOOKUP(Customer[[#This Row],[Customer ID]],[1]!Address[ID],[1]!Address[PIC])</f>
        <v/>
      </c>
      <c r="E1669" s="11" t="str">
        <f>_xlfn.XLOOKUP(Customer[[#This Row],[Customer ID]],[1]!Address[ID],[1]!Address[Full Address])</f>
        <v>COFFEE PLATINUM ACADEMYG-01, MAIN LOBBY, MENARA KPJ,238 JLN TUN RAZAK, 50450 KL.</v>
      </c>
      <c r="F1669" s="12" t="s">
        <v>10562</v>
      </c>
      <c r="G1669" s="12" t="s">
        <v>10563</v>
      </c>
      <c r="H1669" s="24" t="s">
        <v>10564</v>
      </c>
      <c r="I1669" s="24" t="b">
        <f>ISNUMBER(VALUE(LEFT(Customer[[#This Row],[Address Line 3 (30 char)]],1)))</f>
        <v>1</v>
      </c>
      <c r="J1669" s="12" t="s">
        <v>34</v>
      </c>
      <c r="K1669" s="12">
        <v>50450</v>
      </c>
      <c r="L1669" s="12" t="s">
        <v>35</v>
      </c>
      <c r="M1669" s="13" t="e">
        <v>#N/A</v>
      </c>
      <c r="N1669" s="14" t="e">
        <v>#N/A</v>
      </c>
      <c r="O1669" s="14" t="e">
        <v>#N/A</v>
      </c>
      <c r="P1669" s="14" t="e">
        <v>#N/A</v>
      </c>
      <c r="Q1669" s="14" t="e">
        <v>#N/A</v>
      </c>
      <c r="R1669" s="15" t="s">
        <v>10565</v>
      </c>
      <c r="S1669" s="15" t="s">
        <v>3212</v>
      </c>
      <c r="T1669" s="16" t="s">
        <v>89</v>
      </c>
      <c r="U1669" s="11" t="str">
        <f>_xlfn.XLOOKUP(Customer[[#This Row],[Customer ID]],[1]!Address[ID],[1]!Address[Phone No.(2)])</f>
        <v/>
      </c>
      <c r="V1669" s="11" t="str">
        <f>_xlfn.XLOOKUP(Customer[[#This Row],[Customer ID]],[1]!Address[ID],[1]!Address[Type])</f>
        <v>SOCMED</v>
      </c>
      <c r="W1669" s="11" t="str">
        <f>_xlfn.XLOOKUP(Customer[[#This Row],[Customer ID]],[1]!Address[ID],[1]!Address[CT])</f>
        <v/>
      </c>
      <c r="X1669" s="11"/>
      <c r="Y1669" s="17" t="s">
        <v>90</v>
      </c>
      <c r="Z1669" s="17" t="e">
        <f>_xlfn.XLOOKUP(Customer[[#This Row],[NewType]],$AF$36:$AF$54,$AG$36:$AG$54)</f>
        <v>#N/A</v>
      </c>
      <c r="AA1669" s="17" t="s">
        <v>10566</v>
      </c>
      <c r="AB1669" s="11" t="str">
        <f>_xlfn.XLOOKUP(Customer[[#This Row],[Customer ID]],[1]!Address[ID],[1]!Address[Subtype])</f>
        <v>ONLINE HAJAR</v>
      </c>
      <c r="AC1669" s="18" t="str">
        <f>_xlfn.XLOOKUP(Customer[[#This Row],[Customer ID]],[1]!Address[ID],[1]!Address[Zone])</f>
        <v>CENTRAL</v>
      </c>
      <c r="AD1669" t="s">
        <v>10567</v>
      </c>
    </row>
    <row r="1670" spans="1:30" x14ac:dyDescent="0.3">
      <c r="A1670" s="48" t="s">
        <v>10568</v>
      </c>
      <c r="B1670" s="49" t="str">
        <f>_xlfn.XLOOKUP(Customer[[#This Row],[Customer ID]],[1]!Name[ID],[1]!Name[Description(1)])</f>
        <v>ANGGUN PERAWAN</v>
      </c>
      <c r="C1670" s="11" t="str">
        <f>_xlfn.XLOOKUP(Customer[[#This Row],[Customer ID]],[1]!Name[ID],[1]!Name[Description(2)])</f>
        <v/>
      </c>
      <c r="D1670" s="11" t="str">
        <f>_xlfn.XLOOKUP(Customer[[#This Row],[Customer ID]],[1]!Address[ID],[1]!Address[PIC])</f>
        <v/>
      </c>
      <c r="E1670" s="11" t="str">
        <f>_xlfn.XLOOKUP(Customer[[#This Row],[Customer ID]],[1]!Address[ID],[1]!Address[Full Address])</f>
        <v>NO 233, PUSAT PERNIAGAAN JEMPOL72120 BANDAR SERI JEMPOL,NEGERI SEMBILAN</v>
      </c>
      <c r="F1670" s="12" t="s">
        <v>10569</v>
      </c>
      <c r="G1670" s="12" t="s">
        <v>10570</v>
      </c>
      <c r="H1670" s="12" t="s">
        <v>10571</v>
      </c>
      <c r="I1670" s="12" t="b">
        <f>ISNUMBER(VALUE(LEFT(Customer[[#This Row],[Address Line 3 (30 char)]],1)))</f>
        <v>0</v>
      </c>
      <c r="J1670" s="12" t="s">
        <v>203</v>
      </c>
      <c r="K1670" s="12">
        <v>72120</v>
      </c>
      <c r="L1670" s="12" t="s">
        <v>35</v>
      </c>
      <c r="M1670" s="13" t="e">
        <v>#N/A</v>
      </c>
      <c r="N1670" s="14" t="e">
        <v>#N/A</v>
      </c>
      <c r="O1670" s="14" t="e">
        <v>#N/A</v>
      </c>
      <c r="P1670" s="14" t="e">
        <v>#N/A</v>
      </c>
      <c r="Q1670" s="14" t="e">
        <v>#N/A</v>
      </c>
      <c r="R1670" s="15" t="s">
        <v>10572</v>
      </c>
      <c r="S1670" s="15" t="s">
        <v>3212</v>
      </c>
      <c r="T1670" s="16" t="s">
        <v>89</v>
      </c>
      <c r="U1670" s="11" t="str">
        <f>_xlfn.XLOOKUP(Customer[[#This Row],[Customer ID]],[1]!Address[ID],[1]!Address[Phone No.(2)])</f>
        <v/>
      </c>
      <c r="V1670" s="11" t="str">
        <f>_xlfn.XLOOKUP(Customer[[#This Row],[Customer ID]],[1]!Address[ID],[1]!Address[Type])</f>
        <v>SOCMED</v>
      </c>
      <c r="W1670" s="11" t="str">
        <f>_xlfn.XLOOKUP(Customer[[#This Row],[Customer ID]],[1]!Address[ID],[1]!Address[CT])</f>
        <v/>
      </c>
      <c r="X1670" s="11"/>
      <c r="Y1670" s="17" t="s">
        <v>90</v>
      </c>
      <c r="Z1670" s="17" t="e">
        <f>_xlfn.XLOOKUP(Customer[[#This Row],[NewType]],$AF$36:$AF$54,$AG$36:$AG$54)</f>
        <v>#N/A</v>
      </c>
      <c r="AA1670" s="17" t="s">
        <v>10573</v>
      </c>
      <c r="AB1670" s="11" t="str">
        <f>_xlfn.XLOOKUP(Customer[[#This Row],[Customer ID]],[1]!Address[ID],[1]!Address[Subtype])</f>
        <v>ONLINE HAJAR</v>
      </c>
      <c r="AC1670" s="18" t="str">
        <f>_xlfn.XLOOKUP(Customer[[#This Row],[Customer ID]],[1]!Address[ID],[1]!Address[Zone])</f>
        <v>CENTRAL</v>
      </c>
    </row>
    <row r="1671" spans="1:30" x14ac:dyDescent="0.3">
      <c r="A1671" s="10" t="s">
        <v>10574</v>
      </c>
      <c r="B1671" s="11" t="str">
        <f>_xlfn.XLOOKUP(Customer[[#This Row],[Customer ID]],[1]!Name[ID],[1]!Name[Description(1)])</f>
        <v>FATIMAH ENTERPRISE</v>
      </c>
      <c r="C1671" s="11" t="str">
        <f>_xlfn.XLOOKUP(Customer[[#This Row],[Customer ID]],[1]!Name[ID],[1]!Name[Description(2)])</f>
        <v/>
      </c>
      <c r="D1671" s="11" t="str">
        <f>_xlfn.XLOOKUP(Customer[[#This Row],[Customer ID]],[1]!Address[ID],[1]!Address[PIC])</f>
        <v/>
      </c>
      <c r="E1671" s="11" t="str">
        <f>_xlfn.XLOOKUP(Customer[[#This Row],[Customer ID]],[1]!Address[ID],[1]!Address[Full Address])</f>
        <v>LOT 2637, KG PADANG LUAS22000 JERTEH, TERENGGANU</v>
      </c>
      <c r="F1671" s="12" t="s">
        <v>10575</v>
      </c>
      <c r="G1671" s="12" t="s">
        <v>10576</v>
      </c>
      <c r="H1671" s="12" t="s">
        <v>36</v>
      </c>
      <c r="I1671" s="12" t="b">
        <f>ISNUMBER(VALUE(LEFT(Customer[[#This Row],[Address Line 3 (30 char)]],1)))</f>
        <v>0</v>
      </c>
      <c r="J1671" s="12" t="s">
        <v>1056</v>
      </c>
      <c r="K1671" s="12">
        <v>22000</v>
      </c>
      <c r="L1671" s="12" t="s">
        <v>35</v>
      </c>
      <c r="M1671" s="13" t="e">
        <v>#N/A</v>
      </c>
      <c r="N1671" s="14" t="e">
        <v>#N/A</v>
      </c>
      <c r="O1671" s="14" t="e">
        <v>#N/A</v>
      </c>
      <c r="P1671" s="14" t="e">
        <v>#N/A</v>
      </c>
      <c r="Q1671" s="14" t="e">
        <v>#N/A</v>
      </c>
      <c r="R1671" s="15" t="s">
        <v>10577</v>
      </c>
      <c r="S1671" s="15" t="s">
        <v>88</v>
      </c>
      <c r="T1671" s="16" t="s">
        <v>89</v>
      </c>
      <c r="U1671" s="11" t="str">
        <f>_xlfn.XLOOKUP(Customer[[#This Row],[Customer ID]],[1]!Address[ID],[1]!Address[Phone No.(2)])</f>
        <v/>
      </c>
      <c r="V1671" s="11" t="str">
        <f>_xlfn.XLOOKUP(Customer[[#This Row],[Customer ID]],[1]!Address[ID],[1]!Address[Type])</f>
        <v>SOCMED</v>
      </c>
      <c r="W1671" s="11" t="str">
        <f>_xlfn.XLOOKUP(Customer[[#This Row],[Customer ID]],[1]!Address[ID],[1]!Address[CT])</f>
        <v/>
      </c>
      <c r="X1671" s="11"/>
      <c r="Y1671" s="17" t="s">
        <v>90</v>
      </c>
      <c r="Z1671" s="17" t="e">
        <f>_xlfn.XLOOKUP(Customer[[#This Row],[NewType]],$AF$36:$AF$54,$AG$36:$AG$54)</f>
        <v>#N/A</v>
      </c>
      <c r="AA1671" s="17" t="s">
        <v>10578</v>
      </c>
      <c r="AB1671" s="11" t="str">
        <f>_xlfn.XLOOKUP(Customer[[#This Row],[Customer ID]],[1]!Address[ID],[1]!Address[Subtype])</f>
        <v>ONLINE ROS</v>
      </c>
      <c r="AC1671" s="18" t="str">
        <f>_xlfn.XLOOKUP(Customer[[#This Row],[Customer ID]],[1]!Address[ID],[1]!Address[Zone])</f>
        <v>EAST COAST</v>
      </c>
    </row>
    <row r="1672" spans="1:30" x14ac:dyDescent="0.3">
      <c r="A1672" s="10" t="s">
        <v>10579</v>
      </c>
      <c r="B1672" s="11" t="str">
        <f>_xlfn.XLOOKUP(Customer[[#This Row],[Customer ID]],[1]!Name[ID],[1]!Name[Description(1)])</f>
        <v>STAR GROCER BANGI AVENUE</v>
      </c>
      <c r="C1672" s="11" t="str">
        <f>_xlfn.XLOOKUP(Customer[[#This Row],[Customer ID]],[1]!Name[ID],[1]!Name[Description(2)])</f>
        <v/>
      </c>
      <c r="D1672" s="11" t="str">
        <f>_xlfn.XLOOKUP(Customer[[#This Row],[Customer ID]],[1]!Address[ID],[1]!Address[PIC])</f>
        <v/>
      </c>
      <c r="E1672" s="11" t="str">
        <f>_xlfn.XLOOKUP(Customer[[#This Row],[Customer ID]],[1]!Address[ID],[1]!Address[Full Address])</f>
        <v>PT 78465 &amp; 78466(GROUND FLOOR),PERSIARAN BANGI AVENUE,BANGI AVENUE,43000 KAJANG,SELANGOR</v>
      </c>
      <c r="F1672" s="12" t="s">
        <v>10580</v>
      </c>
      <c r="G1672" s="12" t="s">
        <v>10581</v>
      </c>
      <c r="H1672" s="12" t="s">
        <v>10582</v>
      </c>
      <c r="I1672" s="12" t="b">
        <f>ISNUMBER(VALUE(LEFT(Customer[[#This Row],[Address Line 3 (30 char)]],1)))</f>
        <v>0</v>
      </c>
      <c r="J1672" s="12" t="s">
        <v>172</v>
      </c>
      <c r="K1672" s="12">
        <v>43000</v>
      </c>
      <c r="L1672" s="12" t="s">
        <v>35</v>
      </c>
      <c r="M1672" s="13" t="e">
        <v>#N/A</v>
      </c>
      <c r="N1672" s="14" t="e">
        <v>#N/A</v>
      </c>
      <c r="O1672" s="14" t="e">
        <v>#N/A</v>
      </c>
      <c r="P1672" s="14" t="e">
        <v>#N/A</v>
      </c>
      <c r="Q1672" s="14" t="s">
        <v>10583</v>
      </c>
      <c r="R1672" s="15" t="s">
        <v>10584</v>
      </c>
      <c r="S1672" s="15" t="s">
        <v>5925</v>
      </c>
      <c r="T1672" s="16" t="s">
        <v>3477</v>
      </c>
      <c r="U1672" s="11" t="str">
        <f>_xlfn.XLOOKUP(Customer[[#This Row],[Customer ID]],[1]!Address[ID],[1]!Address[Phone No.(2)])</f>
        <v/>
      </c>
      <c r="V1672" s="11" t="str">
        <f>_xlfn.XLOOKUP(Customer[[#This Row],[Customer ID]],[1]!Address[ID],[1]!Address[Type])</f>
        <v>HM</v>
      </c>
      <c r="W1672" s="11" t="str">
        <f>_xlfn.XLOOKUP(Customer[[#This Row],[Customer ID]],[1]!Address[ID],[1]!Address[CT])</f>
        <v>45 DAYS</v>
      </c>
      <c r="X1672" s="11"/>
      <c r="Y1672" s="17" t="s">
        <v>5968</v>
      </c>
      <c r="Z1672" s="17" t="e">
        <f>_xlfn.XLOOKUP(Customer[[#This Row],[NewType]],$AF$36:$AF$54,$AG$36:$AG$54)</f>
        <v>#N/A</v>
      </c>
      <c r="AA1672" s="17" t="s">
        <v>10585</v>
      </c>
      <c r="AB1672" s="11" t="str">
        <f>_xlfn.XLOOKUP(Customer[[#This Row],[Customer ID]],[1]!Address[ID],[1]!Address[Subtype])</f>
        <v>STAR GROCER</v>
      </c>
      <c r="AC1672" s="18" t="str">
        <f>_xlfn.XLOOKUP(Customer[[#This Row],[Customer ID]],[1]!Address[ID],[1]!Address[Zone])</f>
        <v>CENTRAL</v>
      </c>
    </row>
    <row r="1673" spans="1:30" x14ac:dyDescent="0.3">
      <c r="A1673" s="10" t="s">
        <v>10586</v>
      </c>
      <c r="B1673" s="11" t="str">
        <f>_xlfn.XLOOKUP(Customer[[#This Row],[Customer ID]],[1]!Name[ID],[1]!Name[Description(1)])</f>
        <v>NA MEDICARE SDN BHD</v>
      </c>
      <c r="C1673" s="11" t="str">
        <f>_xlfn.XLOOKUP(Customer[[#This Row],[Customer ID]],[1]!Name[ID],[1]!Name[Description(2)])</f>
        <v/>
      </c>
      <c r="D1673" s="11" t="str">
        <f>_xlfn.XLOOKUP(Customer[[#This Row],[Customer ID]],[1]!Address[ID],[1]!Address[PIC])</f>
        <v/>
      </c>
      <c r="E1673" s="11" t="str">
        <f>_xlfn.XLOOKUP(Customer[[#This Row],[Customer ID]],[1]!Address[ID],[1]!Address[Full Address])</f>
        <v>U.N.I FARMASIBG12, JALAN CHERAS PRIMA 3,TAMAN CHERAS PRIMA, 43000 KAJANG,SELANGOR</v>
      </c>
      <c r="F1673" s="12" t="s">
        <v>10587</v>
      </c>
      <c r="G1673" s="12" t="s">
        <v>10588</v>
      </c>
      <c r="H1673" s="12" t="s">
        <v>10589</v>
      </c>
      <c r="I1673" s="12" t="b">
        <f>ISNUMBER(VALUE(LEFT(Customer[[#This Row],[Address Line 3 (30 char)]],1)))</f>
        <v>0</v>
      </c>
      <c r="J1673" s="12" t="s">
        <v>172</v>
      </c>
      <c r="K1673" s="12">
        <v>43000</v>
      </c>
      <c r="L1673" s="12" t="s">
        <v>35</v>
      </c>
      <c r="M1673" s="13" t="e">
        <v>#N/A</v>
      </c>
      <c r="N1673" s="14" t="e">
        <v>#N/A</v>
      </c>
      <c r="O1673" s="14" t="e">
        <v>#N/A</v>
      </c>
      <c r="P1673" s="14" t="e">
        <v>#N/A</v>
      </c>
      <c r="Q1673" s="14" t="e">
        <v>#N/A</v>
      </c>
      <c r="R1673" s="15" t="s">
        <v>10590</v>
      </c>
      <c r="S1673" s="15" t="s">
        <v>88</v>
      </c>
      <c r="T1673" s="16" t="s">
        <v>89</v>
      </c>
      <c r="U1673" s="11" t="str">
        <f>_xlfn.XLOOKUP(Customer[[#This Row],[Customer ID]],[1]!Address[ID],[1]!Address[Phone No.(2)])</f>
        <v/>
      </c>
      <c r="V1673" s="11" t="str">
        <f>_xlfn.XLOOKUP(Customer[[#This Row],[Customer ID]],[1]!Address[ID],[1]!Address[Type])</f>
        <v>SOCMED</v>
      </c>
      <c r="W1673" s="11" t="str">
        <f>_xlfn.XLOOKUP(Customer[[#This Row],[Customer ID]],[1]!Address[ID],[1]!Address[CT])</f>
        <v/>
      </c>
      <c r="X1673" s="11"/>
      <c r="Y1673" s="17" t="s">
        <v>90</v>
      </c>
      <c r="Z1673" s="17" t="e">
        <f>_xlfn.XLOOKUP(Customer[[#This Row],[NewType]],$AF$36:$AF$54,$AG$36:$AG$54)</f>
        <v>#N/A</v>
      </c>
      <c r="AA1673" s="17" t="s">
        <v>10591</v>
      </c>
      <c r="AB1673" s="11" t="str">
        <f>_xlfn.XLOOKUP(Customer[[#This Row],[Customer ID]],[1]!Address[ID],[1]!Address[Subtype])</f>
        <v>ONLINE ROS</v>
      </c>
      <c r="AC1673" s="18" t="str">
        <f>_xlfn.XLOOKUP(Customer[[#This Row],[Customer ID]],[1]!Address[ID],[1]!Address[Zone])</f>
        <v xml:space="preserve">  ROSMAN BD ROSMAN</v>
      </c>
    </row>
    <row r="1674" spans="1:30" x14ac:dyDescent="0.3">
      <c r="A1674" s="10" t="s">
        <v>10592</v>
      </c>
      <c r="B1674" s="11" t="str">
        <f>_xlfn.XLOOKUP(Customer[[#This Row],[Customer ID]],[1]!Name[ID],[1]!Name[Description(1)])</f>
        <v>YIK MUN - PLUS</v>
      </c>
      <c r="C1674" s="11" t="str">
        <f>_xlfn.XLOOKUP(Customer[[#This Row],[Customer ID]],[1]!Name[ID],[1]!Name[Description(2)])</f>
        <v/>
      </c>
      <c r="D1674" s="11" t="str">
        <f>_xlfn.XLOOKUP(Customer[[#This Row],[Customer ID]],[1]!Address[ID],[1]!Address[PIC])</f>
        <v/>
      </c>
      <c r="E1674" s="11" t="str">
        <f>_xlfn.XLOOKUP(Customer[[#This Row],[Customer ID]],[1]!Address[ID],[1]!Address[Full Address])</f>
        <v>NO.8 R&amp;R RAWANG ARAH UTARA,50480 RAWANG, SELANGOR</v>
      </c>
      <c r="F1674" s="12" t="s">
        <v>10593</v>
      </c>
      <c r="G1674" s="12" t="s">
        <v>7979</v>
      </c>
      <c r="H1674" s="12" t="s">
        <v>36</v>
      </c>
      <c r="I1674" s="12" t="b">
        <f>ISNUMBER(VALUE(LEFT(Customer[[#This Row],[Address Line 3 (30 char)]],1)))</f>
        <v>0</v>
      </c>
      <c r="J1674" s="12" t="s">
        <v>172</v>
      </c>
      <c r="K1674" s="12">
        <v>50480</v>
      </c>
      <c r="L1674" s="12" t="s">
        <v>35</v>
      </c>
      <c r="M1674" s="13" t="e">
        <v>#N/A</v>
      </c>
      <c r="N1674" s="14" t="e">
        <v>#N/A</v>
      </c>
      <c r="O1674" s="14" t="e">
        <v>#N/A</v>
      </c>
      <c r="P1674" s="14" t="e">
        <v>#N/A</v>
      </c>
      <c r="Q1674" s="19" t="s">
        <v>10594</v>
      </c>
      <c r="R1674" s="15" t="s">
        <v>10595</v>
      </c>
      <c r="S1674" s="15" t="s">
        <v>5925</v>
      </c>
      <c r="T1674" s="16" t="s">
        <v>3477</v>
      </c>
      <c r="U1674" s="11" t="str">
        <f>_xlfn.XLOOKUP(Customer[[#This Row],[Customer ID]],[1]!Address[ID],[1]!Address[Phone No.(2)])</f>
        <v/>
      </c>
      <c r="V1674" s="11" t="str">
        <f>_xlfn.XLOOKUP(Customer[[#This Row],[Customer ID]],[1]!Address[ID],[1]!Address[Type])</f>
        <v>CAFE</v>
      </c>
      <c r="W1674" s="11" t="str">
        <f>_xlfn.XLOOKUP(Customer[[#This Row],[Customer ID]],[1]!Address[ID],[1]!Address[CT])</f>
        <v>30 DAYS</v>
      </c>
      <c r="X1674" s="11"/>
      <c r="Y1674" s="17" t="s">
        <v>5926</v>
      </c>
      <c r="Z1674" s="17" t="e">
        <f>_xlfn.XLOOKUP(Customer[[#This Row],[NewType]],$AF$36:$AF$54,$AG$36:$AG$54)</f>
        <v>#N/A</v>
      </c>
      <c r="AA1674" s="17" t="s">
        <v>10596</v>
      </c>
      <c r="AB1674" s="11" t="str">
        <f>_xlfn.XLOOKUP(Customer[[#This Row],[Customer ID]],[1]!Address[ID],[1]!Address[Subtype])</f>
        <v>PLUS</v>
      </c>
      <c r="AC1674" s="18">
        <f>_xlfn.XLOOKUP(Customer[[#This Row],[Customer ID]],[1]!Address[ID],[1]!Address[Zone])</f>
        <v>0</v>
      </c>
    </row>
    <row r="1675" spans="1:30" x14ac:dyDescent="0.3">
      <c r="A1675" s="10" t="s">
        <v>10597</v>
      </c>
      <c r="B1675" s="11" t="str">
        <f>_xlfn.XLOOKUP(Customer[[#This Row],[Customer ID]],[1]!Name[ID],[1]!Name[Description(1)])</f>
        <v>KUDAP-KUDAP - PLUS</v>
      </c>
      <c r="C1675" s="11" t="str">
        <f>_xlfn.XLOOKUP(Customer[[#This Row],[Customer ID]],[1]!Name[ID],[1]!Name[Description(2)])</f>
        <v/>
      </c>
      <c r="D1675" s="11" t="str">
        <f>_xlfn.XLOOKUP(Customer[[#This Row],[Customer ID]],[1]!Address[ID],[1]!Address[PIC])</f>
        <v/>
      </c>
      <c r="E1675" s="11" t="str">
        <f>_xlfn.XLOOKUP(Customer[[#This Row],[Customer ID]],[1]!Address[ID],[1]!Address[Full Address])</f>
        <v>NO.12 R&amp;R RAWANG UTARA,LENUHRAYA PLUS</v>
      </c>
      <c r="F1675" s="12" t="s">
        <v>10598</v>
      </c>
      <c r="G1675" s="12" t="s">
        <v>10599</v>
      </c>
      <c r="H1675" s="12" t="s">
        <v>36</v>
      </c>
      <c r="I1675" s="12" t="b">
        <f>ISNUMBER(VALUE(LEFT(Customer[[#This Row],[Address Line 3 (30 char)]],1)))</f>
        <v>0</v>
      </c>
      <c r="J1675" s="12" t="s">
        <v>172</v>
      </c>
      <c r="K1675" s="12">
        <v>50480</v>
      </c>
      <c r="L1675" s="12" t="s">
        <v>35</v>
      </c>
      <c r="M1675" s="13" t="e">
        <v>#N/A</v>
      </c>
      <c r="N1675" s="14" t="e">
        <v>#N/A</v>
      </c>
      <c r="O1675" s="14" t="e">
        <v>#N/A</v>
      </c>
      <c r="P1675" s="14" t="e">
        <v>#N/A</v>
      </c>
      <c r="Q1675" s="14" t="e">
        <v>#N/A</v>
      </c>
      <c r="R1675" s="15" t="s">
        <v>5986</v>
      </c>
      <c r="S1675" s="15" t="s">
        <v>5925</v>
      </c>
      <c r="T1675" s="16" t="s">
        <v>3477</v>
      </c>
      <c r="U1675" s="11" t="str">
        <f>_xlfn.XLOOKUP(Customer[[#This Row],[Customer ID]],[1]!Address[ID],[1]!Address[Phone No.(2)])</f>
        <v/>
      </c>
      <c r="V1675" s="11" t="str">
        <f>_xlfn.XLOOKUP(Customer[[#This Row],[Customer ID]],[1]!Address[ID],[1]!Address[Type])</f>
        <v>CAFE</v>
      </c>
      <c r="W1675" s="11" t="str">
        <f>_xlfn.XLOOKUP(Customer[[#This Row],[Customer ID]],[1]!Address[ID],[1]!Address[CT])</f>
        <v>30 DAYS</v>
      </c>
      <c r="X1675" s="11"/>
      <c r="Y1675" s="17" t="s">
        <v>5926</v>
      </c>
      <c r="Z1675" s="17" t="e">
        <f>_xlfn.XLOOKUP(Customer[[#This Row],[NewType]],$AF$36:$AF$54,$AG$36:$AG$54)</f>
        <v>#N/A</v>
      </c>
      <c r="AA1675" s="17" t="s">
        <v>10600</v>
      </c>
      <c r="AB1675" s="11" t="str">
        <f>_xlfn.XLOOKUP(Customer[[#This Row],[Customer ID]],[1]!Address[ID],[1]!Address[Subtype])</f>
        <v>PLUS</v>
      </c>
      <c r="AC1675" s="18">
        <f>_xlfn.XLOOKUP(Customer[[#This Row],[Customer ID]],[1]!Address[ID],[1]!Address[Zone])</f>
        <v>0</v>
      </c>
    </row>
    <row r="1676" spans="1:30" x14ac:dyDescent="0.3">
      <c r="A1676" s="10" t="s">
        <v>10601</v>
      </c>
      <c r="B1676" s="11" t="str">
        <f>_xlfn.XLOOKUP(Customer[[#This Row],[Customer ID]],[1]!Name[ID],[1]!Name[Description(1)])</f>
        <v>SENIMAN PAUH CAFE</v>
      </c>
      <c r="C1676" s="11" t="str">
        <f>_xlfn.XLOOKUP(Customer[[#This Row],[Customer ID]],[1]!Name[ID],[1]!Name[Description(2)])</f>
        <v/>
      </c>
      <c r="D1676" s="11" t="str">
        <f>_xlfn.XLOOKUP(Customer[[#This Row],[Customer ID]],[1]!Address[ID],[1]!Address[PIC])</f>
        <v/>
      </c>
      <c r="E1676" s="11" t="str">
        <f>_xlfn.XLOOKUP(Customer[[#This Row],[Customer ID]],[1]!Address[ID],[1]!Address[Full Address])</f>
        <v>GERAI NO 6,KAWASAN REHAT &amp; RAWAT RAWANGARAH UTARA,48000 RAWANG,SELANGOR</v>
      </c>
      <c r="F1676" s="12" t="s">
        <v>10602</v>
      </c>
      <c r="G1676" s="12" t="s">
        <v>10603</v>
      </c>
      <c r="H1676" s="12" t="s">
        <v>3230</v>
      </c>
      <c r="I1676" s="12" t="b">
        <f>ISNUMBER(VALUE(LEFT(Customer[[#This Row],[Address Line 3 (30 char)]],1)))</f>
        <v>0</v>
      </c>
      <c r="J1676" s="12" t="s">
        <v>172</v>
      </c>
      <c r="K1676" s="12">
        <v>48000</v>
      </c>
      <c r="L1676" s="12" t="s">
        <v>35</v>
      </c>
      <c r="M1676" s="13" t="e">
        <v>#N/A</v>
      </c>
      <c r="N1676" s="14" t="e">
        <v>#N/A</v>
      </c>
      <c r="O1676" s="14" t="e">
        <v>#N/A</v>
      </c>
      <c r="P1676" s="14" t="e">
        <v>#N/A</v>
      </c>
      <c r="Q1676" s="19" t="s">
        <v>10604</v>
      </c>
      <c r="R1676" s="15" t="s">
        <v>10605</v>
      </c>
      <c r="S1676" s="15" t="s">
        <v>5925</v>
      </c>
      <c r="T1676" s="16" t="s">
        <v>3477</v>
      </c>
      <c r="U1676" s="11" t="str">
        <f>_xlfn.XLOOKUP(Customer[[#This Row],[Customer ID]],[1]!Address[ID],[1]!Address[Phone No.(2)])</f>
        <v/>
      </c>
      <c r="V1676" s="11" t="str">
        <f>_xlfn.XLOOKUP(Customer[[#This Row],[Customer ID]],[1]!Address[ID],[1]!Address[Type])</f>
        <v>CAFE</v>
      </c>
      <c r="W1676" s="11" t="str">
        <f>_xlfn.XLOOKUP(Customer[[#This Row],[Customer ID]],[1]!Address[ID],[1]!Address[CT])</f>
        <v>30 DAYS</v>
      </c>
      <c r="X1676" s="11"/>
      <c r="Y1676" s="17" t="s">
        <v>5926</v>
      </c>
      <c r="Z1676" s="17" t="e">
        <f>_xlfn.XLOOKUP(Customer[[#This Row],[NewType]],$AF$36:$AF$54,$AG$36:$AG$54)</f>
        <v>#N/A</v>
      </c>
      <c r="AA1676" s="17" t="s">
        <v>10606</v>
      </c>
      <c r="AB1676" s="11" t="str">
        <f>_xlfn.XLOOKUP(Customer[[#This Row],[Customer ID]],[1]!Address[ID],[1]!Address[Subtype])</f>
        <v>PLUS</v>
      </c>
      <c r="AC1676" s="18">
        <f>_xlfn.XLOOKUP(Customer[[#This Row],[Customer ID]],[1]!Address[ID],[1]!Address[Zone])</f>
        <v>0</v>
      </c>
    </row>
    <row r="1677" spans="1:30" x14ac:dyDescent="0.3">
      <c r="A1677" s="10" t="s">
        <v>10607</v>
      </c>
      <c r="B1677" s="11" t="str">
        <f>_xlfn.XLOOKUP(Customer[[#This Row],[Customer ID]],[1]!Name[ID],[1]!Name[Description(1)])</f>
        <v>KIKIBA CONVENIENCE SHOP-PLUS</v>
      </c>
      <c r="C1677" s="11" t="str">
        <f>_xlfn.XLOOKUP(Customer[[#This Row],[Customer ID]],[1]!Name[ID],[1]!Name[Description(2)])</f>
        <v/>
      </c>
      <c r="D1677" s="11" t="str">
        <f>_xlfn.XLOOKUP(Customer[[#This Row],[Customer ID]],[1]!Address[ID],[1]!Address[PIC])</f>
        <v/>
      </c>
      <c r="E1677" s="11" t="str">
        <f>_xlfn.XLOOKUP(Customer[[#This Row],[Customer ID]],[1]!Address[ID],[1]!Address[Full Address])</f>
        <v>NO.1,RSA 205, LEBUHRAYA UTARA SELATAN,78000 ALOR GAJAH,MELAKA</v>
      </c>
      <c r="F1677" s="12" t="s">
        <v>10608</v>
      </c>
      <c r="G1677" s="12" t="s">
        <v>2573</v>
      </c>
      <c r="H1677" s="12" t="s">
        <v>1568</v>
      </c>
      <c r="I1677" s="12" t="b">
        <f>ISNUMBER(VALUE(LEFT(Customer[[#This Row],[Address Line 3 (30 char)]],1)))</f>
        <v>0</v>
      </c>
      <c r="J1677" s="12" t="s">
        <v>61</v>
      </c>
      <c r="K1677" s="12">
        <v>78000</v>
      </c>
      <c r="L1677" s="12" t="s">
        <v>35</v>
      </c>
      <c r="M1677" s="13" t="e">
        <v>#N/A</v>
      </c>
      <c r="N1677" s="14" t="e">
        <v>#N/A</v>
      </c>
      <c r="O1677" s="14" t="e">
        <v>#N/A</v>
      </c>
      <c r="P1677" s="14" t="e">
        <v>#N/A</v>
      </c>
      <c r="Q1677" s="14" t="e">
        <v>#N/A</v>
      </c>
      <c r="R1677" s="15" t="s">
        <v>10609</v>
      </c>
      <c r="S1677" s="15" t="s">
        <v>5925</v>
      </c>
      <c r="T1677" s="16" t="s">
        <v>3477</v>
      </c>
      <c r="U1677" s="11" t="str">
        <f>_xlfn.XLOOKUP(Customer[[#This Row],[Customer ID]],[1]!Address[ID],[1]!Address[Phone No.(2)])</f>
        <v/>
      </c>
      <c r="V1677" s="11" t="str">
        <f>_xlfn.XLOOKUP(Customer[[#This Row],[Customer ID]],[1]!Address[ID],[1]!Address[Type])</f>
        <v>CAFE</v>
      </c>
      <c r="W1677" s="11" t="str">
        <f>_xlfn.XLOOKUP(Customer[[#This Row],[Customer ID]],[1]!Address[ID],[1]!Address[CT])</f>
        <v>30 DAYS</v>
      </c>
      <c r="X1677" s="11"/>
      <c r="Y1677" s="17" t="s">
        <v>5926</v>
      </c>
      <c r="Z1677" s="17" t="e">
        <f>_xlfn.XLOOKUP(Customer[[#This Row],[NewType]],$AF$36:$AF$54,$AG$36:$AG$54)</f>
        <v>#N/A</v>
      </c>
      <c r="AA1677" s="17" t="s">
        <v>10610</v>
      </c>
      <c r="AB1677" s="11" t="str">
        <f>_xlfn.XLOOKUP(Customer[[#This Row],[Customer ID]],[1]!Address[ID],[1]!Address[Subtype])</f>
        <v>PLUS</v>
      </c>
      <c r="AC1677" s="18" t="str">
        <f>_xlfn.XLOOKUP(Customer[[#This Row],[Customer ID]],[1]!Address[ID],[1]!Address[Zone])</f>
        <v>SOUTH</v>
      </c>
    </row>
    <row r="1678" spans="1:30" x14ac:dyDescent="0.3">
      <c r="A1678" s="10" t="s">
        <v>10611</v>
      </c>
      <c r="B1678" s="11" t="str">
        <f>_xlfn.XLOOKUP(Customer[[#This Row],[Customer ID]],[1]!Name[ID],[1]!Name[Description(1)])</f>
        <v>BREAK CAFE - PLUS</v>
      </c>
      <c r="C1678" s="11" t="str">
        <f>_xlfn.XLOOKUP(Customer[[#This Row],[Customer ID]],[1]!Name[ID],[1]!Name[Description(2)])</f>
        <v/>
      </c>
      <c r="D1678" s="11" t="str">
        <f>_xlfn.XLOOKUP(Customer[[#This Row],[Customer ID]],[1]!Address[ID],[1]!Address[PIC])</f>
        <v/>
      </c>
      <c r="E1678" s="11" t="str">
        <f>_xlfn.XLOOKUP(Customer[[#This Row],[Customer ID]],[1]!Address[ID],[1]!Address[Full Address])</f>
        <v>NO.11U, HENTIAN SEBELAH BUKIT GANTANG34850 CHANGKAT JERING,PERAK</v>
      </c>
      <c r="F1678" s="12" t="s">
        <v>10612</v>
      </c>
      <c r="G1678" s="12" t="s">
        <v>8843</v>
      </c>
      <c r="H1678" s="12" t="s">
        <v>10613</v>
      </c>
      <c r="I1678" s="12" t="b">
        <f>ISNUMBER(VALUE(LEFT(Customer[[#This Row],[Address Line 3 (30 char)]],1)))</f>
        <v>0</v>
      </c>
      <c r="J1678" s="12" t="s">
        <v>242</v>
      </c>
      <c r="K1678" s="12">
        <v>34850</v>
      </c>
      <c r="L1678" s="12" t="s">
        <v>35</v>
      </c>
      <c r="M1678" s="13" t="e">
        <v>#N/A</v>
      </c>
      <c r="N1678" s="14" t="e">
        <v>#N/A</v>
      </c>
      <c r="O1678" s="14" t="e">
        <v>#N/A</v>
      </c>
      <c r="P1678" s="14" t="e">
        <v>#N/A</v>
      </c>
      <c r="Q1678" s="14" t="e">
        <v>#N/A</v>
      </c>
      <c r="R1678" s="15" t="s">
        <v>10614</v>
      </c>
      <c r="S1678" s="15" t="s">
        <v>5925</v>
      </c>
      <c r="T1678" s="16" t="s">
        <v>3477</v>
      </c>
      <c r="U1678" s="11" t="str">
        <f>_xlfn.XLOOKUP(Customer[[#This Row],[Customer ID]],[1]!Address[ID],[1]!Address[Phone No.(2)])</f>
        <v/>
      </c>
      <c r="V1678" s="11" t="str">
        <f>_xlfn.XLOOKUP(Customer[[#This Row],[Customer ID]],[1]!Address[ID],[1]!Address[Type])</f>
        <v>CAFE</v>
      </c>
      <c r="W1678" s="11" t="str">
        <f>_xlfn.XLOOKUP(Customer[[#This Row],[Customer ID]],[1]!Address[ID],[1]!Address[CT])</f>
        <v>30 DAYS</v>
      </c>
      <c r="X1678" s="11"/>
      <c r="Y1678" s="17" t="s">
        <v>5926</v>
      </c>
      <c r="Z1678" s="17" t="e">
        <f>_xlfn.XLOOKUP(Customer[[#This Row],[NewType]],$AF$36:$AF$54,$AG$36:$AG$54)</f>
        <v>#N/A</v>
      </c>
      <c r="AA1678" s="17" t="s">
        <v>10615</v>
      </c>
      <c r="AB1678" s="11" t="str">
        <f>_xlfn.XLOOKUP(Customer[[#This Row],[Customer ID]],[1]!Address[ID],[1]!Address[Subtype])</f>
        <v>PLUS</v>
      </c>
      <c r="AC1678" s="18" t="str">
        <f>_xlfn.XLOOKUP(Customer[[#This Row],[Customer ID]],[1]!Address[ID],[1]!Address[Zone])</f>
        <v>NORTH</v>
      </c>
    </row>
    <row r="1679" spans="1:30" x14ac:dyDescent="0.3">
      <c r="A1679" s="10" t="s">
        <v>10616</v>
      </c>
      <c r="B1679" s="11" t="str">
        <f>_xlfn.XLOOKUP(Customer[[#This Row],[Customer ID]],[1]!Name[ID],[1]!Name[Description(1)])</f>
        <v>KOPERASI HOSPITAL PUSRAWI KUALA LUMPUR</v>
      </c>
      <c r="C1679" s="11" t="str">
        <f>_xlfn.XLOOKUP(Customer[[#This Row],[Customer ID]],[1]!Name[ID],[1]!Name[Description(2)])</f>
        <v/>
      </c>
      <c r="D1679" s="11" t="str">
        <f>_xlfn.XLOOKUP(Customer[[#This Row],[Customer ID]],[1]!Address[ID],[1]!Address[PIC])</f>
        <v/>
      </c>
      <c r="E1679" s="11" t="str">
        <f>_xlfn.XLOOKUP(Customer[[#This Row],[Customer ID]],[1]!Address[ID],[1]!Address[Full Address])</f>
        <v>LOT 149 JALAN TUN RAZAK,50400 KUALA LUMPUR</v>
      </c>
      <c r="F1679" s="12" t="s">
        <v>10617</v>
      </c>
      <c r="G1679" s="12"/>
      <c r="H1679" s="12" t="s">
        <v>36</v>
      </c>
      <c r="I1679" s="12" t="b">
        <f>ISNUMBER(VALUE(LEFT(Customer[[#This Row],[Address Line 3 (30 char)]],1)))</f>
        <v>0</v>
      </c>
      <c r="J1679" s="12" t="s">
        <v>34</v>
      </c>
      <c r="K1679" s="12">
        <v>50400</v>
      </c>
      <c r="L1679" s="12" t="s">
        <v>35</v>
      </c>
      <c r="M1679" s="13" t="e">
        <v>#N/A</v>
      </c>
      <c r="N1679" s="14" t="e">
        <v>#N/A</v>
      </c>
      <c r="O1679" s="14" t="e">
        <v>#N/A</v>
      </c>
      <c r="P1679" s="14" t="e">
        <v>#N/A</v>
      </c>
      <c r="Q1679" s="19" t="s">
        <v>10618</v>
      </c>
      <c r="R1679" s="15" t="s">
        <v>10619</v>
      </c>
      <c r="S1679" s="15" t="s">
        <v>5934</v>
      </c>
      <c r="T1679" s="16" t="s">
        <v>3477</v>
      </c>
      <c r="U1679" s="11" t="str">
        <f>_xlfn.XLOOKUP(Customer[[#This Row],[Customer ID]],[1]!Address[ID],[1]!Address[Phone No.(2)])</f>
        <v/>
      </c>
      <c r="V1679" s="11" t="str">
        <f>_xlfn.XLOOKUP(Customer[[#This Row],[Customer ID]],[1]!Address[ID],[1]!Address[Type])</f>
        <v>KOPERASI</v>
      </c>
      <c r="W1679" s="11" t="str">
        <f>_xlfn.XLOOKUP(Customer[[#This Row],[Customer ID]],[1]!Address[ID],[1]!Address[CT])</f>
        <v>CASH</v>
      </c>
      <c r="X1679" s="11"/>
      <c r="Y1679" s="17" t="s">
        <v>6126</v>
      </c>
      <c r="Z1679" s="17" t="e">
        <f>_xlfn.XLOOKUP(Customer[[#This Row],[NewType]],$AF$36:$AF$54,$AG$36:$AG$54)</f>
        <v>#N/A</v>
      </c>
      <c r="AA1679" s="17" t="s">
        <v>10620</v>
      </c>
      <c r="AB1679" s="11" t="str">
        <f>_xlfn.XLOOKUP(Customer[[#This Row],[Customer ID]],[1]!Address[ID],[1]!Address[Subtype])</f>
        <v>KOP.PUSRAWI</v>
      </c>
      <c r="AC1679" s="18" t="str">
        <f>_xlfn.XLOOKUP(Customer[[#This Row],[Customer ID]],[1]!Address[ID],[1]!Address[Zone])</f>
        <v>CENTRAL</v>
      </c>
    </row>
    <row r="1680" spans="1:30" x14ac:dyDescent="0.3">
      <c r="A1680" s="48" t="s">
        <v>10621</v>
      </c>
      <c r="B1680" s="49" t="str">
        <f>_xlfn.XLOOKUP(Customer[[#This Row],[Customer ID]],[1]!Name[ID],[1]!Name[Description(1)])</f>
        <v>JM FROZEN M/M</v>
      </c>
      <c r="C1680" s="11" t="str">
        <f>_xlfn.XLOOKUP(Customer[[#This Row],[Customer ID]],[1]!Name[ID],[1]!Name[Description(2)])</f>
        <v/>
      </c>
      <c r="D1680" s="11" t="str">
        <f>_xlfn.XLOOKUP(Customer[[#This Row],[Customer ID]],[1]!Address[ID],[1]!Address[PIC])</f>
        <v/>
      </c>
      <c r="E1680" s="11" t="str">
        <f>_xlfn.XLOOKUP(Customer[[#This Row],[Customer ID]],[1]!Address[ID],[1]!Address[Full Address])</f>
        <v>80 JLN MAHSURI 9C,PUSAT BANDAR BARATTAMAN MAHSURI,06000 JITRA KEDAH</v>
      </c>
      <c r="F1680" s="12" t="s">
        <v>10622</v>
      </c>
      <c r="G1680" s="12" t="s">
        <v>10623</v>
      </c>
      <c r="H1680" s="12" t="s">
        <v>10624</v>
      </c>
      <c r="I1680" s="12" t="b">
        <f>ISNUMBER(VALUE(LEFT(Customer[[#This Row],[Address Line 3 (30 char)]],1)))</f>
        <v>0</v>
      </c>
      <c r="J1680" s="12" t="s">
        <v>79</v>
      </c>
      <c r="K1680" s="30" t="s">
        <v>5731</v>
      </c>
      <c r="L1680" s="12" t="s">
        <v>35</v>
      </c>
      <c r="M1680" s="13" t="e">
        <v>#N/A</v>
      </c>
      <c r="N1680" s="14" t="e">
        <v>#N/A</v>
      </c>
      <c r="O1680" s="14" t="e">
        <v>#N/A</v>
      </c>
      <c r="P1680" s="14" t="e">
        <v>#N/A</v>
      </c>
      <c r="Q1680" s="14" t="e">
        <v>#N/A</v>
      </c>
      <c r="R1680" s="15" t="s">
        <v>10625</v>
      </c>
      <c r="S1680" s="15" t="s">
        <v>3212</v>
      </c>
      <c r="T1680" s="16" t="s">
        <v>89</v>
      </c>
      <c r="U1680" s="11" t="str">
        <f>_xlfn.XLOOKUP(Customer[[#This Row],[Customer ID]],[1]!Address[ID],[1]!Address[Phone No.(2)])</f>
        <v/>
      </c>
      <c r="V1680" s="11" t="str">
        <f>_xlfn.XLOOKUP(Customer[[#This Row],[Customer ID]],[1]!Address[ID],[1]!Address[Type])</f>
        <v>SOCMED</v>
      </c>
      <c r="W1680" s="11" t="str">
        <f>_xlfn.XLOOKUP(Customer[[#This Row],[Customer ID]],[1]!Address[ID],[1]!Address[CT])</f>
        <v/>
      </c>
      <c r="X1680" s="11"/>
      <c r="Y1680" s="17" t="s">
        <v>90</v>
      </c>
      <c r="Z1680" s="17" t="e">
        <f>_xlfn.XLOOKUP(Customer[[#This Row],[NewType]],$AF$36:$AF$54,$AG$36:$AG$54)</f>
        <v>#N/A</v>
      </c>
      <c r="AA1680" s="17" t="s">
        <v>10626</v>
      </c>
      <c r="AB1680" s="11" t="str">
        <f>_xlfn.XLOOKUP(Customer[[#This Row],[Customer ID]],[1]!Address[ID],[1]!Address[Subtype])</f>
        <v>ONLINE HAJAR</v>
      </c>
      <c r="AC1680" s="18" t="str">
        <f>_xlfn.XLOOKUP(Customer[[#This Row],[Customer ID]],[1]!Address[ID],[1]!Address[Zone])</f>
        <v>NORTH</v>
      </c>
    </row>
    <row r="1681" spans="1:29" x14ac:dyDescent="0.3">
      <c r="A1681" s="10" t="s">
        <v>10627</v>
      </c>
      <c r="B1681" s="11" t="str">
        <f>_xlfn.XLOOKUP(Customer[[#This Row],[Customer ID]],[1]!Name[ID],[1]!Name[Description(1)])</f>
        <v>FARMASI AZAM ARA JAYA</v>
      </c>
      <c r="C1681" s="11" t="str">
        <f>_xlfn.XLOOKUP(Customer[[#This Row],[Customer ID]],[1]!Name[ID],[1]!Name[Description(2)])</f>
        <v/>
      </c>
      <c r="D1681" s="11" t="str">
        <f>_xlfn.XLOOKUP(Customer[[#This Row],[Customer ID]],[1]!Address[ID],[1]!Address[PIC])</f>
        <v/>
      </c>
      <c r="E1681" s="11" t="str">
        <f>_xlfn.XLOOKUP(Customer[[#This Row],[Customer ID]],[1]!Address[ID],[1]!Address[Full Address])</f>
        <v>NO 5, (GROUND FLOOR),JALAN ARA JAYA, TAMAN ARA JAYA13310 TASEK GELUGOR, PULAU PINANG.</v>
      </c>
      <c r="F1681" s="12" t="s">
        <v>10628</v>
      </c>
      <c r="G1681" s="12" t="s">
        <v>10629</v>
      </c>
      <c r="H1681" s="12" t="s">
        <v>8337</v>
      </c>
      <c r="I1681" s="12" t="b">
        <f>ISNUMBER(VALUE(LEFT(Customer[[#This Row],[Address Line 3 (30 char)]],1)))</f>
        <v>0</v>
      </c>
      <c r="J1681" s="12" t="s">
        <v>179</v>
      </c>
      <c r="K1681" s="12">
        <v>13310</v>
      </c>
      <c r="L1681" s="12" t="s">
        <v>35</v>
      </c>
      <c r="M1681" s="13" t="e">
        <v>#N/A</v>
      </c>
      <c r="N1681" s="14" t="e">
        <v>#N/A</v>
      </c>
      <c r="O1681" s="14" t="e">
        <v>#N/A</v>
      </c>
      <c r="P1681" s="14" t="e">
        <v>#N/A</v>
      </c>
      <c r="Q1681" s="14" t="e">
        <v>#N/A</v>
      </c>
      <c r="R1681" s="15" t="s">
        <v>10630</v>
      </c>
      <c r="S1681" s="15" t="s">
        <v>88</v>
      </c>
      <c r="T1681" s="16" t="s">
        <v>89</v>
      </c>
      <c r="U1681" s="11" t="str">
        <f>_xlfn.XLOOKUP(Customer[[#This Row],[Customer ID]],[1]!Address[ID],[1]!Address[Phone No.(2)])</f>
        <v/>
      </c>
      <c r="V1681" s="11" t="str">
        <f>_xlfn.XLOOKUP(Customer[[#This Row],[Customer ID]],[1]!Address[ID],[1]!Address[Type])</f>
        <v>SOCMED</v>
      </c>
      <c r="W1681" s="11" t="str">
        <f>_xlfn.XLOOKUP(Customer[[#This Row],[Customer ID]],[1]!Address[ID],[1]!Address[CT])</f>
        <v/>
      </c>
      <c r="X1681" s="11"/>
      <c r="Y1681" s="17" t="s">
        <v>90</v>
      </c>
      <c r="Z1681" s="17" t="e">
        <f>_xlfn.XLOOKUP(Customer[[#This Row],[NewType]],$AF$36:$AF$54,$AG$36:$AG$54)</f>
        <v>#N/A</v>
      </c>
      <c r="AA1681" s="17" t="s">
        <v>10631</v>
      </c>
      <c r="AB1681" s="11" t="str">
        <f>_xlfn.XLOOKUP(Customer[[#This Row],[Customer ID]],[1]!Address[ID],[1]!Address[Subtype])</f>
        <v>ONLINE ROS</v>
      </c>
      <c r="AC1681" s="18" t="str">
        <f>_xlfn.XLOOKUP(Customer[[#This Row],[Customer ID]],[1]!Address[ID],[1]!Address[Zone])</f>
        <v>NORTH</v>
      </c>
    </row>
    <row r="1682" spans="1:29" x14ac:dyDescent="0.3">
      <c r="A1682" s="27" t="s">
        <v>10632</v>
      </c>
      <c r="B1682" s="28" t="str">
        <f>_xlfn.XLOOKUP(Customer[[#This Row],[Customer ID]],[1]!Name[ID],[1]!Name[Description(1)])</f>
        <v>RENYI TRADING SDN BHD</v>
      </c>
      <c r="C1682" s="11" t="str">
        <f>_xlfn.XLOOKUP(Customer[[#This Row],[Customer ID]],[1]!Name[ID],[1]!Name[Description(2)])</f>
        <v>CALTEX GURUN UTARA</v>
      </c>
      <c r="D1682" s="11" t="str">
        <f>_xlfn.XLOOKUP(Customer[[#This Row],[Customer ID]],[1]!Address[ID],[1]!Address[PIC])</f>
        <v/>
      </c>
      <c r="E1682" s="11" t="str">
        <f>_xlfn.XLOOKUP(Customer[[#This Row],[Customer ID]],[1]!Address[ID],[1]!Address[Full Address])</f>
        <v>CALTEX GURUN UTARAGURUN REST AND SERVICEPLUS 2KM, NORTH OF GURUN INTERCHANGE08300 GURUN, KEDAH</v>
      </c>
      <c r="F1682" s="12" t="s">
        <v>10633</v>
      </c>
      <c r="G1682" s="12" t="s">
        <v>10634</v>
      </c>
      <c r="H1682" s="12" t="s">
        <v>10635</v>
      </c>
      <c r="I1682" s="12" t="b">
        <f>ISNUMBER(VALUE(LEFT(Customer[[#This Row],[Address Line 3 (30 char)]],1)))</f>
        <v>0</v>
      </c>
      <c r="J1682" s="12" t="s">
        <v>79</v>
      </c>
      <c r="K1682" s="30" t="s">
        <v>1336</v>
      </c>
      <c r="L1682" s="12" t="s">
        <v>35</v>
      </c>
      <c r="M1682" s="13" t="e">
        <v>#N/A</v>
      </c>
      <c r="N1682" s="14" t="e">
        <v>#N/A</v>
      </c>
      <c r="O1682" s="14" t="e">
        <v>#N/A</v>
      </c>
      <c r="P1682" s="14" t="e">
        <v>#N/A</v>
      </c>
      <c r="Q1682" s="14" t="e">
        <v>#N/A</v>
      </c>
      <c r="R1682" s="15" t="s">
        <v>10636</v>
      </c>
      <c r="S1682" s="15" t="s">
        <v>37</v>
      </c>
      <c r="T1682" s="16" t="s">
        <v>38</v>
      </c>
      <c r="U1682" s="11" t="str">
        <f>_xlfn.XLOOKUP(Customer[[#This Row],[Customer ID]],[1]!Address[ID],[1]!Address[Phone No.(2)])</f>
        <v/>
      </c>
      <c r="V1682" s="11" t="str">
        <f>_xlfn.XLOOKUP(Customer[[#This Row],[Customer ID]],[1]!Address[ID],[1]!Address[Type])</f>
        <v>PETROMART</v>
      </c>
      <c r="W1682" s="11" t="str">
        <f>_xlfn.XLOOKUP(Customer[[#This Row],[Customer ID]],[1]!Address[ID],[1]!Address[CT])</f>
        <v>30</v>
      </c>
      <c r="X1682" s="11" t="s">
        <v>39</v>
      </c>
      <c r="Y1682" s="17" t="s">
        <v>40</v>
      </c>
      <c r="Z1682" s="17" t="e">
        <f>_xlfn.XLOOKUP(Customer[[#This Row],[NewType]],$AF$36:$AF$54,$AG$36:$AG$54)</f>
        <v>#N/A</v>
      </c>
      <c r="AA1682" s="17" t="s">
        <v>10637</v>
      </c>
      <c r="AB1682" s="11" t="str">
        <f>_xlfn.XLOOKUP(Customer[[#This Row],[Customer ID]],[1]!Address[ID],[1]!Address[Subtype])</f>
        <v>CALTEX</v>
      </c>
      <c r="AC1682" s="18" t="str">
        <f>_xlfn.XLOOKUP(Customer[[#This Row],[Customer ID]],[1]!Address[ID],[1]!Address[Zone])</f>
        <v>NORTH</v>
      </c>
    </row>
    <row r="1683" spans="1:29" x14ac:dyDescent="0.3">
      <c r="A1683" s="27" t="s">
        <v>10638</v>
      </c>
      <c r="B1683" s="28" t="str">
        <f>_xlfn.XLOOKUP(Customer[[#This Row],[Customer ID]],[1]!Name[ID],[1]!Name[Description(1)])</f>
        <v>VILLAGE MART K4 - PLUS</v>
      </c>
      <c r="C1683" s="11" t="str">
        <f>_xlfn.XLOOKUP(Customer[[#This Row],[Customer ID]],[1]!Name[ID],[1]!Name[Description(2)])</f>
        <v>RIZYYAN MAJU ENTERPR</v>
      </c>
      <c r="D1683" s="11" t="str">
        <f>_xlfn.XLOOKUP(Customer[[#This Row],[Customer ID]],[1]!Address[ID],[1]!Address[PIC])</f>
        <v/>
      </c>
      <c r="E1683" s="11" t="str">
        <f>_xlfn.XLOOKUP(Customer[[#This Row],[Customer ID]],[1]!Address[ID],[1]!Address[Full Address])</f>
        <v>GRNNB-K4,R&amp;R GURUN ARAH UTARA,08300 GURUN KEDAH</v>
      </c>
      <c r="F1683" s="12" t="s">
        <v>10639</v>
      </c>
      <c r="G1683" s="12" t="s">
        <v>9640</v>
      </c>
      <c r="H1683" s="12" t="s">
        <v>36</v>
      </c>
      <c r="I1683" s="12" t="b">
        <f>ISNUMBER(VALUE(LEFT(Customer[[#This Row],[Address Line 3 (30 char)]],1)))</f>
        <v>0</v>
      </c>
      <c r="J1683" s="12" t="s">
        <v>79</v>
      </c>
      <c r="K1683" s="30" t="s">
        <v>1336</v>
      </c>
      <c r="L1683" s="12" t="s">
        <v>35</v>
      </c>
      <c r="M1683" s="13" t="e">
        <v>#N/A</v>
      </c>
      <c r="N1683" s="14" t="e">
        <v>#N/A</v>
      </c>
      <c r="O1683" s="14" t="e">
        <v>#N/A</v>
      </c>
      <c r="P1683" s="14" t="e">
        <v>#N/A</v>
      </c>
      <c r="Q1683" s="14" t="e">
        <v>#N/A</v>
      </c>
      <c r="R1683" s="15" t="s">
        <v>10640</v>
      </c>
      <c r="S1683" s="15" t="s">
        <v>5925</v>
      </c>
      <c r="T1683" s="16" t="s">
        <v>3477</v>
      </c>
      <c r="U1683" s="11" t="str">
        <f>_xlfn.XLOOKUP(Customer[[#This Row],[Customer ID]],[1]!Address[ID],[1]!Address[Phone No.(2)])</f>
        <v/>
      </c>
      <c r="V1683" s="11" t="str">
        <f>_xlfn.XLOOKUP(Customer[[#This Row],[Customer ID]],[1]!Address[ID],[1]!Address[Type])</f>
        <v>CAFE</v>
      </c>
      <c r="W1683" s="11" t="str">
        <f>_xlfn.XLOOKUP(Customer[[#This Row],[Customer ID]],[1]!Address[ID],[1]!Address[CT])</f>
        <v>30 DAYS</v>
      </c>
      <c r="X1683" s="11"/>
      <c r="Y1683" s="17" t="s">
        <v>5926</v>
      </c>
      <c r="Z1683" s="17" t="e">
        <f>_xlfn.XLOOKUP(Customer[[#This Row],[NewType]],$AF$36:$AF$54,$AG$36:$AG$54)</f>
        <v>#N/A</v>
      </c>
      <c r="AA1683" s="17" t="s">
        <v>10641</v>
      </c>
      <c r="AB1683" s="11" t="str">
        <f>_xlfn.XLOOKUP(Customer[[#This Row],[Customer ID]],[1]!Address[ID],[1]!Address[Subtype])</f>
        <v>PLUS</v>
      </c>
      <c r="AC1683" s="18" t="str">
        <f>_xlfn.XLOOKUP(Customer[[#This Row],[Customer ID]],[1]!Address[ID],[1]!Address[Zone])</f>
        <v>NORTH</v>
      </c>
    </row>
    <row r="1684" spans="1:29" x14ac:dyDescent="0.3">
      <c r="A1684" s="10" t="s">
        <v>10642</v>
      </c>
      <c r="B1684" s="11" t="str">
        <f>_xlfn.XLOOKUP(Customer[[#This Row],[Customer ID]],[1]!Name[ID],[1]!Name[Description(1)])</f>
        <v>EM BLAZE VENTURE</v>
      </c>
      <c r="C1684" s="11" t="str">
        <f>_xlfn.XLOOKUP(Customer[[#This Row],[Customer ID]],[1]!Name[ID],[1]!Name[Description(2)])</f>
        <v>PETRON GUNUNG SEMANGGOL</v>
      </c>
      <c r="D1684" s="11" t="str">
        <f>_xlfn.XLOOKUP(Customer[[#This Row],[Customer ID]],[1]!Address[ID],[1]!Address[PIC])</f>
        <v/>
      </c>
      <c r="E1684" s="11" t="str">
        <f>_xlfn.XLOOKUP(Customer[[#This Row],[Customer ID]],[1]!Address[ID],[1]!Address[Full Address])</f>
        <v>PETRON BUKIT MERAH PERAKKM 194.8 KAWASAN REHAT DAN RAWATLEBUHRAYA UTARA SELATAN    BUKIT MERAH34400 BAGAN SERAI, PERAK</v>
      </c>
      <c r="F1684" s="12" t="s">
        <v>10643</v>
      </c>
      <c r="G1684" s="12" t="s">
        <v>10644</v>
      </c>
      <c r="H1684" s="12" t="s">
        <v>10645</v>
      </c>
      <c r="I1684" s="12" t="b">
        <f>ISNUMBER(VALUE(LEFT(Customer[[#This Row],[Address Line 3 (30 char)]],1)))</f>
        <v>0</v>
      </c>
      <c r="J1684" s="12" t="s">
        <v>242</v>
      </c>
      <c r="K1684" s="12">
        <v>34400</v>
      </c>
      <c r="L1684" s="12" t="s">
        <v>35</v>
      </c>
      <c r="M1684" s="13" t="e">
        <v>#N/A</v>
      </c>
      <c r="N1684" s="14" t="e">
        <v>#N/A</v>
      </c>
      <c r="O1684" s="14" t="e">
        <v>#N/A</v>
      </c>
      <c r="P1684" s="14" t="e">
        <v>#N/A</v>
      </c>
      <c r="Q1684" s="14" t="e">
        <v>#N/A</v>
      </c>
      <c r="R1684" s="15" t="s">
        <v>10646</v>
      </c>
      <c r="S1684" s="15" t="s">
        <v>37</v>
      </c>
      <c r="T1684" s="16" t="s">
        <v>38</v>
      </c>
      <c r="U1684" s="11" t="str">
        <f>_xlfn.XLOOKUP(Customer[[#This Row],[Customer ID]],[1]!Address[ID],[1]!Address[Phone No.(2)])</f>
        <v/>
      </c>
      <c r="V1684" s="11" t="str">
        <f>_xlfn.XLOOKUP(Customer[[#This Row],[Customer ID]],[1]!Address[ID],[1]!Address[Type])</f>
        <v>PETROMART</v>
      </c>
      <c r="W1684" s="11" t="str">
        <f>_xlfn.XLOOKUP(Customer[[#This Row],[Customer ID]],[1]!Address[ID],[1]!Address[CT])</f>
        <v>30</v>
      </c>
      <c r="X1684" s="11" t="s">
        <v>39</v>
      </c>
      <c r="Y1684" s="17" t="s">
        <v>40</v>
      </c>
      <c r="Z1684" s="17" t="e">
        <f>_xlfn.XLOOKUP(Customer[[#This Row],[NewType]],$AF$36:$AF$54,$AG$36:$AG$54)</f>
        <v>#N/A</v>
      </c>
      <c r="AA1684" s="17" t="s">
        <v>10647</v>
      </c>
      <c r="AB1684" s="11" t="str">
        <f>_xlfn.XLOOKUP(Customer[[#This Row],[Customer ID]],[1]!Address[ID],[1]!Address[Subtype])</f>
        <v>PETRON</v>
      </c>
      <c r="AC1684" s="18" t="str">
        <f>_xlfn.XLOOKUP(Customer[[#This Row],[Customer ID]],[1]!Address[ID],[1]!Address[Zone])</f>
        <v>NORTH</v>
      </c>
    </row>
    <row r="1685" spans="1:29" x14ac:dyDescent="0.3">
      <c r="A1685" s="10" t="s">
        <v>10648</v>
      </c>
      <c r="B1685" s="11" t="str">
        <f>_xlfn.XLOOKUP(Customer[[#This Row],[Customer ID]],[1]!Name[ID],[1]!Name[Description(1)])</f>
        <v>MRC GLOBAL STATION</v>
      </c>
      <c r="C1685" s="11" t="str">
        <f>_xlfn.XLOOKUP(Customer[[#This Row],[Customer ID]],[1]!Name[ID],[1]!Name[Description(2)])</f>
        <v>PETRON BUKIT GANTANG LAY-BY</v>
      </c>
      <c r="D1685" s="11" t="str">
        <f>_xlfn.XLOOKUP(Customer[[#This Row],[Customer ID]],[1]!Address[ID],[1]!Address[PIC])</f>
        <v/>
      </c>
      <c r="E1685" s="11" t="str">
        <f>_xlfn.XLOOKUP(Customer[[#This Row],[Customer ID]],[1]!Address[ID],[1]!Address[Full Address])</f>
        <v>PETRON BUKIT GANTANG LAY-BYLOT PT 6856 HENTIAN BUKIT GANTANG(ARAH SKM225.1, LEBUHRAYA UTARA SELATAN34850 CHANGKAT JERING, PERAK</v>
      </c>
      <c r="F1685" s="12" t="s">
        <v>10649</v>
      </c>
      <c r="G1685" s="12" t="s">
        <v>10650</v>
      </c>
      <c r="H1685" s="12" t="s">
        <v>10651</v>
      </c>
      <c r="I1685" s="12" t="b">
        <f>ISNUMBER(VALUE(LEFT(Customer[[#This Row],[Address Line 3 (30 char)]],1)))</f>
        <v>0</v>
      </c>
      <c r="J1685" s="12" t="s">
        <v>242</v>
      </c>
      <c r="K1685" s="12">
        <v>34850</v>
      </c>
      <c r="L1685" s="12" t="s">
        <v>35</v>
      </c>
      <c r="M1685" s="13" t="e">
        <v>#N/A</v>
      </c>
      <c r="N1685" s="14" t="e">
        <v>#N/A</v>
      </c>
      <c r="O1685" s="14" t="e">
        <v>#N/A</v>
      </c>
      <c r="P1685" s="14" t="e">
        <v>#N/A</v>
      </c>
      <c r="Q1685" s="14" t="e">
        <v>#N/A</v>
      </c>
      <c r="R1685" s="15" t="s">
        <v>10652</v>
      </c>
      <c r="S1685" s="15" t="s">
        <v>37</v>
      </c>
      <c r="T1685" s="16" t="s">
        <v>38</v>
      </c>
      <c r="U1685" s="11" t="str">
        <f>_xlfn.XLOOKUP(Customer[[#This Row],[Customer ID]],[1]!Address[ID],[1]!Address[Phone No.(2)])</f>
        <v/>
      </c>
      <c r="V1685" s="11" t="str">
        <f>_xlfn.XLOOKUP(Customer[[#This Row],[Customer ID]],[1]!Address[ID],[1]!Address[Type])</f>
        <v>PETROMART</v>
      </c>
      <c r="W1685" s="11" t="str">
        <f>_xlfn.XLOOKUP(Customer[[#This Row],[Customer ID]],[1]!Address[ID],[1]!Address[CT])</f>
        <v>30</v>
      </c>
      <c r="X1685" s="11" t="s">
        <v>39</v>
      </c>
      <c r="Y1685" s="17" t="s">
        <v>40</v>
      </c>
      <c r="Z1685" s="17" t="e">
        <f>_xlfn.XLOOKUP(Customer[[#This Row],[NewType]],$AF$36:$AF$54,$AG$36:$AG$54)</f>
        <v>#N/A</v>
      </c>
      <c r="AA1685" s="17" t="s">
        <v>10653</v>
      </c>
      <c r="AB1685" s="11" t="str">
        <f>_xlfn.XLOOKUP(Customer[[#This Row],[Customer ID]],[1]!Address[ID],[1]!Address[Subtype])</f>
        <v>PETRON</v>
      </c>
      <c r="AC1685" s="18" t="str">
        <f>_xlfn.XLOOKUP(Customer[[#This Row],[Customer ID]],[1]!Address[ID],[1]!Address[Zone])</f>
        <v>NORTH</v>
      </c>
    </row>
    <row r="1686" spans="1:29" x14ac:dyDescent="0.3">
      <c r="A1686" s="27" t="s">
        <v>10654</v>
      </c>
      <c r="B1686" s="28" t="str">
        <f>_xlfn.XLOOKUP(Customer[[#This Row],[Customer ID]],[1]!Name[ID],[1]!Name[Description(1)])</f>
        <v>AN IRNA TERAJU ENTERPRISE -PLUS</v>
      </c>
      <c r="C1686" s="11" t="str">
        <f>_xlfn.XLOOKUP(Customer[[#This Row],[Customer ID]],[1]!Name[ID],[1]!Name[Description(2)])</f>
        <v>HASIL LAUT</v>
      </c>
      <c r="D1686" s="11" t="str">
        <f>_xlfn.XLOOKUP(Customer[[#This Row],[Customer ID]],[1]!Address[ID],[1]!Address[PIC])</f>
        <v/>
      </c>
      <c r="E1686" s="11" t="str">
        <f>_xlfn.XLOOKUP(Customer[[#This Row],[Customer ID]],[1]!Address[ID],[1]!Address[Full Address])</f>
        <v>NO.10 LORONG 24,TAMAN GURUN JAYA,08300 GURUN KEDAH</v>
      </c>
      <c r="F1686" s="12" t="s">
        <v>10655</v>
      </c>
      <c r="G1686" s="12" t="s">
        <v>10656</v>
      </c>
      <c r="H1686" s="24" t="s">
        <v>10657</v>
      </c>
      <c r="I1686" s="24" t="b">
        <f>ISNUMBER(VALUE(LEFT(Customer[[#This Row],[Address Line 3 (30 char)]],1)))</f>
        <v>0</v>
      </c>
      <c r="J1686" s="12" t="s">
        <v>79</v>
      </c>
      <c r="K1686" s="30" t="s">
        <v>1336</v>
      </c>
      <c r="L1686" s="12" t="s">
        <v>35</v>
      </c>
      <c r="M1686" s="13" t="e">
        <v>#N/A</v>
      </c>
      <c r="N1686" s="14" t="e">
        <v>#N/A</v>
      </c>
      <c r="O1686" s="14" t="e">
        <v>#N/A</v>
      </c>
      <c r="P1686" s="14" t="e">
        <v>#N/A</v>
      </c>
      <c r="Q1686" s="14" t="e">
        <v>#N/A</v>
      </c>
      <c r="R1686" s="15" t="s">
        <v>10658</v>
      </c>
      <c r="S1686" s="15" t="s">
        <v>5925</v>
      </c>
      <c r="T1686" s="16" t="s">
        <v>3477</v>
      </c>
      <c r="U1686" s="11" t="str">
        <f>_xlfn.XLOOKUP(Customer[[#This Row],[Customer ID]],[1]!Address[ID],[1]!Address[Phone No.(2)])</f>
        <v/>
      </c>
      <c r="V1686" s="11" t="str">
        <f>_xlfn.XLOOKUP(Customer[[#This Row],[Customer ID]],[1]!Address[ID],[1]!Address[Type])</f>
        <v>CAFE</v>
      </c>
      <c r="W1686" s="11" t="str">
        <f>_xlfn.XLOOKUP(Customer[[#This Row],[Customer ID]],[1]!Address[ID],[1]!Address[CT])</f>
        <v>30 DAYS</v>
      </c>
      <c r="X1686" s="11"/>
      <c r="Y1686" s="17" t="s">
        <v>5926</v>
      </c>
      <c r="Z1686" s="17" t="e">
        <f>_xlfn.XLOOKUP(Customer[[#This Row],[NewType]],$AF$36:$AF$54,$AG$36:$AG$54)</f>
        <v>#N/A</v>
      </c>
      <c r="AA1686" s="17" t="s">
        <v>10659</v>
      </c>
      <c r="AB1686" s="11" t="str">
        <f>_xlfn.XLOOKUP(Customer[[#This Row],[Customer ID]],[1]!Address[ID],[1]!Address[Subtype])</f>
        <v>PLUS</v>
      </c>
      <c r="AC1686" s="18" t="str">
        <f>_xlfn.XLOOKUP(Customer[[#This Row],[Customer ID]],[1]!Address[ID],[1]!Address[Zone])</f>
        <v>NORTH</v>
      </c>
    </row>
    <row r="1687" spans="1:29" x14ac:dyDescent="0.3">
      <c r="A1687" s="10" t="s">
        <v>10660</v>
      </c>
      <c r="B1687" s="11" t="str">
        <f>_xlfn.XLOOKUP(Customer[[#This Row],[Customer ID]],[1]!Name[ID],[1]!Name[Description(1)])</f>
        <v>HASIL LAUT - PLUS</v>
      </c>
      <c r="C1687" s="11" t="str">
        <f>_xlfn.XLOOKUP(Customer[[#This Row],[Customer ID]],[1]!Name[ID],[1]!Name[Description(2)])</f>
        <v/>
      </c>
      <c r="D1687" s="11" t="str">
        <f>_xlfn.XLOOKUP(Customer[[#This Row],[Customer ID]],[1]!Address[ID],[1]!Address[PIC])</f>
        <v/>
      </c>
      <c r="E1687" s="11" t="str">
        <f>_xlfn.XLOOKUP(Customer[[#This Row],[Customer ID]],[1]!Address[ID],[1]!Address[Full Address])</f>
        <v>KHEMAH NO 6,R&amp;R GURUN ARAH SELATAN</v>
      </c>
      <c r="F1687" s="12" t="s">
        <v>10661</v>
      </c>
      <c r="G1687" s="12" t="s">
        <v>10662</v>
      </c>
      <c r="H1687" s="12" t="s">
        <v>36</v>
      </c>
      <c r="I1687" s="12" t="b">
        <f>ISNUMBER(VALUE(LEFT(Customer[[#This Row],[Address Line 3 (30 char)]],1)))</f>
        <v>0</v>
      </c>
      <c r="J1687" s="12" t="s">
        <v>355</v>
      </c>
      <c r="K1687" s="20" t="s">
        <v>1336</v>
      </c>
      <c r="L1687" s="12" t="s">
        <v>35</v>
      </c>
      <c r="M1687" s="13" t="e">
        <v>#N/A</v>
      </c>
      <c r="N1687" s="14" t="e">
        <v>#N/A</v>
      </c>
      <c r="O1687" s="14" t="e">
        <v>#N/A</v>
      </c>
      <c r="P1687" s="14" t="e">
        <v>#N/A</v>
      </c>
      <c r="Q1687" s="14" t="e">
        <v>#N/A</v>
      </c>
      <c r="R1687" s="15" t="s">
        <v>10663</v>
      </c>
      <c r="S1687" s="15" t="s">
        <v>5925</v>
      </c>
      <c r="T1687" s="16" t="s">
        <v>3477</v>
      </c>
      <c r="U1687" s="11" t="str">
        <f>_xlfn.XLOOKUP(Customer[[#This Row],[Customer ID]],[1]!Address[ID],[1]!Address[Phone No.(2)])</f>
        <v/>
      </c>
      <c r="V1687" s="11" t="str">
        <f>_xlfn.XLOOKUP(Customer[[#This Row],[Customer ID]],[1]!Address[ID],[1]!Address[Type])</f>
        <v>CAFE</v>
      </c>
      <c r="W1687" s="11" t="str">
        <f>_xlfn.XLOOKUP(Customer[[#This Row],[Customer ID]],[1]!Address[ID],[1]!Address[CT])</f>
        <v>30 DAYS</v>
      </c>
      <c r="X1687" s="11"/>
      <c r="Y1687" s="17" t="s">
        <v>5926</v>
      </c>
      <c r="Z1687" s="17" t="e">
        <f>_xlfn.XLOOKUP(Customer[[#This Row],[NewType]],$AF$36:$AF$54,$AG$36:$AG$54)</f>
        <v>#N/A</v>
      </c>
      <c r="AA1687" s="17" t="s">
        <v>10664</v>
      </c>
      <c r="AB1687" s="11" t="str">
        <f>_xlfn.XLOOKUP(Customer[[#This Row],[Customer ID]],[1]!Address[ID],[1]!Address[Subtype])</f>
        <v>PLUS</v>
      </c>
      <c r="AC1687" s="18">
        <f>_xlfn.XLOOKUP(Customer[[#This Row],[Customer ID]],[1]!Address[ID],[1]!Address[Zone])</f>
        <v>0</v>
      </c>
    </row>
    <row r="1688" spans="1:29" x14ac:dyDescent="0.3">
      <c r="A1688" s="39" t="s">
        <v>10665</v>
      </c>
      <c r="B1688" s="40" t="str">
        <f>_xlfn.XLOOKUP(Customer[[#This Row],[Customer ID]],[1]!Name[ID],[1]!Name[Description(1)])</f>
        <v>KIOSK ORANG KITA - PLUS</v>
      </c>
      <c r="C1688" s="11" t="str">
        <f>_xlfn.XLOOKUP(Customer[[#This Row],[Customer ID]],[1]!Name[ID],[1]!Name[Description(2)])</f>
        <v/>
      </c>
      <c r="D1688" s="11" t="str">
        <f>_xlfn.XLOOKUP(Customer[[#This Row],[Customer ID]],[1]!Address[ID],[1]!Address[PIC])</f>
        <v/>
      </c>
      <c r="E1688" s="11" t="str">
        <f>_xlfn.XLOOKUP(Customer[[#This Row],[Customer ID]],[1]!Address[ID],[1]!Address[Full Address])</f>
        <v>R&amp;R TAPAH UTARA</v>
      </c>
      <c r="F1688" s="12" t="s">
        <v>10666</v>
      </c>
      <c r="G1688" s="12" t="s">
        <v>36</v>
      </c>
      <c r="H1688" s="12" t="s">
        <v>36</v>
      </c>
      <c r="I1688" s="12" t="b">
        <f>ISNUMBER(VALUE(LEFT(Customer[[#This Row],[Address Line 3 (30 char)]],1)))</f>
        <v>0</v>
      </c>
      <c r="J1688" s="12" t="s">
        <v>242</v>
      </c>
      <c r="K1688" s="12">
        <v>35000</v>
      </c>
      <c r="L1688" s="12" t="s">
        <v>35</v>
      </c>
      <c r="M1688" s="13" t="e">
        <v>#N/A</v>
      </c>
      <c r="N1688" s="14" t="e">
        <v>#N/A</v>
      </c>
      <c r="O1688" s="14" t="e">
        <v>#N/A</v>
      </c>
      <c r="P1688" s="14" t="e">
        <v>#N/A</v>
      </c>
      <c r="Q1688" s="14" t="e">
        <v>#N/A</v>
      </c>
      <c r="R1688" s="15" t="s">
        <v>10667</v>
      </c>
      <c r="S1688" s="15" t="s">
        <v>5925</v>
      </c>
      <c r="T1688" s="16" t="s">
        <v>3477</v>
      </c>
      <c r="U1688" s="11" t="str">
        <f>_xlfn.XLOOKUP(Customer[[#This Row],[Customer ID]],[1]!Address[ID],[1]!Address[Phone No.(2)])</f>
        <v/>
      </c>
      <c r="V1688" s="11" t="str">
        <f>_xlfn.XLOOKUP(Customer[[#This Row],[Customer ID]],[1]!Address[ID],[1]!Address[Type])</f>
        <v>CAFE</v>
      </c>
      <c r="W1688" s="11" t="str">
        <f>_xlfn.XLOOKUP(Customer[[#This Row],[Customer ID]],[1]!Address[ID],[1]!Address[CT])</f>
        <v>30 days</v>
      </c>
      <c r="X1688" s="11"/>
      <c r="Y1688" s="17" t="s">
        <v>5926</v>
      </c>
      <c r="Z1688" s="17" t="e">
        <f>_xlfn.XLOOKUP(Customer[[#This Row],[NewType]],$AF$36:$AF$54,$AG$36:$AG$54)</f>
        <v>#N/A</v>
      </c>
      <c r="AA1688" s="17" t="s">
        <v>10668</v>
      </c>
      <c r="AB1688" s="11" t="str">
        <f>_xlfn.XLOOKUP(Customer[[#This Row],[Customer ID]],[1]!Address[ID],[1]!Address[Subtype])</f>
        <v>PLUS</v>
      </c>
      <c r="AC1688" s="18" t="str">
        <f>_xlfn.XLOOKUP(Customer[[#This Row],[Customer ID]],[1]!Address[ID],[1]!Address[Zone])</f>
        <v>NORTH</v>
      </c>
    </row>
    <row r="1689" spans="1:29" x14ac:dyDescent="0.3">
      <c r="A1689" s="10" t="s">
        <v>10669</v>
      </c>
      <c r="B1689" s="11" t="str">
        <f>_xlfn.XLOOKUP(Customer[[#This Row],[Customer ID]],[1]!Name[ID],[1]!Name[Description(1)])</f>
        <v>TG DATARAN CAFE - PLUS</v>
      </c>
      <c r="C1689" s="11" t="str">
        <f>_xlfn.XLOOKUP(Customer[[#This Row],[Customer ID]],[1]!Name[ID],[1]!Name[Description(2)])</f>
        <v/>
      </c>
      <c r="D1689" s="11" t="str">
        <f>_xlfn.XLOOKUP(Customer[[#This Row],[Customer ID]],[1]!Address[ID],[1]!Address[PIC])</f>
        <v/>
      </c>
      <c r="E1689" s="11" t="str">
        <f>_xlfn.XLOOKUP(Customer[[#This Row],[Customer ID]],[1]!Address[ID],[1]!Address[Full Address])</f>
        <v>GERAI NO 10,HENTIAN LEBUHRAYA GUNUNG SEMANGGOL,ARAH SELATAN,34400 PERAK</v>
      </c>
      <c r="F1689" s="12" t="s">
        <v>10670</v>
      </c>
      <c r="G1689" s="12" t="s">
        <v>10671</v>
      </c>
      <c r="H1689" s="12" t="s">
        <v>5979</v>
      </c>
      <c r="I1689" s="12" t="b">
        <f>ISNUMBER(VALUE(LEFT(Customer[[#This Row],[Address Line 3 (30 char)]],1)))</f>
        <v>0</v>
      </c>
      <c r="J1689" s="12" t="s">
        <v>242</v>
      </c>
      <c r="K1689" s="12">
        <v>34400</v>
      </c>
      <c r="L1689" s="12" t="s">
        <v>35</v>
      </c>
      <c r="M1689" s="13" t="e">
        <v>#N/A</v>
      </c>
      <c r="N1689" s="14" t="e">
        <v>#N/A</v>
      </c>
      <c r="O1689" s="14" t="e">
        <v>#N/A</v>
      </c>
      <c r="P1689" s="14" t="e">
        <v>#N/A</v>
      </c>
      <c r="Q1689" s="14" t="e">
        <v>#N/A</v>
      </c>
      <c r="R1689" s="15" t="s">
        <v>10672</v>
      </c>
      <c r="S1689" s="15" t="s">
        <v>5925</v>
      </c>
      <c r="T1689" s="16" t="s">
        <v>3477</v>
      </c>
      <c r="U1689" s="11" t="str">
        <f>_xlfn.XLOOKUP(Customer[[#This Row],[Customer ID]],[1]!Address[ID],[1]!Address[Phone No.(2)])</f>
        <v/>
      </c>
      <c r="V1689" s="11" t="str">
        <f>_xlfn.XLOOKUP(Customer[[#This Row],[Customer ID]],[1]!Address[ID],[1]!Address[Type])</f>
        <v>CAFE</v>
      </c>
      <c r="W1689" s="11" t="str">
        <f>_xlfn.XLOOKUP(Customer[[#This Row],[Customer ID]],[1]!Address[ID],[1]!Address[CT])</f>
        <v>30 DAYS</v>
      </c>
      <c r="X1689" s="11"/>
      <c r="Y1689" s="17" t="s">
        <v>5926</v>
      </c>
      <c r="Z1689" s="17" t="e">
        <f>_xlfn.XLOOKUP(Customer[[#This Row],[NewType]],$AF$36:$AF$54,$AG$36:$AG$54)</f>
        <v>#N/A</v>
      </c>
      <c r="AA1689" s="17" t="s">
        <v>10673</v>
      </c>
      <c r="AB1689" s="11" t="str">
        <f>_xlfn.XLOOKUP(Customer[[#This Row],[Customer ID]],[1]!Address[ID],[1]!Address[Subtype])</f>
        <v>PLUS</v>
      </c>
      <c r="AC1689" s="18" t="str">
        <f>_xlfn.XLOOKUP(Customer[[#This Row],[Customer ID]],[1]!Address[ID],[1]!Address[Zone])</f>
        <v>NORTH</v>
      </c>
    </row>
    <row r="1690" spans="1:29" x14ac:dyDescent="0.3">
      <c r="A1690" s="10" t="s">
        <v>10674</v>
      </c>
      <c r="B1690" s="11" t="str">
        <f>_xlfn.XLOOKUP(Customer[[#This Row],[Customer ID]],[1]!Name[ID],[1]!Name[Description(1)])</f>
        <v>RIZANAH SERBANEKA - PLUS</v>
      </c>
      <c r="C1690" s="11" t="str">
        <f>_xlfn.XLOOKUP(Customer[[#This Row],[Customer ID]],[1]!Name[ID],[1]!Name[Description(2)])</f>
        <v>R&amp;R AJIL</v>
      </c>
      <c r="D1690" s="11" t="str">
        <f>_xlfn.XLOOKUP(Customer[[#This Row],[Customer ID]],[1]!Address[ID],[1]!Address[PIC])</f>
        <v/>
      </c>
      <c r="E1690" s="11" t="str">
        <f>_xlfn.XLOOKUP(Customer[[#This Row],[Customer ID]],[1]!Address[ID],[1]!Address[Full Address])</f>
        <v>NO.8 HENTIAN R&amp;R AJIL ARAH UTARA,21800 AJIL TERENGGANU</v>
      </c>
      <c r="F1690" s="12" t="s">
        <v>10675</v>
      </c>
      <c r="G1690" s="12" t="s">
        <v>10676</v>
      </c>
      <c r="H1690" s="12" t="s">
        <v>10677</v>
      </c>
      <c r="I1690" s="12" t="b">
        <f>ISNUMBER(VALUE(LEFT(Customer[[#This Row],[Address Line 3 (30 char)]],1)))</f>
        <v>0</v>
      </c>
      <c r="J1690" s="12" t="s">
        <v>1056</v>
      </c>
      <c r="K1690" s="12">
        <v>21800</v>
      </c>
      <c r="L1690" s="12" t="s">
        <v>35</v>
      </c>
      <c r="M1690" s="13" t="e">
        <v>#N/A</v>
      </c>
      <c r="N1690" s="14" t="e">
        <v>#N/A</v>
      </c>
      <c r="O1690" s="14" t="e">
        <v>#N/A</v>
      </c>
      <c r="P1690" s="14" t="e">
        <v>#N/A</v>
      </c>
      <c r="Q1690" s="14" t="e">
        <v>#N/A</v>
      </c>
      <c r="R1690" s="15" t="s">
        <v>10678</v>
      </c>
      <c r="S1690" s="15" t="s">
        <v>5925</v>
      </c>
      <c r="T1690" s="16" t="s">
        <v>3477</v>
      </c>
      <c r="U1690" s="11" t="str">
        <f>_xlfn.XLOOKUP(Customer[[#This Row],[Customer ID]],[1]!Address[ID],[1]!Address[Phone No.(2)])</f>
        <v/>
      </c>
      <c r="V1690" s="11" t="str">
        <f>_xlfn.XLOOKUP(Customer[[#This Row],[Customer ID]],[1]!Address[ID],[1]!Address[Type])</f>
        <v>CAFE</v>
      </c>
      <c r="W1690" s="11" t="str">
        <f>_xlfn.XLOOKUP(Customer[[#This Row],[Customer ID]],[1]!Address[ID],[1]!Address[CT])</f>
        <v>30 DAYS</v>
      </c>
      <c r="X1690" s="11"/>
      <c r="Y1690" s="17" t="s">
        <v>5926</v>
      </c>
      <c r="Z1690" s="17" t="e">
        <f>_xlfn.XLOOKUP(Customer[[#This Row],[NewType]],$AF$36:$AF$54,$AG$36:$AG$54)</f>
        <v>#N/A</v>
      </c>
      <c r="AA1690" s="17" t="s">
        <v>10679</v>
      </c>
      <c r="AB1690" s="11" t="str">
        <f>_xlfn.XLOOKUP(Customer[[#This Row],[Customer ID]],[1]!Address[ID],[1]!Address[Subtype])</f>
        <v>PLUS</v>
      </c>
      <c r="AC1690" s="18" t="str">
        <f>_xlfn.XLOOKUP(Customer[[#This Row],[Customer ID]],[1]!Address[ID],[1]!Address[Zone])</f>
        <v>EAST COAST</v>
      </c>
    </row>
    <row r="1691" spans="1:29" x14ac:dyDescent="0.3">
      <c r="A1691" s="10" t="s">
        <v>10680</v>
      </c>
      <c r="B1691" s="11" t="str">
        <f>_xlfn.XLOOKUP(Customer[[#This Row],[Customer ID]],[1]!Name[ID],[1]!Name[Description(1)])</f>
        <v>TWO CUP COFFEE</v>
      </c>
      <c r="C1691" s="11" t="str">
        <f>_xlfn.XLOOKUP(Customer[[#This Row],[Customer ID]],[1]!Name[ID],[1]!Name[Description(2)])</f>
        <v/>
      </c>
      <c r="D1691" s="11" t="str">
        <f>_xlfn.XLOOKUP(Customer[[#This Row],[Customer ID]],[1]!Address[ID],[1]!Address[PIC])</f>
        <v/>
      </c>
      <c r="E1691" s="11" t="str">
        <f>_xlfn.XLOOKUP(Customer[[#This Row],[Customer ID]],[1]!Address[ID],[1]!Address[Full Address])</f>
        <v>NO 4 HENTIANRNR GUNUNG SEMANGGOL ARAH SELATAN34400 SEMANGGOL, PERAK</v>
      </c>
      <c r="F1691" s="12" t="s">
        <v>10681</v>
      </c>
      <c r="G1691" s="12" t="s">
        <v>10682</v>
      </c>
      <c r="H1691" s="24" t="s">
        <v>10683</v>
      </c>
      <c r="I1691" s="24" t="b">
        <f>ISNUMBER(VALUE(LEFT(Customer[[#This Row],[Address Line 3 (30 char)]],1)))</f>
        <v>0</v>
      </c>
      <c r="J1691" s="12" t="s">
        <v>242</v>
      </c>
      <c r="K1691" s="12">
        <v>34400</v>
      </c>
      <c r="L1691" s="12" t="s">
        <v>35</v>
      </c>
      <c r="M1691" s="13" t="e">
        <v>#N/A</v>
      </c>
      <c r="N1691" s="14" t="e">
        <v>#N/A</v>
      </c>
      <c r="O1691" s="14" t="e">
        <v>#N/A</v>
      </c>
      <c r="P1691" s="14" t="e">
        <v>#N/A</v>
      </c>
      <c r="Q1691" s="14" t="e">
        <v>#N/A</v>
      </c>
      <c r="R1691" s="15" t="s">
        <v>10684</v>
      </c>
      <c r="S1691" s="15" t="s">
        <v>5925</v>
      </c>
      <c r="T1691" s="16" t="s">
        <v>3477</v>
      </c>
      <c r="U1691" s="11" t="str">
        <f>_xlfn.XLOOKUP(Customer[[#This Row],[Customer ID]],[1]!Address[ID],[1]!Address[Phone No.(2)])</f>
        <v/>
      </c>
      <c r="V1691" s="11" t="str">
        <f>_xlfn.XLOOKUP(Customer[[#This Row],[Customer ID]],[1]!Address[ID],[1]!Address[Type])</f>
        <v>CAFE</v>
      </c>
      <c r="W1691" s="11" t="str">
        <f>_xlfn.XLOOKUP(Customer[[#This Row],[Customer ID]],[1]!Address[ID],[1]!Address[CT])</f>
        <v>30 DAYS</v>
      </c>
      <c r="X1691" s="11"/>
      <c r="Y1691" s="17" t="s">
        <v>5926</v>
      </c>
      <c r="Z1691" s="17" t="e">
        <f>_xlfn.XLOOKUP(Customer[[#This Row],[NewType]],$AF$36:$AF$54,$AG$36:$AG$54)</f>
        <v>#N/A</v>
      </c>
      <c r="AA1691" s="17" t="s">
        <v>10685</v>
      </c>
      <c r="AB1691" s="11" t="str">
        <f>_xlfn.XLOOKUP(Customer[[#This Row],[Customer ID]],[1]!Address[ID],[1]!Address[Subtype])</f>
        <v>PLUS</v>
      </c>
      <c r="AC1691" s="18" t="str">
        <f>_xlfn.XLOOKUP(Customer[[#This Row],[Customer ID]],[1]!Address[ID],[1]!Address[Zone])</f>
        <v>NORTH</v>
      </c>
    </row>
    <row r="1692" spans="1:29" x14ac:dyDescent="0.3">
      <c r="A1692" s="10" t="s">
        <v>10686</v>
      </c>
      <c r="B1692" s="11" t="str">
        <f>_xlfn.XLOOKUP(Customer[[#This Row],[Customer ID]],[1]!Name[ID],[1]!Name[Description(1)])</f>
        <v>CRUNCHY BITES</v>
      </c>
      <c r="C1692" s="11" t="str">
        <f>_xlfn.XLOOKUP(Customer[[#This Row],[Customer ID]],[1]!Name[ID],[1]!Name[Description(2)])</f>
        <v/>
      </c>
      <c r="D1692" s="11" t="str">
        <f>_xlfn.XLOOKUP(Customer[[#This Row],[Customer ID]],[1]!Address[ID],[1]!Address[PIC])</f>
        <v/>
      </c>
      <c r="E1692" s="11" t="str">
        <f>_xlfn.XLOOKUP(Customer[[#This Row],[Customer ID]],[1]!Address[ID],[1]!Address[Full Address])</f>
        <v>NO.11, KAMPONG EHYA SEMANGGOL34400 SEMANGGOL PERAK</v>
      </c>
      <c r="F1692" s="12" t="s">
        <v>10687</v>
      </c>
      <c r="G1692" s="12" t="s">
        <v>10688</v>
      </c>
      <c r="H1692" s="12" t="s">
        <v>36</v>
      </c>
      <c r="I1692" s="12" t="b">
        <f>ISNUMBER(VALUE(LEFT(Customer[[#This Row],[Address Line 3 (30 char)]],1)))</f>
        <v>0</v>
      </c>
      <c r="J1692" s="12" t="s">
        <v>242</v>
      </c>
      <c r="K1692" s="12">
        <v>34400</v>
      </c>
      <c r="L1692" s="12" t="s">
        <v>35</v>
      </c>
      <c r="M1692" s="13" t="e">
        <v>#N/A</v>
      </c>
      <c r="N1692" s="14" t="e">
        <v>#N/A</v>
      </c>
      <c r="O1692" s="14" t="e">
        <v>#N/A</v>
      </c>
      <c r="P1692" s="14" t="e">
        <v>#N/A</v>
      </c>
      <c r="Q1692" s="14" t="e">
        <v>#N/A</v>
      </c>
      <c r="R1692" s="15" t="s">
        <v>10689</v>
      </c>
      <c r="S1692" s="15" t="s">
        <v>5925</v>
      </c>
      <c r="T1692" s="16" t="s">
        <v>3477</v>
      </c>
      <c r="U1692" s="11" t="str">
        <f>_xlfn.XLOOKUP(Customer[[#This Row],[Customer ID]],[1]!Address[ID],[1]!Address[Phone No.(2)])</f>
        <v/>
      </c>
      <c r="V1692" s="11" t="str">
        <f>_xlfn.XLOOKUP(Customer[[#This Row],[Customer ID]],[1]!Address[ID],[1]!Address[Type])</f>
        <v>CAFE</v>
      </c>
      <c r="W1692" s="11" t="str">
        <f>_xlfn.XLOOKUP(Customer[[#This Row],[Customer ID]],[1]!Address[ID],[1]!Address[CT])</f>
        <v>30 DAYS</v>
      </c>
      <c r="X1692" s="11"/>
      <c r="Y1692" s="17" t="s">
        <v>5926</v>
      </c>
      <c r="Z1692" s="17" t="e">
        <f>_xlfn.XLOOKUP(Customer[[#This Row],[NewType]],$AF$36:$AF$54,$AG$36:$AG$54)</f>
        <v>#N/A</v>
      </c>
      <c r="AA1692" s="17" t="s">
        <v>10690</v>
      </c>
      <c r="AB1692" s="11" t="str">
        <f>_xlfn.XLOOKUP(Customer[[#This Row],[Customer ID]],[1]!Address[ID],[1]!Address[Subtype])</f>
        <v>PLUS</v>
      </c>
      <c r="AC1692" s="18" t="str">
        <f>_xlfn.XLOOKUP(Customer[[#This Row],[Customer ID]],[1]!Address[ID],[1]!Address[Zone])</f>
        <v>NORTH</v>
      </c>
    </row>
    <row r="1693" spans="1:29" x14ac:dyDescent="0.3">
      <c r="A1693" s="10" t="s">
        <v>10691</v>
      </c>
      <c r="B1693" s="11" t="str">
        <f>_xlfn.XLOOKUP(Customer[[#This Row],[Customer ID]],[1]!Name[ID],[1]!Name[Description(1)])</f>
        <v>ZAHRATUL JANNAH ENTERPRISE</v>
      </c>
      <c r="C1693" s="11" t="str">
        <f>_xlfn.XLOOKUP(Customer[[#This Row],[Customer ID]],[1]!Name[ID],[1]!Name[Description(2)])</f>
        <v/>
      </c>
      <c r="D1693" s="11" t="str">
        <f>_xlfn.XLOOKUP(Customer[[#This Row],[Customer ID]],[1]!Address[ID],[1]!Address[PIC])</f>
        <v/>
      </c>
      <c r="E1693" s="11" t="str">
        <f>_xlfn.XLOOKUP(Customer[[#This Row],[Customer ID]],[1]!Address[ID],[1]!Address[Full Address])</f>
        <v>NO.26,KAWASAN REHAT &amp; RAWAT SUNGAI PERAKARAH SELATAN</v>
      </c>
      <c r="F1693" s="12" t="s">
        <v>10692</v>
      </c>
      <c r="G1693" s="12" t="s">
        <v>10693</v>
      </c>
      <c r="H1693" s="12" t="s">
        <v>5979</v>
      </c>
      <c r="I1693" s="12" t="b">
        <f>ISNUMBER(VALUE(LEFT(Customer[[#This Row],[Address Line 3 (30 char)]],1)))</f>
        <v>0</v>
      </c>
      <c r="J1693" s="12" t="s">
        <v>242</v>
      </c>
      <c r="K1693" s="12">
        <v>33000</v>
      </c>
      <c r="L1693" s="12" t="s">
        <v>35</v>
      </c>
      <c r="M1693" s="13" t="e">
        <v>#N/A</v>
      </c>
      <c r="N1693" s="14" t="e">
        <v>#N/A</v>
      </c>
      <c r="O1693" s="14" t="e">
        <v>#N/A</v>
      </c>
      <c r="P1693" s="14" t="e">
        <v>#N/A</v>
      </c>
      <c r="Q1693" s="14" t="e">
        <v>#N/A</v>
      </c>
      <c r="R1693" s="15" t="s">
        <v>10694</v>
      </c>
      <c r="S1693" s="15" t="s">
        <v>5925</v>
      </c>
      <c r="T1693" s="16" t="s">
        <v>3477</v>
      </c>
      <c r="U1693" s="11" t="str">
        <f>_xlfn.XLOOKUP(Customer[[#This Row],[Customer ID]],[1]!Address[ID],[1]!Address[Phone No.(2)])</f>
        <v/>
      </c>
      <c r="V1693" s="11" t="str">
        <f>_xlfn.XLOOKUP(Customer[[#This Row],[Customer ID]],[1]!Address[ID],[1]!Address[Type])</f>
        <v>CAFE</v>
      </c>
      <c r="W1693" s="11" t="str">
        <f>_xlfn.XLOOKUP(Customer[[#This Row],[Customer ID]],[1]!Address[ID],[1]!Address[CT])</f>
        <v>30 DAYS</v>
      </c>
      <c r="X1693" s="11"/>
      <c r="Y1693" s="17" t="s">
        <v>5926</v>
      </c>
      <c r="Z1693" s="17" t="e">
        <f>_xlfn.XLOOKUP(Customer[[#This Row],[NewType]],$AF$36:$AF$54,$AG$36:$AG$54)</f>
        <v>#N/A</v>
      </c>
      <c r="AA1693" s="17" t="s">
        <v>10695</v>
      </c>
      <c r="AB1693" s="11" t="str">
        <f>_xlfn.XLOOKUP(Customer[[#This Row],[Customer ID]],[1]!Address[ID],[1]!Address[Subtype])</f>
        <v>PLUS</v>
      </c>
      <c r="AC1693" s="18">
        <f>_xlfn.XLOOKUP(Customer[[#This Row],[Customer ID]],[1]!Address[ID],[1]!Address[Zone])</f>
        <v>0</v>
      </c>
    </row>
    <row r="1694" spans="1:29" x14ac:dyDescent="0.3">
      <c r="A1694" s="10" t="s">
        <v>10696</v>
      </c>
      <c r="B1694" s="11" t="str">
        <f>_xlfn.XLOOKUP(Customer[[#This Row],[Customer ID]],[1]!Name[ID],[1]!Name[Description(1)])</f>
        <v>ADIM RIMBA CAFE</v>
      </c>
      <c r="C1694" s="11" t="str">
        <f>_xlfn.XLOOKUP(Customer[[#This Row],[Customer ID]],[1]!Name[ID],[1]!Name[Description(2)])</f>
        <v/>
      </c>
      <c r="D1694" s="11" t="str">
        <f>_xlfn.XLOOKUP(Customer[[#This Row],[Customer ID]],[1]!Address[ID],[1]!Address[PIC])</f>
        <v/>
      </c>
      <c r="E1694" s="11" t="str">
        <f>_xlfn.XLOOKUP(Customer[[#This Row],[Customer ID]],[1]!Address[ID],[1]!Address[Full Address])</f>
        <v>NO.6, R&amp;R SG PERAK SELATAN</v>
      </c>
      <c r="F1694" s="12" t="s">
        <v>10697</v>
      </c>
      <c r="G1694" s="12" t="s">
        <v>36</v>
      </c>
      <c r="H1694" s="12" t="s">
        <v>36</v>
      </c>
      <c r="I1694" s="12" t="b">
        <f>ISNUMBER(VALUE(LEFT(Customer[[#This Row],[Address Line 3 (30 char)]],1)))</f>
        <v>0</v>
      </c>
      <c r="J1694" s="12" t="s">
        <v>242</v>
      </c>
      <c r="K1694" s="12">
        <v>33000</v>
      </c>
      <c r="L1694" s="12" t="s">
        <v>35</v>
      </c>
      <c r="M1694" s="13" t="e">
        <v>#N/A</v>
      </c>
      <c r="N1694" s="14" t="e">
        <v>#N/A</v>
      </c>
      <c r="O1694" s="14" t="e">
        <v>#N/A</v>
      </c>
      <c r="P1694" s="14" t="e">
        <v>#N/A</v>
      </c>
      <c r="Q1694" s="14" t="e">
        <v>#N/A</v>
      </c>
      <c r="R1694" s="15" t="s">
        <v>10698</v>
      </c>
      <c r="S1694" s="15" t="s">
        <v>5925</v>
      </c>
      <c r="T1694" s="16" t="s">
        <v>3477</v>
      </c>
      <c r="U1694" s="11" t="str">
        <f>_xlfn.XLOOKUP(Customer[[#This Row],[Customer ID]],[1]!Address[ID],[1]!Address[Phone No.(2)])</f>
        <v/>
      </c>
      <c r="V1694" s="11" t="str">
        <f>_xlfn.XLOOKUP(Customer[[#This Row],[Customer ID]],[1]!Address[ID],[1]!Address[Type])</f>
        <v>CAFE</v>
      </c>
      <c r="W1694" s="11" t="str">
        <f>_xlfn.XLOOKUP(Customer[[#This Row],[Customer ID]],[1]!Address[ID],[1]!Address[CT])</f>
        <v>30 DAYS</v>
      </c>
      <c r="X1694" s="11"/>
      <c r="Y1694" s="17" t="s">
        <v>5926</v>
      </c>
      <c r="Z1694" s="17" t="e">
        <f>_xlfn.XLOOKUP(Customer[[#This Row],[NewType]],$AF$36:$AF$54,$AG$36:$AG$54)</f>
        <v>#N/A</v>
      </c>
      <c r="AA1694" s="17" t="s">
        <v>10699</v>
      </c>
      <c r="AB1694" s="11" t="str">
        <f>_xlfn.XLOOKUP(Customer[[#This Row],[Customer ID]],[1]!Address[ID],[1]!Address[Subtype])</f>
        <v>PLUS</v>
      </c>
      <c r="AC1694" s="18">
        <f>_xlfn.XLOOKUP(Customer[[#This Row],[Customer ID]],[1]!Address[ID],[1]!Address[Zone])</f>
        <v>0</v>
      </c>
    </row>
    <row r="1695" spans="1:29" x14ac:dyDescent="0.3">
      <c r="A1695" s="10" t="s">
        <v>10700</v>
      </c>
      <c r="B1695" s="11" t="str">
        <f>_xlfn.XLOOKUP(Customer[[#This Row],[Customer ID]],[1]!Name[ID],[1]!Name[Description(1)])</f>
        <v>ANEKA MINUMAN</v>
      </c>
      <c r="C1695" s="11" t="str">
        <f>_xlfn.XLOOKUP(Customer[[#This Row],[Customer ID]],[1]!Name[ID],[1]!Name[Description(2)])</f>
        <v/>
      </c>
      <c r="D1695" s="11" t="str">
        <f>_xlfn.XLOOKUP(Customer[[#This Row],[Customer ID]],[1]!Address[ID],[1]!Address[PIC])</f>
        <v/>
      </c>
      <c r="E1695" s="11" t="str">
        <f>_xlfn.XLOOKUP(Customer[[#This Row],[Customer ID]],[1]!Address[ID],[1]!Address[Full Address])</f>
        <v>NO.4 R&amp;R GURUN ARAH UTARA</v>
      </c>
      <c r="F1695" s="12" t="s">
        <v>10701</v>
      </c>
      <c r="G1695" s="12" t="s">
        <v>36</v>
      </c>
      <c r="H1695" s="12" t="s">
        <v>36</v>
      </c>
      <c r="I1695" s="12" t="b">
        <f>ISNUMBER(VALUE(LEFT(Customer[[#This Row],[Address Line 3 (30 char)]],1)))</f>
        <v>0</v>
      </c>
      <c r="J1695" s="12" t="s">
        <v>355</v>
      </c>
      <c r="K1695" s="20" t="s">
        <v>1336</v>
      </c>
      <c r="L1695" s="12" t="s">
        <v>35</v>
      </c>
      <c r="M1695" s="13" t="e">
        <v>#N/A</v>
      </c>
      <c r="N1695" s="14" t="e">
        <v>#N/A</v>
      </c>
      <c r="O1695" s="14" t="e">
        <v>#N/A</v>
      </c>
      <c r="P1695" s="14" t="e">
        <v>#N/A</v>
      </c>
      <c r="Q1695" s="14" t="e">
        <v>#N/A</v>
      </c>
      <c r="R1695" s="15" t="s">
        <v>9656</v>
      </c>
      <c r="S1695" s="15" t="s">
        <v>5925</v>
      </c>
      <c r="T1695" s="16" t="s">
        <v>3477</v>
      </c>
      <c r="U1695" s="11" t="str">
        <f>_xlfn.XLOOKUP(Customer[[#This Row],[Customer ID]],[1]!Address[ID],[1]!Address[Phone No.(2)])</f>
        <v/>
      </c>
      <c r="V1695" s="11" t="str">
        <f>_xlfn.XLOOKUP(Customer[[#This Row],[Customer ID]],[1]!Address[ID],[1]!Address[Type])</f>
        <v>CAFE</v>
      </c>
      <c r="W1695" s="11" t="str">
        <f>_xlfn.XLOOKUP(Customer[[#This Row],[Customer ID]],[1]!Address[ID],[1]!Address[CT])</f>
        <v>30 DAYS</v>
      </c>
      <c r="X1695" s="11"/>
      <c r="Y1695" s="17" t="s">
        <v>5926</v>
      </c>
      <c r="Z1695" s="17" t="e">
        <f>_xlfn.XLOOKUP(Customer[[#This Row],[NewType]],$AF$36:$AF$54,$AG$36:$AG$54)</f>
        <v>#N/A</v>
      </c>
      <c r="AA1695" s="17" t="s">
        <v>10702</v>
      </c>
      <c r="AB1695" s="11" t="str">
        <f>_xlfn.XLOOKUP(Customer[[#This Row],[Customer ID]],[1]!Address[ID],[1]!Address[Subtype])</f>
        <v>PLUS</v>
      </c>
      <c r="AC1695" s="18" t="str">
        <f>_xlfn.XLOOKUP(Customer[[#This Row],[Customer ID]],[1]!Address[ID],[1]!Address[Zone])</f>
        <v>NORTH</v>
      </c>
    </row>
    <row r="1696" spans="1:29" x14ac:dyDescent="0.3">
      <c r="A1696" s="10" t="s">
        <v>10703</v>
      </c>
      <c r="B1696" s="11" t="str">
        <f>_xlfn.XLOOKUP(Customer[[#This Row],[Customer ID]],[1]!Name[ID],[1]!Name[Description(1)])</f>
        <v>KMI HEALTHCARE</v>
      </c>
      <c r="C1696" s="11" t="str">
        <f>_xlfn.XLOOKUP(Customer[[#This Row],[Customer ID]],[1]!Name[ID],[1]!Name[Description(2)])</f>
        <v>KUMPULAN MEDIC IMAN SDN BHD</v>
      </c>
      <c r="D1696" s="11" t="str">
        <f>_xlfn.XLOOKUP(Customer[[#This Row],[Customer ID]],[1]!Address[ID],[1]!Address[PIC])</f>
        <v/>
      </c>
      <c r="E1696" s="11" t="str">
        <f>_xlfn.XLOOKUP(Customer[[#This Row],[Customer ID]],[1]!Address[ID],[1]!Address[Full Address])</f>
        <v>25TH FLOOR, MENARA KH,JALAN SULTAN ISMAIL,50250 WILAYAH KL</v>
      </c>
      <c r="F1696" s="12" t="s">
        <v>10704</v>
      </c>
      <c r="G1696" s="12" t="s">
        <v>10705</v>
      </c>
      <c r="H1696" s="24" t="s">
        <v>10706</v>
      </c>
      <c r="I1696" s="24" t="b">
        <f>ISNUMBER(VALUE(LEFT(Customer[[#This Row],[Address Line 3 (30 char)]],1)))</f>
        <v>0</v>
      </c>
      <c r="J1696" s="12" t="s">
        <v>34</v>
      </c>
      <c r="K1696" s="12">
        <v>50250</v>
      </c>
      <c r="L1696" s="12" t="s">
        <v>35</v>
      </c>
      <c r="M1696" s="13" t="e">
        <v>#N/A</v>
      </c>
      <c r="N1696" s="14" t="e">
        <v>#N/A</v>
      </c>
      <c r="O1696" s="14" t="e">
        <v>#N/A</v>
      </c>
      <c r="P1696" s="14" t="e">
        <v>#N/A</v>
      </c>
      <c r="Q1696" s="19" t="s">
        <v>10707</v>
      </c>
      <c r="R1696" s="15" t="s">
        <v>10708</v>
      </c>
      <c r="S1696" s="15" t="s">
        <v>3476</v>
      </c>
      <c r="T1696" s="16" t="s">
        <v>3477</v>
      </c>
      <c r="U1696" s="11" t="str">
        <f>_xlfn.XLOOKUP(Customer[[#This Row],[Customer ID]],[1]!Address[ID],[1]!Address[Phone No.(2)])</f>
        <v/>
      </c>
      <c r="V1696" s="11" t="str">
        <f>_xlfn.XLOOKUP(Customer[[#This Row],[Customer ID]],[1]!Address[ID],[1]!Address[Type])</f>
        <v>PH</v>
      </c>
      <c r="W1696" s="11" t="str">
        <f>_xlfn.XLOOKUP(Customer[[#This Row],[Customer ID]],[1]!Address[ID],[1]!Address[CT])</f>
        <v>14 DAYS</v>
      </c>
      <c r="X1696" s="11"/>
      <c r="Y1696" s="17" t="s">
        <v>5955</v>
      </c>
      <c r="Z1696" s="17" t="e">
        <f>_xlfn.XLOOKUP(Customer[[#This Row],[NewType]],$AF$36:$AF$54,$AG$36:$AG$54)</f>
        <v>#N/A</v>
      </c>
      <c r="AA1696" s="17" t="s">
        <v>10709</v>
      </c>
      <c r="AB1696" s="11" t="str">
        <f>_xlfn.XLOOKUP(Customer[[#This Row],[Customer ID]],[1]!Address[ID],[1]!Address[Subtype])</f>
        <v>KMI HEALTHCE</v>
      </c>
      <c r="AC1696" s="18" t="str">
        <f>_xlfn.XLOOKUP(Customer[[#This Row],[Customer ID]],[1]!Address[ID],[1]!Address[Zone])</f>
        <v>CENTRAL</v>
      </c>
    </row>
    <row r="1697" spans="1:30" x14ac:dyDescent="0.3">
      <c r="A1697" s="48" t="s">
        <v>10710</v>
      </c>
      <c r="B1697" s="49" t="str">
        <f>_xlfn.XLOOKUP(Customer[[#This Row],[Customer ID]],[1]!Name[ID],[1]!Name[Description(1)])</f>
        <v>ANIS BINTI ZAMRI</v>
      </c>
      <c r="C1697" s="49" t="str">
        <f>_xlfn.XLOOKUP(Customer[[#This Row],[Customer ID]],[1]!Name[ID],[1]!Name[Description(2)])</f>
        <v/>
      </c>
      <c r="D1697" s="49" t="str">
        <f>_xlfn.XLOOKUP(Customer[[#This Row],[Customer ID]],[1]!Address[ID],[1]!Address[PIC])</f>
        <v/>
      </c>
      <c r="E1697" s="11" t="str">
        <f>_xlfn.XLOOKUP(Customer[[#This Row],[Customer ID]],[1]!Address[ID],[1]!Address[Full Address])</f>
        <v>KOPI &amp; DOBI, 52 GF,JALAN PEKAKA 8/3, KOTA DAMANSARA,47810 PETALING JAYA, SELANGOR</v>
      </c>
      <c r="F1697" s="63" t="s">
        <v>10711</v>
      </c>
      <c r="G1697" s="63" t="s">
        <v>10712</v>
      </c>
      <c r="H1697" s="64" t="s">
        <v>5169</v>
      </c>
      <c r="I1697" s="64" t="b">
        <f>ISNUMBER(VALUE(LEFT(Customer[[#This Row],[Address Line 3 (30 char)]],1)))</f>
        <v>0</v>
      </c>
      <c r="J1697" s="63" t="s">
        <v>172</v>
      </c>
      <c r="K1697" s="63">
        <v>47810</v>
      </c>
      <c r="L1697" s="63" t="s">
        <v>35</v>
      </c>
      <c r="M1697" s="65" t="e">
        <v>#N/A</v>
      </c>
      <c r="N1697" s="66" t="e">
        <v>#N/A</v>
      </c>
      <c r="O1697" s="66" t="e">
        <v>#N/A</v>
      </c>
      <c r="P1697" s="66" t="e">
        <v>#N/A</v>
      </c>
      <c r="Q1697" s="66" t="e">
        <v>#N/A</v>
      </c>
      <c r="R1697" s="51" t="s">
        <v>10713</v>
      </c>
      <c r="S1697" s="52" t="s">
        <v>89</v>
      </c>
      <c r="T1697" s="52" t="s">
        <v>89</v>
      </c>
      <c r="U1697" s="49" t="str">
        <f>_xlfn.XLOOKUP(Customer[[#This Row],[Customer ID]],[1]!Address[ID],[1]!Address[Phone No.(2)])</f>
        <v/>
      </c>
      <c r="V1697" s="49" t="str">
        <f>_xlfn.XLOOKUP(Customer[[#This Row],[Customer ID]],[1]!Address[ID],[1]!Address[Type])</f>
        <v>SOCMED</v>
      </c>
      <c r="W1697" s="49" t="str">
        <f>_xlfn.XLOOKUP(Customer[[#This Row],[Customer ID]],[1]!Address[ID],[1]!Address[CT])</f>
        <v/>
      </c>
      <c r="X1697" s="49"/>
      <c r="Y1697" s="53" t="s">
        <v>90</v>
      </c>
      <c r="Z1697" s="53" t="e">
        <f>_xlfn.XLOOKUP(Customer[[#This Row],[NewType]],$AF$36:$AF$54,$AG$36:$AG$54)</f>
        <v>#N/A</v>
      </c>
      <c r="AA1697" s="53" t="s">
        <v>10714</v>
      </c>
      <c r="AB1697" s="49" t="str">
        <f>_xlfn.XLOOKUP(Customer[[#This Row],[Customer ID]],[1]!Address[ID],[1]!Address[Subtype])</f>
        <v>WHATSAPP</v>
      </c>
      <c r="AC1697" s="54">
        <f>_xlfn.XLOOKUP(Customer[[#This Row],[Customer ID]],[1]!Address[ID],[1]!Address[Zone])</f>
        <v>0</v>
      </c>
      <c r="AD1697" s="55"/>
    </row>
    <row r="1698" spans="1:30" x14ac:dyDescent="0.3">
      <c r="A1698" s="10" t="s">
        <v>10715</v>
      </c>
      <c r="B1698" s="11" t="str">
        <f>_xlfn.XLOOKUP(Customer[[#This Row],[Customer ID]],[1]!Name[ID],[1]!Name[Description(1)])</f>
        <v>PETRON BANDAR GAMBANG PERDANA</v>
      </c>
      <c r="C1698" s="11" t="str">
        <f>_xlfn.XLOOKUP(Customer[[#This Row],[Customer ID]],[1]!Name[ID],[1]!Name[Description(2)])</f>
        <v/>
      </c>
      <c r="D1698" s="11" t="str">
        <f>_xlfn.XLOOKUP(Customer[[#This Row],[Customer ID]],[1]!Address[ID],[1]!Address[PIC])</f>
        <v/>
      </c>
      <c r="E1698" s="11" t="str">
        <f>_xlfn.XLOOKUP(Customer[[#This Row],[Customer ID]],[1]!Address[ID],[1]!Address[Full Address])</f>
        <v>PERSIARAN TUN KHALIL YAAKO26300 GAMBANG, KUANTANPAHANG DARUL MAKMUR</v>
      </c>
      <c r="F1698" s="12" t="s">
        <v>10716</v>
      </c>
      <c r="G1698" s="12" t="s">
        <v>10717</v>
      </c>
      <c r="H1698" s="12" t="s">
        <v>10344</v>
      </c>
      <c r="I1698" s="12" t="b">
        <f>ISNUMBER(VALUE(LEFT(Customer[[#This Row],[Address Line 3 (30 char)]],1)))</f>
        <v>0</v>
      </c>
      <c r="J1698" s="12" t="s">
        <v>339</v>
      </c>
      <c r="K1698" s="12">
        <v>26300</v>
      </c>
      <c r="L1698" s="12" t="s">
        <v>35</v>
      </c>
      <c r="M1698" s="13" t="e">
        <v>#N/A</v>
      </c>
      <c r="N1698" s="14" t="e">
        <v>#N/A</v>
      </c>
      <c r="O1698" s="14" t="e">
        <v>#N/A</v>
      </c>
      <c r="P1698" s="14" t="e">
        <v>#N/A</v>
      </c>
      <c r="Q1698" s="14" t="e">
        <v>#N/A</v>
      </c>
      <c r="R1698" s="15" t="s">
        <v>10345</v>
      </c>
      <c r="S1698" s="15" t="s">
        <v>37</v>
      </c>
      <c r="T1698" s="16" t="s">
        <v>38</v>
      </c>
      <c r="U1698" s="11" t="str">
        <f>_xlfn.XLOOKUP(Customer[[#This Row],[Customer ID]],[1]!Address[ID],[1]!Address[Phone No.(2)])</f>
        <v/>
      </c>
      <c r="V1698" s="11" t="str">
        <f>_xlfn.XLOOKUP(Customer[[#This Row],[Customer ID]],[1]!Address[ID],[1]!Address[Type])</f>
        <v>PETROMART</v>
      </c>
      <c r="W1698" s="11" t="str">
        <f>_xlfn.XLOOKUP(Customer[[#This Row],[Customer ID]],[1]!Address[ID],[1]!Address[CT])</f>
        <v>30</v>
      </c>
      <c r="X1698" s="11" t="s">
        <v>39</v>
      </c>
      <c r="Y1698" s="17" t="s">
        <v>40</v>
      </c>
      <c r="Z1698" s="17" t="e">
        <f>_xlfn.XLOOKUP(Customer[[#This Row],[NewType]],$AF$36:$AF$54,$AG$36:$AG$54)</f>
        <v>#N/A</v>
      </c>
      <c r="AA1698" s="17" t="s">
        <v>10718</v>
      </c>
      <c r="AB1698" s="11" t="str">
        <f>_xlfn.XLOOKUP(Customer[[#This Row],[Customer ID]],[1]!Address[ID],[1]!Address[Subtype])</f>
        <v>PETRON</v>
      </c>
      <c r="AC1698" s="18" t="str">
        <f>_xlfn.XLOOKUP(Customer[[#This Row],[Customer ID]],[1]!Address[ID],[1]!Address[Zone])</f>
        <v>EAST COAST</v>
      </c>
    </row>
    <row r="1699" spans="1:30" x14ac:dyDescent="0.3">
      <c r="A1699" s="39" t="s">
        <v>10719</v>
      </c>
      <c r="B1699" s="40" t="str">
        <f>_xlfn.XLOOKUP(Customer[[#This Row],[Customer ID]],[1]!Name[ID],[1]!Name[Description(1)])</f>
        <v>ST ROSYAM WHOLESALES EXPRESS SDN. BHD.</v>
      </c>
      <c r="C1699" s="11" t="str">
        <f>_xlfn.XLOOKUP(Customer[[#This Row],[Customer ID]],[1]!Name[ID],[1]!Name[Description(2)])</f>
        <v/>
      </c>
      <c r="D1699" s="11" t="str">
        <f>_xlfn.XLOOKUP(Customer[[#This Row],[Customer ID]],[1]!Address[ID],[1]!Address[PIC])</f>
        <v/>
      </c>
      <c r="E1699" s="11" t="str">
        <f>_xlfn.XLOOKUP(Customer[[#This Row],[Customer ID]],[1]!Address[ID],[1]!Address[Full Address])</f>
        <v/>
      </c>
      <c r="F1699" s="12" t="s">
        <v>36</v>
      </c>
      <c r="G1699" s="12" t="s">
        <v>36</v>
      </c>
      <c r="H1699" s="12" t="s">
        <v>36</v>
      </c>
      <c r="I1699" s="12" t="b">
        <f>ISNUMBER(VALUE(LEFT(Customer[[#This Row],[Address Line 3 (30 char)]],1)))</f>
        <v>0</v>
      </c>
      <c r="J1699" s="12" t="s">
        <v>172</v>
      </c>
      <c r="K1699" s="12">
        <v>47620</v>
      </c>
      <c r="L1699" s="12" t="s">
        <v>35</v>
      </c>
      <c r="M1699" s="13" t="e">
        <v>#N/A</v>
      </c>
      <c r="N1699" s="14" t="e">
        <v>#N/A</v>
      </c>
      <c r="O1699" s="14" t="e">
        <v>#N/A</v>
      </c>
      <c r="P1699" s="14" t="e">
        <v>#N/A</v>
      </c>
      <c r="Q1699" s="19" t="s">
        <v>10720</v>
      </c>
      <c r="R1699" s="15" t="s">
        <v>7424</v>
      </c>
      <c r="S1699" s="15" t="s">
        <v>5917</v>
      </c>
      <c r="T1699" s="16" t="s">
        <v>3477</v>
      </c>
      <c r="U1699" s="11" t="str">
        <f>_xlfn.XLOOKUP(Customer[[#This Row],[Customer ID]],[1]!Address[ID],[1]!Address[Phone No.(2)])</f>
        <v/>
      </c>
      <c r="V1699" s="11" t="str">
        <f>_xlfn.XLOOKUP(Customer[[#This Row],[Customer ID]],[1]!Address[ID],[1]!Address[Type])</f>
        <v>HM</v>
      </c>
      <c r="W1699" s="11" t="str">
        <f>_xlfn.XLOOKUP(Customer[[#This Row],[Customer ID]],[1]!Address[ID],[1]!Address[CT])</f>
        <v/>
      </c>
      <c r="X1699" s="11"/>
      <c r="Y1699" s="17" t="s">
        <v>5968</v>
      </c>
      <c r="Z1699" s="17" t="e">
        <f>_xlfn.XLOOKUP(Customer[[#This Row],[NewType]],$AF$36:$AF$54,$AG$36:$AG$54)</f>
        <v>#N/A</v>
      </c>
      <c r="AA1699" s="17" t="s">
        <v>10721</v>
      </c>
      <c r="AB1699" s="11" t="str">
        <f>_xlfn.XLOOKUP(Customer[[#This Row],[Customer ID]],[1]!Address[ID],[1]!Address[Subtype])</f>
        <v>ST ROSYAM</v>
      </c>
      <c r="AC1699" s="18">
        <f>_xlfn.XLOOKUP(Customer[[#This Row],[Customer ID]],[1]!Address[ID],[1]!Address[Zone])</f>
        <v>0</v>
      </c>
    </row>
    <row r="1700" spans="1:30" x14ac:dyDescent="0.3">
      <c r="A1700" s="10" t="s">
        <v>10722</v>
      </c>
      <c r="B1700" s="11" t="str">
        <f>_xlfn.XLOOKUP(Customer[[#This Row],[Customer ID]],[1]!Name[ID],[1]!Name[Description(1)])</f>
        <v>IZZ EMPIRE</v>
      </c>
      <c r="C1700" s="11" t="str">
        <f>_xlfn.XLOOKUP(Customer[[#This Row],[Customer ID]],[1]!Name[ID],[1]!Name[Description(2)])</f>
        <v/>
      </c>
      <c r="D1700" s="11" t="str">
        <f>_xlfn.XLOOKUP(Customer[[#This Row],[Customer ID]],[1]!Address[ID],[1]!Address[PIC])</f>
        <v/>
      </c>
      <c r="E1700" s="11" t="str">
        <f>_xlfn.XLOOKUP(Customer[[#This Row],[Customer ID]],[1]!Address[ID],[1]!Address[Full Address])</f>
        <v>NO 10, KG GERAI MUDA,22000 JERTEH,TERENGGANU</v>
      </c>
      <c r="F1700" s="12" t="s">
        <v>10723</v>
      </c>
      <c r="G1700" s="12" t="s">
        <v>10724</v>
      </c>
      <c r="H1700" s="12"/>
      <c r="I1700" s="12" t="b">
        <f>ISNUMBER(VALUE(LEFT(Customer[[#This Row],[Address Line 3 (30 char)]],1)))</f>
        <v>0</v>
      </c>
      <c r="J1700" s="12" t="s">
        <v>1056</v>
      </c>
      <c r="K1700" s="12">
        <v>22000</v>
      </c>
      <c r="L1700" s="12" t="s">
        <v>35</v>
      </c>
      <c r="M1700" s="13" t="e">
        <v>#N/A</v>
      </c>
      <c r="N1700" s="14" t="e">
        <v>#N/A</v>
      </c>
      <c r="O1700" s="14" t="e">
        <v>#N/A</v>
      </c>
      <c r="P1700" s="14" t="e">
        <v>#N/A</v>
      </c>
      <c r="Q1700" s="19" t="s">
        <v>10725</v>
      </c>
      <c r="R1700" s="15" t="s">
        <v>10726</v>
      </c>
      <c r="S1700" s="15" t="s">
        <v>6749</v>
      </c>
      <c r="T1700" s="16" t="s">
        <v>6749</v>
      </c>
      <c r="U1700" s="11" t="str">
        <f>_xlfn.XLOOKUP(Customer[[#This Row],[Customer ID]],[1]!Address[ID],[1]!Address[Phone No.(2)])</f>
        <v/>
      </c>
      <c r="V1700" s="11" t="str">
        <f>_xlfn.XLOOKUP(Customer[[#This Row],[Customer ID]],[1]!Address[ID],[1]!Address[Type])</f>
        <v>WALK IN</v>
      </c>
      <c r="W1700" s="11" t="str">
        <f>_xlfn.XLOOKUP(Customer[[#This Row],[Customer ID]],[1]!Address[ID],[1]!Address[CT])</f>
        <v/>
      </c>
      <c r="X1700" s="11"/>
      <c r="Y1700" s="17" t="s">
        <v>6284</v>
      </c>
      <c r="Z1700" s="17" t="e">
        <f>_xlfn.XLOOKUP(Customer[[#This Row],[NewType]],$AF$36:$AF$54,$AG$36:$AG$54)</f>
        <v>#N/A</v>
      </c>
      <c r="AA1700" s="17" t="s">
        <v>10727</v>
      </c>
      <c r="AB1700" s="11" t="str">
        <f>_xlfn.XLOOKUP(Customer[[#This Row],[Customer ID]],[1]!Address[ID],[1]!Address[Subtype])</f>
        <v>KB</v>
      </c>
      <c r="AC1700" s="18" t="str">
        <f>_xlfn.XLOOKUP(Customer[[#This Row],[Customer ID]],[1]!Address[ID],[1]!Address[Zone])</f>
        <v>EAST COAST</v>
      </c>
    </row>
    <row r="1701" spans="1:30" x14ac:dyDescent="0.3">
      <c r="A1701" s="10" t="s">
        <v>10728</v>
      </c>
      <c r="B1701" s="11" t="str">
        <f>_xlfn.XLOOKUP(Customer[[#This Row],[Customer ID]],[1]!Name[ID],[1]!Name[Description(1)])</f>
        <v>FARMASI MUAMMAR</v>
      </c>
      <c r="C1701" s="11" t="str">
        <f>_xlfn.XLOOKUP(Customer[[#This Row],[Customer ID]],[1]!Name[ID],[1]!Name[Description(2)])</f>
        <v/>
      </c>
      <c r="D1701" s="11" t="str">
        <f>_xlfn.XLOOKUP(Customer[[#This Row],[Customer ID]],[1]!Address[ID],[1]!Address[PIC])</f>
        <v/>
      </c>
      <c r="E1701" s="11" t="str">
        <f>_xlfn.XLOOKUP(Customer[[#This Row],[Customer ID]],[1]!Address[ID],[1]!Address[Full Address])</f>
        <v>LOT 8621, JALAN ISMAIL PETRA,17500 TANAH MERAH,KELANTAN</v>
      </c>
      <c r="F1701" s="12" t="s">
        <v>10729</v>
      </c>
      <c r="G1701" s="12" t="s">
        <v>10730</v>
      </c>
      <c r="H1701" s="12"/>
      <c r="I1701" s="12" t="b">
        <f>ISNUMBER(VALUE(LEFT(Customer[[#This Row],[Address Line 3 (30 char)]],1)))</f>
        <v>0</v>
      </c>
      <c r="J1701" s="12" t="s">
        <v>1007</v>
      </c>
      <c r="K1701" s="12">
        <v>17500</v>
      </c>
      <c r="L1701" s="12" t="s">
        <v>35</v>
      </c>
      <c r="M1701" s="13">
        <v>200303026304</v>
      </c>
      <c r="N1701" s="14" t="s">
        <v>10731</v>
      </c>
      <c r="O1701" s="14" t="s">
        <v>54</v>
      </c>
      <c r="P1701" s="14" t="s">
        <v>4346</v>
      </c>
      <c r="Q1701" s="19" t="s">
        <v>10732</v>
      </c>
      <c r="R1701" s="15" t="s">
        <v>10733</v>
      </c>
      <c r="S1701" s="15" t="s">
        <v>6749</v>
      </c>
      <c r="T1701" s="16" t="s">
        <v>6749</v>
      </c>
      <c r="U1701" s="11" t="str">
        <f>_xlfn.XLOOKUP(Customer[[#This Row],[Customer ID]],[1]!Address[ID],[1]!Address[Phone No.(2)])</f>
        <v/>
      </c>
      <c r="V1701" s="11" t="str">
        <f>_xlfn.XLOOKUP(Customer[[#This Row],[Customer ID]],[1]!Address[ID],[1]!Address[Type])</f>
        <v>WALK IN</v>
      </c>
      <c r="W1701" s="11" t="str">
        <f>_xlfn.XLOOKUP(Customer[[#This Row],[Customer ID]],[1]!Address[ID],[1]!Address[CT])</f>
        <v>14 DAYS</v>
      </c>
      <c r="X1701" s="11"/>
      <c r="Y1701" s="17" t="s">
        <v>6284</v>
      </c>
      <c r="Z1701" s="17" t="e">
        <f>_xlfn.XLOOKUP(Customer[[#This Row],[NewType]],$AF$36:$AF$54,$AG$36:$AG$54)</f>
        <v>#N/A</v>
      </c>
      <c r="AA1701" s="17" t="s">
        <v>10734</v>
      </c>
      <c r="AB1701" s="11" t="str">
        <f>_xlfn.XLOOKUP(Customer[[#This Row],[Customer ID]],[1]!Address[ID],[1]!Address[Subtype])</f>
        <v>KB</v>
      </c>
      <c r="AC1701" s="18" t="str">
        <f>_xlfn.XLOOKUP(Customer[[#This Row],[Customer ID]],[1]!Address[ID],[1]!Address[Zone])</f>
        <v>EAST COAST</v>
      </c>
    </row>
    <row r="1702" spans="1:30" x14ac:dyDescent="0.3">
      <c r="A1702" s="10" t="s">
        <v>10735</v>
      </c>
      <c r="B1702" s="11" t="str">
        <f>_xlfn.XLOOKUP(Customer[[#This Row],[Customer ID]],[1]!Name[ID],[1]!Name[Description(1)])</f>
        <v>MERCEARIA - MAHSA GROSERS SDN BHD</v>
      </c>
      <c r="C1702" s="11" t="str">
        <f>_xlfn.XLOOKUP(Customer[[#This Row],[Customer ID]],[1]!Name[ID],[1]!Name[Description(2)])</f>
        <v/>
      </c>
      <c r="D1702" s="11" t="str">
        <f>_xlfn.XLOOKUP(Customer[[#This Row],[Customer ID]],[1]!Address[ID],[1]!Address[PIC])</f>
        <v/>
      </c>
      <c r="E1702" s="11" t="str">
        <f>_xlfn.XLOOKUP(Customer[[#This Row],[Customer ID]],[1]!Address[ID],[1]!Address[Full Address])</f>
        <v>MERCEARIA NEIGHBOURHOOD GROSERLG BLOCK A,JALAN ILMU59100 KUALA LUMPUR</v>
      </c>
      <c r="F1702" s="12" t="s">
        <v>10736</v>
      </c>
      <c r="G1702" s="12" t="s">
        <v>10737</v>
      </c>
      <c r="H1702" s="24"/>
      <c r="I1702" s="24" t="b">
        <f>ISNUMBER(VALUE(LEFT(Customer[[#This Row],[Address Line 3 (30 char)]],1)))</f>
        <v>0</v>
      </c>
      <c r="J1702" s="12" t="s">
        <v>34</v>
      </c>
      <c r="K1702" s="12">
        <v>59100</v>
      </c>
      <c r="L1702" s="12" t="s">
        <v>35</v>
      </c>
      <c r="M1702" s="13" t="e">
        <v>#N/A</v>
      </c>
      <c r="N1702" s="14" t="e">
        <v>#N/A</v>
      </c>
      <c r="O1702" s="14" t="e">
        <v>#N/A</v>
      </c>
      <c r="P1702" s="14" t="e">
        <v>#N/A</v>
      </c>
      <c r="Q1702" s="19" t="e">
        <v>#N/A</v>
      </c>
      <c r="R1702" s="15" t="s">
        <v>10738</v>
      </c>
      <c r="S1702" s="15" t="s">
        <v>5934</v>
      </c>
      <c r="T1702" s="16" t="s">
        <v>3477</v>
      </c>
      <c r="U1702" s="11" t="str">
        <f>_xlfn.XLOOKUP(Customer[[#This Row],[Customer ID]],[1]!Address[ID],[1]!Address[Phone No.(2)])</f>
        <v/>
      </c>
      <c r="V1702" s="11" t="str">
        <f>_xlfn.XLOOKUP(Customer[[#This Row],[Customer ID]],[1]!Address[ID],[1]!Address[Type])</f>
        <v>HM</v>
      </c>
      <c r="W1702" s="11" t="str">
        <f>_xlfn.XLOOKUP(Customer[[#This Row],[Customer ID]],[1]!Address[ID],[1]!Address[CT])</f>
        <v>30 DAYS</v>
      </c>
      <c r="X1702" s="11"/>
      <c r="Y1702" s="17" t="s">
        <v>5968</v>
      </c>
      <c r="Z1702" s="17" t="e">
        <f>_xlfn.XLOOKUP(Customer[[#This Row],[NewType]],$AF$36:$AF$54,$AG$36:$AG$54)</f>
        <v>#N/A</v>
      </c>
      <c r="AA1702" s="17" t="s">
        <v>10739</v>
      </c>
      <c r="AB1702" s="11" t="str">
        <f>_xlfn.XLOOKUP(Customer[[#This Row],[Customer ID]],[1]!Address[ID],[1]!Address[Subtype])</f>
        <v>MERCEARIA</v>
      </c>
      <c r="AC1702" s="18" t="str">
        <f>_xlfn.XLOOKUP(Customer[[#This Row],[Customer ID]],[1]!Address[ID],[1]!Address[Zone])</f>
        <v>CENTRAL</v>
      </c>
    </row>
    <row r="1703" spans="1:30" x14ac:dyDescent="0.3">
      <c r="A1703" s="48" t="s">
        <v>10740</v>
      </c>
      <c r="B1703" s="49" t="str">
        <f>_xlfn.XLOOKUP(Customer[[#This Row],[Customer ID]],[1]!Name[ID],[1]!Name[Description(1)])</f>
        <v>FAZLUR RAHMAN EBRAHIM</v>
      </c>
      <c r="C1703" s="49" t="str">
        <f>_xlfn.XLOOKUP(Customer[[#This Row],[Customer ID]],[1]!Name[ID],[1]!Name[Description(2)])</f>
        <v/>
      </c>
      <c r="D1703" s="49" t="str">
        <f>_xlfn.XLOOKUP(Customer[[#This Row],[Customer ID]],[1]!Address[ID],[1]!Address[PIC])</f>
        <v/>
      </c>
      <c r="E1703" s="11" t="str">
        <f>_xlfn.XLOOKUP(Customer[[#This Row],[Customer ID]],[1]!Address[ID],[1]!Address[Full Address])</f>
        <v>NO.9 JALAN BJ/6A,TAMAN BUKIT JAYA,BUKIT ANTARABANGSA,68000 AMPANG,SELANGOR</v>
      </c>
      <c r="F1703" s="29" t="s">
        <v>10741</v>
      </c>
      <c r="G1703" s="29" t="s">
        <v>10742</v>
      </c>
      <c r="H1703" s="29" t="s">
        <v>10743</v>
      </c>
      <c r="I1703" s="29" t="b">
        <f>ISNUMBER(VALUE(LEFT(Customer[[#This Row],[Address Line 3 (30 char)]],1)))</f>
        <v>0</v>
      </c>
      <c r="J1703" s="29" t="s">
        <v>172</v>
      </c>
      <c r="K1703" s="29">
        <v>68000</v>
      </c>
      <c r="L1703" s="29" t="s">
        <v>35</v>
      </c>
      <c r="M1703" s="31" t="e">
        <v>#N/A</v>
      </c>
      <c r="N1703" s="36" t="e">
        <v>#N/A</v>
      </c>
      <c r="O1703" s="36" t="e">
        <v>#N/A</v>
      </c>
      <c r="P1703" s="36" t="e">
        <v>#N/A</v>
      </c>
      <c r="Q1703" s="89" t="e">
        <v>#N/A</v>
      </c>
      <c r="R1703" s="51" t="s">
        <v>10744</v>
      </c>
      <c r="S1703" s="16" t="s">
        <v>89</v>
      </c>
      <c r="T1703" s="52" t="s">
        <v>89</v>
      </c>
      <c r="U1703" s="49" t="str">
        <f>_xlfn.XLOOKUP(Customer[[#This Row],[Customer ID]],[1]!Address[ID],[1]!Address[Phone No.(2)])</f>
        <v/>
      </c>
      <c r="V1703" s="49" t="str">
        <f>_xlfn.XLOOKUP(Customer[[#This Row],[Customer ID]],[1]!Address[ID],[1]!Address[Type])</f>
        <v>SOCMED</v>
      </c>
      <c r="W1703" s="49" t="str">
        <f>_xlfn.XLOOKUP(Customer[[#This Row],[Customer ID]],[1]!Address[ID],[1]!Address[CT])</f>
        <v>CASH</v>
      </c>
      <c r="X1703" s="49"/>
      <c r="Y1703" s="53" t="s">
        <v>90</v>
      </c>
      <c r="Z1703" s="53" t="e">
        <f>_xlfn.XLOOKUP(Customer[[#This Row],[NewType]],$AF$36:$AF$54,$AG$36:$AG$54)</f>
        <v>#N/A</v>
      </c>
      <c r="AA1703" s="53" t="s">
        <v>10745</v>
      </c>
      <c r="AB1703" s="49" t="str">
        <f>_xlfn.XLOOKUP(Customer[[#This Row],[Customer ID]],[1]!Address[ID],[1]!Address[Subtype])</f>
        <v>WHATSAPP</v>
      </c>
      <c r="AC1703" s="54" t="str">
        <f>_xlfn.XLOOKUP(Customer[[#This Row],[Customer ID]],[1]!Address[ID],[1]!Address[Zone])</f>
        <v>CENTRAL</v>
      </c>
      <c r="AD1703" s="55"/>
    </row>
    <row r="1704" spans="1:30" x14ac:dyDescent="0.3">
      <c r="A1704" s="10" t="s">
        <v>10746</v>
      </c>
      <c r="B1704" s="11" t="str">
        <f>_xlfn.XLOOKUP(Customer[[#This Row],[Customer ID]],[1]!Name[ID],[1]!Name[Description(1)])</f>
        <v>PC MURNI PHARMACY SDN BHD</v>
      </c>
      <c r="C1704" s="11" t="str">
        <f>_xlfn.XLOOKUP(Customer[[#This Row],[Customer ID]],[1]!Name[ID],[1]!Name[Description(2)])</f>
        <v/>
      </c>
      <c r="D1704" s="11" t="str">
        <f>_xlfn.XLOOKUP(Customer[[#This Row],[Customer ID]],[1]!Address[ID],[1]!Address[PIC])</f>
        <v/>
      </c>
      <c r="E1704" s="11" t="str">
        <f>_xlfn.XLOOKUP(Customer[[#This Row],[Customer ID]],[1]!Address[ID],[1]!Address[Full Address])</f>
        <v>PT 535/A, TAMAN MURNI,JALAN PENGKALAN CHEPA,16100 KOTA BHARU,KELANTAN</v>
      </c>
      <c r="F1704" s="12" t="s">
        <v>10747</v>
      </c>
      <c r="G1704" s="12" t="s">
        <v>10748</v>
      </c>
      <c r="H1704" s="24" t="s">
        <v>2824</v>
      </c>
      <c r="I1704" s="24" t="b">
        <f>ISNUMBER(VALUE(LEFT(Customer[[#This Row],[Address Line 3 (30 char)]],1)))</f>
        <v>0</v>
      </c>
      <c r="J1704" s="12" t="s">
        <v>1007</v>
      </c>
      <c r="K1704" s="12">
        <v>16100</v>
      </c>
      <c r="L1704" s="12" t="s">
        <v>35</v>
      </c>
      <c r="M1704" s="13" t="e">
        <v>#N/A</v>
      </c>
      <c r="N1704" s="14" t="e">
        <v>#N/A</v>
      </c>
      <c r="O1704" s="14" t="e">
        <v>#N/A</v>
      </c>
      <c r="P1704" s="14" t="e">
        <v>#N/A</v>
      </c>
      <c r="Q1704" s="19" t="e">
        <v>#N/A</v>
      </c>
      <c r="R1704" s="15" t="s">
        <v>10749</v>
      </c>
      <c r="S1704" s="15" t="s">
        <v>6749</v>
      </c>
      <c r="T1704" s="16" t="s">
        <v>3477</v>
      </c>
      <c r="U1704" s="11" t="str">
        <f>_xlfn.XLOOKUP(Customer[[#This Row],[Customer ID]],[1]!Address[ID],[1]!Address[Phone No.(2)])</f>
        <v/>
      </c>
      <c r="V1704" s="11" t="str">
        <f>_xlfn.XLOOKUP(Customer[[#This Row],[Customer ID]],[1]!Address[ID],[1]!Address[Type])</f>
        <v>WALK IN</v>
      </c>
      <c r="W1704" s="11" t="str">
        <f>_xlfn.XLOOKUP(Customer[[#This Row],[Customer ID]],[1]!Address[ID],[1]!Address[CT])</f>
        <v/>
      </c>
      <c r="X1704" s="11"/>
      <c r="Y1704" s="17" t="s">
        <v>6284</v>
      </c>
      <c r="Z1704" s="17" t="e">
        <f>_xlfn.XLOOKUP(Customer[[#This Row],[NewType]],$AF$36:$AF$54,$AG$36:$AG$54)</f>
        <v>#N/A</v>
      </c>
      <c r="AA1704" s="17" t="s">
        <v>10750</v>
      </c>
      <c r="AB1704" s="11" t="str">
        <f>_xlfn.XLOOKUP(Customer[[#This Row],[Customer ID]],[1]!Address[ID],[1]!Address[Subtype])</f>
        <v>KB</v>
      </c>
      <c r="AC1704" s="18" t="str">
        <f>_xlfn.XLOOKUP(Customer[[#This Row],[Customer ID]],[1]!Address[ID],[1]!Address[Zone])</f>
        <v>EAST COAST</v>
      </c>
    </row>
    <row r="1705" spans="1:30" x14ac:dyDescent="0.3">
      <c r="A1705" s="10" t="s">
        <v>10751</v>
      </c>
      <c r="B1705" s="11" t="str">
        <f>_xlfn.XLOOKUP(Customer[[#This Row],[Customer ID]],[1]!Name[ID],[1]!Name[Description(1)])</f>
        <v>SME BANK KAJANG</v>
      </c>
      <c r="C1705" s="11" t="str">
        <f>_xlfn.XLOOKUP(Customer[[#This Row],[Customer ID]],[1]!Name[ID],[1]!Name[Description(2)])</f>
        <v/>
      </c>
      <c r="D1705" s="11" t="str">
        <f>_xlfn.XLOOKUP(Customer[[#This Row],[Customer ID]],[1]!Address[ID],[1]!Address[PIC])</f>
        <v/>
      </c>
      <c r="E1705" s="11" t="str">
        <f>_xlfn.XLOOKUP(Customer[[#This Row],[Customer ID]],[1]!Address[ID],[1]!Address[Full Address])</f>
        <v>NO.9 &amp; 10, JALAN KP 1/2,JALAN KAJANG SEMENYIH,TAMAN KAJANG PRIMA,43000 KAJANG SELANGOR</v>
      </c>
      <c r="F1705" s="12" t="s">
        <v>10752</v>
      </c>
      <c r="G1705" s="12" t="s">
        <v>7511</v>
      </c>
      <c r="H1705" s="12" t="s">
        <v>7512</v>
      </c>
      <c r="I1705" s="12" t="b">
        <f>ISNUMBER(VALUE(LEFT(Customer[[#This Row],[Address Line 3 (30 char)]],1)))</f>
        <v>0</v>
      </c>
      <c r="J1705" s="12" t="s">
        <v>172</v>
      </c>
      <c r="K1705" s="12">
        <v>43000</v>
      </c>
      <c r="L1705" s="12" t="s">
        <v>35</v>
      </c>
      <c r="M1705" s="13" t="e">
        <v>#N/A</v>
      </c>
      <c r="N1705" s="14" t="e">
        <v>#N/A</v>
      </c>
      <c r="O1705" s="14" t="e">
        <v>#N/A</v>
      </c>
      <c r="P1705" s="14" t="e">
        <v>#N/A</v>
      </c>
      <c r="Q1705" s="19" t="e">
        <v>#N/A</v>
      </c>
      <c r="R1705" s="15" t="s">
        <v>10753</v>
      </c>
      <c r="S1705" s="15" t="s">
        <v>5934</v>
      </c>
      <c r="T1705" s="16"/>
      <c r="U1705" s="11" t="str">
        <f>_xlfn.XLOOKUP(Customer[[#This Row],[Customer ID]],[1]!Address[ID],[1]!Address[Phone No.(2)])</f>
        <v/>
      </c>
      <c r="V1705" s="11" t="str">
        <f>_xlfn.XLOOKUP(Customer[[#This Row],[Customer ID]],[1]!Address[ID],[1]!Address[Type])</f>
        <v>CORPORATE</v>
      </c>
      <c r="W1705" s="11" t="str">
        <f>_xlfn.XLOOKUP(Customer[[#This Row],[Customer ID]],[1]!Address[ID],[1]!Address[CT])</f>
        <v>CASH</v>
      </c>
      <c r="X1705" s="11"/>
      <c r="Y1705" s="17" t="s">
        <v>6418</v>
      </c>
      <c r="Z1705" s="17" t="e">
        <f>_xlfn.XLOOKUP(Customer[[#This Row],[NewType]],$AF$36:$AF$54,$AG$36:$AG$54)</f>
        <v>#N/A</v>
      </c>
      <c r="AA1705" s="17" t="s">
        <v>10754</v>
      </c>
      <c r="AB1705" s="11" t="str">
        <f>_xlfn.XLOOKUP(Customer[[#This Row],[Customer ID]],[1]!Address[ID],[1]!Address[Subtype])</f>
        <v>SME BANK</v>
      </c>
      <c r="AC1705" s="18" t="str">
        <f>_xlfn.XLOOKUP(Customer[[#This Row],[Customer ID]],[1]!Address[ID],[1]!Address[Zone])</f>
        <v>KOUTH</v>
      </c>
    </row>
    <row r="1706" spans="1:30" x14ac:dyDescent="0.3">
      <c r="A1706" s="27" t="s">
        <v>10755</v>
      </c>
      <c r="B1706" s="49" t="str">
        <f>_xlfn.XLOOKUP(Customer[[#This Row],[Customer ID]],[1]!Name[ID],[1]!Name[Description(1)])</f>
        <v>MYFIRST PHARMACY</v>
      </c>
      <c r="C1706" s="11" t="str">
        <f>_xlfn.XLOOKUP(Customer[[#This Row],[Customer ID]],[1]!Name[ID],[1]!Name[Description(2)])</f>
        <v/>
      </c>
      <c r="D1706" s="11" t="str">
        <f>_xlfn.XLOOKUP(Customer[[#This Row],[Customer ID]],[1]!Address[ID],[1]!Address[PIC])</f>
        <v>AMILIA</v>
      </c>
      <c r="E1706" s="11" t="str">
        <f>_xlfn.XLOOKUP(Customer[[#This Row],[Customer ID]],[1]!Address[ID],[1]!Address[Full Address])</f>
        <v>NO. 15, PUSAT PERNIAGAAN SENA,PERSIARAN DATO' ALI 01000,KANGAR, PERLIS</v>
      </c>
      <c r="F1706" s="12" t="s">
        <v>10756</v>
      </c>
      <c r="G1706" s="12" t="s">
        <v>10757</v>
      </c>
      <c r="H1706" s="12" t="s">
        <v>10758</v>
      </c>
      <c r="I1706" s="12" t="b">
        <f>ISNUMBER(VALUE(LEFT(Customer[[#This Row],[Address Line 3 (30 char)]],1)))</f>
        <v>0</v>
      </c>
      <c r="J1706" s="12" t="s">
        <v>984</v>
      </c>
      <c r="K1706" s="30" t="s">
        <v>985</v>
      </c>
      <c r="L1706" s="12" t="s">
        <v>35</v>
      </c>
      <c r="M1706" s="13">
        <v>201603295643</v>
      </c>
      <c r="N1706" s="14" t="s">
        <v>10759</v>
      </c>
      <c r="O1706" s="14" t="e">
        <v>#N/A</v>
      </c>
      <c r="P1706" s="14" t="e">
        <v>#N/A</v>
      </c>
      <c r="Q1706" s="19" t="e">
        <v>#N/A</v>
      </c>
      <c r="R1706" s="15" t="s">
        <v>10760</v>
      </c>
      <c r="S1706" s="15" t="s">
        <v>89</v>
      </c>
      <c r="T1706" s="15" t="s">
        <v>89</v>
      </c>
      <c r="U1706" s="11" t="str">
        <f>_xlfn.XLOOKUP(Customer[[#This Row],[Customer ID]],[1]!Address[ID],[1]!Address[Phone No.(2)])</f>
        <v/>
      </c>
      <c r="V1706" s="11" t="str">
        <f>_xlfn.XLOOKUP(Customer[[#This Row],[Customer ID]],[1]!Address[ID],[1]!Address[Type])</f>
        <v>SOCMED</v>
      </c>
      <c r="W1706" s="11" t="str">
        <f>_xlfn.XLOOKUP(Customer[[#This Row],[Customer ID]],[1]!Address[ID],[1]!Address[CT])</f>
        <v/>
      </c>
      <c r="X1706" s="11"/>
      <c r="Y1706" s="17" t="s">
        <v>90</v>
      </c>
      <c r="Z1706" s="17" t="e">
        <f>_xlfn.XLOOKUP(Customer[[#This Row],[NewType]],$AF$36:$AF$54,$AG$36:$AG$54)</f>
        <v>#N/A</v>
      </c>
      <c r="AA1706" s="17" t="s">
        <v>10761</v>
      </c>
      <c r="AB1706" s="11" t="str">
        <f>_xlfn.XLOOKUP(Customer[[#This Row],[Customer ID]],[1]!Address[ID],[1]!Address[Subtype])</f>
        <v>WHATSAPP</v>
      </c>
      <c r="AC1706" s="18" t="str">
        <f>_xlfn.XLOOKUP(Customer[[#This Row],[Customer ID]],[1]!Address[ID],[1]!Address[Zone])</f>
        <v>NORTH</v>
      </c>
    </row>
    <row r="1707" spans="1:30" x14ac:dyDescent="0.3">
      <c r="A1707" s="10" t="s">
        <v>10762</v>
      </c>
      <c r="B1707" s="11" t="str">
        <f>_xlfn.XLOOKUP(Customer[[#This Row],[Customer ID]],[1]!Name[ID],[1]!Name[Description(1)])</f>
        <v>STESEN MINYAK BUKIT ITAM</v>
      </c>
      <c r="C1707" s="11" t="str">
        <f>_xlfn.XLOOKUP(Customer[[#This Row],[Customer ID]],[1]!Name[ID],[1]!Name[Description(2)])</f>
        <v/>
      </c>
      <c r="D1707" s="11" t="str">
        <f>_xlfn.XLOOKUP(Customer[[#This Row],[Customer ID]],[1]!Address[ID],[1]!Address[PIC])</f>
        <v/>
      </c>
      <c r="E1707" s="11" t="str">
        <f>_xlfn.XLOOKUP(Customer[[#This Row],[Customer ID]],[1]!Address[ID],[1]!Address[Full Address])</f>
        <v>PT 11991, KAMPUNG BANGGOL PERADONG,MANIR 21200 KUALA TERENGGANU,TERENGGANU</v>
      </c>
      <c r="F1707" s="12" t="s">
        <v>10763</v>
      </c>
      <c r="G1707" s="12" t="s">
        <v>10764</v>
      </c>
      <c r="H1707" s="12" t="s">
        <v>10765</v>
      </c>
      <c r="I1707" s="12" t="b">
        <f>ISNUMBER(VALUE(LEFT(Customer[[#This Row],[Address Line 3 (30 char)]],1)))</f>
        <v>0</v>
      </c>
      <c r="J1707" s="12" t="s">
        <v>1056</v>
      </c>
      <c r="K1707" s="12">
        <v>21200</v>
      </c>
      <c r="L1707" s="12" t="s">
        <v>35</v>
      </c>
      <c r="M1707" s="13" t="e">
        <v>#N/A</v>
      </c>
      <c r="N1707" s="14" t="e">
        <v>#N/A</v>
      </c>
      <c r="O1707" s="14" t="e">
        <v>#N/A</v>
      </c>
      <c r="P1707" s="14" t="e">
        <v>#N/A</v>
      </c>
      <c r="Q1707" s="19" t="s">
        <v>10766</v>
      </c>
      <c r="R1707" s="15" t="s">
        <v>10767</v>
      </c>
      <c r="S1707" s="15" t="s">
        <v>88</v>
      </c>
      <c r="T1707" s="16" t="s">
        <v>89</v>
      </c>
      <c r="U1707" s="11" t="str">
        <f>_xlfn.XLOOKUP(Customer[[#This Row],[Customer ID]],[1]!Address[ID],[1]!Address[Phone No.(2)])</f>
        <v/>
      </c>
      <c r="V1707" s="11" t="str">
        <f>_xlfn.XLOOKUP(Customer[[#This Row],[Customer ID]],[1]!Address[ID],[1]!Address[Type])</f>
        <v>SOCMED</v>
      </c>
      <c r="W1707" s="11" t="str">
        <f>_xlfn.XLOOKUP(Customer[[#This Row],[Customer ID]],[1]!Address[ID],[1]!Address[CT])</f>
        <v/>
      </c>
      <c r="X1707" s="11"/>
      <c r="Y1707" s="17" t="s">
        <v>90</v>
      </c>
      <c r="Z1707" s="17" t="e">
        <f>_xlfn.XLOOKUP(Customer[[#This Row],[NewType]],$AF$36:$AF$54,$AG$36:$AG$54)</f>
        <v>#N/A</v>
      </c>
      <c r="AA1707" s="17" t="s">
        <v>10768</v>
      </c>
      <c r="AB1707" s="11" t="str">
        <f>_xlfn.XLOOKUP(Customer[[#This Row],[Customer ID]],[1]!Address[ID],[1]!Address[Subtype])</f>
        <v>ONLINE ROS</v>
      </c>
      <c r="AC1707" s="18" t="str">
        <f>_xlfn.XLOOKUP(Customer[[#This Row],[Customer ID]],[1]!Address[ID],[1]!Address[Zone])</f>
        <v>EAST COAST</v>
      </c>
    </row>
    <row r="1708" spans="1:30" x14ac:dyDescent="0.3">
      <c r="A1708" s="48" t="s">
        <v>10769</v>
      </c>
      <c r="B1708" s="49" t="str">
        <f>_xlfn.XLOOKUP(Customer[[#This Row],[Customer ID]],[1]!Name[ID],[1]!Name[Description(1)])</f>
        <v>AIDA ANGGUN ENTERPRISE</v>
      </c>
      <c r="C1708" s="11" t="str">
        <f>_xlfn.XLOOKUP(Customer[[#This Row],[Customer ID]],[1]!Name[ID],[1]!Name[Description(2)])</f>
        <v/>
      </c>
      <c r="D1708" s="11" t="str">
        <f>_xlfn.XLOOKUP(Customer[[#This Row],[Customer ID]],[1]!Address[ID],[1]!Address[PIC])</f>
        <v/>
      </c>
      <c r="E1708" s="11" t="str">
        <f>_xlfn.XLOOKUP(Customer[[#This Row],[Customer ID]],[1]!Address[ID],[1]!Address[Full Address])</f>
        <v>(AA2) K-32 GROUND FLOOR BLOCK C,YELLOW TOWN, JALAN LEBAI SARAS 24000KEMAMAN, TERENGGANU.</v>
      </c>
      <c r="F1708" s="12" t="s">
        <v>10770</v>
      </c>
      <c r="G1708" s="12" t="s">
        <v>10771</v>
      </c>
      <c r="H1708" s="12" t="s">
        <v>10772</v>
      </c>
      <c r="I1708" s="12" t="b">
        <f>ISNUMBER(VALUE(LEFT(Customer[[#This Row],[Address Line 3 (30 char)]],1)))</f>
        <v>0</v>
      </c>
      <c r="J1708" s="12" t="s">
        <v>1056</v>
      </c>
      <c r="K1708" s="12">
        <v>24000</v>
      </c>
      <c r="L1708" s="12" t="s">
        <v>35</v>
      </c>
      <c r="M1708" s="13" t="e">
        <v>#N/A</v>
      </c>
      <c r="N1708" s="14" t="e">
        <v>#N/A</v>
      </c>
      <c r="O1708" s="14" t="e">
        <v>#N/A</v>
      </c>
      <c r="P1708" s="14" t="e">
        <v>#N/A</v>
      </c>
      <c r="Q1708" s="19" t="e">
        <v>#N/A</v>
      </c>
      <c r="R1708" s="15" t="s">
        <v>10773</v>
      </c>
      <c r="S1708" s="15" t="s">
        <v>3212</v>
      </c>
      <c r="T1708" s="16" t="s">
        <v>89</v>
      </c>
      <c r="U1708" s="11" t="str">
        <f>_xlfn.XLOOKUP(Customer[[#This Row],[Customer ID]],[1]!Address[ID],[1]!Address[Phone No.(2)])</f>
        <v/>
      </c>
      <c r="V1708" s="11" t="str">
        <f>_xlfn.XLOOKUP(Customer[[#This Row],[Customer ID]],[1]!Address[ID],[1]!Address[Type])</f>
        <v>SOCMED</v>
      </c>
      <c r="W1708" s="11" t="str">
        <f>_xlfn.XLOOKUP(Customer[[#This Row],[Customer ID]],[1]!Address[ID],[1]!Address[CT])</f>
        <v/>
      </c>
      <c r="X1708" s="11"/>
      <c r="Y1708" s="17" t="s">
        <v>90</v>
      </c>
      <c r="Z1708" s="17" t="e">
        <f>_xlfn.XLOOKUP(Customer[[#This Row],[NewType]],$AF$36:$AF$54,$AG$36:$AG$54)</f>
        <v>#N/A</v>
      </c>
      <c r="AA1708" s="17" t="s">
        <v>10774</v>
      </c>
      <c r="AB1708" s="11" t="str">
        <f>_xlfn.XLOOKUP(Customer[[#This Row],[Customer ID]],[1]!Address[ID],[1]!Address[Subtype])</f>
        <v>ONLINE HAJAR</v>
      </c>
      <c r="AC1708" s="18" t="str">
        <f>_xlfn.XLOOKUP(Customer[[#This Row],[Customer ID]],[1]!Address[ID],[1]!Address[Zone])</f>
        <v>EAST COAST</v>
      </c>
    </row>
    <row r="1709" spans="1:30" x14ac:dyDescent="0.3">
      <c r="A1709" s="48" t="s">
        <v>10775</v>
      </c>
      <c r="B1709" s="49" t="str">
        <f>_xlfn.XLOOKUP(Customer[[#This Row],[Customer ID]],[1]!Name[ID],[1]!Name[Description(1)])</f>
        <v>FARMASI RIZKI</v>
      </c>
      <c r="C1709" s="11" t="str">
        <f>_xlfn.XLOOKUP(Customer[[#This Row],[Customer ID]],[1]!Name[ID],[1]!Name[Description(2)])</f>
        <v/>
      </c>
      <c r="D1709" s="11" t="str">
        <f>_xlfn.XLOOKUP(Customer[[#This Row],[Customer ID]],[1]!Address[ID],[1]!Address[PIC])</f>
        <v/>
      </c>
      <c r="E1709" s="11" t="str">
        <f>_xlfn.XLOOKUP(Customer[[#This Row],[Customer ID]],[1]!Address[ID],[1]!Address[Full Address])</f>
        <v>NO 193, JALAN TUN SABAN,33300 GERIK, PERAK.</v>
      </c>
      <c r="F1709" s="12" t="s">
        <v>10776</v>
      </c>
      <c r="G1709" s="12" t="s">
        <v>10777</v>
      </c>
      <c r="H1709" s="12" t="s">
        <v>36</v>
      </c>
      <c r="I1709" s="12" t="b">
        <f>ISNUMBER(VALUE(LEFT(Customer[[#This Row],[Address Line 3 (30 char)]],1)))</f>
        <v>0</v>
      </c>
      <c r="J1709" s="12" t="s">
        <v>242</v>
      </c>
      <c r="K1709" s="12">
        <v>33300</v>
      </c>
      <c r="L1709" s="12" t="s">
        <v>35</v>
      </c>
      <c r="M1709" s="13" t="e">
        <v>#N/A</v>
      </c>
      <c r="N1709" s="14" t="e">
        <v>#N/A</v>
      </c>
      <c r="O1709" s="14" t="e">
        <v>#N/A</v>
      </c>
      <c r="P1709" s="14" t="e">
        <v>#N/A</v>
      </c>
      <c r="Q1709" s="19" t="e">
        <v>#N/A</v>
      </c>
      <c r="R1709" s="15" t="s">
        <v>10778</v>
      </c>
      <c r="S1709" s="15" t="s">
        <v>3212</v>
      </c>
      <c r="T1709" s="16" t="s">
        <v>89</v>
      </c>
      <c r="U1709" s="11" t="str">
        <f>_xlfn.XLOOKUP(Customer[[#This Row],[Customer ID]],[1]!Address[ID],[1]!Address[Phone No.(2)])</f>
        <v/>
      </c>
      <c r="V1709" s="11" t="str">
        <f>_xlfn.XLOOKUP(Customer[[#This Row],[Customer ID]],[1]!Address[ID],[1]!Address[Type])</f>
        <v>SOCMED</v>
      </c>
      <c r="W1709" s="11" t="str">
        <f>_xlfn.XLOOKUP(Customer[[#This Row],[Customer ID]],[1]!Address[ID],[1]!Address[CT])</f>
        <v/>
      </c>
      <c r="X1709" s="11"/>
      <c r="Y1709" s="17" t="s">
        <v>90</v>
      </c>
      <c r="Z1709" s="17" t="e">
        <f>_xlfn.XLOOKUP(Customer[[#This Row],[NewType]],$AF$36:$AF$54,$AG$36:$AG$54)</f>
        <v>#N/A</v>
      </c>
      <c r="AA1709" s="17" t="s">
        <v>10779</v>
      </c>
      <c r="AB1709" s="11" t="str">
        <f>_xlfn.XLOOKUP(Customer[[#This Row],[Customer ID]],[1]!Address[ID],[1]!Address[Subtype])</f>
        <v>ONLINE HAJAR</v>
      </c>
      <c r="AC1709" s="18" t="str">
        <f>_xlfn.XLOOKUP(Customer[[#This Row],[Customer ID]],[1]!Address[ID],[1]!Address[Zone])</f>
        <v>NORTH</v>
      </c>
    </row>
    <row r="1710" spans="1:30" x14ac:dyDescent="0.3">
      <c r="A1710" s="48" t="s">
        <v>10780</v>
      </c>
      <c r="B1710" s="49" t="str">
        <f>_xlfn.XLOOKUP(Customer[[#This Row],[Customer ID]],[1]!Name[ID],[1]!Name[Description(1)])</f>
        <v>U.N.I FARMASI - USJ 9</v>
      </c>
      <c r="C1710" s="11" t="str">
        <f>_xlfn.XLOOKUP(Customer[[#This Row],[Customer ID]],[1]!Name[ID],[1]!Name[Description(2)])</f>
        <v>AFHA GROUP SDN.BHD.</v>
      </c>
      <c r="D1710" s="11" t="str">
        <f>_xlfn.XLOOKUP(Customer[[#This Row],[Customer ID]],[1]!Address[ID],[1]!Address[PIC])</f>
        <v/>
      </c>
      <c r="E1710" s="11" t="str">
        <f>_xlfn.XLOOKUP(Customer[[#This Row],[Customer ID]],[1]!Address[ID],[1]!Address[Full Address])</f>
        <v>U.N.I FARMASI (AFHA GROUP SDN BHD)NO 12, (GROUND FLOOR), JLN USJ 9/5Q,47620 SUBANG JAYA, SELANGOR.</v>
      </c>
      <c r="F1710" s="12" t="s">
        <v>10781</v>
      </c>
      <c r="G1710" s="12" t="s">
        <v>10782</v>
      </c>
      <c r="H1710" s="12" t="s">
        <v>10783</v>
      </c>
      <c r="I1710" s="12" t="b">
        <f>ISNUMBER(VALUE(LEFT(Customer[[#This Row],[Address Line 3 (30 char)]],1)))</f>
        <v>0</v>
      </c>
      <c r="J1710" s="12" t="s">
        <v>172</v>
      </c>
      <c r="K1710" s="12">
        <v>47620</v>
      </c>
      <c r="L1710" s="12" t="s">
        <v>35</v>
      </c>
      <c r="M1710" s="13" t="e">
        <v>#N/A</v>
      </c>
      <c r="N1710" s="14" t="e">
        <v>#N/A</v>
      </c>
      <c r="O1710" s="14" t="e">
        <v>#N/A</v>
      </c>
      <c r="P1710" s="14" t="e">
        <v>#N/A</v>
      </c>
      <c r="Q1710" s="19" t="e">
        <v>#N/A</v>
      </c>
      <c r="R1710" s="15" t="s">
        <v>10784</v>
      </c>
      <c r="S1710" s="15" t="s">
        <v>3212</v>
      </c>
      <c r="T1710" s="16" t="s">
        <v>89</v>
      </c>
      <c r="U1710" s="11" t="str">
        <f>_xlfn.XLOOKUP(Customer[[#This Row],[Customer ID]],[1]!Address[ID],[1]!Address[Phone No.(2)])</f>
        <v/>
      </c>
      <c r="V1710" s="11" t="str">
        <f>_xlfn.XLOOKUP(Customer[[#This Row],[Customer ID]],[1]!Address[ID],[1]!Address[Type])</f>
        <v>SOCMED</v>
      </c>
      <c r="W1710" s="11" t="str">
        <f>_xlfn.XLOOKUP(Customer[[#This Row],[Customer ID]],[1]!Address[ID],[1]!Address[CT])</f>
        <v/>
      </c>
      <c r="X1710" s="11"/>
      <c r="Y1710" s="17" t="s">
        <v>90</v>
      </c>
      <c r="Z1710" s="17" t="e">
        <f>_xlfn.XLOOKUP(Customer[[#This Row],[NewType]],$AF$36:$AF$54,$AG$36:$AG$54)</f>
        <v>#N/A</v>
      </c>
      <c r="AA1710" s="17" t="s">
        <v>10785</v>
      </c>
      <c r="AB1710" s="11" t="str">
        <f>_xlfn.XLOOKUP(Customer[[#This Row],[Customer ID]],[1]!Address[ID],[1]!Address[Subtype])</f>
        <v>ONLINE HAJAR</v>
      </c>
      <c r="AC1710" s="18" t="str">
        <f>_xlfn.XLOOKUP(Customer[[#This Row],[Customer ID]],[1]!Address[ID],[1]!Address[Zone])</f>
        <v>FHAOUH</v>
      </c>
    </row>
    <row r="1711" spans="1:30" x14ac:dyDescent="0.3">
      <c r="A1711" s="48" t="s">
        <v>10786</v>
      </c>
      <c r="B1711" s="49" t="str">
        <f>_xlfn.XLOOKUP(Customer[[#This Row],[Customer ID]],[1]!Name[ID],[1]!Name[Description(1)])</f>
        <v>FARMASI AL MEDINA</v>
      </c>
      <c r="C1711" s="11" t="str">
        <f>_xlfn.XLOOKUP(Customer[[#This Row],[Customer ID]],[1]!Name[ID],[1]!Name[Description(2)])</f>
        <v/>
      </c>
      <c r="D1711" s="11" t="str">
        <f>_xlfn.XLOOKUP(Customer[[#This Row],[Customer ID]],[1]!Address[ID],[1]!Address[PIC])</f>
        <v/>
      </c>
      <c r="E1711" s="11" t="str">
        <f>_xlfn.XLOOKUP(Customer[[#This Row],[Customer ID]],[1]!Address[ID],[1]!Address[Full Address])</f>
        <v>DIANA PHARMA ENTERPRISE89 JALAN PEMIMPIN KG MANJOI BARUTAMBAHAN, 30020 IPOH, PERAK</v>
      </c>
      <c r="F1711" s="12" t="s">
        <v>10787</v>
      </c>
      <c r="G1711" s="12" t="s">
        <v>10788</v>
      </c>
      <c r="H1711" s="12" t="s">
        <v>10789</v>
      </c>
      <c r="I1711" s="12" t="b">
        <f>ISNUMBER(VALUE(LEFT(Customer[[#This Row],[Address Line 3 (30 char)]],1)))</f>
        <v>0</v>
      </c>
      <c r="J1711" s="12" t="s">
        <v>242</v>
      </c>
      <c r="K1711" s="12">
        <v>30020</v>
      </c>
      <c r="L1711" s="12" t="s">
        <v>35</v>
      </c>
      <c r="M1711" s="13" t="e">
        <v>#N/A</v>
      </c>
      <c r="N1711" s="14" t="e">
        <v>#N/A</v>
      </c>
      <c r="O1711" s="14" t="e">
        <v>#N/A</v>
      </c>
      <c r="P1711" s="14" t="e">
        <v>#N/A</v>
      </c>
      <c r="Q1711" s="19" t="e">
        <v>#N/A</v>
      </c>
      <c r="R1711" s="15" t="s">
        <v>10790</v>
      </c>
      <c r="S1711" s="15" t="s">
        <v>3212</v>
      </c>
      <c r="T1711" s="16" t="s">
        <v>89</v>
      </c>
      <c r="U1711" s="11" t="str">
        <f>_xlfn.XLOOKUP(Customer[[#This Row],[Customer ID]],[1]!Address[ID],[1]!Address[Phone No.(2)])</f>
        <v/>
      </c>
      <c r="V1711" s="11" t="str">
        <f>_xlfn.XLOOKUP(Customer[[#This Row],[Customer ID]],[1]!Address[ID],[1]!Address[Type])</f>
        <v>SOCMED</v>
      </c>
      <c r="W1711" s="11" t="str">
        <f>_xlfn.XLOOKUP(Customer[[#This Row],[Customer ID]],[1]!Address[ID],[1]!Address[CT])</f>
        <v/>
      </c>
      <c r="X1711" s="11"/>
      <c r="Y1711" s="17" t="s">
        <v>90</v>
      </c>
      <c r="Z1711" s="17" t="e">
        <f>_xlfn.XLOOKUP(Customer[[#This Row],[NewType]],$AF$36:$AF$54,$AG$36:$AG$54)</f>
        <v>#N/A</v>
      </c>
      <c r="AA1711" s="17" t="s">
        <v>10791</v>
      </c>
      <c r="AB1711" s="11" t="str">
        <f>_xlfn.XLOOKUP(Customer[[#This Row],[Customer ID]],[1]!Address[ID],[1]!Address[Subtype])</f>
        <v>ONLINE HAJAR</v>
      </c>
      <c r="AC1711" s="18" t="str">
        <f>_xlfn.XLOOKUP(Customer[[#This Row],[Customer ID]],[1]!Address[ID],[1]!Address[Zone])</f>
        <v>NORTH</v>
      </c>
    </row>
    <row r="1712" spans="1:30" x14ac:dyDescent="0.3">
      <c r="A1712" s="48" t="s">
        <v>10792</v>
      </c>
      <c r="B1712" s="49" t="str">
        <f>_xlfn.XLOOKUP(Customer[[#This Row],[Customer ID]],[1]!Name[ID],[1]!Name[Description(1)])</f>
        <v>KEDAI RUNCIT SHAHIDON MAJU</v>
      </c>
      <c r="C1712" s="11" t="str">
        <f>_xlfn.XLOOKUP(Customer[[#This Row],[Customer ID]],[1]!Name[ID],[1]!Name[Description(2)])</f>
        <v/>
      </c>
      <c r="D1712" s="11" t="str">
        <f>_xlfn.XLOOKUP(Customer[[#This Row],[Customer ID]],[1]!Address[ID],[1]!Address[PIC])</f>
        <v/>
      </c>
      <c r="E1712" s="11" t="str">
        <f>_xlfn.XLOOKUP(Customer[[#This Row],[Customer ID]],[1]!Address[ID],[1]!Address[Full Address])</f>
        <v>NO 8, JALAN KENANGA 1/1, TAMAN SATRIA,70450 SEREMBAN, NEGERI SEMBILAN.</v>
      </c>
      <c r="F1712" s="12" t="s">
        <v>10793</v>
      </c>
      <c r="G1712" s="12" t="s">
        <v>10794</v>
      </c>
      <c r="H1712" s="12" t="s">
        <v>10795</v>
      </c>
      <c r="I1712" s="12" t="b">
        <f>ISNUMBER(VALUE(LEFT(Customer[[#This Row],[Address Line 3 (30 char)]],1)))</f>
        <v>0</v>
      </c>
      <c r="J1712" s="12" t="s">
        <v>203</v>
      </c>
      <c r="K1712" s="12">
        <v>70450</v>
      </c>
      <c r="L1712" s="12" t="s">
        <v>35</v>
      </c>
      <c r="M1712" s="13" t="e">
        <v>#N/A</v>
      </c>
      <c r="N1712" s="14" t="e">
        <v>#N/A</v>
      </c>
      <c r="O1712" s="14" t="e">
        <v>#N/A</v>
      </c>
      <c r="P1712" s="14" t="e">
        <v>#N/A</v>
      </c>
      <c r="Q1712" s="19" t="e">
        <v>#N/A</v>
      </c>
      <c r="R1712" s="15" t="s">
        <v>10796</v>
      </c>
      <c r="S1712" s="15" t="s">
        <v>3212</v>
      </c>
      <c r="T1712" s="16" t="s">
        <v>89</v>
      </c>
      <c r="U1712" s="11" t="str">
        <f>_xlfn.XLOOKUP(Customer[[#This Row],[Customer ID]],[1]!Address[ID],[1]!Address[Phone No.(2)])</f>
        <v/>
      </c>
      <c r="V1712" s="11" t="str">
        <f>_xlfn.XLOOKUP(Customer[[#This Row],[Customer ID]],[1]!Address[ID],[1]!Address[Type])</f>
        <v>SOCMED</v>
      </c>
      <c r="W1712" s="11" t="str">
        <f>_xlfn.XLOOKUP(Customer[[#This Row],[Customer ID]],[1]!Address[ID],[1]!Address[CT])</f>
        <v/>
      </c>
      <c r="X1712" s="11"/>
      <c r="Y1712" s="17" t="s">
        <v>90</v>
      </c>
      <c r="Z1712" s="17" t="e">
        <f>_xlfn.XLOOKUP(Customer[[#This Row],[NewType]],$AF$36:$AF$54,$AG$36:$AG$54)</f>
        <v>#N/A</v>
      </c>
      <c r="AA1712" s="17" t="s">
        <v>10797</v>
      </c>
      <c r="AB1712" s="11" t="str">
        <f>_xlfn.XLOOKUP(Customer[[#This Row],[Customer ID]],[1]!Address[ID],[1]!Address[Subtype])</f>
        <v>ONLINE HAJAR</v>
      </c>
      <c r="AC1712" s="18" t="str">
        <f>_xlfn.XLOOKUP(Customer[[#This Row],[Customer ID]],[1]!Address[ID],[1]!Address[Zone])</f>
        <v>CENTRAL</v>
      </c>
    </row>
    <row r="1713" spans="1:30" x14ac:dyDescent="0.3">
      <c r="A1713" s="10" t="s">
        <v>10798</v>
      </c>
      <c r="B1713" s="11" t="str">
        <f>_xlfn.XLOOKUP(Customer[[#This Row],[Customer ID]],[1]!Name[ID],[1]!Name[Description(1)])</f>
        <v>MAJNUN COFFEE &amp; DESSERT</v>
      </c>
      <c r="C1713" s="11" t="str">
        <f>_xlfn.XLOOKUP(Customer[[#This Row],[Customer ID]],[1]!Name[ID],[1]!Name[Description(2)])</f>
        <v/>
      </c>
      <c r="D1713" s="11" t="str">
        <f>_xlfn.XLOOKUP(Customer[[#This Row],[Customer ID]],[1]!Address[ID],[1]!Address[PIC])</f>
        <v/>
      </c>
      <c r="E1713" s="11" t="str">
        <f>_xlfn.XLOOKUP(Customer[[#This Row],[Customer ID]],[1]!Address[ID],[1]!Address[Full Address])</f>
        <v>LOT 3921, BELAKANG TAMAN MAIDAM,KAMPUNG TOK JEMBAL, 21300 KUALA NERUS,TERENGGANU</v>
      </c>
      <c r="F1713" s="12" t="s">
        <v>10799</v>
      </c>
      <c r="G1713" s="12" t="s">
        <v>10800</v>
      </c>
      <c r="H1713" s="12" t="s">
        <v>10801</v>
      </c>
      <c r="I1713" s="12" t="b">
        <f>ISNUMBER(VALUE(LEFT(Customer[[#This Row],[Address Line 3 (30 char)]],1)))</f>
        <v>0</v>
      </c>
      <c r="J1713" s="12" t="s">
        <v>1056</v>
      </c>
      <c r="K1713" s="12">
        <v>21300</v>
      </c>
      <c r="L1713" s="12" t="s">
        <v>35</v>
      </c>
      <c r="M1713" s="13" t="e">
        <v>#N/A</v>
      </c>
      <c r="N1713" s="14" t="e">
        <v>#N/A</v>
      </c>
      <c r="O1713" s="14" t="e">
        <v>#N/A</v>
      </c>
      <c r="P1713" s="14" t="e">
        <v>#N/A</v>
      </c>
      <c r="Q1713" s="19" t="e">
        <v>#N/A</v>
      </c>
      <c r="R1713" s="15" t="s">
        <v>10802</v>
      </c>
      <c r="S1713" s="15" t="s">
        <v>88</v>
      </c>
      <c r="T1713" s="16" t="s">
        <v>89</v>
      </c>
      <c r="U1713" s="11" t="str">
        <f>_xlfn.XLOOKUP(Customer[[#This Row],[Customer ID]],[1]!Address[ID],[1]!Address[Phone No.(2)])</f>
        <v/>
      </c>
      <c r="V1713" s="11" t="str">
        <f>_xlfn.XLOOKUP(Customer[[#This Row],[Customer ID]],[1]!Address[ID],[1]!Address[Type])</f>
        <v>SOCMED</v>
      </c>
      <c r="W1713" s="11" t="str">
        <f>_xlfn.XLOOKUP(Customer[[#This Row],[Customer ID]],[1]!Address[ID],[1]!Address[CT])</f>
        <v/>
      </c>
      <c r="X1713" s="11"/>
      <c r="Y1713" s="17" t="s">
        <v>90</v>
      </c>
      <c r="Z1713" s="17" t="e">
        <f>_xlfn.XLOOKUP(Customer[[#This Row],[NewType]],$AF$36:$AF$54,$AG$36:$AG$54)</f>
        <v>#N/A</v>
      </c>
      <c r="AA1713" s="17" t="s">
        <v>10803</v>
      </c>
      <c r="AB1713" s="11" t="str">
        <f>_xlfn.XLOOKUP(Customer[[#This Row],[Customer ID]],[1]!Address[ID],[1]!Address[Subtype])</f>
        <v>ONLINE ROS</v>
      </c>
      <c r="AC1713" s="18" t="str">
        <f>_xlfn.XLOOKUP(Customer[[#This Row],[Customer ID]],[1]!Address[ID],[1]!Address[Zone])</f>
        <v>EAST COAST</v>
      </c>
    </row>
    <row r="1714" spans="1:30" x14ac:dyDescent="0.3">
      <c r="A1714" s="10" t="s">
        <v>10804</v>
      </c>
      <c r="B1714" s="11" t="str">
        <f>_xlfn.XLOOKUP(Customer[[#This Row],[Customer ID]],[1]!Name[ID],[1]!Name[Description(1)])</f>
        <v>LALAFRUIT GROCER</v>
      </c>
      <c r="C1714" s="11" t="str">
        <f>_xlfn.XLOOKUP(Customer[[#This Row],[Customer ID]],[1]!Name[ID],[1]!Name[Description(2)])</f>
        <v>CLIFFWORKS RESOURCES</v>
      </c>
      <c r="D1714" s="11" t="str">
        <f>_xlfn.XLOOKUP(Customer[[#This Row],[Customer ID]],[1]!Address[ID],[1]!Address[PIC])</f>
        <v/>
      </c>
      <c r="E1714" s="11" t="str">
        <f>_xlfn.XLOOKUP(Customer[[#This Row],[Customer ID]],[1]!Address[ID],[1]!Address[Full Address])</f>
        <v>D-G-13A JALAN BG 3B/6,BANGI GATEWAY 3B, SEKSYEN 15,43650 BANDAR BARU BANGI, SELANGOR</v>
      </c>
      <c r="F1714" s="12" t="s">
        <v>10805</v>
      </c>
      <c r="G1714" s="12" t="s">
        <v>10806</v>
      </c>
      <c r="H1714" s="24" t="s">
        <v>10807</v>
      </c>
      <c r="I1714" s="24" t="b">
        <f>ISNUMBER(VALUE(LEFT(Customer[[#This Row],[Address Line 3 (30 char)]],1)))</f>
        <v>0</v>
      </c>
      <c r="J1714" s="12" t="s">
        <v>172</v>
      </c>
      <c r="K1714" s="12">
        <v>43650</v>
      </c>
      <c r="L1714" s="12" t="s">
        <v>35</v>
      </c>
      <c r="M1714" s="13" t="e">
        <v>#N/A</v>
      </c>
      <c r="N1714" s="14" t="e">
        <v>#N/A</v>
      </c>
      <c r="O1714" s="14" t="e">
        <v>#N/A</v>
      </c>
      <c r="P1714" s="14" t="e">
        <v>#N/A</v>
      </c>
      <c r="Q1714" s="19" t="e">
        <v>#N/A</v>
      </c>
      <c r="R1714" s="15" t="s">
        <v>8649</v>
      </c>
      <c r="S1714" s="15" t="s">
        <v>88</v>
      </c>
      <c r="T1714" s="16" t="s">
        <v>89</v>
      </c>
      <c r="U1714" s="11" t="str">
        <f>_xlfn.XLOOKUP(Customer[[#This Row],[Customer ID]],[1]!Address[ID],[1]!Address[Phone No.(2)])</f>
        <v/>
      </c>
      <c r="V1714" s="11" t="str">
        <f>_xlfn.XLOOKUP(Customer[[#This Row],[Customer ID]],[1]!Address[ID],[1]!Address[Type])</f>
        <v>SOCMED</v>
      </c>
      <c r="W1714" s="11" t="str">
        <f>_xlfn.XLOOKUP(Customer[[#This Row],[Customer ID]],[1]!Address[ID],[1]!Address[CT])</f>
        <v/>
      </c>
      <c r="X1714" s="11"/>
      <c r="Y1714" s="17" t="s">
        <v>90</v>
      </c>
      <c r="Z1714" s="17" t="e">
        <f>_xlfn.XLOOKUP(Customer[[#This Row],[NewType]],$AF$36:$AF$54,$AG$36:$AG$54)</f>
        <v>#N/A</v>
      </c>
      <c r="AA1714" s="17" t="s">
        <v>10808</v>
      </c>
      <c r="AB1714" s="11" t="str">
        <f>_xlfn.XLOOKUP(Customer[[#This Row],[Customer ID]],[1]!Address[ID],[1]!Address[Subtype])</f>
        <v>ONLINE ROS</v>
      </c>
      <c r="AC1714" s="18" t="str">
        <f>_xlfn.XLOOKUP(Customer[[#This Row],[Customer ID]],[1]!Address[ID],[1]!Address[Zone])</f>
        <v xml:space="preserve"> AEDH</v>
      </c>
    </row>
    <row r="1715" spans="1:30" x14ac:dyDescent="0.3">
      <c r="A1715" s="10" t="s">
        <v>10809</v>
      </c>
      <c r="B1715" s="11" t="str">
        <f>_xlfn.XLOOKUP(Customer[[#This Row],[Customer ID]],[1]!Name[ID],[1]!Name[Description(1)])</f>
        <v>PMG PHARMACY SITIAWAN</v>
      </c>
      <c r="C1715" s="11" t="str">
        <f>_xlfn.XLOOKUP(Customer[[#This Row],[Customer ID]],[1]!Name[ID],[1]!Name[Description(2)])</f>
        <v/>
      </c>
      <c r="D1715" s="11" t="str">
        <f>_xlfn.XLOOKUP(Customer[[#This Row],[Customer ID]],[1]!Address[ID],[1]!Address[PIC])</f>
        <v>HO SHAO JIN</v>
      </c>
      <c r="E1715" s="11" t="str">
        <f>_xlfn.XLOOKUP(Customer[[#This Row],[Customer ID]],[1]!Address[ID],[1]!Address[Full Address])</f>
        <v>PMG PHARMACY (PJS) SDN BHD,NO.10, TAMAN SITIAWAN MAJU, 32000SITIAWAN, PERAK</v>
      </c>
      <c r="F1715" s="12" t="s">
        <v>10810</v>
      </c>
      <c r="G1715" s="12" t="s">
        <v>10811</v>
      </c>
      <c r="H1715" s="12" t="s">
        <v>10812</v>
      </c>
      <c r="I1715" s="12" t="b">
        <f>ISNUMBER(VALUE(LEFT(Customer[[#This Row],[Address Line 3 (30 char)]],1)))</f>
        <v>0</v>
      </c>
      <c r="J1715" s="12" t="s">
        <v>242</v>
      </c>
      <c r="K1715" s="12">
        <v>32000</v>
      </c>
      <c r="L1715" s="12" t="s">
        <v>35</v>
      </c>
      <c r="M1715" s="13" t="e">
        <v>#N/A</v>
      </c>
      <c r="N1715" s="14" t="s">
        <v>10813</v>
      </c>
      <c r="O1715" s="14" t="e">
        <v>#N/A</v>
      </c>
      <c r="P1715" s="14" t="e">
        <v>#N/A</v>
      </c>
      <c r="Q1715" s="19" t="s">
        <v>10814</v>
      </c>
      <c r="R1715" s="15" t="s">
        <v>10815</v>
      </c>
      <c r="S1715" s="15" t="s">
        <v>89</v>
      </c>
      <c r="T1715" s="15" t="s">
        <v>89</v>
      </c>
      <c r="U1715" s="11" t="str">
        <f>_xlfn.XLOOKUP(Customer[[#This Row],[Customer ID]],[1]!Address[ID],[1]!Address[Phone No.(2)])</f>
        <v/>
      </c>
      <c r="V1715" s="11" t="str">
        <f>_xlfn.XLOOKUP(Customer[[#This Row],[Customer ID]],[1]!Address[ID],[1]!Address[Type])</f>
        <v>SOCMED</v>
      </c>
      <c r="W1715" s="11" t="str">
        <f>_xlfn.XLOOKUP(Customer[[#This Row],[Customer ID]],[1]!Address[ID],[1]!Address[CT])</f>
        <v/>
      </c>
      <c r="X1715" s="11"/>
      <c r="Y1715" s="17" t="s">
        <v>90</v>
      </c>
      <c r="Z1715" s="17" t="e">
        <f>_xlfn.XLOOKUP(Customer[[#This Row],[NewType]],$AF$36:$AF$54,$AG$36:$AG$54)</f>
        <v>#N/A</v>
      </c>
      <c r="AA1715" s="17" t="s">
        <v>10816</v>
      </c>
      <c r="AB1715" s="11" t="str">
        <f>_xlfn.XLOOKUP(Customer[[#This Row],[Customer ID]],[1]!Address[ID],[1]!Address[Subtype])</f>
        <v>WHATSAPP</v>
      </c>
      <c r="AC1715" s="18" t="str">
        <f>_xlfn.XLOOKUP(Customer[[#This Row],[Customer ID]],[1]!Address[ID],[1]!Address[Zone])</f>
        <v>NORTH</v>
      </c>
    </row>
    <row r="1716" spans="1:30" x14ac:dyDescent="0.3">
      <c r="A1716" s="10" t="s">
        <v>10817</v>
      </c>
      <c r="B1716" s="11" t="str">
        <f>_xlfn.XLOOKUP(Customer[[#This Row],[Customer ID]],[1]!Name[ID],[1]!Name[Description(1)])</f>
        <v>STESEN PETRONAS MANONG</v>
      </c>
      <c r="C1716" s="11" t="str">
        <f>_xlfn.XLOOKUP(Customer[[#This Row],[Customer ID]],[1]!Name[ID],[1]!Name[Description(2)])</f>
        <v>PS MANONG</v>
      </c>
      <c r="D1716" s="11" t="str">
        <f>_xlfn.XLOOKUP(Customer[[#This Row],[Customer ID]],[1]!Address[ID],[1]!Address[PIC])</f>
        <v/>
      </c>
      <c r="E1716" s="11" t="str">
        <f>_xlfn.XLOOKUP(Customer[[#This Row],[Customer ID]],[1]!Address[ID],[1]!Address[Full Address])</f>
        <v>PS MANONGLOT 2056 JALAN BESAR MANONG33800 MANONGPERAK DARUL RIDZUAN</v>
      </c>
      <c r="F1716" s="12" t="s">
        <v>10818</v>
      </c>
      <c r="G1716" s="12" t="s">
        <v>10819</v>
      </c>
      <c r="H1716" s="24" t="s">
        <v>10820</v>
      </c>
      <c r="I1716" s="24" t="b">
        <f>ISNUMBER(VALUE(LEFT(Customer[[#This Row],[Address Line 3 (30 char)]],1)))</f>
        <v>0</v>
      </c>
      <c r="J1716" s="12" t="s">
        <v>242</v>
      </c>
      <c r="K1716" s="12">
        <v>33800</v>
      </c>
      <c r="L1716" s="12" t="s">
        <v>35</v>
      </c>
      <c r="M1716" s="13" t="e">
        <v>#N/A</v>
      </c>
      <c r="N1716" s="14" t="e">
        <v>#N/A</v>
      </c>
      <c r="O1716" s="14" t="e">
        <v>#N/A</v>
      </c>
      <c r="P1716" s="14" t="e">
        <v>#N/A</v>
      </c>
      <c r="Q1716" s="19" t="s">
        <v>10821</v>
      </c>
      <c r="R1716" s="15" t="s">
        <v>10822</v>
      </c>
      <c r="S1716" s="15" t="s">
        <v>37</v>
      </c>
      <c r="T1716" s="16" t="s">
        <v>38</v>
      </c>
      <c r="U1716" s="11" t="str">
        <f>_xlfn.XLOOKUP(Customer[[#This Row],[Customer ID]],[1]!Address[ID],[1]!Address[Phone No.(2)])</f>
        <v/>
      </c>
      <c r="V1716" s="11" t="str">
        <f>_xlfn.XLOOKUP(Customer[[#This Row],[Customer ID]],[1]!Address[ID],[1]!Address[Type])</f>
        <v>PETROMART</v>
      </c>
      <c r="W1716" s="11" t="str">
        <f>_xlfn.XLOOKUP(Customer[[#This Row],[Customer ID]],[1]!Address[ID],[1]!Address[CT])</f>
        <v>30</v>
      </c>
      <c r="X1716" s="11" t="s">
        <v>39</v>
      </c>
      <c r="Y1716" s="17" t="s">
        <v>40</v>
      </c>
      <c r="Z1716" s="17" t="e">
        <f>_xlfn.XLOOKUP(Customer[[#This Row],[NewType]],$AF$36:$AF$54,$AG$36:$AG$54)</f>
        <v>#N/A</v>
      </c>
      <c r="AA1716" s="17" t="s">
        <v>10823</v>
      </c>
      <c r="AB1716" s="11" t="str">
        <f>_xlfn.XLOOKUP(Customer[[#This Row],[Customer ID]],[1]!Address[ID],[1]!Address[Subtype])</f>
        <v>PETRONAS</v>
      </c>
      <c r="AC1716" s="18" t="str">
        <f>_xlfn.XLOOKUP(Customer[[#This Row],[Customer ID]],[1]!Address[ID],[1]!Address[Zone])</f>
        <v>NORTH</v>
      </c>
    </row>
    <row r="1717" spans="1:30" x14ac:dyDescent="0.3">
      <c r="A1717" s="10" t="s">
        <v>10824</v>
      </c>
      <c r="B1717" s="11" t="str">
        <f>_xlfn.XLOOKUP(Customer[[#This Row],[Customer ID]],[1]!Name[ID],[1]!Name[Description(1)])</f>
        <v>MHA 339 ENTERPRISE</v>
      </c>
      <c r="C1717" s="11" t="str">
        <f>_xlfn.XLOOKUP(Customer[[#This Row],[Customer ID]],[1]!Name[ID],[1]!Name[Description(2)])</f>
        <v>PS BANDAR JERTEH</v>
      </c>
      <c r="D1717" s="11" t="str">
        <f>_xlfn.XLOOKUP(Customer[[#This Row],[Customer ID]],[1]!Address[ID],[1]!Address[PIC])</f>
        <v/>
      </c>
      <c r="E1717" s="11" t="str">
        <f>_xlfn.XLOOKUP(Customer[[#This Row],[Customer ID]],[1]!Address[ID],[1]!Address[Full Address])</f>
        <v>PS BANDAR JERTEHLOT 2247, CABANG TIGA22000 JERTEH, TERENGGANU</v>
      </c>
      <c r="F1717" s="12" t="s">
        <v>10825</v>
      </c>
      <c r="G1717" s="12" t="s">
        <v>10826</v>
      </c>
      <c r="H1717" s="24" t="s">
        <v>10827</v>
      </c>
      <c r="I1717" s="24" t="b">
        <f>ISNUMBER(VALUE(LEFT(Customer[[#This Row],[Address Line 3 (30 char)]],1)))</f>
        <v>0</v>
      </c>
      <c r="J1717" s="12" t="s">
        <v>1056</v>
      </c>
      <c r="K1717" s="12">
        <v>22000</v>
      </c>
      <c r="L1717" s="12" t="s">
        <v>35</v>
      </c>
      <c r="M1717" s="13">
        <v>202303243251</v>
      </c>
      <c r="N1717" s="14" t="s">
        <v>10828</v>
      </c>
      <c r="O1717" s="14" t="e">
        <v>#N/A</v>
      </c>
      <c r="P1717" s="14" t="e">
        <v>#N/A</v>
      </c>
      <c r="Q1717" s="19" t="s">
        <v>10829</v>
      </c>
      <c r="R1717" s="15" t="s">
        <v>10830</v>
      </c>
      <c r="S1717" s="15" t="s">
        <v>37</v>
      </c>
      <c r="T1717" s="16" t="s">
        <v>38</v>
      </c>
      <c r="U1717" s="11" t="str">
        <f>_xlfn.XLOOKUP(Customer[[#This Row],[Customer ID]],[1]!Address[ID],[1]!Address[Phone No.(2)])</f>
        <v/>
      </c>
      <c r="V1717" s="11" t="str">
        <f>_xlfn.XLOOKUP(Customer[[#This Row],[Customer ID]],[1]!Address[ID],[1]!Address[Type])</f>
        <v>PETROMART</v>
      </c>
      <c r="W1717" s="11" t="str">
        <f>_xlfn.XLOOKUP(Customer[[#This Row],[Customer ID]],[1]!Address[ID],[1]!Address[CT])</f>
        <v>30</v>
      </c>
      <c r="X1717" s="11" t="s">
        <v>39</v>
      </c>
      <c r="Y1717" s="17" t="s">
        <v>40</v>
      </c>
      <c r="Z1717" s="17" t="e">
        <f>_xlfn.XLOOKUP(Customer[[#This Row],[NewType]],$AF$36:$AF$54,$AG$36:$AG$54)</f>
        <v>#N/A</v>
      </c>
      <c r="AA1717" s="17" t="s">
        <v>10831</v>
      </c>
      <c r="AB1717" s="11" t="str">
        <f>_xlfn.XLOOKUP(Customer[[#This Row],[Customer ID]],[1]!Address[ID],[1]!Address[Subtype])</f>
        <v>PETRONAS</v>
      </c>
      <c r="AC1717" s="18" t="str">
        <f>_xlfn.XLOOKUP(Customer[[#This Row],[Customer ID]],[1]!Address[ID],[1]!Address[Zone])</f>
        <v>EAST COAST</v>
      </c>
    </row>
    <row r="1718" spans="1:30" x14ac:dyDescent="0.3">
      <c r="A1718" s="10" t="s">
        <v>10832</v>
      </c>
      <c r="B1718" s="11" t="str">
        <f>_xlfn.XLOOKUP(Customer[[#This Row],[Customer ID]],[1]!Name[ID],[1]!Name[Description(1)])</f>
        <v>IRFAN GO MART</v>
      </c>
      <c r="C1718" s="11" t="str">
        <f>_xlfn.XLOOKUP(Customer[[#This Row],[Customer ID]],[1]!Name[ID],[1]!Name[Description(2)])</f>
        <v>IRAD RESOURCES</v>
      </c>
      <c r="D1718" s="11" t="str">
        <f>_xlfn.XLOOKUP(Customer[[#This Row],[Customer ID]],[1]!Address[ID],[1]!Address[PIC])</f>
        <v/>
      </c>
      <c r="E1718" s="11" t="str">
        <f>_xlfn.XLOOKUP(Customer[[#This Row],[Customer ID]],[1]!Address[ID],[1]!Address[Full Address])</f>
        <v>142 JALAN PECAH ROTANBATU RAKIT21020 KUALA NERUS, TERENGGANU</v>
      </c>
      <c r="F1718" s="12" t="s">
        <v>10833</v>
      </c>
      <c r="G1718" s="12" t="s">
        <v>10834</v>
      </c>
      <c r="H1718" s="24" t="s">
        <v>8740</v>
      </c>
      <c r="I1718" s="24" t="b">
        <f>ISNUMBER(VALUE(LEFT(Customer[[#This Row],[Address Line 3 (30 char)]],1)))</f>
        <v>0</v>
      </c>
      <c r="J1718" s="12" t="s">
        <v>1056</v>
      </c>
      <c r="K1718" s="12">
        <v>21020</v>
      </c>
      <c r="L1718" s="12" t="s">
        <v>35</v>
      </c>
      <c r="M1718" s="13" t="e">
        <v>#N/A</v>
      </c>
      <c r="N1718" s="14" t="e">
        <v>#N/A</v>
      </c>
      <c r="O1718" s="14" t="e">
        <v>#N/A</v>
      </c>
      <c r="P1718" s="14" t="e">
        <v>#N/A</v>
      </c>
      <c r="Q1718" s="19" t="e">
        <v>#N/A</v>
      </c>
      <c r="R1718" s="15" t="s">
        <v>10835</v>
      </c>
      <c r="S1718" s="15" t="s">
        <v>88</v>
      </c>
      <c r="T1718" s="16" t="s">
        <v>89</v>
      </c>
      <c r="U1718" s="11" t="str">
        <f>_xlfn.XLOOKUP(Customer[[#This Row],[Customer ID]],[1]!Address[ID],[1]!Address[Phone No.(2)])</f>
        <v/>
      </c>
      <c r="V1718" s="11" t="str">
        <f>_xlfn.XLOOKUP(Customer[[#This Row],[Customer ID]],[1]!Address[ID],[1]!Address[Type])</f>
        <v>SOCMED</v>
      </c>
      <c r="W1718" s="11" t="str">
        <f>_xlfn.XLOOKUP(Customer[[#This Row],[Customer ID]],[1]!Address[ID],[1]!Address[CT])</f>
        <v/>
      </c>
      <c r="X1718" s="11"/>
      <c r="Y1718" s="17" t="s">
        <v>90</v>
      </c>
      <c r="Z1718" s="17" t="e">
        <f>_xlfn.XLOOKUP(Customer[[#This Row],[NewType]],$AF$36:$AF$54,$AG$36:$AG$54)</f>
        <v>#N/A</v>
      </c>
      <c r="AA1718" s="17" t="s">
        <v>10836</v>
      </c>
      <c r="AB1718" s="11" t="str">
        <f>_xlfn.XLOOKUP(Customer[[#This Row],[Customer ID]],[1]!Address[ID],[1]!Address[Subtype])</f>
        <v>ONLINE ROS</v>
      </c>
      <c r="AC1718" s="18" t="str">
        <f>_xlfn.XLOOKUP(Customer[[#This Row],[Customer ID]],[1]!Address[ID],[1]!Address[Zone])</f>
        <v>EAST COAST</v>
      </c>
    </row>
    <row r="1719" spans="1:30" x14ac:dyDescent="0.3">
      <c r="A1719" s="10" t="s">
        <v>10837</v>
      </c>
      <c r="B1719" s="11" t="str">
        <f>_xlfn.XLOOKUP(Customer[[#This Row],[Customer ID]],[1]!Name[ID],[1]!Name[Description(1)])</f>
        <v>SORLINAZ MART</v>
      </c>
      <c r="C1719" s="11" t="str">
        <f>_xlfn.XLOOKUP(Customer[[#This Row],[Customer ID]],[1]!Name[ID],[1]!Name[Description(2)])</f>
        <v/>
      </c>
      <c r="D1719" s="11" t="str">
        <f>_xlfn.XLOOKUP(Customer[[#This Row],[Customer ID]],[1]!Address[ID],[1]!Address[PIC])</f>
        <v>AZZIZAN MANSOO</v>
      </c>
      <c r="E1719" s="11" t="str">
        <f>_xlfn.XLOOKUP(Customer[[#This Row],[Customer ID]],[1]!Address[ID],[1]!Address[Full Address])</f>
        <v>SORLINAZ MARTPARIT RAJA,86400 BATU PAHAT,JOHOR</v>
      </c>
      <c r="F1719" s="12" t="s">
        <v>10838</v>
      </c>
      <c r="G1719" s="12" t="s">
        <v>10839</v>
      </c>
      <c r="H1719" s="24" t="s">
        <v>4369</v>
      </c>
      <c r="I1719" s="24" t="b">
        <f>ISNUMBER(VALUE(LEFT(Customer[[#This Row],[Address Line 3 (30 char)]],1)))</f>
        <v>0</v>
      </c>
      <c r="J1719" s="12" t="s">
        <v>52</v>
      </c>
      <c r="K1719" s="12">
        <v>86400</v>
      </c>
      <c r="L1719" s="12" t="s">
        <v>35</v>
      </c>
      <c r="M1719" s="13" t="e">
        <v>#N/A</v>
      </c>
      <c r="N1719" s="14" t="e">
        <v>#N/A</v>
      </c>
      <c r="O1719" s="14" t="e">
        <v>#N/A</v>
      </c>
      <c r="P1719" s="14" t="e">
        <v>#N/A</v>
      </c>
      <c r="Q1719" s="19" t="e">
        <v>#N/A</v>
      </c>
      <c r="R1719" s="15" t="s">
        <v>10840</v>
      </c>
      <c r="S1719" s="15" t="s">
        <v>88</v>
      </c>
      <c r="T1719" s="16" t="s">
        <v>89</v>
      </c>
      <c r="U1719" s="11" t="str">
        <f>_xlfn.XLOOKUP(Customer[[#This Row],[Customer ID]],[1]!Address[ID],[1]!Address[Phone No.(2)])</f>
        <v/>
      </c>
      <c r="V1719" s="11" t="str">
        <f>_xlfn.XLOOKUP(Customer[[#This Row],[Customer ID]],[1]!Address[ID],[1]!Address[Type])</f>
        <v>SOCMED</v>
      </c>
      <c r="W1719" s="11" t="str">
        <f>_xlfn.XLOOKUP(Customer[[#This Row],[Customer ID]],[1]!Address[ID],[1]!Address[CT])</f>
        <v/>
      </c>
      <c r="X1719" s="11"/>
      <c r="Y1719" s="17" t="s">
        <v>90</v>
      </c>
      <c r="Z1719" s="17" t="e">
        <f>_xlfn.XLOOKUP(Customer[[#This Row],[NewType]],$AF$36:$AF$54,$AG$36:$AG$54)</f>
        <v>#N/A</v>
      </c>
      <c r="AA1719" s="17" t="s">
        <v>10841</v>
      </c>
      <c r="AB1719" s="11" t="str">
        <f>_xlfn.XLOOKUP(Customer[[#This Row],[Customer ID]],[1]!Address[ID],[1]!Address[Subtype])</f>
        <v>ONLINE ROS</v>
      </c>
      <c r="AC1719" s="18" t="str">
        <f>_xlfn.XLOOKUP(Customer[[#This Row],[Customer ID]],[1]!Address[ID],[1]!Address[Zone])</f>
        <v>SOUTH</v>
      </c>
    </row>
    <row r="1720" spans="1:30" x14ac:dyDescent="0.3">
      <c r="A1720" s="10" t="s">
        <v>10842</v>
      </c>
      <c r="B1720" s="11" t="str">
        <f>_xlfn.XLOOKUP(Customer[[#This Row],[Customer ID]],[1]!Name[ID],[1]!Name[Description(1)])</f>
        <v>FARMASI HUTAN MELINTANG SDN BHD</v>
      </c>
      <c r="C1720" s="11" t="str">
        <f>_xlfn.XLOOKUP(Customer[[#This Row],[Customer ID]],[1]!Name[ID],[1]!Name[Description(2)])</f>
        <v/>
      </c>
      <c r="D1720" s="11" t="str">
        <f>_xlfn.XLOOKUP(Customer[[#This Row],[Customer ID]],[1]!Address[ID],[1]!Address[PIC])</f>
        <v/>
      </c>
      <c r="E1720" s="11" t="str">
        <f>_xlfn.XLOOKUP(Customer[[#This Row],[Customer ID]],[1]!Address[ID],[1]!Address[Full Address])</f>
        <v>NO 4, TAMAN SRI PERAK SIMPANG EMPAT,36400 HUTAN MELINTANG,PERAK</v>
      </c>
      <c r="F1720" s="12" t="s">
        <v>10843</v>
      </c>
      <c r="G1720" s="12" t="s">
        <v>10844</v>
      </c>
      <c r="H1720" s="12" t="s">
        <v>10845</v>
      </c>
      <c r="I1720" s="12" t="b">
        <f>ISNUMBER(VALUE(LEFT(Customer[[#This Row],[Address Line 3 (30 char)]],1)))</f>
        <v>0</v>
      </c>
      <c r="J1720" s="12" t="s">
        <v>242</v>
      </c>
      <c r="K1720" s="12">
        <v>36400</v>
      </c>
      <c r="L1720" s="12" t="s">
        <v>35</v>
      </c>
      <c r="M1720" s="13" t="e">
        <v>#N/A</v>
      </c>
      <c r="N1720" s="14" t="e">
        <v>#N/A</v>
      </c>
      <c r="O1720" s="14" t="e">
        <v>#N/A</v>
      </c>
      <c r="P1720" s="14" t="e">
        <v>#N/A</v>
      </c>
      <c r="Q1720" s="19" t="e">
        <v>#N/A</v>
      </c>
      <c r="R1720" s="15" t="s">
        <v>10846</v>
      </c>
      <c r="S1720" s="15" t="s">
        <v>88</v>
      </c>
      <c r="T1720" s="16" t="s">
        <v>89</v>
      </c>
      <c r="U1720" s="11" t="str">
        <f>_xlfn.XLOOKUP(Customer[[#This Row],[Customer ID]],[1]!Address[ID],[1]!Address[Phone No.(2)])</f>
        <v/>
      </c>
      <c r="V1720" s="11" t="str">
        <f>_xlfn.XLOOKUP(Customer[[#This Row],[Customer ID]],[1]!Address[ID],[1]!Address[Type])</f>
        <v>SOCMED</v>
      </c>
      <c r="W1720" s="11" t="str">
        <f>_xlfn.XLOOKUP(Customer[[#This Row],[Customer ID]],[1]!Address[ID],[1]!Address[CT])</f>
        <v/>
      </c>
      <c r="X1720" s="11"/>
      <c r="Y1720" s="17" t="s">
        <v>90</v>
      </c>
      <c r="Z1720" s="17" t="e">
        <f>_xlfn.XLOOKUP(Customer[[#This Row],[NewType]],$AF$36:$AF$54,$AG$36:$AG$54)</f>
        <v>#N/A</v>
      </c>
      <c r="AA1720" s="17" t="s">
        <v>10847</v>
      </c>
      <c r="AB1720" s="11" t="str">
        <f>_xlfn.XLOOKUP(Customer[[#This Row],[Customer ID]],[1]!Address[ID],[1]!Address[Subtype])</f>
        <v>ONLINE ROS</v>
      </c>
      <c r="AC1720" s="18" t="str">
        <f>_xlfn.XLOOKUP(Customer[[#This Row],[Customer ID]],[1]!Address[ID],[1]!Address[Zone])</f>
        <v>NORTH</v>
      </c>
    </row>
    <row r="1721" spans="1:30" x14ac:dyDescent="0.3">
      <c r="A1721" s="48" t="s">
        <v>10848</v>
      </c>
      <c r="B1721" s="49" t="str">
        <f>_xlfn.XLOOKUP(Customer[[#This Row],[Customer ID]],[1]!Name[ID],[1]!Name[Description(1)])</f>
        <v>FARMASI AMC JELI</v>
      </c>
      <c r="C1721" s="11" t="str">
        <f>_xlfn.XLOOKUP(Customer[[#This Row],[Customer ID]],[1]!Name[ID],[1]!Name[Description(2)])</f>
        <v/>
      </c>
      <c r="D1721" s="11" t="str">
        <f>_xlfn.XLOOKUP(Customer[[#This Row],[Customer ID]],[1]!Address[ID],[1]!Address[PIC])</f>
        <v/>
      </c>
      <c r="E1721" s="11" t="str">
        <f>_xlfn.XLOOKUP(Customer[[#This Row],[Customer ID]],[1]!Address[ID],[1]!Address[Full Address])</f>
        <v>PT 6647  &amp; 6648 KG KULIMKG BUKIT LAKOTA 17600 JELI, KELANTAN</v>
      </c>
      <c r="F1721" s="12" t="s">
        <v>10849</v>
      </c>
      <c r="G1721" s="12" t="s">
        <v>10850</v>
      </c>
      <c r="H1721" s="12" t="s">
        <v>36</v>
      </c>
      <c r="I1721" s="12" t="b">
        <f>ISNUMBER(VALUE(LEFT(Customer[[#This Row],[Address Line 3 (30 char)]],1)))</f>
        <v>0</v>
      </c>
      <c r="J1721" s="12" t="s">
        <v>1007</v>
      </c>
      <c r="K1721" s="12">
        <v>17600</v>
      </c>
      <c r="L1721" s="12" t="s">
        <v>35</v>
      </c>
      <c r="M1721" s="13" t="e">
        <v>#N/A</v>
      </c>
      <c r="N1721" s="14" t="e">
        <v>#N/A</v>
      </c>
      <c r="O1721" s="14" t="e">
        <v>#N/A</v>
      </c>
      <c r="P1721" s="14" t="e">
        <v>#N/A</v>
      </c>
      <c r="Q1721" s="19" t="e">
        <v>#N/A</v>
      </c>
      <c r="R1721" s="15" t="s">
        <v>10851</v>
      </c>
      <c r="S1721" s="15" t="s">
        <v>3212</v>
      </c>
      <c r="T1721" s="16" t="s">
        <v>89</v>
      </c>
      <c r="U1721" s="11" t="str">
        <f>_xlfn.XLOOKUP(Customer[[#This Row],[Customer ID]],[1]!Address[ID],[1]!Address[Phone No.(2)])</f>
        <v/>
      </c>
      <c r="V1721" s="11" t="str">
        <f>_xlfn.XLOOKUP(Customer[[#This Row],[Customer ID]],[1]!Address[ID],[1]!Address[Type])</f>
        <v>SOCMED</v>
      </c>
      <c r="W1721" s="11" t="str">
        <f>_xlfn.XLOOKUP(Customer[[#This Row],[Customer ID]],[1]!Address[ID],[1]!Address[CT])</f>
        <v/>
      </c>
      <c r="X1721" s="11"/>
      <c r="Y1721" s="17" t="s">
        <v>90</v>
      </c>
      <c r="Z1721" s="17" t="e">
        <f>_xlfn.XLOOKUP(Customer[[#This Row],[NewType]],$AF$36:$AF$54,$AG$36:$AG$54)</f>
        <v>#N/A</v>
      </c>
      <c r="AA1721" s="17" t="s">
        <v>10852</v>
      </c>
      <c r="AB1721" s="11" t="str">
        <f>_xlfn.XLOOKUP(Customer[[#This Row],[Customer ID]],[1]!Address[ID],[1]!Address[Subtype])</f>
        <v>ONLINE HAJAR</v>
      </c>
      <c r="AC1721" s="18" t="str">
        <f>_xlfn.XLOOKUP(Customer[[#This Row],[Customer ID]],[1]!Address[ID],[1]!Address[Zone])</f>
        <v>EAST COAST</v>
      </c>
    </row>
    <row r="1722" spans="1:30" x14ac:dyDescent="0.3">
      <c r="A1722" s="48" t="s">
        <v>10853</v>
      </c>
      <c r="B1722" s="49" t="str">
        <f>_xlfn.XLOOKUP(Customer[[#This Row],[Customer ID]],[1]!Name[ID],[1]!Name[Description(1)])</f>
        <v>FARMASI SELAMA</v>
      </c>
      <c r="C1722" s="11" t="str">
        <f>_xlfn.XLOOKUP(Customer[[#This Row],[Customer ID]],[1]!Name[ID],[1]!Name[Description(2)])</f>
        <v/>
      </c>
      <c r="D1722" s="11" t="str">
        <f>_xlfn.XLOOKUP(Customer[[#This Row],[Customer ID]],[1]!Address[ID],[1]!Address[PIC])</f>
        <v/>
      </c>
      <c r="E1722" s="11" t="str">
        <f>_xlfn.XLOOKUP(Customer[[#This Row],[Customer ID]],[1]!Address[ID],[1]!Address[Full Address])</f>
        <v>LOT 366, JALAN BESAR 34100 SELAMA,PERAK</v>
      </c>
      <c r="F1722" s="12" t="s">
        <v>10854</v>
      </c>
      <c r="G1722" s="12" t="s">
        <v>2995</v>
      </c>
      <c r="H1722" s="12" t="s">
        <v>4517</v>
      </c>
      <c r="I1722" s="12" t="b">
        <f>ISNUMBER(VALUE(LEFT(Customer[[#This Row],[Address Line 3 (30 char)]],1)))</f>
        <v>0</v>
      </c>
      <c r="J1722" s="12" t="s">
        <v>242</v>
      </c>
      <c r="K1722" s="12">
        <v>34100</v>
      </c>
      <c r="L1722" s="12" t="s">
        <v>35</v>
      </c>
      <c r="M1722" s="13" t="e">
        <v>#N/A</v>
      </c>
      <c r="N1722" s="14" t="e">
        <v>#N/A</v>
      </c>
      <c r="O1722" s="14" t="e">
        <v>#N/A</v>
      </c>
      <c r="P1722" s="14" t="e">
        <v>#N/A</v>
      </c>
      <c r="Q1722" s="19" t="e">
        <v>#N/A</v>
      </c>
      <c r="R1722" s="15" t="s">
        <v>10855</v>
      </c>
      <c r="S1722" s="15" t="s">
        <v>3212</v>
      </c>
      <c r="T1722" s="16" t="s">
        <v>89</v>
      </c>
      <c r="U1722" s="11" t="str">
        <f>_xlfn.XLOOKUP(Customer[[#This Row],[Customer ID]],[1]!Address[ID],[1]!Address[Phone No.(2)])</f>
        <v/>
      </c>
      <c r="V1722" s="11" t="str">
        <f>_xlfn.XLOOKUP(Customer[[#This Row],[Customer ID]],[1]!Address[ID],[1]!Address[Type])</f>
        <v>SOCMED</v>
      </c>
      <c r="W1722" s="11" t="str">
        <f>_xlfn.XLOOKUP(Customer[[#This Row],[Customer ID]],[1]!Address[ID],[1]!Address[CT])</f>
        <v/>
      </c>
      <c r="X1722" s="11"/>
      <c r="Y1722" s="17" t="s">
        <v>90</v>
      </c>
      <c r="Z1722" s="17" t="e">
        <f>_xlfn.XLOOKUP(Customer[[#This Row],[NewType]],$AF$36:$AF$54,$AG$36:$AG$54)</f>
        <v>#N/A</v>
      </c>
      <c r="AA1722" s="17" t="s">
        <v>10856</v>
      </c>
      <c r="AB1722" s="11" t="str">
        <f>_xlfn.XLOOKUP(Customer[[#This Row],[Customer ID]],[1]!Address[ID],[1]!Address[Subtype])</f>
        <v>ONLINE HAJAR</v>
      </c>
      <c r="AC1722" s="18" t="str">
        <f>_xlfn.XLOOKUP(Customer[[#This Row],[Customer ID]],[1]!Address[ID],[1]!Address[Zone])</f>
        <v>NORTH</v>
      </c>
    </row>
    <row r="1723" spans="1:30" x14ac:dyDescent="0.3">
      <c r="A1723" s="48" t="s">
        <v>10857</v>
      </c>
      <c r="B1723" s="49" t="str">
        <f>_xlfn.XLOOKUP(Customer[[#This Row],[Customer ID]],[1]!Name[ID],[1]!Name[Description(1)])</f>
        <v>FARMASI YAYASAN (JALAN PEMUDA)</v>
      </c>
      <c r="C1723" s="11" t="str">
        <f>_xlfn.XLOOKUP(Customer[[#This Row],[Customer ID]],[1]!Name[ID],[1]!Name[Description(2)])</f>
        <v>MAGNIFICENT DIAMONDS</v>
      </c>
      <c r="D1723" s="11" t="str">
        <f>_xlfn.XLOOKUP(Customer[[#This Row],[Customer ID]],[1]!Address[ID],[1]!Address[PIC])</f>
        <v/>
      </c>
      <c r="E1723" s="11" t="str">
        <f>_xlfn.XLOOKUP(Customer[[#This Row],[Customer ID]],[1]!Address[ID],[1]!Address[Full Address])</f>
        <v>MAGNIFICENT DIAMONDS RESOURCES122, JALAN SUSUR PEMUDA 1,85000 SEGAMAT, JOHOR.</v>
      </c>
      <c r="F1723" s="12" t="s">
        <v>10858</v>
      </c>
      <c r="G1723" s="12" t="s">
        <v>10859</v>
      </c>
      <c r="H1723" s="24" t="s">
        <v>1270</v>
      </c>
      <c r="I1723" s="24" t="b">
        <f>ISNUMBER(VALUE(LEFT(Customer[[#This Row],[Address Line 3 (30 char)]],1)))</f>
        <v>0</v>
      </c>
      <c r="J1723" s="12" t="s">
        <v>52</v>
      </c>
      <c r="K1723" s="12">
        <v>85000</v>
      </c>
      <c r="L1723" s="12" t="s">
        <v>35</v>
      </c>
      <c r="M1723" s="13" t="e">
        <v>#N/A</v>
      </c>
      <c r="N1723" s="14" t="e">
        <v>#N/A</v>
      </c>
      <c r="O1723" s="14" t="e">
        <v>#N/A</v>
      </c>
      <c r="P1723" s="14" t="e">
        <v>#N/A</v>
      </c>
      <c r="Q1723" s="19" t="e">
        <v>#N/A</v>
      </c>
      <c r="R1723" s="15" t="s">
        <v>10860</v>
      </c>
      <c r="S1723" s="15" t="s">
        <v>3212</v>
      </c>
      <c r="T1723" s="16" t="s">
        <v>89</v>
      </c>
      <c r="U1723" s="11" t="str">
        <f>_xlfn.XLOOKUP(Customer[[#This Row],[Customer ID]],[1]!Address[ID],[1]!Address[Phone No.(2)])</f>
        <v/>
      </c>
      <c r="V1723" s="11" t="str">
        <f>_xlfn.XLOOKUP(Customer[[#This Row],[Customer ID]],[1]!Address[ID],[1]!Address[Type])</f>
        <v>SOCMED</v>
      </c>
      <c r="W1723" s="11" t="str">
        <f>_xlfn.XLOOKUP(Customer[[#This Row],[Customer ID]],[1]!Address[ID],[1]!Address[CT])</f>
        <v/>
      </c>
      <c r="X1723" s="11"/>
      <c r="Y1723" s="17" t="s">
        <v>90</v>
      </c>
      <c r="Z1723" s="17" t="e">
        <f>_xlfn.XLOOKUP(Customer[[#This Row],[NewType]],$AF$36:$AF$54,$AG$36:$AG$54)</f>
        <v>#N/A</v>
      </c>
      <c r="AA1723" s="17" t="s">
        <v>10861</v>
      </c>
      <c r="AB1723" s="11" t="str">
        <f>_xlfn.XLOOKUP(Customer[[#This Row],[Customer ID]],[1]!Address[ID],[1]!Address[Subtype])</f>
        <v>ONLINE HAJAR</v>
      </c>
      <c r="AC1723" s="18" t="str">
        <f>_xlfn.XLOOKUP(Customer[[#This Row],[Customer ID]],[1]!Address[ID],[1]!Address[Zone])</f>
        <v>SOUTH</v>
      </c>
    </row>
    <row r="1724" spans="1:30" x14ac:dyDescent="0.3">
      <c r="A1724" s="48" t="s">
        <v>10862</v>
      </c>
      <c r="B1724" s="49" t="str">
        <f>_xlfn.XLOOKUP(Customer[[#This Row],[Customer ID]],[1]!Name[ID],[1]!Name[Description(1)])</f>
        <v>FARMASI MOHD ZUBIR SDN BHD</v>
      </c>
      <c r="C1724" s="11" t="str">
        <f>_xlfn.XLOOKUP(Customer[[#This Row],[Customer ID]],[1]!Name[ID],[1]!Name[Description(2)])</f>
        <v/>
      </c>
      <c r="D1724" s="11" t="str">
        <f>_xlfn.XLOOKUP(Customer[[#This Row],[Customer ID]],[1]!Address[ID],[1]!Address[PIC])</f>
        <v/>
      </c>
      <c r="E1724" s="11" t="str">
        <f>_xlfn.XLOOKUP(Customer[[#This Row],[Customer ID]],[1]!Address[ID],[1]!Address[Full Address])</f>
        <v>NO 14, TAMAN BANDAR BARU,POKOK SENA 06400 ALOR SETAR, KEDAH</v>
      </c>
      <c r="F1724" s="12" t="s">
        <v>10863</v>
      </c>
      <c r="G1724" s="12" t="s">
        <v>10864</v>
      </c>
      <c r="H1724" s="12" t="s">
        <v>36</v>
      </c>
      <c r="I1724" s="12" t="b">
        <f>ISNUMBER(VALUE(LEFT(Customer[[#This Row],[Address Line 3 (30 char)]],1)))</f>
        <v>0</v>
      </c>
      <c r="J1724" s="12" t="s">
        <v>355</v>
      </c>
      <c r="K1724" s="30" t="s">
        <v>7949</v>
      </c>
      <c r="L1724" s="12" t="s">
        <v>35</v>
      </c>
      <c r="M1724" s="13" t="e">
        <v>#N/A</v>
      </c>
      <c r="N1724" s="14" t="e">
        <v>#N/A</v>
      </c>
      <c r="O1724" s="14" t="e">
        <v>#N/A</v>
      </c>
      <c r="P1724" s="14" t="e">
        <v>#N/A</v>
      </c>
      <c r="Q1724" s="19" t="s">
        <v>10865</v>
      </c>
      <c r="R1724" s="15" t="s">
        <v>10866</v>
      </c>
      <c r="S1724" s="15" t="s">
        <v>3212</v>
      </c>
      <c r="T1724" s="16" t="s">
        <v>89</v>
      </c>
      <c r="U1724" s="11" t="str">
        <f>_xlfn.XLOOKUP(Customer[[#This Row],[Customer ID]],[1]!Address[ID],[1]!Address[Phone No.(2)])</f>
        <v/>
      </c>
      <c r="V1724" s="11" t="str">
        <f>_xlfn.XLOOKUP(Customer[[#This Row],[Customer ID]],[1]!Address[ID],[1]!Address[Type])</f>
        <v>SOCMED</v>
      </c>
      <c r="W1724" s="11" t="str">
        <f>_xlfn.XLOOKUP(Customer[[#This Row],[Customer ID]],[1]!Address[ID],[1]!Address[CT])</f>
        <v/>
      </c>
      <c r="X1724" s="11"/>
      <c r="Y1724" s="17" t="s">
        <v>90</v>
      </c>
      <c r="Z1724" s="17" t="e">
        <f>_xlfn.XLOOKUP(Customer[[#This Row],[NewType]],$AF$36:$AF$54,$AG$36:$AG$54)</f>
        <v>#N/A</v>
      </c>
      <c r="AA1724" s="17" t="s">
        <v>10867</v>
      </c>
      <c r="AB1724" s="11" t="str">
        <f>_xlfn.XLOOKUP(Customer[[#This Row],[Customer ID]],[1]!Address[ID],[1]!Address[Subtype])</f>
        <v>ONLINE HAJAR</v>
      </c>
      <c r="AC1724" s="18" t="str">
        <f>_xlfn.XLOOKUP(Customer[[#This Row],[Customer ID]],[1]!Address[ID],[1]!Address[Zone])</f>
        <v>NORTH</v>
      </c>
    </row>
    <row r="1725" spans="1:30" x14ac:dyDescent="0.3">
      <c r="A1725" s="48" t="s">
        <v>10868</v>
      </c>
      <c r="B1725" s="49" t="str">
        <f>_xlfn.XLOOKUP(Customer[[#This Row],[Customer ID]],[1]!Name[ID],[1]!Name[Description(1)])</f>
        <v>MHC ENTERPRISE</v>
      </c>
      <c r="C1725" s="49" t="str">
        <f>_xlfn.XLOOKUP(Customer[[#This Row],[Customer ID]],[1]!Name[ID],[1]!Name[Description(2)])</f>
        <v/>
      </c>
      <c r="D1725" s="49" t="str">
        <f>_xlfn.XLOOKUP(Customer[[#This Row],[Customer ID]],[1]!Address[ID],[1]!Address[PIC])</f>
        <v/>
      </c>
      <c r="E1725" s="11" t="str">
        <f>_xlfn.XLOOKUP(Customer[[#This Row],[Customer ID]],[1]!Address[ID],[1]!Address[Full Address])</f>
        <v>NO. 18, TAMAN ISKANDAR BISTARI,BANDAR SERI ISKANDAR, 32600BOTA, PERAK</v>
      </c>
      <c r="F1725" s="63" t="s">
        <v>10869</v>
      </c>
      <c r="G1725" s="63" t="s">
        <v>10870</v>
      </c>
      <c r="H1725" s="63" t="s">
        <v>10871</v>
      </c>
      <c r="I1725" s="63" t="b">
        <f>ISNUMBER(VALUE(LEFT(Customer[[#This Row],[Address Line 3 (30 char)]],1)))</f>
        <v>0</v>
      </c>
      <c r="J1725" s="63" t="s">
        <v>242</v>
      </c>
      <c r="K1725" s="63">
        <v>32600</v>
      </c>
      <c r="L1725" s="63" t="s">
        <v>35</v>
      </c>
      <c r="M1725" s="65" t="e">
        <v>#N/A</v>
      </c>
      <c r="N1725" s="66" t="e">
        <v>#N/A</v>
      </c>
      <c r="O1725" s="66" t="e">
        <v>#N/A</v>
      </c>
      <c r="P1725" s="66" t="e">
        <v>#N/A</v>
      </c>
      <c r="Q1725" s="110" t="e">
        <v>#N/A</v>
      </c>
      <c r="R1725" s="51" t="s">
        <v>10872</v>
      </c>
      <c r="S1725" s="52" t="s">
        <v>89</v>
      </c>
      <c r="T1725" s="52" t="s">
        <v>89</v>
      </c>
      <c r="U1725" s="49" t="str">
        <f>_xlfn.XLOOKUP(Customer[[#This Row],[Customer ID]],[1]!Address[ID],[1]!Address[Phone No.(2)])</f>
        <v/>
      </c>
      <c r="V1725" s="49" t="str">
        <f>_xlfn.XLOOKUP(Customer[[#This Row],[Customer ID]],[1]!Address[ID],[1]!Address[Type])</f>
        <v>SOCMED</v>
      </c>
      <c r="W1725" s="49" t="str">
        <f>_xlfn.XLOOKUP(Customer[[#This Row],[Customer ID]],[1]!Address[ID],[1]!Address[CT])</f>
        <v/>
      </c>
      <c r="X1725" s="49"/>
      <c r="Y1725" s="53" t="s">
        <v>90</v>
      </c>
      <c r="Z1725" s="53" t="e">
        <f>_xlfn.XLOOKUP(Customer[[#This Row],[NewType]],$AF$36:$AF$54,$AG$36:$AG$54)</f>
        <v>#N/A</v>
      </c>
      <c r="AA1725" s="53" t="s">
        <v>10873</v>
      </c>
      <c r="AB1725" s="49" t="str">
        <f>_xlfn.XLOOKUP(Customer[[#This Row],[Customer ID]],[1]!Address[ID],[1]!Address[Subtype])</f>
        <v>WHATSAPP</v>
      </c>
      <c r="AC1725" s="54" t="str">
        <f>_xlfn.XLOOKUP(Customer[[#This Row],[Customer ID]],[1]!Address[ID],[1]!Address[Zone])</f>
        <v>NORTH</v>
      </c>
      <c r="AD1725" s="55"/>
    </row>
    <row r="1726" spans="1:30" x14ac:dyDescent="0.3">
      <c r="A1726" s="10" t="s">
        <v>10874</v>
      </c>
      <c r="B1726" s="11" t="str">
        <f>_xlfn.XLOOKUP(Customer[[#This Row],[Customer ID]],[1]!Name[ID],[1]!Name[Description(1)])</f>
        <v>BINTANG CERIA TRADING</v>
      </c>
      <c r="C1726" s="11" t="str">
        <f>_xlfn.XLOOKUP(Customer[[#This Row],[Customer ID]],[1]!Name[ID],[1]!Name[Description(2)])</f>
        <v>CALTEX BINTANG CERIA TRADING</v>
      </c>
      <c r="D1726" s="11" t="str">
        <f>_xlfn.XLOOKUP(Customer[[#This Row],[Customer ID]],[1]!Address[ID],[1]!Address[PIC])</f>
        <v/>
      </c>
      <c r="E1726" s="11" t="str">
        <f>_xlfn.XLOOKUP(Customer[[#This Row],[Customer ID]],[1]!Address[ID],[1]!Address[Full Address])</f>
        <v>CALTEX BINTANG CERIA TRADINGLOT 6878, JALAN PERUSAHAANPUSAT BANDAR 34200 PARIT BUNTARPERAK DARUL RIDZUAN</v>
      </c>
      <c r="F1726" s="12" t="s">
        <v>10875</v>
      </c>
      <c r="G1726" s="12" t="s">
        <v>10876</v>
      </c>
      <c r="H1726" s="12" t="s">
        <v>10877</v>
      </c>
      <c r="I1726" s="12" t="b">
        <f>ISNUMBER(VALUE(LEFT(Customer[[#This Row],[Address Line 3 (30 char)]],1)))</f>
        <v>0</v>
      </c>
      <c r="J1726" s="12" t="s">
        <v>242</v>
      </c>
      <c r="K1726" s="12">
        <v>34200</v>
      </c>
      <c r="L1726" s="12" t="s">
        <v>35</v>
      </c>
      <c r="M1726" s="13">
        <v>200803117400</v>
      </c>
      <c r="N1726" s="14" t="s">
        <v>10878</v>
      </c>
      <c r="O1726" s="14" t="e">
        <v>#N/A</v>
      </c>
      <c r="P1726" s="14" t="e">
        <v>#N/A</v>
      </c>
      <c r="Q1726" s="19" t="e">
        <v>#N/A</v>
      </c>
      <c r="R1726" s="15" t="s">
        <v>10879</v>
      </c>
      <c r="S1726" s="15" t="s">
        <v>37</v>
      </c>
      <c r="T1726" s="16" t="s">
        <v>38</v>
      </c>
      <c r="U1726" s="11" t="str">
        <f>_xlfn.XLOOKUP(Customer[[#This Row],[Customer ID]],[1]!Address[ID],[1]!Address[Phone No.(2)])</f>
        <v/>
      </c>
      <c r="V1726" s="11" t="str">
        <f>_xlfn.XLOOKUP(Customer[[#This Row],[Customer ID]],[1]!Address[ID],[1]!Address[Type])</f>
        <v>PETROMART</v>
      </c>
      <c r="W1726" s="11" t="str">
        <f>_xlfn.XLOOKUP(Customer[[#This Row],[Customer ID]],[1]!Address[ID],[1]!Address[CT])</f>
        <v>30</v>
      </c>
      <c r="X1726" s="11" t="s">
        <v>39</v>
      </c>
      <c r="Y1726" s="17" t="s">
        <v>40</v>
      </c>
      <c r="Z1726" s="17" t="e">
        <f>_xlfn.XLOOKUP(Customer[[#This Row],[NewType]],$AF$36:$AF$54,$AG$36:$AG$54)</f>
        <v>#N/A</v>
      </c>
      <c r="AA1726" s="17" t="s">
        <v>10880</v>
      </c>
      <c r="AB1726" s="11" t="str">
        <f>_xlfn.XLOOKUP(Customer[[#This Row],[Customer ID]],[1]!Address[ID],[1]!Address[Subtype])</f>
        <v>CALTEX</v>
      </c>
      <c r="AC1726" s="18" t="str">
        <f>_xlfn.XLOOKUP(Customer[[#This Row],[Customer ID]],[1]!Address[ID],[1]!Address[Zone])</f>
        <v>NORTH</v>
      </c>
    </row>
    <row r="1727" spans="1:30" x14ac:dyDescent="0.3">
      <c r="A1727" s="10" t="s">
        <v>10881</v>
      </c>
      <c r="B1727" s="11" t="str">
        <f>_xlfn.XLOOKUP(Customer[[#This Row],[Customer ID]],[1]!Name[ID],[1]!Name[Description(1)])</f>
        <v>ST ROSYAM MART - KLANG</v>
      </c>
      <c r="C1727" s="11" t="str">
        <f>_xlfn.XLOOKUP(Customer[[#This Row],[Customer ID]],[1]!Name[ID],[1]!Name[Description(2)])</f>
        <v/>
      </c>
      <c r="D1727" s="11" t="str">
        <f>_xlfn.XLOOKUP(Customer[[#This Row],[Customer ID]],[1]!Address[ID],[1]!Address[PIC])</f>
        <v/>
      </c>
      <c r="E1727" s="11" t="str">
        <f>_xlfn.XLOOKUP(Customer[[#This Row],[Customer ID]],[1]!Address[ID],[1]!Address[Full Address])</f>
        <v>LOT 15749 &amp; LOT 15750,BATU 3 1/2 JALAN KEBUN,41200 KLANG BANDAR DIRAJA,SELANGOR</v>
      </c>
      <c r="F1727" s="12" t="s">
        <v>10882</v>
      </c>
      <c r="G1727" s="12" t="s">
        <v>10883</v>
      </c>
      <c r="H1727" s="12" t="s">
        <v>10884</v>
      </c>
      <c r="I1727" s="12" t="b">
        <f>ISNUMBER(VALUE(LEFT(Customer[[#This Row],[Address Line 3 (30 char)]],1)))</f>
        <v>0</v>
      </c>
      <c r="J1727" s="12" t="s">
        <v>172</v>
      </c>
      <c r="K1727" s="12">
        <v>41200</v>
      </c>
      <c r="L1727" s="12" t="s">
        <v>35</v>
      </c>
      <c r="M1727" s="13" t="e">
        <v>#N/A</v>
      </c>
      <c r="N1727" s="14" t="e">
        <v>#N/A</v>
      </c>
      <c r="O1727" s="14" t="e">
        <v>#N/A</v>
      </c>
      <c r="P1727" s="14" t="e">
        <v>#N/A</v>
      </c>
      <c r="Q1727" s="19" t="s">
        <v>10720</v>
      </c>
      <c r="R1727" s="15" t="s">
        <v>7424</v>
      </c>
      <c r="S1727" s="15" t="s">
        <v>5917</v>
      </c>
      <c r="T1727" s="16" t="s">
        <v>3477</v>
      </c>
      <c r="U1727" s="11" t="str">
        <f>_xlfn.XLOOKUP(Customer[[#This Row],[Customer ID]],[1]!Address[ID],[1]!Address[Phone No.(2)])</f>
        <v/>
      </c>
      <c r="V1727" s="11" t="str">
        <f>_xlfn.XLOOKUP(Customer[[#This Row],[Customer ID]],[1]!Address[ID],[1]!Address[Type])</f>
        <v>HM</v>
      </c>
      <c r="W1727" s="11" t="str">
        <f>_xlfn.XLOOKUP(Customer[[#This Row],[Customer ID]],[1]!Address[ID],[1]!Address[CT])</f>
        <v>60 DAYS</v>
      </c>
      <c r="X1727" s="11"/>
      <c r="Y1727" s="17" t="s">
        <v>5968</v>
      </c>
      <c r="Z1727" s="17" t="e">
        <f>_xlfn.XLOOKUP(Customer[[#This Row],[NewType]],$AF$36:$AF$54,$AG$36:$AG$54)</f>
        <v>#N/A</v>
      </c>
      <c r="AA1727" s="17" t="s">
        <v>10885</v>
      </c>
      <c r="AB1727" s="11" t="str">
        <f>_xlfn.XLOOKUP(Customer[[#This Row],[Customer ID]],[1]!Address[ID],[1]!Address[Subtype])</f>
        <v>ST ROSYAM</v>
      </c>
      <c r="AC1727" s="18">
        <f>_xlfn.XLOOKUP(Customer[[#This Row],[Customer ID]],[1]!Address[ID],[1]!Address[Zone])</f>
        <v>0</v>
      </c>
    </row>
    <row r="1728" spans="1:30" x14ac:dyDescent="0.3">
      <c r="A1728" s="27" t="s">
        <v>10886</v>
      </c>
      <c r="B1728" s="28" t="str">
        <f>_xlfn.XLOOKUP(Customer[[#This Row],[Customer ID]],[1]!Name[ID],[1]!Name[Description(1)])</f>
        <v>PETRON BUKIT GAMBIR</v>
      </c>
      <c r="C1728" s="11" t="str">
        <f>_xlfn.XLOOKUP(Customer[[#This Row],[Customer ID]],[1]!Name[ID],[1]!Name[Description(2)])</f>
        <v/>
      </c>
      <c r="D1728" s="11" t="str">
        <f>_xlfn.XLOOKUP(Customer[[#This Row],[Customer ID]],[1]!Address[ID],[1]!Address[PIC])</f>
        <v/>
      </c>
      <c r="E1728" s="11" t="str">
        <f>_xlfn.XLOOKUP(Customer[[#This Row],[Customer ID]],[1]!Address[ID],[1]!Address[Full Address])</f>
        <v>LOT 2069, MUKIM GERSIK84400 TANGKAK, JOHOR</v>
      </c>
      <c r="F1728" s="12" t="s">
        <v>10887</v>
      </c>
      <c r="G1728" s="12" t="s">
        <v>10888</v>
      </c>
      <c r="H1728" s="12" t="s">
        <v>36</v>
      </c>
      <c r="I1728" s="12" t="b">
        <f>ISNUMBER(VALUE(LEFT(Customer[[#This Row],[Address Line 3 (30 char)]],1)))</f>
        <v>0</v>
      </c>
      <c r="J1728" s="12" t="s">
        <v>52</v>
      </c>
      <c r="K1728" s="12">
        <v>84400</v>
      </c>
      <c r="L1728" s="12" t="s">
        <v>35</v>
      </c>
      <c r="M1728" s="13">
        <v>201803289699</v>
      </c>
      <c r="N1728" s="14" t="e">
        <v>#N/A</v>
      </c>
      <c r="O1728" s="14" t="e">
        <v>#N/A</v>
      </c>
      <c r="P1728" s="14" t="e">
        <v>#N/A</v>
      </c>
      <c r="Q1728" s="14" t="e">
        <v>#N/A</v>
      </c>
      <c r="R1728" s="15" t="s">
        <v>10889</v>
      </c>
      <c r="S1728" s="15" t="s">
        <v>37</v>
      </c>
      <c r="T1728" s="16" t="s">
        <v>38</v>
      </c>
      <c r="U1728" s="11" t="str">
        <f>_xlfn.XLOOKUP(Customer[[#This Row],[Customer ID]],[1]!Address[ID],[1]!Address[Phone No.(2)])</f>
        <v/>
      </c>
      <c r="V1728" s="11" t="str">
        <f>_xlfn.XLOOKUP(Customer[[#This Row],[Customer ID]],[1]!Address[ID],[1]!Address[Type])</f>
        <v>PETROMART</v>
      </c>
      <c r="W1728" s="11" t="str">
        <f>_xlfn.XLOOKUP(Customer[[#This Row],[Customer ID]],[1]!Address[ID],[1]!Address[CT])</f>
        <v>30</v>
      </c>
      <c r="X1728" s="11" t="s">
        <v>39</v>
      </c>
      <c r="Y1728" s="17" t="s">
        <v>40</v>
      </c>
      <c r="Z1728" s="17" t="e">
        <f>_xlfn.XLOOKUP(Customer[[#This Row],[NewType]],$AF$36:$AF$54,$AG$36:$AG$54)</f>
        <v>#N/A</v>
      </c>
      <c r="AA1728" s="17" t="s">
        <v>10890</v>
      </c>
      <c r="AB1728" s="11" t="str">
        <f>_xlfn.XLOOKUP(Customer[[#This Row],[Customer ID]],[1]!Address[ID],[1]!Address[Subtype])</f>
        <v>PETRON</v>
      </c>
      <c r="AC1728" s="18" t="str">
        <f>_xlfn.XLOOKUP(Customer[[#This Row],[Customer ID]],[1]!Address[ID],[1]!Address[Zone])</f>
        <v>SOUTH</v>
      </c>
    </row>
    <row r="1729" spans="1:29" x14ac:dyDescent="0.3">
      <c r="A1729" s="10" t="s">
        <v>10891</v>
      </c>
      <c r="B1729" s="11" t="str">
        <f>_xlfn.XLOOKUP(Customer[[#This Row],[Customer ID]],[1]!Name[ID],[1]!Name[Description(1)])</f>
        <v>RR PAKA POINT</v>
      </c>
      <c r="C1729" s="11" t="str">
        <f>_xlfn.XLOOKUP(Customer[[#This Row],[Customer ID]],[1]!Name[ID],[1]!Name[Description(2)])</f>
        <v/>
      </c>
      <c r="D1729" s="11" t="str">
        <f>_xlfn.XLOOKUP(Customer[[#This Row],[Customer ID]],[1]!Address[ID],[1]!Address[PIC])</f>
        <v/>
      </c>
      <c r="E1729" s="11" t="str">
        <f>_xlfn.XLOOKUP(Customer[[#This Row],[Customer ID]],[1]!Address[ID],[1]!Address[Full Address])</f>
        <v>STESEN MINYAK SHELL,PT 4586, KAWASAN REHAT DAN RAWAT PAKA,(ARAH SELATAN) LEBUHRAYA PANTAI TIMURFASA 2, 23100 DUNGUN, TERENGGANU</v>
      </c>
      <c r="F1729" s="12" t="s">
        <v>10892</v>
      </c>
      <c r="G1729" s="12" t="s">
        <v>10893</v>
      </c>
      <c r="H1729" s="12" t="s">
        <v>10894</v>
      </c>
      <c r="I1729" s="12" t="b">
        <f>ISNUMBER(VALUE(LEFT(Customer[[#This Row],[Address Line 3 (30 char)]],1)))</f>
        <v>0</v>
      </c>
      <c r="J1729" s="12" t="s">
        <v>1056</v>
      </c>
      <c r="K1729" s="12">
        <v>23100</v>
      </c>
      <c r="L1729" s="12" t="s">
        <v>35</v>
      </c>
      <c r="M1729" s="13">
        <v>201803208826</v>
      </c>
      <c r="N1729" s="14" t="s">
        <v>10895</v>
      </c>
      <c r="O1729" s="14" t="s">
        <v>54</v>
      </c>
      <c r="P1729" s="14">
        <v>47300</v>
      </c>
      <c r="Q1729" s="14" t="s">
        <v>10896</v>
      </c>
      <c r="R1729" s="15" t="s">
        <v>10897</v>
      </c>
      <c r="S1729" s="15" t="s">
        <v>88</v>
      </c>
      <c r="T1729" s="16" t="s">
        <v>89</v>
      </c>
      <c r="U1729" s="11" t="str">
        <f>_xlfn.XLOOKUP(Customer[[#This Row],[Customer ID]],[1]!Address[ID],[1]!Address[Phone No.(2)])</f>
        <v/>
      </c>
      <c r="V1729" s="11" t="str">
        <f>_xlfn.XLOOKUP(Customer[[#This Row],[Customer ID]],[1]!Address[ID],[1]!Address[Type])</f>
        <v>SOCMED</v>
      </c>
      <c r="W1729" s="11" t="str">
        <f>_xlfn.XLOOKUP(Customer[[#This Row],[Customer ID]],[1]!Address[ID],[1]!Address[CT])</f>
        <v/>
      </c>
      <c r="X1729" s="11"/>
      <c r="Y1729" s="17" t="s">
        <v>90</v>
      </c>
      <c r="Z1729" s="17" t="e">
        <f>_xlfn.XLOOKUP(Customer[[#This Row],[NewType]],$AF$36:$AF$54,$AG$36:$AG$54)</f>
        <v>#N/A</v>
      </c>
      <c r="AA1729" s="17" t="s">
        <v>10898</v>
      </c>
      <c r="AB1729" s="11" t="str">
        <f>_xlfn.XLOOKUP(Customer[[#This Row],[Customer ID]],[1]!Address[ID],[1]!Address[Subtype])</f>
        <v>ONLINE ROS</v>
      </c>
      <c r="AC1729" s="18" t="str">
        <f>_xlfn.XLOOKUP(Customer[[#This Row],[Customer ID]],[1]!Address[ID],[1]!Address[Zone])</f>
        <v>EAST COAST</v>
      </c>
    </row>
    <row r="1730" spans="1:29" x14ac:dyDescent="0.3">
      <c r="A1730" s="10" t="s">
        <v>10899</v>
      </c>
      <c r="B1730" s="11" t="str">
        <f>_xlfn.XLOOKUP(Customer[[#This Row],[Customer ID]],[1]!Name[ID],[1]!Name[Description(1)])</f>
        <v>FARMASI BERTAM</v>
      </c>
      <c r="C1730" s="11" t="str">
        <f>_xlfn.XLOOKUP(Customer[[#This Row],[Customer ID]],[1]!Name[ID],[1]!Name[Description(2)])</f>
        <v/>
      </c>
      <c r="D1730" s="11" t="str">
        <f>_xlfn.XLOOKUP(Customer[[#This Row],[Customer ID]],[1]!Address[ID],[1]!Address[PIC])</f>
        <v/>
      </c>
      <c r="E1730" s="11" t="str">
        <f>_xlfn.XLOOKUP(Customer[[#This Row],[Customer ID]],[1]!Address[ID],[1]!Address[Full Address])</f>
        <v>NO. 3, LRG BERTAM INDAH 1,TMN BERTAM INDAH 13200 KEPALA BATAS,PULAU PINANG</v>
      </c>
      <c r="F1730" s="12" t="s">
        <v>10900</v>
      </c>
      <c r="G1730" s="12" t="s">
        <v>10901</v>
      </c>
      <c r="H1730" s="12"/>
      <c r="I1730" s="12" t="b">
        <f>ISNUMBER(VALUE(LEFT(Customer[[#This Row],[Address Line 3 (30 char)]],1)))</f>
        <v>0</v>
      </c>
      <c r="J1730" s="12" t="s">
        <v>179</v>
      </c>
      <c r="K1730" s="12">
        <v>13200</v>
      </c>
      <c r="L1730" s="12" t="s">
        <v>35</v>
      </c>
      <c r="M1730" s="13" t="e">
        <v>#N/A</v>
      </c>
      <c r="N1730" s="14" t="e">
        <v>#N/A</v>
      </c>
      <c r="O1730" s="14" t="e">
        <v>#N/A</v>
      </c>
      <c r="P1730" s="14" t="e">
        <v>#N/A</v>
      </c>
      <c r="Q1730" s="14" t="e">
        <v>#N/A</v>
      </c>
      <c r="R1730" s="15" t="s">
        <v>10902</v>
      </c>
      <c r="S1730" s="15" t="s">
        <v>88</v>
      </c>
      <c r="T1730" s="16" t="s">
        <v>89</v>
      </c>
      <c r="U1730" s="11" t="str">
        <f>_xlfn.XLOOKUP(Customer[[#This Row],[Customer ID]],[1]!Address[ID],[1]!Address[Phone No.(2)])</f>
        <v/>
      </c>
      <c r="V1730" s="11" t="str">
        <f>_xlfn.XLOOKUP(Customer[[#This Row],[Customer ID]],[1]!Address[ID],[1]!Address[Type])</f>
        <v>SOCMED</v>
      </c>
      <c r="W1730" s="11" t="str">
        <f>_xlfn.XLOOKUP(Customer[[#This Row],[Customer ID]],[1]!Address[ID],[1]!Address[CT])</f>
        <v/>
      </c>
      <c r="X1730" s="11"/>
      <c r="Y1730" s="17" t="s">
        <v>90</v>
      </c>
      <c r="Z1730" s="17" t="e">
        <f>_xlfn.XLOOKUP(Customer[[#This Row],[NewType]],$AF$36:$AF$54,$AG$36:$AG$54)</f>
        <v>#N/A</v>
      </c>
      <c r="AA1730" s="17" t="s">
        <v>10903</v>
      </c>
      <c r="AB1730" s="11" t="str">
        <f>_xlfn.XLOOKUP(Customer[[#This Row],[Customer ID]],[1]!Address[ID],[1]!Address[Subtype])</f>
        <v>ONLINE ROS</v>
      </c>
      <c r="AC1730" s="18" t="str">
        <f>_xlfn.XLOOKUP(Customer[[#This Row],[Customer ID]],[1]!Address[ID],[1]!Address[Zone])</f>
        <v>NORTH</v>
      </c>
    </row>
    <row r="1731" spans="1:29" x14ac:dyDescent="0.3">
      <c r="A1731" s="48" t="s">
        <v>10904</v>
      </c>
      <c r="B1731" s="49" t="str">
        <f>_xlfn.XLOOKUP(Customer[[#This Row],[Customer ID]],[1]!Name[ID],[1]!Name[Description(1)])</f>
        <v>AINA MART &amp; FROZEN</v>
      </c>
      <c r="C1731" s="11" t="str">
        <f>_xlfn.XLOOKUP(Customer[[#This Row],[Customer ID]],[1]!Name[ID],[1]!Name[Description(2)])</f>
        <v/>
      </c>
      <c r="D1731" s="11" t="str">
        <f>_xlfn.XLOOKUP(Customer[[#This Row],[Customer ID]],[1]!Address[ID],[1]!Address[PIC])</f>
        <v/>
      </c>
      <c r="E1731" s="11" t="str">
        <f>_xlfn.XLOOKUP(Customer[[#This Row],[Customer ID]],[1]!Address[ID],[1]!Address[Full Address])</f>
        <v>LOT 1261-C KAMPUNG GONG TOK NASEK,21100 KUALA TERENGGANU, TERENGGANU</v>
      </c>
      <c r="F1731" s="12" t="s">
        <v>10905</v>
      </c>
      <c r="G1731" s="12" t="s">
        <v>10906</v>
      </c>
      <c r="H1731" s="12" t="s">
        <v>5736</v>
      </c>
      <c r="I1731" s="12" t="b">
        <f>ISNUMBER(VALUE(LEFT(Customer[[#This Row],[Address Line 3 (30 char)]],1)))</f>
        <v>0</v>
      </c>
      <c r="J1731" s="12" t="s">
        <v>1056</v>
      </c>
      <c r="K1731" s="12">
        <v>21100</v>
      </c>
      <c r="L1731" s="12" t="s">
        <v>35</v>
      </c>
      <c r="M1731" s="13">
        <v>202203232066</v>
      </c>
      <c r="N1731" s="14" t="s">
        <v>54</v>
      </c>
      <c r="O1731" s="14" t="s">
        <v>54</v>
      </c>
      <c r="P1731" s="14" t="s">
        <v>54</v>
      </c>
      <c r="Q1731" s="14" t="s">
        <v>10907</v>
      </c>
      <c r="R1731" s="15" t="s">
        <v>10908</v>
      </c>
      <c r="S1731" s="15" t="s">
        <v>3212</v>
      </c>
      <c r="T1731" s="16" t="s">
        <v>89</v>
      </c>
      <c r="U1731" s="11" t="str">
        <f>_xlfn.XLOOKUP(Customer[[#This Row],[Customer ID]],[1]!Address[ID],[1]!Address[Phone No.(2)])</f>
        <v/>
      </c>
      <c r="V1731" s="11" t="str">
        <f>_xlfn.XLOOKUP(Customer[[#This Row],[Customer ID]],[1]!Address[ID],[1]!Address[Type])</f>
        <v>SOCMED</v>
      </c>
      <c r="W1731" s="11" t="str">
        <f>_xlfn.XLOOKUP(Customer[[#This Row],[Customer ID]],[1]!Address[ID],[1]!Address[CT])</f>
        <v/>
      </c>
      <c r="X1731" s="11"/>
      <c r="Y1731" s="17" t="s">
        <v>90</v>
      </c>
      <c r="Z1731" s="17" t="e">
        <f>_xlfn.XLOOKUP(Customer[[#This Row],[NewType]],$AF$36:$AF$54,$AG$36:$AG$54)</f>
        <v>#N/A</v>
      </c>
      <c r="AA1731" s="17" t="s">
        <v>10909</v>
      </c>
      <c r="AB1731" s="11" t="str">
        <f>_xlfn.XLOOKUP(Customer[[#This Row],[Customer ID]],[1]!Address[ID],[1]!Address[Subtype])</f>
        <v>ONLINE HAJAR</v>
      </c>
      <c r="AC1731" s="18" t="str">
        <f>_xlfn.XLOOKUP(Customer[[#This Row],[Customer ID]],[1]!Address[ID],[1]!Address[Zone])</f>
        <v>EAST COAST</v>
      </c>
    </row>
    <row r="1732" spans="1:29" x14ac:dyDescent="0.3">
      <c r="A1732" s="27" t="s">
        <v>10910</v>
      </c>
      <c r="B1732" s="28" t="str">
        <f>_xlfn.XLOOKUP(Customer[[#This Row],[Customer ID]],[1]!Name[ID],[1]!Name[Description(1)])</f>
        <v>TEGUH WADI (M) SDN BHD</v>
      </c>
      <c r="C1732" s="11" t="str">
        <f>_xlfn.XLOOKUP(Customer[[#This Row],[Customer ID]],[1]!Name[ID],[1]!Name[Description(2)])</f>
        <v>PETRON JENIANG</v>
      </c>
      <c r="D1732" s="11" t="str">
        <f>_xlfn.XLOOKUP(Customer[[#This Row],[Customer ID]],[1]!Address[ID],[1]!Address[PIC])</f>
        <v/>
      </c>
      <c r="E1732" s="11" t="str">
        <f>_xlfn.XLOOKUP(Customer[[#This Row],[Customer ID]],[1]!Address[ID],[1]!Address[Full Address])</f>
        <v>PETRON JENIANG31, JALAN RAYA JENIANG08700 JENIANGKEDAH DARUL AMAN</v>
      </c>
      <c r="F1732" s="12" t="s">
        <v>10911</v>
      </c>
      <c r="G1732" s="12" t="s">
        <v>10912</v>
      </c>
      <c r="H1732" s="24" t="s">
        <v>10913</v>
      </c>
      <c r="I1732" s="24" t="b">
        <f>ISNUMBER(VALUE(LEFT(Customer[[#This Row],[Address Line 3 (30 char)]],1)))</f>
        <v>0</v>
      </c>
      <c r="J1732" s="12" t="s">
        <v>79</v>
      </c>
      <c r="K1732" s="30" t="s">
        <v>9650</v>
      </c>
      <c r="L1732" s="12" t="s">
        <v>35</v>
      </c>
      <c r="M1732" s="13" t="e">
        <v>#N/A</v>
      </c>
      <c r="N1732" s="14" t="e">
        <v>#N/A</v>
      </c>
      <c r="O1732" s="14" t="e">
        <v>#N/A</v>
      </c>
      <c r="P1732" s="14" t="e">
        <v>#N/A</v>
      </c>
      <c r="Q1732" s="19" t="s">
        <v>10914</v>
      </c>
      <c r="R1732" s="15" t="s">
        <v>10915</v>
      </c>
      <c r="S1732" s="15" t="s">
        <v>37</v>
      </c>
      <c r="T1732" s="16" t="s">
        <v>38</v>
      </c>
      <c r="U1732" s="11" t="str">
        <f>_xlfn.XLOOKUP(Customer[[#This Row],[Customer ID]],[1]!Address[ID],[1]!Address[Phone No.(2)])</f>
        <v/>
      </c>
      <c r="V1732" s="11" t="str">
        <f>_xlfn.XLOOKUP(Customer[[#This Row],[Customer ID]],[1]!Address[ID],[1]!Address[Type])</f>
        <v>PETROMART</v>
      </c>
      <c r="W1732" s="11" t="str">
        <f>_xlfn.XLOOKUP(Customer[[#This Row],[Customer ID]],[1]!Address[ID],[1]!Address[CT])</f>
        <v>30</v>
      </c>
      <c r="X1732" s="11" t="s">
        <v>39</v>
      </c>
      <c r="Y1732" s="17" t="s">
        <v>40</v>
      </c>
      <c r="Z1732" s="17" t="e">
        <f>_xlfn.XLOOKUP(Customer[[#This Row],[NewType]],$AF$36:$AF$54,$AG$36:$AG$54)</f>
        <v>#N/A</v>
      </c>
      <c r="AA1732" s="17" t="s">
        <v>10916</v>
      </c>
      <c r="AB1732" s="11" t="str">
        <f>_xlfn.XLOOKUP(Customer[[#This Row],[Customer ID]],[1]!Address[ID],[1]!Address[Subtype])</f>
        <v>PETRON</v>
      </c>
      <c r="AC1732" s="18" t="str">
        <f>_xlfn.XLOOKUP(Customer[[#This Row],[Customer ID]],[1]!Address[ID],[1]!Address[Zone])</f>
        <v>NORTH</v>
      </c>
    </row>
    <row r="1733" spans="1:29" x14ac:dyDescent="0.3">
      <c r="A1733" s="48" t="s">
        <v>10917</v>
      </c>
      <c r="B1733" s="49" t="str">
        <f>_xlfn.XLOOKUP(Customer[[#This Row],[Customer ID]],[1]!Name[ID],[1]!Name[Description(1)])</f>
        <v>EZEE MART</v>
      </c>
      <c r="C1733" s="11" t="str">
        <f>_xlfn.XLOOKUP(Customer[[#This Row],[Customer ID]],[1]!Name[ID],[1]!Name[Description(2)])</f>
        <v/>
      </c>
      <c r="D1733" s="11" t="str">
        <f>_xlfn.XLOOKUP(Customer[[#This Row],[Customer ID]],[1]!Address[ID],[1]!Address[PIC])</f>
        <v/>
      </c>
      <c r="E1733" s="11" t="str">
        <f>_xlfn.XLOOKUP(Customer[[#This Row],[Customer ID]],[1]!Address[ID],[1]!Address[Full Address])</f>
        <v>LEVEL 2, MENARA TM SEMARAK,JALAN RAJA MUDA ABDUL AZIZ, 50300KUALA LUMPUR</v>
      </c>
      <c r="F1733" s="12" t="s">
        <v>10918</v>
      </c>
      <c r="G1733" s="12" t="s">
        <v>10919</v>
      </c>
      <c r="H1733" s="12"/>
      <c r="I1733" s="12" t="b">
        <f>ISNUMBER(VALUE(LEFT(Customer[[#This Row],[Address Line 3 (30 char)]],1)))</f>
        <v>0</v>
      </c>
      <c r="J1733" s="12" t="s">
        <v>34</v>
      </c>
      <c r="K1733" s="12">
        <v>50300</v>
      </c>
      <c r="L1733" s="12" t="s">
        <v>35</v>
      </c>
      <c r="M1733" s="13" t="e">
        <v>#N/A</v>
      </c>
      <c r="N1733" s="14" t="e">
        <v>#N/A</v>
      </c>
      <c r="O1733" s="14" t="e">
        <v>#N/A</v>
      </c>
      <c r="P1733" s="14" t="e">
        <v>#N/A</v>
      </c>
      <c r="Q1733" s="14" t="e">
        <v>#N/A</v>
      </c>
      <c r="R1733" s="15" t="s">
        <v>10920</v>
      </c>
      <c r="S1733" s="15" t="s">
        <v>3212</v>
      </c>
      <c r="T1733" s="16" t="s">
        <v>89</v>
      </c>
      <c r="U1733" s="11" t="str">
        <f>_xlfn.XLOOKUP(Customer[[#This Row],[Customer ID]],[1]!Address[ID],[1]!Address[Phone No.(2)])</f>
        <v/>
      </c>
      <c r="V1733" s="11" t="str">
        <f>_xlfn.XLOOKUP(Customer[[#This Row],[Customer ID]],[1]!Address[ID],[1]!Address[Type])</f>
        <v>SOCMED</v>
      </c>
      <c r="W1733" s="11" t="str">
        <f>_xlfn.XLOOKUP(Customer[[#This Row],[Customer ID]],[1]!Address[ID],[1]!Address[CT])</f>
        <v/>
      </c>
      <c r="X1733" s="11"/>
      <c r="Y1733" s="17" t="s">
        <v>90</v>
      </c>
      <c r="Z1733" s="17" t="e">
        <f>_xlfn.XLOOKUP(Customer[[#This Row],[NewType]],$AF$36:$AF$54,$AG$36:$AG$54)</f>
        <v>#N/A</v>
      </c>
      <c r="AA1733" s="17" t="s">
        <v>10921</v>
      </c>
      <c r="AB1733" s="11" t="str">
        <f>_xlfn.XLOOKUP(Customer[[#This Row],[Customer ID]],[1]!Address[ID],[1]!Address[Subtype])</f>
        <v>ONLINE HAJAR</v>
      </c>
      <c r="AC1733" s="18" t="str">
        <f>_xlfn.XLOOKUP(Customer[[#This Row],[Customer ID]],[1]!Address[ID],[1]!Address[Zone])</f>
        <v>CENTRAL</v>
      </c>
    </row>
    <row r="1734" spans="1:29" x14ac:dyDescent="0.3">
      <c r="A1734" s="27" t="s">
        <v>10922</v>
      </c>
      <c r="B1734" s="28" t="str">
        <f>_xlfn.XLOOKUP(Customer[[#This Row],[Customer ID]],[1]!Name[ID],[1]!Name[Description(1)])</f>
        <v>ACM SYNERGY GROUP SDN BHD</v>
      </c>
      <c r="C1734" s="11" t="str">
        <f>_xlfn.XLOOKUP(Customer[[#This Row],[Customer ID]],[1]!Name[ID],[1]!Name[Description(2)])</f>
        <v>SHELL MATA AYER</v>
      </c>
      <c r="D1734" s="11" t="str">
        <f>_xlfn.XLOOKUP(Customer[[#This Row],[Customer ID]],[1]!Address[ID],[1]!Address[PIC])</f>
        <v/>
      </c>
      <c r="E1734" s="11" t="str">
        <f>_xlfn.XLOOKUP(Customer[[#This Row],[Customer ID]],[1]!Address[ID],[1]!Address[Full Address])</f>
        <v>SHELL MATA AYERLOT 1502, MUKIM NGULANGPEKAN MATA AYER02500 MATA AYER, PERLIS</v>
      </c>
      <c r="F1734" s="12" t="s">
        <v>10923</v>
      </c>
      <c r="G1734" s="12" t="s">
        <v>10924</v>
      </c>
      <c r="H1734" s="12" t="s">
        <v>10925</v>
      </c>
      <c r="I1734" s="12" t="b">
        <f>ISNUMBER(VALUE(LEFT(Customer[[#This Row],[Address Line 3 (30 char)]],1)))</f>
        <v>0</v>
      </c>
      <c r="J1734" s="12" t="s">
        <v>984</v>
      </c>
      <c r="K1734" s="30" t="s">
        <v>10926</v>
      </c>
      <c r="L1734" s="12" t="s">
        <v>35</v>
      </c>
      <c r="M1734" s="13" t="e">
        <v>#N/A</v>
      </c>
      <c r="N1734" s="14" t="e">
        <v>#N/A</v>
      </c>
      <c r="O1734" s="14" t="e">
        <v>#N/A</v>
      </c>
      <c r="P1734" s="14" t="e">
        <v>#N/A</v>
      </c>
      <c r="Q1734" s="19" t="s">
        <v>10927</v>
      </c>
      <c r="R1734" s="15" t="s">
        <v>10928</v>
      </c>
      <c r="S1734" s="15" t="s">
        <v>37</v>
      </c>
      <c r="T1734" s="16" t="s">
        <v>38</v>
      </c>
      <c r="U1734" s="11" t="str">
        <f>_xlfn.XLOOKUP(Customer[[#This Row],[Customer ID]],[1]!Address[ID],[1]!Address[Phone No.(2)])</f>
        <v/>
      </c>
      <c r="V1734" s="11" t="str">
        <f>_xlfn.XLOOKUP(Customer[[#This Row],[Customer ID]],[1]!Address[ID],[1]!Address[Type])</f>
        <v>PETROMART</v>
      </c>
      <c r="W1734" s="11" t="str">
        <f>_xlfn.XLOOKUP(Customer[[#This Row],[Customer ID]],[1]!Address[ID],[1]!Address[CT])</f>
        <v>30</v>
      </c>
      <c r="X1734" s="11" t="s">
        <v>39</v>
      </c>
      <c r="Y1734" s="17" t="s">
        <v>40</v>
      </c>
      <c r="Z1734" s="17" t="e">
        <f>_xlfn.XLOOKUP(Customer[[#This Row],[NewType]],$AF$36:$AF$54,$AG$36:$AG$54)</f>
        <v>#N/A</v>
      </c>
      <c r="AA1734" s="17" t="s">
        <v>10929</v>
      </c>
      <c r="AB1734" s="11" t="str">
        <f>_xlfn.XLOOKUP(Customer[[#This Row],[Customer ID]],[1]!Address[ID],[1]!Address[Subtype])</f>
        <v>SHELL</v>
      </c>
      <c r="AC1734" s="18" t="str">
        <f>_xlfn.XLOOKUP(Customer[[#This Row],[Customer ID]],[1]!Address[ID],[1]!Address[Zone])</f>
        <v>NORTH</v>
      </c>
    </row>
    <row r="1735" spans="1:29" x14ac:dyDescent="0.3">
      <c r="A1735" s="10" t="s">
        <v>10930</v>
      </c>
      <c r="B1735" s="11" t="str">
        <f>_xlfn.XLOOKUP(Customer[[#This Row],[Customer ID]],[1]!Name[ID],[1]!Name[Description(1)])</f>
        <v>SURAU AT-TAQWA BUKIT BANDARAYA SHAH ALAM</v>
      </c>
      <c r="C1735" s="11" t="str">
        <f>_xlfn.XLOOKUP(Customer[[#This Row],[Customer ID]],[1]!Name[ID],[1]!Name[Description(2)])</f>
        <v>SELANGOR</v>
      </c>
      <c r="D1735" s="11" t="str">
        <f>_xlfn.XLOOKUP(Customer[[#This Row],[Customer ID]],[1]!Address[ID],[1]!Address[PIC])</f>
        <v>NORFAEZAL BIN H</v>
      </c>
      <c r="E1735" s="11" t="str">
        <f>_xlfn.XLOOKUP(Customer[[#This Row],[Customer ID]],[1]!Address[ID],[1]!Address[Full Address])</f>
        <v>JALAN GUNUNG NUANG U11/3,SEKSYEN U11 BUKIT BANDARAYA,40170 SHAH ALAM, SELANGOR.</v>
      </c>
      <c r="F1735" s="12" t="s">
        <v>10931</v>
      </c>
      <c r="G1735" s="12" t="s">
        <v>10932</v>
      </c>
      <c r="H1735" s="24" t="s">
        <v>4488</v>
      </c>
      <c r="I1735" s="24" t="b">
        <f>ISNUMBER(VALUE(LEFT(Customer[[#This Row],[Address Line 3 (30 char)]],1)))</f>
        <v>0</v>
      </c>
      <c r="J1735" s="12" t="s">
        <v>172</v>
      </c>
      <c r="K1735" s="12">
        <v>40170</v>
      </c>
      <c r="L1735" s="12" t="s">
        <v>35</v>
      </c>
      <c r="M1735" s="13">
        <v>750612045385</v>
      </c>
      <c r="N1735" s="14" t="s">
        <v>10933</v>
      </c>
      <c r="O1735" s="14" t="e">
        <v>#N/A</v>
      </c>
      <c r="P1735" s="14" t="e">
        <v>#N/A</v>
      </c>
      <c r="Q1735" s="19" t="s">
        <v>10934</v>
      </c>
      <c r="R1735" s="15" t="s">
        <v>10935</v>
      </c>
      <c r="S1735" s="15" t="s">
        <v>88</v>
      </c>
      <c r="T1735" s="16" t="s">
        <v>89</v>
      </c>
      <c r="U1735" s="11" t="str">
        <f>_xlfn.XLOOKUP(Customer[[#This Row],[Customer ID]],[1]!Address[ID],[1]!Address[Phone No.(2)])</f>
        <v/>
      </c>
      <c r="V1735" s="11" t="str">
        <f>_xlfn.XLOOKUP(Customer[[#This Row],[Customer ID]],[1]!Address[ID],[1]!Address[Type])</f>
        <v>SOCMED</v>
      </c>
      <c r="W1735" s="11" t="str">
        <f>_xlfn.XLOOKUP(Customer[[#This Row],[Customer ID]],[1]!Address[ID],[1]!Address[CT])</f>
        <v/>
      </c>
      <c r="X1735" s="11"/>
      <c r="Y1735" s="17" t="s">
        <v>90</v>
      </c>
      <c r="Z1735" s="17" t="e">
        <f>_xlfn.XLOOKUP(Customer[[#This Row],[NewType]],$AF$36:$AF$54,$AG$36:$AG$54)</f>
        <v>#N/A</v>
      </c>
      <c r="AA1735" s="17" t="s">
        <v>10936</v>
      </c>
      <c r="AB1735" s="11" t="str">
        <f>_xlfn.XLOOKUP(Customer[[#This Row],[Customer ID]],[1]!Address[ID],[1]!Address[Subtype])</f>
        <v>ONLINE ROS</v>
      </c>
      <c r="AC1735" s="18" t="str">
        <f>_xlfn.XLOOKUP(Customer[[#This Row],[Customer ID]],[1]!Address[ID],[1]!Address[Zone])</f>
        <v>EEEDH</v>
      </c>
    </row>
    <row r="1736" spans="1:29" x14ac:dyDescent="0.3">
      <c r="A1736" s="10" t="s">
        <v>10937</v>
      </c>
      <c r="B1736" s="11" t="str">
        <f>_xlfn.XLOOKUP(Customer[[#This Row],[Customer ID]],[1]!Name[ID],[1]!Name[Description(1)])</f>
        <v>TQ BESTARI SDN BHD</v>
      </c>
      <c r="C1736" s="11" t="str">
        <f>_xlfn.XLOOKUP(Customer[[#This Row],[Customer ID]],[1]!Name[ID],[1]!Name[Description(2)])</f>
        <v>PUZIAH TAIB</v>
      </c>
      <c r="D1736" s="11" t="str">
        <f>_xlfn.XLOOKUP(Customer[[#This Row],[Customer ID]],[1]!Address[ID],[1]!Address[PIC])</f>
        <v/>
      </c>
      <c r="E1736" s="11" t="str">
        <f>_xlfn.XLOOKUP(Customer[[#This Row],[Customer ID]],[1]!Address[ID],[1]!Address[Full Address])</f>
        <v>KG MENGKAN, 71600 KUALA KLAWANG,JELEBU, NEGERI SEMBILAN</v>
      </c>
      <c r="F1736" s="12" t="s">
        <v>10938</v>
      </c>
      <c r="G1736" s="12" t="s">
        <v>10939</v>
      </c>
      <c r="H1736" s="12" t="s">
        <v>10940</v>
      </c>
      <c r="I1736" s="12" t="b">
        <f>ISNUMBER(VALUE(LEFT(Customer[[#This Row],[Address Line 3 (30 char)]],1)))</f>
        <v>0</v>
      </c>
      <c r="J1736" s="12" t="s">
        <v>203</v>
      </c>
      <c r="K1736" s="12">
        <v>71600</v>
      </c>
      <c r="L1736" s="12" t="s">
        <v>35</v>
      </c>
      <c r="M1736" s="13" t="e">
        <v>#N/A</v>
      </c>
      <c r="N1736" s="14" t="e">
        <v>#N/A</v>
      </c>
      <c r="O1736" s="14" t="e">
        <v>#N/A</v>
      </c>
      <c r="P1736" s="14" t="e">
        <v>#N/A</v>
      </c>
      <c r="Q1736" s="14" t="e">
        <v>#N/A</v>
      </c>
      <c r="R1736" s="15" t="s">
        <v>10941</v>
      </c>
      <c r="S1736" s="15" t="s">
        <v>88</v>
      </c>
      <c r="T1736" s="16" t="s">
        <v>89</v>
      </c>
      <c r="U1736" s="11" t="str">
        <f>_xlfn.XLOOKUP(Customer[[#This Row],[Customer ID]],[1]!Address[ID],[1]!Address[Phone No.(2)])</f>
        <v/>
      </c>
      <c r="V1736" s="11" t="str">
        <f>_xlfn.XLOOKUP(Customer[[#This Row],[Customer ID]],[1]!Address[ID],[1]!Address[Type])</f>
        <v>SOCMED</v>
      </c>
      <c r="W1736" s="11" t="str">
        <f>_xlfn.XLOOKUP(Customer[[#This Row],[Customer ID]],[1]!Address[ID],[1]!Address[CT])</f>
        <v/>
      </c>
      <c r="X1736" s="11"/>
      <c r="Y1736" s="17" t="s">
        <v>90</v>
      </c>
      <c r="Z1736" s="17" t="e">
        <f>_xlfn.XLOOKUP(Customer[[#This Row],[NewType]],$AF$36:$AF$54,$AG$36:$AG$54)</f>
        <v>#N/A</v>
      </c>
      <c r="AA1736" s="17" t="s">
        <v>10942</v>
      </c>
      <c r="AB1736" s="11" t="str">
        <f>_xlfn.XLOOKUP(Customer[[#This Row],[Customer ID]],[1]!Address[ID],[1]!Address[Subtype])</f>
        <v>ONLINE ROS</v>
      </c>
      <c r="AC1736" s="18" t="str">
        <f>_xlfn.XLOOKUP(Customer[[#This Row],[Customer ID]],[1]!Address[ID],[1]!Address[Zone])</f>
        <v>CENTRAL</v>
      </c>
    </row>
    <row r="1737" spans="1:29" x14ac:dyDescent="0.3">
      <c r="A1737" s="48" t="s">
        <v>10943</v>
      </c>
      <c r="B1737" s="49" t="str">
        <f>_xlfn.XLOOKUP(Customer[[#This Row],[Customer ID]],[1]!Name[ID],[1]!Name[Description(1)])</f>
        <v>KHIM FOOK TRADING SDN BHD</v>
      </c>
      <c r="C1737" s="11" t="str">
        <f>_xlfn.XLOOKUP(Customer[[#This Row],[Customer ID]],[1]!Name[ID],[1]!Name[Description(2)])</f>
        <v/>
      </c>
      <c r="D1737" s="11" t="str">
        <f>_xlfn.XLOOKUP(Customer[[#This Row],[Customer ID]],[1]!Address[ID],[1]!Address[PIC])</f>
        <v/>
      </c>
      <c r="E1737" s="11" t="str">
        <f>_xlfn.XLOOKUP(Customer[[#This Row],[Customer ID]],[1]!Address[ID],[1]!Address[Full Address])</f>
        <v>416, BANDAR BARU MERGONG,LEBUHRAYA SULTANAH BAHIYAH,05150 ALOR SETAR,KEDAH</v>
      </c>
      <c r="F1737" s="12" t="s">
        <v>10944</v>
      </c>
      <c r="G1737" s="12" t="s">
        <v>7622</v>
      </c>
      <c r="H1737" s="24" t="s">
        <v>2335</v>
      </c>
      <c r="I1737" s="24" t="b">
        <f>ISNUMBER(VALUE(LEFT(Customer[[#This Row],[Address Line 3 (30 char)]],1)))</f>
        <v>0</v>
      </c>
      <c r="J1737" s="12" t="s">
        <v>79</v>
      </c>
      <c r="K1737" s="30" t="s">
        <v>3421</v>
      </c>
      <c r="L1737" s="12" t="s">
        <v>35</v>
      </c>
      <c r="M1737" s="13">
        <v>200501011768</v>
      </c>
      <c r="N1737" s="14" t="s">
        <v>10945</v>
      </c>
      <c r="O1737" s="14" t="s">
        <v>54</v>
      </c>
      <c r="P1737" s="14">
        <v>46499</v>
      </c>
      <c r="Q1737" s="14" t="s">
        <v>10946</v>
      </c>
      <c r="R1737" s="15" t="s">
        <v>10947</v>
      </c>
      <c r="S1737" s="15" t="s">
        <v>3212</v>
      </c>
      <c r="T1737" s="16" t="s">
        <v>89</v>
      </c>
      <c r="U1737" s="11" t="str">
        <f>_xlfn.XLOOKUP(Customer[[#This Row],[Customer ID]],[1]!Address[ID],[1]!Address[Phone No.(2)])</f>
        <v/>
      </c>
      <c r="V1737" s="11" t="str">
        <f>_xlfn.XLOOKUP(Customer[[#This Row],[Customer ID]],[1]!Address[ID],[1]!Address[Type])</f>
        <v>SOCMED</v>
      </c>
      <c r="W1737" s="11" t="str">
        <f>_xlfn.XLOOKUP(Customer[[#This Row],[Customer ID]],[1]!Address[ID],[1]!Address[CT])</f>
        <v/>
      </c>
      <c r="X1737" s="11"/>
      <c r="Y1737" s="17" t="s">
        <v>90</v>
      </c>
      <c r="Z1737" s="17" t="e">
        <f>_xlfn.XLOOKUP(Customer[[#This Row],[NewType]],$AF$36:$AF$54,$AG$36:$AG$54)</f>
        <v>#N/A</v>
      </c>
      <c r="AA1737" s="17" t="s">
        <v>10948</v>
      </c>
      <c r="AB1737" s="11" t="str">
        <f>_xlfn.XLOOKUP(Customer[[#This Row],[Customer ID]],[1]!Address[ID],[1]!Address[Subtype])</f>
        <v>ONLINE HAJAR</v>
      </c>
      <c r="AC1737" s="18" t="str">
        <f>_xlfn.XLOOKUP(Customer[[#This Row],[Customer ID]],[1]!Address[ID],[1]!Address[Zone])</f>
        <v>NORTH</v>
      </c>
    </row>
    <row r="1738" spans="1:29" x14ac:dyDescent="0.3">
      <c r="A1738" s="10" t="s">
        <v>10949</v>
      </c>
      <c r="B1738" s="11" t="str">
        <f>_xlfn.XLOOKUP(Customer[[#This Row],[Customer ID]],[1]!Name[ID],[1]!Name[Description(1)])</f>
        <v>AGBAF ENTERPRISE</v>
      </c>
      <c r="C1738" s="11" t="str">
        <f>_xlfn.XLOOKUP(Customer[[#This Row],[Customer ID]],[1]!Name[ID],[1]!Name[Description(2)])</f>
        <v>PS LANGKAP</v>
      </c>
      <c r="D1738" s="11" t="str">
        <f>_xlfn.XLOOKUP(Customer[[#This Row],[Customer ID]],[1]!Address[ID],[1]!Address[PIC])</f>
        <v/>
      </c>
      <c r="E1738" s="11" t="str">
        <f>_xlfn.XLOOKUP(Customer[[#This Row],[Customer ID]],[1]!Address[ID],[1]!Address[Full Address])</f>
        <v>PS LANGKAPLOT PT 790 &amp; PT 791,MUKIM CHANGKAT JONG,36700, LANGKAP, PERAK</v>
      </c>
      <c r="F1738" s="12" t="s">
        <v>10950</v>
      </c>
      <c r="G1738" s="12" t="s">
        <v>10951</v>
      </c>
      <c r="H1738" s="12" t="s">
        <v>10952</v>
      </c>
      <c r="I1738" s="12" t="b">
        <f>ISNUMBER(VALUE(LEFT(Customer[[#This Row],[Address Line 3 (30 char)]],1)))</f>
        <v>0</v>
      </c>
      <c r="J1738" s="12" t="s">
        <v>242</v>
      </c>
      <c r="K1738" s="12">
        <v>36700</v>
      </c>
      <c r="L1738" s="12" t="s">
        <v>35</v>
      </c>
      <c r="M1738" s="13" t="e">
        <v>#N/A</v>
      </c>
      <c r="N1738" s="14" t="e">
        <v>#N/A</v>
      </c>
      <c r="O1738" s="14" t="e">
        <v>#N/A</v>
      </c>
      <c r="P1738" s="14" t="e">
        <v>#N/A</v>
      </c>
      <c r="Q1738" s="19" t="s">
        <v>10953</v>
      </c>
      <c r="R1738" s="15" t="s">
        <v>10954</v>
      </c>
      <c r="S1738" s="15" t="s">
        <v>37</v>
      </c>
      <c r="T1738" s="16" t="s">
        <v>38</v>
      </c>
      <c r="U1738" s="11" t="str">
        <f>_xlfn.XLOOKUP(Customer[[#This Row],[Customer ID]],[1]!Address[ID],[1]!Address[Phone No.(2)])</f>
        <v/>
      </c>
      <c r="V1738" s="11" t="str">
        <f>_xlfn.XLOOKUP(Customer[[#This Row],[Customer ID]],[1]!Address[ID],[1]!Address[Type])</f>
        <v>PETROMART</v>
      </c>
      <c r="W1738" s="11" t="str">
        <f>_xlfn.XLOOKUP(Customer[[#This Row],[Customer ID]],[1]!Address[ID],[1]!Address[CT])</f>
        <v>30</v>
      </c>
      <c r="X1738" s="11" t="s">
        <v>39</v>
      </c>
      <c r="Y1738" s="17" t="s">
        <v>40</v>
      </c>
      <c r="Z1738" s="17" t="e">
        <f>_xlfn.XLOOKUP(Customer[[#This Row],[NewType]],$AF$36:$AF$54,$AG$36:$AG$54)</f>
        <v>#N/A</v>
      </c>
      <c r="AA1738" s="17" t="s">
        <v>10955</v>
      </c>
      <c r="AB1738" s="11" t="str">
        <f>_xlfn.XLOOKUP(Customer[[#This Row],[Customer ID]],[1]!Address[ID],[1]!Address[Subtype])</f>
        <v>PETRONAS</v>
      </c>
      <c r="AC1738" s="18" t="str">
        <f>_xlfn.XLOOKUP(Customer[[#This Row],[Customer ID]],[1]!Address[ID],[1]!Address[Zone])</f>
        <v>NORTH</v>
      </c>
    </row>
    <row r="1739" spans="1:29" x14ac:dyDescent="0.3">
      <c r="A1739" s="10" t="s">
        <v>10956</v>
      </c>
      <c r="B1739" s="11" t="str">
        <f>_xlfn.XLOOKUP(Customer[[#This Row],[Customer ID]],[1]!Name[ID],[1]!Name[Description(1)])</f>
        <v>SENTOSA HALAL MART</v>
      </c>
      <c r="C1739" s="11" t="str">
        <f>_xlfn.XLOOKUP(Customer[[#This Row],[Customer ID]],[1]!Name[ID],[1]!Name[Description(2)])</f>
        <v/>
      </c>
      <c r="D1739" s="11" t="str">
        <f>_xlfn.XLOOKUP(Customer[[#This Row],[Customer ID]],[1]!Address[ID],[1]!Address[PIC])</f>
        <v/>
      </c>
      <c r="E1739" s="11" t="str">
        <f>_xlfn.XLOOKUP(Customer[[#This Row],[Customer ID]],[1]!Address[ID],[1]!Address[Full Address])</f>
        <v>NO 31, JALAN SENTOSA 1,BUKIT SENTOSA 48300 RAWANG, SELANGOR</v>
      </c>
      <c r="F1739" s="12" t="s">
        <v>10957</v>
      </c>
      <c r="G1739" s="12" t="s">
        <v>10958</v>
      </c>
      <c r="H1739" s="12" t="s">
        <v>36</v>
      </c>
      <c r="I1739" s="12" t="b">
        <f>ISNUMBER(VALUE(LEFT(Customer[[#This Row],[Address Line 3 (30 char)]],1)))</f>
        <v>0</v>
      </c>
      <c r="J1739" s="12" t="s">
        <v>172</v>
      </c>
      <c r="K1739" s="12">
        <v>48300</v>
      </c>
      <c r="L1739" s="12" t="s">
        <v>35</v>
      </c>
      <c r="M1739" s="13" t="e">
        <v>#N/A</v>
      </c>
      <c r="N1739" s="14" t="e">
        <v>#N/A</v>
      </c>
      <c r="O1739" s="14" t="e">
        <v>#N/A</v>
      </c>
      <c r="P1739" s="14" t="e">
        <v>#N/A</v>
      </c>
      <c r="Q1739" s="14" t="e">
        <v>#N/A</v>
      </c>
      <c r="R1739" s="15" t="s">
        <v>10959</v>
      </c>
      <c r="S1739" s="15" t="s">
        <v>88</v>
      </c>
      <c r="T1739" s="16" t="s">
        <v>89</v>
      </c>
      <c r="U1739" s="11" t="str">
        <f>_xlfn.XLOOKUP(Customer[[#This Row],[Customer ID]],[1]!Address[ID],[1]!Address[Phone No.(2)])</f>
        <v/>
      </c>
      <c r="V1739" s="11" t="str">
        <f>_xlfn.XLOOKUP(Customer[[#This Row],[Customer ID]],[1]!Address[ID],[1]!Address[Type])</f>
        <v>SOCMED</v>
      </c>
      <c r="W1739" s="11" t="str">
        <f>_xlfn.XLOOKUP(Customer[[#This Row],[Customer ID]],[1]!Address[ID],[1]!Address[CT])</f>
        <v/>
      </c>
      <c r="X1739" s="11"/>
      <c r="Y1739" s="17" t="s">
        <v>90</v>
      </c>
      <c r="Z1739" s="17" t="e">
        <f>_xlfn.XLOOKUP(Customer[[#This Row],[NewType]],$AF$36:$AF$54,$AG$36:$AG$54)</f>
        <v>#N/A</v>
      </c>
      <c r="AA1739" s="17" t="s">
        <v>10960</v>
      </c>
      <c r="AB1739" s="11" t="str">
        <f>_xlfn.XLOOKUP(Customer[[#This Row],[Customer ID]],[1]!Address[ID],[1]!Address[Subtype])</f>
        <v>ONLINE ROS</v>
      </c>
      <c r="AC1739" s="18" t="str">
        <f>_xlfn.XLOOKUP(Customer[[#This Row],[Customer ID]],[1]!Address[ID],[1]!Address[Zone])</f>
        <v>CENTRAL</v>
      </c>
    </row>
    <row r="1740" spans="1:29" x14ac:dyDescent="0.3">
      <c r="A1740" s="48" t="s">
        <v>10961</v>
      </c>
      <c r="B1740" s="49" t="str">
        <f>_xlfn.XLOOKUP(Customer[[#This Row],[Customer ID]],[1]!Name[ID],[1]!Name[Description(1)])</f>
        <v>WBH MANAGEMENT SDN BHD</v>
      </c>
      <c r="C1740" s="11" t="str">
        <f>_xlfn.XLOOKUP(Customer[[#This Row],[Customer ID]],[1]!Name[ID],[1]!Name[Description(2)])</f>
        <v/>
      </c>
      <c r="D1740" s="11" t="str">
        <f>_xlfn.XLOOKUP(Customer[[#This Row],[Customer ID]],[1]!Address[ID],[1]!Address[PIC])</f>
        <v/>
      </c>
      <c r="E1740" s="11" t="str">
        <f>_xlfn.XLOOKUP(Customer[[#This Row],[Customer ID]],[1]!Address[ID],[1]!Address[Full Address])</f>
        <v>SHELL PETROL STATION,BATU 2 1/2,JALAN SIMPANG, 34700 TAIPING, PERAK</v>
      </c>
      <c r="F1740" s="12" t="s">
        <v>10962</v>
      </c>
      <c r="G1740" s="12" t="s">
        <v>10963</v>
      </c>
      <c r="H1740" s="12" t="s">
        <v>10964</v>
      </c>
      <c r="I1740" s="12" t="b">
        <f>ISNUMBER(VALUE(LEFT(Customer[[#This Row],[Address Line 3 (30 char)]],1)))</f>
        <v>0</v>
      </c>
      <c r="J1740" s="12" t="s">
        <v>242</v>
      </c>
      <c r="K1740" s="12">
        <v>34700</v>
      </c>
      <c r="L1740" s="12" t="s">
        <v>35</v>
      </c>
      <c r="M1740" s="13" t="e">
        <v>#N/A</v>
      </c>
      <c r="N1740" s="14" t="e">
        <v>#N/A</v>
      </c>
      <c r="O1740" s="14" t="e">
        <v>#N/A</v>
      </c>
      <c r="P1740" s="14" t="e">
        <v>#N/A</v>
      </c>
      <c r="Q1740" s="14" t="e">
        <v>#N/A</v>
      </c>
      <c r="R1740" s="15" t="s">
        <v>10965</v>
      </c>
      <c r="S1740" s="15" t="s">
        <v>3212</v>
      </c>
      <c r="T1740" s="16" t="s">
        <v>89</v>
      </c>
      <c r="U1740" s="11" t="str">
        <f>_xlfn.XLOOKUP(Customer[[#This Row],[Customer ID]],[1]!Address[ID],[1]!Address[Phone No.(2)])</f>
        <v/>
      </c>
      <c r="V1740" s="11" t="str">
        <f>_xlfn.XLOOKUP(Customer[[#This Row],[Customer ID]],[1]!Address[ID],[1]!Address[Type])</f>
        <v>SOCMED</v>
      </c>
      <c r="W1740" s="11" t="str">
        <f>_xlfn.XLOOKUP(Customer[[#This Row],[Customer ID]],[1]!Address[ID],[1]!Address[CT])</f>
        <v/>
      </c>
      <c r="X1740" s="11"/>
      <c r="Y1740" s="17" t="s">
        <v>90</v>
      </c>
      <c r="Z1740" s="17" t="e">
        <f>_xlfn.XLOOKUP(Customer[[#This Row],[NewType]],$AF$36:$AF$54,$AG$36:$AG$54)</f>
        <v>#N/A</v>
      </c>
      <c r="AA1740" s="17" t="s">
        <v>10966</v>
      </c>
      <c r="AB1740" s="11" t="str">
        <f>_xlfn.XLOOKUP(Customer[[#This Row],[Customer ID]],[1]!Address[ID],[1]!Address[Subtype])</f>
        <v>ONLINE HAJAR</v>
      </c>
      <c r="AC1740" s="18" t="str">
        <f>_xlfn.XLOOKUP(Customer[[#This Row],[Customer ID]],[1]!Address[ID],[1]!Address[Zone])</f>
        <v>NORTH</v>
      </c>
    </row>
    <row r="1741" spans="1:29" x14ac:dyDescent="0.3">
      <c r="A1741" s="10" t="s">
        <v>10967</v>
      </c>
      <c r="B1741" s="11" t="str">
        <f>_xlfn.XLOOKUP(Customer[[#This Row],[Customer ID]],[1]!Name[ID],[1]!Name[Description(1)])</f>
        <v>MADRASAH HIDAYAH SEKSYEN 11,SHAH ALAM</v>
      </c>
      <c r="C1741" s="11" t="str">
        <f>_xlfn.XLOOKUP(Customer[[#This Row],[Customer ID]],[1]!Name[ID],[1]!Name[Description(2)])</f>
        <v/>
      </c>
      <c r="D1741" s="11" t="str">
        <f>_xlfn.XLOOKUP(Customer[[#This Row],[Customer ID]],[1]!Address[ID],[1]!Address[PIC])</f>
        <v/>
      </c>
      <c r="E1741" s="11" t="str">
        <f>_xlfn.XLOOKUP(Customer[[#This Row],[Customer ID]],[1]!Address[ID],[1]!Address[Full Address])</f>
        <v>1, JALAN GENDANG 11/5D, SEKSYEN 11,40100 SHAH ALAM SELANGOR</v>
      </c>
      <c r="F1741" s="12" t="s">
        <v>10968</v>
      </c>
      <c r="G1741" s="12" t="s">
        <v>10969</v>
      </c>
      <c r="H1741" s="12" t="s">
        <v>4488</v>
      </c>
      <c r="I1741" s="12" t="b">
        <f>ISNUMBER(VALUE(LEFT(Customer[[#This Row],[Address Line 3 (30 char)]],1)))</f>
        <v>0</v>
      </c>
      <c r="J1741" s="12" t="s">
        <v>172</v>
      </c>
      <c r="K1741" s="12">
        <v>40100</v>
      </c>
      <c r="L1741" s="12" t="s">
        <v>35</v>
      </c>
      <c r="M1741" s="13" t="e">
        <v>#N/A</v>
      </c>
      <c r="N1741" s="14" t="e">
        <v>#N/A</v>
      </c>
      <c r="O1741" s="14" t="e">
        <v>#N/A</v>
      </c>
      <c r="P1741" s="14" t="e">
        <v>#N/A</v>
      </c>
      <c r="Q1741" s="14" t="e">
        <v>#N/A</v>
      </c>
      <c r="R1741" s="15" t="s">
        <v>10970</v>
      </c>
      <c r="S1741" s="15" t="s">
        <v>5934</v>
      </c>
      <c r="T1741" s="16" t="s">
        <v>3477</v>
      </c>
      <c r="U1741" s="11" t="str">
        <f>_xlfn.XLOOKUP(Customer[[#This Row],[Customer ID]],[1]!Address[ID],[1]!Address[Phone No.(2)])</f>
        <v/>
      </c>
      <c r="V1741" s="11" t="str">
        <f>_xlfn.XLOOKUP(Customer[[#This Row],[Customer ID]],[1]!Address[ID],[1]!Address[Type])</f>
        <v>KOPERASI</v>
      </c>
      <c r="W1741" s="11" t="str">
        <f>_xlfn.XLOOKUP(Customer[[#This Row],[Customer ID]],[1]!Address[ID],[1]!Address[CT])</f>
        <v>CASH</v>
      </c>
      <c r="X1741" s="11"/>
      <c r="Y1741" s="17" t="s">
        <v>6126</v>
      </c>
      <c r="Z1741" s="17" t="e">
        <f>_xlfn.XLOOKUP(Customer[[#This Row],[NewType]],$AF$36:$AF$54,$AG$36:$AG$54)</f>
        <v>#N/A</v>
      </c>
      <c r="AA1741" s="17" t="s">
        <v>10971</v>
      </c>
      <c r="AB1741" s="11" t="str">
        <f>_xlfn.XLOOKUP(Customer[[#This Row],[Customer ID]],[1]!Address[ID],[1]!Address[Subtype])</f>
        <v>MADRASAH</v>
      </c>
      <c r="AC1741" s="18" t="str">
        <f>_xlfn.XLOOKUP(Customer[[#This Row],[Customer ID]],[1]!Address[ID],[1]!Address[Zone])</f>
        <v>SRIH</v>
      </c>
    </row>
    <row r="1742" spans="1:29" x14ac:dyDescent="0.3">
      <c r="A1742" s="48" t="s">
        <v>10972</v>
      </c>
      <c r="B1742" s="49" t="str">
        <f>_xlfn.XLOOKUP(Customer[[#This Row],[Customer ID]],[1]!Name[ID],[1]!Name[Description(1)])</f>
        <v>BUTIK NELLY KOSMETIK</v>
      </c>
      <c r="C1742" s="11" t="str">
        <f>_xlfn.XLOOKUP(Customer[[#This Row],[Customer ID]],[1]!Name[ID],[1]!Name[Description(2)])</f>
        <v/>
      </c>
      <c r="D1742" s="11" t="str">
        <f>_xlfn.XLOOKUP(Customer[[#This Row],[Customer ID]],[1]!Address[ID],[1]!Address[PIC])</f>
        <v>MUHAMAD RAWIZAN</v>
      </c>
      <c r="E1742" s="11" t="str">
        <f>_xlfn.XLOOKUP(Customer[[#This Row],[Customer ID]],[1]!Address[ID],[1]!Address[Full Address])</f>
        <v>NO 916D, KEDAI LINTASAN RELAUJALAN MENTERI, 34100 SELAMA, PERAK</v>
      </c>
      <c r="F1742" s="12" t="s">
        <v>10973</v>
      </c>
      <c r="G1742" s="12" t="s">
        <v>10974</v>
      </c>
      <c r="H1742" s="12" t="s">
        <v>36</v>
      </c>
      <c r="I1742" s="12" t="b">
        <f>ISNUMBER(VALUE(LEFT(Customer[[#This Row],[Address Line 3 (30 char)]],1)))</f>
        <v>0</v>
      </c>
      <c r="J1742" s="12" t="s">
        <v>242</v>
      </c>
      <c r="K1742" s="12">
        <v>34100</v>
      </c>
      <c r="L1742" s="12" t="s">
        <v>35</v>
      </c>
      <c r="M1742" s="13">
        <v>201803236468</v>
      </c>
      <c r="N1742" s="14" t="s">
        <v>10975</v>
      </c>
      <c r="O1742" s="14" t="e">
        <v>#N/A</v>
      </c>
      <c r="P1742" s="14" t="e">
        <v>#N/A</v>
      </c>
      <c r="Q1742" s="19" t="s">
        <v>10976</v>
      </c>
      <c r="R1742" s="15" t="s">
        <v>10977</v>
      </c>
      <c r="S1742" s="15" t="s">
        <v>3212</v>
      </c>
      <c r="T1742" s="16" t="s">
        <v>89</v>
      </c>
      <c r="U1742" s="11" t="str">
        <f>_xlfn.XLOOKUP(Customer[[#This Row],[Customer ID]],[1]!Address[ID],[1]!Address[Phone No.(2)])</f>
        <v/>
      </c>
      <c r="V1742" s="11" t="str">
        <f>_xlfn.XLOOKUP(Customer[[#This Row],[Customer ID]],[1]!Address[ID],[1]!Address[Type])</f>
        <v>SOCMED</v>
      </c>
      <c r="W1742" s="11" t="str">
        <f>_xlfn.XLOOKUP(Customer[[#This Row],[Customer ID]],[1]!Address[ID],[1]!Address[CT])</f>
        <v/>
      </c>
      <c r="X1742" s="11"/>
      <c r="Y1742" s="17" t="s">
        <v>90</v>
      </c>
      <c r="Z1742" s="17" t="e">
        <f>_xlfn.XLOOKUP(Customer[[#This Row],[NewType]],$AF$36:$AF$54,$AG$36:$AG$54)</f>
        <v>#N/A</v>
      </c>
      <c r="AA1742" s="17" t="s">
        <v>10978</v>
      </c>
      <c r="AB1742" s="11" t="str">
        <f>_xlfn.XLOOKUP(Customer[[#This Row],[Customer ID]],[1]!Address[ID],[1]!Address[Subtype])</f>
        <v>ONLINE HAJAR</v>
      </c>
      <c r="AC1742" s="18" t="str">
        <f>_xlfn.XLOOKUP(Customer[[#This Row],[Customer ID]],[1]!Address[ID],[1]!Address[Zone])</f>
        <v>NORTH</v>
      </c>
    </row>
    <row r="1743" spans="1:29" x14ac:dyDescent="0.3">
      <c r="A1743" s="10" t="s">
        <v>10979</v>
      </c>
      <c r="B1743" s="11" t="str">
        <f>_xlfn.XLOOKUP(Customer[[#This Row],[Customer ID]],[1]!Name[ID],[1]!Name[Description(1)])</f>
        <v>SAIGON BK EMPIRE</v>
      </c>
      <c r="C1743" s="11" t="str">
        <f>_xlfn.XLOOKUP(Customer[[#This Row],[Customer ID]],[1]!Name[ID],[1]!Name[Description(2)])</f>
        <v/>
      </c>
      <c r="D1743" s="11" t="str">
        <f>_xlfn.XLOOKUP(Customer[[#This Row],[Customer ID]],[1]!Address[ID],[1]!Address[PIC])</f>
        <v/>
      </c>
      <c r="E1743" s="11" t="str">
        <f>_xlfn.XLOOKUP(Customer[[#This Row],[Customer ID]],[1]!Address[ID],[1]!Address[Full Address])</f>
        <v>122, JALAN SUSUR PERSIARAN MASJID SULTANSELATAN, KS13 KAMPUNG SUNGAI PINANG42920 PULAU INDAH, SELANGOR</v>
      </c>
      <c r="F1743" s="12" t="s">
        <v>10980</v>
      </c>
      <c r="G1743" s="12" t="s">
        <v>10981</v>
      </c>
      <c r="H1743" s="12" t="s">
        <v>10982</v>
      </c>
      <c r="I1743" s="12" t="b">
        <f>ISNUMBER(VALUE(LEFT(Customer[[#This Row],[Address Line 3 (30 char)]],1)))</f>
        <v>0</v>
      </c>
      <c r="J1743" s="12" t="s">
        <v>172</v>
      </c>
      <c r="K1743" s="12">
        <v>42920</v>
      </c>
      <c r="L1743" s="12" t="s">
        <v>35</v>
      </c>
      <c r="M1743" s="13" t="e">
        <v>#N/A</v>
      </c>
      <c r="N1743" s="14" t="e">
        <v>#N/A</v>
      </c>
      <c r="O1743" s="14" t="e">
        <v>#N/A</v>
      </c>
      <c r="P1743" s="14" t="e">
        <v>#N/A</v>
      </c>
      <c r="Q1743" s="14" t="e">
        <v>#N/A</v>
      </c>
      <c r="R1743" s="15" t="s">
        <v>10983</v>
      </c>
      <c r="S1743" s="15" t="s">
        <v>88</v>
      </c>
      <c r="T1743" s="16" t="s">
        <v>89</v>
      </c>
      <c r="U1743" s="11" t="str">
        <f>_xlfn.XLOOKUP(Customer[[#This Row],[Customer ID]],[1]!Address[ID],[1]!Address[Phone No.(2)])</f>
        <v/>
      </c>
      <c r="V1743" s="11" t="str">
        <f>_xlfn.XLOOKUP(Customer[[#This Row],[Customer ID]],[1]!Address[ID],[1]!Address[Type])</f>
        <v>SOCMED</v>
      </c>
      <c r="W1743" s="11" t="str">
        <f>_xlfn.XLOOKUP(Customer[[#This Row],[Customer ID]],[1]!Address[ID],[1]!Address[CT])</f>
        <v/>
      </c>
      <c r="X1743" s="11"/>
      <c r="Y1743" s="17" t="s">
        <v>90</v>
      </c>
      <c r="Z1743" s="17" t="e">
        <f>_xlfn.XLOOKUP(Customer[[#This Row],[NewType]],$AF$36:$AF$54,$AG$36:$AG$54)</f>
        <v>#N/A</v>
      </c>
      <c r="AA1743" s="17" t="s">
        <v>10984</v>
      </c>
      <c r="AB1743" s="11" t="str">
        <f>_xlfn.XLOOKUP(Customer[[#This Row],[Customer ID]],[1]!Address[ID],[1]!Address[Subtype])</f>
        <v>ONLINE ROS</v>
      </c>
      <c r="AC1743" s="18" t="str">
        <f>_xlfn.XLOOKUP(Customer[[#This Row],[Customer ID]],[1]!Address[ID],[1]!Address[Zone])</f>
        <v>CENTRAL</v>
      </c>
    </row>
    <row r="1744" spans="1:29" x14ac:dyDescent="0.3">
      <c r="A1744" s="10" t="s">
        <v>10985</v>
      </c>
      <c r="B1744" s="11" t="str">
        <f>_xlfn.XLOOKUP(Customer[[#This Row],[Customer ID]],[1]!Name[ID],[1]!Name[Description(1)])</f>
        <v>PANIKA SDN BHD</v>
      </c>
      <c r="C1744" s="11" t="str">
        <f>_xlfn.XLOOKUP(Customer[[#This Row],[Customer ID]],[1]!Name[ID],[1]!Name[Description(2)])</f>
        <v/>
      </c>
      <c r="D1744" s="11" t="str">
        <f>_xlfn.XLOOKUP(Customer[[#This Row],[Customer ID]],[1]!Address[ID],[1]!Address[PIC])</f>
        <v/>
      </c>
      <c r="E1744" s="11" t="str">
        <f>_xlfn.XLOOKUP(Customer[[#This Row],[Customer ID]],[1]!Address[ID],[1]!Address[Full Address])</f>
        <v>MDLD 4614, LOT 13,JALAN TERATAI,91100 LAHAD DATU SABAH</v>
      </c>
      <c r="F1744" s="12" t="s">
        <v>10986</v>
      </c>
      <c r="G1744" s="12" t="s">
        <v>10987</v>
      </c>
      <c r="H1744" s="24" t="s">
        <v>10988</v>
      </c>
      <c r="I1744" s="24" t="b">
        <f>ISNUMBER(VALUE(LEFT(Customer[[#This Row],[Address Line 3 (30 char)]],1)))</f>
        <v>0</v>
      </c>
      <c r="J1744" s="12" t="s">
        <v>6636</v>
      </c>
      <c r="K1744" s="12">
        <v>91100</v>
      </c>
      <c r="L1744" s="12" t="s">
        <v>35</v>
      </c>
      <c r="M1744" s="13" t="e">
        <v>#N/A</v>
      </c>
      <c r="N1744" s="14" t="e">
        <v>#N/A</v>
      </c>
      <c r="O1744" s="14" t="e">
        <v>#N/A</v>
      </c>
      <c r="P1744" s="14" t="e">
        <v>#N/A</v>
      </c>
      <c r="Q1744" s="19" t="s">
        <v>10989</v>
      </c>
      <c r="R1744" s="15" t="s">
        <v>10990</v>
      </c>
      <c r="S1744" s="15" t="s">
        <v>5917</v>
      </c>
      <c r="T1744" s="16" t="s">
        <v>3477</v>
      </c>
      <c r="U1744" s="11" t="str">
        <f>_xlfn.XLOOKUP(Customer[[#This Row],[Customer ID]],[1]!Address[ID],[1]!Address[Phone No.(2)])</f>
        <v/>
      </c>
      <c r="V1744" s="11" t="str">
        <f>_xlfn.XLOOKUP(Customer[[#This Row],[Customer ID]],[1]!Address[ID],[1]!Address[Type])</f>
        <v>CM</v>
      </c>
      <c r="W1744" s="11" t="str">
        <f>_xlfn.XLOOKUP(Customer[[#This Row],[Customer ID]],[1]!Address[ID],[1]!Address[CT])</f>
        <v>CASH</v>
      </c>
      <c r="X1744" s="11"/>
      <c r="Y1744" s="17" t="s">
        <v>5918</v>
      </c>
      <c r="Z1744" s="17" t="e">
        <f>_xlfn.XLOOKUP(Customer[[#This Row],[NewType]],$AF$36:$AF$54,$AG$36:$AG$54)</f>
        <v>#N/A</v>
      </c>
      <c r="AA1744" s="17" t="s">
        <v>10991</v>
      </c>
      <c r="AB1744" s="11" t="str">
        <f>_xlfn.XLOOKUP(Customer[[#This Row],[Customer ID]],[1]!Address[ID],[1]!Address[Subtype])</f>
        <v>PANIKA</v>
      </c>
      <c r="AC1744" s="18" t="str">
        <f>_xlfn.XLOOKUP(Customer[[#This Row],[Customer ID]],[1]!Address[ID],[1]!Address[Zone])</f>
        <v>CENTRAL</v>
      </c>
    </row>
    <row r="1745" spans="1:29" x14ac:dyDescent="0.3">
      <c r="A1745" s="10" t="s">
        <v>10992</v>
      </c>
      <c r="B1745" s="11" t="str">
        <f>_xlfn.XLOOKUP(Customer[[#This Row],[Customer ID]],[1]!Name[ID],[1]!Name[Description(1)])</f>
        <v>FHM HEALTHCARE SDN BHD(U.N.I FARMASI)</v>
      </c>
      <c r="C1745" s="11" t="str">
        <f>_xlfn.XLOOKUP(Customer[[#This Row],[Customer ID]],[1]!Name[ID],[1]!Name[Description(2)])</f>
        <v/>
      </c>
      <c r="D1745" s="11" t="str">
        <f>_xlfn.XLOOKUP(Customer[[#This Row],[Customer ID]],[1]!Address[ID],[1]!Address[PIC])</f>
        <v>FARAH AIN</v>
      </c>
      <c r="E1745" s="11" t="str">
        <f>_xlfn.XLOOKUP(Customer[[#This Row],[Customer ID]],[1]!Address[ID],[1]!Address[Full Address])</f>
        <v>137, JALAN LU 2/2,TAMAN LANGAT UTAMA,42700, BANTING,  SELANGOR</v>
      </c>
      <c r="F1745" s="12" t="s">
        <v>10993</v>
      </c>
      <c r="G1745" s="12" t="s">
        <v>10994</v>
      </c>
      <c r="H1745" s="12" t="s">
        <v>7471</v>
      </c>
      <c r="I1745" s="12" t="b">
        <f>ISNUMBER(VALUE(LEFT(Customer[[#This Row],[Address Line 3 (30 char)]],1)))</f>
        <v>0</v>
      </c>
      <c r="J1745" s="12" t="s">
        <v>172</v>
      </c>
      <c r="K1745" s="12">
        <v>42700</v>
      </c>
      <c r="L1745" s="12" t="s">
        <v>35</v>
      </c>
      <c r="M1745" s="13" t="e">
        <v>#N/A</v>
      </c>
      <c r="N1745" s="14" t="e">
        <v>#N/A</v>
      </c>
      <c r="O1745" s="14" t="e">
        <v>#N/A</v>
      </c>
      <c r="P1745" s="14" t="e">
        <v>#N/A</v>
      </c>
      <c r="Q1745" s="14" t="e">
        <v>#N/A</v>
      </c>
      <c r="R1745" s="15" t="s">
        <v>8729</v>
      </c>
      <c r="S1745" s="15" t="s">
        <v>88</v>
      </c>
      <c r="T1745" s="16" t="s">
        <v>89</v>
      </c>
      <c r="U1745" s="11" t="str">
        <f>_xlfn.XLOOKUP(Customer[[#This Row],[Customer ID]],[1]!Address[ID],[1]!Address[Phone No.(2)])</f>
        <v/>
      </c>
      <c r="V1745" s="11" t="str">
        <f>_xlfn.XLOOKUP(Customer[[#This Row],[Customer ID]],[1]!Address[ID],[1]!Address[Type])</f>
        <v>SOCMED</v>
      </c>
      <c r="W1745" s="11" t="str">
        <f>_xlfn.XLOOKUP(Customer[[#This Row],[Customer ID]],[1]!Address[ID],[1]!Address[CT])</f>
        <v/>
      </c>
      <c r="X1745" s="11"/>
      <c r="Y1745" s="17" t="s">
        <v>90</v>
      </c>
      <c r="Z1745" s="17" t="e">
        <f>_xlfn.XLOOKUP(Customer[[#This Row],[NewType]],$AF$36:$AF$54,$AG$36:$AG$54)</f>
        <v>#N/A</v>
      </c>
      <c r="AA1745" s="17" t="s">
        <v>10995</v>
      </c>
      <c r="AB1745" s="11" t="str">
        <f>_xlfn.XLOOKUP(Customer[[#This Row],[Customer ID]],[1]!Address[ID],[1]!Address[Subtype])</f>
        <v>ONLINE ROS</v>
      </c>
      <c r="AC1745" s="18" t="str">
        <f>_xlfn.XLOOKUP(Customer[[#This Row],[Customer ID]],[1]!Address[ID],[1]!Address[Zone])</f>
        <v>EEEDH</v>
      </c>
    </row>
    <row r="1746" spans="1:29" x14ac:dyDescent="0.3">
      <c r="A1746" s="10" t="s">
        <v>10996</v>
      </c>
      <c r="B1746" s="11" t="str">
        <f>_xlfn.XLOOKUP(Customer[[#This Row],[Customer ID]],[1]!Name[ID],[1]!Name[Description(1)])</f>
        <v>DR ALYASAK BERHAN</v>
      </c>
      <c r="C1746" s="11" t="str">
        <f>_xlfn.XLOOKUP(Customer[[#This Row],[Customer ID]],[1]!Name[ID],[1]!Name[Description(2)])</f>
        <v/>
      </c>
      <c r="D1746" s="11" t="str">
        <f>_xlfn.XLOOKUP(Customer[[#This Row],[Customer ID]],[1]!Address[ID],[1]!Address[PIC])</f>
        <v/>
      </c>
      <c r="E1746" s="11" t="str">
        <f>_xlfn.XLOOKUP(Customer[[#This Row],[Customer ID]],[1]!Address[ID],[1]!Address[Full Address])</f>
        <v>PENOLONG PENGARAH KANAN, BPK,PUSAT DAKWAH ISLAMIAH, PAROI,JALAN PAROI-SENAWANG70400 SEREMBAN, NEGERI SEMBILAN</v>
      </c>
      <c r="F1746" s="12" t="s">
        <v>10997</v>
      </c>
      <c r="G1746" s="12" t="s">
        <v>10998</v>
      </c>
      <c r="H1746" s="12" t="s">
        <v>10999</v>
      </c>
      <c r="I1746" s="12" t="b">
        <f>ISNUMBER(VALUE(LEFT(Customer[[#This Row],[Address Line 3 (30 char)]],1)))</f>
        <v>0</v>
      </c>
      <c r="J1746" s="12" t="s">
        <v>203</v>
      </c>
      <c r="K1746" s="12">
        <v>70400</v>
      </c>
      <c r="L1746" s="12" t="s">
        <v>35</v>
      </c>
      <c r="M1746" s="13" t="e">
        <v>#N/A</v>
      </c>
      <c r="N1746" s="14" t="e">
        <v>#N/A</v>
      </c>
      <c r="O1746" s="14" t="e">
        <v>#N/A</v>
      </c>
      <c r="P1746" s="14" t="e">
        <v>#N/A</v>
      </c>
      <c r="Q1746" s="14" t="e">
        <v>#N/A</v>
      </c>
      <c r="R1746" s="15" t="s">
        <v>11000</v>
      </c>
      <c r="S1746" s="15" t="s">
        <v>89</v>
      </c>
      <c r="T1746" s="15" t="s">
        <v>89</v>
      </c>
      <c r="U1746" s="11" t="str">
        <f>_xlfn.XLOOKUP(Customer[[#This Row],[Customer ID]],[1]!Address[ID],[1]!Address[Phone No.(2)])</f>
        <v/>
      </c>
      <c r="V1746" s="11" t="str">
        <f>_xlfn.XLOOKUP(Customer[[#This Row],[Customer ID]],[1]!Address[ID],[1]!Address[Type])</f>
        <v>SOCMED</v>
      </c>
      <c r="W1746" s="11" t="str">
        <f>_xlfn.XLOOKUP(Customer[[#This Row],[Customer ID]],[1]!Address[ID],[1]!Address[CT])</f>
        <v/>
      </c>
      <c r="X1746" s="11"/>
      <c r="Y1746" s="17" t="s">
        <v>90</v>
      </c>
      <c r="Z1746" s="17" t="e">
        <f>_xlfn.XLOOKUP(Customer[[#This Row],[NewType]],$AF$36:$AF$54,$AG$36:$AG$54)</f>
        <v>#N/A</v>
      </c>
      <c r="AA1746" s="17" t="s">
        <v>11001</v>
      </c>
      <c r="AB1746" s="11" t="str">
        <f>_xlfn.XLOOKUP(Customer[[#This Row],[Customer ID]],[1]!Address[ID],[1]!Address[Subtype])</f>
        <v>WHATSAPP</v>
      </c>
      <c r="AC1746" s="18" t="str">
        <f>_xlfn.XLOOKUP(Customer[[#This Row],[Customer ID]],[1]!Address[ID],[1]!Address[Zone])</f>
        <v>CENTRAL</v>
      </c>
    </row>
    <row r="1747" spans="1:29" x14ac:dyDescent="0.3">
      <c r="A1747" s="10" t="s">
        <v>11002</v>
      </c>
      <c r="B1747" s="11" t="str">
        <f>_xlfn.XLOOKUP(Customer[[#This Row],[Customer ID]],[1]!Name[ID],[1]!Name[Description(1)])</f>
        <v>WARDAH MART (ANSARI MART)</v>
      </c>
      <c r="C1747" s="11" t="str">
        <f>_xlfn.XLOOKUP(Customer[[#This Row],[Customer ID]],[1]!Name[ID],[1]!Name[Description(2)])</f>
        <v/>
      </c>
      <c r="D1747" s="11" t="str">
        <f>_xlfn.XLOOKUP(Customer[[#This Row],[Customer ID]],[1]!Address[ID],[1]!Address[PIC])</f>
        <v/>
      </c>
      <c r="E1747" s="11" t="str">
        <f>_xlfn.XLOOKUP(Customer[[#This Row],[Customer ID]],[1]!Address[ID],[1]!Address[Full Address])</f>
        <v>41-G, JALAN WANGSA SETIA 1,WANGSA MELAWATI 53300 KL</v>
      </c>
      <c r="F1747" s="12" t="s">
        <v>11003</v>
      </c>
      <c r="G1747" s="12" t="s">
        <v>11004</v>
      </c>
      <c r="H1747" s="12" t="s">
        <v>36</v>
      </c>
      <c r="I1747" s="12" t="b">
        <f>ISNUMBER(VALUE(LEFT(Customer[[#This Row],[Address Line 3 (30 char)]],1)))</f>
        <v>0</v>
      </c>
      <c r="J1747" s="12" t="s">
        <v>34</v>
      </c>
      <c r="K1747" s="12">
        <v>53300</v>
      </c>
      <c r="L1747" s="12" t="s">
        <v>35</v>
      </c>
      <c r="M1747" s="13" t="e">
        <v>#N/A</v>
      </c>
      <c r="N1747" s="14" t="e">
        <v>#N/A</v>
      </c>
      <c r="O1747" s="14" t="e">
        <v>#N/A</v>
      </c>
      <c r="P1747" s="14" t="e">
        <v>#N/A</v>
      </c>
      <c r="Q1747" s="14" t="e">
        <v>#N/A</v>
      </c>
      <c r="R1747" s="15" t="s">
        <v>11005</v>
      </c>
      <c r="S1747" s="15" t="s">
        <v>89</v>
      </c>
      <c r="T1747" s="15" t="s">
        <v>89</v>
      </c>
      <c r="U1747" s="11" t="str">
        <f>_xlfn.XLOOKUP(Customer[[#This Row],[Customer ID]],[1]!Address[ID],[1]!Address[Phone No.(2)])</f>
        <v/>
      </c>
      <c r="V1747" s="11" t="str">
        <f>_xlfn.XLOOKUP(Customer[[#This Row],[Customer ID]],[1]!Address[ID],[1]!Address[Type])</f>
        <v>SOCMED</v>
      </c>
      <c r="W1747" s="11" t="str">
        <f>_xlfn.XLOOKUP(Customer[[#This Row],[Customer ID]],[1]!Address[ID],[1]!Address[CT])</f>
        <v/>
      </c>
      <c r="X1747" s="11"/>
      <c r="Y1747" s="17" t="s">
        <v>90</v>
      </c>
      <c r="Z1747" s="17" t="e">
        <f>_xlfn.XLOOKUP(Customer[[#This Row],[NewType]],$AF$36:$AF$54,$AG$36:$AG$54)</f>
        <v>#N/A</v>
      </c>
      <c r="AA1747" s="17" t="s">
        <v>11006</v>
      </c>
      <c r="AB1747" s="11" t="str">
        <f>_xlfn.XLOOKUP(Customer[[#This Row],[Customer ID]],[1]!Address[ID],[1]!Address[Subtype])</f>
        <v>WHATSAPP</v>
      </c>
      <c r="AC1747" s="18" t="str">
        <f>_xlfn.XLOOKUP(Customer[[#This Row],[Customer ID]],[1]!Address[ID],[1]!Address[Zone])</f>
        <v>CENTRAL</v>
      </c>
    </row>
    <row r="1748" spans="1:29" x14ac:dyDescent="0.3">
      <c r="A1748" s="10" t="s">
        <v>11007</v>
      </c>
      <c r="B1748" s="11" t="str">
        <f>_xlfn.XLOOKUP(Customer[[#This Row],[Customer ID]],[1]!Name[ID],[1]!Name[Description(1)])</f>
        <v>MOHD SYAHARIN BIN ISMAIL</v>
      </c>
      <c r="C1748" s="11" t="str">
        <f>_xlfn.XLOOKUP(Customer[[#This Row],[Customer ID]],[1]!Name[ID],[1]!Name[Description(2)])</f>
        <v/>
      </c>
      <c r="D1748" s="11" t="str">
        <f>_xlfn.XLOOKUP(Customer[[#This Row],[Customer ID]],[1]!Address[ID],[1]!Address[PIC])</f>
        <v>UST SYAHARIN</v>
      </c>
      <c r="E1748" s="11" t="str">
        <f>_xlfn.XLOOKUP(Customer[[#This Row],[Customer ID]],[1]!Address[ID],[1]!Address[Full Address])</f>
        <v>BAHAGIAN PENGURUSAN MASJID DAN SURAU,JABATAN HAL EHWAL AGAMA ISLAM,NEGERI SEMBILAN, BANGUNAN MPS LAMA,JALAN YAM TUAN 70000 SEREMBAN,N.S</v>
      </c>
      <c r="F1748" s="12" t="s">
        <v>11008</v>
      </c>
      <c r="G1748" s="12" t="s">
        <v>11009</v>
      </c>
      <c r="H1748" s="12" t="s">
        <v>11010</v>
      </c>
      <c r="I1748" s="12" t="b">
        <f>ISNUMBER(VALUE(LEFT(Customer[[#This Row],[Address Line 3 (30 char)]],1)))</f>
        <v>0</v>
      </c>
      <c r="J1748" s="12" t="s">
        <v>203</v>
      </c>
      <c r="K1748" s="12">
        <v>70000</v>
      </c>
      <c r="L1748" s="12" t="s">
        <v>35</v>
      </c>
      <c r="M1748" s="13" t="e">
        <v>#N/A</v>
      </c>
      <c r="N1748" s="14" t="e">
        <v>#N/A</v>
      </c>
      <c r="O1748" s="14" t="e">
        <v>#N/A</v>
      </c>
      <c r="P1748" s="14" t="e">
        <v>#N/A</v>
      </c>
      <c r="Q1748" s="19" t="s">
        <v>11011</v>
      </c>
      <c r="R1748" s="15" t="s">
        <v>11012</v>
      </c>
      <c r="S1748" s="15" t="s">
        <v>89</v>
      </c>
      <c r="T1748" s="15" t="s">
        <v>89</v>
      </c>
      <c r="U1748" s="11" t="str">
        <f>_xlfn.XLOOKUP(Customer[[#This Row],[Customer ID]],[1]!Address[ID],[1]!Address[Phone No.(2)])</f>
        <v/>
      </c>
      <c r="V1748" s="11" t="str">
        <f>_xlfn.XLOOKUP(Customer[[#This Row],[Customer ID]],[1]!Address[ID],[1]!Address[Type])</f>
        <v>SOCMED</v>
      </c>
      <c r="W1748" s="11" t="str">
        <f>_xlfn.XLOOKUP(Customer[[#This Row],[Customer ID]],[1]!Address[ID],[1]!Address[CT])</f>
        <v/>
      </c>
      <c r="X1748" s="11"/>
      <c r="Y1748" s="17" t="s">
        <v>90</v>
      </c>
      <c r="Z1748" s="17" t="e">
        <f>_xlfn.XLOOKUP(Customer[[#This Row],[NewType]],$AF$36:$AF$54,$AG$36:$AG$54)</f>
        <v>#N/A</v>
      </c>
      <c r="AA1748" s="17" t="s">
        <v>11013</v>
      </c>
      <c r="AB1748" s="11" t="str">
        <f>_xlfn.XLOOKUP(Customer[[#This Row],[Customer ID]],[1]!Address[ID],[1]!Address[Subtype])</f>
        <v>WHATSAPP</v>
      </c>
      <c r="AC1748" s="18" t="str">
        <f>_xlfn.XLOOKUP(Customer[[#This Row],[Customer ID]],[1]!Address[ID],[1]!Address[Zone])</f>
        <v>POUTH</v>
      </c>
    </row>
    <row r="1749" spans="1:29" x14ac:dyDescent="0.3">
      <c r="A1749" s="45" t="s">
        <v>11014</v>
      </c>
      <c r="B1749" s="32" t="str">
        <f>_xlfn.XLOOKUP(Customer[[#This Row],[Customer ID]],[1]!Name[ID],[1]!Name[Description(1)])</f>
        <v>MD FAZIR ABDUL LATIF(PKPS)</v>
      </c>
      <c r="C1749" s="32" t="str">
        <f>_xlfn.XLOOKUP(Customer[[#This Row],[Customer ID]],[1]!Name[ID],[1]!Name[Description(2)])</f>
        <v/>
      </c>
      <c r="D1749" s="11" t="str">
        <f>_xlfn.XLOOKUP(Customer[[#This Row],[Customer ID]],[1]!Address[ID],[1]!Address[PIC])</f>
        <v/>
      </c>
      <c r="E1749" s="11" t="str">
        <f>_xlfn.XLOOKUP(Customer[[#This Row],[Customer ID]],[1]!Address[ID],[1]!Address[Full Address])</f>
        <v>SHAH ALAM</v>
      </c>
      <c r="F1749" s="12" t="s">
        <v>4488</v>
      </c>
      <c r="G1749" s="12" t="s">
        <v>36</v>
      </c>
      <c r="H1749" s="12" t="s">
        <v>36</v>
      </c>
      <c r="I1749" s="12" t="b">
        <f>ISNUMBER(VALUE(LEFT(Customer[[#This Row],[Address Line 3 (30 char)]],1)))</f>
        <v>0</v>
      </c>
      <c r="J1749" s="32" t="s">
        <v>172</v>
      </c>
      <c r="K1749" s="32"/>
      <c r="L1749" s="12" t="s">
        <v>35</v>
      </c>
      <c r="M1749" s="13" t="e">
        <v>#N/A</v>
      </c>
      <c r="N1749" s="14" t="e">
        <v>#N/A</v>
      </c>
      <c r="O1749" s="14" t="e">
        <v>#N/A</v>
      </c>
      <c r="P1749" s="14" t="e">
        <v>#N/A</v>
      </c>
      <c r="Q1749" s="14" t="e">
        <v>#N/A</v>
      </c>
      <c r="R1749" s="15" t="s">
        <v>11015</v>
      </c>
      <c r="S1749" s="15" t="s">
        <v>5917</v>
      </c>
      <c r="T1749" s="16" t="s">
        <v>3477</v>
      </c>
      <c r="U1749" s="11" t="str">
        <f>_xlfn.XLOOKUP(Customer[[#This Row],[Customer ID]],[1]!Address[ID],[1]!Address[Phone No.(2)])</f>
        <v/>
      </c>
      <c r="V1749" s="11" t="str">
        <f>_xlfn.XLOOKUP(Customer[[#This Row],[Customer ID]],[1]!Address[ID],[1]!Address[Type])</f>
        <v>CM</v>
      </c>
      <c r="W1749" s="11" t="str">
        <f>_xlfn.XLOOKUP(Customer[[#This Row],[Customer ID]],[1]!Address[ID],[1]!Address[CT])</f>
        <v>CASH</v>
      </c>
      <c r="X1749" s="11"/>
      <c r="Y1749" s="17" t="s">
        <v>5918</v>
      </c>
      <c r="Z1749" s="17" t="e">
        <f>_xlfn.XLOOKUP(Customer[[#This Row],[NewType]],$AF$36:$AF$54,$AG$36:$AG$54)</f>
        <v>#N/A</v>
      </c>
      <c r="AA1749" s="17" t="s">
        <v>11016</v>
      </c>
      <c r="AB1749" s="11" t="str">
        <f>_xlfn.XLOOKUP(Customer[[#This Row],[Customer ID]],[1]!Address[ID],[1]!Address[Subtype])</f>
        <v>PKPS</v>
      </c>
      <c r="AC1749" s="18">
        <f>_xlfn.XLOOKUP(Customer[[#This Row],[Customer ID]],[1]!Address[ID],[1]!Address[Zone])</f>
        <v>0</v>
      </c>
    </row>
    <row r="1750" spans="1:29" x14ac:dyDescent="0.3">
      <c r="A1750" s="10" t="s">
        <v>11017</v>
      </c>
      <c r="B1750" s="11" t="str">
        <f>_xlfn.XLOOKUP(Customer[[#This Row],[Customer ID]],[1]!Name[ID],[1]!Name[Description(1)])</f>
        <v>UNIKL</v>
      </c>
      <c r="C1750" s="11" t="str">
        <f>_xlfn.XLOOKUP(Customer[[#This Row],[Customer ID]],[1]!Name[ID],[1]!Name[Description(2)])</f>
        <v/>
      </c>
      <c r="D1750" s="11" t="str">
        <f>_xlfn.XLOOKUP(Customer[[#This Row],[Customer ID]],[1]!Address[ID],[1]!Address[PIC])</f>
        <v/>
      </c>
      <c r="E1750" s="11" t="str">
        <f>_xlfn.XLOOKUP(Customer[[#This Row],[Customer ID]],[1]!Address[ID],[1]!Address[Full Address])</f>
        <v/>
      </c>
      <c r="F1750" s="12" t="s">
        <v>36</v>
      </c>
      <c r="G1750" s="12" t="s">
        <v>36</v>
      </c>
      <c r="H1750" s="12" t="s">
        <v>36</v>
      </c>
      <c r="I1750" s="12" t="b">
        <f>ISNUMBER(VALUE(LEFT(Customer[[#This Row],[Address Line 3 (30 char)]],1)))</f>
        <v>0</v>
      </c>
      <c r="J1750" s="12" t="s">
        <v>34</v>
      </c>
      <c r="K1750" s="12">
        <v>50250</v>
      </c>
      <c r="L1750" s="12" t="s">
        <v>35</v>
      </c>
      <c r="M1750" s="13" t="e">
        <v>#N/A</v>
      </c>
      <c r="N1750" s="14" t="e">
        <v>#N/A</v>
      </c>
      <c r="O1750" s="14" t="e">
        <v>#N/A</v>
      </c>
      <c r="P1750" s="14" t="e">
        <v>#N/A</v>
      </c>
      <c r="Q1750" s="14" t="e">
        <v>#N/A</v>
      </c>
      <c r="R1750" s="15" t="s">
        <v>36</v>
      </c>
      <c r="S1750" s="15" t="s">
        <v>5934</v>
      </c>
      <c r="T1750" s="16" t="s">
        <v>3477</v>
      </c>
      <c r="U1750" s="11" t="str">
        <f>_xlfn.XLOOKUP(Customer[[#This Row],[Customer ID]],[1]!Address[ID],[1]!Address[Phone No.(2)])</f>
        <v/>
      </c>
      <c r="V1750" s="11" t="str">
        <f>_xlfn.XLOOKUP(Customer[[#This Row],[Customer ID]],[1]!Address[ID],[1]!Address[Type])</f>
        <v>SOCMED</v>
      </c>
      <c r="W1750" s="11" t="str">
        <f>_xlfn.XLOOKUP(Customer[[#This Row],[Customer ID]],[1]!Address[ID],[1]!Address[CT])</f>
        <v/>
      </c>
      <c r="X1750" s="11"/>
      <c r="Y1750" s="17" t="s">
        <v>90</v>
      </c>
      <c r="Z1750" s="17" t="e">
        <f>_xlfn.XLOOKUP(Customer[[#This Row],[NewType]],$AF$36:$AF$54,$AG$36:$AG$54)</f>
        <v>#N/A</v>
      </c>
      <c r="AA1750" s="17" t="s">
        <v>11018</v>
      </c>
      <c r="AB1750" s="11" t="str">
        <f>_xlfn.XLOOKUP(Customer[[#This Row],[Customer ID]],[1]!Address[ID],[1]!Address[Subtype])</f>
        <v>WHATSAPP</v>
      </c>
      <c r="AC1750" s="18" t="str">
        <f>_xlfn.XLOOKUP(Customer[[#This Row],[Customer ID]],[1]!Address[ID],[1]!Address[Zone])</f>
        <v>AEEDH</v>
      </c>
    </row>
    <row r="1751" spans="1:29" x14ac:dyDescent="0.3">
      <c r="A1751" s="10" t="s">
        <v>11019</v>
      </c>
      <c r="B1751" s="11" t="str">
        <f>_xlfn.XLOOKUP(Customer[[#This Row],[Customer ID]],[1]!Name[ID],[1]!Name[Description(1)])</f>
        <v>NURAMIRA BINTI JALALUDDIN</v>
      </c>
      <c r="C1751" s="11" t="str">
        <f>_xlfn.XLOOKUP(Customer[[#This Row],[Customer ID]],[1]!Name[ID],[1]!Name[Description(2)])</f>
        <v/>
      </c>
      <c r="D1751" s="11" t="str">
        <f>_xlfn.XLOOKUP(Customer[[#This Row],[Customer ID]],[1]!Address[ID],[1]!Address[PIC])</f>
        <v/>
      </c>
      <c r="E1751" s="11" t="str">
        <f>_xlfn.XLOOKUP(Customer[[#This Row],[Customer ID]],[1]!Address[ID],[1]!Address[Full Address])</f>
        <v>KEDAI SERBANEKA,RESIDENSI PRIMA PULAU SEBANG,JALAN PRIMA UTAMA,78000 ALOR GAJAH, MELAKA</v>
      </c>
      <c r="F1751" s="12" t="s">
        <v>11020</v>
      </c>
      <c r="G1751" s="12" t="s">
        <v>11021</v>
      </c>
      <c r="H1751" s="12" t="s">
        <v>11022</v>
      </c>
      <c r="I1751" s="12" t="b">
        <f>ISNUMBER(VALUE(LEFT(Customer[[#This Row],[Address Line 3 (30 char)]],1)))</f>
        <v>0</v>
      </c>
      <c r="J1751" s="12" t="s">
        <v>61</v>
      </c>
      <c r="K1751" s="12">
        <v>78000</v>
      </c>
      <c r="L1751" s="12" t="s">
        <v>35</v>
      </c>
      <c r="M1751" s="13" t="e">
        <v>#N/A</v>
      </c>
      <c r="N1751" s="14" t="e">
        <v>#N/A</v>
      </c>
      <c r="O1751" s="14" t="e">
        <v>#N/A</v>
      </c>
      <c r="P1751" s="14" t="e">
        <v>#N/A</v>
      </c>
      <c r="Q1751" s="14" t="e">
        <v>#N/A</v>
      </c>
      <c r="R1751" s="15" t="s">
        <v>11023</v>
      </c>
      <c r="S1751" s="15" t="s">
        <v>88</v>
      </c>
      <c r="T1751" s="16" t="s">
        <v>89</v>
      </c>
      <c r="U1751" s="11" t="str">
        <f>_xlfn.XLOOKUP(Customer[[#This Row],[Customer ID]],[1]!Address[ID],[1]!Address[Phone No.(2)])</f>
        <v/>
      </c>
      <c r="V1751" s="11" t="str">
        <f>_xlfn.XLOOKUP(Customer[[#This Row],[Customer ID]],[1]!Address[ID],[1]!Address[Type])</f>
        <v>SOCMED</v>
      </c>
      <c r="W1751" s="11" t="str">
        <f>_xlfn.XLOOKUP(Customer[[#This Row],[Customer ID]],[1]!Address[ID],[1]!Address[CT])</f>
        <v/>
      </c>
      <c r="X1751" s="11"/>
      <c r="Y1751" s="17" t="s">
        <v>90</v>
      </c>
      <c r="Z1751" s="17" t="e">
        <f>_xlfn.XLOOKUP(Customer[[#This Row],[NewType]],$AF$36:$AF$54,$AG$36:$AG$54)</f>
        <v>#N/A</v>
      </c>
      <c r="AA1751" s="17" t="s">
        <v>11024</v>
      </c>
      <c r="AB1751" s="11" t="str">
        <f>_xlfn.XLOOKUP(Customer[[#This Row],[Customer ID]],[1]!Address[ID],[1]!Address[Subtype])</f>
        <v>ONLINE ROS</v>
      </c>
      <c r="AC1751" s="18" t="str">
        <f>_xlfn.XLOOKUP(Customer[[#This Row],[Customer ID]],[1]!Address[ID],[1]!Address[Zone])</f>
        <v>SOUTH</v>
      </c>
    </row>
    <row r="1752" spans="1:29" x14ac:dyDescent="0.3">
      <c r="A1752" s="10" t="s">
        <v>11025</v>
      </c>
      <c r="B1752" s="11" t="str">
        <f>_xlfn.XLOOKUP(Customer[[#This Row],[Customer ID]],[1]!Name[ID],[1]!Name[Description(1)])</f>
        <v>NCJ GLOBAL SDN BHD</v>
      </c>
      <c r="C1752" s="11" t="str">
        <f>_xlfn.XLOOKUP(Customer[[#This Row],[Customer ID]],[1]!Name[ID],[1]!Name[Description(2)])</f>
        <v>NINI</v>
      </c>
      <c r="D1752" s="11" t="str">
        <f>_xlfn.XLOOKUP(Customer[[#This Row],[Customer ID]],[1]!Address[ID],[1]!Address[PIC])</f>
        <v/>
      </c>
      <c r="E1752" s="11" t="str">
        <f>_xlfn.XLOOKUP(Customer[[#This Row],[Customer ID]],[1]!Address[ID],[1]!Address[Full Address])</f>
        <v>NO 4 TINGKAT BAWAH,JLN DATO SIAMANG GAGAP,70400 SEREMBAN, NEGERI SEMBILAN.</v>
      </c>
      <c r="F1752" s="12" t="s">
        <v>11026</v>
      </c>
      <c r="G1752" s="12" t="s">
        <v>2411</v>
      </c>
      <c r="H1752" s="12"/>
      <c r="I1752" s="12" t="b">
        <f>ISNUMBER(VALUE(LEFT(Customer[[#This Row],[Address Line 3 (30 char)]],1)))</f>
        <v>0</v>
      </c>
      <c r="J1752" s="12" t="s">
        <v>203</v>
      </c>
      <c r="K1752" s="12">
        <v>70400</v>
      </c>
      <c r="L1752" s="12" t="s">
        <v>35</v>
      </c>
      <c r="M1752" s="13" t="e">
        <v>#N/A</v>
      </c>
      <c r="N1752" s="14" t="e">
        <v>#N/A</v>
      </c>
      <c r="O1752" s="14" t="e">
        <v>#N/A</v>
      </c>
      <c r="P1752" s="14" t="e">
        <v>#N/A</v>
      </c>
      <c r="Q1752" s="14" t="e">
        <v>#N/A</v>
      </c>
      <c r="R1752" s="15" t="s">
        <v>11027</v>
      </c>
      <c r="S1752" s="15" t="s">
        <v>88</v>
      </c>
      <c r="T1752" s="16" t="s">
        <v>89</v>
      </c>
      <c r="U1752" s="11" t="str">
        <f>_xlfn.XLOOKUP(Customer[[#This Row],[Customer ID]],[1]!Address[ID],[1]!Address[Phone No.(2)])</f>
        <v/>
      </c>
      <c r="V1752" s="11" t="str">
        <f>_xlfn.XLOOKUP(Customer[[#This Row],[Customer ID]],[1]!Address[ID],[1]!Address[Type])</f>
        <v>SOCMED</v>
      </c>
      <c r="W1752" s="11" t="str">
        <f>_xlfn.XLOOKUP(Customer[[#This Row],[Customer ID]],[1]!Address[ID],[1]!Address[CT])</f>
        <v/>
      </c>
      <c r="X1752" s="11"/>
      <c r="Y1752" s="17" t="s">
        <v>90</v>
      </c>
      <c r="Z1752" s="17" t="e">
        <f>_xlfn.XLOOKUP(Customer[[#This Row],[NewType]],$AF$36:$AF$54,$AG$36:$AG$54)</f>
        <v>#N/A</v>
      </c>
      <c r="AA1752" s="17" t="s">
        <v>11028</v>
      </c>
      <c r="AB1752" s="11" t="str">
        <f>_xlfn.XLOOKUP(Customer[[#This Row],[Customer ID]],[1]!Address[ID],[1]!Address[Subtype])</f>
        <v>ONLINE ROS</v>
      </c>
      <c r="AC1752" s="18" t="str">
        <f>_xlfn.XLOOKUP(Customer[[#This Row],[Customer ID]],[1]!Address[ID],[1]!Address[Zone])</f>
        <v>CENTRAL</v>
      </c>
    </row>
    <row r="1753" spans="1:29" x14ac:dyDescent="0.3">
      <c r="A1753" s="10" t="s">
        <v>11029</v>
      </c>
      <c r="B1753" s="11" t="str">
        <f>_xlfn.XLOOKUP(Customer[[#This Row],[Customer ID]],[1]!Name[ID],[1]!Name[Description(1)])</f>
        <v>FARMASI BAIDURI SDN BHD</v>
      </c>
      <c r="C1753" s="11" t="str">
        <f>_xlfn.XLOOKUP(Customer[[#This Row],[Customer ID]],[1]!Name[ID],[1]!Name[Description(2)])</f>
        <v/>
      </c>
      <c r="D1753" s="11" t="str">
        <f>_xlfn.XLOOKUP(Customer[[#This Row],[Customer ID]],[1]!Address[ID],[1]!Address[PIC])</f>
        <v/>
      </c>
      <c r="E1753" s="11" t="str">
        <f>_xlfn.XLOOKUP(Customer[[#This Row],[Customer ID]],[1]!Address[ID],[1]!Address[Full Address])</f>
        <v>28A JALAN SULTAN MAHMUD20400 KUALA TERENGGANU,TERENGGANU</v>
      </c>
      <c r="F1753" s="12" t="s">
        <v>11030</v>
      </c>
      <c r="G1753" s="12" t="s">
        <v>11031</v>
      </c>
      <c r="H1753" s="12"/>
      <c r="I1753" s="12" t="b">
        <f>ISNUMBER(VALUE(LEFT(Customer[[#This Row],[Address Line 3 (30 char)]],1)))</f>
        <v>0</v>
      </c>
      <c r="J1753" s="12" t="s">
        <v>1056</v>
      </c>
      <c r="K1753" s="12">
        <v>20400</v>
      </c>
      <c r="L1753" s="12" t="s">
        <v>35</v>
      </c>
      <c r="M1753" s="13" t="e">
        <v>#N/A</v>
      </c>
      <c r="N1753" s="14" t="e">
        <v>#N/A</v>
      </c>
      <c r="O1753" s="14" t="e">
        <v>#N/A</v>
      </c>
      <c r="P1753" s="14" t="e">
        <v>#N/A</v>
      </c>
      <c r="Q1753" s="14" t="e">
        <v>#N/A</v>
      </c>
      <c r="R1753" s="15" t="s">
        <v>11032</v>
      </c>
      <c r="S1753" s="15" t="s">
        <v>88</v>
      </c>
      <c r="T1753" s="16" t="s">
        <v>89</v>
      </c>
      <c r="U1753" s="11" t="str">
        <f>_xlfn.XLOOKUP(Customer[[#This Row],[Customer ID]],[1]!Address[ID],[1]!Address[Phone No.(2)])</f>
        <v/>
      </c>
      <c r="V1753" s="11" t="str">
        <f>_xlfn.XLOOKUP(Customer[[#This Row],[Customer ID]],[1]!Address[ID],[1]!Address[Type])</f>
        <v>SOCMED</v>
      </c>
      <c r="W1753" s="11" t="str">
        <f>_xlfn.XLOOKUP(Customer[[#This Row],[Customer ID]],[1]!Address[ID],[1]!Address[CT])</f>
        <v/>
      </c>
      <c r="X1753" s="11"/>
      <c r="Y1753" s="17" t="s">
        <v>90</v>
      </c>
      <c r="Z1753" s="17" t="e">
        <f>_xlfn.XLOOKUP(Customer[[#This Row],[NewType]],$AF$36:$AF$54,$AG$36:$AG$54)</f>
        <v>#N/A</v>
      </c>
      <c r="AA1753" s="17" t="s">
        <v>11033</v>
      </c>
      <c r="AB1753" s="11" t="str">
        <f>_xlfn.XLOOKUP(Customer[[#This Row],[Customer ID]],[1]!Address[ID],[1]!Address[Subtype])</f>
        <v>ONLINE ROS</v>
      </c>
      <c r="AC1753" s="18" t="str">
        <f>_xlfn.XLOOKUP(Customer[[#This Row],[Customer ID]],[1]!Address[ID],[1]!Address[Zone])</f>
        <v>EAST COAST</v>
      </c>
    </row>
    <row r="1754" spans="1:29" x14ac:dyDescent="0.3">
      <c r="A1754" s="48" t="s">
        <v>11034</v>
      </c>
      <c r="B1754" s="49" t="str">
        <f>_xlfn.XLOOKUP(Customer[[#This Row],[Customer ID]],[1]!Name[ID],[1]!Name[Description(1)])</f>
        <v>WAREHOUSE PINANG FARMASI</v>
      </c>
      <c r="C1754" s="11" t="str">
        <f>_xlfn.XLOOKUP(Customer[[#This Row],[Customer ID]],[1]!Name[ID],[1]!Name[Description(2)])</f>
        <v>EZ RIVER EMPIRE SDN BHD</v>
      </c>
      <c r="D1754" s="11" t="str">
        <f>_xlfn.XLOOKUP(Customer[[#This Row],[Customer ID]],[1]!Address[ID],[1]!Address[PIC])</f>
        <v>AIN</v>
      </c>
      <c r="E1754" s="11" t="str">
        <f>_xlfn.XLOOKUP(Customer[[#This Row],[Customer ID]],[1]!Address[ID],[1]!Address[Full Address])</f>
        <v>NO. 26 (GROUND FLOOR),JLN PERDA SELATAN, BANDAR PERDA,14000 BUKIT MERTAJAM,PULAU PINANG</v>
      </c>
      <c r="F1754" s="12" t="s">
        <v>11035</v>
      </c>
      <c r="G1754" s="12" t="s">
        <v>11036</v>
      </c>
      <c r="H1754" s="24" t="s">
        <v>11037</v>
      </c>
      <c r="I1754" s="24" t="b">
        <f>ISNUMBER(VALUE(LEFT(Customer[[#This Row],[Address Line 3 (30 char)]],1)))</f>
        <v>0</v>
      </c>
      <c r="J1754" s="12" t="s">
        <v>179</v>
      </c>
      <c r="K1754" s="12">
        <v>14000</v>
      </c>
      <c r="L1754" s="12" t="s">
        <v>35</v>
      </c>
      <c r="M1754" s="13" t="e">
        <v>#N/A</v>
      </c>
      <c r="N1754" s="14" t="s">
        <v>11038</v>
      </c>
      <c r="O1754" s="14" t="e">
        <v>#N/A</v>
      </c>
      <c r="P1754" s="14" t="e">
        <v>#N/A</v>
      </c>
      <c r="Q1754" s="19" t="s">
        <v>11039</v>
      </c>
      <c r="R1754" s="15" t="s">
        <v>11040</v>
      </c>
      <c r="S1754" s="15" t="s">
        <v>3212</v>
      </c>
      <c r="T1754" s="16" t="s">
        <v>89</v>
      </c>
      <c r="U1754" s="11" t="str">
        <f>_xlfn.XLOOKUP(Customer[[#This Row],[Customer ID]],[1]!Address[ID],[1]!Address[Phone No.(2)])</f>
        <v/>
      </c>
      <c r="V1754" s="11" t="str">
        <f>_xlfn.XLOOKUP(Customer[[#This Row],[Customer ID]],[1]!Address[ID],[1]!Address[Type])</f>
        <v>SOCMED</v>
      </c>
      <c r="W1754" s="11" t="str">
        <f>_xlfn.XLOOKUP(Customer[[#This Row],[Customer ID]],[1]!Address[ID],[1]!Address[CT])</f>
        <v/>
      </c>
      <c r="X1754" s="11"/>
      <c r="Y1754" s="17" t="s">
        <v>90</v>
      </c>
      <c r="Z1754" s="17" t="e">
        <f>_xlfn.XLOOKUP(Customer[[#This Row],[NewType]],$AF$36:$AF$54,$AG$36:$AG$54)</f>
        <v>#N/A</v>
      </c>
      <c r="AA1754" s="17" t="s">
        <v>11041</v>
      </c>
      <c r="AB1754" s="11" t="str">
        <f>_xlfn.XLOOKUP(Customer[[#This Row],[Customer ID]],[1]!Address[ID],[1]!Address[Subtype])</f>
        <v>ONLINE HAJAR</v>
      </c>
      <c r="AC1754" s="18" t="str">
        <f>_xlfn.XLOOKUP(Customer[[#This Row],[Customer ID]],[1]!Address[ID],[1]!Address[Zone])</f>
        <v>NORTH</v>
      </c>
    </row>
    <row r="1755" spans="1:29" x14ac:dyDescent="0.3">
      <c r="A1755" s="10" t="s">
        <v>11042</v>
      </c>
      <c r="B1755" s="11" t="str">
        <f>_xlfn.XLOOKUP(Customer[[#This Row],[Customer ID]],[1]!Name[ID],[1]!Name[Description(1)])</f>
        <v>ILMAN PHARMACARE</v>
      </c>
      <c r="C1755" s="11" t="str">
        <f>_xlfn.XLOOKUP(Customer[[#This Row],[Customer ID]],[1]!Name[ID],[1]!Name[Description(2)])</f>
        <v/>
      </c>
      <c r="D1755" s="11" t="str">
        <f>_xlfn.XLOOKUP(Customer[[#This Row],[Customer ID]],[1]!Address[ID],[1]!Address[PIC])</f>
        <v/>
      </c>
      <c r="E1755" s="11" t="str">
        <f>_xlfn.XLOOKUP(Customer[[#This Row],[Customer ID]],[1]!Address[ID],[1]!Address[Full Address])</f>
        <v>NO. 11 BANGUNAN KEDAI PKNP,JALAN BESAR, BOTA KANAN,32600 BOTA, PERAK</v>
      </c>
      <c r="F1755" s="12" t="s">
        <v>11043</v>
      </c>
      <c r="G1755" s="12" t="s">
        <v>11044</v>
      </c>
      <c r="H1755" s="24" t="s">
        <v>11045</v>
      </c>
      <c r="I1755" s="24" t="b">
        <f>ISNUMBER(VALUE(LEFT(Customer[[#This Row],[Address Line 3 (30 char)]],1)))</f>
        <v>0</v>
      </c>
      <c r="J1755" s="12" t="s">
        <v>242</v>
      </c>
      <c r="K1755" s="12">
        <v>32600</v>
      </c>
      <c r="L1755" s="12" t="s">
        <v>35</v>
      </c>
      <c r="M1755" s="13" t="e">
        <v>#N/A</v>
      </c>
      <c r="N1755" s="14" t="e">
        <v>#N/A</v>
      </c>
      <c r="O1755" s="14" t="e">
        <v>#N/A</v>
      </c>
      <c r="P1755" s="14" t="e">
        <v>#N/A</v>
      </c>
      <c r="Q1755" s="14" t="e">
        <v>#N/A</v>
      </c>
      <c r="R1755" s="15" t="s">
        <v>11046</v>
      </c>
      <c r="S1755" s="15" t="s">
        <v>88</v>
      </c>
      <c r="T1755" s="16" t="s">
        <v>89</v>
      </c>
      <c r="U1755" s="11" t="str">
        <f>_xlfn.XLOOKUP(Customer[[#This Row],[Customer ID]],[1]!Address[ID],[1]!Address[Phone No.(2)])</f>
        <v/>
      </c>
      <c r="V1755" s="11" t="str">
        <f>_xlfn.XLOOKUP(Customer[[#This Row],[Customer ID]],[1]!Address[ID],[1]!Address[Type])</f>
        <v>SOCMED</v>
      </c>
      <c r="W1755" s="11" t="str">
        <f>_xlfn.XLOOKUP(Customer[[#This Row],[Customer ID]],[1]!Address[ID],[1]!Address[CT])</f>
        <v/>
      </c>
      <c r="X1755" s="11"/>
      <c r="Y1755" s="17" t="s">
        <v>90</v>
      </c>
      <c r="Z1755" s="17" t="e">
        <f>_xlfn.XLOOKUP(Customer[[#This Row],[NewType]],$AF$36:$AF$54,$AG$36:$AG$54)</f>
        <v>#N/A</v>
      </c>
      <c r="AA1755" s="17" t="s">
        <v>11047</v>
      </c>
      <c r="AB1755" s="11" t="str">
        <f>_xlfn.XLOOKUP(Customer[[#This Row],[Customer ID]],[1]!Address[ID],[1]!Address[Subtype])</f>
        <v>ONLINE ROS</v>
      </c>
      <c r="AC1755" s="18" t="str">
        <f>_xlfn.XLOOKUP(Customer[[#This Row],[Customer ID]],[1]!Address[ID],[1]!Address[Zone])</f>
        <v>NORTH</v>
      </c>
    </row>
    <row r="1756" spans="1:29" x14ac:dyDescent="0.3">
      <c r="A1756" s="10" t="s">
        <v>11048</v>
      </c>
      <c r="B1756" s="11" t="str">
        <f>_xlfn.XLOOKUP(Customer[[#This Row],[Customer ID]],[1]!Name[ID],[1]!Name[Description(1)])</f>
        <v>FARMASI UBATKU2</v>
      </c>
      <c r="C1756" s="11" t="str">
        <f>_xlfn.XLOOKUP(Customer[[#This Row],[Customer ID]],[1]!Name[ID],[1]!Name[Description(2)])</f>
        <v>SHAMILIN ENTERPRISE</v>
      </c>
      <c r="D1756" s="11" t="str">
        <f>_xlfn.XLOOKUP(Customer[[#This Row],[Customer ID]],[1]!Address[ID],[1]!Address[PIC])</f>
        <v>DANIAL FARIS</v>
      </c>
      <c r="E1756" s="11" t="str">
        <f>_xlfn.XLOOKUP(Customer[[#This Row],[Customer ID]],[1]!Address[ID],[1]!Address[Full Address])</f>
        <v>NO. 30, JALAN SETIA JASA 1,28000 TEMERLOH,PAHANG</v>
      </c>
      <c r="F1756" s="12" t="s">
        <v>11049</v>
      </c>
      <c r="G1756" s="12" t="s">
        <v>11050</v>
      </c>
      <c r="H1756" s="12"/>
      <c r="I1756" s="12" t="b">
        <f>ISNUMBER(VALUE(LEFT(Customer[[#This Row],[Address Line 3 (30 char)]],1)))</f>
        <v>0</v>
      </c>
      <c r="J1756" s="12" t="s">
        <v>339</v>
      </c>
      <c r="K1756" s="12">
        <v>28000</v>
      </c>
      <c r="L1756" s="12" t="s">
        <v>35</v>
      </c>
      <c r="M1756" s="13" t="e">
        <v>#N/A</v>
      </c>
      <c r="N1756" s="14" t="e">
        <v>#N/A</v>
      </c>
      <c r="O1756" s="14" t="e">
        <v>#N/A</v>
      </c>
      <c r="P1756" s="14" t="e">
        <v>#N/A</v>
      </c>
      <c r="Q1756" s="14" t="e">
        <v>#N/A</v>
      </c>
      <c r="R1756" s="15" t="s">
        <v>11051</v>
      </c>
      <c r="S1756" s="15" t="s">
        <v>88</v>
      </c>
      <c r="T1756" s="16" t="s">
        <v>89</v>
      </c>
      <c r="U1756" s="11" t="str">
        <f>_xlfn.XLOOKUP(Customer[[#This Row],[Customer ID]],[1]!Address[ID],[1]!Address[Phone No.(2)])</f>
        <v/>
      </c>
      <c r="V1756" s="11" t="str">
        <f>_xlfn.XLOOKUP(Customer[[#This Row],[Customer ID]],[1]!Address[ID],[1]!Address[Type])</f>
        <v>SOCMED</v>
      </c>
      <c r="W1756" s="11" t="str">
        <f>_xlfn.XLOOKUP(Customer[[#This Row],[Customer ID]],[1]!Address[ID],[1]!Address[CT])</f>
        <v/>
      </c>
      <c r="X1756" s="11"/>
      <c r="Y1756" s="17" t="s">
        <v>90</v>
      </c>
      <c r="Z1756" s="17" t="e">
        <f>_xlfn.XLOOKUP(Customer[[#This Row],[NewType]],$AF$36:$AF$54,$AG$36:$AG$54)</f>
        <v>#N/A</v>
      </c>
      <c r="AA1756" s="17" t="s">
        <v>11052</v>
      </c>
      <c r="AB1756" s="11" t="str">
        <f>_xlfn.XLOOKUP(Customer[[#This Row],[Customer ID]],[1]!Address[ID],[1]!Address[Subtype])</f>
        <v>ONLINE ROS</v>
      </c>
      <c r="AC1756" s="18" t="str">
        <f>_xlfn.XLOOKUP(Customer[[#This Row],[Customer ID]],[1]!Address[ID],[1]!Address[Zone])</f>
        <v>CENTRAL</v>
      </c>
    </row>
    <row r="1757" spans="1:29" x14ac:dyDescent="0.3">
      <c r="A1757" s="10" t="s">
        <v>11053</v>
      </c>
      <c r="B1757" s="11" t="str">
        <f>_xlfn.XLOOKUP(Customer[[#This Row],[Customer ID]],[1]!Name[ID],[1]!Name[Description(1)])</f>
        <v>CALTEX RS NOVA STAR</v>
      </c>
      <c r="C1757" s="11" t="str">
        <f>_xlfn.XLOOKUP(Customer[[#This Row],[Customer ID]],[1]!Name[ID],[1]!Name[Description(2)])</f>
        <v/>
      </c>
      <c r="D1757" s="11" t="str">
        <f>_xlfn.XLOOKUP(Customer[[#This Row],[Customer ID]],[1]!Address[ID],[1]!Address[PIC])</f>
        <v>SHAHRINA</v>
      </c>
      <c r="E1757" s="11" t="str">
        <f>_xlfn.XLOOKUP(Customer[[#This Row],[Customer ID]],[1]!Address[ID],[1]!Address[Full Address])</f>
        <v>NO 4 JALAN EMAS PUTIH 5,TAMAN SRI SKUDAI,81300 SKUDAI,JOHOR DARUL TAKZIM</v>
      </c>
      <c r="F1757" s="12" t="s">
        <v>11054</v>
      </c>
      <c r="G1757" s="12" t="s">
        <v>11055</v>
      </c>
      <c r="H1757" s="24" t="s">
        <v>11056</v>
      </c>
      <c r="I1757" s="24" t="b">
        <f>ISNUMBER(VALUE(LEFT(Customer[[#This Row],[Address Line 3 (30 char)]],1)))</f>
        <v>0</v>
      </c>
      <c r="J1757" s="12" t="s">
        <v>52</v>
      </c>
      <c r="K1757" s="12">
        <v>81300</v>
      </c>
      <c r="L1757" s="12" t="s">
        <v>35</v>
      </c>
      <c r="M1757" s="13" t="e">
        <v>#N/A</v>
      </c>
      <c r="N1757" s="14" t="e">
        <v>#N/A</v>
      </c>
      <c r="O1757" s="14" t="e">
        <v>#N/A</v>
      </c>
      <c r="P1757" s="14" t="e">
        <v>#N/A</v>
      </c>
      <c r="Q1757" s="14" t="e">
        <v>#N/A</v>
      </c>
      <c r="R1757" s="15" t="s">
        <v>11057</v>
      </c>
      <c r="S1757" s="15" t="s">
        <v>88</v>
      </c>
      <c r="T1757" s="16" t="s">
        <v>89</v>
      </c>
      <c r="U1757" s="11" t="str">
        <f>_xlfn.XLOOKUP(Customer[[#This Row],[Customer ID]],[1]!Address[ID],[1]!Address[Phone No.(2)])</f>
        <v/>
      </c>
      <c r="V1757" s="11" t="str">
        <f>_xlfn.XLOOKUP(Customer[[#This Row],[Customer ID]],[1]!Address[ID],[1]!Address[Type])</f>
        <v>SOCMED</v>
      </c>
      <c r="W1757" s="11" t="str">
        <f>_xlfn.XLOOKUP(Customer[[#This Row],[Customer ID]],[1]!Address[ID],[1]!Address[CT])</f>
        <v/>
      </c>
      <c r="X1757" s="11"/>
      <c r="Y1757" s="17" t="s">
        <v>90</v>
      </c>
      <c r="Z1757" s="17" t="e">
        <f>_xlfn.XLOOKUP(Customer[[#This Row],[NewType]],$AF$36:$AF$54,$AG$36:$AG$54)</f>
        <v>#N/A</v>
      </c>
      <c r="AA1757" s="17" t="s">
        <v>11058</v>
      </c>
      <c r="AB1757" s="11" t="str">
        <f>_xlfn.XLOOKUP(Customer[[#This Row],[Customer ID]],[1]!Address[ID],[1]!Address[Subtype])</f>
        <v>ONLINE ROS</v>
      </c>
      <c r="AC1757" s="18" t="str">
        <f>_xlfn.XLOOKUP(Customer[[#This Row],[Customer ID]],[1]!Address[ID],[1]!Address[Zone])</f>
        <v>CENTRAL</v>
      </c>
    </row>
    <row r="1758" spans="1:29" x14ac:dyDescent="0.3">
      <c r="A1758" s="10" t="s">
        <v>11059</v>
      </c>
      <c r="B1758" s="11" t="str">
        <f>_xlfn.XLOOKUP(Customer[[#This Row],[Customer ID]],[1]!Name[ID],[1]!Name[Description(1)])</f>
        <v>SHAFAH GLOBAL SDN BHD (1356067-P)</v>
      </c>
      <c r="C1758" s="11" t="str">
        <f>_xlfn.XLOOKUP(Customer[[#This Row],[Customer ID]],[1]!Name[ID],[1]!Name[Description(2)])</f>
        <v/>
      </c>
      <c r="D1758" s="11" t="str">
        <f>_xlfn.XLOOKUP(Customer[[#This Row],[Customer ID]],[1]!Address[ID],[1]!Address[PIC])</f>
        <v/>
      </c>
      <c r="E1758" s="11" t="str">
        <f>_xlfn.XLOOKUP(Customer[[#This Row],[Customer ID]],[1]!Address[ID],[1]!Address[Full Address])</f>
        <v>HOSPIMART SHOPPE,HOSPITAL BESAR MELAKA,JALAN MUFTI HAJI KHALIL, 74500 MELAKA</v>
      </c>
      <c r="F1758" s="12" t="s">
        <v>11060</v>
      </c>
      <c r="G1758" s="12" t="s">
        <v>11061</v>
      </c>
      <c r="H1758" s="12" t="s">
        <v>11062</v>
      </c>
      <c r="I1758" s="12" t="b">
        <f>ISNUMBER(VALUE(LEFT(Customer[[#This Row],[Address Line 3 (30 char)]],1)))</f>
        <v>0</v>
      </c>
      <c r="J1758" s="12" t="s">
        <v>61</v>
      </c>
      <c r="K1758" s="12">
        <v>74500</v>
      </c>
      <c r="L1758" s="12" t="s">
        <v>35</v>
      </c>
      <c r="M1758" s="13" t="e">
        <v>#N/A</v>
      </c>
      <c r="N1758" s="14" t="e">
        <v>#N/A</v>
      </c>
      <c r="O1758" s="14" t="e">
        <v>#N/A</v>
      </c>
      <c r="P1758" s="14" t="e">
        <v>#N/A</v>
      </c>
      <c r="Q1758" s="14" t="e">
        <v>#N/A</v>
      </c>
      <c r="R1758" s="15" t="s">
        <v>11063</v>
      </c>
      <c r="S1758" s="15" t="s">
        <v>88</v>
      </c>
      <c r="T1758" s="16" t="s">
        <v>89</v>
      </c>
      <c r="U1758" s="11" t="str">
        <f>_xlfn.XLOOKUP(Customer[[#This Row],[Customer ID]],[1]!Address[ID],[1]!Address[Phone No.(2)])</f>
        <v/>
      </c>
      <c r="V1758" s="11" t="str">
        <f>_xlfn.XLOOKUP(Customer[[#This Row],[Customer ID]],[1]!Address[ID],[1]!Address[Type])</f>
        <v>SOCMED</v>
      </c>
      <c r="W1758" s="11" t="str">
        <f>_xlfn.XLOOKUP(Customer[[#This Row],[Customer ID]],[1]!Address[ID],[1]!Address[CT])</f>
        <v/>
      </c>
      <c r="X1758" s="11"/>
      <c r="Y1758" s="17" t="s">
        <v>90</v>
      </c>
      <c r="Z1758" s="17" t="e">
        <f>_xlfn.XLOOKUP(Customer[[#This Row],[NewType]],$AF$36:$AF$54,$AG$36:$AG$54)</f>
        <v>#N/A</v>
      </c>
      <c r="AA1758" s="17" t="s">
        <v>11064</v>
      </c>
      <c r="AB1758" s="11" t="str">
        <f>_xlfn.XLOOKUP(Customer[[#This Row],[Customer ID]],[1]!Address[ID],[1]!Address[Subtype])</f>
        <v>ONLINE ROS</v>
      </c>
      <c r="AC1758" s="18" t="str">
        <f>_xlfn.XLOOKUP(Customer[[#This Row],[Customer ID]],[1]!Address[ID],[1]!Address[Zone])</f>
        <v>SOUTH</v>
      </c>
    </row>
    <row r="1759" spans="1:29" x14ac:dyDescent="0.3">
      <c r="A1759" s="10" t="s">
        <v>11065</v>
      </c>
      <c r="B1759" s="11" t="str">
        <f>_xlfn.XLOOKUP(Customer[[#This Row],[Customer ID]],[1]!Name[ID],[1]!Name[Description(1)])</f>
        <v>KM PREMIUM ENTERPRISE</v>
      </c>
      <c r="C1759" s="11" t="str">
        <f>_xlfn.XLOOKUP(Customer[[#This Row],[Customer ID]],[1]!Name[ID],[1]!Name[Description(2)])</f>
        <v/>
      </c>
      <c r="D1759" s="11" t="str">
        <f>_xlfn.XLOOKUP(Customer[[#This Row],[Customer ID]],[1]!Address[ID],[1]!Address[PIC])</f>
        <v/>
      </c>
      <c r="E1759" s="11" t="str">
        <f>_xlfn.XLOOKUP(Customer[[#This Row],[Customer ID]],[1]!Address[ID],[1]!Address[Full Address])</f>
        <v>LOT 1890-B, PEKAN MEGAT DEWA,JLN MEGAT DEWA,06100 KODIANG, KEDAH</v>
      </c>
      <c r="F1759" s="12" t="s">
        <v>11066</v>
      </c>
      <c r="G1759" s="12" t="s">
        <v>11067</v>
      </c>
      <c r="H1759" s="24" t="s">
        <v>11068</v>
      </c>
      <c r="I1759" s="24" t="b">
        <f>ISNUMBER(VALUE(LEFT(Customer[[#This Row],[Address Line 3 (30 char)]],1)))</f>
        <v>0</v>
      </c>
      <c r="J1759" s="12" t="s">
        <v>79</v>
      </c>
      <c r="K1759" s="20" t="s">
        <v>8883</v>
      </c>
      <c r="L1759" s="12" t="s">
        <v>35</v>
      </c>
      <c r="M1759" s="13" t="e">
        <v>#N/A</v>
      </c>
      <c r="N1759" s="14" t="e">
        <v>#N/A</v>
      </c>
      <c r="O1759" s="14" t="e">
        <v>#N/A</v>
      </c>
      <c r="P1759" s="14" t="e">
        <v>#N/A</v>
      </c>
      <c r="Q1759" s="14" t="e">
        <v>#N/A</v>
      </c>
      <c r="R1759" s="15" t="s">
        <v>11069</v>
      </c>
      <c r="S1759" s="15" t="s">
        <v>88</v>
      </c>
      <c r="T1759" s="16" t="s">
        <v>89</v>
      </c>
      <c r="U1759" s="11" t="str">
        <f>_xlfn.XLOOKUP(Customer[[#This Row],[Customer ID]],[1]!Address[ID],[1]!Address[Phone No.(2)])</f>
        <v/>
      </c>
      <c r="V1759" s="11" t="str">
        <f>_xlfn.XLOOKUP(Customer[[#This Row],[Customer ID]],[1]!Address[ID],[1]!Address[Type])</f>
        <v>SOCMED</v>
      </c>
      <c r="W1759" s="11" t="str">
        <f>_xlfn.XLOOKUP(Customer[[#This Row],[Customer ID]],[1]!Address[ID],[1]!Address[CT])</f>
        <v/>
      </c>
      <c r="X1759" s="11"/>
      <c r="Y1759" s="17" t="s">
        <v>90</v>
      </c>
      <c r="Z1759" s="17" t="e">
        <f>_xlfn.XLOOKUP(Customer[[#This Row],[NewType]],$AF$36:$AF$54,$AG$36:$AG$54)</f>
        <v>#N/A</v>
      </c>
      <c r="AA1759" s="17" t="s">
        <v>11070</v>
      </c>
      <c r="AB1759" s="11" t="str">
        <f>_xlfn.XLOOKUP(Customer[[#This Row],[Customer ID]],[1]!Address[ID],[1]!Address[Subtype])</f>
        <v>ONLINE ROS</v>
      </c>
      <c r="AC1759" s="18" t="str">
        <f>_xlfn.XLOOKUP(Customer[[#This Row],[Customer ID]],[1]!Address[ID],[1]!Address[Zone])</f>
        <v>NORTH</v>
      </c>
    </row>
    <row r="1760" spans="1:29" x14ac:dyDescent="0.3">
      <c r="A1760" s="10" t="s">
        <v>11071</v>
      </c>
      <c r="B1760" s="11" t="str">
        <f>_xlfn.XLOOKUP(Customer[[#This Row],[Customer ID]],[1]!Name[ID],[1]!Name[Description(1)])</f>
        <v>FARMASI CAHAYA TIMUR</v>
      </c>
      <c r="C1760" s="11" t="str">
        <f>_xlfn.XLOOKUP(Customer[[#This Row],[Customer ID]],[1]!Name[ID],[1]!Name[Description(2)])</f>
        <v/>
      </c>
      <c r="D1760" s="11" t="str">
        <f>_xlfn.XLOOKUP(Customer[[#This Row],[Customer ID]],[1]!Address[ID],[1]!Address[PIC])</f>
        <v/>
      </c>
      <c r="E1760" s="11" t="str">
        <f>_xlfn.XLOOKUP(Customer[[#This Row],[Customer ID]],[1]!Address[ID],[1]!Address[Full Address])</f>
        <v>PT 2909 TKT BAWAH,TAMAN DESA SBJ PUTRA,PASIR PEKAN,16250 TUMPAT, KELANTAN</v>
      </c>
      <c r="F1760" s="12" t="s">
        <v>11072</v>
      </c>
      <c r="G1760" s="12" t="s">
        <v>11073</v>
      </c>
      <c r="H1760" s="12" t="s">
        <v>11074</v>
      </c>
      <c r="I1760" s="12" t="b">
        <f>ISNUMBER(VALUE(LEFT(Customer[[#This Row],[Address Line 3 (30 char)]],1)))</f>
        <v>0</v>
      </c>
      <c r="J1760" s="12" t="s">
        <v>1007</v>
      </c>
      <c r="K1760" s="12">
        <v>16250</v>
      </c>
      <c r="L1760" s="12" t="s">
        <v>35</v>
      </c>
      <c r="M1760" s="13" t="e">
        <v>#N/A</v>
      </c>
      <c r="N1760" s="14" t="e">
        <v>#N/A</v>
      </c>
      <c r="O1760" s="14" t="e">
        <v>#N/A</v>
      </c>
      <c r="P1760" s="14" t="e">
        <v>#N/A</v>
      </c>
      <c r="Q1760" s="19" t="s">
        <v>11075</v>
      </c>
      <c r="R1760" s="15" t="s">
        <v>11076</v>
      </c>
      <c r="S1760" s="15"/>
      <c r="T1760" s="16" t="s">
        <v>6749</v>
      </c>
      <c r="U1760" s="11" t="str">
        <f>_xlfn.XLOOKUP(Customer[[#This Row],[Customer ID]],[1]!Address[ID],[1]!Address[Phone No.(2)])</f>
        <v/>
      </c>
      <c r="V1760" s="11" t="str">
        <f>_xlfn.XLOOKUP(Customer[[#This Row],[Customer ID]],[1]!Address[ID],[1]!Address[Type])</f>
        <v>SOCMED</v>
      </c>
      <c r="W1760" s="11" t="str">
        <f>_xlfn.XLOOKUP(Customer[[#This Row],[Customer ID]],[1]!Address[ID],[1]!Address[CT])</f>
        <v/>
      </c>
      <c r="X1760" s="11"/>
      <c r="Y1760" s="17" t="s">
        <v>90</v>
      </c>
      <c r="Z1760" s="17" t="e">
        <f>_xlfn.XLOOKUP(Customer[[#This Row],[NewType]],$AF$36:$AF$54,$AG$36:$AG$54)</f>
        <v>#N/A</v>
      </c>
      <c r="AA1760" s="17" t="s">
        <v>11077</v>
      </c>
      <c r="AB1760" s="11" t="str">
        <f>_xlfn.XLOOKUP(Customer[[#This Row],[Customer ID]],[1]!Address[ID],[1]!Address[Subtype])</f>
        <v>KB</v>
      </c>
      <c r="AC1760" s="18" t="str">
        <f>_xlfn.XLOOKUP(Customer[[#This Row],[Customer ID]],[1]!Address[ID],[1]!Address[Zone])</f>
        <v>EAST COAST</v>
      </c>
    </row>
    <row r="1761" spans="1:29" x14ac:dyDescent="0.3">
      <c r="A1761" s="10" t="s">
        <v>11078</v>
      </c>
      <c r="B1761" s="11" t="str">
        <f>_xlfn.XLOOKUP(Customer[[#This Row],[Customer ID]],[1]!Name[ID],[1]!Name[Description(1)])</f>
        <v>SPM BERTAM HOLDING (PG) SDN BHD</v>
      </c>
      <c r="C1761" s="11" t="str">
        <f>_xlfn.XLOOKUP(Customer[[#This Row],[Customer ID]],[1]!Name[ID],[1]!Name[Description(2)])</f>
        <v>SHELL KEPALA BATAS</v>
      </c>
      <c r="D1761" s="11" t="str">
        <f>_xlfn.XLOOKUP(Customer[[#This Row],[Customer ID]],[1]!Address[ID],[1]!Address[PIC])</f>
        <v/>
      </c>
      <c r="E1761" s="11" t="str">
        <f>_xlfn.XLOOKUP(Customer[[#This Row],[Customer ID]],[1]!Address[ID],[1]!Address[Full Address])</f>
        <v>SHELL KEPALA BATAS2012, JALAN BERTAM,13200 KEPALA BATASSEBERANG PERAI UTARA  PULAU PINANG</v>
      </c>
      <c r="F1761" s="12" t="s">
        <v>11079</v>
      </c>
      <c r="G1761" s="12" t="s">
        <v>11080</v>
      </c>
      <c r="H1761" s="24" t="s">
        <v>11081</v>
      </c>
      <c r="I1761" s="24" t="b">
        <f>ISNUMBER(VALUE(LEFT(Customer[[#This Row],[Address Line 3 (30 char)]],1)))</f>
        <v>0</v>
      </c>
      <c r="J1761" s="12" t="s">
        <v>179</v>
      </c>
      <c r="K1761" s="12">
        <v>13200</v>
      </c>
      <c r="L1761" s="12" t="s">
        <v>35</v>
      </c>
      <c r="M1761" s="13" t="e">
        <v>#N/A</v>
      </c>
      <c r="N1761" s="14" t="e">
        <v>#N/A</v>
      </c>
      <c r="O1761" s="14" t="e">
        <v>#N/A</v>
      </c>
      <c r="P1761" s="14" t="e">
        <v>#N/A</v>
      </c>
      <c r="Q1761" s="19" t="s">
        <v>11082</v>
      </c>
      <c r="R1761" s="15" t="s">
        <v>11083</v>
      </c>
      <c r="S1761" s="15" t="s">
        <v>37</v>
      </c>
      <c r="T1761" s="16" t="s">
        <v>38</v>
      </c>
      <c r="U1761" s="11" t="str">
        <f>_xlfn.XLOOKUP(Customer[[#This Row],[Customer ID]],[1]!Address[ID],[1]!Address[Phone No.(2)])</f>
        <v/>
      </c>
      <c r="V1761" s="11" t="str">
        <f>_xlfn.XLOOKUP(Customer[[#This Row],[Customer ID]],[1]!Address[ID],[1]!Address[Type])</f>
        <v>PETROMART</v>
      </c>
      <c r="W1761" s="11" t="str">
        <f>_xlfn.XLOOKUP(Customer[[#This Row],[Customer ID]],[1]!Address[ID],[1]!Address[CT])</f>
        <v>30</v>
      </c>
      <c r="X1761" s="11" t="s">
        <v>39</v>
      </c>
      <c r="Y1761" s="17" t="s">
        <v>40</v>
      </c>
      <c r="Z1761" s="17" t="e">
        <f>_xlfn.XLOOKUP(Customer[[#This Row],[NewType]],$AF$36:$AF$54,$AG$36:$AG$54)</f>
        <v>#N/A</v>
      </c>
      <c r="AA1761" s="17" t="s">
        <v>11084</v>
      </c>
      <c r="AB1761" s="11" t="str">
        <f>_xlfn.XLOOKUP(Customer[[#This Row],[Customer ID]],[1]!Address[ID],[1]!Address[Subtype])</f>
        <v>SHELL</v>
      </c>
      <c r="AC1761" s="18" t="str">
        <f>_xlfn.XLOOKUP(Customer[[#This Row],[Customer ID]],[1]!Address[ID],[1]!Address[Zone])</f>
        <v>NORTH</v>
      </c>
    </row>
    <row r="1762" spans="1:29" x14ac:dyDescent="0.3">
      <c r="A1762" s="10" t="s">
        <v>11085</v>
      </c>
      <c r="B1762" s="11" t="str">
        <f>_xlfn.XLOOKUP(Customer[[#This Row],[Customer ID]],[1]!Name[ID],[1]!Name[Description(1)])</f>
        <v>F&amp;A STORE ENTERPRISE</v>
      </c>
      <c r="C1762" s="11" t="str">
        <f>_xlfn.XLOOKUP(Customer[[#This Row],[Customer ID]],[1]!Name[ID],[1]!Name[Description(2)])</f>
        <v/>
      </c>
      <c r="D1762" s="11" t="str">
        <f>_xlfn.XLOOKUP(Customer[[#This Row],[Customer ID]],[1]!Address[ID],[1]!Address[PIC])</f>
        <v>FARHAN NAJMI</v>
      </c>
      <c r="E1762" s="11" t="str">
        <f>_xlfn.XLOOKUP(Customer[[#This Row],[Customer ID]],[1]!Address[ID],[1]!Address[Full Address])</f>
        <v>NO 27, JALAN PULAI JAYA 2/3,BANDAR PULAI JAYA 81300 JOHOR BAHRU</v>
      </c>
      <c r="F1762" s="12" t="s">
        <v>11086</v>
      </c>
      <c r="G1762" s="12" t="s">
        <v>11087</v>
      </c>
      <c r="H1762" s="12" t="s">
        <v>36</v>
      </c>
      <c r="I1762" s="12" t="b">
        <f>ISNUMBER(VALUE(LEFT(Customer[[#This Row],[Address Line 3 (30 char)]],1)))</f>
        <v>0</v>
      </c>
      <c r="J1762" s="12" t="s">
        <v>52</v>
      </c>
      <c r="K1762" s="12">
        <v>81300</v>
      </c>
      <c r="L1762" s="12" t="s">
        <v>35</v>
      </c>
      <c r="M1762" s="13" t="e">
        <v>#N/A</v>
      </c>
      <c r="N1762" s="14" t="e">
        <v>#N/A</v>
      </c>
      <c r="O1762" s="14" t="e">
        <v>#N/A</v>
      </c>
      <c r="P1762" s="14" t="e">
        <v>#N/A</v>
      </c>
      <c r="Q1762" s="14" t="e">
        <v>#N/A</v>
      </c>
      <c r="R1762" s="15" t="s">
        <v>11088</v>
      </c>
      <c r="S1762" s="15" t="s">
        <v>88</v>
      </c>
      <c r="T1762" s="16" t="s">
        <v>89</v>
      </c>
      <c r="U1762" s="11" t="str">
        <f>_xlfn.XLOOKUP(Customer[[#This Row],[Customer ID]],[1]!Address[ID],[1]!Address[Phone No.(2)])</f>
        <v/>
      </c>
      <c r="V1762" s="11" t="str">
        <f>_xlfn.XLOOKUP(Customer[[#This Row],[Customer ID]],[1]!Address[ID],[1]!Address[Type])</f>
        <v>SOCMED</v>
      </c>
      <c r="W1762" s="11" t="str">
        <f>_xlfn.XLOOKUP(Customer[[#This Row],[Customer ID]],[1]!Address[ID],[1]!Address[CT])</f>
        <v/>
      </c>
      <c r="X1762" s="11"/>
      <c r="Y1762" s="17" t="s">
        <v>90</v>
      </c>
      <c r="Z1762" s="17" t="e">
        <f>_xlfn.XLOOKUP(Customer[[#This Row],[NewType]],$AF$36:$AF$54,$AG$36:$AG$54)</f>
        <v>#N/A</v>
      </c>
      <c r="AA1762" s="17" t="s">
        <v>11089</v>
      </c>
      <c r="AB1762" s="11" t="str">
        <f>_xlfn.XLOOKUP(Customer[[#This Row],[Customer ID]],[1]!Address[ID],[1]!Address[Subtype])</f>
        <v>ONLINE ROS</v>
      </c>
      <c r="AC1762" s="18" t="str">
        <f>_xlfn.XLOOKUP(Customer[[#This Row],[Customer ID]],[1]!Address[ID],[1]!Address[Zone])</f>
        <v>SOUTH</v>
      </c>
    </row>
    <row r="1763" spans="1:29" x14ac:dyDescent="0.3">
      <c r="A1763" s="10" t="s">
        <v>11090</v>
      </c>
      <c r="B1763" s="11" t="str">
        <f>_xlfn.XLOOKUP(Customer[[#This Row],[Customer ID]],[1]!Name[ID],[1]!Name[Description(1)])</f>
        <v>ZAM KIMAN JELAPANG</v>
      </c>
      <c r="C1763" s="11" t="str">
        <f>_xlfn.XLOOKUP(Customer[[#This Row],[Customer ID]],[1]!Name[ID],[1]!Name[Description(2)])</f>
        <v>PS JELAPANG</v>
      </c>
      <c r="D1763" s="11" t="str">
        <f>_xlfn.XLOOKUP(Customer[[#This Row],[Customer ID]],[1]!Address[ID],[1]!Address[PIC])</f>
        <v/>
      </c>
      <c r="E1763" s="11" t="str">
        <f>_xlfn.XLOOKUP(Customer[[#This Row],[Customer ID]],[1]!Address[ID],[1]!Address[Full Address])</f>
        <v>PS JELAPANGLOT 149415, BATU 4JALAN JELAPANG30020 IPOH PERAK</v>
      </c>
      <c r="F1763" s="12" t="s">
        <v>11091</v>
      </c>
      <c r="G1763" s="12" t="s">
        <v>11092</v>
      </c>
      <c r="H1763" s="12" t="s">
        <v>11093</v>
      </c>
      <c r="I1763" s="12" t="b">
        <f>ISNUMBER(VALUE(LEFT(Customer[[#This Row],[Address Line 3 (30 char)]],1)))</f>
        <v>0</v>
      </c>
      <c r="J1763" s="12" t="s">
        <v>242</v>
      </c>
      <c r="K1763" s="12">
        <v>30020</v>
      </c>
      <c r="L1763" s="12" t="s">
        <v>35</v>
      </c>
      <c r="M1763" s="13" t="e">
        <v>#N/A</v>
      </c>
      <c r="N1763" s="14" t="e">
        <v>#N/A</v>
      </c>
      <c r="O1763" s="14" t="e">
        <v>#N/A</v>
      </c>
      <c r="P1763" s="14" t="e">
        <v>#N/A</v>
      </c>
      <c r="Q1763" s="19" t="s">
        <v>1285</v>
      </c>
      <c r="R1763" s="15" t="s">
        <v>11094</v>
      </c>
      <c r="S1763" s="15" t="s">
        <v>37</v>
      </c>
      <c r="T1763" s="16" t="s">
        <v>38</v>
      </c>
      <c r="U1763" s="11" t="str">
        <f>_xlfn.XLOOKUP(Customer[[#This Row],[Customer ID]],[1]!Address[ID],[1]!Address[Phone No.(2)])</f>
        <v/>
      </c>
      <c r="V1763" s="11" t="str">
        <f>_xlfn.XLOOKUP(Customer[[#This Row],[Customer ID]],[1]!Address[ID],[1]!Address[Type])</f>
        <v>PETROMART</v>
      </c>
      <c r="W1763" s="11" t="str">
        <f>_xlfn.XLOOKUP(Customer[[#This Row],[Customer ID]],[1]!Address[ID],[1]!Address[CT])</f>
        <v>30</v>
      </c>
      <c r="X1763" s="11" t="s">
        <v>39</v>
      </c>
      <c r="Y1763" s="17" t="s">
        <v>40</v>
      </c>
      <c r="Z1763" s="17" t="e">
        <f>_xlfn.XLOOKUP(Customer[[#This Row],[NewType]],$AF$36:$AF$54,$AG$36:$AG$54)</f>
        <v>#N/A</v>
      </c>
      <c r="AA1763" s="17" t="s">
        <v>11095</v>
      </c>
      <c r="AB1763" s="11" t="str">
        <f>_xlfn.XLOOKUP(Customer[[#This Row],[Customer ID]],[1]!Address[ID],[1]!Address[Subtype])</f>
        <v>PETRONAS</v>
      </c>
      <c r="AC1763" s="18" t="str">
        <f>_xlfn.XLOOKUP(Customer[[#This Row],[Customer ID]],[1]!Address[ID],[1]!Address[Zone])</f>
        <v>NORTH</v>
      </c>
    </row>
    <row r="1764" spans="1:29" x14ac:dyDescent="0.3">
      <c r="A1764" s="10" t="s">
        <v>11096</v>
      </c>
      <c r="B1764" s="11" t="str">
        <f>_xlfn.XLOOKUP(Customer[[#This Row],[Customer ID]],[1]!Name[ID],[1]!Name[Description(1)])</f>
        <v>MASJID MUHIBBUDDIN SHAH</v>
      </c>
      <c r="C1764" s="11" t="str">
        <f>_xlfn.XLOOKUP(Customer[[#This Row],[Customer ID]],[1]!Name[ID],[1]!Name[Description(2)])</f>
        <v/>
      </c>
      <c r="D1764" s="11" t="str">
        <f>_xlfn.XLOOKUP(Customer[[#This Row],[Customer ID]],[1]!Address[ID],[1]!Address[PIC])</f>
        <v/>
      </c>
      <c r="E1764" s="11" t="str">
        <f>_xlfn.XLOOKUP(Customer[[#This Row],[Customer ID]],[1]!Address[ID],[1]!Address[Full Address])</f>
        <v>JALAN RAJA ASHMAN SHAH, IPOH 30450PERAK</v>
      </c>
      <c r="F1764" s="12" t="s">
        <v>11097</v>
      </c>
      <c r="G1764" s="12" t="s">
        <v>11098</v>
      </c>
      <c r="H1764" s="12" t="s">
        <v>9264</v>
      </c>
      <c r="I1764" s="12" t="b">
        <f>ISNUMBER(VALUE(LEFT(Customer[[#This Row],[Address Line 3 (30 char)]],1)))</f>
        <v>0</v>
      </c>
      <c r="J1764" s="12" t="s">
        <v>242</v>
      </c>
      <c r="K1764" s="12">
        <v>30450</v>
      </c>
      <c r="L1764" s="12" t="s">
        <v>35</v>
      </c>
      <c r="M1764" s="13" t="e">
        <v>#N/A</v>
      </c>
      <c r="N1764" s="14" t="e">
        <v>#N/A</v>
      </c>
      <c r="O1764" s="14" t="e">
        <v>#N/A</v>
      </c>
      <c r="P1764" s="14" t="e">
        <v>#N/A</v>
      </c>
      <c r="Q1764" s="14" t="e">
        <v>#N/A</v>
      </c>
      <c r="R1764" s="15" t="s">
        <v>11099</v>
      </c>
      <c r="S1764" s="15" t="s">
        <v>88</v>
      </c>
      <c r="T1764" s="16" t="s">
        <v>89</v>
      </c>
      <c r="U1764" s="11" t="str">
        <f>_xlfn.XLOOKUP(Customer[[#This Row],[Customer ID]],[1]!Address[ID],[1]!Address[Phone No.(2)])</f>
        <v/>
      </c>
      <c r="V1764" s="11" t="str">
        <f>_xlfn.XLOOKUP(Customer[[#This Row],[Customer ID]],[1]!Address[ID],[1]!Address[Type])</f>
        <v>SOCMED</v>
      </c>
      <c r="W1764" s="11" t="str">
        <f>_xlfn.XLOOKUP(Customer[[#This Row],[Customer ID]],[1]!Address[ID],[1]!Address[CT])</f>
        <v/>
      </c>
      <c r="X1764" s="11"/>
      <c r="Y1764" s="17" t="s">
        <v>90</v>
      </c>
      <c r="Z1764" s="17" t="e">
        <f>_xlfn.XLOOKUP(Customer[[#This Row],[NewType]],$AF$36:$AF$54,$AG$36:$AG$54)</f>
        <v>#N/A</v>
      </c>
      <c r="AA1764" s="17" t="s">
        <v>11100</v>
      </c>
      <c r="AB1764" s="11" t="str">
        <f>_xlfn.XLOOKUP(Customer[[#This Row],[Customer ID]],[1]!Address[ID],[1]!Address[Subtype])</f>
        <v>ONLINE ROS</v>
      </c>
      <c r="AC1764" s="18" t="str">
        <f>_xlfn.XLOOKUP(Customer[[#This Row],[Customer ID]],[1]!Address[ID],[1]!Address[Zone])</f>
        <v>NORTH</v>
      </c>
    </row>
    <row r="1765" spans="1:29" x14ac:dyDescent="0.3">
      <c r="A1765" s="10" t="s">
        <v>11101</v>
      </c>
      <c r="B1765" s="11" t="str">
        <f>_xlfn.XLOOKUP(Customer[[#This Row],[Customer ID]],[1]!Name[ID],[1]!Name[Description(1)])</f>
        <v>SAPURA AERO SDN BHD</v>
      </c>
      <c r="C1765" s="11" t="str">
        <f>_xlfn.XLOOKUP(Customer[[#This Row],[Customer ID]],[1]!Name[ID],[1]!Name[Description(2)])</f>
        <v/>
      </c>
      <c r="D1765" s="11" t="str">
        <f>_xlfn.XLOOKUP(Customer[[#This Row],[Customer ID]],[1]!Address[ID],[1]!Address[PIC])</f>
        <v>AMIRUL IMAN MOH</v>
      </c>
      <c r="E1765" s="11" t="str">
        <f>_xlfn.XLOOKUP(Customer[[#This Row],[Customer ID]],[1]!Address[ID],[1]!Address[Full Address])</f>
        <v>OLD CARGO COMPLEX,HANGER 3,SAAS INTERNATIONAL AIRPORT47200 SUBANG</v>
      </c>
      <c r="F1765" s="12" t="s">
        <v>11102</v>
      </c>
      <c r="G1765" s="12" t="s">
        <v>11103</v>
      </c>
      <c r="H1765" s="12" t="s">
        <v>11104</v>
      </c>
      <c r="I1765" s="12" t="b">
        <f>ISNUMBER(VALUE(LEFT(Customer[[#This Row],[Address Line 3 (30 char)]],1)))</f>
        <v>0</v>
      </c>
      <c r="J1765" s="12" t="s">
        <v>172</v>
      </c>
      <c r="K1765" s="12">
        <v>47200</v>
      </c>
      <c r="L1765" s="12" t="s">
        <v>35</v>
      </c>
      <c r="M1765" s="13">
        <v>201101035477</v>
      </c>
      <c r="N1765" s="14" t="s">
        <v>11105</v>
      </c>
      <c r="O1765" s="14" t="e">
        <v>#N/A</v>
      </c>
      <c r="P1765" s="14" t="e">
        <v>#N/A</v>
      </c>
      <c r="Q1765" s="19" t="s">
        <v>11106</v>
      </c>
      <c r="R1765" s="15" t="s">
        <v>11107</v>
      </c>
      <c r="S1765" s="15" t="s">
        <v>6418</v>
      </c>
      <c r="T1765" s="16" t="s">
        <v>3477</v>
      </c>
      <c r="U1765" s="11" t="str">
        <f>_xlfn.XLOOKUP(Customer[[#This Row],[Customer ID]],[1]!Address[ID],[1]!Address[Phone No.(2)])</f>
        <v/>
      </c>
      <c r="V1765" s="11" t="str">
        <f>_xlfn.XLOOKUP(Customer[[#This Row],[Customer ID]],[1]!Address[ID],[1]!Address[Type])</f>
        <v>CORPORATE</v>
      </c>
      <c r="W1765" s="11" t="str">
        <f>_xlfn.XLOOKUP(Customer[[#This Row],[Customer ID]],[1]!Address[ID],[1]!Address[CT])</f>
        <v>CASH</v>
      </c>
      <c r="X1765" s="11"/>
      <c r="Y1765" s="17" t="s">
        <v>6418</v>
      </c>
      <c r="Z1765" s="17" t="e">
        <f>_xlfn.XLOOKUP(Customer[[#This Row],[NewType]],$AF$36:$AF$54,$AG$36:$AG$54)</f>
        <v>#N/A</v>
      </c>
      <c r="AA1765" s="17" t="s">
        <v>11108</v>
      </c>
      <c r="AB1765" s="11" t="str">
        <f>_xlfn.XLOOKUP(Customer[[#This Row],[Customer ID]],[1]!Address[ID],[1]!Address[Subtype])</f>
        <v>SAPURA AERO</v>
      </c>
      <c r="AC1765" s="18" t="str">
        <f>_xlfn.XLOOKUP(Customer[[#This Row],[Customer ID]],[1]!Address[ID],[1]!Address[Zone])</f>
        <v>AOTEH</v>
      </c>
    </row>
    <row r="1766" spans="1:29" x14ac:dyDescent="0.3">
      <c r="A1766" s="10" t="s">
        <v>11109</v>
      </c>
      <c r="B1766" s="11" t="str">
        <f>_xlfn.XLOOKUP(Customer[[#This Row],[Customer ID]],[1]!Name[ID],[1]!Name[Description(1)])</f>
        <v>ZUL ONE STOP ENTERPRISE</v>
      </c>
      <c r="C1766" s="11" t="str">
        <f>_xlfn.XLOOKUP(Customer[[#This Row],[Customer ID]],[1]!Name[ID],[1]!Name[Description(2)])</f>
        <v/>
      </c>
      <c r="D1766" s="11" t="str">
        <f>_xlfn.XLOOKUP(Customer[[#This Row],[Customer ID]],[1]!Address[ID],[1]!Address[PIC])</f>
        <v/>
      </c>
      <c r="E1766" s="11" t="str">
        <f>_xlfn.XLOOKUP(Customer[[#This Row],[Customer ID]],[1]!Address[ID],[1]!Address[Full Address])</f>
        <v>NO 9 LORONG RAJA NONG 18A OFF JALANPENGHULU ABU BAKAR 41000 KLANG, SELANGOR</v>
      </c>
      <c r="F1766" s="12" t="s">
        <v>11110</v>
      </c>
      <c r="G1766" s="12" t="s">
        <v>11111</v>
      </c>
      <c r="H1766" s="12" t="s">
        <v>827</v>
      </c>
      <c r="I1766" s="12" t="b">
        <f>ISNUMBER(VALUE(LEFT(Customer[[#This Row],[Address Line 3 (30 char)]],1)))</f>
        <v>0</v>
      </c>
      <c r="J1766" s="12" t="s">
        <v>172</v>
      </c>
      <c r="K1766" s="12">
        <v>41000</v>
      </c>
      <c r="L1766" s="12" t="s">
        <v>35</v>
      </c>
      <c r="M1766" s="13" t="e">
        <v>#N/A</v>
      </c>
      <c r="N1766" s="14" t="e">
        <v>#N/A</v>
      </c>
      <c r="O1766" s="14" t="e">
        <v>#N/A</v>
      </c>
      <c r="P1766" s="14" t="e">
        <v>#N/A</v>
      </c>
      <c r="Q1766" s="14" t="e">
        <v>#N/A</v>
      </c>
      <c r="R1766" s="15" t="s">
        <v>6434</v>
      </c>
      <c r="S1766" s="15" t="s">
        <v>88</v>
      </c>
      <c r="T1766" s="16" t="s">
        <v>89</v>
      </c>
      <c r="U1766" s="11" t="str">
        <f>_xlfn.XLOOKUP(Customer[[#This Row],[Customer ID]],[1]!Address[ID],[1]!Address[Phone No.(2)])</f>
        <v/>
      </c>
      <c r="V1766" s="11" t="str">
        <f>_xlfn.XLOOKUP(Customer[[#This Row],[Customer ID]],[1]!Address[ID],[1]!Address[Type])</f>
        <v>SOCMED</v>
      </c>
      <c r="W1766" s="11" t="str">
        <f>_xlfn.XLOOKUP(Customer[[#This Row],[Customer ID]],[1]!Address[ID],[1]!Address[CT])</f>
        <v/>
      </c>
      <c r="X1766" s="11"/>
      <c r="Y1766" s="17" t="s">
        <v>90</v>
      </c>
      <c r="Z1766" s="17" t="e">
        <f>_xlfn.XLOOKUP(Customer[[#This Row],[NewType]],$AF$36:$AF$54,$AG$36:$AG$54)</f>
        <v>#N/A</v>
      </c>
      <c r="AA1766" s="17" t="s">
        <v>11112</v>
      </c>
      <c r="AB1766" s="11" t="str">
        <f>_xlfn.XLOOKUP(Customer[[#This Row],[Customer ID]],[1]!Address[ID],[1]!Address[Subtype])</f>
        <v>ONLINE ROS</v>
      </c>
      <c r="AC1766" s="18" t="str">
        <f>_xlfn.XLOOKUP(Customer[[#This Row],[Customer ID]],[1]!Address[ID],[1]!Address[Zone])</f>
        <v>CENTRAL</v>
      </c>
    </row>
    <row r="1767" spans="1:29" x14ac:dyDescent="0.3">
      <c r="A1767" s="10" t="s">
        <v>11113</v>
      </c>
      <c r="B1767" s="11" t="str">
        <f>_xlfn.XLOOKUP(Customer[[#This Row],[Customer ID]],[1]!Name[ID],[1]!Name[Description(1)])</f>
        <v>PUAN HAZINA</v>
      </c>
      <c r="C1767" s="11" t="str">
        <f>_xlfn.XLOOKUP(Customer[[#This Row],[Customer ID]],[1]!Name[ID],[1]!Name[Description(2)])</f>
        <v/>
      </c>
      <c r="D1767" s="11" t="str">
        <f>_xlfn.XLOOKUP(Customer[[#This Row],[Customer ID]],[1]!Address[ID],[1]!Address[PIC])</f>
        <v/>
      </c>
      <c r="E1767" s="11" t="str">
        <f>_xlfn.XLOOKUP(Customer[[#This Row],[Customer ID]],[1]!Address[ID],[1]!Address[Full Address])</f>
        <v>A-2-2A, TEMASYA KASIH CONDOMINIUMJALAN KERJAYA, SEKSYEN U1, TEMASYAGLENMARIE 40150 SHAH ALAM, SELANGOR</v>
      </c>
      <c r="F1767" s="12" t="s">
        <v>11114</v>
      </c>
      <c r="G1767" s="12" t="s">
        <v>11115</v>
      </c>
      <c r="H1767" s="12" t="s">
        <v>11116</v>
      </c>
      <c r="I1767" s="12" t="b">
        <f>ISNUMBER(VALUE(LEFT(Customer[[#This Row],[Address Line 3 (30 char)]],1)))</f>
        <v>0</v>
      </c>
      <c r="J1767" s="12" t="s">
        <v>172</v>
      </c>
      <c r="K1767" s="12">
        <v>40150</v>
      </c>
      <c r="L1767" s="12" t="s">
        <v>35</v>
      </c>
      <c r="M1767" s="13" t="e">
        <v>#N/A</v>
      </c>
      <c r="N1767" s="14" t="e">
        <v>#N/A</v>
      </c>
      <c r="O1767" s="14" t="e">
        <v>#N/A</v>
      </c>
      <c r="P1767" s="14" t="e">
        <v>#N/A</v>
      </c>
      <c r="Q1767" s="14" t="e">
        <v>#N/A</v>
      </c>
      <c r="R1767" s="15" t="s">
        <v>11117</v>
      </c>
      <c r="S1767" s="15" t="s">
        <v>88</v>
      </c>
      <c r="T1767" s="16" t="s">
        <v>89</v>
      </c>
      <c r="U1767" s="11" t="str">
        <f>_xlfn.XLOOKUP(Customer[[#This Row],[Customer ID]],[1]!Address[ID],[1]!Address[Phone No.(2)])</f>
        <v/>
      </c>
      <c r="V1767" s="11" t="str">
        <f>_xlfn.XLOOKUP(Customer[[#This Row],[Customer ID]],[1]!Address[ID],[1]!Address[Type])</f>
        <v>SOCMED</v>
      </c>
      <c r="W1767" s="11" t="str">
        <f>_xlfn.XLOOKUP(Customer[[#This Row],[Customer ID]],[1]!Address[ID],[1]!Address[CT])</f>
        <v/>
      </c>
      <c r="X1767" s="11"/>
      <c r="Y1767" s="17" t="s">
        <v>90</v>
      </c>
      <c r="Z1767" s="17" t="e">
        <f>_xlfn.XLOOKUP(Customer[[#This Row],[NewType]],$AF$36:$AF$54,$AG$36:$AG$54)</f>
        <v>#N/A</v>
      </c>
      <c r="AA1767" s="17" t="s">
        <v>11118</v>
      </c>
      <c r="AB1767" s="11" t="str">
        <f>_xlfn.XLOOKUP(Customer[[#This Row],[Customer ID]],[1]!Address[ID],[1]!Address[Subtype])</f>
        <v>ONLINE ROS</v>
      </c>
      <c r="AC1767" s="18" t="str">
        <f>_xlfn.XLOOKUP(Customer[[#This Row],[Customer ID]],[1]!Address[ID],[1]!Address[Zone])</f>
        <v>NAEDH</v>
      </c>
    </row>
    <row r="1768" spans="1:29" x14ac:dyDescent="0.3">
      <c r="A1768" s="48" t="s">
        <v>11119</v>
      </c>
      <c r="B1768" s="49" t="str">
        <f>_xlfn.XLOOKUP(Customer[[#This Row],[Customer ID]],[1]!Name[ID],[1]!Name[Description(1)])</f>
        <v>NOR ADILLAH ABDULLAH</v>
      </c>
      <c r="C1768" s="11" t="str">
        <f>_xlfn.XLOOKUP(Customer[[#This Row],[Customer ID]],[1]!Name[ID],[1]!Name[Description(2)])</f>
        <v>IKHTIAR KIRANA</v>
      </c>
      <c r="D1768" s="11" t="str">
        <f>_xlfn.XLOOKUP(Customer[[#This Row],[Customer ID]],[1]!Address[ID],[1]!Address[PIC])</f>
        <v/>
      </c>
      <c r="E1768" s="11" t="str">
        <f>_xlfn.XLOOKUP(Customer[[#This Row],[Customer ID]],[1]!Address[ID],[1]!Address[Full Address])</f>
        <v>IKHTIAR KIRANAPT 10599, KAMPUNG BUKIT KUANG, 24000KEMAMAN, TERENGGANU</v>
      </c>
      <c r="F1768" s="12" t="s">
        <v>11120</v>
      </c>
      <c r="G1768" s="12" t="s">
        <v>11121</v>
      </c>
      <c r="H1768" s="12" t="s">
        <v>1055</v>
      </c>
      <c r="I1768" s="12" t="b">
        <f>ISNUMBER(VALUE(LEFT(Customer[[#This Row],[Address Line 3 (30 char)]],1)))</f>
        <v>0</v>
      </c>
      <c r="J1768" s="12" t="s">
        <v>1056</v>
      </c>
      <c r="K1768" s="12">
        <v>24000</v>
      </c>
      <c r="L1768" s="12" t="s">
        <v>35</v>
      </c>
      <c r="M1768" s="13" t="e">
        <v>#N/A</v>
      </c>
      <c r="N1768" s="14" t="e">
        <v>#N/A</v>
      </c>
      <c r="O1768" s="14" t="e">
        <v>#N/A</v>
      </c>
      <c r="P1768" s="14" t="e">
        <v>#N/A</v>
      </c>
      <c r="Q1768" s="14" t="e">
        <v>#N/A</v>
      </c>
      <c r="R1768" s="15" t="s">
        <v>11122</v>
      </c>
      <c r="S1768" s="15" t="s">
        <v>3212</v>
      </c>
      <c r="T1768" s="16" t="s">
        <v>89</v>
      </c>
      <c r="U1768" s="11" t="str">
        <f>_xlfn.XLOOKUP(Customer[[#This Row],[Customer ID]],[1]!Address[ID],[1]!Address[Phone No.(2)])</f>
        <v/>
      </c>
      <c r="V1768" s="11" t="str">
        <f>_xlfn.XLOOKUP(Customer[[#This Row],[Customer ID]],[1]!Address[ID],[1]!Address[Type])</f>
        <v>SOCMED</v>
      </c>
      <c r="W1768" s="11" t="str">
        <f>_xlfn.XLOOKUP(Customer[[#This Row],[Customer ID]],[1]!Address[ID],[1]!Address[CT])</f>
        <v/>
      </c>
      <c r="X1768" s="11"/>
      <c r="Y1768" s="17" t="s">
        <v>90</v>
      </c>
      <c r="Z1768" s="17" t="e">
        <f>_xlfn.XLOOKUP(Customer[[#This Row],[NewType]],$AF$36:$AF$54,$AG$36:$AG$54)</f>
        <v>#N/A</v>
      </c>
      <c r="AA1768" s="17" t="s">
        <v>11123</v>
      </c>
      <c r="AB1768" s="11" t="str">
        <f>_xlfn.XLOOKUP(Customer[[#This Row],[Customer ID]],[1]!Address[ID],[1]!Address[Subtype])</f>
        <v>ONLINE HAJAR</v>
      </c>
      <c r="AC1768" s="18" t="str">
        <f>_xlfn.XLOOKUP(Customer[[#This Row],[Customer ID]],[1]!Address[ID],[1]!Address[Zone])</f>
        <v>EAST COAST</v>
      </c>
    </row>
    <row r="1769" spans="1:29" x14ac:dyDescent="0.3">
      <c r="A1769" s="10" t="s">
        <v>11124</v>
      </c>
      <c r="B1769" s="11" t="str">
        <f>_xlfn.XLOOKUP(Customer[[#This Row],[Customer ID]],[1]!Name[ID],[1]!Name[Description(1)])</f>
        <v>RU RENDANG KIOSK SDN BHD</v>
      </c>
      <c r="C1769" s="11" t="str">
        <f>_xlfn.XLOOKUP(Customer[[#This Row],[Customer ID]],[1]!Name[ID],[1]!Name[Description(2)])</f>
        <v/>
      </c>
      <c r="D1769" s="11" t="str">
        <f>_xlfn.XLOOKUP(Customer[[#This Row],[Customer ID]],[1]!Address[ID],[1]!Address[PIC])</f>
        <v/>
      </c>
      <c r="E1769" s="11" t="str">
        <f>_xlfn.XLOOKUP(Customer[[#This Row],[Customer ID]],[1]!Address[ID],[1]!Address[Full Address])</f>
        <v>STESEN MINYAK SHELL RU RENDANG,LOT 5975 RU RENDANG, 21600 MARANGTERENGGANU</v>
      </c>
      <c r="F1769" s="12" t="s">
        <v>11125</v>
      </c>
      <c r="G1769" s="12" t="s">
        <v>11126</v>
      </c>
      <c r="H1769" s="12" t="s">
        <v>3362</v>
      </c>
      <c r="I1769" s="12" t="b">
        <f>ISNUMBER(VALUE(LEFT(Customer[[#This Row],[Address Line 3 (30 char)]],1)))</f>
        <v>0</v>
      </c>
      <c r="J1769" s="12" t="s">
        <v>1056</v>
      </c>
      <c r="K1769" s="12">
        <v>21600</v>
      </c>
      <c r="L1769" s="12" t="s">
        <v>35</v>
      </c>
      <c r="M1769" s="13" t="e">
        <v>#N/A</v>
      </c>
      <c r="N1769" s="14" t="e">
        <v>#N/A</v>
      </c>
      <c r="O1769" s="14" t="e">
        <v>#N/A</v>
      </c>
      <c r="P1769" s="14" t="e">
        <v>#N/A</v>
      </c>
      <c r="Q1769" s="19" t="s">
        <v>10896</v>
      </c>
      <c r="R1769" s="15" t="s">
        <v>10897</v>
      </c>
      <c r="S1769" s="15" t="s">
        <v>88</v>
      </c>
      <c r="T1769" s="16" t="s">
        <v>89</v>
      </c>
      <c r="U1769" s="11" t="str">
        <f>_xlfn.XLOOKUP(Customer[[#This Row],[Customer ID]],[1]!Address[ID],[1]!Address[Phone No.(2)])</f>
        <v/>
      </c>
      <c r="V1769" s="11" t="str">
        <f>_xlfn.XLOOKUP(Customer[[#This Row],[Customer ID]],[1]!Address[ID],[1]!Address[Type])</f>
        <v>SOCMED</v>
      </c>
      <c r="W1769" s="11" t="str">
        <f>_xlfn.XLOOKUP(Customer[[#This Row],[Customer ID]],[1]!Address[ID],[1]!Address[CT])</f>
        <v/>
      </c>
      <c r="X1769" s="11"/>
      <c r="Y1769" s="17" t="s">
        <v>90</v>
      </c>
      <c r="Z1769" s="17" t="e">
        <f>_xlfn.XLOOKUP(Customer[[#This Row],[NewType]],$AF$36:$AF$54,$AG$36:$AG$54)</f>
        <v>#N/A</v>
      </c>
      <c r="AA1769" s="17" t="s">
        <v>11127</v>
      </c>
      <c r="AB1769" s="11" t="str">
        <f>_xlfn.XLOOKUP(Customer[[#This Row],[Customer ID]],[1]!Address[ID],[1]!Address[Subtype])</f>
        <v>ONLINE ROS</v>
      </c>
      <c r="AC1769" s="18" t="str">
        <f>_xlfn.XLOOKUP(Customer[[#This Row],[Customer ID]],[1]!Address[ID],[1]!Address[Zone])</f>
        <v>EAST COAST</v>
      </c>
    </row>
    <row r="1770" spans="1:29" x14ac:dyDescent="0.3">
      <c r="A1770" s="10" t="s">
        <v>11128</v>
      </c>
      <c r="B1770" s="11" t="str">
        <f>_xlfn.XLOOKUP(Customer[[#This Row],[Customer ID]],[1]!Name[ID],[1]!Name[Description(1)])</f>
        <v>TX GOLDBERG TRADING</v>
      </c>
      <c r="C1770" s="11" t="str">
        <f>_xlfn.XLOOKUP(Customer[[#This Row],[Customer ID]],[1]!Name[ID],[1]!Name[Description(2)])</f>
        <v>PS JALAN GOPENG 1</v>
      </c>
      <c r="D1770" s="11" t="str">
        <f>_xlfn.XLOOKUP(Customer[[#This Row],[Customer ID]],[1]!Address[ID],[1]!Address[PIC])</f>
        <v/>
      </c>
      <c r="E1770" s="11" t="str">
        <f>_xlfn.XLOOKUP(Customer[[#This Row],[Customer ID]],[1]!Address[ID],[1]!Address[Full Address])</f>
        <v>PS JALAN GOPENG 1PT 77344JALAN RAJA MUSA MAHADI31350 IPOH, PERAK</v>
      </c>
      <c r="F1770" s="12" t="s">
        <v>11129</v>
      </c>
      <c r="G1770" s="12" t="s">
        <v>11130</v>
      </c>
      <c r="H1770" s="12" t="s">
        <v>11131</v>
      </c>
      <c r="I1770" s="12" t="b">
        <f>ISNUMBER(VALUE(LEFT(Customer[[#This Row],[Address Line 3 (30 char)]],1)))</f>
        <v>0</v>
      </c>
      <c r="J1770" s="12" t="s">
        <v>242</v>
      </c>
      <c r="K1770" s="12">
        <v>31350</v>
      </c>
      <c r="L1770" s="12" t="s">
        <v>35</v>
      </c>
      <c r="M1770" s="13" t="e">
        <v>#N/A</v>
      </c>
      <c r="N1770" s="14" t="e">
        <v>#N/A</v>
      </c>
      <c r="O1770" s="14" t="e">
        <v>#N/A</v>
      </c>
      <c r="P1770" s="14" t="e">
        <v>#N/A</v>
      </c>
      <c r="Q1770" s="19" t="s">
        <v>11132</v>
      </c>
      <c r="R1770" s="15" t="s">
        <v>11133</v>
      </c>
      <c r="S1770" s="15" t="s">
        <v>37</v>
      </c>
      <c r="T1770" s="16" t="s">
        <v>38</v>
      </c>
      <c r="U1770" s="11" t="str">
        <f>_xlfn.XLOOKUP(Customer[[#This Row],[Customer ID]],[1]!Address[ID],[1]!Address[Phone No.(2)])</f>
        <v/>
      </c>
      <c r="V1770" s="11" t="str">
        <f>_xlfn.XLOOKUP(Customer[[#This Row],[Customer ID]],[1]!Address[ID],[1]!Address[Type])</f>
        <v>PETROMART</v>
      </c>
      <c r="W1770" s="11" t="str">
        <f>_xlfn.XLOOKUP(Customer[[#This Row],[Customer ID]],[1]!Address[ID],[1]!Address[CT])</f>
        <v>30</v>
      </c>
      <c r="X1770" s="11" t="s">
        <v>39</v>
      </c>
      <c r="Y1770" s="17" t="s">
        <v>40</v>
      </c>
      <c r="Z1770" s="17" t="e">
        <f>_xlfn.XLOOKUP(Customer[[#This Row],[NewType]],$AF$36:$AF$54,$AG$36:$AG$54)</f>
        <v>#N/A</v>
      </c>
      <c r="AA1770" s="17" t="s">
        <v>11134</v>
      </c>
      <c r="AB1770" s="11" t="str">
        <f>_xlfn.XLOOKUP(Customer[[#This Row],[Customer ID]],[1]!Address[ID],[1]!Address[Subtype])</f>
        <v>PETRONAS</v>
      </c>
      <c r="AC1770" s="18" t="str">
        <f>_xlfn.XLOOKUP(Customer[[#This Row],[Customer ID]],[1]!Address[ID],[1]!Address[Zone])</f>
        <v>NORTH</v>
      </c>
    </row>
    <row r="1771" spans="1:29" x14ac:dyDescent="0.3">
      <c r="A1771" s="10" t="s">
        <v>11135</v>
      </c>
      <c r="B1771" s="11" t="str">
        <f>_xlfn.XLOOKUP(Customer[[#This Row],[Customer ID]],[1]!Name[ID],[1]!Name[Description(1)])</f>
        <v>SUCI HERBA MARKETING</v>
      </c>
      <c r="C1771" s="11" t="str">
        <f>_xlfn.XLOOKUP(Customer[[#This Row],[Customer ID]],[1]!Name[ID],[1]!Name[Description(2)])</f>
        <v/>
      </c>
      <c r="D1771" s="11" t="str">
        <f>_xlfn.XLOOKUP(Customer[[#This Row],[Customer ID]],[1]!Address[ID],[1]!Address[PIC])</f>
        <v/>
      </c>
      <c r="E1771" s="11" t="str">
        <f>_xlfn.XLOOKUP(Customer[[#This Row],[Customer ID]],[1]!Address[ID],[1]!Address[Full Address])</f>
        <v>NO 97 ATAS, JALAN KOTA, 34000TAIPING, PERAK</v>
      </c>
      <c r="F1771" s="12" t="s">
        <v>11136</v>
      </c>
      <c r="G1771" s="12" t="s">
        <v>11137</v>
      </c>
      <c r="H1771" s="12" t="s">
        <v>36</v>
      </c>
      <c r="I1771" s="12" t="b">
        <f>ISNUMBER(VALUE(LEFT(Customer[[#This Row],[Address Line 3 (30 char)]],1)))</f>
        <v>0</v>
      </c>
      <c r="J1771" s="12" t="s">
        <v>242</v>
      </c>
      <c r="K1771" s="12">
        <v>34000</v>
      </c>
      <c r="L1771" s="12" t="s">
        <v>35</v>
      </c>
      <c r="M1771" s="13" t="e">
        <v>#N/A</v>
      </c>
      <c r="N1771" s="14" t="e">
        <v>#N/A</v>
      </c>
      <c r="O1771" s="14" t="e">
        <v>#N/A</v>
      </c>
      <c r="P1771" s="14" t="e">
        <v>#N/A</v>
      </c>
      <c r="Q1771" s="14" t="e">
        <v>#N/A</v>
      </c>
      <c r="R1771" s="15" t="s">
        <v>11138</v>
      </c>
      <c r="S1771" s="15" t="s">
        <v>88</v>
      </c>
      <c r="T1771" s="16" t="s">
        <v>89</v>
      </c>
      <c r="U1771" s="11" t="str">
        <f>_xlfn.XLOOKUP(Customer[[#This Row],[Customer ID]],[1]!Address[ID],[1]!Address[Phone No.(2)])</f>
        <v/>
      </c>
      <c r="V1771" s="11" t="str">
        <f>_xlfn.XLOOKUP(Customer[[#This Row],[Customer ID]],[1]!Address[ID],[1]!Address[Type])</f>
        <v>SOCMED</v>
      </c>
      <c r="W1771" s="11" t="str">
        <f>_xlfn.XLOOKUP(Customer[[#This Row],[Customer ID]],[1]!Address[ID],[1]!Address[CT])</f>
        <v/>
      </c>
      <c r="X1771" s="11"/>
      <c r="Y1771" s="17" t="s">
        <v>90</v>
      </c>
      <c r="Z1771" s="17" t="e">
        <f>_xlfn.XLOOKUP(Customer[[#This Row],[NewType]],$AF$36:$AF$54,$AG$36:$AG$54)</f>
        <v>#N/A</v>
      </c>
      <c r="AA1771" s="17" t="s">
        <v>11139</v>
      </c>
      <c r="AB1771" s="11" t="str">
        <f>_xlfn.XLOOKUP(Customer[[#This Row],[Customer ID]],[1]!Address[ID],[1]!Address[Subtype])</f>
        <v>ONLINE ROS</v>
      </c>
      <c r="AC1771" s="18" t="str">
        <f>_xlfn.XLOOKUP(Customer[[#This Row],[Customer ID]],[1]!Address[ID],[1]!Address[Zone])</f>
        <v>NORTH</v>
      </c>
    </row>
    <row r="1772" spans="1:29" x14ac:dyDescent="0.3">
      <c r="A1772" s="10" t="s">
        <v>11140</v>
      </c>
      <c r="B1772" s="11" t="str">
        <f>_xlfn.XLOOKUP(Customer[[#This Row],[Customer ID]],[1]!Name[ID],[1]!Name[Description(1)])</f>
        <v>LINDUNG BERKAT ENTERPRISE</v>
      </c>
      <c r="C1772" s="11" t="str">
        <f>_xlfn.XLOOKUP(Customer[[#This Row],[Customer ID]],[1]!Name[ID],[1]!Name[Description(2)])</f>
        <v>PS BUKIT PELINDUNG</v>
      </c>
      <c r="D1772" s="11" t="str">
        <f>_xlfn.XLOOKUP(Customer[[#This Row],[Customer ID]],[1]!Address[ID],[1]!Address[PIC])</f>
        <v/>
      </c>
      <c r="E1772" s="11" t="str">
        <f>_xlfn.XLOOKUP(Customer[[#This Row],[Customer ID]],[1]!Address[ID],[1]!Address[Full Address])</f>
        <v>PS BUKIT PELINDUNGLOT 27, SEKSYEN 36, BANDAR KUANTAN(LOT LAMA PART OF LOT PT 105104)MUKIM BANDAR KUANTAN, 25250, KUANTAN PAH</v>
      </c>
      <c r="F1772" s="12" t="s">
        <v>11141</v>
      </c>
      <c r="G1772" s="12" t="s">
        <v>11142</v>
      </c>
      <c r="H1772" s="12" t="s">
        <v>11143</v>
      </c>
      <c r="I1772" s="12" t="b">
        <f>ISNUMBER(VALUE(LEFT(Customer[[#This Row],[Address Line 3 (30 char)]],1)))</f>
        <v>0</v>
      </c>
      <c r="J1772" s="12" t="s">
        <v>339</v>
      </c>
      <c r="K1772" s="12">
        <v>25250</v>
      </c>
      <c r="L1772" s="12" t="s">
        <v>35</v>
      </c>
      <c r="M1772" s="13" t="e">
        <v>#N/A</v>
      </c>
      <c r="N1772" s="14" t="e">
        <v>#N/A</v>
      </c>
      <c r="O1772" s="14" t="e">
        <v>#N/A</v>
      </c>
      <c r="P1772" s="14" t="e">
        <v>#N/A</v>
      </c>
      <c r="Q1772" s="14" t="e">
        <v>#N/A</v>
      </c>
      <c r="R1772" s="15" t="s">
        <v>11144</v>
      </c>
      <c r="S1772" s="15" t="s">
        <v>37</v>
      </c>
      <c r="T1772" s="16" t="s">
        <v>38</v>
      </c>
      <c r="U1772" s="11" t="str">
        <f>_xlfn.XLOOKUP(Customer[[#This Row],[Customer ID]],[1]!Address[ID],[1]!Address[Phone No.(2)])</f>
        <v/>
      </c>
      <c r="V1772" s="11" t="str">
        <f>_xlfn.XLOOKUP(Customer[[#This Row],[Customer ID]],[1]!Address[ID],[1]!Address[Type])</f>
        <v>PETROMART</v>
      </c>
      <c r="W1772" s="11" t="str">
        <f>_xlfn.XLOOKUP(Customer[[#This Row],[Customer ID]],[1]!Address[ID],[1]!Address[CT])</f>
        <v>30</v>
      </c>
      <c r="X1772" s="11" t="s">
        <v>39</v>
      </c>
      <c r="Y1772" s="17" t="s">
        <v>40</v>
      </c>
      <c r="Z1772" s="17" t="e">
        <f>_xlfn.XLOOKUP(Customer[[#This Row],[NewType]],$AF$36:$AF$54,$AG$36:$AG$54)</f>
        <v>#N/A</v>
      </c>
      <c r="AA1772" s="17" t="s">
        <v>11145</v>
      </c>
      <c r="AB1772" s="11" t="str">
        <f>_xlfn.XLOOKUP(Customer[[#This Row],[Customer ID]],[1]!Address[ID],[1]!Address[Subtype])</f>
        <v>PETRONAS</v>
      </c>
      <c r="AC1772" s="18" t="str">
        <f>_xlfn.XLOOKUP(Customer[[#This Row],[Customer ID]],[1]!Address[ID],[1]!Address[Zone])</f>
        <v>EAST COAST</v>
      </c>
    </row>
    <row r="1773" spans="1:29" x14ac:dyDescent="0.3">
      <c r="A1773" s="10" t="s">
        <v>11146</v>
      </c>
      <c r="B1773" s="11" t="str">
        <f>_xlfn.XLOOKUP(Customer[[#This Row],[Customer ID]],[1]!Name[ID],[1]!Name[Description(1)])</f>
        <v>PUAN MASLINDA (SME CORP)</v>
      </c>
      <c r="C1773" s="11" t="str">
        <f>_xlfn.XLOOKUP(Customer[[#This Row],[Customer ID]],[1]!Name[ID],[1]!Name[Description(2)])</f>
        <v/>
      </c>
      <c r="D1773" s="11" t="str">
        <f>_xlfn.XLOOKUP(Customer[[#This Row],[Customer ID]],[1]!Address[ID],[1]!Address[PIC])</f>
        <v/>
      </c>
      <c r="E1773" s="11" t="str">
        <f>_xlfn.XLOOKUP(Customer[[#This Row],[Customer ID]],[1]!Address[ID],[1]!Address[Full Address])</f>
        <v>NO 616, JALAN FOREST HEIGHT 4/3,TAMAN FOREST HEIGHT, 70450 SEREMBAN,NEGERI SEMBILAN</v>
      </c>
      <c r="F1773" s="12" t="s">
        <v>11147</v>
      </c>
      <c r="G1773" s="12" t="s">
        <v>11148</v>
      </c>
      <c r="H1773" s="12" t="s">
        <v>2411</v>
      </c>
      <c r="I1773" s="12" t="b">
        <f>ISNUMBER(VALUE(LEFT(Customer[[#This Row],[Address Line 3 (30 char)]],1)))</f>
        <v>0</v>
      </c>
      <c r="J1773" s="12" t="s">
        <v>203</v>
      </c>
      <c r="K1773" s="12">
        <v>70450</v>
      </c>
      <c r="L1773" s="12" t="s">
        <v>35</v>
      </c>
      <c r="M1773" s="13" t="e">
        <v>#N/A</v>
      </c>
      <c r="N1773" s="14" t="e">
        <v>#N/A</v>
      </c>
      <c r="O1773" s="14" t="e">
        <v>#N/A</v>
      </c>
      <c r="P1773" s="14" t="e">
        <v>#N/A</v>
      </c>
      <c r="Q1773" s="14" t="e">
        <v>#N/A</v>
      </c>
      <c r="R1773" s="15" t="s">
        <v>11149</v>
      </c>
      <c r="S1773" s="15" t="s">
        <v>6418</v>
      </c>
      <c r="T1773" s="16" t="s">
        <v>3477</v>
      </c>
      <c r="U1773" s="11" t="str">
        <f>_xlfn.XLOOKUP(Customer[[#This Row],[Customer ID]],[1]!Address[ID],[1]!Address[Phone No.(2)])</f>
        <v/>
      </c>
      <c r="V1773" s="11" t="str">
        <f>_xlfn.XLOOKUP(Customer[[#This Row],[Customer ID]],[1]!Address[ID],[1]!Address[Type])</f>
        <v>SOCMED</v>
      </c>
      <c r="W1773" s="11" t="str">
        <f>_xlfn.XLOOKUP(Customer[[#This Row],[Customer ID]],[1]!Address[ID],[1]!Address[CT])</f>
        <v/>
      </c>
      <c r="X1773" s="11"/>
      <c r="Y1773" s="17" t="s">
        <v>90</v>
      </c>
      <c r="Z1773" s="17" t="e">
        <f>_xlfn.XLOOKUP(Customer[[#This Row],[NewType]],$AF$36:$AF$54,$AG$36:$AG$54)</f>
        <v>#N/A</v>
      </c>
      <c r="AA1773" s="17" t="s">
        <v>11150</v>
      </c>
      <c r="AB1773" s="11" t="str">
        <f>_xlfn.XLOOKUP(Customer[[#This Row],[Customer ID]],[1]!Address[ID],[1]!Address[Subtype])</f>
        <v>WHATSAPP</v>
      </c>
      <c r="AC1773" s="18" t="str">
        <f>_xlfn.XLOOKUP(Customer[[#This Row],[Customer ID]],[1]!Address[ID],[1]!Address[Zone])</f>
        <v>CENTRAL</v>
      </c>
    </row>
    <row r="1774" spans="1:29" x14ac:dyDescent="0.3">
      <c r="A1774" s="10" t="s">
        <v>11151</v>
      </c>
      <c r="B1774" s="11" t="str">
        <f>_xlfn.XLOOKUP(Customer[[#This Row],[Customer ID]],[1]!Name[ID],[1]!Name[Description(1)])</f>
        <v>PUAN SUNITA (ERAMAN)</v>
      </c>
      <c r="C1774" s="32" t="str">
        <f>_xlfn.XLOOKUP(Customer[[#This Row],[Customer ID]],[1]!Name[ID],[1]!Name[Description(2)])</f>
        <v/>
      </c>
      <c r="D1774" s="11" t="str">
        <f>_xlfn.XLOOKUP(Customer[[#This Row],[Customer ID]],[1]!Address[ID],[1]!Address[PIC])</f>
        <v/>
      </c>
      <c r="E1774" s="11" t="str">
        <f>_xlfn.XLOOKUP(Customer[[#This Row],[Customer ID]],[1]!Address[ID],[1]!Address[Full Address])</f>
        <v>PEJABAT MALAYSIA AIRPORT NIAGA</v>
      </c>
      <c r="F1774" s="12" t="s">
        <v>11152</v>
      </c>
      <c r="G1774" s="12" t="s">
        <v>36</v>
      </c>
      <c r="H1774" s="12" t="s">
        <v>36</v>
      </c>
      <c r="I1774" s="12" t="b">
        <f>ISNUMBER(VALUE(LEFT(Customer[[#This Row],[Address Line 3 (30 char)]],1)))</f>
        <v>0</v>
      </c>
      <c r="J1774" s="32" t="s">
        <v>172</v>
      </c>
      <c r="K1774" s="32"/>
      <c r="L1774" s="12" t="s">
        <v>35</v>
      </c>
      <c r="M1774" s="13" t="e">
        <v>#N/A</v>
      </c>
      <c r="N1774" s="14" t="e">
        <v>#N/A</v>
      </c>
      <c r="O1774" s="14" t="e">
        <v>#N/A</v>
      </c>
      <c r="P1774" s="14" t="e">
        <v>#N/A</v>
      </c>
      <c r="Q1774" s="14" t="e">
        <v>#N/A</v>
      </c>
      <c r="R1774" s="15" t="s">
        <v>11153</v>
      </c>
      <c r="S1774" s="15" t="s">
        <v>5925</v>
      </c>
      <c r="T1774" s="16" t="s">
        <v>3477</v>
      </c>
      <c r="U1774" s="11" t="str">
        <f>_xlfn.XLOOKUP(Customer[[#This Row],[Customer ID]],[1]!Address[ID],[1]!Address[Phone No.(2)])</f>
        <v/>
      </c>
      <c r="V1774" s="11" t="str">
        <f>_xlfn.XLOOKUP(Customer[[#This Row],[Customer ID]],[1]!Address[ID],[1]!Address[Type])</f>
        <v>SOCMED</v>
      </c>
      <c r="W1774" s="11" t="str">
        <f>_xlfn.XLOOKUP(Customer[[#This Row],[Customer ID]],[1]!Address[ID],[1]!Address[CT])</f>
        <v/>
      </c>
      <c r="X1774" s="11"/>
      <c r="Y1774" s="17" t="s">
        <v>90</v>
      </c>
      <c r="Z1774" s="17" t="e">
        <f>_xlfn.XLOOKUP(Customer[[#This Row],[NewType]],$AF$36:$AF$54,$AG$36:$AG$54)</f>
        <v>#N/A</v>
      </c>
      <c r="AA1774" s="17" t="s">
        <v>11154</v>
      </c>
      <c r="AB1774" s="11" t="str">
        <f>_xlfn.XLOOKUP(Customer[[#This Row],[Customer ID]],[1]!Address[ID],[1]!Address[Subtype])</f>
        <v>WHATSAPP</v>
      </c>
      <c r="AC1774" s="18" t="str">
        <f>_xlfn.XLOOKUP(Customer[[#This Row],[Customer ID]],[1]!Address[ID],[1]!Address[Zone])</f>
        <v>AEEDH</v>
      </c>
    </row>
    <row r="1775" spans="1:29" x14ac:dyDescent="0.3">
      <c r="A1775" s="10" t="s">
        <v>11155</v>
      </c>
      <c r="B1775" s="11" t="str">
        <f>_xlfn.XLOOKUP(Customer[[#This Row],[Customer ID]],[1]!Name[ID],[1]!Name[Description(1)])</f>
        <v>COFFEE &amp; SNACK MART</v>
      </c>
      <c r="C1775" s="11" t="str">
        <f>_xlfn.XLOOKUP(Customer[[#This Row],[Customer ID]],[1]!Name[ID],[1]!Name[Description(2)])</f>
        <v/>
      </c>
      <c r="D1775" s="11" t="str">
        <f>_xlfn.XLOOKUP(Customer[[#This Row],[Customer ID]],[1]!Address[ID],[1]!Address[PIC])</f>
        <v/>
      </c>
      <c r="E1775" s="11" t="str">
        <f>_xlfn.XLOOKUP(Customer[[#This Row],[Customer ID]],[1]!Address[ID],[1]!Address[Full Address])</f>
        <v>HENTIAN REHAT &amp; RAWATTAPAH ARAH SELATAN</v>
      </c>
      <c r="F1775" s="12" t="s">
        <v>11156</v>
      </c>
      <c r="G1775" s="12" t="s">
        <v>11157</v>
      </c>
      <c r="H1775" s="12" t="s">
        <v>36</v>
      </c>
      <c r="I1775" s="12" t="b">
        <f>ISNUMBER(VALUE(LEFT(Customer[[#This Row],[Address Line 3 (30 char)]],1)))</f>
        <v>0</v>
      </c>
      <c r="J1775" s="12" t="s">
        <v>242</v>
      </c>
      <c r="K1775" s="12">
        <v>35000</v>
      </c>
      <c r="L1775" s="12" t="s">
        <v>35</v>
      </c>
      <c r="M1775" s="13" t="e">
        <v>#N/A</v>
      </c>
      <c r="N1775" s="14" t="e">
        <v>#N/A</v>
      </c>
      <c r="O1775" s="14" t="e">
        <v>#N/A</v>
      </c>
      <c r="P1775" s="14" t="e">
        <v>#N/A</v>
      </c>
      <c r="Q1775" s="14" t="e">
        <v>#N/A</v>
      </c>
      <c r="R1775" s="15" t="s">
        <v>11158</v>
      </c>
      <c r="S1775" s="15" t="s">
        <v>5925</v>
      </c>
      <c r="T1775" s="16" t="s">
        <v>3477</v>
      </c>
      <c r="U1775" s="11" t="str">
        <f>_xlfn.XLOOKUP(Customer[[#This Row],[Customer ID]],[1]!Address[ID],[1]!Address[Phone No.(2)])</f>
        <v/>
      </c>
      <c r="V1775" s="11" t="str">
        <f>_xlfn.XLOOKUP(Customer[[#This Row],[Customer ID]],[1]!Address[ID],[1]!Address[Type])</f>
        <v>CAFE</v>
      </c>
      <c r="W1775" s="11" t="str">
        <f>_xlfn.XLOOKUP(Customer[[#This Row],[Customer ID]],[1]!Address[ID],[1]!Address[CT])</f>
        <v>30 DAYS</v>
      </c>
      <c r="X1775" s="11"/>
      <c r="Y1775" s="17" t="s">
        <v>5926</v>
      </c>
      <c r="Z1775" s="17" t="e">
        <f>_xlfn.XLOOKUP(Customer[[#This Row],[NewType]],$AF$36:$AF$54,$AG$36:$AG$54)</f>
        <v>#N/A</v>
      </c>
      <c r="AA1775" s="17" t="s">
        <v>11159</v>
      </c>
      <c r="AB1775" s="11" t="str">
        <f>_xlfn.XLOOKUP(Customer[[#This Row],[Customer ID]],[1]!Address[ID],[1]!Address[Subtype])</f>
        <v>PLUS</v>
      </c>
      <c r="AC1775" s="18">
        <f>_xlfn.XLOOKUP(Customer[[#This Row],[Customer ID]],[1]!Address[ID],[1]!Address[Zone])</f>
        <v>0</v>
      </c>
    </row>
    <row r="1776" spans="1:29" x14ac:dyDescent="0.3">
      <c r="A1776" s="10" t="s">
        <v>11160</v>
      </c>
      <c r="B1776" s="11" t="str">
        <f>_xlfn.XLOOKUP(Customer[[#This Row],[Customer ID]],[1]!Name[ID],[1]!Name[Description(1)])</f>
        <v>TAN SRI OTHMAN BIN ABD RAZAK</v>
      </c>
      <c r="C1776" s="32" t="str">
        <f>_xlfn.XLOOKUP(Customer[[#This Row],[Customer ID]],[1]!Name[ID],[1]!Name[Description(2)])</f>
        <v/>
      </c>
      <c r="D1776" s="11" t="str">
        <f>_xlfn.XLOOKUP(Customer[[#This Row],[Customer ID]],[1]!Address[ID],[1]!Address[PIC])</f>
        <v/>
      </c>
      <c r="E1776" s="11" t="str">
        <f>_xlfn.XLOOKUP(Customer[[#This Row],[Customer ID]],[1]!Address[ID],[1]!Address[Full Address])</f>
        <v>LOT 9 JALAN 8/1, KAMPUNG MELAYU FRIM</v>
      </c>
      <c r="F1776" s="12" t="s">
        <v>11161</v>
      </c>
      <c r="G1776" s="12" t="s">
        <v>11162</v>
      </c>
      <c r="H1776" s="12" t="s">
        <v>11163</v>
      </c>
      <c r="I1776" s="12" t="b">
        <f>ISNUMBER(VALUE(LEFT(Customer[[#This Row],[Address Line 3 (30 char)]],1)))</f>
        <v>0</v>
      </c>
      <c r="J1776" s="32" t="s">
        <v>172</v>
      </c>
      <c r="K1776" s="32"/>
      <c r="L1776" s="12" t="s">
        <v>35</v>
      </c>
      <c r="M1776" s="13" t="e">
        <v>#N/A</v>
      </c>
      <c r="N1776" s="14" t="e">
        <v>#N/A</v>
      </c>
      <c r="O1776" s="14" t="e">
        <v>#N/A</v>
      </c>
      <c r="P1776" s="14" t="e">
        <v>#N/A</v>
      </c>
      <c r="Q1776" s="14" t="e">
        <v>#N/A</v>
      </c>
      <c r="R1776" s="15" t="s">
        <v>11164</v>
      </c>
      <c r="S1776" s="15" t="s">
        <v>4271</v>
      </c>
      <c r="T1776" s="15" t="s">
        <v>89</v>
      </c>
      <c r="U1776" s="11" t="str">
        <f>_xlfn.XLOOKUP(Customer[[#This Row],[Customer ID]],[1]!Address[ID],[1]!Address[Phone No.(2)])</f>
        <v/>
      </c>
      <c r="V1776" s="11" t="str">
        <f>_xlfn.XLOOKUP(Customer[[#This Row],[Customer ID]],[1]!Address[ID],[1]!Address[Type])</f>
        <v>SOCMED</v>
      </c>
      <c r="W1776" s="11" t="str">
        <f>_xlfn.XLOOKUP(Customer[[#This Row],[Customer ID]],[1]!Address[ID],[1]!Address[CT])</f>
        <v/>
      </c>
      <c r="X1776" s="11"/>
      <c r="Y1776" s="17" t="s">
        <v>90</v>
      </c>
      <c r="Z1776" s="17" t="e">
        <f>_xlfn.XLOOKUP(Customer[[#This Row],[NewType]],$AF$36:$AF$54,$AG$36:$AG$54)</f>
        <v>#N/A</v>
      </c>
      <c r="AA1776" s="17" t="s">
        <v>11165</v>
      </c>
      <c r="AB1776" s="11" t="str">
        <f>_xlfn.XLOOKUP(Customer[[#This Row],[Customer ID]],[1]!Address[ID],[1]!Address[Subtype])</f>
        <v>WHATSAPP</v>
      </c>
      <c r="AC1776" s="18" t="str">
        <f>_xlfn.XLOOKUP(Customer[[#This Row],[Customer ID]],[1]!Address[ID],[1]!Address[Zone])</f>
        <v>CENTRAL</v>
      </c>
    </row>
    <row r="1777" spans="1:30" x14ac:dyDescent="0.3">
      <c r="A1777" s="10" t="s">
        <v>11166</v>
      </c>
      <c r="B1777" s="11" t="str">
        <f>_xlfn.XLOOKUP(Customer[[#This Row],[Customer ID]],[1]!Name[ID],[1]!Name[Description(1)])</f>
        <v>NASJJA ENTERPRISE (COM LAMA)</v>
      </c>
      <c r="C1777" s="11" t="str">
        <f>_xlfn.XLOOKUP(Customer[[#This Row],[Customer ID]],[1]!Name[ID],[1]!Name[Description(2)])</f>
        <v>PS TAMAN TAMPOI UTAMA</v>
      </c>
      <c r="D1777" s="11" t="str">
        <f>_xlfn.XLOOKUP(Customer[[#This Row],[Customer ID]],[1]!Address[ID],[1]!Address[PIC])</f>
        <v/>
      </c>
      <c r="E1777" s="11" t="str">
        <f>_xlfn.XLOOKUP(Customer[[#This Row],[Customer ID]],[1]!Address[ID],[1]!Address[Full Address])</f>
        <v>PS TAMAN TAMPOI UTAMANO 1, JALAN SRI PERKASA UTAMA, TAMANTAMPOI UTAMA, 81200 JOHOR BAHRUJOHOR</v>
      </c>
      <c r="F1777" s="12" t="s">
        <v>11167</v>
      </c>
      <c r="G1777" s="12" t="s">
        <v>11168</v>
      </c>
      <c r="H1777" s="12" t="s">
        <v>11169</v>
      </c>
      <c r="I1777" s="12" t="b">
        <f>ISNUMBER(VALUE(LEFT(Customer[[#This Row],[Address Line 3 (30 char)]],1)))</f>
        <v>0</v>
      </c>
      <c r="J1777" s="12" t="s">
        <v>52</v>
      </c>
      <c r="K1777" s="12">
        <v>81200</v>
      </c>
      <c r="L1777" s="12" t="s">
        <v>35</v>
      </c>
      <c r="M1777" s="13" t="e">
        <v>#N/A</v>
      </c>
      <c r="N1777" s="14" t="e">
        <v>#N/A</v>
      </c>
      <c r="O1777" s="14" t="e">
        <v>#N/A</v>
      </c>
      <c r="P1777" s="14" t="e">
        <v>#N/A</v>
      </c>
      <c r="Q1777" s="19" t="s">
        <v>11170</v>
      </c>
      <c r="R1777" s="15" t="s">
        <v>11171</v>
      </c>
      <c r="S1777" s="15" t="s">
        <v>37</v>
      </c>
      <c r="T1777" s="16" t="s">
        <v>38</v>
      </c>
      <c r="U1777" s="11" t="str">
        <f>_xlfn.XLOOKUP(Customer[[#This Row],[Customer ID]],[1]!Address[ID],[1]!Address[Phone No.(2)])</f>
        <v/>
      </c>
      <c r="V1777" s="11" t="str">
        <f>_xlfn.XLOOKUP(Customer[[#This Row],[Customer ID]],[1]!Address[ID],[1]!Address[Type])</f>
        <v>PETROMART</v>
      </c>
      <c r="W1777" s="11" t="str">
        <f>_xlfn.XLOOKUP(Customer[[#This Row],[Customer ID]],[1]!Address[ID],[1]!Address[CT])</f>
        <v>30</v>
      </c>
      <c r="X1777" s="11" t="s">
        <v>39</v>
      </c>
      <c r="Y1777" s="17" t="s">
        <v>40</v>
      </c>
      <c r="Z1777" s="17" t="e">
        <f>_xlfn.XLOOKUP(Customer[[#This Row],[NewType]],$AF$36:$AF$54,$AG$36:$AG$54)</f>
        <v>#N/A</v>
      </c>
      <c r="AA1777" s="17" t="s">
        <v>11172</v>
      </c>
      <c r="AB1777" s="11" t="str">
        <f>_xlfn.XLOOKUP(Customer[[#This Row],[Customer ID]],[1]!Address[ID],[1]!Address[Subtype])</f>
        <v>PETRONAS</v>
      </c>
      <c r="AC1777" s="18" t="str">
        <f>_xlfn.XLOOKUP(Customer[[#This Row],[Customer ID]],[1]!Address[ID],[1]!Address[Zone])</f>
        <v>SOUTH</v>
      </c>
    </row>
    <row r="1778" spans="1:30" x14ac:dyDescent="0.3">
      <c r="A1778" s="27" t="s">
        <v>11173</v>
      </c>
      <c r="B1778" s="28" t="str">
        <f>_xlfn.XLOOKUP(Customer[[#This Row],[Customer ID]],[1]!Name[ID],[1]!Name[Description(1)])</f>
        <v>CROP CHEM SDN BHD</v>
      </c>
      <c r="C1778" s="11" t="str">
        <f>_xlfn.XLOOKUP(Customer[[#This Row],[Customer ID]],[1]!Name[ID],[1]!Name[Description(2)])</f>
        <v>CALTEX STESYEN PENDANG</v>
      </c>
      <c r="D1778" s="11" t="str">
        <f>_xlfn.XLOOKUP(Customer[[#This Row],[Customer ID]],[1]!Address[ID],[1]!Address[PIC])</f>
        <v/>
      </c>
      <c r="E1778" s="11" t="str">
        <f>_xlfn.XLOOKUP(Customer[[#This Row],[Customer ID]],[1]!Address[ID],[1]!Address[Full Address])</f>
        <v>CALTEX STESYEN PENDANGPT9782, MUKIM AIR PUTEHJALAN KOBAH PENDAGNO6700 PENDANG KEDAH DARUL AMAN</v>
      </c>
      <c r="F1778" s="12" t="s">
        <v>11174</v>
      </c>
      <c r="G1778" s="12" t="s">
        <v>11175</v>
      </c>
      <c r="H1778" s="12" t="s">
        <v>11176</v>
      </c>
      <c r="I1778" s="12" t="b">
        <f>ISNUMBER(VALUE(LEFT(Customer[[#This Row],[Address Line 3 (30 char)]],1)))</f>
        <v>0</v>
      </c>
      <c r="J1778" s="12" t="s">
        <v>79</v>
      </c>
      <c r="K1778" s="30" t="s">
        <v>3956</v>
      </c>
      <c r="L1778" s="12" t="s">
        <v>35</v>
      </c>
      <c r="M1778" s="13" t="e">
        <v>#N/A</v>
      </c>
      <c r="N1778" s="14" t="e">
        <v>#N/A</v>
      </c>
      <c r="O1778" s="14" t="e">
        <v>#N/A</v>
      </c>
      <c r="P1778" s="14" t="e">
        <v>#N/A</v>
      </c>
      <c r="Q1778" s="14" t="e">
        <v>#N/A</v>
      </c>
      <c r="R1778" s="15" t="s">
        <v>11177</v>
      </c>
      <c r="S1778" s="15" t="s">
        <v>37</v>
      </c>
      <c r="T1778" s="16" t="s">
        <v>38</v>
      </c>
      <c r="U1778" s="11" t="str">
        <f>_xlfn.XLOOKUP(Customer[[#This Row],[Customer ID]],[1]!Address[ID],[1]!Address[Phone No.(2)])</f>
        <v/>
      </c>
      <c r="V1778" s="11" t="str">
        <f>_xlfn.XLOOKUP(Customer[[#This Row],[Customer ID]],[1]!Address[ID],[1]!Address[Type])</f>
        <v>PETROMART</v>
      </c>
      <c r="W1778" s="11" t="str">
        <f>_xlfn.XLOOKUP(Customer[[#This Row],[Customer ID]],[1]!Address[ID],[1]!Address[CT])</f>
        <v>30</v>
      </c>
      <c r="X1778" s="11" t="s">
        <v>39</v>
      </c>
      <c r="Y1778" s="17" t="s">
        <v>40</v>
      </c>
      <c r="Z1778" s="17" t="e">
        <f>_xlfn.XLOOKUP(Customer[[#This Row],[NewType]],$AF$36:$AF$54,$AG$36:$AG$54)</f>
        <v>#N/A</v>
      </c>
      <c r="AA1778" s="17" t="s">
        <v>11178</v>
      </c>
      <c r="AB1778" s="11" t="str">
        <f>_xlfn.XLOOKUP(Customer[[#This Row],[Customer ID]],[1]!Address[ID],[1]!Address[Subtype])</f>
        <v>CALTEX</v>
      </c>
      <c r="AC1778" s="18" t="str">
        <f>_xlfn.XLOOKUP(Customer[[#This Row],[Customer ID]],[1]!Address[ID],[1]!Address[Zone])</f>
        <v>NORTH</v>
      </c>
    </row>
    <row r="1779" spans="1:30" x14ac:dyDescent="0.3">
      <c r="A1779" s="10" t="s">
        <v>11179</v>
      </c>
      <c r="B1779" s="11" t="str">
        <f>_xlfn.XLOOKUP(Customer[[#This Row],[Customer ID]],[1]!Name[ID],[1]!Name[Description(1)])</f>
        <v>PAGOH SYNERGY SDN BHD</v>
      </c>
      <c r="C1779" s="11" t="str">
        <f>_xlfn.XLOOKUP(Customer[[#This Row],[Customer ID]],[1]!Name[ID],[1]!Name[Description(2)])</f>
        <v>PS JALAN MUAR- PAGOH</v>
      </c>
      <c r="D1779" s="11" t="str">
        <f>_xlfn.XLOOKUP(Customer[[#This Row],[Customer ID]],[1]!Address[ID],[1]!Address[PIC])</f>
        <v/>
      </c>
      <c r="E1779" s="11" t="str">
        <f>_xlfn.XLOOKUP(Customer[[#This Row],[Customer ID]],[1]!Address[ID],[1]!Address[Full Address])</f>
        <v>PS JALAN MUAR- PAGOHPM 25, LOT 7240 MUKIM JORAKDAERAH MUAR, 84600NEGERI JOHOR</v>
      </c>
      <c r="F1779" s="12" t="s">
        <v>11180</v>
      </c>
      <c r="G1779" s="12" t="s">
        <v>11181</v>
      </c>
      <c r="H1779" s="12" t="s">
        <v>11182</v>
      </c>
      <c r="I1779" s="12" t="b">
        <f>ISNUMBER(VALUE(LEFT(Customer[[#This Row],[Address Line 3 (30 char)]],1)))</f>
        <v>0</v>
      </c>
      <c r="J1779" s="12" t="s">
        <v>52</v>
      </c>
      <c r="K1779" s="12">
        <v>84600</v>
      </c>
      <c r="L1779" s="12" t="s">
        <v>35</v>
      </c>
      <c r="M1779" s="13">
        <v>201901023353</v>
      </c>
      <c r="N1779" s="14" t="s">
        <v>11183</v>
      </c>
      <c r="O1779" s="14" t="e">
        <v>#N/A</v>
      </c>
      <c r="P1779" s="14" t="e">
        <v>#N/A</v>
      </c>
      <c r="Q1779" s="19" t="s">
        <v>11184</v>
      </c>
      <c r="R1779" s="15" t="s">
        <v>3901</v>
      </c>
      <c r="S1779" s="15" t="s">
        <v>37</v>
      </c>
      <c r="T1779" s="16" t="s">
        <v>38</v>
      </c>
      <c r="U1779" s="11" t="str">
        <f>_xlfn.XLOOKUP(Customer[[#This Row],[Customer ID]],[1]!Address[ID],[1]!Address[Phone No.(2)])</f>
        <v/>
      </c>
      <c r="V1779" s="11" t="str">
        <f>_xlfn.XLOOKUP(Customer[[#This Row],[Customer ID]],[1]!Address[ID],[1]!Address[Type])</f>
        <v>PETROMART</v>
      </c>
      <c r="W1779" s="11" t="str">
        <f>_xlfn.XLOOKUP(Customer[[#This Row],[Customer ID]],[1]!Address[ID],[1]!Address[CT])</f>
        <v>30</v>
      </c>
      <c r="X1779" s="11" t="s">
        <v>39</v>
      </c>
      <c r="Y1779" s="17" t="s">
        <v>40</v>
      </c>
      <c r="Z1779" s="17" t="e">
        <f>_xlfn.XLOOKUP(Customer[[#This Row],[NewType]],$AF$36:$AF$54,$AG$36:$AG$54)</f>
        <v>#N/A</v>
      </c>
      <c r="AA1779" s="17" t="s">
        <v>11185</v>
      </c>
      <c r="AB1779" s="11" t="str">
        <f>_xlfn.XLOOKUP(Customer[[#This Row],[Customer ID]],[1]!Address[ID],[1]!Address[Subtype])</f>
        <v>PETRONAS</v>
      </c>
      <c r="AC1779" s="18" t="str">
        <f>_xlfn.XLOOKUP(Customer[[#This Row],[Customer ID]],[1]!Address[ID],[1]!Address[Zone])</f>
        <v>SOUTH</v>
      </c>
    </row>
    <row r="1780" spans="1:30" x14ac:dyDescent="0.3">
      <c r="A1780" s="10" t="s">
        <v>11186</v>
      </c>
      <c r="B1780" s="11" t="str">
        <f>_xlfn.XLOOKUP(Customer[[#This Row],[Customer ID]],[1]!Name[ID],[1]!Name[Description(1)])</f>
        <v>HM SIOP ENTERPRISE</v>
      </c>
      <c r="C1780" s="11" t="str">
        <f>_xlfn.XLOOKUP(Customer[[#This Row],[Customer ID]],[1]!Name[ID],[1]!Name[Description(2)])</f>
        <v>PS KAMPUNG RAJA</v>
      </c>
      <c r="D1780" s="11" t="str">
        <f>_xlfn.XLOOKUP(Customer[[#This Row],[Customer ID]],[1]!Address[ID],[1]!Address[PIC])</f>
        <v/>
      </c>
      <c r="E1780" s="11" t="str">
        <f>_xlfn.XLOOKUP(Customer[[#This Row],[Customer ID]],[1]!Address[ID],[1]!Address[Full Address])</f>
        <v>PS KAMPUNG RAJALOT 343/344, KAMPUNG RAJA22200 BESUT TERENGGANU</v>
      </c>
      <c r="F1780" s="12" t="s">
        <v>11187</v>
      </c>
      <c r="G1780" s="12" t="s">
        <v>11188</v>
      </c>
      <c r="H1780" s="24" t="s">
        <v>11189</v>
      </c>
      <c r="I1780" s="24" t="b">
        <f>ISNUMBER(VALUE(LEFT(Customer[[#This Row],[Address Line 3 (30 char)]],1)))</f>
        <v>0</v>
      </c>
      <c r="J1780" s="12" t="s">
        <v>1056</v>
      </c>
      <c r="K1780" s="12">
        <v>22200</v>
      </c>
      <c r="L1780" s="12" t="s">
        <v>35</v>
      </c>
      <c r="M1780" s="13" t="e">
        <v>#N/A</v>
      </c>
      <c r="N1780" s="14" t="e">
        <v>#N/A</v>
      </c>
      <c r="O1780" s="14" t="e">
        <v>#N/A</v>
      </c>
      <c r="P1780" s="14" t="e">
        <v>#N/A</v>
      </c>
      <c r="Q1780" s="19" t="s">
        <v>11190</v>
      </c>
      <c r="R1780" s="15" t="s">
        <v>11191</v>
      </c>
      <c r="S1780" s="15" t="s">
        <v>37</v>
      </c>
      <c r="T1780" s="16" t="s">
        <v>38</v>
      </c>
      <c r="U1780" s="11" t="str">
        <f>_xlfn.XLOOKUP(Customer[[#This Row],[Customer ID]],[1]!Address[ID],[1]!Address[Phone No.(2)])</f>
        <v/>
      </c>
      <c r="V1780" s="11" t="str">
        <f>_xlfn.XLOOKUP(Customer[[#This Row],[Customer ID]],[1]!Address[ID],[1]!Address[Type])</f>
        <v>PETROMART</v>
      </c>
      <c r="W1780" s="11" t="str">
        <f>_xlfn.XLOOKUP(Customer[[#This Row],[Customer ID]],[1]!Address[ID],[1]!Address[CT])</f>
        <v>30</v>
      </c>
      <c r="X1780" s="11" t="s">
        <v>39</v>
      </c>
      <c r="Y1780" s="17" t="s">
        <v>40</v>
      </c>
      <c r="Z1780" s="17" t="e">
        <f>_xlfn.XLOOKUP(Customer[[#This Row],[NewType]],$AF$36:$AF$54,$AG$36:$AG$54)</f>
        <v>#N/A</v>
      </c>
      <c r="AA1780" s="17" t="s">
        <v>11192</v>
      </c>
      <c r="AB1780" s="11" t="str">
        <f>_xlfn.XLOOKUP(Customer[[#This Row],[Customer ID]],[1]!Address[ID],[1]!Address[Subtype])</f>
        <v>PETRONAS</v>
      </c>
      <c r="AC1780" s="18" t="str">
        <f>_xlfn.XLOOKUP(Customer[[#This Row],[Customer ID]],[1]!Address[ID],[1]!Address[Zone])</f>
        <v>EAST COAST</v>
      </c>
    </row>
    <row r="1781" spans="1:30" x14ac:dyDescent="0.3">
      <c r="A1781" s="10" t="s">
        <v>11193</v>
      </c>
      <c r="B1781" s="11" t="str">
        <f>_xlfn.XLOOKUP(Customer[[#This Row],[Customer ID]],[1]!Name[ID],[1]!Name[Description(1)])</f>
        <v>FARHINS CAFE-PLUS</v>
      </c>
      <c r="C1781" s="11" t="str">
        <f>_xlfn.XLOOKUP(Customer[[#This Row],[Customer ID]],[1]!Name[ID],[1]!Name[Description(2)])</f>
        <v/>
      </c>
      <c r="D1781" s="11" t="str">
        <f>_xlfn.XLOOKUP(Customer[[#This Row],[Customer ID]],[1]!Address[ID],[1]!Address[PIC])</f>
        <v/>
      </c>
      <c r="E1781" s="11" t="str">
        <f>_xlfn.XLOOKUP(Customer[[#This Row],[Customer ID]],[1]!Address[ID],[1]!Address[Full Address])</f>
        <v>NO 11 R&amp;R PAGOH ARAH SELATAN</v>
      </c>
      <c r="F1781" s="12" t="s">
        <v>11194</v>
      </c>
      <c r="G1781" s="12" t="s">
        <v>36</v>
      </c>
      <c r="H1781" s="12" t="s">
        <v>36</v>
      </c>
      <c r="I1781" s="12" t="b">
        <f>ISNUMBER(VALUE(LEFT(Customer[[#This Row],[Address Line 3 (30 char)]],1)))</f>
        <v>0</v>
      </c>
      <c r="J1781" s="12" t="s">
        <v>52</v>
      </c>
      <c r="K1781" s="12">
        <v>84600</v>
      </c>
      <c r="L1781" s="12" t="s">
        <v>35</v>
      </c>
      <c r="M1781" s="13" t="e">
        <v>#N/A</v>
      </c>
      <c r="N1781" s="14" t="e">
        <v>#N/A</v>
      </c>
      <c r="O1781" s="14" t="e">
        <v>#N/A</v>
      </c>
      <c r="P1781" s="14" t="e">
        <v>#N/A</v>
      </c>
      <c r="Q1781" s="14" t="e">
        <v>#N/A</v>
      </c>
      <c r="R1781" s="15" t="s">
        <v>3211</v>
      </c>
      <c r="S1781" s="15" t="s">
        <v>5925</v>
      </c>
      <c r="T1781" s="16" t="s">
        <v>3477</v>
      </c>
      <c r="U1781" s="11" t="str">
        <f>_xlfn.XLOOKUP(Customer[[#This Row],[Customer ID]],[1]!Address[ID],[1]!Address[Phone No.(2)])</f>
        <v/>
      </c>
      <c r="V1781" s="11" t="str">
        <f>_xlfn.XLOOKUP(Customer[[#This Row],[Customer ID]],[1]!Address[ID],[1]!Address[Type])</f>
        <v>CAFE</v>
      </c>
      <c r="W1781" s="11" t="str">
        <f>_xlfn.XLOOKUP(Customer[[#This Row],[Customer ID]],[1]!Address[ID],[1]!Address[CT])</f>
        <v>30 DAYS</v>
      </c>
      <c r="X1781" s="11"/>
      <c r="Y1781" s="17" t="s">
        <v>5926</v>
      </c>
      <c r="Z1781" s="17" t="e">
        <f>_xlfn.XLOOKUP(Customer[[#This Row],[NewType]],$AF$36:$AF$54,$AG$36:$AG$54)</f>
        <v>#N/A</v>
      </c>
      <c r="AA1781" s="17" t="s">
        <v>11195</v>
      </c>
      <c r="AB1781" s="11" t="str">
        <f>_xlfn.XLOOKUP(Customer[[#This Row],[Customer ID]],[1]!Address[ID],[1]!Address[Subtype])</f>
        <v>PLUS</v>
      </c>
      <c r="AC1781" s="18">
        <f>_xlfn.XLOOKUP(Customer[[#This Row],[Customer ID]],[1]!Address[ID],[1]!Address[Zone])</f>
        <v>0</v>
      </c>
    </row>
    <row r="1782" spans="1:30" x14ac:dyDescent="0.3">
      <c r="A1782" s="10" t="s">
        <v>11196</v>
      </c>
      <c r="B1782" s="11" t="str">
        <f>_xlfn.XLOOKUP(Customer[[#This Row],[Customer ID]],[1]!Name[ID],[1]!Name[Description(1)])</f>
        <v>RE &amp; P TRADING</v>
      </c>
      <c r="C1782" s="11" t="str">
        <f>_xlfn.XLOOKUP(Customer[[#This Row],[Customer ID]],[1]!Name[ID],[1]!Name[Description(2)])</f>
        <v>PS NILAI PAJAM (DEACTIVE)</v>
      </c>
      <c r="D1782" s="11" t="str">
        <f>_xlfn.XLOOKUP(Customer[[#This Row],[Customer ID]],[1]!Address[ID],[1]!Address[PIC])</f>
        <v/>
      </c>
      <c r="E1782" s="11" t="str">
        <f>_xlfn.XLOOKUP(Customer[[#This Row],[Customer ID]],[1]!Address[ID],[1]!Address[Full Address])</f>
        <v>PS NILAI PAJAMLot PT 12874 &amp; 12875Jalan Nilai-Pajam,  Taman Semarak IINilai, 71800 Negeri Sembilan.</v>
      </c>
      <c r="F1782" s="12" t="s">
        <v>11197</v>
      </c>
      <c r="G1782" s="12" t="s">
        <v>11198</v>
      </c>
      <c r="H1782" s="12" t="s">
        <v>11199</v>
      </c>
      <c r="I1782" s="12" t="b">
        <f>ISNUMBER(VALUE(LEFT(Customer[[#This Row],[Address Line 3 (30 char)]],1)))</f>
        <v>0</v>
      </c>
      <c r="J1782" s="12" t="s">
        <v>203</v>
      </c>
      <c r="K1782" s="12">
        <v>71800</v>
      </c>
      <c r="L1782" s="12" t="s">
        <v>35</v>
      </c>
      <c r="M1782" s="13" t="e">
        <v>#N/A</v>
      </c>
      <c r="N1782" s="14" t="e">
        <v>#N/A</v>
      </c>
      <c r="O1782" s="14" t="e">
        <v>#N/A</v>
      </c>
      <c r="P1782" s="14" t="e">
        <v>#N/A</v>
      </c>
      <c r="Q1782" s="19" t="s">
        <v>11200</v>
      </c>
      <c r="R1782" s="15" t="s">
        <v>11201</v>
      </c>
      <c r="S1782" s="15" t="s">
        <v>37</v>
      </c>
      <c r="T1782" s="16" t="s">
        <v>38</v>
      </c>
      <c r="U1782" s="11" t="str">
        <f>_xlfn.XLOOKUP(Customer[[#This Row],[Customer ID]],[1]!Address[ID],[1]!Address[Phone No.(2)])</f>
        <v/>
      </c>
      <c r="V1782" s="11" t="str">
        <f>_xlfn.XLOOKUP(Customer[[#This Row],[Customer ID]],[1]!Address[ID],[1]!Address[Type])</f>
        <v>PETROMART</v>
      </c>
      <c r="W1782" s="11" t="str">
        <f>_xlfn.XLOOKUP(Customer[[#This Row],[Customer ID]],[1]!Address[ID],[1]!Address[CT])</f>
        <v>30</v>
      </c>
      <c r="X1782" s="11" t="s">
        <v>39</v>
      </c>
      <c r="Y1782" s="17" t="s">
        <v>40</v>
      </c>
      <c r="Z1782" s="17" t="e">
        <f>_xlfn.XLOOKUP(Customer[[#This Row],[NewType]],$AF$36:$AF$54,$AG$36:$AG$54)</f>
        <v>#N/A</v>
      </c>
      <c r="AA1782" s="17" t="s">
        <v>11202</v>
      </c>
      <c r="AB1782" s="11" t="str">
        <f>_xlfn.XLOOKUP(Customer[[#This Row],[Customer ID]],[1]!Address[ID],[1]!Address[Subtype])</f>
        <v>PETRONAS</v>
      </c>
      <c r="AC1782" s="18" t="str">
        <f>_xlfn.XLOOKUP(Customer[[#This Row],[Customer ID]],[1]!Address[ID],[1]!Address[Zone])</f>
        <v>CENTRAL</v>
      </c>
    </row>
    <row r="1783" spans="1:30" x14ac:dyDescent="0.3">
      <c r="A1783" s="10" t="s">
        <v>11203</v>
      </c>
      <c r="B1783" s="11" t="str">
        <f>_xlfn.XLOOKUP(Customer[[#This Row],[Customer ID]],[1]!Name[ID],[1]!Name[Description(1)])</f>
        <v>PETROLIAM NASIONAL BERHAD (PETRONAS)</v>
      </c>
      <c r="C1783" s="11" t="str">
        <f>_xlfn.XLOOKUP(Customer[[#This Row],[Customer ID]],[1]!Name[ID],[1]!Name[Description(2)])</f>
        <v/>
      </c>
      <c r="D1783" s="11" t="str">
        <f>_xlfn.XLOOKUP(Customer[[#This Row],[Customer ID]],[1]!Address[ID],[1]!Address[PIC])</f>
        <v/>
      </c>
      <c r="E1783" s="11" t="str">
        <f>_xlfn.XLOOKUP(Customer[[#This Row],[Customer ID]],[1]!Address[ID],[1]!Address[Full Address])</f>
        <v>PETRONAS SOUTHERN,LEVEL 4, PETRONAS BUILDING,BANDAR BARU UDA, KM 7 JALAN SKUDAI,81200 JOHOR BAHRU, JOHOR.</v>
      </c>
      <c r="F1783" s="12" t="s">
        <v>11204</v>
      </c>
      <c r="G1783" s="12" t="s">
        <v>11205</v>
      </c>
      <c r="H1783" s="12" t="s">
        <v>11206</v>
      </c>
      <c r="I1783" s="12" t="b">
        <f>ISNUMBER(VALUE(LEFT(Customer[[#This Row],[Address Line 3 (30 char)]],1)))</f>
        <v>0</v>
      </c>
      <c r="J1783" s="12" t="s">
        <v>52</v>
      </c>
      <c r="K1783" s="12">
        <v>81200</v>
      </c>
      <c r="L1783" s="12" t="s">
        <v>35</v>
      </c>
      <c r="M1783" s="13" t="e">
        <v>#N/A</v>
      </c>
      <c r="N1783" s="14" t="e">
        <v>#N/A</v>
      </c>
      <c r="O1783" s="14" t="e">
        <v>#N/A</v>
      </c>
      <c r="P1783" s="14" t="e">
        <v>#N/A</v>
      </c>
      <c r="Q1783" s="19" t="s">
        <v>11207</v>
      </c>
      <c r="R1783" s="15" t="s">
        <v>11208</v>
      </c>
      <c r="S1783" s="15" t="s">
        <v>5934</v>
      </c>
      <c r="T1783" s="16"/>
      <c r="U1783" s="11" t="str">
        <f>_xlfn.XLOOKUP(Customer[[#This Row],[Customer ID]],[1]!Address[ID],[1]!Address[Phone No.(2)])</f>
        <v/>
      </c>
      <c r="V1783" s="11" t="str">
        <f>_xlfn.XLOOKUP(Customer[[#This Row],[Customer ID]],[1]!Address[ID],[1]!Address[Type])</f>
        <v>CORPORATE</v>
      </c>
      <c r="W1783" s="11" t="str">
        <f>_xlfn.XLOOKUP(Customer[[#This Row],[Customer ID]],[1]!Address[ID],[1]!Address[CT])</f>
        <v>30 DAYS</v>
      </c>
      <c r="X1783" s="11"/>
      <c r="Y1783" s="17" t="s">
        <v>6418</v>
      </c>
      <c r="Z1783" s="17" t="e">
        <f>_xlfn.XLOOKUP(Customer[[#This Row],[NewType]],$AF$36:$AF$54,$AG$36:$AG$54)</f>
        <v>#N/A</v>
      </c>
      <c r="AA1783" s="17" t="s">
        <v>11209</v>
      </c>
      <c r="AB1783" s="11" t="str">
        <f>_xlfn.XLOOKUP(Customer[[#This Row],[Customer ID]],[1]!Address[ID],[1]!Address[Subtype])</f>
        <v>PETRONAS</v>
      </c>
      <c r="AC1783" s="18" t="str">
        <f>_xlfn.XLOOKUP(Customer[[#This Row],[Customer ID]],[1]!Address[ID],[1]!Address[Zone])</f>
        <v>SOUTH</v>
      </c>
    </row>
    <row r="1784" spans="1:30" x14ac:dyDescent="0.3">
      <c r="A1784" s="10" t="s">
        <v>11210</v>
      </c>
      <c r="B1784" s="11" t="str">
        <f>_xlfn.XLOOKUP(Customer[[#This Row],[Customer ID]],[1]!Name[ID],[1]!Name[Description(1)])</f>
        <v>AHMAD FIRDAUS (MB)</v>
      </c>
      <c r="C1784" s="11" t="str">
        <f>_xlfn.XLOOKUP(Customer[[#This Row],[Customer ID]],[1]!Name[ID],[1]!Name[Description(2)])</f>
        <v/>
      </c>
      <c r="D1784" s="11" t="str">
        <f>_xlfn.XLOOKUP(Customer[[#This Row],[Customer ID]],[1]!Address[ID],[1]!Address[PIC])</f>
        <v>AHMAD FIRDAUS</v>
      </c>
      <c r="E1784" s="11" t="str">
        <f>_xlfn.XLOOKUP(Customer[[#This Row],[Customer ID]],[1]!Address[ID],[1]!Address[Full Address])</f>
        <v>NO 7 JALAN 2/1 F, MUTIARA BANGIBANDAR BARU BANGI 43650 SELANGOR</v>
      </c>
      <c r="F1784" s="12" t="s">
        <v>11211</v>
      </c>
      <c r="G1784" s="12" t="s">
        <v>8485</v>
      </c>
      <c r="H1784" s="12" t="s">
        <v>4431</v>
      </c>
      <c r="I1784" s="12" t="b">
        <f>ISNUMBER(VALUE(LEFT(Customer[[#This Row],[Address Line 3 (30 char)]],1)))</f>
        <v>0</v>
      </c>
      <c r="J1784" s="12" t="s">
        <v>172</v>
      </c>
      <c r="K1784" s="12">
        <v>43650</v>
      </c>
      <c r="L1784" s="12" t="s">
        <v>35</v>
      </c>
      <c r="M1784" s="13" t="e">
        <v>#N/A</v>
      </c>
      <c r="N1784" s="14" t="e">
        <v>#N/A</v>
      </c>
      <c r="O1784" s="14" t="e">
        <v>#N/A</v>
      </c>
      <c r="P1784" s="14" t="e">
        <v>#N/A</v>
      </c>
      <c r="Q1784" s="14" t="e">
        <v>#N/A</v>
      </c>
      <c r="R1784" s="15" t="s">
        <v>11212</v>
      </c>
      <c r="S1784" s="15" t="s">
        <v>4271</v>
      </c>
      <c r="T1784" s="15" t="s">
        <v>89</v>
      </c>
      <c r="U1784" s="11" t="str">
        <f>_xlfn.XLOOKUP(Customer[[#This Row],[Customer ID]],[1]!Address[ID],[1]!Address[Phone No.(2)])</f>
        <v/>
      </c>
      <c r="V1784" s="11" t="str">
        <f>_xlfn.XLOOKUP(Customer[[#This Row],[Customer ID]],[1]!Address[ID],[1]!Address[Type])</f>
        <v>SOCMED</v>
      </c>
      <c r="W1784" s="11" t="str">
        <f>_xlfn.XLOOKUP(Customer[[#This Row],[Customer ID]],[1]!Address[ID],[1]!Address[CT])</f>
        <v/>
      </c>
      <c r="X1784" s="11"/>
      <c r="Y1784" s="17" t="s">
        <v>90</v>
      </c>
      <c r="Z1784" s="17" t="e">
        <f>_xlfn.XLOOKUP(Customer[[#This Row],[NewType]],$AF$36:$AF$54,$AG$36:$AG$54)</f>
        <v>#N/A</v>
      </c>
      <c r="AA1784" s="17" t="s">
        <v>11213</v>
      </c>
      <c r="AB1784" s="11" t="str">
        <f>_xlfn.XLOOKUP(Customer[[#This Row],[Customer ID]],[1]!Address[ID],[1]!Address[Subtype])</f>
        <v>WHATSAPP</v>
      </c>
      <c r="AC1784" s="18" t="str">
        <f>_xlfn.XLOOKUP(Customer[[#This Row],[Customer ID]],[1]!Address[ID],[1]!Address[Zone])</f>
        <v>POUTH</v>
      </c>
    </row>
    <row r="1785" spans="1:30" x14ac:dyDescent="0.3">
      <c r="A1785" s="10" t="s">
        <v>11214</v>
      </c>
      <c r="B1785" s="11" t="str">
        <f>_xlfn.XLOOKUP(Customer[[#This Row],[Customer ID]],[1]!Name[ID],[1]!Name[Description(1)])</f>
        <v>FARMASI SABAK BERNAM</v>
      </c>
      <c r="C1785" s="11" t="str">
        <f>_xlfn.XLOOKUP(Customer[[#This Row],[Customer ID]],[1]!Name[ID],[1]!Name[Description(2)])</f>
        <v/>
      </c>
      <c r="D1785" s="11" t="str">
        <f>_xlfn.XLOOKUP(Customer[[#This Row],[Customer ID]],[1]!Address[ID],[1]!Address[PIC])</f>
        <v/>
      </c>
      <c r="E1785" s="11" t="str">
        <f>_xlfn.XLOOKUP(Customer[[#This Row],[Customer ID]],[1]!Address[ID],[1]!Address[Full Address])</f>
        <v>NO 94A JALAN MENTERI 45200SABAK BERNAM, SELANGOR</v>
      </c>
      <c r="F1785" s="12" t="s">
        <v>11215</v>
      </c>
      <c r="G1785" s="12" t="s">
        <v>9452</v>
      </c>
      <c r="H1785" s="12" t="s">
        <v>36</v>
      </c>
      <c r="I1785" s="12" t="b">
        <f>ISNUMBER(VALUE(LEFT(Customer[[#This Row],[Address Line 3 (30 char)]],1)))</f>
        <v>0</v>
      </c>
      <c r="J1785" s="12" t="s">
        <v>172</v>
      </c>
      <c r="K1785" s="12">
        <v>45200</v>
      </c>
      <c r="L1785" s="12" t="s">
        <v>35</v>
      </c>
      <c r="M1785" s="13" t="e">
        <v>#N/A</v>
      </c>
      <c r="N1785" s="14" t="e">
        <v>#N/A</v>
      </c>
      <c r="O1785" s="14" t="e">
        <v>#N/A</v>
      </c>
      <c r="P1785" s="14" t="e">
        <v>#N/A</v>
      </c>
      <c r="Q1785" s="14" t="e">
        <v>#N/A</v>
      </c>
      <c r="R1785" s="15" t="s">
        <v>11216</v>
      </c>
      <c r="S1785" s="15" t="s">
        <v>88</v>
      </c>
      <c r="T1785" s="16" t="s">
        <v>89</v>
      </c>
      <c r="U1785" s="11" t="str">
        <f>_xlfn.XLOOKUP(Customer[[#This Row],[Customer ID]],[1]!Address[ID],[1]!Address[Phone No.(2)])</f>
        <v/>
      </c>
      <c r="V1785" s="11" t="str">
        <f>_xlfn.XLOOKUP(Customer[[#This Row],[Customer ID]],[1]!Address[ID],[1]!Address[Type])</f>
        <v>SOCMED</v>
      </c>
      <c r="W1785" s="11" t="str">
        <f>_xlfn.XLOOKUP(Customer[[#This Row],[Customer ID]],[1]!Address[ID],[1]!Address[CT])</f>
        <v/>
      </c>
      <c r="X1785" s="11"/>
      <c r="Y1785" s="17" t="s">
        <v>90</v>
      </c>
      <c r="Z1785" s="17" t="e">
        <f>_xlfn.XLOOKUP(Customer[[#This Row],[NewType]],$AF$36:$AF$54,$AG$36:$AG$54)</f>
        <v>#N/A</v>
      </c>
      <c r="AA1785" s="17" t="s">
        <v>11217</v>
      </c>
      <c r="AB1785" s="11" t="str">
        <f>_xlfn.XLOOKUP(Customer[[#This Row],[Customer ID]],[1]!Address[ID],[1]!Address[Subtype])</f>
        <v>ONLINE ROS</v>
      </c>
      <c r="AC1785" s="18" t="str">
        <f>_xlfn.XLOOKUP(Customer[[#This Row],[Customer ID]],[1]!Address[ID],[1]!Address[Zone])</f>
        <v>EEEDH</v>
      </c>
    </row>
    <row r="1786" spans="1:30" x14ac:dyDescent="0.3">
      <c r="A1786" s="10" t="s">
        <v>11218</v>
      </c>
      <c r="B1786" s="11" t="str">
        <f>_xlfn.XLOOKUP(Customer[[#This Row],[Customer ID]],[1]!Name[ID],[1]!Name[Description(1)])</f>
        <v>PROFIT VELO SDN BHD</v>
      </c>
      <c r="C1786" s="11" t="str">
        <f>_xlfn.XLOOKUP(Customer[[#This Row],[Customer ID]],[1]!Name[ID],[1]!Name[Description(2)])</f>
        <v>PS BATU 25.5 JALAN SKUDAI PONTIAN</v>
      </c>
      <c r="D1786" s="11" t="str">
        <f>_xlfn.XLOOKUP(Customer[[#This Row],[Customer ID]],[1]!Address[ID],[1]!Address[PIC])</f>
        <v/>
      </c>
      <c r="E1786" s="11" t="str">
        <f>_xlfn.XLOOKUP(Customer[[#This Row],[Customer ID]],[1]!Address[ID],[1]!Address[Full Address])</f>
        <v>PS BATU 25.5 JALAN SKUDAI PONTIANLOT 70164 (PTD 14294) JALAN INDUSTRI 8,TAMAN PERINDUSTRIAN PEKAN NANAS,81500 PEKAN NANAS, JOHOR</v>
      </c>
      <c r="F1786" s="12" t="s">
        <v>11219</v>
      </c>
      <c r="G1786" s="12" t="s">
        <v>11220</v>
      </c>
      <c r="H1786" s="12" t="s">
        <v>11221</v>
      </c>
      <c r="I1786" s="12" t="b">
        <f>ISNUMBER(VALUE(LEFT(Customer[[#This Row],[Address Line 3 (30 char)]],1)))</f>
        <v>0</v>
      </c>
      <c r="J1786" s="12" t="s">
        <v>52</v>
      </c>
      <c r="K1786" s="12">
        <v>81500</v>
      </c>
      <c r="L1786" s="12" t="s">
        <v>35</v>
      </c>
      <c r="M1786" s="13">
        <v>202201023085</v>
      </c>
      <c r="N1786" s="14" t="s">
        <v>11222</v>
      </c>
      <c r="O1786" s="14" t="s">
        <v>54</v>
      </c>
      <c r="P1786" s="14">
        <v>47114</v>
      </c>
      <c r="Q1786" s="19" t="s">
        <v>11223</v>
      </c>
      <c r="R1786" s="15" t="s">
        <v>11224</v>
      </c>
      <c r="S1786" s="15" t="s">
        <v>37</v>
      </c>
      <c r="T1786" s="16" t="s">
        <v>38</v>
      </c>
      <c r="U1786" s="11" t="str">
        <f>_xlfn.XLOOKUP(Customer[[#This Row],[Customer ID]],[1]!Address[ID],[1]!Address[Phone No.(2)])</f>
        <v/>
      </c>
      <c r="V1786" s="11" t="str">
        <f>_xlfn.XLOOKUP(Customer[[#This Row],[Customer ID]],[1]!Address[ID],[1]!Address[Type])</f>
        <v>PETROMART</v>
      </c>
      <c r="W1786" s="11" t="str">
        <f>_xlfn.XLOOKUP(Customer[[#This Row],[Customer ID]],[1]!Address[ID],[1]!Address[CT])</f>
        <v>30</v>
      </c>
      <c r="X1786" s="11" t="s">
        <v>39</v>
      </c>
      <c r="Y1786" s="17" t="s">
        <v>40</v>
      </c>
      <c r="Z1786" s="17" t="e">
        <f>_xlfn.XLOOKUP(Customer[[#This Row],[NewType]],$AF$36:$AF$54,$AG$36:$AG$54)</f>
        <v>#N/A</v>
      </c>
      <c r="AA1786" s="17" t="s">
        <v>11225</v>
      </c>
      <c r="AB1786" s="11" t="str">
        <f>_xlfn.XLOOKUP(Customer[[#This Row],[Customer ID]],[1]!Address[ID],[1]!Address[Subtype])</f>
        <v>PETRONAS</v>
      </c>
      <c r="AC1786" s="18" t="str">
        <f>_xlfn.XLOOKUP(Customer[[#This Row],[Customer ID]],[1]!Address[ID],[1]!Address[Zone])</f>
        <v>SOUTH</v>
      </c>
    </row>
    <row r="1787" spans="1:30" x14ac:dyDescent="0.3">
      <c r="A1787" s="48" t="s">
        <v>11226</v>
      </c>
      <c r="B1787" s="49" t="str">
        <f>_xlfn.XLOOKUP(Customer[[#This Row],[Customer ID]],[1]!Name[ID],[1]!Name[Description(1)])</f>
        <v>NAZLY ZAINI</v>
      </c>
      <c r="C1787" s="49" t="str">
        <f>_xlfn.XLOOKUP(Customer[[#This Row],[Customer ID]],[1]!Name[ID],[1]!Name[Description(2)])</f>
        <v/>
      </c>
      <c r="D1787" s="49" t="str">
        <f>_xlfn.XLOOKUP(Customer[[#This Row],[Customer ID]],[1]!Address[ID],[1]!Address[PIC])</f>
        <v/>
      </c>
      <c r="E1787" s="11" t="str">
        <f>_xlfn.XLOOKUP(Customer[[#This Row],[Customer ID]],[1]!Address[ID],[1]!Address[Full Address])</f>
        <v>NO. 19, JALAN KARYAWAN BESTARI ,PUNCAK BESTARI,BANDAR PUNCAK ALAM,42300, SELANGOR.</v>
      </c>
      <c r="F1787" s="63" t="s">
        <v>11227</v>
      </c>
      <c r="G1787" s="63" t="s">
        <v>11228</v>
      </c>
      <c r="H1787" s="63" t="s">
        <v>599</v>
      </c>
      <c r="I1787" s="63" t="b">
        <f>ISNUMBER(VALUE(LEFT(Customer[[#This Row],[Address Line 3 (30 char)]],1)))</f>
        <v>0</v>
      </c>
      <c r="J1787" s="63" t="s">
        <v>172</v>
      </c>
      <c r="K1787" s="63">
        <v>42300</v>
      </c>
      <c r="L1787" s="63" t="s">
        <v>35</v>
      </c>
      <c r="M1787" s="65" t="e">
        <v>#N/A</v>
      </c>
      <c r="N1787" s="66" t="e">
        <v>#N/A</v>
      </c>
      <c r="O1787" s="66" t="e">
        <v>#N/A</v>
      </c>
      <c r="P1787" s="66" t="e">
        <v>#N/A</v>
      </c>
      <c r="Q1787" s="66" t="e">
        <v>#N/A</v>
      </c>
      <c r="R1787" s="51" t="s">
        <v>11229</v>
      </c>
      <c r="S1787" s="15" t="s">
        <v>4271</v>
      </c>
      <c r="T1787" s="52" t="s">
        <v>89</v>
      </c>
      <c r="U1787" s="49" t="str">
        <f>_xlfn.XLOOKUP(Customer[[#This Row],[Customer ID]],[1]!Address[ID],[1]!Address[Phone No.(2)])</f>
        <v/>
      </c>
      <c r="V1787" s="49" t="str">
        <f>_xlfn.XLOOKUP(Customer[[#This Row],[Customer ID]],[1]!Address[ID],[1]!Address[Type])</f>
        <v>SOCMED</v>
      </c>
      <c r="W1787" s="49" t="str">
        <f>_xlfn.XLOOKUP(Customer[[#This Row],[Customer ID]],[1]!Address[ID],[1]!Address[CT])</f>
        <v>CASH</v>
      </c>
      <c r="X1787" s="49"/>
      <c r="Y1787" s="53" t="s">
        <v>90</v>
      </c>
      <c r="Z1787" s="53" t="e">
        <f>_xlfn.XLOOKUP(Customer[[#This Row],[NewType]],$AF$36:$AF$54,$AG$36:$AG$54)</f>
        <v>#N/A</v>
      </c>
      <c r="AA1787" s="53" t="s">
        <v>11230</v>
      </c>
      <c r="AB1787" s="49" t="str">
        <f>_xlfn.XLOOKUP(Customer[[#This Row],[Customer ID]],[1]!Address[ID],[1]!Address[Subtype])</f>
        <v>WHATSAPP</v>
      </c>
      <c r="AC1787" s="54" t="str">
        <f>_xlfn.XLOOKUP(Customer[[#This Row],[Customer ID]],[1]!Address[ID],[1]!Address[Zone])</f>
        <v>NUEDH</v>
      </c>
      <c r="AD1787" s="55"/>
    </row>
    <row r="1788" spans="1:30" x14ac:dyDescent="0.3">
      <c r="A1788" s="10" t="s">
        <v>11231</v>
      </c>
      <c r="B1788" s="11" t="str">
        <f>_xlfn.XLOOKUP(Customer[[#This Row],[Customer ID]],[1]!Name[ID],[1]!Name[Description(1)])</f>
        <v>SE ENERGY VENTURES</v>
      </c>
      <c r="C1788" s="11" t="str">
        <f>_xlfn.XLOOKUP(Customer[[#This Row],[Customer ID]],[1]!Name[ID],[1]!Name[Description(2)])</f>
        <v>PS SALAK JAYA NORTH BOUND</v>
      </c>
      <c r="D1788" s="11" t="str">
        <f>_xlfn.XLOOKUP(Customer[[#This Row],[Customer ID]],[1]!Address[ID],[1]!Address[PIC])</f>
        <v/>
      </c>
      <c r="E1788" s="11" t="str">
        <f>_xlfn.XLOOKUP(Customer[[#This Row],[Customer ID]],[1]!Address[ID],[1]!Address[Full Address])</f>
        <v>PS SALAK JAYA NORTH BOUNDNO 833, PETRONAS SALAK JAYA NBLEBUHRAYA SUNGAI BESI57100 KUALA LUMPUR, WP</v>
      </c>
      <c r="F1788" s="12" t="s">
        <v>11232</v>
      </c>
      <c r="G1788" s="12" t="s">
        <v>11233</v>
      </c>
      <c r="H1788" s="12" t="s">
        <v>11234</v>
      </c>
      <c r="I1788" s="12" t="b">
        <f>ISNUMBER(VALUE(LEFT(Customer[[#This Row],[Address Line 3 (30 char)]],1)))</f>
        <v>0</v>
      </c>
      <c r="J1788" s="12" t="s">
        <v>34</v>
      </c>
      <c r="K1788" s="12">
        <v>57100</v>
      </c>
      <c r="L1788" s="12" t="s">
        <v>35</v>
      </c>
      <c r="M1788" s="13" t="e">
        <v>#N/A</v>
      </c>
      <c r="N1788" s="14" t="e">
        <v>#N/A</v>
      </c>
      <c r="O1788" s="14" t="e">
        <v>#N/A</v>
      </c>
      <c r="P1788" s="14" t="e">
        <v>#N/A</v>
      </c>
      <c r="Q1788" s="19" t="s">
        <v>11235</v>
      </c>
      <c r="R1788" s="15" t="s">
        <v>11236</v>
      </c>
      <c r="S1788" s="15" t="s">
        <v>37</v>
      </c>
      <c r="T1788" s="16" t="s">
        <v>38</v>
      </c>
      <c r="U1788" s="11" t="str">
        <f>_xlfn.XLOOKUP(Customer[[#This Row],[Customer ID]],[1]!Address[ID],[1]!Address[Phone No.(2)])</f>
        <v/>
      </c>
      <c r="V1788" s="11" t="str">
        <f>_xlfn.XLOOKUP(Customer[[#This Row],[Customer ID]],[1]!Address[ID],[1]!Address[Type])</f>
        <v>PETROMART</v>
      </c>
      <c r="W1788" s="11" t="str">
        <f>_xlfn.XLOOKUP(Customer[[#This Row],[Customer ID]],[1]!Address[ID],[1]!Address[CT])</f>
        <v>30</v>
      </c>
      <c r="X1788" s="11" t="s">
        <v>39</v>
      </c>
      <c r="Y1788" s="17" t="s">
        <v>40</v>
      </c>
      <c r="Z1788" s="17" t="e">
        <f>_xlfn.XLOOKUP(Customer[[#This Row],[NewType]],$AF$36:$AF$54,$AG$36:$AG$54)</f>
        <v>#N/A</v>
      </c>
      <c r="AA1788" s="17" t="s">
        <v>11237</v>
      </c>
      <c r="AB1788" s="11" t="str">
        <f>_xlfn.XLOOKUP(Customer[[#This Row],[Customer ID]],[1]!Address[ID],[1]!Address[Subtype])</f>
        <v>PETRONAS</v>
      </c>
      <c r="AC1788" s="18" t="str">
        <f>_xlfn.XLOOKUP(Customer[[#This Row],[Customer ID]],[1]!Address[ID],[1]!Address[Zone])</f>
        <v>CENTRAL</v>
      </c>
    </row>
    <row r="1789" spans="1:30" x14ac:dyDescent="0.3">
      <c r="A1789" s="10" t="s">
        <v>11238</v>
      </c>
      <c r="B1789" s="11" t="str">
        <f>_xlfn.XLOOKUP(Customer[[#This Row],[Customer ID]],[1]!Name[ID],[1]!Name[Description(1)])</f>
        <v>JAPOK MART</v>
      </c>
      <c r="C1789" s="11" t="str">
        <f>_xlfn.XLOOKUP(Customer[[#This Row],[Customer ID]],[1]!Name[ID],[1]!Name[Description(2)])</f>
        <v/>
      </c>
      <c r="D1789" s="11" t="str">
        <f>_xlfn.XLOOKUP(Customer[[#This Row],[Customer ID]],[1]!Address[ID],[1]!Address[PIC])</f>
        <v/>
      </c>
      <c r="E1789" s="11" t="str">
        <f>_xlfn.XLOOKUP(Customer[[#This Row],[Customer ID]],[1]!Address[ID],[1]!Address[Full Address])</f>
        <v>LOT 3202, JALAN UNIVERSITI, BATU 785000 SEGAMAT, JOHOR</v>
      </c>
      <c r="F1789" s="12" t="s">
        <v>11239</v>
      </c>
      <c r="G1789" s="12" t="s">
        <v>11240</v>
      </c>
      <c r="H1789" s="12" t="s">
        <v>1270</v>
      </c>
      <c r="I1789" s="12" t="b">
        <f>ISNUMBER(VALUE(LEFT(Customer[[#This Row],[Address Line 3 (30 char)]],1)))</f>
        <v>0</v>
      </c>
      <c r="J1789" s="12" t="s">
        <v>52</v>
      </c>
      <c r="K1789" s="12">
        <v>85000</v>
      </c>
      <c r="L1789" s="12" t="s">
        <v>35</v>
      </c>
      <c r="M1789" s="13" t="e">
        <v>#N/A</v>
      </c>
      <c r="N1789" s="14" t="e">
        <v>#N/A</v>
      </c>
      <c r="O1789" s="14" t="e">
        <v>#N/A</v>
      </c>
      <c r="P1789" s="14" t="e">
        <v>#N/A</v>
      </c>
      <c r="Q1789" s="14" t="e">
        <v>#N/A</v>
      </c>
      <c r="R1789" s="15" t="s">
        <v>11241</v>
      </c>
      <c r="S1789" s="15" t="s">
        <v>88</v>
      </c>
      <c r="T1789" s="16" t="s">
        <v>89</v>
      </c>
      <c r="U1789" s="11" t="str">
        <f>_xlfn.XLOOKUP(Customer[[#This Row],[Customer ID]],[1]!Address[ID],[1]!Address[Phone No.(2)])</f>
        <v/>
      </c>
      <c r="V1789" s="11" t="str">
        <f>_xlfn.XLOOKUP(Customer[[#This Row],[Customer ID]],[1]!Address[ID],[1]!Address[Type])</f>
        <v>SOCMED</v>
      </c>
      <c r="W1789" s="11" t="str">
        <f>_xlfn.XLOOKUP(Customer[[#This Row],[Customer ID]],[1]!Address[ID],[1]!Address[CT])</f>
        <v/>
      </c>
      <c r="X1789" s="11"/>
      <c r="Y1789" s="17" t="s">
        <v>90</v>
      </c>
      <c r="Z1789" s="17" t="e">
        <f>_xlfn.XLOOKUP(Customer[[#This Row],[NewType]],$AF$36:$AF$54,$AG$36:$AG$54)</f>
        <v>#N/A</v>
      </c>
      <c r="AA1789" s="17" t="s">
        <v>11242</v>
      </c>
      <c r="AB1789" s="11" t="str">
        <f>_xlfn.XLOOKUP(Customer[[#This Row],[Customer ID]],[1]!Address[ID],[1]!Address[Subtype])</f>
        <v>ONLINE ROS</v>
      </c>
      <c r="AC1789" s="18" t="str">
        <f>_xlfn.XLOOKUP(Customer[[#This Row],[Customer ID]],[1]!Address[ID],[1]!Address[Zone])</f>
        <v>SOUTH</v>
      </c>
    </row>
    <row r="1790" spans="1:30" x14ac:dyDescent="0.3">
      <c r="A1790" s="10" t="s">
        <v>11243</v>
      </c>
      <c r="B1790" s="11" t="str">
        <f>_xlfn.XLOOKUP(Customer[[#This Row],[Customer ID]],[1]!Name[ID],[1]!Name[Description(1)])</f>
        <v>UPEN-NURUL NATHASYA MOKHTAR</v>
      </c>
      <c r="C1790" s="11" t="str">
        <f>_xlfn.XLOOKUP(Customer[[#This Row],[Customer ID]],[1]!Name[ID],[1]!Name[Description(2)])</f>
        <v/>
      </c>
      <c r="D1790" s="11" t="str">
        <f>_xlfn.XLOOKUP(Customer[[#This Row],[Customer ID]],[1]!Address[ID],[1]!Address[PIC])</f>
        <v/>
      </c>
      <c r="E1790" s="11" t="str">
        <f>_xlfn.XLOOKUP(Customer[[#This Row],[Customer ID]],[1]!Address[ID],[1]!Address[Full Address])</f>
        <v>NO 982, JLN S2 D26,GARDEN CITY HOMES,70300 SEREMBAN,NEGERI SEMBILAN</v>
      </c>
      <c r="F1790" s="12" t="s">
        <v>11244</v>
      </c>
      <c r="G1790" s="12" t="s">
        <v>11245</v>
      </c>
      <c r="H1790" s="24" t="s">
        <v>2411</v>
      </c>
      <c r="I1790" s="24" t="b">
        <f>ISNUMBER(VALUE(LEFT(Customer[[#This Row],[Address Line 3 (30 char)]],1)))</f>
        <v>0</v>
      </c>
      <c r="J1790" s="12" t="s">
        <v>203</v>
      </c>
      <c r="K1790" s="12">
        <v>70300</v>
      </c>
      <c r="L1790" s="12" t="s">
        <v>35</v>
      </c>
      <c r="M1790" s="13" t="e">
        <v>#N/A</v>
      </c>
      <c r="N1790" s="14" t="e">
        <v>#N/A</v>
      </c>
      <c r="O1790" s="14" t="e">
        <v>#N/A</v>
      </c>
      <c r="P1790" s="14" t="e">
        <v>#N/A</v>
      </c>
      <c r="Q1790" s="14" t="e">
        <v>#N/A</v>
      </c>
      <c r="R1790" s="15" t="s">
        <v>11246</v>
      </c>
      <c r="S1790" s="15" t="s">
        <v>6418</v>
      </c>
      <c r="T1790" s="16" t="s">
        <v>3477</v>
      </c>
      <c r="U1790" s="11" t="str">
        <f>_xlfn.XLOOKUP(Customer[[#This Row],[Customer ID]],[1]!Address[ID],[1]!Address[Phone No.(2)])</f>
        <v/>
      </c>
      <c r="V1790" s="11" t="str">
        <f>_xlfn.XLOOKUP(Customer[[#This Row],[Customer ID]],[1]!Address[ID],[1]!Address[Type])</f>
        <v>CORPORATE</v>
      </c>
      <c r="W1790" s="11" t="str">
        <f>_xlfn.XLOOKUP(Customer[[#This Row],[Customer ID]],[1]!Address[ID],[1]!Address[CT])</f>
        <v>CASH</v>
      </c>
      <c r="X1790" s="11"/>
      <c r="Y1790" s="17" t="s">
        <v>6418</v>
      </c>
      <c r="Z1790" s="17" t="e">
        <f>_xlfn.XLOOKUP(Customer[[#This Row],[NewType]],$AF$36:$AF$54,$AG$36:$AG$54)</f>
        <v>#N/A</v>
      </c>
      <c r="AA1790" s="17" t="s">
        <v>11247</v>
      </c>
      <c r="AB1790" s="11" t="str">
        <f>_xlfn.XLOOKUP(Customer[[#This Row],[Customer ID]],[1]!Address[ID],[1]!Address[Subtype])</f>
        <v>UPEN</v>
      </c>
      <c r="AC1790" s="18" t="str">
        <f>_xlfn.XLOOKUP(Customer[[#This Row],[Customer ID]],[1]!Address[ID],[1]!Address[Zone])</f>
        <v>CENTRAL</v>
      </c>
    </row>
    <row r="1791" spans="1:30" x14ac:dyDescent="0.3">
      <c r="A1791" s="10" t="s">
        <v>11248</v>
      </c>
      <c r="B1791" s="11" t="str">
        <f>_xlfn.XLOOKUP(Customer[[#This Row],[Customer ID]],[1]!Name[ID],[1]!Name[Description(1)])</f>
        <v>FARMASI ELAIS KETENGAH JAYA</v>
      </c>
      <c r="C1791" s="11" t="str">
        <f>_xlfn.XLOOKUP(Customer[[#This Row],[Customer ID]],[1]!Name[ID],[1]!Name[Description(2)])</f>
        <v>AF PHARMA ENTERPRISE</v>
      </c>
      <c r="D1791" s="11" t="str">
        <f>_xlfn.XLOOKUP(Customer[[#This Row],[Customer ID]],[1]!Address[ID],[1]!Address[PIC])</f>
        <v/>
      </c>
      <c r="E1791" s="11" t="str">
        <f>_xlfn.XLOOKUP(Customer[[#This Row],[Customer ID]],[1]!Address[ID],[1]!Address[Full Address])</f>
        <v>K-028(A) JALAN BESAR KETENGAH JAYA,23300 DUNGUN, TERENGGANU</v>
      </c>
      <c r="F1791" s="12" t="s">
        <v>11249</v>
      </c>
      <c r="G1791" s="12" t="s">
        <v>11250</v>
      </c>
      <c r="H1791" s="12" t="s">
        <v>1553</v>
      </c>
      <c r="I1791" s="12" t="b">
        <f>ISNUMBER(VALUE(LEFT(Customer[[#This Row],[Address Line 3 (30 char)]],1)))</f>
        <v>0</v>
      </c>
      <c r="J1791" s="12" t="s">
        <v>1056</v>
      </c>
      <c r="K1791" s="12">
        <v>23300</v>
      </c>
      <c r="L1791" s="12" t="s">
        <v>35</v>
      </c>
      <c r="M1791" s="13" t="e">
        <v>#N/A</v>
      </c>
      <c r="N1791" s="14" t="e">
        <v>#N/A</v>
      </c>
      <c r="O1791" s="14" t="e">
        <v>#N/A</v>
      </c>
      <c r="P1791" s="14" t="e">
        <v>#N/A</v>
      </c>
      <c r="Q1791" s="14" t="e">
        <v>#N/A</v>
      </c>
      <c r="R1791" s="15" t="s">
        <v>11251</v>
      </c>
      <c r="S1791" s="15" t="s">
        <v>88</v>
      </c>
      <c r="T1791" s="16" t="s">
        <v>89</v>
      </c>
      <c r="U1791" s="11" t="str">
        <f>_xlfn.XLOOKUP(Customer[[#This Row],[Customer ID]],[1]!Address[ID],[1]!Address[Phone No.(2)])</f>
        <v/>
      </c>
      <c r="V1791" s="11" t="str">
        <f>_xlfn.XLOOKUP(Customer[[#This Row],[Customer ID]],[1]!Address[ID],[1]!Address[Type])</f>
        <v>SOCMED</v>
      </c>
      <c r="W1791" s="11" t="str">
        <f>_xlfn.XLOOKUP(Customer[[#This Row],[Customer ID]],[1]!Address[ID],[1]!Address[CT])</f>
        <v/>
      </c>
      <c r="X1791" s="11"/>
      <c r="Y1791" s="17" t="s">
        <v>90</v>
      </c>
      <c r="Z1791" s="17" t="e">
        <f>_xlfn.XLOOKUP(Customer[[#This Row],[NewType]],$AF$36:$AF$54,$AG$36:$AG$54)</f>
        <v>#N/A</v>
      </c>
      <c r="AA1791" s="17" t="s">
        <v>11252</v>
      </c>
      <c r="AB1791" s="11" t="str">
        <f>_xlfn.XLOOKUP(Customer[[#This Row],[Customer ID]],[1]!Address[ID],[1]!Address[Subtype])</f>
        <v>ONLINE ROS</v>
      </c>
      <c r="AC1791" s="18" t="str">
        <f>_xlfn.XLOOKUP(Customer[[#This Row],[Customer ID]],[1]!Address[ID],[1]!Address[Zone])</f>
        <v>EAST COAST</v>
      </c>
    </row>
    <row r="1792" spans="1:30" x14ac:dyDescent="0.3">
      <c r="A1792" s="72" t="s">
        <v>11253</v>
      </c>
      <c r="B1792" s="11" t="str">
        <f>_xlfn.XLOOKUP(Customer[[#This Row],[Customer ID]],[1]!Name[ID],[1]!Name[Description(1)])</f>
        <v>HAFIZAH KAMAROZAMAN - MIDA</v>
      </c>
      <c r="C1792" s="68" t="str">
        <f>_xlfn.XLOOKUP(Customer[[#This Row],[Customer ID]],[1]!Name[ID],[1]!Name[Description(2)])</f>
        <v/>
      </c>
      <c r="D1792" s="68" t="str">
        <f>_xlfn.XLOOKUP(Customer[[#This Row],[Customer ID]],[1]!Address[ID],[1]!Address[PIC])</f>
        <v/>
      </c>
      <c r="E1792" s="11" t="str">
        <f>_xlfn.XLOOKUP(Customer[[#This Row],[Customer ID]],[1]!Address[ID],[1]!Address[Full Address])</f>
        <v>NO 164 JALAN AMAN,TAMAN DATO' SHAHBANDAR, AMPANGAN70400 SEREMBAN NSDK</v>
      </c>
      <c r="F1792" s="63" t="s">
        <v>11254</v>
      </c>
      <c r="G1792" s="63" t="s">
        <v>11255</v>
      </c>
      <c r="H1792" s="64" t="s">
        <v>2411</v>
      </c>
      <c r="I1792" s="64" t="b">
        <f>ISNUMBER(VALUE(LEFT(Customer[[#This Row],[Address Line 3 (30 char)]],1)))</f>
        <v>0</v>
      </c>
      <c r="J1792" s="63" t="s">
        <v>203</v>
      </c>
      <c r="K1792" s="63">
        <v>70400</v>
      </c>
      <c r="L1792" s="63" t="s">
        <v>35</v>
      </c>
      <c r="M1792" s="65" t="e">
        <v>#N/A</v>
      </c>
      <c r="N1792" s="66" t="e">
        <v>#N/A</v>
      </c>
      <c r="O1792" s="66" t="e">
        <v>#N/A</v>
      </c>
      <c r="P1792" s="66" t="e">
        <v>#N/A</v>
      </c>
      <c r="Q1792" s="66" t="e">
        <v>#N/A</v>
      </c>
      <c r="R1792" s="67" t="s">
        <v>11256</v>
      </c>
      <c r="S1792" s="15" t="s">
        <v>6418</v>
      </c>
      <c r="T1792" s="16" t="s">
        <v>7974</v>
      </c>
      <c r="U1792" s="68" t="str">
        <f>_xlfn.XLOOKUP(Customer[[#This Row],[Customer ID]],[1]!Address[ID],[1]!Address[Phone No.(2)])</f>
        <v/>
      </c>
      <c r="V1792" s="68" t="str">
        <f>_xlfn.XLOOKUP(Customer[[#This Row],[Customer ID]],[1]!Address[ID],[1]!Address[Type])</f>
        <v>SOCMED</v>
      </c>
      <c r="W1792" s="68" t="str">
        <f>_xlfn.XLOOKUP(Customer[[#This Row],[Customer ID]],[1]!Address[ID],[1]!Address[CT])</f>
        <v/>
      </c>
      <c r="X1792" s="68"/>
      <c r="Y1792" s="69" t="s">
        <v>90</v>
      </c>
      <c r="Z1792" s="69" t="e">
        <f>_xlfn.XLOOKUP(Customer[[#This Row],[NewType]],$AF$36:$AF$54,$AG$36:$AG$54)</f>
        <v>#N/A</v>
      </c>
      <c r="AA1792" s="69" t="s">
        <v>11257</v>
      </c>
      <c r="AB1792" s="68" t="str">
        <f>_xlfn.XLOOKUP(Customer[[#This Row],[Customer ID]],[1]!Address[ID],[1]!Address[Subtype])</f>
        <v>WHATSAPP</v>
      </c>
      <c r="AC1792" s="70" t="str">
        <f>_xlfn.XLOOKUP(Customer[[#This Row],[Customer ID]],[1]!Address[ID],[1]!Address[Zone])</f>
        <v>AEEDH</v>
      </c>
      <c r="AD1792" s="71"/>
    </row>
    <row r="1793" spans="1:30" x14ac:dyDescent="0.3">
      <c r="A1793" s="10" t="s">
        <v>11258</v>
      </c>
      <c r="B1793" s="11" t="str">
        <f>_xlfn.XLOOKUP(Customer[[#This Row],[Customer ID]],[1]!Name[ID],[1]!Name[Description(1)])</f>
        <v>SHELL DZIYALITE RESOURCES</v>
      </c>
      <c r="C1793" s="11" t="str">
        <f>_xlfn.XLOOKUP(Customer[[#This Row],[Customer ID]],[1]!Name[ID],[1]!Name[Description(2)])</f>
        <v/>
      </c>
      <c r="D1793" s="11" t="str">
        <f>_xlfn.XLOOKUP(Customer[[#This Row],[Customer ID]],[1]!Address[ID],[1]!Address[PIC])</f>
        <v/>
      </c>
      <c r="E1793" s="11" t="str">
        <f>_xlfn.XLOOKUP(Customer[[#This Row],[Customer ID]],[1]!Address[ID],[1]!Address[Full Address])</f>
        <v>KM46.60 KESAS HIGHWAYKAWASAN REHAT DAN RAWAT KINRARA58200 KL</v>
      </c>
      <c r="F1793" s="12" t="s">
        <v>11259</v>
      </c>
      <c r="G1793" s="12" t="s">
        <v>11260</v>
      </c>
      <c r="H1793" s="24"/>
      <c r="I1793" s="24" t="b">
        <f>ISNUMBER(VALUE(LEFT(Customer[[#This Row],[Address Line 3 (30 char)]],1)))</f>
        <v>0</v>
      </c>
      <c r="J1793" s="12" t="s">
        <v>34</v>
      </c>
      <c r="K1793" s="12">
        <v>58200</v>
      </c>
      <c r="L1793" s="12" t="s">
        <v>35</v>
      </c>
      <c r="M1793" s="13" t="e">
        <v>#N/A</v>
      </c>
      <c r="N1793" s="14" t="e">
        <v>#N/A</v>
      </c>
      <c r="O1793" s="14" t="e">
        <v>#N/A</v>
      </c>
      <c r="P1793" s="14" t="e">
        <v>#N/A</v>
      </c>
      <c r="Q1793" s="19" t="s">
        <v>11261</v>
      </c>
      <c r="R1793" s="15" t="s">
        <v>11262</v>
      </c>
      <c r="S1793" s="15" t="s">
        <v>37</v>
      </c>
      <c r="T1793" s="16" t="s">
        <v>38</v>
      </c>
      <c r="U1793" s="11" t="str">
        <f>_xlfn.XLOOKUP(Customer[[#This Row],[Customer ID]],[1]!Address[ID],[1]!Address[Phone No.(2)])</f>
        <v/>
      </c>
      <c r="V1793" s="11" t="str">
        <f>_xlfn.XLOOKUP(Customer[[#This Row],[Customer ID]],[1]!Address[ID],[1]!Address[Type])</f>
        <v>PETROMART</v>
      </c>
      <c r="W1793" s="11" t="str">
        <f>_xlfn.XLOOKUP(Customer[[#This Row],[Customer ID]],[1]!Address[ID],[1]!Address[CT])</f>
        <v>30</v>
      </c>
      <c r="X1793" s="11" t="s">
        <v>39</v>
      </c>
      <c r="Y1793" s="17" t="s">
        <v>40</v>
      </c>
      <c r="Z1793" s="17" t="e">
        <f>_xlfn.XLOOKUP(Customer[[#This Row],[NewType]],$AF$36:$AF$54,$AG$36:$AG$54)</f>
        <v>#N/A</v>
      </c>
      <c r="AA1793" s="17" t="s">
        <v>11263</v>
      </c>
      <c r="AB1793" s="11" t="str">
        <f>_xlfn.XLOOKUP(Customer[[#This Row],[Customer ID]],[1]!Address[ID],[1]!Address[Subtype])</f>
        <v>SHELL</v>
      </c>
      <c r="AC1793" s="18" t="str">
        <f>_xlfn.XLOOKUP(Customer[[#This Row],[Customer ID]],[1]!Address[ID],[1]!Address[Zone])</f>
        <v>CENTRAL</v>
      </c>
    </row>
    <row r="1794" spans="1:30" x14ac:dyDescent="0.3">
      <c r="A1794" s="10" t="s">
        <v>11264</v>
      </c>
      <c r="B1794" s="11" t="str">
        <f>_xlfn.XLOOKUP(Customer[[#This Row],[Customer ID]],[1]!Name[ID],[1]!Name[Description(1)])</f>
        <v>FARMASI SOFFANA</v>
      </c>
      <c r="C1794" s="11" t="str">
        <f>_xlfn.XLOOKUP(Customer[[#This Row],[Customer ID]],[1]!Name[ID],[1]!Name[Description(2)])</f>
        <v/>
      </c>
      <c r="D1794" s="11" t="str">
        <f>_xlfn.XLOOKUP(Customer[[#This Row],[Customer ID]],[1]!Address[ID],[1]!Address[PIC])</f>
        <v/>
      </c>
      <c r="E1794" s="11" t="str">
        <f>_xlfn.XLOOKUP(Customer[[#This Row],[Customer ID]],[1]!Address[ID],[1]!Address[Full Address])</f>
        <v>NO 7, LORONG PK 7, KAWASAN PERUSAHAANKAMUNTING 34600 KAMUNTING, PERAK</v>
      </c>
      <c r="F1794" s="12" t="s">
        <v>11265</v>
      </c>
      <c r="G1794" s="12" t="s">
        <v>11266</v>
      </c>
      <c r="H1794" s="12" t="s">
        <v>1363</v>
      </c>
      <c r="I1794" s="12" t="b">
        <f>ISNUMBER(VALUE(LEFT(Customer[[#This Row],[Address Line 3 (30 char)]],1)))</f>
        <v>0</v>
      </c>
      <c r="J1794" s="12" t="s">
        <v>242</v>
      </c>
      <c r="K1794" s="12">
        <v>34600</v>
      </c>
      <c r="L1794" s="12" t="s">
        <v>35</v>
      </c>
      <c r="M1794" s="13" t="e">
        <v>#N/A</v>
      </c>
      <c r="N1794" s="14" t="e">
        <v>#N/A</v>
      </c>
      <c r="O1794" s="14" t="e">
        <v>#N/A</v>
      </c>
      <c r="P1794" s="14" t="e">
        <v>#N/A</v>
      </c>
      <c r="Q1794" s="14" t="e">
        <v>#N/A</v>
      </c>
      <c r="R1794" s="15" t="s">
        <v>11267</v>
      </c>
      <c r="S1794" s="15" t="s">
        <v>88</v>
      </c>
      <c r="T1794" s="16" t="s">
        <v>89</v>
      </c>
      <c r="U1794" s="11" t="str">
        <f>_xlfn.XLOOKUP(Customer[[#This Row],[Customer ID]],[1]!Address[ID],[1]!Address[Phone No.(2)])</f>
        <v/>
      </c>
      <c r="V1794" s="11" t="str">
        <f>_xlfn.XLOOKUP(Customer[[#This Row],[Customer ID]],[1]!Address[ID],[1]!Address[Type])</f>
        <v>SOCMED</v>
      </c>
      <c r="W1794" s="11" t="str">
        <f>_xlfn.XLOOKUP(Customer[[#This Row],[Customer ID]],[1]!Address[ID],[1]!Address[CT])</f>
        <v/>
      </c>
      <c r="X1794" s="11"/>
      <c r="Y1794" s="17" t="s">
        <v>90</v>
      </c>
      <c r="Z1794" s="17" t="e">
        <f>_xlfn.XLOOKUP(Customer[[#This Row],[NewType]],$AF$36:$AF$54,$AG$36:$AG$54)</f>
        <v>#N/A</v>
      </c>
      <c r="AA1794" s="17" t="s">
        <v>11268</v>
      </c>
      <c r="AB1794" s="11" t="str">
        <f>_xlfn.XLOOKUP(Customer[[#This Row],[Customer ID]],[1]!Address[ID],[1]!Address[Subtype])</f>
        <v>ONLINE ROS</v>
      </c>
      <c r="AC1794" s="18" t="str">
        <f>_xlfn.XLOOKUP(Customer[[#This Row],[Customer ID]],[1]!Address[ID],[1]!Address[Zone])</f>
        <v>NORTH</v>
      </c>
    </row>
    <row r="1795" spans="1:30" x14ac:dyDescent="0.3">
      <c r="A1795" s="10" t="s">
        <v>11269</v>
      </c>
      <c r="B1795" s="11" t="str">
        <f>_xlfn.XLOOKUP(Customer[[#This Row],[Customer ID]],[1]!Name[ID],[1]!Name[Description(1)])</f>
        <v>FARMASI LANGKAP</v>
      </c>
      <c r="C1795" s="11" t="str">
        <f>_xlfn.XLOOKUP(Customer[[#This Row],[Customer ID]],[1]!Name[ID],[1]!Name[Description(2)])</f>
        <v/>
      </c>
      <c r="D1795" s="11" t="str">
        <f>_xlfn.XLOOKUP(Customer[[#This Row],[Customer ID]],[1]!Address[ID],[1]!Address[PIC])</f>
        <v/>
      </c>
      <c r="E1795" s="11" t="str">
        <f>_xlfn.XLOOKUP(Customer[[#This Row],[Customer ID]],[1]!Address[ID],[1]!Address[Full Address])</f>
        <v>PT2676, TAMAN BARU, JALAN KAMPAR,31900 KAMPAR, PERAK</v>
      </c>
      <c r="F1795" s="12" t="s">
        <v>11270</v>
      </c>
      <c r="G1795" s="12" t="s">
        <v>11271</v>
      </c>
      <c r="H1795" s="12" t="s">
        <v>2579</v>
      </c>
      <c r="I1795" s="12" t="b">
        <f>ISNUMBER(VALUE(LEFT(Customer[[#This Row],[Address Line 3 (30 char)]],1)))</f>
        <v>0</v>
      </c>
      <c r="J1795" s="12" t="s">
        <v>242</v>
      </c>
      <c r="K1795" s="12">
        <v>31900</v>
      </c>
      <c r="L1795" s="12" t="s">
        <v>35</v>
      </c>
      <c r="M1795" s="13" t="e">
        <v>#N/A</v>
      </c>
      <c r="N1795" s="14" t="e">
        <v>#N/A</v>
      </c>
      <c r="O1795" s="14" t="e">
        <v>#N/A</v>
      </c>
      <c r="P1795" s="14" t="e">
        <v>#N/A</v>
      </c>
      <c r="Q1795" s="14" t="e">
        <v>#N/A</v>
      </c>
      <c r="R1795" s="15" t="s">
        <v>11272</v>
      </c>
      <c r="S1795" s="15" t="s">
        <v>88</v>
      </c>
      <c r="T1795" s="16" t="s">
        <v>89</v>
      </c>
      <c r="U1795" s="11" t="str">
        <f>_xlfn.XLOOKUP(Customer[[#This Row],[Customer ID]],[1]!Address[ID],[1]!Address[Phone No.(2)])</f>
        <v/>
      </c>
      <c r="V1795" s="11" t="str">
        <f>_xlfn.XLOOKUP(Customer[[#This Row],[Customer ID]],[1]!Address[ID],[1]!Address[Type])</f>
        <v>SOCMED</v>
      </c>
      <c r="W1795" s="11" t="str">
        <f>_xlfn.XLOOKUP(Customer[[#This Row],[Customer ID]],[1]!Address[ID],[1]!Address[CT])</f>
        <v/>
      </c>
      <c r="X1795" s="11"/>
      <c r="Y1795" s="17" t="s">
        <v>90</v>
      </c>
      <c r="Z1795" s="17" t="e">
        <f>_xlfn.XLOOKUP(Customer[[#This Row],[NewType]],$AF$36:$AF$54,$AG$36:$AG$54)</f>
        <v>#N/A</v>
      </c>
      <c r="AA1795" s="17" t="s">
        <v>11273</v>
      </c>
      <c r="AB1795" s="11" t="str">
        <f>_xlfn.XLOOKUP(Customer[[#This Row],[Customer ID]],[1]!Address[ID],[1]!Address[Subtype])</f>
        <v>ONLINE ROS</v>
      </c>
      <c r="AC1795" s="18" t="str">
        <f>_xlfn.XLOOKUP(Customer[[#This Row],[Customer ID]],[1]!Address[ID],[1]!Address[Zone])</f>
        <v>NORTH</v>
      </c>
    </row>
    <row r="1796" spans="1:30" x14ac:dyDescent="0.3">
      <c r="A1796" s="10" t="s">
        <v>11274</v>
      </c>
      <c r="B1796" s="11" t="str">
        <f>_xlfn.XLOOKUP(Customer[[#This Row],[Customer ID]],[1]!Name[ID],[1]!Name[Description(1)])</f>
        <v>KEDAI TINGTONG LEPAR HILIR TRADING</v>
      </c>
      <c r="C1796" s="11" t="str">
        <f>_xlfn.XLOOKUP(Customer[[#This Row],[Customer ID]],[1]!Name[ID],[1]!Name[Description(2)])</f>
        <v/>
      </c>
      <c r="D1796" s="11" t="str">
        <f>_xlfn.XLOOKUP(Customer[[#This Row],[Customer ID]],[1]!Address[ID],[1]!Address[PIC])</f>
        <v/>
      </c>
      <c r="E1796" s="11" t="str">
        <f>_xlfn.XLOOKUP(Customer[[#This Row],[Customer ID]],[1]!Address[ID],[1]!Address[Full Address])</f>
        <v>C GERAI JKKR LEPAR HILIR 1,26300 GAMBANG, PAHANG</v>
      </c>
      <c r="F1796" s="12" t="s">
        <v>11275</v>
      </c>
      <c r="G1796" s="12" t="s">
        <v>11276</v>
      </c>
      <c r="H1796" s="12" t="s">
        <v>36</v>
      </c>
      <c r="I1796" s="12" t="b">
        <f>ISNUMBER(VALUE(LEFT(Customer[[#This Row],[Address Line 3 (30 char)]],1)))</f>
        <v>0</v>
      </c>
      <c r="J1796" s="12" t="s">
        <v>339</v>
      </c>
      <c r="K1796" s="12">
        <v>26300</v>
      </c>
      <c r="L1796" s="12" t="s">
        <v>35</v>
      </c>
      <c r="M1796" s="13" t="e">
        <v>#N/A</v>
      </c>
      <c r="N1796" s="14" t="e">
        <v>#N/A</v>
      </c>
      <c r="O1796" s="14" t="e">
        <v>#N/A</v>
      </c>
      <c r="P1796" s="14" t="e">
        <v>#N/A</v>
      </c>
      <c r="Q1796" s="14" t="e">
        <v>#N/A</v>
      </c>
      <c r="R1796" s="15" t="s">
        <v>11277</v>
      </c>
      <c r="S1796" s="15" t="s">
        <v>88</v>
      </c>
      <c r="T1796" s="16" t="s">
        <v>89</v>
      </c>
      <c r="U1796" s="11" t="str">
        <f>_xlfn.XLOOKUP(Customer[[#This Row],[Customer ID]],[1]!Address[ID],[1]!Address[Phone No.(2)])</f>
        <v/>
      </c>
      <c r="V1796" s="11" t="str">
        <f>_xlfn.XLOOKUP(Customer[[#This Row],[Customer ID]],[1]!Address[ID],[1]!Address[Type])</f>
        <v>SOCMED</v>
      </c>
      <c r="W1796" s="11" t="str">
        <f>_xlfn.XLOOKUP(Customer[[#This Row],[Customer ID]],[1]!Address[ID],[1]!Address[CT])</f>
        <v/>
      </c>
      <c r="X1796" s="11"/>
      <c r="Y1796" s="17" t="s">
        <v>90</v>
      </c>
      <c r="Z1796" s="17" t="e">
        <f>_xlfn.XLOOKUP(Customer[[#This Row],[NewType]],$AF$36:$AF$54,$AG$36:$AG$54)</f>
        <v>#N/A</v>
      </c>
      <c r="AA1796" s="17" t="s">
        <v>11278</v>
      </c>
      <c r="AB1796" s="11" t="str">
        <f>_xlfn.XLOOKUP(Customer[[#This Row],[Customer ID]],[1]!Address[ID],[1]!Address[Subtype])</f>
        <v>ONLINE ROS</v>
      </c>
      <c r="AC1796" s="18" t="str">
        <f>_xlfn.XLOOKUP(Customer[[#This Row],[Customer ID]],[1]!Address[ID],[1]!Address[Zone])</f>
        <v>EEEDH</v>
      </c>
    </row>
    <row r="1797" spans="1:30" x14ac:dyDescent="0.3">
      <c r="A1797" s="10" t="s">
        <v>11279</v>
      </c>
      <c r="B1797" s="11" t="str">
        <f>_xlfn.XLOOKUP(Customer[[#This Row],[Customer ID]],[1]!Name[ID],[1]!Name[Description(1)])</f>
        <v>ALDE ALL STAR SDN BHD</v>
      </c>
      <c r="C1797" s="11" t="str">
        <f>_xlfn.XLOOKUP(Customer[[#This Row],[Customer ID]],[1]!Name[ID],[1]!Name[Description(2)])</f>
        <v/>
      </c>
      <c r="D1797" s="11" t="str">
        <f>_xlfn.XLOOKUP(Customer[[#This Row],[Customer ID]],[1]!Address[ID],[1]!Address[PIC])</f>
        <v/>
      </c>
      <c r="E1797" s="11" t="str">
        <f>_xlfn.XLOOKUP(Customer[[#This Row],[Customer ID]],[1]!Address[ID],[1]!Address[Full Address])</f>
        <v>FARMASI ALDE, NO.30, JALAN SRI QASEHPERMAI, DESA SRI QASEH 43900SEPANG, SELANGOR</v>
      </c>
      <c r="F1797" s="12" t="s">
        <v>11280</v>
      </c>
      <c r="G1797" s="12" t="s">
        <v>11281</v>
      </c>
      <c r="H1797" s="12" t="s">
        <v>11282</v>
      </c>
      <c r="I1797" s="12" t="b">
        <f>ISNUMBER(VALUE(LEFT(Customer[[#This Row],[Address Line 3 (30 char)]],1)))</f>
        <v>0</v>
      </c>
      <c r="J1797" s="12" t="s">
        <v>172</v>
      </c>
      <c r="K1797" s="12">
        <v>43900</v>
      </c>
      <c r="L1797" s="12" t="s">
        <v>35</v>
      </c>
      <c r="M1797" s="13" t="e">
        <v>#N/A</v>
      </c>
      <c r="N1797" s="14" t="e">
        <v>#N/A</v>
      </c>
      <c r="O1797" s="14" t="e">
        <v>#N/A</v>
      </c>
      <c r="P1797" s="14" t="e">
        <v>#N/A</v>
      </c>
      <c r="Q1797" s="14" t="e">
        <v>#N/A</v>
      </c>
      <c r="R1797" s="15" t="s">
        <v>11283</v>
      </c>
      <c r="S1797" s="15" t="s">
        <v>88</v>
      </c>
      <c r="T1797" s="16" t="s">
        <v>89</v>
      </c>
      <c r="U1797" s="11" t="str">
        <f>_xlfn.XLOOKUP(Customer[[#This Row],[Customer ID]],[1]!Address[ID],[1]!Address[Phone No.(2)])</f>
        <v/>
      </c>
      <c r="V1797" s="11" t="str">
        <f>_xlfn.XLOOKUP(Customer[[#This Row],[Customer ID]],[1]!Address[ID],[1]!Address[Type])</f>
        <v>SOCMED</v>
      </c>
      <c r="W1797" s="11" t="str">
        <f>_xlfn.XLOOKUP(Customer[[#This Row],[Customer ID]],[1]!Address[ID],[1]!Address[CT])</f>
        <v/>
      </c>
      <c r="X1797" s="11"/>
      <c r="Y1797" s="17" t="s">
        <v>90</v>
      </c>
      <c r="Z1797" s="17" t="e">
        <f>_xlfn.XLOOKUP(Customer[[#This Row],[NewType]],$AF$36:$AF$54,$AG$36:$AG$54)</f>
        <v>#N/A</v>
      </c>
      <c r="AA1797" s="17" t="s">
        <v>11284</v>
      </c>
      <c r="AB1797" s="11" t="str">
        <f>_xlfn.XLOOKUP(Customer[[#This Row],[Customer ID]],[1]!Address[ID],[1]!Address[Subtype])</f>
        <v>ONLINE ROS</v>
      </c>
      <c r="AC1797" s="18" t="str">
        <f>_xlfn.XLOOKUP(Customer[[#This Row],[Customer ID]],[1]!Address[ID],[1]!Address[Zone])</f>
        <v>SOUTH</v>
      </c>
    </row>
    <row r="1798" spans="1:30" x14ac:dyDescent="0.3">
      <c r="A1798" s="72" t="s">
        <v>11285</v>
      </c>
      <c r="B1798" s="68" t="str">
        <f>_xlfn.XLOOKUP(Customer[[#This Row],[Customer ID]],[1]!Name[ID],[1]!Name[Description(1)])</f>
        <v>NUR PHARMACY</v>
      </c>
      <c r="C1798" s="68" t="str">
        <f>_xlfn.XLOOKUP(Customer[[#This Row],[Customer ID]],[1]!Name[ID],[1]!Name[Description(2)])</f>
        <v/>
      </c>
      <c r="D1798" s="68" t="str">
        <f>_xlfn.XLOOKUP(Customer[[#This Row],[Customer ID]],[1]!Address[ID],[1]!Address[PIC])</f>
        <v/>
      </c>
      <c r="E1798" s="11" t="str">
        <f>_xlfn.XLOOKUP(Customer[[#This Row],[Customer ID]],[1]!Address[ID],[1]!Address[Full Address])</f>
        <v>GENKI PHARMA SDN BHDNO. 306, GROUND FLOOR, JLN JALAI JAYA1/6/1, TMN JALAI JAYA, 06200 KEPALABATAS, KEDAH</v>
      </c>
      <c r="F1798" s="63" t="s">
        <v>11286</v>
      </c>
      <c r="G1798" s="63" t="s">
        <v>11287</v>
      </c>
      <c r="H1798" s="64" t="s">
        <v>11288</v>
      </c>
      <c r="I1798" s="64" t="b">
        <f>ISNUMBER(VALUE(LEFT(Customer[[#This Row],[Address Line 3 (30 char)]],1)))</f>
        <v>1</v>
      </c>
      <c r="J1798" s="63" t="s">
        <v>79</v>
      </c>
      <c r="K1798" s="75" t="s">
        <v>7224</v>
      </c>
      <c r="L1798" s="63" t="s">
        <v>35</v>
      </c>
      <c r="M1798" s="65" t="e">
        <v>#N/A</v>
      </c>
      <c r="N1798" s="66" t="e">
        <v>#N/A</v>
      </c>
      <c r="O1798" s="66" t="e">
        <v>#N/A</v>
      </c>
      <c r="P1798" s="66" t="e">
        <v>#N/A</v>
      </c>
      <c r="Q1798" s="66" t="e">
        <v>#N/A</v>
      </c>
      <c r="R1798" s="67" t="s">
        <v>11289</v>
      </c>
      <c r="S1798" s="67" t="s">
        <v>5934</v>
      </c>
      <c r="T1798" s="76"/>
      <c r="U1798" s="68" t="str">
        <f>_xlfn.XLOOKUP(Customer[[#This Row],[Customer ID]],[1]!Address[ID],[1]!Address[Phone No.(2)])</f>
        <v/>
      </c>
      <c r="V1798" s="68" t="str">
        <f>_xlfn.XLOOKUP(Customer[[#This Row],[Customer ID]],[1]!Address[ID],[1]!Address[Type])</f>
        <v>SOCMED</v>
      </c>
      <c r="W1798" s="68" t="str">
        <f>_xlfn.XLOOKUP(Customer[[#This Row],[Customer ID]],[1]!Address[ID],[1]!Address[CT])</f>
        <v/>
      </c>
      <c r="X1798" s="68"/>
      <c r="Y1798" s="69" t="s">
        <v>90</v>
      </c>
      <c r="Z1798" s="69" t="e">
        <f>_xlfn.XLOOKUP(Customer[[#This Row],[NewType]],$AF$36:$AF$54,$AG$36:$AG$54)</f>
        <v>#N/A</v>
      </c>
      <c r="AA1798" s="69" t="s">
        <v>11290</v>
      </c>
      <c r="AB1798" s="68" t="str">
        <f>_xlfn.XLOOKUP(Customer[[#This Row],[Customer ID]],[1]!Address[ID],[1]!Address[Subtype])</f>
        <v>ONLINE HAJAR</v>
      </c>
      <c r="AC1798" s="70" t="str">
        <f>_xlfn.XLOOKUP(Customer[[#This Row],[Customer ID]],[1]!Address[ID],[1]!Address[Zone])</f>
        <v>NORTH</v>
      </c>
      <c r="AD1798" s="71" t="s">
        <v>11291</v>
      </c>
    </row>
    <row r="1799" spans="1:30" x14ac:dyDescent="0.3">
      <c r="A1799" s="48" t="s">
        <v>11292</v>
      </c>
      <c r="B1799" s="49" t="str">
        <f>_xlfn.XLOOKUP(Customer[[#This Row],[Customer ID]],[1]!Name[ID],[1]!Name[Description(1)])</f>
        <v>SERI PHARMA SDN BHD</v>
      </c>
      <c r="C1799" s="11" t="str">
        <f>_xlfn.XLOOKUP(Customer[[#This Row],[Customer ID]],[1]!Name[ID],[1]!Name[Description(2)])</f>
        <v/>
      </c>
      <c r="D1799" s="11" t="str">
        <f>_xlfn.XLOOKUP(Customer[[#This Row],[Customer ID]],[1]!Address[ID],[1]!Address[PIC])</f>
        <v/>
      </c>
      <c r="E1799" s="11" t="str">
        <f>_xlfn.XLOOKUP(Customer[[#This Row],[Customer ID]],[1]!Address[ID],[1]!Address[Full Address])</f>
        <v>NO 6, 6A, JALAN PESERAI INDAH 1,TAMAN PESERAI INDAH 1, 83000 BATU PAHAT,JOHOR</v>
      </c>
      <c r="F1799" s="12" t="s">
        <v>11293</v>
      </c>
      <c r="G1799" s="12" t="s">
        <v>11294</v>
      </c>
      <c r="H1799" s="12" t="s">
        <v>4369</v>
      </c>
      <c r="I1799" s="12" t="b">
        <f>ISNUMBER(VALUE(LEFT(Customer[[#This Row],[Address Line 3 (30 char)]],1)))</f>
        <v>0</v>
      </c>
      <c r="J1799" s="12" t="s">
        <v>52</v>
      </c>
      <c r="K1799" s="12">
        <v>83000</v>
      </c>
      <c r="L1799" s="12" t="s">
        <v>35</v>
      </c>
      <c r="M1799" s="13" t="e">
        <v>#N/A</v>
      </c>
      <c r="N1799" s="14" t="e">
        <v>#N/A</v>
      </c>
      <c r="O1799" s="14" t="e">
        <v>#N/A</v>
      </c>
      <c r="P1799" s="14" t="e">
        <v>#N/A</v>
      </c>
      <c r="Q1799" s="14" t="e">
        <v>#N/A</v>
      </c>
      <c r="R1799" s="15" t="s">
        <v>11295</v>
      </c>
      <c r="S1799" s="15" t="s">
        <v>3212</v>
      </c>
      <c r="T1799" s="16" t="s">
        <v>89</v>
      </c>
      <c r="U1799" s="11" t="str">
        <f>_xlfn.XLOOKUP(Customer[[#This Row],[Customer ID]],[1]!Address[ID],[1]!Address[Phone No.(2)])</f>
        <v/>
      </c>
      <c r="V1799" s="11" t="str">
        <f>_xlfn.XLOOKUP(Customer[[#This Row],[Customer ID]],[1]!Address[ID],[1]!Address[Type])</f>
        <v>SOCMED</v>
      </c>
      <c r="W1799" s="11" t="str">
        <f>_xlfn.XLOOKUP(Customer[[#This Row],[Customer ID]],[1]!Address[ID],[1]!Address[CT])</f>
        <v/>
      </c>
      <c r="X1799" s="11"/>
      <c r="Y1799" s="17" t="s">
        <v>90</v>
      </c>
      <c r="Z1799" s="17" t="e">
        <f>_xlfn.XLOOKUP(Customer[[#This Row],[NewType]],$AF$36:$AF$54,$AG$36:$AG$54)</f>
        <v>#N/A</v>
      </c>
      <c r="AA1799" s="17" t="s">
        <v>11296</v>
      </c>
      <c r="AB1799" s="11" t="str">
        <f>_xlfn.XLOOKUP(Customer[[#This Row],[Customer ID]],[1]!Address[ID],[1]!Address[Subtype])</f>
        <v>ONLINE HAJAR</v>
      </c>
      <c r="AC1799" s="18" t="str">
        <f>_xlfn.XLOOKUP(Customer[[#This Row],[Customer ID]],[1]!Address[ID],[1]!Address[Zone])</f>
        <v>SOUTH</v>
      </c>
    </row>
    <row r="1800" spans="1:30" x14ac:dyDescent="0.3">
      <c r="A1800" s="27" t="s">
        <v>11297</v>
      </c>
      <c r="B1800" s="28" t="str">
        <f>_xlfn.XLOOKUP(Customer[[#This Row],[Customer ID]],[1]!Name[ID],[1]!Name[Description(1)])</f>
        <v>OSMAN JALANI BIN ABDUL HADI</v>
      </c>
      <c r="C1800" s="11" t="str">
        <f>_xlfn.XLOOKUP(Customer[[#This Row],[Customer ID]],[1]!Name[ID],[1]!Name[Description(2)])</f>
        <v>PS TOK RANDOK</v>
      </c>
      <c r="D1800" s="11" t="str">
        <f>_xlfn.XLOOKUP(Customer[[#This Row],[Customer ID]],[1]!Address[ID],[1]!Address[PIC])</f>
        <v/>
      </c>
      <c r="E1800" s="11" t="str">
        <f>_xlfn.XLOOKUP(Customer[[#This Row],[Customer ID]],[1]!Address[ID],[1]!Address[Full Address])</f>
        <v>PS TOK RANDOKLOT PT 6036 KAMPUNG TOK RANDOK,AJIL 21800 KUALA BERANGTERENGGANU</v>
      </c>
      <c r="F1800" s="12" t="s">
        <v>11298</v>
      </c>
      <c r="G1800" s="12" t="s">
        <v>11299</v>
      </c>
      <c r="H1800" s="12" t="s">
        <v>11300</v>
      </c>
      <c r="I1800" s="12" t="b">
        <f>ISNUMBER(VALUE(LEFT(Customer[[#This Row],[Address Line 3 (30 char)]],1)))</f>
        <v>0</v>
      </c>
      <c r="J1800" s="12" t="s">
        <v>1056</v>
      </c>
      <c r="K1800" s="12">
        <v>21800</v>
      </c>
      <c r="L1800" s="12" t="s">
        <v>35</v>
      </c>
      <c r="M1800" s="13">
        <v>201103211460</v>
      </c>
      <c r="N1800" s="14" t="e">
        <v>#N/A</v>
      </c>
      <c r="O1800" s="14" t="e">
        <v>#N/A</v>
      </c>
      <c r="P1800" s="14" t="e">
        <v>#N/A</v>
      </c>
      <c r="Q1800" s="19" t="s">
        <v>11301</v>
      </c>
      <c r="R1800" s="15" t="s">
        <v>11302</v>
      </c>
      <c r="S1800" s="15" t="s">
        <v>37</v>
      </c>
      <c r="T1800" s="16" t="s">
        <v>38</v>
      </c>
      <c r="U1800" s="11" t="str">
        <f>_xlfn.XLOOKUP(Customer[[#This Row],[Customer ID]],[1]!Address[ID],[1]!Address[Phone No.(2)])</f>
        <v/>
      </c>
      <c r="V1800" s="11" t="str">
        <f>_xlfn.XLOOKUP(Customer[[#This Row],[Customer ID]],[1]!Address[ID],[1]!Address[Type])</f>
        <v>PETROMART</v>
      </c>
      <c r="W1800" s="11" t="str">
        <f>_xlfn.XLOOKUP(Customer[[#This Row],[Customer ID]],[1]!Address[ID],[1]!Address[CT])</f>
        <v>30</v>
      </c>
      <c r="X1800" s="11" t="s">
        <v>39</v>
      </c>
      <c r="Y1800" s="17" t="s">
        <v>40</v>
      </c>
      <c r="Z1800" s="17" t="e">
        <f>_xlfn.XLOOKUP(Customer[[#This Row],[NewType]],$AF$36:$AF$54,$AG$36:$AG$54)</f>
        <v>#N/A</v>
      </c>
      <c r="AA1800" s="17" t="s">
        <v>11303</v>
      </c>
      <c r="AB1800" s="11" t="str">
        <f>_xlfn.XLOOKUP(Customer[[#This Row],[Customer ID]],[1]!Address[ID],[1]!Address[Subtype])</f>
        <v>PETRONAS</v>
      </c>
      <c r="AC1800" s="18" t="str">
        <f>_xlfn.XLOOKUP(Customer[[#This Row],[Customer ID]],[1]!Address[ID],[1]!Address[Zone])</f>
        <v>EAST COAST</v>
      </c>
    </row>
    <row r="1801" spans="1:30" x14ac:dyDescent="0.3">
      <c r="A1801" s="10" t="s">
        <v>11304</v>
      </c>
      <c r="B1801" s="11" t="str">
        <f>_xlfn.XLOOKUP(Customer[[#This Row],[Customer ID]],[1]!Name[ID],[1]!Name[Description(1)])</f>
        <v>GEMILANG SP MARKETING</v>
      </c>
      <c r="C1801" s="11" t="str">
        <f>_xlfn.XLOOKUP(Customer[[#This Row],[Customer ID]],[1]!Name[ID],[1]!Name[Description(2)])</f>
        <v/>
      </c>
      <c r="D1801" s="11" t="str">
        <f>_xlfn.XLOOKUP(Customer[[#This Row],[Customer ID]],[1]!Address[ID],[1]!Address[PIC])</f>
        <v/>
      </c>
      <c r="E1801" s="11" t="str">
        <f>_xlfn.XLOOKUP(Customer[[#This Row],[Customer ID]],[1]!Address[ID],[1]!Address[Full Address])</f>
        <v>(PELANGI CARE TRADING)NO 4, JALAN CEMPAKA 1/1,PERSIARAN CEMPAKA BANDAR AMAN JAYA,08000 SUNGAI PETANI, KEDAH</v>
      </c>
      <c r="F1801" s="12" t="s">
        <v>9475</v>
      </c>
      <c r="G1801" s="12" t="s">
        <v>11305</v>
      </c>
      <c r="H1801" s="12" t="s">
        <v>11306</v>
      </c>
      <c r="I1801" s="12" t="b">
        <f>ISNUMBER(VALUE(LEFT(Customer[[#This Row],[Address Line 3 (30 char)]],1)))</f>
        <v>0</v>
      </c>
      <c r="J1801" s="12" t="s">
        <v>79</v>
      </c>
      <c r="K1801" s="20" t="s">
        <v>296</v>
      </c>
      <c r="L1801" s="12" t="s">
        <v>35</v>
      </c>
      <c r="M1801" s="13" t="e">
        <v>#N/A</v>
      </c>
      <c r="N1801" s="14" t="e">
        <v>#N/A</v>
      </c>
      <c r="O1801" s="14" t="e">
        <v>#N/A</v>
      </c>
      <c r="P1801" s="14" t="e">
        <v>#N/A</v>
      </c>
      <c r="Q1801" s="14" t="e">
        <v>#N/A</v>
      </c>
      <c r="R1801" s="15" t="s">
        <v>11307</v>
      </c>
      <c r="S1801" s="15" t="s">
        <v>88</v>
      </c>
      <c r="T1801" s="16" t="s">
        <v>89</v>
      </c>
      <c r="U1801" s="11" t="str">
        <f>_xlfn.XLOOKUP(Customer[[#This Row],[Customer ID]],[1]!Address[ID],[1]!Address[Phone No.(2)])</f>
        <v/>
      </c>
      <c r="V1801" s="11" t="str">
        <f>_xlfn.XLOOKUP(Customer[[#This Row],[Customer ID]],[1]!Address[ID],[1]!Address[Type])</f>
        <v>SOCMED</v>
      </c>
      <c r="W1801" s="11" t="str">
        <f>_xlfn.XLOOKUP(Customer[[#This Row],[Customer ID]],[1]!Address[ID],[1]!Address[CT])</f>
        <v/>
      </c>
      <c r="X1801" s="11"/>
      <c r="Y1801" s="17" t="s">
        <v>90</v>
      </c>
      <c r="Z1801" s="17" t="e">
        <f>_xlfn.XLOOKUP(Customer[[#This Row],[NewType]],$AF$36:$AF$54,$AG$36:$AG$54)</f>
        <v>#N/A</v>
      </c>
      <c r="AA1801" s="17" t="s">
        <v>11308</v>
      </c>
      <c r="AB1801" s="11" t="str">
        <f>_xlfn.XLOOKUP(Customer[[#This Row],[Customer ID]],[1]!Address[ID],[1]!Address[Subtype])</f>
        <v>ONLINE ROS</v>
      </c>
      <c r="AC1801" s="18" t="str">
        <f>_xlfn.XLOOKUP(Customer[[#This Row],[Customer ID]],[1]!Address[ID],[1]!Address[Zone])</f>
        <v>NORTH</v>
      </c>
    </row>
    <row r="1802" spans="1:30" x14ac:dyDescent="0.3">
      <c r="A1802" s="10" t="s">
        <v>11309</v>
      </c>
      <c r="B1802" s="11" t="str">
        <f>_xlfn.XLOOKUP(Customer[[#This Row],[Customer ID]],[1]!Name[ID],[1]!Name[Description(1)])</f>
        <v>RUZIDA BINTI MAT DARUS</v>
      </c>
      <c r="C1802" s="11" t="str">
        <f>_xlfn.XLOOKUP(Customer[[#This Row],[Customer ID]],[1]!Name[ID],[1]!Name[Description(2)])</f>
        <v/>
      </c>
      <c r="D1802" s="11" t="str">
        <f>_xlfn.XLOOKUP(Customer[[#This Row],[Customer ID]],[1]!Address[ID],[1]!Address[PIC])</f>
        <v/>
      </c>
      <c r="E1802" s="11" t="str">
        <f>_xlfn.XLOOKUP(Customer[[#This Row],[Customer ID]],[1]!Address[ID],[1]!Address[Full Address])</f>
        <v>SMK IBRAHIM FIKRI, 21300 KUALA NERUSTERENGGANU</v>
      </c>
      <c r="F1802" s="12" t="s">
        <v>11310</v>
      </c>
      <c r="G1802" s="12" t="s">
        <v>11311</v>
      </c>
      <c r="H1802" s="12" t="s">
        <v>8740</v>
      </c>
      <c r="I1802" s="12" t="b">
        <f>ISNUMBER(VALUE(LEFT(Customer[[#This Row],[Address Line 3 (30 char)]],1)))</f>
        <v>0</v>
      </c>
      <c r="J1802" s="12" t="s">
        <v>1056</v>
      </c>
      <c r="K1802" s="12">
        <v>21300</v>
      </c>
      <c r="L1802" s="12" t="s">
        <v>35</v>
      </c>
      <c r="M1802" s="13" t="e">
        <v>#N/A</v>
      </c>
      <c r="N1802" s="14" t="e">
        <v>#N/A</v>
      </c>
      <c r="O1802" s="14" t="e">
        <v>#N/A</v>
      </c>
      <c r="P1802" s="14" t="e">
        <v>#N/A</v>
      </c>
      <c r="Q1802" s="14" t="e">
        <v>#N/A</v>
      </c>
      <c r="R1802" s="15" t="s">
        <v>11312</v>
      </c>
      <c r="S1802" s="15" t="s">
        <v>88</v>
      </c>
      <c r="T1802" s="16" t="s">
        <v>89</v>
      </c>
      <c r="U1802" s="11" t="str">
        <f>_xlfn.XLOOKUP(Customer[[#This Row],[Customer ID]],[1]!Address[ID],[1]!Address[Phone No.(2)])</f>
        <v/>
      </c>
      <c r="V1802" s="11" t="str">
        <f>_xlfn.XLOOKUP(Customer[[#This Row],[Customer ID]],[1]!Address[ID],[1]!Address[Type])</f>
        <v>SOCMED</v>
      </c>
      <c r="W1802" s="11" t="str">
        <f>_xlfn.XLOOKUP(Customer[[#This Row],[Customer ID]],[1]!Address[ID],[1]!Address[CT])</f>
        <v/>
      </c>
      <c r="X1802" s="11"/>
      <c r="Y1802" s="17" t="s">
        <v>90</v>
      </c>
      <c r="Z1802" s="17" t="e">
        <f>_xlfn.XLOOKUP(Customer[[#This Row],[NewType]],$AF$36:$AF$54,$AG$36:$AG$54)</f>
        <v>#N/A</v>
      </c>
      <c r="AA1802" s="17" t="s">
        <v>11313</v>
      </c>
      <c r="AB1802" s="11" t="str">
        <f>_xlfn.XLOOKUP(Customer[[#This Row],[Customer ID]],[1]!Address[ID],[1]!Address[Subtype])</f>
        <v>ONLINE ROS</v>
      </c>
      <c r="AC1802" s="18" t="str">
        <f>_xlfn.XLOOKUP(Customer[[#This Row],[Customer ID]],[1]!Address[ID],[1]!Address[Zone])</f>
        <v>EAST COAST</v>
      </c>
    </row>
    <row r="1803" spans="1:30" x14ac:dyDescent="0.3">
      <c r="A1803" s="10" t="s">
        <v>11314</v>
      </c>
      <c r="B1803" s="11" t="str">
        <f>_xlfn.XLOOKUP(Customer[[#This Row],[Customer ID]],[1]!Name[ID],[1]!Name[Description(1)])</f>
        <v>BOXSHOP ENTERPRISE</v>
      </c>
      <c r="C1803" s="11" t="str">
        <f>_xlfn.XLOOKUP(Customer[[#This Row],[Customer ID]],[1]!Name[ID],[1]!Name[Description(2)])</f>
        <v/>
      </c>
      <c r="D1803" s="11" t="str">
        <f>_xlfn.XLOOKUP(Customer[[#This Row],[Customer ID]],[1]!Address[ID],[1]!Address[PIC])</f>
        <v/>
      </c>
      <c r="E1803" s="11" t="str">
        <f>_xlfn.XLOOKUP(Customer[[#This Row],[Customer ID]],[1]!Address[ID],[1]!Address[Full Address])</f>
        <v>92, KAMPUNG PELANDANG PULAU SERAI23000 DUNGUN, TERENGGANU</v>
      </c>
      <c r="F1803" s="12" t="s">
        <v>11315</v>
      </c>
      <c r="G1803" s="12" t="s">
        <v>11316</v>
      </c>
      <c r="H1803" s="12" t="s">
        <v>1553</v>
      </c>
      <c r="I1803" s="12" t="b">
        <f>ISNUMBER(VALUE(LEFT(Customer[[#This Row],[Address Line 3 (30 char)]],1)))</f>
        <v>0</v>
      </c>
      <c r="J1803" s="12" t="s">
        <v>1056</v>
      </c>
      <c r="K1803" s="12">
        <v>23000</v>
      </c>
      <c r="L1803" s="12" t="s">
        <v>35</v>
      </c>
      <c r="M1803" s="13" t="e">
        <v>#N/A</v>
      </c>
      <c r="N1803" s="14" t="e">
        <v>#N/A</v>
      </c>
      <c r="O1803" s="14" t="e">
        <v>#N/A</v>
      </c>
      <c r="P1803" s="14" t="e">
        <v>#N/A</v>
      </c>
      <c r="Q1803" s="14" t="e">
        <v>#N/A</v>
      </c>
      <c r="R1803" s="15" t="s">
        <v>11317</v>
      </c>
      <c r="S1803" s="15" t="s">
        <v>88</v>
      </c>
      <c r="T1803" s="16" t="s">
        <v>89</v>
      </c>
      <c r="U1803" s="11" t="str">
        <f>_xlfn.XLOOKUP(Customer[[#This Row],[Customer ID]],[1]!Address[ID],[1]!Address[Phone No.(2)])</f>
        <v/>
      </c>
      <c r="V1803" s="11" t="str">
        <f>_xlfn.XLOOKUP(Customer[[#This Row],[Customer ID]],[1]!Address[ID],[1]!Address[Type])</f>
        <v>SOCMED</v>
      </c>
      <c r="W1803" s="11" t="str">
        <f>_xlfn.XLOOKUP(Customer[[#This Row],[Customer ID]],[1]!Address[ID],[1]!Address[CT])</f>
        <v/>
      </c>
      <c r="X1803" s="11"/>
      <c r="Y1803" s="17" t="s">
        <v>90</v>
      </c>
      <c r="Z1803" s="17" t="e">
        <f>_xlfn.XLOOKUP(Customer[[#This Row],[NewType]],$AF$36:$AF$54,$AG$36:$AG$54)</f>
        <v>#N/A</v>
      </c>
      <c r="AA1803" s="17" t="s">
        <v>11318</v>
      </c>
      <c r="AB1803" s="11" t="str">
        <f>_xlfn.XLOOKUP(Customer[[#This Row],[Customer ID]],[1]!Address[ID],[1]!Address[Subtype])</f>
        <v>ONLINE ROS</v>
      </c>
      <c r="AC1803" s="18" t="str">
        <f>_xlfn.XLOOKUP(Customer[[#This Row],[Customer ID]],[1]!Address[ID],[1]!Address[Zone])</f>
        <v>EAST COAST</v>
      </c>
    </row>
    <row r="1804" spans="1:30" x14ac:dyDescent="0.3">
      <c r="A1804" s="10" t="s">
        <v>11319</v>
      </c>
      <c r="B1804" s="11" t="str">
        <f>_xlfn.XLOOKUP(Customer[[#This Row],[Customer ID]],[1]!Name[ID],[1]!Name[Description(1)])</f>
        <v>FARMASI MERBOK JAYA SDN BHD</v>
      </c>
      <c r="C1804" s="11" t="str">
        <f>_xlfn.XLOOKUP(Customer[[#This Row],[Customer ID]],[1]!Name[ID],[1]!Name[Description(2)])</f>
        <v/>
      </c>
      <c r="D1804" s="11" t="str">
        <f>_xlfn.XLOOKUP(Customer[[#This Row],[Customer ID]],[1]!Address[ID],[1]!Address[PIC])</f>
        <v/>
      </c>
      <c r="E1804" s="11" t="str">
        <f>_xlfn.XLOOKUP(Customer[[#This Row],[Customer ID]],[1]!Address[ID],[1]!Address[Full Address])</f>
        <v>NO. 26A, JALAN BUJANG INDAH,TAMAN LEMBAH BUJANG INDAH 08100,BEDONG , KEDAH</v>
      </c>
      <c r="F1804" s="12" t="s">
        <v>11320</v>
      </c>
      <c r="G1804" s="12" t="s">
        <v>11321</v>
      </c>
      <c r="H1804" s="12" t="s">
        <v>11322</v>
      </c>
      <c r="I1804" s="12" t="b">
        <f>ISNUMBER(VALUE(LEFT(Customer[[#This Row],[Address Line 3 (30 char)]],1)))</f>
        <v>0</v>
      </c>
      <c r="J1804" s="12" t="s">
        <v>79</v>
      </c>
      <c r="K1804" s="20" t="s">
        <v>10055</v>
      </c>
      <c r="L1804" s="12" t="s">
        <v>35</v>
      </c>
      <c r="M1804" s="13" t="e">
        <v>#N/A</v>
      </c>
      <c r="N1804" s="14" t="e">
        <v>#N/A</v>
      </c>
      <c r="O1804" s="14" t="e">
        <v>#N/A</v>
      </c>
      <c r="P1804" s="14" t="e">
        <v>#N/A</v>
      </c>
      <c r="Q1804" s="14" t="e">
        <v>#N/A</v>
      </c>
      <c r="R1804" s="15" t="s">
        <v>11323</v>
      </c>
      <c r="S1804" s="15" t="s">
        <v>88</v>
      </c>
      <c r="T1804" s="16" t="s">
        <v>89</v>
      </c>
      <c r="U1804" s="11" t="str">
        <f>_xlfn.XLOOKUP(Customer[[#This Row],[Customer ID]],[1]!Address[ID],[1]!Address[Phone No.(2)])</f>
        <v/>
      </c>
      <c r="V1804" s="11" t="str">
        <f>_xlfn.XLOOKUP(Customer[[#This Row],[Customer ID]],[1]!Address[ID],[1]!Address[Type])</f>
        <v>SOCMED</v>
      </c>
      <c r="W1804" s="11" t="str">
        <f>_xlfn.XLOOKUP(Customer[[#This Row],[Customer ID]],[1]!Address[ID],[1]!Address[CT])</f>
        <v/>
      </c>
      <c r="X1804" s="11"/>
      <c r="Y1804" s="17" t="s">
        <v>90</v>
      </c>
      <c r="Z1804" s="17" t="e">
        <f>_xlfn.XLOOKUP(Customer[[#This Row],[NewType]],$AF$36:$AF$54,$AG$36:$AG$54)</f>
        <v>#N/A</v>
      </c>
      <c r="AA1804" s="17" t="s">
        <v>11324</v>
      </c>
      <c r="AB1804" s="11" t="str">
        <f>_xlfn.XLOOKUP(Customer[[#This Row],[Customer ID]],[1]!Address[ID],[1]!Address[Subtype])</f>
        <v>ONLINE ROS</v>
      </c>
      <c r="AC1804" s="18" t="str">
        <f>_xlfn.XLOOKUP(Customer[[#This Row],[Customer ID]],[1]!Address[ID],[1]!Address[Zone])</f>
        <v>NORTH</v>
      </c>
    </row>
    <row r="1805" spans="1:30" x14ac:dyDescent="0.3">
      <c r="A1805" s="10" t="s">
        <v>11325</v>
      </c>
      <c r="B1805" s="11" t="str">
        <f>_xlfn.XLOOKUP(Customer[[#This Row],[Customer ID]],[1]!Name[ID],[1]!Name[Description(1)])</f>
        <v>KOPERASI SMK SERI BERANG TRG BERHAD</v>
      </c>
      <c r="C1805" s="11" t="str">
        <f>_xlfn.XLOOKUP(Customer[[#This Row],[Customer ID]],[1]!Name[ID],[1]!Name[Description(2)])</f>
        <v/>
      </c>
      <c r="D1805" s="11" t="str">
        <f>_xlfn.XLOOKUP(Customer[[#This Row],[Customer ID]],[1]!Address[ID],[1]!Address[PIC])</f>
        <v/>
      </c>
      <c r="E1805" s="11" t="str">
        <f>_xlfn.XLOOKUP(Customer[[#This Row],[Customer ID]],[1]!Address[ID],[1]!Address[Full Address])</f>
        <v>D/A SMK SERI BERANG,21700 KUALA BERANG,HULU TERENGGANU, TRG</v>
      </c>
      <c r="F1805" s="12" t="s">
        <v>11326</v>
      </c>
      <c r="G1805" s="12" t="s">
        <v>11327</v>
      </c>
      <c r="H1805" s="12" t="s">
        <v>11328</v>
      </c>
      <c r="I1805" s="12" t="b">
        <f>ISNUMBER(VALUE(LEFT(Customer[[#This Row],[Address Line 3 (30 char)]],1)))</f>
        <v>0</v>
      </c>
      <c r="J1805" s="12" t="s">
        <v>1056</v>
      </c>
      <c r="K1805" s="12">
        <v>21700</v>
      </c>
      <c r="L1805" s="12" t="s">
        <v>35</v>
      </c>
      <c r="M1805" s="13" t="e">
        <v>#N/A</v>
      </c>
      <c r="N1805" s="14" t="e">
        <v>#N/A</v>
      </c>
      <c r="O1805" s="14" t="e">
        <v>#N/A</v>
      </c>
      <c r="P1805" s="14" t="e">
        <v>#N/A</v>
      </c>
      <c r="Q1805" s="14" t="e">
        <v>#N/A</v>
      </c>
      <c r="R1805" s="15" t="s">
        <v>11329</v>
      </c>
      <c r="S1805" s="15" t="s">
        <v>88</v>
      </c>
      <c r="T1805" s="16" t="s">
        <v>89</v>
      </c>
      <c r="U1805" s="11" t="str">
        <f>_xlfn.XLOOKUP(Customer[[#This Row],[Customer ID]],[1]!Address[ID],[1]!Address[Phone No.(2)])</f>
        <v/>
      </c>
      <c r="V1805" s="11" t="str">
        <f>_xlfn.XLOOKUP(Customer[[#This Row],[Customer ID]],[1]!Address[ID],[1]!Address[Type])</f>
        <v>SOCMED</v>
      </c>
      <c r="W1805" s="11" t="str">
        <f>_xlfn.XLOOKUP(Customer[[#This Row],[Customer ID]],[1]!Address[ID],[1]!Address[CT])</f>
        <v/>
      </c>
      <c r="X1805" s="11"/>
      <c r="Y1805" s="17" t="s">
        <v>90</v>
      </c>
      <c r="Z1805" s="17" t="e">
        <f>_xlfn.XLOOKUP(Customer[[#This Row],[NewType]],$AF$36:$AF$54,$AG$36:$AG$54)</f>
        <v>#N/A</v>
      </c>
      <c r="AA1805" s="17" t="s">
        <v>11330</v>
      </c>
      <c r="AB1805" s="11" t="str">
        <f>_xlfn.XLOOKUP(Customer[[#This Row],[Customer ID]],[1]!Address[ID],[1]!Address[Subtype])</f>
        <v>ONLINE ROS</v>
      </c>
      <c r="AC1805" s="18" t="str">
        <f>_xlfn.XLOOKUP(Customer[[#This Row],[Customer ID]],[1]!Address[ID],[1]!Address[Zone])</f>
        <v>EEEDH</v>
      </c>
    </row>
    <row r="1806" spans="1:30" x14ac:dyDescent="0.3">
      <c r="A1806" s="27" t="s">
        <v>11331</v>
      </c>
      <c r="B1806" s="28" t="str">
        <f>_xlfn.XLOOKUP(Customer[[#This Row],[Customer ID]],[1]!Name[ID],[1]!Name[Description(1)])</f>
        <v>RESTORAN KULIT KAYU MANIS</v>
      </c>
      <c r="C1806" s="28" t="str">
        <f>_xlfn.XLOOKUP(Customer[[#This Row],[Customer ID]],[1]!Name[ID],[1]!Name[Description(2)])</f>
        <v/>
      </c>
      <c r="D1806" s="28" t="str">
        <f>_xlfn.XLOOKUP(Customer[[#This Row],[Customer ID]],[1]!Address[ID],[1]!Address[PIC])</f>
        <v/>
      </c>
      <c r="E1806" s="11" t="str">
        <f>_xlfn.XLOOKUP(Customer[[#This Row],[Customer ID]],[1]!Address[ID],[1]!Address[Full Address])</f>
        <v>NO 1,TKT BAWAH, BATU 1 JLN SEREMBAN,TMN JASMIN 71000 PORT DICKSON NS</v>
      </c>
      <c r="F1806" s="29" t="s">
        <v>11332</v>
      </c>
      <c r="G1806" s="29" t="s">
        <v>11333</v>
      </c>
      <c r="H1806" s="29" t="s">
        <v>11334</v>
      </c>
      <c r="I1806" s="29" t="b">
        <f>ISNUMBER(VALUE(LEFT(Customer[[#This Row],[Address Line 3 (30 char)]],1)))</f>
        <v>0</v>
      </c>
      <c r="J1806" s="29" t="s">
        <v>203</v>
      </c>
      <c r="K1806" s="29">
        <v>71000</v>
      </c>
      <c r="L1806" s="29" t="s">
        <v>35</v>
      </c>
      <c r="M1806" s="31" t="e">
        <v>#N/A</v>
      </c>
      <c r="N1806" s="36" t="e">
        <v>#N/A</v>
      </c>
      <c r="O1806" s="36" t="e">
        <v>#N/A</v>
      </c>
      <c r="P1806" s="36" t="e">
        <v>#N/A</v>
      </c>
      <c r="Q1806" s="36" t="e">
        <v>#N/A</v>
      </c>
      <c r="R1806" s="80" t="s">
        <v>11335</v>
      </c>
      <c r="S1806" s="80" t="s">
        <v>5934</v>
      </c>
      <c r="T1806" s="81"/>
      <c r="U1806" s="28" t="str">
        <f>_xlfn.XLOOKUP(Customer[[#This Row],[Customer ID]],[1]!Address[ID],[1]!Address[Phone No.(2)])</f>
        <v/>
      </c>
      <c r="V1806" s="28" t="str">
        <f>_xlfn.XLOOKUP(Customer[[#This Row],[Customer ID]],[1]!Address[ID],[1]!Address[Type])</f>
        <v>SOCMED</v>
      </c>
      <c r="W1806" s="28" t="str">
        <f>_xlfn.XLOOKUP(Customer[[#This Row],[Customer ID]],[1]!Address[ID],[1]!Address[CT])</f>
        <v/>
      </c>
      <c r="X1806" s="28"/>
      <c r="Y1806" s="82" t="s">
        <v>90</v>
      </c>
      <c r="Z1806" s="82" t="e">
        <f>_xlfn.XLOOKUP(Customer[[#This Row],[NewType]],$AF$36:$AF$54,$AG$36:$AG$54)</f>
        <v>#N/A</v>
      </c>
      <c r="AA1806" s="82" t="s">
        <v>11336</v>
      </c>
      <c r="AB1806" s="28" t="str">
        <f>_xlfn.XLOOKUP(Customer[[#This Row],[Customer ID]],[1]!Address[ID],[1]!Address[Subtype])</f>
        <v>ONLINE ROS</v>
      </c>
      <c r="AC1806" s="83" t="str">
        <f>_xlfn.XLOOKUP(Customer[[#This Row],[Customer ID]],[1]!Address[ID],[1]!Address[Zone])</f>
        <v>CENTRAL</v>
      </c>
      <c r="AD1806" s="84"/>
    </row>
    <row r="1807" spans="1:30" x14ac:dyDescent="0.3">
      <c r="A1807" s="48" t="s">
        <v>11337</v>
      </c>
      <c r="B1807" s="49" t="str">
        <f>_xlfn.XLOOKUP(Customer[[#This Row],[Customer ID]],[1]!Name[ID],[1]!Name[Description(1)])</f>
        <v>SITI FAIROS BINTI IBRAHIM</v>
      </c>
      <c r="C1807" s="11" t="str">
        <f>_xlfn.XLOOKUP(Customer[[#This Row],[Customer ID]],[1]!Name[ID],[1]!Name[Description(2)])</f>
        <v>FARMASI MYINDAH (M)</v>
      </c>
      <c r="D1807" s="11" t="str">
        <f>_xlfn.XLOOKUP(Customer[[#This Row],[Customer ID]],[1]!Address[ID],[1]!Address[PIC])</f>
        <v>RUKKUMANI A/P S</v>
      </c>
      <c r="E1807" s="11" t="str">
        <f>_xlfn.XLOOKUP(Customer[[#This Row],[Customer ID]],[1]!Address[ID],[1]!Address[Full Address])</f>
        <v>FARMASI MYINDAH SDN. BHDNO. 13, JALAN MUTIARA BIRU,TAMAN MUTIARA 09700 KARANGAN, KULIM,KEDAH</v>
      </c>
      <c r="F1807" s="12" t="s">
        <v>11338</v>
      </c>
      <c r="G1807" s="12" t="s">
        <v>11339</v>
      </c>
      <c r="H1807" s="12" t="s">
        <v>11340</v>
      </c>
      <c r="I1807" s="12" t="b">
        <f>ISNUMBER(VALUE(LEFT(Customer[[#This Row],[Address Line 3 (30 char)]],1)))</f>
        <v>0</v>
      </c>
      <c r="J1807" s="12" t="s">
        <v>355</v>
      </c>
      <c r="K1807" s="30" t="s">
        <v>11341</v>
      </c>
      <c r="L1807" s="12" t="s">
        <v>35</v>
      </c>
      <c r="M1807" s="13">
        <v>202101001795</v>
      </c>
      <c r="N1807" s="14" t="s">
        <v>11342</v>
      </c>
      <c r="O1807" s="14" t="e">
        <v>#N/A</v>
      </c>
      <c r="P1807" s="14" t="e">
        <v>#N/A</v>
      </c>
      <c r="Q1807" s="19" t="s">
        <v>11343</v>
      </c>
      <c r="R1807" s="15" t="s">
        <v>11344</v>
      </c>
      <c r="S1807" s="15" t="s">
        <v>3212</v>
      </c>
      <c r="T1807" s="16" t="s">
        <v>89</v>
      </c>
      <c r="U1807" s="11" t="str">
        <f>_xlfn.XLOOKUP(Customer[[#This Row],[Customer ID]],[1]!Address[ID],[1]!Address[Phone No.(2)])</f>
        <v/>
      </c>
      <c r="V1807" s="11" t="str">
        <f>_xlfn.XLOOKUP(Customer[[#This Row],[Customer ID]],[1]!Address[ID],[1]!Address[Type])</f>
        <v>SOCMED</v>
      </c>
      <c r="W1807" s="11" t="str">
        <f>_xlfn.XLOOKUP(Customer[[#This Row],[Customer ID]],[1]!Address[ID],[1]!Address[CT])</f>
        <v/>
      </c>
      <c r="X1807" s="11"/>
      <c r="Y1807" s="17" t="s">
        <v>90</v>
      </c>
      <c r="Z1807" s="17" t="e">
        <f>_xlfn.XLOOKUP(Customer[[#This Row],[NewType]],$AF$36:$AF$54,$AG$36:$AG$54)</f>
        <v>#N/A</v>
      </c>
      <c r="AA1807" s="17" t="s">
        <v>11345</v>
      </c>
      <c r="AB1807" s="11" t="str">
        <f>_xlfn.XLOOKUP(Customer[[#This Row],[Customer ID]],[1]!Address[ID],[1]!Address[Subtype])</f>
        <v>ONLINE HAJAR</v>
      </c>
      <c r="AC1807" s="18" t="str">
        <f>_xlfn.XLOOKUP(Customer[[#This Row],[Customer ID]],[1]!Address[ID],[1]!Address[Zone])</f>
        <v>NORTH</v>
      </c>
    </row>
    <row r="1808" spans="1:30" x14ac:dyDescent="0.3">
      <c r="A1808" s="48" t="s">
        <v>11346</v>
      </c>
      <c r="B1808" s="49" t="str">
        <f>_xlfn.XLOOKUP(Customer[[#This Row],[Customer ID]],[1]!Name[ID],[1]!Name[Description(1)])</f>
        <v>FARMASI NAJWA RX</v>
      </c>
      <c r="C1808" s="11" t="str">
        <f>_xlfn.XLOOKUP(Customer[[#This Row],[Customer ID]],[1]!Name[ID],[1]!Name[Description(2)])</f>
        <v/>
      </c>
      <c r="D1808" s="11" t="str">
        <f>_xlfn.XLOOKUP(Customer[[#This Row],[Customer ID]],[1]!Address[ID],[1]!Address[PIC])</f>
        <v>AMALINA</v>
      </c>
      <c r="E1808" s="11" t="str">
        <f>_xlfn.XLOOKUP(Customer[[#This Row],[Customer ID]],[1]!Address[ID],[1]!Address[Full Address])</f>
        <v>NO.12 JALAN BENDAHARAPUSAT BANDAR, 34200 PARIT BUNTAR,PERAK</v>
      </c>
      <c r="F1808" s="12" t="s">
        <v>11347</v>
      </c>
      <c r="G1808" s="12" t="s">
        <v>11348</v>
      </c>
      <c r="H1808" s="12"/>
      <c r="I1808" s="12" t="b">
        <f>ISNUMBER(VALUE(LEFT(Customer[[#This Row],[Address Line 3 (30 char)]],1)))</f>
        <v>0</v>
      </c>
      <c r="J1808" s="12" t="s">
        <v>242</v>
      </c>
      <c r="K1808" s="12">
        <v>34200</v>
      </c>
      <c r="L1808" s="12" t="s">
        <v>35</v>
      </c>
      <c r="M1808" s="13" t="e">
        <v>#N/A</v>
      </c>
      <c r="N1808" s="14" t="e">
        <v>#N/A</v>
      </c>
      <c r="O1808" s="14" t="e">
        <v>#N/A</v>
      </c>
      <c r="P1808" s="14" t="e">
        <v>#N/A</v>
      </c>
      <c r="Q1808" s="19" t="s">
        <v>11349</v>
      </c>
      <c r="R1808" s="15" t="s">
        <v>11350</v>
      </c>
      <c r="S1808" s="15" t="s">
        <v>3212</v>
      </c>
      <c r="T1808" s="16" t="s">
        <v>89</v>
      </c>
      <c r="U1808" s="11" t="str">
        <f>_xlfn.XLOOKUP(Customer[[#This Row],[Customer ID]],[1]!Address[ID],[1]!Address[Phone No.(2)])</f>
        <v/>
      </c>
      <c r="V1808" s="11" t="str">
        <f>_xlfn.XLOOKUP(Customer[[#This Row],[Customer ID]],[1]!Address[ID],[1]!Address[Type])</f>
        <v>SOCMED</v>
      </c>
      <c r="W1808" s="11" t="str">
        <f>_xlfn.XLOOKUP(Customer[[#This Row],[Customer ID]],[1]!Address[ID],[1]!Address[CT])</f>
        <v/>
      </c>
      <c r="X1808" s="11"/>
      <c r="Y1808" s="17" t="s">
        <v>90</v>
      </c>
      <c r="Z1808" s="17" t="e">
        <f>_xlfn.XLOOKUP(Customer[[#This Row],[NewType]],$AF$36:$AF$54,$AG$36:$AG$54)</f>
        <v>#N/A</v>
      </c>
      <c r="AA1808" s="17" t="s">
        <v>11351</v>
      </c>
      <c r="AB1808" s="11" t="str">
        <f>_xlfn.XLOOKUP(Customer[[#This Row],[Customer ID]],[1]!Address[ID],[1]!Address[Subtype])</f>
        <v>ONLINE HAJAR</v>
      </c>
      <c r="AC1808" s="18" t="str">
        <f>_xlfn.XLOOKUP(Customer[[#This Row],[Customer ID]],[1]!Address[ID],[1]!Address[Zone])</f>
        <v>NORTH</v>
      </c>
    </row>
    <row r="1809" spans="1:30" x14ac:dyDescent="0.3">
      <c r="A1809" s="48" t="s">
        <v>11352</v>
      </c>
      <c r="B1809" s="49" t="str">
        <f>_xlfn.XLOOKUP(Customer[[#This Row],[Customer ID]],[1]!Name[ID],[1]!Name[Description(1)])</f>
        <v>FARMASI ISIHAT SDN BHD</v>
      </c>
      <c r="C1809" s="11" t="str">
        <f>_xlfn.XLOOKUP(Customer[[#This Row],[Customer ID]],[1]!Name[ID],[1]!Name[Description(2)])</f>
        <v/>
      </c>
      <c r="D1809" s="11" t="str">
        <f>_xlfn.XLOOKUP(Customer[[#This Row],[Customer ID]],[1]!Address[ID],[1]!Address[PIC])</f>
        <v/>
      </c>
      <c r="E1809" s="11" t="str">
        <f>_xlfn.XLOOKUP(Customer[[#This Row],[Customer ID]],[1]!Address[ID],[1]!Address[Full Address])</f>
        <v>NO 144, JALAN PPMP 9,PUSAT PERNIAGAAN MANJUNG POINT 1,32040 SERI MANJUNG. PERAK</v>
      </c>
      <c r="F1809" s="12" t="s">
        <v>11353</v>
      </c>
      <c r="G1809" s="12" t="s">
        <v>11354</v>
      </c>
      <c r="H1809" s="24" t="s">
        <v>9965</v>
      </c>
      <c r="I1809" s="24" t="b">
        <f>ISNUMBER(VALUE(LEFT(Customer[[#This Row],[Address Line 3 (30 char)]],1)))</f>
        <v>0</v>
      </c>
      <c r="J1809" s="12" t="s">
        <v>242</v>
      </c>
      <c r="K1809" s="12">
        <v>32040</v>
      </c>
      <c r="L1809" s="12" t="s">
        <v>35</v>
      </c>
      <c r="M1809" s="13" t="e">
        <v>#N/A</v>
      </c>
      <c r="N1809" s="14" t="e">
        <v>#N/A</v>
      </c>
      <c r="O1809" s="14" t="e">
        <v>#N/A</v>
      </c>
      <c r="P1809" s="14" t="e">
        <v>#N/A</v>
      </c>
      <c r="Q1809" s="14" t="e">
        <v>#N/A</v>
      </c>
      <c r="R1809" s="15" t="s">
        <v>11355</v>
      </c>
      <c r="S1809" s="15" t="s">
        <v>3212</v>
      </c>
      <c r="T1809" s="16" t="s">
        <v>89</v>
      </c>
      <c r="U1809" s="11" t="str">
        <f>_xlfn.XLOOKUP(Customer[[#This Row],[Customer ID]],[1]!Address[ID],[1]!Address[Phone No.(2)])</f>
        <v/>
      </c>
      <c r="V1809" s="11" t="str">
        <f>_xlfn.XLOOKUP(Customer[[#This Row],[Customer ID]],[1]!Address[ID],[1]!Address[Type])</f>
        <v>SOCMED</v>
      </c>
      <c r="W1809" s="11" t="str">
        <f>_xlfn.XLOOKUP(Customer[[#This Row],[Customer ID]],[1]!Address[ID],[1]!Address[CT])</f>
        <v/>
      </c>
      <c r="X1809" s="11"/>
      <c r="Y1809" s="17" t="s">
        <v>90</v>
      </c>
      <c r="Z1809" s="17" t="e">
        <f>_xlfn.XLOOKUP(Customer[[#This Row],[NewType]],$AF$36:$AF$54,$AG$36:$AG$54)</f>
        <v>#N/A</v>
      </c>
      <c r="AA1809" s="17" t="s">
        <v>11356</v>
      </c>
      <c r="AB1809" s="11" t="str">
        <f>_xlfn.XLOOKUP(Customer[[#This Row],[Customer ID]],[1]!Address[ID],[1]!Address[Subtype])</f>
        <v>ONLINE HAJAR</v>
      </c>
      <c r="AC1809" s="18" t="str">
        <f>_xlfn.XLOOKUP(Customer[[#This Row],[Customer ID]],[1]!Address[ID],[1]!Address[Zone])</f>
        <v>NORTH</v>
      </c>
    </row>
    <row r="1810" spans="1:30" x14ac:dyDescent="0.3">
      <c r="A1810" s="48" t="s">
        <v>11357</v>
      </c>
      <c r="B1810" s="49" t="str">
        <f>_xlfn.XLOOKUP(Customer[[#This Row],[Customer ID]],[1]!Name[ID],[1]!Name[Description(1)])</f>
        <v>FARMASI UMMAIZA</v>
      </c>
      <c r="C1810" s="11" t="str">
        <f>_xlfn.XLOOKUP(Customer[[#This Row],[Customer ID]],[1]!Name[ID],[1]!Name[Description(2)])</f>
        <v/>
      </c>
      <c r="D1810" s="11" t="str">
        <f>_xlfn.XLOOKUP(Customer[[#This Row],[Customer ID]],[1]!Address[ID],[1]!Address[PIC])</f>
        <v/>
      </c>
      <c r="E1810" s="11" t="str">
        <f>_xlfn.XLOOKUP(Customer[[#This Row],[Customer ID]],[1]!Address[ID],[1]!Address[Full Address])</f>
        <v>148, TINGKAT BAWAH, BANGUNAN PKNP,34300 JALAN BESAR, BAGAN SERAI, PERAK</v>
      </c>
      <c r="F1810" s="12" t="s">
        <v>11358</v>
      </c>
      <c r="G1810" s="12" t="s">
        <v>11359</v>
      </c>
      <c r="H1810" s="12" t="s">
        <v>11360</v>
      </c>
      <c r="I1810" s="12" t="b">
        <f>ISNUMBER(VALUE(LEFT(Customer[[#This Row],[Address Line 3 (30 char)]],1)))</f>
        <v>0</v>
      </c>
      <c r="J1810" s="12" t="s">
        <v>242</v>
      </c>
      <c r="K1810" s="12">
        <v>34300</v>
      </c>
      <c r="L1810" s="12" t="s">
        <v>35</v>
      </c>
      <c r="M1810" s="13" t="e">
        <v>#N/A</v>
      </c>
      <c r="N1810" s="14" t="e">
        <v>#N/A</v>
      </c>
      <c r="O1810" s="14" t="e">
        <v>#N/A</v>
      </c>
      <c r="P1810" s="14" t="e">
        <v>#N/A</v>
      </c>
      <c r="Q1810" s="14" t="e">
        <v>#N/A</v>
      </c>
      <c r="R1810" s="15" t="s">
        <v>11361</v>
      </c>
      <c r="S1810" s="15" t="s">
        <v>3212</v>
      </c>
      <c r="T1810" s="16" t="s">
        <v>89</v>
      </c>
      <c r="U1810" s="11" t="str">
        <f>_xlfn.XLOOKUP(Customer[[#This Row],[Customer ID]],[1]!Address[ID],[1]!Address[Phone No.(2)])</f>
        <v/>
      </c>
      <c r="V1810" s="11" t="str">
        <f>_xlfn.XLOOKUP(Customer[[#This Row],[Customer ID]],[1]!Address[ID],[1]!Address[Type])</f>
        <v>SOCMED</v>
      </c>
      <c r="W1810" s="11" t="str">
        <f>_xlfn.XLOOKUP(Customer[[#This Row],[Customer ID]],[1]!Address[ID],[1]!Address[CT])</f>
        <v/>
      </c>
      <c r="X1810" s="11"/>
      <c r="Y1810" s="17" t="s">
        <v>90</v>
      </c>
      <c r="Z1810" s="17" t="e">
        <f>_xlfn.XLOOKUP(Customer[[#This Row],[NewType]],$AF$36:$AF$54,$AG$36:$AG$54)</f>
        <v>#N/A</v>
      </c>
      <c r="AA1810" s="17" t="s">
        <v>11362</v>
      </c>
      <c r="AB1810" s="11" t="str">
        <f>_xlfn.XLOOKUP(Customer[[#This Row],[Customer ID]],[1]!Address[ID],[1]!Address[Subtype])</f>
        <v>ONLINE HAJAR</v>
      </c>
      <c r="AC1810" s="18" t="str">
        <f>_xlfn.XLOOKUP(Customer[[#This Row],[Customer ID]],[1]!Address[ID],[1]!Address[Zone])</f>
        <v>NORTH</v>
      </c>
    </row>
    <row r="1811" spans="1:30" x14ac:dyDescent="0.3">
      <c r="A1811" s="10" t="s">
        <v>11363</v>
      </c>
      <c r="B1811" s="11" t="str">
        <f>_xlfn.XLOOKUP(Customer[[#This Row],[Customer ID]],[1]!Name[ID],[1]!Name[Description(1)])</f>
        <v>AQILAH - AGROBANK</v>
      </c>
      <c r="C1811" s="11" t="str">
        <f>_xlfn.XLOOKUP(Customer[[#This Row],[Customer ID]],[1]!Name[ID],[1]!Name[Description(2)])</f>
        <v/>
      </c>
      <c r="D1811" s="11" t="str">
        <f>_xlfn.XLOOKUP(Customer[[#This Row],[Customer ID]],[1]!Address[ID],[1]!Address[PIC])</f>
        <v/>
      </c>
      <c r="E1811" s="11" t="str">
        <f>_xlfn.XLOOKUP(Customer[[#This Row],[Customer ID]],[1]!Address[ID],[1]!Address[Full Address])</f>
        <v>LOT 3,PUSAT DAGANGAN UMNO SHAH ALAM,PERSIARAN DAMAI,SEKSYEN 11,40000 SHAH ALAM</v>
      </c>
      <c r="F1811" s="12" t="s">
        <v>11364</v>
      </c>
      <c r="G1811" s="12" t="s">
        <v>11365</v>
      </c>
      <c r="H1811" s="12" t="s">
        <v>11366</v>
      </c>
      <c r="I1811" s="12" t="b">
        <f>ISNUMBER(VALUE(LEFT(Customer[[#This Row],[Address Line 3 (30 char)]],1)))</f>
        <v>0</v>
      </c>
      <c r="J1811" s="12" t="s">
        <v>172</v>
      </c>
      <c r="K1811" s="12">
        <v>40000</v>
      </c>
      <c r="L1811" s="12" t="s">
        <v>35</v>
      </c>
      <c r="M1811" s="13" t="e">
        <v>#N/A</v>
      </c>
      <c r="N1811" s="14" t="e">
        <v>#N/A</v>
      </c>
      <c r="O1811" s="14" t="e">
        <v>#N/A</v>
      </c>
      <c r="P1811" s="14" t="e">
        <v>#N/A</v>
      </c>
      <c r="Q1811" s="14" t="e">
        <v>#N/A</v>
      </c>
      <c r="R1811" s="15" t="s">
        <v>11367</v>
      </c>
      <c r="S1811" s="15" t="s">
        <v>6418</v>
      </c>
      <c r="T1811" s="16" t="s">
        <v>3477</v>
      </c>
      <c r="U1811" s="11" t="str">
        <f>_xlfn.XLOOKUP(Customer[[#This Row],[Customer ID]],[1]!Address[ID],[1]!Address[Phone No.(2)])</f>
        <v/>
      </c>
      <c r="V1811" s="11" t="str">
        <f>_xlfn.XLOOKUP(Customer[[#This Row],[Customer ID]],[1]!Address[ID],[1]!Address[Type])</f>
        <v>SOCMED</v>
      </c>
      <c r="W1811" s="11" t="str">
        <f>_xlfn.XLOOKUP(Customer[[#This Row],[Customer ID]],[1]!Address[ID],[1]!Address[CT])</f>
        <v>CASH</v>
      </c>
      <c r="X1811" s="11"/>
      <c r="Y1811" s="17" t="s">
        <v>90</v>
      </c>
      <c r="Z1811" s="17" t="e">
        <f>_xlfn.XLOOKUP(Customer[[#This Row],[NewType]],$AF$36:$AF$54,$AG$36:$AG$54)</f>
        <v>#N/A</v>
      </c>
      <c r="AA1811" s="17" t="s">
        <v>11368</v>
      </c>
      <c r="AB1811" s="11" t="str">
        <f>_xlfn.XLOOKUP(Customer[[#This Row],[Customer ID]],[1]!Address[ID],[1]!Address[Subtype])</f>
        <v>WHATSAPP</v>
      </c>
      <c r="AC1811" s="18" t="str">
        <f>_xlfn.XLOOKUP(Customer[[#This Row],[Customer ID]],[1]!Address[ID],[1]!Address[Zone])</f>
        <v>CENTRAL</v>
      </c>
    </row>
    <row r="1812" spans="1:30" x14ac:dyDescent="0.3">
      <c r="A1812" s="10" t="s">
        <v>11369</v>
      </c>
      <c r="B1812" s="11" t="str">
        <f>_xlfn.XLOOKUP(Customer[[#This Row],[Customer ID]],[1]!Name[ID],[1]!Name[Description(1)])</f>
        <v>TETRA ENERGY ENTERPRISE</v>
      </c>
      <c r="C1812" s="11" t="str">
        <f>_xlfn.XLOOKUP(Customer[[#This Row],[Customer ID]],[1]!Name[ID],[1]!Name[Description(2)])</f>
        <v>PS PAK SABAH</v>
      </c>
      <c r="D1812" s="11" t="str">
        <f>_xlfn.XLOOKUP(Customer[[#This Row],[Customer ID]],[1]!Address[ID],[1]!Address[PIC])</f>
        <v/>
      </c>
      <c r="E1812" s="11" t="str">
        <f>_xlfn.XLOOKUP(Customer[[#This Row],[Customer ID]],[1]!Address[ID],[1]!Address[Full Address])</f>
        <v>PS PAK SABAHLot 4167, Kg Pak Sabah23000 Dungun, Terengganu</v>
      </c>
      <c r="F1812" s="12" t="s">
        <v>11370</v>
      </c>
      <c r="G1812" s="12" t="s">
        <v>11371</v>
      </c>
      <c r="H1812" s="24" t="s">
        <v>11372</v>
      </c>
      <c r="I1812" s="24" t="b">
        <f>ISNUMBER(VALUE(LEFT(Customer[[#This Row],[Address Line 3 (30 char)]],1)))</f>
        <v>0</v>
      </c>
      <c r="J1812" s="12" t="s">
        <v>1056</v>
      </c>
      <c r="K1812" s="12">
        <v>23000</v>
      </c>
      <c r="L1812" s="12" t="s">
        <v>35</v>
      </c>
      <c r="M1812" s="13">
        <v>202403305178</v>
      </c>
      <c r="N1812" s="14" t="s">
        <v>11373</v>
      </c>
      <c r="O1812" s="14" t="e">
        <v>#N/A</v>
      </c>
      <c r="P1812" s="14" t="e">
        <v>#N/A</v>
      </c>
      <c r="Q1812" s="19" t="s">
        <v>11374</v>
      </c>
      <c r="R1812" s="15" t="s">
        <v>11375</v>
      </c>
      <c r="S1812" s="15" t="s">
        <v>37</v>
      </c>
      <c r="T1812" s="16" t="s">
        <v>38</v>
      </c>
      <c r="U1812" s="11" t="str">
        <f>_xlfn.XLOOKUP(Customer[[#This Row],[Customer ID]],[1]!Address[ID],[1]!Address[Phone No.(2)])</f>
        <v/>
      </c>
      <c r="V1812" s="11" t="str">
        <f>_xlfn.XLOOKUP(Customer[[#This Row],[Customer ID]],[1]!Address[ID],[1]!Address[Type])</f>
        <v>PETROMART</v>
      </c>
      <c r="W1812" s="11" t="str">
        <f>_xlfn.XLOOKUP(Customer[[#This Row],[Customer ID]],[1]!Address[ID],[1]!Address[CT])</f>
        <v>30</v>
      </c>
      <c r="X1812" s="11" t="s">
        <v>39</v>
      </c>
      <c r="Y1812" s="17" t="s">
        <v>40</v>
      </c>
      <c r="Z1812" s="17" t="e">
        <f>_xlfn.XLOOKUP(Customer[[#This Row],[NewType]],$AF$36:$AF$54,$AG$36:$AG$54)</f>
        <v>#N/A</v>
      </c>
      <c r="AA1812" s="17" t="s">
        <v>11376</v>
      </c>
      <c r="AB1812" s="11" t="str">
        <f>_xlfn.XLOOKUP(Customer[[#This Row],[Customer ID]],[1]!Address[ID],[1]!Address[Subtype])</f>
        <v>PETRONAS</v>
      </c>
      <c r="AC1812" s="18" t="str">
        <f>_xlfn.XLOOKUP(Customer[[#This Row],[Customer ID]],[1]!Address[ID],[1]!Address[Zone])</f>
        <v>EAST COAST</v>
      </c>
    </row>
    <row r="1813" spans="1:30" x14ac:dyDescent="0.3">
      <c r="A1813" s="10" t="s">
        <v>11377</v>
      </c>
      <c r="B1813" s="11" t="str">
        <f>_xlfn.XLOOKUP(Customer[[#This Row],[Customer ID]],[1]!Name[ID],[1]!Name[Description(1)])</f>
        <v>TASIK MUTIARA SERVICES / CAHAYA</v>
      </c>
      <c r="C1813" s="11" t="str">
        <f>_xlfn.XLOOKUP(Customer[[#This Row],[Customer ID]],[1]!Name[ID],[1]!Name[Description(2)])</f>
        <v>PS BANDAR TASEK MUTIARA</v>
      </c>
      <c r="D1813" s="11" t="str">
        <f>_xlfn.XLOOKUP(Customer[[#This Row],[Customer ID]],[1]!Address[ID],[1]!Address[PIC])</f>
        <v/>
      </c>
      <c r="E1813" s="11" t="str">
        <f>_xlfn.XLOOKUP(Customer[[#This Row],[Customer ID]],[1]!Address[ID],[1]!Address[Full Address])</f>
        <v>PS BANDAR TASEK MUTIARA1671, Jalan Tasek, Bandar TasekMutiara, 14120 Simpang Ampat, PulauPinang</v>
      </c>
      <c r="F1813" s="12" t="s">
        <v>922</v>
      </c>
      <c r="G1813" s="12" t="s">
        <v>11378</v>
      </c>
      <c r="H1813" s="12" t="s">
        <v>11379</v>
      </c>
      <c r="I1813" s="12" t="b">
        <f>ISNUMBER(VALUE(LEFT(Customer[[#This Row],[Address Line 3 (30 char)]],1)))</f>
        <v>0</v>
      </c>
      <c r="J1813" s="12" t="s">
        <v>179</v>
      </c>
      <c r="K1813" s="12">
        <v>14120</v>
      </c>
      <c r="L1813" s="12" t="s">
        <v>35</v>
      </c>
      <c r="M1813" s="13" t="e">
        <v>#N/A</v>
      </c>
      <c r="N1813" s="14" t="e">
        <v>#N/A</v>
      </c>
      <c r="O1813" s="14" t="e">
        <v>#N/A</v>
      </c>
      <c r="P1813" s="14" t="e">
        <v>#N/A</v>
      </c>
      <c r="Q1813" s="14" t="e">
        <v>#N/A</v>
      </c>
      <c r="R1813" s="15" t="s">
        <v>926</v>
      </c>
      <c r="S1813" s="15" t="s">
        <v>37</v>
      </c>
      <c r="T1813" s="16" t="s">
        <v>38</v>
      </c>
      <c r="U1813" s="11" t="str">
        <f>_xlfn.XLOOKUP(Customer[[#This Row],[Customer ID]],[1]!Address[ID],[1]!Address[Phone No.(2)])</f>
        <v/>
      </c>
      <c r="V1813" s="11" t="str">
        <f>_xlfn.XLOOKUP(Customer[[#This Row],[Customer ID]],[1]!Address[ID],[1]!Address[Type])</f>
        <v>PETROMART</v>
      </c>
      <c r="W1813" s="11" t="str">
        <f>_xlfn.XLOOKUP(Customer[[#This Row],[Customer ID]],[1]!Address[ID],[1]!Address[CT])</f>
        <v>30</v>
      </c>
      <c r="X1813" s="11" t="s">
        <v>39</v>
      </c>
      <c r="Y1813" s="17" t="s">
        <v>40</v>
      </c>
      <c r="Z1813" s="17" t="e">
        <f>_xlfn.XLOOKUP(Customer[[#This Row],[NewType]],$AF$36:$AF$54,$AG$36:$AG$54)</f>
        <v>#N/A</v>
      </c>
      <c r="AA1813" s="17" t="s">
        <v>11380</v>
      </c>
      <c r="AB1813" s="11" t="str">
        <f>_xlfn.XLOOKUP(Customer[[#This Row],[Customer ID]],[1]!Address[ID],[1]!Address[Subtype])</f>
        <v>PETRONAS</v>
      </c>
      <c r="AC1813" s="18" t="str">
        <f>_xlfn.XLOOKUP(Customer[[#This Row],[Customer ID]],[1]!Address[ID],[1]!Address[Zone])</f>
        <v>NORTH</v>
      </c>
    </row>
    <row r="1814" spans="1:30" x14ac:dyDescent="0.3">
      <c r="A1814" s="10" t="s">
        <v>11381</v>
      </c>
      <c r="B1814" s="11" t="str">
        <f>_xlfn.XLOOKUP(Customer[[#This Row],[Customer ID]],[1]!Name[ID],[1]!Name[Description(1)])</f>
        <v>NASRULLAH BIN SHAHI</v>
      </c>
      <c r="C1814" s="11" t="str">
        <f>_xlfn.XLOOKUP(Customer[[#This Row],[Customer ID]],[1]!Name[ID],[1]!Name[Description(2)])</f>
        <v/>
      </c>
      <c r="D1814" s="11" t="str">
        <f>_xlfn.XLOOKUP(Customer[[#This Row],[Customer ID]],[1]!Address[ID],[1]!Address[PIC])</f>
        <v/>
      </c>
      <c r="E1814" s="11" t="str">
        <f>_xlfn.XLOOKUP(Customer[[#This Row],[Customer ID]],[1]!Address[ID],[1]!Address[Full Address])</f>
        <v>5 JALAN KRISTAL TIGA 7/76C,SEKSYEN 7 SHAH ALAM, 40000 SELANGOR</v>
      </c>
      <c r="F1814" s="12" t="s">
        <v>11382</v>
      </c>
      <c r="G1814" s="12" t="s">
        <v>11383</v>
      </c>
      <c r="H1814" s="12" t="s">
        <v>36</v>
      </c>
      <c r="I1814" s="12" t="b">
        <f>ISNUMBER(VALUE(LEFT(Customer[[#This Row],[Address Line 3 (30 char)]],1)))</f>
        <v>0</v>
      </c>
      <c r="J1814" s="12" t="s">
        <v>172</v>
      </c>
      <c r="K1814" s="12">
        <v>40000</v>
      </c>
      <c r="L1814" s="12" t="s">
        <v>35</v>
      </c>
      <c r="M1814" s="13" t="e">
        <v>#N/A</v>
      </c>
      <c r="N1814" s="14" t="e">
        <v>#N/A</v>
      </c>
      <c r="O1814" s="14" t="e">
        <v>#N/A</v>
      </c>
      <c r="P1814" s="14" t="e">
        <v>#N/A</v>
      </c>
      <c r="Q1814" s="14" t="e">
        <v>#N/A</v>
      </c>
      <c r="R1814" s="15" t="s">
        <v>11384</v>
      </c>
      <c r="S1814" s="15" t="s">
        <v>88</v>
      </c>
      <c r="T1814" s="16" t="s">
        <v>89</v>
      </c>
      <c r="U1814" s="11" t="str">
        <f>_xlfn.XLOOKUP(Customer[[#This Row],[Customer ID]],[1]!Address[ID],[1]!Address[Phone No.(2)])</f>
        <v/>
      </c>
      <c r="V1814" s="11" t="str">
        <f>_xlfn.XLOOKUP(Customer[[#This Row],[Customer ID]],[1]!Address[ID],[1]!Address[Type])</f>
        <v>SOCMED</v>
      </c>
      <c r="W1814" s="11" t="str">
        <f>_xlfn.XLOOKUP(Customer[[#This Row],[Customer ID]],[1]!Address[ID],[1]!Address[CT])</f>
        <v/>
      </c>
      <c r="X1814" s="11"/>
      <c r="Y1814" s="17" t="s">
        <v>90</v>
      </c>
      <c r="Z1814" s="17" t="e">
        <f>_xlfn.XLOOKUP(Customer[[#This Row],[NewType]],$AF$36:$AF$54,$AG$36:$AG$54)</f>
        <v>#N/A</v>
      </c>
      <c r="AA1814" s="17" t="s">
        <v>11385</v>
      </c>
      <c r="AB1814" s="11" t="str">
        <f>_xlfn.XLOOKUP(Customer[[#This Row],[Customer ID]],[1]!Address[ID],[1]!Address[Subtype])</f>
        <v>ONLINE ROS</v>
      </c>
      <c r="AC1814" s="18" t="str">
        <f>_xlfn.XLOOKUP(Customer[[#This Row],[Customer ID]],[1]!Address[ID],[1]!Address[Zone])</f>
        <v>EEEDH</v>
      </c>
    </row>
    <row r="1815" spans="1:30" x14ac:dyDescent="0.3">
      <c r="A1815" s="10" t="s">
        <v>11386</v>
      </c>
      <c r="B1815" s="11" t="str">
        <f>_xlfn.XLOOKUP(Customer[[#This Row],[Customer ID]],[1]!Name[ID],[1]!Name[Description(1)])</f>
        <v>4YOU CONVENIENT STORE</v>
      </c>
      <c r="C1815" s="11" t="str">
        <f>_xlfn.XLOOKUP(Customer[[#This Row],[Customer ID]],[1]!Name[ID],[1]!Name[Description(2)])</f>
        <v>IBRAHIM BIN AZIR</v>
      </c>
      <c r="D1815" s="11" t="str">
        <f>_xlfn.XLOOKUP(Customer[[#This Row],[Customer ID]],[1]!Address[ID],[1]!Address[PIC])</f>
        <v>IBRAHIM</v>
      </c>
      <c r="E1815" s="11" t="str">
        <f>_xlfn.XLOOKUP(Customer[[#This Row],[Customer ID]],[1]!Address[ID],[1]!Address[Full Address])</f>
        <v>LOT 1836 NO.1 KPG ATAS MUKIM PADANGMATSIRAT 07000 LANGKAWI KEDAH</v>
      </c>
      <c r="F1815" s="12" t="s">
        <v>11387</v>
      </c>
      <c r="G1815" s="12" t="s">
        <v>11388</v>
      </c>
      <c r="H1815" s="12" t="s">
        <v>11389</v>
      </c>
      <c r="I1815" s="12" t="b">
        <f>ISNUMBER(VALUE(LEFT(Customer[[#This Row],[Address Line 3 (30 char)]],1)))</f>
        <v>0</v>
      </c>
      <c r="J1815" s="12" t="s">
        <v>355</v>
      </c>
      <c r="K1815" s="20" t="s">
        <v>1847</v>
      </c>
      <c r="L1815" s="12" t="s">
        <v>35</v>
      </c>
      <c r="M1815" s="13" t="e">
        <v>#N/A</v>
      </c>
      <c r="N1815" s="14" t="e">
        <v>#N/A</v>
      </c>
      <c r="O1815" s="14" t="e">
        <v>#N/A</v>
      </c>
      <c r="P1815" s="14" t="e">
        <v>#N/A</v>
      </c>
      <c r="Q1815" s="14" t="e">
        <v>#N/A</v>
      </c>
      <c r="R1815" s="15" t="s">
        <v>11390</v>
      </c>
      <c r="S1815" s="15" t="s">
        <v>88</v>
      </c>
      <c r="T1815" s="16" t="s">
        <v>89</v>
      </c>
      <c r="U1815" s="11" t="str">
        <f>_xlfn.XLOOKUP(Customer[[#This Row],[Customer ID]],[1]!Address[ID],[1]!Address[Phone No.(2)])</f>
        <v/>
      </c>
      <c r="V1815" s="11" t="str">
        <f>_xlfn.XLOOKUP(Customer[[#This Row],[Customer ID]],[1]!Address[ID],[1]!Address[Type])</f>
        <v>SOCMED</v>
      </c>
      <c r="W1815" s="11" t="str">
        <f>_xlfn.XLOOKUP(Customer[[#This Row],[Customer ID]],[1]!Address[ID],[1]!Address[CT])</f>
        <v/>
      </c>
      <c r="X1815" s="11"/>
      <c r="Y1815" s="17" t="s">
        <v>90</v>
      </c>
      <c r="Z1815" s="17" t="e">
        <f>_xlfn.XLOOKUP(Customer[[#This Row],[NewType]],$AF$36:$AF$54,$AG$36:$AG$54)</f>
        <v>#N/A</v>
      </c>
      <c r="AA1815" s="17" t="s">
        <v>11391</v>
      </c>
      <c r="AB1815" s="11" t="str">
        <f>_xlfn.XLOOKUP(Customer[[#This Row],[Customer ID]],[1]!Address[ID],[1]!Address[Subtype])</f>
        <v>ONLINE ROS</v>
      </c>
      <c r="AC1815" s="18" t="str">
        <f>_xlfn.XLOOKUP(Customer[[#This Row],[Customer ID]],[1]!Address[ID],[1]!Address[Zone])</f>
        <v>NORTH</v>
      </c>
    </row>
    <row r="1816" spans="1:30" x14ac:dyDescent="0.3">
      <c r="A1816" s="10" t="s">
        <v>11392</v>
      </c>
      <c r="B1816" s="11" t="str">
        <f>_xlfn.XLOOKUP(Customer[[#This Row],[Customer ID]],[1]!Name[ID],[1]!Name[Description(1)])</f>
        <v>KPF NIAGA SDN BHD -  TERSANG</v>
      </c>
      <c r="C1816" s="11" t="str">
        <f>_xlfn.XLOOKUP(Customer[[#This Row],[Customer ID]],[1]!Name[ID],[1]!Name[Description(2)])</f>
        <v>PS TERSANG 3</v>
      </c>
      <c r="D1816" s="11" t="str">
        <f>_xlfn.XLOOKUP(Customer[[#This Row],[Customer ID]],[1]!Address[ID],[1]!Address[PIC])</f>
        <v/>
      </c>
      <c r="E1816" s="11" t="str">
        <f>_xlfn.XLOOKUP(Customer[[#This Row],[Customer ID]],[1]!Address[ID],[1]!Address[Full Address])</f>
        <v>PS TERSANG 3FELDA TERSANG 0327650 RAUB PAHANG</v>
      </c>
      <c r="F1816" s="12" t="s">
        <v>11393</v>
      </c>
      <c r="G1816" s="12" t="s">
        <v>11394</v>
      </c>
      <c r="H1816" s="24" t="s">
        <v>9131</v>
      </c>
      <c r="I1816" s="24" t="b">
        <f>ISNUMBER(VALUE(LEFT(Customer[[#This Row],[Address Line 3 (30 char)]],1)))</f>
        <v>0</v>
      </c>
      <c r="J1816" s="12" t="s">
        <v>339</v>
      </c>
      <c r="K1816" s="12">
        <v>27610</v>
      </c>
      <c r="L1816" s="12" t="s">
        <v>35</v>
      </c>
      <c r="M1816" s="13" t="e">
        <v>#N/A</v>
      </c>
      <c r="N1816" s="14" t="e">
        <v>#N/A</v>
      </c>
      <c r="O1816" s="14" t="e">
        <v>#N/A</v>
      </c>
      <c r="P1816" s="14" t="e">
        <v>#N/A</v>
      </c>
      <c r="Q1816" s="19" t="s">
        <v>11395</v>
      </c>
      <c r="R1816" s="15" t="s">
        <v>11396</v>
      </c>
      <c r="S1816" s="15" t="s">
        <v>37</v>
      </c>
      <c r="T1816" s="16" t="s">
        <v>38</v>
      </c>
      <c r="U1816" s="11" t="str">
        <f>_xlfn.XLOOKUP(Customer[[#This Row],[Customer ID]],[1]!Address[ID],[1]!Address[Phone No.(2)])</f>
        <v/>
      </c>
      <c r="V1816" s="11" t="str">
        <f>_xlfn.XLOOKUP(Customer[[#This Row],[Customer ID]],[1]!Address[ID],[1]!Address[Type])</f>
        <v>PETROMART</v>
      </c>
      <c r="W1816" s="11" t="str">
        <f>_xlfn.XLOOKUP(Customer[[#This Row],[Customer ID]],[1]!Address[ID],[1]!Address[CT])</f>
        <v>30</v>
      </c>
      <c r="X1816" s="11" t="s">
        <v>39</v>
      </c>
      <c r="Y1816" s="17" t="s">
        <v>40</v>
      </c>
      <c r="Z1816" s="17" t="e">
        <f>_xlfn.XLOOKUP(Customer[[#This Row],[NewType]],$AF$36:$AF$54,$AG$36:$AG$54)</f>
        <v>#N/A</v>
      </c>
      <c r="AA1816" s="17" t="s">
        <v>11397</v>
      </c>
      <c r="AB1816" s="11" t="str">
        <f>_xlfn.XLOOKUP(Customer[[#This Row],[Customer ID]],[1]!Address[ID],[1]!Address[Subtype])</f>
        <v>PETRONAS</v>
      </c>
      <c r="AC1816" s="18" t="str">
        <f>_xlfn.XLOOKUP(Customer[[#This Row],[Customer ID]],[1]!Address[ID],[1]!Address[Zone])</f>
        <v>EAST COAST</v>
      </c>
    </row>
    <row r="1817" spans="1:30" x14ac:dyDescent="0.3">
      <c r="A1817" s="27" t="s">
        <v>11398</v>
      </c>
      <c r="B1817" s="28" t="str">
        <f>_xlfn.XLOOKUP(Customer[[#This Row],[Customer ID]],[1]!Name[ID],[1]!Name[Description(1)])</f>
        <v>HAZA SINAR ENTERPRISE</v>
      </c>
      <c r="C1817" s="11" t="str">
        <f>_xlfn.XLOOKUP(Customer[[#This Row],[Customer ID]],[1]!Name[ID],[1]!Name[Description(2)])</f>
        <v>CALTEX KUBANG PASU</v>
      </c>
      <c r="D1817" s="11" t="str">
        <f>_xlfn.XLOOKUP(Customer[[#This Row],[Customer ID]],[1]!Address[ID],[1]!Address[PIC])</f>
        <v/>
      </c>
      <c r="E1817" s="11" t="str">
        <f>_xlfn.XLOOKUP(Customer[[#This Row],[Customer ID]],[1]!Address[ID],[1]!Address[Full Address])</f>
        <v>CALTEX KUBANG PASULOT 2254 MUKIM PERINGDAERAH KUBANG PASU0600 JITRA KEDAH</v>
      </c>
      <c r="F1817" s="12" t="s">
        <v>11399</v>
      </c>
      <c r="G1817" s="12" t="s">
        <v>11400</v>
      </c>
      <c r="H1817" s="12" t="s">
        <v>11401</v>
      </c>
      <c r="I1817" s="12" t="b">
        <f>ISNUMBER(VALUE(LEFT(Customer[[#This Row],[Address Line 3 (30 char)]],1)))</f>
        <v>0</v>
      </c>
      <c r="J1817" s="12" t="s">
        <v>79</v>
      </c>
      <c r="K1817" s="30" t="s">
        <v>5731</v>
      </c>
      <c r="L1817" s="12" t="s">
        <v>35</v>
      </c>
      <c r="M1817" s="13" t="e">
        <v>#N/A</v>
      </c>
      <c r="N1817" s="14" t="e">
        <v>#N/A</v>
      </c>
      <c r="O1817" s="14" t="e">
        <v>#N/A</v>
      </c>
      <c r="P1817" s="14" t="e">
        <v>#N/A</v>
      </c>
      <c r="Q1817" s="19" t="s">
        <v>11402</v>
      </c>
      <c r="R1817" s="15" t="s">
        <v>11403</v>
      </c>
      <c r="S1817" s="15" t="s">
        <v>37</v>
      </c>
      <c r="T1817" s="16" t="s">
        <v>38</v>
      </c>
      <c r="U1817" s="11" t="str">
        <f>_xlfn.XLOOKUP(Customer[[#This Row],[Customer ID]],[1]!Address[ID],[1]!Address[Phone No.(2)])</f>
        <v/>
      </c>
      <c r="V1817" s="11" t="str">
        <f>_xlfn.XLOOKUP(Customer[[#This Row],[Customer ID]],[1]!Address[ID],[1]!Address[Type])</f>
        <v>PETROMART</v>
      </c>
      <c r="W1817" s="11" t="str">
        <f>_xlfn.XLOOKUP(Customer[[#This Row],[Customer ID]],[1]!Address[ID],[1]!Address[CT])</f>
        <v>30</v>
      </c>
      <c r="X1817" s="11" t="s">
        <v>39</v>
      </c>
      <c r="Y1817" s="17" t="s">
        <v>40</v>
      </c>
      <c r="Z1817" s="17" t="e">
        <f>_xlfn.XLOOKUP(Customer[[#This Row],[NewType]],$AF$36:$AF$54,$AG$36:$AG$54)</f>
        <v>#N/A</v>
      </c>
      <c r="AA1817" s="17" t="s">
        <v>11404</v>
      </c>
      <c r="AB1817" s="11" t="str">
        <f>_xlfn.XLOOKUP(Customer[[#This Row],[Customer ID]],[1]!Address[ID],[1]!Address[Subtype])</f>
        <v>CALTEX</v>
      </c>
      <c r="AC1817" s="18" t="str">
        <f>_xlfn.XLOOKUP(Customer[[#This Row],[Customer ID]],[1]!Address[ID],[1]!Address[Zone])</f>
        <v>NORTH</v>
      </c>
    </row>
    <row r="1818" spans="1:30" x14ac:dyDescent="0.3">
      <c r="A1818" s="48" t="s">
        <v>11405</v>
      </c>
      <c r="B1818" s="49" t="str">
        <f>_xlfn.XLOOKUP(Customer[[#This Row],[Customer ID]],[1]!Name[ID],[1]!Name[Description(1)])</f>
        <v>YB NIK NAZMI</v>
      </c>
      <c r="C1818" s="49" t="str">
        <f>_xlfn.XLOOKUP(Customer[[#This Row],[Customer ID]],[1]!Name[ID],[1]!Name[Description(2)])</f>
        <v/>
      </c>
      <c r="D1818" s="49" t="str">
        <f>_xlfn.XLOOKUP(Customer[[#This Row],[Customer ID]],[1]!Address[ID],[1]!Address[PIC])</f>
        <v/>
      </c>
      <c r="E1818" s="11" t="str">
        <f>_xlfn.XLOOKUP(Customer[[#This Row],[Customer ID]],[1]!Address[ID],[1]!Address[Full Address])</f>
        <v>PEJABAT CABANG SETIAWANGSA3-3 JALAN SERI REJANG 1,TAMAN SRI RAMPAI53300 KUALA LUMPUR</v>
      </c>
      <c r="F1818" s="63" t="s">
        <v>11406</v>
      </c>
      <c r="G1818" s="63" t="s">
        <v>11407</v>
      </c>
      <c r="H1818" s="63" t="s">
        <v>11408</v>
      </c>
      <c r="I1818" s="63" t="b">
        <f>ISNUMBER(VALUE(LEFT(Customer[[#This Row],[Address Line 3 (30 char)]],1)))</f>
        <v>0</v>
      </c>
      <c r="J1818" s="63" t="s">
        <v>34</v>
      </c>
      <c r="K1818" s="63">
        <v>53300</v>
      </c>
      <c r="L1818" s="63" t="s">
        <v>35</v>
      </c>
      <c r="M1818" s="65" t="e">
        <v>#N/A</v>
      </c>
      <c r="N1818" s="66" t="e">
        <v>#N/A</v>
      </c>
      <c r="O1818" s="66" t="e">
        <v>#N/A</v>
      </c>
      <c r="P1818" s="66" t="e">
        <v>#N/A</v>
      </c>
      <c r="Q1818" s="66" t="e">
        <v>#N/A</v>
      </c>
      <c r="R1818" s="51" t="s">
        <v>11409</v>
      </c>
      <c r="S1818" s="51"/>
      <c r="T1818" s="52"/>
      <c r="U1818" s="49" t="str">
        <f>_xlfn.XLOOKUP(Customer[[#This Row],[Customer ID]],[1]!Address[ID],[1]!Address[Phone No.(2)])</f>
        <v/>
      </c>
      <c r="V1818" s="49" t="str">
        <f>_xlfn.XLOOKUP(Customer[[#This Row],[Customer ID]],[1]!Address[ID],[1]!Address[Type])</f>
        <v>SOCMED</v>
      </c>
      <c r="W1818" s="49" t="str">
        <f>_xlfn.XLOOKUP(Customer[[#This Row],[Customer ID]],[1]!Address[ID],[1]!Address[CT])</f>
        <v>CASH</v>
      </c>
      <c r="X1818" s="49"/>
      <c r="Y1818" s="53" t="s">
        <v>90</v>
      </c>
      <c r="Z1818" s="53" t="e">
        <f>_xlfn.XLOOKUP(Customer[[#This Row],[NewType]],$AF$36:$AF$54,$AG$36:$AG$54)</f>
        <v>#N/A</v>
      </c>
      <c r="AA1818" s="53" t="s">
        <v>11410</v>
      </c>
      <c r="AB1818" s="49" t="str">
        <f>_xlfn.XLOOKUP(Customer[[#This Row],[Customer ID]],[1]!Address[ID],[1]!Address[Subtype])</f>
        <v>WHATSAPP</v>
      </c>
      <c r="AC1818" s="54" t="str">
        <f>_xlfn.XLOOKUP(Customer[[#This Row],[Customer ID]],[1]!Address[ID],[1]!Address[Zone])</f>
        <v>CENTRAL</v>
      </c>
      <c r="AD1818" s="55"/>
    </row>
    <row r="1819" spans="1:30" x14ac:dyDescent="0.3">
      <c r="A1819" s="48" t="s">
        <v>11411</v>
      </c>
      <c r="B1819" s="49" t="str">
        <f>_xlfn.XLOOKUP(Customer[[#This Row],[Customer ID]],[1]!Name[ID],[1]!Name[Description(1)])</f>
        <v>FRU NEGERI SEMBILAN</v>
      </c>
      <c r="C1819" s="49" t="str">
        <f>_xlfn.XLOOKUP(Customer[[#This Row],[Customer ID]],[1]!Name[ID],[1]!Name[Description(2)])</f>
        <v/>
      </c>
      <c r="D1819" s="49" t="str">
        <f>_xlfn.XLOOKUP(Customer[[#This Row],[Customer ID]],[1]!Address[ID],[1]!Address[PIC])</f>
        <v/>
      </c>
      <c r="E1819" s="11" t="str">
        <f>_xlfn.XLOOKUP(Customer[[#This Row],[Customer ID]],[1]!Address[ID],[1]!Address[Full Address])</f>
        <v>PEJABAT UNIT 7,PASUKAN SIMPANAN PERSEKUTUAN,JALAN CAMPBELL, 70710 SEREMBAN,NEGERI SEMBILAN</v>
      </c>
      <c r="F1819" s="12" t="s">
        <v>11412</v>
      </c>
      <c r="G1819" s="12" t="s">
        <v>11413</v>
      </c>
      <c r="H1819" s="12" t="s">
        <v>11414</v>
      </c>
      <c r="I1819" s="12" t="b">
        <f>ISNUMBER(VALUE(LEFT(Customer[[#This Row],[Address Line 3 (30 char)]],1)))</f>
        <v>0</v>
      </c>
      <c r="J1819" s="12" t="s">
        <v>203</v>
      </c>
      <c r="K1819" s="12">
        <v>70710</v>
      </c>
      <c r="L1819" s="12" t="s">
        <v>35</v>
      </c>
      <c r="M1819" s="13" t="e">
        <v>#N/A</v>
      </c>
      <c r="N1819" s="14" t="e">
        <v>#N/A</v>
      </c>
      <c r="O1819" s="14" t="e">
        <v>#N/A</v>
      </c>
      <c r="P1819" s="14" t="e">
        <v>#N/A</v>
      </c>
      <c r="Q1819" s="14" t="e">
        <v>#N/A</v>
      </c>
      <c r="R1819" s="51" t="s">
        <v>11415</v>
      </c>
      <c r="S1819" s="16" t="s">
        <v>89</v>
      </c>
      <c r="T1819" s="16" t="s">
        <v>89</v>
      </c>
      <c r="U1819" s="49" t="str">
        <f>_xlfn.XLOOKUP(Customer[[#This Row],[Customer ID]],[1]!Address[ID],[1]!Address[Phone No.(2)])</f>
        <v/>
      </c>
      <c r="V1819" s="49" t="str">
        <f>_xlfn.XLOOKUP(Customer[[#This Row],[Customer ID]],[1]!Address[ID],[1]!Address[Type])</f>
        <v>WALK IN</v>
      </c>
      <c r="W1819" s="49" t="str">
        <f>_xlfn.XLOOKUP(Customer[[#This Row],[Customer ID]],[1]!Address[ID],[1]!Address[CT])</f>
        <v/>
      </c>
      <c r="X1819" s="49"/>
      <c r="Y1819" s="53" t="s">
        <v>6284</v>
      </c>
      <c r="Z1819" s="53" t="e">
        <f>_xlfn.XLOOKUP(Customer[[#This Row],[NewType]],$AF$36:$AF$54,$AG$36:$AG$54)</f>
        <v>#N/A</v>
      </c>
      <c r="AA1819" s="53" t="s">
        <v>11416</v>
      </c>
      <c r="AB1819" s="49" t="str">
        <f>_xlfn.XLOOKUP(Customer[[#This Row],[Customer ID]],[1]!Address[ID],[1]!Address[Subtype])</f>
        <v>PEDAS</v>
      </c>
      <c r="AC1819" s="54" t="str">
        <f>_xlfn.XLOOKUP(Customer[[#This Row],[Customer ID]],[1]!Address[ID],[1]!Address[Zone])</f>
        <v>CENTRAL</v>
      </c>
      <c r="AD1819" s="55"/>
    </row>
    <row r="1820" spans="1:30" x14ac:dyDescent="0.3">
      <c r="A1820" s="10" t="s">
        <v>11417</v>
      </c>
      <c r="B1820" s="11" t="str">
        <f>_xlfn.XLOOKUP(Customer[[#This Row],[Customer ID]],[1]!Name[ID],[1]!Name[Description(1)])</f>
        <v>CAFE MESRA @UNITEN STUDENT CENTRE</v>
      </c>
      <c r="C1820" s="11" t="str">
        <f>_xlfn.XLOOKUP(Customer[[#This Row],[Customer ID]],[1]!Name[ID],[1]!Name[Description(2)])</f>
        <v/>
      </c>
      <c r="D1820" s="11" t="str">
        <f>_xlfn.XLOOKUP(Customer[[#This Row],[Customer ID]],[1]!Address[ID],[1]!Address[PIC])</f>
        <v/>
      </c>
      <c r="E1820" s="11" t="str">
        <f>_xlfn.XLOOKUP(Customer[[#This Row],[Customer ID]],[1]!Address[ID],[1]!Address[Full Address])</f>
        <v>Bilik TB-0-001, Bangunan Pusat Pelajar,Universiti Tenaga Nasional, KampusPutrajaya, Jalan Ikram, UNITEN 43000 Ka.</v>
      </c>
      <c r="F1820" s="12" t="s">
        <v>11418</v>
      </c>
      <c r="G1820" s="12" t="s">
        <v>11419</v>
      </c>
      <c r="H1820" s="12" t="s">
        <v>11420</v>
      </c>
      <c r="I1820" s="12" t="b">
        <f>ISNUMBER(VALUE(LEFT(Customer[[#This Row],[Address Line 3 (30 char)]],1)))</f>
        <v>0</v>
      </c>
      <c r="J1820" s="12" t="s">
        <v>172</v>
      </c>
      <c r="K1820" s="12">
        <v>43000</v>
      </c>
      <c r="L1820" s="12" t="s">
        <v>35</v>
      </c>
      <c r="M1820" s="13" t="e">
        <v>#N/A</v>
      </c>
      <c r="N1820" s="14" t="e">
        <v>#N/A</v>
      </c>
      <c r="O1820" s="14" t="e">
        <v>#N/A</v>
      </c>
      <c r="P1820" s="14" t="e">
        <v>#N/A</v>
      </c>
      <c r="Q1820" s="14" t="e">
        <v>#N/A</v>
      </c>
      <c r="R1820" s="15" t="s">
        <v>36</v>
      </c>
      <c r="S1820" s="15" t="s">
        <v>37</v>
      </c>
      <c r="T1820" s="16" t="s">
        <v>38</v>
      </c>
      <c r="U1820" s="11" t="str">
        <f>_xlfn.XLOOKUP(Customer[[#This Row],[Customer ID]],[1]!Address[ID],[1]!Address[Phone No.(2)])</f>
        <v/>
      </c>
      <c r="V1820" s="11" t="str">
        <f>_xlfn.XLOOKUP(Customer[[#This Row],[Customer ID]],[1]!Address[ID],[1]!Address[Type])</f>
        <v>PETROMART</v>
      </c>
      <c r="W1820" s="11" t="str">
        <f>_xlfn.XLOOKUP(Customer[[#This Row],[Customer ID]],[1]!Address[ID],[1]!Address[CT])</f>
        <v>30</v>
      </c>
      <c r="X1820" s="11" t="s">
        <v>39</v>
      </c>
      <c r="Y1820" s="17" t="s">
        <v>40</v>
      </c>
      <c r="Z1820" s="17" t="e">
        <f>_xlfn.XLOOKUP(Customer[[#This Row],[NewType]],$AF$36:$AF$54,$AG$36:$AG$54)</f>
        <v>#N/A</v>
      </c>
      <c r="AA1820" s="17" t="s">
        <v>11421</v>
      </c>
      <c r="AB1820" s="11" t="str">
        <f>_xlfn.XLOOKUP(Customer[[#This Row],[Customer ID]],[1]!Address[ID],[1]!Address[Subtype])</f>
        <v>PETRONAS</v>
      </c>
      <c r="AC1820" s="18" t="str">
        <f>_xlfn.XLOOKUP(Customer[[#This Row],[Customer ID]],[1]!Address[ID],[1]!Address[Zone])</f>
        <v>CENTRAL</v>
      </c>
    </row>
    <row r="1821" spans="1:30" x14ac:dyDescent="0.3">
      <c r="A1821" s="10" t="s">
        <v>11422</v>
      </c>
      <c r="B1821" s="11" t="str">
        <f>_xlfn.XLOOKUP(Customer[[#This Row],[Customer ID]],[1]!Name[ID],[1]!Name[Description(1)])</f>
        <v>FARMASI PELANGI</v>
      </c>
      <c r="C1821" s="11" t="str">
        <f>_xlfn.XLOOKUP(Customer[[#This Row],[Customer ID]],[1]!Name[ID],[1]!Name[Description(2)])</f>
        <v/>
      </c>
      <c r="D1821" s="11" t="str">
        <f>_xlfn.XLOOKUP(Customer[[#This Row],[Customer ID]],[1]!Address[ID],[1]!Address[PIC])</f>
        <v/>
      </c>
      <c r="E1821" s="11" t="str">
        <f>_xlfn.XLOOKUP(Customer[[#This Row],[Customer ID]],[1]!Address[ID],[1]!Address[Full Address])</f>
        <v>D-1-03 JALAN PELANGI 1, TAMAN PELANGI13600 PERAI PP</v>
      </c>
      <c r="F1821" s="12" t="s">
        <v>11423</v>
      </c>
      <c r="G1821" s="12" t="s">
        <v>11424</v>
      </c>
      <c r="H1821" s="12" t="s">
        <v>8246</v>
      </c>
      <c r="I1821" s="12" t="b">
        <f>ISNUMBER(VALUE(LEFT(Customer[[#This Row],[Address Line 3 (30 char)]],1)))</f>
        <v>0</v>
      </c>
      <c r="J1821" s="12" t="s">
        <v>179</v>
      </c>
      <c r="K1821" s="12">
        <v>13600</v>
      </c>
      <c r="L1821" s="12" t="s">
        <v>35</v>
      </c>
      <c r="M1821" s="13" t="e">
        <v>#N/A</v>
      </c>
      <c r="N1821" s="14" t="e">
        <v>#N/A</v>
      </c>
      <c r="O1821" s="14" t="e">
        <v>#N/A</v>
      </c>
      <c r="P1821" s="14" t="e">
        <v>#N/A</v>
      </c>
      <c r="Q1821" s="14" t="e">
        <v>#N/A</v>
      </c>
      <c r="R1821" s="15" t="s">
        <v>9478</v>
      </c>
      <c r="S1821" s="15" t="s">
        <v>88</v>
      </c>
      <c r="T1821" s="16" t="s">
        <v>6283</v>
      </c>
      <c r="U1821" s="11" t="str">
        <f>_xlfn.XLOOKUP(Customer[[#This Row],[Customer ID]],[1]!Address[ID],[1]!Address[Phone No.(2)])</f>
        <v/>
      </c>
      <c r="V1821" s="11" t="str">
        <f>_xlfn.XLOOKUP(Customer[[#This Row],[Customer ID]],[1]!Address[ID],[1]!Address[Type])</f>
        <v>SOCMED</v>
      </c>
      <c r="W1821" s="11" t="str">
        <f>_xlfn.XLOOKUP(Customer[[#This Row],[Customer ID]],[1]!Address[ID],[1]!Address[CT])</f>
        <v/>
      </c>
      <c r="X1821" s="11"/>
      <c r="Y1821" s="17" t="s">
        <v>90</v>
      </c>
      <c r="Z1821" s="17" t="e">
        <f>_xlfn.XLOOKUP(Customer[[#This Row],[NewType]],$AF$36:$AF$54,$AG$36:$AG$54)</f>
        <v>#N/A</v>
      </c>
      <c r="AA1821" s="17" t="s">
        <v>11425</v>
      </c>
      <c r="AB1821" s="11" t="str">
        <f>_xlfn.XLOOKUP(Customer[[#This Row],[Customer ID]],[1]!Address[ID],[1]!Address[Subtype])</f>
        <v>ONLINE ROS</v>
      </c>
      <c r="AC1821" s="18" t="str">
        <f>_xlfn.XLOOKUP(Customer[[#This Row],[Customer ID]],[1]!Address[ID],[1]!Address[Zone])</f>
        <v>E3EDH</v>
      </c>
    </row>
    <row r="1822" spans="1:30" x14ac:dyDescent="0.3">
      <c r="A1822" s="10" t="s">
        <v>11426</v>
      </c>
      <c r="B1822" s="11" t="str">
        <f>_xlfn.XLOOKUP(Customer[[#This Row],[Customer ID]],[1]!Name[ID],[1]!Name[Description(1)])</f>
        <v>9310-OMEGA 1 DC</v>
      </c>
      <c r="C1822" s="11" t="str">
        <f>_xlfn.XLOOKUP(Customer[[#This Row],[Customer ID]],[1]!Name[ID],[1]!Name[Description(2)])</f>
        <v>7-ELEVEN MALAYSIA SDN. BHD.</v>
      </c>
      <c r="D1822" s="11" t="str">
        <f>_xlfn.XLOOKUP(Customer[[#This Row],[Customer ID]],[1]!Address[ID],[1]!Address[PIC])</f>
        <v/>
      </c>
      <c r="E1822" s="11" t="str">
        <f>_xlfn.XLOOKUP(Customer[[#This Row],[Customer ID]],[1]!Address[ID],[1]!Address[Full Address])</f>
        <v>JALAN KELULI 2B/KU2,OMEGA 1 BUKIT RAJA, 2,41050, TAMAN PERINDUSTRIAN BUKIT RAJASELANGOR</v>
      </c>
      <c r="F1822" s="12" t="s">
        <v>11427</v>
      </c>
      <c r="G1822" s="12" t="s">
        <v>11428</v>
      </c>
      <c r="H1822" s="12" t="s">
        <v>11429</v>
      </c>
      <c r="I1822" s="12" t="b">
        <f>ISNUMBER(VALUE(LEFT(Customer[[#This Row],[Address Line 3 (30 char)]],1)))</f>
        <v>0</v>
      </c>
      <c r="J1822" s="12" t="s">
        <v>172</v>
      </c>
      <c r="K1822" s="12">
        <v>41050</v>
      </c>
      <c r="L1822" s="12" t="s">
        <v>35</v>
      </c>
      <c r="M1822" s="13" t="e">
        <v>#N/A</v>
      </c>
      <c r="N1822" s="14" t="e">
        <v>#N/A</v>
      </c>
      <c r="O1822" s="14" t="e">
        <v>#N/A</v>
      </c>
      <c r="P1822" s="14" t="e">
        <v>#N/A</v>
      </c>
      <c r="Q1822" s="14" t="e">
        <v>#N/A</v>
      </c>
      <c r="R1822" s="15" t="s">
        <v>5933</v>
      </c>
      <c r="S1822" s="15" t="s">
        <v>5934</v>
      </c>
      <c r="T1822" s="16" t="s">
        <v>3477</v>
      </c>
      <c r="U1822" s="11" t="str">
        <f>_xlfn.XLOOKUP(Customer[[#This Row],[Customer ID]],[1]!Address[ID],[1]!Address[Phone No.(2)])</f>
        <v/>
      </c>
      <c r="V1822" s="11" t="str">
        <f>_xlfn.XLOOKUP(Customer[[#This Row],[Customer ID]],[1]!Address[ID],[1]!Address[Type])</f>
        <v>CM</v>
      </c>
      <c r="W1822" s="11" t="str">
        <f>_xlfn.XLOOKUP(Customer[[#This Row],[Customer ID]],[1]!Address[ID],[1]!Address[CT])</f>
        <v>90 DAYS</v>
      </c>
      <c r="X1822" s="11"/>
      <c r="Y1822" s="17" t="s">
        <v>5918</v>
      </c>
      <c r="Z1822" s="17" t="e">
        <f>_xlfn.XLOOKUP(Customer[[#This Row],[NewType]],$AF$36:$AF$54,$AG$36:$AG$54)</f>
        <v>#N/A</v>
      </c>
      <c r="AA1822" s="17" t="s">
        <v>11430</v>
      </c>
      <c r="AB1822" s="11" t="str">
        <f>_xlfn.XLOOKUP(Customer[[#This Row],[Customer ID]],[1]!Address[ID],[1]!Address[Subtype])</f>
        <v>7-ELEVEN</v>
      </c>
      <c r="AC1822" s="18" t="str">
        <f>_xlfn.XLOOKUP(Customer[[#This Row],[Customer ID]],[1]!Address[ID],[1]!Address[Zone])</f>
        <v>-ELEVENMUEGAH</v>
      </c>
    </row>
    <row r="1823" spans="1:30" x14ac:dyDescent="0.3">
      <c r="A1823" s="10" t="s">
        <v>11431</v>
      </c>
      <c r="B1823" s="11" t="str">
        <f>_xlfn.XLOOKUP(Customer[[#This Row],[Customer ID]],[1]!Name[ID],[1]!Name[Description(1)])</f>
        <v>HJH RABIATUL (AL JENDERAMI)</v>
      </c>
      <c r="C1823" s="32" t="str">
        <f>_xlfn.XLOOKUP(Customer[[#This Row],[Customer ID]],[1]!Name[ID],[1]!Name[Description(2)])</f>
        <v/>
      </c>
      <c r="D1823" s="11" t="str">
        <f>_xlfn.XLOOKUP(Customer[[#This Row],[Customer ID]],[1]!Address[ID],[1]!Address[PIC])</f>
        <v/>
      </c>
      <c r="E1823" s="11" t="str">
        <f>_xlfn.XLOOKUP(Customer[[#This Row],[Customer ID]],[1]!Address[ID],[1]!Address[Full Address])</f>
        <v>AL JENDERAMI, DENGKIL</v>
      </c>
      <c r="F1823" s="12" t="s">
        <v>11432</v>
      </c>
      <c r="G1823" s="12" t="s">
        <v>11433</v>
      </c>
      <c r="H1823" s="12" t="s">
        <v>11434</v>
      </c>
      <c r="I1823" s="12" t="b">
        <f>ISNUMBER(VALUE(LEFT(Customer[[#This Row],[Address Line 3 (30 char)]],1)))</f>
        <v>0</v>
      </c>
      <c r="J1823" s="32" t="s">
        <v>172</v>
      </c>
      <c r="K1823" s="32">
        <v>43800</v>
      </c>
      <c r="L1823" s="12" t="s">
        <v>35</v>
      </c>
      <c r="M1823" s="13" t="e">
        <v>#N/A</v>
      </c>
      <c r="N1823" s="14" t="e">
        <v>#N/A</v>
      </c>
      <c r="O1823" s="14" t="e">
        <v>#N/A</v>
      </c>
      <c r="P1823" s="14" t="e">
        <v>#N/A</v>
      </c>
      <c r="Q1823" s="14" t="e">
        <v>#N/A</v>
      </c>
      <c r="R1823" s="15" t="s">
        <v>11435</v>
      </c>
      <c r="S1823" s="15" t="s">
        <v>89</v>
      </c>
      <c r="T1823" s="16" t="s">
        <v>89</v>
      </c>
      <c r="U1823" s="11" t="str">
        <f>_xlfn.XLOOKUP(Customer[[#This Row],[Customer ID]],[1]!Address[ID],[1]!Address[Phone No.(2)])</f>
        <v/>
      </c>
      <c r="V1823" s="11" t="str">
        <f>_xlfn.XLOOKUP(Customer[[#This Row],[Customer ID]],[1]!Address[ID],[1]!Address[Type])</f>
        <v>SOCMED</v>
      </c>
      <c r="W1823" s="11" t="str">
        <f>_xlfn.XLOOKUP(Customer[[#This Row],[Customer ID]],[1]!Address[ID],[1]!Address[CT])</f>
        <v/>
      </c>
      <c r="X1823" s="11"/>
      <c r="Y1823" s="17" t="s">
        <v>90</v>
      </c>
      <c r="Z1823" s="17" t="e">
        <f>_xlfn.XLOOKUP(Customer[[#This Row],[NewType]],$AF$36:$AF$54,$AG$36:$AG$54)</f>
        <v>#N/A</v>
      </c>
      <c r="AA1823" s="17" t="s">
        <v>11436</v>
      </c>
      <c r="AB1823" s="11" t="str">
        <f>_xlfn.XLOOKUP(Customer[[#This Row],[Customer ID]],[1]!Address[ID],[1]!Address[Subtype])</f>
        <v>WHATSAPP</v>
      </c>
      <c r="AC1823" s="18" t="str">
        <f>_xlfn.XLOOKUP(Customer[[#This Row],[Customer ID]],[1]!Address[ID],[1]!Address[Zone])</f>
        <v>CENTRAL</v>
      </c>
    </row>
    <row r="1824" spans="1:30" x14ac:dyDescent="0.3">
      <c r="A1824" s="48" t="s">
        <v>11437</v>
      </c>
      <c r="B1824" s="49" t="str">
        <f>_xlfn.XLOOKUP(Customer[[#This Row],[Customer ID]],[1]!Name[ID],[1]!Name[Description(1)])</f>
        <v>SARA ANN LEGACY</v>
      </c>
      <c r="C1824" s="11" t="str">
        <f>_xlfn.XLOOKUP(Customer[[#This Row],[Customer ID]],[1]!Name[ID],[1]!Name[Description(2)])</f>
        <v>MUNIRAH BT NIK SULAI</v>
      </c>
      <c r="D1824" s="11" t="str">
        <f>_xlfn.XLOOKUP(Customer[[#This Row],[Customer ID]],[1]!Address[ID],[1]!Address[PIC])</f>
        <v/>
      </c>
      <c r="E1824" s="11" t="str">
        <f>_xlfn.XLOOKUP(Customer[[#This Row],[Customer ID]],[1]!Address[ID],[1]!Address[Full Address])</f>
        <v>104-G, JALAN BARU, PAK SABAH 23000DUNGUN, TERENGGANU</v>
      </c>
      <c r="F1824" s="12" t="s">
        <v>11438</v>
      </c>
      <c r="G1824" s="12" t="s">
        <v>11439</v>
      </c>
      <c r="H1824" s="12" t="s">
        <v>1553</v>
      </c>
      <c r="I1824" s="12" t="b">
        <f>ISNUMBER(VALUE(LEFT(Customer[[#This Row],[Address Line 3 (30 char)]],1)))</f>
        <v>0</v>
      </c>
      <c r="J1824" s="12" t="s">
        <v>1056</v>
      </c>
      <c r="K1824" s="12">
        <v>23000</v>
      </c>
      <c r="L1824" s="12" t="s">
        <v>35</v>
      </c>
      <c r="M1824" s="13" t="e">
        <v>#N/A</v>
      </c>
      <c r="N1824" s="14" t="e">
        <v>#N/A</v>
      </c>
      <c r="O1824" s="14" t="e">
        <v>#N/A</v>
      </c>
      <c r="P1824" s="14" t="e">
        <v>#N/A</v>
      </c>
      <c r="Q1824" s="14" t="e">
        <v>#N/A</v>
      </c>
      <c r="R1824" s="15" t="s">
        <v>11440</v>
      </c>
      <c r="S1824" s="15" t="s">
        <v>3212</v>
      </c>
      <c r="T1824" s="16" t="s">
        <v>89</v>
      </c>
      <c r="U1824" s="11" t="str">
        <f>_xlfn.XLOOKUP(Customer[[#This Row],[Customer ID]],[1]!Address[ID],[1]!Address[Phone No.(2)])</f>
        <v/>
      </c>
      <c r="V1824" s="11" t="str">
        <f>_xlfn.XLOOKUP(Customer[[#This Row],[Customer ID]],[1]!Address[ID],[1]!Address[Type])</f>
        <v>SOCMED</v>
      </c>
      <c r="W1824" s="11" t="str">
        <f>_xlfn.XLOOKUP(Customer[[#This Row],[Customer ID]],[1]!Address[ID],[1]!Address[CT])</f>
        <v/>
      </c>
      <c r="X1824" s="11"/>
      <c r="Y1824" s="17" t="s">
        <v>90</v>
      </c>
      <c r="Z1824" s="17" t="e">
        <f>_xlfn.XLOOKUP(Customer[[#This Row],[NewType]],$AF$36:$AF$54,$AG$36:$AG$54)</f>
        <v>#N/A</v>
      </c>
      <c r="AA1824" s="17" t="s">
        <v>11441</v>
      </c>
      <c r="AB1824" s="11" t="str">
        <f>_xlfn.XLOOKUP(Customer[[#This Row],[Customer ID]],[1]!Address[ID],[1]!Address[Subtype])</f>
        <v>ONLINE HAJAR</v>
      </c>
      <c r="AC1824" s="18" t="str">
        <f>_xlfn.XLOOKUP(Customer[[#This Row],[Customer ID]],[1]!Address[ID],[1]!Address[Zone])</f>
        <v>EAST COAST</v>
      </c>
    </row>
    <row r="1825" spans="1:30" x14ac:dyDescent="0.3">
      <c r="A1825" s="48" t="s">
        <v>11442</v>
      </c>
      <c r="B1825" s="49" t="str">
        <f>_xlfn.XLOOKUP(Customer[[#This Row],[Customer ID]],[1]!Name[ID],[1]!Name[Description(1)])</f>
        <v>FARMASI SUCI BIDARA SDN BHD</v>
      </c>
      <c r="C1825" s="11" t="str">
        <f>_xlfn.XLOOKUP(Customer[[#This Row],[Customer ID]],[1]!Name[ID],[1]!Name[Description(2)])</f>
        <v/>
      </c>
      <c r="D1825" s="11" t="str">
        <f>_xlfn.XLOOKUP(Customer[[#This Row],[Customer ID]],[1]!Address[ID],[1]!Address[PIC])</f>
        <v/>
      </c>
      <c r="E1825" s="11" t="str">
        <f>_xlfn.XLOOKUP(Customer[[#This Row],[Customer ID]],[1]!Address[ID],[1]!Address[Full Address])</f>
        <v>NO 31, JLN PUTRA TMN TANJUNG PUTERI,09300 KUALA KETIL, KEDAH</v>
      </c>
      <c r="F1825" s="12" t="s">
        <v>11443</v>
      </c>
      <c r="G1825" s="12" t="s">
        <v>11444</v>
      </c>
      <c r="H1825" s="12" t="s">
        <v>11445</v>
      </c>
      <c r="I1825" s="12" t="b">
        <f>ISNUMBER(VALUE(LEFT(Customer[[#This Row],[Address Line 3 (30 char)]],1)))</f>
        <v>0</v>
      </c>
      <c r="J1825" s="12" t="s">
        <v>355</v>
      </c>
      <c r="K1825" s="20" t="s">
        <v>2968</v>
      </c>
      <c r="L1825" s="12" t="s">
        <v>35</v>
      </c>
      <c r="M1825" s="13" t="e">
        <v>#N/A</v>
      </c>
      <c r="N1825" s="14" t="e">
        <v>#N/A</v>
      </c>
      <c r="O1825" s="14" t="e">
        <v>#N/A</v>
      </c>
      <c r="P1825" s="14" t="e">
        <v>#N/A</v>
      </c>
      <c r="Q1825" s="14" t="e">
        <v>#N/A</v>
      </c>
      <c r="R1825" s="15" t="s">
        <v>11446</v>
      </c>
      <c r="S1825" s="15" t="s">
        <v>3212</v>
      </c>
      <c r="T1825" s="16" t="s">
        <v>89</v>
      </c>
      <c r="U1825" s="11" t="str">
        <f>_xlfn.XLOOKUP(Customer[[#This Row],[Customer ID]],[1]!Address[ID],[1]!Address[Phone No.(2)])</f>
        <v/>
      </c>
      <c r="V1825" s="11" t="str">
        <f>_xlfn.XLOOKUP(Customer[[#This Row],[Customer ID]],[1]!Address[ID],[1]!Address[Type])</f>
        <v>SOCMED</v>
      </c>
      <c r="W1825" s="11" t="str">
        <f>_xlfn.XLOOKUP(Customer[[#This Row],[Customer ID]],[1]!Address[ID],[1]!Address[CT])</f>
        <v/>
      </c>
      <c r="X1825" s="11"/>
      <c r="Y1825" s="17" t="s">
        <v>90</v>
      </c>
      <c r="Z1825" s="17" t="e">
        <f>_xlfn.XLOOKUP(Customer[[#This Row],[NewType]],$AF$36:$AF$54,$AG$36:$AG$54)</f>
        <v>#N/A</v>
      </c>
      <c r="AA1825" s="17" t="s">
        <v>11447</v>
      </c>
      <c r="AB1825" s="11" t="str">
        <f>_xlfn.XLOOKUP(Customer[[#This Row],[Customer ID]],[1]!Address[ID],[1]!Address[Subtype])</f>
        <v>ONLINE HAJAR</v>
      </c>
      <c r="AC1825" s="18" t="str">
        <f>_xlfn.XLOOKUP(Customer[[#This Row],[Customer ID]],[1]!Address[ID],[1]!Address[Zone])</f>
        <v>NORTH</v>
      </c>
    </row>
    <row r="1826" spans="1:30" x14ac:dyDescent="0.3">
      <c r="A1826" s="10" t="s">
        <v>11448</v>
      </c>
      <c r="B1826" s="11" t="str">
        <f>_xlfn.XLOOKUP(Customer[[#This Row],[Customer ID]],[1]!Name[ID],[1]!Name[Description(1)])</f>
        <v>DR FAIZ-MB</v>
      </c>
      <c r="C1826" s="32" t="str">
        <f>_xlfn.XLOOKUP(Customer[[#This Row],[Customer ID]],[1]!Name[ID],[1]!Name[Description(2)])</f>
        <v/>
      </c>
      <c r="D1826" s="11" t="str">
        <f>_xlfn.XLOOKUP(Customer[[#This Row],[Customer ID]],[1]!Address[ID],[1]!Address[PIC])</f>
        <v/>
      </c>
      <c r="E1826" s="11" t="str">
        <f>_xlfn.XLOOKUP(Customer[[#This Row],[Customer ID]],[1]!Address[ID],[1]!Address[Full Address])</f>
        <v/>
      </c>
      <c r="F1826" s="12" t="s">
        <v>36</v>
      </c>
      <c r="G1826" s="12" t="s">
        <v>36</v>
      </c>
      <c r="H1826" s="12" t="s">
        <v>36</v>
      </c>
      <c r="I1826" s="12" t="b">
        <f>ISNUMBER(VALUE(LEFT(Customer[[#This Row],[Address Line 3 (30 char)]],1)))</f>
        <v>0</v>
      </c>
      <c r="J1826" s="32"/>
      <c r="K1826" s="32"/>
      <c r="L1826" s="12" t="s">
        <v>35</v>
      </c>
      <c r="M1826" s="13" t="e">
        <v>#N/A</v>
      </c>
      <c r="N1826" s="14" t="e">
        <v>#N/A</v>
      </c>
      <c r="O1826" s="14" t="e">
        <v>#N/A</v>
      </c>
      <c r="P1826" s="14" t="e">
        <v>#N/A</v>
      </c>
      <c r="Q1826" s="19" t="s">
        <v>11449</v>
      </c>
      <c r="R1826" s="15" t="s">
        <v>11450</v>
      </c>
      <c r="S1826" s="15" t="s">
        <v>4271</v>
      </c>
      <c r="T1826" s="15" t="s">
        <v>89</v>
      </c>
      <c r="U1826" s="11" t="str">
        <f>_xlfn.XLOOKUP(Customer[[#This Row],[Customer ID]],[1]!Address[ID],[1]!Address[Phone No.(2)])</f>
        <v/>
      </c>
      <c r="V1826" s="11" t="str">
        <f>_xlfn.XLOOKUP(Customer[[#This Row],[Customer ID]],[1]!Address[ID],[1]!Address[Type])</f>
        <v>SOCMED</v>
      </c>
      <c r="W1826" s="11" t="str">
        <f>_xlfn.XLOOKUP(Customer[[#This Row],[Customer ID]],[1]!Address[ID],[1]!Address[CT])</f>
        <v>CASH</v>
      </c>
      <c r="X1826" s="11"/>
      <c r="Y1826" s="17" t="s">
        <v>90</v>
      </c>
      <c r="Z1826" s="17" t="e">
        <f>_xlfn.XLOOKUP(Customer[[#This Row],[NewType]],$AF$36:$AF$54,$AG$36:$AG$54)</f>
        <v>#N/A</v>
      </c>
      <c r="AA1826" s="17" t="s">
        <v>11451</v>
      </c>
      <c r="AB1826" s="11" t="str">
        <f>_xlfn.XLOOKUP(Customer[[#This Row],[Customer ID]],[1]!Address[ID],[1]!Address[Subtype])</f>
        <v>WHATSAPP</v>
      </c>
      <c r="AC1826" s="18" t="str">
        <f>_xlfn.XLOOKUP(Customer[[#This Row],[Customer ID]],[1]!Address[ID],[1]!Address[Zone])</f>
        <v>AEEDH</v>
      </c>
    </row>
    <row r="1827" spans="1:30" x14ac:dyDescent="0.3">
      <c r="A1827" s="48" t="s">
        <v>11452</v>
      </c>
      <c r="B1827" s="49" t="str">
        <f>_xlfn.XLOOKUP(Customer[[#This Row],[Customer ID]],[1]!Name[ID],[1]!Name[Description(1)])</f>
        <v>CEMPAKAWALI ENTERPRI</v>
      </c>
      <c r="C1827" s="11" t="str">
        <f>_xlfn.XLOOKUP(Customer[[#This Row],[Customer ID]],[1]!Name[ID],[1]!Name[Description(2)])</f>
        <v>PETRON BERIS LALANG (CEMPAKA ENT)</v>
      </c>
      <c r="D1827" s="11" t="str">
        <f>_xlfn.XLOOKUP(Customer[[#This Row],[Customer ID]],[1]!Address[ID],[1]!Address[PIC])</f>
        <v/>
      </c>
      <c r="E1827" s="11" t="str">
        <f>_xlfn.XLOOKUP(Customer[[#This Row],[Customer ID]],[1]!Address[ID],[1]!Address[Full Address])</f>
        <v>PETRON BERIS LALANG (CEMPAKA ENT)LOT 4711, KG BERIS LALANG JLN BERISLALANG JELAWAT, BACHOK 16070 BACHOKKELANTAN</v>
      </c>
      <c r="F1827" s="12" t="s">
        <v>11453</v>
      </c>
      <c r="G1827" s="12" t="s">
        <v>11454</v>
      </c>
      <c r="H1827" s="12" t="s">
        <v>11455</v>
      </c>
      <c r="I1827" s="12" t="b">
        <f>ISNUMBER(VALUE(LEFT(Customer[[#This Row],[Address Line 3 (30 char)]],1)))</f>
        <v>0</v>
      </c>
      <c r="J1827" s="12" t="s">
        <v>1007</v>
      </c>
      <c r="K1827" s="12">
        <v>16070</v>
      </c>
      <c r="L1827" s="12" t="s">
        <v>35</v>
      </c>
      <c r="M1827" s="13" t="e">
        <v>#N/A</v>
      </c>
      <c r="N1827" s="14" t="e">
        <v>#N/A</v>
      </c>
      <c r="O1827" s="14" t="e">
        <v>#N/A</v>
      </c>
      <c r="P1827" s="14" t="e">
        <v>#N/A</v>
      </c>
      <c r="Q1827" s="14" t="e">
        <v>#N/A</v>
      </c>
      <c r="R1827" s="15" t="s">
        <v>11456</v>
      </c>
      <c r="S1827" s="15" t="s">
        <v>3212</v>
      </c>
      <c r="T1827" s="16" t="s">
        <v>89</v>
      </c>
      <c r="U1827" s="11" t="str">
        <f>_xlfn.XLOOKUP(Customer[[#This Row],[Customer ID]],[1]!Address[ID],[1]!Address[Phone No.(2)])</f>
        <v/>
      </c>
      <c r="V1827" s="11" t="str">
        <f>_xlfn.XLOOKUP(Customer[[#This Row],[Customer ID]],[1]!Address[ID],[1]!Address[Type])</f>
        <v>SOCMED</v>
      </c>
      <c r="W1827" s="11" t="str">
        <f>_xlfn.XLOOKUP(Customer[[#This Row],[Customer ID]],[1]!Address[ID],[1]!Address[CT])</f>
        <v/>
      </c>
      <c r="X1827" s="11"/>
      <c r="Y1827" s="17" t="s">
        <v>90</v>
      </c>
      <c r="Z1827" s="17" t="e">
        <f>_xlfn.XLOOKUP(Customer[[#This Row],[NewType]],$AF$36:$AF$54,$AG$36:$AG$54)</f>
        <v>#N/A</v>
      </c>
      <c r="AA1827" s="17" t="s">
        <v>11457</v>
      </c>
      <c r="AB1827" s="11" t="str">
        <f>_xlfn.XLOOKUP(Customer[[#This Row],[Customer ID]],[1]!Address[ID],[1]!Address[Subtype])</f>
        <v>ONLINE HAJAR</v>
      </c>
      <c r="AC1827" s="18" t="str">
        <f>_xlfn.XLOOKUP(Customer[[#This Row],[Customer ID]],[1]!Address[ID],[1]!Address[Zone])</f>
        <v>EAST COAST</v>
      </c>
    </row>
    <row r="1828" spans="1:30" x14ac:dyDescent="0.3">
      <c r="A1828" s="48" t="s">
        <v>11458</v>
      </c>
      <c r="B1828" s="49" t="str">
        <f>_xlfn.XLOOKUP(Customer[[#This Row],[Customer ID]],[1]!Name[ID],[1]!Name[Description(1)])</f>
        <v>KIRANA HEALTHCARE SDN BHD</v>
      </c>
      <c r="C1828" s="11" t="str">
        <f>_xlfn.XLOOKUP(Customer[[#This Row],[Customer ID]],[1]!Name[ID],[1]!Name[Description(2)])</f>
        <v/>
      </c>
      <c r="D1828" s="11" t="str">
        <f>_xlfn.XLOOKUP(Customer[[#This Row],[Customer ID]],[1]!Address[ID],[1]!Address[PIC])</f>
        <v/>
      </c>
      <c r="E1828" s="11" t="str">
        <f>_xlfn.XLOOKUP(Customer[[#This Row],[Customer ID]],[1]!Address[ID],[1]!Address[Full Address])</f>
        <v>A29-GF, LORONG BALOK PERDANA 3/1,TAMAN BALOK PERDANA 26100 KUANTANPAHANG</v>
      </c>
      <c r="F1828" s="12" t="s">
        <v>11459</v>
      </c>
      <c r="G1828" s="12" t="s">
        <v>11460</v>
      </c>
      <c r="H1828" s="12" t="s">
        <v>11461</v>
      </c>
      <c r="I1828" s="12" t="b">
        <f>ISNUMBER(VALUE(LEFT(Customer[[#This Row],[Address Line 3 (30 char)]],1)))</f>
        <v>0</v>
      </c>
      <c r="J1828" s="12" t="s">
        <v>339</v>
      </c>
      <c r="K1828" s="12">
        <v>26100</v>
      </c>
      <c r="L1828" s="12" t="s">
        <v>35</v>
      </c>
      <c r="M1828" s="13" t="e">
        <v>#N/A</v>
      </c>
      <c r="N1828" s="14" t="e">
        <v>#N/A</v>
      </c>
      <c r="O1828" s="14" t="e">
        <v>#N/A</v>
      </c>
      <c r="P1828" s="14" t="e">
        <v>#N/A</v>
      </c>
      <c r="Q1828" s="14" t="e">
        <v>#N/A</v>
      </c>
      <c r="R1828" s="15" t="s">
        <v>11462</v>
      </c>
      <c r="S1828" s="15" t="s">
        <v>3212</v>
      </c>
      <c r="T1828" s="16" t="s">
        <v>89</v>
      </c>
      <c r="U1828" s="11" t="str">
        <f>_xlfn.XLOOKUP(Customer[[#This Row],[Customer ID]],[1]!Address[ID],[1]!Address[Phone No.(2)])</f>
        <v/>
      </c>
      <c r="V1828" s="11" t="str">
        <f>_xlfn.XLOOKUP(Customer[[#This Row],[Customer ID]],[1]!Address[ID],[1]!Address[Type])</f>
        <v>SOCMED</v>
      </c>
      <c r="W1828" s="11" t="str">
        <f>_xlfn.XLOOKUP(Customer[[#This Row],[Customer ID]],[1]!Address[ID],[1]!Address[CT])</f>
        <v/>
      </c>
      <c r="X1828" s="11"/>
      <c r="Y1828" s="17" t="s">
        <v>90</v>
      </c>
      <c r="Z1828" s="17" t="e">
        <f>_xlfn.XLOOKUP(Customer[[#This Row],[NewType]],$AF$36:$AF$54,$AG$36:$AG$54)</f>
        <v>#N/A</v>
      </c>
      <c r="AA1828" s="17" t="s">
        <v>11463</v>
      </c>
      <c r="AB1828" s="11" t="str">
        <f>_xlfn.XLOOKUP(Customer[[#This Row],[Customer ID]],[1]!Address[ID],[1]!Address[Subtype])</f>
        <v>ONLINE HAJAR</v>
      </c>
      <c r="AC1828" s="18" t="str">
        <f>_xlfn.XLOOKUP(Customer[[#This Row],[Customer ID]],[1]!Address[ID],[1]!Address[Zone])</f>
        <v>EAST COAST</v>
      </c>
    </row>
    <row r="1829" spans="1:30" x14ac:dyDescent="0.3">
      <c r="A1829" s="10" t="s">
        <v>11464</v>
      </c>
      <c r="B1829" s="11" t="str">
        <f>_xlfn.XLOOKUP(Customer[[#This Row],[Customer ID]],[1]!Name[ID],[1]!Name[Description(1)])</f>
        <v>ODASSINI WORLDWIDE</v>
      </c>
      <c r="C1829" s="11" t="str">
        <f>_xlfn.XLOOKUP(Customer[[#This Row],[Customer ID]],[1]!Name[ID],[1]!Name[Description(2)])</f>
        <v/>
      </c>
      <c r="D1829" s="11" t="str">
        <f>_xlfn.XLOOKUP(Customer[[#This Row],[Customer ID]],[1]!Address[ID],[1]!Address[PIC])</f>
        <v/>
      </c>
      <c r="E1829" s="11" t="str">
        <f>_xlfn.XLOOKUP(Customer[[#This Row],[Customer ID]],[1]!Address[ID],[1]!Address[Full Address])</f>
        <v>NO. 33, JALAN ELEKTRON U16/94 DENAIALAM, 40160 SHAH ALAM, SELANGOR</v>
      </c>
      <c r="F1829" s="12" t="s">
        <v>11465</v>
      </c>
      <c r="G1829" s="12" t="s">
        <v>11466</v>
      </c>
      <c r="H1829" s="12" t="s">
        <v>4488</v>
      </c>
      <c r="I1829" s="12" t="b">
        <f>ISNUMBER(VALUE(LEFT(Customer[[#This Row],[Address Line 3 (30 char)]],1)))</f>
        <v>0</v>
      </c>
      <c r="J1829" s="12" t="s">
        <v>172</v>
      </c>
      <c r="K1829" s="12">
        <v>40160</v>
      </c>
      <c r="L1829" s="12" t="s">
        <v>35</v>
      </c>
      <c r="M1829" s="13" t="e">
        <v>#N/A</v>
      </c>
      <c r="N1829" s="14" t="e">
        <v>#N/A</v>
      </c>
      <c r="O1829" s="14" t="e">
        <v>#N/A</v>
      </c>
      <c r="P1829" s="14" t="e">
        <v>#N/A</v>
      </c>
      <c r="Q1829" s="14" t="e">
        <v>#N/A</v>
      </c>
      <c r="R1829" s="15" t="s">
        <v>11467</v>
      </c>
      <c r="S1829" s="15" t="s">
        <v>88</v>
      </c>
      <c r="T1829" s="16" t="s">
        <v>89</v>
      </c>
      <c r="U1829" s="11" t="str">
        <f>_xlfn.XLOOKUP(Customer[[#This Row],[Customer ID]],[1]!Address[ID],[1]!Address[Phone No.(2)])</f>
        <v/>
      </c>
      <c r="V1829" s="11" t="str">
        <f>_xlfn.XLOOKUP(Customer[[#This Row],[Customer ID]],[1]!Address[ID],[1]!Address[Type])</f>
        <v>SOCMED</v>
      </c>
      <c r="W1829" s="11" t="str">
        <f>_xlfn.XLOOKUP(Customer[[#This Row],[Customer ID]],[1]!Address[ID],[1]!Address[CT])</f>
        <v/>
      </c>
      <c r="X1829" s="11"/>
      <c r="Y1829" s="17" t="s">
        <v>90</v>
      </c>
      <c r="Z1829" s="17" t="e">
        <f>_xlfn.XLOOKUP(Customer[[#This Row],[NewType]],$AF$36:$AF$54,$AG$36:$AG$54)</f>
        <v>#N/A</v>
      </c>
      <c r="AA1829" s="17" t="s">
        <v>11468</v>
      </c>
      <c r="AB1829" s="11" t="str">
        <f>_xlfn.XLOOKUP(Customer[[#This Row],[Customer ID]],[1]!Address[ID],[1]!Address[Subtype])</f>
        <v>ONLINE ROS</v>
      </c>
      <c r="AC1829" s="18" t="str">
        <f>_xlfn.XLOOKUP(Customer[[#This Row],[Customer ID]],[1]!Address[ID],[1]!Address[Zone])</f>
        <v>WLEDH</v>
      </c>
    </row>
    <row r="1830" spans="1:30" x14ac:dyDescent="0.3">
      <c r="A1830" s="10" t="s">
        <v>11469</v>
      </c>
      <c r="B1830" s="11" t="str">
        <f>_xlfn.XLOOKUP(Customer[[#This Row],[Customer ID]],[1]!Name[ID],[1]!Name[Description(1)])</f>
        <v>QCL ENTERPRISE SDN BHD</v>
      </c>
      <c r="C1830" s="11" t="str">
        <f>_xlfn.XLOOKUP(Customer[[#This Row],[Customer ID]],[1]!Name[ID],[1]!Name[Description(2)])</f>
        <v/>
      </c>
      <c r="D1830" s="11" t="str">
        <f>_xlfn.XLOOKUP(Customer[[#This Row],[Customer ID]],[1]!Address[ID],[1]!Address[PIC])</f>
        <v/>
      </c>
      <c r="E1830" s="11" t="str">
        <f>_xlfn.XLOOKUP(Customer[[#This Row],[Customer ID]],[1]!Address[ID],[1]!Address[Full Address])</f>
        <v>LOT NO 31, PETRON HUTAN MELINTANG36400 HUTAN MELINTANG, PERAK</v>
      </c>
      <c r="F1830" s="12" t="s">
        <v>11470</v>
      </c>
      <c r="G1830" s="12" t="s">
        <v>11471</v>
      </c>
      <c r="H1830" s="12" t="s">
        <v>10845</v>
      </c>
      <c r="I1830" s="12" t="b">
        <f>ISNUMBER(VALUE(LEFT(Customer[[#This Row],[Address Line 3 (30 char)]],1)))</f>
        <v>0</v>
      </c>
      <c r="J1830" s="12" t="s">
        <v>242</v>
      </c>
      <c r="K1830" s="12">
        <v>36400</v>
      </c>
      <c r="L1830" s="12" t="s">
        <v>35</v>
      </c>
      <c r="M1830" s="13" t="e">
        <v>#N/A</v>
      </c>
      <c r="N1830" s="14" t="e">
        <v>#N/A</v>
      </c>
      <c r="O1830" s="14" t="e">
        <v>#N/A</v>
      </c>
      <c r="P1830" s="14" t="e">
        <v>#N/A</v>
      </c>
      <c r="Q1830" s="14" t="e">
        <v>#N/A</v>
      </c>
      <c r="R1830" s="15" t="s">
        <v>11472</v>
      </c>
      <c r="S1830" s="15" t="s">
        <v>88</v>
      </c>
      <c r="T1830" s="16" t="s">
        <v>89</v>
      </c>
      <c r="U1830" s="11" t="str">
        <f>_xlfn.XLOOKUP(Customer[[#This Row],[Customer ID]],[1]!Address[ID],[1]!Address[Phone No.(2)])</f>
        <v/>
      </c>
      <c r="V1830" s="11" t="str">
        <f>_xlfn.XLOOKUP(Customer[[#This Row],[Customer ID]],[1]!Address[ID],[1]!Address[Type])</f>
        <v>SOCMED</v>
      </c>
      <c r="W1830" s="11" t="str">
        <f>_xlfn.XLOOKUP(Customer[[#This Row],[Customer ID]],[1]!Address[ID],[1]!Address[CT])</f>
        <v/>
      </c>
      <c r="X1830" s="11"/>
      <c r="Y1830" s="17" t="s">
        <v>90</v>
      </c>
      <c r="Z1830" s="17" t="e">
        <f>_xlfn.XLOOKUP(Customer[[#This Row],[NewType]],$AF$36:$AF$54,$AG$36:$AG$54)</f>
        <v>#N/A</v>
      </c>
      <c r="AA1830" s="17" t="s">
        <v>11473</v>
      </c>
      <c r="AB1830" s="11" t="str">
        <f>_xlfn.XLOOKUP(Customer[[#This Row],[Customer ID]],[1]!Address[ID],[1]!Address[Subtype])</f>
        <v>ONLINE ROS</v>
      </c>
      <c r="AC1830" s="18" t="str">
        <f>_xlfn.XLOOKUP(Customer[[#This Row],[Customer ID]],[1]!Address[ID],[1]!Address[Zone])</f>
        <v>NORTH</v>
      </c>
    </row>
    <row r="1831" spans="1:30" x14ac:dyDescent="0.3">
      <c r="A1831" s="10" t="s">
        <v>11474</v>
      </c>
      <c r="B1831" s="11" t="str">
        <f>_xlfn.XLOOKUP(Customer[[#This Row],[Customer ID]],[1]!Name[ID],[1]!Name[Description(1)])</f>
        <v>PENGERUSI SURAU KEMENTERIAN KERJA RAYA</v>
      </c>
      <c r="C1831" s="11" t="str">
        <f>_xlfn.XLOOKUP(Customer[[#This Row],[Customer ID]],[1]!Name[ID],[1]!Name[Description(2)])</f>
        <v/>
      </c>
      <c r="D1831" s="11" t="str">
        <f>_xlfn.XLOOKUP(Customer[[#This Row],[Customer ID]],[1]!Address[ID],[1]!Address[PIC])</f>
        <v/>
      </c>
      <c r="E1831" s="11" t="str">
        <f>_xlfn.XLOOKUP(Customer[[#This Row],[Customer ID]],[1]!Address[ID],[1]!Address[Full Address])</f>
        <v>TINGKAT 5, BLOK B, KOMPLEKS KEMENTERIANKERJA RAYA 50580 JALAN SULTANSALAHUDDIN, KUALA LUMPUR</v>
      </c>
      <c r="F1831" s="12" t="s">
        <v>11475</v>
      </c>
      <c r="G1831" s="12" t="s">
        <v>11476</v>
      </c>
      <c r="H1831" s="12" t="s">
        <v>7760</v>
      </c>
      <c r="I1831" s="12" t="b">
        <f>ISNUMBER(VALUE(LEFT(Customer[[#This Row],[Address Line 3 (30 char)]],1)))</f>
        <v>0</v>
      </c>
      <c r="J1831" s="12" t="s">
        <v>34</v>
      </c>
      <c r="K1831" s="12">
        <v>50580</v>
      </c>
      <c r="L1831" s="12" t="s">
        <v>35</v>
      </c>
      <c r="M1831" s="13" t="e">
        <v>#N/A</v>
      </c>
      <c r="N1831" s="14" t="e">
        <v>#N/A</v>
      </c>
      <c r="O1831" s="14" t="e">
        <v>#N/A</v>
      </c>
      <c r="P1831" s="14" t="e">
        <v>#N/A</v>
      </c>
      <c r="Q1831" s="14" t="e">
        <v>#N/A</v>
      </c>
      <c r="R1831" s="15" t="s">
        <v>11477</v>
      </c>
      <c r="S1831" s="15" t="s">
        <v>88</v>
      </c>
      <c r="T1831" s="16" t="s">
        <v>89</v>
      </c>
      <c r="U1831" s="11" t="str">
        <f>_xlfn.XLOOKUP(Customer[[#This Row],[Customer ID]],[1]!Address[ID],[1]!Address[Phone No.(2)])</f>
        <v/>
      </c>
      <c r="V1831" s="11" t="str">
        <f>_xlfn.XLOOKUP(Customer[[#This Row],[Customer ID]],[1]!Address[ID],[1]!Address[Type])</f>
        <v>SOCMED</v>
      </c>
      <c r="W1831" s="11" t="str">
        <f>_xlfn.XLOOKUP(Customer[[#This Row],[Customer ID]],[1]!Address[ID],[1]!Address[CT])</f>
        <v/>
      </c>
      <c r="X1831" s="11"/>
      <c r="Y1831" s="17" t="s">
        <v>90</v>
      </c>
      <c r="Z1831" s="17" t="e">
        <f>_xlfn.XLOOKUP(Customer[[#This Row],[NewType]],$AF$36:$AF$54,$AG$36:$AG$54)</f>
        <v>#N/A</v>
      </c>
      <c r="AA1831" s="17" t="s">
        <v>11478</v>
      </c>
      <c r="AB1831" s="11" t="str">
        <f>_xlfn.XLOOKUP(Customer[[#This Row],[Customer ID]],[1]!Address[ID],[1]!Address[Subtype])</f>
        <v>ONLINE ROS</v>
      </c>
      <c r="AC1831" s="18" t="str">
        <f>_xlfn.XLOOKUP(Customer[[#This Row],[Customer ID]],[1]!Address[ID],[1]!Address[Zone])</f>
        <v>CENTRAL</v>
      </c>
    </row>
    <row r="1832" spans="1:30" x14ac:dyDescent="0.3">
      <c r="A1832" s="48" t="s">
        <v>11479</v>
      </c>
      <c r="B1832" s="49" t="str">
        <f>_xlfn.XLOOKUP(Customer[[#This Row],[Customer ID]],[1]!Name[ID],[1]!Name[Description(1)])</f>
        <v>DATO RAZALI BIN AB MALIK</v>
      </c>
      <c r="C1832" s="49" t="str">
        <f>_xlfn.XLOOKUP(Customer[[#This Row],[Customer ID]],[1]!Name[ID],[1]!Name[Description(2)])</f>
        <v/>
      </c>
      <c r="D1832" s="49" t="str">
        <f>_xlfn.XLOOKUP(Customer[[#This Row],[Customer ID]],[1]!Address[ID],[1]!Address[PIC])</f>
        <v>RAZALI</v>
      </c>
      <c r="E1832" s="11" t="str">
        <f>_xlfn.XLOOKUP(Customer[[#This Row],[Customer ID]],[1]!Address[ID],[1]!Address[Full Address])</f>
        <v>NO 1, JALAN ARA SENDAYAN 1/1,ARA SENDAYAN, 70300 SEREMBANNEGERI SEMBILAN</v>
      </c>
      <c r="F1832" s="57" t="s">
        <v>11480</v>
      </c>
      <c r="G1832" s="57" t="s">
        <v>11481</v>
      </c>
      <c r="H1832" s="57"/>
      <c r="I1832" s="57" t="b">
        <f>ISNUMBER(VALUE(LEFT(Customer[[#This Row],[Address Line 3 (30 char)]],1)))</f>
        <v>0</v>
      </c>
      <c r="J1832" s="57" t="s">
        <v>203</v>
      </c>
      <c r="K1832" s="57">
        <v>70300</v>
      </c>
      <c r="L1832" s="57" t="s">
        <v>35</v>
      </c>
      <c r="M1832" s="58">
        <v>630106055381</v>
      </c>
      <c r="N1832" s="51" t="s">
        <v>11482</v>
      </c>
      <c r="O1832" s="59" t="e">
        <v>#N/A</v>
      </c>
      <c r="P1832" s="59" t="e">
        <v>#N/A</v>
      </c>
      <c r="Q1832" s="111" t="s">
        <v>11483</v>
      </c>
      <c r="R1832" s="51" t="s">
        <v>11484</v>
      </c>
      <c r="S1832" s="15" t="s">
        <v>4271</v>
      </c>
      <c r="T1832" s="51" t="s">
        <v>89</v>
      </c>
      <c r="U1832" s="49" t="str">
        <f>_xlfn.XLOOKUP(Customer[[#This Row],[Customer ID]],[1]!Address[ID],[1]!Address[Phone No.(2)])</f>
        <v/>
      </c>
      <c r="V1832" s="49" t="str">
        <f>_xlfn.XLOOKUP(Customer[[#This Row],[Customer ID]],[1]!Address[ID],[1]!Address[Type])</f>
        <v>SOCMED</v>
      </c>
      <c r="W1832" s="49" t="str">
        <f>_xlfn.XLOOKUP(Customer[[#This Row],[Customer ID]],[1]!Address[ID],[1]!Address[CT])</f>
        <v/>
      </c>
      <c r="X1832" s="49"/>
      <c r="Y1832" s="53" t="s">
        <v>90</v>
      </c>
      <c r="Z1832" s="53" t="e">
        <f>_xlfn.XLOOKUP(Customer[[#This Row],[NewType]],$AF$36:$AF$54,$AG$36:$AG$54)</f>
        <v>#N/A</v>
      </c>
      <c r="AA1832" s="53" t="s">
        <v>11485</v>
      </c>
      <c r="AB1832" s="49" t="str">
        <f>_xlfn.XLOOKUP(Customer[[#This Row],[Customer ID]],[1]!Address[ID],[1]!Address[Subtype])</f>
        <v>WHATSAPP</v>
      </c>
      <c r="AC1832" s="54" t="str">
        <f>_xlfn.XLOOKUP(Customer[[#This Row],[Customer ID]],[1]!Address[ID],[1]!Address[Zone])</f>
        <v>CENTRAL</v>
      </c>
      <c r="AD1832" s="55"/>
    </row>
    <row r="1833" spans="1:30" x14ac:dyDescent="0.3">
      <c r="A1833" s="10" t="s">
        <v>11486</v>
      </c>
      <c r="B1833" s="11" t="str">
        <f>_xlfn.XLOOKUP(Customer[[#This Row],[Customer ID]],[1]!Name[ID],[1]!Name[Description(1)])</f>
        <v>DATIN ZAIDAH</v>
      </c>
      <c r="C1833" s="32" t="str">
        <f>_xlfn.XLOOKUP(Customer[[#This Row],[Customer ID]],[1]!Name[ID],[1]!Name[Description(2)])</f>
        <v/>
      </c>
      <c r="D1833" s="11" t="str">
        <f>_xlfn.XLOOKUP(Customer[[#This Row],[Customer ID]],[1]!Address[ID],[1]!Address[PIC])</f>
        <v/>
      </c>
      <c r="E1833" s="11" t="str">
        <f>_xlfn.XLOOKUP(Customer[[#This Row],[Customer ID]],[1]!Address[ID],[1]!Address[Full Address])</f>
        <v>MUTIARA BANGI</v>
      </c>
      <c r="F1833" s="12" t="s">
        <v>8485</v>
      </c>
      <c r="G1833" s="12" t="s">
        <v>36</v>
      </c>
      <c r="H1833" s="12" t="s">
        <v>36</v>
      </c>
      <c r="I1833" s="12" t="b">
        <f>ISNUMBER(VALUE(LEFT(Customer[[#This Row],[Address Line 3 (30 char)]],1)))</f>
        <v>0</v>
      </c>
      <c r="J1833" s="32" t="s">
        <v>172</v>
      </c>
      <c r="K1833" s="32"/>
      <c r="L1833" s="12" t="s">
        <v>35</v>
      </c>
      <c r="M1833" s="13" t="e">
        <v>#N/A</v>
      </c>
      <c r="N1833" s="14" t="e">
        <v>#N/A</v>
      </c>
      <c r="O1833" s="14" t="e">
        <v>#N/A</v>
      </c>
      <c r="P1833" s="14" t="e">
        <v>#N/A</v>
      </c>
      <c r="Q1833" s="14" t="e">
        <v>#N/A</v>
      </c>
      <c r="R1833" s="15" t="s">
        <v>36</v>
      </c>
      <c r="S1833" s="15" t="s">
        <v>4271</v>
      </c>
      <c r="T1833" s="15" t="s">
        <v>89</v>
      </c>
      <c r="U1833" s="11" t="str">
        <f>_xlfn.XLOOKUP(Customer[[#This Row],[Customer ID]],[1]!Address[ID],[1]!Address[Phone No.(2)])</f>
        <v/>
      </c>
      <c r="V1833" s="11" t="str">
        <f>_xlfn.XLOOKUP(Customer[[#This Row],[Customer ID]],[1]!Address[ID],[1]!Address[Type])</f>
        <v>SOCMED</v>
      </c>
      <c r="W1833" s="11" t="str">
        <f>_xlfn.XLOOKUP(Customer[[#This Row],[Customer ID]],[1]!Address[ID],[1]!Address[CT])</f>
        <v/>
      </c>
      <c r="X1833" s="11"/>
      <c r="Y1833" s="17" t="s">
        <v>90</v>
      </c>
      <c r="Z1833" s="17" t="e">
        <f>_xlfn.XLOOKUP(Customer[[#This Row],[NewType]],$AF$36:$AF$54,$AG$36:$AG$54)</f>
        <v>#N/A</v>
      </c>
      <c r="AA1833" s="17" t="s">
        <v>11487</v>
      </c>
      <c r="AB1833" s="11" t="str">
        <f>_xlfn.XLOOKUP(Customer[[#This Row],[Customer ID]],[1]!Address[ID],[1]!Address[Subtype])</f>
        <v>WHATSAPP</v>
      </c>
      <c r="AC1833" s="18" t="str">
        <f>_xlfn.XLOOKUP(Customer[[#This Row],[Customer ID]],[1]!Address[ID],[1]!Address[Zone])</f>
        <v>CENTRAL</v>
      </c>
    </row>
    <row r="1834" spans="1:30" x14ac:dyDescent="0.3">
      <c r="A1834" s="10" t="s">
        <v>11488</v>
      </c>
      <c r="B1834" s="11" t="str">
        <f>_xlfn.XLOOKUP(Customer[[#This Row],[Customer ID]],[1]!Name[ID],[1]!Name[Description(1)])</f>
        <v>MASLIZA - HQ AGROBANK</v>
      </c>
      <c r="C1834" s="11" t="str">
        <f>_xlfn.XLOOKUP(Customer[[#This Row],[Customer ID]],[1]!Name[ID],[1]!Name[Description(2)])</f>
        <v/>
      </c>
      <c r="D1834" s="11" t="str">
        <f>_xlfn.XLOOKUP(Customer[[#This Row],[Customer ID]],[1]!Address[ID],[1]!Address[PIC])</f>
        <v/>
      </c>
      <c r="E1834" s="11" t="str">
        <f>_xlfn.XLOOKUP(Customer[[#This Row],[Customer ID]],[1]!Address[ID],[1]!Address[Full Address])</f>
        <v>LEBOH PASAR BESAR,CITY CENTRE,50726 KUALA LUMPUR,WILAYAH PERSEKUTUAN,KUALA LUMPUR</v>
      </c>
      <c r="F1834" s="12" t="s">
        <v>11489</v>
      </c>
      <c r="G1834" s="12" t="s">
        <v>11490</v>
      </c>
      <c r="H1834" s="12" t="s">
        <v>11491</v>
      </c>
      <c r="I1834" s="12" t="b">
        <f>ISNUMBER(VALUE(LEFT(Customer[[#This Row],[Address Line 3 (30 char)]],1)))</f>
        <v>0</v>
      </c>
      <c r="J1834" s="12" t="s">
        <v>34</v>
      </c>
      <c r="K1834" s="12">
        <v>50726</v>
      </c>
      <c r="L1834" s="12" t="s">
        <v>35</v>
      </c>
      <c r="M1834" s="13" t="e">
        <v>#N/A</v>
      </c>
      <c r="N1834" s="14" t="e">
        <v>#N/A</v>
      </c>
      <c r="O1834" s="14" t="e">
        <v>#N/A</v>
      </c>
      <c r="P1834" s="14" t="e">
        <v>#N/A</v>
      </c>
      <c r="Q1834" s="14" t="e">
        <v>#N/A</v>
      </c>
      <c r="R1834" s="15" t="s">
        <v>11492</v>
      </c>
      <c r="S1834" s="15" t="s">
        <v>6418</v>
      </c>
      <c r="T1834" s="16" t="s">
        <v>3477</v>
      </c>
      <c r="U1834" s="11" t="str">
        <f>_xlfn.XLOOKUP(Customer[[#This Row],[Customer ID]],[1]!Address[ID],[1]!Address[Phone No.(2)])</f>
        <v/>
      </c>
      <c r="V1834" s="11" t="str">
        <f>_xlfn.XLOOKUP(Customer[[#This Row],[Customer ID]],[1]!Address[ID],[1]!Address[Type])</f>
        <v>SOCMED</v>
      </c>
      <c r="W1834" s="11" t="str">
        <f>_xlfn.XLOOKUP(Customer[[#This Row],[Customer ID]],[1]!Address[ID],[1]!Address[CT])</f>
        <v>CASH</v>
      </c>
      <c r="X1834" s="11"/>
      <c r="Y1834" s="17" t="s">
        <v>90</v>
      </c>
      <c r="Z1834" s="17" t="e">
        <f>_xlfn.XLOOKUP(Customer[[#This Row],[NewType]],$AF$36:$AF$54,$AG$36:$AG$54)</f>
        <v>#N/A</v>
      </c>
      <c r="AA1834" s="17" t="s">
        <v>11493</v>
      </c>
      <c r="AB1834" s="11" t="str">
        <f>_xlfn.XLOOKUP(Customer[[#This Row],[Customer ID]],[1]!Address[ID],[1]!Address[Subtype])</f>
        <v>WHATSAPP</v>
      </c>
      <c r="AC1834" s="18" t="str">
        <f>_xlfn.XLOOKUP(Customer[[#This Row],[Customer ID]],[1]!Address[ID],[1]!Address[Zone])</f>
        <v>CENTRAL</v>
      </c>
    </row>
    <row r="1835" spans="1:30" x14ac:dyDescent="0.3">
      <c r="A1835" s="27" t="s">
        <v>11494</v>
      </c>
      <c r="B1835" s="28" t="str">
        <f>_xlfn.XLOOKUP(Customer[[#This Row],[Customer ID]],[1]!Name[ID],[1]!Name[Description(1)])</f>
        <v>ONE CITY SUPERSTATION</v>
      </c>
      <c r="C1835" s="11" t="str">
        <f>_xlfn.XLOOKUP(Customer[[#This Row],[Customer ID]],[1]!Name[ID],[1]!Name[Description(2)])</f>
        <v>PS BT 9 TANJUNG KARANG (CENTRAL 1)</v>
      </c>
      <c r="D1835" s="11" t="str">
        <f>_xlfn.XLOOKUP(Customer[[#This Row],[Customer ID]],[1]!Address[ID],[1]!Address[PIC])</f>
        <v>Zumaya Jalalu</v>
      </c>
      <c r="E1835" s="11" t="str">
        <f>_xlfn.XLOOKUP(Customer[[#This Row],[Customer ID]],[1]!Address[ID],[1]!Address[Full Address])</f>
        <v>PS BT 9 TANJUNG KARANG (CENTRAL 1)Lot 19797, GM 2038, MukimTanjung Karang, 43000, KualaSelangor, Selangor</v>
      </c>
      <c r="F1835" s="12" t="s">
        <v>11495</v>
      </c>
      <c r="G1835" s="12" t="s">
        <v>11496</v>
      </c>
      <c r="H1835" s="12" t="s">
        <v>11497</v>
      </c>
      <c r="I1835" s="12" t="b">
        <f>ISNUMBER(VALUE(LEFT(Customer[[#This Row],[Address Line 3 (30 char)]],1)))</f>
        <v>0</v>
      </c>
      <c r="J1835" s="12" t="s">
        <v>172</v>
      </c>
      <c r="K1835" s="12">
        <v>43000</v>
      </c>
      <c r="L1835" s="12" t="s">
        <v>35</v>
      </c>
      <c r="M1835" s="13">
        <v>200703121398</v>
      </c>
      <c r="N1835" s="14" t="s">
        <v>11498</v>
      </c>
      <c r="O1835" s="14" t="s">
        <v>54</v>
      </c>
      <c r="P1835" s="14" t="e">
        <v>#N/A</v>
      </c>
      <c r="Q1835" s="14" t="e">
        <v>#N/A</v>
      </c>
      <c r="R1835" s="15" t="s">
        <v>11499</v>
      </c>
      <c r="S1835" s="15" t="s">
        <v>37</v>
      </c>
      <c r="T1835" s="16" t="s">
        <v>38</v>
      </c>
      <c r="U1835" s="11" t="str">
        <f>_xlfn.XLOOKUP(Customer[[#This Row],[Customer ID]],[1]!Address[ID],[1]!Address[Phone No.(2)])</f>
        <v/>
      </c>
      <c r="V1835" s="11" t="str">
        <f>_xlfn.XLOOKUP(Customer[[#This Row],[Customer ID]],[1]!Address[ID],[1]!Address[Type])</f>
        <v>PETROMART</v>
      </c>
      <c r="W1835" s="11" t="str">
        <f>_xlfn.XLOOKUP(Customer[[#This Row],[Customer ID]],[1]!Address[ID],[1]!Address[CT])</f>
        <v>30</v>
      </c>
      <c r="X1835" s="11" t="s">
        <v>39</v>
      </c>
      <c r="Y1835" s="17" t="s">
        <v>40</v>
      </c>
      <c r="Z1835" s="17" t="e">
        <f>_xlfn.XLOOKUP(Customer[[#This Row],[NewType]],$AF$36:$AF$54,$AG$36:$AG$54)</f>
        <v>#N/A</v>
      </c>
      <c r="AA1835" s="17" t="s">
        <v>11500</v>
      </c>
      <c r="AB1835" s="11" t="str">
        <f>_xlfn.XLOOKUP(Customer[[#This Row],[Customer ID]],[1]!Address[ID],[1]!Address[Subtype])</f>
        <v>PETRONAS</v>
      </c>
      <c r="AC1835" s="18" t="str">
        <f>_xlfn.XLOOKUP(Customer[[#This Row],[Customer ID]],[1]!Address[ID],[1]!Address[Zone])</f>
        <v>CENTRAL</v>
      </c>
    </row>
    <row r="1836" spans="1:30" x14ac:dyDescent="0.3">
      <c r="A1836" s="10" t="s">
        <v>11501</v>
      </c>
      <c r="B1836" s="11" t="str">
        <f>_xlfn.XLOOKUP(Customer[[#This Row],[Customer ID]],[1]!Name[ID],[1]!Name[Description(1)])</f>
        <v>FARMASI KOTA SARANG SEMUT</v>
      </c>
      <c r="C1836" s="11" t="str">
        <f>_xlfn.XLOOKUP(Customer[[#This Row],[Customer ID]],[1]!Name[ID],[1]!Name[Description(2)])</f>
        <v/>
      </c>
      <c r="D1836" s="11" t="str">
        <f>_xlfn.XLOOKUP(Customer[[#This Row],[Customer ID]],[1]!Address[ID],[1]!Address[PIC])</f>
        <v>SOLIHIN</v>
      </c>
      <c r="E1836" s="11" t="str">
        <f>_xlfn.XLOOKUP(Customer[[#This Row],[Customer ID]],[1]!Address[ID],[1]!Address[Full Address])</f>
        <v>FARMASI SEMUT GAGAH,NO 65, PUSAT PERNIAGAAN KOTA JAYA,06800 KOTA SARANG SEMUT, KEDAH</v>
      </c>
      <c r="F1836" s="12" t="s">
        <v>11502</v>
      </c>
      <c r="G1836" s="12" t="s">
        <v>11503</v>
      </c>
      <c r="H1836" s="12" t="s">
        <v>11504</v>
      </c>
      <c r="I1836" s="12" t="b">
        <f>ISNUMBER(VALUE(LEFT(Customer[[#This Row],[Address Line 3 (30 char)]],1)))</f>
        <v>0</v>
      </c>
      <c r="J1836" s="12" t="s">
        <v>79</v>
      </c>
      <c r="K1836" s="20" t="s">
        <v>11505</v>
      </c>
      <c r="L1836" s="12" t="s">
        <v>35</v>
      </c>
      <c r="M1836" s="13">
        <v>201803193720</v>
      </c>
      <c r="N1836" s="14" t="s">
        <v>11506</v>
      </c>
      <c r="O1836" s="14" t="s">
        <v>54</v>
      </c>
      <c r="P1836" s="14" t="s">
        <v>11507</v>
      </c>
      <c r="Q1836" s="21" t="s">
        <v>11508</v>
      </c>
      <c r="R1836" s="15" t="s">
        <v>11509</v>
      </c>
      <c r="S1836" s="15" t="s">
        <v>88</v>
      </c>
      <c r="T1836" s="16" t="s">
        <v>89</v>
      </c>
      <c r="U1836" s="11" t="str">
        <f>_xlfn.XLOOKUP(Customer[[#This Row],[Customer ID]],[1]!Address[ID],[1]!Address[Phone No.(2)])</f>
        <v/>
      </c>
      <c r="V1836" s="11" t="str">
        <f>_xlfn.XLOOKUP(Customer[[#This Row],[Customer ID]],[1]!Address[ID],[1]!Address[Type])</f>
        <v>SOCMED</v>
      </c>
      <c r="W1836" s="11" t="str">
        <f>_xlfn.XLOOKUP(Customer[[#This Row],[Customer ID]],[1]!Address[ID],[1]!Address[CT])</f>
        <v/>
      </c>
      <c r="X1836" s="11"/>
      <c r="Y1836" s="17" t="s">
        <v>90</v>
      </c>
      <c r="Z1836" s="17" t="e">
        <f>_xlfn.XLOOKUP(Customer[[#This Row],[NewType]],$AF$36:$AF$54,$AG$36:$AG$54)</f>
        <v>#N/A</v>
      </c>
      <c r="AA1836" s="17" t="s">
        <v>11510</v>
      </c>
      <c r="AB1836" s="11" t="str">
        <f>_xlfn.XLOOKUP(Customer[[#This Row],[Customer ID]],[1]!Address[ID],[1]!Address[Subtype])</f>
        <v>ONLINE ROS</v>
      </c>
      <c r="AC1836" s="18" t="str">
        <f>_xlfn.XLOOKUP(Customer[[#This Row],[Customer ID]],[1]!Address[ID],[1]!Address[Zone])</f>
        <v>NORTH</v>
      </c>
    </row>
    <row r="1837" spans="1:30" x14ac:dyDescent="0.3">
      <c r="A1837" s="48" t="s">
        <v>11511</v>
      </c>
      <c r="B1837" s="49" t="str">
        <f>_xlfn.XLOOKUP(Customer[[#This Row],[Customer ID]],[1]!Name[ID],[1]!Name[Description(1)])</f>
        <v>FARMASI IDAMAN</v>
      </c>
      <c r="C1837" s="11" t="str">
        <f>_xlfn.XLOOKUP(Customer[[#This Row],[Customer ID]],[1]!Name[ID],[1]!Name[Description(2)])</f>
        <v>IDAMAN HEALTHCARE SD</v>
      </c>
      <c r="D1837" s="11" t="str">
        <f>_xlfn.XLOOKUP(Customer[[#This Row],[Customer ID]],[1]!Address[ID],[1]!Address[PIC])</f>
        <v/>
      </c>
      <c r="E1837" s="11" t="str">
        <f>_xlfn.XLOOKUP(Customer[[#This Row],[Customer ID]],[1]!Address[ID],[1]!Address[Full Address])</f>
        <v>NO 120B, LOT KOMERSIL TAMAN DESARUUTAMA, JALAN KEMPAS 2, 81930 BANDARPENAWAR, JOHOR</v>
      </c>
      <c r="F1837" s="12" t="s">
        <v>11512</v>
      </c>
      <c r="G1837" s="12" t="s">
        <v>11513</v>
      </c>
      <c r="H1837" s="12" t="s">
        <v>11514</v>
      </c>
      <c r="I1837" s="12" t="b">
        <f>ISNUMBER(VALUE(LEFT(Customer[[#This Row],[Address Line 3 (30 char)]],1)))</f>
        <v>0</v>
      </c>
      <c r="J1837" s="12" t="s">
        <v>52</v>
      </c>
      <c r="K1837" s="12">
        <v>81930</v>
      </c>
      <c r="L1837" s="12" t="s">
        <v>35</v>
      </c>
      <c r="M1837" s="13" t="e">
        <v>#N/A</v>
      </c>
      <c r="N1837" s="14" t="e">
        <v>#N/A</v>
      </c>
      <c r="O1837" s="14" t="e">
        <v>#N/A</v>
      </c>
      <c r="P1837" s="14" t="e">
        <v>#N/A</v>
      </c>
      <c r="Q1837" s="14" t="e">
        <v>#N/A</v>
      </c>
      <c r="R1837" s="15" t="s">
        <v>11515</v>
      </c>
      <c r="S1837" s="15" t="s">
        <v>3212</v>
      </c>
      <c r="T1837" s="16" t="s">
        <v>89</v>
      </c>
      <c r="U1837" s="11" t="str">
        <f>_xlfn.XLOOKUP(Customer[[#This Row],[Customer ID]],[1]!Address[ID],[1]!Address[Phone No.(2)])</f>
        <v/>
      </c>
      <c r="V1837" s="11" t="str">
        <f>_xlfn.XLOOKUP(Customer[[#This Row],[Customer ID]],[1]!Address[ID],[1]!Address[Type])</f>
        <v>SOCMED</v>
      </c>
      <c r="W1837" s="11" t="str">
        <f>_xlfn.XLOOKUP(Customer[[#This Row],[Customer ID]],[1]!Address[ID],[1]!Address[CT])</f>
        <v/>
      </c>
      <c r="X1837" s="11"/>
      <c r="Y1837" s="17" t="s">
        <v>90</v>
      </c>
      <c r="Z1837" s="17" t="e">
        <f>_xlfn.XLOOKUP(Customer[[#This Row],[NewType]],$AF$36:$AF$54,$AG$36:$AG$54)</f>
        <v>#N/A</v>
      </c>
      <c r="AA1837" s="17" t="s">
        <v>11516</v>
      </c>
      <c r="AB1837" s="11" t="str">
        <f>_xlfn.XLOOKUP(Customer[[#This Row],[Customer ID]],[1]!Address[ID],[1]!Address[Subtype])</f>
        <v>ONLINE HAJAR</v>
      </c>
      <c r="AC1837" s="18" t="str">
        <f>_xlfn.XLOOKUP(Customer[[#This Row],[Customer ID]],[1]!Address[ID],[1]!Address[Zone])</f>
        <v>SOUTH</v>
      </c>
    </row>
    <row r="1838" spans="1:30" x14ac:dyDescent="0.3">
      <c r="A1838" s="48" t="s">
        <v>11517</v>
      </c>
      <c r="B1838" s="49" t="str">
        <f>_xlfn.XLOOKUP(Customer[[#This Row],[Customer ID]],[1]!Name[ID],[1]!Name[Description(1)])</f>
        <v>YB DATO SALBIAH MOHAMED (EXCO PERAK)</v>
      </c>
      <c r="C1838" s="49" t="str">
        <f>_xlfn.XLOOKUP(Customer[[#This Row],[Customer ID]],[1]!Name[ID],[1]!Name[Description(2)])</f>
        <v/>
      </c>
      <c r="D1838" s="49" t="str">
        <f>_xlfn.XLOOKUP(Customer[[#This Row],[Customer ID]],[1]!Address[ID],[1]!Address[PIC])</f>
        <v/>
      </c>
      <c r="E1838" s="11" t="str">
        <f>_xlfn.XLOOKUP(Customer[[#This Row],[Customer ID]],[1]!Address[ID],[1]!Address[Full Address])</f>
        <v>14, JALAN MERU SURIA 6, CHEMOR,TAMAN MERU SURIA, 30020 IPOH, PERAK</v>
      </c>
      <c r="F1838" s="63" t="s">
        <v>11518</v>
      </c>
      <c r="G1838" s="63" t="s">
        <v>11519</v>
      </c>
      <c r="H1838" s="63" t="s">
        <v>11520</v>
      </c>
      <c r="I1838" s="63" t="b">
        <f>ISNUMBER(VALUE(LEFT(Customer[[#This Row],[Address Line 3 (30 char)]],1)))</f>
        <v>0</v>
      </c>
      <c r="J1838" s="63" t="s">
        <v>242</v>
      </c>
      <c r="K1838" s="63">
        <v>30020</v>
      </c>
      <c r="L1838" s="63" t="s">
        <v>35</v>
      </c>
      <c r="M1838" s="65" t="e">
        <v>#N/A</v>
      </c>
      <c r="N1838" s="66" t="e">
        <v>#N/A</v>
      </c>
      <c r="O1838" s="66" t="e">
        <v>#N/A</v>
      </c>
      <c r="P1838" s="66" t="e">
        <v>#N/A</v>
      </c>
      <c r="Q1838" s="66" t="e">
        <v>#N/A</v>
      </c>
      <c r="R1838" s="51" t="s">
        <v>11521</v>
      </c>
      <c r="S1838" s="15" t="s">
        <v>4271</v>
      </c>
      <c r="T1838" s="52" t="s">
        <v>89</v>
      </c>
      <c r="U1838" s="49" t="str">
        <f>_xlfn.XLOOKUP(Customer[[#This Row],[Customer ID]],[1]!Address[ID],[1]!Address[Phone No.(2)])</f>
        <v/>
      </c>
      <c r="V1838" s="49" t="str">
        <f>_xlfn.XLOOKUP(Customer[[#This Row],[Customer ID]],[1]!Address[ID],[1]!Address[Type])</f>
        <v>SOCMED</v>
      </c>
      <c r="W1838" s="49" t="str">
        <f>_xlfn.XLOOKUP(Customer[[#This Row],[Customer ID]],[1]!Address[ID],[1]!Address[CT])</f>
        <v/>
      </c>
      <c r="X1838" s="49"/>
      <c r="Y1838" s="53" t="s">
        <v>90</v>
      </c>
      <c r="Z1838" s="53" t="e">
        <f>_xlfn.XLOOKUP(Customer[[#This Row],[NewType]],$AF$36:$AF$54,$AG$36:$AG$54)</f>
        <v>#N/A</v>
      </c>
      <c r="AA1838" s="53" t="s">
        <v>11522</v>
      </c>
      <c r="AB1838" s="49" t="str">
        <f>_xlfn.XLOOKUP(Customer[[#This Row],[Customer ID]],[1]!Address[ID],[1]!Address[Subtype])</f>
        <v>WHATSAPP</v>
      </c>
      <c r="AC1838" s="54" t="str">
        <f>_xlfn.XLOOKUP(Customer[[#This Row],[Customer ID]],[1]!Address[ID],[1]!Address[Zone])</f>
        <v>NORTH</v>
      </c>
      <c r="AD1838" s="55"/>
    </row>
    <row r="1839" spans="1:30" x14ac:dyDescent="0.3">
      <c r="A1839" s="48" t="s">
        <v>11523</v>
      </c>
      <c r="B1839" s="49" t="str">
        <f>_xlfn.XLOOKUP(Customer[[#This Row],[Customer ID]],[1]!Name[ID],[1]!Name[Description(1)])</f>
        <v>HJ. E.FIRMANSHAH</v>
      </c>
      <c r="C1839" s="49" t="str">
        <f>_xlfn.XLOOKUP(Customer[[#This Row],[Customer ID]],[1]!Name[ID],[1]!Name[Description(2)])</f>
        <v/>
      </c>
      <c r="D1839" s="49" t="str">
        <f>_xlfn.XLOOKUP(Customer[[#This Row],[Customer ID]],[1]!Address[ID],[1]!Address[PIC])</f>
        <v/>
      </c>
      <c r="E1839" s="11" t="str">
        <f>_xlfn.XLOOKUP(Customer[[#This Row],[Customer ID]],[1]!Address[ID],[1]!Address[Full Address])</f>
        <v>10 JALAN 3/18  BANGI PERDANASEKSYEN 3 43650,BANDAR BARU BANGI,SELANGOR</v>
      </c>
      <c r="F1839" s="63" t="s">
        <v>11524</v>
      </c>
      <c r="G1839" s="63" t="s">
        <v>11525</v>
      </c>
      <c r="H1839" s="63" t="s">
        <v>4431</v>
      </c>
      <c r="I1839" s="63" t="b">
        <f>ISNUMBER(VALUE(LEFT(Customer[[#This Row],[Address Line 3 (30 char)]],1)))</f>
        <v>0</v>
      </c>
      <c r="J1839" s="63" t="s">
        <v>172</v>
      </c>
      <c r="K1839" s="63">
        <v>43650</v>
      </c>
      <c r="L1839" s="63" t="s">
        <v>35</v>
      </c>
      <c r="M1839" s="65" t="e">
        <v>#N/A</v>
      </c>
      <c r="N1839" s="66" t="e">
        <v>#N/A</v>
      </c>
      <c r="O1839" s="66" t="e">
        <v>#N/A</v>
      </c>
      <c r="P1839" s="66" t="e">
        <v>#N/A</v>
      </c>
      <c r="Q1839" s="66" t="e">
        <v>#N/A</v>
      </c>
      <c r="R1839" s="51" t="s">
        <v>11526</v>
      </c>
      <c r="S1839" s="51"/>
      <c r="T1839" s="51"/>
      <c r="U1839" s="49" t="str">
        <f>_xlfn.XLOOKUP(Customer[[#This Row],[Customer ID]],[1]!Address[ID],[1]!Address[Phone No.(2)])</f>
        <v/>
      </c>
      <c r="V1839" s="49" t="str">
        <f>_xlfn.XLOOKUP(Customer[[#This Row],[Customer ID]],[1]!Address[ID],[1]!Address[Type])</f>
        <v>SOCMED</v>
      </c>
      <c r="W1839" s="49" t="str">
        <f>_xlfn.XLOOKUP(Customer[[#This Row],[Customer ID]],[1]!Address[ID],[1]!Address[CT])</f>
        <v>CASH</v>
      </c>
      <c r="X1839" s="49"/>
      <c r="Y1839" s="53" t="s">
        <v>90</v>
      </c>
      <c r="Z1839" s="53" t="e">
        <f>_xlfn.XLOOKUP(Customer[[#This Row],[NewType]],$AF$36:$AF$54,$AG$36:$AG$54)</f>
        <v>#N/A</v>
      </c>
      <c r="AA1839" s="53" t="s">
        <v>11527</v>
      </c>
      <c r="AB1839" s="49" t="str">
        <f>_xlfn.XLOOKUP(Customer[[#This Row],[Customer ID]],[1]!Address[ID],[1]!Address[Subtype])</f>
        <v>WHATSAPP</v>
      </c>
      <c r="AC1839" s="54" t="str">
        <f>_xlfn.XLOOKUP(Customer[[#This Row],[Customer ID]],[1]!Address[ID],[1]!Address[Zone])</f>
        <v>MEEDH</v>
      </c>
      <c r="AD1839" s="55"/>
    </row>
    <row r="1840" spans="1:30" x14ac:dyDescent="0.3">
      <c r="A1840" s="48" t="s">
        <v>11528</v>
      </c>
      <c r="B1840" s="49" t="str">
        <f>_xlfn.XLOOKUP(Customer[[#This Row],[Customer ID]],[1]!Name[ID],[1]!Name[Description(1)])</f>
        <v>ENSTELIN ENTERPRISE</v>
      </c>
      <c r="C1840" s="49" t="str">
        <f>_xlfn.XLOOKUP(Customer[[#This Row],[Customer ID]],[1]!Name[ID],[1]!Name[Description(2)])</f>
        <v/>
      </c>
      <c r="D1840" s="49" t="str">
        <f>_xlfn.XLOOKUP(Customer[[#This Row],[Customer ID]],[1]!Address[ID],[1]!Address[PIC])</f>
        <v/>
      </c>
      <c r="E1840" s="11" t="str">
        <f>_xlfn.XLOOKUP(Customer[[#This Row],[Customer ID]],[1]!Address[ID],[1]!Address[Full Address])</f>
        <v>NO 24 JALAN TIMUR 2/1B TIMUR@ENSTEK71760 BANDAR BARU ENSTEK NEGERI SEMBILAN</v>
      </c>
      <c r="F1840" s="63" t="s">
        <v>11529</v>
      </c>
      <c r="G1840" s="63" t="s">
        <v>11530</v>
      </c>
      <c r="H1840" s="63" t="s">
        <v>11531</v>
      </c>
      <c r="I1840" s="63" t="b">
        <f>ISNUMBER(VALUE(LEFT(Customer[[#This Row],[Address Line 3 (30 char)]],1)))</f>
        <v>0</v>
      </c>
      <c r="J1840" s="63" t="s">
        <v>203</v>
      </c>
      <c r="K1840" s="63">
        <v>71760</v>
      </c>
      <c r="L1840" s="63" t="s">
        <v>35</v>
      </c>
      <c r="M1840" s="65" t="e">
        <v>#N/A</v>
      </c>
      <c r="N1840" s="66" t="e">
        <v>#N/A</v>
      </c>
      <c r="O1840" s="66" t="e">
        <v>#N/A</v>
      </c>
      <c r="P1840" s="66" t="e">
        <v>#N/A</v>
      </c>
      <c r="Q1840" s="110" t="s">
        <v>11532</v>
      </c>
      <c r="R1840" s="51" t="s">
        <v>11533</v>
      </c>
      <c r="S1840" s="51"/>
      <c r="T1840" s="51"/>
      <c r="U1840" s="49" t="str">
        <f>_xlfn.XLOOKUP(Customer[[#This Row],[Customer ID]],[1]!Address[ID],[1]!Address[Phone No.(2)])</f>
        <v/>
      </c>
      <c r="V1840" s="49" t="str">
        <f>_xlfn.XLOOKUP(Customer[[#This Row],[Customer ID]],[1]!Address[ID],[1]!Address[Type])</f>
        <v>SOCMED</v>
      </c>
      <c r="W1840" s="49" t="str">
        <f>_xlfn.XLOOKUP(Customer[[#This Row],[Customer ID]],[1]!Address[ID],[1]!Address[CT])</f>
        <v/>
      </c>
      <c r="X1840" s="49"/>
      <c r="Y1840" s="53" t="s">
        <v>90</v>
      </c>
      <c r="Z1840" s="53" t="e">
        <f>_xlfn.XLOOKUP(Customer[[#This Row],[NewType]],$AF$36:$AF$54,$AG$36:$AG$54)</f>
        <v>#N/A</v>
      </c>
      <c r="AA1840" s="53" t="s">
        <v>11534</v>
      </c>
      <c r="AB1840" s="49" t="str">
        <f>_xlfn.XLOOKUP(Customer[[#This Row],[Customer ID]],[1]!Address[ID],[1]!Address[Subtype])</f>
        <v>WHATSAPP</v>
      </c>
      <c r="AC1840" s="54" t="str">
        <f>_xlfn.XLOOKUP(Customer[[#This Row],[Customer ID]],[1]!Address[ID],[1]!Address[Zone])</f>
        <v>CENTRAL</v>
      </c>
      <c r="AD1840" s="55"/>
    </row>
    <row r="1841" spans="1:30" x14ac:dyDescent="0.3">
      <c r="A1841" s="10" t="s">
        <v>11535</v>
      </c>
      <c r="B1841" s="11" t="str">
        <f>_xlfn.XLOOKUP(Customer[[#This Row],[Customer ID]],[1]!Name[ID],[1]!Name[Description(1)])</f>
        <v>CLIENT ASSESMENT CENTRE (CAC)</v>
      </c>
      <c r="C1841" s="11" t="str">
        <f>_xlfn.XLOOKUP(Customer[[#This Row],[Customer ID]],[1]!Name[ID],[1]!Name[Description(2)])</f>
        <v/>
      </c>
      <c r="D1841" s="11" t="str">
        <f>_xlfn.XLOOKUP(Customer[[#This Row],[Customer ID]],[1]!Address[ID],[1]!Address[PIC])</f>
        <v/>
      </c>
      <c r="E1841" s="11" t="str">
        <f>_xlfn.XLOOKUP(Customer[[#This Row],[Customer ID]],[1]!Address[ID],[1]!Address[Full Address])</f>
        <v>HOSPITAL PUTRAJAYA PRESINT 7, 62250PUTRAJAYA</v>
      </c>
      <c r="F1841" s="12" t="s">
        <v>11536</v>
      </c>
      <c r="G1841" s="12" t="s">
        <v>4229</v>
      </c>
      <c r="H1841" s="12" t="s">
        <v>6599</v>
      </c>
      <c r="I1841" s="12" t="b">
        <f>ISNUMBER(VALUE(LEFT(Customer[[#This Row],[Address Line 3 (30 char)]],1)))</f>
        <v>0</v>
      </c>
      <c r="J1841" s="12" t="s">
        <v>4229</v>
      </c>
      <c r="K1841" s="12">
        <v>62250</v>
      </c>
      <c r="L1841" s="12" t="s">
        <v>35</v>
      </c>
      <c r="M1841" s="13" t="e">
        <v>#N/A</v>
      </c>
      <c r="N1841" s="14" t="e">
        <v>#N/A</v>
      </c>
      <c r="O1841" s="14" t="e">
        <v>#N/A</v>
      </c>
      <c r="P1841" s="14" t="e">
        <v>#N/A</v>
      </c>
      <c r="Q1841" s="14" t="e">
        <v>#N/A</v>
      </c>
      <c r="R1841" s="15" t="s">
        <v>11537</v>
      </c>
      <c r="S1841" s="15" t="s">
        <v>88</v>
      </c>
      <c r="T1841" s="16" t="s">
        <v>89</v>
      </c>
      <c r="U1841" s="11" t="str">
        <f>_xlfn.XLOOKUP(Customer[[#This Row],[Customer ID]],[1]!Address[ID],[1]!Address[Phone No.(2)])</f>
        <v/>
      </c>
      <c r="V1841" s="11" t="str">
        <f>_xlfn.XLOOKUP(Customer[[#This Row],[Customer ID]],[1]!Address[ID],[1]!Address[Type])</f>
        <v>SOCMED</v>
      </c>
      <c r="W1841" s="11" t="str">
        <f>_xlfn.XLOOKUP(Customer[[#This Row],[Customer ID]],[1]!Address[ID],[1]!Address[CT])</f>
        <v/>
      </c>
      <c r="X1841" s="11"/>
      <c r="Y1841" s="17" t="s">
        <v>90</v>
      </c>
      <c r="Z1841" s="17" t="e">
        <f>_xlfn.XLOOKUP(Customer[[#This Row],[NewType]],$AF$36:$AF$54,$AG$36:$AG$54)</f>
        <v>#N/A</v>
      </c>
      <c r="AA1841" s="17" t="s">
        <v>11538</v>
      </c>
      <c r="AB1841" s="11" t="str">
        <f>_xlfn.XLOOKUP(Customer[[#This Row],[Customer ID]],[1]!Address[ID],[1]!Address[Subtype])</f>
        <v>ONLINE ROS</v>
      </c>
      <c r="AC1841" s="18" t="str">
        <f>_xlfn.XLOOKUP(Customer[[#This Row],[Customer ID]],[1]!Address[ID],[1]!Address[Zone])</f>
        <v>CENTRAL</v>
      </c>
    </row>
    <row r="1842" spans="1:30" x14ac:dyDescent="0.3">
      <c r="A1842" s="10" t="s">
        <v>11539</v>
      </c>
      <c r="B1842" s="11" t="str">
        <f>_xlfn.XLOOKUP(Customer[[#This Row],[Customer ID]],[1]!Name[ID],[1]!Name[Description(1)])</f>
        <v>NOR AZLIN BINTI ANUAR</v>
      </c>
      <c r="C1842" s="11" t="str">
        <f>_xlfn.XLOOKUP(Customer[[#This Row],[Customer ID]],[1]!Name[ID],[1]!Name[Description(2)])</f>
        <v/>
      </c>
      <c r="D1842" s="11" t="str">
        <f>_xlfn.XLOOKUP(Customer[[#This Row],[Customer ID]],[1]!Address[ID],[1]!Address[PIC])</f>
        <v/>
      </c>
      <c r="E1842" s="11" t="str">
        <f>_xlfn.XLOOKUP(Customer[[#This Row],[Customer ID]],[1]!Address[ID],[1]!Address[Full Address])</f>
        <v>NO. 627, JALAN WARISAN PUTERI A23,TAMAN VILA SURIA, BANDAR WARISAN PUTERI,70400 SEREMBAN, NEGERI SEMBILAN</v>
      </c>
      <c r="F1842" s="12" t="s">
        <v>11540</v>
      </c>
      <c r="G1842" s="12" t="s">
        <v>11541</v>
      </c>
      <c r="H1842" s="12" t="s">
        <v>11542</v>
      </c>
      <c r="I1842" s="12" t="b">
        <f>ISNUMBER(VALUE(LEFT(Customer[[#This Row],[Address Line 3 (30 char)]],1)))</f>
        <v>0</v>
      </c>
      <c r="J1842" s="12" t="s">
        <v>203</v>
      </c>
      <c r="K1842" s="12">
        <v>70400</v>
      </c>
      <c r="L1842" s="12" t="s">
        <v>35</v>
      </c>
      <c r="M1842" s="13" t="e">
        <v>#N/A</v>
      </c>
      <c r="N1842" s="14" t="e">
        <v>#N/A</v>
      </c>
      <c r="O1842" s="14" t="e">
        <v>#N/A</v>
      </c>
      <c r="P1842" s="14" t="e">
        <v>#N/A</v>
      </c>
      <c r="Q1842" s="19" t="s">
        <v>11543</v>
      </c>
      <c r="R1842" s="15" t="s">
        <v>11544</v>
      </c>
      <c r="S1842" s="15" t="s">
        <v>88</v>
      </c>
      <c r="T1842" s="16" t="s">
        <v>89</v>
      </c>
      <c r="U1842" s="11" t="str">
        <f>_xlfn.XLOOKUP(Customer[[#This Row],[Customer ID]],[1]!Address[ID],[1]!Address[Phone No.(2)])</f>
        <v/>
      </c>
      <c r="V1842" s="11" t="str">
        <f>_xlfn.XLOOKUP(Customer[[#This Row],[Customer ID]],[1]!Address[ID],[1]!Address[Type])</f>
        <v>SOCMED</v>
      </c>
      <c r="W1842" s="11" t="str">
        <f>_xlfn.XLOOKUP(Customer[[#This Row],[Customer ID]],[1]!Address[ID],[1]!Address[CT])</f>
        <v/>
      </c>
      <c r="X1842" s="11"/>
      <c r="Y1842" s="17" t="s">
        <v>90</v>
      </c>
      <c r="Z1842" s="17" t="e">
        <f>_xlfn.XLOOKUP(Customer[[#This Row],[NewType]],$AF$36:$AF$54,$AG$36:$AG$54)</f>
        <v>#N/A</v>
      </c>
      <c r="AA1842" s="17" t="s">
        <v>11545</v>
      </c>
      <c r="AB1842" s="11" t="str">
        <f>_xlfn.XLOOKUP(Customer[[#This Row],[Customer ID]],[1]!Address[ID],[1]!Address[Subtype])</f>
        <v>ONLINE ROS</v>
      </c>
      <c r="AC1842" s="18" t="str">
        <f>_xlfn.XLOOKUP(Customer[[#This Row],[Customer ID]],[1]!Address[ID],[1]!Address[Zone])</f>
        <v>CENTRAL</v>
      </c>
    </row>
    <row r="1843" spans="1:30" x14ac:dyDescent="0.3">
      <c r="A1843" s="48" t="s">
        <v>11546</v>
      </c>
      <c r="B1843" s="49" t="str">
        <f>_xlfn.XLOOKUP(Customer[[#This Row],[Customer ID]],[1]!Name[ID],[1]!Name[Description(1)])</f>
        <v>EN KHAIRUL ANNUAR (MATRADE)</v>
      </c>
      <c r="C1843" s="49" t="str">
        <f>_xlfn.XLOOKUP(Customer[[#This Row],[Customer ID]],[1]!Name[ID],[1]!Name[Description(2)])</f>
        <v/>
      </c>
      <c r="D1843" s="49" t="str">
        <f>_xlfn.XLOOKUP(Customer[[#This Row],[Customer ID]],[1]!Address[ID],[1]!Address[PIC])</f>
        <v>KHAIRUL</v>
      </c>
      <c r="E1843" s="11" t="str">
        <f>_xlfn.XLOOKUP(Customer[[#This Row],[Customer ID]],[1]!Address[ID],[1]!Address[Full Address])</f>
        <v>37, JALAN L.O. 2/6, LAMAN OAKLEAF,BUKIT ANTARABANGSA, 68000 AMPANG,SELANGOR</v>
      </c>
      <c r="F1843" s="12" t="s">
        <v>11547</v>
      </c>
      <c r="G1843" s="12" t="s">
        <v>11548</v>
      </c>
      <c r="H1843" s="12" t="s">
        <v>11549</v>
      </c>
      <c r="I1843" s="12" t="b">
        <f>ISNUMBER(VALUE(LEFT(Customer[[#This Row],[Address Line 3 (30 char)]],1)))</f>
        <v>0</v>
      </c>
      <c r="J1843" s="12" t="s">
        <v>172</v>
      </c>
      <c r="K1843" s="12">
        <v>68000</v>
      </c>
      <c r="L1843" s="12" t="s">
        <v>35</v>
      </c>
      <c r="M1843" s="13" t="e">
        <v>#N/A</v>
      </c>
      <c r="N1843" s="14" t="e">
        <v>#N/A</v>
      </c>
      <c r="O1843" s="14" t="e">
        <v>#N/A</v>
      </c>
      <c r="P1843" s="14" t="e">
        <v>#N/A</v>
      </c>
      <c r="Q1843" s="14" t="e">
        <v>#N/A</v>
      </c>
      <c r="R1843" s="51" t="s">
        <v>11550</v>
      </c>
      <c r="S1843" s="51" t="s">
        <v>6418</v>
      </c>
      <c r="T1843" s="52" t="s">
        <v>3477</v>
      </c>
      <c r="U1843" s="49" t="str">
        <f>_xlfn.XLOOKUP(Customer[[#This Row],[Customer ID]],[1]!Address[ID],[1]!Address[Phone No.(2)])</f>
        <v/>
      </c>
      <c r="V1843" s="49" t="str">
        <f>_xlfn.XLOOKUP(Customer[[#This Row],[Customer ID]],[1]!Address[ID],[1]!Address[Type])</f>
        <v>SOCMED</v>
      </c>
      <c r="W1843" s="49" t="str">
        <f>_xlfn.XLOOKUP(Customer[[#This Row],[Customer ID]],[1]!Address[ID],[1]!Address[CT])</f>
        <v/>
      </c>
      <c r="X1843" s="49"/>
      <c r="Y1843" s="53" t="s">
        <v>90</v>
      </c>
      <c r="Z1843" s="53" t="e">
        <f>_xlfn.XLOOKUP(Customer[[#This Row],[NewType]],$AF$36:$AF$54,$AG$36:$AG$54)</f>
        <v>#N/A</v>
      </c>
      <c r="AA1843" s="53" t="s">
        <v>11551</v>
      </c>
      <c r="AB1843" s="49" t="str">
        <f>_xlfn.XLOOKUP(Customer[[#This Row],[Customer ID]],[1]!Address[ID],[1]!Address[Subtype])</f>
        <v>WHATSAPP</v>
      </c>
      <c r="AC1843" s="54" t="str">
        <f>_xlfn.XLOOKUP(Customer[[#This Row],[Customer ID]],[1]!Address[ID],[1]!Address[Zone])</f>
        <v>AEEDH</v>
      </c>
      <c r="AD1843" s="55"/>
    </row>
    <row r="1844" spans="1:30" x14ac:dyDescent="0.3">
      <c r="A1844" s="48" t="s">
        <v>11552</v>
      </c>
      <c r="B1844" s="49" t="str">
        <f>_xlfn.XLOOKUP(Customer[[#This Row],[Customer ID]],[1]!Name[ID],[1]!Name[Description(1)])</f>
        <v>JJ BRIGHT TRADE</v>
      </c>
      <c r="C1844" s="11" t="str">
        <f>_xlfn.XLOOKUP(Customer[[#This Row],[Customer ID]],[1]!Name[ID],[1]!Name[Description(2)])</f>
        <v/>
      </c>
      <c r="D1844" s="11" t="str">
        <f>_xlfn.XLOOKUP(Customer[[#This Row],[Customer ID]],[1]!Address[ID],[1]!Address[PIC])</f>
        <v/>
      </c>
      <c r="E1844" s="11" t="str">
        <f>_xlfn.XLOOKUP(Customer[[#This Row],[Customer ID]],[1]!Address[ID],[1]!Address[Full Address])</f>
        <v>(SHELL SEBELAH GIANT PLENTONG)NO 2, JALAN JOHOR JAYA,TAMAN PERINDUSTRIAN PLENTONG, 81750JOHOR BAHRU, JOHOR</v>
      </c>
      <c r="F1844" s="12" t="s">
        <v>11553</v>
      </c>
      <c r="G1844" s="12" t="s">
        <v>11554</v>
      </c>
      <c r="H1844" s="12" t="s">
        <v>11555</v>
      </c>
      <c r="I1844" s="12" t="b">
        <f>ISNUMBER(VALUE(LEFT(Customer[[#This Row],[Address Line 3 (30 char)]],1)))</f>
        <v>0</v>
      </c>
      <c r="J1844" s="12" t="s">
        <v>52</v>
      </c>
      <c r="K1844" s="12">
        <v>81750</v>
      </c>
      <c r="L1844" s="12" t="s">
        <v>35</v>
      </c>
      <c r="M1844" s="13">
        <v>202403223345</v>
      </c>
      <c r="N1844" s="14" t="s">
        <v>11556</v>
      </c>
      <c r="O1844" s="14" t="s">
        <v>54</v>
      </c>
      <c r="P1844" s="14">
        <v>47300</v>
      </c>
      <c r="Q1844" s="14" t="s">
        <v>11557</v>
      </c>
      <c r="R1844" s="15" t="s">
        <v>9835</v>
      </c>
      <c r="S1844" s="15" t="s">
        <v>3212</v>
      </c>
      <c r="T1844" s="16" t="s">
        <v>89</v>
      </c>
      <c r="U1844" s="11" t="str">
        <f>_xlfn.XLOOKUP(Customer[[#This Row],[Customer ID]],[1]!Address[ID],[1]!Address[Phone No.(2)])</f>
        <v/>
      </c>
      <c r="V1844" s="11" t="str">
        <f>_xlfn.XLOOKUP(Customer[[#This Row],[Customer ID]],[1]!Address[ID],[1]!Address[Type])</f>
        <v>SOCMED</v>
      </c>
      <c r="W1844" s="11" t="str">
        <f>_xlfn.XLOOKUP(Customer[[#This Row],[Customer ID]],[1]!Address[ID],[1]!Address[CT])</f>
        <v/>
      </c>
      <c r="X1844" s="11"/>
      <c r="Y1844" s="17" t="s">
        <v>90</v>
      </c>
      <c r="Z1844" s="17" t="e">
        <f>_xlfn.XLOOKUP(Customer[[#This Row],[NewType]],$AF$36:$AF$54,$AG$36:$AG$54)</f>
        <v>#N/A</v>
      </c>
      <c r="AA1844" s="17" t="s">
        <v>11558</v>
      </c>
      <c r="AB1844" s="11" t="str">
        <f>_xlfn.XLOOKUP(Customer[[#This Row],[Customer ID]],[1]!Address[ID],[1]!Address[Subtype])</f>
        <v>ONLINE HAJAR</v>
      </c>
      <c r="AC1844" s="18" t="str">
        <f>_xlfn.XLOOKUP(Customer[[#This Row],[Customer ID]],[1]!Address[ID],[1]!Address[Zone])</f>
        <v>SOUTH</v>
      </c>
    </row>
    <row r="1845" spans="1:30" x14ac:dyDescent="0.3">
      <c r="A1845" s="10" t="s">
        <v>11559</v>
      </c>
      <c r="B1845" s="11" t="str">
        <f>_xlfn.XLOOKUP(Customer[[#This Row],[Customer ID]],[1]!Name[ID],[1]!Name[Description(1)])</f>
        <v>DATO AZMI</v>
      </c>
      <c r="C1845" s="32" t="str">
        <f>_xlfn.XLOOKUP(Customer[[#This Row],[Customer ID]],[1]!Name[ID],[1]!Name[Description(2)])</f>
        <v/>
      </c>
      <c r="D1845" s="11" t="str">
        <f>_xlfn.XLOOKUP(Customer[[#This Row],[Customer ID]],[1]!Address[ID],[1]!Address[PIC])</f>
        <v>DATO AZMI</v>
      </c>
      <c r="E1845" s="11" t="str">
        <f>_xlfn.XLOOKUP(Customer[[#This Row],[Customer ID]],[1]!Address[ID],[1]!Address[Full Address])</f>
        <v>E1-04-03 PANTAI HILLPARK PHASE 1</v>
      </c>
      <c r="F1845" s="12" t="s">
        <v>11560</v>
      </c>
      <c r="G1845" s="12" t="s">
        <v>11561</v>
      </c>
      <c r="H1845" s="12" t="s">
        <v>11562</v>
      </c>
      <c r="I1845" s="12" t="b">
        <f>ISNUMBER(VALUE(LEFT(Customer[[#This Row],[Address Line 3 (30 char)]],1)))</f>
        <v>0</v>
      </c>
      <c r="J1845" s="32" t="s">
        <v>34</v>
      </c>
      <c r="K1845" s="32"/>
      <c r="L1845" s="12" t="s">
        <v>35</v>
      </c>
      <c r="M1845" s="13" t="e">
        <v>#N/A</v>
      </c>
      <c r="N1845" s="14" t="e">
        <v>#N/A</v>
      </c>
      <c r="O1845" s="14" t="e">
        <v>#N/A</v>
      </c>
      <c r="P1845" s="14" t="e">
        <v>#N/A</v>
      </c>
      <c r="Q1845" s="14" t="e">
        <v>#N/A</v>
      </c>
      <c r="R1845" s="15" t="s">
        <v>11563</v>
      </c>
      <c r="S1845" s="15" t="s">
        <v>4271</v>
      </c>
      <c r="T1845" s="15" t="s">
        <v>89</v>
      </c>
      <c r="U1845" s="11" t="str">
        <f>_xlfn.XLOOKUP(Customer[[#This Row],[Customer ID]],[1]!Address[ID],[1]!Address[Phone No.(2)])</f>
        <v/>
      </c>
      <c r="V1845" s="11" t="str">
        <f>_xlfn.XLOOKUP(Customer[[#This Row],[Customer ID]],[1]!Address[ID],[1]!Address[Type])</f>
        <v>SOCMED</v>
      </c>
      <c r="W1845" s="11" t="str">
        <f>_xlfn.XLOOKUP(Customer[[#This Row],[Customer ID]],[1]!Address[ID],[1]!Address[CT])</f>
        <v/>
      </c>
      <c r="X1845" s="11"/>
      <c r="Y1845" s="17" t="s">
        <v>90</v>
      </c>
      <c r="Z1845" s="17" t="e">
        <f>_xlfn.XLOOKUP(Customer[[#This Row],[NewType]],$AF$36:$AF$54,$AG$36:$AG$54)</f>
        <v>#N/A</v>
      </c>
      <c r="AA1845" s="17" t="s">
        <v>11564</v>
      </c>
      <c r="AB1845" s="11" t="str">
        <f>_xlfn.XLOOKUP(Customer[[#This Row],[Customer ID]],[1]!Address[ID],[1]!Address[Subtype])</f>
        <v>WHATSAPP</v>
      </c>
      <c r="AC1845" s="18" t="str">
        <f>_xlfn.XLOOKUP(Customer[[#This Row],[Customer ID]],[1]!Address[ID],[1]!Address[Zone])</f>
        <v>AEEDH</v>
      </c>
    </row>
    <row r="1846" spans="1:30" x14ac:dyDescent="0.3">
      <c r="A1846" s="10" t="s">
        <v>11565</v>
      </c>
      <c r="B1846" s="11" t="str">
        <f>_xlfn.XLOOKUP(Customer[[#This Row],[Customer ID]],[1]!Name[ID],[1]!Name[Description(1)])</f>
        <v>DATO MALEK</v>
      </c>
      <c r="C1846" s="32" t="str">
        <f>_xlfn.XLOOKUP(Customer[[#This Row],[Customer ID]],[1]!Name[ID],[1]!Name[Description(2)])</f>
        <v/>
      </c>
      <c r="D1846" s="11" t="str">
        <f>_xlfn.XLOOKUP(Customer[[#This Row],[Customer ID]],[1]!Address[ID],[1]!Address[PIC])</f>
        <v/>
      </c>
      <c r="E1846" s="11" t="str">
        <f>_xlfn.XLOOKUP(Customer[[#This Row],[Customer ID]],[1]!Address[ID],[1]!Address[Full Address])</f>
        <v/>
      </c>
      <c r="F1846" s="12" t="s">
        <v>36</v>
      </c>
      <c r="G1846" s="12" t="s">
        <v>36</v>
      </c>
      <c r="H1846" s="12" t="s">
        <v>36</v>
      </c>
      <c r="I1846" s="12" t="b">
        <f>ISNUMBER(VALUE(LEFT(Customer[[#This Row],[Address Line 3 (30 char)]],1)))</f>
        <v>0</v>
      </c>
      <c r="J1846" s="32"/>
      <c r="K1846" s="32"/>
      <c r="L1846" s="12" t="s">
        <v>35</v>
      </c>
      <c r="M1846" s="13" t="e">
        <v>#N/A</v>
      </c>
      <c r="N1846" s="14" t="e">
        <v>#N/A</v>
      </c>
      <c r="O1846" s="14" t="e">
        <v>#N/A</v>
      </c>
      <c r="P1846" s="14" t="e">
        <v>#N/A</v>
      </c>
      <c r="Q1846" s="14" t="e">
        <v>#N/A</v>
      </c>
      <c r="R1846" s="15" t="s">
        <v>11566</v>
      </c>
      <c r="S1846" s="15" t="s">
        <v>4271</v>
      </c>
      <c r="T1846" s="15" t="s">
        <v>89</v>
      </c>
      <c r="U1846" s="11" t="str">
        <f>_xlfn.XLOOKUP(Customer[[#This Row],[Customer ID]],[1]!Address[ID],[1]!Address[Phone No.(2)])</f>
        <v/>
      </c>
      <c r="V1846" s="11" t="str">
        <f>_xlfn.XLOOKUP(Customer[[#This Row],[Customer ID]],[1]!Address[ID],[1]!Address[Type])</f>
        <v>SOCMED</v>
      </c>
      <c r="W1846" s="11" t="str">
        <f>_xlfn.XLOOKUP(Customer[[#This Row],[Customer ID]],[1]!Address[ID],[1]!Address[CT])</f>
        <v/>
      </c>
      <c r="X1846" s="11"/>
      <c r="Y1846" s="17" t="s">
        <v>90</v>
      </c>
      <c r="Z1846" s="17" t="e">
        <f>_xlfn.XLOOKUP(Customer[[#This Row],[NewType]],$AF$36:$AF$54,$AG$36:$AG$54)</f>
        <v>#N/A</v>
      </c>
      <c r="AA1846" s="17" t="s">
        <v>11567</v>
      </c>
      <c r="AB1846" s="11" t="str">
        <f>_xlfn.XLOOKUP(Customer[[#This Row],[Customer ID]],[1]!Address[ID],[1]!Address[Subtype])</f>
        <v>WHATSAPP</v>
      </c>
      <c r="AC1846" s="18" t="str">
        <f>_xlfn.XLOOKUP(Customer[[#This Row],[Customer ID]],[1]!Address[ID],[1]!Address[Zone])</f>
        <v>AEEDH</v>
      </c>
    </row>
    <row r="1847" spans="1:30" x14ac:dyDescent="0.3">
      <c r="A1847" s="48" t="s">
        <v>11568</v>
      </c>
      <c r="B1847" s="49" t="str">
        <f>_xlfn.XLOOKUP(Customer[[#This Row],[Customer ID]],[1]!Name[ID],[1]!Name[Description(1)])</f>
        <v>CAND C PHARMACY</v>
      </c>
      <c r="C1847" s="11" t="str">
        <f>_xlfn.XLOOKUP(Customer[[#This Row],[Customer ID]],[1]!Name[ID],[1]!Name[Description(2)])</f>
        <v/>
      </c>
      <c r="D1847" s="11" t="str">
        <f>_xlfn.XLOOKUP(Customer[[#This Row],[Customer ID]],[1]!Address[ID],[1]!Address[PIC])</f>
        <v/>
      </c>
      <c r="E1847" s="11" t="str">
        <f>_xlfn.XLOOKUP(Customer[[#This Row],[Customer ID]],[1]!Address[ID],[1]!Address[Full Address])</f>
        <v>23-C LOT 52 TINGKAT BAWAH JALAN RAYA09800 SERDANG, KEDAH</v>
      </c>
      <c r="F1847" s="12" t="s">
        <v>11569</v>
      </c>
      <c r="G1847" s="12" t="s">
        <v>11570</v>
      </c>
      <c r="H1847" s="12" t="s">
        <v>11571</v>
      </c>
      <c r="I1847" s="12" t="b">
        <f>ISNUMBER(VALUE(LEFT(Customer[[#This Row],[Address Line 3 (30 char)]],1)))</f>
        <v>0</v>
      </c>
      <c r="J1847" s="12" t="s">
        <v>355</v>
      </c>
      <c r="K1847" s="20" t="s">
        <v>11572</v>
      </c>
      <c r="L1847" s="12" t="s">
        <v>35</v>
      </c>
      <c r="M1847" s="13" t="e">
        <v>#N/A</v>
      </c>
      <c r="N1847" s="14" t="e">
        <v>#N/A</v>
      </c>
      <c r="O1847" s="14" t="e">
        <v>#N/A</v>
      </c>
      <c r="P1847" s="14" t="e">
        <v>#N/A</v>
      </c>
      <c r="Q1847" s="19" t="s">
        <v>11573</v>
      </c>
      <c r="R1847" s="15" t="s">
        <v>11574</v>
      </c>
      <c r="S1847" s="15" t="s">
        <v>3212</v>
      </c>
      <c r="T1847" s="16" t="s">
        <v>89</v>
      </c>
      <c r="U1847" s="11" t="str">
        <f>_xlfn.XLOOKUP(Customer[[#This Row],[Customer ID]],[1]!Address[ID],[1]!Address[Phone No.(2)])</f>
        <v/>
      </c>
      <c r="V1847" s="11" t="str">
        <f>_xlfn.XLOOKUP(Customer[[#This Row],[Customer ID]],[1]!Address[ID],[1]!Address[Type])</f>
        <v>SOCMED</v>
      </c>
      <c r="W1847" s="11" t="str">
        <f>_xlfn.XLOOKUP(Customer[[#This Row],[Customer ID]],[1]!Address[ID],[1]!Address[CT])</f>
        <v/>
      </c>
      <c r="X1847" s="11"/>
      <c r="Y1847" s="17" t="s">
        <v>90</v>
      </c>
      <c r="Z1847" s="17" t="e">
        <f>_xlfn.XLOOKUP(Customer[[#This Row],[NewType]],$AF$36:$AF$54,$AG$36:$AG$54)</f>
        <v>#N/A</v>
      </c>
      <c r="AA1847" s="17" t="s">
        <v>11575</v>
      </c>
      <c r="AB1847" s="11" t="str">
        <f>_xlfn.XLOOKUP(Customer[[#This Row],[Customer ID]],[1]!Address[ID],[1]!Address[Subtype])</f>
        <v>ONLINE HAJAR</v>
      </c>
      <c r="AC1847" s="18" t="str">
        <f>_xlfn.XLOOKUP(Customer[[#This Row],[Customer ID]],[1]!Address[ID],[1]!Address[Zone])</f>
        <v>NORTH</v>
      </c>
    </row>
    <row r="1848" spans="1:30" x14ac:dyDescent="0.3">
      <c r="A1848" s="10" t="s">
        <v>11576</v>
      </c>
      <c r="B1848" s="11" t="str">
        <f>_xlfn.XLOOKUP(Customer[[#This Row],[Customer ID]],[1]!Name[ID],[1]!Name[Description(1)])</f>
        <v>AISHAH BIDIN</v>
      </c>
      <c r="C1848" s="11" t="str">
        <f>_xlfn.XLOOKUP(Customer[[#This Row],[Customer ID]],[1]!Name[ID],[1]!Name[Description(2)])</f>
        <v/>
      </c>
      <c r="D1848" s="11" t="str">
        <f>_xlfn.XLOOKUP(Customer[[#This Row],[Customer ID]],[1]!Address[ID],[1]!Address[PIC])</f>
        <v/>
      </c>
      <c r="E1848" s="11" t="str">
        <f>_xlfn.XLOOKUP(Customer[[#This Row],[Customer ID]],[1]!Address[ID],[1]!Address[Full Address])</f>
        <v>151-UNIT 2.KG MENGKUANG SEMARAK,14000 BUKIT MERTAJAMPULAU PINANG</v>
      </c>
      <c r="F1848" s="12" t="s">
        <v>11577</v>
      </c>
      <c r="G1848" s="12" t="s">
        <v>11578</v>
      </c>
      <c r="H1848" s="24" t="s">
        <v>5591</v>
      </c>
      <c r="I1848" s="24" t="b">
        <f>ISNUMBER(VALUE(LEFT(Customer[[#This Row],[Address Line 3 (30 char)]],1)))</f>
        <v>0</v>
      </c>
      <c r="J1848" s="12" t="s">
        <v>179</v>
      </c>
      <c r="K1848" s="12">
        <v>14000</v>
      </c>
      <c r="L1848" s="12" t="s">
        <v>35</v>
      </c>
      <c r="M1848" s="13" t="e">
        <v>#N/A</v>
      </c>
      <c r="N1848" s="14" t="e">
        <v>#N/A</v>
      </c>
      <c r="O1848" s="14" t="e">
        <v>#N/A</v>
      </c>
      <c r="P1848" s="14" t="e">
        <v>#N/A</v>
      </c>
      <c r="Q1848" s="14" t="e">
        <v>#N/A</v>
      </c>
      <c r="R1848" s="15" t="s">
        <v>11579</v>
      </c>
      <c r="S1848" s="15" t="s">
        <v>89</v>
      </c>
      <c r="T1848" s="15" t="s">
        <v>89</v>
      </c>
      <c r="U1848" s="11" t="str">
        <f>_xlfn.XLOOKUP(Customer[[#This Row],[Customer ID]],[1]!Address[ID],[1]!Address[Phone No.(2)])</f>
        <v/>
      </c>
      <c r="V1848" s="11" t="str">
        <f>_xlfn.XLOOKUP(Customer[[#This Row],[Customer ID]],[1]!Address[ID],[1]!Address[Type])</f>
        <v>SOCMED</v>
      </c>
      <c r="W1848" s="11" t="str">
        <f>_xlfn.XLOOKUP(Customer[[#This Row],[Customer ID]],[1]!Address[ID],[1]!Address[CT])</f>
        <v>CASH</v>
      </c>
      <c r="X1848" s="11"/>
      <c r="Y1848" s="17" t="s">
        <v>90</v>
      </c>
      <c r="Z1848" s="17" t="e">
        <f>_xlfn.XLOOKUP(Customer[[#This Row],[NewType]],$AF$36:$AF$54,$AG$36:$AG$54)</f>
        <v>#N/A</v>
      </c>
      <c r="AA1848" s="17" t="s">
        <v>11580</v>
      </c>
      <c r="AB1848" s="11" t="str">
        <f>_xlfn.XLOOKUP(Customer[[#This Row],[Customer ID]],[1]!Address[ID],[1]!Address[Subtype])</f>
        <v>WHATSAPP</v>
      </c>
      <c r="AC1848" s="18" t="str">
        <f>_xlfn.XLOOKUP(Customer[[#This Row],[Customer ID]],[1]!Address[ID],[1]!Address[Zone])</f>
        <v>NORTH</v>
      </c>
    </row>
    <row r="1849" spans="1:30" x14ac:dyDescent="0.3">
      <c r="A1849" s="10" t="s">
        <v>11581</v>
      </c>
      <c r="B1849" s="11" t="str">
        <f>_xlfn.XLOOKUP(Customer[[#This Row],[Customer ID]],[1]!Name[ID],[1]!Name[Description(1)])</f>
        <v>FARMASI AL ARIF SDN BHD-SG BULOH</v>
      </c>
      <c r="C1849" s="11" t="str">
        <f>_xlfn.XLOOKUP(Customer[[#This Row],[Customer ID]],[1]!Name[ID],[1]!Name[Description(2)])</f>
        <v/>
      </c>
      <c r="D1849" s="11" t="str">
        <f>_xlfn.XLOOKUP(Customer[[#This Row],[Customer ID]],[1]!Address[ID],[1]!Address[PIC])</f>
        <v/>
      </c>
      <c r="E1849" s="11" t="str">
        <f>_xlfn.XLOOKUP(Customer[[#This Row],[Customer ID]],[1]!Address[ID],[1]!Address[Full Address])</f>
        <v>NO 7, JALAN LITER DU 19/D,SEKSYEN U19,40160 SG BULOH,SELANGOR</v>
      </c>
      <c r="F1849" s="12" t="s">
        <v>11582</v>
      </c>
      <c r="G1849" s="12" t="s">
        <v>11583</v>
      </c>
      <c r="H1849" s="24" t="s">
        <v>11584</v>
      </c>
      <c r="I1849" s="24" t="b">
        <f>ISNUMBER(VALUE(LEFT(Customer[[#This Row],[Address Line 3 (30 char)]],1)))</f>
        <v>0</v>
      </c>
      <c r="J1849" s="12" t="s">
        <v>172</v>
      </c>
      <c r="K1849" s="12">
        <v>40160</v>
      </c>
      <c r="L1849" s="12" t="s">
        <v>35</v>
      </c>
      <c r="M1849" s="13" t="e">
        <v>#N/A</v>
      </c>
      <c r="N1849" s="14" t="e">
        <v>#N/A</v>
      </c>
      <c r="O1849" s="14" t="e">
        <v>#N/A</v>
      </c>
      <c r="P1849" s="14" t="e">
        <v>#N/A</v>
      </c>
      <c r="Q1849" s="14" t="e">
        <v>#N/A</v>
      </c>
      <c r="R1849" s="15" t="s">
        <v>11585</v>
      </c>
      <c r="S1849" s="15" t="s">
        <v>3476</v>
      </c>
      <c r="T1849" s="16" t="s">
        <v>3477</v>
      </c>
      <c r="U1849" s="11" t="str">
        <f>_xlfn.XLOOKUP(Customer[[#This Row],[Customer ID]],[1]!Address[ID],[1]!Address[Phone No.(2)])</f>
        <v/>
      </c>
      <c r="V1849" s="11" t="str">
        <f>_xlfn.XLOOKUP(Customer[[#This Row],[Customer ID]],[1]!Address[ID],[1]!Address[Type])</f>
        <v>PH</v>
      </c>
      <c r="W1849" s="11" t="str">
        <f>_xlfn.XLOOKUP(Customer[[#This Row],[Customer ID]],[1]!Address[ID],[1]!Address[CT])</f>
        <v>30 DAYS</v>
      </c>
      <c r="X1849" s="11"/>
      <c r="Y1849" s="17" t="s">
        <v>5955</v>
      </c>
      <c r="Z1849" s="17" t="e">
        <f>_xlfn.XLOOKUP(Customer[[#This Row],[NewType]],$AF$36:$AF$54,$AG$36:$AG$54)</f>
        <v>#N/A</v>
      </c>
      <c r="AA1849" s="17" t="s">
        <v>11586</v>
      </c>
      <c r="AB1849" s="11" t="str">
        <f>_xlfn.XLOOKUP(Customer[[#This Row],[Customer ID]],[1]!Address[ID],[1]!Address[Subtype])</f>
        <v>AL-ARIF</v>
      </c>
      <c r="AC1849" s="18">
        <f>_xlfn.XLOOKUP(Customer[[#This Row],[Customer ID]],[1]!Address[ID],[1]!Address[Zone])</f>
        <v>0</v>
      </c>
    </row>
    <row r="1850" spans="1:30" x14ac:dyDescent="0.3">
      <c r="A1850" s="48" t="s">
        <v>11587</v>
      </c>
      <c r="B1850" s="49" t="str">
        <f>_xlfn.XLOOKUP(Customer[[#This Row],[Customer ID]],[1]!Name[ID],[1]!Name[Description(1)])</f>
        <v>JANNA FIRDAUS TRADE</v>
      </c>
      <c r="C1850" s="11" t="str">
        <f>_xlfn.XLOOKUP(Customer[[#This Row],[Customer ID]],[1]!Name[ID],[1]!Name[Description(2)])</f>
        <v>PERNIAGAAN M. FAREK</v>
      </c>
      <c r="D1850" s="11" t="str">
        <f>_xlfn.XLOOKUP(Customer[[#This Row],[Customer ID]],[1]!Address[ID],[1]!Address[PIC])</f>
        <v/>
      </c>
      <c r="E1850" s="11" t="str">
        <f>_xlfn.XLOOKUP(Customer[[#This Row],[Customer ID]],[1]!Address[ID],[1]!Address[Full Address])</f>
        <v>SHELL DURIAN TUNGGAL, LOT 23 (DT30),PEKAN DURIAN TUNGGAL, 76100 DURIANTUNGGAL, MELAKA</v>
      </c>
      <c r="F1850" s="12" t="s">
        <v>11588</v>
      </c>
      <c r="G1850" s="12" t="s">
        <v>11589</v>
      </c>
      <c r="H1850" s="12" t="s">
        <v>11590</v>
      </c>
      <c r="I1850" s="12" t="b">
        <f>ISNUMBER(VALUE(LEFT(Customer[[#This Row],[Address Line 3 (30 char)]],1)))</f>
        <v>0</v>
      </c>
      <c r="J1850" s="12" t="s">
        <v>61</v>
      </c>
      <c r="K1850" s="12">
        <v>76100</v>
      </c>
      <c r="L1850" s="12" t="s">
        <v>35</v>
      </c>
      <c r="M1850" s="13">
        <v>202403251593</v>
      </c>
      <c r="N1850" s="14" t="s">
        <v>11591</v>
      </c>
      <c r="O1850" s="14" t="s">
        <v>54</v>
      </c>
      <c r="P1850" s="14">
        <v>47300</v>
      </c>
      <c r="Q1850" s="19" t="s">
        <v>11592</v>
      </c>
      <c r="R1850" s="15" t="s">
        <v>11593</v>
      </c>
      <c r="S1850" s="15" t="s">
        <v>3212</v>
      </c>
      <c r="T1850" s="16" t="s">
        <v>89</v>
      </c>
      <c r="U1850" s="11" t="str">
        <f>_xlfn.XLOOKUP(Customer[[#This Row],[Customer ID]],[1]!Address[ID],[1]!Address[Phone No.(2)])</f>
        <v/>
      </c>
      <c r="V1850" s="11" t="str">
        <f>_xlfn.XLOOKUP(Customer[[#This Row],[Customer ID]],[1]!Address[ID],[1]!Address[Type])</f>
        <v>SOCMED</v>
      </c>
      <c r="W1850" s="11" t="str">
        <f>_xlfn.XLOOKUP(Customer[[#This Row],[Customer ID]],[1]!Address[ID],[1]!Address[CT])</f>
        <v/>
      </c>
      <c r="X1850" s="11"/>
      <c r="Y1850" s="17" t="s">
        <v>90</v>
      </c>
      <c r="Z1850" s="17" t="e">
        <f>_xlfn.XLOOKUP(Customer[[#This Row],[NewType]],$AF$36:$AF$54,$AG$36:$AG$54)</f>
        <v>#N/A</v>
      </c>
      <c r="AA1850" s="17" t="s">
        <v>11594</v>
      </c>
      <c r="AB1850" s="11" t="str">
        <f>_xlfn.XLOOKUP(Customer[[#This Row],[Customer ID]],[1]!Address[ID],[1]!Address[Subtype])</f>
        <v>ONLINE HAJAR</v>
      </c>
      <c r="AC1850" s="18" t="str">
        <f>_xlfn.XLOOKUP(Customer[[#This Row],[Customer ID]],[1]!Address[ID],[1]!Address[Zone])</f>
        <v>SOUTH</v>
      </c>
    </row>
    <row r="1851" spans="1:30" x14ac:dyDescent="0.3">
      <c r="A1851" s="72" t="s">
        <v>11595</v>
      </c>
      <c r="B1851" s="68" t="str">
        <f>_xlfn.XLOOKUP(Customer[[#This Row],[Customer ID]],[1]!Name[ID],[1]!Name[Description(1)])</f>
        <v>BUBBLES O2 SDN BHD</v>
      </c>
      <c r="C1851" s="68" t="str">
        <f>_xlfn.XLOOKUP(Customer[[#This Row],[Customer ID]],[1]!Name[ID],[1]!Name[Description(2)])</f>
        <v/>
      </c>
      <c r="D1851" s="68" t="str">
        <f>_xlfn.XLOOKUP(Customer[[#This Row],[Customer ID]],[1]!Address[ID],[1]!Address[PIC])</f>
        <v/>
      </c>
      <c r="E1851" s="11" t="str">
        <f>_xlfn.XLOOKUP(Customer[[#This Row],[Customer ID]],[1]!Address[ID],[1]!Address[Full Address])</f>
        <v>LOT 4494,4495,4498,4499KAWASAN PERINDUSTRIAN HALAL MIEL,KAMPUNG MERBAU SEMBILAN,71400 PEDAS, NEGERI SEMBILAN</v>
      </c>
      <c r="F1851" s="12" t="s">
        <v>11596</v>
      </c>
      <c r="G1851" s="12" t="s">
        <v>11597</v>
      </c>
      <c r="H1851" s="12" t="s">
        <v>9468</v>
      </c>
      <c r="I1851" s="12" t="b">
        <f>ISNUMBER(VALUE(LEFT(Customer[[#This Row],[Address Line 3 (30 char)]],1)))</f>
        <v>0</v>
      </c>
      <c r="J1851" s="12" t="s">
        <v>203</v>
      </c>
      <c r="K1851" s="12">
        <v>71400</v>
      </c>
      <c r="L1851" s="12" t="s">
        <v>35</v>
      </c>
      <c r="M1851" s="13" t="e">
        <v>#N/A</v>
      </c>
      <c r="N1851" s="14" t="e">
        <v>#N/A</v>
      </c>
      <c r="O1851" s="14" t="e">
        <v>#N/A</v>
      </c>
      <c r="P1851" s="14" t="e">
        <v>#N/A</v>
      </c>
      <c r="Q1851" s="14" t="e">
        <v>#N/A</v>
      </c>
      <c r="R1851" s="67" t="s">
        <v>36</v>
      </c>
      <c r="S1851" s="67"/>
      <c r="T1851" s="76"/>
      <c r="U1851" s="68" t="str">
        <f>_xlfn.XLOOKUP(Customer[[#This Row],[Customer ID]],[1]!Address[ID],[1]!Address[Phone No.(2)])</f>
        <v/>
      </c>
      <c r="V1851" s="68" t="str">
        <f>_xlfn.XLOOKUP(Customer[[#This Row],[Customer ID]],[1]!Address[ID],[1]!Address[Type])</f>
        <v>AGENT</v>
      </c>
      <c r="W1851" s="68" t="str">
        <f>_xlfn.XLOOKUP(Customer[[#This Row],[Customer ID]],[1]!Address[ID],[1]!Address[CT])</f>
        <v/>
      </c>
      <c r="X1851" s="68"/>
      <c r="Y1851" s="69" t="s">
        <v>6639</v>
      </c>
      <c r="Z1851" s="69" t="e">
        <f>_xlfn.XLOOKUP(Customer[[#This Row],[NewType]],$AF$36:$AF$54,$AG$36:$AG$54)</f>
        <v>#N/A</v>
      </c>
      <c r="AA1851" s="69" t="s">
        <v>11598</v>
      </c>
      <c r="AB1851" s="68" t="str">
        <f>_xlfn.XLOOKUP(Customer[[#This Row],[Customer ID]],[1]!Address[ID],[1]!Address[Subtype])</f>
        <v>AGENT HQ</v>
      </c>
      <c r="AC1851" s="70" t="str">
        <f>_xlfn.XLOOKUP(Customer[[#This Row],[Customer ID]],[1]!Address[ID],[1]!Address[Zone])</f>
        <v>CENTRAL</v>
      </c>
      <c r="AD1851" s="71"/>
    </row>
    <row r="1852" spans="1:30" x14ac:dyDescent="0.3">
      <c r="A1852" s="10" t="s">
        <v>11599</v>
      </c>
      <c r="B1852" s="11" t="str">
        <f>_xlfn.XLOOKUP(Customer[[#This Row],[Customer ID]],[1]!Name[ID],[1]!Name[Description(1)])</f>
        <v>PETRON GAMBANG KUANTAN</v>
      </c>
      <c r="C1852" s="11" t="str">
        <f>_xlfn.XLOOKUP(Customer[[#This Row],[Customer ID]],[1]!Name[ID],[1]!Name[Description(2)])</f>
        <v/>
      </c>
      <c r="D1852" s="11" t="str">
        <f>_xlfn.XLOOKUP(Customer[[#This Row],[Customer ID]],[1]!Address[ID],[1]!Address[PIC])</f>
        <v/>
      </c>
      <c r="E1852" s="11" t="str">
        <f>_xlfn.XLOOKUP(Customer[[#This Row],[Customer ID]],[1]!Address[ID],[1]!Address[Full Address])</f>
        <v>Lbh Persiaran Tun Khalil YaakobBandar Gambang Perdana26300 Gambang, Pahang</v>
      </c>
      <c r="F1852" s="12" t="s">
        <v>11600</v>
      </c>
      <c r="G1852" s="12" t="s">
        <v>11601</v>
      </c>
      <c r="H1852" s="12" t="s">
        <v>11602</v>
      </c>
      <c r="I1852" s="12" t="b">
        <f>ISNUMBER(VALUE(LEFT(Customer[[#This Row],[Address Line 3 (30 char)]],1)))</f>
        <v>0</v>
      </c>
      <c r="J1852" s="12" t="s">
        <v>339</v>
      </c>
      <c r="K1852" s="12">
        <v>26300</v>
      </c>
      <c r="L1852" s="12" t="s">
        <v>35</v>
      </c>
      <c r="M1852" s="13" t="e">
        <v>#N/A</v>
      </c>
      <c r="N1852" s="14" t="e">
        <v>#N/A</v>
      </c>
      <c r="O1852" s="14" t="e">
        <v>#N/A</v>
      </c>
      <c r="P1852" s="14" t="e">
        <v>#N/A</v>
      </c>
      <c r="Q1852" s="14" t="e">
        <v>#N/A</v>
      </c>
      <c r="R1852" s="15" t="s">
        <v>11603</v>
      </c>
      <c r="S1852" s="15" t="s">
        <v>37</v>
      </c>
      <c r="T1852" s="16" t="s">
        <v>38</v>
      </c>
      <c r="U1852" s="11" t="str">
        <f>_xlfn.XLOOKUP(Customer[[#This Row],[Customer ID]],[1]!Address[ID],[1]!Address[Phone No.(2)])</f>
        <v/>
      </c>
      <c r="V1852" s="11" t="str">
        <f>_xlfn.XLOOKUP(Customer[[#This Row],[Customer ID]],[1]!Address[ID],[1]!Address[Type])</f>
        <v>PETROMART</v>
      </c>
      <c r="W1852" s="11" t="str">
        <f>_xlfn.XLOOKUP(Customer[[#This Row],[Customer ID]],[1]!Address[ID],[1]!Address[CT])</f>
        <v>30</v>
      </c>
      <c r="X1852" s="11" t="s">
        <v>39</v>
      </c>
      <c r="Y1852" s="17" t="s">
        <v>40</v>
      </c>
      <c r="Z1852" s="17" t="e">
        <f>_xlfn.XLOOKUP(Customer[[#This Row],[NewType]],$AF$36:$AF$54,$AG$36:$AG$54)</f>
        <v>#N/A</v>
      </c>
      <c r="AA1852" s="17" t="s">
        <v>11604</v>
      </c>
      <c r="AB1852" s="11" t="str">
        <f>_xlfn.XLOOKUP(Customer[[#This Row],[Customer ID]],[1]!Address[ID],[1]!Address[Subtype])</f>
        <v>PETRON</v>
      </c>
      <c r="AC1852" s="18" t="str">
        <f>_xlfn.XLOOKUP(Customer[[#This Row],[Customer ID]],[1]!Address[ID],[1]!Address[Zone])</f>
        <v>EAST COAST</v>
      </c>
    </row>
    <row r="1853" spans="1:30" x14ac:dyDescent="0.3">
      <c r="A1853" s="10" t="s">
        <v>11605</v>
      </c>
      <c r="B1853" s="11" t="str">
        <f>_xlfn.XLOOKUP(Customer[[#This Row],[Customer ID]],[1]!Name[ID],[1]!Name[Description(1)])</f>
        <v>TUBA MART</v>
      </c>
      <c r="C1853" s="11" t="str">
        <f>_xlfn.XLOOKUP(Customer[[#This Row],[Customer ID]],[1]!Name[ID],[1]!Name[Description(2)])</f>
        <v/>
      </c>
      <c r="D1853" s="11" t="str">
        <f>_xlfn.XLOOKUP(Customer[[#This Row],[Customer ID]],[1]!Address[ID],[1]!Address[PIC])</f>
        <v/>
      </c>
      <c r="E1853" s="11" t="str">
        <f>_xlfn.XLOOKUP(Customer[[#This Row],[Customer ID]],[1]!Address[ID],[1]!Address[Full Address])</f>
        <v>TAHFIZ AL QURAN DARUL TUBA,NO. 1660 JALAN BIDARA 5, TAMAN TANGKAKJAYA, 84900 TANGKAK, JOHOR</v>
      </c>
      <c r="F1853" s="12" t="s">
        <v>11606</v>
      </c>
      <c r="G1853" s="12" t="s">
        <v>11607</v>
      </c>
      <c r="H1853" s="12" t="s">
        <v>11608</v>
      </c>
      <c r="I1853" s="12" t="b">
        <f>ISNUMBER(VALUE(LEFT(Customer[[#This Row],[Address Line 3 (30 char)]],1)))</f>
        <v>0</v>
      </c>
      <c r="J1853" s="12" t="s">
        <v>52</v>
      </c>
      <c r="K1853" s="12">
        <v>84900</v>
      </c>
      <c r="L1853" s="12" t="s">
        <v>35</v>
      </c>
      <c r="M1853" s="13" t="e">
        <v>#N/A</v>
      </c>
      <c r="N1853" s="14" t="e">
        <v>#N/A</v>
      </c>
      <c r="O1853" s="14" t="e">
        <v>#N/A</v>
      </c>
      <c r="P1853" s="14" t="e">
        <v>#N/A</v>
      </c>
      <c r="Q1853" s="19" t="s">
        <v>11609</v>
      </c>
      <c r="R1853" s="15" t="s">
        <v>11610</v>
      </c>
      <c r="S1853" s="15" t="s">
        <v>88</v>
      </c>
      <c r="T1853" s="16" t="s">
        <v>89</v>
      </c>
      <c r="U1853" s="11" t="str">
        <f>_xlfn.XLOOKUP(Customer[[#This Row],[Customer ID]],[1]!Address[ID],[1]!Address[Phone No.(2)])</f>
        <v/>
      </c>
      <c r="V1853" s="11" t="str">
        <f>_xlfn.XLOOKUP(Customer[[#This Row],[Customer ID]],[1]!Address[ID],[1]!Address[Type])</f>
        <v>SOCMED</v>
      </c>
      <c r="W1853" s="11" t="str">
        <f>_xlfn.XLOOKUP(Customer[[#This Row],[Customer ID]],[1]!Address[ID],[1]!Address[CT])</f>
        <v/>
      </c>
      <c r="X1853" s="11"/>
      <c r="Y1853" s="17" t="s">
        <v>90</v>
      </c>
      <c r="Z1853" s="17" t="e">
        <f>_xlfn.XLOOKUP(Customer[[#This Row],[NewType]],$AF$36:$AF$54,$AG$36:$AG$54)</f>
        <v>#N/A</v>
      </c>
      <c r="AA1853" s="17" t="s">
        <v>11611</v>
      </c>
      <c r="AB1853" s="11" t="str">
        <f>_xlfn.XLOOKUP(Customer[[#This Row],[Customer ID]],[1]!Address[ID],[1]!Address[Subtype])</f>
        <v>ONLINE ROS</v>
      </c>
      <c r="AC1853" s="18" t="str">
        <f>_xlfn.XLOOKUP(Customer[[#This Row],[Customer ID]],[1]!Address[ID],[1]!Address[Zone])</f>
        <v>SOUTH</v>
      </c>
    </row>
    <row r="1854" spans="1:30" x14ac:dyDescent="0.3">
      <c r="A1854" s="10" t="s">
        <v>11612</v>
      </c>
      <c r="B1854" s="11" t="str">
        <f>_xlfn.XLOOKUP(Customer[[#This Row],[Customer ID]],[1]!Name[ID],[1]!Name[Description(1)])</f>
        <v>NAZUWA</v>
      </c>
      <c r="C1854" s="11" t="str">
        <f>_xlfn.XLOOKUP(Customer[[#This Row],[Customer ID]],[1]!Name[ID],[1]!Name[Description(2)])</f>
        <v/>
      </c>
      <c r="D1854" s="11" t="str">
        <f>_xlfn.XLOOKUP(Customer[[#This Row],[Customer ID]],[1]!Address[ID],[1]!Address[PIC])</f>
        <v/>
      </c>
      <c r="E1854" s="11" t="str">
        <f>_xlfn.XLOOKUP(Customer[[#This Row],[Customer ID]],[1]!Address[ID],[1]!Address[Full Address])</f>
        <v>482, JALAN SENDAYAN INDAH 12,TAMAN SENDAYAN INDAH 71900 LABU,NEGERI SEMBILAN</v>
      </c>
      <c r="F1854" s="12" t="s">
        <v>11613</v>
      </c>
      <c r="G1854" s="12" t="s">
        <v>11614</v>
      </c>
      <c r="H1854" s="12"/>
      <c r="I1854" s="12" t="b">
        <f>ISNUMBER(VALUE(LEFT(Customer[[#This Row],[Address Line 3 (30 char)]],1)))</f>
        <v>0</v>
      </c>
      <c r="J1854" s="12" t="s">
        <v>203</v>
      </c>
      <c r="K1854" s="12">
        <v>71900</v>
      </c>
      <c r="L1854" s="12" t="s">
        <v>35</v>
      </c>
      <c r="M1854" s="13" t="e">
        <v>#N/A</v>
      </c>
      <c r="N1854" s="14" t="e">
        <v>#N/A</v>
      </c>
      <c r="O1854" s="14" t="e">
        <v>#N/A</v>
      </c>
      <c r="P1854" s="14" t="e">
        <v>#N/A</v>
      </c>
      <c r="Q1854" s="19" t="s">
        <v>11615</v>
      </c>
      <c r="R1854" s="15" t="s">
        <v>11616</v>
      </c>
      <c r="S1854" s="15" t="s">
        <v>88</v>
      </c>
      <c r="T1854" s="16" t="s">
        <v>89</v>
      </c>
      <c r="U1854" s="11" t="str">
        <f>_xlfn.XLOOKUP(Customer[[#This Row],[Customer ID]],[1]!Address[ID],[1]!Address[Phone No.(2)])</f>
        <v/>
      </c>
      <c r="V1854" s="11" t="str">
        <f>_xlfn.XLOOKUP(Customer[[#This Row],[Customer ID]],[1]!Address[ID],[1]!Address[Type])</f>
        <v>SOCMED</v>
      </c>
      <c r="W1854" s="11" t="str">
        <f>_xlfn.XLOOKUP(Customer[[#This Row],[Customer ID]],[1]!Address[ID],[1]!Address[CT])</f>
        <v/>
      </c>
      <c r="X1854" s="11"/>
      <c r="Y1854" s="17" t="s">
        <v>90</v>
      </c>
      <c r="Z1854" s="17" t="e">
        <f>_xlfn.XLOOKUP(Customer[[#This Row],[NewType]],$AF$36:$AF$54,$AG$36:$AG$54)</f>
        <v>#N/A</v>
      </c>
      <c r="AA1854" s="17" t="s">
        <v>11617</v>
      </c>
      <c r="AB1854" s="11" t="str">
        <f>_xlfn.XLOOKUP(Customer[[#This Row],[Customer ID]],[1]!Address[ID],[1]!Address[Subtype])</f>
        <v>ONLINE ROS</v>
      </c>
      <c r="AC1854" s="18" t="str">
        <f>_xlfn.XLOOKUP(Customer[[#This Row],[Customer ID]],[1]!Address[ID],[1]!Address[Zone])</f>
        <v>CENTRAL</v>
      </c>
    </row>
    <row r="1855" spans="1:30" x14ac:dyDescent="0.3">
      <c r="A1855" s="10" t="s">
        <v>11618</v>
      </c>
      <c r="B1855" s="11" t="str">
        <f>_xlfn.XLOOKUP(Customer[[#This Row],[Customer ID]],[1]!Name[ID],[1]!Name[Description(1)])</f>
        <v>SAAIDAH KHADIJAH NAIM</v>
      </c>
      <c r="C1855" s="32" t="str">
        <f>_xlfn.XLOOKUP(Customer[[#This Row],[Customer ID]],[1]!Name[ID],[1]!Name[Description(2)])</f>
        <v/>
      </c>
      <c r="D1855" s="11" t="str">
        <f>_xlfn.XLOOKUP(Customer[[#This Row],[Customer ID]],[1]!Address[ID],[1]!Address[PIC])</f>
        <v/>
      </c>
      <c r="E1855" s="11" t="str">
        <f>_xlfn.XLOOKUP(Customer[[#This Row],[Customer ID]],[1]!Address[ID],[1]!Address[Full Address])</f>
        <v>10, JALAN MAKYONG 6C/KU5,BANDAR BUKIT RAJA,KLANG</v>
      </c>
      <c r="F1855" s="12" t="s">
        <v>11619</v>
      </c>
      <c r="G1855" s="12" t="s">
        <v>11620</v>
      </c>
      <c r="H1855" s="12" t="s">
        <v>36</v>
      </c>
      <c r="I1855" s="12" t="b">
        <f>ISNUMBER(VALUE(LEFT(Customer[[#This Row],[Address Line 3 (30 char)]],1)))</f>
        <v>0</v>
      </c>
      <c r="J1855" s="32" t="s">
        <v>172</v>
      </c>
      <c r="K1855" s="32"/>
      <c r="L1855" s="12" t="s">
        <v>35</v>
      </c>
      <c r="M1855" s="13" t="e">
        <v>#N/A</v>
      </c>
      <c r="N1855" s="14" t="e">
        <v>#N/A</v>
      </c>
      <c r="O1855" s="14" t="e">
        <v>#N/A</v>
      </c>
      <c r="P1855" s="14" t="e">
        <v>#N/A</v>
      </c>
      <c r="Q1855" s="14" t="e">
        <v>#N/A</v>
      </c>
      <c r="R1855" s="15" t="s">
        <v>11621</v>
      </c>
      <c r="S1855" s="15" t="s">
        <v>6418</v>
      </c>
      <c r="T1855" s="16" t="s">
        <v>3477</v>
      </c>
      <c r="U1855" s="11" t="str">
        <f>_xlfn.XLOOKUP(Customer[[#This Row],[Customer ID]],[1]!Address[ID],[1]!Address[Phone No.(2)])</f>
        <v/>
      </c>
      <c r="V1855" s="11" t="str">
        <f>_xlfn.XLOOKUP(Customer[[#This Row],[Customer ID]],[1]!Address[ID],[1]!Address[Type])</f>
        <v>SOCMED</v>
      </c>
      <c r="W1855" s="11" t="str">
        <f>_xlfn.XLOOKUP(Customer[[#This Row],[Customer ID]],[1]!Address[ID],[1]!Address[CT])</f>
        <v>CASH</v>
      </c>
      <c r="X1855" s="11"/>
      <c r="Y1855" s="17" t="s">
        <v>90</v>
      </c>
      <c r="Z1855" s="17" t="e">
        <f>_xlfn.XLOOKUP(Customer[[#This Row],[NewType]],$AF$36:$AF$54,$AG$36:$AG$54)</f>
        <v>#N/A</v>
      </c>
      <c r="AA1855" s="17" t="s">
        <v>11622</v>
      </c>
      <c r="AB1855" s="11" t="str">
        <f>_xlfn.XLOOKUP(Customer[[#This Row],[Customer ID]],[1]!Address[ID],[1]!Address[Subtype])</f>
        <v>WHATSAPP</v>
      </c>
      <c r="AC1855" s="18" t="str">
        <f>_xlfn.XLOOKUP(Customer[[#This Row],[Customer ID]],[1]!Address[ID],[1]!Address[Zone])</f>
        <v>CENTRAL</v>
      </c>
    </row>
    <row r="1856" spans="1:30" x14ac:dyDescent="0.3">
      <c r="A1856" s="10" t="s">
        <v>11623</v>
      </c>
      <c r="B1856" s="11" t="str">
        <f>_xlfn.XLOOKUP(Customer[[#This Row],[Customer ID]],[1]!Name[ID],[1]!Name[Description(1)])</f>
        <v>MUHAMMAD ZAFRI ISMAIL KHAN</v>
      </c>
      <c r="C1856" s="11" t="str">
        <f>_xlfn.XLOOKUP(Customer[[#This Row],[Customer ID]],[1]!Name[ID],[1]!Name[Description(2)])</f>
        <v/>
      </c>
      <c r="D1856" s="11" t="str">
        <f>_xlfn.XLOOKUP(Customer[[#This Row],[Customer ID]],[1]!Address[ID],[1]!Address[PIC])</f>
        <v/>
      </c>
      <c r="E1856" s="11" t="str">
        <f>_xlfn.XLOOKUP(Customer[[#This Row],[Customer ID]],[1]!Address[ID],[1]!Address[Full Address])</f>
        <v>NO. 25 JALAN RP 7/11 PRIME VILLE,TAMAN RAWANG PERDANA, 48000 RAWANG.</v>
      </c>
      <c r="F1856" s="12" t="s">
        <v>11624</v>
      </c>
      <c r="G1856" s="12" t="s">
        <v>11625</v>
      </c>
      <c r="H1856" s="12" t="s">
        <v>11626</v>
      </c>
      <c r="I1856" s="12" t="b">
        <f>ISNUMBER(VALUE(LEFT(Customer[[#This Row],[Address Line 3 (30 char)]],1)))</f>
        <v>0</v>
      </c>
      <c r="J1856" s="12" t="s">
        <v>172</v>
      </c>
      <c r="K1856" s="12">
        <v>48000</v>
      </c>
      <c r="L1856" s="12" t="s">
        <v>35</v>
      </c>
      <c r="M1856" s="13" t="e">
        <v>#N/A</v>
      </c>
      <c r="N1856" s="14" t="e">
        <v>#N/A</v>
      </c>
      <c r="O1856" s="14" t="e">
        <v>#N/A</v>
      </c>
      <c r="P1856" s="14" t="e">
        <v>#N/A</v>
      </c>
      <c r="Q1856" s="14" t="e">
        <v>#N/A</v>
      </c>
      <c r="R1856" s="15" t="s">
        <v>11627</v>
      </c>
      <c r="S1856" s="15" t="s">
        <v>88</v>
      </c>
      <c r="T1856" s="16" t="s">
        <v>89</v>
      </c>
      <c r="U1856" s="11" t="str">
        <f>_xlfn.XLOOKUP(Customer[[#This Row],[Customer ID]],[1]!Address[ID],[1]!Address[Phone No.(2)])</f>
        <v/>
      </c>
      <c r="V1856" s="11" t="str">
        <f>_xlfn.XLOOKUP(Customer[[#This Row],[Customer ID]],[1]!Address[ID],[1]!Address[Type])</f>
        <v>SOCMED</v>
      </c>
      <c r="W1856" s="11" t="str">
        <f>_xlfn.XLOOKUP(Customer[[#This Row],[Customer ID]],[1]!Address[ID],[1]!Address[CT])</f>
        <v/>
      </c>
      <c r="X1856" s="11"/>
      <c r="Y1856" s="17" t="s">
        <v>90</v>
      </c>
      <c r="Z1856" s="17" t="e">
        <f>_xlfn.XLOOKUP(Customer[[#This Row],[NewType]],$AF$36:$AF$54,$AG$36:$AG$54)</f>
        <v>#N/A</v>
      </c>
      <c r="AA1856" s="17" t="s">
        <v>11628</v>
      </c>
      <c r="AB1856" s="11" t="str">
        <f>_xlfn.XLOOKUP(Customer[[#This Row],[Customer ID]],[1]!Address[ID],[1]!Address[Subtype])</f>
        <v>ONLINE ROS</v>
      </c>
      <c r="AC1856" s="18" t="str">
        <f>_xlfn.XLOOKUP(Customer[[#This Row],[Customer ID]],[1]!Address[ID],[1]!Address[Zone])</f>
        <v>SOUTH</v>
      </c>
    </row>
    <row r="1857" spans="1:29" x14ac:dyDescent="0.3">
      <c r="A1857" s="10" t="s">
        <v>11629</v>
      </c>
      <c r="B1857" s="11" t="str">
        <f>_xlfn.XLOOKUP(Customer[[#This Row],[Customer ID]],[1]!Name[ID],[1]!Name[Description(1)])</f>
        <v>KOPERASI SERBAGUNA PENEROKA FELDA MAS</v>
      </c>
      <c r="C1857" s="11" t="str">
        <f>_xlfn.XLOOKUP(Customer[[#This Row],[Customer ID]],[1]!Name[ID],[1]!Name[Description(2)])</f>
        <v>PS SUNGAI MAS</v>
      </c>
      <c r="D1857" s="11" t="str">
        <f>_xlfn.XLOOKUP(Customer[[#This Row],[Customer ID]],[1]!Address[ID],[1]!Address[PIC])</f>
        <v/>
      </c>
      <c r="E1857" s="11" t="str">
        <f>_xlfn.XLOOKUP(Customer[[#This Row],[Customer ID]],[1]!Address[ID],[1]!Address[Full Address])</f>
        <v>PS SUNGAI MASPEJABAT KOPERASI PENEROKAFELDA SUNGAI MAS 81900 KOTA TINGGIJOHOR</v>
      </c>
      <c r="F1857" s="12" t="s">
        <v>11630</v>
      </c>
      <c r="G1857" s="12" t="s">
        <v>11631</v>
      </c>
      <c r="H1857" s="12" t="s">
        <v>11632</v>
      </c>
      <c r="I1857" s="12" t="b">
        <f>ISNUMBER(VALUE(LEFT(Customer[[#This Row],[Address Line 3 (30 char)]],1)))</f>
        <v>0</v>
      </c>
      <c r="J1857" s="12" t="s">
        <v>52</v>
      </c>
      <c r="K1857" s="12">
        <v>81900</v>
      </c>
      <c r="L1857" s="12" t="s">
        <v>35</v>
      </c>
      <c r="M1857" s="13" t="e">
        <v>#N/A</v>
      </c>
      <c r="N1857" s="14" t="e">
        <v>#N/A</v>
      </c>
      <c r="O1857" s="14" t="e">
        <v>#N/A</v>
      </c>
      <c r="P1857" s="14" t="e">
        <v>#N/A</v>
      </c>
      <c r="Q1857" s="19" t="s">
        <v>11633</v>
      </c>
      <c r="R1857" s="15" t="s">
        <v>11634</v>
      </c>
      <c r="S1857" s="15" t="s">
        <v>37</v>
      </c>
      <c r="T1857" s="16" t="s">
        <v>38</v>
      </c>
      <c r="U1857" s="11" t="str">
        <f>_xlfn.XLOOKUP(Customer[[#This Row],[Customer ID]],[1]!Address[ID],[1]!Address[Phone No.(2)])</f>
        <v/>
      </c>
      <c r="V1857" s="11" t="str">
        <f>_xlfn.XLOOKUP(Customer[[#This Row],[Customer ID]],[1]!Address[ID],[1]!Address[Type])</f>
        <v>PETROMART</v>
      </c>
      <c r="W1857" s="11" t="str">
        <f>_xlfn.XLOOKUP(Customer[[#This Row],[Customer ID]],[1]!Address[ID],[1]!Address[CT])</f>
        <v>30</v>
      </c>
      <c r="X1857" s="11" t="s">
        <v>39</v>
      </c>
      <c r="Y1857" s="17" t="s">
        <v>40</v>
      </c>
      <c r="Z1857" s="17" t="e">
        <f>_xlfn.XLOOKUP(Customer[[#This Row],[NewType]],$AF$36:$AF$54,$AG$36:$AG$54)</f>
        <v>#N/A</v>
      </c>
      <c r="AA1857" s="17" t="s">
        <v>11635</v>
      </c>
      <c r="AB1857" s="11" t="str">
        <f>_xlfn.XLOOKUP(Customer[[#This Row],[Customer ID]],[1]!Address[ID],[1]!Address[Subtype])</f>
        <v>PETRONAS</v>
      </c>
      <c r="AC1857" s="18" t="str">
        <f>_xlfn.XLOOKUP(Customer[[#This Row],[Customer ID]],[1]!Address[ID],[1]!Address[Zone])</f>
        <v>SOUTH</v>
      </c>
    </row>
    <row r="1858" spans="1:29" x14ac:dyDescent="0.3">
      <c r="A1858" s="48" t="s">
        <v>11636</v>
      </c>
      <c r="B1858" s="49" t="str">
        <f>_xlfn.XLOOKUP(Customer[[#This Row],[Customer ID]],[1]!Name[ID],[1]!Name[Description(1)])</f>
        <v>FARMASI UTAMA</v>
      </c>
      <c r="C1858" s="11" t="str">
        <f>_xlfn.XLOOKUP(Customer[[#This Row],[Customer ID]],[1]!Name[ID],[1]!Name[Description(2)])</f>
        <v/>
      </c>
      <c r="D1858" s="11" t="str">
        <f>_xlfn.XLOOKUP(Customer[[#This Row],[Customer ID]],[1]!Address[ID],[1]!Address[PIC])</f>
        <v/>
      </c>
      <c r="E1858" s="11" t="str">
        <f>_xlfn.XLOOKUP(Customer[[#This Row],[Customer ID]],[1]!Address[ID],[1]!Address[Full Address])</f>
        <v>NO. 7A JALAN PERDANA 7, PUSAT PERNIAGAANSLIM PERDANA, 35800 SLIM RIVER, PERAK</v>
      </c>
      <c r="F1858" s="12" t="s">
        <v>11637</v>
      </c>
      <c r="G1858" s="12" t="s">
        <v>11638</v>
      </c>
      <c r="H1858" s="12" t="s">
        <v>11639</v>
      </c>
      <c r="I1858" s="12" t="b">
        <f>ISNUMBER(VALUE(LEFT(Customer[[#This Row],[Address Line 3 (30 char)]],1)))</f>
        <v>0</v>
      </c>
      <c r="J1858" s="12" t="s">
        <v>242</v>
      </c>
      <c r="K1858" s="12">
        <v>35800</v>
      </c>
      <c r="L1858" s="12" t="s">
        <v>35</v>
      </c>
      <c r="M1858" s="13">
        <v>201503111320</v>
      </c>
      <c r="N1858" s="14" t="s">
        <v>11640</v>
      </c>
      <c r="O1858" s="14" t="s">
        <v>54</v>
      </c>
      <c r="P1858" s="14">
        <v>47721</v>
      </c>
      <c r="Q1858" s="19" t="s">
        <v>11641</v>
      </c>
      <c r="R1858" s="15" t="s">
        <v>11642</v>
      </c>
      <c r="S1858" s="15" t="s">
        <v>3212</v>
      </c>
      <c r="T1858" s="16" t="s">
        <v>89</v>
      </c>
      <c r="U1858" s="11" t="str">
        <f>_xlfn.XLOOKUP(Customer[[#This Row],[Customer ID]],[1]!Address[ID],[1]!Address[Phone No.(2)])</f>
        <v/>
      </c>
      <c r="V1858" s="11" t="str">
        <f>_xlfn.XLOOKUP(Customer[[#This Row],[Customer ID]],[1]!Address[ID],[1]!Address[Type])</f>
        <v>SOCMED</v>
      </c>
      <c r="W1858" s="11" t="str">
        <f>_xlfn.XLOOKUP(Customer[[#This Row],[Customer ID]],[1]!Address[ID],[1]!Address[CT])</f>
        <v/>
      </c>
      <c r="X1858" s="11"/>
      <c r="Y1858" s="17" t="s">
        <v>90</v>
      </c>
      <c r="Z1858" s="17" t="e">
        <f>_xlfn.XLOOKUP(Customer[[#This Row],[NewType]],$AF$36:$AF$54,$AG$36:$AG$54)</f>
        <v>#N/A</v>
      </c>
      <c r="AA1858" s="17" t="s">
        <v>11643</v>
      </c>
      <c r="AB1858" s="11" t="str">
        <f>_xlfn.XLOOKUP(Customer[[#This Row],[Customer ID]],[1]!Address[ID],[1]!Address[Subtype])</f>
        <v>ONLINE HAJAR</v>
      </c>
      <c r="AC1858" s="18" t="str">
        <f>_xlfn.XLOOKUP(Customer[[#This Row],[Customer ID]],[1]!Address[ID],[1]!Address[Zone])</f>
        <v>NORTH</v>
      </c>
    </row>
    <row r="1859" spans="1:29" x14ac:dyDescent="0.3">
      <c r="A1859" s="10" t="s">
        <v>11644</v>
      </c>
      <c r="B1859" s="11" t="str">
        <f>_xlfn.XLOOKUP(Customer[[#This Row],[Customer ID]],[1]!Name[ID],[1]!Name[Description(1)])</f>
        <v>MR RICHMOND</v>
      </c>
      <c r="C1859" s="11" t="str">
        <f>_xlfn.XLOOKUP(Customer[[#This Row],[Customer ID]],[1]!Name[ID],[1]!Name[Description(2)])</f>
        <v>JOHOR DARUL TA’ZIM FOOTBALL CLUB</v>
      </c>
      <c r="D1859" s="11" t="str">
        <f>_xlfn.XLOOKUP(Customer[[#This Row],[Customer ID]],[1]!Address[ID],[1]!Address[PIC])</f>
        <v/>
      </c>
      <c r="E1859" s="11" t="str">
        <f>_xlfn.XLOOKUP(Customer[[#This Row],[Customer ID]],[1]!Address[ID],[1]!Address[Full Address])</f>
        <v>JDT HQ,STADIUM SULTAN IBRAHIM,JALAN GELANG PATAH, 79200,ISKANDAR PUTERI, JOHOR</v>
      </c>
      <c r="F1859" s="12" t="s">
        <v>11645</v>
      </c>
      <c r="G1859" s="12" t="s">
        <v>11646</v>
      </c>
      <c r="H1859" s="12" t="s">
        <v>11647</v>
      </c>
      <c r="I1859" s="12" t="b">
        <f>ISNUMBER(VALUE(LEFT(Customer[[#This Row],[Address Line 3 (30 char)]],1)))</f>
        <v>0</v>
      </c>
      <c r="J1859" s="12" t="s">
        <v>52</v>
      </c>
      <c r="K1859" s="12">
        <v>79200</v>
      </c>
      <c r="L1859" s="12" t="s">
        <v>35</v>
      </c>
      <c r="M1859" s="13" t="e">
        <v>#N/A</v>
      </c>
      <c r="N1859" s="14" t="e">
        <v>#N/A</v>
      </c>
      <c r="O1859" s="14" t="e">
        <v>#N/A</v>
      </c>
      <c r="P1859" s="14" t="e">
        <v>#N/A</v>
      </c>
      <c r="Q1859" s="14" t="e">
        <v>#N/A</v>
      </c>
      <c r="R1859" s="15" t="s">
        <v>11648</v>
      </c>
      <c r="S1859" s="15" t="s">
        <v>6418</v>
      </c>
      <c r="T1859" s="16" t="s">
        <v>3477</v>
      </c>
      <c r="U1859" s="11" t="str">
        <f>_xlfn.XLOOKUP(Customer[[#This Row],[Customer ID]],[1]!Address[ID],[1]!Address[Phone No.(2)])</f>
        <v/>
      </c>
      <c r="V1859" s="11" t="str">
        <f>_xlfn.XLOOKUP(Customer[[#This Row],[Customer ID]],[1]!Address[ID],[1]!Address[Type])</f>
        <v>CORPORATE</v>
      </c>
      <c r="W1859" s="11" t="str">
        <f>_xlfn.XLOOKUP(Customer[[#This Row],[Customer ID]],[1]!Address[ID],[1]!Address[CT])</f>
        <v>30 DAYS</v>
      </c>
      <c r="X1859" s="11"/>
      <c r="Y1859" s="17" t="s">
        <v>6418</v>
      </c>
      <c r="Z1859" s="17" t="e">
        <f>_xlfn.XLOOKUP(Customer[[#This Row],[NewType]],$AF$36:$AF$54,$AG$36:$AG$54)</f>
        <v>#N/A</v>
      </c>
      <c r="AA1859" s="17" t="s">
        <v>11649</v>
      </c>
      <c r="AB1859" s="11" t="str">
        <f>_xlfn.XLOOKUP(Customer[[#This Row],[Customer ID]],[1]!Address[ID],[1]!Address[Subtype])</f>
        <v>JDT</v>
      </c>
      <c r="AC1859" s="18" t="str">
        <f>_xlfn.XLOOKUP(Customer[[#This Row],[Customer ID]],[1]!Address[ID],[1]!Address[Zone])</f>
        <v>SOUTH</v>
      </c>
    </row>
    <row r="1860" spans="1:29" x14ac:dyDescent="0.3">
      <c r="A1860" s="10" t="s">
        <v>11650</v>
      </c>
      <c r="B1860" s="11" t="str">
        <f>_xlfn.XLOOKUP(Customer[[#This Row],[Customer ID]],[1]!Name[ID],[1]!Name[Description(1)])</f>
        <v>HI MART SDN BHD</v>
      </c>
      <c r="C1860" s="11" t="str">
        <f>_xlfn.XLOOKUP(Customer[[#This Row],[Customer ID]],[1]!Name[ID],[1]!Name[Description(2)])</f>
        <v/>
      </c>
      <c r="D1860" s="11" t="str">
        <f>_xlfn.XLOOKUP(Customer[[#This Row],[Customer ID]],[1]!Address[ID],[1]!Address[PIC])</f>
        <v/>
      </c>
      <c r="E1860" s="11" t="str">
        <f>_xlfn.XLOOKUP(Customer[[#This Row],[Customer ID]],[1]!Address[ID],[1]!Address[Full Address])</f>
        <v>NO 2 JALAN MUHIBBAH 1,TAMAN MUHIBBAH, 28000TEMERLOH, PAHANG DARUL MAKMUR</v>
      </c>
      <c r="F1860" s="12" t="s">
        <v>11651</v>
      </c>
      <c r="G1860" s="12" t="s">
        <v>11652</v>
      </c>
      <c r="H1860" s="12" t="s">
        <v>11653</v>
      </c>
      <c r="I1860" s="12" t="b">
        <f>ISNUMBER(VALUE(LEFT(Customer[[#This Row],[Address Line 3 (30 char)]],1)))</f>
        <v>0</v>
      </c>
      <c r="J1860" s="12" t="s">
        <v>339</v>
      </c>
      <c r="K1860" s="12">
        <v>28000</v>
      </c>
      <c r="L1860" s="12" t="s">
        <v>35</v>
      </c>
      <c r="M1860" s="13" t="e">
        <v>#N/A</v>
      </c>
      <c r="N1860" s="14" t="e">
        <v>#N/A</v>
      </c>
      <c r="O1860" s="14" t="e">
        <v>#N/A</v>
      </c>
      <c r="P1860" s="14" t="e">
        <v>#N/A</v>
      </c>
      <c r="Q1860" s="14" t="e">
        <v>#N/A</v>
      </c>
      <c r="R1860" s="15" t="s">
        <v>11654</v>
      </c>
      <c r="S1860" s="15" t="s">
        <v>5917</v>
      </c>
      <c r="T1860" s="16" t="s">
        <v>3477</v>
      </c>
      <c r="U1860" s="11" t="str">
        <f>_xlfn.XLOOKUP(Customer[[#This Row],[Customer ID]],[1]!Address[ID],[1]!Address[Phone No.(2)])</f>
        <v/>
      </c>
      <c r="V1860" s="11" t="str">
        <f>_xlfn.XLOOKUP(Customer[[#This Row],[Customer ID]],[1]!Address[ID],[1]!Address[Type])</f>
        <v>CM</v>
      </c>
      <c r="W1860" s="11" t="str">
        <f>_xlfn.XLOOKUP(Customer[[#This Row],[Customer ID]],[1]!Address[ID],[1]!Address[CT])</f>
        <v>60 DAYS</v>
      </c>
      <c r="X1860" s="11"/>
      <c r="Y1860" s="17" t="s">
        <v>5918</v>
      </c>
      <c r="Z1860" s="17" t="e">
        <f>_xlfn.XLOOKUP(Customer[[#This Row],[NewType]],$AF$36:$AF$54,$AG$36:$AG$54)</f>
        <v>#N/A</v>
      </c>
      <c r="AA1860" s="17" t="s">
        <v>11655</v>
      </c>
      <c r="AB1860" s="11" t="str">
        <f>_xlfn.XLOOKUP(Customer[[#This Row],[Customer ID]],[1]!Address[ID],[1]!Address[Subtype])</f>
        <v>HI MART</v>
      </c>
      <c r="AC1860" s="18" t="str">
        <f>_xlfn.XLOOKUP(Customer[[#This Row],[Customer ID]],[1]!Address[ID],[1]!Address[Zone])</f>
        <v>EAST</v>
      </c>
    </row>
    <row r="1861" spans="1:29" x14ac:dyDescent="0.3">
      <c r="A1861" s="10" t="s">
        <v>11656</v>
      </c>
      <c r="B1861" s="11" t="str">
        <f>_xlfn.XLOOKUP(Customer[[#This Row],[Customer ID]],[1]!Name[ID],[1]!Name[Description(1)])</f>
        <v>TUAN AFIF</v>
      </c>
      <c r="C1861" s="11" t="str">
        <f>_xlfn.XLOOKUP(Customer[[#This Row],[Customer ID]],[1]!Name[ID],[1]!Name[Description(2)])</f>
        <v>KELAB BOLA SEPAK SAINS (SAINS FC)</v>
      </c>
      <c r="D1861" s="11" t="str">
        <f>_xlfn.XLOOKUP(Customer[[#This Row],[Customer ID]],[1]!Address[ID],[1]!Address[PIC])</f>
        <v/>
      </c>
      <c r="E1861" s="11" t="str">
        <f>_xlfn.XLOOKUP(Customer[[#This Row],[Customer ID]],[1]!Address[ID],[1]!Address[Full Address])</f>
        <v>TINGKAT 2, KOMPLEKS PKNSJALAN PERSIARAN S2 B2,70300, SEREMBAN, NEGERI SEMBILAN</v>
      </c>
      <c r="F1861" s="12" t="s">
        <v>11657</v>
      </c>
      <c r="G1861" s="12" t="s">
        <v>11658</v>
      </c>
      <c r="H1861" s="12" t="s">
        <v>1971</v>
      </c>
      <c r="I1861" s="12" t="b">
        <f>ISNUMBER(VALUE(LEFT(Customer[[#This Row],[Address Line 3 (30 char)]],1)))</f>
        <v>0</v>
      </c>
      <c r="J1861" s="12" t="s">
        <v>203</v>
      </c>
      <c r="K1861" s="12">
        <v>70300</v>
      </c>
      <c r="L1861" s="12" t="s">
        <v>35</v>
      </c>
      <c r="M1861" s="13" t="e">
        <v>#N/A</v>
      </c>
      <c r="N1861" s="14" t="e">
        <v>#N/A</v>
      </c>
      <c r="O1861" s="14" t="e">
        <v>#N/A</v>
      </c>
      <c r="P1861" s="14" t="e">
        <v>#N/A</v>
      </c>
      <c r="Q1861" s="14" t="e">
        <v>#N/A</v>
      </c>
      <c r="R1861" s="15" t="s">
        <v>11659</v>
      </c>
      <c r="S1861" s="15" t="s">
        <v>5934</v>
      </c>
      <c r="T1861" s="16"/>
      <c r="U1861" s="11" t="str">
        <f>_xlfn.XLOOKUP(Customer[[#This Row],[Customer ID]],[1]!Address[ID],[1]!Address[Phone No.(2)])</f>
        <v/>
      </c>
      <c r="V1861" s="11" t="str">
        <f>_xlfn.XLOOKUP(Customer[[#This Row],[Customer ID]],[1]!Address[ID],[1]!Address[Type])</f>
        <v>CORPORATE</v>
      </c>
      <c r="W1861" s="11" t="str">
        <f>_xlfn.XLOOKUP(Customer[[#This Row],[Customer ID]],[1]!Address[ID],[1]!Address[CT])</f>
        <v>30 DAYS</v>
      </c>
      <c r="X1861" s="11"/>
      <c r="Y1861" s="17" t="s">
        <v>6418</v>
      </c>
      <c r="Z1861" s="17" t="e">
        <f>_xlfn.XLOOKUP(Customer[[#This Row],[NewType]],$AF$36:$AF$54,$AG$36:$AG$54)</f>
        <v>#N/A</v>
      </c>
      <c r="AA1861" s="17" t="s">
        <v>11660</v>
      </c>
      <c r="AB1861" s="11" t="str">
        <f>_xlfn.XLOOKUP(Customer[[#This Row],[Customer ID]],[1]!Address[ID],[1]!Address[Subtype])</f>
        <v>SAINS FC</v>
      </c>
      <c r="AC1861" s="18" t="str">
        <f>_xlfn.XLOOKUP(Customer[[#This Row],[Customer ID]],[1]!Address[ID],[1]!Address[Zone])</f>
        <v>CENTRAL</v>
      </c>
    </row>
    <row r="1862" spans="1:29" x14ac:dyDescent="0.3">
      <c r="A1862" s="10" t="s">
        <v>11661</v>
      </c>
      <c r="B1862" s="11" t="str">
        <f>_xlfn.XLOOKUP(Customer[[#This Row],[Customer ID]],[1]!Name[ID],[1]!Name[Description(1)])</f>
        <v>R&amp;R CORNER</v>
      </c>
      <c r="C1862" s="11" t="str">
        <f>_xlfn.XLOOKUP(Customer[[#This Row],[Customer ID]],[1]!Name[ID],[1]!Name[Description(2)])</f>
        <v>GSSB TRANSIT MINUMAN</v>
      </c>
      <c r="D1862" s="11" t="str">
        <f>_xlfn.XLOOKUP(Customer[[#This Row],[Customer ID]],[1]!Address[ID],[1]!Address[PIC])</f>
        <v/>
      </c>
      <c r="E1862" s="11" t="str">
        <f>_xlfn.XLOOKUP(Customer[[#This Row],[Customer ID]],[1]!Address[ID],[1]!Address[Full Address])</f>
        <v>GERAI NO 12 RSA GUNUNG SEMANGGOLARAH SELATAN</v>
      </c>
      <c r="F1862" s="12" t="s">
        <v>11662</v>
      </c>
      <c r="G1862" s="12" t="s">
        <v>11663</v>
      </c>
      <c r="H1862" s="12" t="s">
        <v>5979</v>
      </c>
      <c r="I1862" s="12" t="b">
        <f>ISNUMBER(VALUE(LEFT(Customer[[#This Row],[Address Line 3 (30 char)]],1)))</f>
        <v>0</v>
      </c>
      <c r="J1862" s="12" t="s">
        <v>242</v>
      </c>
      <c r="K1862" s="12">
        <v>34400</v>
      </c>
      <c r="L1862" s="12" t="s">
        <v>35</v>
      </c>
      <c r="M1862" s="13" t="e">
        <v>#N/A</v>
      </c>
      <c r="N1862" s="14" t="e">
        <v>#N/A</v>
      </c>
      <c r="O1862" s="14" t="e">
        <v>#N/A</v>
      </c>
      <c r="P1862" s="14" t="e">
        <v>#N/A</v>
      </c>
      <c r="Q1862" s="19" t="s">
        <v>11664</v>
      </c>
      <c r="R1862" s="15" t="s">
        <v>11665</v>
      </c>
      <c r="S1862" s="15" t="s">
        <v>5925</v>
      </c>
      <c r="T1862" s="16" t="s">
        <v>3477</v>
      </c>
      <c r="U1862" s="11" t="str">
        <f>_xlfn.XLOOKUP(Customer[[#This Row],[Customer ID]],[1]!Address[ID],[1]!Address[Phone No.(2)])</f>
        <v/>
      </c>
      <c r="V1862" s="11" t="str">
        <f>_xlfn.XLOOKUP(Customer[[#This Row],[Customer ID]],[1]!Address[ID],[1]!Address[Type])</f>
        <v>CAFE</v>
      </c>
      <c r="W1862" s="11" t="str">
        <f>_xlfn.XLOOKUP(Customer[[#This Row],[Customer ID]],[1]!Address[ID],[1]!Address[CT])</f>
        <v>30 DAYS</v>
      </c>
      <c r="X1862" s="11"/>
      <c r="Y1862" s="17" t="s">
        <v>5926</v>
      </c>
      <c r="Z1862" s="17" t="e">
        <f>_xlfn.XLOOKUP(Customer[[#This Row],[NewType]],$AF$36:$AF$54,$AG$36:$AG$54)</f>
        <v>#N/A</v>
      </c>
      <c r="AA1862" s="17" t="s">
        <v>11666</v>
      </c>
      <c r="AB1862" s="11" t="str">
        <f>_xlfn.XLOOKUP(Customer[[#This Row],[Customer ID]],[1]!Address[ID],[1]!Address[Subtype])</f>
        <v>PLUS</v>
      </c>
      <c r="AC1862" s="18" t="str">
        <f>_xlfn.XLOOKUP(Customer[[#This Row],[Customer ID]],[1]!Address[ID],[1]!Address[Zone])</f>
        <v>RRFEH</v>
      </c>
    </row>
    <row r="1863" spans="1:29" x14ac:dyDescent="0.3">
      <c r="A1863" s="10" t="s">
        <v>11667</v>
      </c>
      <c r="B1863" s="11" t="str">
        <f>_xlfn.XLOOKUP(Customer[[#This Row],[Customer ID]],[1]!Name[ID],[1]!Name[Description(1)])</f>
        <v>EDEN PHARMACY SDN BHD</v>
      </c>
      <c r="C1863" s="11" t="str">
        <f>_xlfn.XLOOKUP(Customer[[#This Row],[Customer ID]],[1]!Name[ID],[1]!Name[Description(2)])</f>
        <v/>
      </c>
      <c r="D1863" s="11" t="str">
        <f>_xlfn.XLOOKUP(Customer[[#This Row],[Customer ID]],[1]!Address[ID],[1]!Address[PIC])</f>
        <v/>
      </c>
      <c r="E1863" s="11" t="str">
        <f>_xlfn.XLOOKUP(Customer[[#This Row],[Customer ID]],[1]!Address[ID],[1]!Address[Full Address])</f>
        <v>NO. 7-1-2, JLN SETIA PRIMA A,U 13/A, SETIA ALAM, 40170, SHAH ALAM,SELANGOR</v>
      </c>
      <c r="F1863" s="12" t="s">
        <v>11668</v>
      </c>
      <c r="G1863" s="12" t="s">
        <v>11669</v>
      </c>
      <c r="H1863" s="12"/>
      <c r="I1863" s="12" t="b">
        <f>ISNUMBER(VALUE(LEFT(Customer[[#This Row],[Address Line 3 (30 char)]],1)))</f>
        <v>0</v>
      </c>
      <c r="J1863" s="12" t="s">
        <v>172</v>
      </c>
      <c r="K1863" s="12">
        <v>40170</v>
      </c>
      <c r="L1863" s="12" t="s">
        <v>35</v>
      </c>
      <c r="M1863" s="13" t="e">
        <v>#N/A</v>
      </c>
      <c r="N1863" s="14" t="e">
        <v>#N/A</v>
      </c>
      <c r="O1863" s="14" t="e">
        <v>#N/A</v>
      </c>
      <c r="P1863" s="14" t="e">
        <v>#N/A</v>
      </c>
      <c r="Q1863" s="19" t="s">
        <v>11670</v>
      </c>
      <c r="R1863" s="15" t="s">
        <v>11671</v>
      </c>
      <c r="S1863" s="15" t="s">
        <v>88</v>
      </c>
      <c r="T1863" s="16" t="s">
        <v>89</v>
      </c>
      <c r="U1863" s="11" t="str">
        <f>_xlfn.XLOOKUP(Customer[[#This Row],[Customer ID]],[1]!Address[ID],[1]!Address[Phone No.(2)])</f>
        <v/>
      </c>
      <c r="V1863" s="11" t="str">
        <f>_xlfn.XLOOKUP(Customer[[#This Row],[Customer ID]],[1]!Address[ID],[1]!Address[Type])</f>
        <v>SOCMED</v>
      </c>
      <c r="W1863" s="11" t="str">
        <f>_xlfn.XLOOKUP(Customer[[#This Row],[Customer ID]],[1]!Address[ID],[1]!Address[CT])</f>
        <v/>
      </c>
      <c r="X1863" s="11"/>
      <c r="Y1863" s="17" t="s">
        <v>90</v>
      </c>
      <c r="Z1863" s="17" t="e">
        <f>_xlfn.XLOOKUP(Customer[[#This Row],[NewType]],$AF$36:$AF$54,$AG$36:$AG$54)</f>
        <v>#N/A</v>
      </c>
      <c r="AA1863" s="17" t="s">
        <v>11672</v>
      </c>
      <c r="AB1863" s="11" t="str">
        <f>_xlfn.XLOOKUP(Customer[[#This Row],[Customer ID]],[1]!Address[ID],[1]!Address[Subtype])</f>
        <v>ONLINE ROS</v>
      </c>
      <c r="AC1863" s="18" t="str">
        <f>_xlfn.XLOOKUP(Customer[[#This Row],[Customer ID]],[1]!Address[ID],[1]!Address[Zone])</f>
        <v>SOUTH</v>
      </c>
    </row>
    <row r="1864" spans="1:29" x14ac:dyDescent="0.3">
      <c r="A1864" s="10" t="s">
        <v>11673</v>
      </c>
      <c r="B1864" s="11" t="str">
        <f>_xlfn.XLOOKUP(Customer[[#This Row],[Customer ID]],[1]!Name[ID],[1]!Name[Description(1)])</f>
        <v>WELLMART PHARMACY SDN BHD</v>
      </c>
      <c r="C1864" s="11" t="str">
        <f>_xlfn.XLOOKUP(Customer[[#This Row],[Customer ID]],[1]!Name[ID],[1]!Name[Description(2)])</f>
        <v/>
      </c>
      <c r="D1864" s="11" t="str">
        <f>_xlfn.XLOOKUP(Customer[[#This Row],[Customer ID]],[1]!Address[ID],[1]!Address[PIC])</f>
        <v/>
      </c>
      <c r="E1864" s="11" t="str">
        <f>_xlfn.XLOOKUP(Customer[[#This Row],[Customer ID]],[1]!Address[ID],[1]!Address[Full Address])</f>
        <v>187, JALAN ISMAIL, 83200 SENGGARANG,JOHOR</v>
      </c>
      <c r="F1864" s="23">
        <v>187</v>
      </c>
      <c r="G1864" s="12" t="s">
        <v>11674</v>
      </c>
      <c r="H1864" s="12" t="s">
        <v>11675</v>
      </c>
      <c r="I1864" s="12" t="b">
        <f>ISNUMBER(VALUE(LEFT(Customer[[#This Row],[Address Line 3 (30 char)]],1)))</f>
        <v>0</v>
      </c>
      <c r="J1864" s="12" t="s">
        <v>52</v>
      </c>
      <c r="K1864" s="12">
        <v>83200</v>
      </c>
      <c r="L1864" s="12" t="s">
        <v>35</v>
      </c>
      <c r="M1864" s="13" t="e">
        <v>#N/A</v>
      </c>
      <c r="N1864" s="14" t="e">
        <v>#N/A</v>
      </c>
      <c r="O1864" s="14" t="e">
        <v>#N/A</v>
      </c>
      <c r="P1864" s="14" t="e">
        <v>#N/A</v>
      </c>
      <c r="Q1864" s="19" t="s">
        <v>11676</v>
      </c>
      <c r="R1864" s="15" t="s">
        <v>11677</v>
      </c>
      <c r="S1864" s="15" t="s">
        <v>88</v>
      </c>
      <c r="T1864" s="16" t="s">
        <v>89</v>
      </c>
      <c r="U1864" s="11" t="str">
        <f>_xlfn.XLOOKUP(Customer[[#This Row],[Customer ID]],[1]!Address[ID],[1]!Address[Phone No.(2)])</f>
        <v/>
      </c>
      <c r="V1864" s="11" t="str">
        <f>_xlfn.XLOOKUP(Customer[[#This Row],[Customer ID]],[1]!Address[ID],[1]!Address[Type])</f>
        <v>SOCMED</v>
      </c>
      <c r="W1864" s="11" t="str">
        <f>_xlfn.XLOOKUP(Customer[[#This Row],[Customer ID]],[1]!Address[ID],[1]!Address[CT])</f>
        <v/>
      </c>
      <c r="X1864" s="11"/>
      <c r="Y1864" s="17" t="s">
        <v>90</v>
      </c>
      <c r="Z1864" s="17" t="e">
        <f>_xlfn.XLOOKUP(Customer[[#This Row],[NewType]],$AF$36:$AF$54,$AG$36:$AG$54)</f>
        <v>#N/A</v>
      </c>
      <c r="AA1864" s="17" t="s">
        <v>11678</v>
      </c>
      <c r="AB1864" s="11" t="str">
        <f>_xlfn.XLOOKUP(Customer[[#This Row],[Customer ID]],[1]!Address[ID],[1]!Address[Subtype])</f>
        <v>ONLINE ROS</v>
      </c>
      <c r="AC1864" s="18" t="str">
        <f>_xlfn.XLOOKUP(Customer[[#This Row],[Customer ID]],[1]!Address[ID],[1]!Address[Zone])</f>
        <v>SOUTH</v>
      </c>
    </row>
    <row r="1865" spans="1:29" x14ac:dyDescent="0.3">
      <c r="A1865" s="10" t="s">
        <v>11679</v>
      </c>
      <c r="B1865" s="11" t="str">
        <f>_xlfn.XLOOKUP(Customer[[#This Row],[Customer ID]],[1]!Name[ID],[1]!Name[Description(1)])</f>
        <v>ARIPIN BIN AHMAD(MB)</v>
      </c>
      <c r="C1865" s="32" t="str">
        <f>_xlfn.XLOOKUP(Customer[[#This Row],[Customer ID]],[1]!Name[ID],[1]!Name[Description(2)])</f>
        <v>ALAF SALAK TINGGI</v>
      </c>
      <c r="D1865" s="11" t="str">
        <f>_xlfn.XLOOKUP(Customer[[#This Row],[Customer ID]],[1]!Address[ID],[1]!Address[PIC])</f>
        <v>HJ ARIPIN</v>
      </c>
      <c r="E1865" s="11" t="str">
        <f>_xlfn.XLOOKUP(Customer[[#This Row],[Customer ID]],[1]!Address[ID],[1]!Address[Full Address])</f>
        <v>NO 22 JALAN 3/70, SEKSYEN 3,BANDAR BARU BANGI</v>
      </c>
      <c r="F1865" s="12" t="s">
        <v>11680</v>
      </c>
      <c r="G1865" s="12" t="s">
        <v>4431</v>
      </c>
      <c r="H1865" s="12" t="s">
        <v>36</v>
      </c>
      <c r="I1865" s="12" t="b">
        <f>ISNUMBER(VALUE(LEFT(Customer[[#This Row],[Address Line 3 (30 char)]],1)))</f>
        <v>0</v>
      </c>
      <c r="J1865" s="32" t="s">
        <v>172</v>
      </c>
      <c r="K1865" s="112"/>
      <c r="L1865" s="12" t="s">
        <v>35</v>
      </c>
      <c r="M1865" s="13" t="e">
        <v>#N/A</v>
      </c>
      <c r="N1865" s="113" t="s">
        <v>11681</v>
      </c>
      <c r="O1865" s="14" t="e">
        <v>#N/A</v>
      </c>
      <c r="P1865" s="14" t="e">
        <v>#N/A</v>
      </c>
      <c r="Q1865" s="19" t="s">
        <v>11682</v>
      </c>
      <c r="R1865" s="15" t="s">
        <v>11683</v>
      </c>
      <c r="S1865" s="15" t="s">
        <v>4271</v>
      </c>
      <c r="T1865" s="15" t="s">
        <v>89</v>
      </c>
      <c r="U1865" s="11" t="str">
        <f>_xlfn.XLOOKUP(Customer[[#This Row],[Customer ID]],[1]!Address[ID],[1]!Address[Phone No.(2)])</f>
        <v/>
      </c>
      <c r="V1865" s="11" t="str">
        <f>_xlfn.XLOOKUP(Customer[[#This Row],[Customer ID]],[1]!Address[ID],[1]!Address[Type])</f>
        <v>SOCMED</v>
      </c>
      <c r="W1865" s="11" t="str">
        <f>_xlfn.XLOOKUP(Customer[[#This Row],[Customer ID]],[1]!Address[ID],[1]!Address[CT])</f>
        <v/>
      </c>
      <c r="X1865" s="11"/>
      <c r="Y1865" s="17" t="s">
        <v>90</v>
      </c>
      <c r="Z1865" s="17" t="e">
        <f>_xlfn.XLOOKUP(Customer[[#This Row],[NewType]],$AF$36:$AF$54,$AG$36:$AG$54)</f>
        <v>#N/A</v>
      </c>
      <c r="AA1865" s="17" t="s">
        <v>11684</v>
      </c>
      <c r="AB1865" s="11" t="str">
        <f>_xlfn.XLOOKUP(Customer[[#This Row],[Customer ID]],[1]!Address[ID],[1]!Address[Subtype])</f>
        <v>WHATSAPP</v>
      </c>
      <c r="AC1865" s="18" t="str">
        <f>_xlfn.XLOOKUP(Customer[[#This Row],[Customer ID]],[1]!Address[ID],[1]!Address[Zone])</f>
        <v>CENTRAL</v>
      </c>
    </row>
    <row r="1866" spans="1:29" x14ac:dyDescent="0.3">
      <c r="A1866" s="48" t="s">
        <v>11685</v>
      </c>
      <c r="B1866" s="49" t="str">
        <f>_xlfn.XLOOKUP(Customer[[#This Row],[Customer ID]],[1]!Name[ID],[1]!Name[Description(1)])</f>
        <v>SETULUS HATI KEK &amp; ROTI (AQN NIAGA)</v>
      </c>
      <c r="C1866" s="11" t="str">
        <f>_xlfn.XLOOKUP(Customer[[#This Row],[Customer ID]],[1]!Name[ID],[1]!Name[Description(2)])</f>
        <v/>
      </c>
      <c r="D1866" s="11" t="str">
        <f>_xlfn.XLOOKUP(Customer[[#This Row],[Customer ID]],[1]!Address[ID],[1]!Address[PIC])</f>
        <v/>
      </c>
      <c r="E1866" s="11" t="str">
        <f>_xlfn.XLOOKUP(Customer[[#This Row],[Customer ID]],[1]!Address[ID],[1]!Address[Full Address])</f>
        <v>PT273 , BANGUNAN JALAN KLINIK, 17500TANAH MERAH, KELANTAN</v>
      </c>
      <c r="F1866" s="12" t="s">
        <v>11686</v>
      </c>
      <c r="G1866" s="12" t="s">
        <v>11687</v>
      </c>
      <c r="H1866" s="12" t="s">
        <v>6977</v>
      </c>
      <c r="I1866" s="12" t="b">
        <f>ISNUMBER(VALUE(LEFT(Customer[[#This Row],[Address Line 3 (30 char)]],1)))</f>
        <v>0</v>
      </c>
      <c r="J1866" s="12" t="s">
        <v>1007</v>
      </c>
      <c r="K1866" s="12">
        <v>17500</v>
      </c>
      <c r="L1866" s="12" t="s">
        <v>35</v>
      </c>
      <c r="M1866" s="13" t="e">
        <v>#N/A</v>
      </c>
      <c r="N1866" s="14" t="e">
        <v>#N/A</v>
      </c>
      <c r="O1866" s="14" t="e">
        <v>#N/A</v>
      </c>
      <c r="P1866" s="14" t="e">
        <v>#N/A</v>
      </c>
      <c r="Q1866" s="19" t="s">
        <v>11688</v>
      </c>
      <c r="R1866" s="15" t="s">
        <v>11689</v>
      </c>
      <c r="S1866" s="15" t="s">
        <v>3212</v>
      </c>
      <c r="T1866" s="16" t="s">
        <v>89</v>
      </c>
      <c r="U1866" s="11" t="str">
        <f>_xlfn.XLOOKUP(Customer[[#This Row],[Customer ID]],[1]!Address[ID],[1]!Address[Phone No.(2)])</f>
        <v/>
      </c>
      <c r="V1866" s="11" t="str">
        <f>_xlfn.XLOOKUP(Customer[[#This Row],[Customer ID]],[1]!Address[ID],[1]!Address[Type])</f>
        <v>SOCMED</v>
      </c>
      <c r="W1866" s="11" t="str">
        <f>_xlfn.XLOOKUP(Customer[[#This Row],[Customer ID]],[1]!Address[ID],[1]!Address[CT])</f>
        <v/>
      </c>
      <c r="X1866" s="11"/>
      <c r="Y1866" s="17" t="s">
        <v>90</v>
      </c>
      <c r="Z1866" s="17" t="e">
        <f>_xlfn.XLOOKUP(Customer[[#This Row],[NewType]],$AF$36:$AF$54,$AG$36:$AG$54)</f>
        <v>#N/A</v>
      </c>
      <c r="AA1866" s="17" t="s">
        <v>11690</v>
      </c>
      <c r="AB1866" s="11" t="str">
        <f>_xlfn.XLOOKUP(Customer[[#This Row],[Customer ID]],[1]!Address[ID],[1]!Address[Subtype])</f>
        <v>ONLINE HAJAR</v>
      </c>
      <c r="AC1866" s="18" t="str">
        <f>_xlfn.XLOOKUP(Customer[[#This Row],[Customer ID]],[1]!Address[ID],[1]!Address[Zone])</f>
        <v>EAST COAST</v>
      </c>
    </row>
    <row r="1867" spans="1:29" x14ac:dyDescent="0.3">
      <c r="A1867" s="10" t="s">
        <v>11691</v>
      </c>
      <c r="B1867" s="11" t="str">
        <f>_xlfn.XLOOKUP(Customer[[#This Row],[Customer ID]],[1]!Name[ID],[1]!Name[Description(1)])</f>
        <v>NORTHERN FOUR (M) SDN BHD</v>
      </c>
      <c r="C1867" s="11" t="str">
        <f>_xlfn.XLOOKUP(Customer[[#This Row],[Customer ID]],[1]!Name[ID],[1]!Name[Description(2)])</f>
        <v>CALTEX TAMAN SEJATI INDAH</v>
      </c>
      <c r="D1867" s="11" t="str">
        <f>_xlfn.XLOOKUP(Customer[[#This Row],[Customer ID]],[1]!Address[ID],[1]!Address[PIC])</f>
        <v/>
      </c>
      <c r="E1867" s="11" t="str">
        <f>_xlfn.XLOOKUP(Customer[[#This Row],[Customer ID]],[1]!Address[ID],[1]!Address[Full Address])</f>
        <v>CALTEX TAMAN SEJATI INDAHA-1, JALAN PERMATANG GEDONG,TAMAN SEJATI INDAH,08000 SUNGAI PETANI, KEDAH</v>
      </c>
      <c r="F1867" s="12" t="s">
        <v>11692</v>
      </c>
      <c r="G1867" s="12" t="s">
        <v>11693</v>
      </c>
      <c r="H1867" s="12" t="s">
        <v>11694</v>
      </c>
      <c r="I1867" s="12" t="b">
        <f>ISNUMBER(VALUE(LEFT(Customer[[#This Row],[Address Line 3 (30 char)]],1)))</f>
        <v>0</v>
      </c>
      <c r="J1867" s="12" t="s">
        <v>79</v>
      </c>
      <c r="K1867" s="42" t="s">
        <v>296</v>
      </c>
      <c r="L1867" s="12" t="s">
        <v>35</v>
      </c>
      <c r="M1867" s="13" t="e">
        <v>#N/A</v>
      </c>
      <c r="N1867" s="14" t="e">
        <v>#N/A</v>
      </c>
      <c r="O1867" s="14" t="e">
        <v>#N/A</v>
      </c>
      <c r="P1867" s="14" t="e">
        <v>#N/A</v>
      </c>
      <c r="Q1867" s="14" t="e">
        <v>#N/A</v>
      </c>
      <c r="R1867" s="15" t="s">
        <v>11695</v>
      </c>
      <c r="S1867" s="15" t="s">
        <v>37</v>
      </c>
      <c r="T1867" s="16" t="s">
        <v>38</v>
      </c>
      <c r="U1867" s="11" t="str">
        <f>_xlfn.XLOOKUP(Customer[[#This Row],[Customer ID]],[1]!Address[ID],[1]!Address[Phone No.(2)])</f>
        <v/>
      </c>
      <c r="V1867" s="11" t="str">
        <f>_xlfn.XLOOKUP(Customer[[#This Row],[Customer ID]],[1]!Address[ID],[1]!Address[Type])</f>
        <v>PETROMART</v>
      </c>
      <c r="W1867" s="11" t="str">
        <f>_xlfn.XLOOKUP(Customer[[#This Row],[Customer ID]],[1]!Address[ID],[1]!Address[CT])</f>
        <v>30</v>
      </c>
      <c r="X1867" s="11" t="s">
        <v>39</v>
      </c>
      <c r="Y1867" s="17" t="s">
        <v>40</v>
      </c>
      <c r="Z1867" s="17" t="e">
        <f>_xlfn.XLOOKUP(Customer[[#This Row],[NewType]],$AF$36:$AF$54,$AG$36:$AG$54)</f>
        <v>#N/A</v>
      </c>
      <c r="AA1867" s="17" t="s">
        <v>11696</v>
      </c>
      <c r="AB1867" s="11" t="str">
        <f>_xlfn.XLOOKUP(Customer[[#This Row],[Customer ID]],[1]!Address[ID],[1]!Address[Subtype])</f>
        <v>CALTEX</v>
      </c>
      <c r="AC1867" s="18" t="str">
        <f>_xlfn.XLOOKUP(Customer[[#This Row],[Customer ID]],[1]!Address[ID],[1]!Address[Zone])</f>
        <v>NORTH</v>
      </c>
    </row>
    <row r="1868" spans="1:29" x14ac:dyDescent="0.3">
      <c r="A1868" s="10" t="s">
        <v>11697</v>
      </c>
      <c r="B1868" s="11" t="str">
        <f>_xlfn.XLOOKUP(Customer[[#This Row],[Customer ID]],[1]!Name[ID],[1]!Name[Description(1)])</f>
        <v>EL NADEA FOOD VENTURE</v>
      </c>
      <c r="C1868" s="11" t="str">
        <f>_xlfn.XLOOKUP(Customer[[#This Row],[Customer ID]],[1]!Name[ID],[1]!Name[Description(2)])</f>
        <v/>
      </c>
      <c r="D1868" s="11" t="str">
        <f>_xlfn.XLOOKUP(Customer[[#This Row],[Customer ID]],[1]!Address[ID],[1]!Address[PIC])</f>
        <v/>
      </c>
      <c r="E1868" s="11" t="str">
        <f>_xlfn.XLOOKUP(Customer[[#This Row],[Customer ID]],[1]!Address[ID],[1]!Address[Full Address])</f>
        <v>C335GL,LORONG TEMERLOH MALL,JALAN TENGKU ISMAIL 28000 TEMERLOH,PAHANG</v>
      </c>
      <c r="F1868" s="12" t="s">
        <v>11698</v>
      </c>
      <c r="G1868" s="12" t="s">
        <v>11699</v>
      </c>
      <c r="H1868" s="12" t="s">
        <v>339</v>
      </c>
      <c r="I1868" s="12" t="b">
        <f>ISNUMBER(VALUE(LEFT(Customer[[#This Row],[Address Line 3 (30 char)]],1)))</f>
        <v>0</v>
      </c>
      <c r="J1868" s="12" t="s">
        <v>339</v>
      </c>
      <c r="K1868" s="12">
        <v>28000</v>
      </c>
      <c r="L1868" s="12" t="s">
        <v>35</v>
      </c>
      <c r="M1868" s="13" t="e">
        <v>#N/A</v>
      </c>
      <c r="N1868" s="14" t="e">
        <v>#N/A</v>
      </c>
      <c r="O1868" s="14" t="e">
        <v>#N/A</v>
      </c>
      <c r="P1868" s="14" t="e">
        <v>#N/A</v>
      </c>
      <c r="Q1868" s="14" t="e">
        <v>#N/A</v>
      </c>
      <c r="R1868" s="15" t="s">
        <v>11700</v>
      </c>
      <c r="S1868" s="15" t="s">
        <v>88</v>
      </c>
      <c r="T1868" s="16" t="s">
        <v>89</v>
      </c>
      <c r="U1868" s="11" t="str">
        <f>_xlfn.XLOOKUP(Customer[[#This Row],[Customer ID]],[1]!Address[ID],[1]!Address[Phone No.(2)])</f>
        <v/>
      </c>
      <c r="V1868" s="11" t="str">
        <f>_xlfn.XLOOKUP(Customer[[#This Row],[Customer ID]],[1]!Address[ID],[1]!Address[Type])</f>
        <v>SOCMED</v>
      </c>
      <c r="W1868" s="11" t="str">
        <f>_xlfn.XLOOKUP(Customer[[#This Row],[Customer ID]],[1]!Address[ID],[1]!Address[CT])</f>
        <v/>
      </c>
      <c r="X1868" s="11"/>
      <c r="Y1868" s="17" t="s">
        <v>90</v>
      </c>
      <c r="Z1868" s="17" t="e">
        <f>_xlfn.XLOOKUP(Customer[[#This Row],[NewType]],$AF$36:$AF$54,$AG$36:$AG$54)</f>
        <v>#N/A</v>
      </c>
      <c r="AA1868" s="17" t="s">
        <v>11701</v>
      </c>
      <c r="AB1868" s="11" t="str">
        <f>_xlfn.XLOOKUP(Customer[[#This Row],[Customer ID]],[1]!Address[ID],[1]!Address[Subtype])</f>
        <v>ONLINE ROS</v>
      </c>
      <c r="AC1868" s="18" t="str">
        <f>_xlfn.XLOOKUP(Customer[[#This Row],[Customer ID]],[1]!Address[ID],[1]!Address[Zone])</f>
        <v>EEEDH</v>
      </c>
    </row>
    <row r="1869" spans="1:29" x14ac:dyDescent="0.3">
      <c r="A1869" s="10" t="s">
        <v>11702</v>
      </c>
      <c r="B1869" s="11" t="str">
        <f>_xlfn.XLOOKUP(Customer[[#This Row],[Customer ID]],[1]!Name[ID],[1]!Name[Description(1)])</f>
        <v>FARMASI UCARE</v>
      </c>
      <c r="C1869" s="11" t="str">
        <f>_xlfn.XLOOKUP(Customer[[#This Row],[Customer ID]],[1]!Name[ID],[1]!Name[Description(2)])</f>
        <v/>
      </c>
      <c r="D1869" s="11" t="str">
        <f>_xlfn.XLOOKUP(Customer[[#This Row],[Customer ID]],[1]!Address[ID],[1]!Address[PIC])</f>
        <v/>
      </c>
      <c r="E1869" s="11" t="str">
        <f>_xlfn.XLOOKUP(Customer[[#This Row],[Customer ID]],[1]!Address[ID],[1]!Address[Full Address])</f>
        <v>NO. 80 BAWAH, JALAN MUAR JEMENTAH85200 SEGAMAT, JOHOR</v>
      </c>
      <c r="F1869" s="12" t="s">
        <v>11703</v>
      </c>
      <c r="G1869" s="12" t="s">
        <v>11704</v>
      </c>
      <c r="H1869" s="12" t="s">
        <v>1270</v>
      </c>
      <c r="I1869" s="12" t="b">
        <f>ISNUMBER(VALUE(LEFT(Customer[[#This Row],[Address Line 3 (30 char)]],1)))</f>
        <v>0</v>
      </c>
      <c r="J1869" s="12" t="s">
        <v>52</v>
      </c>
      <c r="K1869" s="12">
        <v>85200</v>
      </c>
      <c r="L1869" s="12" t="s">
        <v>35</v>
      </c>
      <c r="M1869" s="13" t="e">
        <v>#N/A</v>
      </c>
      <c r="N1869" s="14" t="e">
        <v>#N/A</v>
      </c>
      <c r="O1869" s="14" t="e">
        <v>#N/A</v>
      </c>
      <c r="P1869" s="14" t="e">
        <v>#N/A</v>
      </c>
      <c r="Q1869" s="19" t="s">
        <v>11705</v>
      </c>
      <c r="R1869" s="15" t="s">
        <v>11706</v>
      </c>
      <c r="S1869" s="15" t="s">
        <v>88</v>
      </c>
      <c r="T1869" s="16" t="s">
        <v>89</v>
      </c>
      <c r="U1869" s="11" t="str">
        <f>_xlfn.XLOOKUP(Customer[[#This Row],[Customer ID]],[1]!Address[ID],[1]!Address[Phone No.(2)])</f>
        <v/>
      </c>
      <c r="V1869" s="11" t="str">
        <f>_xlfn.XLOOKUP(Customer[[#This Row],[Customer ID]],[1]!Address[ID],[1]!Address[Type])</f>
        <v>SOCMED</v>
      </c>
      <c r="W1869" s="11" t="str">
        <f>_xlfn.XLOOKUP(Customer[[#This Row],[Customer ID]],[1]!Address[ID],[1]!Address[CT])</f>
        <v/>
      </c>
      <c r="X1869" s="11"/>
      <c r="Y1869" s="17" t="s">
        <v>90</v>
      </c>
      <c r="Z1869" s="17" t="e">
        <f>_xlfn.XLOOKUP(Customer[[#This Row],[NewType]],$AF$36:$AF$54,$AG$36:$AG$54)</f>
        <v>#N/A</v>
      </c>
      <c r="AA1869" s="17" t="s">
        <v>11707</v>
      </c>
      <c r="AB1869" s="11" t="str">
        <f>_xlfn.XLOOKUP(Customer[[#This Row],[Customer ID]],[1]!Address[ID],[1]!Address[Subtype])</f>
        <v>ONLINE ROS</v>
      </c>
      <c r="AC1869" s="18" t="str">
        <f>_xlfn.XLOOKUP(Customer[[#This Row],[Customer ID]],[1]!Address[ID],[1]!Address[Zone])</f>
        <v>SOUTH</v>
      </c>
    </row>
    <row r="1870" spans="1:29" x14ac:dyDescent="0.3">
      <c r="A1870" s="10" t="s">
        <v>11708</v>
      </c>
      <c r="B1870" s="11" t="str">
        <f>_xlfn.XLOOKUP(Customer[[#This Row],[Customer ID]],[1]!Name[ID],[1]!Name[Description(1)])</f>
        <v>MIMIES ENTERPRISE</v>
      </c>
      <c r="C1870" s="11" t="str">
        <f>_xlfn.XLOOKUP(Customer[[#This Row],[Customer ID]],[1]!Name[ID],[1]!Name[Description(2)])</f>
        <v/>
      </c>
      <c r="D1870" s="11" t="str">
        <f>_xlfn.XLOOKUP(Customer[[#This Row],[Customer ID]],[1]!Address[ID],[1]!Address[PIC])</f>
        <v>NUR HAMIMI</v>
      </c>
      <c r="E1870" s="11" t="str">
        <f>_xlfn.XLOOKUP(Customer[[#This Row],[Customer ID]],[1]!Address[ID],[1]!Address[Full Address])</f>
        <v>3282 JALAN MAK KEMAS, KAMPUNGSURAU HAJI YAAKOB, 21400 BUKITPAYONG, KUALA TERENGGANU</v>
      </c>
      <c r="F1870" s="12" t="s">
        <v>11709</v>
      </c>
      <c r="G1870" s="12" t="s">
        <v>11710</v>
      </c>
      <c r="H1870" s="12" t="s">
        <v>11711</v>
      </c>
      <c r="I1870" s="12" t="b">
        <f>ISNUMBER(VALUE(LEFT(Customer[[#This Row],[Address Line 3 (30 char)]],1)))</f>
        <v>0</v>
      </c>
      <c r="J1870" s="12" t="s">
        <v>1056</v>
      </c>
      <c r="K1870" s="12">
        <v>21400</v>
      </c>
      <c r="L1870" s="12" t="s">
        <v>35</v>
      </c>
      <c r="M1870" s="13" t="e">
        <v>#N/A</v>
      </c>
      <c r="N1870" s="14" t="e">
        <v>#N/A</v>
      </c>
      <c r="O1870" s="14" t="e">
        <v>#N/A</v>
      </c>
      <c r="P1870" s="14" t="e">
        <v>#N/A</v>
      </c>
      <c r="Q1870" s="19" t="s">
        <v>11712</v>
      </c>
      <c r="R1870" s="15" t="s">
        <v>11713</v>
      </c>
      <c r="S1870" s="15" t="s">
        <v>88</v>
      </c>
      <c r="T1870" s="16" t="s">
        <v>89</v>
      </c>
      <c r="U1870" s="11" t="str">
        <f>_xlfn.XLOOKUP(Customer[[#This Row],[Customer ID]],[1]!Address[ID],[1]!Address[Phone No.(2)])</f>
        <v/>
      </c>
      <c r="V1870" s="11" t="str">
        <f>_xlfn.XLOOKUP(Customer[[#This Row],[Customer ID]],[1]!Address[ID],[1]!Address[Type])</f>
        <v>SOCMED</v>
      </c>
      <c r="W1870" s="11" t="str">
        <f>_xlfn.XLOOKUP(Customer[[#This Row],[Customer ID]],[1]!Address[ID],[1]!Address[CT])</f>
        <v/>
      </c>
      <c r="X1870" s="11"/>
      <c r="Y1870" s="17" t="s">
        <v>90</v>
      </c>
      <c r="Z1870" s="17" t="e">
        <f>_xlfn.XLOOKUP(Customer[[#This Row],[NewType]],$AF$36:$AF$54,$AG$36:$AG$54)</f>
        <v>#N/A</v>
      </c>
      <c r="AA1870" s="17" t="s">
        <v>11714</v>
      </c>
      <c r="AB1870" s="11" t="str">
        <f>_xlfn.XLOOKUP(Customer[[#This Row],[Customer ID]],[1]!Address[ID],[1]!Address[Subtype])</f>
        <v>ONLINE ROS</v>
      </c>
      <c r="AC1870" s="18" t="str">
        <f>_xlfn.XLOOKUP(Customer[[#This Row],[Customer ID]],[1]!Address[ID],[1]!Address[Zone])</f>
        <v>EAST COAST</v>
      </c>
    </row>
    <row r="1871" spans="1:29" x14ac:dyDescent="0.3">
      <c r="A1871" s="10" t="s">
        <v>11715</v>
      </c>
      <c r="B1871" s="11" t="str">
        <f>_xlfn.XLOOKUP(Customer[[#This Row],[Customer ID]],[1]!Name[ID],[1]!Name[Description(1)])</f>
        <v>EIDAMAN PETROL MART</v>
      </c>
      <c r="C1871" s="11" t="str">
        <f>_xlfn.XLOOKUP(Customer[[#This Row],[Customer ID]],[1]!Name[ID],[1]!Name[Description(2)])</f>
        <v>PS TAMAN SELESA JAYA</v>
      </c>
      <c r="D1871" s="11" t="str">
        <f>_xlfn.XLOOKUP(Customer[[#This Row],[Customer ID]],[1]!Address[ID],[1]!Address[PIC])</f>
        <v/>
      </c>
      <c r="E1871" s="11" t="str">
        <f>_xlfn.XLOOKUP(Customer[[#This Row],[Customer ID]],[1]!Address[ID],[1]!Address[Full Address])</f>
        <v>PS TAMAN SELESA JAYALOT 22983, JALAN SELASA JAYABANDAR SELASA JAYA, 81300JOHOR BAHRU, JOHOR</v>
      </c>
      <c r="F1871" s="12" t="s">
        <v>11716</v>
      </c>
      <c r="G1871" s="12" t="s">
        <v>11717</v>
      </c>
      <c r="H1871" s="12" t="s">
        <v>11718</v>
      </c>
      <c r="I1871" s="12" t="b">
        <f>ISNUMBER(VALUE(LEFT(Customer[[#This Row],[Address Line 3 (30 char)]],1)))</f>
        <v>0</v>
      </c>
      <c r="J1871" s="12" t="s">
        <v>52</v>
      </c>
      <c r="K1871" s="12">
        <v>81300</v>
      </c>
      <c r="L1871" s="12" t="s">
        <v>35</v>
      </c>
      <c r="M1871" s="13" t="e">
        <v>#N/A</v>
      </c>
      <c r="N1871" s="14" t="e">
        <v>#N/A</v>
      </c>
      <c r="O1871" s="14" t="e">
        <v>#N/A</v>
      </c>
      <c r="P1871" s="14" t="e">
        <v>#N/A</v>
      </c>
      <c r="Q1871" s="14" t="e">
        <v>#N/A</v>
      </c>
      <c r="R1871" s="15" t="s">
        <v>11719</v>
      </c>
      <c r="S1871" s="15" t="s">
        <v>37</v>
      </c>
      <c r="T1871" s="16" t="s">
        <v>38</v>
      </c>
      <c r="U1871" s="11" t="str">
        <f>_xlfn.XLOOKUP(Customer[[#This Row],[Customer ID]],[1]!Address[ID],[1]!Address[Phone No.(2)])</f>
        <v/>
      </c>
      <c r="V1871" s="11" t="str">
        <f>_xlfn.XLOOKUP(Customer[[#This Row],[Customer ID]],[1]!Address[ID],[1]!Address[Type])</f>
        <v>PETROMART</v>
      </c>
      <c r="W1871" s="11" t="str">
        <f>_xlfn.XLOOKUP(Customer[[#This Row],[Customer ID]],[1]!Address[ID],[1]!Address[CT])</f>
        <v>30</v>
      </c>
      <c r="X1871" s="11" t="s">
        <v>39</v>
      </c>
      <c r="Y1871" s="17" t="s">
        <v>40</v>
      </c>
      <c r="Z1871" s="17" t="e">
        <f>_xlfn.XLOOKUP(Customer[[#This Row],[NewType]],$AF$36:$AF$54,$AG$36:$AG$54)</f>
        <v>#N/A</v>
      </c>
      <c r="AA1871" s="17" t="s">
        <v>11720</v>
      </c>
      <c r="AB1871" s="11" t="str">
        <f>_xlfn.XLOOKUP(Customer[[#This Row],[Customer ID]],[1]!Address[ID],[1]!Address[Subtype])</f>
        <v>PETRONAS</v>
      </c>
      <c r="AC1871" s="18" t="str">
        <f>_xlfn.XLOOKUP(Customer[[#This Row],[Customer ID]],[1]!Address[ID],[1]!Address[Zone])</f>
        <v>SOUTH</v>
      </c>
    </row>
    <row r="1872" spans="1:29" x14ac:dyDescent="0.3">
      <c r="A1872" s="10" t="s">
        <v>11721</v>
      </c>
      <c r="B1872" s="11" t="str">
        <f>_xlfn.XLOOKUP(Customer[[#This Row],[Customer ID]],[1]!Name[ID],[1]!Name[Description(1)])</f>
        <v>FARMASI METRO BINTONG ENTERPRISE</v>
      </c>
      <c r="C1872" s="11" t="str">
        <f>_xlfn.XLOOKUP(Customer[[#This Row],[Customer ID]],[1]!Name[ID],[1]!Name[Description(2)])</f>
        <v/>
      </c>
      <c r="D1872" s="11" t="str">
        <f>_xlfn.XLOOKUP(Customer[[#This Row],[Customer ID]],[1]!Address[ID],[1]!Address[PIC])</f>
        <v/>
      </c>
      <c r="E1872" s="11" t="str">
        <f>_xlfn.XLOOKUP(Customer[[#This Row],[Customer ID]],[1]!Address[ID],[1]!Address[Full Address])</f>
        <v>NO 16C, TAMAN EMAS JAYA, JALAN RAJASYED SAFFI 01000 KANGAR, PERLIS</v>
      </c>
      <c r="F1872" s="12" t="s">
        <v>11722</v>
      </c>
      <c r="G1872" s="12" t="s">
        <v>11723</v>
      </c>
      <c r="H1872" s="12" t="s">
        <v>10758</v>
      </c>
      <c r="I1872" s="12" t="b">
        <f>ISNUMBER(VALUE(LEFT(Customer[[#This Row],[Address Line 3 (30 char)]],1)))</f>
        <v>0</v>
      </c>
      <c r="J1872" s="12" t="s">
        <v>984</v>
      </c>
      <c r="K1872" s="20" t="s">
        <v>985</v>
      </c>
      <c r="L1872" s="12" t="s">
        <v>35</v>
      </c>
      <c r="M1872" s="13" t="e">
        <v>#N/A</v>
      </c>
      <c r="N1872" s="14" t="e">
        <v>#N/A</v>
      </c>
      <c r="O1872" s="14" t="e">
        <v>#N/A</v>
      </c>
      <c r="P1872" s="14" t="e">
        <v>#N/A</v>
      </c>
      <c r="Q1872" s="19" t="s">
        <v>11724</v>
      </c>
      <c r="R1872" s="15" t="s">
        <v>11725</v>
      </c>
      <c r="S1872" s="15" t="s">
        <v>88</v>
      </c>
      <c r="T1872" s="16" t="s">
        <v>89</v>
      </c>
      <c r="U1872" s="11" t="str">
        <f>_xlfn.XLOOKUP(Customer[[#This Row],[Customer ID]],[1]!Address[ID],[1]!Address[Phone No.(2)])</f>
        <v/>
      </c>
      <c r="V1872" s="11" t="str">
        <f>_xlfn.XLOOKUP(Customer[[#This Row],[Customer ID]],[1]!Address[ID],[1]!Address[Type])</f>
        <v>SOCMED</v>
      </c>
      <c r="W1872" s="11" t="str">
        <f>_xlfn.XLOOKUP(Customer[[#This Row],[Customer ID]],[1]!Address[ID],[1]!Address[CT])</f>
        <v/>
      </c>
      <c r="X1872" s="11"/>
      <c r="Y1872" s="17" t="s">
        <v>90</v>
      </c>
      <c r="Z1872" s="17" t="e">
        <f>_xlfn.XLOOKUP(Customer[[#This Row],[NewType]],$AF$36:$AF$54,$AG$36:$AG$54)</f>
        <v>#N/A</v>
      </c>
      <c r="AA1872" s="17" t="s">
        <v>11726</v>
      </c>
      <c r="AB1872" s="11" t="str">
        <f>_xlfn.XLOOKUP(Customer[[#This Row],[Customer ID]],[1]!Address[ID],[1]!Address[Subtype])</f>
        <v>ONLINE ROS</v>
      </c>
      <c r="AC1872" s="18" t="str">
        <f>_xlfn.XLOOKUP(Customer[[#This Row],[Customer ID]],[1]!Address[ID],[1]!Address[Zone])</f>
        <v>NORTH</v>
      </c>
    </row>
    <row r="1873" spans="1:30" x14ac:dyDescent="0.3">
      <c r="A1873" s="27" t="s">
        <v>11727</v>
      </c>
      <c r="B1873" s="28" t="str">
        <f>_xlfn.XLOOKUP(Customer[[#This Row],[Customer ID]],[1]!Name[ID],[1]!Name[Description(1)])</f>
        <v>GELAM MESRA ENTERPRISE</v>
      </c>
      <c r="C1873" s="11" t="str">
        <f>_xlfn.XLOOKUP(Customer[[#This Row],[Customer ID]],[1]!Name[ID],[1]!Name[Description(2)])</f>
        <v>PS KEDAWANG</v>
      </c>
      <c r="D1873" s="11" t="str">
        <f>_xlfn.XLOOKUP(Customer[[#This Row],[Customer ID]],[1]!Address[ID],[1]!Address[PIC])</f>
        <v/>
      </c>
      <c r="E1873" s="11" t="str">
        <f>_xlfn.XLOOKUP(Customer[[#This Row],[Customer ID]],[1]!Address[ID],[1]!Address[Full Address])</f>
        <v>PS KEDAWANGLOT 290 STESYEN MINYAK PETRONAS,07000 LANGKAWI KEDAH</v>
      </c>
      <c r="F1873" s="12" t="s">
        <v>11728</v>
      </c>
      <c r="G1873" s="12" t="s">
        <v>11729</v>
      </c>
      <c r="H1873" s="24" t="s">
        <v>5757</v>
      </c>
      <c r="I1873" s="24" t="b">
        <f>ISNUMBER(VALUE(LEFT(Customer[[#This Row],[Address Line 3 (30 char)]],1)))</f>
        <v>0</v>
      </c>
      <c r="J1873" s="12" t="s">
        <v>79</v>
      </c>
      <c r="K1873" s="30" t="s">
        <v>1847</v>
      </c>
      <c r="L1873" s="12" t="s">
        <v>35</v>
      </c>
      <c r="M1873" s="13" t="e">
        <v>#N/A</v>
      </c>
      <c r="N1873" s="14" t="e">
        <v>#N/A</v>
      </c>
      <c r="O1873" s="14" t="e">
        <v>#N/A</v>
      </c>
      <c r="P1873" s="14" t="e">
        <v>#N/A</v>
      </c>
      <c r="Q1873" s="19" t="s">
        <v>11730</v>
      </c>
      <c r="R1873" s="15" t="s">
        <v>11731</v>
      </c>
      <c r="S1873" s="15" t="s">
        <v>37</v>
      </c>
      <c r="T1873" s="16" t="s">
        <v>38</v>
      </c>
      <c r="U1873" s="11" t="str">
        <f>_xlfn.XLOOKUP(Customer[[#This Row],[Customer ID]],[1]!Address[ID],[1]!Address[Phone No.(2)])</f>
        <v/>
      </c>
      <c r="V1873" s="11" t="str">
        <f>_xlfn.XLOOKUP(Customer[[#This Row],[Customer ID]],[1]!Address[ID],[1]!Address[Type])</f>
        <v>PETROMART</v>
      </c>
      <c r="W1873" s="11" t="str">
        <f>_xlfn.XLOOKUP(Customer[[#This Row],[Customer ID]],[1]!Address[ID],[1]!Address[CT])</f>
        <v>30</v>
      </c>
      <c r="X1873" s="11" t="s">
        <v>39</v>
      </c>
      <c r="Y1873" s="17" t="s">
        <v>40</v>
      </c>
      <c r="Z1873" s="17" t="e">
        <f>_xlfn.XLOOKUP(Customer[[#This Row],[NewType]],$AF$36:$AF$54,$AG$36:$AG$54)</f>
        <v>#N/A</v>
      </c>
      <c r="AA1873" s="17" t="s">
        <v>11732</v>
      </c>
      <c r="AB1873" s="11" t="str">
        <f>_xlfn.XLOOKUP(Customer[[#This Row],[Customer ID]],[1]!Address[ID],[1]!Address[Subtype])</f>
        <v>PETRONAS</v>
      </c>
      <c r="AC1873" s="18" t="str">
        <f>_xlfn.XLOOKUP(Customer[[#This Row],[Customer ID]],[1]!Address[ID],[1]!Address[Zone])</f>
        <v>NORTH</v>
      </c>
    </row>
    <row r="1874" spans="1:30" x14ac:dyDescent="0.3">
      <c r="A1874" s="10" t="s">
        <v>11733</v>
      </c>
      <c r="B1874" s="11" t="str">
        <f>_xlfn.XLOOKUP(Customer[[#This Row],[Customer ID]],[1]!Name[ID],[1]!Name[Description(1)])</f>
        <v>KELAB SUKAN &amp; KEBAJIKAN JUPEM N.SEMBILAN</v>
      </c>
      <c r="C1874" s="11" t="str">
        <f>_xlfn.XLOOKUP(Customer[[#This Row],[Customer ID]],[1]!Name[ID],[1]!Name[Description(2)])</f>
        <v/>
      </c>
      <c r="D1874" s="11" t="str">
        <f>_xlfn.XLOOKUP(Customer[[#This Row],[Customer ID]],[1]!Address[ID],[1]!Address[PIC])</f>
        <v/>
      </c>
      <c r="E1874" s="11" t="str">
        <f>_xlfn.XLOOKUP(Customer[[#This Row],[Customer ID]],[1]!Address[ID],[1]!Address[Full Address])</f>
        <v>JABATAN UKUR DAN PEMETAAN NEGERISEMBILAN, TINGKAT 8, WISMA PERSEKUTUAN,JALAN DATO' ABDUL KADIR, SEREMBAN 70000SEREMBAN, NEGERI SEMBILAN</v>
      </c>
      <c r="F1874" s="12" t="s">
        <v>11734</v>
      </c>
      <c r="G1874" s="12" t="s">
        <v>11735</v>
      </c>
      <c r="H1874" s="12" t="s">
        <v>11736</v>
      </c>
      <c r="I1874" s="12" t="b">
        <f>ISNUMBER(VALUE(LEFT(Customer[[#This Row],[Address Line 3 (30 char)]],1)))</f>
        <v>0</v>
      </c>
      <c r="J1874" s="12" t="s">
        <v>203</v>
      </c>
      <c r="K1874" s="12">
        <v>70000</v>
      </c>
      <c r="L1874" s="12" t="s">
        <v>35</v>
      </c>
      <c r="M1874" s="13" t="e">
        <v>#N/A</v>
      </c>
      <c r="N1874" s="14" t="e">
        <v>#N/A</v>
      </c>
      <c r="O1874" s="14" t="e">
        <v>#N/A</v>
      </c>
      <c r="P1874" s="14" t="e">
        <v>#N/A</v>
      </c>
      <c r="Q1874" s="14" t="e">
        <v>#N/A</v>
      </c>
      <c r="R1874" s="15" t="s">
        <v>11737</v>
      </c>
      <c r="S1874" s="15" t="s">
        <v>88</v>
      </c>
      <c r="T1874" s="16" t="s">
        <v>89</v>
      </c>
      <c r="U1874" s="11" t="str">
        <f>_xlfn.XLOOKUP(Customer[[#This Row],[Customer ID]],[1]!Address[ID],[1]!Address[Phone No.(2)])</f>
        <v/>
      </c>
      <c r="V1874" s="11" t="str">
        <f>_xlfn.XLOOKUP(Customer[[#This Row],[Customer ID]],[1]!Address[ID],[1]!Address[Type])</f>
        <v>SOCMED</v>
      </c>
      <c r="W1874" s="11" t="str">
        <f>_xlfn.XLOOKUP(Customer[[#This Row],[Customer ID]],[1]!Address[ID],[1]!Address[CT])</f>
        <v/>
      </c>
      <c r="X1874" s="11"/>
      <c r="Y1874" s="17" t="s">
        <v>90</v>
      </c>
      <c r="Z1874" s="17" t="e">
        <f>_xlfn.XLOOKUP(Customer[[#This Row],[NewType]],$AF$36:$AF$54,$AG$36:$AG$54)</f>
        <v>#N/A</v>
      </c>
      <c r="AA1874" s="17" t="s">
        <v>11738</v>
      </c>
      <c r="AB1874" s="11" t="str">
        <f>_xlfn.XLOOKUP(Customer[[#This Row],[Customer ID]],[1]!Address[ID],[1]!Address[Subtype])</f>
        <v>ONLINE ROS</v>
      </c>
      <c r="AC1874" s="18" t="str">
        <f>_xlfn.XLOOKUP(Customer[[#This Row],[Customer ID]],[1]!Address[ID],[1]!Address[Zone])</f>
        <v>CENTRAL</v>
      </c>
    </row>
    <row r="1875" spans="1:30" x14ac:dyDescent="0.3">
      <c r="A1875" s="10" t="s">
        <v>11739</v>
      </c>
      <c r="B1875" s="11" t="str">
        <f>_xlfn.XLOOKUP(Customer[[#This Row],[Customer ID]],[1]!Name[ID],[1]!Name[Description(1)])</f>
        <v>EN MUZAMMIL</v>
      </c>
      <c r="C1875" s="32" t="str">
        <f>_xlfn.XLOOKUP(Customer[[#This Row],[Customer ID]],[1]!Name[ID],[1]!Name[Description(2)])</f>
        <v/>
      </c>
      <c r="D1875" s="11" t="str">
        <f>_xlfn.XLOOKUP(Customer[[#This Row],[Customer ID]],[1]!Address[ID],[1]!Address[PIC])</f>
        <v/>
      </c>
      <c r="E1875" s="11" t="str">
        <f>_xlfn.XLOOKUP(Customer[[#This Row],[Customer ID]],[1]!Address[ID],[1]!Address[Full Address])</f>
        <v/>
      </c>
      <c r="F1875" s="12" t="s">
        <v>36</v>
      </c>
      <c r="G1875" s="12" t="s">
        <v>36</v>
      </c>
      <c r="H1875" s="12" t="s">
        <v>36</v>
      </c>
      <c r="I1875" s="12" t="b">
        <f>ISNUMBER(VALUE(LEFT(Customer[[#This Row],[Address Line 3 (30 char)]],1)))</f>
        <v>0</v>
      </c>
      <c r="J1875" s="32"/>
      <c r="K1875" s="32"/>
      <c r="L1875" s="12" t="s">
        <v>35</v>
      </c>
      <c r="M1875" s="13" t="e">
        <v>#N/A</v>
      </c>
      <c r="N1875" s="14" t="e">
        <v>#N/A</v>
      </c>
      <c r="O1875" s="14" t="e">
        <v>#N/A</v>
      </c>
      <c r="P1875" s="14" t="e">
        <v>#N/A</v>
      </c>
      <c r="Q1875" s="14" t="e">
        <v>#N/A</v>
      </c>
      <c r="R1875" s="15" t="s">
        <v>36</v>
      </c>
      <c r="S1875" s="15" t="s">
        <v>4271</v>
      </c>
      <c r="T1875" s="15" t="s">
        <v>89</v>
      </c>
      <c r="U1875" s="11" t="str">
        <f>_xlfn.XLOOKUP(Customer[[#This Row],[Customer ID]],[1]!Address[ID],[1]!Address[Phone No.(2)])</f>
        <v/>
      </c>
      <c r="V1875" s="11" t="str">
        <f>_xlfn.XLOOKUP(Customer[[#This Row],[Customer ID]],[1]!Address[ID],[1]!Address[Type])</f>
        <v>SOCMED</v>
      </c>
      <c r="W1875" s="11" t="str">
        <f>_xlfn.XLOOKUP(Customer[[#This Row],[Customer ID]],[1]!Address[ID],[1]!Address[CT])</f>
        <v/>
      </c>
      <c r="X1875" s="11"/>
      <c r="Y1875" s="17" t="s">
        <v>90</v>
      </c>
      <c r="Z1875" s="17" t="e">
        <f>_xlfn.XLOOKUP(Customer[[#This Row],[NewType]],$AF$36:$AF$54,$AG$36:$AG$54)</f>
        <v>#N/A</v>
      </c>
      <c r="AA1875" s="17" t="s">
        <v>11740</v>
      </c>
      <c r="AB1875" s="11" t="str">
        <f>_xlfn.XLOOKUP(Customer[[#This Row],[Customer ID]],[1]!Address[ID],[1]!Address[Subtype])</f>
        <v>WHATSAPP</v>
      </c>
      <c r="AC1875" s="18" t="str">
        <f>_xlfn.XLOOKUP(Customer[[#This Row],[Customer ID]],[1]!Address[ID],[1]!Address[Zone])</f>
        <v>AEEDH</v>
      </c>
    </row>
    <row r="1876" spans="1:30" x14ac:dyDescent="0.3">
      <c r="A1876" s="48" t="s">
        <v>11741</v>
      </c>
      <c r="B1876" s="49" t="str">
        <f>_xlfn.XLOOKUP(Customer[[#This Row],[Customer ID]],[1]!Name[ID],[1]!Name[Description(1)])</f>
        <v>ZULKIFLI</v>
      </c>
      <c r="C1876" s="49" t="str">
        <f>_xlfn.XLOOKUP(Customer[[#This Row],[Customer ID]],[1]!Name[ID],[1]!Name[Description(2)])</f>
        <v/>
      </c>
      <c r="D1876" s="49" t="str">
        <f>_xlfn.XLOOKUP(Customer[[#This Row],[Customer ID]],[1]!Address[ID],[1]!Address[PIC])</f>
        <v/>
      </c>
      <c r="E1876" s="11" t="str">
        <f>_xlfn.XLOOKUP(Customer[[#This Row],[Customer ID]],[1]!Address[ID],[1]!Address[Full Address])</f>
        <v>SOLAR ALERT, B1-4, MENARA MUTIARA,TAMAN TAR 68000 AMPANG.</v>
      </c>
      <c r="F1876" s="63" t="s">
        <v>11742</v>
      </c>
      <c r="G1876" s="63" t="s">
        <v>11743</v>
      </c>
      <c r="H1876" s="63" t="s">
        <v>11744</v>
      </c>
      <c r="I1876" s="63" t="b">
        <f>ISNUMBER(VALUE(LEFT(Customer[[#This Row],[Address Line 3 (30 char)]],1)))</f>
        <v>0</v>
      </c>
      <c r="J1876" s="63" t="s">
        <v>172</v>
      </c>
      <c r="K1876" s="63">
        <v>68000</v>
      </c>
      <c r="L1876" s="63" t="s">
        <v>35</v>
      </c>
      <c r="M1876" s="65" t="e">
        <v>#N/A</v>
      </c>
      <c r="N1876" s="66" t="e">
        <v>#N/A</v>
      </c>
      <c r="O1876" s="66" t="e">
        <v>#N/A</v>
      </c>
      <c r="P1876" s="66" t="e">
        <v>#N/A</v>
      </c>
      <c r="Q1876" s="110" t="s">
        <v>11745</v>
      </c>
      <c r="R1876" s="51" t="s">
        <v>11746</v>
      </c>
      <c r="S1876" s="15" t="s">
        <v>4271</v>
      </c>
      <c r="T1876" s="52" t="s">
        <v>89</v>
      </c>
      <c r="U1876" s="49" t="str">
        <f>_xlfn.XLOOKUP(Customer[[#This Row],[Customer ID]],[1]!Address[ID],[1]!Address[Phone No.(2)])</f>
        <v/>
      </c>
      <c r="V1876" s="49" t="str">
        <f>_xlfn.XLOOKUP(Customer[[#This Row],[Customer ID]],[1]!Address[ID],[1]!Address[Type])</f>
        <v>SOCMED</v>
      </c>
      <c r="W1876" s="49" t="str">
        <f>_xlfn.XLOOKUP(Customer[[#This Row],[Customer ID]],[1]!Address[ID],[1]!Address[CT])</f>
        <v/>
      </c>
      <c r="X1876" s="49"/>
      <c r="Y1876" s="53" t="s">
        <v>90</v>
      </c>
      <c r="Z1876" s="53" t="e">
        <f>_xlfn.XLOOKUP(Customer[[#This Row],[NewType]],$AF$36:$AF$54,$AG$36:$AG$54)</f>
        <v>#N/A</v>
      </c>
      <c r="AA1876" s="53" t="s">
        <v>11747</v>
      </c>
      <c r="AB1876" s="49" t="str">
        <f>_xlfn.XLOOKUP(Customer[[#This Row],[Customer ID]],[1]!Address[ID],[1]!Address[Subtype])</f>
        <v>WHATSAPP</v>
      </c>
      <c r="AC1876" s="54" t="str">
        <f>_xlfn.XLOOKUP(Customer[[#This Row],[Customer ID]],[1]!Address[ID],[1]!Address[Zone])</f>
        <v>CENTRAL</v>
      </c>
      <c r="AD1876" s="55"/>
    </row>
    <row r="1877" spans="1:30" x14ac:dyDescent="0.3">
      <c r="A1877" s="10" t="s">
        <v>11748</v>
      </c>
      <c r="B1877" s="11" t="str">
        <f>_xlfn.XLOOKUP(Customer[[#This Row],[Customer ID]],[1]!Name[ID],[1]!Name[Description(1)])</f>
        <v>U.N.I FARMASI PULAU SERAI</v>
      </c>
      <c r="C1877" s="11" t="str">
        <f>_xlfn.XLOOKUP(Customer[[#This Row],[Customer ID]],[1]!Name[ID],[1]!Name[Description(2)])</f>
        <v/>
      </c>
      <c r="D1877" s="11" t="str">
        <f>_xlfn.XLOOKUP(Customer[[#This Row],[Customer ID]],[1]!Address[ID],[1]!Address[PIC])</f>
        <v/>
      </c>
      <c r="E1877" s="11" t="str">
        <f>_xlfn.XLOOKUP(Customer[[#This Row],[Customer ID]],[1]!Address[ID],[1]!Address[Full Address])</f>
        <v>LOT 70738 TAMAN PELANDANG NUR HIDAYAHJALAN BESAR PULAU SERAI, 23000 DUNGUNTERENGGANU</v>
      </c>
      <c r="F1877" s="12" t="s">
        <v>11749</v>
      </c>
      <c r="G1877" s="12" t="s">
        <v>11750</v>
      </c>
      <c r="H1877" s="12" t="s">
        <v>11751</v>
      </c>
      <c r="I1877" s="12" t="b">
        <f>ISNUMBER(VALUE(LEFT(Customer[[#This Row],[Address Line 3 (30 char)]],1)))</f>
        <v>0</v>
      </c>
      <c r="J1877" s="12" t="s">
        <v>1056</v>
      </c>
      <c r="K1877" s="12">
        <v>23000</v>
      </c>
      <c r="L1877" s="12" t="s">
        <v>35</v>
      </c>
      <c r="M1877" s="13" t="e">
        <v>#N/A</v>
      </c>
      <c r="N1877" s="14" t="e">
        <v>#N/A</v>
      </c>
      <c r="O1877" s="14" t="e">
        <v>#N/A</v>
      </c>
      <c r="P1877" s="14" t="e">
        <v>#N/A</v>
      </c>
      <c r="Q1877" s="14" t="e">
        <v>#N/A</v>
      </c>
      <c r="R1877" s="15" t="s">
        <v>11752</v>
      </c>
      <c r="S1877" s="15" t="s">
        <v>88</v>
      </c>
      <c r="T1877" s="16" t="s">
        <v>89</v>
      </c>
      <c r="U1877" s="11" t="str">
        <f>_xlfn.XLOOKUP(Customer[[#This Row],[Customer ID]],[1]!Address[ID],[1]!Address[Phone No.(2)])</f>
        <v/>
      </c>
      <c r="V1877" s="11" t="str">
        <f>_xlfn.XLOOKUP(Customer[[#This Row],[Customer ID]],[1]!Address[ID],[1]!Address[Type])</f>
        <v>SOCMED</v>
      </c>
      <c r="W1877" s="11" t="str">
        <f>_xlfn.XLOOKUP(Customer[[#This Row],[Customer ID]],[1]!Address[ID],[1]!Address[CT])</f>
        <v/>
      </c>
      <c r="X1877" s="11"/>
      <c r="Y1877" s="17" t="s">
        <v>90</v>
      </c>
      <c r="Z1877" s="17" t="e">
        <f>_xlfn.XLOOKUP(Customer[[#This Row],[NewType]],$AF$36:$AF$54,$AG$36:$AG$54)</f>
        <v>#N/A</v>
      </c>
      <c r="AA1877" s="17" t="s">
        <v>11753</v>
      </c>
      <c r="AB1877" s="11" t="str">
        <f>_xlfn.XLOOKUP(Customer[[#This Row],[Customer ID]],[1]!Address[ID],[1]!Address[Subtype])</f>
        <v>ONLINE ROS</v>
      </c>
      <c r="AC1877" s="18" t="str">
        <f>_xlfn.XLOOKUP(Customer[[#This Row],[Customer ID]],[1]!Address[ID],[1]!Address[Zone])</f>
        <v>EAST COAST</v>
      </c>
    </row>
    <row r="1878" spans="1:30" x14ac:dyDescent="0.3">
      <c r="A1878" s="48" t="s">
        <v>11754</v>
      </c>
      <c r="B1878" s="49" t="str">
        <f>_xlfn.XLOOKUP(Customer[[#This Row],[Customer ID]],[1]!Name[ID],[1]!Name[Description(1)])</f>
        <v>BIGBAZAAR WHOLESALE AND RETAIL</v>
      </c>
      <c r="C1878" s="49" t="str">
        <f>_xlfn.XLOOKUP(Customer[[#This Row],[Customer ID]],[1]!Name[ID],[1]!Name[Description(2)])</f>
        <v/>
      </c>
      <c r="D1878" s="49" t="str">
        <f>_xlfn.XLOOKUP(Customer[[#This Row],[Customer ID]],[1]!Address[ID],[1]!Address[PIC])</f>
        <v/>
      </c>
      <c r="E1878" s="11" t="str">
        <f>_xlfn.XLOOKUP(Customer[[#This Row],[Customer ID]],[1]!Address[ID],[1]!Address[Full Address])</f>
        <v>21 JALAN KRISTAL L 7/L SEKSYEN 7SHAH ALAM, 40000 SHAH ALAM, SELANGOR</v>
      </c>
      <c r="F1878" s="63" t="s">
        <v>11755</v>
      </c>
      <c r="G1878" s="63" t="s">
        <v>11756</v>
      </c>
      <c r="H1878" s="63" t="s">
        <v>4488</v>
      </c>
      <c r="I1878" s="63" t="b">
        <f>ISNUMBER(VALUE(LEFT(Customer[[#This Row],[Address Line 3 (30 char)]],1)))</f>
        <v>0</v>
      </c>
      <c r="J1878" s="63" t="s">
        <v>172</v>
      </c>
      <c r="K1878" s="63">
        <v>40000</v>
      </c>
      <c r="L1878" s="63" t="s">
        <v>35</v>
      </c>
      <c r="M1878" s="65" t="e">
        <v>#N/A</v>
      </c>
      <c r="N1878" s="66" t="e">
        <v>#N/A</v>
      </c>
      <c r="O1878" s="66" t="e">
        <v>#N/A</v>
      </c>
      <c r="P1878" s="66" t="e">
        <v>#N/A</v>
      </c>
      <c r="Q1878" s="110" t="s">
        <v>11757</v>
      </c>
      <c r="R1878" s="51" t="s">
        <v>11758</v>
      </c>
      <c r="S1878" s="51"/>
      <c r="T1878" s="51"/>
      <c r="U1878" s="49" t="str">
        <f>_xlfn.XLOOKUP(Customer[[#This Row],[Customer ID]],[1]!Address[ID],[1]!Address[Phone No.(2)])</f>
        <v/>
      </c>
      <c r="V1878" s="49" t="str">
        <f>_xlfn.XLOOKUP(Customer[[#This Row],[Customer ID]],[1]!Address[ID],[1]!Address[Type])</f>
        <v>SOCMED</v>
      </c>
      <c r="W1878" s="49" t="str">
        <f>_xlfn.XLOOKUP(Customer[[#This Row],[Customer ID]],[1]!Address[ID],[1]!Address[CT])</f>
        <v/>
      </c>
      <c r="X1878" s="49"/>
      <c r="Y1878" s="53" t="s">
        <v>90</v>
      </c>
      <c r="Z1878" s="53" t="e">
        <f>_xlfn.XLOOKUP(Customer[[#This Row],[NewType]],$AF$36:$AF$54,$AG$36:$AG$54)</f>
        <v>#N/A</v>
      </c>
      <c r="AA1878" s="53" t="s">
        <v>11759</v>
      </c>
      <c r="AB1878" s="49" t="str">
        <f>_xlfn.XLOOKUP(Customer[[#This Row],[Customer ID]],[1]!Address[ID],[1]!Address[Subtype])</f>
        <v>WHATSAPP</v>
      </c>
      <c r="AC1878" s="54" t="str">
        <f>_xlfn.XLOOKUP(Customer[[#This Row],[Customer ID]],[1]!Address[ID],[1]!Address[Zone])</f>
        <v>POUTH</v>
      </c>
      <c r="AD1878" s="55"/>
    </row>
    <row r="1879" spans="1:30" x14ac:dyDescent="0.3">
      <c r="A1879" s="27" t="s">
        <v>11760</v>
      </c>
      <c r="B1879" s="28" t="str">
        <f>_xlfn.XLOOKUP(Customer[[#This Row],[Customer ID]],[1]!Name[ID],[1]!Name[Description(1)])</f>
        <v>KOPERASI PASAR MELAYU BALING</v>
      </c>
      <c r="C1879" s="11" t="str">
        <f>_xlfn.XLOOKUP(Customer[[#This Row],[Customer ID]],[1]!Name[ID],[1]!Name[Description(2)])</f>
        <v>PS BALING</v>
      </c>
      <c r="D1879" s="11" t="str">
        <f>_xlfn.XLOOKUP(Customer[[#This Row],[Customer ID]],[1]!Address[ID],[1]!Address[PIC])</f>
        <v/>
      </c>
      <c r="E1879" s="11" t="str">
        <f>_xlfn.XLOOKUP(Customer[[#This Row],[Customer ID]],[1]!Address[ID],[1]!Address[Full Address])</f>
        <v>KOPERASI PASAR MELAYU BALINGLOT 2407 POKOK SENA,MK PULAI, 09100 BALINGKEDAH DARUL AMAN</v>
      </c>
      <c r="F1879" s="12" t="s">
        <v>11761</v>
      </c>
      <c r="G1879" s="12" t="s">
        <v>11762</v>
      </c>
      <c r="H1879" s="12" t="s">
        <v>11763</v>
      </c>
      <c r="I1879" s="12" t="b">
        <f>ISNUMBER(VALUE(LEFT(Customer[[#This Row],[Address Line 3 (30 char)]],1)))</f>
        <v>0</v>
      </c>
      <c r="J1879" s="12" t="s">
        <v>79</v>
      </c>
      <c r="K1879" s="30" t="s">
        <v>11764</v>
      </c>
      <c r="L1879" s="12" t="s">
        <v>35</v>
      </c>
      <c r="M1879" s="13" t="e">
        <v>#N/A</v>
      </c>
      <c r="N1879" s="14" t="e">
        <v>#N/A</v>
      </c>
      <c r="O1879" s="14" t="e">
        <v>#N/A</v>
      </c>
      <c r="P1879" s="14" t="e">
        <v>#N/A</v>
      </c>
      <c r="Q1879" s="19" t="s">
        <v>11765</v>
      </c>
      <c r="R1879" s="15" t="s">
        <v>11766</v>
      </c>
      <c r="S1879" s="15" t="s">
        <v>37</v>
      </c>
      <c r="T1879" s="16" t="s">
        <v>38</v>
      </c>
      <c r="U1879" s="11" t="str">
        <f>_xlfn.XLOOKUP(Customer[[#This Row],[Customer ID]],[1]!Address[ID],[1]!Address[Phone No.(2)])</f>
        <v/>
      </c>
      <c r="V1879" s="11" t="str">
        <f>_xlfn.XLOOKUP(Customer[[#This Row],[Customer ID]],[1]!Address[ID],[1]!Address[Type])</f>
        <v>PETROMART</v>
      </c>
      <c r="W1879" s="11" t="str">
        <f>_xlfn.XLOOKUP(Customer[[#This Row],[Customer ID]],[1]!Address[ID],[1]!Address[CT])</f>
        <v>30</v>
      </c>
      <c r="X1879" s="11" t="s">
        <v>39</v>
      </c>
      <c r="Y1879" s="17" t="s">
        <v>40</v>
      </c>
      <c r="Z1879" s="17" t="e">
        <f>_xlfn.XLOOKUP(Customer[[#This Row],[NewType]],$AF$36:$AF$54,$AG$36:$AG$54)</f>
        <v>#N/A</v>
      </c>
      <c r="AA1879" s="17" t="s">
        <v>11767</v>
      </c>
      <c r="AB1879" s="11" t="str">
        <f>_xlfn.XLOOKUP(Customer[[#This Row],[Customer ID]],[1]!Address[ID],[1]!Address[Subtype])</f>
        <v>PETRONAS</v>
      </c>
      <c r="AC1879" s="18" t="str">
        <f>_xlfn.XLOOKUP(Customer[[#This Row],[Customer ID]],[1]!Address[ID],[1]!Address[Zone])</f>
        <v>NORTH</v>
      </c>
    </row>
    <row r="1880" spans="1:30" x14ac:dyDescent="0.3">
      <c r="A1880" s="10" t="s">
        <v>11768</v>
      </c>
      <c r="B1880" s="11" t="str">
        <f>_xlfn.XLOOKUP(Customer[[#This Row],[Customer ID]],[1]!Name[ID],[1]!Name[Description(1)])</f>
        <v>CAREMART PHARMACY SDN BHD</v>
      </c>
      <c r="C1880" s="11" t="str">
        <f>_xlfn.XLOOKUP(Customer[[#This Row],[Customer ID]],[1]!Name[ID],[1]!Name[Description(2)])</f>
        <v/>
      </c>
      <c r="D1880" s="11" t="str">
        <f>_xlfn.XLOOKUP(Customer[[#This Row],[Customer ID]],[1]!Address[ID],[1]!Address[PIC])</f>
        <v>AZA</v>
      </c>
      <c r="E1880" s="11" t="str">
        <f>_xlfn.XLOOKUP(Customer[[#This Row],[Customer ID]],[1]!Address[ID],[1]!Address[Full Address])</f>
        <v>NO 2, JALAN NIAGA 2, 81900KOTA TINGGI, JOHOR</v>
      </c>
      <c r="F1880" s="12" t="s">
        <v>11769</v>
      </c>
      <c r="G1880" s="12" t="s">
        <v>11770</v>
      </c>
      <c r="H1880" s="12" t="s">
        <v>36</v>
      </c>
      <c r="I1880" s="12" t="b">
        <f>ISNUMBER(VALUE(LEFT(Customer[[#This Row],[Address Line 3 (30 char)]],1)))</f>
        <v>0</v>
      </c>
      <c r="J1880" s="12" t="s">
        <v>52</v>
      </c>
      <c r="K1880" s="12">
        <v>81900</v>
      </c>
      <c r="L1880" s="12" t="s">
        <v>35</v>
      </c>
      <c r="M1880" s="13">
        <v>199801018200</v>
      </c>
      <c r="N1880" s="14" t="s">
        <v>11771</v>
      </c>
      <c r="O1880" s="14" t="e">
        <v>#N/A</v>
      </c>
      <c r="P1880" s="14" t="e">
        <v>#N/A</v>
      </c>
      <c r="Q1880" s="19" t="s">
        <v>11772</v>
      </c>
      <c r="R1880" s="15" t="s">
        <v>11773</v>
      </c>
      <c r="S1880" s="15" t="s">
        <v>89</v>
      </c>
      <c r="T1880" s="15" t="s">
        <v>89</v>
      </c>
      <c r="U1880" s="11" t="str">
        <f>_xlfn.XLOOKUP(Customer[[#This Row],[Customer ID]],[1]!Address[ID],[1]!Address[Phone No.(2)])</f>
        <v/>
      </c>
      <c r="V1880" s="11" t="str">
        <f>_xlfn.XLOOKUP(Customer[[#This Row],[Customer ID]],[1]!Address[ID],[1]!Address[Type])</f>
        <v>SOCMED</v>
      </c>
      <c r="W1880" s="11" t="str">
        <f>_xlfn.XLOOKUP(Customer[[#This Row],[Customer ID]],[1]!Address[ID],[1]!Address[CT])</f>
        <v/>
      </c>
      <c r="X1880" s="11"/>
      <c r="Y1880" s="17" t="s">
        <v>90</v>
      </c>
      <c r="Z1880" s="17" t="e">
        <f>_xlfn.XLOOKUP(Customer[[#This Row],[NewType]],$AF$36:$AF$54,$AG$36:$AG$54)</f>
        <v>#N/A</v>
      </c>
      <c r="AA1880" s="17" t="s">
        <v>11774</v>
      </c>
      <c r="AB1880" s="11" t="str">
        <f>_xlfn.XLOOKUP(Customer[[#This Row],[Customer ID]],[1]!Address[ID],[1]!Address[Subtype])</f>
        <v>WHATSAPP</v>
      </c>
      <c r="AC1880" s="18" t="str">
        <f>_xlfn.XLOOKUP(Customer[[#This Row],[Customer ID]],[1]!Address[ID],[1]!Address[Zone])</f>
        <v>SOUTH</v>
      </c>
    </row>
    <row r="1881" spans="1:30" x14ac:dyDescent="0.3">
      <c r="A1881" s="27" t="s">
        <v>11775</v>
      </c>
      <c r="B1881" s="28" t="str">
        <f>_xlfn.XLOOKUP(Customer[[#This Row],[Customer ID]],[1]!Name[ID],[1]!Name[Description(1)])</f>
        <v>JESIN SYNERGY SDN BHD _x0002_</v>
      </c>
      <c r="C1881" s="11" t="str">
        <f>_xlfn.XLOOKUP(Customer[[#This Row],[Customer ID]],[1]!Name[ID],[1]!Name[Description(2)])</f>
        <v>PS BANDAR KUALA KETIL  _x0002_</v>
      </c>
      <c r="D1881" s="11" t="str">
        <f>_xlfn.XLOOKUP(Customer[[#This Row],[Customer ID]],[1]!Address[ID],[1]!Address[PIC])</f>
        <v/>
      </c>
      <c r="E1881" s="11" t="str">
        <f>_xlfn.XLOOKUP(Customer[[#This Row],[Customer ID]],[1]!Address[ID],[1]!Address[Full Address])</f>
        <v>PS BANDAR KUALA KETILBANDAR KUALA KETIL09100 DAERAH BALINGKEDAH DARUL AMAN</v>
      </c>
      <c r="F1881" s="12" t="s">
        <v>11776</v>
      </c>
      <c r="G1881" s="12" t="s">
        <v>11777</v>
      </c>
      <c r="H1881" s="24" t="s">
        <v>11778</v>
      </c>
      <c r="I1881" s="24" t="b">
        <f>ISNUMBER(VALUE(LEFT(Customer[[#This Row],[Address Line 3 (30 char)]],1)))</f>
        <v>0</v>
      </c>
      <c r="J1881" s="12" t="s">
        <v>79</v>
      </c>
      <c r="K1881" s="30" t="s">
        <v>11764</v>
      </c>
      <c r="L1881" s="12" t="s">
        <v>35</v>
      </c>
      <c r="M1881" s="13" t="e">
        <v>#N/A</v>
      </c>
      <c r="N1881" s="14" t="e">
        <v>#N/A</v>
      </c>
      <c r="O1881" s="14" t="e">
        <v>#N/A</v>
      </c>
      <c r="P1881" s="14" t="e">
        <v>#N/A</v>
      </c>
      <c r="Q1881" s="19" t="s">
        <v>11779</v>
      </c>
      <c r="R1881" s="15" t="s">
        <v>11780</v>
      </c>
      <c r="S1881" s="15" t="s">
        <v>37</v>
      </c>
      <c r="T1881" s="16" t="s">
        <v>38</v>
      </c>
      <c r="U1881" s="11" t="str">
        <f>_xlfn.XLOOKUP(Customer[[#This Row],[Customer ID]],[1]!Address[ID],[1]!Address[Phone No.(2)])</f>
        <v/>
      </c>
      <c r="V1881" s="11" t="str">
        <f>_xlfn.XLOOKUP(Customer[[#This Row],[Customer ID]],[1]!Address[ID],[1]!Address[Type])</f>
        <v>PETROMART</v>
      </c>
      <c r="W1881" s="11" t="str">
        <f>_xlfn.XLOOKUP(Customer[[#This Row],[Customer ID]],[1]!Address[ID],[1]!Address[CT])</f>
        <v>30</v>
      </c>
      <c r="X1881" s="11" t="s">
        <v>39</v>
      </c>
      <c r="Y1881" s="17" t="s">
        <v>40</v>
      </c>
      <c r="Z1881" s="17" t="e">
        <f>_xlfn.XLOOKUP(Customer[[#This Row],[NewType]],$AF$36:$AF$54,$AG$36:$AG$54)</f>
        <v>#N/A</v>
      </c>
      <c r="AA1881" s="17" t="s">
        <v>11781</v>
      </c>
      <c r="AB1881" s="11" t="str">
        <f>_xlfn.XLOOKUP(Customer[[#This Row],[Customer ID]],[1]!Address[ID],[1]!Address[Subtype])</f>
        <v>PETRONAS</v>
      </c>
      <c r="AC1881" s="18" t="str">
        <f>_xlfn.XLOOKUP(Customer[[#This Row],[Customer ID]],[1]!Address[ID],[1]!Address[Zone])</f>
        <v>NORTH</v>
      </c>
    </row>
    <row r="1882" spans="1:30" x14ac:dyDescent="0.3">
      <c r="A1882" s="10" t="s">
        <v>11782</v>
      </c>
      <c r="B1882" s="11" t="str">
        <f>_xlfn.XLOOKUP(Customer[[#This Row],[Customer ID]],[1]!Name[ID],[1]!Name[Description(1)])</f>
        <v>BINDAWOOD TRADING</v>
      </c>
      <c r="C1882" s="11" t="str">
        <f>_xlfn.XLOOKUP(Customer[[#This Row],[Customer ID]],[1]!Name[ID],[1]!Name[Description(2)])</f>
        <v/>
      </c>
      <c r="D1882" s="11" t="str">
        <f>_xlfn.XLOOKUP(Customer[[#This Row],[Customer ID]],[1]!Address[ID],[1]!Address[PIC])</f>
        <v/>
      </c>
      <c r="E1882" s="11" t="str">
        <f>_xlfn.XLOOKUP(Customer[[#This Row],[Customer ID]],[1]!Address[ID],[1]!Address[Full Address])</f>
        <v>NO.10, BLOK 4,FLAT TAMAN SERI SERDANG,43300 SERI KEMBANGAN,SELANGOR</v>
      </c>
      <c r="F1882" s="12" t="s">
        <v>11783</v>
      </c>
      <c r="G1882" s="12" t="s">
        <v>11784</v>
      </c>
      <c r="H1882" s="24" t="s">
        <v>8441</v>
      </c>
      <c r="I1882" s="24" t="b">
        <f>ISNUMBER(VALUE(LEFT(Customer[[#This Row],[Address Line 3 (30 char)]],1)))</f>
        <v>0</v>
      </c>
      <c r="J1882" s="12" t="s">
        <v>172</v>
      </c>
      <c r="K1882" s="12">
        <v>43300</v>
      </c>
      <c r="L1882" s="12" t="s">
        <v>35</v>
      </c>
      <c r="M1882" s="13" t="e">
        <v>#N/A</v>
      </c>
      <c r="N1882" s="14" t="e">
        <v>#N/A</v>
      </c>
      <c r="O1882" s="14" t="e">
        <v>#N/A</v>
      </c>
      <c r="P1882" s="14" t="e">
        <v>#N/A</v>
      </c>
      <c r="Q1882" s="14" t="s">
        <v>11785</v>
      </c>
      <c r="R1882" s="15" t="s">
        <v>11786</v>
      </c>
      <c r="S1882" s="15" t="s">
        <v>5934</v>
      </c>
      <c r="T1882" s="16" t="s">
        <v>3477</v>
      </c>
      <c r="U1882" s="11" t="str">
        <f>_xlfn.XLOOKUP(Customer[[#This Row],[Customer ID]],[1]!Address[ID],[1]!Address[Phone No.(2)])</f>
        <v/>
      </c>
      <c r="V1882" s="11" t="str">
        <f>_xlfn.XLOOKUP(Customer[[#This Row],[Customer ID]],[1]!Address[ID],[1]!Address[Type])</f>
        <v>CM</v>
      </c>
      <c r="W1882" s="11" t="str">
        <f>_xlfn.XLOOKUP(Customer[[#This Row],[Customer ID]],[1]!Address[ID],[1]!Address[CT])</f>
        <v>CASH</v>
      </c>
      <c r="X1882" s="11"/>
      <c r="Y1882" s="17" t="s">
        <v>5918</v>
      </c>
      <c r="Z1882" s="17" t="e">
        <f>_xlfn.XLOOKUP(Customer[[#This Row],[NewType]],$AF$36:$AF$54,$AG$36:$AG$54)</f>
        <v>#N/A</v>
      </c>
      <c r="AA1882" s="17" t="s">
        <v>11787</v>
      </c>
      <c r="AB1882" s="11" t="str">
        <f>_xlfn.XLOOKUP(Customer[[#This Row],[Customer ID]],[1]!Address[ID],[1]!Address[Subtype])</f>
        <v>BINDAWOOD</v>
      </c>
      <c r="AC1882" s="18" t="str">
        <f>_xlfn.XLOOKUP(Customer[[#This Row],[Customer ID]],[1]!Address[ID],[1]!Address[Zone])</f>
        <v>CENTRAL</v>
      </c>
    </row>
    <row r="1883" spans="1:30" x14ac:dyDescent="0.3">
      <c r="A1883" s="10" t="s">
        <v>11788</v>
      </c>
      <c r="B1883" s="11" t="str">
        <f>_xlfn.XLOOKUP(Customer[[#This Row],[Customer ID]],[1]!Name[ID],[1]!Name[Description(1)])</f>
        <v>NOR MISWARY BIN RAMLI</v>
      </c>
      <c r="C1883" s="11" t="str">
        <f>_xlfn.XLOOKUP(Customer[[#This Row],[Customer ID]],[1]!Name[ID],[1]!Name[Description(2)])</f>
        <v/>
      </c>
      <c r="D1883" s="11" t="str">
        <f>_xlfn.XLOOKUP(Customer[[#This Row],[Customer ID]],[1]!Address[ID],[1]!Address[PIC])</f>
        <v/>
      </c>
      <c r="E1883" s="11" t="str">
        <f>_xlfn.XLOOKUP(Customer[[#This Row],[Customer ID]],[1]!Address[ID],[1]!Address[Full Address])</f>
        <v>SA1-10-18, BLOCK SA1, TINGKAT 10VISTA ALAM, JALAN IKHTISAS 14/1,SEKSYEN 14, 40000 SHAH ALAM, SELANGORDARUL EHSAN</v>
      </c>
      <c r="F1883" s="12" t="s">
        <v>11789</v>
      </c>
      <c r="G1883" s="12" t="s">
        <v>11790</v>
      </c>
      <c r="H1883" s="12" t="s">
        <v>11791</v>
      </c>
      <c r="I1883" s="12" t="b">
        <f>ISNUMBER(VALUE(LEFT(Customer[[#This Row],[Address Line 3 (30 char)]],1)))</f>
        <v>0</v>
      </c>
      <c r="J1883" s="12" t="s">
        <v>172</v>
      </c>
      <c r="K1883" s="12">
        <v>40000</v>
      </c>
      <c r="L1883" s="12" t="s">
        <v>35</v>
      </c>
      <c r="M1883" s="13" t="e">
        <v>#N/A</v>
      </c>
      <c r="N1883" s="14" t="e">
        <v>#N/A</v>
      </c>
      <c r="O1883" s="14" t="e">
        <v>#N/A</v>
      </c>
      <c r="P1883" s="14" t="e">
        <v>#N/A</v>
      </c>
      <c r="Q1883" s="14" t="e">
        <v>#N/A</v>
      </c>
      <c r="R1883" s="15" t="s">
        <v>11792</v>
      </c>
      <c r="S1883" s="15" t="s">
        <v>4271</v>
      </c>
      <c r="T1883" s="15" t="s">
        <v>89</v>
      </c>
      <c r="U1883" s="11" t="str">
        <f>_xlfn.XLOOKUP(Customer[[#This Row],[Customer ID]],[1]!Address[ID],[1]!Address[Phone No.(2)])</f>
        <v/>
      </c>
      <c r="V1883" s="11" t="str">
        <f>_xlfn.XLOOKUP(Customer[[#This Row],[Customer ID]],[1]!Address[ID],[1]!Address[Type])</f>
        <v>SOCMED</v>
      </c>
      <c r="W1883" s="11" t="str">
        <f>_xlfn.XLOOKUP(Customer[[#This Row],[Customer ID]],[1]!Address[ID],[1]!Address[CT])</f>
        <v/>
      </c>
      <c r="X1883" s="11"/>
      <c r="Y1883" s="17" t="s">
        <v>90</v>
      </c>
      <c r="Z1883" s="17" t="e">
        <f>_xlfn.XLOOKUP(Customer[[#This Row],[NewType]],$AF$36:$AF$54,$AG$36:$AG$54)</f>
        <v>#N/A</v>
      </c>
      <c r="AA1883" s="17" t="s">
        <v>11793</v>
      </c>
      <c r="AB1883" s="11" t="str">
        <f>_xlfn.XLOOKUP(Customer[[#This Row],[Customer ID]],[1]!Address[ID],[1]!Address[Subtype])</f>
        <v>WHATSAPP</v>
      </c>
      <c r="AC1883" s="18" t="str">
        <f>_xlfn.XLOOKUP(Customer[[#This Row],[Customer ID]],[1]!Address[ID],[1]!Address[Zone])</f>
        <v>CENTRAL</v>
      </c>
    </row>
    <row r="1884" spans="1:30" x14ac:dyDescent="0.3">
      <c r="A1884" s="10" t="s">
        <v>11794</v>
      </c>
      <c r="B1884" s="11" t="str">
        <f>_xlfn.XLOOKUP(Customer[[#This Row],[Customer ID]],[1]!Name[ID],[1]!Name[Description(1)])</f>
        <v>BUDIMAN JAYA ENTERPRISE</v>
      </c>
      <c r="C1884" s="11" t="str">
        <f>_xlfn.XLOOKUP(Customer[[#This Row],[Customer ID]],[1]!Name[ID],[1]!Name[Description(2)])</f>
        <v/>
      </c>
      <c r="D1884" s="11" t="str">
        <f>_xlfn.XLOOKUP(Customer[[#This Row],[Customer ID]],[1]!Address[ID],[1]!Address[PIC])</f>
        <v/>
      </c>
      <c r="E1884" s="11" t="str">
        <f>_xlfn.XLOOKUP(Customer[[#This Row],[Customer ID]],[1]!Address[ID],[1]!Address[Full Address])</f>
        <v>NO 24 LORONG 6 TAMAN SINGGAHSANAPADANG BESAR, 02100 PADANG BESARPERLIS</v>
      </c>
      <c r="F1884" s="12" t="s">
        <v>11795</v>
      </c>
      <c r="G1884" s="12" t="s">
        <v>11796</v>
      </c>
      <c r="H1884" s="12" t="s">
        <v>11797</v>
      </c>
      <c r="I1884" s="12" t="b">
        <f>ISNUMBER(VALUE(LEFT(Customer[[#This Row],[Address Line 3 (30 char)]],1)))</f>
        <v>0</v>
      </c>
      <c r="J1884" s="12" t="s">
        <v>984</v>
      </c>
      <c r="K1884" s="20" t="s">
        <v>3656</v>
      </c>
      <c r="L1884" s="12" t="s">
        <v>35</v>
      </c>
      <c r="M1884" s="13" t="e">
        <v>#N/A</v>
      </c>
      <c r="N1884" s="14" t="e">
        <v>#N/A</v>
      </c>
      <c r="O1884" s="14" t="e">
        <v>#N/A</v>
      </c>
      <c r="P1884" s="14" t="e">
        <v>#N/A</v>
      </c>
      <c r="Q1884" s="19" t="s">
        <v>11798</v>
      </c>
      <c r="R1884" s="15" t="s">
        <v>11799</v>
      </c>
      <c r="S1884" s="15" t="s">
        <v>88</v>
      </c>
      <c r="T1884" s="16" t="s">
        <v>89</v>
      </c>
      <c r="U1884" s="11" t="str">
        <f>_xlfn.XLOOKUP(Customer[[#This Row],[Customer ID]],[1]!Address[ID],[1]!Address[Phone No.(2)])</f>
        <v/>
      </c>
      <c r="V1884" s="11" t="str">
        <f>_xlfn.XLOOKUP(Customer[[#This Row],[Customer ID]],[1]!Address[ID],[1]!Address[Type])</f>
        <v>SOCMED</v>
      </c>
      <c r="W1884" s="11" t="str">
        <f>_xlfn.XLOOKUP(Customer[[#This Row],[Customer ID]],[1]!Address[ID],[1]!Address[CT])</f>
        <v/>
      </c>
      <c r="X1884" s="11"/>
      <c r="Y1884" s="17" t="s">
        <v>90</v>
      </c>
      <c r="Z1884" s="17" t="e">
        <f>_xlfn.XLOOKUP(Customer[[#This Row],[NewType]],$AF$36:$AF$54,$AG$36:$AG$54)</f>
        <v>#N/A</v>
      </c>
      <c r="AA1884" s="17" t="s">
        <v>11800</v>
      </c>
      <c r="AB1884" s="11" t="str">
        <f>_xlfn.XLOOKUP(Customer[[#This Row],[Customer ID]],[1]!Address[ID],[1]!Address[Subtype])</f>
        <v>ONLINE ROS</v>
      </c>
      <c r="AC1884" s="18" t="str">
        <f>_xlfn.XLOOKUP(Customer[[#This Row],[Customer ID]],[1]!Address[ID],[1]!Address[Zone])</f>
        <v>NORTH</v>
      </c>
    </row>
    <row r="1885" spans="1:30" x14ac:dyDescent="0.3">
      <c r="A1885" s="10" t="s">
        <v>11801</v>
      </c>
      <c r="B1885" s="11" t="str">
        <f>_xlfn.XLOOKUP(Customer[[#This Row],[Customer ID]],[1]!Name[ID],[1]!Name[Description(1)])</f>
        <v>ALAF SALAK TINGGI</v>
      </c>
      <c r="C1885" s="11" t="str">
        <f>_xlfn.XLOOKUP(Customer[[#This Row],[Customer ID]],[1]!Name[ID],[1]!Name[Description(2)])</f>
        <v>SHELL ELITE HIGHWAY</v>
      </c>
      <c r="D1885" s="11" t="str">
        <f>_xlfn.XLOOKUP(Customer[[#This Row],[Customer ID]],[1]!Address[ID],[1]!Address[PIC])</f>
        <v/>
      </c>
      <c r="E1885" s="11" t="str">
        <f>_xlfn.XLOOKUP(Customer[[#This Row],[Customer ID]],[1]!Address[ID],[1]!Address[Full Address])</f>
        <v>SHELL ELITE HIGHWAYNo 22 Jalan 3/70,seksyen 3,Bandar Baru Bangi.</v>
      </c>
      <c r="F1885" s="12" t="s">
        <v>11802</v>
      </c>
      <c r="G1885" s="12" t="s">
        <v>11803</v>
      </c>
      <c r="H1885" s="12" t="s">
        <v>11804</v>
      </c>
      <c r="I1885" s="12" t="b">
        <f>ISNUMBER(VALUE(LEFT(Customer[[#This Row],[Address Line 3 (30 char)]],1)))</f>
        <v>0</v>
      </c>
      <c r="J1885" s="12" t="s">
        <v>172</v>
      </c>
      <c r="K1885" s="12">
        <v>43900</v>
      </c>
      <c r="L1885" s="12" t="s">
        <v>35</v>
      </c>
      <c r="M1885" s="13">
        <v>200003044074</v>
      </c>
      <c r="N1885" s="14" t="s">
        <v>11805</v>
      </c>
      <c r="O1885" s="14" t="e">
        <v>#N/A</v>
      </c>
      <c r="P1885" s="14" t="e">
        <v>#N/A</v>
      </c>
      <c r="Q1885" s="19" t="s">
        <v>11806</v>
      </c>
      <c r="R1885" s="15" t="s">
        <v>11807</v>
      </c>
      <c r="S1885" s="15" t="s">
        <v>37</v>
      </c>
      <c r="T1885" s="16" t="s">
        <v>38</v>
      </c>
      <c r="U1885" s="11" t="str">
        <f>_xlfn.XLOOKUP(Customer[[#This Row],[Customer ID]],[1]!Address[ID],[1]!Address[Phone No.(2)])</f>
        <v/>
      </c>
      <c r="V1885" s="11" t="str">
        <f>_xlfn.XLOOKUP(Customer[[#This Row],[Customer ID]],[1]!Address[ID],[1]!Address[Type])</f>
        <v>PETROMART</v>
      </c>
      <c r="W1885" s="11" t="str">
        <f>_xlfn.XLOOKUP(Customer[[#This Row],[Customer ID]],[1]!Address[ID],[1]!Address[CT])</f>
        <v>30</v>
      </c>
      <c r="X1885" s="11" t="s">
        <v>39</v>
      </c>
      <c r="Y1885" s="17" t="s">
        <v>40</v>
      </c>
      <c r="Z1885" s="17" t="e">
        <f>_xlfn.XLOOKUP(Customer[[#This Row],[NewType]],$AF$36:$AF$54,$AG$36:$AG$54)</f>
        <v>#N/A</v>
      </c>
      <c r="AA1885" s="17" t="s">
        <v>11808</v>
      </c>
      <c r="AB1885" s="11" t="str">
        <f>_xlfn.XLOOKUP(Customer[[#This Row],[Customer ID]],[1]!Address[ID],[1]!Address[Subtype])</f>
        <v>SHELL</v>
      </c>
      <c r="AC1885" s="18" t="str">
        <f>_xlfn.XLOOKUP(Customer[[#This Row],[Customer ID]],[1]!Address[ID],[1]!Address[Zone])</f>
        <v>CENTRAL</v>
      </c>
    </row>
    <row r="1886" spans="1:30" x14ac:dyDescent="0.3">
      <c r="A1886" s="10" t="s">
        <v>11809</v>
      </c>
      <c r="B1886" s="11" t="str">
        <f>_xlfn.XLOOKUP(Customer[[#This Row],[Customer ID]],[1]!Name[ID],[1]!Name[Description(1)])</f>
        <v>NORSHIDAH (MB)</v>
      </c>
      <c r="C1886" s="32" t="str">
        <f>_xlfn.XLOOKUP(Customer[[#This Row],[Customer ID]],[1]!Name[ID],[1]!Name[Description(2)])</f>
        <v/>
      </c>
      <c r="D1886" s="11" t="str">
        <f>_xlfn.XLOOKUP(Customer[[#This Row],[Customer ID]],[1]!Address[ID],[1]!Address[PIC])</f>
        <v/>
      </c>
      <c r="E1886" s="11" t="str">
        <f>_xlfn.XLOOKUP(Customer[[#This Row],[Customer ID]],[1]!Address[ID],[1]!Address[Full Address])</f>
        <v>6 JALAN 1/3R, VILLA SUTERA,(DEKAT DENGAN RUMAH PUAN NOLI)</v>
      </c>
      <c r="F1886" s="12" t="s">
        <v>11810</v>
      </c>
      <c r="G1886" s="12" t="s">
        <v>11811</v>
      </c>
      <c r="H1886" s="12" t="s">
        <v>36</v>
      </c>
      <c r="I1886" s="12" t="b">
        <f>ISNUMBER(VALUE(LEFT(Customer[[#This Row],[Address Line 3 (30 char)]],1)))</f>
        <v>0</v>
      </c>
      <c r="J1886" s="32" t="s">
        <v>172</v>
      </c>
      <c r="K1886" s="32"/>
      <c r="L1886" s="12" t="s">
        <v>35</v>
      </c>
      <c r="M1886" s="13" t="e">
        <v>#N/A</v>
      </c>
      <c r="N1886" s="14" t="e">
        <v>#N/A</v>
      </c>
      <c r="O1886" s="14" t="e">
        <v>#N/A</v>
      </c>
      <c r="P1886" s="14" t="e">
        <v>#N/A</v>
      </c>
      <c r="Q1886" s="14" t="e">
        <v>#N/A</v>
      </c>
      <c r="R1886" s="15" t="s">
        <v>8051</v>
      </c>
      <c r="S1886" s="15" t="s">
        <v>4271</v>
      </c>
      <c r="T1886" s="15" t="s">
        <v>89</v>
      </c>
      <c r="U1886" s="11" t="str">
        <f>_xlfn.XLOOKUP(Customer[[#This Row],[Customer ID]],[1]!Address[ID],[1]!Address[Phone No.(2)])</f>
        <v/>
      </c>
      <c r="V1886" s="11" t="str">
        <f>_xlfn.XLOOKUP(Customer[[#This Row],[Customer ID]],[1]!Address[ID],[1]!Address[Type])</f>
        <v>SOCMED</v>
      </c>
      <c r="W1886" s="11" t="str">
        <f>_xlfn.XLOOKUP(Customer[[#This Row],[Customer ID]],[1]!Address[ID],[1]!Address[CT])</f>
        <v/>
      </c>
      <c r="X1886" s="11"/>
      <c r="Y1886" s="17" t="s">
        <v>90</v>
      </c>
      <c r="Z1886" s="17" t="e">
        <f>_xlfn.XLOOKUP(Customer[[#This Row],[NewType]],$AF$36:$AF$54,$AG$36:$AG$54)</f>
        <v>#N/A</v>
      </c>
      <c r="AA1886" s="17" t="s">
        <v>11812</v>
      </c>
      <c r="AB1886" s="11" t="str">
        <f>_xlfn.XLOOKUP(Customer[[#This Row],[Customer ID]],[1]!Address[ID],[1]!Address[Subtype])</f>
        <v>WHATSAPP</v>
      </c>
      <c r="AC1886" s="18" t="str">
        <f>_xlfn.XLOOKUP(Customer[[#This Row],[Customer ID]],[1]!Address[ID],[1]!Address[Zone])</f>
        <v>CENTRAL</v>
      </c>
    </row>
    <row r="1887" spans="1:30" x14ac:dyDescent="0.3">
      <c r="A1887" s="10" t="s">
        <v>11813</v>
      </c>
      <c r="B1887" s="11" t="str">
        <f>_xlfn.XLOOKUP(Customer[[#This Row],[Customer ID]],[1]!Name[ID],[1]!Name[Description(1)])</f>
        <v>CIKGU ROSNITA</v>
      </c>
      <c r="C1887" s="11" t="str">
        <f>_xlfn.XLOOKUP(Customer[[#This Row],[Customer ID]],[1]!Name[ID],[1]!Name[Description(2)])</f>
        <v/>
      </c>
      <c r="D1887" s="11" t="str">
        <f>_xlfn.XLOOKUP(Customer[[#This Row],[Customer ID]],[1]!Address[ID],[1]!Address[PIC])</f>
        <v/>
      </c>
      <c r="E1887" s="11" t="str">
        <f>_xlfn.XLOOKUP(Customer[[#This Row],[Customer ID]],[1]!Address[ID],[1]!Address[Full Address])</f>
        <v>SK SEKSYEN 18, JLN CUCUR 28/13,SEKSYEN 18, 40200 SHAH ALAM</v>
      </c>
      <c r="F1887" s="12" t="s">
        <v>11814</v>
      </c>
      <c r="G1887" s="12" t="s">
        <v>11815</v>
      </c>
      <c r="H1887" s="12" t="s">
        <v>11816</v>
      </c>
      <c r="I1887" s="12" t="b">
        <f>ISNUMBER(VALUE(LEFT(Customer[[#This Row],[Address Line 3 (30 char)]],1)))</f>
        <v>0</v>
      </c>
      <c r="J1887" s="12" t="s">
        <v>172</v>
      </c>
      <c r="K1887" s="12">
        <v>40200</v>
      </c>
      <c r="L1887" s="12" t="s">
        <v>35</v>
      </c>
      <c r="M1887" s="13" t="e">
        <v>#N/A</v>
      </c>
      <c r="N1887" s="14" t="e">
        <v>#N/A</v>
      </c>
      <c r="O1887" s="14" t="e">
        <v>#N/A</v>
      </c>
      <c r="P1887" s="14" t="e">
        <v>#N/A</v>
      </c>
      <c r="Q1887" s="14" t="e">
        <v>#N/A</v>
      </c>
      <c r="R1887" s="15" t="s">
        <v>11817</v>
      </c>
      <c r="S1887" s="15" t="s">
        <v>88</v>
      </c>
      <c r="T1887" s="16" t="s">
        <v>89</v>
      </c>
      <c r="U1887" s="11" t="str">
        <f>_xlfn.XLOOKUP(Customer[[#This Row],[Customer ID]],[1]!Address[ID],[1]!Address[Phone No.(2)])</f>
        <v/>
      </c>
      <c r="V1887" s="11" t="str">
        <f>_xlfn.XLOOKUP(Customer[[#This Row],[Customer ID]],[1]!Address[ID],[1]!Address[Type])</f>
        <v>SOCMED</v>
      </c>
      <c r="W1887" s="11" t="str">
        <f>_xlfn.XLOOKUP(Customer[[#This Row],[Customer ID]],[1]!Address[ID],[1]!Address[CT])</f>
        <v/>
      </c>
      <c r="X1887" s="11"/>
      <c r="Y1887" s="17" t="s">
        <v>90</v>
      </c>
      <c r="Z1887" s="17" t="e">
        <f>_xlfn.XLOOKUP(Customer[[#This Row],[NewType]],$AF$36:$AF$54,$AG$36:$AG$54)</f>
        <v>#N/A</v>
      </c>
      <c r="AA1887" s="17" t="s">
        <v>11818</v>
      </c>
      <c r="AB1887" s="11" t="str">
        <f>_xlfn.XLOOKUP(Customer[[#This Row],[Customer ID]],[1]!Address[ID],[1]!Address[Subtype])</f>
        <v>ONLINE ROS</v>
      </c>
      <c r="AC1887" s="18" t="str">
        <f>_xlfn.XLOOKUP(Customer[[#This Row],[Customer ID]],[1]!Address[ID],[1]!Address[Zone])</f>
        <v>NEEDH</v>
      </c>
    </row>
    <row r="1888" spans="1:30" x14ac:dyDescent="0.3">
      <c r="A1888" s="10" t="s">
        <v>11819</v>
      </c>
      <c r="B1888" s="11" t="str">
        <f>_xlfn.XLOOKUP(Customer[[#This Row],[Customer ID]],[1]!Name[ID],[1]!Name[Description(1)])</f>
        <v>MOHD HAZIM HASSAN</v>
      </c>
      <c r="C1888" s="11" t="str">
        <f>_xlfn.XLOOKUP(Customer[[#This Row],[Customer ID]],[1]!Name[ID],[1]!Name[Description(2)])</f>
        <v/>
      </c>
      <c r="D1888" s="11" t="str">
        <f>_xlfn.XLOOKUP(Customer[[#This Row],[Customer ID]],[1]!Address[ID],[1]!Address[PIC])</f>
        <v/>
      </c>
      <c r="E1888" s="11" t="str">
        <f>_xlfn.XLOOKUP(Customer[[#This Row],[Customer ID]],[1]!Address[ID],[1]!Address[Full Address])</f>
        <v>MRA INTERNATIONAL SDN BHDUNIT 4806-3-11 JALAN PERDANA CBD 2,63000 CYBERJAYA, SELANGOR</v>
      </c>
      <c r="F1888" s="12" t="s">
        <v>11820</v>
      </c>
      <c r="G1888" s="12" t="s">
        <v>11821</v>
      </c>
      <c r="H1888" s="12" t="s">
        <v>11822</v>
      </c>
      <c r="I1888" s="12" t="b">
        <f>ISNUMBER(VALUE(LEFT(Customer[[#This Row],[Address Line 3 (30 char)]],1)))</f>
        <v>0</v>
      </c>
      <c r="J1888" s="12" t="s">
        <v>172</v>
      </c>
      <c r="K1888" s="12">
        <v>63000</v>
      </c>
      <c r="L1888" s="12" t="s">
        <v>35</v>
      </c>
      <c r="M1888" s="13" t="e">
        <v>#N/A</v>
      </c>
      <c r="N1888" s="14" t="e">
        <v>#N/A</v>
      </c>
      <c r="O1888" s="14" t="e">
        <v>#N/A</v>
      </c>
      <c r="P1888" s="14" t="e">
        <v>#N/A</v>
      </c>
      <c r="Q1888" s="19" t="s">
        <v>11823</v>
      </c>
      <c r="R1888" s="15" t="s">
        <v>11824</v>
      </c>
      <c r="S1888" s="15" t="s">
        <v>4271</v>
      </c>
      <c r="T1888" s="15" t="s">
        <v>89</v>
      </c>
      <c r="U1888" s="11" t="str">
        <f>_xlfn.XLOOKUP(Customer[[#This Row],[Customer ID]],[1]!Address[ID],[1]!Address[Phone No.(2)])</f>
        <v/>
      </c>
      <c r="V1888" s="11" t="str">
        <f>_xlfn.XLOOKUP(Customer[[#This Row],[Customer ID]],[1]!Address[ID],[1]!Address[Type])</f>
        <v>SOCMED</v>
      </c>
      <c r="W1888" s="11" t="str">
        <f>_xlfn.XLOOKUP(Customer[[#This Row],[Customer ID]],[1]!Address[ID],[1]!Address[CT])</f>
        <v/>
      </c>
      <c r="X1888" s="11"/>
      <c r="Y1888" s="17" t="s">
        <v>90</v>
      </c>
      <c r="Z1888" s="17" t="e">
        <f>_xlfn.XLOOKUP(Customer[[#This Row],[NewType]],$AF$36:$AF$54,$AG$36:$AG$54)</f>
        <v>#N/A</v>
      </c>
      <c r="AA1888" s="17" t="s">
        <v>11825</v>
      </c>
      <c r="AB1888" s="11" t="str">
        <f>_xlfn.XLOOKUP(Customer[[#This Row],[Customer ID]],[1]!Address[ID],[1]!Address[Subtype])</f>
        <v>WHATSAPP</v>
      </c>
      <c r="AC1888" s="18" t="str">
        <f>_xlfn.XLOOKUP(Customer[[#This Row],[Customer ID]],[1]!Address[ID],[1]!Address[Zone])</f>
        <v>POUTH</v>
      </c>
    </row>
    <row r="1889" spans="1:30" x14ac:dyDescent="0.3">
      <c r="A1889" s="10" t="s">
        <v>11826</v>
      </c>
      <c r="B1889" s="11" t="str">
        <f>_xlfn.XLOOKUP(Customer[[#This Row],[Customer ID]],[1]!Name[ID],[1]!Name[Description(1)])</f>
        <v>W.S PETROL &amp; SERVICE STATION</v>
      </c>
      <c r="C1889" s="11" t="str">
        <f>_xlfn.XLOOKUP(Customer[[#This Row],[Customer ID]],[1]!Name[ID],[1]!Name[Description(2)])</f>
        <v>PS PENGKALAN HULU</v>
      </c>
      <c r="D1889" s="11" t="str">
        <f>_xlfn.XLOOKUP(Customer[[#This Row],[Customer ID]],[1]!Address[ID],[1]!Address[PIC])</f>
        <v/>
      </c>
      <c r="E1889" s="11" t="str">
        <f>_xlfn.XLOOKUP(Customer[[#This Row],[Customer ID]],[1]!Address[ID],[1]!Address[Full Address])</f>
        <v>PS PENGKALAN HULULOT 2047, JALA KLIAN INTAN33100 PENGKALAN HULU, PERAK</v>
      </c>
      <c r="F1889" s="12" t="s">
        <v>11827</v>
      </c>
      <c r="G1889" s="12" t="s">
        <v>11828</v>
      </c>
      <c r="H1889" s="24" t="s">
        <v>11829</v>
      </c>
      <c r="I1889" s="24" t="b">
        <f>ISNUMBER(VALUE(LEFT(Customer[[#This Row],[Address Line 3 (30 char)]],1)))</f>
        <v>0</v>
      </c>
      <c r="J1889" s="12" t="s">
        <v>242</v>
      </c>
      <c r="K1889" s="12">
        <v>33100</v>
      </c>
      <c r="L1889" s="12" t="s">
        <v>35</v>
      </c>
      <c r="M1889" s="13" t="e">
        <v>#N/A</v>
      </c>
      <c r="N1889" s="14" t="e">
        <v>#N/A</v>
      </c>
      <c r="O1889" s="14" t="e">
        <v>#N/A</v>
      </c>
      <c r="P1889" s="14" t="e">
        <v>#N/A</v>
      </c>
      <c r="Q1889" s="19" t="s">
        <v>11830</v>
      </c>
      <c r="R1889" s="15" t="s">
        <v>11831</v>
      </c>
      <c r="S1889" s="15" t="s">
        <v>37</v>
      </c>
      <c r="T1889" s="16" t="s">
        <v>38</v>
      </c>
      <c r="U1889" s="11" t="str">
        <f>_xlfn.XLOOKUP(Customer[[#This Row],[Customer ID]],[1]!Address[ID],[1]!Address[Phone No.(2)])</f>
        <v/>
      </c>
      <c r="V1889" s="11" t="str">
        <f>_xlfn.XLOOKUP(Customer[[#This Row],[Customer ID]],[1]!Address[ID],[1]!Address[Type])</f>
        <v>PETROMART</v>
      </c>
      <c r="W1889" s="11" t="str">
        <f>_xlfn.XLOOKUP(Customer[[#This Row],[Customer ID]],[1]!Address[ID],[1]!Address[CT])</f>
        <v>30</v>
      </c>
      <c r="X1889" s="11" t="s">
        <v>39</v>
      </c>
      <c r="Y1889" s="17" t="s">
        <v>40</v>
      </c>
      <c r="Z1889" s="17" t="e">
        <f>_xlfn.XLOOKUP(Customer[[#This Row],[NewType]],$AF$36:$AF$54,$AG$36:$AG$54)</f>
        <v>#N/A</v>
      </c>
      <c r="AA1889" s="17" t="s">
        <v>11832</v>
      </c>
      <c r="AB1889" s="11" t="str">
        <f>_xlfn.XLOOKUP(Customer[[#This Row],[Customer ID]],[1]!Address[ID],[1]!Address[Subtype])</f>
        <v>PETRONAS</v>
      </c>
      <c r="AC1889" s="18" t="str">
        <f>_xlfn.XLOOKUP(Customer[[#This Row],[Customer ID]],[1]!Address[ID],[1]!Address[Zone])</f>
        <v>NORTH</v>
      </c>
    </row>
    <row r="1890" spans="1:30" x14ac:dyDescent="0.3">
      <c r="A1890" s="10" t="s">
        <v>11833</v>
      </c>
      <c r="B1890" s="11" t="str">
        <f>_xlfn.XLOOKUP(Customer[[#This Row],[Customer ID]],[1]!Name[ID],[1]!Name[Description(1)])</f>
        <v>KEDAI READY TO COOK</v>
      </c>
      <c r="C1890" s="11" t="str">
        <f>_xlfn.XLOOKUP(Customer[[#This Row],[Customer ID]],[1]!Name[ID],[1]!Name[Description(2)])</f>
        <v/>
      </c>
      <c r="D1890" s="11" t="str">
        <f>_xlfn.XLOOKUP(Customer[[#This Row],[Customer ID]],[1]!Address[ID],[1]!Address[PIC])</f>
        <v/>
      </c>
      <c r="E1890" s="11" t="str">
        <f>_xlfn.XLOOKUP(Customer[[#This Row],[Customer ID]],[1]!Address[ID],[1]!Address[Full Address])</f>
        <v>NO 40 JALAN 7/7B, SEKSYEN 7,BANDAR BARU BANGI 43650 SELANGOR</v>
      </c>
      <c r="F1890" s="12" t="s">
        <v>11834</v>
      </c>
      <c r="G1890" s="12" t="s">
        <v>4431</v>
      </c>
      <c r="H1890" s="12" t="s">
        <v>36</v>
      </c>
      <c r="I1890" s="12" t="b">
        <f>ISNUMBER(VALUE(LEFT(Customer[[#This Row],[Address Line 3 (30 char)]],1)))</f>
        <v>0</v>
      </c>
      <c r="J1890" s="12" t="s">
        <v>172</v>
      </c>
      <c r="K1890" s="12">
        <v>43650</v>
      </c>
      <c r="L1890" s="12" t="s">
        <v>35</v>
      </c>
      <c r="M1890" s="13" t="e">
        <v>#N/A</v>
      </c>
      <c r="N1890" s="14" t="e">
        <v>#N/A</v>
      </c>
      <c r="O1890" s="14" t="e">
        <v>#N/A</v>
      </c>
      <c r="P1890" s="14" t="e">
        <v>#N/A</v>
      </c>
      <c r="Q1890" s="14" t="e">
        <v>#N/A</v>
      </c>
      <c r="R1890" s="15" t="s">
        <v>11835</v>
      </c>
      <c r="S1890" s="15" t="s">
        <v>88</v>
      </c>
      <c r="T1890" s="16" t="s">
        <v>89</v>
      </c>
      <c r="U1890" s="11" t="str">
        <f>_xlfn.XLOOKUP(Customer[[#This Row],[Customer ID]],[1]!Address[ID],[1]!Address[Phone No.(2)])</f>
        <v/>
      </c>
      <c r="V1890" s="11" t="str">
        <f>_xlfn.XLOOKUP(Customer[[#This Row],[Customer ID]],[1]!Address[ID],[1]!Address[Type])</f>
        <v>SOCMED</v>
      </c>
      <c r="W1890" s="11" t="str">
        <f>_xlfn.XLOOKUP(Customer[[#This Row],[Customer ID]],[1]!Address[ID],[1]!Address[CT])</f>
        <v/>
      </c>
      <c r="X1890" s="11"/>
      <c r="Y1890" s="17" t="s">
        <v>90</v>
      </c>
      <c r="Z1890" s="17" t="e">
        <f>_xlfn.XLOOKUP(Customer[[#This Row],[NewType]],$AF$36:$AF$54,$AG$36:$AG$54)</f>
        <v>#N/A</v>
      </c>
      <c r="AA1890" s="17" t="s">
        <v>11836</v>
      </c>
      <c r="AB1890" s="11" t="str">
        <f>_xlfn.XLOOKUP(Customer[[#This Row],[Customer ID]],[1]!Address[ID],[1]!Address[Subtype])</f>
        <v>ONLINE ROS</v>
      </c>
      <c r="AC1890" s="18" t="str">
        <f>_xlfn.XLOOKUP(Customer[[#This Row],[Customer ID]],[1]!Address[ID],[1]!Address[Zone])</f>
        <v>EEEDH</v>
      </c>
    </row>
    <row r="1891" spans="1:30" x14ac:dyDescent="0.3">
      <c r="A1891" s="10" t="s">
        <v>11837</v>
      </c>
      <c r="B1891" s="11" t="str">
        <f>_xlfn.XLOOKUP(Customer[[#This Row],[Customer ID]],[1]!Name[ID],[1]!Name[Description(1)])</f>
        <v>JMZ SEMANTAN ENTERPRISE</v>
      </c>
      <c r="C1891" s="11" t="str">
        <f>_xlfn.XLOOKUP(Customer[[#This Row],[Customer ID]],[1]!Name[ID],[1]!Name[Description(2)])</f>
        <v>PS JENJARUM</v>
      </c>
      <c r="D1891" s="11" t="str">
        <f>_xlfn.XLOOKUP(Customer[[#This Row],[Customer ID]],[1]!Address[ID],[1]!Address[PIC])</f>
        <v/>
      </c>
      <c r="E1891" s="11" t="str">
        <f>_xlfn.XLOOKUP(Customer[[#This Row],[Customer ID]],[1]!Address[ID],[1]!Address[Full Address])</f>
        <v>PS JENJARUMPETRONAS JENJARUM, LOT 2465KAMPUNG SUNGAI RAMBAI42600 JENJARUM SELANGOR</v>
      </c>
      <c r="F1891" s="12" t="s">
        <v>11838</v>
      </c>
      <c r="G1891" s="12" t="s">
        <v>11839</v>
      </c>
      <c r="H1891" s="12" t="s">
        <v>11840</v>
      </c>
      <c r="I1891" s="12" t="b">
        <f>ISNUMBER(VALUE(LEFT(Customer[[#This Row],[Address Line 3 (30 char)]],1)))</f>
        <v>0</v>
      </c>
      <c r="J1891" s="12" t="s">
        <v>172</v>
      </c>
      <c r="K1891" s="12">
        <v>42600</v>
      </c>
      <c r="L1891" s="12" t="s">
        <v>35</v>
      </c>
      <c r="M1891" s="13">
        <v>201503194308</v>
      </c>
      <c r="N1891" s="14" t="s">
        <v>11841</v>
      </c>
      <c r="O1891" s="14" t="e">
        <v>#N/A</v>
      </c>
      <c r="P1891" s="14" t="e">
        <v>#N/A</v>
      </c>
      <c r="Q1891" s="19" t="s">
        <v>11842</v>
      </c>
      <c r="R1891" s="15" t="s">
        <v>11843</v>
      </c>
      <c r="S1891" s="15" t="s">
        <v>37</v>
      </c>
      <c r="T1891" s="16" t="s">
        <v>38</v>
      </c>
      <c r="U1891" s="11" t="str">
        <f>_xlfn.XLOOKUP(Customer[[#This Row],[Customer ID]],[1]!Address[ID],[1]!Address[Phone No.(2)])</f>
        <v/>
      </c>
      <c r="V1891" s="11" t="str">
        <f>_xlfn.XLOOKUP(Customer[[#This Row],[Customer ID]],[1]!Address[ID],[1]!Address[Type])</f>
        <v>PETROMART</v>
      </c>
      <c r="W1891" s="11" t="str">
        <f>_xlfn.XLOOKUP(Customer[[#This Row],[Customer ID]],[1]!Address[ID],[1]!Address[CT])</f>
        <v>30</v>
      </c>
      <c r="X1891" s="11" t="s">
        <v>39</v>
      </c>
      <c r="Y1891" s="17" t="s">
        <v>40</v>
      </c>
      <c r="Z1891" s="17" t="e">
        <f>_xlfn.XLOOKUP(Customer[[#This Row],[NewType]],$AF$36:$AF$54,$AG$36:$AG$54)</f>
        <v>#N/A</v>
      </c>
      <c r="AA1891" s="17" t="s">
        <v>11844</v>
      </c>
      <c r="AB1891" s="11" t="str">
        <f>_xlfn.XLOOKUP(Customer[[#This Row],[Customer ID]],[1]!Address[ID],[1]!Address[Subtype])</f>
        <v>PETRONAS</v>
      </c>
      <c r="AC1891" s="18" t="str">
        <f>_xlfn.XLOOKUP(Customer[[#This Row],[Customer ID]],[1]!Address[ID],[1]!Address[Zone])</f>
        <v>CENTRAL</v>
      </c>
    </row>
    <row r="1892" spans="1:30" x14ac:dyDescent="0.3">
      <c r="A1892" s="10" t="s">
        <v>11845</v>
      </c>
      <c r="B1892" s="11" t="str">
        <f>_xlfn.XLOOKUP(Customer[[#This Row],[Customer ID]],[1]!Name[ID],[1]!Name[Description(1)])</f>
        <v>RX WELLNESS PHARMACY SDN BHD</v>
      </c>
      <c r="C1892" s="11" t="str">
        <f>_xlfn.XLOOKUP(Customer[[#This Row],[Customer ID]],[1]!Name[ID],[1]!Name[Description(2)])</f>
        <v/>
      </c>
      <c r="D1892" s="11" t="str">
        <f>_xlfn.XLOOKUP(Customer[[#This Row],[Customer ID]],[1]!Address[ID],[1]!Address[PIC])</f>
        <v/>
      </c>
      <c r="E1892" s="11" t="str">
        <f>_xlfn.XLOOKUP(Customer[[#This Row],[Customer ID]],[1]!Address[ID],[1]!Address[Full Address])</f>
        <v>4945, JALAN MERBAU 1, BANDAR PUTRA81000 KULAI, JOHOR</v>
      </c>
      <c r="F1892" s="12" t="s">
        <v>11846</v>
      </c>
      <c r="G1892" s="12" t="s">
        <v>11847</v>
      </c>
      <c r="H1892" s="12" t="s">
        <v>740</v>
      </c>
      <c r="I1892" s="12" t="b">
        <f>ISNUMBER(VALUE(LEFT(Customer[[#This Row],[Address Line 3 (30 char)]],1)))</f>
        <v>0</v>
      </c>
      <c r="J1892" s="12" t="s">
        <v>52</v>
      </c>
      <c r="K1892" s="12">
        <v>81000</v>
      </c>
      <c r="L1892" s="12" t="s">
        <v>35</v>
      </c>
      <c r="M1892" s="13" t="e">
        <v>#N/A</v>
      </c>
      <c r="N1892" s="14" t="e">
        <v>#N/A</v>
      </c>
      <c r="O1892" s="14" t="e">
        <v>#N/A</v>
      </c>
      <c r="P1892" s="14" t="e">
        <v>#N/A</v>
      </c>
      <c r="Q1892" s="19" t="s">
        <v>11848</v>
      </c>
      <c r="R1892" s="15" t="s">
        <v>11849</v>
      </c>
      <c r="S1892" s="15" t="s">
        <v>88</v>
      </c>
      <c r="T1892" s="16" t="s">
        <v>89</v>
      </c>
      <c r="U1892" s="11" t="str">
        <f>_xlfn.XLOOKUP(Customer[[#This Row],[Customer ID]],[1]!Address[ID],[1]!Address[Phone No.(2)])</f>
        <v/>
      </c>
      <c r="V1892" s="11" t="str">
        <f>_xlfn.XLOOKUP(Customer[[#This Row],[Customer ID]],[1]!Address[ID],[1]!Address[Type])</f>
        <v>SOCMED</v>
      </c>
      <c r="W1892" s="11" t="str">
        <f>_xlfn.XLOOKUP(Customer[[#This Row],[Customer ID]],[1]!Address[ID],[1]!Address[CT])</f>
        <v/>
      </c>
      <c r="X1892" s="11"/>
      <c r="Y1892" s="17" t="s">
        <v>90</v>
      </c>
      <c r="Z1892" s="17" t="e">
        <f>_xlfn.XLOOKUP(Customer[[#This Row],[NewType]],$AF$36:$AF$54,$AG$36:$AG$54)</f>
        <v>#N/A</v>
      </c>
      <c r="AA1892" s="17" t="s">
        <v>11850</v>
      </c>
      <c r="AB1892" s="11" t="str">
        <f>_xlfn.XLOOKUP(Customer[[#This Row],[Customer ID]],[1]!Address[ID],[1]!Address[Subtype])</f>
        <v>ONLINE ROS</v>
      </c>
      <c r="AC1892" s="18" t="str">
        <f>_xlfn.XLOOKUP(Customer[[#This Row],[Customer ID]],[1]!Address[ID],[1]!Address[Zone])</f>
        <v>SOUTH</v>
      </c>
    </row>
    <row r="1893" spans="1:30" x14ac:dyDescent="0.3">
      <c r="A1893" s="10" t="s">
        <v>11851</v>
      </c>
      <c r="B1893" s="11" t="str">
        <f>_xlfn.XLOOKUP(Customer[[#This Row],[Customer ID]],[1]!Name[ID],[1]!Name[Description(1)])</f>
        <v>DATO ABDULLAH</v>
      </c>
      <c r="C1893" s="32" t="str">
        <f>_xlfn.XLOOKUP(Customer[[#This Row],[Customer ID]],[1]!Name[ID],[1]!Name[Description(2)])</f>
        <v/>
      </c>
      <c r="D1893" s="11" t="str">
        <f>_xlfn.XLOOKUP(Customer[[#This Row],[Customer ID]],[1]!Address[ID],[1]!Address[PIC])</f>
        <v/>
      </c>
      <c r="E1893" s="11" t="str">
        <f>_xlfn.XLOOKUP(Customer[[#This Row],[Customer ID]],[1]!Address[ID],[1]!Address[Full Address])</f>
        <v/>
      </c>
      <c r="F1893" s="12" t="s">
        <v>36</v>
      </c>
      <c r="G1893" s="12" t="s">
        <v>36</v>
      </c>
      <c r="H1893" s="12" t="s">
        <v>36</v>
      </c>
      <c r="I1893" s="12" t="b">
        <f>ISNUMBER(VALUE(LEFT(Customer[[#This Row],[Address Line 3 (30 char)]],1)))</f>
        <v>0</v>
      </c>
      <c r="J1893" s="32"/>
      <c r="K1893" s="32"/>
      <c r="L1893" s="12" t="s">
        <v>35</v>
      </c>
      <c r="M1893" s="13" t="e">
        <v>#N/A</v>
      </c>
      <c r="N1893" s="14" t="e">
        <v>#N/A</v>
      </c>
      <c r="O1893" s="14" t="e">
        <v>#N/A</v>
      </c>
      <c r="P1893" s="14" t="e">
        <v>#N/A</v>
      </c>
      <c r="Q1893" s="14" t="e">
        <v>#N/A</v>
      </c>
      <c r="R1893" s="15" t="s">
        <v>36</v>
      </c>
      <c r="S1893" s="15" t="s">
        <v>4271</v>
      </c>
      <c r="T1893" s="15" t="s">
        <v>89</v>
      </c>
      <c r="U1893" s="11" t="str">
        <f>_xlfn.XLOOKUP(Customer[[#This Row],[Customer ID]],[1]!Address[ID],[1]!Address[Phone No.(2)])</f>
        <v/>
      </c>
      <c r="V1893" s="11" t="str">
        <f>_xlfn.XLOOKUP(Customer[[#This Row],[Customer ID]],[1]!Address[ID],[1]!Address[Type])</f>
        <v>SOCMED</v>
      </c>
      <c r="W1893" s="11" t="str">
        <f>_xlfn.XLOOKUP(Customer[[#This Row],[Customer ID]],[1]!Address[ID],[1]!Address[CT])</f>
        <v/>
      </c>
      <c r="X1893" s="11"/>
      <c r="Y1893" s="17" t="s">
        <v>90</v>
      </c>
      <c r="Z1893" s="17" t="e">
        <f>_xlfn.XLOOKUP(Customer[[#This Row],[NewType]],$AF$36:$AF$54,$AG$36:$AG$54)</f>
        <v>#N/A</v>
      </c>
      <c r="AA1893" s="17" t="s">
        <v>11852</v>
      </c>
      <c r="AB1893" s="11" t="str">
        <f>_xlfn.XLOOKUP(Customer[[#This Row],[Customer ID]],[1]!Address[ID],[1]!Address[Subtype])</f>
        <v>WHATSAPP</v>
      </c>
      <c r="AC1893" s="18" t="str">
        <f>_xlfn.XLOOKUP(Customer[[#This Row],[Customer ID]],[1]!Address[ID],[1]!Address[Zone])</f>
        <v>AEEDH</v>
      </c>
    </row>
    <row r="1894" spans="1:30" x14ac:dyDescent="0.3">
      <c r="A1894" s="10" t="s">
        <v>11853</v>
      </c>
      <c r="B1894" s="11" t="str">
        <f>_xlfn.XLOOKUP(Customer[[#This Row],[Customer ID]],[1]!Name[ID],[1]!Name[Description(1)])</f>
        <v>AGROBANK REGIONAL OFFICE SELANGOR</v>
      </c>
      <c r="C1894" s="11" t="str">
        <f>_xlfn.XLOOKUP(Customer[[#This Row],[Customer ID]],[1]!Name[ID],[1]!Name[Description(2)])</f>
        <v/>
      </c>
      <c r="D1894" s="11" t="str">
        <f>_xlfn.XLOOKUP(Customer[[#This Row],[Customer ID]],[1]!Address[ID],[1]!Address[PIC])</f>
        <v/>
      </c>
      <c r="E1894" s="11" t="str">
        <f>_xlfn.XLOOKUP(Customer[[#This Row],[Customer ID]],[1]!Address[ID],[1]!Address[Full Address])</f>
        <v>LOT 3-TINGKAT 4,PUSAT DAGANGAN UMNO S. ALAM,PERSIARAN DAMAI,SEKSYEN 11,40000 SHAH ALAM,SELANGOR</v>
      </c>
      <c r="F1894" s="12" t="s">
        <v>11854</v>
      </c>
      <c r="G1894" s="12" t="s">
        <v>11855</v>
      </c>
      <c r="H1894" s="12" t="s">
        <v>11856</v>
      </c>
      <c r="I1894" s="12" t="b">
        <f>ISNUMBER(VALUE(LEFT(Customer[[#This Row],[Address Line 3 (30 char)]],1)))</f>
        <v>0</v>
      </c>
      <c r="J1894" s="12" t="s">
        <v>172</v>
      </c>
      <c r="K1894" s="12">
        <v>40000</v>
      </c>
      <c r="L1894" s="12" t="s">
        <v>35</v>
      </c>
      <c r="M1894" s="13" t="e">
        <v>#N/A</v>
      </c>
      <c r="N1894" s="14" t="e">
        <v>#N/A</v>
      </c>
      <c r="O1894" s="14" t="e">
        <v>#N/A</v>
      </c>
      <c r="P1894" s="14" t="e">
        <v>#N/A</v>
      </c>
      <c r="Q1894" s="19" t="s">
        <v>11857</v>
      </c>
      <c r="R1894" s="15" t="s">
        <v>11858</v>
      </c>
      <c r="S1894" s="15" t="s">
        <v>6418</v>
      </c>
      <c r="T1894" s="16" t="s">
        <v>3477</v>
      </c>
      <c r="U1894" s="11" t="str">
        <f>_xlfn.XLOOKUP(Customer[[#This Row],[Customer ID]],[1]!Address[ID],[1]!Address[Phone No.(2)])</f>
        <v/>
      </c>
      <c r="V1894" s="11" t="str">
        <f>_xlfn.XLOOKUP(Customer[[#This Row],[Customer ID]],[1]!Address[ID],[1]!Address[Type])</f>
        <v>CORPORATE</v>
      </c>
      <c r="W1894" s="11" t="str">
        <f>_xlfn.XLOOKUP(Customer[[#This Row],[Customer ID]],[1]!Address[ID],[1]!Address[CT])</f>
        <v>CASH</v>
      </c>
      <c r="X1894" s="11"/>
      <c r="Y1894" s="17" t="s">
        <v>6418</v>
      </c>
      <c r="Z1894" s="17" t="e">
        <f>_xlfn.XLOOKUP(Customer[[#This Row],[NewType]],$AF$36:$AF$54,$AG$36:$AG$54)</f>
        <v>#N/A</v>
      </c>
      <c r="AA1894" s="17" t="s">
        <v>11859</v>
      </c>
      <c r="AB1894" s="11" t="str">
        <f>_xlfn.XLOOKUP(Customer[[#This Row],[Customer ID]],[1]!Address[ID],[1]!Address[Subtype])</f>
        <v>AGROBANK</v>
      </c>
      <c r="AC1894" s="18" t="str">
        <f>_xlfn.XLOOKUP(Customer[[#This Row],[Customer ID]],[1]!Address[ID],[1]!Address[Zone])</f>
        <v>KOUTH</v>
      </c>
    </row>
    <row r="1895" spans="1:30" x14ac:dyDescent="0.3">
      <c r="A1895" s="48" t="s">
        <v>11860</v>
      </c>
      <c r="B1895" s="49" t="str">
        <f>_xlfn.XLOOKUP(Customer[[#This Row],[Customer ID]],[1]!Name[ID],[1]!Name[Description(1)])</f>
        <v>ANUAR MOHAMAD</v>
      </c>
      <c r="C1895" s="88" t="str">
        <f>_xlfn.XLOOKUP(Customer[[#This Row],[Customer ID]],[1]!Name[ID],[1]!Name[Description(2)])</f>
        <v/>
      </c>
      <c r="D1895" s="49" t="str">
        <f>_xlfn.XLOOKUP(Customer[[#This Row],[Customer ID]],[1]!Address[ID],[1]!Address[PIC])</f>
        <v/>
      </c>
      <c r="E1895" s="11" t="str">
        <f>_xlfn.XLOOKUP(Customer[[#This Row],[Customer ID]],[1]!Address[ID],[1]!Address[Full Address])</f>
        <v>NO.14, JALAN 4/8B, BANDAR BARU BANGI</v>
      </c>
      <c r="F1895" s="63" t="s">
        <v>11861</v>
      </c>
      <c r="G1895" s="63" t="s">
        <v>11862</v>
      </c>
      <c r="H1895" s="63" t="s">
        <v>4431</v>
      </c>
      <c r="I1895" s="63" t="b">
        <f>ISNUMBER(VALUE(LEFT(Customer[[#This Row],[Address Line 3 (30 char)]],1)))</f>
        <v>0</v>
      </c>
      <c r="J1895" s="98" t="s">
        <v>172</v>
      </c>
      <c r="K1895" s="98"/>
      <c r="L1895" s="63" t="s">
        <v>35</v>
      </c>
      <c r="M1895" s="65" t="e">
        <v>#N/A</v>
      </c>
      <c r="N1895" s="66" t="e">
        <v>#N/A</v>
      </c>
      <c r="O1895" s="66" t="e">
        <v>#N/A</v>
      </c>
      <c r="P1895" s="66" t="e">
        <v>#N/A</v>
      </c>
      <c r="Q1895" s="66" t="e">
        <v>#N/A</v>
      </c>
      <c r="R1895" s="51" t="s">
        <v>11863</v>
      </c>
      <c r="S1895" s="15" t="s">
        <v>4271</v>
      </c>
      <c r="T1895" s="52" t="s">
        <v>89</v>
      </c>
      <c r="U1895" s="49" t="str">
        <f>_xlfn.XLOOKUP(Customer[[#This Row],[Customer ID]],[1]!Address[ID],[1]!Address[Phone No.(2)])</f>
        <v/>
      </c>
      <c r="V1895" s="49" t="str">
        <f>_xlfn.XLOOKUP(Customer[[#This Row],[Customer ID]],[1]!Address[ID],[1]!Address[Type])</f>
        <v>SOCMED</v>
      </c>
      <c r="W1895" s="49" t="str">
        <f>_xlfn.XLOOKUP(Customer[[#This Row],[Customer ID]],[1]!Address[ID],[1]!Address[CT])</f>
        <v/>
      </c>
      <c r="X1895" s="49"/>
      <c r="Y1895" s="53" t="s">
        <v>90</v>
      </c>
      <c r="Z1895" s="53" t="e">
        <f>_xlfn.XLOOKUP(Customer[[#This Row],[NewType]],$AF$36:$AF$54,$AG$36:$AG$54)</f>
        <v>#N/A</v>
      </c>
      <c r="AA1895" s="53" t="s">
        <v>11864</v>
      </c>
      <c r="AB1895" s="49" t="str">
        <f>_xlfn.XLOOKUP(Customer[[#This Row],[Customer ID]],[1]!Address[ID],[1]!Address[Subtype])</f>
        <v>WHATSAPP</v>
      </c>
      <c r="AC1895" s="54" t="str">
        <f>_xlfn.XLOOKUP(Customer[[#This Row],[Customer ID]],[1]!Address[ID],[1]!Address[Zone])</f>
        <v>CENTRAL</v>
      </c>
      <c r="AD1895" s="55"/>
    </row>
    <row r="1896" spans="1:30" x14ac:dyDescent="0.3">
      <c r="A1896" s="10" t="s">
        <v>11865</v>
      </c>
      <c r="B1896" s="11" t="str">
        <f>_xlfn.XLOOKUP(Customer[[#This Row],[Customer ID]],[1]!Name[ID],[1]!Name[Description(1)])</f>
        <v>YAP KAT BOON ENTERPRISE</v>
      </c>
      <c r="C1896" s="11" t="str">
        <f>_xlfn.XLOOKUP(Customer[[#This Row],[Customer ID]],[1]!Name[ID],[1]!Name[Description(2)])</f>
        <v>YAP KAT BOON ENTERPRISE</v>
      </c>
      <c r="D1896" s="11" t="str">
        <f>_xlfn.XLOOKUP(Customer[[#This Row],[Customer ID]],[1]!Address[ID],[1]!Address[PIC])</f>
        <v/>
      </c>
      <c r="E1896" s="11" t="str">
        <f>_xlfn.XLOOKUP(Customer[[#This Row],[Customer ID]],[1]!Address[ID],[1]!Address[Full Address])</f>
        <v>PS BANDAR AINSDALEHSD 230999 PT 36340, MukimLabu, Daerah Seremban, NegeriSembilan</v>
      </c>
      <c r="F1896" s="12" t="s">
        <v>11866</v>
      </c>
      <c r="G1896" s="12" t="s">
        <v>11867</v>
      </c>
      <c r="H1896" s="12" t="s">
        <v>11868</v>
      </c>
      <c r="I1896" s="12" t="b">
        <f>ISNUMBER(VALUE(LEFT(Customer[[#This Row],[Address Line 3 (30 char)]],1)))</f>
        <v>0</v>
      </c>
      <c r="J1896" s="12" t="s">
        <v>203</v>
      </c>
      <c r="K1896" s="12">
        <v>36340</v>
      </c>
      <c r="L1896" s="12" t="s">
        <v>35</v>
      </c>
      <c r="M1896" s="13" t="e">
        <v>#N/A</v>
      </c>
      <c r="N1896" s="14" t="e">
        <v>#N/A</v>
      </c>
      <c r="O1896" s="14" t="e">
        <v>#N/A</v>
      </c>
      <c r="P1896" s="14" t="e">
        <v>#N/A</v>
      </c>
      <c r="Q1896" s="19" t="s">
        <v>11869</v>
      </c>
      <c r="R1896" s="15" t="s">
        <v>11870</v>
      </c>
      <c r="S1896" s="15" t="s">
        <v>37</v>
      </c>
      <c r="T1896" s="16"/>
      <c r="U1896" s="11"/>
      <c r="V1896" s="11" t="str">
        <f>_xlfn.XLOOKUP(Customer[[#This Row],[Customer ID]],[1]!Address[ID],[1]!Address[Type])</f>
        <v>PETROMART</v>
      </c>
      <c r="W1896" s="11" t="str">
        <f>_xlfn.XLOOKUP(Customer[[#This Row],[Customer ID]],[1]!Address[ID],[1]!Address[CT])</f>
        <v>30</v>
      </c>
      <c r="X1896" s="11" t="s">
        <v>39</v>
      </c>
      <c r="Y1896" s="17" t="s">
        <v>40</v>
      </c>
      <c r="Z1896" s="17" t="e">
        <f>_xlfn.XLOOKUP(Customer[[#This Row],[NewType]],$AF$36:$AF$54,$AG$36:$AG$54)</f>
        <v>#N/A</v>
      </c>
      <c r="AA1896" s="17" t="s">
        <v>11871</v>
      </c>
      <c r="AB1896" s="11" t="str">
        <f>_xlfn.XLOOKUP(Customer[[#This Row],[Customer ID]],[1]!Address[ID],[1]!Address[Subtype])</f>
        <v>PETRONAS</v>
      </c>
      <c r="AC1896" s="18" t="str">
        <f>_xlfn.XLOOKUP(Customer[[#This Row],[Customer ID]],[1]!Address[ID],[1]!Address[Zone])</f>
        <v>CENTRAL</v>
      </c>
    </row>
    <row r="1897" spans="1:30" x14ac:dyDescent="0.3">
      <c r="A1897" s="10" t="s">
        <v>11872</v>
      </c>
      <c r="B1897" s="11" t="str">
        <f>_xlfn.XLOOKUP(Customer[[#This Row],[Customer ID]],[1]!Name[ID],[1]!Name[Description(1)])</f>
        <v>PUAN AYU</v>
      </c>
      <c r="C1897" s="11" t="str">
        <f>_xlfn.XLOOKUP(Customer[[#This Row],[Customer ID]],[1]!Name[ID],[1]!Name[Description(2)])</f>
        <v/>
      </c>
      <c r="D1897" s="11" t="str">
        <f>_xlfn.XLOOKUP(Customer[[#This Row],[Customer ID]],[1]!Address[ID],[1]!Address[PIC])</f>
        <v/>
      </c>
      <c r="E1897" s="11" t="str">
        <f>_xlfn.XLOOKUP(Customer[[#This Row],[Customer ID]],[1]!Address[ID],[1]!Address[Full Address])</f>
        <v>NO 16, JALAN SUTERA 3/2,TAMAN SUTERA FASA 3, 43000 KAJANGSELANGOR</v>
      </c>
      <c r="F1897" s="12" t="s">
        <v>11873</v>
      </c>
      <c r="G1897" s="12" t="s">
        <v>11874</v>
      </c>
      <c r="H1897" s="12" t="s">
        <v>6089</v>
      </c>
      <c r="I1897" s="12" t="b">
        <f>ISNUMBER(VALUE(LEFT(Customer[[#This Row],[Address Line 3 (30 char)]],1)))</f>
        <v>0</v>
      </c>
      <c r="J1897" s="12" t="s">
        <v>172</v>
      </c>
      <c r="K1897" s="12">
        <v>43000</v>
      </c>
      <c r="L1897" s="12" t="s">
        <v>35</v>
      </c>
      <c r="M1897" s="13" t="e">
        <v>#N/A</v>
      </c>
      <c r="N1897" s="14" t="e">
        <v>#N/A</v>
      </c>
      <c r="O1897" s="14" t="e">
        <v>#N/A</v>
      </c>
      <c r="P1897" s="14" t="e">
        <v>#N/A</v>
      </c>
      <c r="Q1897" s="14" t="e">
        <v>#N/A</v>
      </c>
      <c r="R1897" s="15" t="s">
        <v>11875</v>
      </c>
      <c r="S1897" s="15" t="s">
        <v>88</v>
      </c>
      <c r="T1897" s="16" t="s">
        <v>89</v>
      </c>
      <c r="U1897" s="11" t="str">
        <f>_xlfn.XLOOKUP(Customer[[#This Row],[Customer ID]],[1]!Address[ID],[1]!Address[Phone No.(2)])</f>
        <v/>
      </c>
      <c r="V1897" s="11" t="str">
        <f>_xlfn.XLOOKUP(Customer[[#This Row],[Customer ID]],[1]!Address[ID],[1]!Address[Type])</f>
        <v>SOCMED</v>
      </c>
      <c r="W1897" s="11" t="str">
        <f>_xlfn.XLOOKUP(Customer[[#This Row],[Customer ID]],[1]!Address[ID],[1]!Address[CT])</f>
        <v/>
      </c>
      <c r="X1897" s="11"/>
      <c r="Y1897" s="17" t="s">
        <v>90</v>
      </c>
      <c r="Z1897" s="17" t="e">
        <f>_xlfn.XLOOKUP(Customer[[#This Row],[NewType]],$AF$36:$AF$54,$AG$36:$AG$54)</f>
        <v>#N/A</v>
      </c>
      <c r="AA1897" s="17" t="s">
        <v>11876</v>
      </c>
      <c r="AB1897" s="11" t="str">
        <f>_xlfn.XLOOKUP(Customer[[#This Row],[Customer ID]],[1]!Address[ID],[1]!Address[Subtype])</f>
        <v>ONLINE ROS</v>
      </c>
      <c r="AC1897" s="18" t="str">
        <f>_xlfn.XLOOKUP(Customer[[#This Row],[Customer ID]],[1]!Address[ID],[1]!Address[Zone])</f>
        <v>CENTRAL</v>
      </c>
    </row>
    <row r="1898" spans="1:30" x14ac:dyDescent="0.3">
      <c r="A1898" s="10" t="s">
        <v>11877</v>
      </c>
      <c r="B1898" s="11" t="str">
        <f>_xlfn.XLOOKUP(Customer[[#This Row],[Customer ID]],[1]!Name[ID],[1]!Name[Description(1)])</f>
        <v>AMIRA ATIKAH BINTI ABU SAMAH</v>
      </c>
      <c r="C1898" s="11" t="str">
        <f>_xlfn.XLOOKUP(Customer[[#This Row],[Customer ID]],[1]!Name[ID],[1]!Name[Description(2)])</f>
        <v/>
      </c>
      <c r="D1898" s="11" t="str">
        <f>_xlfn.XLOOKUP(Customer[[#This Row],[Customer ID]],[1]!Address[ID],[1]!Address[PIC])</f>
        <v/>
      </c>
      <c r="E1898" s="11" t="str">
        <f>_xlfn.XLOOKUP(Customer[[#This Row],[Customer ID]],[1]!Address[ID],[1]!Address[Full Address])</f>
        <v>TINGKAT 13, MENARA PERKESO, 281, JALANAMPANG, 50538 KUALA LUMPUR</v>
      </c>
      <c r="F1898" s="12" t="s">
        <v>11878</v>
      </c>
      <c r="G1898" s="12" t="s">
        <v>11879</v>
      </c>
      <c r="H1898" s="12" t="s">
        <v>11880</v>
      </c>
      <c r="I1898" s="12" t="b">
        <f>ISNUMBER(VALUE(LEFT(Customer[[#This Row],[Address Line 3 (30 char)]],1)))</f>
        <v>0</v>
      </c>
      <c r="J1898" s="12" t="s">
        <v>34</v>
      </c>
      <c r="K1898" s="12">
        <v>50538</v>
      </c>
      <c r="L1898" s="12" t="s">
        <v>35</v>
      </c>
      <c r="M1898" s="13" t="e">
        <v>#N/A</v>
      </c>
      <c r="N1898" s="14" t="e">
        <v>#N/A</v>
      </c>
      <c r="O1898" s="14" t="e">
        <v>#N/A</v>
      </c>
      <c r="P1898" s="14" t="e">
        <v>#N/A</v>
      </c>
      <c r="Q1898" s="14" t="e">
        <v>#N/A</v>
      </c>
      <c r="R1898" s="15" t="s">
        <v>11881</v>
      </c>
      <c r="S1898" s="15" t="s">
        <v>88</v>
      </c>
      <c r="T1898" s="16" t="s">
        <v>89</v>
      </c>
      <c r="U1898" s="11" t="str">
        <f>_xlfn.XLOOKUP(Customer[[#This Row],[Customer ID]],[1]!Address[ID],[1]!Address[Phone No.(2)])</f>
        <v/>
      </c>
      <c r="V1898" s="11" t="str">
        <f>_xlfn.XLOOKUP(Customer[[#This Row],[Customer ID]],[1]!Address[ID],[1]!Address[Type])</f>
        <v>SOCMED</v>
      </c>
      <c r="W1898" s="11" t="str">
        <f>_xlfn.XLOOKUP(Customer[[#This Row],[Customer ID]],[1]!Address[ID],[1]!Address[CT])</f>
        <v/>
      </c>
      <c r="X1898" s="11"/>
      <c r="Y1898" s="17" t="s">
        <v>90</v>
      </c>
      <c r="Z1898" s="17" t="e">
        <f>_xlfn.XLOOKUP(Customer[[#This Row],[NewType]],$AF$36:$AF$54,$AG$36:$AG$54)</f>
        <v>#N/A</v>
      </c>
      <c r="AA1898" s="17" t="s">
        <v>11882</v>
      </c>
      <c r="AB1898" s="11" t="str">
        <f>_xlfn.XLOOKUP(Customer[[#This Row],[Customer ID]],[1]!Address[ID],[1]!Address[Subtype])</f>
        <v>ONLINE ROS</v>
      </c>
      <c r="AC1898" s="18" t="str">
        <f>_xlfn.XLOOKUP(Customer[[#This Row],[Customer ID]],[1]!Address[ID],[1]!Address[Zone])</f>
        <v>CENTRAL</v>
      </c>
    </row>
    <row r="1899" spans="1:30" x14ac:dyDescent="0.3">
      <c r="A1899" s="10" t="s">
        <v>11883</v>
      </c>
      <c r="B1899" s="11" t="str">
        <f>_xlfn.XLOOKUP(Customer[[#This Row],[Customer ID]],[1]!Name[ID],[1]!Name[Description(1)])</f>
        <v>MOHAMAD BIN JAAFAR (MB)</v>
      </c>
      <c r="C1899" s="11" t="str">
        <f>_xlfn.XLOOKUP(Customer[[#This Row],[Customer ID]],[1]!Name[ID],[1]!Name[Description(2)])</f>
        <v/>
      </c>
      <c r="D1899" s="11" t="str">
        <f>_xlfn.XLOOKUP(Customer[[#This Row],[Customer ID]],[1]!Address[ID],[1]!Address[PIC])</f>
        <v>MOHAMAD</v>
      </c>
      <c r="E1899" s="11" t="str">
        <f>_xlfn.XLOOKUP(Customer[[#This Row],[Customer ID]],[1]!Address[ID],[1]!Address[Full Address])</f>
        <v>NO 2, JALAN 1/3S VILLA SUTERA,SEKSYEN 1, 43650 BANDAR BARU BANGI,SELANGOR</v>
      </c>
      <c r="F1899" s="12" t="s">
        <v>11884</v>
      </c>
      <c r="G1899" s="12" t="s">
        <v>11885</v>
      </c>
      <c r="H1899" s="12" t="s">
        <v>4431</v>
      </c>
      <c r="I1899" s="12" t="b">
        <f>ISNUMBER(VALUE(LEFT(Customer[[#This Row],[Address Line 3 (30 char)]],1)))</f>
        <v>0</v>
      </c>
      <c r="J1899" s="12" t="s">
        <v>172</v>
      </c>
      <c r="K1899" s="12">
        <v>43650</v>
      </c>
      <c r="L1899" s="12" t="s">
        <v>35</v>
      </c>
      <c r="M1899" s="13" t="e">
        <v>#N/A</v>
      </c>
      <c r="N1899" s="14" t="s">
        <v>11886</v>
      </c>
      <c r="O1899" s="14" t="e">
        <v>#N/A</v>
      </c>
      <c r="P1899" s="14" t="e">
        <v>#N/A</v>
      </c>
      <c r="Q1899" s="14" t="e">
        <v>#N/A</v>
      </c>
      <c r="R1899" s="15" t="s">
        <v>11887</v>
      </c>
      <c r="S1899" s="15" t="s">
        <v>4271</v>
      </c>
      <c r="T1899" s="15" t="s">
        <v>89</v>
      </c>
      <c r="U1899" s="11" t="str">
        <f>_xlfn.XLOOKUP(Customer[[#This Row],[Customer ID]],[1]!Address[ID],[1]!Address[Phone No.(2)])</f>
        <v/>
      </c>
      <c r="V1899" s="11" t="str">
        <f>_xlfn.XLOOKUP(Customer[[#This Row],[Customer ID]],[1]!Address[ID],[1]!Address[Type])</f>
        <v>SOCMED</v>
      </c>
      <c r="W1899" s="11" t="str">
        <f>_xlfn.XLOOKUP(Customer[[#This Row],[Customer ID]],[1]!Address[ID],[1]!Address[CT])</f>
        <v/>
      </c>
      <c r="X1899" s="11"/>
      <c r="Y1899" s="17" t="s">
        <v>90</v>
      </c>
      <c r="Z1899" s="17" t="e">
        <f>_xlfn.XLOOKUP(Customer[[#This Row],[NewType]],$AF$36:$AF$54,$AG$36:$AG$54)</f>
        <v>#N/A</v>
      </c>
      <c r="AA1899" s="17" t="s">
        <v>11888</v>
      </c>
      <c r="AB1899" s="11" t="str">
        <f>_xlfn.XLOOKUP(Customer[[#This Row],[Customer ID]],[1]!Address[ID],[1]!Address[Subtype])</f>
        <v>WHATSAPP</v>
      </c>
      <c r="AC1899" s="18" t="str">
        <f>_xlfn.XLOOKUP(Customer[[#This Row],[Customer ID]],[1]!Address[ID],[1]!Address[Zone])</f>
        <v>POUTH</v>
      </c>
    </row>
    <row r="1900" spans="1:30" x14ac:dyDescent="0.3">
      <c r="A1900" s="10" t="s">
        <v>11889</v>
      </c>
      <c r="B1900" s="11" t="str">
        <f>_xlfn.XLOOKUP(Customer[[#This Row],[Customer ID]],[1]!Name[ID],[1]!Name[Description(1)])</f>
        <v>PRIMA MILLENNIUM STATION</v>
      </c>
      <c r="C1900" s="11" t="str">
        <f>_xlfn.XLOOKUP(Customer[[#This Row],[Customer ID]],[1]!Name[ID],[1]!Name[Description(2)])</f>
        <v>PS TAMAN UDA MURNI</v>
      </c>
      <c r="D1900" s="11" t="str">
        <f>_xlfn.XLOOKUP(Customer[[#This Row],[Customer ID]],[1]!Address[ID],[1]!Address[PIC])</f>
        <v/>
      </c>
      <c r="E1900" s="11" t="str">
        <f>_xlfn.XLOOKUP(Customer[[#This Row],[Customer ID]],[1]!Address[ID],[1]!Address[Full Address])</f>
        <v>PS TAMAN UDA MURNILOT 745 MUKIM BETING JALAN PENGKALANCHEPA 16100 KOTA BHARU KELANTAN</v>
      </c>
      <c r="F1900" s="12" t="s">
        <v>11890</v>
      </c>
      <c r="G1900" s="12" t="s">
        <v>11891</v>
      </c>
      <c r="H1900" s="12" t="s">
        <v>11892</v>
      </c>
      <c r="I1900" s="12" t="b">
        <f>ISNUMBER(VALUE(LEFT(Customer[[#This Row],[Address Line 3 (30 char)]],1)))</f>
        <v>0</v>
      </c>
      <c r="J1900" s="12" t="s">
        <v>1007</v>
      </c>
      <c r="K1900" s="12">
        <v>16100</v>
      </c>
      <c r="L1900" s="12" t="s">
        <v>35</v>
      </c>
      <c r="M1900" s="13" t="e">
        <v>#N/A</v>
      </c>
      <c r="N1900" s="14" t="e">
        <v>#N/A</v>
      </c>
      <c r="O1900" s="14" t="e">
        <v>#N/A</v>
      </c>
      <c r="P1900" s="14" t="e">
        <v>#N/A</v>
      </c>
      <c r="Q1900" s="19" t="s">
        <v>11893</v>
      </c>
      <c r="R1900" s="15" t="s">
        <v>11894</v>
      </c>
      <c r="S1900" s="15" t="s">
        <v>37</v>
      </c>
      <c r="T1900" s="16" t="s">
        <v>38</v>
      </c>
      <c r="U1900" s="11" t="str">
        <f>_xlfn.XLOOKUP(Customer[[#This Row],[Customer ID]],[1]!Address[ID],[1]!Address[Phone No.(2)])</f>
        <v/>
      </c>
      <c r="V1900" s="11" t="str">
        <f>_xlfn.XLOOKUP(Customer[[#This Row],[Customer ID]],[1]!Address[ID],[1]!Address[Type])</f>
        <v>PETROMART</v>
      </c>
      <c r="W1900" s="11" t="str">
        <f>_xlfn.XLOOKUP(Customer[[#This Row],[Customer ID]],[1]!Address[ID],[1]!Address[CT])</f>
        <v>30</v>
      </c>
      <c r="X1900" s="11" t="s">
        <v>39</v>
      </c>
      <c r="Y1900" s="17" t="s">
        <v>40</v>
      </c>
      <c r="Z1900" s="17" t="e">
        <f>_xlfn.XLOOKUP(Customer[[#This Row],[NewType]],$AF$36:$AF$54,$AG$36:$AG$54)</f>
        <v>#N/A</v>
      </c>
      <c r="AA1900" s="17" t="s">
        <v>11895</v>
      </c>
      <c r="AB1900" s="11" t="str">
        <f>_xlfn.XLOOKUP(Customer[[#This Row],[Customer ID]],[1]!Address[ID],[1]!Address[Subtype])</f>
        <v>PETRONAS</v>
      </c>
      <c r="AC1900" s="18" t="str">
        <f>_xlfn.XLOOKUP(Customer[[#This Row],[Customer ID]],[1]!Address[ID],[1]!Address[Zone])</f>
        <v>EAST COAST</v>
      </c>
    </row>
    <row r="1901" spans="1:30" x14ac:dyDescent="0.3">
      <c r="A1901" s="10" t="s">
        <v>11896</v>
      </c>
      <c r="B1901" s="11" t="str">
        <f>_xlfn.XLOOKUP(Customer[[#This Row],[Customer ID]],[1]!Name[ID],[1]!Name[Description(1)])</f>
        <v>DIH USAHA JAYA</v>
      </c>
      <c r="C1901" s="11" t="str">
        <f>_xlfn.XLOOKUP(Customer[[#This Row],[Customer ID]],[1]!Name[ID],[1]!Name[Description(2)])</f>
        <v>PS BUKIT PASIR</v>
      </c>
      <c r="D1901" s="11" t="str">
        <f>_xlfn.XLOOKUP(Customer[[#This Row],[Customer ID]],[1]!Address[ID],[1]!Address[PIC])</f>
        <v/>
      </c>
      <c r="E1901" s="11" t="str">
        <f>_xlfn.XLOOKUP(Customer[[#This Row],[Customer ID]],[1]!Address[ID],[1]!Address[Full Address])</f>
        <v>PS BUKIT PASIRLOT PTD 770&amp;700, MUKIM SUNGAI RAYABUKIT PASIR  34300 MUAR JOHOR</v>
      </c>
      <c r="F1901" s="12" t="s">
        <v>11897</v>
      </c>
      <c r="G1901" s="12" t="s">
        <v>11898</v>
      </c>
      <c r="H1901" s="12" t="s">
        <v>11899</v>
      </c>
      <c r="I1901" s="12" t="b">
        <f>ISNUMBER(VALUE(LEFT(Customer[[#This Row],[Address Line 3 (30 char)]],1)))</f>
        <v>0</v>
      </c>
      <c r="J1901" s="12" t="s">
        <v>52</v>
      </c>
      <c r="K1901" s="12">
        <v>34300</v>
      </c>
      <c r="L1901" s="12" t="s">
        <v>35</v>
      </c>
      <c r="M1901" s="13" t="e">
        <v>#N/A</v>
      </c>
      <c r="N1901" s="14" t="e">
        <v>#N/A</v>
      </c>
      <c r="O1901" s="14" t="e">
        <v>#N/A</v>
      </c>
      <c r="P1901" s="14" t="e">
        <v>#N/A</v>
      </c>
      <c r="Q1901" s="19" t="s">
        <v>11900</v>
      </c>
      <c r="R1901" s="15" t="s">
        <v>11901</v>
      </c>
      <c r="S1901" s="15" t="s">
        <v>37</v>
      </c>
      <c r="T1901" s="16" t="s">
        <v>38</v>
      </c>
      <c r="U1901" s="11" t="str">
        <f>_xlfn.XLOOKUP(Customer[[#This Row],[Customer ID]],[1]!Address[ID],[1]!Address[Phone No.(2)])</f>
        <v/>
      </c>
      <c r="V1901" s="11" t="str">
        <f>_xlfn.XLOOKUP(Customer[[#This Row],[Customer ID]],[1]!Address[ID],[1]!Address[Type])</f>
        <v>PETROMART</v>
      </c>
      <c r="W1901" s="11" t="str">
        <f>_xlfn.XLOOKUP(Customer[[#This Row],[Customer ID]],[1]!Address[ID],[1]!Address[CT])</f>
        <v>30</v>
      </c>
      <c r="X1901" s="11" t="s">
        <v>39</v>
      </c>
      <c r="Y1901" s="17" t="s">
        <v>40</v>
      </c>
      <c r="Z1901" s="17" t="e">
        <f>_xlfn.XLOOKUP(Customer[[#This Row],[NewType]],$AF$36:$AF$54,$AG$36:$AG$54)</f>
        <v>#N/A</v>
      </c>
      <c r="AA1901" s="17" t="s">
        <v>11902</v>
      </c>
      <c r="AB1901" s="11" t="str">
        <f>_xlfn.XLOOKUP(Customer[[#This Row],[Customer ID]],[1]!Address[ID],[1]!Address[Subtype])</f>
        <v>PETRONAS</v>
      </c>
      <c r="AC1901" s="18" t="str">
        <f>_xlfn.XLOOKUP(Customer[[#This Row],[Customer ID]],[1]!Address[ID],[1]!Address[Zone])</f>
        <v>SOUTH</v>
      </c>
    </row>
    <row r="1902" spans="1:30" x14ac:dyDescent="0.3">
      <c r="A1902" s="10" t="s">
        <v>11903</v>
      </c>
      <c r="B1902" s="11" t="str">
        <f>_xlfn.XLOOKUP(Customer[[#This Row],[Customer ID]],[1]!Name[ID],[1]!Name[Description(1)])</f>
        <v>STAR GROCER SDN BHD-GAMUDA GARDEN</v>
      </c>
      <c r="C1902" s="11" t="str">
        <f>_xlfn.XLOOKUP(Customer[[#This Row],[Customer ID]],[1]!Name[ID],[1]!Name[Description(2)])</f>
        <v/>
      </c>
      <c r="D1902" s="11" t="str">
        <f>_xlfn.XLOOKUP(Customer[[#This Row],[Customer ID]],[1]!Address[ID],[1]!Address[PIC])</f>
        <v/>
      </c>
      <c r="E1902" s="11" t="str">
        <f>_xlfn.XLOOKUP(Customer[[#This Row],[Customer ID]],[1]!Address[ID],[1]!Address[Full Address])</f>
        <v>A-GF-01 TO A-GF-10,GARDEN SQUARE,BANDAR GAMUDA GARDENS</v>
      </c>
      <c r="F1902" s="12" t="s">
        <v>11904</v>
      </c>
      <c r="G1902" s="12" t="s">
        <v>11905</v>
      </c>
      <c r="H1902" s="12" t="s">
        <v>11906</v>
      </c>
      <c r="I1902" s="12" t="b">
        <f>ISNUMBER(VALUE(LEFT(Customer[[#This Row],[Address Line 3 (30 char)]],1)))</f>
        <v>0</v>
      </c>
      <c r="J1902" s="12" t="s">
        <v>172</v>
      </c>
      <c r="K1902" s="12">
        <v>48050</v>
      </c>
      <c r="L1902" s="12" t="s">
        <v>35</v>
      </c>
      <c r="M1902" s="13" t="e">
        <v>#N/A</v>
      </c>
      <c r="N1902" s="14" t="e">
        <v>#N/A</v>
      </c>
      <c r="O1902" s="14" t="e">
        <v>#N/A</v>
      </c>
      <c r="P1902" s="14" t="e">
        <v>#N/A</v>
      </c>
      <c r="Q1902" s="19" t="s">
        <v>10583</v>
      </c>
      <c r="R1902" s="15" t="s">
        <v>10584</v>
      </c>
      <c r="S1902" s="15" t="s">
        <v>5925</v>
      </c>
      <c r="T1902" s="16" t="s">
        <v>3477</v>
      </c>
      <c r="U1902" s="11" t="str">
        <f>_xlfn.XLOOKUP(Customer[[#This Row],[Customer ID]],[1]!Address[ID],[1]!Address[Phone No.(2)])</f>
        <v/>
      </c>
      <c r="V1902" s="11" t="str">
        <f>_xlfn.XLOOKUP(Customer[[#This Row],[Customer ID]],[1]!Address[ID],[1]!Address[Type])</f>
        <v>HM</v>
      </c>
      <c r="W1902" s="11" t="str">
        <f>_xlfn.XLOOKUP(Customer[[#This Row],[Customer ID]],[1]!Address[ID],[1]!Address[CT])</f>
        <v>45 DAYS</v>
      </c>
      <c r="X1902" s="11"/>
      <c r="Y1902" s="17" t="s">
        <v>5968</v>
      </c>
      <c r="Z1902" s="17" t="e">
        <f>_xlfn.XLOOKUP(Customer[[#This Row],[NewType]],$AF$36:$AF$54,$AG$36:$AG$54)</f>
        <v>#N/A</v>
      </c>
      <c r="AA1902" s="17" t="s">
        <v>11907</v>
      </c>
      <c r="AB1902" s="11" t="str">
        <f>_xlfn.XLOOKUP(Customer[[#This Row],[Customer ID]],[1]!Address[ID],[1]!Address[Subtype])</f>
        <v>STAR GROCER</v>
      </c>
      <c r="AC1902" s="18" t="str">
        <f>_xlfn.XLOOKUP(Customer[[#This Row],[Customer ID]],[1]!Address[ID],[1]!Address[Zone])</f>
        <v>CENTRAL</v>
      </c>
    </row>
    <row r="1903" spans="1:30" x14ac:dyDescent="0.3">
      <c r="A1903" s="10" t="s">
        <v>11908</v>
      </c>
      <c r="B1903" s="11" t="str">
        <f>_xlfn.XLOOKUP(Customer[[#This Row],[Customer ID]],[1]!Name[ID],[1]!Name[Description(1)])</f>
        <v>FARMASI AZARA</v>
      </c>
      <c r="C1903" s="11" t="str">
        <f>_xlfn.XLOOKUP(Customer[[#This Row],[Customer ID]],[1]!Name[ID],[1]!Name[Description(2)])</f>
        <v/>
      </c>
      <c r="D1903" s="11" t="str">
        <f>_xlfn.XLOOKUP(Customer[[#This Row],[Customer ID]],[1]!Address[ID],[1]!Address[PIC])</f>
        <v/>
      </c>
      <c r="E1903" s="11" t="str">
        <f>_xlfn.XLOOKUP(Customer[[#This Row],[Customer ID]],[1]!Address[ID],[1]!Address[Full Address])</f>
        <v>NO. 222, LOT 152, LORONG BAHAGIA 1,JALAN BESAR 45500 TANJUNG KARANG,SELANGOR</v>
      </c>
      <c r="F1903" s="12" t="s">
        <v>11909</v>
      </c>
      <c r="G1903" s="12" t="s">
        <v>11910</v>
      </c>
      <c r="H1903" s="12" t="s">
        <v>11911</v>
      </c>
      <c r="I1903" s="12" t="b">
        <f>ISNUMBER(VALUE(LEFT(Customer[[#This Row],[Address Line 3 (30 char)]],1)))</f>
        <v>0</v>
      </c>
      <c r="J1903" s="12" t="s">
        <v>172</v>
      </c>
      <c r="K1903" s="12">
        <v>45500</v>
      </c>
      <c r="L1903" s="12" t="s">
        <v>35</v>
      </c>
      <c r="M1903" s="13" t="e">
        <v>#N/A</v>
      </c>
      <c r="N1903" s="14" t="e">
        <v>#N/A</v>
      </c>
      <c r="O1903" s="14" t="e">
        <v>#N/A</v>
      </c>
      <c r="P1903" s="14" t="e">
        <v>#N/A</v>
      </c>
      <c r="Q1903" s="14" t="e">
        <v>#N/A</v>
      </c>
      <c r="R1903" s="15" t="s">
        <v>11912</v>
      </c>
      <c r="S1903" s="15" t="s">
        <v>88</v>
      </c>
      <c r="T1903" s="16" t="s">
        <v>89</v>
      </c>
      <c r="U1903" s="11" t="str">
        <f>_xlfn.XLOOKUP(Customer[[#This Row],[Customer ID]],[1]!Address[ID],[1]!Address[Phone No.(2)])</f>
        <v/>
      </c>
      <c r="V1903" s="11" t="str">
        <f>_xlfn.XLOOKUP(Customer[[#This Row],[Customer ID]],[1]!Address[ID],[1]!Address[Type])</f>
        <v>SOCMED</v>
      </c>
      <c r="W1903" s="11" t="str">
        <f>_xlfn.XLOOKUP(Customer[[#This Row],[Customer ID]],[1]!Address[ID],[1]!Address[CT])</f>
        <v/>
      </c>
      <c r="X1903" s="11"/>
      <c r="Y1903" s="17" t="s">
        <v>90</v>
      </c>
      <c r="Z1903" s="17" t="e">
        <f>_xlfn.XLOOKUP(Customer[[#This Row],[NewType]],$AF$36:$AF$54,$AG$36:$AG$54)</f>
        <v>#N/A</v>
      </c>
      <c r="AA1903" s="17" t="s">
        <v>11913</v>
      </c>
      <c r="AB1903" s="11" t="str">
        <f>_xlfn.XLOOKUP(Customer[[#This Row],[Customer ID]],[1]!Address[ID],[1]!Address[Subtype])</f>
        <v>ONLINE ROS</v>
      </c>
      <c r="AC1903" s="18" t="str">
        <f>_xlfn.XLOOKUP(Customer[[#This Row],[Customer ID]],[1]!Address[ID],[1]!Address[Zone])</f>
        <v>ZAEDH</v>
      </c>
    </row>
    <row r="1904" spans="1:30" x14ac:dyDescent="0.3">
      <c r="A1904" s="10" t="s">
        <v>11914</v>
      </c>
      <c r="B1904" s="11" t="str">
        <f>_xlfn.XLOOKUP(Customer[[#This Row],[Customer ID]],[1]!Name[ID],[1]!Name[Description(1)])</f>
        <v>SAALAIYAH BINTI MOHD HASHIM(MB)</v>
      </c>
      <c r="C1904" s="11" t="str">
        <f>_xlfn.XLOOKUP(Customer[[#This Row],[Customer ID]],[1]!Name[ID],[1]!Name[Description(2)])</f>
        <v/>
      </c>
      <c r="D1904" s="11" t="str">
        <f>_xlfn.XLOOKUP(Customer[[#This Row],[Customer ID]],[1]!Address[ID],[1]!Address[PIC])</f>
        <v>SAALAIYAH</v>
      </c>
      <c r="E1904" s="11" t="str">
        <f>_xlfn.XLOOKUP(Customer[[#This Row],[Customer ID]],[1]!Address[ID],[1]!Address[Full Address])</f>
        <v>NO 10, JLN 2/1L, MUTIARA BANGI.</v>
      </c>
      <c r="F1904" s="12" t="s">
        <v>10213</v>
      </c>
      <c r="G1904" s="12" t="s">
        <v>11915</v>
      </c>
      <c r="H1904" s="12" t="s">
        <v>8485</v>
      </c>
      <c r="I1904" s="12" t="b">
        <f>ISNUMBER(VALUE(LEFT(Customer[[#This Row],[Address Line 3 (30 char)]],1)))</f>
        <v>0</v>
      </c>
      <c r="J1904" s="12" t="s">
        <v>172</v>
      </c>
      <c r="K1904" s="12">
        <v>45500</v>
      </c>
      <c r="L1904" s="12" t="s">
        <v>35</v>
      </c>
      <c r="M1904" s="13" t="e">
        <v>#N/A</v>
      </c>
      <c r="N1904" s="14" t="e">
        <v>#N/A</v>
      </c>
      <c r="O1904" s="14" t="e">
        <v>#N/A</v>
      </c>
      <c r="P1904" s="14" t="e">
        <v>#N/A</v>
      </c>
      <c r="Q1904" s="14" t="e">
        <v>#N/A</v>
      </c>
      <c r="R1904" s="15" t="s">
        <v>11916</v>
      </c>
      <c r="S1904" s="15" t="s">
        <v>4271</v>
      </c>
      <c r="T1904" s="15" t="s">
        <v>89</v>
      </c>
      <c r="U1904" s="11" t="str">
        <f>_xlfn.XLOOKUP(Customer[[#This Row],[Customer ID]],[1]!Address[ID],[1]!Address[Phone No.(2)])</f>
        <v/>
      </c>
      <c r="V1904" s="11" t="str">
        <f>_xlfn.XLOOKUP(Customer[[#This Row],[Customer ID]],[1]!Address[ID],[1]!Address[Type])</f>
        <v>SOCMED</v>
      </c>
      <c r="W1904" s="11" t="str">
        <f>_xlfn.XLOOKUP(Customer[[#This Row],[Customer ID]],[1]!Address[ID],[1]!Address[CT])</f>
        <v/>
      </c>
      <c r="X1904" s="11"/>
      <c r="Y1904" s="17" t="s">
        <v>90</v>
      </c>
      <c r="Z1904" s="17" t="e">
        <f>_xlfn.XLOOKUP(Customer[[#This Row],[NewType]],$AF$36:$AF$54,$AG$36:$AG$54)</f>
        <v>#N/A</v>
      </c>
      <c r="AA1904" s="17" t="s">
        <v>11917</v>
      </c>
      <c r="AB1904" s="11" t="str">
        <f>_xlfn.XLOOKUP(Customer[[#This Row],[Customer ID]],[1]!Address[ID],[1]!Address[Subtype])</f>
        <v>WHATSAPP</v>
      </c>
      <c r="AC1904" s="18" t="str">
        <f>_xlfn.XLOOKUP(Customer[[#This Row],[Customer ID]],[1]!Address[ID],[1]!Address[Zone])</f>
        <v>CENTRAL</v>
      </c>
    </row>
    <row r="1905" spans="1:30" x14ac:dyDescent="0.3">
      <c r="A1905" s="10" t="s">
        <v>11918</v>
      </c>
      <c r="B1905" s="11" t="str">
        <f>_xlfn.XLOOKUP(Customer[[#This Row],[Customer ID]],[1]!Name[ID],[1]!Name[Description(1)])</f>
        <v>MAJLIS AMANAH RAKYAT (MARA)</v>
      </c>
      <c r="C1905" s="11" t="str">
        <f>_xlfn.XLOOKUP(Customer[[#This Row],[Customer ID]],[1]!Name[ID],[1]!Name[Description(2)])</f>
        <v/>
      </c>
      <c r="D1905" s="11" t="str">
        <f>_xlfn.XLOOKUP(Customer[[#This Row],[Customer ID]],[1]!Address[ID],[1]!Address[PIC])</f>
        <v/>
      </c>
      <c r="E1905" s="11" t="str">
        <f>_xlfn.XLOOKUP(Customer[[#This Row],[Customer ID]],[1]!Address[ID],[1]!Address[Full Address])</f>
        <v>PEJABAT MARA NEGERI, NEGERI SEMBILAN,ARAS 4, BANGUNAN SEREMBAN PLAZA,JALAN DATO' MUDA LINGGI,70100 SEREMBAN,NEGERI SEMBILAN</v>
      </c>
      <c r="F1905" s="12" t="s">
        <v>11919</v>
      </c>
      <c r="G1905" s="12" t="s">
        <v>11920</v>
      </c>
      <c r="H1905" s="12" t="s">
        <v>11921</v>
      </c>
      <c r="I1905" s="12" t="b">
        <f>ISNUMBER(VALUE(LEFT(Customer[[#This Row],[Address Line 3 (30 char)]],1)))</f>
        <v>0</v>
      </c>
      <c r="J1905" s="12" t="s">
        <v>203</v>
      </c>
      <c r="K1905" s="12">
        <v>70100</v>
      </c>
      <c r="L1905" s="12" t="s">
        <v>35</v>
      </c>
      <c r="M1905" s="13" t="e">
        <v>#N/A</v>
      </c>
      <c r="N1905" s="14" t="e">
        <v>#N/A</v>
      </c>
      <c r="O1905" s="14" t="e">
        <v>#N/A</v>
      </c>
      <c r="P1905" s="14" t="e">
        <v>#N/A</v>
      </c>
      <c r="Q1905" s="14" t="e">
        <v>#N/A</v>
      </c>
      <c r="R1905" s="15" t="s">
        <v>11922</v>
      </c>
      <c r="S1905" s="15" t="s">
        <v>6418</v>
      </c>
      <c r="T1905" s="16" t="s">
        <v>3477</v>
      </c>
      <c r="U1905" s="11" t="str">
        <f>_xlfn.XLOOKUP(Customer[[#This Row],[Customer ID]],[1]!Address[ID],[1]!Address[Phone No.(2)])</f>
        <v/>
      </c>
      <c r="V1905" s="11" t="str">
        <f>_xlfn.XLOOKUP(Customer[[#This Row],[Customer ID]],[1]!Address[ID],[1]!Address[Type])</f>
        <v>CORPORATE</v>
      </c>
      <c r="W1905" s="11" t="str">
        <f>_xlfn.XLOOKUP(Customer[[#This Row],[Customer ID]],[1]!Address[ID],[1]!Address[CT])</f>
        <v>30 DAYS</v>
      </c>
      <c r="X1905" s="11"/>
      <c r="Y1905" s="17" t="s">
        <v>6418</v>
      </c>
      <c r="Z1905" s="17" t="e">
        <f>_xlfn.XLOOKUP(Customer[[#This Row],[NewType]],$AF$36:$AF$54,$AG$36:$AG$54)</f>
        <v>#N/A</v>
      </c>
      <c r="AA1905" s="17" t="s">
        <v>11923</v>
      </c>
      <c r="AB1905" s="11" t="str">
        <f>_xlfn.XLOOKUP(Customer[[#This Row],[Customer ID]],[1]!Address[ID],[1]!Address[Subtype])</f>
        <v>MARA</v>
      </c>
      <c r="AC1905" s="18" t="str">
        <f>_xlfn.XLOOKUP(Customer[[#This Row],[Customer ID]],[1]!Address[ID],[1]!Address[Zone])</f>
        <v>CENTRAL</v>
      </c>
    </row>
    <row r="1906" spans="1:30" x14ac:dyDescent="0.3">
      <c r="A1906" s="10" t="s">
        <v>11924</v>
      </c>
      <c r="B1906" s="11" t="str">
        <f>_xlfn.XLOOKUP(Customer[[#This Row],[Customer ID]],[1]!Name[ID],[1]!Name[Description(1)])</f>
        <v>CM KOMPLEKS KERAJAAN PARCEL F</v>
      </c>
      <c r="C1906" s="11" t="str">
        <f>_xlfn.XLOOKUP(Customer[[#This Row],[Customer ID]],[1]!Name[ID],[1]!Name[Description(2)])</f>
        <v>MESRA RETAIL &amp; CAFE SDN BHD</v>
      </c>
      <c r="D1906" s="11" t="str">
        <f>_xlfn.XLOOKUP(Customer[[#This Row],[Customer ID]],[1]!Address[ID],[1]!Address[PIC])</f>
        <v/>
      </c>
      <c r="E1906" s="11" t="str">
        <f>_xlfn.XLOOKUP(Customer[[#This Row],[Customer ID]],[1]!Address[ID],[1]!Address[Full Address])</f>
        <v>Aras 1, Blok F8, Kompleks KerajaanParcel F, Lebuh Perdana Timur,Presint 1, 62000 Putrajaya, WilayahPersekutuan Putrajaya.</v>
      </c>
      <c r="F1906" s="12" t="s">
        <v>11925</v>
      </c>
      <c r="G1906" s="12" t="s">
        <v>11926</v>
      </c>
      <c r="H1906" s="12" t="s">
        <v>11927</v>
      </c>
      <c r="I1906" s="12" t="b">
        <f>ISNUMBER(VALUE(LEFT(Customer[[#This Row],[Address Line 3 (30 char)]],1)))</f>
        <v>0</v>
      </c>
      <c r="J1906" s="12" t="s">
        <v>4229</v>
      </c>
      <c r="K1906" s="12">
        <v>62000</v>
      </c>
      <c r="L1906" s="12" t="s">
        <v>35</v>
      </c>
      <c r="M1906" s="13" t="e">
        <v>#N/A</v>
      </c>
      <c r="N1906" s="14" t="e">
        <v>#N/A</v>
      </c>
      <c r="O1906" s="14" t="e">
        <v>#N/A</v>
      </c>
      <c r="P1906" s="14" t="e">
        <v>#N/A</v>
      </c>
      <c r="Q1906" s="14" t="e">
        <v>#N/A</v>
      </c>
      <c r="R1906" s="15" t="s">
        <v>11928</v>
      </c>
      <c r="S1906" s="15" t="s">
        <v>37</v>
      </c>
      <c r="T1906" s="16" t="s">
        <v>38</v>
      </c>
      <c r="U1906" s="11" t="str">
        <f>_xlfn.XLOOKUP(Customer[[#This Row],[Customer ID]],[1]!Address[ID],[1]!Address[Phone No.(2)])</f>
        <v/>
      </c>
      <c r="V1906" s="11" t="str">
        <f>_xlfn.XLOOKUP(Customer[[#This Row],[Customer ID]],[1]!Address[ID],[1]!Address[Type])</f>
        <v>PETROMART</v>
      </c>
      <c r="W1906" s="11" t="str">
        <f>_xlfn.XLOOKUP(Customer[[#This Row],[Customer ID]],[1]!Address[ID],[1]!Address[CT])</f>
        <v>30</v>
      </c>
      <c r="X1906" s="11" t="s">
        <v>39</v>
      </c>
      <c r="Y1906" s="17" t="s">
        <v>40</v>
      </c>
      <c r="Z1906" s="17" t="e">
        <f>_xlfn.XLOOKUP(Customer[[#This Row],[NewType]],$AF$36:$AF$54,$AG$36:$AG$54)</f>
        <v>#N/A</v>
      </c>
      <c r="AA1906" s="17" t="s">
        <v>11929</v>
      </c>
      <c r="AB1906" s="11" t="str">
        <f>_xlfn.XLOOKUP(Customer[[#This Row],[Customer ID]],[1]!Address[ID],[1]!Address[Subtype])</f>
        <v>PETRONAS</v>
      </c>
      <c r="AC1906" s="18" t="str">
        <f>_xlfn.XLOOKUP(Customer[[#This Row],[Customer ID]],[1]!Address[ID],[1]!Address[Zone])</f>
        <v>CENTRAL</v>
      </c>
    </row>
    <row r="1907" spans="1:30" x14ac:dyDescent="0.3">
      <c r="A1907" s="45" t="s">
        <v>11930</v>
      </c>
      <c r="B1907" s="32" t="str">
        <f>_xlfn.XLOOKUP(Customer[[#This Row],[Customer ID]],[1]!Name[ID],[1]!Name[Description(1)])</f>
        <v>MUHAINI</v>
      </c>
      <c r="C1907" s="32" t="str">
        <f>_xlfn.XLOOKUP(Customer[[#This Row],[Customer ID]],[1]!Name[ID],[1]!Name[Description(2)])</f>
        <v/>
      </c>
      <c r="D1907" s="11" t="str">
        <f>_xlfn.XLOOKUP(Customer[[#This Row],[Customer ID]],[1]!Address[ID],[1]!Address[PIC])</f>
        <v>MUHAINI</v>
      </c>
      <c r="E1907" s="11" t="str">
        <f>_xlfn.XLOOKUP(Customer[[#This Row],[Customer ID]],[1]!Address[ID],[1]!Address[Full Address])</f>
        <v>CLIENT ASSESSMENT CENTRE (CAC),HOSPITAL PUTRAJAYA</v>
      </c>
      <c r="F1907" s="12" t="s">
        <v>11931</v>
      </c>
      <c r="G1907" s="12" t="s">
        <v>11932</v>
      </c>
      <c r="H1907" s="12" t="s">
        <v>11536</v>
      </c>
      <c r="I1907" s="12" t="b">
        <f>ISNUMBER(VALUE(LEFT(Customer[[#This Row],[Address Line 3 (30 char)]],1)))</f>
        <v>0</v>
      </c>
      <c r="J1907" s="32" t="s">
        <v>4229</v>
      </c>
      <c r="K1907" s="32"/>
      <c r="L1907" s="12" t="s">
        <v>35</v>
      </c>
      <c r="M1907" s="13" t="e">
        <v>#N/A</v>
      </c>
      <c r="N1907" s="14" t="s">
        <v>11933</v>
      </c>
      <c r="O1907" s="14" t="e">
        <v>#N/A</v>
      </c>
      <c r="P1907" s="14" t="e">
        <v>#N/A</v>
      </c>
      <c r="Q1907" s="19" t="s">
        <v>11934</v>
      </c>
      <c r="R1907" s="15" t="s">
        <v>11537</v>
      </c>
      <c r="S1907" s="15" t="s">
        <v>88</v>
      </c>
      <c r="T1907" s="16" t="s">
        <v>89</v>
      </c>
      <c r="U1907" s="11" t="str">
        <f>_xlfn.XLOOKUP(Customer[[#This Row],[Customer ID]],[1]!Address[ID],[1]!Address[Phone No.(2)])</f>
        <v/>
      </c>
      <c r="V1907" s="11" t="str">
        <f>_xlfn.XLOOKUP(Customer[[#This Row],[Customer ID]],[1]!Address[ID],[1]!Address[Type])</f>
        <v>SOCMED</v>
      </c>
      <c r="W1907" s="11" t="str">
        <f>_xlfn.XLOOKUP(Customer[[#This Row],[Customer ID]],[1]!Address[ID],[1]!Address[CT])</f>
        <v/>
      </c>
      <c r="X1907" s="11"/>
      <c r="Y1907" s="17" t="s">
        <v>90</v>
      </c>
      <c r="Z1907" s="17" t="e">
        <f>_xlfn.XLOOKUP(Customer[[#This Row],[NewType]],$AF$36:$AF$54,$AG$36:$AG$54)</f>
        <v>#N/A</v>
      </c>
      <c r="AA1907" s="17" t="s">
        <v>11935</v>
      </c>
      <c r="AB1907" s="11" t="str">
        <f>_xlfn.XLOOKUP(Customer[[#This Row],[Customer ID]],[1]!Address[ID],[1]!Address[Subtype])</f>
        <v>ONLINE ROS</v>
      </c>
      <c r="AC1907" s="18" t="str">
        <f>_xlfn.XLOOKUP(Customer[[#This Row],[Customer ID]],[1]!Address[ID],[1]!Address[Zone])</f>
        <v>CENTRAL</v>
      </c>
    </row>
    <row r="1908" spans="1:30" x14ac:dyDescent="0.3">
      <c r="A1908" s="10" t="s">
        <v>11936</v>
      </c>
      <c r="B1908" s="11" t="str">
        <f>_xlfn.XLOOKUP(Customer[[#This Row],[Customer ID]],[1]!Name[ID],[1]!Name[Description(1)])</f>
        <v>BUDI TIMAH SDN BHD</v>
      </c>
      <c r="C1908" s="11" t="str">
        <f>_xlfn.XLOOKUP(Customer[[#This Row],[Customer ID]],[1]!Name[ID],[1]!Name[Description(2)])</f>
        <v/>
      </c>
      <c r="D1908" s="11" t="str">
        <f>_xlfn.XLOOKUP(Customer[[#This Row],[Customer ID]],[1]!Address[ID],[1]!Address[PIC])</f>
        <v/>
      </c>
      <c r="E1908" s="11" t="str">
        <f>_xlfn.XLOOKUP(Customer[[#This Row],[Customer ID]],[1]!Address[ID],[1]!Address[Full Address])</f>
        <v>PETRONAS LEKIR, LOT 45, BATU 10 LEKIR,32020 SITIAWAN, PERAK</v>
      </c>
      <c r="F1908" s="12" t="s">
        <v>11937</v>
      </c>
      <c r="G1908" s="12" t="s">
        <v>11938</v>
      </c>
      <c r="H1908" s="12" t="s">
        <v>10812</v>
      </c>
      <c r="I1908" s="12" t="b">
        <f>ISNUMBER(VALUE(LEFT(Customer[[#This Row],[Address Line 3 (30 char)]],1)))</f>
        <v>0</v>
      </c>
      <c r="J1908" s="12" t="s">
        <v>242</v>
      </c>
      <c r="K1908" s="12">
        <v>32020</v>
      </c>
      <c r="L1908" s="12" t="s">
        <v>35</v>
      </c>
      <c r="M1908" s="13" t="e">
        <v>#N/A</v>
      </c>
      <c r="N1908" s="14" t="e">
        <v>#N/A</v>
      </c>
      <c r="O1908" s="14" t="e">
        <v>#N/A</v>
      </c>
      <c r="P1908" s="14" t="e">
        <v>#N/A</v>
      </c>
      <c r="Q1908" s="14" t="e">
        <v>#N/A</v>
      </c>
      <c r="R1908" s="15" t="s">
        <v>11939</v>
      </c>
      <c r="S1908" s="15" t="s">
        <v>88</v>
      </c>
      <c r="T1908" s="16" t="s">
        <v>89</v>
      </c>
      <c r="U1908" s="11" t="str">
        <f>_xlfn.XLOOKUP(Customer[[#This Row],[Customer ID]],[1]!Address[ID],[1]!Address[Phone No.(2)])</f>
        <v/>
      </c>
      <c r="V1908" s="11" t="str">
        <f>_xlfn.XLOOKUP(Customer[[#This Row],[Customer ID]],[1]!Address[ID],[1]!Address[Type])</f>
        <v>SOCMED</v>
      </c>
      <c r="W1908" s="11" t="str">
        <f>_xlfn.XLOOKUP(Customer[[#This Row],[Customer ID]],[1]!Address[ID],[1]!Address[CT])</f>
        <v/>
      </c>
      <c r="X1908" s="11"/>
      <c r="Y1908" s="17" t="s">
        <v>90</v>
      </c>
      <c r="Z1908" s="17" t="e">
        <f>_xlfn.XLOOKUP(Customer[[#This Row],[NewType]],$AF$36:$AF$54,$AG$36:$AG$54)</f>
        <v>#N/A</v>
      </c>
      <c r="AA1908" s="17" t="s">
        <v>11940</v>
      </c>
      <c r="AB1908" s="11" t="str">
        <f>_xlfn.XLOOKUP(Customer[[#This Row],[Customer ID]],[1]!Address[ID],[1]!Address[Subtype])</f>
        <v>ONLINE ROS</v>
      </c>
      <c r="AC1908" s="18" t="str">
        <f>_xlfn.XLOOKUP(Customer[[#This Row],[Customer ID]],[1]!Address[ID],[1]!Address[Zone])</f>
        <v>NORTH</v>
      </c>
    </row>
    <row r="1909" spans="1:30" x14ac:dyDescent="0.3">
      <c r="A1909" s="10" t="s">
        <v>11941</v>
      </c>
      <c r="B1909" s="11" t="str">
        <f>_xlfn.XLOOKUP(Customer[[#This Row],[Customer ID]],[1]!Name[ID],[1]!Name[Description(1)])</f>
        <v>UNIT URUS SETIA MAJLIS (MARA)</v>
      </c>
      <c r="C1909" s="11" t="str">
        <f>_xlfn.XLOOKUP(Customer[[#This Row],[Customer ID]],[1]!Name[ID],[1]!Name[Description(2)])</f>
        <v/>
      </c>
      <c r="D1909" s="11" t="str">
        <f>_xlfn.XLOOKUP(Customer[[#This Row],[Customer ID]],[1]!Address[ID],[1]!Address[PIC])</f>
        <v/>
      </c>
      <c r="E1909" s="11" t="str">
        <f>_xlfn.XLOOKUP(Customer[[#This Row],[Customer ID]],[1]!Address[ID],[1]!Address[Full Address])</f>
        <v>TINGKAT 25,IBU PEJABAT MARA,NO.21, JALAN MARA,50609 KUALA LUMPUR</v>
      </c>
      <c r="F1909" s="12" t="s">
        <v>11942</v>
      </c>
      <c r="G1909" s="12" t="s">
        <v>11943</v>
      </c>
      <c r="H1909" s="12" t="s">
        <v>11944</v>
      </c>
      <c r="I1909" s="12" t="b">
        <f>ISNUMBER(VALUE(LEFT(Customer[[#This Row],[Address Line 3 (30 char)]],1)))</f>
        <v>0</v>
      </c>
      <c r="J1909" s="12" t="s">
        <v>34</v>
      </c>
      <c r="K1909" s="12">
        <v>50609</v>
      </c>
      <c r="L1909" s="12" t="s">
        <v>35</v>
      </c>
      <c r="M1909" s="13" t="e">
        <v>#N/A</v>
      </c>
      <c r="N1909" s="14" t="e">
        <v>#N/A</v>
      </c>
      <c r="O1909" s="14" t="e">
        <v>#N/A</v>
      </c>
      <c r="P1909" s="14" t="e">
        <v>#N/A</v>
      </c>
      <c r="Q1909" s="14" t="e">
        <v>#N/A</v>
      </c>
      <c r="R1909" s="15" t="s">
        <v>11945</v>
      </c>
      <c r="S1909" s="15" t="s">
        <v>6418</v>
      </c>
      <c r="T1909" s="16" t="s">
        <v>3477</v>
      </c>
      <c r="U1909" s="11" t="str">
        <f>_xlfn.XLOOKUP(Customer[[#This Row],[Customer ID]],[1]!Address[ID],[1]!Address[Phone No.(2)])</f>
        <v/>
      </c>
      <c r="V1909" s="11" t="str">
        <f>_xlfn.XLOOKUP(Customer[[#This Row],[Customer ID]],[1]!Address[ID],[1]!Address[Type])</f>
        <v>CORPORATE</v>
      </c>
      <c r="W1909" s="11" t="str">
        <f>_xlfn.XLOOKUP(Customer[[#This Row],[Customer ID]],[1]!Address[ID],[1]!Address[CT])</f>
        <v>30 DAYS</v>
      </c>
      <c r="X1909" s="11"/>
      <c r="Y1909" s="17" t="s">
        <v>6418</v>
      </c>
      <c r="Z1909" s="17" t="e">
        <f>_xlfn.XLOOKUP(Customer[[#This Row],[NewType]],$AF$36:$AF$54,$AG$36:$AG$54)</f>
        <v>#N/A</v>
      </c>
      <c r="AA1909" s="17" t="s">
        <v>11946</v>
      </c>
      <c r="AB1909" s="11" t="str">
        <f>_xlfn.XLOOKUP(Customer[[#This Row],[Customer ID]],[1]!Address[ID],[1]!Address[Subtype])</f>
        <v>MARA</v>
      </c>
      <c r="AC1909" s="18" t="str">
        <f>_xlfn.XLOOKUP(Customer[[#This Row],[Customer ID]],[1]!Address[ID],[1]!Address[Zone])</f>
        <v>CENTRAL</v>
      </c>
    </row>
    <row r="1910" spans="1:30" x14ac:dyDescent="0.3">
      <c r="A1910" s="10" t="s">
        <v>11947</v>
      </c>
      <c r="B1910" s="11" t="str">
        <f>_xlfn.XLOOKUP(Customer[[#This Row],[Customer ID]],[1]!Name[ID],[1]!Name[Description(1)])</f>
        <v>RENERGY MESRA SDN BHD</v>
      </c>
      <c r="C1910" s="11" t="str">
        <f>_xlfn.XLOOKUP(Customer[[#This Row],[Customer ID]],[1]!Name[ID],[1]!Name[Description(2)])</f>
        <v>PS BANDAR SERI COALFIELDS</v>
      </c>
      <c r="D1910" s="11" t="str">
        <f>_xlfn.XLOOKUP(Customer[[#This Row],[Customer ID]],[1]!Address[ID],[1]!Address[PIC])</f>
        <v/>
      </c>
      <c r="E1910" s="11" t="str">
        <f>_xlfn.XLOOKUP(Customer[[#This Row],[Customer ID]],[1]!Address[ID],[1]!Address[Full Address])</f>
        <v>PS BANDAR SERI COALFIELDSLOT 37128, PERSIARAN LIMAU KASTURIBANDAR SERI COALFIELDS,47000 SUNGAI BULOH, SELANGOR</v>
      </c>
      <c r="F1910" s="12" t="s">
        <v>11948</v>
      </c>
      <c r="G1910" s="12" t="s">
        <v>11949</v>
      </c>
      <c r="H1910" s="12" t="s">
        <v>11950</v>
      </c>
      <c r="I1910" s="12" t="b">
        <f>ISNUMBER(VALUE(LEFT(Customer[[#This Row],[Address Line 3 (30 char)]],1)))</f>
        <v>0</v>
      </c>
      <c r="J1910" s="12" t="s">
        <v>172</v>
      </c>
      <c r="K1910" s="12">
        <v>47000</v>
      </c>
      <c r="L1910" s="12" t="s">
        <v>35</v>
      </c>
      <c r="M1910" s="13">
        <v>202001042514</v>
      </c>
      <c r="N1910" s="14" t="s">
        <v>11951</v>
      </c>
      <c r="O1910" s="14" t="e">
        <v>#N/A</v>
      </c>
      <c r="P1910" s="14" t="e">
        <v>#N/A</v>
      </c>
      <c r="Q1910" s="19" t="s">
        <v>11952</v>
      </c>
      <c r="R1910" s="15" t="s">
        <v>11953</v>
      </c>
      <c r="S1910" s="15" t="s">
        <v>37</v>
      </c>
      <c r="T1910" s="16" t="s">
        <v>38</v>
      </c>
      <c r="U1910" s="11" t="str">
        <f>_xlfn.XLOOKUP(Customer[[#This Row],[Customer ID]],[1]!Address[ID],[1]!Address[Phone No.(2)])</f>
        <v/>
      </c>
      <c r="V1910" s="11" t="str">
        <f>_xlfn.XLOOKUP(Customer[[#This Row],[Customer ID]],[1]!Address[ID],[1]!Address[Type])</f>
        <v>PETROMART</v>
      </c>
      <c r="W1910" s="11" t="str">
        <f>_xlfn.XLOOKUP(Customer[[#This Row],[Customer ID]],[1]!Address[ID],[1]!Address[CT])</f>
        <v>30</v>
      </c>
      <c r="X1910" s="11" t="s">
        <v>39</v>
      </c>
      <c r="Y1910" s="17" t="s">
        <v>40</v>
      </c>
      <c r="Z1910" s="17" t="e">
        <f>_xlfn.XLOOKUP(Customer[[#This Row],[NewType]],$AF$36:$AF$54,$AG$36:$AG$54)</f>
        <v>#N/A</v>
      </c>
      <c r="AA1910" s="17" t="s">
        <v>11954</v>
      </c>
      <c r="AB1910" s="11" t="str">
        <f>_xlfn.XLOOKUP(Customer[[#This Row],[Customer ID]],[1]!Address[ID],[1]!Address[Subtype])</f>
        <v>PETRONAS</v>
      </c>
      <c r="AC1910" s="18" t="str">
        <f>_xlfn.XLOOKUP(Customer[[#This Row],[Customer ID]],[1]!Address[ID],[1]!Address[Zone])</f>
        <v>CENTRAL</v>
      </c>
    </row>
    <row r="1911" spans="1:30" x14ac:dyDescent="0.3">
      <c r="A1911" s="10" t="s">
        <v>11955</v>
      </c>
      <c r="B1911" s="11" t="str">
        <f>_xlfn.XLOOKUP(Customer[[#This Row],[Customer ID]],[1]!Name[ID],[1]!Name[Description(1)])</f>
        <v>BANK SIMPANAN NASIONAL(BSN)</v>
      </c>
      <c r="C1911" s="11" t="str">
        <f>_xlfn.XLOOKUP(Customer[[#This Row],[Customer ID]],[1]!Name[ID],[1]!Name[Description(2)])</f>
        <v>PUTRAJAYA</v>
      </c>
      <c r="D1911" s="11" t="str">
        <f>_xlfn.XLOOKUP(Customer[[#This Row],[Customer ID]],[1]!Address[ID],[1]!Address[PIC])</f>
        <v/>
      </c>
      <c r="E1911" s="11" t="str">
        <f>_xlfn.XLOOKUP(Customer[[#This Row],[Customer ID]],[1]!Address[ID],[1]!Address[Full Address])</f>
        <v>ARAS BAWAH,BLOK UTARA,BANGUNAN PERBENDA,KOMPLEKS KEMENTERIAN KEWANGAN,PUSAT PENTADBIRAN KERAJAAN PERSEKUTUAN,62592 PUTRAJAYA</v>
      </c>
      <c r="F1911" s="12" t="s">
        <v>11956</v>
      </c>
      <c r="G1911" s="12" t="s">
        <v>11957</v>
      </c>
      <c r="H1911" s="12" t="s">
        <v>11958</v>
      </c>
      <c r="I1911" s="12" t="b">
        <f>ISNUMBER(VALUE(LEFT(Customer[[#This Row],[Address Line 3 (30 char)]],1)))</f>
        <v>0</v>
      </c>
      <c r="J1911" s="12" t="s">
        <v>4229</v>
      </c>
      <c r="K1911" s="12">
        <v>62592</v>
      </c>
      <c r="L1911" s="12" t="s">
        <v>35</v>
      </c>
      <c r="M1911" s="13" t="e">
        <v>#N/A</v>
      </c>
      <c r="N1911" s="14" t="e">
        <v>#N/A</v>
      </c>
      <c r="O1911" s="14" t="e">
        <v>#N/A</v>
      </c>
      <c r="P1911" s="14" t="e">
        <v>#N/A</v>
      </c>
      <c r="Q1911" s="14" t="e">
        <v>#N/A</v>
      </c>
      <c r="R1911" s="15" t="s">
        <v>11959</v>
      </c>
      <c r="S1911" s="15" t="s">
        <v>6418</v>
      </c>
      <c r="T1911" s="16" t="s">
        <v>3477</v>
      </c>
      <c r="U1911" s="11" t="str">
        <f>_xlfn.XLOOKUP(Customer[[#This Row],[Customer ID]],[1]!Address[ID],[1]!Address[Phone No.(2)])</f>
        <v/>
      </c>
      <c r="V1911" s="11" t="str">
        <f>_xlfn.XLOOKUP(Customer[[#This Row],[Customer ID]],[1]!Address[ID],[1]!Address[Type])</f>
        <v>SOCMED</v>
      </c>
      <c r="W1911" s="11" t="str">
        <f>_xlfn.XLOOKUP(Customer[[#This Row],[Customer ID]],[1]!Address[ID],[1]!Address[CT])</f>
        <v>CASH</v>
      </c>
      <c r="X1911" s="11"/>
      <c r="Y1911" s="17" t="s">
        <v>90</v>
      </c>
      <c r="Z1911" s="17" t="e">
        <f>_xlfn.XLOOKUP(Customer[[#This Row],[NewType]],$AF$36:$AF$54,$AG$36:$AG$54)</f>
        <v>#N/A</v>
      </c>
      <c r="AA1911" s="17" t="s">
        <v>11960</v>
      </c>
      <c r="AB1911" s="11" t="str">
        <f>_xlfn.XLOOKUP(Customer[[#This Row],[Customer ID]],[1]!Address[ID],[1]!Address[Subtype])</f>
        <v>WHATSAPP</v>
      </c>
      <c r="AC1911" s="18" t="str">
        <f>_xlfn.XLOOKUP(Customer[[#This Row],[Customer ID]],[1]!Address[ID],[1]!Address[Zone])</f>
        <v>CENTRAL</v>
      </c>
    </row>
    <row r="1912" spans="1:30" x14ac:dyDescent="0.3">
      <c r="A1912" s="10" t="s">
        <v>11961</v>
      </c>
      <c r="B1912" s="11" t="str">
        <f>_xlfn.XLOOKUP(Customer[[#This Row],[Customer ID]],[1]!Name[ID],[1]!Name[Description(1)])</f>
        <v>FARHANA AFIQAH BINTI SAHAK</v>
      </c>
      <c r="C1912" s="11" t="str">
        <f>_xlfn.XLOOKUP(Customer[[#This Row],[Customer ID]],[1]!Name[ID],[1]!Name[Description(2)])</f>
        <v>(FINANCE)</v>
      </c>
      <c r="D1912" s="11" t="str">
        <f>_xlfn.XLOOKUP(Customer[[#This Row],[Customer ID]],[1]!Address[ID],[1]!Address[PIC])</f>
        <v>FARHANA AFIQAH</v>
      </c>
      <c r="E1912" s="11" t="str">
        <f>_xlfn.XLOOKUP(Customer[[#This Row],[Customer ID]],[1]!Address[ID],[1]!Address[Full Address])</f>
        <v>NO. 84, JALAN 3/8,TAMAN TUANKU JAAFAR, 71450SG GADUT, NEGERI SEMBILAN</v>
      </c>
      <c r="F1912" s="12" t="s">
        <v>11962</v>
      </c>
      <c r="G1912" s="12" t="s">
        <v>8950</v>
      </c>
      <c r="H1912" s="12" t="s">
        <v>11963</v>
      </c>
      <c r="I1912" s="12" t="b">
        <f>ISNUMBER(VALUE(LEFT(Customer[[#This Row],[Address Line 3 (30 char)]],1)))</f>
        <v>0</v>
      </c>
      <c r="J1912" s="12" t="s">
        <v>203</v>
      </c>
      <c r="K1912" s="12">
        <v>71450</v>
      </c>
      <c r="L1912" s="12" t="s">
        <v>35</v>
      </c>
      <c r="M1912" s="13" t="e">
        <v>#N/A</v>
      </c>
      <c r="N1912" s="14" t="s">
        <v>11964</v>
      </c>
      <c r="O1912" s="14" t="e">
        <v>#N/A</v>
      </c>
      <c r="P1912" s="14" t="e">
        <v>#N/A</v>
      </c>
      <c r="Q1912" s="19" t="s">
        <v>11965</v>
      </c>
      <c r="R1912" s="15" t="s">
        <v>7382</v>
      </c>
      <c r="S1912" s="16" t="s">
        <v>89</v>
      </c>
      <c r="T1912" s="16" t="s">
        <v>89</v>
      </c>
      <c r="U1912" s="11" t="str">
        <f>_xlfn.XLOOKUP(Customer[[#This Row],[Customer ID]],[1]!Address[ID],[1]!Address[Phone No.(2)])</f>
        <v/>
      </c>
      <c r="V1912" s="11" t="str">
        <f>_xlfn.XLOOKUP(Customer[[#This Row],[Customer ID]],[1]!Address[ID],[1]!Address[Type])</f>
        <v>WALK IN</v>
      </c>
      <c r="W1912" s="11" t="str">
        <f>_xlfn.XLOOKUP(Customer[[#This Row],[Customer ID]],[1]!Address[ID],[1]!Address[CT])</f>
        <v/>
      </c>
      <c r="X1912" s="11"/>
      <c r="Y1912" s="17" t="s">
        <v>6284</v>
      </c>
      <c r="Z1912" s="17" t="e">
        <f>_xlfn.XLOOKUP(Customer[[#This Row],[NewType]],$AF$36:$AF$54,$AG$36:$AG$54)</f>
        <v>#N/A</v>
      </c>
      <c r="AA1912" s="17" t="s">
        <v>11966</v>
      </c>
      <c r="AB1912" s="11" t="str">
        <f>_xlfn.XLOOKUP(Customer[[#This Row],[Customer ID]],[1]!Address[ID],[1]!Address[Subtype])</f>
        <v>STAFF</v>
      </c>
      <c r="AC1912" s="18" t="str">
        <f>_xlfn.XLOOKUP(Customer[[#This Row],[Customer ID]],[1]!Address[ID],[1]!Address[Zone])</f>
        <v>CENTRAL</v>
      </c>
    </row>
    <row r="1913" spans="1:30" x14ac:dyDescent="0.3">
      <c r="A1913" s="10" t="s">
        <v>11967</v>
      </c>
      <c r="B1913" s="11" t="str">
        <f>_xlfn.XLOOKUP(Customer[[#This Row],[Customer ID]],[1]!Name[ID],[1]!Name[Description(1)])</f>
        <v>ALIF HAIQAL BIN ROSDI</v>
      </c>
      <c r="C1913" s="11" t="str">
        <f>_xlfn.XLOOKUP(Customer[[#This Row],[Customer ID]],[1]!Name[ID],[1]!Name[Description(2)])</f>
        <v>(WAREHOUSE RANTAU)</v>
      </c>
      <c r="D1913" s="11" t="str">
        <f>_xlfn.XLOOKUP(Customer[[#This Row],[Customer ID]],[1]!Address[ID],[1]!Address[PIC])</f>
        <v>ALIF HAIQAL BIN</v>
      </c>
      <c r="E1913" s="11" t="str">
        <f>_xlfn.XLOOKUP(Customer[[#This Row],[Customer ID]],[1]!Address[ID],[1]!Address[Full Address])</f>
        <v>NO 70 JALAN EKAR , 1/2 BANDAR EKAR71200 RANTAU NEGERI SEMBILAN</v>
      </c>
      <c r="F1913" s="12" t="s">
        <v>11968</v>
      </c>
      <c r="G1913" s="12" t="s">
        <v>11969</v>
      </c>
      <c r="H1913" s="12" t="s">
        <v>6428</v>
      </c>
      <c r="I1913" s="12" t="b">
        <f>ISNUMBER(VALUE(LEFT(Customer[[#This Row],[Address Line 3 (30 char)]],1)))</f>
        <v>0</v>
      </c>
      <c r="J1913" s="12" t="s">
        <v>203</v>
      </c>
      <c r="K1913" s="12">
        <v>71200</v>
      </c>
      <c r="L1913" s="12" t="s">
        <v>35</v>
      </c>
      <c r="M1913" s="13" t="e">
        <v>#N/A</v>
      </c>
      <c r="N1913" s="14" t="s">
        <v>11970</v>
      </c>
      <c r="O1913" s="14" t="e">
        <v>#N/A</v>
      </c>
      <c r="P1913" s="14" t="e">
        <v>#N/A</v>
      </c>
      <c r="Q1913" s="19" t="s">
        <v>11971</v>
      </c>
      <c r="R1913" s="15" t="s">
        <v>11972</v>
      </c>
      <c r="S1913" s="16" t="s">
        <v>89</v>
      </c>
      <c r="T1913" s="16" t="s">
        <v>89</v>
      </c>
      <c r="U1913" s="11" t="str">
        <f>_xlfn.XLOOKUP(Customer[[#This Row],[Customer ID]],[1]!Address[ID],[1]!Address[Phone No.(2)])</f>
        <v/>
      </c>
      <c r="V1913" s="11" t="str">
        <f>_xlfn.XLOOKUP(Customer[[#This Row],[Customer ID]],[1]!Address[ID],[1]!Address[Type])</f>
        <v>WALK IN</v>
      </c>
      <c r="W1913" s="11" t="str">
        <f>_xlfn.XLOOKUP(Customer[[#This Row],[Customer ID]],[1]!Address[ID],[1]!Address[CT])</f>
        <v/>
      </c>
      <c r="X1913" s="11"/>
      <c r="Y1913" s="17" t="s">
        <v>6284</v>
      </c>
      <c r="Z1913" s="17" t="e">
        <f>_xlfn.XLOOKUP(Customer[[#This Row],[NewType]],$AF$36:$AF$54,$AG$36:$AG$54)</f>
        <v>#N/A</v>
      </c>
      <c r="AA1913" s="17" t="s">
        <v>11973</v>
      </c>
      <c r="AB1913" s="11" t="str">
        <f>_xlfn.XLOOKUP(Customer[[#This Row],[Customer ID]],[1]!Address[ID],[1]!Address[Subtype])</f>
        <v>STAFF</v>
      </c>
      <c r="AC1913" s="18" t="str">
        <f>_xlfn.XLOOKUP(Customer[[#This Row],[Customer ID]],[1]!Address[ID],[1]!Address[Zone])</f>
        <v>CENTRAL</v>
      </c>
    </row>
    <row r="1914" spans="1:30" x14ac:dyDescent="0.3">
      <c r="A1914" s="10" t="s">
        <v>11974</v>
      </c>
      <c r="B1914" s="11" t="str">
        <f>_xlfn.XLOOKUP(Customer[[#This Row],[Customer ID]],[1]!Name[ID],[1]!Name[Description(1)])</f>
        <v>MOHD YAZAD BIN MUHAMAD YUSOF</v>
      </c>
      <c r="C1914" s="11" t="str">
        <f>_xlfn.XLOOKUP(Customer[[#This Row],[Customer ID]],[1]!Name[ID],[1]!Name[Description(2)])</f>
        <v>(WAREHOUSE PEDAS)</v>
      </c>
      <c r="D1914" s="11" t="str">
        <f>_xlfn.XLOOKUP(Customer[[#This Row],[Customer ID]],[1]!Address[ID],[1]!Address[PIC])</f>
        <v>MOHD YAZAD</v>
      </c>
      <c r="E1914" s="11" t="str">
        <f>_xlfn.XLOOKUP(Customer[[#This Row],[Customer ID]],[1]!Address[ID],[1]!Address[Full Address])</f>
        <v>NO 212 JALAN TME 8, TAMAN MAWAR EHSAN,71400 PEDAS, NEGERI SEMBILAN</v>
      </c>
      <c r="F1914" s="12" t="s">
        <v>11975</v>
      </c>
      <c r="G1914" s="12" t="s">
        <v>11976</v>
      </c>
      <c r="H1914" s="12" t="s">
        <v>8914</v>
      </c>
      <c r="I1914" s="12" t="b">
        <f>ISNUMBER(VALUE(LEFT(Customer[[#This Row],[Address Line 3 (30 char)]],1)))</f>
        <v>0</v>
      </c>
      <c r="J1914" s="12" t="s">
        <v>203</v>
      </c>
      <c r="K1914" s="12">
        <v>71400</v>
      </c>
      <c r="L1914" s="12" t="s">
        <v>35</v>
      </c>
      <c r="M1914" s="13" t="e">
        <v>#N/A</v>
      </c>
      <c r="N1914" s="14" t="s">
        <v>11977</v>
      </c>
      <c r="O1914" s="14" t="e">
        <v>#N/A</v>
      </c>
      <c r="P1914" s="14" t="e">
        <v>#N/A</v>
      </c>
      <c r="Q1914" s="19" t="s">
        <v>11978</v>
      </c>
      <c r="R1914" s="15" t="s">
        <v>11979</v>
      </c>
      <c r="S1914" s="16" t="s">
        <v>89</v>
      </c>
      <c r="T1914" s="16" t="s">
        <v>89</v>
      </c>
      <c r="U1914" s="11" t="str">
        <f>_xlfn.XLOOKUP(Customer[[#This Row],[Customer ID]],[1]!Address[ID],[1]!Address[Phone No.(2)])</f>
        <v/>
      </c>
      <c r="V1914" s="11" t="str">
        <f>_xlfn.XLOOKUP(Customer[[#This Row],[Customer ID]],[1]!Address[ID],[1]!Address[Type])</f>
        <v>WALK IN</v>
      </c>
      <c r="W1914" s="11" t="str">
        <f>_xlfn.XLOOKUP(Customer[[#This Row],[Customer ID]],[1]!Address[ID],[1]!Address[CT])</f>
        <v/>
      </c>
      <c r="X1914" s="11"/>
      <c r="Y1914" s="17" t="s">
        <v>6284</v>
      </c>
      <c r="Z1914" s="17" t="e">
        <f>_xlfn.XLOOKUP(Customer[[#This Row],[NewType]],$AF$36:$AF$54,$AG$36:$AG$54)</f>
        <v>#N/A</v>
      </c>
      <c r="AA1914" s="17" t="s">
        <v>11980</v>
      </c>
      <c r="AB1914" s="11" t="str">
        <f>_xlfn.XLOOKUP(Customer[[#This Row],[Customer ID]],[1]!Address[ID],[1]!Address[Subtype])</f>
        <v>STAFF</v>
      </c>
      <c r="AC1914" s="18" t="str">
        <f>_xlfn.XLOOKUP(Customer[[#This Row],[Customer ID]],[1]!Address[ID],[1]!Address[Zone])</f>
        <v>CENTRAL</v>
      </c>
    </row>
    <row r="1915" spans="1:30" x14ac:dyDescent="0.3">
      <c r="A1915" s="10" t="s">
        <v>11981</v>
      </c>
      <c r="B1915" s="11" t="str">
        <f>_xlfn.XLOOKUP(Customer[[#This Row],[Customer ID]],[1]!Name[ID],[1]!Name[Description(1)])</f>
        <v>RAINA AUNI PUTRI BINTI RAMLI</v>
      </c>
      <c r="C1915" s="11" t="str">
        <f>_xlfn.XLOOKUP(Customer[[#This Row],[Customer ID]],[1]!Name[ID],[1]!Name[Description(2)])</f>
        <v>(IT)</v>
      </c>
      <c r="D1915" s="11" t="str">
        <f>_xlfn.XLOOKUP(Customer[[#This Row],[Customer ID]],[1]!Address[ID],[1]!Address[PIC])</f>
        <v>RAINA</v>
      </c>
      <c r="E1915" s="11" t="str">
        <f>_xlfn.XLOOKUP(Customer[[#This Row],[Customer ID]],[1]!Address[ID],[1]!Address[Full Address])</f>
        <v>NO. 1262, JALAN SEMARAK 32,TAMAN PANCHOR JAYA, 70400 SEREMBAN,NEGERI SEMBILAN</v>
      </c>
      <c r="F1915" s="12" t="s">
        <v>11982</v>
      </c>
      <c r="G1915" s="12" t="s">
        <v>11983</v>
      </c>
      <c r="H1915" s="12" t="s">
        <v>2411</v>
      </c>
      <c r="I1915" s="12" t="b">
        <f>ISNUMBER(VALUE(LEFT(Customer[[#This Row],[Address Line 3 (30 char)]],1)))</f>
        <v>0</v>
      </c>
      <c r="J1915" s="12" t="s">
        <v>203</v>
      </c>
      <c r="K1915" s="12">
        <v>70400</v>
      </c>
      <c r="L1915" s="12" t="s">
        <v>35</v>
      </c>
      <c r="M1915" s="13" t="e">
        <v>#N/A</v>
      </c>
      <c r="N1915" s="14" t="s">
        <v>11984</v>
      </c>
      <c r="O1915" s="14" t="e">
        <v>#N/A</v>
      </c>
      <c r="P1915" s="14" t="e">
        <v>#N/A</v>
      </c>
      <c r="Q1915" s="19" t="s">
        <v>11985</v>
      </c>
      <c r="R1915" s="15" t="s">
        <v>11986</v>
      </c>
      <c r="S1915" s="16" t="s">
        <v>89</v>
      </c>
      <c r="T1915" s="16" t="s">
        <v>89</v>
      </c>
      <c r="U1915" s="11" t="str">
        <f>_xlfn.XLOOKUP(Customer[[#This Row],[Customer ID]],[1]!Address[ID],[1]!Address[Phone No.(2)])</f>
        <v/>
      </c>
      <c r="V1915" s="11" t="str">
        <f>_xlfn.XLOOKUP(Customer[[#This Row],[Customer ID]],[1]!Address[ID],[1]!Address[Type])</f>
        <v>WALK IN</v>
      </c>
      <c r="W1915" s="11" t="str">
        <f>_xlfn.XLOOKUP(Customer[[#This Row],[Customer ID]],[1]!Address[ID],[1]!Address[CT])</f>
        <v/>
      </c>
      <c r="X1915" s="11"/>
      <c r="Y1915" s="17" t="s">
        <v>6284</v>
      </c>
      <c r="Z1915" s="17" t="e">
        <f>_xlfn.XLOOKUP(Customer[[#This Row],[NewType]],$AF$36:$AF$54,$AG$36:$AG$54)</f>
        <v>#N/A</v>
      </c>
      <c r="AA1915" s="17" t="s">
        <v>11987</v>
      </c>
      <c r="AB1915" s="11" t="str">
        <f>_xlfn.XLOOKUP(Customer[[#This Row],[Customer ID]],[1]!Address[ID],[1]!Address[Subtype])</f>
        <v>STAFF</v>
      </c>
      <c r="AC1915" s="18" t="str">
        <f>_xlfn.XLOOKUP(Customer[[#This Row],[Customer ID]],[1]!Address[ID],[1]!Address[Zone])</f>
        <v>CENTRAL</v>
      </c>
    </row>
    <row r="1916" spans="1:30" x14ac:dyDescent="0.3">
      <c r="A1916" s="10" t="s">
        <v>11988</v>
      </c>
      <c r="B1916" s="11" t="str">
        <f>_xlfn.XLOOKUP(Customer[[#This Row],[Customer ID]],[1]!Name[ID],[1]!Name[Description(1)])</f>
        <v>NORAZLIN MD HARITH</v>
      </c>
      <c r="C1916" s="11" t="str">
        <f>_xlfn.XLOOKUP(Customer[[#This Row],[Customer ID]],[1]!Name[ID],[1]!Name[Description(2)])</f>
        <v>(FACILITY)</v>
      </c>
      <c r="D1916" s="11" t="str">
        <f>_xlfn.XLOOKUP(Customer[[#This Row],[Customer ID]],[1]!Address[ID],[1]!Address[PIC])</f>
        <v>NORAZLIN</v>
      </c>
      <c r="E1916" s="11" t="str">
        <f>_xlfn.XLOOKUP(Customer[[#This Row],[Customer ID]],[1]!Address[ID],[1]!Address[Full Address])</f>
        <v>NO 44, JALAN TDC 1, TMN DESA CHEMBONG,71300 REMBAU, NEGERI SEMBILAN</v>
      </c>
      <c r="F1916" s="12" t="s">
        <v>11989</v>
      </c>
      <c r="G1916" s="12" t="s">
        <v>11990</v>
      </c>
      <c r="H1916" s="12" t="s">
        <v>7985</v>
      </c>
      <c r="I1916" s="12" t="b">
        <f>ISNUMBER(VALUE(LEFT(Customer[[#This Row],[Address Line 3 (30 char)]],1)))</f>
        <v>0</v>
      </c>
      <c r="J1916" s="12" t="s">
        <v>203</v>
      </c>
      <c r="K1916" s="12">
        <v>71300</v>
      </c>
      <c r="L1916" s="12" t="s">
        <v>35</v>
      </c>
      <c r="M1916" s="13" t="e">
        <v>#N/A</v>
      </c>
      <c r="N1916" s="14" t="s">
        <v>11991</v>
      </c>
      <c r="O1916" s="14" t="e">
        <v>#N/A</v>
      </c>
      <c r="P1916" s="14" t="e">
        <v>#N/A</v>
      </c>
      <c r="Q1916" s="19" t="s">
        <v>11992</v>
      </c>
      <c r="R1916" s="15" t="s">
        <v>11993</v>
      </c>
      <c r="S1916" s="16" t="s">
        <v>89</v>
      </c>
      <c r="T1916" s="16" t="s">
        <v>89</v>
      </c>
      <c r="U1916" s="11" t="str">
        <f>_xlfn.XLOOKUP(Customer[[#This Row],[Customer ID]],[1]!Address[ID],[1]!Address[Phone No.(2)])</f>
        <v/>
      </c>
      <c r="V1916" s="11" t="str">
        <f>_xlfn.XLOOKUP(Customer[[#This Row],[Customer ID]],[1]!Address[ID],[1]!Address[Type])</f>
        <v>WALK IN</v>
      </c>
      <c r="W1916" s="11" t="str">
        <f>_xlfn.XLOOKUP(Customer[[#This Row],[Customer ID]],[1]!Address[ID],[1]!Address[CT])</f>
        <v/>
      </c>
      <c r="X1916" s="11"/>
      <c r="Y1916" s="17" t="s">
        <v>6284</v>
      </c>
      <c r="Z1916" s="17" t="e">
        <f>_xlfn.XLOOKUP(Customer[[#This Row],[NewType]],$AF$36:$AF$54,$AG$36:$AG$54)</f>
        <v>#N/A</v>
      </c>
      <c r="AA1916" s="17" t="s">
        <v>11994</v>
      </c>
      <c r="AB1916" s="11" t="str">
        <f>_xlfn.XLOOKUP(Customer[[#This Row],[Customer ID]],[1]!Address[ID],[1]!Address[Subtype])</f>
        <v>STAFF</v>
      </c>
      <c r="AC1916" s="18" t="str">
        <f>_xlfn.XLOOKUP(Customer[[#This Row],[Customer ID]],[1]!Address[ID],[1]!Address[Zone])</f>
        <v>CENTRAL</v>
      </c>
    </row>
    <row r="1917" spans="1:30" x14ac:dyDescent="0.3">
      <c r="A1917" s="10" t="s">
        <v>11995</v>
      </c>
      <c r="B1917" s="11" t="str">
        <f>_xlfn.XLOOKUP(Customer[[#This Row],[Customer ID]],[1]!Name[ID],[1]!Name[Description(1)])</f>
        <v>MUHAMMAD NOR AFIQ SAFWAN</v>
      </c>
      <c r="C1917" s="11" t="str">
        <f>_xlfn.XLOOKUP(Customer[[#This Row],[Customer ID]],[1]!Name[ID],[1]!Name[Description(2)])</f>
        <v>(WAREHOUSE RANTAU)</v>
      </c>
      <c r="D1917" s="11" t="str">
        <f>_xlfn.XLOOKUP(Customer[[#This Row],[Customer ID]],[1]!Address[ID],[1]!Address[PIC])</f>
        <v>AFIQ</v>
      </c>
      <c r="E1917" s="11" t="str">
        <f>_xlfn.XLOOKUP(Customer[[#This Row],[Customer ID]],[1]!Address[ID],[1]!Address[Full Address])</f>
        <v>NO 12, RUMAH RAKYAT LINSUM, 71200RANTAU, NEGERI SEMBILAN</v>
      </c>
      <c r="F1917" s="12" t="s">
        <v>11996</v>
      </c>
      <c r="G1917" s="12" t="s">
        <v>11997</v>
      </c>
      <c r="H1917" s="12" t="s">
        <v>6428</v>
      </c>
      <c r="I1917" s="12" t="b">
        <f>ISNUMBER(VALUE(LEFT(Customer[[#This Row],[Address Line 3 (30 char)]],1)))</f>
        <v>0</v>
      </c>
      <c r="J1917" s="12" t="s">
        <v>203</v>
      </c>
      <c r="K1917" s="12">
        <v>71200</v>
      </c>
      <c r="L1917" s="12" t="s">
        <v>35</v>
      </c>
      <c r="M1917" s="13" t="e">
        <v>#N/A</v>
      </c>
      <c r="N1917" s="14" t="s">
        <v>11998</v>
      </c>
      <c r="O1917" s="14" t="e">
        <v>#N/A</v>
      </c>
      <c r="P1917" s="14" t="e">
        <v>#N/A</v>
      </c>
      <c r="Q1917" s="19" t="s">
        <v>11999</v>
      </c>
      <c r="R1917" s="15" t="s">
        <v>12000</v>
      </c>
      <c r="S1917" s="16" t="s">
        <v>89</v>
      </c>
      <c r="T1917" s="16" t="s">
        <v>89</v>
      </c>
      <c r="U1917" s="11" t="str">
        <f>_xlfn.XLOOKUP(Customer[[#This Row],[Customer ID]],[1]!Address[ID],[1]!Address[Phone No.(2)])</f>
        <v/>
      </c>
      <c r="V1917" s="11" t="str">
        <f>_xlfn.XLOOKUP(Customer[[#This Row],[Customer ID]],[1]!Address[ID],[1]!Address[Type])</f>
        <v>WALK IN</v>
      </c>
      <c r="W1917" s="11" t="str">
        <f>_xlfn.XLOOKUP(Customer[[#This Row],[Customer ID]],[1]!Address[ID],[1]!Address[CT])</f>
        <v/>
      </c>
      <c r="X1917" s="11"/>
      <c r="Y1917" s="17" t="s">
        <v>6284</v>
      </c>
      <c r="Z1917" s="17" t="e">
        <f>_xlfn.XLOOKUP(Customer[[#This Row],[NewType]],$AF$36:$AF$54,$AG$36:$AG$54)</f>
        <v>#N/A</v>
      </c>
      <c r="AA1917" s="17" t="s">
        <v>12001</v>
      </c>
      <c r="AB1917" s="11" t="str">
        <f>_xlfn.XLOOKUP(Customer[[#This Row],[Customer ID]],[1]!Address[ID],[1]!Address[Subtype])</f>
        <v>STAFF</v>
      </c>
      <c r="AC1917" s="18" t="str">
        <f>_xlfn.XLOOKUP(Customer[[#This Row],[Customer ID]],[1]!Address[ID],[1]!Address[Zone])</f>
        <v>CENTRAL</v>
      </c>
    </row>
    <row r="1918" spans="1:30" x14ac:dyDescent="0.3">
      <c r="A1918" s="10" t="s">
        <v>12002</v>
      </c>
      <c r="B1918" s="11" t="str">
        <f>_xlfn.XLOOKUP(Customer[[#This Row],[Customer ID]],[1]!Name[ID],[1]!Name[Description(1)])</f>
        <v>SHAZLIN BINTI MUHAMAD</v>
      </c>
      <c r="C1918" s="11" t="str">
        <f>_xlfn.XLOOKUP(Customer[[#This Row],[Customer ID]],[1]!Name[ID],[1]!Name[Description(2)])</f>
        <v/>
      </c>
      <c r="D1918" s="11" t="str">
        <f>_xlfn.XLOOKUP(Customer[[#This Row],[Customer ID]],[1]!Address[ID],[1]!Address[PIC])</f>
        <v>SHAZLIN BINTI M</v>
      </c>
      <c r="E1918" s="11" t="str">
        <f>_xlfn.XLOOKUP(Customer[[#This Row],[Customer ID]],[1]!Address[ID],[1]!Address[Full Address])</f>
        <v>NO. 4, LORONG 1, JAAN BM5,TAMAN BERTAM MURNI, 75260 MELAKA</v>
      </c>
      <c r="F1918" s="12" t="s">
        <v>12003</v>
      </c>
      <c r="G1918" s="12" t="s">
        <v>12004</v>
      </c>
      <c r="H1918" s="12" t="s">
        <v>36</v>
      </c>
      <c r="I1918" s="12" t="b">
        <f>ISNUMBER(VALUE(LEFT(Customer[[#This Row],[Address Line 3 (30 char)]],1)))</f>
        <v>0</v>
      </c>
      <c r="J1918" s="12" t="s">
        <v>61</v>
      </c>
      <c r="K1918" s="12">
        <v>75260</v>
      </c>
      <c r="L1918" s="12" t="s">
        <v>35</v>
      </c>
      <c r="M1918" s="13" t="e">
        <v>#N/A</v>
      </c>
      <c r="N1918" s="14" t="s">
        <v>12005</v>
      </c>
      <c r="O1918" s="14" t="e">
        <v>#N/A</v>
      </c>
      <c r="P1918" s="14" t="e">
        <v>#N/A</v>
      </c>
      <c r="Q1918" s="19" t="s">
        <v>12006</v>
      </c>
      <c r="R1918" s="15" t="s">
        <v>12007</v>
      </c>
      <c r="S1918" s="16" t="s">
        <v>89</v>
      </c>
      <c r="T1918" s="16" t="s">
        <v>89</v>
      </c>
      <c r="U1918" s="11" t="str">
        <f>_xlfn.XLOOKUP(Customer[[#This Row],[Customer ID]],[1]!Address[ID],[1]!Address[Phone No.(2)])</f>
        <v/>
      </c>
      <c r="V1918" s="11" t="str">
        <f>_xlfn.XLOOKUP(Customer[[#This Row],[Customer ID]],[1]!Address[ID],[1]!Address[Type])</f>
        <v>WALK IN</v>
      </c>
      <c r="W1918" s="11" t="str">
        <f>_xlfn.XLOOKUP(Customer[[#This Row],[Customer ID]],[1]!Address[ID],[1]!Address[CT])</f>
        <v/>
      </c>
      <c r="X1918" s="11"/>
      <c r="Y1918" s="17" t="s">
        <v>6284</v>
      </c>
      <c r="Z1918" s="17" t="e">
        <f>_xlfn.XLOOKUP(Customer[[#This Row],[NewType]],$AF$36:$AF$54,$AG$36:$AG$54)</f>
        <v>#N/A</v>
      </c>
      <c r="AA1918" s="17" t="s">
        <v>12008</v>
      </c>
      <c r="AB1918" s="11" t="str">
        <f>_xlfn.XLOOKUP(Customer[[#This Row],[Customer ID]],[1]!Address[ID],[1]!Address[Subtype])</f>
        <v>PEDAS</v>
      </c>
      <c r="AC1918" s="18" t="str">
        <f>_xlfn.XLOOKUP(Customer[[#This Row],[Customer ID]],[1]!Address[ID],[1]!Address[Zone])</f>
        <v>SOUTH</v>
      </c>
    </row>
    <row r="1919" spans="1:30" x14ac:dyDescent="0.3">
      <c r="A1919" s="10" t="s">
        <v>12009</v>
      </c>
      <c r="B1919" s="11" t="str">
        <f>_xlfn.XLOOKUP(Customer[[#This Row],[Customer ID]],[1]!Name[ID],[1]!Name[Description(1)])</f>
        <v>MUHAMMAD AKASYAH BIN SHAMSURI</v>
      </c>
      <c r="C1919" s="11" t="str">
        <f>_xlfn.XLOOKUP(Customer[[#This Row],[Customer ID]],[1]!Name[ID],[1]!Name[Description(2)])</f>
        <v/>
      </c>
      <c r="D1919" s="11" t="str">
        <f>_xlfn.XLOOKUP(Customer[[#This Row],[Customer ID]],[1]!Address[ID],[1]!Address[PIC])</f>
        <v>MUHAMMAD AKASYA</v>
      </c>
      <c r="E1919" s="11" t="str">
        <f>_xlfn.XLOOKUP(Customer[[#This Row],[Customer ID]],[1]!Address[ID],[1]!Address[Full Address])</f>
        <v>NO.6, JALAN 1, RUMAH RAKYAT PEDAS,71400 PEDAS, NEGERI SEMBILAN</v>
      </c>
      <c r="F1919" s="12" t="s">
        <v>12010</v>
      </c>
      <c r="G1919" s="12" t="s">
        <v>12011</v>
      </c>
      <c r="H1919" s="12" t="s">
        <v>8914</v>
      </c>
      <c r="I1919" s="12" t="b">
        <f>ISNUMBER(VALUE(LEFT(Customer[[#This Row],[Address Line 3 (30 char)]],1)))</f>
        <v>0</v>
      </c>
      <c r="J1919" s="12" t="s">
        <v>203</v>
      </c>
      <c r="K1919" s="12">
        <v>71400</v>
      </c>
      <c r="L1919" s="12" t="s">
        <v>35</v>
      </c>
      <c r="M1919" s="13" t="e">
        <v>#N/A</v>
      </c>
      <c r="N1919" s="14" t="s">
        <v>12012</v>
      </c>
      <c r="O1919" s="14" t="e">
        <v>#N/A</v>
      </c>
      <c r="P1919" s="14" t="e">
        <v>#N/A</v>
      </c>
      <c r="Q1919" s="19" t="s">
        <v>12013</v>
      </c>
      <c r="R1919" s="15" t="s">
        <v>12014</v>
      </c>
      <c r="S1919" s="16" t="s">
        <v>89</v>
      </c>
      <c r="T1919" s="16" t="s">
        <v>89</v>
      </c>
      <c r="U1919" s="11" t="str">
        <f>_xlfn.XLOOKUP(Customer[[#This Row],[Customer ID]],[1]!Address[ID],[1]!Address[Phone No.(2)])</f>
        <v/>
      </c>
      <c r="V1919" s="11" t="str">
        <f>_xlfn.XLOOKUP(Customer[[#This Row],[Customer ID]],[1]!Address[ID],[1]!Address[Type])</f>
        <v>WALK IN</v>
      </c>
      <c r="W1919" s="11" t="str">
        <f>_xlfn.XLOOKUP(Customer[[#This Row],[Customer ID]],[1]!Address[ID],[1]!Address[CT])</f>
        <v/>
      </c>
      <c r="X1919" s="11"/>
      <c r="Y1919" s="17" t="s">
        <v>6284</v>
      </c>
      <c r="Z1919" s="17" t="e">
        <f>_xlfn.XLOOKUP(Customer[[#This Row],[NewType]],$AF$36:$AF$54,$AG$36:$AG$54)</f>
        <v>#N/A</v>
      </c>
      <c r="AA1919" s="17" t="s">
        <v>12015</v>
      </c>
      <c r="AB1919" s="11" t="str">
        <f>_xlfn.XLOOKUP(Customer[[#This Row],[Customer ID]],[1]!Address[ID],[1]!Address[Subtype])</f>
        <v>PEDAS</v>
      </c>
      <c r="AC1919" s="18" t="str">
        <f>_xlfn.XLOOKUP(Customer[[#This Row],[Customer ID]],[1]!Address[ID],[1]!Address[Zone])</f>
        <v>CENTRAL</v>
      </c>
    </row>
    <row r="1920" spans="1:30" x14ac:dyDescent="0.3">
      <c r="A1920" s="45" t="s">
        <v>12016</v>
      </c>
      <c r="B1920" s="32" t="str">
        <f>_xlfn.XLOOKUP(Customer[[#This Row],[Customer ID]],[1]!Name[ID],[1]!Name[Description(1)])</f>
        <v>WAN ROSLI (IPD REMBAU)</v>
      </c>
      <c r="C1920" s="32" t="str">
        <f>_xlfn.XLOOKUP(Customer[[#This Row],[Customer ID]],[1]!Name[ID],[1]!Name[Description(2)])</f>
        <v/>
      </c>
      <c r="D1920" s="32" t="str">
        <f>_xlfn.XLOOKUP(Customer[[#This Row],[Customer ID]],[1]!Address[ID],[1]!Address[PIC])</f>
        <v>WAN ROSLI</v>
      </c>
      <c r="E1920" s="11" t="str">
        <f>_xlfn.XLOOKUP(Customer[[#This Row],[Customer ID]],[1]!Address[ID],[1]!Address[Full Address])</f>
        <v>IPD REMBAU, KAMPUNG ANAK AYER KUNDOR,71300 PEDAS, NEGERI SEMBILAN.</v>
      </c>
      <c r="F1920" s="12" t="s">
        <v>12017</v>
      </c>
      <c r="G1920" s="12" t="s">
        <v>12018</v>
      </c>
      <c r="H1920" s="12" t="s">
        <v>8914</v>
      </c>
      <c r="I1920" s="12" t="b">
        <f>ISNUMBER(VALUE(LEFT(Customer[[#This Row],[Address Line 3 (30 char)]],1)))</f>
        <v>0</v>
      </c>
      <c r="J1920" s="12" t="s">
        <v>203</v>
      </c>
      <c r="K1920" s="12">
        <v>71300</v>
      </c>
      <c r="L1920" s="12" t="s">
        <v>35</v>
      </c>
      <c r="M1920" s="13" t="e">
        <v>#N/A</v>
      </c>
      <c r="N1920" s="14" t="s">
        <v>11964</v>
      </c>
      <c r="O1920" s="14" t="e">
        <v>#N/A</v>
      </c>
      <c r="P1920" s="14" t="e">
        <v>#N/A</v>
      </c>
      <c r="Q1920" s="19" t="s">
        <v>12019</v>
      </c>
      <c r="R1920" s="114" t="s">
        <v>12020</v>
      </c>
      <c r="S1920" s="115" t="s">
        <v>89</v>
      </c>
      <c r="T1920" s="115" t="s">
        <v>89</v>
      </c>
      <c r="U1920" s="32" t="str">
        <f>_xlfn.XLOOKUP(Customer[[#This Row],[Customer ID]],[1]!Address[ID],[1]!Address[Phone No.(2)])</f>
        <v/>
      </c>
      <c r="V1920" s="32" t="str">
        <f>_xlfn.XLOOKUP(Customer[[#This Row],[Customer ID]],[1]!Address[ID],[1]!Address[Type])</f>
        <v>WALK IN</v>
      </c>
      <c r="W1920" s="32" t="str">
        <f>_xlfn.XLOOKUP(Customer[[#This Row],[Customer ID]],[1]!Address[ID],[1]!Address[CT])</f>
        <v/>
      </c>
      <c r="X1920" s="32"/>
      <c r="Y1920" s="116" t="s">
        <v>6284</v>
      </c>
      <c r="Z1920" s="116" t="e">
        <f>_xlfn.XLOOKUP(Customer[[#This Row],[NewType]],$AF$36:$AF$54,$AG$36:$AG$54)</f>
        <v>#N/A</v>
      </c>
      <c r="AA1920" s="116" t="s">
        <v>12021</v>
      </c>
      <c r="AB1920" s="32" t="str">
        <f>_xlfn.XLOOKUP(Customer[[#This Row],[Customer ID]],[1]!Address[ID],[1]!Address[Subtype])</f>
        <v>STAFF</v>
      </c>
      <c r="AC1920" s="117" t="str">
        <f>_xlfn.XLOOKUP(Customer[[#This Row],[Customer ID]],[1]!Address[ID],[1]!Address[Zone])</f>
        <v>CENTRAL</v>
      </c>
      <c r="AD1920" s="118"/>
    </row>
    <row r="1921" spans="1:29" x14ac:dyDescent="0.3">
      <c r="A1921" s="10" t="s">
        <v>12022</v>
      </c>
      <c r="B1921" s="11" t="str">
        <f>_xlfn.XLOOKUP(Customer[[#This Row],[Customer ID]],[1]!Name[ID],[1]!Name[Description(1)])</f>
        <v>NORFAZLEE SHAH BIN NORHISHAM</v>
      </c>
      <c r="C1921" s="11" t="str">
        <f>_xlfn.XLOOKUP(Customer[[#This Row],[Customer ID]],[1]!Name[ID],[1]!Name[Description(2)])</f>
        <v>(PROJECT)</v>
      </c>
      <c r="D1921" s="11" t="str">
        <f>_xlfn.XLOOKUP(Customer[[#This Row],[Customer ID]],[1]!Address[ID],[1]!Address[PIC])</f>
        <v>FAZLEE</v>
      </c>
      <c r="E1921" s="11" t="str">
        <f>_xlfn.XLOOKUP(Customer[[#This Row],[Customer ID]],[1]!Address[ID],[1]!Address[Full Address])</f>
        <v>NO 34, LORONG SRI ANGGERIK 2/5,TAMAN SRI ANGGERIK, 71200 RANTAU,NEGERI SEMBILAN</v>
      </c>
      <c r="F1921" s="12" t="s">
        <v>12023</v>
      </c>
      <c r="G1921" s="12" t="s">
        <v>12024</v>
      </c>
      <c r="H1921" s="12" t="s">
        <v>12025</v>
      </c>
      <c r="I1921" s="12" t="b">
        <f>ISNUMBER(VALUE(LEFT(Customer[[#This Row],[Address Line 3 (30 char)]],1)))</f>
        <v>0</v>
      </c>
      <c r="J1921" s="12" t="s">
        <v>203</v>
      </c>
      <c r="K1921" s="12">
        <v>71200</v>
      </c>
      <c r="L1921" s="12" t="s">
        <v>35</v>
      </c>
      <c r="M1921" s="13" t="e">
        <v>#N/A</v>
      </c>
      <c r="N1921" s="14" t="s">
        <v>12026</v>
      </c>
      <c r="O1921" s="14" t="e">
        <v>#N/A</v>
      </c>
      <c r="P1921" s="14" t="e">
        <v>#N/A</v>
      </c>
      <c r="Q1921" s="19" t="s">
        <v>12027</v>
      </c>
      <c r="R1921" s="15" t="s">
        <v>12028</v>
      </c>
      <c r="S1921" s="16" t="s">
        <v>89</v>
      </c>
      <c r="T1921" s="16" t="s">
        <v>89</v>
      </c>
      <c r="U1921" s="11" t="str">
        <f>_xlfn.XLOOKUP(Customer[[#This Row],[Customer ID]],[1]!Address[ID],[1]!Address[Phone No.(2)])</f>
        <v/>
      </c>
      <c r="V1921" s="11" t="str">
        <f>_xlfn.XLOOKUP(Customer[[#This Row],[Customer ID]],[1]!Address[ID],[1]!Address[Type])</f>
        <v>WALK IN</v>
      </c>
      <c r="W1921" s="11" t="str">
        <f>_xlfn.XLOOKUP(Customer[[#This Row],[Customer ID]],[1]!Address[ID],[1]!Address[CT])</f>
        <v/>
      </c>
      <c r="X1921" s="11"/>
      <c r="Y1921" s="17" t="s">
        <v>6284</v>
      </c>
      <c r="Z1921" s="17" t="e">
        <f>_xlfn.XLOOKUP(Customer[[#This Row],[NewType]],$AF$36:$AF$54,$AG$36:$AG$54)</f>
        <v>#N/A</v>
      </c>
      <c r="AA1921" s="17" t="s">
        <v>12029</v>
      </c>
      <c r="AB1921" s="11" t="str">
        <f>_xlfn.XLOOKUP(Customer[[#This Row],[Customer ID]],[1]!Address[ID],[1]!Address[Subtype])</f>
        <v>STAFF</v>
      </c>
      <c r="AC1921" s="18" t="str">
        <f>_xlfn.XLOOKUP(Customer[[#This Row],[Customer ID]],[1]!Address[ID],[1]!Address[Zone])</f>
        <v>CENTRAL</v>
      </c>
    </row>
    <row r="1922" spans="1:29" x14ac:dyDescent="0.3">
      <c r="A1922" s="10" t="s">
        <v>12030</v>
      </c>
      <c r="B1922" s="11" t="str">
        <f>_xlfn.XLOOKUP(Customer[[#This Row],[Customer ID]],[1]!Name[ID],[1]!Name[Description(1)])</f>
        <v>MUHD HAFIZZUDIN AFIQ BIN YAHYA</v>
      </c>
      <c r="C1922" s="11" t="str">
        <f>_xlfn.XLOOKUP(Customer[[#This Row],[Customer ID]],[1]!Name[ID],[1]!Name[Description(2)])</f>
        <v>(WAREHOUSE RANTAU)</v>
      </c>
      <c r="D1922" s="11" t="str">
        <f>_xlfn.XLOOKUP(Customer[[#This Row],[Customer ID]],[1]!Address[ID],[1]!Address[PIC])</f>
        <v>HAFIZZUDIN</v>
      </c>
      <c r="E1922" s="11" t="str">
        <f>_xlfn.XLOOKUP(Customer[[#This Row],[Customer ID]],[1]!Address[ID],[1]!Address[Full Address])</f>
        <v>LOT 511, KAMPUNG PASIR TENGAH BATU 121/2, JALAN SILIAU, 71200 RANTAU,NEGERI SEMBILAN</v>
      </c>
      <c r="F1922" s="12" t="s">
        <v>12031</v>
      </c>
      <c r="G1922" s="12" t="s">
        <v>12032</v>
      </c>
      <c r="H1922" s="12" t="s">
        <v>12033</v>
      </c>
      <c r="I1922" s="12" t="b">
        <f>ISNUMBER(VALUE(LEFT(Customer[[#This Row],[Address Line 3 (30 char)]],1)))</f>
        <v>0</v>
      </c>
      <c r="J1922" s="12" t="s">
        <v>203</v>
      </c>
      <c r="K1922" s="12">
        <v>71200</v>
      </c>
      <c r="L1922" s="12" t="s">
        <v>35</v>
      </c>
      <c r="M1922" s="13" t="e">
        <v>#N/A</v>
      </c>
      <c r="N1922" s="14" t="s">
        <v>12034</v>
      </c>
      <c r="O1922" s="14" t="e">
        <v>#N/A</v>
      </c>
      <c r="P1922" s="14" t="e">
        <v>#N/A</v>
      </c>
      <c r="Q1922" s="19" t="s">
        <v>12035</v>
      </c>
      <c r="R1922" s="15" t="s">
        <v>12036</v>
      </c>
      <c r="S1922" s="16" t="s">
        <v>89</v>
      </c>
      <c r="T1922" s="16" t="s">
        <v>89</v>
      </c>
      <c r="U1922" s="11" t="str">
        <f>_xlfn.XLOOKUP(Customer[[#This Row],[Customer ID]],[1]!Address[ID],[1]!Address[Phone No.(2)])</f>
        <v/>
      </c>
      <c r="V1922" s="11" t="str">
        <f>_xlfn.XLOOKUP(Customer[[#This Row],[Customer ID]],[1]!Address[ID],[1]!Address[Type])</f>
        <v>WALK IN</v>
      </c>
      <c r="W1922" s="11" t="str">
        <f>_xlfn.XLOOKUP(Customer[[#This Row],[Customer ID]],[1]!Address[ID],[1]!Address[CT])</f>
        <v/>
      </c>
      <c r="X1922" s="11"/>
      <c r="Y1922" s="17" t="s">
        <v>6284</v>
      </c>
      <c r="Z1922" s="17" t="e">
        <f>_xlfn.XLOOKUP(Customer[[#This Row],[NewType]],$AF$36:$AF$54,$AG$36:$AG$54)</f>
        <v>#N/A</v>
      </c>
      <c r="AA1922" s="17" t="s">
        <v>12037</v>
      </c>
      <c r="AB1922" s="11" t="str">
        <f>_xlfn.XLOOKUP(Customer[[#This Row],[Customer ID]],[1]!Address[ID],[1]!Address[Subtype])</f>
        <v>STAFF</v>
      </c>
      <c r="AC1922" s="18" t="str">
        <f>_xlfn.XLOOKUP(Customer[[#This Row],[Customer ID]],[1]!Address[ID],[1]!Address[Zone])</f>
        <v>CENTRAL</v>
      </c>
    </row>
    <row r="1923" spans="1:29" x14ac:dyDescent="0.3">
      <c r="A1923" s="10" t="s">
        <v>12038</v>
      </c>
      <c r="B1923" s="11" t="str">
        <f>_xlfn.XLOOKUP(Customer[[#This Row],[Customer ID]],[1]!Name[ID],[1]!Name[Description(1)])</f>
        <v>MOHD FAIZAL BIN ZAINAL ABIDIN</v>
      </c>
      <c r="C1923" s="11" t="str">
        <f>_xlfn.XLOOKUP(Customer[[#This Row],[Customer ID]],[1]!Name[ID],[1]!Name[Description(2)])</f>
        <v>(WAREHOUSE PEDAS)</v>
      </c>
      <c r="D1923" s="11" t="str">
        <f>_xlfn.XLOOKUP(Customer[[#This Row],[Customer ID]],[1]!Address[ID],[1]!Address[PIC])</f>
        <v>FAIZAL</v>
      </c>
      <c r="E1923" s="11" t="str">
        <f>_xlfn.XLOOKUP(Customer[[#This Row],[Customer ID]],[1]!Address[ID],[1]!Address[Full Address])</f>
        <v>KG BONGEK ACHEH, 71300 REMBAU,NEGERI SEMBILAN</v>
      </c>
      <c r="F1923" s="12" t="s">
        <v>12039</v>
      </c>
      <c r="G1923" s="12"/>
      <c r="H1923" s="12" t="s">
        <v>36</v>
      </c>
      <c r="I1923" s="12" t="b">
        <f>ISNUMBER(VALUE(LEFT(Customer[[#This Row],[Address Line 3 (30 char)]],1)))</f>
        <v>0</v>
      </c>
      <c r="J1923" s="12" t="s">
        <v>203</v>
      </c>
      <c r="K1923" s="12">
        <v>71300</v>
      </c>
      <c r="L1923" s="12" t="s">
        <v>35</v>
      </c>
      <c r="M1923" s="13" t="e">
        <v>#N/A</v>
      </c>
      <c r="N1923" s="14" t="s">
        <v>12040</v>
      </c>
      <c r="O1923" s="14" t="e">
        <v>#N/A</v>
      </c>
      <c r="P1923" s="14" t="e">
        <v>#N/A</v>
      </c>
      <c r="Q1923" s="19" t="s">
        <v>12041</v>
      </c>
      <c r="R1923" s="15" t="s">
        <v>12042</v>
      </c>
      <c r="S1923" s="16" t="s">
        <v>89</v>
      </c>
      <c r="T1923" s="16" t="s">
        <v>89</v>
      </c>
      <c r="U1923" s="11" t="str">
        <f>_xlfn.XLOOKUP(Customer[[#This Row],[Customer ID]],[1]!Address[ID],[1]!Address[Phone No.(2)])</f>
        <v/>
      </c>
      <c r="V1923" s="11" t="str">
        <f>_xlfn.XLOOKUP(Customer[[#This Row],[Customer ID]],[1]!Address[ID],[1]!Address[Type])</f>
        <v>WALK IN</v>
      </c>
      <c r="W1923" s="11" t="str">
        <f>_xlfn.XLOOKUP(Customer[[#This Row],[Customer ID]],[1]!Address[ID],[1]!Address[CT])</f>
        <v/>
      </c>
      <c r="X1923" s="11"/>
      <c r="Y1923" s="17" t="s">
        <v>6284</v>
      </c>
      <c r="Z1923" s="17" t="e">
        <f>_xlfn.XLOOKUP(Customer[[#This Row],[NewType]],$AF$36:$AF$54,$AG$36:$AG$54)</f>
        <v>#N/A</v>
      </c>
      <c r="AA1923" s="17" t="s">
        <v>12043</v>
      </c>
      <c r="AB1923" s="11" t="str">
        <f>_xlfn.XLOOKUP(Customer[[#This Row],[Customer ID]],[1]!Address[ID],[1]!Address[Subtype])</f>
        <v>STAFF</v>
      </c>
      <c r="AC1923" s="18" t="str">
        <f>_xlfn.XLOOKUP(Customer[[#This Row],[Customer ID]],[1]!Address[ID],[1]!Address[Zone])</f>
        <v>CENTRAL</v>
      </c>
    </row>
    <row r="1924" spans="1:29" x14ac:dyDescent="0.3">
      <c r="A1924" s="10" t="s">
        <v>12044</v>
      </c>
      <c r="B1924" s="11" t="str">
        <f>_xlfn.XLOOKUP(Customer[[#This Row],[Customer ID]],[1]!Name[ID],[1]!Name[Description(1)])</f>
        <v>MOHD ZAFFARIN ABDUL GHAFFAR</v>
      </c>
      <c r="C1924" s="11" t="str">
        <f>_xlfn.XLOOKUP(Customer[[#This Row],[Customer ID]],[1]!Name[ID],[1]!Name[Description(2)])</f>
        <v/>
      </c>
      <c r="D1924" s="11" t="str">
        <f>_xlfn.XLOOKUP(Customer[[#This Row],[Customer ID]],[1]!Address[ID],[1]!Address[PIC])</f>
        <v>MOHD ZAFFARIN</v>
      </c>
      <c r="E1924" s="11" t="str">
        <f>_xlfn.XLOOKUP(Customer[[#This Row],[Customer ID]],[1]!Address[ID],[1]!Address[Full Address])</f>
        <v>KG MASJID 71200 RANTAU,NEGERI SEMBILAN</v>
      </c>
      <c r="F1924" s="12" t="s">
        <v>12045</v>
      </c>
      <c r="G1924" s="12"/>
      <c r="H1924" s="12" t="s">
        <v>36</v>
      </c>
      <c r="I1924" s="12" t="b">
        <f>ISNUMBER(VALUE(LEFT(Customer[[#This Row],[Address Line 3 (30 char)]],1)))</f>
        <v>0</v>
      </c>
      <c r="J1924" s="12" t="s">
        <v>203</v>
      </c>
      <c r="K1924" s="12">
        <v>71200</v>
      </c>
      <c r="L1924" s="12" t="s">
        <v>35</v>
      </c>
      <c r="M1924" s="13" t="e">
        <v>#N/A</v>
      </c>
      <c r="N1924" s="14" t="s">
        <v>12046</v>
      </c>
      <c r="O1924" s="14" t="e">
        <v>#N/A</v>
      </c>
      <c r="P1924" s="14" t="e">
        <v>#N/A</v>
      </c>
      <c r="Q1924" s="19" t="s">
        <v>12047</v>
      </c>
      <c r="R1924" s="15" t="s">
        <v>12048</v>
      </c>
      <c r="S1924" s="16" t="s">
        <v>89</v>
      </c>
      <c r="T1924" s="16" t="s">
        <v>89</v>
      </c>
      <c r="U1924" s="11" t="str">
        <f>_xlfn.XLOOKUP(Customer[[#This Row],[Customer ID]],[1]!Address[ID],[1]!Address[Phone No.(2)])</f>
        <v/>
      </c>
      <c r="V1924" s="11" t="str">
        <f>_xlfn.XLOOKUP(Customer[[#This Row],[Customer ID]],[1]!Address[ID],[1]!Address[Type])</f>
        <v>WALK IN</v>
      </c>
      <c r="W1924" s="11" t="str">
        <f>_xlfn.XLOOKUP(Customer[[#This Row],[Customer ID]],[1]!Address[ID],[1]!Address[CT])</f>
        <v/>
      </c>
      <c r="X1924" s="11"/>
      <c r="Y1924" s="17" t="s">
        <v>6284</v>
      </c>
      <c r="Z1924" s="17" t="e">
        <f>_xlfn.XLOOKUP(Customer[[#This Row],[NewType]],$AF$36:$AF$54,$AG$36:$AG$54)</f>
        <v>#N/A</v>
      </c>
      <c r="AA1924" s="17" t="s">
        <v>12049</v>
      </c>
      <c r="AB1924" s="11" t="str">
        <f>_xlfn.XLOOKUP(Customer[[#This Row],[Customer ID]],[1]!Address[ID],[1]!Address[Subtype])</f>
        <v>STAFF</v>
      </c>
      <c r="AC1924" s="18" t="str">
        <f>_xlfn.XLOOKUP(Customer[[#This Row],[Customer ID]],[1]!Address[ID],[1]!Address[Zone])</f>
        <v>CENTRAL</v>
      </c>
    </row>
    <row r="1925" spans="1:29" x14ac:dyDescent="0.3">
      <c r="A1925" s="10" t="s">
        <v>12050</v>
      </c>
      <c r="B1925" s="11" t="str">
        <f>_xlfn.XLOOKUP(Customer[[#This Row],[Customer ID]],[1]!Name[ID],[1]!Name[Description(1)])</f>
        <v>ISMAAIDILL BIN RAHMAT</v>
      </c>
      <c r="C1925" s="11" t="str">
        <f>_xlfn.XLOOKUP(Customer[[#This Row],[Customer ID]],[1]!Name[ID],[1]!Name[Description(2)])</f>
        <v>(PRODUCTION KILANG AIR)</v>
      </c>
      <c r="D1925" s="11" t="str">
        <f>_xlfn.XLOOKUP(Customer[[#This Row],[Customer ID]],[1]!Address[ID],[1]!Address[PIC])</f>
        <v>ISMAAIDILL</v>
      </c>
      <c r="E1925" s="11" t="str">
        <f>_xlfn.XLOOKUP(Customer[[#This Row],[Customer ID]],[1]!Address[ID],[1]!Address[Full Address])</f>
        <v>LOT 1034, EMR 2613, JALAN UTAMA 2,KAMPUNG SEGA HULU, KUALA SAWAH 71200RANTAU, NEGERI SEMBILAN</v>
      </c>
      <c r="F1925" s="12" t="s">
        <v>12051</v>
      </c>
      <c r="G1925" s="12" t="s">
        <v>12052</v>
      </c>
      <c r="H1925" s="12" t="s">
        <v>12053</v>
      </c>
      <c r="I1925" s="12" t="b">
        <f>ISNUMBER(VALUE(LEFT(Customer[[#This Row],[Address Line 3 (30 char)]],1)))</f>
        <v>0</v>
      </c>
      <c r="J1925" s="12" t="s">
        <v>203</v>
      </c>
      <c r="K1925" s="12">
        <v>71200</v>
      </c>
      <c r="L1925" s="12" t="s">
        <v>35</v>
      </c>
      <c r="M1925" s="13" t="e">
        <v>#N/A</v>
      </c>
      <c r="N1925" s="14" t="s">
        <v>12046</v>
      </c>
      <c r="O1925" s="14" t="e">
        <v>#N/A</v>
      </c>
      <c r="P1925" s="14" t="e">
        <v>#N/A</v>
      </c>
      <c r="Q1925" s="19" t="s">
        <v>12054</v>
      </c>
      <c r="R1925" s="15" t="s">
        <v>12055</v>
      </c>
      <c r="S1925" s="16" t="s">
        <v>89</v>
      </c>
      <c r="T1925" s="16" t="s">
        <v>89</v>
      </c>
      <c r="U1925" s="11" t="str">
        <f>_xlfn.XLOOKUP(Customer[[#This Row],[Customer ID]],[1]!Address[ID],[1]!Address[Phone No.(2)])</f>
        <v/>
      </c>
      <c r="V1925" s="11" t="str">
        <f>_xlfn.XLOOKUP(Customer[[#This Row],[Customer ID]],[1]!Address[ID],[1]!Address[Type])</f>
        <v>WALK IN</v>
      </c>
      <c r="W1925" s="11" t="str">
        <f>_xlfn.XLOOKUP(Customer[[#This Row],[Customer ID]],[1]!Address[ID],[1]!Address[CT])</f>
        <v/>
      </c>
      <c r="X1925" s="11"/>
      <c r="Y1925" s="17" t="s">
        <v>6284</v>
      </c>
      <c r="Z1925" s="17" t="e">
        <f>_xlfn.XLOOKUP(Customer[[#This Row],[NewType]],$AF$36:$AF$54,$AG$36:$AG$54)</f>
        <v>#N/A</v>
      </c>
      <c r="AA1925" s="17" t="s">
        <v>12056</v>
      </c>
      <c r="AB1925" s="11" t="str">
        <f>_xlfn.XLOOKUP(Customer[[#This Row],[Customer ID]],[1]!Address[ID],[1]!Address[Subtype])</f>
        <v>STAFF</v>
      </c>
      <c r="AC1925" s="18" t="str">
        <f>_xlfn.XLOOKUP(Customer[[#This Row],[Customer ID]],[1]!Address[ID],[1]!Address[Zone])</f>
        <v>CENTRAL</v>
      </c>
    </row>
    <row r="1926" spans="1:29" x14ac:dyDescent="0.3">
      <c r="A1926" s="10" t="s">
        <v>12057</v>
      </c>
      <c r="B1926" s="11" t="str">
        <f>_xlfn.XLOOKUP(Customer[[#This Row],[Customer ID]],[1]!Name[ID],[1]!Name[Description(1)])</f>
        <v>AIMIL QAYYUM</v>
      </c>
      <c r="C1926" s="11" t="str">
        <f>_xlfn.XLOOKUP(Customer[[#This Row],[Customer ID]],[1]!Name[ID],[1]!Name[Description(2)])</f>
        <v>(QC KILANG AIR)</v>
      </c>
      <c r="D1926" s="11" t="str">
        <f>_xlfn.XLOOKUP(Customer[[#This Row],[Customer ID]],[1]!Address[ID],[1]!Address[PIC])</f>
        <v>QAYYUM</v>
      </c>
      <c r="E1926" s="11" t="str">
        <f>_xlfn.XLOOKUP(Customer[[#This Row],[Customer ID]],[1]!Address[ID],[1]!Address[Full Address])</f>
        <v>NO. 42, KAMPUNG SEGA TENGAH 71200RANTAU, NEGERI SEMBILAN</v>
      </c>
      <c r="F1926" s="12" t="s">
        <v>12058</v>
      </c>
      <c r="G1926" s="12" t="s">
        <v>12059</v>
      </c>
      <c r="H1926" s="12" t="s">
        <v>6428</v>
      </c>
      <c r="I1926" s="12" t="b">
        <f>ISNUMBER(VALUE(LEFT(Customer[[#This Row],[Address Line 3 (30 char)]],1)))</f>
        <v>0</v>
      </c>
      <c r="J1926" s="12" t="s">
        <v>203</v>
      </c>
      <c r="K1926" s="12">
        <v>71200</v>
      </c>
      <c r="L1926" s="12" t="s">
        <v>35</v>
      </c>
      <c r="M1926" s="13" t="e">
        <v>#N/A</v>
      </c>
      <c r="N1926" s="14" t="e">
        <v>#N/A</v>
      </c>
      <c r="O1926" s="14" t="e">
        <v>#N/A</v>
      </c>
      <c r="P1926" s="14" t="e">
        <v>#N/A</v>
      </c>
      <c r="Q1926" s="19" t="s">
        <v>12060</v>
      </c>
      <c r="R1926" s="15" t="s">
        <v>12061</v>
      </c>
      <c r="S1926" s="16" t="s">
        <v>89</v>
      </c>
      <c r="T1926" s="16" t="s">
        <v>89</v>
      </c>
      <c r="U1926" s="11" t="str">
        <f>_xlfn.XLOOKUP(Customer[[#This Row],[Customer ID]],[1]!Address[ID],[1]!Address[Phone No.(2)])</f>
        <v/>
      </c>
      <c r="V1926" s="11" t="str">
        <f>_xlfn.XLOOKUP(Customer[[#This Row],[Customer ID]],[1]!Address[ID],[1]!Address[Type])</f>
        <v>WALK IN</v>
      </c>
      <c r="W1926" s="11" t="str">
        <f>_xlfn.XLOOKUP(Customer[[#This Row],[Customer ID]],[1]!Address[ID],[1]!Address[CT])</f>
        <v/>
      </c>
      <c r="X1926" s="11"/>
      <c r="Y1926" s="17" t="s">
        <v>6284</v>
      </c>
      <c r="Z1926" s="17" t="e">
        <f>_xlfn.XLOOKUP(Customer[[#This Row],[NewType]],$AF$36:$AF$54,$AG$36:$AG$54)</f>
        <v>#N/A</v>
      </c>
      <c r="AA1926" s="17" t="s">
        <v>12062</v>
      </c>
      <c r="AB1926" s="11" t="str">
        <f>_xlfn.XLOOKUP(Customer[[#This Row],[Customer ID]],[1]!Address[ID],[1]!Address[Subtype])</f>
        <v>STAFF</v>
      </c>
      <c r="AC1926" s="18" t="str">
        <f>_xlfn.XLOOKUP(Customer[[#This Row],[Customer ID]],[1]!Address[ID],[1]!Address[Zone])</f>
        <v>CENTRAL</v>
      </c>
    </row>
    <row r="1927" spans="1:29" x14ac:dyDescent="0.3">
      <c r="A1927" s="10" t="s">
        <v>12063</v>
      </c>
      <c r="B1927" s="11" t="str">
        <f>_xlfn.XLOOKUP(Customer[[#This Row],[Customer ID]],[1]!Name[ID],[1]!Name[Description(1)])</f>
        <v>MUHAMMAD UWAIS ALFAWWAZ BIN MOHD GUNAWAN</v>
      </c>
      <c r="C1927" s="11" t="str">
        <f>_xlfn.XLOOKUP(Customer[[#This Row],[Customer ID]],[1]!Name[ID],[1]!Name[Description(2)])</f>
        <v/>
      </c>
      <c r="D1927" s="11" t="str">
        <f>_xlfn.XLOOKUP(Customer[[#This Row],[Customer ID]],[1]!Address[ID],[1]!Address[PIC])</f>
        <v>UWAIS</v>
      </c>
      <c r="E1927" s="11" t="str">
        <f>_xlfn.XLOOKUP(Customer[[#This Row],[Customer ID]],[1]!Address[ID],[1]!Address[Full Address])</f>
        <v>BRAINYBUNCH, JALAN SP 10/1,SELANGOR CYBER VALLEY, 63000 CYBERJAYA,SELANGOR</v>
      </c>
      <c r="F1927" s="12" t="s">
        <v>12064</v>
      </c>
      <c r="G1927" s="12" t="s">
        <v>12065</v>
      </c>
      <c r="H1927" s="12" t="s">
        <v>12066</v>
      </c>
      <c r="I1927" s="12" t="b">
        <f>ISNUMBER(VALUE(LEFT(Customer[[#This Row],[Address Line 3 (30 char)]],1)))</f>
        <v>0</v>
      </c>
      <c r="J1927" s="12" t="s">
        <v>172</v>
      </c>
      <c r="K1927" s="12">
        <v>63000</v>
      </c>
      <c r="L1927" s="12" t="s">
        <v>35</v>
      </c>
      <c r="M1927" s="13" t="e">
        <v>#N/A</v>
      </c>
      <c r="N1927" s="14" t="s">
        <v>12067</v>
      </c>
      <c r="O1927" s="14" t="e">
        <v>#N/A</v>
      </c>
      <c r="P1927" s="14" t="e">
        <v>#N/A</v>
      </c>
      <c r="Q1927" s="19" t="s">
        <v>12068</v>
      </c>
      <c r="R1927" s="15" t="s">
        <v>12069</v>
      </c>
      <c r="S1927" s="15" t="s">
        <v>88</v>
      </c>
      <c r="T1927" s="16" t="s">
        <v>89</v>
      </c>
      <c r="U1927" s="11" t="str">
        <f>_xlfn.XLOOKUP(Customer[[#This Row],[Customer ID]],[1]!Address[ID],[1]!Address[Phone No.(2)])</f>
        <v/>
      </c>
      <c r="V1927" s="11" t="str">
        <f>_xlfn.XLOOKUP(Customer[[#This Row],[Customer ID]],[1]!Address[ID],[1]!Address[Type])</f>
        <v>SOCMED</v>
      </c>
      <c r="W1927" s="11" t="str">
        <f>_xlfn.XLOOKUP(Customer[[#This Row],[Customer ID]],[1]!Address[ID],[1]!Address[CT])</f>
        <v/>
      </c>
      <c r="X1927" s="11"/>
      <c r="Y1927" s="17" t="s">
        <v>90</v>
      </c>
      <c r="Z1927" s="17" t="e">
        <f>_xlfn.XLOOKUP(Customer[[#This Row],[NewType]],$AF$36:$AF$54,$AG$36:$AG$54)</f>
        <v>#N/A</v>
      </c>
      <c r="AA1927" s="17" t="s">
        <v>12070</v>
      </c>
      <c r="AB1927" s="11" t="str">
        <f>_xlfn.XLOOKUP(Customer[[#This Row],[Customer ID]],[1]!Address[ID],[1]!Address[Subtype])</f>
        <v>ONLINE ROS</v>
      </c>
      <c r="AC1927" s="18" t="str">
        <f>_xlfn.XLOOKUP(Customer[[#This Row],[Customer ID]],[1]!Address[ID],[1]!Address[Zone])</f>
        <v>CENTRAL</v>
      </c>
    </row>
    <row r="1928" spans="1:29" x14ac:dyDescent="0.3">
      <c r="A1928" s="10" t="s">
        <v>12071</v>
      </c>
      <c r="B1928" s="11" t="str">
        <f>_xlfn.XLOOKUP(Customer[[#This Row],[Customer ID]],[1]!Name[ID],[1]!Name[Description(1)])</f>
        <v>BANK SIMPANAN NASIONAL (BSN)</v>
      </c>
      <c r="C1928" s="11" t="str">
        <f>_xlfn.XLOOKUP(Customer[[#This Row],[Customer ID]],[1]!Name[ID],[1]!Name[Description(2)])</f>
        <v>SHAH ALAM</v>
      </c>
      <c r="D1928" s="11" t="str">
        <f>_xlfn.XLOOKUP(Customer[[#This Row],[Customer ID]],[1]!Address[ID],[1]!Address[PIC])</f>
        <v>MOHD FARHAN BIN</v>
      </c>
      <c r="E1928" s="11" t="str">
        <f>_xlfn.XLOOKUP(Customer[[#This Row],[Customer ID]],[1]!Address[ID],[1]!Address[Full Address])</f>
        <v>CAWANGAN UTAMA NEGERI SELANGORRETAIL BANKING, ARAS 11,PT 54,PRESINT 2PERSIARAN DATO MENTERI,SEKSYEN 14,40000 SHAH ALAM,SELANGOR</v>
      </c>
      <c r="F1928" s="12" t="s">
        <v>12072</v>
      </c>
      <c r="G1928" s="12" t="s">
        <v>12073</v>
      </c>
      <c r="H1928" s="12" t="s">
        <v>12074</v>
      </c>
      <c r="I1928" s="12" t="b">
        <f>ISNUMBER(VALUE(LEFT(Customer[[#This Row],[Address Line 3 (30 char)]],1)))</f>
        <v>0</v>
      </c>
      <c r="J1928" s="12" t="s">
        <v>172</v>
      </c>
      <c r="K1928" s="12">
        <v>40000</v>
      </c>
      <c r="L1928" s="12" t="s">
        <v>35</v>
      </c>
      <c r="M1928" s="13" t="e">
        <v>#N/A</v>
      </c>
      <c r="N1928" s="14" t="e">
        <v>#N/A</v>
      </c>
      <c r="O1928" s="14" t="e">
        <v>#N/A</v>
      </c>
      <c r="P1928" s="14" t="e">
        <v>#N/A</v>
      </c>
      <c r="Q1928" s="19" t="s">
        <v>12075</v>
      </c>
      <c r="R1928" s="15" t="s">
        <v>12076</v>
      </c>
      <c r="S1928" s="15" t="s">
        <v>6418</v>
      </c>
      <c r="T1928" s="16" t="s">
        <v>3477</v>
      </c>
      <c r="U1928" s="11" t="str">
        <f>_xlfn.XLOOKUP(Customer[[#This Row],[Customer ID]],[1]!Address[ID],[1]!Address[Phone No.(2)])</f>
        <v/>
      </c>
      <c r="V1928" s="11" t="str">
        <f>_xlfn.XLOOKUP(Customer[[#This Row],[Customer ID]],[1]!Address[ID],[1]!Address[Type])</f>
        <v>SOCMED</v>
      </c>
      <c r="W1928" s="11" t="str">
        <f>_xlfn.XLOOKUP(Customer[[#This Row],[Customer ID]],[1]!Address[ID],[1]!Address[CT])</f>
        <v>CASH</v>
      </c>
      <c r="X1928" s="11"/>
      <c r="Y1928" s="17" t="s">
        <v>90</v>
      </c>
      <c r="Z1928" s="17" t="e">
        <f>_xlfn.XLOOKUP(Customer[[#This Row],[NewType]],$AF$36:$AF$54,$AG$36:$AG$54)</f>
        <v>#N/A</v>
      </c>
      <c r="AA1928" s="17" t="s">
        <v>12077</v>
      </c>
      <c r="AB1928" s="11" t="str">
        <f>_xlfn.XLOOKUP(Customer[[#This Row],[Customer ID]],[1]!Address[ID],[1]!Address[Subtype])</f>
        <v>WHATSAPP</v>
      </c>
      <c r="AC1928" s="18" t="str">
        <f>_xlfn.XLOOKUP(Customer[[#This Row],[Customer ID]],[1]!Address[ID],[1]!Address[Zone])</f>
        <v>HAHEUTAILH</v>
      </c>
    </row>
    <row r="1929" spans="1:29" x14ac:dyDescent="0.3">
      <c r="A1929" s="10" t="s">
        <v>12078</v>
      </c>
      <c r="B1929" s="11" t="str">
        <f>_xlfn.XLOOKUP(Customer[[#This Row],[Customer ID]],[1]!Name[ID],[1]!Name[Description(1)])</f>
        <v>FARMASI HARMONI SHIFA-PENANTI</v>
      </c>
      <c r="C1929" s="11" t="str">
        <f>_xlfn.XLOOKUP(Customer[[#This Row],[Customer ID]],[1]!Name[ID],[1]!Name[Description(2)])</f>
        <v>CAWANGAN PENANTI</v>
      </c>
      <c r="D1929" s="11" t="str">
        <f>_xlfn.XLOOKUP(Customer[[#This Row],[Customer ID]],[1]!Address[ID],[1]!Address[PIC])</f>
        <v/>
      </c>
      <c r="E1929" s="11" t="str">
        <f>_xlfn.XLOOKUP(Customer[[#This Row],[Customer ID]],[1]!Address[ID],[1]!Address[Full Address])</f>
        <v>30-TKT G JALAN OREN HARTAMAS,TAMAN OREN HARTAMAS,14400 KUBANG SEMANG,PULAU PINANG</v>
      </c>
      <c r="F1929" s="12" t="s">
        <v>12079</v>
      </c>
      <c r="G1929" s="12" t="s">
        <v>12080</v>
      </c>
      <c r="H1929" s="24" t="s">
        <v>12081</v>
      </c>
      <c r="I1929" s="24" t="b">
        <f>ISNUMBER(VALUE(LEFT(Customer[[#This Row],[Address Line 3 (30 char)]],1)))</f>
        <v>0</v>
      </c>
      <c r="J1929" s="12" t="s">
        <v>179</v>
      </c>
      <c r="K1929" s="12">
        <v>14400</v>
      </c>
      <c r="L1929" s="12" t="s">
        <v>35</v>
      </c>
      <c r="M1929" s="13" t="e">
        <v>#N/A</v>
      </c>
      <c r="N1929" s="14" t="e">
        <v>#N/A</v>
      </c>
      <c r="O1929" s="14" t="e">
        <v>#N/A</v>
      </c>
      <c r="P1929" s="14" t="e">
        <v>#N/A</v>
      </c>
      <c r="Q1929" s="19" t="s">
        <v>12082</v>
      </c>
      <c r="R1929" s="15" t="s">
        <v>36</v>
      </c>
      <c r="S1929" s="15" t="s">
        <v>74</v>
      </c>
      <c r="T1929" s="16" t="s">
        <v>3477</v>
      </c>
      <c r="U1929" s="11" t="str">
        <f>_xlfn.XLOOKUP(Customer[[#This Row],[Customer ID]],[1]!Address[ID],[1]!Address[Phone No.(2)])</f>
        <v/>
      </c>
      <c r="V1929" s="11" t="str">
        <f>_xlfn.XLOOKUP(Customer[[#This Row],[Customer ID]],[1]!Address[ID],[1]!Address[Type])</f>
        <v>PH</v>
      </c>
      <c r="W1929" s="11" t="str">
        <f>_xlfn.XLOOKUP(Customer[[#This Row],[Customer ID]],[1]!Address[ID],[1]!Address[CT])</f>
        <v>30 DAYS</v>
      </c>
      <c r="X1929" s="11"/>
      <c r="Y1929" s="17" t="s">
        <v>5955</v>
      </c>
      <c r="Z1929" s="17" t="e">
        <f>_xlfn.XLOOKUP(Customer[[#This Row],[NewType]],$AF$36:$AF$54,$AG$36:$AG$54)</f>
        <v>#N/A</v>
      </c>
      <c r="AA1929" s="17" t="s">
        <v>12083</v>
      </c>
      <c r="AB1929" s="11" t="str">
        <f>_xlfn.XLOOKUP(Customer[[#This Row],[Customer ID]],[1]!Address[ID],[1]!Address[Subtype])</f>
        <v>FAR HARMONI</v>
      </c>
      <c r="AC1929" s="18" t="str">
        <f>_xlfn.XLOOKUP(Customer[[#This Row],[Customer ID]],[1]!Address[ID],[1]!Address[Zone])</f>
        <v>NORTH</v>
      </c>
    </row>
    <row r="1930" spans="1:29" x14ac:dyDescent="0.3">
      <c r="A1930" s="10" t="s">
        <v>12084</v>
      </c>
      <c r="B1930" s="11" t="str">
        <f>_xlfn.XLOOKUP(Customer[[#This Row],[Customer ID]],[1]!Name[ID],[1]!Name[Description(1)])</f>
        <v>FARMASI HARMONI SHIFA-P.SENA</v>
      </c>
      <c r="C1930" s="11" t="str">
        <f>_xlfn.XLOOKUP(Customer[[#This Row],[Customer ID]],[1]!Name[ID],[1]!Name[Description(2)])</f>
        <v>CAWANGAN POKOK SENA</v>
      </c>
      <c r="D1930" s="11" t="str">
        <f>_xlfn.XLOOKUP(Customer[[#This Row],[Customer ID]],[1]!Address[ID],[1]!Address[PIC])</f>
        <v/>
      </c>
      <c r="E1930" s="11" t="str">
        <f>_xlfn.XLOOKUP(Customer[[#This Row],[Customer ID]],[1]!Address[ID],[1]!Address[Full Address])</f>
        <v>NO.5, PUSAT PERUSAHAAN POKOK SENA,13220 KEPALA BATAS,PULAU PINANG</v>
      </c>
      <c r="F1930" s="12" t="s">
        <v>12085</v>
      </c>
      <c r="G1930" s="12" t="s">
        <v>12086</v>
      </c>
      <c r="H1930" s="12" t="s">
        <v>11081</v>
      </c>
      <c r="I1930" s="12" t="b">
        <f>ISNUMBER(VALUE(LEFT(Customer[[#This Row],[Address Line 3 (30 char)]],1)))</f>
        <v>0</v>
      </c>
      <c r="J1930" s="12" t="s">
        <v>179</v>
      </c>
      <c r="K1930" s="12">
        <v>13220</v>
      </c>
      <c r="L1930" s="12" t="s">
        <v>35</v>
      </c>
      <c r="M1930" s="13" t="e">
        <v>#N/A</v>
      </c>
      <c r="N1930" s="14" t="e">
        <v>#N/A</v>
      </c>
      <c r="O1930" s="14" t="e">
        <v>#N/A</v>
      </c>
      <c r="P1930" s="14" t="e">
        <v>#N/A</v>
      </c>
      <c r="Q1930" s="19" t="s">
        <v>12087</v>
      </c>
      <c r="R1930" s="15" t="s">
        <v>12088</v>
      </c>
      <c r="S1930" s="15" t="s">
        <v>74</v>
      </c>
      <c r="T1930" s="16" t="s">
        <v>3477</v>
      </c>
      <c r="U1930" s="11" t="str">
        <f>_xlfn.XLOOKUP(Customer[[#This Row],[Customer ID]],[1]!Address[ID],[1]!Address[Phone No.(2)])</f>
        <v/>
      </c>
      <c r="V1930" s="11" t="str">
        <f>_xlfn.XLOOKUP(Customer[[#This Row],[Customer ID]],[1]!Address[ID],[1]!Address[Type])</f>
        <v>PH</v>
      </c>
      <c r="W1930" s="11" t="str">
        <f>_xlfn.XLOOKUP(Customer[[#This Row],[Customer ID]],[1]!Address[ID],[1]!Address[CT])</f>
        <v>30 DAYS</v>
      </c>
      <c r="X1930" s="11"/>
      <c r="Y1930" s="17" t="s">
        <v>5955</v>
      </c>
      <c r="Z1930" s="17" t="e">
        <f>_xlfn.XLOOKUP(Customer[[#This Row],[NewType]],$AF$36:$AF$54,$AG$36:$AG$54)</f>
        <v>#N/A</v>
      </c>
      <c r="AA1930" s="17" t="s">
        <v>12089</v>
      </c>
      <c r="AB1930" s="11" t="str">
        <f>_xlfn.XLOOKUP(Customer[[#This Row],[Customer ID]],[1]!Address[ID],[1]!Address[Subtype])</f>
        <v>FAR HARMONI</v>
      </c>
      <c r="AC1930" s="18" t="str">
        <f>_xlfn.XLOOKUP(Customer[[#This Row],[Customer ID]],[1]!Address[ID],[1]!Address[Zone])</f>
        <v>NORTH</v>
      </c>
    </row>
    <row r="1931" spans="1:29" x14ac:dyDescent="0.3">
      <c r="A1931" s="10" t="s">
        <v>12090</v>
      </c>
      <c r="B1931" s="11" t="str">
        <f>_xlfn.XLOOKUP(Customer[[#This Row],[Customer ID]],[1]!Name[ID],[1]!Name[Description(1)])</f>
        <v>FARMASI HARMONI SHIFA -KAMUNTING</v>
      </c>
      <c r="C1931" s="11" t="str">
        <f>_xlfn.XLOOKUP(Customer[[#This Row],[Customer ID]],[1]!Name[ID],[1]!Name[Description(2)])</f>
        <v>CAWANGAN KAMUNTING</v>
      </c>
      <c r="D1931" s="11" t="str">
        <f>_xlfn.XLOOKUP(Customer[[#This Row],[Customer ID]],[1]!Address[ID],[1]!Address[PIC])</f>
        <v/>
      </c>
      <c r="E1931" s="11" t="str">
        <f>_xlfn.XLOOKUP(Customer[[#This Row],[Customer ID]],[1]!Address[ID],[1]!Address[Full Address])</f>
        <v>NO.19, JALAN MEDAN KAMUNTING TAIPING,34000 TAIPING PERAK</v>
      </c>
      <c r="F1931" s="12" t="s">
        <v>12091</v>
      </c>
      <c r="G1931" s="12" t="s">
        <v>12092</v>
      </c>
      <c r="H1931" s="12" t="s">
        <v>7210</v>
      </c>
      <c r="I1931" s="12" t="b">
        <f>ISNUMBER(VALUE(LEFT(Customer[[#This Row],[Address Line 3 (30 char)]],1)))</f>
        <v>0</v>
      </c>
      <c r="J1931" s="12" t="s">
        <v>242</v>
      </c>
      <c r="K1931" s="12">
        <v>34000</v>
      </c>
      <c r="L1931" s="12" t="s">
        <v>35</v>
      </c>
      <c r="M1931" s="13" t="e">
        <v>#N/A</v>
      </c>
      <c r="N1931" s="14" t="e">
        <v>#N/A</v>
      </c>
      <c r="O1931" s="14" t="e">
        <v>#N/A</v>
      </c>
      <c r="P1931" s="14" t="e">
        <v>#N/A</v>
      </c>
      <c r="Q1931" s="19" t="s">
        <v>12087</v>
      </c>
      <c r="R1931" s="15" t="s">
        <v>36</v>
      </c>
      <c r="S1931" s="15" t="s">
        <v>74</v>
      </c>
      <c r="T1931" s="16" t="s">
        <v>3477</v>
      </c>
      <c r="U1931" s="11" t="str">
        <f>_xlfn.XLOOKUP(Customer[[#This Row],[Customer ID]],[1]!Address[ID],[1]!Address[Phone No.(2)])</f>
        <v/>
      </c>
      <c r="V1931" s="11" t="str">
        <f>_xlfn.XLOOKUP(Customer[[#This Row],[Customer ID]],[1]!Address[ID],[1]!Address[Type])</f>
        <v>PH</v>
      </c>
      <c r="W1931" s="11" t="str">
        <f>_xlfn.XLOOKUP(Customer[[#This Row],[Customer ID]],[1]!Address[ID],[1]!Address[CT])</f>
        <v>30 DAYS</v>
      </c>
      <c r="X1931" s="11"/>
      <c r="Y1931" s="17" t="s">
        <v>5955</v>
      </c>
      <c r="Z1931" s="17" t="e">
        <f>_xlfn.XLOOKUP(Customer[[#This Row],[NewType]],$AF$36:$AF$54,$AG$36:$AG$54)</f>
        <v>#N/A</v>
      </c>
      <c r="AA1931" s="17" t="s">
        <v>12093</v>
      </c>
      <c r="AB1931" s="11" t="str">
        <f>_xlfn.XLOOKUP(Customer[[#This Row],[Customer ID]],[1]!Address[ID],[1]!Address[Subtype])</f>
        <v>FAR HARMONI</v>
      </c>
      <c r="AC1931" s="18" t="str">
        <f>_xlfn.XLOOKUP(Customer[[#This Row],[Customer ID]],[1]!Address[ID],[1]!Address[Zone])</f>
        <v>NORTH</v>
      </c>
    </row>
    <row r="1932" spans="1:29" x14ac:dyDescent="0.3">
      <c r="A1932" s="10" t="s">
        <v>12094</v>
      </c>
      <c r="B1932" s="11" t="str">
        <f>_xlfn.XLOOKUP(Customer[[#This Row],[Customer ID]],[1]!Name[ID],[1]!Name[Description(1)])</f>
        <v>IBRAHIM ISMAIL BIN HAFID</v>
      </c>
      <c r="C1932" s="11" t="str">
        <f>_xlfn.XLOOKUP(Customer[[#This Row],[Customer ID]],[1]!Name[ID],[1]!Name[Description(2)])</f>
        <v/>
      </c>
      <c r="D1932" s="11" t="str">
        <f>_xlfn.XLOOKUP(Customer[[#This Row],[Customer ID]],[1]!Address[ID],[1]!Address[PIC])</f>
        <v>IBRAHIM ISMAIL</v>
      </c>
      <c r="E1932" s="11" t="str">
        <f>_xlfn.XLOOKUP(Customer[[#This Row],[Customer ID]],[1]!Address[ID],[1]!Address[Full Address])</f>
        <v>NO. 19, JLN TANJUNG SEMUT,KG KUNDUR TENGAH, 71400 PEDAS,NEGERI SEMBILAN</v>
      </c>
      <c r="F1932" s="12" t="s">
        <v>12095</v>
      </c>
      <c r="G1932" s="12" t="s">
        <v>12096</v>
      </c>
      <c r="H1932" s="12"/>
      <c r="I1932" s="12" t="b">
        <f>ISNUMBER(VALUE(LEFT(Customer[[#This Row],[Address Line 3 (30 char)]],1)))</f>
        <v>0</v>
      </c>
      <c r="J1932" s="12" t="s">
        <v>203</v>
      </c>
      <c r="K1932" s="12">
        <v>71400</v>
      </c>
      <c r="L1932" s="12" t="s">
        <v>35</v>
      </c>
      <c r="M1932" s="13" t="e">
        <v>#N/A</v>
      </c>
      <c r="N1932" s="14" t="s">
        <v>12097</v>
      </c>
      <c r="O1932" s="14" t="e">
        <v>#N/A</v>
      </c>
      <c r="P1932" s="14" t="e">
        <v>#N/A</v>
      </c>
      <c r="Q1932" s="19" t="s">
        <v>12098</v>
      </c>
      <c r="R1932" s="15" t="s">
        <v>12099</v>
      </c>
      <c r="S1932" s="16" t="s">
        <v>89</v>
      </c>
      <c r="T1932" s="16" t="s">
        <v>89</v>
      </c>
      <c r="U1932" s="11" t="str">
        <f>_xlfn.XLOOKUP(Customer[[#This Row],[Customer ID]],[1]!Address[ID],[1]!Address[Phone No.(2)])</f>
        <v/>
      </c>
      <c r="V1932" s="11" t="str">
        <f>_xlfn.XLOOKUP(Customer[[#This Row],[Customer ID]],[1]!Address[ID],[1]!Address[Type])</f>
        <v>WALK IN</v>
      </c>
      <c r="W1932" s="11" t="str">
        <f>_xlfn.XLOOKUP(Customer[[#This Row],[Customer ID]],[1]!Address[ID],[1]!Address[CT])</f>
        <v/>
      </c>
      <c r="X1932" s="11"/>
      <c r="Y1932" s="17" t="s">
        <v>6284</v>
      </c>
      <c r="Z1932" s="17" t="e">
        <f>_xlfn.XLOOKUP(Customer[[#This Row],[NewType]],$AF$36:$AF$54,$AG$36:$AG$54)</f>
        <v>#N/A</v>
      </c>
      <c r="AA1932" s="17" t="s">
        <v>12100</v>
      </c>
      <c r="AB1932" s="11" t="str">
        <f>_xlfn.XLOOKUP(Customer[[#This Row],[Customer ID]],[1]!Address[ID],[1]!Address[Subtype])</f>
        <v>PEDAS</v>
      </c>
      <c r="AC1932" s="18" t="str">
        <f>_xlfn.XLOOKUP(Customer[[#This Row],[Customer ID]],[1]!Address[ID],[1]!Address[Zone])</f>
        <v>CENTRAL</v>
      </c>
    </row>
    <row r="1933" spans="1:29" x14ac:dyDescent="0.3">
      <c r="A1933" s="10" t="s">
        <v>12101</v>
      </c>
      <c r="B1933" s="11" t="str">
        <f>_xlfn.XLOOKUP(Customer[[#This Row],[Customer ID]],[1]!Name[ID],[1]!Name[Description(1)])</f>
        <v>ROSE SYAMIMI AINI</v>
      </c>
      <c r="C1933" s="11" t="str">
        <f>_xlfn.XLOOKUP(Customer[[#This Row],[Customer ID]],[1]!Name[ID],[1]!Name[Description(2)])</f>
        <v>(PRODUCTION KILANG AIR)</v>
      </c>
      <c r="D1933" s="11" t="str">
        <f>_xlfn.XLOOKUP(Customer[[#This Row],[Customer ID]],[1]!Address[ID],[1]!Address[PIC])</f>
        <v>ROSE SYAMIMI</v>
      </c>
      <c r="E1933" s="11" t="str">
        <f>_xlfn.XLOOKUP(Customer[[#This Row],[Customer ID]],[1]!Address[ID],[1]!Address[Full Address])</f>
        <v>NO 118, JALAN MUTIARA 7,TAMAN MUTIARA 71200 RANTAU, NEGERISEMBILAN</v>
      </c>
      <c r="F1933" s="12" t="s">
        <v>12102</v>
      </c>
      <c r="G1933" s="12" t="s">
        <v>12103</v>
      </c>
      <c r="H1933" s="12"/>
      <c r="I1933" s="12" t="b">
        <f>ISNUMBER(VALUE(LEFT(Customer[[#This Row],[Address Line 3 (30 char)]],1)))</f>
        <v>0</v>
      </c>
      <c r="J1933" s="12" t="s">
        <v>203</v>
      </c>
      <c r="K1933" s="12">
        <v>71200</v>
      </c>
      <c r="L1933" s="12" t="s">
        <v>35</v>
      </c>
      <c r="M1933" s="13" t="e">
        <v>#N/A</v>
      </c>
      <c r="N1933" s="14" t="s">
        <v>12104</v>
      </c>
      <c r="O1933" s="14" t="e">
        <v>#N/A</v>
      </c>
      <c r="P1933" s="14" t="e">
        <v>#N/A</v>
      </c>
      <c r="Q1933" s="19" t="s">
        <v>12105</v>
      </c>
      <c r="R1933" s="15" t="s">
        <v>12106</v>
      </c>
      <c r="S1933" s="16" t="s">
        <v>89</v>
      </c>
      <c r="T1933" s="16" t="s">
        <v>89</v>
      </c>
      <c r="U1933" s="11" t="str">
        <f>_xlfn.XLOOKUP(Customer[[#This Row],[Customer ID]],[1]!Address[ID],[1]!Address[Phone No.(2)])</f>
        <v/>
      </c>
      <c r="V1933" s="11" t="str">
        <f>_xlfn.XLOOKUP(Customer[[#This Row],[Customer ID]],[1]!Address[ID],[1]!Address[Type])</f>
        <v>WALK IN</v>
      </c>
      <c r="W1933" s="11" t="str">
        <f>_xlfn.XLOOKUP(Customer[[#This Row],[Customer ID]],[1]!Address[ID],[1]!Address[CT])</f>
        <v/>
      </c>
      <c r="X1933" s="11"/>
      <c r="Y1933" s="17" t="s">
        <v>6284</v>
      </c>
      <c r="Z1933" s="17" t="e">
        <f>_xlfn.XLOOKUP(Customer[[#This Row],[NewType]],$AF$36:$AF$54,$AG$36:$AG$54)</f>
        <v>#N/A</v>
      </c>
      <c r="AA1933" s="17" t="s">
        <v>12107</v>
      </c>
      <c r="AB1933" s="11" t="str">
        <f>_xlfn.XLOOKUP(Customer[[#This Row],[Customer ID]],[1]!Address[ID],[1]!Address[Subtype])</f>
        <v>STAFF</v>
      </c>
      <c r="AC1933" s="18" t="str">
        <f>_xlfn.XLOOKUP(Customer[[#This Row],[Customer ID]],[1]!Address[ID],[1]!Address[Zone])</f>
        <v>CENTRAL</v>
      </c>
    </row>
    <row r="1934" spans="1:29" x14ac:dyDescent="0.3">
      <c r="A1934" s="10" t="s">
        <v>12108</v>
      </c>
      <c r="B1934" s="11" t="str">
        <f>_xlfn.XLOOKUP(Customer[[#This Row],[Customer ID]],[1]!Name[ID],[1]!Name[Description(1)])</f>
        <v>MUHAMMAD HASNUL BIN SHAHATI</v>
      </c>
      <c r="C1934" s="11" t="str">
        <f>_xlfn.XLOOKUP(Customer[[#This Row],[Customer ID]],[1]!Name[ID],[1]!Name[Description(2)])</f>
        <v>(WAREHOUSE RANTAU)</v>
      </c>
      <c r="D1934" s="11" t="str">
        <f>_xlfn.XLOOKUP(Customer[[#This Row],[Customer ID]],[1]!Address[ID],[1]!Address[PIC])</f>
        <v>HASNUL</v>
      </c>
      <c r="E1934" s="11" t="str">
        <f>_xlfn.XLOOKUP(Customer[[#This Row],[Customer ID]],[1]!Address[ID],[1]!Address[Full Address])</f>
        <v>NO 67, KAMPUNG DINGKI INAS, 73100JOHOL, NEGERI SEMBILAN</v>
      </c>
      <c r="F1934" s="12" t="s">
        <v>12109</v>
      </c>
      <c r="G1934" s="12" t="s">
        <v>12110</v>
      </c>
      <c r="H1934" s="12" t="s">
        <v>12111</v>
      </c>
      <c r="I1934" s="12" t="b">
        <f>ISNUMBER(VALUE(LEFT(Customer[[#This Row],[Address Line 3 (30 char)]],1)))</f>
        <v>0</v>
      </c>
      <c r="J1934" s="12" t="s">
        <v>203</v>
      </c>
      <c r="K1934" s="12">
        <v>73100</v>
      </c>
      <c r="L1934" s="12" t="s">
        <v>35</v>
      </c>
      <c r="M1934" s="13" t="e">
        <v>#N/A</v>
      </c>
      <c r="N1934" s="14" t="s">
        <v>12112</v>
      </c>
      <c r="O1934" s="14" t="e">
        <v>#N/A</v>
      </c>
      <c r="P1934" s="14" t="e">
        <v>#N/A</v>
      </c>
      <c r="Q1934" s="19" t="s">
        <v>12113</v>
      </c>
      <c r="R1934" s="15" t="s">
        <v>12114</v>
      </c>
      <c r="S1934" s="16" t="s">
        <v>89</v>
      </c>
      <c r="T1934" s="16" t="s">
        <v>89</v>
      </c>
      <c r="U1934" s="11" t="str">
        <f>_xlfn.XLOOKUP(Customer[[#This Row],[Customer ID]],[1]!Address[ID],[1]!Address[Phone No.(2)])</f>
        <v/>
      </c>
      <c r="V1934" s="11" t="str">
        <f>_xlfn.XLOOKUP(Customer[[#This Row],[Customer ID]],[1]!Address[ID],[1]!Address[Type])</f>
        <v>WALK IN</v>
      </c>
      <c r="W1934" s="11" t="str">
        <f>_xlfn.XLOOKUP(Customer[[#This Row],[Customer ID]],[1]!Address[ID],[1]!Address[CT])</f>
        <v/>
      </c>
      <c r="X1934" s="11"/>
      <c r="Y1934" s="17" t="s">
        <v>6284</v>
      </c>
      <c r="Z1934" s="17" t="e">
        <f>_xlfn.XLOOKUP(Customer[[#This Row],[NewType]],$AF$36:$AF$54,$AG$36:$AG$54)</f>
        <v>#N/A</v>
      </c>
      <c r="AA1934" s="17" t="s">
        <v>12115</v>
      </c>
      <c r="AB1934" s="11" t="str">
        <f>_xlfn.XLOOKUP(Customer[[#This Row],[Customer ID]],[1]!Address[ID],[1]!Address[Subtype])</f>
        <v>STAFF</v>
      </c>
      <c r="AC1934" s="18" t="str">
        <f>_xlfn.XLOOKUP(Customer[[#This Row],[Customer ID]],[1]!Address[ID],[1]!Address[Zone])</f>
        <v>CENTRAL</v>
      </c>
    </row>
    <row r="1935" spans="1:29" x14ac:dyDescent="0.3">
      <c r="A1935" s="10" t="s">
        <v>12116</v>
      </c>
      <c r="B1935" s="11" t="str">
        <f>_xlfn.XLOOKUP(Customer[[#This Row],[Customer ID]],[1]!Name[ID],[1]!Name[Description(1)])</f>
        <v>MOHD TAUFIK BIN MOKHTAR</v>
      </c>
      <c r="C1935" s="11" t="str">
        <f>_xlfn.XLOOKUP(Customer[[#This Row],[Customer ID]],[1]!Name[ID],[1]!Name[Description(2)])</f>
        <v>(PRODUCTION KILANG AIR)</v>
      </c>
      <c r="D1935" s="11" t="str">
        <f>_xlfn.XLOOKUP(Customer[[#This Row],[Customer ID]],[1]!Address[ID],[1]!Address[PIC])</f>
        <v>TAUFIK</v>
      </c>
      <c r="E1935" s="11" t="str">
        <f>_xlfn.XLOOKUP(Customer[[#This Row],[Customer ID]],[1]!Address[ID],[1]!Address[Full Address])</f>
        <v>KAMPUNG SEGA TENGAH 71200 RANTAUNEGERI SEMBILAN</v>
      </c>
      <c r="F1935" s="12" t="s">
        <v>12117</v>
      </c>
      <c r="G1935" s="12" t="s">
        <v>12118</v>
      </c>
      <c r="H1935" s="12" t="s">
        <v>6428</v>
      </c>
      <c r="I1935" s="12" t="b">
        <f>ISNUMBER(VALUE(LEFT(Customer[[#This Row],[Address Line 3 (30 char)]],1)))</f>
        <v>0</v>
      </c>
      <c r="J1935" s="12" t="s">
        <v>203</v>
      </c>
      <c r="K1935" s="12">
        <v>71200</v>
      </c>
      <c r="L1935" s="12" t="s">
        <v>35</v>
      </c>
      <c r="M1935" s="13" t="e">
        <v>#N/A</v>
      </c>
      <c r="N1935" s="14" t="s">
        <v>12119</v>
      </c>
      <c r="O1935" s="14" t="e">
        <v>#N/A</v>
      </c>
      <c r="P1935" s="14" t="e">
        <v>#N/A</v>
      </c>
      <c r="Q1935" s="19" t="s">
        <v>12120</v>
      </c>
      <c r="R1935" s="15" t="s">
        <v>12121</v>
      </c>
      <c r="S1935" s="16" t="s">
        <v>89</v>
      </c>
      <c r="T1935" s="16" t="s">
        <v>89</v>
      </c>
      <c r="U1935" s="11" t="str">
        <f>_xlfn.XLOOKUP(Customer[[#This Row],[Customer ID]],[1]!Address[ID],[1]!Address[Phone No.(2)])</f>
        <v/>
      </c>
      <c r="V1935" s="11" t="str">
        <f>_xlfn.XLOOKUP(Customer[[#This Row],[Customer ID]],[1]!Address[ID],[1]!Address[Type])</f>
        <v>WALK IN</v>
      </c>
      <c r="W1935" s="11" t="str">
        <f>_xlfn.XLOOKUP(Customer[[#This Row],[Customer ID]],[1]!Address[ID],[1]!Address[CT])</f>
        <v/>
      </c>
      <c r="X1935" s="11"/>
      <c r="Y1935" s="17" t="s">
        <v>6284</v>
      </c>
      <c r="Z1935" s="17" t="e">
        <f>_xlfn.XLOOKUP(Customer[[#This Row],[NewType]],$AF$36:$AF$54,$AG$36:$AG$54)</f>
        <v>#N/A</v>
      </c>
      <c r="AA1935" s="17" t="s">
        <v>12122</v>
      </c>
      <c r="AB1935" s="11" t="str">
        <f>_xlfn.XLOOKUP(Customer[[#This Row],[Customer ID]],[1]!Address[ID],[1]!Address[Subtype])</f>
        <v>STAFF</v>
      </c>
      <c r="AC1935" s="18" t="str">
        <f>_xlfn.XLOOKUP(Customer[[#This Row],[Customer ID]],[1]!Address[ID],[1]!Address[Zone])</f>
        <v>CENTRAL</v>
      </c>
    </row>
    <row r="1936" spans="1:29" x14ac:dyDescent="0.3">
      <c r="A1936" s="10" t="s">
        <v>12123</v>
      </c>
      <c r="B1936" s="11" t="str">
        <f>_xlfn.XLOOKUP(Customer[[#This Row],[Customer ID]],[1]!Name[ID],[1]!Name[Description(1)])</f>
        <v>IFFA</v>
      </c>
      <c r="C1936" s="11" t="str">
        <f>_xlfn.XLOOKUP(Customer[[#This Row],[Customer ID]],[1]!Name[ID],[1]!Name[Description(2)])</f>
        <v>(PRODUCTION KILANG AIR)</v>
      </c>
      <c r="D1936" s="11" t="str">
        <f>_xlfn.XLOOKUP(Customer[[#This Row],[Customer ID]],[1]!Address[ID],[1]!Address[PIC])</f>
        <v>IFFA</v>
      </c>
      <c r="E1936" s="11" t="str">
        <f>_xlfn.XLOOKUP(Customer[[#This Row],[Customer ID]],[1]!Address[ID],[1]!Address[Full Address])</f>
        <v>122, JALAN MUTIARA 6, TAMAN MUTIARA,71200 RANTAU, NEGERI SEMBILAN</v>
      </c>
      <c r="F1936" s="12" t="s">
        <v>12124</v>
      </c>
      <c r="G1936" s="12" t="s">
        <v>12125</v>
      </c>
      <c r="H1936" s="12" t="s">
        <v>6428</v>
      </c>
      <c r="I1936" s="12" t="b">
        <f>ISNUMBER(VALUE(LEFT(Customer[[#This Row],[Address Line 3 (30 char)]],1)))</f>
        <v>0</v>
      </c>
      <c r="J1936" s="12" t="s">
        <v>203</v>
      </c>
      <c r="K1936" s="12">
        <v>71200</v>
      </c>
      <c r="L1936" s="12" t="s">
        <v>35</v>
      </c>
      <c r="M1936" s="13" t="e">
        <v>#N/A</v>
      </c>
      <c r="N1936" s="14" t="s">
        <v>12126</v>
      </c>
      <c r="O1936" s="14" t="e">
        <v>#N/A</v>
      </c>
      <c r="P1936" s="14" t="e">
        <v>#N/A</v>
      </c>
      <c r="Q1936" s="19" t="s">
        <v>12127</v>
      </c>
      <c r="R1936" s="15" t="s">
        <v>11972</v>
      </c>
      <c r="S1936" s="16" t="s">
        <v>89</v>
      </c>
      <c r="T1936" s="16" t="s">
        <v>89</v>
      </c>
      <c r="U1936" s="11" t="str">
        <f>_xlfn.XLOOKUP(Customer[[#This Row],[Customer ID]],[1]!Address[ID],[1]!Address[Phone No.(2)])</f>
        <v/>
      </c>
      <c r="V1936" s="11" t="str">
        <f>_xlfn.XLOOKUP(Customer[[#This Row],[Customer ID]],[1]!Address[ID],[1]!Address[Type])</f>
        <v>WALK IN</v>
      </c>
      <c r="W1936" s="11" t="str">
        <f>_xlfn.XLOOKUP(Customer[[#This Row],[Customer ID]],[1]!Address[ID],[1]!Address[CT])</f>
        <v/>
      </c>
      <c r="X1936" s="11"/>
      <c r="Y1936" s="17" t="s">
        <v>6284</v>
      </c>
      <c r="Z1936" s="17" t="e">
        <f>_xlfn.XLOOKUP(Customer[[#This Row],[NewType]],$AF$36:$AF$54,$AG$36:$AG$54)</f>
        <v>#N/A</v>
      </c>
      <c r="AA1936" s="17" t="s">
        <v>12128</v>
      </c>
      <c r="AB1936" s="11" t="str">
        <f>_xlfn.XLOOKUP(Customer[[#This Row],[Customer ID]],[1]!Address[ID],[1]!Address[Subtype])</f>
        <v>STAFF</v>
      </c>
      <c r="AC1936" s="18" t="str">
        <f>_xlfn.XLOOKUP(Customer[[#This Row],[Customer ID]],[1]!Address[ID],[1]!Address[Zone])</f>
        <v>CENTRAL</v>
      </c>
    </row>
    <row r="1937" spans="1:30" x14ac:dyDescent="0.3">
      <c r="A1937" s="10" t="s">
        <v>12129</v>
      </c>
      <c r="B1937" s="11" t="str">
        <f>_xlfn.XLOOKUP(Customer[[#This Row],[Customer ID]],[1]!Name[ID],[1]!Name[Description(1)])</f>
        <v>AHMAD IDHAM</v>
      </c>
      <c r="C1937" s="11" t="str">
        <f>_xlfn.XLOOKUP(Customer[[#This Row],[Customer ID]],[1]!Name[ID],[1]!Name[Description(2)])</f>
        <v>(PRODUCTION KILANG AIR)</v>
      </c>
      <c r="D1937" s="11" t="str">
        <f>_xlfn.XLOOKUP(Customer[[#This Row],[Customer ID]],[1]!Address[ID],[1]!Address[PIC])</f>
        <v>AHMAD IDHAM</v>
      </c>
      <c r="E1937" s="11" t="str">
        <f>_xlfn.XLOOKUP(Customer[[#This Row],[Customer ID]],[1]!Address[ID],[1]!Address[Full Address])</f>
        <v>NO. 89, RUMAH RAKYAT ULU LALANG,71200 RANTAU, NEGERI SEMBILAN</v>
      </c>
      <c r="F1937" s="12" t="s">
        <v>12130</v>
      </c>
      <c r="G1937" s="12" t="s">
        <v>6731</v>
      </c>
      <c r="H1937" s="12" t="s">
        <v>6428</v>
      </c>
      <c r="I1937" s="12" t="b">
        <f>ISNUMBER(VALUE(LEFT(Customer[[#This Row],[Address Line 3 (30 char)]],1)))</f>
        <v>0</v>
      </c>
      <c r="J1937" s="12" t="s">
        <v>203</v>
      </c>
      <c r="K1937" s="12">
        <v>71200</v>
      </c>
      <c r="L1937" s="12" t="s">
        <v>35</v>
      </c>
      <c r="M1937" s="13" t="e">
        <v>#N/A</v>
      </c>
      <c r="N1937" s="14" t="s">
        <v>12131</v>
      </c>
      <c r="O1937" s="14" t="e">
        <v>#N/A</v>
      </c>
      <c r="P1937" s="14" t="e">
        <v>#N/A</v>
      </c>
      <c r="Q1937" s="19" t="s">
        <v>12132</v>
      </c>
      <c r="R1937" s="15" t="s">
        <v>12133</v>
      </c>
      <c r="S1937" s="16" t="s">
        <v>89</v>
      </c>
      <c r="T1937" s="16" t="s">
        <v>89</v>
      </c>
      <c r="U1937" s="11" t="str">
        <f>_xlfn.XLOOKUP(Customer[[#This Row],[Customer ID]],[1]!Address[ID],[1]!Address[Phone No.(2)])</f>
        <v/>
      </c>
      <c r="V1937" s="11" t="str">
        <f>_xlfn.XLOOKUP(Customer[[#This Row],[Customer ID]],[1]!Address[ID],[1]!Address[Type])</f>
        <v>WALK IN</v>
      </c>
      <c r="W1937" s="11" t="str">
        <f>_xlfn.XLOOKUP(Customer[[#This Row],[Customer ID]],[1]!Address[ID],[1]!Address[CT])</f>
        <v/>
      </c>
      <c r="X1937" s="11"/>
      <c r="Y1937" s="17" t="s">
        <v>6284</v>
      </c>
      <c r="Z1937" s="17" t="e">
        <f>_xlfn.XLOOKUP(Customer[[#This Row],[NewType]],$AF$36:$AF$54,$AG$36:$AG$54)</f>
        <v>#N/A</v>
      </c>
      <c r="AA1937" s="17" t="s">
        <v>12134</v>
      </c>
      <c r="AB1937" s="11" t="str">
        <f>_xlfn.XLOOKUP(Customer[[#This Row],[Customer ID]],[1]!Address[ID],[1]!Address[Subtype])</f>
        <v>STAFF</v>
      </c>
      <c r="AC1937" s="18" t="str">
        <f>_xlfn.XLOOKUP(Customer[[#This Row],[Customer ID]],[1]!Address[ID],[1]!Address[Zone])</f>
        <v>CENTRAL</v>
      </c>
    </row>
    <row r="1938" spans="1:30" x14ac:dyDescent="0.3">
      <c r="A1938" s="10" t="s">
        <v>12135</v>
      </c>
      <c r="B1938" s="11" t="str">
        <f>_xlfn.XLOOKUP(Customer[[#This Row],[Customer ID]],[1]!Name[ID],[1]!Name[Description(1)])</f>
        <v>NURSHAHADILAH NOORSIN</v>
      </c>
      <c r="C1938" s="11" t="str">
        <f>_xlfn.XLOOKUP(Customer[[#This Row],[Customer ID]],[1]!Name[ID],[1]!Name[Description(2)])</f>
        <v>(PRODUCTION KILANG AIR)</v>
      </c>
      <c r="D1938" s="11" t="str">
        <f>_xlfn.XLOOKUP(Customer[[#This Row],[Customer ID]],[1]!Address[ID],[1]!Address[PIC])</f>
        <v>NURSHAHADILAH</v>
      </c>
      <c r="E1938" s="11" t="str">
        <f>_xlfn.XLOOKUP(Customer[[#This Row],[Customer ID]],[1]!Address[ID],[1]!Address[Full Address])</f>
        <v>NO 575 LORONG EKAR  2/4,TMN BANDAR EKAR 71200 RANTAU,NS</v>
      </c>
      <c r="F1938" s="12" t="s">
        <v>12136</v>
      </c>
      <c r="G1938" s="12" t="s">
        <v>12137</v>
      </c>
      <c r="H1938" s="12" t="s">
        <v>36</v>
      </c>
      <c r="I1938" s="12" t="b">
        <f>ISNUMBER(VALUE(LEFT(Customer[[#This Row],[Address Line 3 (30 char)]],1)))</f>
        <v>0</v>
      </c>
      <c r="J1938" s="12" t="s">
        <v>203</v>
      </c>
      <c r="K1938" s="12">
        <v>71200</v>
      </c>
      <c r="L1938" s="12" t="s">
        <v>35</v>
      </c>
      <c r="M1938" s="13" t="e">
        <v>#N/A</v>
      </c>
      <c r="N1938" s="14" t="s">
        <v>12138</v>
      </c>
      <c r="O1938" s="14" t="e">
        <v>#N/A</v>
      </c>
      <c r="P1938" s="14" t="e">
        <v>#N/A</v>
      </c>
      <c r="Q1938" s="19" t="s">
        <v>12139</v>
      </c>
      <c r="R1938" s="15" t="s">
        <v>12140</v>
      </c>
      <c r="S1938" s="16" t="s">
        <v>89</v>
      </c>
      <c r="T1938" s="16" t="s">
        <v>89</v>
      </c>
      <c r="U1938" s="11" t="str">
        <f>_xlfn.XLOOKUP(Customer[[#This Row],[Customer ID]],[1]!Address[ID],[1]!Address[Phone No.(2)])</f>
        <v/>
      </c>
      <c r="V1938" s="11" t="str">
        <f>_xlfn.XLOOKUP(Customer[[#This Row],[Customer ID]],[1]!Address[ID],[1]!Address[Type])</f>
        <v>WALK IN</v>
      </c>
      <c r="W1938" s="11" t="str">
        <f>_xlfn.XLOOKUP(Customer[[#This Row],[Customer ID]],[1]!Address[ID],[1]!Address[CT])</f>
        <v/>
      </c>
      <c r="X1938" s="11"/>
      <c r="Y1938" s="17" t="s">
        <v>6284</v>
      </c>
      <c r="Z1938" s="17" t="e">
        <f>_xlfn.XLOOKUP(Customer[[#This Row],[NewType]],$AF$36:$AF$54,$AG$36:$AG$54)</f>
        <v>#N/A</v>
      </c>
      <c r="AA1938" s="17" t="s">
        <v>12141</v>
      </c>
      <c r="AB1938" s="11" t="str">
        <f>_xlfn.XLOOKUP(Customer[[#This Row],[Customer ID]],[1]!Address[ID],[1]!Address[Subtype])</f>
        <v>STAFF</v>
      </c>
      <c r="AC1938" s="18" t="str">
        <f>_xlfn.XLOOKUP(Customer[[#This Row],[Customer ID]],[1]!Address[ID],[1]!Address[Zone])</f>
        <v>IMH</v>
      </c>
    </row>
    <row r="1939" spans="1:30" x14ac:dyDescent="0.3">
      <c r="A1939" s="10" t="s">
        <v>12142</v>
      </c>
      <c r="B1939" s="11" t="str">
        <f>_xlfn.XLOOKUP(Customer[[#This Row],[Customer ID]],[1]!Name[ID],[1]!Name[Description(1)])</f>
        <v>NURFASIIHA BALQIS</v>
      </c>
      <c r="C1939" s="11" t="str">
        <f>_xlfn.XLOOKUP(Customer[[#This Row],[Customer ID]],[1]!Name[ID],[1]!Name[Description(2)])</f>
        <v>(PRODUCTION KILANG AIR)</v>
      </c>
      <c r="D1939" s="11" t="str">
        <f>_xlfn.XLOOKUP(Customer[[#This Row],[Customer ID]],[1]!Address[ID],[1]!Address[PIC])</f>
        <v>FASIIHA</v>
      </c>
      <c r="E1939" s="11" t="str">
        <f>_xlfn.XLOOKUP(Customer[[#This Row],[Customer ID]],[1]!Address[ID],[1]!Address[Full Address])</f>
        <v>NO 5, 2/6 LORONG TAMAN SRI ANGGERIK,71200 RANTAU, NEGERI SEMBILAN</v>
      </c>
      <c r="F1939" s="12" t="s">
        <v>12143</v>
      </c>
      <c r="G1939" s="12" t="s">
        <v>12144</v>
      </c>
      <c r="H1939" s="12" t="s">
        <v>6428</v>
      </c>
      <c r="I1939" s="12" t="b">
        <f>ISNUMBER(VALUE(LEFT(Customer[[#This Row],[Address Line 3 (30 char)]],1)))</f>
        <v>0</v>
      </c>
      <c r="J1939" s="12" t="s">
        <v>203</v>
      </c>
      <c r="K1939" s="12">
        <v>71200</v>
      </c>
      <c r="L1939" s="12" t="s">
        <v>35</v>
      </c>
      <c r="M1939" s="13" t="e">
        <v>#N/A</v>
      </c>
      <c r="N1939" s="14" t="s">
        <v>12145</v>
      </c>
      <c r="O1939" s="14" t="e">
        <v>#N/A</v>
      </c>
      <c r="P1939" s="14" t="e">
        <v>#N/A</v>
      </c>
      <c r="Q1939" s="19" t="s">
        <v>12146</v>
      </c>
      <c r="R1939" s="15" t="s">
        <v>12147</v>
      </c>
      <c r="S1939" s="16" t="s">
        <v>89</v>
      </c>
      <c r="T1939" s="16" t="s">
        <v>89</v>
      </c>
      <c r="U1939" s="11" t="str">
        <f>_xlfn.XLOOKUP(Customer[[#This Row],[Customer ID]],[1]!Address[ID],[1]!Address[Phone No.(2)])</f>
        <v/>
      </c>
      <c r="V1939" s="11" t="str">
        <f>_xlfn.XLOOKUP(Customer[[#This Row],[Customer ID]],[1]!Address[ID],[1]!Address[Type])</f>
        <v>WALK IN</v>
      </c>
      <c r="W1939" s="11" t="str">
        <f>_xlfn.XLOOKUP(Customer[[#This Row],[Customer ID]],[1]!Address[ID],[1]!Address[CT])</f>
        <v/>
      </c>
      <c r="X1939" s="11"/>
      <c r="Y1939" s="17" t="s">
        <v>6284</v>
      </c>
      <c r="Z1939" s="17" t="e">
        <f>_xlfn.XLOOKUP(Customer[[#This Row],[NewType]],$AF$36:$AF$54,$AG$36:$AG$54)</f>
        <v>#N/A</v>
      </c>
      <c r="AA1939" s="17" t="s">
        <v>12148</v>
      </c>
      <c r="AB1939" s="11" t="str">
        <f>_xlfn.XLOOKUP(Customer[[#This Row],[Customer ID]],[1]!Address[ID],[1]!Address[Subtype])</f>
        <v>STAFF</v>
      </c>
      <c r="AC1939" s="18" t="str">
        <f>_xlfn.XLOOKUP(Customer[[#This Row],[Customer ID]],[1]!Address[ID],[1]!Address[Zone])</f>
        <v>CENTRAL</v>
      </c>
    </row>
    <row r="1940" spans="1:30" x14ac:dyDescent="0.3">
      <c r="A1940" s="10" t="s">
        <v>12149</v>
      </c>
      <c r="B1940" s="11" t="str">
        <f>_xlfn.XLOOKUP(Customer[[#This Row],[Customer ID]],[1]!Name[ID],[1]!Name[Description(1)])</f>
        <v>SITI NORNABILLA BINTI MUHAMAD AZRUL</v>
      </c>
      <c r="C1940" s="11" t="str">
        <f>_xlfn.XLOOKUP(Customer[[#This Row],[Customer ID]],[1]!Name[ID],[1]!Name[Description(2)])</f>
        <v>(PRODUCTION KILANG AIR)</v>
      </c>
      <c r="D1940" s="11" t="str">
        <f>_xlfn.XLOOKUP(Customer[[#This Row],[Customer ID]],[1]!Address[ID],[1]!Address[PIC])</f>
        <v>NABILLA</v>
      </c>
      <c r="E1940" s="11" t="str">
        <f>_xlfn.XLOOKUP(Customer[[#This Row],[Customer ID]],[1]!Address[ID],[1]!Address[Full Address])</f>
        <v>KAMPUNG TANJUNG 1, 71200 RANTAU,NEGERI SEMBILAN</v>
      </c>
      <c r="F1940" s="12" t="s">
        <v>12150</v>
      </c>
      <c r="G1940" s="12" t="s">
        <v>12151</v>
      </c>
      <c r="H1940" s="12" t="s">
        <v>6428</v>
      </c>
      <c r="I1940" s="12" t="b">
        <f>ISNUMBER(VALUE(LEFT(Customer[[#This Row],[Address Line 3 (30 char)]],1)))</f>
        <v>0</v>
      </c>
      <c r="J1940" s="12" t="s">
        <v>203</v>
      </c>
      <c r="K1940" s="12">
        <v>71200</v>
      </c>
      <c r="L1940" s="12" t="s">
        <v>35</v>
      </c>
      <c r="M1940" s="13" t="e">
        <v>#N/A</v>
      </c>
      <c r="N1940" s="14" t="s">
        <v>12152</v>
      </c>
      <c r="O1940" s="14" t="e">
        <v>#N/A</v>
      </c>
      <c r="P1940" s="14" t="e">
        <v>#N/A</v>
      </c>
      <c r="Q1940" s="19" t="s">
        <v>12153</v>
      </c>
      <c r="R1940" s="15" t="s">
        <v>12154</v>
      </c>
      <c r="S1940" s="16" t="s">
        <v>89</v>
      </c>
      <c r="T1940" s="16" t="s">
        <v>89</v>
      </c>
      <c r="U1940" s="11" t="str">
        <f>_xlfn.XLOOKUP(Customer[[#This Row],[Customer ID]],[1]!Address[ID],[1]!Address[Phone No.(2)])</f>
        <v>NABILLA</v>
      </c>
      <c r="V1940" s="11" t="str">
        <f>_xlfn.XLOOKUP(Customer[[#This Row],[Customer ID]],[1]!Address[ID],[1]!Address[Type])</f>
        <v>WALK IN</v>
      </c>
      <c r="W1940" s="11" t="str">
        <f>_xlfn.XLOOKUP(Customer[[#This Row],[Customer ID]],[1]!Address[ID],[1]!Address[CT])</f>
        <v/>
      </c>
      <c r="X1940" s="11"/>
      <c r="Y1940" s="17" t="s">
        <v>6284</v>
      </c>
      <c r="Z1940" s="17" t="e">
        <f>_xlfn.XLOOKUP(Customer[[#This Row],[NewType]],$AF$36:$AF$54,$AG$36:$AG$54)</f>
        <v>#N/A</v>
      </c>
      <c r="AA1940" s="17" t="s">
        <v>12155</v>
      </c>
      <c r="AB1940" s="11" t="str">
        <f>_xlfn.XLOOKUP(Customer[[#This Row],[Customer ID]],[1]!Address[ID],[1]!Address[Subtype])</f>
        <v>STAFF</v>
      </c>
      <c r="AC1940" s="18" t="str">
        <f>_xlfn.XLOOKUP(Customer[[#This Row],[Customer ID]],[1]!Address[ID],[1]!Address[Zone])</f>
        <v>CENTRAL</v>
      </c>
    </row>
    <row r="1941" spans="1:30" x14ac:dyDescent="0.3">
      <c r="A1941" s="10" t="s">
        <v>12156</v>
      </c>
      <c r="B1941" s="11" t="str">
        <f>_xlfn.XLOOKUP(Customer[[#This Row],[Customer ID]],[1]!Name[ID],[1]!Name[Description(1)])</f>
        <v>RISDA VENTURES SDN. BHD</v>
      </c>
      <c r="C1941" s="11" t="str">
        <f>_xlfn.XLOOKUP(Customer[[#This Row],[Customer ID]],[1]!Name[ID],[1]!Name[Description(2)])</f>
        <v>PS PAGOH</v>
      </c>
      <c r="D1941" s="11" t="str">
        <f>_xlfn.XLOOKUP(Customer[[#This Row],[Customer ID]],[1]!Address[ID],[1]!Address[PIC])</f>
        <v/>
      </c>
      <c r="E1941" s="11" t="str">
        <f>_xlfn.XLOOKUP(Customer[[#This Row],[Customer ID]],[1]!Address[ID],[1]!Address[Full Address])</f>
        <v>PS PAGOHLOT 1936, HSD 5161,MUKIM JORAK, PAGOH84600 MUAR, JOHOR</v>
      </c>
      <c r="F1941" s="12" t="s">
        <v>12157</v>
      </c>
      <c r="G1941" s="12" t="s">
        <v>12158</v>
      </c>
      <c r="H1941" s="12" t="s">
        <v>12159</v>
      </c>
      <c r="I1941" s="12" t="b">
        <f>ISNUMBER(VALUE(LEFT(Customer[[#This Row],[Address Line 3 (30 char)]],1)))</f>
        <v>0</v>
      </c>
      <c r="J1941" s="12" t="s">
        <v>52</v>
      </c>
      <c r="K1941" s="12">
        <v>84600</v>
      </c>
      <c r="L1941" s="12" t="s">
        <v>35</v>
      </c>
      <c r="M1941" s="13" t="e">
        <v>#N/A</v>
      </c>
      <c r="N1941" s="14" t="s">
        <v>12160</v>
      </c>
      <c r="O1941" s="14" t="e">
        <v>#N/A</v>
      </c>
      <c r="P1941" s="14" t="e">
        <v>#N/A</v>
      </c>
      <c r="Q1941" s="19" t="s">
        <v>12161</v>
      </c>
      <c r="R1941" s="15" t="s">
        <v>12162</v>
      </c>
      <c r="S1941" s="15" t="s">
        <v>37</v>
      </c>
      <c r="T1941" s="16" t="s">
        <v>38</v>
      </c>
      <c r="U1941" s="11" t="str">
        <f>_xlfn.XLOOKUP(Customer[[#This Row],[Customer ID]],[1]!Address[ID],[1]!Address[Phone No.(2)])</f>
        <v/>
      </c>
      <c r="V1941" s="11" t="str">
        <f>_xlfn.XLOOKUP(Customer[[#This Row],[Customer ID]],[1]!Address[ID],[1]!Address[Type])</f>
        <v>PETROMART</v>
      </c>
      <c r="W1941" s="11" t="str">
        <f>_xlfn.XLOOKUP(Customer[[#This Row],[Customer ID]],[1]!Address[ID],[1]!Address[CT])</f>
        <v>30</v>
      </c>
      <c r="X1941" s="11" t="s">
        <v>39</v>
      </c>
      <c r="Y1941" s="17" t="s">
        <v>40</v>
      </c>
      <c r="Z1941" s="17" t="e">
        <f>_xlfn.XLOOKUP(Customer[[#This Row],[NewType]],$AF$36:$AF$54,$AG$36:$AG$54)</f>
        <v>#N/A</v>
      </c>
      <c r="AA1941" s="17" t="s">
        <v>12163</v>
      </c>
      <c r="AB1941" s="11" t="str">
        <f>_xlfn.XLOOKUP(Customer[[#This Row],[Customer ID]],[1]!Address[ID],[1]!Address[Subtype])</f>
        <v>PETRONAS</v>
      </c>
      <c r="AC1941" s="18" t="str">
        <f>_xlfn.XLOOKUP(Customer[[#This Row],[Customer ID]],[1]!Address[ID],[1]!Address[Zone])</f>
        <v>SOUTH</v>
      </c>
    </row>
    <row r="1942" spans="1:30" x14ac:dyDescent="0.3">
      <c r="A1942" s="10" t="s">
        <v>12164</v>
      </c>
      <c r="B1942" s="11" t="str">
        <f>_xlfn.XLOOKUP(Customer[[#This Row],[Customer ID]],[1]!Name[ID],[1]!Name[Description(1)])</f>
        <v>PETROLIAM NASIONAL BERHAD(PETRONAS)</v>
      </c>
      <c r="C1942" s="11" t="str">
        <f>_xlfn.XLOOKUP(Customer[[#This Row],[Customer ID]],[1]!Name[ID],[1]!Name[Description(2)])</f>
        <v/>
      </c>
      <c r="D1942" s="11" t="str">
        <f>_xlfn.XLOOKUP(Customer[[#This Row],[Customer ID]],[1]!Address[ID],[1]!Address[PIC])</f>
        <v/>
      </c>
      <c r="E1942" s="11" t="str">
        <f>_xlfn.XLOOKUP(Customer[[#This Row],[Customer ID]],[1]!Address[ID],[1]!Address[Full Address])</f>
        <v>PETRONAS SOUTHERN, LEVEL 4,PETRONAS BUILDING BANDAR BARU UDA,KM7 JALAN SKUDAI,81200 JOHOR BAHRU</v>
      </c>
      <c r="F1942" s="12" t="s">
        <v>12165</v>
      </c>
      <c r="G1942" s="12" t="s">
        <v>12166</v>
      </c>
      <c r="H1942" s="12" t="s">
        <v>12167</v>
      </c>
      <c r="I1942" s="12" t="b">
        <f>ISNUMBER(VALUE(LEFT(Customer[[#This Row],[Address Line 3 (30 char)]],1)))</f>
        <v>0</v>
      </c>
      <c r="J1942" s="12" t="s">
        <v>52</v>
      </c>
      <c r="K1942" s="12">
        <v>81200</v>
      </c>
      <c r="L1942" s="12" t="s">
        <v>35</v>
      </c>
      <c r="M1942" s="13" t="e">
        <v>#N/A</v>
      </c>
      <c r="N1942" s="14" t="e">
        <v>#N/A</v>
      </c>
      <c r="O1942" s="14" t="e">
        <v>#N/A</v>
      </c>
      <c r="P1942" s="14" t="e">
        <v>#N/A</v>
      </c>
      <c r="Q1942" s="14" t="e">
        <v>#N/A</v>
      </c>
      <c r="R1942" s="15" t="s">
        <v>11208</v>
      </c>
      <c r="S1942" s="15" t="s">
        <v>5934</v>
      </c>
      <c r="T1942" s="16"/>
      <c r="U1942" s="11" t="str">
        <f>_xlfn.XLOOKUP(Customer[[#This Row],[Customer ID]],[1]!Address[ID],[1]!Address[Phone No.(2)])</f>
        <v/>
      </c>
      <c r="V1942" s="11" t="str">
        <f>_xlfn.XLOOKUP(Customer[[#This Row],[Customer ID]],[1]!Address[ID],[1]!Address[Type])</f>
        <v>CORPORATE</v>
      </c>
      <c r="W1942" s="11" t="str">
        <f>_xlfn.XLOOKUP(Customer[[#This Row],[Customer ID]],[1]!Address[ID],[1]!Address[CT])</f>
        <v>30 DAYS</v>
      </c>
      <c r="X1942" s="11"/>
      <c r="Y1942" s="17" t="s">
        <v>6418</v>
      </c>
      <c r="Z1942" s="17" t="e">
        <f>_xlfn.XLOOKUP(Customer[[#This Row],[NewType]],$AF$36:$AF$54,$AG$36:$AG$54)</f>
        <v>#N/A</v>
      </c>
      <c r="AA1942" s="17" t="s">
        <v>12168</v>
      </c>
      <c r="AB1942" s="11" t="str">
        <f>_xlfn.XLOOKUP(Customer[[#This Row],[Customer ID]],[1]!Address[ID],[1]!Address[Subtype])</f>
        <v>PETRONAS</v>
      </c>
      <c r="AC1942" s="18" t="str">
        <f>_xlfn.XLOOKUP(Customer[[#This Row],[Customer ID]],[1]!Address[ID],[1]!Address[Zone])</f>
        <v>SOUTH</v>
      </c>
    </row>
    <row r="1943" spans="1:30" x14ac:dyDescent="0.3">
      <c r="A1943" s="10" t="s">
        <v>12169</v>
      </c>
      <c r="B1943" s="11" t="str">
        <f>_xlfn.XLOOKUP(Customer[[#This Row],[Customer ID]],[1]!Name[ID],[1]!Name[Description(1)])</f>
        <v>WIJAPHARMA SDN BHD</v>
      </c>
      <c r="C1943" s="11" t="str">
        <f>_xlfn.XLOOKUP(Customer[[#This Row],[Customer ID]],[1]!Name[ID],[1]!Name[Description(2)])</f>
        <v>WIJA PHARMA SDN BHD</v>
      </c>
      <c r="D1943" s="11" t="str">
        <f>_xlfn.XLOOKUP(Customer[[#This Row],[Customer ID]],[1]!Address[ID],[1]!Address[PIC])</f>
        <v/>
      </c>
      <c r="E1943" s="11" t="str">
        <f>_xlfn.XLOOKUP(Customer[[#This Row],[Customer ID]],[1]!Address[ID],[1]!Address[Full Address])</f>
        <v>NO.19, GROUND FLOOR,KUBAH RIA COMPLEX,PETRA JAYA,93050 KUCHING SARAWAK</v>
      </c>
      <c r="F1943" s="12" t="s">
        <v>12170</v>
      </c>
      <c r="G1943" s="12" t="s">
        <v>12171</v>
      </c>
      <c r="H1943" s="12" t="s">
        <v>12172</v>
      </c>
      <c r="I1943" s="12" t="b">
        <f>ISNUMBER(VALUE(LEFT(Customer[[#This Row],[Address Line 3 (30 char)]],1)))</f>
        <v>0</v>
      </c>
      <c r="J1943" s="12" t="s">
        <v>9000</v>
      </c>
      <c r="K1943" s="12">
        <v>93050</v>
      </c>
      <c r="L1943" s="12" t="s">
        <v>35</v>
      </c>
      <c r="M1943" s="13" t="e">
        <v>#N/A</v>
      </c>
      <c r="N1943" s="14" t="e">
        <v>#N/A</v>
      </c>
      <c r="O1943" s="14" t="e">
        <v>#N/A</v>
      </c>
      <c r="P1943" s="14" t="e">
        <v>#N/A</v>
      </c>
      <c r="Q1943" s="14" t="e">
        <v>#N/A</v>
      </c>
      <c r="R1943" s="15" t="s">
        <v>12173</v>
      </c>
      <c r="S1943" s="15" t="s">
        <v>3476</v>
      </c>
      <c r="T1943" s="16" t="s">
        <v>3477</v>
      </c>
      <c r="U1943" s="11" t="str">
        <f>_xlfn.XLOOKUP(Customer[[#This Row],[Customer ID]],[1]!Address[ID],[1]!Address[Phone No.(2)])</f>
        <v/>
      </c>
      <c r="V1943" s="11" t="str">
        <f>_xlfn.XLOOKUP(Customer[[#This Row],[Customer ID]],[1]!Address[ID],[1]!Address[Type])</f>
        <v>PH</v>
      </c>
      <c r="W1943" s="11" t="str">
        <f>_xlfn.XLOOKUP(Customer[[#This Row],[Customer ID]],[1]!Address[ID],[1]!Address[CT])</f>
        <v>CASH</v>
      </c>
      <c r="X1943" s="11"/>
      <c r="Y1943" s="17" t="s">
        <v>5955</v>
      </c>
      <c r="Z1943" s="17" t="e">
        <f>_xlfn.XLOOKUP(Customer[[#This Row],[NewType]],$AF$36:$AF$54,$AG$36:$AG$54)</f>
        <v>#N/A</v>
      </c>
      <c r="AA1943" s="17" t="s">
        <v>12174</v>
      </c>
      <c r="AB1943" s="11" t="str">
        <f>_xlfn.XLOOKUP(Customer[[#This Row],[Customer ID]],[1]!Address[ID],[1]!Address[Subtype])</f>
        <v>WIJAPHARMA</v>
      </c>
      <c r="AC1943" s="18">
        <f>_xlfn.XLOOKUP(Customer[[#This Row],[Customer ID]],[1]!Address[ID],[1]!Address[Zone])</f>
        <v>0</v>
      </c>
    </row>
    <row r="1944" spans="1:30" x14ac:dyDescent="0.3">
      <c r="A1944" s="10" t="s">
        <v>12175</v>
      </c>
      <c r="B1944" s="11" t="str">
        <f>_xlfn.XLOOKUP(Customer[[#This Row],[Customer ID]],[1]!Name[ID],[1]!Name[Description(1)])</f>
        <v>TUAH RAYA SDN. BHD.</v>
      </c>
      <c r="C1944" s="11" t="str">
        <f>_xlfn.XLOOKUP(Customer[[#This Row],[Customer ID]],[1]!Name[ID],[1]!Name[Description(2)])</f>
        <v>KB SMOKE HOUSE</v>
      </c>
      <c r="D1944" s="11" t="str">
        <f>_xlfn.XLOOKUP(Customer[[#This Row],[Customer ID]],[1]!Address[ID],[1]!Address[PIC])</f>
        <v>FARAH</v>
      </c>
      <c r="E1944" s="11" t="str">
        <f>_xlfn.XLOOKUP(Customer[[#This Row],[Customer ID]],[1]!Address[ID],[1]!Address[Full Address])</f>
        <v>PT 447 (GROUND FLOOR),JALAN JAMBATAN NO. 12L KAMPUNG SIREH,BAWAH LEMBAH,15150 KOTA BHARU, KELANTAN</v>
      </c>
      <c r="F1944" s="12" t="s">
        <v>12176</v>
      </c>
      <c r="G1944" s="12" t="s">
        <v>12177</v>
      </c>
      <c r="H1944" s="12" t="s">
        <v>12178</v>
      </c>
      <c r="I1944" s="12" t="b">
        <f>ISNUMBER(VALUE(LEFT(Customer[[#This Row],[Address Line 3 (30 char)]],1)))</f>
        <v>0</v>
      </c>
      <c r="J1944" s="12" t="s">
        <v>1007</v>
      </c>
      <c r="K1944" s="12">
        <v>15150</v>
      </c>
      <c r="L1944" s="12" t="s">
        <v>35</v>
      </c>
      <c r="M1944" s="13" t="e">
        <v>#N/A</v>
      </c>
      <c r="N1944" s="14" t="s">
        <v>12179</v>
      </c>
      <c r="O1944" s="14" t="e">
        <v>#N/A</v>
      </c>
      <c r="P1944" s="14" t="e">
        <v>#N/A</v>
      </c>
      <c r="Q1944" s="19" t="s">
        <v>12180</v>
      </c>
      <c r="R1944" s="15" t="s">
        <v>12181</v>
      </c>
      <c r="S1944" s="15" t="s">
        <v>6749</v>
      </c>
      <c r="T1944" s="16" t="s">
        <v>6749</v>
      </c>
      <c r="U1944" s="11" t="str">
        <f>_xlfn.XLOOKUP(Customer[[#This Row],[Customer ID]],[1]!Address[ID],[1]!Address[Phone No.(2)])</f>
        <v/>
      </c>
      <c r="V1944" s="11" t="str">
        <f>_xlfn.XLOOKUP(Customer[[#This Row],[Customer ID]],[1]!Address[ID],[1]!Address[Type])</f>
        <v>WALK IN</v>
      </c>
      <c r="W1944" s="11" t="str">
        <f>_xlfn.XLOOKUP(Customer[[#This Row],[Customer ID]],[1]!Address[ID],[1]!Address[CT])</f>
        <v>14 DAYS</v>
      </c>
      <c r="X1944" s="11"/>
      <c r="Y1944" s="17" t="s">
        <v>6284</v>
      </c>
      <c r="Z1944" s="17" t="e">
        <f>_xlfn.XLOOKUP(Customer[[#This Row],[NewType]],$AF$36:$AF$54,$AG$36:$AG$54)</f>
        <v>#N/A</v>
      </c>
      <c r="AA1944" s="17" t="s">
        <v>12182</v>
      </c>
      <c r="AB1944" s="11" t="str">
        <f>_xlfn.XLOOKUP(Customer[[#This Row],[Customer ID]],[1]!Address[ID],[1]!Address[Subtype])</f>
        <v>KB</v>
      </c>
      <c r="AC1944" s="18" t="str">
        <f>_xlfn.XLOOKUP(Customer[[#This Row],[Customer ID]],[1]!Address[ID],[1]!Address[Zone])</f>
        <v>EAST COAST</v>
      </c>
    </row>
    <row r="1945" spans="1:30" x14ac:dyDescent="0.3">
      <c r="A1945" s="10" t="s">
        <v>12183</v>
      </c>
      <c r="B1945" s="11" t="str">
        <f>_xlfn.XLOOKUP(Customer[[#This Row],[Customer ID]],[1]!Name[ID],[1]!Name[Description(1)])</f>
        <v>AHMAD RIZALDI BIN SULAIMAN</v>
      </c>
      <c r="C1945" s="11" t="str">
        <f>_xlfn.XLOOKUP(Customer[[#This Row],[Customer ID]],[1]!Name[ID],[1]!Name[Description(2)])</f>
        <v/>
      </c>
      <c r="D1945" s="11" t="str">
        <f>_xlfn.XLOOKUP(Customer[[#This Row],[Customer ID]],[1]!Address[ID],[1]!Address[PIC])</f>
        <v>AHMAD RIZALDI</v>
      </c>
      <c r="E1945" s="11" t="str">
        <f>_xlfn.XLOOKUP(Customer[[#This Row],[Customer ID]],[1]!Address[ID],[1]!Address[Full Address])</f>
        <v>NO 1050 JALAN JASMIN 16 TAMAN JASMIN70450 SENAWANG, NEGERI SEMBILAN</v>
      </c>
      <c r="F1945" s="12" t="s">
        <v>12184</v>
      </c>
      <c r="G1945" s="12" t="s">
        <v>12185</v>
      </c>
      <c r="H1945" s="12" t="s">
        <v>3106</v>
      </c>
      <c r="I1945" s="12" t="b">
        <f>ISNUMBER(VALUE(LEFT(Customer[[#This Row],[Address Line 3 (30 char)]],1)))</f>
        <v>0</v>
      </c>
      <c r="J1945" s="12" t="s">
        <v>203</v>
      </c>
      <c r="K1945" s="12">
        <v>70450</v>
      </c>
      <c r="L1945" s="12" t="s">
        <v>35</v>
      </c>
      <c r="M1945" s="13" t="e">
        <v>#N/A</v>
      </c>
      <c r="N1945" s="14" t="s">
        <v>12186</v>
      </c>
      <c r="O1945" s="14" t="e">
        <v>#N/A</v>
      </c>
      <c r="P1945" s="14" t="e">
        <v>#N/A</v>
      </c>
      <c r="Q1945" s="19" t="s">
        <v>12187</v>
      </c>
      <c r="R1945" s="15" t="s">
        <v>12188</v>
      </c>
      <c r="S1945" s="16" t="s">
        <v>89</v>
      </c>
      <c r="T1945" s="16" t="s">
        <v>89</v>
      </c>
      <c r="U1945" s="11" t="str">
        <f>_xlfn.XLOOKUP(Customer[[#This Row],[Customer ID]],[1]!Address[ID],[1]!Address[Phone No.(2)])</f>
        <v/>
      </c>
      <c r="V1945" s="11" t="str">
        <f>_xlfn.XLOOKUP(Customer[[#This Row],[Customer ID]],[1]!Address[ID],[1]!Address[Type])</f>
        <v>WALK IN</v>
      </c>
      <c r="W1945" s="11" t="str">
        <f>_xlfn.XLOOKUP(Customer[[#This Row],[Customer ID]],[1]!Address[ID],[1]!Address[CT])</f>
        <v/>
      </c>
      <c r="X1945" s="11"/>
      <c r="Y1945" s="17" t="s">
        <v>6284</v>
      </c>
      <c r="Z1945" s="17" t="e">
        <f>_xlfn.XLOOKUP(Customer[[#This Row],[NewType]],$AF$36:$AF$54,$AG$36:$AG$54)</f>
        <v>#N/A</v>
      </c>
      <c r="AA1945" s="17" t="s">
        <v>12189</v>
      </c>
      <c r="AB1945" s="11" t="str">
        <f>_xlfn.XLOOKUP(Customer[[#This Row],[Customer ID]],[1]!Address[ID],[1]!Address[Subtype])</f>
        <v>PEDAS</v>
      </c>
      <c r="AC1945" s="18" t="str">
        <f>_xlfn.XLOOKUP(Customer[[#This Row],[Customer ID]],[1]!Address[ID],[1]!Address[Zone])</f>
        <v>CENTRAL</v>
      </c>
    </row>
    <row r="1946" spans="1:30" x14ac:dyDescent="0.3">
      <c r="A1946" s="10" t="s">
        <v>12190</v>
      </c>
      <c r="B1946" s="11" t="str">
        <f>_xlfn.XLOOKUP(Customer[[#This Row],[Customer ID]],[1]!Name[ID],[1]!Name[Description(1)])</f>
        <v>SITI NUR AISYAH BT ROZALI</v>
      </c>
      <c r="C1946" s="11" t="str">
        <f>_xlfn.XLOOKUP(Customer[[#This Row],[Customer ID]],[1]!Name[ID],[1]!Name[Description(2)])</f>
        <v/>
      </c>
      <c r="D1946" s="11" t="str">
        <f>_xlfn.XLOOKUP(Customer[[#This Row],[Customer ID]],[1]!Address[ID],[1]!Address[PIC])</f>
        <v>AISYAH</v>
      </c>
      <c r="E1946" s="11" t="str">
        <f>_xlfn.XLOOKUP(Customer[[#This Row],[Customer ID]],[1]!Address[ID],[1]!Address[Full Address])</f>
        <v>NO 2, JALAN WARISAN BESTARI 3,TAMAN WARISAN BESTARI, KOTA WARISAN43900 SEPANG, SELANGOR</v>
      </c>
      <c r="F1946" s="12" t="s">
        <v>12191</v>
      </c>
      <c r="G1946" s="12" t="s">
        <v>12192</v>
      </c>
      <c r="H1946" s="12" t="s">
        <v>12193</v>
      </c>
      <c r="I1946" s="12" t="b">
        <f>ISNUMBER(VALUE(LEFT(Customer[[#This Row],[Address Line 3 (30 char)]],1)))</f>
        <v>0</v>
      </c>
      <c r="J1946" s="12" t="s">
        <v>172</v>
      </c>
      <c r="K1946" s="12">
        <v>43900</v>
      </c>
      <c r="L1946" s="12" t="s">
        <v>35</v>
      </c>
      <c r="M1946" s="13" t="e">
        <v>#N/A</v>
      </c>
      <c r="N1946" s="14" t="s">
        <v>12194</v>
      </c>
      <c r="O1946" s="14" t="e">
        <v>#N/A</v>
      </c>
      <c r="P1946" s="14" t="e">
        <v>#N/A</v>
      </c>
      <c r="Q1946" s="19" t="s">
        <v>12195</v>
      </c>
      <c r="R1946" s="15" t="s">
        <v>12196</v>
      </c>
      <c r="S1946" s="16" t="s">
        <v>89</v>
      </c>
      <c r="T1946" s="16" t="s">
        <v>89</v>
      </c>
      <c r="U1946" s="11" t="str">
        <f>_xlfn.XLOOKUP(Customer[[#This Row],[Customer ID]],[1]!Address[ID],[1]!Address[Phone No.(2)])</f>
        <v/>
      </c>
      <c r="V1946" s="11" t="str">
        <f>_xlfn.XLOOKUP(Customer[[#This Row],[Customer ID]],[1]!Address[ID],[1]!Address[Type])</f>
        <v>WALK IN</v>
      </c>
      <c r="W1946" s="11" t="str">
        <f>_xlfn.XLOOKUP(Customer[[#This Row],[Customer ID]],[1]!Address[ID],[1]!Address[CT])</f>
        <v/>
      </c>
      <c r="X1946" s="11"/>
      <c r="Y1946" s="17" t="s">
        <v>6284</v>
      </c>
      <c r="Z1946" s="17" t="e">
        <f>_xlfn.XLOOKUP(Customer[[#This Row],[NewType]],$AF$36:$AF$54,$AG$36:$AG$54)</f>
        <v>#N/A</v>
      </c>
      <c r="AA1946" s="17" t="s">
        <v>12197</v>
      </c>
      <c r="AB1946" s="11" t="str">
        <f>_xlfn.XLOOKUP(Customer[[#This Row],[Customer ID]],[1]!Address[ID],[1]!Address[Subtype])</f>
        <v>PEDAS</v>
      </c>
      <c r="AC1946" s="18" t="str">
        <f>_xlfn.XLOOKUP(Customer[[#This Row],[Customer ID]],[1]!Address[ID],[1]!Address[Zone])</f>
        <v>CENTRAL</v>
      </c>
    </row>
    <row r="1947" spans="1:30" x14ac:dyDescent="0.3">
      <c r="A1947" s="48" t="s">
        <v>12198</v>
      </c>
      <c r="B1947" s="49" t="str">
        <f>_xlfn.XLOOKUP(Customer[[#This Row],[Customer ID]],[1]!Name[ID],[1]!Name[Description(1)])</f>
        <v>EN DHIRAR</v>
      </c>
      <c r="C1947" s="88" t="str">
        <f>_xlfn.XLOOKUP(Customer[[#This Row],[Customer ID]],[1]!Name[ID],[1]!Name[Description(2)])</f>
        <v/>
      </c>
      <c r="D1947" s="49" t="str">
        <f>_xlfn.XLOOKUP(Customer[[#This Row],[Customer ID]],[1]!Address[ID],[1]!Address[PIC])</f>
        <v>EN DHIRAR</v>
      </c>
      <c r="E1947" s="11" t="str">
        <f>_xlfn.XLOOKUP(Customer[[#This Row],[Customer ID]],[1]!Address[ID],[1]!Address[Full Address])</f>
        <v/>
      </c>
      <c r="F1947" s="63" t="s">
        <v>36</v>
      </c>
      <c r="G1947" s="63" t="s">
        <v>36</v>
      </c>
      <c r="H1947" s="63" t="s">
        <v>36</v>
      </c>
      <c r="I1947" s="63" t="b">
        <f>ISNUMBER(VALUE(LEFT(Customer[[#This Row],[Address Line 3 (30 char)]],1)))</f>
        <v>0</v>
      </c>
      <c r="J1947" s="98"/>
      <c r="K1947" s="98"/>
      <c r="L1947" s="63" t="s">
        <v>35</v>
      </c>
      <c r="M1947" s="65" t="e">
        <v>#N/A</v>
      </c>
      <c r="N1947" s="66" t="s">
        <v>12199</v>
      </c>
      <c r="O1947" s="66" t="e">
        <v>#N/A</v>
      </c>
      <c r="P1947" s="66" t="e">
        <v>#N/A</v>
      </c>
      <c r="Q1947" s="66" t="e">
        <v>#N/A</v>
      </c>
      <c r="R1947" s="51" t="s">
        <v>12200</v>
      </c>
      <c r="S1947" s="51"/>
      <c r="T1947" s="52"/>
      <c r="U1947" s="49" t="str">
        <f>_xlfn.XLOOKUP(Customer[[#This Row],[Customer ID]],[1]!Address[ID],[1]!Address[Phone No.(2)])</f>
        <v/>
      </c>
      <c r="V1947" s="49" t="str">
        <f>_xlfn.XLOOKUP(Customer[[#This Row],[Customer ID]],[1]!Address[ID],[1]!Address[Type])</f>
        <v>SOCMED</v>
      </c>
      <c r="W1947" s="49" t="str">
        <f>_xlfn.XLOOKUP(Customer[[#This Row],[Customer ID]],[1]!Address[ID],[1]!Address[CT])</f>
        <v/>
      </c>
      <c r="X1947" s="49"/>
      <c r="Y1947" s="53" t="s">
        <v>90</v>
      </c>
      <c r="Z1947" s="53" t="e">
        <f>_xlfn.XLOOKUP(Customer[[#This Row],[NewType]],$AF$36:$AF$54,$AG$36:$AG$54)</f>
        <v>#N/A</v>
      </c>
      <c r="AA1947" s="53" t="s">
        <v>12201</v>
      </c>
      <c r="AB1947" s="49" t="str">
        <f>_xlfn.XLOOKUP(Customer[[#This Row],[Customer ID]],[1]!Address[ID],[1]!Address[Subtype])</f>
        <v>WHATSAPP</v>
      </c>
      <c r="AC1947" s="54" t="str">
        <f>_xlfn.XLOOKUP(Customer[[#This Row],[Customer ID]],[1]!Address[ID],[1]!Address[Zone])</f>
        <v>AEEDH</v>
      </c>
      <c r="AD1947" s="55"/>
    </row>
    <row r="1948" spans="1:30" x14ac:dyDescent="0.3">
      <c r="A1948" s="10" t="s">
        <v>12202</v>
      </c>
      <c r="B1948" s="11" t="str">
        <f>_xlfn.XLOOKUP(Customer[[#This Row],[Customer ID]],[1]!Name[ID],[1]!Name[Description(1)])</f>
        <v>RAZIB ZAKARIA (UCU AJIB)</v>
      </c>
      <c r="C1948" s="11" t="str">
        <f>_xlfn.XLOOKUP(Customer[[#This Row],[Customer ID]],[1]!Name[ID],[1]!Name[Description(2)])</f>
        <v/>
      </c>
      <c r="D1948" s="11" t="str">
        <f>_xlfn.XLOOKUP(Customer[[#This Row],[Customer ID]],[1]!Address[ID],[1]!Address[PIC])</f>
        <v>RAZIB</v>
      </c>
      <c r="E1948" s="11" t="str">
        <f>_xlfn.XLOOKUP(Customer[[#This Row],[Customer ID]],[1]!Address[ID],[1]!Address[Full Address])</f>
        <v>303 JLN IDAMAN VILLA 10, BANDARSERI SENDAYAN 71950 SEREMBAN,NEGERI SEMBILAN</v>
      </c>
      <c r="F1948" s="12" t="s">
        <v>12203</v>
      </c>
      <c r="G1948" s="12" t="s">
        <v>12204</v>
      </c>
      <c r="H1948" s="12" t="s">
        <v>12205</v>
      </c>
      <c r="I1948" s="12" t="b">
        <f>ISNUMBER(VALUE(LEFT(Customer[[#This Row],[Address Line 3 (30 char)]],1)))</f>
        <v>0</v>
      </c>
      <c r="J1948" s="12" t="s">
        <v>203</v>
      </c>
      <c r="K1948" s="12">
        <v>71950</v>
      </c>
      <c r="L1948" s="12" t="s">
        <v>35</v>
      </c>
      <c r="M1948" s="13" t="e">
        <v>#N/A</v>
      </c>
      <c r="N1948" s="14" t="s">
        <v>12206</v>
      </c>
      <c r="O1948" s="14" t="e">
        <v>#N/A</v>
      </c>
      <c r="P1948" s="14" t="e">
        <v>#N/A</v>
      </c>
      <c r="Q1948" s="14" t="e">
        <v>#N/A</v>
      </c>
      <c r="R1948" s="15" t="s">
        <v>12207</v>
      </c>
      <c r="S1948" s="16" t="s">
        <v>89</v>
      </c>
      <c r="T1948" s="16" t="s">
        <v>89</v>
      </c>
      <c r="U1948" s="11" t="str">
        <f>_xlfn.XLOOKUP(Customer[[#This Row],[Customer ID]],[1]!Address[ID],[1]!Address[Phone No.(2)])</f>
        <v/>
      </c>
      <c r="V1948" s="11" t="str">
        <f>_xlfn.XLOOKUP(Customer[[#This Row],[Customer ID]],[1]!Address[ID],[1]!Address[Type])</f>
        <v>WALK IN</v>
      </c>
      <c r="W1948" s="11" t="str">
        <f>_xlfn.XLOOKUP(Customer[[#This Row],[Customer ID]],[1]!Address[ID],[1]!Address[CT])</f>
        <v/>
      </c>
      <c r="X1948" s="11"/>
      <c r="Y1948" s="17" t="s">
        <v>6284</v>
      </c>
      <c r="Z1948" s="17" t="e">
        <f>_xlfn.XLOOKUP(Customer[[#This Row],[NewType]],$AF$36:$AF$54,$AG$36:$AG$54)</f>
        <v>#N/A</v>
      </c>
      <c r="AA1948" s="17" t="s">
        <v>12208</v>
      </c>
      <c r="AB1948" s="11" t="str">
        <f>_xlfn.XLOOKUP(Customer[[#This Row],[Customer ID]],[1]!Address[ID],[1]!Address[Subtype])</f>
        <v>PEDAS</v>
      </c>
      <c r="AC1948" s="18" t="str">
        <f>_xlfn.XLOOKUP(Customer[[#This Row],[Customer ID]],[1]!Address[ID],[1]!Address[Zone])</f>
        <v>CENTRAL</v>
      </c>
    </row>
    <row r="1949" spans="1:30" x14ac:dyDescent="0.3">
      <c r="A1949" s="10" t="s">
        <v>12209</v>
      </c>
      <c r="B1949" s="11" t="str">
        <f>_xlfn.XLOOKUP(Customer[[#This Row],[Customer ID]],[1]!Name[ID],[1]!Name[Description(1)])</f>
        <v>SHAHIR</v>
      </c>
      <c r="C1949" s="11" t="str">
        <f>_xlfn.XLOOKUP(Customer[[#This Row],[Customer ID]],[1]!Name[ID],[1]!Name[Description(2)])</f>
        <v/>
      </c>
      <c r="D1949" s="11" t="str">
        <f>_xlfn.XLOOKUP(Customer[[#This Row],[Customer ID]],[1]!Address[ID],[1]!Address[PIC])</f>
        <v>SHAHIR</v>
      </c>
      <c r="E1949" s="11" t="str">
        <f>_xlfn.XLOOKUP(Customer[[#This Row],[Customer ID]],[1]!Address[ID],[1]!Address[Full Address])</f>
        <v>740, LINGKUNGAN ANGGERIK 2,BANDAR BARU SUNGGALA, 71050 SI RUSANEGERI SEMBILAN</v>
      </c>
      <c r="F1949" s="12" t="s">
        <v>12210</v>
      </c>
      <c r="G1949" s="12" t="s">
        <v>12211</v>
      </c>
      <c r="H1949" s="12" t="s">
        <v>12212</v>
      </c>
      <c r="I1949" s="12" t="b">
        <f>ISNUMBER(VALUE(LEFT(Customer[[#This Row],[Address Line 3 (30 char)]],1)))</f>
        <v>0</v>
      </c>
      <c r="J1949" s="12" t="s">
        <v>203</v>
      </c>
      <c r="K1949" s="12">
        <v>71050</v>
      </c>
      <c r="L1949" s="12" t="s">
        <v>35</v>
      </c>
      <c r="M1949" s="13" t="e">
        <v>#N/A</v>
      </c>
      <c r="N1949" s="14" t="e">
        <v>#N/A</v>
      </c>
      <c r="O1949" s="14" t="e">
        <v>#N/A</v>
      </c>
      <c r="P1949" s="14" t="e">
        <v>#N/A</v>
      </c>
      <c r="Q1949" s="14" t="e">
        <v>#N/A</v>
      </c>
      <c r="R1949" s="15" t="s">
        <v>12213</v>
      </c>
      <c r="S1949" s="16" t="s">
        <v>89</v>
      </c>
      <c r="T1949" s="16" t="s">
        <v>89</v>
      </c>
      <c r="U1949" s="11" t="str">
        <f>_xlfn.XLOOKUP(Customer[[#This Row],[Customer ID]],[1]!Address[ID],[1]!Address[Phone No.(2)])</f>
        <v/>
      </c>
      <c r="V1949" s="11" t="str">
        <f>_xlfn.XLOOKUP(Customer[[#This Row],[Customer ID]],[1]!Address[ID],[1]!Address[Type])</f>
        <v>WALK IN</v>
      </c>
      <c r="W1949" s="11" t="str">
        <f>_xlfn.XLOOKUP(Customer[[#This Row],[Customer ID]],[1]!Address[ID],[1]!Address[CT])</f>
        <v/>
      </c>
      <c r="X1949" s="11"/>
      <c r="Y1949" s="17" t="s">
        <v>6284</v>
      </c>
      <c r="Z1949" s="17" t="e">
        <f>_xlfn.XLOOKUP(Customer[[#This Row],[NewType]],$AF$36:$AF$54,$AG$36:$AG$54)</f>
        <v>#N/A</v>
      </c>
      <c r="AA1949" s="17" t="s">
        <v>12214</v>
      </c>
      <c r="AB1949" s="11" t="str">
        <f>_xlfn.XLOOKUP(Customer[[#This Row],[Customer ID]],[1]!Address[ID],[1]!Address[Subtype])</f>
        <v>PEDAS</v>
      </c>
      <c r="AC1949" s="18" t="str">
        <f>_xlfn.XLOOKUP(Customer[[#This Row],[Customer ID]],[1]!Address[ID],[1]!Address[Zone])</f>
        <v>CENTRAL</v>
      </c>
    </row>
    <row r="1950" spans="1:30" x14ac:dyDescent="0.3">
      <c r="A1950" s="10" t="s">
        <v>12215</v>
      </c>
      <c r="B1950" s="11" t="str">
        <f>_xlfn.XLOOKUP(Customer[[#This Row],[Customer ID]],[1]!Name[ID],[1]!Name[Description(1)])</f>
        <v>NOR HAFIZA BINTI CHOLID</v>
      </c>
      <c r="C1950" s="11" t="str">
        <f>_xlfn.XLOOKUP(Customer[[#This Row],[Customer ID]],[1]!Name[ID],[1]!Name[Description(2)])</f>
        <v>PRODUCTION KILANG AIR</v>
      </c>
      <c r="D1950" s="11" t="str">
        <f>_xlfn.XLOOKUP(Customer[[#This Row],[Customer ID]],[1]!Address[ID],[1]!Address[PIC])</f>
        <v>NOR HAFIZA</v>
      </c>
      <c r="E1950" s="11" t="str">
        <f>_xlfn.XLOOKUP(Customer[[#This Row],[Customer ID]],[1]!Address[ID],[1]!Address[Full Address])</f>
        <v>NO 9, JALAN 2/1, TAMAN SRI ANGGERIK71200 RANTAU, NEGERI SEMBILAN</v>
      </c>
      <c r="F1950" s="12" t="s">
        <v>12216</v>
      </c>
      <c r="G1950" s="12" t="s">
        <v>12217</v>
      </c>
      <c r="H1950" s="12" t="s">
        <v>6428</v>
      </c>
      <c r="I1950" s="12" t="b">
        <f>ISNUMBER(VALUE(LEFT(Customer[[#This Row],[Address Line 3 (30 char)]],1)))</f>
        <v>0</v>
      </c>
      <c r="J1950" s="12" t="s">
        <v>203</v>
      </c>
      <c r="K1950" s="12">
        <v>71200</v>
      </c>
      <c r="L1950" s="12" t="s">
        <v>35</v>
      </c>
      <c r="M1950" s="13" t="e">
        <v>#N/A</v>
      </c>
      <c r="N1950" s="14" t="s">
        <v>12218</v>
      </c>
      <c r="O1950" s="14" t="e">
        <v>#N/A</v>
      </c>
      <c r="P1950" s="14" t="e">
        <v>#N/A</v>
      </c>
      <c r="Q1950" s="19" t="s">
        <v>12219</v>
      </c>
      <c r="R1950" s="15" t="s">
        <v>12220</v>
      </c>
      <c r="S1950" s="16" t="s">
        <v>89</v>
      </c>
      <c r="T1950" s="16" t="s">
        <v>89</v>
      </c>
      <c r="U1950" s="11" t="str">
        <f>_xlfn.XLOOKUP(Customer[[#This Row],[Customer ID]],[1]!Address[ID],[1]!Address[Phone No.(2)])</f>
        <v/>
      </c>
      <c r="V1950" s="11" t="str">
        <f>_xlfn.XLOOKUP(Customer[[#This Row],[Customer ID]],[1]!Address[ID],[1]!Address[Type])</f>
        <v>WALK IN</v>
      </c>
      <c r="W1950" s="11" t="str">
        <f>_xlfn.XLOOKUP(Customer[[#This Row],[Customer ID]],[1]!Address[ID],[1]!Address[CT])</f>
        <v/>
      </c>
      <c r="X1950" s="11"/>
      <c r="Y1950" s="17" t="s">
        <v>6284</v>
      </c>
      <c r="Z1950" s="17" t="e">
        <f>_xlfn.XLOOKUP(Customer[[#This Row],[NewType]],$AF$36:$AF$54,$AG$36:$AG$54)</f>
        <v>#N/A</v>
      </c>
      <c r="AA1950" s="17" t="s">
        <v>12221</v>
      </c>
      <c r="AB1950" s="11" t="str">
        <f>_xlfn.XLOOKUP(Customer[[#This Row],[Customer ID]],[1]!Address[ID],[1]!Address[Subtype])</f>
        <v>STAFF</v>
      </c>
      <c r="AC1950" s="18" t="str">
        <f>_xlfn.XLOOKUP(Customer[[#This Row],[Customer ID]],[1]!Address[ID],[1]!Address[Zone])</f>
        <v>CENTRAL</v>
      </c>
    </row>
    <row r="1951" spans="1:30" x14ac:dyDescent="0.3">
      <c r="A1951" s="10" t="s">
        <v>12222</v>
      </c>
      <c r="B1951" s="11" t="str">
        <f>_xlfn.XLOOKUP(Customer[[#This Row],[Customer ID]],[1]!Name[ID],[1]!Name[Description(1)])</f>
        <v>IFFAH AMIRAH BINTI ISMAIL</v>
      </c>
      <c r="C1951" s="11" t="str">
        <f>_xlfn.XLOOKUP(Customer[[#This Row],[Customer ID]],[1]!Name[ID],[1]!Name[Description(2)])</f>
        <v/>
      </c>
      <c r="D1951" s="11" t="str">
        <f>_xlfn.XLOOKUP(Customer[[#This Row],[Customer ID]],[1]!Address[ID],[1]!Address[PIC])</f>
        <v>IFFAH AMIRAH BI</v>
      </c>
      <c r="E1951" s="11" t="str">
        <f>_xlfn.XLOOKUP(Customer[[#This Row],[Customer ID]],[1]!Address[ID],[1]!Address[Full Address])</f>
        <v>KAMPUNG PULAU PISANG BADANG,15350 KOTA BHARU,KELANTAN</v>
      </c>
      <c r="F1951" s="12" t="s">
        <v>12223</v>
      </c>
      <c r="G1951" s="12" t="s">
        <v>12224</v>
      </c>
      <c r="H1951" s="12"/>
      <c r="I1951" s="12" t="b">
        <f>ISNUMBER(VALUE(LEFT(Customer[[#This Row],[Address Line 3 (30 char)]],1)))</f>
        <v>0</v>
      </c>
      <c r="J1951" s="12" t="s">
        <v>1007</v>
      </c>
      <c r="K1951" s="12">
        <v>15350</v>
      </c>
      <c r="L1951" s="12" t="s">
        <v>35</v>
      </c>
      <c r="M1951" s="13" t="e">
        <v>#N/A</v>
      </c>
      <c r="N1951" s="14" t="s">
        <v>12225</v>
      </c>
      <c r="O1951" s="14" t="e">
        <v>#N/A</v>
      </c>
      <c r="P1951" s="14" t="e">
        <v>#N/A</v>
      </c>
      <c r="Q1951" s="19" t="s">
        <v>12226</v>
      </c>
      <c r="R1951" s="15" t="s">
        <v>6769</v>
      </c>
      <c r="S1951" s="16" t="s">
        <v>89</v>
      </c>
      <c r="T1951" s="16" t="s">
        <v>89</v>
      </c>
      <c r="U1951" s="11" t="str">
        <f>_xlfn.XLOOKUP(Customer[[#This Row],[Customer ID]],[1]!Address[ID],[1]!Address[Phone No.(2)])</f>
        <v/>
      </c>
      <c r="V1951" s="11" t="str">
        <f>_xlfn.XLOOKUP(Customer[[#This Row],[Customer ID]],[1]!Address[ID],[1]!Address[Type])</f>
        <v>WALK IN</v>
      </c>
      <c r="W1951" s="11" t="str">
        <f>_xlfn.XLOOKUP(Customer[[#This Row],[Customer ID]],[1]!Address[ID],[1]!Address[CT])</f>
        <v/>
      </c>
      <c r="X1951" s="11"/>
      <c r="Y1951" s="17" t="s">
        <v>6284</v>
      </c>
      <c r="Z1951" s="17" t="e">
        <f>_xlfn.XLOOKUP(Customer[[#This Row],[NewType]],$AF$36:$AF$54,$AG$36:$AG$54)</f>
        <v>#N/A</v>
      </c>
      <c r="AA1951" s="17" t="s">
        <v>12227</v>
      </c>
      <c r="AB1951" s="11" t="str">
        <f>_xlfn.XLOOKUP(Customer[[#This Row],[Customer ID]],[1]!Address[ID],[1]!Address[Subtype])</f>
        <v>STAFF</v>
      </c>
      <c r="AC1951" s="18" t="str">
        <f>_xlfn.XLOOKUP(Customer[[#This Row],[Customer ID]],[1]!Address[ID],[1]!Address[Zone])</f>
        <v>EAST COAST</v>
      </c>
    </row>
    <row r="1952" spans="1:30" x14ac:dyDescent="0.3">
      <c r="A1952" s="10" t="s">
        <v>12228</v>
      </c>
      <c r="B1952" s="11" t="str">
        <f>_xlfn.XLOOKUP(Customer[[#This Row],[Customer ID]],[1]!Name[ID],[1]!Name[Description(1)])</f>
        <v>AZEEM ZAIDY</v>
      </c>
      <c r="C1952" s="11" t="str">
        <f>_xlfn.XLOOKUP(Customer[[#This Row],[Customer ID]],[1]!Name[ID],[1]!Name[Description(2)])</f>
        <v>(PRODUCTION KILANG AIR)</v>
      </c>
      <c r="D1952" s="11" t="str">
        <f>_xlfn.XLOOKUP(Customer[[#This Row],[Customer ID]],[1]!Address[ID],[1]!Address[PIC])</f>
        <v>AZEEM ZAIDY</v>
      </c>
      <c r="E1952" s="11" t="str">
        <f>_xlfn.XLOOKUP(Customer[[#This Row],[Customer ID]],[1]!Address[ID],[1]!Address[Full Address])</f>
        <v>NO 79 LORONG DESA MELOR 5,TAMAN DESA MELOR 70450 SEREMBAN,NEGERI SEMBILAN</v>
      </c>
      <c r="F1952" s="12" t="s">
        <v>12229</v>
      </c>
      <c r="G1952" s="12" t="s">
        <v>12230</v>
      </c>
      <c r="H1952" s="12" t="s">
        <v>2411</v>
      </c>
      <c r="I1952" s="12" t="b">
        <f>ISNUMBER(VALUE(LEFT(Customer[[#This Row],[Address Line 3 (30 char)]],1)))</f>
        <v>0</v>
      </c>
      <c r="J1952" s="12" t="s">
        <v>203</v>
      </c>
      <c r="K1952" s="12">
        <v>70450</v>
      </c>
      <c r="L1952" s="12" t="s">
        <v>35</v>
      </c>
      <c r="M1952" s="13" t="e">
        <v>#N/A</v>
      </c>
      <c r="N1952" s="14" t="s">
        <v>12231</v>
      </c>
      <c r="O1952" s="14" t="e">
        <v>#N/A</v>
      </c>
      <c r="P1952" s="14" t="e">
        <v>#N/A</v>
      </c>
      <c r="Q1952" s="19" t="s">
        <v>12232</v>
      </c>
      <c r="R1952" s="15" t="s">
        <v>12233</v>
      </c>
      <c r="S1952" s="16" t="s">
        <v>89</v>
      </c>
      <c r="T1952" s="16" t="s">
        <v>89</v>
      </c>
      <c r="U1952" s="11" t="str">
        <f>_xlfn.XLOOKUP(Customer[[#This Row],[Customer ID]],[1]!Address[ID],[1]!Address[Phone No.(2)])</f>
        <v/>
      </c>
      <c r="V1952" s="11" t="str">
        <f>_xlfn.XLOOKUP(Customer[[#This Row],[Customer ID]],[1]!Address[ID],[1]!Address[Type])</f>
        <v>WALK IN</v>
      </c>
      <c r="W1952" s="11" t="str">
        <f>_xlfn.XLOOKUP(Customer[[#This Row],[Customer ID]],[1]!Address[ID],[1]!Address[CT])</f>
        <v/>
      </c>
      <c r="X1952" s="11"/>
      <c r="Y1952" s="17" t="s">
        <v>6284</v>
      </c>
      <c r="Z1952" s="17" t="e">
        <f>_xlfn.XLOOKUP(Customer[[#This Row],[NewType]],$AF$36:$AF$54,$AG$36:$AG$54)</f>
        <v>#N/A</v>
      </c>
      <c r="AA1952" s="17" t="s">
        <v>12234</v>
      </c>
      <c r="AB1952" s="11" t="str">
        <f>_xlfn.XLOOKUP(Customer[[#This Row],[Customer ID]],[1]!Address[ID],[1]!Address[Subtype])</f>
        <v>STAFF</v>
      </c>
      <c r="AC1952" s="18" t="str">
        <f>_xlfn.XLOOKUP(Customer[[#This Row],[Customer ID]],[1]!Address[ID],[1]!Address[Zone])</f>
        <v>CENTRAL</v>
      </c>
    </row>
    <row r="1953" spans="1:30" x14ac:dyDescent="0.3">
      <c r="A1953" s="10" t="s">
        <v>12235</v>
      </c>
      <c r="B1953" s="11" t="str">
        <f>_xlfn.XLOOKUP(Customer[[#This Row],[Customer ID]],[1]!Name[ID],[1]!Name[Description(1)])</f>
        <v>NUR ASYIQIN SUPRIANTO</v>
      </c>
      <c r="C1953" s="11" t="str">
        <f>_xlfn.XLOOKUP(Customer[[#This Row],[Customer ID]],[1]!Name[ID],[1]!Name[Description(2)])</f>
        <v>(PRODUCTION KILANG AIR)</v>
      </c>
      <c r="D1953" s="11" t="str">
        <f>_xlfn.XLOOKUP(Customer[[#This Row],[Customer ID]],[1]!Address[ID],[1]!Address[PIC])</f>
        <v>IQIN</v>
      </c>
      <c r="E1953" s="11" t="str">
        <f>_xlfn.XLOOKUP(Customer[[#This Row],[Customer ID]],[1]!Address[ID],[1]!Address[Full Address])</f>
        <v>NO 8, LADANG ULU KANCHONG 71200RANTAU, NEGERI SEMBILAN</v>
      </c>
      <c r="F1953" s="12" t="s">
        <v>12236</v>
      </c>
      <c r="G1953" s="12" t="s">
        <v>12237</v>
      </c>
      <c r="H1953" s="12" t="s">
        <v>6428</v>
      </c>
      <c r="I1953" s="12" t="b">
        <f>ISNUMBER(VALUE(LEFT(Customer[[#This Row],[Address Line 3 (30 char)]],1)))</f>
        <v>0</v>
      </c>
      <c r="J1953" s="12" t="s">
        <v>203</v>
      </c>
      <c r="K1953" s="12">
        <v>71200</v>
      </c>
      <c r="L1953" s="12" t="s">
        <v>35</v>
      </c>
      <c r="M1953" s="13" t="e">
        <v>#N/A</v>
      </c>
      <c r="N1953" s="14" t="s">
        <v>12238</v>
      </c>
      <c r="O1953" s="14" t="e">
        <v>#N/A</v>
      </c>
      <c r="P1953" s="14" t="e">
        <v>#N/A</v>
      </c>
      <c r="Q1953" s="19" t="s">
        <v>12239</v>
      </c>
      <c r="R1953" s="15" t="s">
        <v>12240</v>
      </c>
      <c r="S1953" s="16" t="s">
        <v>89</v>
      </c>
      <c r="T1953" s="16" t="s">
        <v>89</v>
      </c>
      <c r="U1953" s="11" t="str">
        <f>_xlfn.XLOOKUP(Customer[[#This Row],[Customer ID]],[1]!Address[ID],[1]!Address[Phone No.(2)])</f>
        <v/>
      </c>
      <c r="V1953" s="11" t="str">
        <f>_xlfn.XLOOKUP(Customer[[#This Row],[Customer ID]],[1]!Address[ID],[1]!Address[Type])</f>
        <v>WALK IN</v>
      </c>
      <c r="W1953" s="11" t="str">
        <f>_xlfn.XLOOKUP(Customer[[#This Row],[Customer ID]],[1]!Address[ID],[1]!Address[CT])</f>
        <v/>
      </c>
      <c r="X1953" s="11"/>
      <c r="Y1953" s="17" t="s">
        <v>6284</v>
      </c>
      <c r="Z1953" s="17" t="e">
        <f>_xlfn.XLOOKUP(Customer[[#This Row],[NewType]],$AF$36:$AF$54,$AG$36:$AG$54)</f>
        <v>#N/A</v>
      </c>
      <c r="AA1953" s="17" t="s">
        <v>12241</v>
      </c>
      <c r="AB1953" s="11" t="str">
        <f>_xlfn.XLOOKUP(Customer[[#This Row],[Customer ID]],[1]!Address[ID],[1]!Address[Subtype])</f>
        <v>STAFF</v>
      </c>
      <c r="AC1953" s="18" t="str">
        <f>_xlfn.XLOOKUP(Customer[[#This Row],[Customer ID]],[1]!Address[ID],[1]!Address[Zone])</f>
        <v>CENTRAL</v>
      </c>
    </row>
    <row r="1954" spans="1:30" x14ac:dyDescent="0.3">
      <c r="A1954" s="10" t="s">
        <v>12242</v>
      </c>
      <c r="B1954" s="11" t="str">
        <f>_xlfn.XLOOKUP(Customer[[#This Row],[Customer ID]],[1]!Name[ID],[1]!Name[Description(1)])</f>
        <v>NORAZWANI SHAHARUDIN</v>
      </c>
      <c r="C1954" s="11" t="str">
        <f>_xlfn.XLOOKUP(Customer[[#This Row],[Customer ID]],[1]!Name[ID],[1]!Name[Description(2)])</f>
        <v>(SME BANK)</v>
      </c>
      <c r="D1954" s="11" t="str">
        <f>_xlfn.XLOOKUP(Customer[[#This Row],[Customer ID]],[1]!Address[ID],[1]!Address[PIC])</f>
        <v>NORAZWANI</v>
      </c>
      <c r="E1954" s="11" t="str">
        <f>_xlfn.XLOOKUP(Customer[[#This Row],[Customer ID]],[1]!Address[ID],[1]!Address[Full Address])</f>
        <v>MENARA SME BANK, JALAN SULTAN ISMAIL50774 KL</v>
      </c>
      <c r="F1954" s="12" t="s">
        <v>12243</v>
      </c>
      <c r="G1954" s="12" t="s">
        <v>12244</v>
      </c>
      <c r="H1954" s="12" t="s">
        <v>12245</v>
      </c>
      <c r="I1954" s="12" t="b">
        <f>ISNUMBER(VALUE(LEFT(Customer[[#This Row],[Address Line 3 (30 char)]],1)))</f>
        <v>0</v>
      </c>
      <c r="J1954" s="12" t="s">
        <v>34</v>
      </c>
      <c r="K1954" s="12">
        <v>50774</v>
      </c>
      <c r="L1954" s="12" t="s">
        <v>35</v>
      </c>
      <c r="M1954" s="13" t="e">
        <v>#N/A</v>
      </c>
      <c r="N1954" s="14" t="s">
        <v>12246</v>
      </c>
      <c r="O1954" s="14" t="e">
        <v>#N/A</v>
      </c>
      <c r="P1954" s="14" t="e">
        <v>#N/A</v>
      </c>
      <c r="Q1954" s="14" t="e">
        <v>#N/A</v>
      </c>
      <c r="R1954" s="15" t="s">
        <v>12247</v>
      </c>
      <c r="S1954" s="16" t="s">
        <v>89</v>
      </c>
      <c r="T1954" s="16" t="s">
        <v>89</v>
      </c>
      <c r="U1954" s="11" t="str">
        <f>_xlfn.XLOOKUP(Customer[[#This Row],[Customer ID]],[1]!Address[ID],[1]!Address[Phone No.(2)])</f>
        <v/>
      </c>
      <c r="V1954" s="11" t="str">
        <f>_xlfn.XLOOKUP(Customer[[#This Row],[Customer ID]],[1]!Address[ID],[1]!Address[Type])</f>
        <v>WALK IN</v>
      </c>
      <c r="W1954" s="11" t="str">
        <f>_xlfn.XLOOKUP(Customer[[#This Row],[Customer ID]],[1]!Address[ID],[1]!Address[CT])</f>
        <v/>
      </c>
      <c r="X1954" s="11"/>
      <c r="Y1954" s="17" t="s">
        <v>6284</v>
      </c>
      <c r="Z1954" s="17" t="e">
        <f>_xlfn.XLOOKUP(Customer[[#This Row],[NewType]],$AF$36:$AF$54,$AG$36:$AG$54)</f>
        <v>#N/A</v>
      </c>
      <c r="AA1954" s="17" t="s">
        <v>12248</v>
      </c>
      <c r="AB1954" s="11" t="str">
        <f>_xlfn.XLOOKUP(Customer[[#This Row],[Customer ID]],[1]!Address[ID],[1]!Address[Subtype])</f>
        <v>PEDAS</v>
      </c>
      <c r="AC1954" s="18" t="str">
        <f>_xlfn.XLOOKUP(Customer[[#This Row],[Customer ID]],[1]!Address[ID],[1]!Address[Zone])</f>
        <v>CENTRAL</v>
      </c>
    </row>
    <row r="1955" spans="1:30" x14ac:dyDescent="0.3">
      <c r="A1955" s="10" t="s">
        <v>12249</v>
      </c>
      <c r="B1955" s="11" t="str">
        <f>_xlfn.XLOOKUP(Customer[[#This Row],[Customer ID]],[1]!Name[ID],[1]!Name[Description(1)])</f>
        <v>ENERGY SONIC SDN. BHD</v>
      </c>
      <c r="C1955" s="11" t="str">
        <f>_xlfn.XLOOKUP(Customer[[#This Row],[Customer ID]],[1]!Name[ID],[1]!Name[Description(2)])</f>
        <v>PS KM 13</v>
      </c>
      <c r="D1955" s="11" t="str">
        <f>_xlfn.XLOOKUP(Customer[[#This Row],[Customer ID]],[1]!Address[ID],[1]!Address[PIC])</f>
        <v/>
      </c>
      <c r="E1955" s="11" t="str">
        <f>_xlfn.XLOOKUP(Customer[[#This Row],[Customer ID]],[1]!Address[ID],[1]!Address[Full Address])</f>
        <v>PS KM 13STESEN PETRONAS, KM 13, JALAN SKUDAIPTD 135891, BATU 8 LEBUHRAYA SKUDAI,81300 SKUDAI, JOHOR.</v>
      </c>
      <c r="F1955" s="12" t="s">
        <v>12250</v>
      </c>
      <c r="G1955" s="12" t="s">
        <v>12251</v>
      </c>
      <c r="H1955" s="12" t="s">
        <v>12252</v>
      </c>
      <c r="I1955" s="12" t="b">
        <f>ISNUMBER(VALUE(LEFT(Customer[[#This Row],[Address Line 3 (30 char)]],1)))</f>
        <v>0</v>
      </c>
      <c r="J1955" s="12" t="s">
        <v>52</v>
      </c>
      <c r="K1955" s="12">
        <v>81300</v>
      </c>
      <c r="L1955" s="12" t="s">
        <v>35</v>
      </c>
      <c r="M1955" s="13" t="e">
        <v>#N/A</v>
      </c>
      <c r="N1955" s="14" t="e">
        <v>#N/A</v>
      </c>
      <c r="O1955" s="14" t="e">
        <v>#N/A</v>
      </c>
      <c r="P1955" s="14" t="e">
        <v>#N/A</v>
      </c>
      <c r="Q1955" s="19" t="s">
        <v>3536</v>
      </c>
      <c r="R1955" s="15" t="s">
        <v>12253</v>
      </c>
      <c r="S1955" s="15" t="s">
        <v>37</v>
      </c>
      <c r="T1955" s="16" t="s">
        <v>38</v>
      </c>
      <c r="U1955" s="11" t="str">
        <f>_xlfn.XLOOKUP(Customer[[#This Row],[Customer ID]],[1]!Address[ID],[1]!Address[Phone No.(2)])</f>
        <v/>
      </c>
      <c r="V1955" s="11" t="str">
        <f>_xlfn.XLOOKUP(Customer[[#This Row],[Customer ID]],[1]!Address[ID],[1]!Address[Type])</f>
        <v>PETROMART</v>
      </c>
      <c r="W1955" s="11" t="str">
        <f>_xlfn.XLOOKUP(Customer[[#This Row],[Customer ID]],[1]!Address[ID],[1]!Address[CT])</f>
        <v>30</v>
      </c>
      <c r="X1955" s="11" t="s">
        <v>39</v>
      </c>
      <c r="Y1955" s="17" t="s">
        <v>40</v>
      </c>
      <c r="Z1955" s="17" t="e">
        <f>_xlfn.XLOOKUP(Customer[[#This Row],[NewType]],$AF$36:$AF$54,$AG$36:$AG$54)</f>
        <v>#N/A</v>
      </c>
      <c r="AA1955" s="17" t="s">
        <v>12254</v>
      </c>
      <c r="AB1955" s="11" t="str">
        <f>_xlfn.XLOOKUP(Customer[[#This Row],[Customer ID]],[1]!Address[ID],[1]!Address[Subtype])</f>
        <v>PETRONAS</v>
      </c>
      <c r="AC1955" s="18" t="str">
        <f>_xlfn.XLOOKUP(Customer[[#This Row],[Customer ID]],[1]!Address[ID],[1]!Address[Zone])</f>
        <v>SOUTH</v>
      </c>
    </row>
    <row r="1956" spans="1:30" x14ac:dyDescent="0.3">
      <c r="A1956" s="10" t="s">
        <v>12255</v>
      </c>
      <c r="B1956" s="11" t="str">
        <f>_xlfn.XLOOKUP(Customer[[#This Row],[Customer ID]],[1]!Name[ID],[1]!Name[Description(1)])</f>
        <v>PERBADANAN USAHAWAN NASIONAL BERHAD</v>
      </c>
      <c r="C1956" s="11" t="str">
        <f>_xlfn.XLOOKUP(Customer[[#This Row],[Customer ID]],[1]!Name[ID],[1]!Name[Description(2)])</f>
        <v/>
      </c>
      <c r="D1956" s="11" t="str">
        <f>_xlfn.XLOOKUP(Customer[[#This Row],[Customer ID]],[1]!Address[ID],[1]!Address[PIC])</f>
        <v/>
      </c>
      <c r="E1956" s="11" t="str">
        <f>_xlfn.XLOOKUP(Customer[[#This Row],[Customer ID]],[1]!Address[ID],[1]!Address[Full Address])</f>
        <v>BLOCK 1B, PLAZA SENTRALJALAN STESEN SENTRAL 5KUALA LUMPUR SENTRAL50470 KUALA LUMPUR</v>
      </c>
      <c r="F1956" s="12" t="s">
        <v>12256</v>
      </c>
      <c r="G1956" s="12" t="s">
        <v>12257</v>
      </c>
      <c r="H1956" s="12" t="s">
        <v>12258</v>
      </c>
      <c r="I1956" s="12" t="b">
        <f>ISNUMBER(VALUE(LEFT(Customer[[#This Row],[Address Line 3 (30 char)]],1)))</f>
        <v>0</v>
      </c>
      <c r="J1956" s="12" t="s">
        <v>34</v>
      </c>
      <c r="K1956" s="12">
        <v>50470</v>
      </c>
      <c r="L1956" s="12" t="s">
        <v>35</v>
      </c>
      <c r="M1956" s="13" t="e">
        <v>#N/A</v>
      </c>
      <c r="N1956" s="14" t="e">
        <v>#N/A</v>
      </c>
      <c r="O1956" s="14" t="e">
        <v>#N/A</v>
      </c>
      <c r="P1956" s="14" t="e">
        <v>#N/A</v>
      </c>
      <c r="Q1956" s="14" t="e">
        <v>#N/A</v>
      </c>
      <c r="R1956" s="15" t="s">
        <v>12259</v>
      </c>
      <c r="S1956" s="15" t="s">
        <v>5934</v>
      </c>
      <c r="T1956" s="16"/>
      <c r="U1956" s="11" t="str">
        <f>_xlfn.XLOOKUP(Customer[[#This Row],[Customer ID]],[1]!Address[ID],[1]!Address[Phone No.(2)])</f>
        <v/>
      </c>
      <c r="V1956" s="11" t="str">
        <f>_xlfn.XLOOKUP(Customer[[#This Row],[Customer ID]],[1]!Address[ID],[1]!Address[Type])</f>
        <v>CORPORATE</v>
      </c>
      <c r="W1956" s="11" t="str">
        <f>_xlfn.XLOOKUP(Customer[[#This Row],[Customer ID]],[1]!Address[ID],[1]!Address[CT])</f>
        <v/>
      </c>
      <c r="X1956" s="11"/>
      <c r="Y1956" s="17" t="s">
        <v>6418</v>
      </c>
      <c r="Z1956" s="17" t="e">
        <f>_xlfn.XLOOKUP(Customer[[#This Row],[NewType]],$AF$36:$AF$54,$AG$36:$AG$54)</f>
        <v>#N/A</v>
      </c>
      <c r="AA1956" s="17" t="s">
        <v>12260</v>
      </c>
      <c r="AB1956" s="11" t="str">
        <f>_xlfn.XLOOKUP(Customer[[#This Row],[Customer ID]],[1]!Address[ID],[1]!Address[Subtype])</f>
        <v>PUNB</v>
      </c>
      <c r="AC1956" s="18" t="str">
        <f>_xlfn.XLOOKUP(Customer[[#This Row],[Customer ID]],[1]!Address[ID],[1]!Address[Zone])</f>
        <v>CENTRAL</v>
      </c>
    </row>
    <row r="1957" spans="1:30" x14ac:dyDescent="0.3">
      <c r="A1957" s="10" t="s">
        <v>12261</v>
      </c>
      <c r="B1957" s="11" t="str">
        <f>_xlfn.XLOOKUP(Customer[[#This Row],[Customer ID]],[1]!Name[ID],[1]!Name[Description(1)])</f>
        <v>NUR AISHAH ISA (SME CORP HQ)</v>
      </c>
      <c r="C1957" s="11" t="str">
        <f>_xlfn.XLOOKUP(Customer[[#This Row],[Customer ID]],[1]!Name[ID],[1]!Name[Description(2)])</f>
        <v/>
      </c>
      <c r="D1957" s="11" t="str">
        <f>_xlfn.XLOOKUP(Customer[[#This Row],[Customer ID]],[1]!Address[ID],[1]!Address[PIC])</f>
        <v>AISHAH</v>
      </c>
      <c r="E1957" s="11" t="str">
        <f>_xlfn.XLOOKUP(Customer[[#This Row],[Customer ID]],[1]!Address[ID],[1]!Address[Full Address])</f>
        <v>SME CORP. MALAYSIA,LEVEL 7,BLOCK B,SME 1,JALAN STESEN SENTRAL 2,KUALA LUMPUR SENTRAL 50470KUALA LUMPUR</v>
      </c>
      <c r="F1957" s="12" t="s">
        <v>12262</v>
      </c>
      <c r="G1957" s="12" t="s">
        <v>12263</v>
      </c>
      <c r="H1957" s="12" t="s">
        <v>12264</v>
      </c>
      <c r="I1957" s="12" t="b">
        <f>ISNUMBER(VALUE(LEFT(Customer[[#This Row],[Address Line 3 (30 char)]],1)))</f>
        <v>0</v>
      </c>
      <c r="J1957" s="12" t="s">
        <v>34</v>
      </c>
      <c r="K1957" s="12">
        <v>50470</v>
      </c>
      <c r="L1957" s="12" t="s">
        <v>35</v>
      </c>
      <c r="M1957" s="13" t="e">
        <v>#N/A</v>
      </c>
      <c r="N1957" s="14" t="e">
        <v>#N/A</v>
      </c>
      <c r="O1957" s="14" t="e">
        <v>#N/A</v>
      </c>
      <c r="P1957" s="14" t="e">
        <v>#N/A</v>
      </c>
      <c r="Q1957" s="19" t="s">
        <v>12265</v>
      </c>
      <c r="R1957" s="15" t="s">
        <v>12266</v>
      </c>
      <c r="S1957" s="15" t="s">
        <v>5934</v>
      </c>
      <c r="T1957" s="16"/>
      <c r="U1957" s="11" t="str">
        <f>_xlfn.XLOOKUP(Customer[[#This Row],[Customer ID]],[1]!Address[ID],[1]!Address[Phone No.(2)])</f>
        <v/>
      </c>
      <c r="V1957" s="11" t="str">
        <f>_xlfn.XLOOKUP(Customer[[#This Row],[Customer ID]],[1]!Address[ID],[1]!Address[Type])</f>
        <v>CORPORATE</v>
      </c>
      <c r="W1957" s="11" t="str">
        <f>_xlfn.XLOOKUP(Customer[[#This Row],[Customer ID]],[1]!Address[ID],[1]!Address[CT])</f>
        <v>CASH</v>
      </c>
      <c r="X1957" s="11"/>
      <c r="Y1957" s="17" t="s">
        <v>6418</v>
      </c>
      <c r="Z1957" s="17" t="e">
        <f>_xlfn.XLOOKUP(Customer[[#This Row],[NewType]],$AF$36:$AF$54,$AG$36:$AG$54)</f>
        <v>#N/A</v>
      </c>
      <c r="AA1957" s="17" t="s">
        <v>12267</v>
      </c>
      <c r="AB1957" s="11" t="str">
        <f>_xlfn.XLOOKUP(Customer[[#This Row],[Customer ID]],[1]!Address[ID],[1]!Address[Subtype])</f>
        <v>SME CORP</v>
      </c>
      <c r="AC1957" s="18" t="str">
        <f>_xlfn.XLOOKUP(Customer[[#This Row],[Customer ID]],[1]!Address[ID],[1]!Address[Zone])</f>
        <v>CENTRAL</v>
      </c>
    </row>
    <row r="1958" spans="1:30" x14ac:dyDescent="0.3">
      <c r="A1958" s="10" t="s">
        <v>12268</v>
      </c>
      <c r="B1958" s="11" t="str">
        <f>_xlfn.XLOOKUP(Customer[[#This Row],[Customer ID]],[1]!Name[ID],[1]!Name[Description(1)])</f>
        <v>MOHAMAD ZAIROL AIZAD BIN KHAIROL ANUAR</v>
      </c>
      <c r="C1958" s="11" t="str">
        <f>_xlfn.XLOOKUP(Customer[[#This Row],[Customer ID]],[1]!Name[ID],[1]!Name[Description(2)])</f>
        <v>(PRODUCTION KILANG AIR)</v>
      </c>
      <c r="D1958" s="11" t="str">
        <f>_xlfn.XLOOKUP(Customer[[#This Row],[Customer ID]],[1]!Address[ID],[1]!Address[PIC])</f>
        <v>ZAROL</v>
      </c>
      <c r="E1958" s="11" t="str">
        <f>_xlfn.XLOOKUP(Customer[[#This Row],[Customer ID]],[1]!Address[ID],[1]!Address[Full Address])</f>
        <v>NO 119, JALAN DESA MELOR 6,TAMAN DESA MELOR 70450 SEREMBAN,NEGERI SEMBILAN</v>
      </c>
      <c r="F1958" s="12" t="s">
        <v>12269</v>
      </c>
      <c r="G1958" s="12" t="s">
        <v>12270</v>
      </c>
      <c r="H1958" s="12" t="s">
        <v>2411</v>
      </c>
      <c r="I1958" s="12" t="b">
        <f>ISNUMBER(VALUE(LEFT(Customer[[#This Row],[Address Line 3 (30 char)]],1)))</f>
        <v>0</v>
      </c>
      <c r="J1958" s="12" t="s">
        <v>203</v>
      </c>
      <c r="K1958" s="12">
        <v>70450</v>
      </c>
      <c r="L1958" s="12" t="s">
        <v>35</v>
      </c>
      <c r="M1958" s="13" t="e">
        <v>#N/A</v>
      </c>
      <c r="N1958" s="14" t="s">
        <v>12271</v>
      </c>
      <c r="O1958" s="14" t="e">
        <v>#N/A</v>
      </c>
      <c r="P1958" s="14" t="e">
        <v>#N/A</v>
      </c>
      <c r="Q1958" s="19" t="s">
        <v>12272</v>
      </c>
      <c r="R1958" s="15" t="s">
        <v>12273</v>
      </c>
      <c r="S1958" s="16" t="s">
        <v>89</v>
      </c>
      <c r="T1958" s="16" t="s">
        <v>89</v>
      </c>
      <c r="U1958" s="11" t="str">
        <f>_xlfn.XLOOKUP(Customer[[#This Row],[Customer ID]],[1]!Address[ID],[1]!Address[Phone No.(2)])</f>
        <v/>
      </c>
      <c r="V1958" s="11" t="str">
        <f>_xlfn.XLOOKUP(Customer[[#This Row],[Customer ID]],[1]!Address[ID],[1]!Address[Type])</f>
        <v>WALK IN</v>
      </c>
      <c r="W1958" s="11" t="str">
        <f>_xlfn.XLOOKUP(Customer[[#This Row],[Customer ID]],[1]!Address[ID],[1]!Address[CT])</f>
        <v/>
      </c>
      <c r="X1958" s="11"/>
      <c r="Y1958" s="17" t="s">
        <v>6284</v>
      </c>
      <c r="Z1958" s="17" t="e">
        <f>_xlfn.XLOOKUP(Customer[[#This Row],[NewType]],$AF$36:$AF$54,$AG$36:$AG$54)</f>
        <v>#N/A</v>
      </c>
      <c r="AA1958" s="17" t="s">
        <v>12274</v>
      </c>
      <c r="AB1958" s="11" t="str">
        <f>_xlfn.XLOOKUP(Customer[[#This Row],[Customer ID]],[1]!Address[ID],[1]!Address[Subtype])</f>
        <v>STAFF</v>
      </c>
      <c r="AC1958" s="18" t="str">
        <f>_xlfn.XLOOKUP(Customer[[#This Row],[Customer ID]],[1]!Address[ID],[1]!Address[Zone])</f>
        <v>CENTRAL</v>
      </c>
    </row>
    <row r="1959" spans="1:30" x14ac:dyDescent="0.3">
      <c r="A1959" s="10" t="s">
        <v>12275</v>
      </c>
      <c r="B1959" s="11" t="str">
        <f>_xlfn.XLOOKUP(Customer[[#This Row],[Customer ID]],[1]!Name[ID],[1]!Name[Description(1)])</f>
        <v>MADEYAT OIL ENTERPRISE</v>
      </c>
      <c r="C1959" s="11" t="str">
        <f>_xlfn.XLOOKUP(Customer[[#This Row],[Customer ID]],[1]!Name[ID],[1]!Name[Description(2)])</f>
        <v>PS JALAN JUASSEH</v>
      </c>
      <c r="D1959" s="11" t="str">
        <f>_xlfn.XLOOKUP(Customer[[#This Row],[Customer ID]],[1]!Address[ID],[1]!Address[PIC])</f>
        <v/>
      </c>
      <c r="E1959" s="11" t="str">
        <f>_xlfn.XLOOKUP(Customer[[#This Row],[Customer ID]],[1]!Address[ID],[1]!Address[Full Address])</f>
        <v>PS JALAN JUASSEHLOT 489, MUKIM SERTING ULUJLN JUASSEH, 72100,BAHAUNEGERI SEMBILAN</v>
      </c>
      <c r="F1959" s="12" t="s">
        <v>12276</v>
      </c>
      <c r="G1959" s="12" t="s">
        <v>12277</v>
      </c>
      <c r="H1959" s="12" t="s">
        <v>12278</v>
      </c>
      <c r="I1959" s="12" t="b">
        <f>ISNUMBER(VALUE(LEFT(Customer[[#This Row],[Address Line 3 (30 char)]],1)))</f>
        <v>0</v>
      </c>
      <c r="J1959" s="12" t="s">
        <v>203</v>
      </c>
      <c r="K1959" s="12">
        <v>72100</v>
      </c>
      <c r="L1959" s="12" t="s">
        <v>35</v>
      </c>
      <c r="M1959" s="13" t="e">
        <v>#N/A</v>
      </c>
      <c r="N1959" s="14" t="e">
        <v>#N/A</v>
      </c>
      <c r="O1959" s="14" t="e">
        <v>#N/A</v>
      </c>
      <c r="P1959" s="14" t="e">
        <v>#N/A</v>
      </c>
      <c r="Q1959" s="19" t="s">
        <v>12279</v>
      </c>
      <c r="R1959" s="15" t="s">
        <v>12280</v>
      </c>
      <c r="S1959" s="15" t="s">
        <v>37</v>
      </c>
      <c r="T1959" s="16" t="s">
        <v>38</v>
      </c>
      <c r="U1959" s="11" t="str">
        <f>_xlfn.XLOOKUP(Customer[[#This Row],[Customer ID]],[1]!Address[ID],[1]!Address[Phone No.(2)])</f>
        <v/>
      </c>
      <c r="V1959" s="11" t="str">
        <f>_xlfn.XLOOKUP(Customer[[#This Row],[Customer ID]],[1]!Address[ID],[1]!Address[Type])</f>
        <v>PETROMART</v>
      </c>
      <c r="W1959" s="11" t="str">
        <f>_xlfn.XLOOKUP(Customer[[#This Row],[Customer ID]],[1]!Address[ID],[1]!Address[CT])</f>
        <v>30</v>
      </c>
      <c r="X1959" s="11" t="s">
        <v>39</v>
      </c>
      <c r="Y1959" s="17" t="s">
        <v>40</v>
      </c>
      <c r="Z1959" s="17" t="e">
        <f>_xlfn.XLOOKUP(Customer[[#This Row],[NewType]],$AF$36:$AF$54,$AG$36:$AG$54)</f>
        <v>#N/A</v>
      </c>
      <c r="AA1959" s="17" t="s">
        <v>12281</v>
      </c>
      <c r="AB1959" s="11" t="str">
        <f>_xlfn.XLOOKUP(Customer[[#This Row],[Customer ID]],[1]!Address[ID],[1]!Address[Subtype])</f>
        <v>PETRONAS</v>
      </c>
      <c r="AC1959" s="18" t="str">
        <f>_xlfn.XLOOKUP(Customer[[#This Row],[Customer ID]],[1]!Address[ID],[1]!Address[Zone])</f>
        <v>CENTRAL</v>
      </c>
    </row>
    <row r="1960" spans="1:30" x14ac:dyDescent="0.3">
      <c r="A1960" s="10" t="s">
        <v>12282</v>
      </c>
      <c r="B1960" s="11" t="str">
        <f>_xlfn.XLOOKUP(Customer[[#This Row],[Customer ID]],[1]!Name[ID],[1]!Name[Description(1)])</f>
        <v>SYED ABDUL RAZAK BIN SYED ABDUL RAHMAN</v>
      </c>
      <c r="C1960" s="11" t="str">
        <f>_xlfn.XLOOKUP(Customer[[#This Row],[Customer ID]],[1]!Name[ID],[1]!Name[Description(2)])</f>
        <v>(LOGISTIC &amp; WH)</v>
      </c>
      <c r="D1960" s="11" t="str">
        <f>_xlfn.XLOOKUP(Customer[[#This Row],[Customer ID]],[1]!Address[ID],[1]!Address[PIC])</f>
        <v>RAZAK</v>
      </c>
      <c r="E1960" s="11" t="str">
        <f>_xlfn.XLOOKUP(Customer[[#This Row],[Customer ID]],[1]!Address[ID],[1]!Address[Full Address])</f>
        <v>LOT 7954 BATU 5 1/2 DESA PUTRA,KAJANG 43000 SELANGOR</v>
      </c>
      <c r="F1960" s="12" t="s">
        <v>12283</v>
      </c>
      <c r="G1960" s="12" t="s">
        <v>12284</v>
      </c>
      <c r="H1960" s="12" t="s">
        <v>6089</v>
      </c>
      <c r="I1960" s="12" t="b">
        <f>ISNUMBER(VALUE(LEFT(Customer[[#This Row],[Address Line 3 (30 char)]],1)))</f>
        <v>0</v>
      </c>
      <c r="J1960" s="12" t="s">
        <v>172</v>
      </c>
      <c r="K1960" s="12">
        <v>43000</v>
      </c>
      <c r="L1960" s="12" t="s">
        <v>35</v>
      </c>
      <c r="M1960" s="13" t="e">
        <v>#N/A</v>
      </c>
      <c r="N1960" s="14" t="s">
        <v>12285</v>
      </c>
      <c r="O1960" s="14" t="e">
        <v>#N/A</v>
      </c>
      <c r="P1960" s="14" t="e">
        <v>#N/A</v>
      </c>
      <c r="Q1960" s="19" t="s">
        <v>12286</v>
      </c>
      <c r="R1960" s="15" t="s">
        <v>12287</v>
      </c>
      <c r="S1960" s="16" t="s">
        <v>89</v>
      </c>
      <c r="T1960" s="16" t="s">
        <v>89</v>
      </c>
      <c r="U1960" s="11" t="str">
        <f>_xlfn.XLOOKUP(Customer[[#This Row],[Customer ID]],[1]!Address[ID],[1]!Address[Phone No.(2)])</f>
        <v>RAZAK</v>
      </c>
      <c r="V1960" s="11" t="str">
        <f>_xlfn.XLOOKUP(Customer[[#This Row],[Customer ID]],[1]!Address[ID],[1]!Address[Type])</f>
        <v>WALK IN</v>
      </c>
      <c r="W1960" s="11" t="str">
        <f>_xlfn.XLOOKUP(Customer[[#This Row],[Customer ID]],[1]!Address[ID],[1]!Address[CT])</f>
        <v/>
      </c>
      <c r="X1960" s="11"/>
      <c r="Y1960" s="17" t="s">
        <v>6284</v>
      </c>
      <c r="Z1960" s="17" t="e">
        <f>_xlfn.XLOOKUP(Customer[[#This Row],[NewType]],$AF$36:$AF$54,$AG$36:$AG$54)</f>
        <v>#N/A</v>
      </c>
      <c r="AA1960" s="17" t="s">
        <v>12288</v>
      </c>
      <c r="AB1960" s="11" t="str">
        <f>_xlfn.XLOOKUP(Customer[[#This Row],[Customer ID]],[1]!Address[ID],[1]!Address[Subtype])</f>
        <v>STAFF</v>
      </c>
      <c r="AC1960" s="18" t="str">
        <f>_xlfn.XLOOKUP(Customer[[#This Row],[Customer ID]],[1]!Address[ID],[1]!Address[Zone])</f>
        <v>A H</v>
      </c>
    </row>
    <row r="1961" spans="1:30" x14ac:dyDescent="0.3">
      <c r="A1961" s="10" t="s">
        <v>12289</v>
      </c>
      <c r="B1961" s="11" t="str">
        <f>_xlfn.XLOOKUP(Customer[[#This Row],[Customer ID]],[1]!Name[ID],[1]!Name[Description(1)])</f>
        <v>MUHAMAD FAYAZID BIN JAMALUDIN</v>
      </c>
      <c r="C1961" s="11" t="str">
        <f>_xlfn.XLOOKUP(Customer[[#This Row],[Customer ID]],[1]!Name[ID],[1]!Name[Description(2)])</f>
        <v>(L&amp;W)</v>
      </c>
      <c r="D1961" s="11" t="str">
        <f>_xlfn.XLOOKUP(Customer[[#This Row],[Customer ID]],[1]!Address[ID],[1]!Address[PIC])</f>
        <v>FAYAZID</v>
      </c>
      <c r="E1961" s="11" t="str">
        <f>_xlfn.XLOOKUP(Customer[[#This Row],[Customer ID]],[1]!Address[ID],[1]!Address[Full Address])</f>
        <v>NO 192 FASA II LUBOK CHINA 71150LINGGI NEGERI SEMBILAN</v>
      </c>
      <c r="F1961" s="12" t="s">
        <v>12290</v>
      </c>
      <c r="G1961" s="12" t="s">
        <v>12291</v>
      </c>
      <c r="H1961" s="12" t="s">
        <v>12292</v>
      </c>
      <c r="I1961" s="12" t="b">
        <f>ISNUMBER(VALUE(LEFT(Customer[[#This Row],[Address Line 3 (30 char)]],1)))</f>
        <v>0</v>
      </c>
      <c r="J1961" s="12" t="s">
        <v>203</v>
      </c>
      <c r="K1961" s="12">
        <v>71150</v>
      </c>
      <c r="L1961" s="12" t="s">
        <v>35</v>
      </c>
      <c r="M1961" s="13" t="e">
        <v>#N/A</v>
      </c>
      <c r="N1961" s="14" t="s">
        <v>12293</v>
      </c>
      <c r="O1961" s="14" t="e">
        <v>#N/A</v>
      </c>
      <c r="P1961" s="14" t="e">
        <v>#N/A</v>
      </c>
      <c r="Q1961" s="19" t="s">
        <v>12294</v>
      </c>
      <c r="R1961" s="15" t="s">
        <v>12295</v>
      </c>
      <c r="S1961" s="16" t="s">
        <v>89</v>
      </c>
      <c r="T1961" s="16" t="s">
        <v>89</v>
      </c>
      <c r="U1961" s="11" t="str">
        <f>_xlfn.XLOOKUP(Customer[[#This Row],[Customer ID]],[1]!Address[ID],[1]!Address[Phone No.(2)])</f>
        <v/>
      </c>
      <c r="V1961" s="11" t="str">
        <f>_xlfn.XLOOKUP(Customer[[#This Row],[Customer ID]],[1]!Address[ID],[1]!Address[Type])</f>
        <v>WALK IN</v>
      </c>
      <c r="W1961" s="11" t="str">
        <f>_xlfn.XLOOKUP(Customer[[#This Row],[Customer ID]],[1]!Address[ID],[1]!Address[CT])</f>
        <v/>
      </c>
      <c r="X1961" s="11"/>
      <c r="Y1961" s="17" t="s">
        <v>6284</v>
      </c>
      <c r="Z1961" s="17" t="e">
        <f>_xlfn.XLOOKUP(Customer[[#This Row],[NewType]],$AF$36:$AF$54,$AG$36:$AG$54)</f>
        <v>#N/A</v>
      </c>
      <c r="AA1961" s="17" t="s">
        <v>12296</v>
      </c>
      <c r="AB1961" s="11" t="str">
        <f>_xlfn.XLOOKUP(Customer[[#This Row],[Customer ID]],[1]!Address[ID],[1]!Address[Subtype])</f>
        <v>STAFF</v>
      </c>
      <c r="AC1961" s="18" t="str">
        <f>_xlfn.XLOOKUP(Customer[[#This Row],[Customer ID]],[1]!Address[ID],[1]!Address[Zone])</f>
        <v>CENTRAL</v>
      </c>
    </row>
    <row r="1962" spans="1:30" x14ac:dyDescent="0.3">
      <c r="A1962" s="10" t="s">
        <v>12297</v>
      </c>
      <c r="B1962" s="11" t="str">
        <f>_xlfn.XLOOKUP(Customer[[#This Row],[Customer ID]],[1]!Name[ID],[1]!Name[Description(1)])</f>
        <v>AFIQA HAMIZAH BINTI ZAINAL</v>
      </c>
      <c r="C1962" s="11" t="str">
        <f>_xlfn.XLOOKUP(Customer[[#This Row],[Customer ID]],[1]!Name[ID],[1]!Name[Description(2)])</f>
        <v/>
      </c>
      <c r="D1962" s="11" t="str">
        <f>_xlfn.XLOOKUP(Customer[[#This Row],[Customer ID]],[1]!Address[ID],[1]!Address[PIC])</f>
        <v>AFIQA</v>
      </c>
      <c r="E1962" s="11" t="str">
        <f>_xlfn.XLOOKUP(Customer[[#This Row],[Customer ID]],[1]!Address[ID],[1]!Address[Full Address])</f>
        <v>35B, KG TANJUNG JATI KUALA PILAH72000 KUALA PILAH, NEGERI SEMBILAN</v>
      </c>
      <c r="F1962" s="12" t="s">
        <v>12298</v>
      </c>
      <c r="G1962" s="12" t="s">
        <v>12299</v>
      </c>
      <c r="H1962" s="12" t="s">
        <v>4565</v>
      </c>
      <c r="I1962" s="12" t="b">
        <f>ISNUMBER(VALUE(LEFT(Customer[[#This Row],[Address Line 3 (30 char)]],1)))</f>
        <v>0</v>
      </c>
      <c r="J1962" s="12" t="s">
        <v>203</v>
      </c>
      <c r="K1962" s="12">
        <v>72000</v>
      </c>
      <c r="L1962" s="12" t="s">
        <v>35</v>
      </c>
      <c r="M1962" s="13" t="e">
        <v>#N/A</v>
      </c>
      <c r="N1962" s="14" t="s">
        <v>12300</v>
      </c>
      <c r="O1962" s="14" t="e">
        <v>#N/A</v>
      </c>
      <c r="P1962" s="14" t="e">
        <v>#N/A</v>
      </c>
      <c r="Q1962" s="19" t="s">
        <v>12301</v>
      </c>
      <c r="R1962" s="15" t="s">
        <v>12302</v>
      </c>
      <c r="S1962" s="16" t="s">
        <v>89</v>
      </c>
      <c r="T1962" s="16" t="s">
        <v>89</v>
      </c>
      <c r="U1962" s="11" t="str">
        <f>_xlfn.XLOOKUP(Customer[[#This Row],[Customer ID]],[1]!Address[ID],[1]!Address[Phone No.(2)])</f>
        <v/>
      </c>
      <c r="V1962" s="11" t="str">
        <f>_xlfn.XLOOKUP(Customer[[#This Row],[Customer ID]],[1]!Address[ID],[1]!Address[Type])</f>
        <v>WALK IN</v>
      </c>
      <c r="W1962" s="11" t="str">
        <f>_xlfn.XLOOKUP(Customer[[#This Row],[Customer ID]],[1]!Address[ID],[1]!Address[CT])</f>
        <v/>
      </c>
      <c r="X1962" s="11"/>
      <c r="Y1962" s="17" t="s">
        <v>6284</v>
      </c>
      <c r="Z1962" s="17" t="e">
        <f>_xlfn.XLOOKUP(Customer[[#This Row],[NewType]],$AF$36:$AF$54,$AG$36:$AG$54)</f>
        <v>#N/A</v>
      </c>
      <c r="AA1962" s="17" t="s">
        <v>12303</v>
      </c>
      <c r="AB1962" s="11" t="str">
        <f>_xlfn.XLOOKUP(Customer[[#This Row],[Customer ID]],[1]!Address[ID],[1]!Address[Subtype])</f>
        <v>PEDAS</v>
      </c>
      <c r="AC1962" s="18" t="str">
        <f>_xlfn.XLOOKUP(Customer[[#This Row],[Customer ID]],[1]!Address[ID],[1]!Address[Zone])</f>
        <v>CENTRAL</v>
      </c>
    </row>
    <row r="1963" spans="1:30" x14ac:dyDescent="0.3">
      <c r="A1963" s="10" t="s">
        <v>12304</v>
      </c>
      <c r="B1963" s="11" t="str">
        <f>_xlfn.XLOOKUP(Customer[[#This Row],[Customer ID]],[1]!Name[ID],[1]!Name[Description(1)])</f>
        <v>MUHAMMAD FIRDAUS YAHYA</v>
      </c>
      <c r="C1963" s="11" t="str">
        <f>_xlfn.XLOOKUP(Customer[[#This Row],[Customer ID]],[1]!Name[ID],[1]!Name[Description(2)])</f>
        <v>(PRODUCTION KILANG AIR)</v>
      </c>
      <c r="D1963" s="11" t="str">
        <f>_xlfn.XLOOKUP(Customer[[#This Row],[Customer ID]],[1]!Address[ID],[1]!Address[PIC])</f>
        <v>FIRDAUS</v>
      </c>
      <c r="E1963" s="11" t="str">
        <f>_xlfn.XLOOKUP(Customer[[#This Row],[Customer ID]],[1]!Address[ID],[1]!Address[Full Address])</f>
        <v>PU SENDAYAN</v>
      </c>
      <c r="F1963" s="12" t="s">
        <v>12305</v>
      </c>
      <c r="G1963" s="12" t="s">
        <v>36</v>
      </c>
      <c r="H1963" s="12" t="s">
        <v>36</v>
      </c>
      <c r="I1963" s="12" t="b">
        <f>ISNUMBER(VALUE(LEFT(Customer[[#This Row],[Address Line 3 (30 char)]],1)))</f>
        <v>0</v>
      </c>
      <c r="J1963" s="32" t="s">
        <v>203</v>
      </c>
      <c r="K1963" s="32"/>
      <c r="L1963" s="12" t="s">
        <v>35</v>
      </c>
      <c r="M1963" s="13" t="e">
        <v>#N/A</v>
      </c>
      <c r="N1963" s="14" t="s">
        <v>12306</v>
      </c>
      <c r="O1963" s="14" t="e">
        <v>#N/A</v>
      </c>
      <c r="P1963" s="14" t="e">
        <v>#N/A</v>
      </c>
      <c r="Q1963" s="21" t="s">
        <v>12307</v>
      </c>
      <c r="R1963" s="15" t="s">
        <v>12308</v>
      </c>
      <c r="S1963" s="16" t="s">
        <v>89</v>
      </c>
      <c r="T1963" s="16" t="s">
        <v>89</v>
      </c>
      <c r="U1963" s="11" t="str">
        <f>_xlfn.XLOOKUP(Customer[[#This Row],[Customer ID]],[1]!Address[ID],[1]!Address[Phone No.(2)])</f>
        <v/>
      </c>
      <c r="V1963" s="11" t="str">
        <f>_xlfn.XLOOKUP(Customer[[#This Row],[Customer ID]],[1]!Address[ID],[1]!Address[Type])</f>
        <v>WALK IN</v>
      </c>
      <c r="W1963" s="11" t="str">
        <f>_xlfn.XLOOKUP(Customer[[#This Row],[Customer ID]],[1]!Address[ID],[1]!Address[CT])</f>
        <v/>
      </c>
      <c r="X1963" s="11"/>
      <c r="Y1963" s="17" t="s">
        <v>6284</v>
      </c>
      <c r="Z1963" s="17" t="e">
        <f>_xlfn.XLOOKUP(Customer[[#This Row],[NewType]],$AF$36:$AF$54,$AG$36:$AG$54)</f>
        <v>#N/A</v>
      </c>
      <c r="AA1963" s="17" t="s">
        <v>12309</v>
      </c>
      <c r="AB1963" s="11" t="str">
        <f>_xlfn.XLOOKUP(Customer[[#This Row],[Customer ID]],[1]!Address[ID],[1]!Address[Subtype])</f>
        <v>STAFF</v>
      </c>
      <c r="AC1963" s="18" t="str">
        <f>_xlfn.XLOOKUP(Customer[[#This Row],[Customer ID]],[1]!Address[ID],[1]!Address[Zone])</f>
        <v>A H</v>
      </c>
    </row>
    <row r="1964" spans="1:30" x14ac:dyDescent="0.3">
      <c r="A1964" s="10" t="s">
        <v>12310</v>
      </c>
      <c r="B1964" s="11" t="str">
        <f>_xlfn.XLOOKUP(Customer[[#This Row],[Customer ID]],[1]!Name[ID],[1]!Name[Description(1)])</f>
        <v>JOHARI BIN OTHMAN (HAJI JOHARI)</v>
      </c>
      <c r="C1964" s="11" t="str">
        <f>_xlfn.XLOOKUP(Customer[[#This Row],[Customer ID]],[1]!Name[ID],[1]!Name[Description(2)])</f>
        <v/>
      </c>
      <c r="D1964" s="11" t="str">
        <f>_xlfn.XLOOKUP(Customer[[#This Row],[Customer ID]],[1]!Address[ID],[1]!Address[PIC])</f>
        <v>HAJI JOHARI</v>
      </c>
      <c r="E1964" s="11" t="str">
        <f>_xlfn.XLOOKUP(Customer[[#This Row],[Customer ID]],[1]!Address[ID],[1]!Address[Full Address])</f>
        <v>BATU 4, SURAU 2 KAMPUNG SUNGAI YU,45500 TANJUNG KARANG, SELANGOR</v>
      </c>
      <c r="F1964" s="12" t="s">
        <v>12311</v>
      </c>
      <c r="G1964" s="12" t="s">
        <v>12312</v>
      </c>
      <c r="H1964" s="12" t="s">
        <v>12313</v>
      </c>
      <c r="I1964" s="12" t="b">
        <f>ISNUMBER(VALUE(LEFT(Customer[[#This Row],[Address Line 3 (30 char)]],1)))</f>
        <v>0</v>
      </c>
      <c r="J1964" s="12" t="s">
        <v>172</v>
      </c>
      <c r="K1964" s="12">
        <v>45500</v>
      </c>
      <c r="L1964" s="12" t="s">
        <v>35</v>
      </c>
      <c r="M1964" s="13" t="e">
        <v>#N/A</v>
      </c>
      <c r="N1964" s="14" t="s">
        <v>12314</v>
      </c>
      <c r="O1964" s="14" t="e">
        <v>#N/A</v>
      </c>
      <c r="P1964" s="14" t="e">
        <v>#N/A</v>
      </c>
      <c r="Q1964" s="19" t="s">
        <v>12315</v>
      </c>
      <c r="R1964" s="15" t="s">
        <v>12316</v>
      </c>
      <c r="S1964" s="16" t="s">
        <v>89</v>
      </c>
      <c r="T1964" s="16" t="s">
        <v>89</v>
      </c>
      <c r="U1964" s="11" t="str">
        <f>_xlfn.XLOOKUP(Customer[[#This Row],[Customer ID]],[1]!Address[ID],[1]!Address[Phone No.(2)])</f>
        <v/>
      </c>
      <c r="V1964" s="11" t="str">
        <f>_xlfn.XLOOKUP(Customer[[#This Row],[Customer ID]],[1]!Address[ID],[1]!Address[Type])</f>
        <v>WALK IN</v>
      </c>
      <c r="W1964" s="11" t="str">
        <f>_xlfn.XLOOKUP(Customer[[#This Row],[Customer ID]],[1]!Address[ID],[1]!Address[CT])</f>
        <v/>
      </c>
      <c r="X1964" s="11"/>
      <c r="Y1964" s="17" t="s">
        <v>6284</v>
      </c>
      <c r="Z1964" s="17" t="e">
        <f>_xlfn.XLOOKUP(Customer[[#This Row],[NewType]],$AF$36:$AF$54,$AG$36:$AG$54)</f>
        <v>#N/A</v>
      </c>
      <c r="AA1964" s="17" t="s">
        <v>12317</v>
      </c>
      <c r="AB1964" s="11" t="str">
        <f>_xlfn.XLOOKUP(Customer[[#This Row],[Customer ID]],[1]!Address[ID],[1]!Address[Subtype])</f>
        <v>PEDAS</v>
      </c>
      <c r="AC1964" s="18" t="str">
        <f>_xlfn.XLOOKUP(Customer[[#This Row],[Customer ID]],[1]!Address[ID],[1]!Address[Zone])</f>
        <v>CENTRAL</v>
      </c>
    </row>
    <row r="1965" spans="1:30" x14ac:dyDescent="0.3">
      <c r="A1965" s="10" t="s">
        <v>12318</v>
      </c>
      <c r="B1965" s="11" t="str">
        <f>_xlfn.XLOOKUP(Customer[[#This Row],[Customer ID]],[1]!Name[ID],[1]!Name[Description(1)])</f>
        <v>NOOR AMIRA BINTI MAZLAN</v>
      </c>
      <c r="C1965" s="11" t="str">
        <f>_xlfn.XLOOKUP(Customer[[#This Row],[Customer ID]],[1]!Name[ID],[1]!Name[Description(2)])</f>
        <v>(PRODUCTION KILANG AIR)</v>
      </c>
      <c r="D1965" s="11" t="str">
        <f>_xlfn.XLOOKUP(Customer[[#This Row],[Customer ID]],[1]!Address[ID],[1]!Address[PIC])</f>
        <v>AMIRA</v>
      </c>
      <c r="E1965" s="11" t="str">
        <f>_xlfn.XLOOKUP(Customer[[#This Row],[Customer ID]],[1]!Address[ID],[1]!Address[Full Address])</f>
        <v>NO 6, LORONG 2/3, TAMAN SRI ANGGERIK,71200 RANTAU, NEGERI SEMBILAN</v>
      </c>
      <c r="F1965" s="12" t="s">
        <v>12319</v>
      </c>
      <c r="G1965" s="12" t="s">
        <v>12217</v>
      </c>
      <c r="H1965" s="12" t="s">
        <v>6428</v>
      </c>
      <c r="I1965" s="12" t="b">
        <f>ISNUMBER(VALUE(LEFT(Customer[[#This Row],[Address Line 3 (30 char)]],1)))</f>
        <v>0</v>
      </c>
      <c r="J1965" s="12" t="s">
        <v>203</v>
      </c>
      <c r="K1965" s="12">
        <v>71200</v>
      </c>
      <c r="L1965" s="12" t="s">
        <v>35</v>
      </c>
      <c r="M1965" s="13" t="e">
        <v>#N/A</v>
      </c>
      <c r="N1965" s="14" t="s">
        <v>12320</v>
      </c>
      <c r="O1965" s="14" t="e">
        <v>#N/A</v>
      </c>
      <c r="P1965" s="14" t="e">
        <v>#N/A</v>
      </c>
      <c r="Q1965" s="19" t="s">
        <v>12321</v>
      </c>
      <c r="R1965" s="15" t="s">
        <v>12322</v>
      </c>
      <c r="S1965" s="16" t="s">
        <v>89</v>
      </c>
      <c r="T1965" s="16" t="s">
        <v>89</v>
      </c>
      <c r="U1965" s="11" t="str">
        <f>_xlfn.XLOOKUP(Customer[[#This Row],[Customer ID]],[1]!Address[ID],[1]!Address[Phone No.(2)])</f>
        <v/>
      </c>
      <c r="V1965" s="11" t="str">
        <f>_xlfn.XLOOKUP(Customer[[#This Row],[Customer ID]],[1]!Address[ID],[1]!Address[Type])</f>
        <v>WALK IN</v>
      </c>
      <c r="W1965" s="11" t="str">
        <f>_xlfn.XLOOKUP(Customer[[#This Row],[Customer ID]],[1]!Address[ID],[1]!Address[CT])</f>
        <v/>
      </c>
      <c r="X1965" s="11"/>
      <c r="Y1965" s="17" t="s">
        <v>6284</v>
      </c>
      <c r="Z1965" s="17" t="e">
        <f>_xlfn.XLOOKUP(Customer[[#This Row],[NewType]],$AF$36:$AF$54,$AG$36:$AG$54)</f>
        <v>#N/A</v>
      </c>
      <c r="AA1965" s="17" t="s">
        <v>12323</v>
      </c>
      <c r="AB1965" s="11" t="str">
        <f>_xlfn.XLOOKUP(Customer[[#This Row],[Customer ID]],[1]!Address[ID],[1]!Address[Subtype])</f>
        <v>STAFF</v>
      </c>
      <c r="AC1965" s="18" t="str">
        <f>_xlfn.XLOOKUP(Customer[[#This Row],[Customer ID]],[1]!Address[ID],[1]!Address[Zone])</f>
        <v>CENTRAL</v>
      </c>
    </row>
    <row r="1966" spans="1:30" x14ac:dyDescent="0.3">
      <c r="A1966" s="10" t="s">
        <v>12324</v>
      </c>
      <c r="B1966" s="11" t="str">
        <f>_xlfn.XLOOKUP(Customer[[#This Row],[Customer ID]],[1]!Name[ID],[1]!Name[Description(1)])</f>
        <v>NOOR FARIHAH SHAROM</v>
      </c>
      <c r="C1966" s="11" t="str">
        <f>_xlfn.XLOOKUP(Customer[[#This Row],[Customer ID]],[1]!Name[ID],[1]!Name[Description(2)])</f>
        <v>(PERSONAL DRIVER PN AIN)</v>
      </c>
      <c r="D1966" s="11" t="str">
        <f>_xlfn.XLOOKUP(Customer[[#This Row],[Customer ID]],[1]!Address[ID],[1]!Address[PIC])</f>
        <v>FARIHAH</v>
      </c>
      <c r="E1966" s="11" t="str">
        <f>_xlfn.XLOOKUP(Customer[[#This Row],[Customer ID]],[1]!Address[ID],[1]!Address[Full Address])</f>
        <v>SEKSYEN 20, SHAH ALAM</v>
      </c>
      <c r="F1966" s="12" t="s">
        <v>12325</v>
      </c>
      <c r="G1966" s="12" t="s">
        <v>36</v>
      </c>
      <c r="H1966" s="12" t="s">
        <v>36</v>
      </c>
      <c r="I1966" s="12" t="b">
        <f>ISNUMBER(VALUE(LEFT(Customer[[#This Row],[Address Line 3 (30 char)]],1)))</f>
        <v>0</v>
      </c>
      <c r="J1966" s="32" t="s">
        <v>172</v>
      </c>
      <c r="K1966" s="32"/>
      <c r="L1966" s="12" t="s">
        <v>35</v>
      </c>
      <c r="M1966" s="13" t="e">
        <v>#N/A</v>
      </c>
      <c r="N1966" s="14" t="s">
        <v>12326</v>
      </c>
      <c r="O1966" s="14" t="e">
        <v>#N/A</v>
      </c>
      <c r="P1966" s="14" t="e">
        <v>#N/A</v>
      </c>
      <c r="Q1966" s="21" t="s">
        <v>12327</v>
      </c>
      <c r="R1966" s="15" t="s">
        <v>6878</v>
      </c>
      <c r="S1966" s="16" t="s">
        <v>89</v>
      </c>
      <c r="T1966" s="16" t="s">
        <v>89</v>
      </c>
      <c r="U1966" s="11" t="str">
        <f>_xlfn.XLOOKUP(Customer[[#This Row],[Customer ID]],[1]!Address[ID],[1]!Address[Phone No.(2)])</f>
        <v/>
      </c>
      <c r="V1966" s="11" t="str">
        <f>_xlfn.XLOOKUP(Customer[[#This Row],[Customer ID]],[1]!Address[ID],[1]!Address[Type])</f>
        <v>WALK IN</v>
      </c>
      <c r="W1966" s="11" t="str">
        <f>_xlfn.XLOOKUP(Customer[[#This Row],[Customer ID]],[1]!Address[ID],[1]!Address[CT])</f>
        <v/>
      </c>
      <c r="X1966" s="11"/>
      <c r="Y1966" s="17" t="s">
        <v>6284</v>
      </c>
      <c r="Z1966" s="17" t="e">
        <f>_xlfn.XLOOKUP(Customer[[#This Row],[NewType]],$AF$36:$AF$54,$AG$36:$AG$54)</f>
        <v>#N/A</v>
      </c>
      <c r="AA1966" s="17" t="s">
        <v>12328</v>
      </c>
      <c r="AB1966" s="11" t="str">
        <f>_xlfn.XLOOKUP(Customer[[#This Row],[Customer ID]],[1]!Address[ID],[1]!Address[Subtype])</f>
        <v>STAFF</v>
      </c>
      <c r="AC1966" s="18" t="str">
        <f>_xlfn.XLOOKUP(Customer[[#This Row],[Customer ID]],[1]!Address[ID],[1]!Address[Zone])</f>
        <v>A H</v>
      </c>
    </row>
    <row r="1967" spans="1:30" x14ac:dyDescent="0.3">
      <c r="A1967" s="55" t="s">
        <v>12329</v>
      </c>
      <c r="B1967" s="49" t="str">
        <f>_xlfn.XLOOKUP(Customer[[#This Row],[Customer ID]],[1]!Name[ID],[1]!Name[Description(1)])</f>
        <v>BADAN KAWAL SELIA AIR NEGERI SEMBILAN</v>
      </c>
      <c r="C1967" s="49" t="str">
        <f>_xlfn.XLOOKUP(Customer[[#This Row],[Customer ID]],[1]!Name[ID],[1]!Name[Description(2)])</f>
        <v/>
      </c>
      <c r="D1967" s="49" t="str">
        <f>_xlfn.XLOOKUP(Customer[[#This Row],[Customer ID]],[1]!Address[ID],[1]!Address[PIC])</f>
        <v>FADHIL MALEK</v>
      </c>
      <c r="E1967" s="11" t="str">
        <f>_xlfn.XLOOKUP(Customer[[#This Row],[Customer ID]],[1]!Address[ID],[1]!Address[Full Address])</f>
        <v>NO. 17 &amp; 18, PUSAT PERDAGANGAN PAROI,70400 SEREMBAN, NEGERI SEMBILAN</v>
      </c>
      <c r="F1967" s="12" t="s">
        <v>12330</v>
      </c>
      <c r="G1967" s="12" t="s">
        <v>12331</v>
      </c>
      <c r="H1967" s="12" t="s">
        <v>2411</v>
      </c>
      <c r="I1967" s="12" t="b">
        <f>ISNUMBER(VALUE(LEFT(Customer[[#This Row],[Address Line 3 (30 char)]],1)))</f>
        <v>0</v>
      </c>
      <c r="J1967" s="12" t="s">
        <v>203</v>
      </c>
      <c r="K1967" s="12">
        <v>70400</v>
      </c>
      <c r="L1967" s="12" t="s">
        <v>35</v>
      </c>
      <c r="M1967" s="13" t="e">
        <v>#N/A</v>
      </c>
      <c r="N1967" s="113" t="s">
        <v>12332</v>
      </c>
      <c r="O1967" s="14" t="e">
        <v>#N/A</v>
      </c>
      <c r="P1967" s="14" t="e">
        <v>#N/A</v>
      </c>
      <c r="Q1967" s="19" t="s">
        <v>12333</v>
      </c>
      <c r="R1967" s="51" t="s">
        <v>12334</v>
      </c>
      <c r="S1967" s="52" t="s">
        <v>6283</v>
      </c>
      <c r="T1967" s="52"/>
      <c r="U1967" s="49" t="str">
        <f>_xlfn.XLOOKUP(Customer[[#This Row],[Customer ID]],[1]!Address[ID],[1]!Address[Phone No.(2)])</f>
        <v/>
      </c>
      <c r="V1967" s="49" t="str">
        <f>_xlfn.XLOOKUP(Customer[[#This Row],[Customer ID]],[1]!Address[ID],[1]!Address[Type])</f>
        <v>WALK IN</v>
      </c>
      <c r="W1967" s="49" t="str">
        <f>_xlfn.XLOOKUP(Customer[[#This Row],[Customer ID]],[1]!Address[ID],[1]!Address[CT])</f>
        <v/>
      </c>
      <c r="X1967" s="49"/>
      <c r="Y1967" s="53" t="s">
        <v>6284</v>
      </c>
      <c r="Z1967" s="53" t="e">
        <f>_xlfn.XLOOKUP(Customer[[#This Row],[NewType]],$AF$36:$AF$54,$AG$36:$AG$54)</f>
        <v>#N/A</v>
      </c>
      <c r="AA1967" s="53" t="s">
        <v>12335</v>
      </c>
      <c r="AB1967" s="49" t="str">
        <f>_xlfn.XLOOKUP(Customer[[#This Row],[Customer ID]],[1]!Address[ID],[1]!Address[Subtype])</f>
        <v>RANTAU</v>
      </c>
      <c r="AC1967" s="54" t="str">
        <f>_xlfn.XLOOKUP(Customer[[#This Row],[Customer ID]],[1]!Address[ID],[1]!Address[Zone])</f>
        <v>CENTRAL</v>
      </c>
      <c r="AD1967" s="55"/>
    </row>
    <row r="1968" spans="1:30" x14ac:dyDescent="0.3">
      <c r="A1968" s="45" t="s">
        <v>12336</v>
      </c>
      <c r="B1968" s="32" t="str">
        <f>_xlfn.XLOOKUP(Customer[[#This Row],[Customer ID]],[1]!Name[ID],[1]!Name[Description(1)])</f>
        <v>MOHD FIRDAUS BIN ABDULLAH</v>
      </c>
      <c r="C1968" s="32" t="str">
        <f>_xlfn.XLOOKUP(Customer[[#This Row],[Customer ID]],[1]!Name[ID],[1]!Name[Description(2)])</f>
        <v>(PEJABAT MENTERI BESAR)</v>
      </c>
      <c r="D1968" s="11" t="str">
        <f>_xlfn.XLOOKUP(Customer[[#This Row],[Customer ID]],[1]!Address[ID],[1]!Address[PIC])</f>
        <v>FIRDAUS</v>
      </c>
      <c r="E1968" s="11" t="str">
        <f>_xlfn.XLOOKUP(Customer[[#This Row],[Customer ID]],[1]!Address[ID],[1]!Address[Full Address])</f>
        <v>PEJABAT MENTERI BESAR NEGERISEMBILAN, TINGKAT 5, BLOK B, WISMANEGERI, SEREMBAN</v>
      </c>
      <c r="F1968" s="12" t="s">
        <v>12337</v>
      </c>
      <c r="G1968" s="12" t="s">
        <v>12338</v>
      </c>
      <c r="H1968" s="12" t="s">
        <v>12339</v>
      </c>
      <c r="I1968" s="12" t="b">
        <f>ISNUMBER(VALUE(LEFT(Customer[[#This Row],[Address Line 3 (30 char)]],1)))</f>
        <v>0</v>
      </c>
      <c r="J1968" s="32" t="s">
        <v>203</v>
      </c>
      <c r="K1968" s="32">
        <v>70503</v>
      </c>
      <c r="L1968" s="12" t="s">
        <v>35</v>
      </c>
      <c r="M1968" s="13" t="e">
        <v>#N/A</v>
      </c>
      <c r="N1968" s="14" t="s">
        <v>12340</v>
      </c>
      <c r="O1968" s="14" t="e">
        <v>#N/A</v>
      </c>
      <c r="P1968" s="14" t="e">
        <v>#N/A</v>
      </c>
      <c r="Q1968" s="19" t="s">
        <v>12341</v>
      </c>
      <c r="R1968" s="15" t="s">
        <v>12342</v>
      </c>
      <c r="S1968" s="16" t="s">
        <v>6283</v>
      </c>
      <c r="T1968" s="16"/>
      <c r="U1968" s="11" t="str">
        <f>_xlfn.XLOOKUP(Customer[[#This Row],[Customer ID]],[1]!Address[ID],[1]!Address[Phone No.(2)])</f>
        <v/>
      </c>
      <c r="V1968" s="11" t="str">
        <f>_xlfn.XLOOKUP(Customer[[#This Row],[Customer ID]],[1]!Address[ID],[1]!Address[Type])</f>
        <v>WALK IN</v>
      </c>
      <c r="W1968" s="11" t="str">
        <f>_xlfn.XLOOKUP(Customer[[#This Row],[Customer ID]],[1]!Address[ID],[1]!Address[CT])</f>
        <v/>
      </c>
      <c r="X1968" s="11"/>
      <c r="Y1968" s="17" t="s">
        <v>6284</v>
      </c>
      <c r="Z1968" s="17" t="e">
        <f>_xlfn.XLOOKUP(Customer[[#This Row],[NewType]],$AF$36:$AF$54,$AG$36:$AG$54)</f>
        <v>#N/A</v>
      </c>
      <c r="AA1968" s="17" t="s">
        <v>12343</v>
      </c>
      <c r="AB1968" s="11" t="str">
        <f>_xlfn.XLOOKUP(Customer[[#This Row],[Customer ID]],[1]!Address[ID],[1]!Address[Subtype])</f>
        <v>RANTAU</v>
      </c>
      <c r="AC1968" s="18" t="str">
        <f>_xlfn.XLOOKUP(Customer[[#This Row],[Customer ID]],[1]!Address[ID],[1]!Address[Zone])</f>
        <v>CENTRAL</v>
      </c>
    </row>
    <row r="1969" spans="1:29" x14ac:dyDescent="0.3">
      <c r="A1969" s="10" t="s">
        <v>12344</v>
      </c>
      <c r="B1969" s="11" t="str">
        <f>_xlfn.XLOOKUP(Customer[[#This Row],[Customer ID]],[1]!Name[ID],[1]!Name[Description(1)])</f>
        <v>BADAN AMAL DAN KEBAJIKAN TENAGA ISTERI-</v>
      </c>
      <c r="C1969" s="11" t="str">
        <f>_xlfn.XLOOKUP(Customer[[#This Row],[Customer ID]],[1]!Name[ID],[1]!Name[Description(2)])</f>
        <v>ISTERI (BAKTI)</v>
      </c>
      <c r="D1969" s="11" t="str">
        <f>_xlfn.XLOOKUP(Customer[[#This Row],[Customer ID]],[1]!Address[ID],[1]!Address[PIC])</f>
        <v>NOR IZWANIETA</v>
      </c>
      <c r="E1969" s="11" t="str">
        <f>_xlfn.XLOOKUP(Customer[[#This Row],[Customer ID]],[1]!Address[ID],[1]!Address[Full Address])</f>
        <v>TINGKAT 3A BANGUNAN BAKTI SITI HASMAHNO 6 CANGKAT ABANG HAJI OPENGTAMAN TUN DR ISMAIL60000 KUALA LUMPUR</v>
      </c>
      <c r="F1969" s="12" t="s">
        <v>12345</v>
      </c>
      <c r="G1969" s="12" t="s">
        <v>12346</v>
      </c>
      <c r="H1969" s="12" t="s">
        <v>12347</v>
      </c>
      <c r="I1969" s="12" t="b">
        <f>ISNUMBER(VALUE(LEFT(Customer[[#This Row],[Address Line 3 (30 char)]],1)))</f>
        <v>0</v>
      </c>
      <c r="J1969" s="12" t="s">
        <v>34</v>
      </c>
      <c r="K1969" s="12">
        <v>60000</v>
      </c>
      <c r="L1969" s="12" t="s">
        <v>35</v>
      </c>
      <c r="M1969" s="13" t="e">
        <v>#N/A</v>
      </c>
      <c r="N1969" s="14" t="e">
        <v>#N/A</v>
      </c>
      <c r="O1969" s="14" t="e">
        <v>#N/A</v>
      </c>
      <c r="P1969" s="14" t="e">
        <v>#N/A</v>
      </c>
      <c r="Q1969" s="19" t="s">
        <v>12348</v>
      </c>
      <c r="R1969" s="15" t="s">
        <v>12349</v>
      </c>
      <c r="S1969" s="15" t="s">
        <v>5934</v>
      </c>
      <c r="T1969" s="16"/>
      <c r="U1969" s="11" t="str">
        <f>_xlfn.XLOOKUP(Customer[[#This Row],[Customer ID]],[1]!Address[ID],[1]!Address[Phone No.(2)])</f>
        <v/>
      </c>
      <c r="V1969" s="11" t="str">
        <f>_xlfn.XLOOKUP(Customer[[#This Row],[Customer ID]],[1]!Address[ID],[1]!Address[Type])</f>
        <v>CORPORATE</v>
      </c>
      <c r="W1969" s="11" t="str">
        <f>_xlfn.XLOOKUP(Customer[[#This Row],[Customer ID]],[1]!Address[ID],[1]!Address[CT])</f>
        <v>CASH</v>
      </c>
      <c r="X1969" s="11"/>
      <c r="Y1969" s="17" t="s">
        <v>6418</v>
      </c>
      <c r="Z1969" s="17" t="e">
        <f>_xlfn.XLOOKUP(Customer[[#This Row],[NewType]],$AF$36:$AF$54,$AG$36:$AG$54)</f>
        <v>#N/A</v>
      </c>
      <c r="AA1969" s="17" t="s">
        <v>12350</v>
      </c>
      <c r="AB1969" s="11" t="str">
        <f>_xlfn.XLOOKUP(Customer[[#This Row],[Customer ID]],[1]!Address[ID],[1]!Address[Subtype])</f>
        <v>BAKTI</v>
      </c>
      <c r="AC1969" s="18" t="str">
        <f>_xlfn.XLOOKUP(Customer[[#This Row],[Customer ID]],[1]!Address[ID],[1]!Address[Zone])</f>
        <v>CENTRAL</v>
      </c>
    </row>
    <row r="1970" spans="1:29" x14ac:dyDescent="0.3">
      <c r="A1970" s="10" t="s">
        <v>12351</v>
      </c>
      <c r="B1970" s="11" t="str">
        <f>_xlfn.XLOOKUP(Customer[[#This Row],[Customer ID]],[1]!Name[ID],[1]!Name[Description(1)])</f>
        <v>DR ROHAYA (GMI)</v>
      </c>
      <c r="C1970" s="11" t="str">
        <f>_xlfn.XLOOKUP(Customer[[#This Row],[Customer ID]],[1]!Name[ID],[1]!Name[Description(2)])</f>
        <v/>
      </c>
      <c r="D1970" s="11" t="str">
        <f>_xlfn.XLOOKUP(Customer[[#This Row],[Customer ID]],[1]!Address[ID],[1]!Address[PIC])</f>
        <v>DR.ROHAYA BINTI</v>
      </c>
      <c r="E1970" s="11" t="str">
        <f>_xlfn.XLOOKUP(Customer[[#This Row],[Customer ID]],[1]!Address[ID],[1]!Address[Full Address])</f>
        <v>BANGUNAN PENTADBIRAN (ADMIN BUILDING)GERMAN MALAYSIAN INSTITUTE (GMI),JALAN ILMIAH TAMAN UNIVERSITI43000 KAJANG SELANGOR</v>
      </c>
      <c r="F1970" s="12" t="s">
        <v>12352</v>
      </c>
      <c r="G1970" s="12" t="s">
        <v>12353</v>
      </c>
      <c r="H1970" s="12" t="s">
        <v>12354</v>
      </c>
      <c r="I1970" s="12" t="b">
        <f>ISNUMBER(VALUE(LEFT(Customer[[#This Row],[Address Line 3 (30 char)]],1)))</f>
        <v>0</v>
      </c>
      <c r="J1970" s="12" t="s">
        <v>172</v>
      </c>
      <c r="K1970" s="12">
        <v>43000</v>
      </c>
      <c r="L1970" s="12" t="s">
        <v>35</v>
      </c>
      <c r="M1970" s="13">
        <v>199201016476</v>
      </c>
      <c r="N1970" s="14" t="s">
        <v>12355</v>
      </c>
      <c r="O1970" s="14" t="e">
        <v>#N/A</v>
      </c>
      <c r="P1970" s="14" t="e">
        <v>#N/A</v>
      </c>
      <c r="Q1970" s="19" t="s">
        <v>12356</v>
      </c>
      <c r="R1970" s="15" t="s">
        <v>12357</v>
      </c>
      <c r="S1970" s="15" t="s">
        <v>6418</v>
      </c>
      <c r="T1970" s="16" t="s">
        <v>3477</v>
      </c>
      <c r="U1970" s="11" t="str">
        <f>_xlfn.XLOOKUP(Customer[[#This Row],[Customer ID]],[1]!Address[ID],[1]!Address[Phone No.(2)])</f>
        <v/>
      </c>
      <c r="V1970" s="11" t="str">
        <f>_xlfn.XLOOKUP(Customer[[#This Row],[Customer ID]],[1]!Address[ID],[1]!Address[Type])</f>
        <v>CORPORATE</v>
      </c>
      <c r="W1970" s="11" t="str">
        <f>_xlfn.XLOOKUP(Customer[[#This Row],[Customer ID]],[1]!Address[ID],[1]!Address[CT])</f>
        <v>CASH</v>
      </c>
      <c r="X1970" s="11"/>
      <c r="Y1970" s="17" t="s">
        <v>6418</v>
      </c>
      <c r="Z1970" s="17" t="e">
        <f>_xlfn.XLOOKUP(Customer[[#This Row],[NewType]],$AF$36:$AF$54,$AG$36:$AG$54)</f>
        <v>#N/A</v>
      </c>
      <c r="AA1970" s="17" t="s">
        <v>12358</v>
      </c>
      <c r="AB1970" s="11" t="str">
        <f>_xlfn.XLOOKUP(Customer[[#This Row],[Customer ID]],[1]!Address[ID],[1]!Address[Subtype])</f>
        <v>GMI</v>
      </c>
      <c r="AC1970" s="18" t="str">
        <f>_xlfn.XLOOKUP(Customer[[#This Row],[Customer ID]],[1]!Address[ID],[1]!Address[Zone])</f>
        <v>IOUTH</v>
      </c>
    </row>
    <row r="1971" spans="1:29" x14ac:dyDescent="0.3">
      <c r="A1971" s="10" t="s">
        <v>12359</v>
      </c>
      <c r="B1971" s="11" t="str">
        <f>_xlfn.XLOOKUP(Customer[[#This Row],[Customer ID]],[1]!Name[ID],[1]!Name[Description(1)])</f>
        <v>FATIN SYAKIRAH BINTI ABDUL MANAP</v>
      </c>
      <c r="C1971" s="11" t="str">
        <f>_xlfn.XLOOKUP(Customer[[#This Row],[Customer ID]],[1]!Name[ID],[1]!Name[Description(2)])</f>
        <v/>
      </c>
      <c r="D1971" s="11" t="str">
        <f>_xlfn.XLOOKUP(Customer[[#This Row],[Customer ID]],[1]!Address[ID],[1]!Address[PIC])</f>
        <v>FATIN</v>
      </c>
      <c r="E1971" s="11" t="str">
        <f>_xlfn.XLOOKUP(Customer[[#This Row],[Customer ID]],[1]!Address[ID],[1]!Address[Full Address])</f>
        <v>NO 112, RUMAH RAKYAT KAMPUNG TENGAHGEDOK 73200 GEMENCHEH, NEGERI SEMBILAN</v>
      </c>
      <c r="F1971" s="12" t="s">
        <v>12360</v>
      </c>
      <c r="G1971" s="12" t="s">
        <v>12361</v>
      </c>
      <c r="H1971" s="12" t="s">
        <v>12362</v>
      </c>
      <c r="I1971" s="12" t="b">
        <f>ISNUMBER(VALUE(LEFT(Customer[[#This Row],[Address Line 3 (30 char)]],1)))</f>
        <v>0</v>
      </c>
      <c r="J1971" s="12" t="s">
        <v>203</v>
      </c>
      <c r="K1971" s="12">
        <v>73200</v>
      </c>
      <c r="L1971" s="12" t="s">
        <v>35</v>
      </c>
      <c r="M1971" s="13" t="e">
        <v>#N/A</v>
      </c>
      <c r="N1971" s="14" t="s">
        <v>12363</v>
      </c>
      <c r="O1971" s="14" t="e">
        <v>#N/A</v>
      </c>
      <c r="P1971" s="14" t="e">
        <v>#N/A</v>
      </c>
      <c r="Q1971" s="19" t="s">
        <v>12364</v>
      </c>
      <c r="R1971" s="15" t="s">
        <v>12365</v>
      </c>
      <c r="S1971" s="16" t="s">
        <v>89</v>
      </c>
      <c r="T1971" s="16" t="s">
        <v>89</v>
      </c>
      <c r="U1971" s="11" t="str">
        <f>_xlfn.XLOOKUP(Customer[[#This Row],[Customer ID]],[1]!Address[ID],[1]!Address[Phone No.(2)])</f>
        <v/>
      </c>
      <c r="V1971" s="11" t="str">
        <f>_xlfn.XLOOKUP(Customer[[#This Row],[Customer ID]],[1]!Address[ID],[1]!Address[Type])</f>
        <v>WALK IN</v>
      </c>
      <c r="W1971" s="11" t="str">
        <f>_xlfn.XLOOKUP(Customer[[#This Row],[Customer ID]],[1]!Address[ID],[1]!Address[CT])</f>
        <v/>
      </c>
      <c r="X1971" s="11"/>
      <c r="Y1971" s="17" t="s">
        <v>6284</v>
      </c>
      <c r="Z1971" s="17" t="e">
        <f>_xlfn.XLOOKUP(Customer[[#This Row],[NewType]],$AF$36:$AF$54,$AG$36:$AG$54)</f>
        <v>#N/A</v>
      </c>
      <c r="AA1971" s="17" t="s">
        <v>12366</v>
      </c>
      <c r="AB1971" s="11" t="str">
        <f>_xlfn.XLOOKUP(Customer[[#This Row],[Customer ID]],[1]!Address[ID],[1]!Address[Subtype])</f>
        <v>PEDAS</v>
      </c>
      <c r="AC1971" s="18" t="str">
        <f>_xlfn.XLOOKUP(Customer[[#This Row],[Customer ID]],[1]!Address[ID],[1]!Address[Zone])</f>
        <v>CENTRAL</v>
      </c>
    </row>
    <row r="1972" spans="1:29" x14ac:dyDescent="0.3">
      <c r="A1972" s="10" t="s">
        <v>12367</v>
      </c>
      <c r="B1972" s="11" t="str">
        <f>_xlfn.XLOOKUP(Customer[[#This Row],[Customer ID]],[1]!Name[ID],[1]!Name[Description(1)])</f>
        <v>SALIANA SAMSUDDIN</v>
      </c>
      <c r="C1972" s="11" t="str">
        <f>_xlfn.XLOOKUP(Customer[[#This Row],[Customer ID]],[1]!Name[ID],[1]!Name[Description(2)])</f>
        <v/>
      </c>
      <c r="D1972" s="11" t="str">
        <f>_xlfn.XLOOKUP(Customer[[#This Row],[Customer ID]],[1]!Address[ID],[1]!Address[PIC])</f>
        <v>SALIANA</v>
      </c>
      <c r="E1972" s="11" t="str">
        <f>_xlfn.XLOOKUP(Customer[[#This Row],[Customer ID]],[1]!Address[ID],[1]!Address[Full Address])</f>
        <v>NO 523, LORONG SEMARAK 8/2,TAMAN PANCHOR JAYA 70400 SEREMBAN,NEGERI SEMBILAN</v>
      </c>
      <c r="F1972" s="12" t="s">
        <v>12368</v>
      </c>
      <c r="G1972" s="12" t="s">
        <v>12369</v>
      </c>
      <c r="H1972" s="12" t="s">
        <v>2411</v>
      </c>
      <c r="I1972" s="12" t="b">
        <f>ISNUMBER(VALUE(LEFT(Customer[[#This Row],[Address Line 3 (30 char)]],1)))</f>
        <v>0</v>
      </c>
      <c r="J1972" s="12" t="s">
        <v>203</v>
      </c>
      <c r="K1972" s="12">
        <v>70400</v>
      </c>
      <c r="L1972" s="12" t="s">
        <v>35</v>
      </c>
      <c r="M1972" s="13" t="e">
        <v>#N/A</v>
      </c>
      <c r="N1972" s="14" t="s">
        <v>12370</v>
      </c>
      <c r="O1972" s="14" t="e">
        <v>#N/A</v>
      </c>
      <c r="P1972" s="14" t="e">
        <v>#N/A</v>
      </c>
      <c r="Q1972" s="19" t="s">
        <v>12371</v>
      </c>
      <c r="R1972" s="15" t="s">
        <v>12372</v>
      </c>
      <c r="S1972" s="16" t="s">
        <v>89</v>
      </c>
      <c r="T1972" s="16" t="s">
        <v>89</v>
      </c>
      <c r="U1972" s="11" t="str">
        <f>_xlfn.XLOOKUP(Customer[[#This Row],[Customer ID]],[1]!Address[ID],[1]!Address[Phone No.(2)])</f>
        <v/>
      </c>
      <c r="V1972" s="11" t="str">
        <f>_xlfn.XLOOKUP(Customer[[#This Row],[Customer ID]],[1]!Address[ID],[1]!Address[Type])</f>
        <v>WALK IN</v>
      </c>
      <c r="W1972" s="11" t="str">
        <f>_xlfn.XLOOKUP(Customer[[#This Row],[Customer ID]],[1]!Address[ID],[1]!Address[CT])</f>
        <v/>
      </c>
      <c r="X1972" s="11"/>
      <c r="Y1972" s="17" t="s">
        <v>6284</v>
      </c>
      <c r="Z1972" s="17" t="e">
        <f>_xlfn.XLOOKUP(Customer[[#This Row],[NewType]],$AF$36:$AF$54,$AG$36:$AG$54)</f>
        <v>#N/A</v>
      </c>
      <c r="AA1972" s="17" t="s">
        <v>12373</v>
      </c>
      <c r="AB1972" s="11" t="str">
        <f>_xlfn.XLOOKUP(Customer[[#This Row],[Customer ID]],[1]!Address[ID],[1]!Address[Subtype])</f>
        <v>PEDAS</v>
      </c>
      <c r="AC1972" s="18" t="str">
        <f>_xlfn.XLOOKUP(Customer[[#This Row],[Customer ID]],[1]!Address[ID],[1]!Address[Zone])</f>
        <v>CENTRAL</v>
      </c>
    </row>
    <row r="1973" spans="1:29" x14ac:dyDescent="0.3">
      <c r="A1973" s="10" t="s">
        <v>12374</v>
      </c>
      <c r="B1973" s="11" t="str">
        <f>_xlfn.XLOOKUP(Customer[[#This Row],[Customer ID]],[1]!Name[ID],[1]!Name[Description(1)])</f>
        <v>NURFARAH SYAZWANI BINTI NAZARUDIN</v>
      </c>
      <c r="C1973" s="11" t="str">
        <f>_xlfn.XLOOKUP(Customer[[#This Row],[Customer ID]],[1]!Name[ID],[1]!Name[Description(2)])</f>
        <v/>
      </c>
      <c r="D1973" s="11" t="str">
        <f>_xlfn.XLOOKUP(Customer[[#This Row],[Customer ID]],[1]!Address[ID],[1]!Address[PIC])</f>
        <v>NURFARAH</v>
      </c>
      <c r="E1973" s="11" t="str">
        <f>_xlfn.XLOOKUP(Customer[[#This Row],[Customer ID]],[1]!Address[ID],[1]!Address[Full Address])</f>
        <v>93, JALAN MANTAU INDAH 2/2,TAMAN MANTAU INDAH 2, 70300 SEREMBAN,NEGERI SEMBILAN.</v>
      </c>
      <c r="F1973" s="12" t="s">
        <v>12375</v>
      </c>
      <c r="G1973" s="12" t="s">
        <v>12376</v>
      </c>
      <c r="H1973" s="12" t="s">
        <v>2411</v>
      </c>
      <c r="I1973" s="12" t="b">
        <f>ISNUMBER(VALUE(LEFT(Customer[[#This Row],[Address Line 3 (30 char)]],1)))</f>
        <v>0</v>
      </c>
      <c r="J1973" s="12" t="s">
        <v>203</v>
      </c>
      <c r="K1973" s="12">
        <v>70300</v>
      </c>
      <c r="L1973" s="12" t="s">
        <v>35</v>
      </c>
      <c r="M1973" s="13" t="e">
        <v>#N/A</v>
      </c>
      <c r="N1973" s="14" t="s">
        <v>12377</v>
      </c>
      <c r="O1973" s="14" t="e">
        <v>#N/A</v>
      </c>
      <c r="P1973" s="14" t="e">
        <v>#N/A</v>
      </c>
      <c r="Q1973" s="19" t="s">
        <v>12378</v>
      </c>
      <c r="R1973" s="15" t="s">
        <v>12379</v>
      </c>
      <c r="S1973" s="16" t="s">
        <v>89</v>
      </c>
      <c r="T1973" s="16" t="s">
        <v>89</v>
      </c>
      <c r="U1973" s="11" t="str">
        <f>_xlfn.XLOOKUP(Customer[[#This Row],[Customer ID]],[1]!Address[ID],[1]!Address[Phone No.(2)])</f>
        <v/>
      </c>
      <c r="V1973" s="11" t="str">
        <f>_xlfn.XLOOKUP(Customer[[#This Row],[Customer ID]],[1]!Address[ID],[1]!Address[Type])</f>
        <v>WALK IN</v>
      </c>
      <c r="W1973" s="11" t="str">
        <f>_xlfn.XLOOKUP(Customer[[#This Row],[Customer ID]],[1]!Address[ID],[1]!Address[CT])</f>
        <v/>
      </c>
      <c r="X1973" s="11"/>
      <c r="Y1973" s="17" t="s">
        <v>6284</v>
      </c>
      <c r="Z1973" s="17" t="e">
        <f>_xlfn.XLOOKUP(Customer[[#This Row],[NewType]],$AF$36:$AF$54,$AG$36:$AG$54)</f>
        <v>#N/A</v>
      </c>
      <c r="AA1973" s="17" t="s">
        <v>12380</v>
      </c>
      <c r="AB1973" s="11" t="str">
        <f>_xlfn.XLOOKUP(Customer[[#This Row],[Customer ID]],[1]!Address[ID],[1]!Address[Subtype])</f>
        <v>PEDAS</v>
      </c>
      <c r="AC1973" s="18" t="str">
        <f>_xlfn.XLOOKUP(Customer[[#This Row],[Customer ID]],[1]!Address[ID],[1]!Address[Zone])</f>
        <v>CENTRAL</v>
      </c>
    </row>
    <row r="1974" spans="1:29" x14ac:dyDescent="0.3">
      <c r="A1974" s="10" t="s">
        <v>12381</v>
      </c>
      <c r="B1974" s="11" t="str">
        <f>_xlfn.XLOOKUP(Customer[[#This Row],[Customer ID]],[1]!Name[ID],[1]!Name[Description(1)])</f>
        <v>NORAZILAWATI BINTI AWANG RAZALI</v>
      </c>
      <c r="C1974" s="11" t="str">
        <f>_xlfn.XLOOKUP(Customer[[#This Row],[Customer ID]],[1]!Name[ID],[1]!Name[Description(2)])</f>
        <v/>
      </c>
      <c r="D1974" s="11" t="str">
        <f>_xlfn.XLOOKUP(Customer[[#This Row],[Customer ID]],[1]!Address[ID],[1]!Address[PIC])</f>
        <v>NORAZILAWATI</v>
      </c>
      <c r="E1974" s="11" t="str">
        <f>_xlfn.XLOOKUP(Customer[[#This Row],[Customer ID]],[1]!Address[ID],[1]!Address[Full Address])</f>
        <v>475 JLN NUSARI BAYU 5/2,TAMAN NUSARI BAYU 2 BANDAR SRI SENDAYAN71950 SEREMBAN NEGERI SEMBILAN</v>
      </c>
      <c r="F1974" s="12" t="s">
        <v>12382</v>
      </c>
      <c r="G1974" s="12" t="s">
        <v>12383</v>
      </c>
      <c r="H1974" s="12" t="s">
        <v>12384</v>
      </c>
      <c r="I1974" s="12" t="b">
        <f>ISNUMBER(VALUE(LEFT(Customer[[#This Row],[Address Line 3 (30 char)]],1)))</f>
        <v>0</v>
      </c>
      <c r="J1974" s="12" t="s">
        <v>203</v>
      </c>
      <c r="K1974" s="12">
        <v>71950</v>
      </c>
      <c r="L1974" s="12" t="s">
        <v>35</v>
      </c>
      <c r="M1974" s="13" t="e">
        <v>#N/A</v>
      </c>
      <c r="N1974" s="14" t="s">
        <v>12385</v>
      </c>
      <c r="O1974" s="14" t="e">
        <v>#N/A</v>
      </c>
      <c r="P1974" s="14" t="e">
        <v>#N/A</v>
      </c>
      <c r="Q1974" s="19" t="s">
        <v>12386</v>
      </c>
      <c r="R1974" s="15" t="s">
        <v>12387</v>
      </c>
      <c r="S1974" s="16" t="s">
        <v>89</v>
      </c>
      <c r="T1974" s="16" t="s">
        <v>89</v>
      </c>
      <c r="U1974" s="11" t="str">
        <f>_xlfn.XLOOKUP(Customer[[#This Row],[Customer ID]],[1]!Address[ID],[1]!Address[Phone No.(2)])</f>
        <v/>
      </c>
      <c r="V1974" s="11" t="str">
        <f>_xlfn.XLOOKUP(Customer[[#This Row],[Customer ID]],[1]!Address[ID],[1]!Address[Type])</f>
        <v>WALK IN</v>
      </c>
      <c r="W1974" s="11" t="str">
        <f>_xlfn.XLOOKUP(Customer[[#This Row],[Customer ID]],[1]!Address[ID],[1]!Address[CT])</f>
        <v/>
      </c>
      <c r="X1974" s="11"/>
      <c r="Y1974" s="17" t="s">
        <v>6284</v>
      </c>
      <c r="Z1974" s="17" t="e">
        <f>_xlfn.XLOOKUP(Customer[[#This Row],[NewType]],$AF$36:$AF$54,$AG$36:$AG$54)</f>
        <v>#N/A</v>
      </c>
      <c r="AA1974" s="17" t="s">
        <v>12388</v>
      </c>
      <c r="AB1974" s="11" t="str">
        <f>_xlfn.XLOOKUP(Customer[[#This Row],[Customer ID]],[1]!Address[ID],[1]!Address[Subtype])</f>
        <v>PEDAS</v>
      </c>
      <c r="AC1974" s="18" t="str">
        <f>_xlfn.XLOOKUP(Customer[[#This Row],[Customer ID]],[1]!Address[ID],[1]!Address[Zone])</f>
        <v>CENTRAL</v>
      </c>
    </row>
    <row r="1975" spans="1:29" x14ac:dyDescent="0.3">
      <c r="A1975" s="10" t="s">
        <v>12389</v>
      </c>
      <c r="B1975" s="11" t="str">
        <f>_xlfn.XLOOKUP(Customer[[#This Row],[Customer ID]],[1]!Name[ID],[1]!Name[Description(1)])</f>
        <v>NOR AZLAN ABD LATIF</v>
      </c>
      <c r="C1975" s="11" t="str">
        <f>_xlfn.XLOOKUP(Customer[[#This Row],[Customer ID]],[1]!Name[ID],[1]!Name[Description(2)])</f>
        <v/>
      </c>
      <c r="D1975" s="11" t="str">
        <f>_xlfn.XLOOKUP(Customer[[#This Row],[Customer ID]],[1]!Address[ID],[1]!Address[PIC])</f>
        <v>AZLAN</v>
      </c>
      <c r="E1975" s="11" t="str">
        <f>_xlfn.XLOOKUP(Customer[[#This Row],[Customer ID]],[1]!Address[ID],[1]!Address[Full Address])</f>
        <v>A 13-8 PD SANTUARY IXORA PERMAIKG TG AGAS PASIR PANJANG 71250P.DICKSON.N9.</v>
      </c>
      <c r="F1975" s="12" t="s">
        <v>12390</v>
      </c>
      <c r="G1975" s="12" t="s">
        <v>12391</v>
      </c>
      <c r="H1975" s="12" t="s">
        <v>12392</v>
      </c>
      <c r="I1975" s="12" t="b">
        <f>ISNUMBER(VALUE(LEFT(Customer[[#This Row],[Address Line 3 (30 char)]],1)))</f>
        <v>0</v>
      </c>
      <c r="J1975" s="12" t="s">
        <v>203</v>
      </c>
      <c r="K1975" s="12">
        <v>71250</v>
      </c>
      <c r="L1975" s="12" t="s">
        <v>35</v>
      </c>
      <c r="M1975" s="13" t="e">
        <v>#N/A</v>
      </c>
      <c r="N1975" s="14" t="s">
        <v>12393</v>
      </c>
      <c r="O1975" s="14" t="e">
        <v>#N/A</v>
      </c>
      <c r="P1975" s="14" t="e">
        <v>#N/A</v>
      </c>
      <c r="Q1975" s="19" t="s">
        <v>12394</v>
      </c>
      <c r="R1975" s="15" t="s">
        <v>12395</v>
      </c>
      <c r="S1975" s="16" t="s">
        <v>89</v>
      </c>
      <c r="T1975" s="16" t="s">
        <v>89</v>
      </c>
      <c r="U1975" s="11" t="str">
        <f>_xlfn.XLOOKUP(Customer[[#This Row],[Customer ID]],[1]!Address[ID],[1]!Address[Phone No.(2)])</f>
        <v/>
      </c>
      <c r="V1975" s="11" t="str">
        <f>_xlfn.XLOOKUP(Customer[[#This Row],[Customer ID]],[1]!Address[ID],[1]!Address[Type])</f>
        <v>WALK IN</v>
      </c>
      <c r="W1975" s="11" t="str">
        <f>_xlfn.XLOOKUP(Customer[[#This Row],[Customer ID]],[1]!Address[ID],[1]!Address[CT])</f>
        <v/>
      </c>
      <c r="X1975" s="11"/>
      <c r="Y1975" s="17" t="s">
        <v>6284</v>
      </c>
      <c r="Z1975" s="17" t="e">
        <f>_xlfn.XLOOKUP(Customer[[#This Row],[NewType]],$AF$36:$AF$54,$AG$36:$AG$54)</f>
        <v>#N/A</v>
      </c>
      <c r="AA1975" s="17" t="s">
        <v>12396</v>
      </c>
      <c r="AB1975" s="11" t="str">
        <f>_xlfn.XLOOKUP(Customer[[#This Row],[Customer ID]],[1]!Address[ID],[1]!Address[Subtype])</f>
        <v>PEDAS</v>
      </c>
      <c r="AC1975" s="18" t="str">
        <f>_xlfn.XLOOKUP(Customer[[#This Row],[Customer ID]],[1]!Address[ID],[1]!Address[Zone])</f>
        <v>CENTRAL</v>
      </c>
    </row>
    <row r="1976" spans="1:29" x14ac:dyDescent="0.3">
      <c r="A1976" s="10" t="s">
        <v>12397</v>
      </c>
      <c r="B1976" s="11" t="str">
        <f>_xlfn.XLOOKUP(Customer[[#This Row],[Customer ID]],[1]!Name[ID],[1]!Name[Description(1)])</f>
        <v>FEZTY EDAYU KEMEL</v>
      </c>
      <c r="C1976" s="11" t="str">
        <f>_xlfn.XLOOKUP(Customer[[#This Row],[Customer ID]],[1]!Name[ID],[1]!Name[Description(2)])</f>
        <v/>
      </c>
      <c r="D1976" s="11" t="str">
        <f>_xlfn.XLOOKUP(Customer[[#This Row],[Customer ID]],[1]!Address[ID],[1]!Address[PIC])</f>
        <v>FEZTY</v>
      </c>
      <c r="E1976" s="11" t="str">
        <f>_xlfn.XLOOKUP(Customer[[#This Row],[Customer ID]],[1]!Address[ID],[1]!Address[Full Address])</f>
        <v>NO 21 JALAN PRIMA 12, RESIDENSI PRIMAPULAU SEBANG 78000 ALOR GAJAH, MELAKA</v>
      </c>
      <c r="F1976" s="12" t="s">
        <v>12398</v>
      </c>
      <c r="G1976" s="12" t="s">
        <v>12399</v>
      </c>
      <c r="H1976" s="12" t="s">
        <v>12400</v>
      </c>
      <c r="I1976" s="12" t="b">
        <f>ISNUMBER(VALUE(LEFT(Customer[[#This Row],[Address Line 3 (30 char)]],1)))</f>
        <v>0</v>
      </c>
      <c r="J1976" s="12" t="s">
        <v>61</v>
      </c>
      <c r="K1976" s="12">
        <v>78000</v>
      </c>
      <c r="L1976" s="12" t="s">
        <v>35</v>
      </c>
      <c r="M1976" s="13" t="e">
        <v>#N/A</v>
      </c>
      <c r="N1976" s="14" t="s">
        <v>12401</v>
      </c>
      <c r="O1976" s="14" t="e">
        <v>#N/A</v>
      </c>
      <c r="P1976" s="14" t="e">
        <v>#N/A</v>
      </c>
      <c r="Q1976" s="19" t="s">
        <v>12402</v>
      </c>
      <c r="R1976" s="15" t="s">
        <v>12403</v>
      </c>
      <c r="S1976" s="16" t="s">
        <v>89</v>
      </c>
      <c r="T1976" s="16" t="s">
        <v>89</v>
      </c>
      <c r="U1976" s="11" t="str">
        <f>_xlfn.XLOOKUP(Customer[[#This Row],[Customer ID]],[1]!Address[ID],[1]!Address[Phone No.(2)])</f>
        <v/>
      </c>
      <c r="V1976" s="11" t="str">
        <f>_xlfn.XLOOKUP(Customer[[#This Row],[Customer ID]],[1]!Address[ID],[1]!Address[Type])</f>
        <v>WALK IN</v>
      </c>
      <c r="W1976" s="11" t="str">
        <f>_xlfn.XLOOKUP(Customer[[#This Row],[Customer ID]],[1]!Address[ID],[1]!Address[CT])</f>
        <v/>
      </c>
      <c r="X1976" s="11"/>
      <c r="Y1976" s="17" t="s">
        <v>6284</v>
      </c>
      <c r="Z1976" s="17" t="e">
        <f>_xlfn.XLOOKUP(Customer[[#This Row],[NewType]],$AF$36:$AF$54,$AG$36:$AG$54)</f>
        <v>#N/A</v>
      </c>
      <c r="AA1976" s="17" t="s">
        <v>12404</v>
      </c>
      <c r="AB1976" s="11" t="str">
        <f>_xlfn.XLOOKUP(Customer[[#This Row],[Customer ID]],[1]!Address[ID],[1]!Address[Subtype])</f>
        <v>PEDAS</v>
      </c>
      <c r="AC1976" s="18" t="str">
        <f>_xlfn.XLOOKUP(Customer[[#This Row],[Customer ID]],[1]!Address[ID],[1]!Address[Zone])</f>
        <v>SOUTH</v>
      </c>
    </row>
    <row r="1977" spans="1:29" x14ac:dyDescent="0.3">
      <c r="A1977" s="10" t="s">
        <v>12405</v>
      </c>
      <c r="B1977" s="11" t="str">
        <f>_xlfn.XLOOKUP(Customer[[#This Row],[Customer ID]],[1]!Name[ID],[1]!Name[Description(1)])</f>
        <v>AMIRUL NIZAM BIN ISHAK</v>
      </c>
      <c r="C1977" s="11" t="str">
        <f>_xlfn.XLOOKUP(Customer[[#This Row],[Customer ID]],[1]!Name[ID],[1]!Name[Description(2)])</f>
        <v>(PRODUCTION KILANG AIR)</v>
      </c>
      <c r="D1977" s="11" t="str">
        <f>_xlfn.XLOOKUP(Customer[[#This Row],[Customer ID]],[1]!Address[ID],[1]!Address[PIC])</f>
        <v>AMIRUL NIZAM</v>
      </c>
      <c r="E1977" s="11" t="str">
        <f>_xlfn.XLOOKUP(Customer[[#This Row],[Customer ID]],[1]!Address[ID],[1]!Address[Full Address])</f>
        <v>NO. 7, JLN UTAMA TAMAN SRI ANGGERIK71200 RANTAU, NEGERI SEMBILAN</v>
      </c>
      <c r="F1977" s="12" t="s">
        <v>12406</v>
      </c>
      <c r="G1977" s="12" t="s">
        <v>12217</v>
      </c>
      <c r="H1977" s="12" t="s">
        <v>6428</v>
      </c>
      <c r="I1977" s="12" t="b">
        <f>ISNUMBER(VALUE(LEFT(Customer[[#This Row],[Address Line 3 (30 char)]],1)))</f>
        <v>0</v>
      </c>
      <c r="J1977" s="12" t="s">
        <v>203</v>
      </c>
      <c r="K1977" s="12">
        <v>71200</v>
      </c>
      <c r="L1977" s="12" t="s">
        <v>35</v>
      </c>
      <c r="M1977" s="13" t="e">
        <v>#N/A</v>
      </c>
      <c r="N1977" s="14" t="s">
        <v>12407</v>
      </c>
      <c r="O1977" s="14" t="e">
        <v>#N/A</v>
      </c>
      <c r="P1977" s="14" t="e">
        <v>#N/A</v>
      </c>
      <c r="Q1977" s="19" t="s">
        <v>12408</v>
      </c>
      <c r="R1977" s="15" t="s">
        <v>12409</v>
      </c>
      <c r="S1977" s="16" t="s">
        <v>89</v>
      </c>
      <c r="T1977" s="16" t="s">
        <v>89</v>
      </c>
      <c r="U1977" s="11" t="str">
        <f>_xlfn.XLOOKUP(Customer[[#This Row],[Customer ID]],[1]!Address[ID],[1]!Address[Phone No.(2)])</f>
        <v/>
      </c>
      <c r="V1977" s="11" t="str">
        <f>_xlfn.XLOOKUP(Customer[[#This Row],[Customer ID]],[1]!Address[ID],[1]!Address[Type])</f>
        <v>WALK IN</v>
      </c>
      <c r="W1977" s="11" t="str">
        <f>_xlfn.XLOOKUP(Customer[[#This Row],[Customer ID]],[1]!Address[ID],[1]!Address[CT])</f>
        <v/>
      </c>
      <c r="X1977" s="11"/>
      <c r="Y1977" s="17" t="s">
        <v>6284</v>
      </c>
      <c r="Z1977" s="17" t="e">
        <f>_xlfn.XLOOKUP(Customer[[#This Row],[NewType]],$AF$36:$AF$54,$AG$36:$AG$54)</f>
        <v>#N/A</v>
      </c>
      <c r="AA1977" s="17" t="s">
        <v>12410</v>
      </c>
      <c r="AB1977" s="11" t="str">
        <f>_xlfn.XLOOKUP(Customer[[#This Row],[Customer ID]],[1]!Address[ID],[1]!Address[Subtype])</f>
        <v>STAFF</v>
      </c>
      <c r="AC1977" s="18" t="str">
        <f>_xlfn.XLOOKUP(Customer[[#This Row],[Customer ID]],[1]!Address[ID],[1]!Address[Zone])</f>
        <v>CENTRAL</v>
      </c>
    </row>
    <row r="1978" spans="1:29" x14ac:dyDescent="0.3">
      <c r="A1978" s="10" t="s">
        <v>12411</v>
      </c>
      <c r="B1978" s="11" t="str">
        <f>_xlfn.XLOOKUP(Customer[[#This Row],[Customer ID]],[1]!Name[ID],[1]!Name[Description(1)])</f>
        <v>AZLIN HAKIM</v>
      </c>
      <c r="C1978" s="11" t="str">
        <f>_xlfn.XLOOKUP(Customer[[#This Row],[Customer ID]],[1]!Name[ID],[1]!Name[Description(2)])</f>
        <v/>
      </c>
      <c r="D1978" s="11" t="str">
        <f>_xlfn.XLOOKUP(Customer[[#This Row],[Customer ID]],[1]!Address[ID],[1]!Address[PIC])</f>
        <v>AZLIN</v>
      </c>
      <c r="E1978" s="11" t="str">
        <f>_xlfn.XLOOKUP(Customer[[#This Row],[Customer ID]],[1]!Address[ID],[1]!Address[Full Address])</f>
        <v>NO 273 JLN MIEL 9, TAMAN PEDAS PERDANA71400, PEDAS, NEGERI SEMBILAN</v>
      </c>
      <c r="F1978" s="12" t="s">
        <v>12412</v>
      </c>
      <c r="G1978" s="12" t="s">
        <v>12413</v>
      </c>
      <c r="H1978" s="12" t="s">
        <v>8914</v>
      </c>
      <c r="I1978" s="12" t="b">
        <f>ISNUMBER(VALUE(LEFT(Customer[[#This Row],[Address Line 3 (30 char)]],1)))</f>
        <v>0</v>
      </c>
      <c r="J1978" s="12" t="s">
        <v>203</v>
      </c>
      <c r="K1978" s="12">
        <v>71400</v>
      </c>
      <c r="L1978" s="12" t="s">
        <v>35</v>
      </c>
      <c r="M1978" s="13" t="e">
        <v>#N/A</v>
      </c>
      <c r="N1978" s="14" t="s">
        <v>12414</v>
      </c>
      <c r="O1978" s="14" t="e">
        <v>#N/A</v>
      </c>
      <c r="P1978" s="14" t="e">
        <v>#N/A</v>
      </c>
      <c r="Q1978" s="19" t="s">
        <v>12415</v>
      </c>
      <c r="R1978" s="15" t="s">
        <v>12416</v>
      </c>
      <c r="S1978" s="16" t="s">
        <v>89</v>
      </c>
      <c r="T1978" s="16" t="s">
        <v>89</v>
      </c>
      <c r="U1978" s="11" t="str">
        <f>_xlfn.XLOOKUP(Customer[[#This Row],[Customer ID]],[1]!Address[ID],[1]!Address[Phone No.(2)])</f>
        <v/>
      </c>
      <c r="V1978" s="11" t="str">
        <f>_xlfn.XLOOKUP(Customer[[#This Row],[Customer ID]],[1]!Address[ID],[1]!Address[Type])</f>
        <v>WALK IN</v>
      </c>
      <c r="W1978" s="11" t="str">
        <f>_xlfn.XLOOKUP(Customer[[#This Row],[Customer ID]],[1]!Address[ID],[1]!Address[CT])</f>
        <v/>
      </c>
      <c r="X1978" s="11"/>
      <c r="Y1978" s="17" t="s">
        <v>6284</v>
      </c>
      <c r="Z1978" s="17" t="e">
        <f>_xlfn.XLOOKUP(Customer[[#This Row],[NewType]],$AF$36:$AF$54,$AG$36:$AG$54)</f>
        <v>#N/A</v>
      </c>
      <c r="AA1978" s="17" t="s">
        <v>12417</v>
      </c>
      <c r="AB1978" s="11" t="str">
        <f>_xlfn.XLOOKUP(Customer[[#This Row],[Customer ID]],[1]!Address[ID],[1]!Address[Subtype])</f>
        <v>PEDAS</v>
      </c>
      <c r="AC1978" s="18" t="str">
        <f>_xlfn.XLOOKUP(Customer[[#This Row],[Customer ID]],[1]!Address[ID],[1]!Address[Zone])</f>
        <v>CENTRAL</v>
      </c>
    </row>
    <row r="1979" spans="1:29" x14ac:dyDescent="0.3">
      <c r="A1979" s="10" t="s">
        <v>12418</v>
      </c>
      <c r="B1979" s="11" t="str">
        <f>_xlfn.XLOOKUP(Customer[[#This Row],[Customer ID]],[1]!Name[ID],[1]!Name[Description(1)])</f>
        <v>BUSRONI YUSOF</v>
      </c>
      <c r="C1979" s="11" t="str">
        <f>_xlfn.XLOOKUP(Customer[[#This Row],[Customer ID]],[1]!Name[ID],[1]!Name[Description(2)])</f>
        <v/>
      </c>
      <c r="D1979" s="11" t="str">
        <f>_xlfn.XLOOKUP(Customer[[#This Row],[Customer ID]],[1]!Address[ID],[1]!Address[PIC])</f>
        <v>BUSRONI</v>
      </c>
      <c r="E1979" s="11" t="str">
        <f>_xlfn.XLOOKUP(Customer[[#This Row],[Customer ID]],[1]!Address[ID],[1]!Address[Full Address])</f>
        <v>260, JALAN KENANGA, TAMAN MARIDA,SENAWANG 70450 SEREMBAN, NEGERI SEMBILAN</v>
      </c>
      <c r="F1979" s="12" t="s">
        <v>12419</v>
      </c>
      <c r="G1979" s="12" t="s">
        <v>6720</v>
      </c>
      <c r="H1979" s="12" t="s">
        <v>2411</v>
      </c>
      <c r="I1979" s="12" t="b">
        <f>ISNUMBER(VALUE(LEFT(Customer[[#This Row],[Address Line 3 (30 char)]],1)))</f>
        <v>0</v>
      </c>
      <c r="J1979" s="12" t="s">
        <v>203</v>
      </c>
      <c r="K1979" s="12">
        <v>70450</v>
      </c>
      <c r="L1979" s="12" t="s">
        <v>35</v>
      </c>
      <c r="M1979" s="13" t="e">
        <v>#N/A</v>
      </c>
      <c r="N1979" s="14" t="s">
        <v>12420</v>
      </c>
      <c r="O1979" s="14" t="e">
        <v>#N/A</v>
      </c>
      <c r="P1979" s="14" t="e">
        <v>#N/A</v>
      </c>
      <c r="Q1979" s="19" t="s">
        <v>12421</v>
      </c>
      <c r="R1979" s="15" t="s">
        <v>12422</v>
      </c>
      <c r="S1979" s="16" t="s">
        <v>89</v>
      </c>
      <c r="T1979" s="16" t="s">
        <v>89</v>
      </c>
      <c r="U1979" s="11" t="str">
        <f>_xlfn.XLOOKUP(Customer[[#This Row],[Customer ID]],[1]!Address[ID],[1]!Address[Phone No.(2)])</f>
        <v/>
      </c>
      <c r="V1979" s="11" t="str">
        <f>_xlfn.XLOOKUP(Customer[[#This Row],[Customer ID]],[1]!Address[ID],[1]!Address[Type])</f>
        <v>WALK IN</v>
      </c>
      <c r="W1979" s="11" t="str">
        <f>_xlfn.XLOOKUP(Customer[[#This Row],[Customer ID]],[1]!Address[ID],[1]!Address[CT])</f>
        <v/>
      </c>
      <c r="X1979" s="11"/>
      <c r="Y1979" s="17" t="s">
        <v>6284</v>
      </c>
      <c r="Z1979" s="17" t="e">
        <f>_xlfn.XLOOKUP(Customer[[#This Row],[NewType]],$AF$36:$AF$54,$AG$36:$AG$54)</f>
        <v>#N/A</v>
      </c>
      <c r="AA1979" s="17" t="s">
        <v>12423</v>
      </c>
      <c r="AB1979" s="11" t="str">
        <f>_xlfn.XLOOKUP(Customer[[#This Row],[Customer ID]],[1]!Address[ID],[1]!Address[Subtype])</f>
        <v>PEDAS</v>
      </c>
      <c r="AC1979" s="18" t="str">
        <f>_xlfn.XLOOKUP(Customer[[#This Row],[Customer ID]],[1]!Address[ID],[1]!Address[Zone])</f>
        <v>CENTRAL</v>
      </c>
    </row>
    <row r="1980" spans="1:29" x14ac:dyDescent="0.3">
      <c r="A1980" s="10" t="s">
        <v>12424</v>
      </c>
      <c r="B1980" s="11" t="str">
        <f>_xlfn.XLOOKUP(Customer[[#This Row],[Customer ID]],[1]!Name[ID],[1]!Name[Description(1)])</f>
        <v>DIYANA</v>
      </c>
      <c r="C1980" s="11" t="str">
        <f>_xlfn.XLOOKUP(Customer[[#This Row],[Customer ID]],[1]!Name[ID],[1]!Name[Description(2)])</f>
        <v/>
      </c>
      <c r="D1980" s="11" t="str">
        <f>_xlfn.XLOOKUP(Customer[[#This Row],[Customer ID]],[1]!Address[ID],[1]!Address[PIC])</f>
        <v>DIYANA</v>
      </c>
      <c r="E1980" s="11" t="str">
        <f>_xlfn.XLOOKUP(Customer[[#This Row],[Customer ID]],[1]!Address[ID],[1]!Address[Full Address])</f>
        <v>168, JALAN PI 5, TAMAN PEDAS INDAH,71400 PEDAS, NEGERI SEMBILAN</v>
      </c>
      <c r="F1980" s="12" t="s">
        <v>12425</v>
      </c>
      <c r="G1980" s="12" t="s">
        <v>12426</v>
      </c>
      <c r="H1980" s="12" t="s">
        <v>8914</v>
      </c>
      <c r="I1980" s="12" t="b">
        <f>ISNUMBER(VALUE(LEFT(Customer[[#This Row],[Address Line 3 (30 char)]],1)))</f>
        <v>0</v>
      </c>
      <c r="J1980" s="12" t="s">
        <v>203</v>
      </c>
      <c r="K1980" s="12">
        <v>71400</v>
      </c>
      <c r="L1980" s="12" t="s">
        <v>35</v>
      </c>
      <c r="M1980" s="13" t="e">
        <v>#N/A</v>
      </c>
      <c r="N1980" s="14" t="s">
        <v>12427</v>
      </c>
      <c r="O1980" s="14" t="e">
        <v>#N/A</v>
      </c>
      <c r="P1980" s="14" t="e">
        <v>#N/A</v>
      </c>
      <c r="Q1980" s="19" t="s">
        <v>12428</v>
      </c>
      <c r="R1980" s="15" t="s">
        <v>12429</v>
      </c>
      <c r="S1980" s="16" t="s">
        <v>89</v>
      </c>
      <c r="T1980" s="16" t="s">
        <v>89</v>
      </c>
      <c r="U1980" s="11" t="str">
        <f>_xlfn.XLOOKUP(Customer[[#This Row],[Customer ID]],[1]!Address[ID],[1]!Address[Phone No.(2)])</f>
        <v/>
      </c>
      <c r="V1980" s="11" t="str">
        <f>_xlfn.XLOOKUP(Customer[[#This Row],[Customer ID]],[1]!Address[ID],[1]!Address[Type])</f>
        <v>WALK IN</v>
      </c>
      <c r="W1980" s="11" t="str">
        <f>_xlfn.XLOOKUP(Customer[[#This Row],[Customer ID]],[1]!Address[ID],[1]!Address[CT])</f>
        <v/>
      </c>
      <c r="X1980" s="11"/>
      <c r="Y1980" s="17" t="s">
        <v>6284</v>
      </c>
      <c r="Z1980" s="17" t="e">
        <f>_xlfn.XLOOKUP(Customer[[#This Row],[NewType]],$AF$36:$AF$54,$AG$36:$AG$54)</f>
        <v>#N/A</v>
      </c>
      <c r="AA1980" s="17" t="s">
        <v>12430</v>
      </c>
      <c r="AB1980" s="11" t="str">
        <f>_xlfn.XLOOKUP(Customer[[#This Row],[Customer ID]],[1]!Address[ID],[1]!Address[Subtype])</f>
        <v>PEDAS</v>
      </c>
      <c r="AC1980" s="18" t="str">
        <f>_xlfn.XLOOKUP(Customer[[#This Row],[Customer ID]],[1]!Address[ID],[1]!Address[Zone])</f>
        <v>CENTRAL</v>
      </c>
    </row>
    <row r="1981" spans="1:29" x14ac:dyDescent="0.3">
      <c r="A1981" s="10" t="s">
        <v>12431</v>
      </c>
      <c r="B1981" s="11" t="str">
        <f>_xlfn.XLOOKUP(Customer[[#This Row],[Customer ID]],[1]!Name[ID],[1]!Name[Description(1)])</f>
        <v>DATO' HATTAN</v>
      </c>
      <c r="C1981" s="32" t="str">
        <f>_xlfn.XLOOKUP(Customer[[#This Row],[Customer ID]],[1]!Name[ID],[1]!Name[Description(2)])</f>
        <v/>
      </c>
      <c r="D1981" s="11" t="str">
        <f>_xlfn.XLOOKUP(Customer[[#This Row],[Customer ID]],[1]!Address[ID],[1]!Address[PIC])</f>
        <v>DATO' HATTAN</v>
      </c>
      <c r="E1981" s="11" t="str">
        <f>_xlfn.XLOOKUP(Customer[[#This Row],[Customer ID]],[1]!Address[ID],[1]!Address[Full Address])</f>
        <v>PEDAS, NEGERI SEMBILAN</v>
      </c>
      <c r="F1981" s="12" t="s">
        <v>12432</v>
      </c>
      <c r="G1981" s="12" t="s">
        <v>36</v>
      </c>
      <c r="H1981" s="12" t="s">
        <v>36</v>
      </c>
      <c r="I1981" s="12" t="b">
        <f>ISNUMBER(VALUE(LEFT(Customer[[#This Row],[Address Line 3 (30 char)]],1)))</f>
        <v>0</v>
      </c>
      <c r="J1981" s="32" t="s">
        <v>203</v>
      </c>
      <c r="K1981" s="32"/>
      <c r="L1981" s="12" t="s">
        <v>35</v>
      </c>
      <c r="M1981" s="13" t="e">
        <v>#N/A</v>
      </c>
      <c r="N1981" s="14" t="s">
        <v>12433</v>
      </c>
      <c r="O1981" s="14" t="e">
        <v>#N/A</v>
      </c>
      <c r="P1981" s="14" t="e">
        <v>#N/A</v>
      </c>
      <c r="Q1981" s="14" t="e">
        <v>#N/A</v>
      </c>
      <c r="R1981" s="15"/>
      <c r="S1981" s="15" t="s">
        <v>4271</v>
      </c>
      <c r="T1981" s="15" t="s">
        <v>89</v>
      </c>
      <c r="U1981" s="11" t="str">
        <f>_xlfn.XLOOKUP(Customer[[#This Row],[Customer ID]],[1]!Address[ID],[1]!Address[Phone No.(2)])</f>
        <v/>
      </c>
      <c r="V1981" s="11" t="str">
        <f>_xlfn.XLOOKUP(Customer[[#This Row],[Customer ID]],[1]!Address[ID],[1]!Address[Type])</f>
        <v>SOCMED</v>
      </c>
      <c r="W1981" s="11" t="str">
        <f>_xlfn.XLOOKUP(Customer[[#This Row],[Customer ID]],[1]!Address[ID],[1]!Address[CT])</f>
        <v/>
      </c>
      <c r="X1981" s="11"/>
      <c r="Y1981" s="17" t="s">
        <v>90</v>
      </c>
      <c r="Z1981" s="17" t="e">
        <f>_xlfn.XLOOKUP(Customer[[#This Row],[NewType]],$AF$36:$AF$54,$AG$36:$AG$54)</f>
        <v>#N/A</v>
      </c>
      <c r="AA1981" s="17" t="s">
        <v>12434</v>
      </c>
      <c r="AB1981" s="11" t="str">
        <f>_xlfn.XLOOKUP(Customer[[#This Row],[Customer ID]],[1]!Address[ID],[1]!Address[Subtype])</f>
        <v>WHATSAPP</v>
      </c>
      <c r="AC1981" s="18" t="str">
        <f>_xlfn.XLOOKUP(Customer[[#This Row],[Customer ID]],[1]!Address[ID],[1]!Address[Zone])</f>
        <v>CENTRAL</v>
      </c>
    </row>
    <row r="1982" spans="1:29" x14ac:dyDescent="0.3">
      <c r="A1982" s="10" t="s">
        <v>12435</v>
      </c>
      <c r="B1982" s="11" t="str">
        <f>_xlfn.XLOOKUP(Customer[[#This Row],[Customer ID]],[1]!Name[ID],[1]!Name[Description(1)])</f>
        <v>NUR IFFAH SYAMIMI</v>
      </c>
      <c r="C1982" s="11" t="str">
        <f>_xlfn.XLOOKUP(Customer[[#This Row],[Customer ID]],[1]!Name[ID],[1]!Name[Description(2)])</f>
        <v>(PRODUCTION KILANG AIR)</v>
      </c>
      <c r="D1982" s="11" t="str">
        <f>_xlfn.XLOOKUP(Customer[[#This Row],[Customer ID]],[1]!Address[ID],[1]!Address[PIC])</f>
        <v>IFFAH</v>
      </c>
      <c r="E1982" s="11" t="str">
        <f>_xlfn.XLOOKUP(Customer[[#This Row],[Customer ID]],[1]!Address[ID],[1]!Address[Full Address])</f>
        <v>NO 122, JALAN MUTIARA 6, TAMAN MUTIARA71200 RANTAU, NEGERI SEMBILAN</v>
      </c>
      <c r="F1982" s="12" t="s">
        <v>12436</v>
      </c>
      <c r="G1982" s="12" t="s">
        <v>12125</v>
      </c>
      <c r="H1982" s="12" t="s">
        <v>6428</v>
      </c>
      <c r="I1982" s="12" t="b">
        <f>ISNUMBER(VALUE(LEFT(Customer[[#This Row],[Address Line 3 (30 char)]],1)))</f>
        <v>0</v>
      </c>
      <c r="J1982" s="12" t="s">
        <v>203</v>
      </c>
      <c r="K1982" s="12">
        <v>71200</v>
      </c>
      <c r="L1982" s="12" t="s">
        <v>35</v>
      </c>
      <c r="M1982" s="13" t="e">
        <v>#N/A</v>
      </c>
      <c r="N1982" s="14" t="s">
        <v>12126</v>
      </c>
      <c r="O1982" s="14" t="e">
        <v>#N/A</v>
      </c>
      <c r="P1982" s="14" t="e">
        <v>#N/A</v>
      </c>
      <c r="Q1982" s="19" t="s">
        <v>12127</v>
      </c>
      <c r="R1982" s="15" t="s">
        <v>12437</v>
      </c>
      <c r="S1982" s="16" t="s">
        <v>89</v>
      </c>
      <c r="T1982" s="16" t="s">
        <v>89</v>
      </c>
      <c r="U1982" s="11" t="str">
        <f>_xlfn.XLOOKUP(Customer[[#This Row],[Customer ID]],[1]!Address[ID],[1]!Address[Phone No.(2)])</f>
        <v/>
      </c>
      <c r="V1982" s="11" t="str">
        <f>_xlfn.XLOOKUP(Customer[[#This Row],[Customer ID]],[1]!Address[ID],[1]!Address[Type])</f>
        <v>WALK IN</v>
      </c>
      <c r="W1982" s="11" t="str">
        <f>_xlfn.XLOOKUP(Customer[[#This Row],[Customer ID]],[1]!Address[ID],[1]!Address[CT])</f>
        <v/>
      </c>
      <c r="X1982" s="11"/>
      <c r="Y1982" s="17" t="s">
        <v>6284</v>
      </c>
      <c r="Z1982" s="17" t="e">
        <f>_xlfn.XLOOKUP(Customer[[#This Row],[NewType]],$AF$36:$AF$54,$AG$36:$AG$54)</f>
        <v>#N/A</v>
      </c>
      <c r="AA1982" s="17" t="s">
        <v>12438</v>
      </c>
      <c r="AB1982" s="11" t="str">
        <f>_xlfn.XLOOKUP(Customer[[#This Row],[Customer ID]],[1]!Address[ID],[1]!Address[Subtype])</f>
        <v>PEDAS</v>
      </c>
      <c r="AC1982" s="18" t="str">
        <f>_xlfn.XLOOKUP(Customer[[#This Row],[Customer ID]],[1]!Address[ID],[1]!Address[Zone])</f>
        <v>CENTRAL</v>
      </c>
    </row>
    <row r="1983" spans="1:29" x14ac:dyDescent="0.3">
      <c r="A1983" s="10" t="s">
        <v>12439</v>
      </c>
      <c r="B1983" s="11" t="str">
        <f>_xlfn.XLOOKUP(Customer[[#This Row],[Customer ID]],[1]!Name[ID],[1]!Name[Description(1)])</f>
        <v>NAZATUL NABILAH BINTI ZAILY</v>
      </c>
      <c r="C1983" s="11" t="str">
        <f>_xlfn.XLOOKUP(Customer[[#This Row],[Customer ID]],[1]!Name[ID],[1]!Name[Description(2)])</f>
        <v/>
      </c>
      <c r="D1983" s="11" t="str">
        <f>_xlfn.XLOOKUP(Customer[[#This Row],[Customer ID]],[1]!Address[ID],[1]!Address[PIC])</f>
        <v>NAZATUL NABILAH</v>
      </c>
      <c r="E1983" s="11" t="str">
        <f>_xlfn.XLOOKUP(Customer[[#This Row],[Customer ID]],[1]!Address[ID],[1]!Address[Full Address])</f>
        <v>JALAN ORKID , BATU 7, KAMPUNG KUNDURTENGAH 71400 PEDAS, NEGERI SEMBILAN</v>
      </c>
      <c r="F1983" s="12" t="s">
        <v>12440</v>
      </c>
      <c r="G1983" s="12" t="s">
        <v>12441</v>
      </c>
      <c r="H1983" s="12" t="s">
        <v>8914</v>
      </c>
      <c r="I1983" s="12" t="b">
        <f>ISNUMBER(VALUE(LEFT(Customer[[#This Row],[Address Line 3 (30 char)]],1)))</f>
        <v>0</v>
      </c>
      <c r="J1983" s="12" t="s">
        <v>203</v>
      </c>
      <c r="K1983" s="12">
        <v>71400</v>
      </c>
      <c r="L1983" s="12" t="s">
        <v>35</v>
      </c>
      <c r="M1983" s="13" t="e">
        <v>#N/A</v>
      </c>
      <c r="N1983" s="14" t="s">
        <v>12442</v>
      </c>
      <c r="O1983" s="14" t="e">
        <v>#N/A</v>
      </c>
      <c r="P1983" s="14" t="e">
        <v>#N/A</v>
      </c>
      <c r="Q1983" s="19" t="s">
        <v>12443</v>
      </c>
      <c r="R1983" s="15" t="s">
        <v>12444</v>
      </c>
      <c r="S1983" s="16" t="s">
        <v>89</v>
      </c>
      <c r="T1983" s="16" t="s">
        <v>89</v>
      </c>
      <c r="U1983" s="11" t="str">
        <f>_xlfn.XLOOKUP(Customer[[#This Row],[Customer ID]],[1]!Address[ID],[1]!Address[Phone No.(2)])</f>
        <v/>
      </c>
      <c r="V1983" s="11" t="str">
        <f>_xlfn.XLOOKUP(Customer[[#This Row],[Customer ID]],[1]!Address[ID],[1]!Address[Type])</f>
        <v>WALK IN</v>
      </c>
      <c r="W1983" s="11" t="str">
        <f>_xlfn.XLOOKUP(Customer[[#This Row],[Customer ID]],[1]!Address[ID],[1]!Address[CT])</f>
        <v/>
      </c>
      <c r="X1983" s="11"/>
      <c r="Y1983" s="17" t="s">
        <v>6284</v>
      </c>
      <c r="Z1983" s="17" t="e">
        <f>_xlfn.XLOOKUP(Customer[[#This Row],[NewType]],$AF$36:$AF$54,$AG$36:$AG$54)</f>
        <v>#N/A</v>
      </c>
      <c r="AA1983" s="17" t="s">
        <v>12445</v>
      </c>
      <c r="AB1983" s="11" t="str">
        <f>_xlfn.XLOOKUP(Customer[[#This Row],[Customer ID]],[1]!Address[ID],[1]!Address[Subtype])</f>
        <v>PEDAS</v>
      </c>
      <c r="AC1983" s="18" t="str">
        <f>_xlfn.XLOOKUP(Customer[[#This Row],[Customer ID]],[1]!Address[ID],[1]!Address[Zone])</f>
        <v>CENTRAL</v>
      </c>
    </row>
    <row r="1984" spans="1:29" x14ac:dyDescent="0.3">
      <c r="A1984" s="10" t="s">
        <v>12446</v>
      </c>
      <c r="B1984" s="11" t="str">
        <f>_xlfn.XLOOKUP(Customer[[#This Row],[Customer ID]],[1]!Name[ID],[1]!Name[Description(1)])</f>
        <v>MOHD SYAHKURNIA BIN SAIFUL</v>
      </c>
      <c r="C1984" s="11" t="str">
        <f>_xlfn.XLOOKUP(Customer[[#This Row],[Customer ID]],[1]!Name[ID],[1]!Name[Description(2)])</f>
        <v/>
      </c>
      <c r="D1984" s="11" t="str">
        <f>_xlfn.XLOOKUP(Customer[[#This Row],[Customer ID]],[1]!Address[ID],[1]!Address[PIC])</f>
        <v>SYAHKURNIA</v>
      </c>
      <c r="E1984" s="11" t="str">
        <f>_xlfn.XLOOKUP(Customer[[#This Row],[Customer ID]],[1]!Address[ID],[1]!Address[Full Address])</f>
        <v>NO. 157,TAMAN BAHAGIA DELIMA 72000KUALA PILAH, N.SEMBILAN</v>
      </c>
      <c r="F1984" s="12" t="s">
        <v>12447</v>
      </c>
      <c r="G1984" s="12" t="s">
        <v>12448</v>
      </c>
      <c r="H1984" s="12" t="s">
        <v>4565</v>
      </c>
      <c r="I1984" s="12" t="b">
        <f>ISNUMBER(VALUE(LEFT(Customer[[#This Row],[Address Line 3 (30 char)]],1)))</f>
        <v>0</v>
      </c>
      <c r="J1984" s="12" t="s">
        <v>203</v>
      </c>
      <c r="K1984" s="12">
        <v>72000</v>
      </c>
      <c r="L1984" s="12" t="s">
        <v>35</v>
      </c>
      <c r="M1984" s="13" t="e">
        <v>#N/A</v>
      </c>
      <c r="N1984" s="14" t="s">
        <v>12449</v>
      </c>
      <c r="O1984" s="14" t="e">
        <v>#N/A</v>
      </c>
      <c r="P1984" s="14" t="e">
        <v>#N/A</v>
      </c>
      <c r="Q1984" s="19" t="s">
        <v>12450</v>
      </c>
      <c r="R1984" s="15" t="s">
        <v>12451</v>
      </c>
      <c r="S1984" s="16" t="s">
        <v>89</v>
      </c>
      <c r="T1984" s="16" t="s">
        <v>89</v>
      </c>
      <c r="U1984" s="11" t="str">
        <f>_xlfn.XLOOKUP(Customer[[#This Row],[Customer ID]],[1]!Address[ID],[1]!Address[Phone No.(2)])</f>
        <v/>
      </c>
      <c r="V1984" s="11" t="str">
        <f>_xlfn.XLOOKUP(Customer[[#This Row],[Customer ID]],[1]!Address[ID],[1]!Address[Type])</f>
        <v>WALK IN</v>
      </c>
      <c r="W1984" s="11" t="str">
        <f>_xlfn.XLOOKUP(Customer[[#This Row],[Customer ID]],[1]!Address[ID],[1]!Address[CT])</f>
        <v/>
      </c>
      <c r="X1984" s="11"/>
      <c r="Y1984" s="17" t="s">
        <v>6284</v>
      </c>
      <c r="Z1984" s="17" t="e">
        <f>_xlfn.XLOOKUP(Customer[[#This Row],[NewType]],$AF$36:$AF$54,$AG$36:$AG$54)</f>
        <v>#N/A</v>
      </c>
      <c r="AA1984" s="17" t="s">
        <v>12452</v>
      </c>
      <c r="AB1984" s="11" t="str">
        <f>_xlfn.XLOOKUP(Customer[[#This Row],[Customer ID]],[1]!Address[ID],[1]!Address[Subtype])</f>
        <v>PEDAS</v>
      </c>
      <c r="AC1984" s="18" t="str">
        <f>_xlfn.XLOOKUP(Customer[[#This Row],[Customer ID]],[1]!Address[ID],[1]!Address[Zone])</f>
        <v>CENTRAL</v>
      </c>
    </row>
    <row r="1985" spans="1:29" x14ac:dyDescent="0.3">
      <c r="A1985" s="10" t="s">
        <v>12453</v>
      </c>
      <c r="B1985" s="11" t="str">
        <f>_xlfn.XLOOKUP(Customer[[#This Row],[Customer ID]],[1]!Name[ID],[1]!Name[Description(1)])</f>
        <v>HAMZAH ABD AZIZ</v>
      </c>
      <c r="C1985" s="11" t="str">
        <f>_xlfn.XLOOKUP(Customer[[#This Row],[Customer ID]],[1]!Name[ID],[1]!Name[Description(2)])</f>
        <v>(MB)</v>
      </c>
      <c r="D1985" s="11" t="str">
        <f>_xlfn.XLOOKUP(Customer[[#This Row],[Customer ID]],[1]!Address[ID],[1]!Address[PIC])</f>
        <v>HJ HAMZAH</v>
      </c>
      <c r="E1985" s="11" t="str">
        <f>_xlfn.XLOOKUP(Customer[[#This Row],[Customer ID]],[1]!Address[ID],[1]!Address[Full Address])</f>
        <v>NO 2, JALAN 1/3T, SEKSYEN 1, 43650BANDAR BARU BANGI, SELANGOR</v>
      </c>
      <c r="F1985" s="12" t="s">
        <v>12454</v>
      </c>
      <c r="G1985" s="12" t="s">
        <v>12455</v>
      </c>
      <c r="H1985" s="12" t="s">
        <v>4431</v>
      </c>
      <c r="I1985" s="12" t="b">
        <f>ISNUMBER(VALUE(LEFT(Customer[[#This Row],[Address Line 3 (30 char)]],1)))</f>
        <v>0</v>
      </c>
      <c r="J1985" s="12" t="s">
        <v>172</v>
      </c>
      <c r="K1985" s="12">
        <v>43650</v>
      </c>
      <c r="L1985" s="12" t="s">
        <v>35</v>
      </c>
      <c r="M1985" s="13" t="e">
        <v>#N/A</v>
      </c>
      <c r="N1985" s="14" t="s">
        <v>12456</v>
      </c>
      <c r="O1985" s="14" t="e">
        <v>#N/A</v>
      </c>
      <c r="P1985" s="14" t="e">
        <v>#N/A</v>
      </c>
      <c r="Q1985" s="19" t="s">
        <v>12457</v>
      </c>
      <c r="R1985" s="15" t="s">
        <v>12458</v>
      </c>
      <c r="S1985" s="15" t="s">
        <v>4271</v>
      </c>
      <c r="T1985" s="15" t="s">
        <v>89</v>
      </c>
      <c r="U1985" s="11" t="str">
        <f>_xlfn.XLOOKUP(Customer[[#This Row],[Customer ID]],[1]!Address[ID],[1]!Address[Phone No.(2)])</f>
        <v/>
      </c>
      <c r="V1985" s="11" t="str">
        <f>_xlfn.XLOOKUP(Customer[[#This Row],[Customer ID]],[1]!Address[ID],[1]!Address[Type])</f>
        <v>SOCMED</v>
      </c>
      <c r="W1985" s="11" t="str">
        <f>_xlfn.XLOOKUP(Customer[[#This Row],[Customer ID]],[1]!Address[ID],[1]!Address[CT])</f>
        <v/>
      </c>
      <c r="X1985" s="11"/>
      <c r="Y1985" s="17" t="s">
        <v>90</v>
      </c>
      <c r="Z1985" s="17" t="e">
        <f>_xlfn.XLOOKUP(Customer[[#This Row],[NewType]],$AF$36:$AF$54,$AG$36:$AG$54)</f>
        <v>#N/A</v>
      </c>
      <c r="AA1985" s="17" t="s">
        <v>12459</v>
      </c>
      <c r="AB1985" s="11" t="str">
        <f>_xlfn.XLOOKUP(Customer[[#This Row],[Customer ID]],[1]!Address[ID],[1]!Address[Subtype])</f>
        <v>WHATSAPP</v>
      </c>
      <c r="AC1985" s="18" t="str">
        <f>_xlfn.XLOOKUP(Customer[[#This Row],[Customer ID]],[1]!Address[ID],[1]!Address[Zone])</f>
        <v>AEEDH</v>
      </c>
    </row>
    <row r="1986" spans="1:29" x14ac:dyDescent="0.3">
      <c r="A1986" s="10" t="s">
        <v>12460</v>
      </c>
      <c r="B1986" s="11" t="str">
        <f>_xlfn.XLOOKUP(Customer[[#This Row],[Customer ID]],[1]!Name[ID],[1]!Name[Description(1)])</f>
        <v>NURFARHANA BT MD NOOR (CITY-LINK)</v>
      </c>
      <c r="C1986" s="11" t="str">
        <f>_xlfn.XLOOKUP(Customer[[#This Row],[Customer ID]],[1]!Name[ID],[1]!Name[Description(2)])</f>
        <v/>
      </c>
      <c r="D1986" s="11" t="str">
        <f>_xlfn.XLOOKUP(Customer[[#This Row],[Customer ID]],[1]!Address[ID],[1]!Address[PIC])</f>
        <v>FARHANA</v>
      </c>
      <c r="E1986" s="11" t="str">
        <f>_xlfn.XLOOKUP(Customer[[#This Row],[Customer ID]],[1]!Address[ID],[1]!Address[Full Address])</f>
        <v>WISMA CITY-LINK, 3A JALAN ARKITEK,U1/22, HICOM-GLENMARIE INDUSTRIAL PARK,40150 SHAH ALAM, SELANGOR</v>
      </c>
      <c r="F1986" s="12" t="s">
        <v>12461</v>
      </c>
      <c r="G1986" s="12" t="s">
        <v>12462</v>
      </c>
      <c r="H1986" s="12" t="s">
        <v>12463</v>
      </c>
      <c r="I1986" s="12" t="b">
        <f>ISNUMBER(VALUE(LEFT(Customer[[#This Row],[Address Line 3 (30 char)]],1)))</f>
        <v>0</v>
      </c>
      <c r="J1986" s="12" t="s">
        <v>172</v>
      </c>
      <c r="K1986" s="12">
        <v>40150</v>
      </c>
      <c r="L1986" s="12" t="s">
        <v>35</v>
      </c>
      <c r="M1986" s="13" t="e">
        <v>#N/A</v>
      </c>
      <c r="N1986" s="14" t="s">
        <v>12464</v>
      </c>
      <c r="O1986" s="14" t="e">
        <v>#N/A</v>
      </c>
      <c r="P1986" s="14" t="e">
        <v>#N/A</v>
      </c>
      <c r="Q1986" s="19" t="s">
        <v>12465</v>
      </c>
      <c r="R1986" s="15" t="s">
        <v>12466</v>
      </c>
      <c r="S1986" s="16" t="s">
        <v>89</v>
      </c>
      <c r="T1986" s="16" t="s">
        <v>89</v>
      </c>
      <c r="U1986" s="11" t="str">
        <f>_xlfn.XLOOKUP(Customer[[#This Row],[Customer ID]],[1]!Address[ID],[1]!Address[Phone No.(2)])</f>
        <v/>
      </c>
      <c r="V1986" s="11" t="str">
        <f>_xlfn.XLOOKUP(Customer[[#This Row],[Customer ID]],[1]!Address[ID],[1]!Address[Type])</f>
        <v>WALK IN</v>
      </c>
      <c r="W1986" s="11" t="str">
        <f>_xlfn.XLOOKUP(Customer[[#This Row],[Customer ID]],[1]!Address[ID],[1]!Address[CT])</f>
        <v/>
      </c>
      <c r="X1986" s="11"/>
      <c r="Y1986" s="17" t="s">
        <v>6284</v>
      </c>
      <c r="Z1986" s="17" t="e">
        <f>_xlfn.XLOOKUP(Customer[[#This Row],[NewType]],$AF$36:$AF$54,$AG$36:$AG$54)</f>
        <v>#N/A</v>
      </c>
      <c r="AA1986" s="17" t="s">
        <v>12467</v>
      </c>
      <c r="AB1986" s="11" t="str">
        <f>_xlfn.XLOOKUP(Customer[[#This Row],[Customer ID]],[1]!Address[ID],[1]!Address[Subtype])</f>
        <v>PEDAS</v>
      </c>
      <c r="AC1986" s="18" t="str">
        <f>_xlfn.XLOOKUP(Customer[[#This Row],[Customer ID]],[1]!Address[ID],[1]!Address[Zone])</f>
        <v>SLUTH</v>
      </c>
    </row>
    <row r="1987" spans="1:29" x14ac:dyDescent="0.3">
      <c r="A1987" s="10" t="s">
        <v>12468</v>
      </c>
      <c r="B1987" s="11" t="str">
        <f>_xlfn.XLOOKUP(Customer[[#This Row],[Customer ID]],[1]!Name[ID],[1]!Name[Description(1)])</f>
        <v>SITI AISHAH BINTI MOHD ZAMRI</v>
      </c>
      <c r="C1987" s="11" t="str">
        <f>_xlfn.XLOOKUP(Customer[[#This Row],[Customer ID]],[1]!Name[ID],[1]!Name[Description(2)])</f>
        <v>(EXCO PENANG)</v>
      </c>
      <c r="D1987" s="11" t="str">
        <f>_xlfn.XLOOKUP(Customer[[#This Row],[Customer ID]],[1]!Address[ID],[1]!Address[PIC])</f>
        <v>SITI AISHAH</v>
      </c>
      <c r="E1987" s="11" t="str">
        <f>_xlfn.XLOOKUP(Customer[[#This Row],[Customer ID]],[1]!Address[ID],[1]!Address[Full Address])</f>
        <v>PEJABAT YB DATO RASHIDI ZINOL,TINGKAT 31, KOMTAR 10000 PULAU PINANG</v>
      </c>
      <c r="F1987" s="12" t="s">
        <v>12469</v>
      </c>
      <c r="G1987" s="12" t="s">
        <v>12470</v>
      </c>
      <c r="H1987" s="12" t="s">
        <v>36</v>
      </c>
      <c r="I1987" s="12" t="b">
        <f>ISNUMBER(VALUE(LEFT(Customer[[#This Row],[Address Line 3 (30 char)]],1)))</f>
        <v>0</v>
      </c>
      <c r="J1987" s="12" t="s">
        <v>179</v>
      </c>
      <c r="K1987" s="12">
        <v>10000</v>
      </c>
      <c r="L1987" s="12" t="s">
        <v>35</v>
      </c>
      <c r="M1987" s="13" t="e">
        <v>#N/A</v>
      </c>
      <c r="N1987" s="14" t="s">
        <v>12471</v>
      </c>
      <c r="O1987" s="14" t="e">
        <v>#N/A</v>
      </c>
      <c r="P1987" s="14" t="e">
        <v>#N/A</v>
      </c>
      <c r="Q1987" s="19" t="s">
        <v>12472</v>
      </c>
      <c r="R1987" s="15" t="s">
        <v>12473</v>
      </c>
      <c r="S1987" s="16" t="s">
        <v>89</v>
      </c>
      <c r="T1987" s="16" t="s">
        <v>89</v>
      </c>
      <c r="U1987" s="11" t="str">
        <f>_xlfn.XLOOKUP(Customer[[#This Row],[Customer ID]],[1]!Address[ID],[1]!Address[Phone No.(2)])</f>
        <v/>
      </c>
      <c r="V1987" s="11" t="str">
        <f>_xlfn.XLOOKUP(Customer[[#This Row],[Customer ID]],[1]!Address[ID],[1]!Address[Type])</f>
        <v>WALK IN</v>
      </c>
      <c r="W1987" s="11" t="str">
        <f>_xlfn.XLOOKUP(Customer[[#This Row],[Customer ID]],[1]!Address[ID],[1]!Address[CT])</f>
        <v/>
      </c>
      <c r="X1987" s="11"/>
      <c r="Y1987" s="17" t="s">
        <v>6284</v>
      </c>
      <c r="Z1987" s="17" t="e">
        <f>_xlfn.XLOOKUP(Customer[[#This Row],[NewType]],$AF$36:$AF$54,$AG$36:$AG$54)</f>
        <v>#N/A</v>
      </c>
      <c r="AA1987" s="17" t="s">
        <v>12474</v>
      </c>
      <c r="AB1987" s="11" t="str">
        <f>_xlfn.XLOOKUP(Customer[[#This Row],[Customer ID]],[1]!Address[ID],[1]!Address[Subtype])</f>
        <v>PEDAS</v>
      </c>
      <c r="AC1987" s="18" t="str">
        <f>_xlfn.XLOOKUP(Customer[[#This Row],[Customer ID]],[1]!Address[ID],[1]!Address[Zone])</f>
        <v>NORTH</v>
      </c>
    </row>
    <row r="1988" spans="1:29" x14ac:dyDescent="0.3">
      <c r="A1988" s="10" t="s">
        <v>12475</v>
      </c>
      <c r="B1988" s="11" t="str">
        <f>_xlfn.XLOOKUP(Customer[[#This Row],[Customer ID]],[1]!Name[ID],[1]!Name[Description(1)])</f>
        <v>TENGKU AHMAD SYAHRIZAL</v>
      </c>
      <c r="C1988" s="11" t="str">
        <f>_xlfn.XLOOKUP(Customer[[#This Row],[Customer ID]],[1]!Name[ID],[1]!Name[Description(2)])</f>
        <v>(PRODUCTION KILANG AIR)</v>
      </c>
      <c r="D1988" s="11" t="str">
        <f>_xlfn.XLOOKUP(Customer[[#This Row],[Customer ID]],[1]!Address[ID],[1]!Address[PIC])</f>
        <v>SYAHRIZAL</v>
      </c>
      <c r="E1988" s="11" t="str">
        <f>_xlfn.XLOOKUP(Customer[[#This Row],[Customer ID]],[1]!Address[ID],[1]!Address[Full Address])</f>
        <v>TAMAN SEPAKAT 25150 KUANTAN, PAHANG</v>
      </c>
      <c r="F1988" s="12" t="s">
        <v>12476</v>
      </c>
      <c r="G1988" s="12" t="s">
        <v>12477</v>
      </c>
      <c r="H1988" s="12" t="s">
        <v>1038</v>
      </c>
      <c r="I1988" s="12" t="b">
        <f>ISNUMBER(VALUE(LEFT(Customer[[#This Row],[Address Line 3 (30 char)]],1)))</f>
        <v>0</v>
      </c>
      <c r="J1988" s="12" t="s">
        <v>339</v>
      </c>
      <c r="K1988" s="12">
        <v>25150</v>
      </c>
      <c r="L1988" s="12" t="s">
        <v>35</v>
      </c>
      <c r="M1988" s="13" t="e">
        <v>#N/A</v>
      </c>
      <c r="N1988" s="14" t="s">
        <v>12478</v>
      </c>
      <c r="O1988" s="14" t="e">
        <v>#N/A</v>
      </c>
      <c r="P1988" s="14" t="e">
        <v>#N/A</v>
      </c>
      <c r="Q1988" s="19" t="s">
        <v>12479</v>
      </c>
      <c r="R1988" s="15" t="s">
        <v>12480</v>
      </c>
      <c r="S1988" s="16" t="s">
        <v>89</v>
      </c>
      <c r="T1988" s="16" t="s">
        <v>89</v>
      </c>
      <c r="U1988" s="11" t="str">
        <f>_xlfn.XLOOKUP(Customer[[#This Row],[Customer ID]],[1]!Address[ID],[1]!Address[Phone No.(2)])</f>
        <v/>
      </c>
      <c r="V1988" s="11" t="str">
        <f>_xlfn.XLOOKUP(Customer[[#This Row],[Customer ID]],[1]!Address[ID],[1]!Address[Type])</f>
        <v>WALK IN</v>
      </c>
      <c r="W1988" s="11" t="str">
        <f>_xlfn.XLOOKUP(Customer[[#This Row],[Customer ID]],[1]!Address[ID],[1]!Address[CT])</f>
        <v/>
      </c>
      <c r="X1988" s="11"/>
      <c r="Y1988" s="17" t="s">
        <v>6284</v>
      </c>
      <c r="Z1988" s="17" t="e">
        <f>_xlfn.XLOOKUP(Customer[[#This Row],[NewType]],$AF$36:$AF$54,$AG$36:$AG$54)</f>
        <v>#N/A</v>
      </c>
      <c r="AA1988" s="17" t="s">
        <v>12481</v>
      </c>
      <c r="AB1988" s="11" t="str">
        <f>_xlfn.XLOOKUP(Customer[[#This Row],[Customer ID]],[1]!Address[ID],[1]!Address[Subtype])</f>
        <v>STAFF</v>
      </c>
      <c r="AC1988" s="18" t="str">
        <f>_xlfn.XLOOKUP(Customer[[#This Row],[Customer ID]],[1]!Address[ID],[1]!Address[Zone])</f>
        <v>A H</v>
      </c>
    </row>
    <row r="1989" spans="1:29" x14ac:dyDescent="0.3">
      <c r="A1989" s="10" t="s">
        <v>12482</v>
      </c>
      <c r="B1989" s="11" t="str">
        <f>_xlfn.XLOOKUP(Customer[[#This Row],[Customer ID]],[1]!Name[ID],[1]!Name[Description(1)])</f>
        <v>WE EBAR PRIMA (M) SDN BHD</v>
      </c>
      <c r="C1989" s="11" t="str">
        <f>_xlfn.XLOOKUP(Customer[[#This Row],[Customer ID]],[1]!Name[ID],[1]!Name[Description(2)])</f>
        <v/>
      </c>
      <c r="D1989" s="11" t="str">
        <f>_xlfn.XLOOKUP(Customer[[#This Row],[Customer ID]],[1]!Address[ID],[1]!Address[PIC])</f>
        <v>SHAHRUL</v>
      </c>
      <c r="E1989" s="11" t="str">
        <f>_xlfn.XLOOKUP(Customer[[#This Row],[Customer ID]],[1]!Address[ID],[1]!Address[Full Address])</f>
        <v>NO. 43 &amp; 43A,PERDANA AVENUE,JALAN KAJANG PERDANA 3A,4300 KAJANG, SELANGOR.</v>
      </c>
      <c r="F1989" s="12" t="s">
        <v>12483</v>
      </c>
      <c r="G1989" s="12" t="s">
        <v>12484</v>
      </c>
      <c r="H1989" s="12" t="s">
        <v>12485</v>
      </c>
      <c r="I1989" s="12" t="b">
        <f>ISNUMBER(VALUE(LEFT(Customer[[#This Row],[Address Line 3 (30 char)]],1)))</f>
        <v>0</v>
      </c>
      <c r="J1989" s="12" t="s">
        <v>172</v>
      </c>
      <c r="K1989" s="12">
        <v>43000</v>
      </c>
      <c r="L1989" s="12" t="s">
        <v>35</v>
      </c>
      <c r="M1989" s="13" t="e">
        <v>#N/A</v>
      </c>
      <c r="N1989" s="14" t="s">
        <v>12486</v>
      </c>
      <c r="O1989" s="14" t="e">
        <v>#N/A</v>
      </c>
      <c r="P1989" s="14" t="e">
        <v>#N/A</v>
      </c>
      <c r="Q1989" s="14" t="e">
        <v>#N/A</v>
      </c>
      <c r="R1989" s="15" t="s">
        <v>12487</v>
      </c>
      <c r="S1989" s="15" t="s">
        <v>5934</v>
      </c>
      <c r="T1989" s="16"/>
      <c r="U1989" s="11" t="str">
        <f>_xlfn.XLOOKUP(Customer[[#This Row],[Customer ID]],[1]!Address[ID],[1]!Address[Phone No.(2)])</f>
        <v/>
      </c>
      <c r="V1989" s="11" t="str">
        <f>_xlfn.XLOOKUP(Customer[[#This Row],[Customer ID]],[1]!Address[ID],[1]!Address[Type])</f>
        <v>CORPORATE</v>
      </c>
      <c r="W1989" s="11" t="str">
        <f>_xlfn.XLOOKUP(Customer[[#This Row],[Customer ID]],[1]!Address[ID],[1]!Address[CT])</f>
        <v>C.I.F</v>
      </c>
      <c r="X1989" s="11"/>
      <c r="Y1989" s="17" t="s">
        <v>6418</v>
      </c>
      <c r="Z1989" s="17" t="e">
        <f>_xlfn.XLOOKUP(Customer[[#This Row],[NewType]],$AF$36:$AF$54,$AG$36:$AG$54)</f>
        <v>#N/A</v>
      </c>
      <c r="AA1989" s="17" t="s">
        <v>12488</v>
      </c>
      <c r="AB1989" s="11" t="str">
        <f>_xlfn.XLOOKUP(Customer[[#This Row],[Customer ID]],[1]!Address[ID],[1]!Address[Subtype])</f>
        <v>PARTNER</v>
      </c>
      <c r="AC1989" s="18" t="str">
        <f>_xlfn.XLOOKUP(Customer[[#This Row],[Customer ID]],[1]!Address[ID],[1]!Address[Zone])</f>
        <v>EOTEH</v>
      </c>
    </row>
    <row r="1990" spans="1:29" x14ac:dyDescent="0.3">
      <c r="A1990" s="10" t="s">
        <v>12489</v>
      </c>
      <c r="B1990" s="11" t="str">
        <f>_xlfn.XLOOKUP(Customer[[#This Row],[Customer ID]],[1]!Name[ID],[1]!Name[Description(1)])</f>
        <v>MUHAMMAD ANAS BIN HAMZAH</v>
      </c>
      <c r="C1990" s="11" t="str">
        <f>_xlfn.XLOOKUP(Customer[[#This Row],[Customer ID]],[1]!Name[ID],[1]!Name[Description(2)])</f>
        <v>(MARKETING)</v>
      </c>
      <c r="D1990" s="11" t="str">
        <f>_xlfn.XLOOKUP(Customer[[#This Row],[Customer ID]],[1]!Address[ID],[1]!Address[PIC])</f>
        <v>ANAS</v>
      </c>
      <c r="E1990" s="11" t="str">
        <f>_xlfn.XLOOKUP(Customer[[#This Row],[Customer ID]],[1]!Address[ID],[1]!Address[Full Address])</f>
        <v>812, JLN SEREMBAN TIGA 28/1, SEREMBAN 3,70300 SEREMBAN, NEGERI SEMBILAN</v>
      </c>
      <c r="F1990" s="12" t="s">
        <v>12490</v>
      </c>
      <c r="G1990" s="12" t="s">
        <v>12491</v>
      </c>
      <c r="H1990" s="12" t="s">
        <v>2411</v>
      </c>
      <c r="I1990" s="12" t="b">
        <f>ISNUMBER(VALUE(LEFT(Customer[[#This Row],[Address Line 3 (30 char)]],1)))</f>
        <v>0</v>
      </c>
      <c r="J1990" s="12" t="s">
        <v>203</v>
      </c>
      <c r="K1990" s="12">
        <v>70300</v>
      </c>
      <c r="L1990" s="12" t="s">
        <v>35</v>
      </c>
      <c r="M1990" s="13" t="e">
        <v>#N/A</v>
      </c>
      <c r="N1990" s="14" t="s">
        <v>12492</v>
      </c>
      <c r="O1990" s="14" t="e">
        <v>#N/A</v>
      </c>
      <c r="P1990" s="14" t="e">
        <v>#N/A</v>
      </c>
      <c r="Q1990" s="19" t="s">
        <v>12493</v>
      </c>
      <c r="R1990" s="15" t="s">
        <v>12494</v>
      </c>
      <c r="S1990" s="16" t="s">
        <v>89</v>
      </c>
      <c r="T1990" s="16" t="s">
        <v>89</v>
      </c>
      <c r="U1990" s="11" t="str">
        <f>_xlfn.XLOOKUP(Customer[[#This Row],[Customer ID]],[1]!Address[ID],[1]!Address[Phone No.(2)])</f>
        <v/>
      </c>
      <c r="V1990" s="11" t="str">
        <f>_xlfn.XLOOKUP(Customer[[#This Row],[Customer ID]],[1]!Address[ID],[1]!Address[Type])</f>
        <v>WALK IN</v>
      </c>
      <c r="W1990" s="11" t="str">
        <f>_xlfn.XLOOKUP(Customer[[#This Row],[Customer ID]],[1]!Address[ID],[1]!Address[CT])</f>
        <v/>
      </c>
      <c r="X1990" s="11"/>
      <c r="Y1990" s="17" t="s">
        <v>6284</v>
      </c>
      <c r="Z1990" s="17" t="e">
        <f>_xlfn.XLOOKUP(Customer[[#This Row],[NewType]],$AF$36:$AF$54,$AG$36:$AG$54)</f>
        <v>#N/A</v>
      </c>
      <c r="AA1990" s="17" t="s">
        <v>12495</v>
      </c>
      <c r="AB1990" s="11" t="str">
        <f>_xlfn.XLOOKUP(Customer[[#This Row],[Customer ID]],[1]!Address[ID],[1]!Address[Subtype])</f>
        <v>STAFF</v>
      </c>
      <c r="AC1990" s="18" t="str">
        <f>_xlfn.XLOOKUP(Customer[[#This Row],[Customer ID]],[1]!Address[ID],[1]!Address[Zone])</f>
        <v>CENTRAL</v>
      </c>
    </row>
    <row r="1991" spans="1:29" x14ac:dyDescent="0.3">
      <c r="A1991" s="10" t="s">
        <v>12496</v>
      </c>
      <c r="B1991" s="11" t="str">
        <f>_xlfn.XLOOKUP(Customer[[#This Row],[Customer ID]],[1]!Name[ID],[1]!Name[Description(1)])</f>
        <v>IFFAH NADHIRAH BINTI MOHD FISUL</v>
      </c>
      <c r="C1991" s="11" t="str">
        <f>_xlfn.XLOOKUP(Customer[[#This Row],[Customer ID]],[1]!Name[ID],[1]!Name[Description(2)])</f>
        <v>(CORPORATE)</v>
      </c>
      <c r="D1991" s="11" t="str">
        <f>_xlfn.XLOOKUP(Customer[[#This Row],[Customer ID]],[1]!Address[ID],[1]!Address[PIC])</f>
        <v>IFFAH</v>
      </c>
      <c r="E1991" s="11" t="str">
        <f>_xlfn.XLOOKUP(Customer[[#This Row],[Customer ID]],[1]!Address[ID],[1]!Address[Full Address])</f>
        <v>NO 320, TAMAN DESA MELATI,JALAN MELATI 11, 71800,NILAI NEGERI SEMBILAN</v>
      </c>
      <c r="F1991" s="12" t="s">
        <v>12497</v>
      </c>
      <c r="G1991" s="12" t="s">
        <v>12498</v>
      </c>
      <c r="H1991" s="12" t="s">
        <v>2620</v>
      </c>
      <c r="I1991" s="12" t="b">
        <f>ISNUMBER(VALUE(LEFT(Customer[[#This Row],[Address Line 3 (30 char)]],1)))</f>
        <v>0</v>
      </c>
      <c r="J1991" s="12" t="s">
        <v>203</v>
      </c>
      <c r="K1991" s="12">
        <v>71800</v>
      </c>
      <c r="L1991" s="12" t="s">
        <v>35</v>
      </c>
      <c r="M1991" s="13" t="e">
        <v>#N/A</v>
      </c>
      <c r="N1991" s="14" t="s">
        <v>12499</v>
      </c>
      <c r="O1991" s="14" t="e">
        <v>#N/A</v>
      </c>
      <c r="P1991" s="14" t="e">
        <v>#N/A</v>
      </c>
      <c r="Q1991" s="19" t="s">
        <v>12500</v>
      </c>
      <c r="R1991" s="15" t="s">
        <v>12501</v>
      </c>
      <c r="S1991" s="16" t="s">
        <v>89</v>
      </c>
      <c r="T1991" s="16" t="s">
        <v>89</v>
      </c>
      <c r="U1991" s="11" t="str">
        <f>_xlfn.XLOOKUP(Customer[[#This Row],[Customer ID]],[1]!Address[ID],[1]!Address[Phone No.(2)])</f>
        <v/>
      </c>
      <c r="V1991" s="11" t="str">
        <f>_xlfn.XLOOKUP(Customer[[#This Row],[Customer ID]],[1]!Address[ID],[1]!Address[Type])</f>
        <v>WALK IN</v>
      </c>
      <c r="W1991" s="11" t="str">
        <f>_xlfn.XLOOKUP(Customer[[#This Row],[Customer ID]],[1]!Address[ID],[1]!Address[CT])</f>
        <v/>
      </c>
      <c r="X1991" s="11"/>
      <c r="Y1991" s="17" t="s">
        <v>6284</v>
      </c>
      <c r="Z1991" s="17" t="e">
        <f>_xlfn.XLOOKUP(Customer[[#This Row],[NewType]],$AF$36:$AF$54,$AG$36:$AG$54)</f>
        <v>#N/A</v>
      </c>
      <c r="AA1991" s="17" t="s">
        <v>12502</v>
      </c>
      <c r="AB1991" s="11" t="str">
        <f>_xlfn.XLOOKUP(Customer[[#This Row],[Customer ID]],[1]!Address[ID],[1]!Address[Subtype])</f>
        <v>STAFF</v>
      </c>
      <c r="AC1991" s="18" t="str">
        <f>_xlfn.XLOOKUP(Customer[[#This Row],[Customer ID]],[1]!Address[ID],[1]!Address[Zone])</f>
        <v>CENTRAL</v>
      </c>
    </row>
    <row r="1992" spans="1:29" x14ac:dyDescent="0.3">
      <c r="A1992" s="10" t="s">
        <v>12503</v>
      </c>
      <c r="B1992" s="11" t="str">
        <f>_xlfn.XLOOKUP(Customer[[#This Row],[Customer ID]],[1]!Name[ID],[1]!Name[Description(1)])</f>
        <v>ALIF SYAZWAN</v>
      </c>
      <c r="C1992" s="11" t="str">
        <f>_xlfn.XLOOKUP(Customer[[#This Row],[Customer ID]],[1]!Name[ID],[1]!Name[Description(2)])</f>
        <v>(PRODUCTION KILANG AIR)</v>
      </c>
      <c r="D1992" s="11" t="str">
        <f>_xlfn.XLOOKUP(Customer[[#This Row],[Customer ID]],[1]!Address[ID],[1]!Address[PIC])</f>
        <v>ALIF SYAZWAN</v>
      </c>
      <c r="E1992" s="11" t="str">
        <f>_xlfn.XLOOKUP(Customer[[#This Row],[Customer ID]],[1]!Address[ID],[1]!Address[Full Address])</f>
        <v>NO 1, TAMAN SRI ANGGERIK, 71200RANTAU, NEGERI SEMBILAN</v>
      </c>
      <c r="F1992" s="12" t="s">
        <v>12504</v>
      </c>
      <c r="G1992" s="12" t="s">
        <v>12217</v>
      </c>
      <c r="H1992" s="12" t="s">
        <v>6428</v>
      </c>
      <c r="I1992" s="12" t="b">
        <f>ISNUMBER(VALUE(LEFT(Customer[[#This Row],[Address Line 3 (30 char)]],1)))</f>
        <v>0</v>
      </c>
      <c r="J1992" s="12" t="s">
        <v>203</v>
      </c>
      <c r="K1992" s="12">
        <v>71200</v>
      </c>
      <c r="L1992" s="12" t="s">
        <v>35</v>
      </c>
      <c r="M1992" s="13" t="e">
        <v>#N/A</v>
      </c>
      <c r="N1992" s="14" t="s">
        <v>12505</v>
      </c>
      <c r="O1992" s="14" t="e">
        <v>#N/A</v>
      </c>
      <c r="P1992" s="14" t="e">
        <v>#N/A</v>
      </c>
      <c r="Q1992" s="19" t="s">
        <v>12506</v>
      </c>
      <c r="R1992" s="15" t="s">
        <v>12507</v>
      </c>
      <c r="S1992" s="16" t="s">
        <v>89</v>
      </c>
      <c r="T1992" s="16" t="s">
        <v>89</v>
      </c>
      <c r="U1992" s="11" t="str">
        <f>_xlfn.XLOOKUP(Customer[[#This Row],[Customer ID]],[1]!Address[ID],[1]!Address[Phone No.(2)])</f>
        <v/>
      </c>
      <c r="V1992" s="11" t="str">
        <f>_xlfn.XLOOKUP(Customer[[#This Row],[Customer ID]],[1]!Address[ID],[1]!Address[Type])</f>
        <v>WALK IN</v>
      </c>
      <c r="W1992" s="11" t="str">
        <f>_xlfn.XLOOKUP(Customer[[#This Row],[Customer ID]],[1]!Address[ID],[1]!Address[CT])</f>
        <v/>
      </c>
      <c r="X1992" s="11"/>
      <c r="Y1992" s="17" t="s">
        <v>6284</v>
      </c>
      <c r="Z1992" s="17" t="e">
        <f>_xlfn.XLOOKUP(Customer[[#This Row],[NewType]],$AF$36:$AF$54,$AG$36:$AG$54)</f>
        <v>#N/A</v>
      </c>
      <c r="AA1992" s="17" t="s">
        <v>12508</v>
      </c>
      <c r="AB1992" s="11" t="str">
        <f>_xlfn.XLOOKUP(Customer[[#This Row],[Customer ID]],[1]!Address[ID],[1]!Address[Subtype])</f>
        <v>STAFF</v>
      </c>
      <c r="AC1992" s="18" t="str">
        <f>_xlfn.XLOOKUP(Customer[[#This Row],[Customer ID]],[1]!Address[ID],[1]!Address[Zone])</f>
        <v>CENTRAL</v>
      </c>
    </row>
    <row r="1993" spans="1:29" x14ac:dyDescent="0.3">
      <c r="A1993" s="10" t="s">
        <v>12509</v>
      </c>
      <c r="B1993" s="11" t="str">
        <f>_xlfn.XLOOKUP(Customer[[#This Row],[Customer ID]],[1]!Name[ID],[1]!Name[Description(1)])</f>
        <v>MUHAMMAD SHUKRI BIN MOHD NOOR</v>
      </c>
      <c r="C1993" s="11" t="str">
        <f>_xlfn.XLOOKUP(Customer[[#This Row],[Customer ID]],[1]!Name[ID],[1]!Name[Description(2)])</f>
        <v>(PRODUCTION KILANG AIR)</v>
      </c>
      <c r="D1993" s="11" t="str">
        <f>_xlfn.XLOOKUP(Customer[[#This Row],[Customer ID]],[1]!Address[ID],[1]!Address[PIC])</f>
        <v>SHUKRI</v>
      </c>
      <c r="E1993" s="11" t="str">
        <f>_xlfn.XLOOKUP(Customer[[#This Row],[Customer ID]],[1]!Address[ID],[1]!Address[Full Address])</f>
        <v>LOT 963 BATU LAPAN, TELOK KEMANGPORT DICKSON, 71050 NEGERI SEMBILAN</v>
      </c>
      <c r="F1993" s="12" t="s">
        <v>12510</v>
      </c>
      <c r="G1993" s="12" t="s">
        <v>12511</v>
      </c>
      <c r="H1993" s="12" t="s">
        <v>1438</v>
      </c>
      <c r="I1993" s="12" t="b">
        <f>ISNUMBER(VALUE(LEFT(Customer[[#This Row],[Address Line 3 (30 char)]],1)))</f>
        <v>0</v>
      </c>
      <c r="J1993" s="12" t="s">
        <v>203</v>
      </c>
      <c r="K1993" s="12">
        <v>71050</v>
      </c>
      <c r="L1993" s="12" t="s">
        <v>35</v>
      </c>
      <c r="M1993" s="13" t="e">
        <v>#N/A</v>
      </c>
      <c r="N1993" s="14" t="s">
        <v>12512</v>
      </c>
      <c r="O1993" s="14" t="e">
        <v>#N/A</v>
      </c>
      <c r="P1993" s="14" t="e">
        <v>#N/A</v>
      </c>
      <c r="Q1993" s="19" t="s">
        <v>12513</v>
      </c>
      <c r="R1993" s="15" t="s">
        <v>12514</v>
      </c>
      <c r="S1993" s="16" t="s">
        <v>89</v>
      </c>
      <c r="T1993" s="16" t="s">
        <v>89</v>
      </c>
      <c r="U1993" s="11" t="str">
        <f>_xlfn.XLOOKUP(Customer[[#This Row],[Customer ID]],[1]!Address[ID],[1]!Address[Phone No.(2)])</f>
        <v/>
      </c>
      <c r="V1993" s="11" t="str">
        <f>_xlfn.XLOOKUP(Customer[[#This Row],[Customer ID]],[1]!Address[ID],[1]!Address[Type])</f>
        <v>WALK IN</v>
      </c>
      <c r="W1993" s="11" t="str">
        <f>_xlfn.XLOOKUP(Customer[[#This Row],[Customer ID]],[1]!Address[ID],[1]!Address[CT])</f>
        <v/>
      </c>
      <c r="X1993" s="11"/>
      <c r="Y1993" s="17" t="s">
        <v>6284</v>
      </c>
      <c r="Z1993" s="17" t="e">
        <f>_xlfn.XLOOKUP(Customer[[#This Row],[NewType]],$AF$36:$AF$54,$AG$36:$AG$54)</f>
        <v>#N/A</v>
      </c>
      <c r="AA1993" s="17" t="s">
        <v>12515</v>
      </c>
      <c r="AB1993" s="11" t="str">
        <f>_xlfn.XLOOKUP(Customer[[#This Row],[Customer ID]],[1]!Address[ID],[1]!Address[Subtype])</f>
        <v>STAFF</v>
      </c>
      <c r="AC1993" s="18" t="str">
        <f>_xlfn.XLOOKUP(Customer[[#This Row],[Customer ID]],[1]!Address[ID],[1]!Address[Zone])</f>
        <v>CENTRAL</v>
      </c>
    </row>
    <row r="1994" spans="1:29" x14ac:dyDescent="0.3">
      <c r="A1994" s="10" t="s">
        <v>12516</v>
      </c>
      <c r="B1994" s="11" t="str">
        <f>_xlfn.XLOOKUP(Customer[[#This Row],[Customer ID]],[1]!Name[ID],[1]!Name[Description(1)])</f>
        <v>NURUL ASNITA BINTI MAZLAN</v>
      </c>
      <c r="C1994" s="11" t="str">
        <f>_xlfn.XLOOKUP(Customer[[#This Row],[Customer ID]],[1]!Name[ID],[1]!Name[Description(2)])</f>
        <v>(FINANCE)</v>
      </c>
      <c r="D1994" s="11" t="str">
        <f>_xlfn.XLOOKUP(Customer[[#This Row],[Customer ID]],[1]!Address[ID],[1]!Address[PIC])</f>
        <v>ASNITA</v>
      </c>
      <c r="E1994" s="11" t="str">
        <f>_xlfn.XLOOKUP(Customer[[#This Row],[Customer ID]],[1]!Address[ID],[1]!Address[Full Address])</f>
        <v>NO 1121, JALAN GUNUNG DATO 29, TAMANANGSAMAS 70300 SEREMBAN, NEGERI SEMBILAN</v>
      </c>
      <c r="F1994" s="12" t="s">
        <v>12517</v>
      </c>
      <c r="G1994" s="12" t="s">
        <v>12518</v>
      </c>
      <c r="H1994" s="12" t="s">
        <v>2411</v>
      </c>
      <c r="I1994" s="12" t="b">
        <f>ISNUMBER(VALUE(LEFT(Customer[[#This Row],[Address Line 3 (30 char)]],1)))</f>
        <v>0</v>
      </c>
      <c r="J1994" s="12" t="s">
        <v>203</v>
      </c>
      <c r="K1994" s="12">
        <v>70300</v>
      </c>
      <c r="L1994" s="12" t="s">
        <v>35</v>
      </c>
      <c r="M1994" s="13" t="e">
        <v>#N/A</v>
      </c>
      <c r="N1994" s="14" t="s">
        <v>12519</v>
      </c>
      <c r="O1994" s="14" t="e">
        <v>#N/A</v>
      </c>
      <c r="P1994" s="14" t="e">
        <v>#N/A</v>
      </c>
      <c r="Q1994" s="19" t="s">
        <v>12520</v>
      </c>
      <c r="R1994" s="15" t="s">
        <v>12521</v>
      </c>
      <c r="S1994" s="16" t="s">
        <v>89</v>
      </c>
      <c r="T1994" s="16" t="s">
        <v>89</v>
      </c>
      <c r="U1994" s="11" t="str">
        <f>_xlfn.XLOOKUP(Customer[[#This Row],[Customer ID]],[1]!Address[ID],[1]!Address[Phone No.(2)])</f>
        <v/>
      </c>
      <c r="V1994" s="11" t="str">
        <f>_xlfn.XLOOKUP(Customer[[#This Row],[Customer ID]],[1]!Address[ID],[1]!Address[Type])</f>
        <v>WALK IN</v>
      </c>
      <c r="W1994" s="11" t="str">
        <f>_xlfn.XLOOKUP(Customer[[#This Row],[Customer ID]],[1]!Address[ID],[1]!Address[CT])</f>
        <v/>
      </c>
      <c r="X1994" s="11"/>
      <c r="Y1994" s="17" t="s">
        <v>6284</v>
      </c>
      <c r="Z1994" s="17" t="e">
        <f>_xlfn.XLOOKUP(Customer[[#This Row],[NewType]],$AF$36:$AF$54,$AG$36:$AG$54)</f>
        <v>#N/A</v>
      </c>
      <c r="AA1994" s="17" t="s">
        <v>12522</v>
      </c>
      <c r="AB1994" s="11" t="str">
        <f>_xlfn.XLOOKUP(Customer[[#This Row],[Customer ID]],[1]!Address[ID],[1]!Address[Subtype])</f>
        <v>STAFF</v>
      </c>
      <c r="AC1994" s="18" t="str">
        <f>_xlfn.XLOOKUP(Customer[[#This Row],[Customer ID]],[1]!Address[ID],[1]!Address[Zone])</f>
        <v>CENTRAL</v>
      </c>
    </row>
    <row r="1995" spans="1:29" x14ac:dyDescent="0.3">
      <c r="A1995" s="10" t="s">
        <v>12523</v>
      </c>
      <c r="B1995" s="11" t="str">
        <f>_xlfn.XLOOKUP(Customer[[#This Row],[Customer ID]],[1]!Name[ID],[1]!Name[Description(1)])</f>
        <v>HALIJAH BINTI JOHARI</v>
      </c>
      <c r="C1995" s="11" t="str">
        <f>_xlfn.XLOOKUP(Customer[[#This Row],[Customer ID]],[1]!Name[ID],[1]!Name[Description(2)])</f>
        <v/>
      </c>
      <c r="D1995" s="11" t="str">
        <f>_xlfn.XLOOKUP(Customer[[#This Row],[Customer ID]],[1]!Address[ID],[1]!Address[PIC])</f>
        <v>HALIJAH</v>
      </c>
      <c r="E1995" s="11" t="str">
        <f>_xlfn.XLOOKUP(Customer[[#This Row],[Customer ID]],[1]!Address[ID],[1]!Address[Full Address])</f>
        <v>TAIBA ALHUSNA HALALMART,10, JALAN TANJONG UTAMA,TAMAN SRI TANJONG,35900 TG MALIM, PERAK</v>
      </c>
      <c r="F1995" s="12" t="s">
        <v>12524</v>
      </c>
      <c r="G1995" s="12" t="s">
        <v>12525</v>
      </c>
      <c r="H1995" s="12" t="s">
        <v>12526</v>
      </c>
      <c r="I1995" s="12" t="b">
        <f>ISNUMBER(VALUE(LEFT(Customer[[#This Row],[Address Line 3 (30 char)]],1)))</f>
        <v>0</v>
      </c>
      <c r="J1995" s="12" t="s">
        <v>242</v>
      </c>
      <c r="K1995" s="12">
        <v>35900</v>
      </c>
      <c r="L1995" s="12" t="s">
        <v>35</v>
      </c>
      <c r="M1995" s="13" t="e">
        <v>#N/A</v>
      </c>
      <c r="N1995" s="14" t="s">
        <v>12527</v>
      </c>
      <c r="O1995" s="14" t="e">
        <v>#N/A</v>
      </c>
      <c r="P1995" s="14" t="e">
        <v>#N/A</v>
      </c>
      <c r="Q1995" s="19" t="s">
        <v>12528</v>
      </c>
      <c r="R1995" s="15" t="s">
        <v>12529</v>
      </c>
      <c r="S1995" s="16" t="s">
        <v>89</v>
      </c>
      <c r="T1995" s="16" t="s">
        <v>89</v>
      </c>
      <c r="U1995" s="11" t="str">
        <f>_xlfn.XLOOKUP(Customer[[#This Row],[Customer ID]],[1]!Address[ID],[1]!Address[Phone No.(2)])</f>
        <v/>
      </c>
      <c r="V1995" s="11" t="str">
        <f>_xlfn.XLOOKUP(Customer[[#This Row],[Customer ID]],[1]!Address[ID],[1]!Address[Type])</f>
        <v>WALK IN</v>
      </c>
      <c r="W1995" s="11" t="str">
        <f>_xlfn.XLOOKUP(Customer[[#This Row],[Customer ID]],[1]!Address[ID],[1]!Address[CT])</f>
        <v/>
      </c>
      <c r="X1995" s="11"/>
      <c r="Y1995" s="17" t="s">
        <v>6284</v>
      </c>
      <c r="Z1995" s="17" t="e">
        <f>_xlfn.XLOOKUP(Customer[[#This Row],[NewType]],$AF$36:$AF$54,$AG$36:$AG$54)</f>
        <v>#N/A</v>
      </c>
      <c r="AA1995" s="17" t="s">
        <v>12530</v>
      </c>
      <c r="AB1995" s="11" t="str">
        <f>_xlfn.XLOOKUP(Customer[[#This Row],[Customer ID]],[1]!Address[ID],[1]!Address[Subtype])</f>
        <v>PEDAS</v>
      </c>
      <c r="AC1995" s="18" t="str">
        <f>_xlfn.XLOOKUP(Customer[[#This Row],[Customer ID]],[1]!Address[ID],[1]!Address[Zone])</f>
        <v>NORTH</v>
      </c>
    </row>
    <row r="1996" spans="1:29" x14ac:dyDescent="0.3">
      <c r="A1996" s="46" t="s">
        <v>12531</v>
      </c>
      <c r="B1996" s="24" t="str">
        <f>_xlfn.XLOOKUP(Customer[[#This Row],[Customer ID]],[1]!Name[ID],[1]!Name[Description(1)])</f>
        <v>SPONSORSHIP</v>
      </c>
      <c r="C1996" s="24" t="str">
        <f>_xlfn.XLOOKUP(Customer[[#This Row],[Customer ID]],[1]!Name[ID],[1]!Name[Description(2)])</f>
        <v/>
      </c>
      <c r="D1996" s="11" t="str">
        <f>_xlfn.XLOOKUP(Customer[[#This Row],[Customer ID]],[1]!Address[ID],[1]!Address[PIC])</f>
        <v/>
      </c>
      <c r="E1996" s="11" t="str">
        <f>_xlfn.XLOOKUP(Customer[[#This Row],[Customer ID]],[1]!Address[ID],[1]!Address[Full Address])</f>
        <v/>
      </c>
      <c r="F1996" s="12" t="s">
        <v>36</v>
      </c>
      <c r="G1996" s="12" t="s">
        <v>36</v>
      </c>
      <c r="H1996" s="12" t="s">
        <v>36</v>
      </c>
      <c r="I1996" s="12" t="b">
        <f>ISNUMBER(VALUE(LEFT(Customer[[#This Row],[Address Line 3 (30 char)]],1)))</f>
        <v>0</v>
      </c>
      <c r="J1996" s="24"/>
      <c r="K1996" s="24"/>
      <c r="L1996" s="12" t="s">
        <v>35</v>
      </c>
      <c r="M1996" s="13" t="e">
        <v>#N/A</v>
      </c>
      <c r="N1996" s="14" t="s">
        <v>12532</v>
      </c>
      <c r="O1996" s="14" t="e">
        <v>#N/A</v>
      </c>
      <c r="P1996" s="14" t="e">
        <v>#N/A</v>
      </c>
      <c r="Q1996" s="14" t="e">
        <v>#N/A</v>
      </c>
      <c r="R1996" s="15" t="s">
        <v>36</v>
      </c>
      <c r="S1996" s="15" t="s">
        <v>6418</v>
      </c>
      <c r="T1996" s="16" t="s">
        <v>12533</v>
      </c>
      <c r="U1996" s="11" t="str">
        <f>_xlfn.XLOOKUP(Customer[[#This Row],[Customer ID]],[1]!Address[ID],[1]!Address[Phone No.(2)])</f>
        <v/>
      </c>
      <c r="V1996" s="11" t="str">
        <f>_xlfn.XLOOKUP(Customer[[#This Row],[Customer ID]],[1]!Address[ID],[1]!Address[Type])</f>
        <v>SPONSORSHIP</v>
      </c>
      <c r="W1996" s="11" t="str">
        <f>_xlfn.XLOOKUP(Customer[[#This Row],[Customer ID]],[1]!Address[ID],[1]!Address[CT])</f>
        <v/>
      </c>
      <c r="X1996" s="11"/>
      <c r="Y1996" s="17" t="s">
        <v>12534</v>
      </c>
      <c r="Z1996" s="17" t="e">
        <f>_xlfn.XLOOKUP(Customer[[#This Row],[NewType]],$AF$36:$AF$54,$AG$36:$AG$54)</f>
        <v>#N/A</v>
      </c>
      <c r="AA1996" s="17" t="s">
        <v>12535</v>
      </c>
      <c r="AB1996" s="11" t="str">
        <f>_xlfn.XLOOKUP(Customer[[#This Row],[Customer ID]],[1]!Address[ID],[1]!Address[Subtype])</f>
        <v>SPONSOR</v>
      </c>
      <c r="AC1996" s="18" t="str">
        <f>_xlfn.XLOOKUP(Customer[[#This Row],[Customer ID]],[1]!Address[ID],[1]!Address[Zone])</f>
        <v>OSSHIPH</v>
      </c>
    </row>
    <row r="1997" spans="1:29" x14ac:dyDescent="0.3">
      <c r="A1997" s="10" t="s">
        <v>12536</v>
      </c>
      <c r="B1997" s="11" t="str">
        <f>_xlfn.XLOOKUP(Customer[[#This Row],[Customer ID]],[1]!Name[ID],[1]!Name[Description(1)])</f>
        <v>NORFAZMI SHAFIQ BIN FADUL ZAMDI</v>
      </c>
      <c r="C1997" s="11" t="str">
        <f>_xlfn.XLOOKUP(Customer[[#This Row],[Customer ID]],[1]!Name[ID],[1]!Name[Description(2)])</f>
        <v>(PRODUCTION KILANG AIR)</v>
      </c>
      <c r="D1997" s="11" t="str">
        <f>_xlfn.XLOOKUP(Customer[[#This Row],[Customer ID]],[1]!Address[ID],[1]!Address[PIC])</f>
        <v>SHAFIQ</v>
      </c>
      <c r="E1997" s="11" t="str">
        <f>_xlfn.XLOOKUP(Customer[[#This Row],[Customer ID]],[1]!Address[ID],[1]!Address[Full Address])</f>
        <v>NO 64 JALAN GUNUNG DATOK 2/2,TAMAN ANGSAMAS FASA 1, 70300 SEREMBAN,NEGERI SEMBILAN</v>
      </c>
      <c r="F1997" s="12" t="s">
        <v>12537</v>
      </c>
      <c r="G1997" s="12" t="s">
        <v>12538</v>
      </c>
      <c r="H1997" s="12" t="s">
        <v>2411</v>
      </c>
      <c r="I1997" s="12" t="b">
        <f>ISNUMBER(VALUE(LEFT(Customer[[#This Row],[Address Line 3 (30 char)]],1)))</f>
        <v>0</v>
      </c>
      <c r="J1997" s="12" t="s">
        <v>203</v>
      </c>
      <c r="K1997" s="12">
        <v>70300</v>
      </c>
      <c r="L1997" s="12" t="s">
        <v>35</v>
      </c>
      <c r="M1997" s="13" t="e">
        <v>#N/A</v>
      </c>
      <c r="N1997" s="14" t="s">
        <v>12532</v>
      </c>
      <c r="O1997" s="14" t="e">
        <v>#N/A</v>
      </c>
      <c r="P1997" s="14" t="e">
        <v>#N/A</v>
      </c>
      <c r="Q1997" s="19" t="s">
        <v>12539</v>
      </c>
      <c r="R1997" s="15" t="s">
        <v>12540</v>
      </c>
      <c r="S1997" s="16" t="s">
        <v>89</v>
      </c>
      <c r="T1997" s="16" t="s">
        <v>89</v>
      </c>
      <c r="U1997" s="11" t="str">
        <f>_xlfn.XLOOKUP(Customer[[#This Row],[Customer ID]],[1]!Address[ID],[1]!Address[Phone No.(2)])</f>
        <v/>
      </c>
      <c r="V1997" s="11" t="str">
        <f>_xlfn.XLOOKUP(Customer[[#This Row],[Customer ID]],[1]!Address[ID],[1]!Address[Type])</f>
        <v>WALK IN</v>
      </c>
      <c r="W1997" s="11" t="str">
        <f>_xlfn.XLOOKUP(Customer[[#This Row],[Customer ID]],[1]!Address[ID],[1]!Address[CT])</f>
        <v/>
      </c>
      <c r="X1997" s="11"/>
      <c r="Y1997" s="17" t="s">
        <v>6284</v>
      </c>
      <c r="Z1997" s="17" t="e">
        <f>_xlfn.XLOOKUP(Customer[[#This Row],[NewType]],$AF$36:$AF$54,$AG$36:$AG$54)</f>
        <v>#N/A</v>
      </c>
      <c r="AA1997" s="17" t="s">
        <v>12541</v>
      </c>
      <c r="AB1997" s="11" t="str">
        <f>_xlfn.XLOOKUP(Customer[[#This Row],[Customer ID]],[1]!Address[ID],[1]!Address[Subtype])</f>
        <v>STAFF</v>
      </c>
      <c r="AC1997" s="18" t="str">
        <f>_xlfn.XLOOKUP(Customer[[#This Row],[Customer ID]],[1]!Address[ID],[1]!Address[Zone])</f>
        <v>CENTRAL</v>
      </c>
    </row>
    <row r="1998" spans="1:29" x14ac:dyDescent="0.3">
      <c r="A1998" s="10" t="s">
        <v>12542</v>
      </c>
      <c r="B1998" s="11" t="str">
        <f>_xlfn.XLOOKUP(Customer[[#This Row],[Customer ID]],[1]!Name[ID],[1]!Name[Description(1)])</f>
        <v>MUHAMMAD AFIQ SYABIL</v>
      </c>
      <c r="C1998" s="11" t="str">
        <f>_xlfn.XLOOKUP(Customer[[#This Row],[Customer ID]],[1]!Name[ID],[1]!Name[Description(2)])</f>
        <v>(PRODUCTION KILANG AIR)</v>
      </c>
      <c r="D1998" s="11" t="str">
        <f>_xlfn.XLOOKUP(Customer[[#This Row],[Customer ID]],[1]!Address[ID],[1]!Address[PIC])</f>
        <v>SYABIL</v>
      </c>
      <c r="E1998" s="11" t="str">
        <f>_xlfn.XLOOKUP(Customer[[#This Row],[Customer ID]],[1]!Address[ID],[1]!Address[Full Address])</f>
        <v>LOT 945, KAMPUNG KANCHONG, 71200RANTAU, NEGERI SEMBILAN</v>
      </c>
      <c r="F1998" s="12" t="s">
        <v>1044</v>
      </c>
      <c r="G1998" s="12" t="s">
        <v>12543</v>
      </c>
      <c r="H1998" s="12" t="s">
        <v>6428</v>
      </c>
      <c r="I1998" s="12" t="b">
        <f>ISNUMBER(VALUE(LEFT(Customer[[#This Row],[Address Line 3 (30 char)]],1)))</f>
        <v>0</v>
      </c>
      <c r="J1998" s="12" t="s">
        <v>203</v>
      </c>
      <c r="K1998" s="12">
        <v>71200</v>
      </c>
      <c r="L1998" s="12" t="s">
        <v>35</v>
      </c>
      <c r="M1998" s="13" t="e">
        <v>#N/A</v>
      </c>
      <c r="N1998" s="14" t="s">
        <v>12544</v>
      </c>
      <c r="O1998" s="14" t="e">
        <v>#N/A</v>
      </c>
      <c r="P1998" s="14" t="e">
        <v>#N/A</v>
      </c>
      <c r="Q1998" s="19" t="s">
        <v>12545</v>
      </c>
      <c r="R1998" s="15" t="s">
        <v>12546</v>
      </c>
      <c r="S1998" s="16" t="s">
        <v>89</v>
      </c>
      <c r="T1998" s="16" t="s">
        <v>89</v>
      </c>
      <c r="U1998" s="11" t="str">
        <f>_xlfn.XLOOKUP(Customer[[#This Row],[Customer ID]],[1]!Address[ID],[1]!Address[Phone No.(2)])</f>
        <v/>
      </c>
      <c r="V1998" s="11" t="str">
        <f>_xlfn.XLOOKUP(Customer[[#This Row],[Customer ID]],[1]!Address[ID],[1]!Address[Type])</f>
        <v>WALK IN</v>
      </c>
      <c r="W1998" s="11" t="str">
        <f>_xlfn.XLOOKUP(Customer[[#This Row],[Customer ID]],[1]!Address[ID],[1]!Address[CT])</f>
        <v/>
      </c>
      <c r="X1998" s="11"/>
      <c r="Y1998" s="17" t="s">
        <v>6284</v>
      </c>
      <c r="Z1998" s="17" t="e">
        <f>_xlfn.XLOOKUP(Customer[[#This Row],[NewType]],$AF$36:$AF$54,$AG$36:$AG$54)</f>
        <v>#N/A</v>
      </c>
      <c r="AA1998" s="17" t="s">
        <v>12547</v>
      </c>
      <c r="AB1998" s="11" t="str">
        <f>_xlfn.XLOOKUP(Customer[[#This Row],[Customer ID]],[1]!Address[ID],[1]!Address[Subtype])</f>
        <v>STAFF</v>
      </c>
      <c r="AC1998" s="18" t="str">
        <f>_xlfn.XLOOKUP(Customer[[#This Row],[Customer ID]],[1]!Address[ID],[1]!Address[Zone])</f>
        <v>CENTRAL</v>
      </c>
    </row>
    <row r="1999" spans="1:29" x14ac:dyDescent="0.3">
      <c r="A1999" s="10" t="s">
        <v>12548</v>
      </c>
      <c r="B1999" s="11" t="str">
        <f>_xlfn.XLOOKUP(Customer[[#This Row],[Customer ID]],[1]!Name[ID],[1]!Name[Description(1)])</f>
        <v>KHAIRUL HAFISZI BIN RAMLI</v>
      </c>
      <c r="C1999" s="11" t="str">
        <f>_xlfn.XLOOKUP(Customer[[#This Row],[Customer ID]],[1]!Name[ID],[1]!Name[Description(2)])</f>
        <v/>
      </c>
      <c r="D1999" s="11" t="str">
        <f>_xlfn.XLOOKUP(Customer[[#This Row],[Customer ID]],[1]!Address[ID],[1]!Address[PIC])</f>
        <v>KHAIRUL</v>
      </c>
      <c r="E1999" s="11" t="str">
        <f>_xlfn.XLOOKUP(Customer[[#This Row],[Customer ID]],[1]!Address[ID],[1]!Address[Full Address])</f>
        <v>BATU 4 1/4 KLEBANG BESAR 75200 MELAKA</v>
      </c>
      <c r="F1999" s="12" t="s">
        <v>12549</v>
      </c>
      <c r="G1999" s="12" t="s">
        <v>12550</v>
      </c>
      <c r="H1999" s="12" t="s">
        <v>12551</v>
      </c>
      <c r="I1999" s="12" t="b">
        <f>ISNUMBER(VALUE(LEFT(Customer[[#This Row],[Address Line 3 (30 char)]],1)))</f>
        <v>0</v>
      </c>
      <c r="J1999" s="12" t="s">
        <v>61</v>
      </c>
      <c r="K1999" s="12">
        <v>75200</v>
      </c>
      <c r="L1999" s="12" t="s">
        <v>35</v>
      </c>
      <c r="M1999" s="13" t="e">
        <v>#N/A</v>
      </c>
      <c r="N1999" s="113" t="s">
        <v>12552</v>
      </c>
      <c r="O1999" s="14" t="e">
        <v>#N/A</v>
      </c>
      <c r="P1999" s="14" t="e">
        <v>#N/A</v>
      </c>
      <c r="Q1999" s="19" t="s">
        <v>12553</v>
      </c>
      <c r="R1999" s="15" t="s">
        <v>12554</v>
      </c>
      <c r="S1999" s="16" t="s">
        <v>89</v>
      </c>
      <c r="T1999" s="16" t="s">
        <v>89</v>
      </c>
      <c r="U1999" s="11" t="str">
        <f>_xlfn.XLOOKUP(Customer[[#This Row],[Customer ID]],[1]!Address[ID],[1]!Address[Phone No.(2)])</f>
        <v/>
      </c>
      <c r="V1999" s="11" t="str">
        <f>_xlfn.XLOOKUP(Customer[[#This Row],[Customer ID]],[1]!Address[ID],[1]!Address[Type])</f>
        <v>WALK IN</v>
      </c>
      <c r="W1999" s="11" t="str">
        <f>_xlfn.XLOOKUP(Customer[[#This Row],[Customer ID]],[1]!Address[ID],[1]!Address[CT])</f>
        <v/>
      </c>
      <c r="X1999" s="11"/>
      <c r="Y1999" s="17" t="s">
        <v>6284</v>
      </c>
      <c r="Z1999" s="17" t="e">
        <f>_xlfn.XLOOKUP(Customer[[#This Row],[NewType]],$AF$36:$AF$54,$AG$36:$AG$54)</f>
        <v>#N/A</v>
      </c>
      <c r="AA1999" s="17" t="s">
        <v>12555</v>
      </c>
      <c r="AB1999" s="11" t="str">
        <f>_xlfn.XLOOKUP(Customer[[#This Row],[Customer ID]],[1]!Address[ID],[1]!Address[Subtype])</f>
        <v>PEDAS</v>
      </c>
      <c r="AC1999" s="18" t="str">
        <f>_xlfn.XLOOKUP(Customer[[#This Row],[Customer ID]],[1]!Address[ID],[1]!Address[Zone])</f>
        <v>SOUTH</v>
      </c>
    </row>
    <row r="2000" spans="1:29" x14ac:dyDescent="0.3">
      <c r="A2000" s="10" t="s">
        <v>12556</v>
      </c>
      <c r="B2000" s="11" t="str">
        <f>_xlfn.XLOOKUP(Customer[[#This Row],[Customer ID]],[1]!Name[ID],[1]!Name[Description(1)])</f>
        <v>MUHD YAZAD BIN YUSOF</v>
      </c>
      <c r="C2000" s="11" t="str">
        <f>_xlfn.XLOOKUP(Customer[[#This Row],[Customer ID]],[1]!Name[ID],[1]!Name[Description(2)])</f>
        <v/>
      </c>
      <c r="D2000" s="11" t="str">
        <f>_xlfn.XLOOKUP(Customer[[#This Row],[Customer ID]],[1]!Address[ID],[1]!Address[PIC])</f>
        <v>YAZAD</v>
      </c>
      <c r="E2000" s="11" t="str">
        <f>_xlfn.XLOOKUP(Customer[[#This Row],[Customer ID]],[1]!Address[ID],[1]!Address[Full Address])</f>
        <v>NO 212 JALAN TME 8, TAMAN MAWAR EHSAN71400 PEDAS, NEGERI SEMBILAN</v>
      </c>
      <c r="F2000" s="12" t="s">
        <v>11975</v>
      </c>
      <c r="G2000" s="12" t="s">
        <v>12557</v>
      </c>
      <c r="H2000" s="12" t="s">
        <v>8914</v>
      </c>
      <c r="I2000" s="12" t="b">
        <f>ISNUMBER(VALUE(LEFT(Customer[[#This Row],[Address Line 3 (30 char)]],1)))</f>
        <v>0</v>
      </c>
      <c r="J2000" s="12" t="s">
        <v>203</v>
      </c>
      <c r="K2000" s="12">
        <v>71400</v>
      </c>
      <c r="L2000" s="12" t="s">
        <v>35</v>
      </c>
      <c r="M2000" s="13" t="e">
        <v>#N/A</v>
      </c>
      <c r="N2000" s="33" t="s">
        <v>11977</v>
      </c>
      <c r="O2000" s="14" t="e">
        <v>#N/A</v>
      </c>
      <c r="P2000" s="14" t="e">
        <v>#N/A</v>
      </c>
      <c r="Q2000" s="19" t="s">
        <v>11978</v>
      </c>
      <c r="R2000" s="15" t="s">
        <v>11979</v>
      </c>
      <c r="S2000" s="16" t="s">
        <v>89</v>
      </c>
      <c r="T2000" s="16" t="s">
        <v>89</v>
      </c>
      <c r="U2000" s="11" t="str">
        <f>_xlfn.XLOOKUP(Customer[[#This Row],[Customer ID]],[1]!Address[ID],[1]!Address[Phone No.(2)])</f>
        <v/>
      </c>
      <c r="V2000" s="11" t="str">
        <f>_xlfn.XLOOKUP(Customer[[#This Row],[Customer ID]],[1]!Address[ID],[1]!Address[Type])</f>
        <v>WALK IN</v>
      </c>
      <c r="W2000" s="11" t="str">
        <f>_xlfn.XLOOKUP(Customer[[#This Row],[Customer ID]],[1]!Address[ID],[1]!Address[CT])</f>
        <v/>
      </c>
      <c r="X2000" s="11"/>
      <c r="Y2000" s="17" t="s">
        <v>6284</v>
      </c>
      <c r="Z2000" s="17" t="e">
        <f>_xlfn.XLOOKUP(Customer[[#This Row],[NewType]],$AF$36:$AF$54,$AG$36:$AG$54)</f>
        <v>#N/A</v>
      </c>
      <c r="AA2000" s="17" t="s">
        <v>12558</v>
      </c>
      <c r="AB2000" s="11" t="str">
        <f>_xlfn.XLOOKUP(Customer[[#This Row],[Customer ID]],[1]!Address[ID],[1]!Address[Subtype])</f>
        <v>STAFF</v>
      </c>
      <c r="AC2000" s="18" t="str">
        <f>_xlfn.XLOOKUP(Customer[[#This Row],[Customer ID]],[1]!Address[ID],[1]!Address[Zone])</f>
        <v>CENTRAL</v>
      </c>
    </row>
    <row r="2001" spans="1:29" x14ac:dyDescent="0.3">
      <c r="A2001" s="10" t="s">
        <v>12559</v>
      </c>
      <c r="B2001" s="11" t="str">
        <f>_xlfn.XLOOKUP(Customer[[#This Row],[Customer ID]],[1]!Name[ID],[1]!Name[Description(1)])</f>
        <v>ASMA BINTI ABD RAHMAN</v>
      </c>
      <c r="C2001" s="11" t="str">
        <f>_xlfn.XLOOKUP(Customer[[#This Row],[Customer ID]],[1]!Name[ID],[1]!Name[Description(2)])</f>
        <v>(CORPORATE)</v>
      </c>
      <c r="D2001" s="11" t="str">
        <f>_xlfn.XLOOKUP(Customer[[#This Row],[Customer ID]],[1]!Address[ID],[1]!Address[PIC])</f>
        <v>ASMA</v>
      </c>
      <c r="E2001" s="11" t="str">
        <f>_xlfn.XLOOKUP(Customer[[#This Row],[Customer ID]],[1]!Address[ID],[1]!Address[Full Address])</f>
        <v>30, JALAN INDAH 2/13, TAMAN UNIVERSITIINDAH, 43300 SERI KEMBANGAN, SELANGOR</v>
      </c>
      <c r="F2001" s="12" t="s">
        <v>12560</v>
      </c>
      <c r="G2001" s="12" t="s">
        <v>12561</v>
      </c>
      <c r="H2001" s="12" t="s">
        <v>8441</v>
      </c>
      <c r="I2001" s="12" t="b">
        <f>ISNUMBER(VALUE(LEFT(Customer[[#This Row],[Address Line 3 (30 char)]],1)))</f>
        <v>0</v>
      </c>
      <c r="J2001" s="12" t="s">
        <v>172</v>
      </c>
      <c r="K2001" s="12">
        <v>43300</v>
      </c>
      <c r="L2001" s="12" t="s">
        <v>35</v>
      </c>
      <c r="M2001" s="13" t="e">
        <v>#N/A</v>
      </c>
      <c r="N2001" s="14" t="s">
        <v>12562</v>
      </c>
      <c r="O2001" s="14" t="e">
        <v>#N/A</v>
      </c>
      <c r="P2001" s="14" t="e">
        <v>#N/A</v>
      </c>
      <c r="Q2001" s="19" t="s">
        <v>12563</v>
      </c>
      <c r="R2001" s="15" t="s">
        <v>12564</v>
      </c>
      <c r="S2001" s="16" t="s">
        <v>89</v>
      </c>
      <c r="T2001" s="16" t="s">
        <v>89</v>
      </c>
      <c r="U2001" s="11" t="str">
        <f>_xlfn.XLOOKUP(Customer[[#This Row],[Customer ID]],[1]!Address[ID],[1]!Address[Phone No.(2)])</f>
        <v/>
      </c>
      <c r="V2001" s="11" t="str">
        <f>_xlfn.XLOOKUP(Customer[[#This Row],[Customer ID]],[1]!Address[ID],[1]!Address[Type])</f>
        <v>WALK IN</v>
      </c>
      <c r="W2001" s="11" t="str">
        <f>_xlfn.XLOOKUP(Customer[[#This Row],[Customer ID]],[1]!Address[ID],[1]!Address[CT])</f>
        <v/>
      </c>
      <c r="X2001" s="11"/>
      <c r="Y2001" s="17" t="s">
        <v>6284</v>
      </c>
      <c r="Z2001" s="17" t="e">
        <f>_xlfn.XLOOKUP(Customer[[#This Row],[NewType]],$AF$36:$AF$54,$AG$36:$AG$54)</f>
        <v>#N/A</v>
      </c>
      <c r="AA2001" s="17" t="s">
        <v>12565</v>
      </c>
      <c r="AB2001" s="11" t="str">
        <f>_xlfn.XLOOKUP(Customer[[#This Row],[Customer ID]],[1]!Address[ID],[1]!Address[Subtype])</f>
        <v>STAFF</v>
      </c>
      <c r="AC2001" s="18" t="str">
        <f>_xlfn.XLOOKUP(Customer[[#This Row],[Customer ID]],[1]!Address[ID],[1]!Address[Zone])</f>
        <v>CORPORATENUDAHH</v>
      </c>
    </row>
    <row r="2002" spans="1:29" x14ac:dyDescent="0.3">
      <c r="A2002" s="10" t="s">
        <v>12566</v>
      </c>
      <c r="B2002" s="11" t="str">
        <f>_xlfn.XLOOKUP(Customer[[#This Row],[Customer ID]],[1]!Name[ID],[1]!Name[Description(1)])</f>
        <v>FARAH IDAYU BINTI ABD HALIM</v>
      </c>
      <c r="C2002" s="11" t="str">
        <f>_xlfn.XLOOKUP(Customer[[#This Row],[Customer ID]],[1]!Name[ID],[1]!Name[Description(2)])</f>
        <v/>
      </c>
      <c r="D2002" s="11" t="str">
        <f>_xlfn.XLOOKUP(Customer[[#This Row],[Customer ID]],[1]!Address[ID],[1]!Address[PIC])</f>
        <v>FARAH</v>
      </c>
      <c r="E2002" s="11" t="str">
        <f>_xlfn.XLOOKUP(Customer[[#This Row],[Customer ID]],[1]!Address[ID],[1]!Address[Full Address])</f>
        <v>SS18/1, 47500 SUBANG JAYA, SELANGOR</v>
      </c>
      <c r="F2002" s="12" t="s">
        <v>12567</v>
      </c>
      <c r="G2002" s="12" t="s">
        <v>12568</v>
      </c>
      <c r="H2002" s="12" t="s">
        <v>12569</v>
      </c>
      <c r="I2002" s="12" t="b">
        <f>ISNUMBER(VALUE(LEFT(Customer[[#This Row],[Address Line 3 (30 char)]],1)))</f>
        <v>0</v>
      </c>
      <c r="J2002" s="12" t="s">
        <v>172</v>
      </c>
      <c r="K2002" s="12">
        <v>47500</v>
      </c>
      <c r="L2002" s="12" t="s">
        <v>35</v>
      </c>
      <c r="M2002" s="13" t="e">
        <v>#N/A</v>
      </c>
      <c r="N2002" s="113" t="s">
        <v>12570</v>
      </c>
      <c r="O2002" s="14" t="e">
        <v>#N/A</v>
      </c>
      <c r="P2002" s="14" t="e">
        <v>#N/A</v>
      </c>
      <c r="Q2002" s="19" t="s">
        <v>12571</v>
      </c>
      <c r="R2002" s="15" t="s">
        <v>12572</v>
      </c>
      <c r="S2002" s="16" t="s">
        <v>89</v>
      </c>
      <c r="T2002" s="16" t="s">
        <v>89</v>
      </c>
      <c r="U2002" s="11" t="str">
        <f>_xlfn.XLOOKUP(Customer[[#This Row],[Customer ID]],[1]!Address[ID],[1]!Address[Phone No.(2)])</f>
        <v/>
      </c>
      <c r="V2002" s="11" t="str">
        <f>_xlfn.XLOOKUP(Customer[[#This Row],[Customer ID]],[1]!Address[ID],[1]!Address[Type])</f>
        <v>WALK IN</v>
      </c>
      <c r="W2002" s="11" t="str">
        <f>_xlfn.XLOOKUP(Customer[[#This Row],[Customer ID]],[1]!Address[ID],[1]!Address[CT])</f>
        <v/>
      </c>
      <c r="X2002" s="11"/>
      <c r="Y2002" s="17" t="s">
        <v>6284</v>
      </c>
      <c r="Z2002" s="17" t="e">
        <f>_xlfn.XLOOKUP(Customer[[#This Row],[NewType]],$AF$36:$AF$54,$AG$36:$AG$54)</f>
        <v>#N/A</v>
      </c>
      <c r="AA2002" s="17" t="s">
        <v>12573</v>
      </c>
      <c r="AB2002" s="11" t="str">
        <f>_xlfn.XLOOKUP(Customer[[#This Row],[Customer ID]],[1]!Address[ID],[1]!Address[Subtype])</f>
        <v>PEDAS</v>
      </c>
      <c r="AC2002" s="18" t="str">
        <f>_xlfn.XLOOKUP(Customer[[#This Row],[Customer ID]],[1]!Address[ID],[1]!Address[Zone])</f>
        <v>CENTRAL</v>
      </c>
    </row>
    <row r="2003" spans="1:29" x14ac:dyDescent="0.3">
      <c r="A2003" s="10" t="s">
        <v>12574</v>
      </c>
      <c r="B2003" s="11" t="str">
        <f>_xlfn.XLOOKUP(Customer[[#This Row],[Customer ID]],[1]!Name[ID],[1]!Name[Description(1)])</f>
        <v>SARINAH MD YASIN</v>
      </c>
      <c r="C2003" s="32" t="str">
        <f>_xlfn.XLOOKUP(Customer[[#This Row],[Customer ID]],[1]!Name[ID],[1]!Name[Description(2)])</f>
        <v/>
      </c>
      <c r="D2003" s="11" t="str">
        <f>_xlfn.XLOOKUP(Customer[[#This Row],[Customer ID]],[1]!Address[ID],[1]!Address[PIC])</f>
        <v>SARINAH</v>
      </c>
      <c r="E2003" s="11" t="str">
        <f>_xlfn.XLOOKUP(Customer[[#This Row],[Customer ID]],[1]!Address[ID],[1]!Address[Full Address])</f>
        <v>NO 13, KAMPUNG BKT PERAH,TANJONG IPOH, KUALA PILAH,NEGERI SEMBILAN</v>
      </c>
      <c r="F2003" s="12" t="s">
        <v>12575</v>
      </c>
      <c r="G2003" s="12" t="s">
        <v>12576</v>
      </c>
      <c r="H2003" s="12"/>
      <c r="I2003" s="12" t="b">
        <f>ISNUMBER(VALUE(LEFT(Customer[[#This Row],[Address Line 3 (30 char)]],1)))</f>
        <v>0</v>
      </c>
      <c r="J2003" s="32" t="s">
        <v>203</v>
      </c>
      <c r="K2003" s="32"/>
      <c r="L2003" s="12" t="s">
        <v>35</v>
      </c>
      <c r="M2003" s="13" t="e">
        <v>#N/A</v>
      </c>
      <c r="N2003" s="15" t="s">
        <v>12433</v>
      </c>
      <c r="O2003" s="14" t="e">
        <v>#N/A</v>
      </c>
      <c r="P2003" s="14" t="e">
        <v>#N/A</v>
      </c>
      <c r="Q2003" s="14" t="e">
        <v>#N/A</v>
      </c>
      <c r="R2003" s="15" t="s">
        <v>12577</v>
      </c>
      <c r="S2003" s="15" t="s">
        <v>4271</v>
      </c>
      <c r="T2003" s="15" t="s">
        <v>89</v>
      </c>
      <c r="U2003" s="11" t="str">
        <f>_xlfn.XLOOKUP(Customer[[#This Row],[Customer ID]],[1]!Address[ID],[1]!Address[Phone No.(2)])</f>
        <v/>
      </c>
      <c r="V2003" s="11" t="str">
        <f>_xlfn.XLOOKUP(Customer[[#This Row],[Customer ID]],[1]!Address[ID],[1]!Address[Type])</f>
        <v>SOCMED</v>
      </c>
      <c r="W2003" s="11" t="str">
        <f>_xlfn.XLOOKUP(Customer[[#This Row],[Customer ID]],[1]!Address[ID],[1]!Address[CT])</f>
        <v/>
      </c>
      <c r="X2003" s="11"/>
      <c r="Y2003" s="17" t="s">
        <v>90</v>
      </c>
      <c r="Z2003" s="17" t="e">
        <f>_xlfn.XLOOKUP(Customer[[#This Row],[NewType]],$AF$36:$AF$54,$AG$36:$AG$54)</f>
        <v>#N/A</v>
      </c>
      <c r="AA2003" s="17" t="s">
        <v>12578</v>
      </c>
      <c r="AB2003" s="11" t="str">
        <f>_xlfn.XLOOKUP(Customer[[#This Row],[Customer ID]],[1]!Address[ID],[1]!Address[Subtype])</f>
        <v>WHATSAPP</v>
      </c>
      <c r="AC2003" s="18" t="str">
        <f>_xlfn.XLOOKUP(Customer[[#This Row],[Customer ID]],[1]!Address[ID],[1]!Address[Zone])</f>
        <v>CENTRAL</v>
      </c>
    </row>
    <row r="2004" spans="1:29" x14ac:dyDescent="0.3">
      <c r="A2004" s="10" t="s">
        <v>12579</v>
      </c>
      <c r="B2004" s="11" t="str">
        <f>_xlfn.XLOOKUP(Customer[[#This Row],[Customer ID]],[1]!Name[ID],[1]!Name[Description(1)])</f>
        <v>NORSILA MD YASIN</v>
      </c>
      <c r="C2004" s="11" t="str">
        <f>_xlfn.XLOOKUP(Customer[[#This Row],[Customer ID]],[1]!Name[ID],[1]!Name[Description(2)])</f>
        <v/>
      </c>
      <c r="D2004" s="11" t="str">
        <f>_xlfn.XLOOKUP(Customer[[#This Row],[Customer ID]],[1]!Address[ID],[1]!Address[PIC])</f>
        <v>NORSILA</v>
      </c>
      <c r="E2004" s="11" t="str">
        <f>_xlfn.XLOOKUP(Customer[[#This Row],[Customer ID]],[1]!Address[ID],[1]!Address[Full Address])</f>
        <v>NO 13, KG BKT PERAH, TANJONG IPOH,71500 KUALA PILAH, NEGERI SEMBILAN</v>
      </c>
      <c r="F2004" s="12" t="s">
        <v>12580</v>
      </c>
      <c r="G2004" s="12" t="s">
        <v>12581</v>
      </c>
      <c r="H2004" s="12" t="s">
        <v>4565</v>
      </c>
      <c r="I2004" s="12" t="b">
        <f>ISNUMBER(VALUE(LEFT(Customer[[#This Row],[Address Line 3 (30 char)]],1)))</f>
        <v>0</v>
      </c>
      <c r="J2004" s="12" t="s">
        <v>203</v>
      </c>
      <c r="K2004" s="12">
        <v>71500</v>
      </c>
      <c r="L2004" s="12" t="s">
        <v>35</v>
      </c>
      <c r="M2004" s="13" t="e">
        <v>#N/A</v>
      </c>
      <c r="N2004" s="15" t="s">
        <v>12433</v>
      </c>
      <c r="O2004" s="14" t="e">
        <v>#N/A</v>
      </c>
      <c r="P2004" s="14" t="e">
        <v>#N/A</v>
      </c>
      <c r="Q2004" s="14" t="e">
        <v>#N/A</v>
      </c>
      <c r="R2004" s="15" t="s">
        <v>12582</v>
      </c>
      <c r="S2004" s="15" t="s">
        <v>4271</v>
      </c>
      <c r="T2004" s="15" t="s">
        <v>89</v>
      </c>
      <c r="U2004" s="11" t="str">
        <f>_xlfn.XLOOKUP(Customer[[#This Row],[Customer ID]],[1]!Address[ID],[1]!Address[Phone No.(2)])</f>
        <v/>
      </c>
      <c r="V2004" s="11" t="str">
        <f>_xlfn.XLOOKUP(Customer[[#This Row],[Customer ID]],[1]!Address[ID],[1]!Address[Type])</f>
        <v>SOCMED</v>
      </c>
      <c r="W2004" s="11" t="str">
        <f>_xlfn.XLOOKUP(Customer[[#This Row],[Customer ID]],[1]!Address[ID],[1]!Address[CT])</f>
        <v/>
      </c>
      <c r="X2004" s="11"/>
      <c r="Y2004" s="17" t="s">
        <v>90</v>
      </c>
      <c r="Z2004" s="17" t="e">
        <f>_xlfn.XLOOKUP(Customer[[#This Row],[NewType]],$AF$36:$AF$54,$AG$36:$AG$54)</f>
        <v>#N/A</v>
      </c>
      <c r="AA2004" s="17" t="s">
        <v>12583</v>
      </c>
      <c r="AB2004" s="11" t="str">
        <f>_xlfn.XLOOKUP(Customer[[#This Row],[Customer ID]],[1]!Address[ID],[1]!Address[Subtype])</f>
        <v>WHATSAPP</v>
      </c>
      <c r="AC2004" s="18" t="str">
        <f>_xlfn.XLOOKUP(Customer[[#This Row],[Customer ID]],[1]!Address[ID],[1]!Address[Zone])</f>
        <v>CENTRAL</v>
      </c>
    </row>
    <row r="2005" spans="1:29" x14ac:dyDescent="0.3">
      <c r="A2005" s="10" t="s">
        <v>12584</v>
      </c>
      <c r="B2005" s="11" t="str">
        <f>_xlfn.XLOOKUP(Customer[[#This Row],[Customer ID]],[1]!Name[ID],[1]!Name[Description(1)])</f>
        <v>ESAH BINTI HAMZAH - MB</v>
      </c>
      <c r="C2005" s="11" t="str">
        <f>_xlfn.XLOOKUP(Customer[[#This Row],[Customer ID]],[1]!Name[ID],[1]!Name[Description(2)])</f>
        <v/>
      </c>
      <c r="D2005" s="11" t="str">
        <f>_xlfn.XLOOKUP(Customer[[#This Row],[Customer ID]],[1]!Address[ID],[1]!Address[PIC])</f>
        <v>ESAH</v>
      </c>
      <c r="E2005" s="11" t="str">
        <f>_xlfn.XLOOKUP(Customer[[#This Row],[Customer ID]],[1]!Address[ID],[1]!Address[Full Address])</f>
        <v>8A, JALAN 1/3P, MUTIARA BANGI,SEKSYEN 1, 43650 BANDAR BARU BANGI,SELANGOR</v>
      </c>
      <c r="F2005" s="12" t="s">
        <v>12585</v>
      </c>
      <c r="G2005" s="12" t="s">
        <v>12586</v>
      </c>
      <c r="H2005" s="119" t="s">
        <v>4481</v>
      </c>
      <c r="I2005" s="119" t="b">
        <f>ISNUMBER(VALUE(LEFT(Customer[[#This Row],[Address Line 3 (30 char)]],1)))</f>
        <v>0</v>
      </c>
      <c r="J2005" s="12" t="s">
        <v>172</v>
      </c>
      <c r="K2005" s="12">
        <v>43650</v>
      </c>
      <c r="L2005" s="12" t="s">
        <v>35</v>
      </c>
      <c r="M2005" s="13" t="e">
        <v>#N/A</v>
      </c>
      <c r="N2005" s="15" t="s">
        <v>12587</v>
      </c>
      <c r="O2005" s="14" t="e">
        <v>#N/A</v>
      </c>
      <c r="P2005" s="14" t="e">
        <v>#N/A</v>
      </c>
      <c r="Q2005" s="21" t="s">
        <v>12588</v>
      </c>
      <c r="R2005" s="15" t="s">
        <v>12589</v>
      </c>
      <c r="S2005" s="15" t="s">
        <v>4271</v>
      </c>
      <c r="T2005" s="15" t="s">
        <v>89</v>
      </c>
      <c r="U2005" s="11" t="str">
        <f>_xlfn.XLOOKUP(Customer[[#This Row],[Customer ID]],[1]!Address[ID],[1]!Address[Phone No.(2)])</f>
        <v/>
      </c>
      <c r="V2005" s="11" t="str">
        <f>_xlfn.XLOOKUP(Customer[[#This Row],[Customer ID]],[1]!Address[ID],[1]!Address[Type])</f>
        <v>SOCMED</v>
      </c>
      <c r="W2005" s="11" t="str">
        <f>_xlfn.XLOOKUP(Customer[[#This Row],[Customer ID]],[1]!Address[ID],[1]!Address[CT])</f>
        <v/>
      </c>
      <c r="X2005" s="11"/>
      <c r="Y2005" s="17" t="s">
        <v>90</v>
      </c>
      <c r="Z2005" s="17" t="e">
        <f>_xlfn.XLOOKUP(Customer[[#This Row],[NewType]],$AF$36:$AF$54,$AG$36:$AG$54)</f>
        <v>#N/A</v>
      </c>
      <c r="AA2005" s="17" t="s">
        <v>12590</v>
      </c>
      <c r="AB2005" s="11" t="str">
        <f>_xlfn.XLOOKUP(Customer[[#This Row],[Customer ID]],[1]!Address[ID],[1]!Address[Subtype])</f>
        <v>WHATSAPP</v>
      </c>
      <c r="AC2005" s="18" t="str">
        <f>_xlfn.XLOOKUP(Customer[[#This Row],[Customer ID]],[1]!Address[ID],[1]!Address[Zone])</f>
        <v>AEEDH</v>
      </c>
    </row>
    <row r="2006" spans="1:29" x14ac:dyDescent="0.3">
      <c r="A2006" s="10" t="s">
        <v>12591</v>
      </c>
      <c r="B2006" s="11" t="str">
        <f>_xlfn.XLOOKUP(Customer[[#This Row],[Customer ID]],[1]!Name[ID],[1]!Name[Description(1)])</f>
        <v>AHMAD NURSYUKRI BIN MIAN</v>
      </c>
      <c r="C2006" s="11" t="str">
        <f>_xlfn.XLOOKUP(Customer[[#This Row],[Customer ID]],[1]!Name[ID],[1]!Name[Description(2)])</f>
        <v/>
      </c>
      <c r="D2006" s="11" t="str">
        <f>_xlfn.XLOOKUP(Customer[[#This Row],[Customer ID]],[1]!Address[ID],[1]!Address[PIC])</f>
        <v>AHMAD</v>
      </c>
      <c r="E2006" s="11" t="str">
        <f>_xlfn.XLOOKUP(Customer[[#This Row],[Customer ID]],[1]!Address[ID],[1]!Address[Full Address])</f>
        <v>BB181 JALAN VISTA BELIMBING 10,TAMAN VISTA BELIMBING 76100 DURIANTUNGGAL, MELAKA</v>
      </c>
      <c r="F2006" s="12" t="s">
        <v>12592</v>
      </c>
      <c r="G2006" s="12" t="s">
        <v>12593</v>
      </c>
      <c r="H2006" s="12" t="s">
        <v>11590</v>
      </c>
      <c r="I2006" s="12" t="b">
        <f>ISNUMBER(VALUE(LEFT(Customer[[#This Row],[Address Line 3 (30 char)]],1)))</f>
        <v>0</v>
      </c>
      <c r="J2006" s="12" t="s">
        <v>61</v>
      </c>
      <c r="K2006" s="12">
        <v>76100</v>
      </c>
      <c r="L2006" s="12" t="s">
        <v>35</v>
      </c>
      <c r="M2006" s="13" t="e">
        <v>#N/A</v>
      </c>
      <c r="N2006" s="113" t="s">
        <v>12594</v>
      </c>
      <c r="O2006" s="14" t="e">
        <v>#N/A</v>
      </c>
      <c r="P2006" s="14" t="e">
        <v>#N/A</v>
      </c>
      <c r="Q2006" s="19" t="s">
        <v>12595</v>
      </c>
      <c r="R2006" s="15" t="s">
        <v>12596</v>
      </c>
      <c r="S2006" s="16" t="s">
        <v>89</v>
      </c>
      <c r="T2006" s="16" t="s">
        <v>89</v>
      </c>
      <c r="U2006" s="11" t="str">
        <f>_xlfn.XLOOKUP(Customer[[#This Row],[Customer ID]],[1]!Address[ID],[1]!Address[Phone No.(2)])</f>
        <v/>
      </c>
      <c r="V2006" s="11" t="str">
        <f>_xlfn.XLOOKUP(Customer[[#This Row],[Customer ID]],[1]!Address[ID],[1]!Address[Type])</f>
        <v>WALK IN</v>
      </c>
      <c r="W2006" s="11" t="str">
        <f>_xlfn.XLOOKUP(Customer[[#This Row],[Customer ID]],[1]!Address[ID],[1]!Address[CT])</f>
        <v/>
      </c>
      <c r="X2006" s="11"/>
      <c r="Y2006" s="17" t="s">
        <v>6284</v>
      </c>
      <c r="Z2006" s="17" t="e">
        <f>_xlfn.XLOOKUP(Customer[[#This Row],[NewType]],$AF$36:$AF$54,$AG$36:$AG$54)</f>
        <v>#N/A</v>
      </c>
      <c r="AA2006" s="17" t="s">
        <v>12597</v>
      </c>
      <c r="AB2006" s="11" t="str">
        <f>_xlfn.XLOOKUP(Customer[[#This Row],[Customer ID]],[1]!Address[ID],[1]!Address[Subtype])</f>
        <v>PEDAS</v>
      </c>
      <c r="AC2006" s="18" t="str">
        <f>_xlfn.XLOOKUP(Customer[[#This Row],[Customer ID]],[1]!Address[ID],[1]!Address[Zone])</f>
        <v>SOUTH</v>
      </c>
    </row>
    <row r="2007" spans="1:29" x14ac:dyDescent="0.3">
      <c r="A2007" s="10" t="s">
        <v>12598</v>
      </c>
      <c r="B2007" s="11" t="str">
        <f>_xlfn.XLOOKUP(Customer[[#This Row],[Customer ID]],[1]!Name[ID],[1]!Name[Description(1)])</f>
        <v>RIA VENTURES SDN BHD</v>
      </c>
      <c r="C2007" s="11" t="str">
        <f>_xlfn.XLOOKUP(Customer[[#This Row],[Customer ID]],[1]!Name[ID],[1]!Name[Description(2)])</f>
        <v>PS MEX HIGHWAY (NORTHBOUND)</v>
      </c>
      <c r="D2007" s="11" t="str">
        <f>_xlfn.XLOOKUP(Customer[[#This Row],[Customer ID]],[1]!Address[ID],[1]!Address[PIC])</f>
        <v/>
      </c>
      <c r="E2007" s="11" t="str">
        <f>_xlfn.XLOOKUP(Customer[[#This Row],[Customer ID]],[1]!Address[ID],[1]!Address[Full Address])</f>
        <v>PS MEX HIGHWAY (NORTHBOUND)STESEN MINYAK PETRONAS DI ATAS PT 83549SEBAHAGIAN‘REST &amp;SERVICE AREA’,LEBUHRAYA–PUTRAJAYA,BDRPUTRA PERMAI,MUKIM</v>
      </c>
      <c r="F2007" s="12" t="s">
        <v>12599</v>
      </c>
      <c r="G2007" s="12" t="s">
        <v>12600</v>
      </c>
      <c r="H2007" s="12" t="s">
        <v>12601</v>
      </c>
      <c r="I2007" s="12" t="b">
        <f>ISNUMBER(VALUE(LEFT(Customer[[#This Row],[Address Line 3 (30 char)]],1)))</f>
        <v>0</v>
      </c>
      <c r="J2007" s="12" t="s">
        <v>172</v>
      </c>
      <c r="K2007" s="12">
        <v>43400</v>
      </c>
      <c r="L2007" s="12" t="s">
        <v>35</v>
      </c>
      <c r="M2007" s="13" t="e">
        <v>#N/A</v>
      </c>
      <c r="N2007" s="14" t="e">
        <v>#N/A</v>
      </c>
      <c r="O2007" s="14" t="e">
        <v>#N/A</v>
      </c>
      <c r="P2007" s="14" t="e">
        <v>#N/A</v>
      </c>
      <c r="Q2007" s="19" t="s">
        <v>12602</v>
      </c>
      <c r="R2007" s="15" t="s">
        <v>12603</v>
      </c>
      <c r="S2007" s="15" t="s">
        <v>37</v>
      </c>
      <c r="T2007" s="16" t="s">
        <v>38</v>
      </c>
      <c r="U2007" s="11" t="str">
        <f>_xlfn.XLOOKUP(Customer[[#This Row],[Customer ID]],[1]!Address[ID],[1]!Address[Phone No.(2)])</f>
        <v/>
      </c>
      <c r="V2007" s="11" t="str">
        <f>_xlfn.XLOOKUP(Customer[[#This Row],[Customer ID]],[1]!Address[ID],[1]!Address[Type])</f>
        <v>PETROMART</v>
      </c>
      <c r="W2007" s="11" t="str">
        <f>_xlfn.XLOOKUP(Customer[[#This Row],[Customer ID]],[1]!Address[ID],[1]!Address[CT])</f>
        <v>30</v>
      </c>
      <c r="X2007" s="11" t="s">
        <v>39</v>
      </c>
      <c r="Y2007" s="17" t="s">
        <v>40</v>
      </c>
      <c r="Z2007" s="17" t="e">
        <f>_xlfn.XLOOKUP(Customer[[#This Row],[NewType]],$AF$36:$AF$54,$AG$36:$AG$54)</f>
        <v>#N/A</v>
      </c>
      <c r="AA2007" s="17" t="s">
        <v>12604</v>
      </c>
      <c r="AB2007" s="11" t="str">
        <f>_xlfn.XLOOKUP(Customer[[#This Row],[Customer ID]],[1]!Address[ID],[1]!Address[Subtype])</f>
        <v>PETRONAS</v>
      </c>
      <c r="AC2007" s="18" t="str">
        <f>_xlfn.XLOOKUP(Customer[[#This Row],[Customer ID]],[1]!Address[ID],[1]!Address[Zone])</f>
        <v>CENTRAL</v>
      </c>
    </row>
    <row r="2008" spans="1:29" x14ac:dyDescent="0.3">
      <c r="A2008" s="10" t="s">
        <v>12605</v>
      </c>
      <c r="B2008" s="11" t="str">
        <f>_xlfn.XLOOKUP(Customer[[#This Row],[Customer ID]],[1]!Name[ID],[1]!Name[Description(1)])</f>
        <v>RIA VENTURES SDN BHD</v>
      </c>
      <c r="C2008" s="11" t="str">
        <f>_xlfn.XLOOKUP(Customer[[#This Row],[Customer ID]],[1]!Name[ID],[1]!Name[Description(2)])</f>
        <v>PS MEX HIGHWAY (SOUTHBOUND)</v>
      </c>
      <c r="D2008" s="11" t="str">
        <f>_xlfn.XLOOKUP(Customer[[#This Row],[Customer ID]],[1]!Address[ID],[1]!Address[PIC])</f>
        <v/>
      </c>
      <c r="E2008" s="11" t="str">
        <f>_xlfn.XLOOKUP(Customer[[#This Row],[Customer ID]],[1]!Address[ID],[1]!Address[Full Address])</f>
        <v>PS MEX HIGHWAY (SOUTHBOUND)STESEN MINYAK PETRONAS DI ATAS PT 83458SEBAHAGIAN ‘REST &amp; SERVICE AREA’ARAH PUTRAJAYA), LEBUHRAYA KL– PUTRAJAYA</v>
      </c>
      <c r="F2008" s="12" t="s">
        <v>12606</v>
      </c>
      <c r="G2008" s="12" t="s">
        <v>12607</v>
      </c>
      <c r="H2008" s="12" t="s">
        <v>12608</v>
      </c>
      <c r="I2008" s="12" t="b">
        <f>ISNUMBER(VALUE(LEFT(Customer[[#This Row],[Address Line 3 (30 char)]],1)))</f>
        <v>0</v>
      </c>
      <c r="J2008" s="12" t="s">
        <v>1907</v>
      </c>
      <c r="K2008" s="12">
        <v>43400</v>
      </c>
      <c r="L2008" s="12" t="s">
        <v>35</v>
      </c>
      <c r="M2008" s="13" t="e">
        <v>#N/A</v>
      </c>
      <c r="N2008" s="14" t="e">
        <v>#N/A</v>
      </c>
      <c r="O2008" s="14" t="e">
        <v>#N/A</v>
      </c>
      <c r="P2008" s="14" t="e">
        <v>#N/A</v>
      </c>
      <c r="Q2008" s="19" t="s">
        <v>12609</v>
      </c>
      <c r="R2008" s="15" t="s">
        <v>12610</v>
      </c>
      <c r="S2008" s="15" t="s">
        <v>37</v>
      </c>
      <c r="T2008" s="16" t="s">
        <v>38</v>
      </c>
      <c r="U2008" s="11" t="str">
        <f>_xlfn.XLOOKUP(Customer[[#This Row],[Customer ID]],[1]!Address[ID],[1]!Address[Phone No.(2)])</f>
        <v/>
      </c>
      <c r="V2008" s="11" t="str">
        <f>_xlfn.XLOOKUP(Customer[[#This Row],[Customer ID]],[1]!Address[ID],[1]!Address[Type])</f>
        <v>PETROMART</v>
      </c>
      <c r="W2008" s="11" t="str">
        <f>_xlfn.XLOOKUP(Customer[[#This Row],[Customer ID]],[1]!Address[ID],[1]!Address[CT])</f>
        <v>30</v>
      </c>
      <c r="X2008" s="11" t="s">
        <v>39</v>
      </c>
      <c r="Y2008" s="17" t="s">
        <v>40</v>
      </c>
      <c r="Z2008" s="17" t="e">
        <f>_xlfn.XLOOKUP(Customer[[#This Row],[NewType]],$AF$36:$AF$54,$AG$36:$AG$54)</f>
        <v>#N/A</v>
      </c>
      <c r="AA2008" s="17" t="s">
        <v>12611</v>
      </c>
      <c r="AB2008" s="11" t="str">
        <f>_xlfn.XLOOKUP(Customer[[#This Row],[Customer ID]],[1]!Address[ID],[1]!Address[Subtype])</f>
        <v>PETRONAS</v>
      </c>
      <c r="AC2008" s="18" t="str">
        <f>_xlfn.XLOOKUP(Customer[[#This Row],[Customer ID]],[1]!Address[ID],[1]!Address[Zone])</f>
        <v>CENTRAL</v>
      </c>
    </row>
    <row r="2009" spans="1:29" x14ac:dyDescent="0.3">
      <c r="A2009" s="10" t="s">
        <v>12612</v>
      </c>
      <c r="B2009" s="11" t="str">
        <f>_xlfn.XLOOKUP(Customer[[#This Row],[Customer ID]],[1]!Name[ID],[1]!Name[Description(1)])</f>
        <v>FARHANA NABILA</v>
      </c>
      <c r="C2009" s="11" t="str">
        <f>_xlfn.XLOOKUP(Customer[[#This Row],[Customer ID]],[1]!Name[ID],[1]!Name[Description(2)])</f>
        <v/>
      </c>
      <c r="D2009" s="11" t="str">
        <f>_xlfn.XLOOKUP(Customer[[#This Row],[Customer ID]],[1]!Address[ID],[1]!Address[PIC])</f>
        <v>FARHANA</v>
      </c>
      <c r="E2009" s="11" t="str">
        <f>_xlfn.XLOOKUP(Customer[[#This Row],[Customer ID]],[1]!Address[ID],[1]!Address[Full Address])</f>
        <v/>
      </c>
      <c r="F2009" s="12" t="s">
        <v>36</v>
      </c>
      <c r="G2009" s="12" t="s">
        <v>36</v>
      </c>
      <c r="H2009" s="12" t="s">
        <v>36</v>
      </c>
      <c r="I2009" s="12" t="b">
        <f>ISNUMBER(VALUE(LEFT(Customer[[#This Row],[Address Line 3 (30 char)]],1)))</f>
        <v>0</v>
      </c>
      <c r="J2009" s="12"/>
      <c r="K2009" s="12"/>
      <c r="L2009" s="12" t="s">
        <v>35</v>
      </c>
      <c r="M2009" s="13" t="e">
        <v>#N/A</v>
      </c>
      <c r="N2009" s="14" t="e">
        <v>#N/A</v>
      </c>
      <c r="O2009" s="14" t="e">
        <v>#N/A</v>
      </c>
      <c r="P2009" s="14" t="e">
        <v>#N/A</v>
      </c>
      <c r="Q2009" s="14" t="e">
        <v>#N/A</v>
      </c>
      <c r="R2009" s="15" t="s">
        <v>12613</v>
      </c>
      <c r="S2009" s="16" t="s">
        <v>89</v>
      </c>
      <c r="T2009" s="16" t="s">
        <v>89</v>
      </c>
      <c r="U2009" s="11" t="str">
        <f>_xlfn.XLOOKUP(Customer[[#This Row],[Customer ID]],[1]!Address[ID],[1]!Address[Phone No.(2)])</f>
        <v/>
      </c>
      <c r="V2009" s="11" t="str">
        <f>_xlfn.XLOOKUP(Customer[[#This Row],[Customer ID]],[1]!Address[ID],[1]!Address[Type])</f>
        <v>WALK IN</v>
      </c>
      <c r="W2009" s="11" t="str">
        <f>_xlfn.XLOOKUP(Customer[[#This Row],[Customer ID]],[1]!Address[ID],[1]!Address[CT])</f>
        <v/>
      </c>
      <c r="X2009" s="11"/>
      <c r="Y2009" s="17" t="s">
        <v>6284</v>
      </c>
      <c r="Z2009" s="17" t="e">
        <f>_xlfn.XLOOKUP(Customer[[#This Row],[NewType]],$AF$36:$AF$54,$AG$36:$AG$54)</f>
        <v>#N/A</v>
      </c>
      <c r="AA2009" s="17" t="s">
        <v>12614</v>
      </c>
      <c r="AB2009" s="11" t="str">
        <f>_xlfn.XLOOKUP(Customer[[#This Row],[Customer ID]],[1]!Address[ID],[1]!Address[Subtype])</f>
        <v>PEDAS</v>
      </c>
      <c r="AC2009" s="18" t="str">
        <f>_xlfn.XLOOKUP(Customer[[#This Row],[Customer ID]],[1]!Address[ID],[1]!Address[Zone])</f>
        <v>D H</v>
      </c>
    </row>
    <row r="2010" spans="1:29" x14ac:dyDescent="0.3">
      <c r="A2010" s="10" t="s">
        <v>12615</v>
      </c>
      <c r="B2010" s="11" t="str">
        <f>_xlfn.XLOOKUP(Customer[[#This Row],[Customer ID]],[1]!Name[ID],[1]!Name[Description(1)])</f>
        <v>MOHAMAD SHAHIBUL FADIL BIN HAMSAN</v>
      </c>
      <c r="C2010" s="11" t="str">
        <f>_xlfn.XLOOKUP(Customer[[#This Row],[Customer ID]],[1]!Name[ID],[1]!Name[Description(2)])</f>
        <v/>
      </c>
      <c r="D2010" s="11" t="str">
        <f>_xlfn.XLOOKUP(Customer[[#This Row],[Customer ID]],[1]!Address[ID],[1]!Address[PIC])</f>
        <v>FADIL</v>
      </c>
      <c r="E2010" s="11" t="str">
        <f>_xlfn.XLOOKUP(Customer[[#This Row],[Customer ID]],[1]!Address[ID],[1]!Address[Full Address])</f>
        <v>NO 286 TAMAN WIDURI INDAH 8,SENAWANG 70450 SEREMBAN NEGERI SEMBILAN</v>
      </c>
      <c r="F2010" s="12" t="s">
        <v>12616</v>
      </c>
      <c r="G2010" s="12" t="s">
        <v>12617</v>
      </c>
      <c r="H2010" s="12" t="s">
        <v>2411</v>
      </c>
      <c r="I2010" s="12" t="b">
        <f>ISNUMBER(VALUE(LEFT(Customer[[#This Row],[Address Line 3 (30 char)]],1)))</f>
        <v>0</v>
      </c>
      <c r="J2010" s="12" t="s">
        <v>203</v>
      </c>
      <c r="K2010" s="12">
        <v>70450</v>
      </c>
      <c r="L2010" s="12" t="s">
        <v>35</v>
      </c>
      <c r="M2010" s="13" t="e">
        <v>#N/A</v>
      </c>
      <c r="N2010" s="14" t="e">
        <v>#N/A</v>
      </c>
      <c r="O2010" s="14" t="e">
        <v>#N/A</v>
      </c>
      <c r="P2010" s="14" t="e">
        <v>#N/A</v>
      </c>
      <c r="Q2010" s="19" t="s">
        <v>12618</v>
      </c>
      <c r="R2010" s="15" t="s">
        <v>12619</v>
      </c>
      <c r="S2010" s="16" t="s">
        <v>89</v>
      </c>
      <c r="T2010" s="16" t="s">
        <v>89</v>
      </c>
      <c r="U2010" s="11" t="str">
        <f>_xlfn.XLOOKUP(Customer[[#This Row],[Customer ID]],[1]!Address[ID],[1]!Address[Phone No.(2)])</f>
        <v/>
      </c>
      <c r="V2010" s="11" t="str">
        <f>_xlfn.XLOOKUP(Customer[[#This Row],[Customer ID]],[1]!Address[ID],[1]!Address[Type])</f>
        <v>WALK IN</v>
      </c>
      <c r="W2010" s="11" t="str">
        <f>_xlfn.XLOOKUP(Customer[[#This Row],[Customer ID]],[1]!Address[ID],[1]!Address[CT])</f>
        <v/>
      </c>
      <c r="X2010" s="11"/>
      <c r="Y2010" s="17" t="s">
        <v>6284</v>
      </c>
      <c r="Z2010" s="17" t="e">
        <f>_xlfn.XLOOKUP(Customer[[#This Row],[NewType]],$AF$36:$AF$54,$AG$36:$AG$54)</f>
        <v>#N/A</v>
      </c>
      <c r="AA2010" s="17" t="s">
        <v>12620</v>
      </c>
      <c r="AB2010" s="11" t="str">
        <f>_xlfn.XLOOKUP(Customer[[#This Row],[Customer ID]],[1]!Address[ID],[1]!Address[Subtype])</f>
        <v>PEDAS</v>
      </c>
      <c r="AC2010" s="18" t="str">
        <f>_xlfn.XLOOKUP(Customer[[#This Row],[Customer ID]],[1]!Address[ID],[1]!Address[Zone])</f>
        <v>CENTRAL</v>
      </c>
    </row>
    <row r="2011" spans="1:29" x14ac:dyDescent="0.3">
      <c r="A2011" s="10" t="s">
        <v>12621</v>
      </c>
      <c r="B2011" s="11" t="str">
        <f>_xlfn.XLOOKUP(Customer[[#This Row],[Customer ID]],[1]!Name[ID],[1]!Name[Description(1)])</f>
        <v>SANIAH BINTI BASIR</v>
      </c>
      <c r="C2011" s="11" t="str">
        <f>_xlfn.XLOOKUP(Customer[[#This Row],[Customer ID]],[1]!Name[ID],[1]!Name[Description(2)])</f>
        <v/>
      </c>
      <c r="D2011" s="11" t="str">
        <f>_xlfn.XLOOKUP(Customer[[#This Row],[Customer ID]],[1]!Address[ID],[1]!Address[PIC])</f>
        <v>SANIAH</v>
      </c>
      <c r="E2011" s="11" t="str">
        <f>_xlfn.XLOOKUP(Customer[[#This Row],[Customer ID]],[1]!Address[ID],[1]!Address[Full Address])</f>
        <v>NO. 64, JALAN 2/2A, BANDAR RICHING,43500 SEMENYIH, SELANGOR</v>
      </c>
      <c r="F2011" s="12" t="s">
        <v>12622</v>
      </c>
      <c r="G2011" s="12" t="s">
        <v>12623</v>
      </c>
      <c r="H2011" s="12" t="s">
        <v>12624</v>
      </c>
      <c r="I2011" s="12" t="b">
        <f>ISNUMBER(VALUE(LEFT(Customer[[#This Row],[Address Line 3 (30 char)]],1)))</f>
        <v>0</v>
      </c>
      <c r="J2011" s="12" t="s">
        <v>172</v>
      </c>
      <c r="K2011" s="12">
        <v>43500</v>
      </c>
      <c r="L2011" s="12" t="s">
        <v>35</v>
      </c>
      <c r="M2011" s="13" t="e">
        <v>#N/A</v>
      </c>
      <c r="N2011" s="14" t="e">
        <v>#N/A</v>
      </c>
      <c r="O2011" s="14" t="e">
        <v>#N/A</v>
      </c>
      <c r="P2011" s="14" t="e">
        <v>#N/A</v>
      </c>
      <c r="Q2011" s="19" t="s">
        <v>12625</v>
      </c>
      <c r="R2011" s="15" t="s">
        <v>12626</v>
      </c>
      <c r="S2011" s="16" t="s">
        <v>89</v>
      </c>
      <c r="T2011" s="16" t="s">
        <v>89</v>
      </c>
      <c r="U2011" s="11" t="str">
        <f>_xlfn.XLOOKUP(Customer[[#This Row],[Customer ID]],[1]!Address[ID],[1]!Address[Phone No.(2)])</f>
        <v/>
      </c>
      <c r="V2011" s="11" t="str">
        <f>_xlfn.XLOOKUP(Customer[[#This Row],[Customer ID]],[1]!Address[ID],[1]!Address[Type])</f>
        <v>WALK IN</v>
      </c>
      <c r="W2011" s="11" t="str">
        <f>_xlfn.XLOOKUP(Customer[[#This Row],[Customer ID]],[1]!Address[ID],[1]!Address[CT])</f>
        <v/>
      </c>
      <c r="X2011" s="11"/>
      <c r="Y2011" s="17" t="s">
        <v>6284</v>
      </c>
      <c r="Z2011" s="17" t="e">
        <f>_xlfn.XLOOKUP(Customer[[#This Row],[NewType]],$AF$36:$AF$54,$AG$36:$AG$54)</f>
        <v>#N/A</v>
      </c>
      <c r="AA2011" s="17" t="s">
        <v>12627</v>
      </c>
      <c r="AB2011" s="11" t="str">
        <f>_xlfn.XLOOKUP(Customer[[#This Row],[Customer ID]],[1]!Address[ID],[1]!Address[Subtype])</f>
        <v>PEDAS</v>
      </c>
      <c r="AC2011" s="18" t="str">
        <f>_xlfn.XLOOKUP(Customer[[#This Row],[Customer ID]],[1]!Address[ID],[1]!Address[Zone])</f>
        <v>D H</v>
      </c>
    </row>
    <row r="2012" spans="1:29" x14ac:dyDescent="0.3">
      <c r="A2012" s="10" t="s">
        <v>12628</v>
      </c>
      <c r="B2012" s="11" t="str">
        <f>_xlfn.XLOOKUP(Customer[[#This Row],[Customer ID]],[1]!Name[ID],[1]!Name[Description(1)])</f>
        <v>MUHAMMAD JAUHARI BIN TURIMAN</v>
      </c>
      <c r="C2012" s="11" t="str">
        <f>_xlfn.XLOOKUP(Customer[[#This Row],[Customer ID]],[1]!Name[ID],[1]!Name[Description(2)])</f>
        <v/>
      </c>
      <c r="D2012" s="11" t="str">
        <f>_xlfn.XLOOKUP(Customer[[#This Row],[Customer ID]],[1]!Address[ID],[1]!Address[PIC])</f>
        <v>JAUHARI</v>
      </c>
      <c r="E2012" s="11" t="str">
        <f>_xlfn.XLOOKUP(Customer[[#This Row],[Customer ID]],[1]!Address[ID],[1]!Address[Full Address])</f>
        <v>NO 25, JLN CEMPAKA B1, F,M 1 , 85300LABIS, JOHOR</v>
      </c>
      <c r="F2012" s="12" t="s">
        <v>12629</v>
      </c>
      <c r="G2012" s="12" t="s">
        <v>12630</v>
      </c>
      <c r="H2012" s="12" t="s">
        <v>12631</v>
      </c>
      <c r="I2012" s="12" t="b">
        <f>ISNUMBER(VALUE(LEFT(Customer[[#This Row],[Address Line 3 (30 char)]],1)))</f>
        <v>0</v>
      </c>
      <c r="J2012" s="12" t="s">
        <v>52</v>
      </c>
      <c r="K2012" s="12">
        <v>85300</v>
      </c>
      <c r="L2012" s="12" t="s">
        <v>35</v>
      </c>
      <c r="M2012" s="13" t="e">
        <v>#N/A</v>
      </c>
      <c r="N2012" s="14" t="e">
        <v>#N/A</v>
      </c>
      <c r="O2012" s="14" t="e">
        <v>#N/A</v>
      </c>
      <c r="P2012" s="14" t="e">
        <v>#N/A</v>
      </c>
      <c r="Q2012" s="19" t="s">
        <v>12632</v>
      </c>
      <c r="R2012" s="15" t="s">
        <v>12633</v>
      </c>
      <c r="S2012" s="16" t="s">
        <v>89</v>
      </c>
      <c r="T2012" s="16" t="s">
        <v>89</v>
      </c>
      <c r="U2012" s="11" t="str">
        <f>_xlfn.XLOOKUP(Customer[[#This Row],[Customer ID]],[1]!Address[ID],[1]!Address[Phone No.(2)])</f>
        <v/>
      </c>
      <c r="V2012" s="11" t="str">
        <f>_xlfn.XLOOKUP(Customer[[#This Row],[Customer ID]],[1]!Address[ID],[1]!Address[Type])</f>
        <v>WALK IN</v>
      </c>
      <c r="W2012" s="11" t="str">
        <f>_xlfn.XLOOKUP(Customer[[#This Row],[Customer ID]],[1]!Address[ID],[1]!Address[CT])</f>
        <v/>
      </c>
      <c r="X2012" s="11"/>
      <c r="Y2012" s="17" t="s">
        <v>6284</v>
      </c>
      <c r="Z2012" s="17" t="e">
        <f>_xlfn.XLOOKUP(Customer[[#This Row],[NewType]],$AF$36:$AF$54,$AG$36:$AG$54)</f>
        <v>#N/A</v>
      </c>
      <c r="AA2012" s="17" t="s">
        <v>12634</v>
      </c>
      <c r="AB2012" s="11" t="str">
        <f>_xlfn.XLOOKUP(Customer[[#This Row],[Customer ID]],[1]!Address[ID],[1]!Address[Subtype])</f>
        <v>PEDAS</v>
      </c>
      <c r="AC2012" s="18" t="str">
        <f>_xlfn.XLOOKUP(Customer[[#This Row],[Customer ID]],[1]!Address[ID],[1]!Address[Zone])</f>
        <v>SOUTH</v>
      </c>
    </row>
    <row r="2013" spans="1:29" x14ac:dyDescent="0.3">
      <c r="A2013" s="10" t="s">
        <v>12635</v>
      </c>
      <c r="B2013" s="11" t="str">
        <f>_xlfn.XLOOKUP(Customer[[#This Row],[Customer ID]],[1]!Name[ID],[1]!Name[Description(1)])</f>
        <v>UMMU SHAFIYAH BINTI ROSLAN</v>
      </c>
      <c r="C2013" s="11" t="str">
        <f>_xlfn.XLOOKUP(Customer[[#This Row],[Customer ID]],[1]!Name[ID],[1]!Name[Description(2)])</f>
        <v/>
      </c>
      <c r="D2013" s="11" t="str">
        <f>_xlfn.XLOOKUP(Customer[[#This Row],[Customer ID]],[1]!Address[ID],[1]!Address[PIC])</f>
        <v>UMMU</v>
      </c>
      <c r="E2013" s="11" t="str">
        <f>_xlfn.XLOOKUP(Customer[[#This Row],[Customer ID]],[1]!Address[ID],[1]!Address[Full Address])</f>
        <v>NO 23 JALAN ECO MAJESTIC 2/3D ECOMAJESTIC 43500 SEMENYIH , SELANGOR</v>
      </c>
      <c r="F2013" s="12" t="s">
        <v>12636</v>
      </c>
      <c r="G2013" s="12" t="s">
        <v>12637</v>
      </c>
      <c r="H2013" s="12" t="s">
        <v>12624</v>
      </c>
      <c r="I2013" s="12" t="b">
        <f>ISNUMBER(VALUE(LEFT(Customer[[#This Row],[Address Line 3 (30 char)]],1)))</f>
        <v>0</v>
      </c>
      <c r="J2013" s="12" t="s">
        <v>172</v>
      </c>
      <c r="K2013" s="12">
        <v>43500</v>
      </c>
      <c r="L2013" s="12" t="s">
        <v>35</v>
      </c>
      <c r="M2013" s="13" t="e">
        <v>#N/A</v>
      </c>
      <c r="N2013" s="14" t="e">
        <v>#N/A</v>
      </c>
      <c r="O2013" s="14" t="e">
        <v>#N/A</v>
      </c>
      <c r="P2013" s="14" t="e">
        <v>#N/A</v>
      </c>
      <c r="Q2013" s="19" t="s">
        <v>12638</v>
      </c>
      <c r="R2013" s="15" t="s">
        <v>12639</v>
      </c>
      <c r="S2013" s="15" t="s">
        <v>4271</v>
      </c>
      <c r="T2013" s="15" t="s">
        <v>89</v>
      </c>
      <c r="U2013" s="11" t="str">
        <f>_xlfn.XLOOKUP(Customer[[#This Row],[Customer ID]],[1]!Address[ID],[1]!Address[Phone No.(2)])</f>
        <v/>
      </c>
      <c r="V2013" s="11" t="str">
        <f>_xlfn.XLOOKUP(Customer[[#This Row],[Customer ID]],[1]!Address[ID],[1]!Address[Type])</f>
        <v>SOCMED</v>
      </c>
      <c r="W2013" s="11" t="str">
        <f>_xlfn.XLOOKUP(Customer[[#This Row],[Customer ID]],[1]!Address[ID],[1]!Address[CT])</f>
        <v/>
      </c>
      <c r="X2013" s="11"/>
      <c r="Y2013" s="17" t="s">
        <v>90</v>
      </c>
      <c r="Z2013" s="17" t="e">
        <f>_xlfn.XLOOKUP(Customer[[#This Row],[NewType]],$AF$36:$AF$54,$AG$36:$AG$54)</f>
        <v>#N/A</v>
      </c>
      <c r="AA2013" s="17" t="s">
        <v>12640</v>
      </c>
      <c r="AB2013" s="11" t="str">
        <f>_xlfn.XLOOKUP(Customer[[#This Row],[Customer ID]],[1]!Address[ID],[1]!Address[Subtype])</f>
        <v>WHATSAPP</v>
      </c>
      <c r="AC2013" s="18" t="str">
        <f>_xlfn.XLOOKUP(Customer[[#This Row],[Customer ID]],[1]!Address[ID],[1]!Address[Zone])</f>
        <v>POUTH</v>
      </c>
    </row>
    <row r="2014" spans="1:29" x14ac:dyDescent="0.3">
      <c r="A2014" s="10" t="s">
        <v>12641</v>
      </c>
      <c r="B2014" s="11" t="str">
        <f>_xlfn.XLOOKUP(Customer[[#This Row],[Customer ID]],[1]!Name[ID],[1]!Name[Description(1)])</f>
        <v>AHMAT JAILANI AL-HAJ BIN PAHRURROZI</v>
      </c>
      <c r="C2014" s="11" t="str">
        <f>_xlfn.XLOOKUP(Customer[[#This Row],[Customer ID]],[1]!Name[ID],[1]!Name[Description(2)])</f>
        <v/>
      </c>
      <c r="D2014" s="11" t="str">
        <f>_xlfn.XLOOKUP(Customer[[#This Row],[Customer ID]],[1]!Address[ID],[1]!Address[PIC])</f>
        <v>AHMAT</v>
      </c>
      <c r="E2014" s="11" t="str">
        <f>_xlfn.XLOOKUP(Customer[[#This Row],[Customer ID]],[1]!Address[ID],[1]!Address[Full Address])</f>
        <v>NO34, KAMPUNG SRI LALANG 71200 RANTAUNEGERI SEMBILAN</v>
      </c>
      <c r="F2014" s="12" t="s">
        <v>12642</v>
      </c>
      <c r="G2014" s="12" t="s">
        <v>12643</v>
      </c>
      <c r="H2014" s="12" t="s">
        <v>6428</v>
      </c>
      <c r="I2014" s="12" t="b">
        <f>ISNUMBER(VALUE(LEFT(Customer[[#This Row],[Address Line 3 (30 char)]],1)))</f>
        <v>0</v>
      </c>
      <c r="J2014" s="12" t="s">
        <v>203</v>
      </c>
      <c r="K2014" s="12">
        <v>71200</v>
      </c>
      <c r="L2014" s="12" t="s">
        <v>35</v>
      </c>
      <c r="M2014" s="13" t="e">
        <v>#N/A</v>
      </c>
      <c r="N2014" s="14" t="e">
        <v>#N/A</v>
      </c>
      <c r="O2014" s="14" t="e">
        <v>#N/A</v>
      </c>
      <c r="P2014" s="14" t="e">
        <v>#N/A</v>
      </c>
      <c r="Q2014" s="19" t="s">
        <v>12644</v>
      </c>
      <c r="R2014" s="15" t="s">
        <v>12645</v>
      </c>
      <c r="S2014" s="16" t="s">
        <v>89</v>
      </c>
      <c r="T2014" s="16" t="s">
        <v>89</v>
      </c>
      <c r="U2014" s="11" t="str">
        <f>_xlfn.XLOOKUP(Customer[[#This Row],[Customer ID]],[1]!Address[ID],[1]!Address[Phone No.(2)])</f>
        <v/>
      </c>
      <c r="V2014" s="11" t="str">
        <f>_xlfn.XLOOKUP(Customer[[#This Row],[Customer ID]],[1]!Address[ID],[1]!Address[Type])</f>
        <v>WALK IN</v>
      </c>
      <c r="W2014" s="11" t="str">
        <f>_xlfn.XLOOKUP(Customer[[#This Row],[Customer ID]],[1]!Address[ID],[1]!Address[CT])</f>
        <v/>
      </c>
      <c r="X2014" s="11"/>
      <c r="Y2014" s="17" t="s">
        <v>6284</v>
      </c>
      <c r="Z2014" s="17" t="e">
        <f>_xlfn.XLOOKUP(Customer[[#This Row],[NewType]],$AF$36:$AF$54,$AG$36:$AG$54)</f>
        <v>#N/A</v>
      </c>
      <c r="AA2014" s="17" t="s">
        <v>12646</v>
      </c>
      <c r="AB2014" s="11" t="str">
        <f>_xlfn.XLOOKUP(Customer[[#This Row],[Customer ID]],[1]!Address[ID],[1]!Address[Subtype])</f>
        <v>STAFF</v>
      </c>
      <c r="AC2014" s="18" t="str">
        <f>_xlfn.XLOOKUP(Customer[[#This Row],[Customer ID]],[1]!Address[ID],[1]!Address[Zone])</f>
        <v>CENTRAL</v>
      </c>
    </row>
    <row r="2015" spans="1:29" x14ac:dyDescent="0.3">
      <c r="A2015" s="10" t="s">
        <v>12647</v>
      </c>
      <c r="B2015" s="11" t="str">
        <f>_xlfn.XLOOKUP(Customer[[#This Row],[Customer ID]],[1]!Name[ID],[1]!Name[Description(1)])</f>
        <v>WNZ CAPITAL SDN. BHD</v>
      </c>
      <c r="C2015" s="11" t="str">
        <f>_xlfn.XLOOKUP(Customer[[#This Row],[Customer ID]],[1]!Name[ID],[1]!Name[Description(2)])</f>
        <v>PS TAMAN ALAM MEGA (ACTIVE)</v>
      </c>
      <c r="D2015" s="11" t="str">
        <f>_xlfn.XLOOKUP(Customer[[#This Row],[Customer ID]],[1]!Address[ID],[1]!Address[PIC])</f>
        <v/>
      </c>
      <c r="E2015" s="11" t="str">
        <f>_xlfn.XLOOKUP(Customer[[#This Row],[Customer ID]],[1]!Address[ID],[1]!Address[Full Address])</f>
        <v>PS TAMAN ALAM MEGA (ACTIVE)PT 5052 1, JALAN 28/37SEKSYEN 28, 40400 SHAHALAM, SELANGOR.</v>
      </c>
      <c r="F2015" s="12" t="s">
        <v>12648</v>
      </c>
      <c r="G2015" s="12" t="s">
        <v>12649</v>
      </c>
      <c r="H2015" s="12" t="s">
        <v>12650</v>
      </c>
      <c r="I2015" s="12" t="b">
        <f>ISNUMBER(VALUE(LEFT(Customer[[#This Row],[Address Line 3 (30 char)]],1)))</f>
        <v>0</v>
      </c>
      <c r="J2015" s="12" t="s">
        <v>1907</v>
      </c>
      <c r="K2015" s="12">
        <v>40400</v>
      </c>
      <c r="L2015" s="12" t="s">
        <v>35</v>
      </c>
      <c r="M2015" s="13" t="e">
        <v>#N/A</v>
      </c>
      <c r="N2015" s="14" t="e">
        <v>#N/A</v>
      </c>
      <c r="O2015" s="14" t="e">
        <v>#N/A</v>
      </c>
      <c r="P2015" s="14" t="e">
        <v>#N/A</v>
      </c>
      <c r="Q2015" s="14" t="e">
        <v>#N/A</v>
      </c>
      <c r="R2015" s="15" t="s">
        <v>12651</v>
      </c>
      <c r="S2015" s="15" t="s">
        <v>37</v>
      </c>
      <c r="T2015" s="16" t="s">
        <v>38</v>
      </c>
      <c r="U2015" s="11" t="str">
        <f>_xlfn.XLOOKUP(Customer[[#This Row],[Customer ID]],[1]!Address[ID],[1]!Address[Phone No.(2)])</f>
        <v/>
      </c>
      <c r="V2015" s="11" t="str">
        <f>_xlfn.XLOOKUP(Customer[[#This Row],[Customer ID]],[1]!Address[ID],[1]!Address[Type])</f>
        <v>PETROMART</v>
      </c>
      <c r="W2015" s="11" t="str">
        <f>_xlfn.XLOOKUP(Customer[[#This Row],[Customer ID]],[1]!Address[ID],[1]!Address[CT])</f>
        <v>30</v>
      </c>
      <c r="X2015" s="11" t="s">
        <v>39</v>
      </c>
      <c r="Y2015" s="17" t="s">
        <v>40</v>
      </c>
      <c r="Z2015" s="17" t="e">
        <f>_xlfn.XLOOKUP(Customer[[#This Row],[NewType]],$AF$36:$AF$54,$AG$36:$AG$54)</f>
        <v>#N/A</v>
      </c>
      <c r="AA2015" s="17" t="s">
        <v>12652</v>
      </c>
      <c r="AB2015" s="11" t="str">
        <f>_xlfn.XLOOKUP(Customer[[#This Row],[Customer ID]],[1]!Address[ID],[1]!Address[Subtype])</f>
        <v>PETRONAS</v>
      </c>
      <c r="AC2015" s="18" t="str">
        <f>_xlfn.XLOOKUP(Customer[[#This Row],[Customer ID]],[1]!Address[ID],[1]!Address[Zone])</f>
        <v>CENTRAL</v>
      </c>
    </row>
    <row r="2016" spans="1:29" x14ac:dyDescent="0.3">
      <c r="A2016" s="10" t="s">
        <v>12653</v>
      </c>
      <c r="B2016" s="11" t="str">
        <f>_xlfn.XLOOKUP(Customer[[#This Row],[Customer ID]],[1]!Name[ID],[1]!Name[Description(1)])</f>
        <v>CHERISH INDULGENCE SDN BHD</v>
      </c>
      <c r="C2016" s="11" t="str">
        <f>_xlfn.XLOOKUP(Customer[[#This Row],[Customer ID]],[1]!Name[ID],[1]!Name[Description(2)])</f>
        <v>PS BAGAN LALANG</v>
      </c>
      <c r="D2016" s="11" t="str">
        <f>_xlfn.XLOOKUP(Customer[[#This Row],[Customer ID]],[1]!Address[ID],[1]!Address[PIC])</f>
        <v/>
      </c>
      <c r="E2016" s="11" t="str">
        <f>_xlfn.XLOOKUP(Customer[[#This Row],[Customer ID]],[1]!Address[ID],[1]!Address[Full Address])</f>
        <v>PS BAGAN LALANGLOT 677, MUKIM 16TAMAN BAGAN LALANG, 13400 BUTTERWORTHPULAU PINANNG</v>
      </c>
      <c r="F2016" s="12" t="s">
        <v>12654</v>
      </c>
      <c r="G2016" s="12" t="s">
        <v>12655</v>
      </c>
      <c r="H2016" s="12" t="s">
        <v>12656</v>
      </c>
      <c r="I2016" s="12" t="b">
        <f>ISNUMBER(VALUE(LEFT(Customer[[#This Row],[Address Line 3 (30 char)]],1)))</f>
        <v>0</v>
      </c>
      <c r="J2016" s="12" t="s">
        <v>179</v>
      </c>
      <c r="K2016" s="12">
        <v>13400</v>
      </c>
      <c r="L2016" s="12" t="s">
        <v>35</v>
      </c>
      <c r="M2016" s="13" t="e">
        <v>#N/A</v>
      </c>
      <c r="N2016" s="14" t="e">
        <v>#N/A</v>
      </c>
      <c r="O2016" s="14" t="e">
        <v>#N/A</v>
      </c>
      <c r="P2016" s="14" t="e">
        <v>#N/A</v>
      </c>
      <c r="Q2016" s="14" t="e">
        <v>#N/A</v>
      </c>
      <c r="R2016" s="15" t="s">
        <v>12657</v>
      </c>
      <c r="S2016" s="15" t="s">
        <v>37</v>
      </c>
      <c r="T2016" s="16" t="s">
        <v>38</v>
      </c>
      <c r="U2016" s="11" t="str">
        <f>_xlfn.XLOOKUP(Customer[[#This Row],[Customer ID]],[1]!Address[ID],[1]!Address[Phone No.(2)])</f>
        <v/>
      </c>
      <c r="V2016" s="11" t="str">
        <f>_xlfn.XLOOKUP(Customer[[#This Row],[Customer ID]],[1]!Address[ID],[1]!Address[Type])</f>
        <v>PETROMART</v>
      </c>
      <c r="W2016" s="11" t="str">
        <f>_xlfn.XLOOKUP(Customer[[#This Row],[Customer ID]],[1]!Address[ID],[1]!Address[CT])</f>
        <v>30</v>
      </c>
      <c r="X2016" s="11" t="s">
        <v>39</v>
      </c>
      <c r="Y2016" s="17" t="s">
        <v>40</v>
      </c>
      <c r="Z2016" s="17" t="e">
        <f>_xlfn.XLOOKUP(Customer[[#This Row],[NewType]],$AF$36:$AF$54,$AG$36:$AG$54)</f>
        <v>#N/A</v>
      </c>
      <c r="AA2016" s="17" t="s">
        <v>12658</v>
      </c>
      <c r="AB2016" s="11" t="str">
        <f>_xlfn.XLOOKUP(Customer[[#This Row],[Customer ID]],[1]!Address[ID],[1]!Address[Subtype])</f>
        <v>PETRONAS</v>
      </c>
      <c r="AC2016" s="18" t="str">
        <f>_xlfn.XLOOKUP(Customer[[#This Row],[Customer ID]],[1]!Address[ID],[1]!Address[Zone])</f>
        <v>NORTH</v>
      </c>
    </row>
    <row r="2017" spans="1:30" x14ac:dyDescent="0.3">
      <c r="A2017" s="10" t="s">
        <v>12659</v>
      </c>
      <c r="B2017" s="11" t="str">
        <f>_xlfn.XLOOKUP(Customer[[#This Row],[Customer ID]],[1]!Name[ID],[1]!Name[Description(1)])</f>
        <v>IDWAN ARIFF BIN ABDUL RAHMAN</v>
      </c>
      <c r="C2017" s="11" t="str">
        <f>_xlfn.XLOOKUP(Customer[[#This Row],[Customer ID]],[1]!Name[ID],[1]!Name[Description(2)])</f>
        <v/>
      </c>
      <c r="D2017" s="11" t="str">
        <f>_xlfn.XLOOKUP(Customer[[#This Row],[Customer ID]],[1]!Address[ID],[1]!Address[PIC])</f>
        <v>IDWAN ARIFF</v>
      </c>
      <c r="E2017" s="11" t="str">
        <f>_xlfn.XLOOKUP(Customer[[#This Row],[Customer ID]],[1]!Address[ID],[1]!Address[Full Address])</f>
        <v>NO. 14, JALAN P11C/17, PRESINT 11,62300 PUTRAJAYA</v>
      </c>
      <c r="F2017" s="12" t="s">
        <v>12660</v>
      </c>
      <c r="G2017" s="12" t="s">
        <v>12661</v>
      </c>
      <c r="H2017" s="12" t="s">
        <v>12662</v>
      </c>
      <c r="I2017" s="12" t="b">
        <f>ISNUMBER(VALUE(LEFT(Customer[[#This Row],[Address Line 3 (30 char)]],1)))</f>
        <v>0</v>
      </c>
      <c r="J2017" s="12" t="s">
        <v>4229</v>
      </c>
      <c r="K2017" s="12">
        <v>62300</v>
      </c>
      <c r="L2017" s="12" t="s">
        <v>35</v>
      </c>
      <c r="M2017" s="13" t="e">
        <v>#N/A</v>
      </c>
      <c r="N2017" s="14" t="e">
        <v>#N/A</v>
      </c>
      <c r="O2017" s="14" t="e">
        <v>#N/A</v>
      </c>
      <c r="P2017" s="14" t="e">
        <v>#N/A</v>
      </c>
      <c r="Q2017" s="19" t="s">
        <v>12663</v>
      </c>
      <c r="R2017" s="15" t="s">
        <v>12664</v>
      </c>
      <c r="S2017" s="15" t="s">
        <v>89</v>
      </c>
      <c r="T2017" s="16" t="s">
        <v>89</v>
      </c>
      <c r="U2017" s="11" t="str">
        <f>_xlfn.XLOOKUP(Customer[[#This Row],[Customer ID]],[1]!Address[ID],[1]!Address[Phone No.(2)])</f>
        <v/>
      </c>
      <c r="V2017" s="11" t="str">
        <f>_xlfn.XLOOKUP(Customer[[#This Row],[Customer ID]],[1]!Address[ID],[1]!Address[Type])</f>
        <v>SOCMED</v>
      </c>
      <c r="W2017" s="11" t="str">
        <f>_xlfn.XLOOKUP(Customer[[#This Row],[Customer ID]],[1]!Address[ID],[1]!Address[CT])</f>
        <v/>
      </c>
      <c r="X2017" s="11"/>
      <c r="Y2017" s="17" t="s">
        <v>90</v>
      </c>
      <c r="Z2017" s="17" t="e">
        <f>_xlfn.XLOOKUP(Customer[[#This Row],[NewType]],$AF$36:$AF$54,$AG$36:$AG$54)</f>
        <v>#N/A</v>
      </c>
      <c r="AA2017" s="17" t="s">
        <v>12665</v>
      </c>
      <c r="AB2017" s="11" t="str">
        <f>_xlfn.XLOOKUP(Customer[[#This Row],[Customer ID]],[1]!Address[ID],[1]!Address[Subtype])</f>
        <v>WHATSAPP</v>
      </c>
      <c r="AC2017" s="18" t="str">
        <f>_xlfn.XLOOKUP(Customer[[#This Row],[Customer ID]],[1]!Address[ID],[1]!Address[Zone])</f>
        <v>CENTRAL</v>
      </c>
    </row>
    <row r="2018" spans="1:30" x14ac:dyDescent="0.3">
      <c r="A2018" s="48" t="s">
        <v>12666</v>
      </c>
      <c r="B2018" s="49" t="str">
        <f>_xlfn.XLOOKUP(Customer[[#This Row],[Customer ID]],[1]!Name[ID],[1]!Name[Description(1)])</f>
        <v>NADIA HALINA BINTI NASARUDIN</v>
      </c>
      <c r="C2018" s="49" t="str">
        <f>_xlfn.XLOOKUP(Customer[[#This Row],[Customer ID]],[1]!Name[ID],[1]!Name[Description(2)])</f>
        <v/>
      </c>
      <c r="D2018" s="49" t="str">
        <f>_xlfn.XLOOKUP(Customer[[#This Row],[Customer ID]],[1]!Address[ID],[1]!Address[PIC])</f>
        <v>NADIA HALINA</v>
      </c>
      <c r="E2018" s="11" t="str">
        <f>_xlfn.XLOOKUP(Customer[[#This Row],[Customer ID]],[1]!Address[ID],[1]!Address[Full Address])</f>
        <v>5, LORONG BURHANUDDIN HELMI 1,TAMAN TUN DR. ISMAIL 60000 KUALA LUMPUR</v>
      </c>
      <c r="F2018" s="29" t="s">
        <v>12667</v>
      </c>
      <c r="G2018" s="29" t="s">
        <v>12668</v>
      </c>
      <c r="H2018" s="29" t="s">
        <v>36</v>
      </c>
      <c r="I2018" s="29" t="b">
        <f>ISNUMBER(VALUE(LEFT(Customer[[#This Row],[Address Line 3 (30 char)]],1)))</f>
        <v>0</v>
      </c>
      <c r="J2018" s="29" t="s">
        <v>34</v>
      </c>
      <c r="K2018" s="29">
        <v>60000</v>
      </c>
      <c r="L2018" s="29" t="s">
        <v>35</v>
      </c>
      <c r="M2018" s="31" t="e">
        <v>#N/A</v>
      </c>
      <c r="N2018" s="36" t="e">
        <v>#N/A</v>
      </c>
      <c r="O2018" s="36" t="e">
        <v>#N/A</v>
      </c>
      <c r="P2018" s="36" t="e">
        <v>#N/A</v>
      </c>
      <c r="Q2018" s="89" t="s">
        <v>12669</v>
      </c>
      <c r="R2018" s="51" t="s">
        <v>12670</v>
      </c>
      <c r="S2018" s="15" t="s">
        <v>4271</v>
      </c>
      <c r="T2018" s="52" t="s">
        <v>89</v>
      </c>
      <c r="U2018" s="49" t="str">
        <f>_xlfn.XLOOKUP(Customer[[#This Row],[Customer ID]],[1]!Address[ID],[1]!Address[Phone No.(2)])</f>
        <v/>
      </c>
      <c r="V2018" s="49" t="str">
        <f>_xlfn.XLOOKUP(Customer[[#This Row],[Customer ID]],[1]!Address[ID],[1]!Address[Type])</f>
        <v>SOCMED</v>
      </c>
      <c r="W2018" s="49" t="str">
        <f>_xlfn.XLOOKUP(Customer[[#This Row],[Customer ID]],[1]!Address[ID],[1]!Address[CT])</f>
        <v/>
      </c>
      <c r="X2018" s="49"/>
      <c r="Y2018" s="53" t="s">
        <v>90</v>
      </c>
      <c r="Z2018" s="53" t="e">
        <f>_xlfn.XLOOKUP(Customer[[#This Row],[NewType]],$AF$36:$AF$54,$AG$36:$AG$54)</f>
        <v>#N/A</v>
      </c>
      <c r="AA2018" s="53" t="s">
        <v>12671</v>
      </c>
      <c r="AB2018" s="49" t="str">
        <f>_xlfn.XLOOKUP(Customer[[#This Row],[Customer ID]],[1]!Address[ID],[1]!Address[Subtype])</f>
        <v>WHATSAPP</v>
      </c>
      <c r="AC2018" s="54" t="str">
        <f>_xlfn.XLOOKUP(Customer[[#This Row],[Customer ID]],[1]!Address[ID],[1]!Address[Zone])</f>
        <v>CENTRAL</v>
      </c>
      <c r="AD2018" s="55"/>
    </row>
    <row r="2019" spans="1:30" x14ac:dyDescent="0.3">
      <c r="A2019" s="10" t="s">
        <v>12672</v>
      </c>
      <c r="B2019" s="11" t="str">
        <f>_xlfn.XLOOKUP(Customer[[#This Row],[Customer ID]],[1]!Name[ID],[1]!Name[Description(1)])</f>
        <v>NOR SHAFIKA ZAHARI</v>
      </c>
      <c r="C2019" s="11" t="str">
        <f>_xlfn.XLOOKUP(Customer[[#This Row],[Customer ID]],[1]!Name[ID],[1]!Name[Description(2)])</f>
        <v>(PRODUCTION KILANG AIR)</v>
      </c>
      <c r="D2019" s="11" t="str">
        <f>_xlfn.XLOOKUP(Customer[[#This Row],[Customer ID]],[1]!Address[ID],[1]!Address[PIC])</f>
        <v>SHAFIKA</v>
      </c>
      <c r="E2019" s="11" t="str">
        <f>_xlfn.XLOOKUP(Customer[[#This Row],[Customer ID]],[1]!Address[ID],[1]!Address[Full Address])</f>
        <v>NO 24 JALAN UTAMA TAMAN SRI ANGGERIK71200 RANTAU, NEGERI SEMBILAN</v>
      </c>
      <c r="F2019" s="12" t="s">
        <v>12673</v>
      </c>
      <c r="G2019" s="12" t="s">
        <v>12217</v>
      </c>
      <c r="H2019" s="12" t="s">
        <v>6428</v>
      </c>
      <c r="I2019" s="12" t="b">
        <f>ISNUMBER(VALUE(LEFT(Customer[[#This Row],[Address Line 3 (30 char)]],1)))</f>
        <v>0</v>
      </c>
      <c r="J2019" s="12" t="s">
        <v>203</v>
      </c>
      <c r="K2019" s="12">
        <v>71200</v>
      </c>
      <c r="L2019" s="12" t="s">
        <v>35</v>
      </c>
      <c r="M2019" s="13" t="e">
        <v>#N/A</v>
      </c>
      <c r="N2019" s="14" t="e">
        <v>#N/A</v>
      </c>
      <c r="O2019" s="14" t="e">
        <v>#N/A</v>
      </c>
      <c r="P2019" s="14" t="e">
        <v>#N/A</v>
      </c>
      <c r="Q2019" s="19" t="s">
        <v>12674</v>
      </c>
      <c r="R2019" s="15" t="s">
        <v>12675</v>
      </c>
      <c r="S2019" s="16" t="s">
        <v>89</v>
      </c>
      <c r="T2019" s="16" t="s">
        <v>89</v>
      </c>
      <c r="U2019" s="11" t="str">
        <f>_xlfn.XLOOKUP(Customer[[#This Row],[Customer ID]],[1]!Address[ID],[1]!Address[Phone No.(2)])</f>
        <v/>
      </c>
      <c r="V2019" s="11" t="str">
        <f>_xlfn.XLOOKUP(Customer[[#This Row],[Customer ID]],[1]!Address[ID],[1]!Address[Type])</f>
        <v>WALK IN</v>
      </c>
      <c r="W2019" s="11" t="str">
        <f>_xlfn.XLOOKUP(Customer[[#This Row],[Customer ID]],[1]!Address[ID],[1]!Address[CT])</f>
        <v/>
      </c>
      <c r="X2019" s="11"/>
      <c r="Y2019" s="17" t="s">
        <v>6284</v>
      </c>
      <c r="Z2019" s="17" t="e">
        <f>_xlfn.XLOOKUP(Customer[[#This Row],[NewType]],$AF$36:$AF$54,$AG$36:$AG$54)</f>
        <v>#N/A</v>
      </c>
      <c r="AA2019" s="17" t="s">
        <v>12676</v>
      </c>
      <c r="AB2019" s="11" t="str">
        <f>_xlfn.XLOOKUP(Customer[[#This Row],[Customer ID]],[1]!Address[ID],[1]!Address[Subtype])</f>
        <v>STAFF</v>
      </c>
      <c r="AC2019" s="18" t="str">
        <f>_xlfn.XLOOKUP(Customer[[#This Row],[Customer ID]],[1]!Address[ID],[1]!Address[Zone])</f>
        <v>CENTRAL</v>
      </c>
    </row>
    <row r="2020" spans="1:30" x14ac:dyDescent="0.3">
      <c r="A2020" s="10" t="s">
        <v>12677</v>
      </c>
      <c r="B2020" s="11" t="str">
        <f>_xlfn.XLOOKUP(Customer[[#This Row],[Customer ID]],[1]!Name[ID],[1]!Name[Description(1)])</f>
        <v>MUHAMMAD DANIAL HILMIE BIN ASMAWI</v>
      </c>
      <c r="C2020" s="11" t="str">
        <f>_xlfn.XLOOKUP(Customer[[#This Row],[Customer ID]],[1]!Name[ID],[1]!Name[Description(2)])</f>
        <v>(PRODUCTION KILANG AIR)</v>
      </c>
      <c r="D2020" s="11" t="str">
        <f>_xlfn.XLOOKUP(Customer[[#This Row],[Customer ID]],[1]!Address[ID],[1]!Address[PIC])</f>
        <v>DANIAL</v>
      </c>
      <c r="E2020" s="11" t="str">
        <f>_xlfn.XLOOKUP(Customer[[#This Row],[Customer ID]],[1]!Address[ID],[1]!Address[Full Address])</f>
        <v>No11,LORONG SRI ANGGERIK 2/2,TAMAN SRI ANGGERIK,71200,SEREMBANNEGERI SEMBILAN</v>
      </c>
      <c r="F2020" s="12" t="s">
        <v>12678</v>
      </c>
      <c r="G2020" s="12" t="s">
        <v>12679</v>
      </c>
      <c r="H2020" s="12" t="s">
        <v>2411</v>
      </c>
      <c r="I2020" s="12" t="b">
        <f>ISNUMBER(VALUE(LEFT(Customer[[#This Row],[Address Line 3 (30 char)]],1)))</f>
        <v>0</v>
      </c>
      <c r="J2020" s="12" t="s">
        <v>203</v>
      </c>
      <c r="K2020" s="12">
        <v>71200</v>
      </c>
      <c r="L2020" s="12" t="s">
        <v>35</v>
      </c>
      <c r="M2020" s="13" t="e">
        <v>#N/A</v>
      </c>
      <c r="N2020" s="14" t="e">
        <v>#N/A</v>
      </c>
      <c r="O2020" s="14" t="e">
        <v>#N/A</v>
      </c>
      <c r="P2020" s="14" t="e">
        <v>#N/A</v>
      </c>
      <c r="Q2020" s="19" t="s">
        <v>12680</v>
      </c>
      <c r="R2020" s="15" t="s">
        <v>12681</v>
      </c>
      <c r="S2020" s="16" t="s">
        <v>89</v>
      </c>
      <c r="T2020" s="16" t="s">
        <v>89</v>
      </c>
      <c r="U2020" s="11" t="str">
        <f>_xlfn.XLOOKUP(Customer[[#This Row],[Customer ID]],[1]!Address[ID],[1]!Address[Phone No.(2)])</f>
        <v/>
      </c>
      <c r="V2020" s="11" t="str">
        <f>_xlfn.XLOOKUP(Customer[[#This Row],[Customer ID]],[1]!Address[ID],[1]!Address[Type])</f>
        <v>WALK IN</v>
      </c>
      <c r="W2020" s="11" t="str">
        <f>_xlfn.XLOOKUP(Customer[[#This Row],[Customer ID]],[1]!Address[ID],[1]!Address[CT])</f>
        <v/>
      </c>
      <c r="X2020" s="11"/>
      <c r="Y2020" s="17" t="s">
        <v>6284</v>
      </c>
      <c r="Z2020" s="17" t="e">
        <f>_xlfn.XLOOKUP(Customer[[#This Row],[NewType]],$AF$36:$AF$54,$AG$36:$AG$54)</f>
        <v>#N/A</v>
      </c>
      <c r="AA2020" s="17" t="s">
        <v>12682</v>
      </c>
      <c r="AB2020" s="11" t="str">
        <f>_xlfn.XLOOKUP(Customer[[#This Row],[Customer ID]],[1]!Address[ID],[1]!Address[Subtype])</f>
        <v>STAFF</v>
      </c>
      <c r="AC2020" s="18" t="str">
        <f>_xlfn.XLOOKUP(Customer[[#This Row],[Customer ID]],[1]!Address[ID],[1]!Address[Zone])</f>
        <v>CENTRAL</v>
      </c>
    </row>
    <row r="2021" spans="1:30" x14ac:dyDescent="0.3">
      <c r="A2021" s="10" t="s">
        <v>12683</v>
      </c>
      <c r="B2021" s="11" t="str">
        <f>_xlfn.XLOOKUP(Customer[[#This Row],[Customer ID]],[1]!Name[ID],[1]!Name[Description(1)])</f>
        <v>MUHAMMAD ASYRAF BIN MD ISA</v>
      </c>
      <c r="C2021" s="11" t="str">
        <f>_xlfn.XLOOKUP(Customer[[#This Row],[Customer ID]],[1]!Name[ID],[1]!Name[Description(2)])</f>
        <v>(PRODUCTION KILANG AIR)</v>
      </c>
      <c r="D2021" s="11" t="str">
        <f>_xlfn.XLOOKUP(Customer[[#This Row],[Customer ID]],[1]!Address[ID],[1]!Address[PIC])</f>
        <v>ASYRAF</v>
      </c>
      <c r="E2021" s="11" t="str">
        <f>_xlfn.XLOOKUP(Customer[[#This Row],[Customer ID]],[1]!Address[ID],[1]!Address[Full Address])</f>
        <v>NO 55, KAMPUNG SELIAU RANTAU71200 RANTAU, NEGERI SEMBILAN</v>
      </c>
      <c r="F2021" s="12" t="s">
        <v>12684</v>
      </c>
      <c r="G2021" s="12" t="s">
        <v>6428</v>
      </c>
      <c r="H2021" s="12" t="s">
        <v>36</v>
      </c>
      <c r="I2021" s="12" t="b">
        <f>ISNUMBER(VALUE(LEFT(Customer[[#This Row],[Address Line 3 (30 char)]],1)))</f>
        <v>0</v>
      </c>
      <c r="J2021" s="12" t="s">
        <v>203</v>
      </c>
      <c r="K2021" s="12">
        <v>71200</v>
      </c>
      <c r="L2021" s="12" t="s">
        <v>35</v>
      </c>
      <c r="M2021" s="13" t="e">
        <v>#N/A</v>
      </c>
      <c r="N2021" s="14" t="e">
        <v>#N/A</v>
      </c>
      <c r="O2021" s="14" t="e">
        <v>#N/A</v>
      </c>
      <c r="P2021" s="14" t="e">
        <v>#N/A</v>
      </c>
      <c r="Q2021" s="19" t="s">
        <v>12685</v>
      </c>
      <c r="R2021" s="15" t="s">
        <v>12686</v>
      </c>
      <c r="S2021" s="16" t="s">
        <v>89</v>
      </c>
      <c r="T2021" s="16" t="s">
        <v>89</v>
      </c>
      <c r="U2021" s="11" t="str">
        <f>_xlfn.XLOOKUP(Customer[[#This Row],[Customer ID]],[1]!Address[ID],[1]!Address[Phone No.(2)])</f>
        <v/>
      </c>
      <c r="V2021" s="11" t="str">
        <f>_xlfn.XLOOKUP(Customer[[#This Row],[Customer ID]],[1]!Address[ID],[1]!Address[Type])</f>
        <v>WALK IN</v>
      </c>
      <c r="W2021" s="11" t="str">
        <f>_xlfn.XLOOKUP(Customer[[#This Row],[Customer ID]],[1]!Address[ID],[1]!Address[CT])</f>
        <v/>
      </c>
      <c r="X2021" s="11"/>
      <c r="Y2021" s="17" t="s">
        <v>6284</v>
      </c>
      <c r="Z2021" s="17" t="e">
        <f>_xlfn.XLOOKUP(Customer[[#This Row],[NewType]],$AF$36:$AF$54,$AG$36:$AG$54)</f>
        <v>#N/A</v>
      </c>
      <c r="AA2021" s="17" t="s">
        <v>12687</v>
      </c>
      <c r="AB2021" s="11" t="str">
        <f>_xlfn.XLOOKUP(Customer[[#This Row],[Customer ID]],[1]!Address[ID],[1]!Address[Subtype])</f>
        <v>STAFF</v>
      </c>
      <c r="AC2021" s="18" t="str">
        <f>_xlfn.XLOOKUP(Customer[[#This Row],[Customer ID]],[1]!Address[ID],[1]!Address[Zone])</f>
        <v>CENTRAL</v>
      </c>
    </row>
    <row r="2022" spans="1:30" x14ac:dyDescent="0.3">
      <c r="A2022" s="10" t="s">
        <v>12688</v>
      </c>
      <c r="B2022" s="11" t="str">
        <f>_xlfn.XLOOKUP(Customer[[#This Row],[Customer ID]],[1]!Name[ID],[1]!Name[Description(1)])</f>
        <v>RAMLI B. MOHD JAWI (MB)</v>
      </c>
      <c r="C2022" s="11" t="str">
        <f>_xlfn.XLOOKUP(Customer[[#This Row],[Customer ID]],[1]!Name[ID],[1]!Name[Description(2)])</f>
        <v/>
      </c>
      <c r="D2022" s="11" t="str">
        <f>_xlfn.XLOOKUP(Customer[[#This Row],[Customer ID]],[1]!Address[ID],[1]!Address[PIC])</f>
        <v>RAMLI</v>
      </c>
      <c r="E2022" s="11" t="str">
        <f>_xlfn.XLOOKUP(Customer[[#This Row],[Customer ID]],[1]!Address[ID],[1]!Address[Full Address])</f>
        <v>NO. 7, JALAN 5C/6, SEKSYEN 5,BANDAR BARU BANGI,43650 SELANGOR</v>
      </c>
      <c r="F2022" s="12" t="s">
        <v>12689</v>
      </c>
      <c r="G2022" s="12" t="s">
        <v>4481</v>
      </c>
      <c r="H2022" s="12" t="s">
        <v>36</v>
      </c>
      <c r="I2022" s="12" t="b">
        <f>ISNUMBER(VALUE(LEFT(Customer[[#This Row],[Address Line 3 (30 char)]],1)))</f>
        <v>0</v>
      </c>
      <c r="J2022" s="12" t="s">
        <v>1907</v>
      </c>
      <c r="K2022" s="12">
        <v>43650</v>
      </c>
      <c r="L2022" s="12" t="s">
        <v>35</v>
      </c>
      <c r="M2022" s="13" t="e">
        <v>#N/A</v>
      </c>
      <c r="N2022" s="14" t="e">
        <v>#N/A</v>
      </c>
      <c r="O2022" s="14" t="e">
        <v>#N/A</v>
      </c>
      <c r="P2022" s="14" t="e">
        <v>#N/A</v>
      </c>
      <c r="Q2022" s="19" t="s">
        <v>12690</v>
      </c>
      <c r="R2022" s="15" t="s">
        <v>12691</v>
      </c>
      <c r="S2022" s="15" t="s">
        <v>4271</v>
      </c>
      <c r="T2022" s="16" t="s">
        <v>89</v>
      </c>
      <c r="U2022" s="11" t="str">
        <f>_xlfn.XLOOKUP(Customer[[#This Row],[Customer ID]],[1]!Address[ID],[1]!Address[Phone No.(2)])</f>
        <v/>
      </c>
      <c r="V2022" s="11" t="str">
        <f>_xlfn.XLOOKUP(Customer[[#This Row],[Customer ID]],[1]!Address[ID],[1]!Address[Type])</f>
        <v>SOCMED</v>
      </c>
      <c r="W2022" s="11" t="str">
        <f>_xlfn.XLOOKUP(Customer[[#This Row],[Customer ID]],[1]!Address[ID],[1]!Address[CT])</f>
        <v/>
      </c>
      <c r="X2022" s="11"/>
      <c r="Y2022" s="17" t="s">
        <v>90</v>
      </c>
      <c r="Z2022" s="17" t="e">
        <f>_xlfn.XLOOKUP(Customer[[#This Row],[NewType]],$AF$36:$AF$54,$AG$36:$AG$54)</f>
        <v>#N/A</v>
      </c>
      <c r="AA2022" s="17" t="s">
        <v>12692</v>
      </c>
      <c r="AB2022" s="11" t="str">
        <f>_xlfn.XLOOKUP(Customer[[#This Row],[Customer ID]],[1]!Address[ID],[1]!Address[Subtype])</f>
        <v>WHATSAPP</v>
      </c>
      <c r="AC2022" s="18" t="str">
        <f>_xlfn.XLOOKUP(Customer[[#This Row],[Customer ID]],[1]!Address[ID],[1]!Address[Zone])</f>
        <v>AEEDH</v>
      </c>
    </row>
    <row r="2023" spans="1:30" x14ac:dyDescent="0.3">
      <c r="A2023" s="10" t="s">
        <v>12693</v>
      </c>
      <c r="B2023" s="11" t="str">
        <f>_xlfn.XLOOKUP(Customer[[#This Row],[Customer ID]],[1]!Name[ID],[1]!Name[Description(1)])</f>
        <v>ASSALIKIN SERVICE STATION</v>
      </c>
      <c r="C2023" s="11" t="str">
        <f>_xlfn.XLOOKUP(Customer[[#This Row],[Customer ID]],[1]!Name[ID],[1]!Name[Description(2)])</f>
        <v>PS BATU GAJAH</v>
      </c>
      <c r="D2023" s="11" t="str">
        <f>_xlfn.XLOOKUP(Customer[[#This Row],[Customer ID]],[1]!Address[ID],[1]!Address[PIC])</f>
        <v/>
      </c>
      <c r="E2023" s="11" t="str">
        <f>_xlfn.XLOOKUP(Customer[[#This Row],[Customer ID]],[1]!Address[ID],[1]!Address[Full Address])</f>
        <v>PS BATU GAJAHLOT 43881, JALAN GOPENG31000 BATU GAJAHPERAK MALAYSIA</v>
      </c>
      <c r="F2023" s="12" t="s">
        <v>12694</v>
      </c>
      <c r="G2023" s="12" t="s">
        <v>12695</v>
      </c>
      <c r="H2023" s="24" t="s">
        <v>12696</v>
      </c>
      <c r="I2023" s="24" t="b">
        <f>ISNUMBER(VALUE(LEFT(Customer[[#This Row],[Address Line 3 (30 char)]],1)))</f>
        <v>0</v>
      </c>
      <c r="J2023" s="12" t="s">
        <v>242</v>
      </c>
      <c r="K2023" s="12">
        <v>31000</v>
      </c>
      <c r="L2023" s="12" t="s">
        <v>35</v>
      </c>
      <c r="M2023" s="13">
        <v>200703143200</v>
      </c>
      <c r="N2023" s="14" t="s">
        <v>12697</v>
      </c>
      <c r="O2023" s="14" t="e">
        <v>#N/A</v>
      </c>
      <c r="P2023" s="14" t="e">
        <v>#N/A</v>
      </c>
      <c r="Q2023" s="19" t="s">
        <v>12698</v>
      </c>
      <c r="R2023" s="15" t="s">
        <v>12699</v>
      </c>
      <c r="S2023" s="15" t="s">
        <v>37</v>
      </c>
      <c r="T2023" s="16" t="s">
        <v>38</v>
      </c>
      <c r="U2023" s="11" t="str">
        <f>_xlfn.XLOOKUP(Customer[[#This Row],[Customer ID]],[1]!Address[ID],[1]!Address[Phone No.(2)])</f>
        <v/>
      </c>
      <c r="V2023" s="11" t="str">
        <f>_xlfn.XLOOKUP(Customer[[#This Row],[Customer ID]],[1]!Address[ID],[1]!Address[Type])</f>
        <v>PETROMART</v>
      </c>
      <c r="W2023" s="11" t="str">
        <f>_xlfn.XLOOKUP(Customer[[#This Row],[Customer ID]],[1]!Address[ID],[1]!Address[CT])</f>
        <v>30</v>
      </c>
      <c r="X2023" s="11" t="s">
        <v>39</v>
      </c>
      <c r="Y2023" s="17" t="s">
        <v>40</v>
      </c>
      <c r="Z2023" s="17" t="e">
        <f>_xlfn.XLOOKUP(Customer[[#This Row],[NewType]],$AF$36:$AF$54,$AG$36:$AG$54)</f>
        <v>#N/A</v>
      </c>
      <c r="AA2023" s="17" t="s">
        <v>12700</v>
      </c>
      <c r="AB2023" s="11" t="str">
        <f>_xlfn.XLOOKUP(Customer[[#This Row],[Customer ID]],[1]!Address[ID],[1]!Address[Subtype])</f>
        <v>PETRONAS</v>
      </c>
      <c r="AC2023" s="18" t="str">
        <f>_xlfn.XLOOKUP(Customer[[#This Row],[Customer ID]],[1]!Address[ID],[1]!Address[Zone])</f>
        <v>NORTH</v>
      </c>
    </row>
    <row r="2024" spans="1:30" x14ac:dyDescent="0.3">
      <c r="A2024" s="10" t="s">
        <v>12701</v>
      </c>
      <c r="B2024" s="11" t="str">
        <f>_xlfn.XLOOKUP(Customer[[#This Row],[Customer ID]],[1]!Name[ID],[1]!Name[Description(1)])</f>
        <v>MUHAMMAD FARIS BIN HASANUDDIN</v>
      </c>
      <c r="C2024" s="11" t="str">
        <f>_xlfn.XLOOKUP(Customer[[#This Row],[Customer ID]],[1]!Name[ID],[1]!Name[Description(2)])</f>
        <v/>
      </c>
      <c r="D2024" s="11" t="str">
        <f>_xlfn.XLOOKUP(Customer[[#This Row],[Customer ID]],[1]!Address[ID],[1]!Address[PIC])</f>
        <v>FARIS</v>
      </c>
      <c r="E2024" s="11" t="str">
        <f>_xlfn.XLOOKUP(Customer[[#This Row],[Customer ID]],[1]!Address[ID],[1]!Address[Full Address])</f>
        <v>NO.149,JALAN PI 4,TAMAN PEDAS INDAH,71400 PEDAS,NEGERI SEMBILAN</v>
      </c>
      <c r="F2024" s="12" t="s">
        <v>12702</v>
      </c>
      <c r="G2024" s="12" t="s">
        <v>12703</v>
      </c>
      <c r="H2024" s="12" t="s">
        <v>8914</v>
      </c>
      <c r="I2024" s="12" t="b">
        <f>ISNUMBER(VALUE(LEFT(Customer[[#This Row],[Address Line 3 (30 char)]],1)))</f>
        <v>0</v>
      </c>
      <c r="J2024" s="12" t="s">
        <v>203</v>
      </c>
      <c r="K2024" s="12">
        <v>71400</v>
      </c>
      <c r="L2024" s="12" t="s">
        <v>35</v>
      </c>
      <c r="M2024" s="13" t="e">
        <v>#N/A</v>
      </c>
      <c r="N2024" s="14" t="e">
        <v>#N/A</v>
      </c>
      <c r="O2024" s="14" t="e">
        <v>#N/A</v>
      </c>
      <c r="P2024" s="14" t="e">
        <v>#N/A</v>
      </c>
      <c r="Q2024" s="19" t="s">
        <v>12704</v>
      </c>
      <c r="R2024" s="15" t="s">
        <v>12705</v>
      </c>
      <c r="S2024" s="16" t="s">
        <v>89</v>
      </c>
      <c r="T2024" s="16" t="s">
        <v>89</v>
      </c>
      <c r="U2024" s="11" t="str">
        <f>_xlfn.XLOOKUP(Customer[[#This Row],[Customer ID]],[1]!Address[ID],[1]!Address[Phone No.(2)])</f>
        <v/>
      </c>
      <c r="V2024" s="11" t="str">
        <f>_xlfn.XLOOKUP(Customer[[#This Row],[Customer ID]],[1]!Address[ID],[1]!Address[Type])</f>
        <v>WALK IN</v>
      </c>
      <c r="W2024" s="11" t="str">
        <f>_xlfn.XLOOKUP(Customer[[#This Row],[Customer ID]],[1]!Address[ID],[1]!Address[CT])</f>
        <v/>
      </c>
      <c r="X2024" s="11"/>
      <c r="Y2024" s="17" t="s">
        <v>6284</v>
      </c>
      <c r="Z2024" s="17" t="e">
        <f>_xlfn.XLOOKUP(Customer[[#This Row],[NewType]],$AF$36:$AF$54,$AG$36:$AG$54)</f>
        <v>#N/A</v>
      </c>
      <c r="AA2024" s="17" t="s">
        <v>12706</v>
      </c>
      <c r="AB2024" s="11" t="str">
        <f>_xlfn.XLOOKUP(Customer[[#This Row],[Customer ID]],[1]!Address[ID],[1]!Address[Subtype])</f>
        <v>PEDAS</v>
      </c>
      <c r="AC2024" s="18" t="str">
        <f>_xlfn.XLOOKUP(Customer[[#This Row],[Customer ID]],[1]!Address[ID],[1]!Address[Zone])</f>
        <v>CENTRAL</v>
      </c>
    </row>
    <row r="2025" spans="1:30" x14ac:dyDescent="0.3">
      <c r="A2025" s="48" t="s">
        <v>12707</v>
      </c>
      <c r="B2025" s="49" t="str">
        <f>_xlfn.XLOOKUP(Customer[[#This Row],[Customer ID]],[1]!Name[ID],[1]!Name[Description(1)])</f>
        <v>LANGAT CATERING &amp; FOOD INDUSTRY SDN BHD</v>
      </c>
      <c r="C2025" s="49" t="str">
        <f>_xlfn.XLOOKUP(Customer[[#This Row],[Customer ID]],[1]!Name[ID],[1]!Name[Description(2)])</f>
        <v/>
      </c>
      <c r="D2025" s="49" t="str">
        <f>_xlfn.XLOOKUP(Customer[[#This Row],[Customer ID]],[1]!Address[ID],[1]!Address[PIC])</f>
        <v/>
      </c>
      <c r="E2025" s="11" t="str">
        <f>_xlfn.XLOOKUP(Customer[[#This Row],[Customer ID]],[1]!Address[ID],[1]!Address[Full Address])</f>
        <v/>
      </c>
      <c r="F2025" s="29" t="s">
        <v>36</v>
      </c>
      <c r="G2025" s="29" t="s">
        <v>36</v>
      </c>
      <c r="H2025" s="29" t="s">
        <v>36</v>
      </c>
      <c r="I2025" s="29" t="b">
        <f>ISNUMBER(VALUE(LEFT(Customer[[#This Row],[Address Line 3 (30 char)]],1)))</f>
        <v>0</v>
      </c>
      <c r="J2025" s="29" t="s">
        <v>172</v>
      </c>
      <c r="K2025" s="29">
        <v>43650</v>
      </c>
      <c r="L2025" s="29" t="s">
        <v>35</v>
      </c>
      <c r="M2025" s="31" t="e">
        <v>#N/A</v>
      </c>
      <c r="N2025" s="36" t="e">
        <v>#N/A</v>
      </c>
      <c r="O2025" s="36" t="e">
        <v>#N/A</v>
      </c>
      <c r="P2025" s="36" t="e">
        <v>#N/A</v>
      </c>
      <c r="Q2025" s="36" t="e">
        <v>#N/A</v>
      </c>
      <c r="R2025" s="51" t="s">
        <v>36</v>
      </c>
      <c r="S2025" s="51"/>
      <c r="T2025" s="52"/>
      <c r="U2025" s="49" t="str">
        <f>_xlfn.XLOOKUP(Customer[[#This Row],[Customer ID]],[1]!Address[ID],[1]!Address[Phone No.(2)])</f>
        <v/>
      </c>
      <c r="V2025" s="49" t="str">
        <f>_xlfn.XLOOKUP(Customer[[#This Row],[Customer ID]],[1]!Address[ID],[1]!Address[Type])</f>
        <v>SOCMED</v>
      </c>
      <c r="W2025" s="49" t="str">
        <f>_xlfn.XLOOKUP(Customer[[#This Row],[Customer ID]],[1]!Address[ID],[1]!Address[CT])</f>
        <v/>
      </c>
      <c r="X2025" s="49"/>
      <c r="Y2025" s="53" t="s">
        <v>90</v>
      </c>
      <c r="Z2025" s="53" t="e">
        <f>_xlfn.XLOOKUP(Customer[[#This Row],[NewType]],$AF$36:$AF$54,$AG$36:$AG$54)</f>
        <v>#N/A</v>
      </c>
      <c r="AA2025" s="53" t="s">
        <v>12708</v>
      </c>
      <c r="AB2025" s="49" t="str">
        <f>_xlfn.XLOOKUP(Customer[[#This Row],[Customer ID]],[1]!Address[ID],[1]!Address[Subtype])</f>
        <v>WHATSAPP</v>
      </c>
      <c r="AC2025" s="54" t="str">
        <f>_xlfn.XLOOKUP(Customer[[#This Row],[Customer ID]],[1]!Address[ID],[1]!Address[Zone])</f>
        <v>AEEDH</v>
      </c>
      <c r="AD2025" s="55"/>
    </row>
    <row r="2026" spans="1:30" x14ac:dyDescent="0.3">
      <c r="A2026" s="10" t="s">
        <v>12709</v>
      </c>
      <c r="B2026" s="11" t="str">
        <f>_xlfn.XLOOKUP(Customer[[#This Row],[Customer ID]],[1]!Name[ID],[1]!Name[Description(1)])</f>
        <v>DATO ZHARIF</v>
      </c>
      <c r="C2026" s="11" t="str">
        <f>_xlfn.XLOOKUP(Customer[[#This Row],[Customer ID]],[1]!Name[ID],[1]!Name[Description(2)])</f>
        <v/>
      </c>
      <c r="D2026" s="11" t="str">
        <f>_xlfn.XLOOKUP(Customer[[#This Row],[Customer ID]],[1]!Address[ID],[1]!Address[PIC])</f>
        <v>DATO ZHARIF</v>
      </c>
      <c r="E2026" s="11" t="str">
        <f>_xlfn.XLOOKUP(Customer[[#This Row],[Customer ID]],[1]!Address[ID],[1]!Address[Full Address])</f>
        <v>1-20-3 LANAI KIARA CONDO, JLN KIARA 3,MONT KIARA 50480 KL</v>
      </c>
      <c r="F2026" s="12" t="s">
        <v>12710</v>
      </c>
      <c r="G2026" s="12" t="s">
        <v>12711</v>
      </c>
      <c r="H2026" s="12" t="s">
        <v>12712</v>
      </c>
      <c r="I2026" s="12" t="b">
        <f>ISNUMBER(VALUE(LEFT(Customer[[#This Row],[Address Line 3 (30 char)]],1)))</f>
        <v>0</v>
      </c>
      <c r="J2026" s="12" t="s">
        <v>34</v>
      </c>
      <c r="K2026" s="12">
        <v>50480</v>
      </c>
      <c r="L2026" s="12" t="s">
        <v>35</v>
      </c>
      <c r="M2026" s="13" t="e">
        <v>#N/A</v>
      </c>
      <c r="N2026" s="14" t="e">
        <v>#N/A</v>
      </c>
      <c r="O2026" s="14" t="e">
        <v>#N/A</v>
      </c>
      <c r="P2026" s="14" t="e">
        <v>#N/A</v>
      </c>
      <c r="Q2026" s="19" t="s">
        <v>12713</v>
      </c>
      <c r="R2026" s="15" t="s">
        <v>12714</v>
      </c>
      <c r="S2026" s="15" t="s">
        <v>4271</v>
      </c>
      <c r="T2026" s="16" t="s">
        <v>89</v>
      </c>
      <c r="U2026" s="11" t="str">
        <f>_xlfn.XLOOKUP(Customer[[#This Row],[Customer ID]],[1]!Address[ID],[1]!Address[Phone No.(2)])</f>
        <v/>
      </c>
      <c r="V2026" s="11" t="str">
        <f>_xlfn.XLOOKUP(Customer[[#This Row],[Customer ID]],[1]!Address[ID],[1]!Address[Type])</f>
        <v>SOCMED</v>
      </c>
      <c r="W2026" s="11" t="str">
        <f>_xlfn.XLOOKUP(Customer[[#This Row],[Customer ID]],[1]!Address[ID],[1]!Address[CT])</f>
        <v/>
      </c>
      <c r="X2026" s="11"/>
      <c r="Y2026" s="17" t="s">
        <v>90</v>
      </c>
      <c r="Z2026" s="17" t="e">
        <f>_xlfn.XLOOKUP(Customer[[#This Row],[NewType]],$AF$36:$AF$54,$AG$36:$AG$54)</f>
        <v>#N/A</v>
      </c>
      <c r="AA2026" s="17" t="s">
        <v>12715</v>
      </c>
      <c r="AB2026" s="11" t="str">
        <f>_xlfn.XLOOKUP(Customer[[#This Row],[Customer ID]],[1]!Address[ID],[1]!Address[Subtype])</f>
        <v>WHATSAPP</v>
      </c>
      <c r="AC2026" s="18" t="str">
        <f>_xlfn.XLOOKUP(Customer[[#This Row],[Customer ID]],[1]!Address[ID],[1]!Address[Zone])</f>
        <v>CENTRAL</v>
      </c>
    </row>
    <row r="2027" spans="1:30" x14ac:dyDescent="0.3">
      <c r="A2027" s="10" t="s">
        <v>12716</v>
      </c>
      <c r="B2027" s="11" t="str">
        <f>_xlfn.XLOOKUP(Customer[[#This Row],[Customer ID]],[1]!Name[ID],[1]!Name[Description(1)])</f>
        <v>WAN MUHAMMAD IHSAN BIN WAN SABRI</v>
      </c>
      <c r="C2027" s="11" t="str">
        <f>_xlfn.XLOOKUP(Customer[[#This Row],[Customer ID]],[1]!Name[ID],[1]!Name[Description(2)])</f>
        <v/>
      </c>
      <c r="D2027" s="11" t="str">
        <f>_xlfn.XLOOKUP(Customer[[#This Row],[Customer ID]],[1]!Address[ID],[1]!Address[PIC])</f>
        <v>IHSAN</v>
      </c>
      <c r="E2027" s="11" t="str">
        <f>_xlfn.XLOOKUP(Customer[[#This Row],[Customer ID]],[1]!Address[ID],[1]!Address[Full Address])</f>
        <v>NO. 3, JALAN P10/7, PRESINT 10,62250, PUTRAJAYA</v>
      </c>
      <c r="F2027" s="12" t="s">
        <v>12717</v>
      </c>
      <c r="G2027" s="12" t="s">
        <v>12718</v>
      </c>
      <c r="H2027" s="12" t="s">
        <v>12719</v>
      </c>
      <c r="I2027" s="12" t="b">
        <f>ISNUMBER(VALUE(LEFT(Customer[[#This Row],[Address Line 3 (30 char)]],1)))</f>
        <v>0</v>
      </c>
      <c r="J2027" s="12" t="s">
        <v>4229</v>
      </c>
      <c r="K2027" s="12">
        <v>62250</v>
      </c>
      <c r="L2027" s="12" t="s">
        <v>35</v>
      </c>
      <c r="M2027" s="13" t="e">
        <v>#N/A</v>
      </c>
      <c r="N2027" s="14" t="e">
        <v>#N/A</v>
      </c>
      <c r="O2027" s="14" t="e">
        <v>#N/A</v>
      </c>
      <c r="P2027" s="14" t="e">
        <v>#N/A</v>
      </c>
      <c r="Q2027" s="19" t="s">
        <v>12720</v>
      </c>
      <c r="R2027" s="15" t="s">
        <v>12721</v>
      </c>
      <c r="S2027" s="15" t="s">
        <v>89</v>
      </c>
      <c r="T2027" s="16" t="s">
        <v>89</v>
      </c>
      <c r="U2027" s="11" t="str">
        <f>_xlfn.XLOOKUP(Customer[[#This Row],[Customer ID]],[1]!Address[ID],[1]!Address[Phone No.(2)])</f>
        <v/>
      </c>
      <c r="V2027" s="11" t="str">
        <f>_xlfn.XLOOKUP(Customer[[#This Row],[Customer ID]],[1]!Address[ID],[1]!Address[Type])</f>
        <v>SOCMED</v>
      </c>
      <c r="W2027" s="11" t="str">
        <f>_xlfn.XLOOKUP(Customer[[#This Row],[Customer ID]],[1]!Address[ID],[1]!Address[CT])</f>
        <v/>
      </c>
      <c r="X2027" s="11"/>
      <c r="Y2027" s="17" t="s">
        <v>90</v>
      </c>
      <c r="Z2027" s="17" t="e">
        <f>_xlfn.XLOOKUP(Customer[[#This Row],[NewType]],$AF$36:$AF$54,$AG$36:$AG$54)</f>
        <v>#N/A</v>
      </c>
      <c r="AA2027" s="17" t="s">
        <v>12722</v>
      </c>
      <c r="AB2027" s="11" t="str">
        <f>_xlfn.XLOOKUP(Customer[[#This Row],[Customer ID]],[1]!Address[ID],[1]!Address[Subtype])</f>
        <v>WHATSAPP</v>
      </c>
      <c r="AC2027" s="18" t="str">
        <f>_xlfn.XLOOKUP(Customer[[#This Row],[Customer ID]],[1]!Address[ID],[1]!Address[Zone])</f>
        <v>CENTRAL</v>
      </c>
    </row>
    <row r="2028" spans="1:30" x14ac:dyDescent="0.3">
      <c r="A2028" s="10" t="s">
        <v>12723</v>
      </c>
      <c r="B2028" s="11" t="str">
        <f>_xlfn.XLOOKUP(Customer[[#This Row],[Customer ID]],[1]!Name[ID],[1]!Name[Description(1)])</f>
        <v>NURSHAHILA BINTI HISYAM AMAN CHA</v>
      </c>
      <c r="C2028" s="11" t="str">
        <f>_xlfn.XLOOKUP(Customer[[#This Row],[Customer ID]],[1]!Name[ID],[1]!Name[Description(2)])</f>
        <v>(SALES ORDERING)</v>
      </c>
      <c r="D2028" s="11" t="str">
        <f>_xlfn.XLOOKUP(Customer[[#This Row],[Customer ID]],[1]!Address[ID],[1]!Address[PIC])</f>
        <v>SHILA</v>
      </c>
      <c r="E2028" s="11" t="str">
        <f>_xlfn.XLOOKUP(Customer[[#This Row],[Customer ID]],[1]!Address[ID],[1]!Address[Full Address])</f>
        <v>NO. 16, LORONG 2/1B, TAMAN SRI ANGGERIK,71200, RANTAU, NEGERI SEMBILAN</v>
      </c>
      <c r="F2028" s="12" t="s">
        <v>12724</v>
      </c>
      <c r="G2028" s="12" t="s">
        <v>12217</v>
      </c>
      <c r="H2028" s="12" t="s">
        <v>6428</v>
      </c>
      <c r="I2028" s="12" t="b">
        <f>ISNUMBER(VALUE(LEFT(Customer[[#This Row],[Address Line 3 (30 char)]],1)))</f>
        <v>0</v>
      </c>
      <c r="J2028" s="12" t="s">
        <v>203</v>
      </c>
      <c r="K2028" s="12">
        <v>71200</v>
      </c>
      <c r="L2028" s="12" t="s">
        <v>35</v>
      </c>
      <c r="M2028" s="13" t="e">
        <v>#N/A</v>
      </c>
      <c r="N2028" s="14" t="e">
        <v>#N/A</v>
      </c>
      <c r="O2028" s="14" t="e">
        <v>#N/A</v>
      </c>
      <c r="P2028" s="14" t="e">
        <v>#N/A</v>
      </c>
      <c r="Q2028" s="19" t="s">
        <v>12725</v>
      </c>
      <c r="R2028" s="15" t="s">
        <v>12726</v>
      </c>
      <c r="S2028" s="16" t="s">
        <v>89</v>
      </c>
      <c r="T2028" s="16" t="s">
        <v>89</v>
      </c>
      <c r="U2028" s="11" t="str">
        <f>_xlfn.XLOOKUP(Customer[[#This Row],[Customer ID]],[1]!Address[ID],[1]!Address[Phone No.(2)])</f>
        <v/>
      </c>
      <c r="V2028" s="11" t="str">
        <f>_xlfn.XLOOKUP(Customer[[#This Row],[Customer ID]],[1]!Address[ID],[1]!Address[Type])</f>
        <v>WALK IN</v>
      </c>
      <c r="W2028" s="11" t="str">
        <f>_xlfn.XLOOKUP(Customer[[#This Row],[Customer ID]],[1]!Address[ID],[1]!Address[CT])</f>
        <v/>
      </c>
      <c r="X2028" s="11"/>
      <c r="Y2028" s="17" t="s">
        <v>6284</v>
      </c>
      <c r="Z2028" s="17" t="e">
        <f>_xlfn.XLOOKUP(Customer[[#This Row],[NewType]],$AF$36:$AF$54,$AG$36:$AG$54)</f>
        <v>#N/A</v>
      </c>
      <c r="AA2028" s="17" t="s">
        <v>12727</v>
      </c>
      <c r="AB2028" s="11" t="str">
        <f>_xlfn.XLOOKUP(Customer[[#This Row],[Customer ID]],[1]!Address[ID],[1]!Address[Subtype])</f>
        <v>STAFF</v>
      </c>
      <c r="AC2028" s="18" t="str">
        <f>_xlfn.XLOOKUP(Customer[[#This Row],[Customer ID]],[1]!Address[ID],[1]!Address[Zone])</f>
        <v>CENTRAL</v>
      </c>
    </row>
    <row r="2029" spans="1:30" x14ac:dyDescent="0.3">
      <c r="A2029" s="10" t="s">
        <v>12728</v>
      </c>
      <c r="B2029" s="11" t="str">
        <f>_xlfn.XLOOKUP(Customer[[#This Row],[Customer ID]],[1]!Name[ID],[1]!Name[Description(1)])</f>
        <v>NUR IRDINA NATASYA BINTI AMIR HAMZAH</v>
      </c>
      <c r="C2029" s="11" t="str">
        <f>_xlfn.XLOOKUP(Customer[[#This Row],[Customer ID]],[1]!Name[ID],[1]!Name[Description(2)])</f>
        <v>(L&amp;W)</v>
      </c>
      <c r="D2029" s="11" t="str">
        <f>_xlfn.XLOOKUP(Customer[[#This Row],[Customer ID]],[1]!Address[ID],[1]!Address[PIC])</f>
        <v>IRDINA</v>
      </c>
      <c r="E2029" s="11" t="str">
        <f>_xlfn.XLOOKUP(Customer[[#This Row],[Customer ID]],[1]!Address[ID],[1]!Address[Full Address])</f>
        <v>NO 132 KAMPUNG KANCHONG 71200 RANTAUNEGERI SEMBILAN</v>
      </c>
      <c r="F2029" s="12" t="s">
        <v>12729</v>
      </c>
      <c r="G2029" s="12" t="s">
        <v>12543</v>
      </c>
      <c r="H2029" s="12" t="s">
        <v>6428</v>
      </c>
      <c r="I2029" s="12" t="b">
        <f>ISNUMBER(VALUE(LEFT(Customer[[#This Row],[Address Line 3 (30 char)]],1)))</f>
        <v>0</v>
      </c>
      <c r="J2029" s="12" t="s">
        <v>203</v>
      </c>
      <c r="K2029" s="12">
        <v>71200</v>
      </c>
      <c r="L2029" s="12" t="s">
        <v>35</v>
      </c>
      <c r="M2029" s="13" t="e">
        <v>#N/A</v>
      </c>
      <c r="N2029" s="14" t="e">
        <v>#N/A</v>
      </c>
      <c r="O2029" s="14" t="e">
        <v>#N/A</v>
      </c>
      <c r="P2029" s="14" t="e">
        <v>#N/A</v>
      </c>
      <c r="Q2029" s="19" t="s">
        <v>12730</v>
      </c>
      <c r="R2029" s="15" t="s">
        <v>12731</v>
      </c>
      <c r="S2029" s="16" t="s">
        <v>89</v>
      </c>
      <c r="T2029" s="16" t="s">
        <v>89</v>
      </c>
      <c r="U2029" s="11" t="str">
        <f>_xlfn.XLOOKUP(Customer[[#This Row],[Customer ID]],[1]!Address[ID],[1]!Address[Phone No.(2)])</f>
        <v/>
      </c>
      <c r="V2029" s="11" t="str">
        <f>_xlfn.XLOOKUP(Customer[[#This Row],[Customer ID]],[1]!Address[ID],[1]!Address[Type])</f>
        <v>WALK IN</v>
      </c>
      <c r="W2029" s="11" t="str">
        <f>_xlfn.XLOOKUP(Customer[[#This Row],[Customer ID]],[1]!Address[ID],[1]!Address[CT])</f>
        <v/>
      </c>
      <c r="X2029" s="11"/>
      <c r="Y2029" s="17" t="s">
        <v>6284</v>
      </c>
      <c r="Z2029" s="17" t="e">
        <f>_xlfn.XLOOKUP(Customer[[#This Row],[NewType]],$AF$36:$AF$54,$AG$36:$AG$54)</f>
        <v>#N/A</v>
      </c>
      <c r="AA2029" s="17" t="s">
        <v>12732</v>
      </c>
      <c r="AB2029" s="11" t="str">
        <f>_xlfn.XLOOKUP(Customer[[#This Row],[Customer ID]],[1]!Address[ID],[1]!Address[Subtype])</f>
        <v>STAFF</v>
      </c>
      <c r="AC2029" s="18" t="str">
        <f>_xlfn.XLOOKUP(Customer[[#This Row],[Customer ID]],[1]!Address[ID],[1]!Address[Zone])</f>
        <v>CENTRAL</v>
      </c>
    </row>
    <row r="2030" spans="1:30" x14ac:dyDescent="0.3">
      <c r="A2030" s="10" t="s">
        <v>12733</v>
      </c>
      <c r="B2030" s="11" t="str">
        <f>_xlfn.XLOOKUP(Customer[[#This Row],[Customer ID]],[1]!Name[ID],[1]!Name[Description(1)])</f>
        <v>MUHAMAD QARIN</v>
      </c>
      <c r="C2030" s="11" t="str">
        <f>_xlfn.XLOOKUP(Customer[[#This Row],[Customer ID]],[1]!Name[ID],[1]!Name[Description(2)])</f>
        <v>(BUBBLES O2 CARI GALI)</v>
      </c>
      <c r="D2030" s="11" t="str">
        <f>_xlfn.XLOOKUP(Customer[[#This Row],[Customer ID]],[1]!Address[ID],[1]!Address[PIC])</f>
        <v>QARIN</v>
      </c>
      <c r="E2030" s="11" t="str">
        <f>_xlfn.XLOOKUP(Customer[[#This Row],[Customer ID]],[1]!Address[ID],[1]!Address[Full Address])</f>
        <v>WANGSA MAJU, KL</v>
      </c>
      <c r="F2030" s="12" t="s">
        <v>12734</v>
      </c>
      <c r="G2030" s="12" t="s">
        <v>36</v>
      </c>
      <c r="H2030" s="12" t="s">
        <v>36</v>
      </c>
      <c r="I2030" s="12" t="b">
        <f>ISNUMBER(VALUE(LEFT(Customer[[#This Row],[Address Line 3 (30 char)]],1)))</f>
        <v>0</v>
      </c>
      <c r="J2030" s="32" t="s">
        <v>34</v>
      </c>
      <c r="K2030" s="32"/>
      <c r="L2030" s="12" t="s">
        <v>35</v>
      </c>
      <c r="M2030" s="13" t="e">
        <v>#N/A</v>
      </c>
      <c r="N2030" s="14" t="e">
        <v>#N/A</v>
      </c>
      <c r="O2030" s="14" t="e">
        <v>#N/A</v>
      </c>
      <c r="P2030" s="14" t="e">
        <v>#N/A</v>
      </c>
      <c r="Q2030" s="19" t="s">
        <v>12735</v>
      </c>
      <c r="R2030" s="15" t="s">
        <v>12736</v>
      </c>
      <c r="S2030" s="16" t="s">
        <v>89</v>
      </c>
      <c r="T2030" s="16" t="s">
        <v>89</v>
      </c>
      <c r="U2030" s="11" t="str">
        <f>_xlfn.XLOOKUP(Customer[[#This Row],[Customer ID]],[1]!Address[ID],[1]!Address[Phone No.(2)])</f>
        <v/>
      </c>
      <c r="V2030" s="11" t="str">
        <f>_xlfn.XLOOKUP(Customer[[#This Row],[Customer ID]],[1]!Address[ID],[1]!Address[Type])</f>
        <v>WALK IN</v>
      </c>
      <c r="W2030" s="11" t="str">
        <f>_xlfn.XLOOKUP(Customer[[#This Row],[Customer ID]],[1]!Address[ID],[1]!Address[CT])</f>
        <v/>
      </c>
      <c r="X2030" s="11"/>
      <c r="Y2030" s="17" t="s">
        <v>6284</v>
      </c>
      <c r="Z2030" s="17" t="e">
        <f>_xlfn.XLOOKUP(Customer[[#This Row],[NewType]],$AF$36:$AF$54,$AG$36:$AG$54)</f>
        <v>#N/A</v>
      </c>
      <c r="AA2030" s="17" t="s">
        <v>12737</v>
      </c>
      <c r="AB2030" s="11" t="str">
        <f>_xlfn.XLOOKUP(Customer[[#This Row],[Customer ID]],[1]!Address[ID],[1]!Address[Subtype])</f>
        <v>STAFF</v>
      </c>
      <c r="AC2030" s="18" t="str">
        <f>_xlfn.XLOOKUP(Customer[[#This Row],[Customer ID]],[1]!Address[ID],[1]!Address[Zone])</f>
        <v>CENTRAL</v>
      </c>
    </row>
    <row r="2031" spans="1:30" x14ac:dyDescent="0.3">
      <c r="A2031" s="10" t="s">
        <v>12738</v>
      </c>
      <c r="B2031" s="11" t="str">
        <f>_xlfn.XLOOKUP(Customer[[#This Row],[Customer ID]],[1]!Name[ID],[1]!Name[Description(1)])</f>
        <v>IKHWANI BIN ISMAIL</v>
      </c>
      <c r="C2031" s="11" t="str">
        <f>_xlfn.XLOOKUP(Customer[[#This Row],[Customer ID]],[1]!Name[ID],[1]!Name[Description(2)])</f>
        <v/>
      </c>
      <c r="D2031" s="11" t="str">
        <f>_xlfn.XLOOKUP(Customer[[#This Row],[Customer ID]],[1]!Address[ID],[1]!Address[PIC])</f>
        <v>IKHWANI</v>
      </c>
      <c r="E2031" s="11" t="str">
        <f>_xlfn.XLOOKUP(Customer[[#This Row],[Customer ID]],[1]!Address[ID],[1]!Address[Full Address])</f>
        <v>PKS JKKP MALAYSIA CAW. PUTRAJAYA,ARAS 5, BLOK SETIA PERKASA 4, KOMPLEKSSETIA PERKASA, PRESINT 1, 62530PUTRAJAYA</v>
      </c>
      <c r="F2031" s="29" t="s">
        <v>12739</v>
      </c>
      <c r="G2031" s="29" t="s">
        <v>12740</v>
      </c>
      <c r="H2031" s="29" t="s">
        <v>12741</v>
      </c>
      <c r="I2031" s="29" t="b">
        <f>ISNUMBER(VALUE(LEFT(Customer[[#This Row],[Address Line 3 (30 char)]],1)))</f>
        <v>0</v>
      </c>
      <c r="J2031" s="29" t="s">
        <v>4229</v>
      </c>
      <c r="K2031" s="29">
        <v>62530</v>
      </c>
      <c r="L2031" s="29" t="s">
        <v>35</v>
      </c>
      <c r="M2031" s="31" t="e">
        <v>#N/A</v>
      </c>
      <c r="N2031" s="36" t="e">
        <v>#N/A</v>
      </c>
      <c r="O2031" s="36" t="e">
        <v>#N/A</v>
      </c>
      <c r="P2031" s="36" t="e">
        <v>#N/A</v>
      </c>
      <c r="Q2031" s="89" t="s">
        <v>12742</v>
      </c>
      <c r="R2031" s="15" t="s">
        <v>12743</v>
      </c>
      <c r="S2031" s="15" t="s">
        <v>89</v>
      </c>
      <c r="T2031" s="16" t="s">
        <v>89</v>
      </c>
      <c r="U2031" s="11" t="str">
        <f>_xlfn.XLOOKUP(Customer[[#This Row],[Customer ID]],[1]!Address[ID],[1]!Address[Phone No.(2)])</f>
        <v/>
      </c>
      <c r="V2031" s="11" t="str">
        <f>_xlfn.XLOOKUP(Customer[[#This Row],[Customer ID]],[1]!Address[ID],[1]!Address[Type])</f>
        <v>SOCMED</v>
      </c>
      <c r="W2031" s="11" t="str">
        <f>_xlfn.XLOOKUP(Customer[[#This Row],[Customer ID]],[1]!Address[ID],[1]!Address[CT])</f>
        <v/>
      </c>
      <c r="X2031" s="11"/>
      <c r="Y2031" s="17" t="s">
        <v>90</v>
      </c>
      <c r="Z2031" s="17" t="e">
        <f>_xlfn.XLOOKUP(Customer[[#This Row],[NewType]],$AF$36:$AF$54,$AG$36:$AG$54)</f>
        <v>#N/A</v>
      </c>
      <c r="AA2031" s="17" t="s">
        <v>12744</v>
      </c>
      <c r="AB2031" s="11" t="str">
        <f>_xlfn.XLOOKUP(Customer[[#This Row],[Customer ID]],[1]!Address[ID],[1]!Address[Subtype])</f>
        <v>WHATSAPP</v>
      </c>
      <c r="AC2031" s="18" t="str">
        <f>_xlfn.XLOOKUP(Customer[[#This Row],[Customer ID]],[1]!Address[ID],[1]!Address[Zone])</f>
        <v>CENTRAL</v>
      </c>
    </row>
    <row r="2032" spans="1:30" x14ac:dyDescent="0.3">
      <c r="A2032" s="10" t="s">
        <v>12745</v>
      </c>
      <c r="B2032" s="11" t="str">
        <f>_xlfn.XLOOKUP(Customer[[#This Row],[Customer ID]],[1]!Name[ID],[1]!Name[Description(1)])</f>
        <v>EE WORLD SDN BHD</v>
      </c>
      <c r="C2032" s="11" t="str">
        <f>_xlfn.XLOOKUP(Customer[[#This Row],[Customer ID]],[1]!Name[ID],[1]!Name[Description(2)])</f>
        <v/>
      </c>
      <c r="D2032" s="11" t="str">
        <f>_xlfn.XLOOKUP(Customer[[#This Row],[Customer ID]],[1]!Address[ID],[1]!Address[PIC])</f>
        <v/>
      </c>
      <c r="E2032" s="11" t="str">
        <f>_xlfn.XLOOKUP(Customer[[#This Row],[Customer ID]],[1]!Address[ID],[1]!Address[Full Address])</f>
        <v>SUITE 11.06, 11TH FLOOR,566 JALAN IPOH,51200 KUALA LUMPUR</v>
      </c>
      <c r="F2032" s="12" t="s">
        <v>12746</v>
      </c>
      <c r="G2032" s="12" t="s">
        <v>12747</v>
      </c>
      <c r="H2032" s="24"/>
      <c r="I2032" s="24" t="b">
        <f>ISNUMBER(VALUE(LEFT(Customer[[#This Row],[Address Line 3 (30 char)]],1)))</f>
        <v>0</v>
      </c>
      <c r="J2032" s="12" t="s">
        <v>34</v>
      </c>
      <c r="K2032" s="12">
        <v>51200</v>
      </c>
      <c r="L2032" s="12" t="s">
        <v>35</v>
      </c>
      <c r="M2032" s="13" t="e">
        <v>#N/A</v>
      </c>
      <c r="N2032" s="14" t="e">
        <v>#N/A</v>
      </c>
      <c r="O2032" s="14" t="e">
        <v>#N/A</v>
      </c>
      <c r="P2032" s="14" t="e">
        <v>#N/A</v>
      </c>
      <c r="Q2032" s="19" t="s">
        <v>12748</v>
      </c>
      <c r="R2032" s="15" t="s">
        <v>12749</v>
      </c>
      <c r="S2032" s="15" t="s">
        <v>5917</v>
      </c>
      <c r="T2032" s="16" t="s">
        <v>3477</v>
      </c>
      <c r="U2032" s="11" t="str">
        <f>_xlfn.XLOOKUP(Customer[[#This Row],[Customer ID]],[1]!Address[ID],[1]!Address[Phone No.(2)])</f>
        <v/>
      </c>
      <c r="V2032" s="11" t="str">
        <f>_xlfn.XLOOKUP(Customer[[#This Row],[Customer ID]],[1]!Address[ID],[1]!Address[Type])</f>
        <v>CM</v>
      </c>
      <c r="W2032" s="11" t="str">
        <f>_xlfn.XLOOKUP(Customer[[#This Row],[Customer ID]],[1]!Address[ID],[1]!Address[CT])</f>
        <v>CASH</v>
      </c>
      <c r="X2032" s="11"/>
      <c r="Y2032" s="17" t="s">
        <v>5918</v>
      </c>
      <c r="Z2032" s="17" t="e">
        <f>_xlfn.XLOOKUP(Customer[[#This Row],[NewType]],$AF$36:$AF$54,$AG$36:$AG$54)</f>
        <v>#N/A</v>
      </c>
      <c r="AA2032" s="17" t="s">
        <v>12750</v>
      </c>
      <c r="AB2032" s="11" t="str">
        <f>_xlfn.XLOOKUP(Customer[[#This Row],[Customer ID]],[1]!Address[ID],[1]!Address[Subtype])</f>
        <v>EE WORLD</v>
      </c>
      <c r="AC2032" s="18" t="str">
        <f>_xlfn.XLOOKUP(Customer[[#This Row],[Customer ID]],[1]!Address[ID],[1]!Address[Zone])</f>
        <v>CENTRAL</v>
      </c>
    </row>
    <row r="2033" spans="1:29" x14ac:dyDescent="0.3">
      <c r="A2033" s="10" t="s">
        <v>12751</v>
      </c>
      <c r="B2033" s="11" t="str">
        <f>_xlfn.XLOOKUP(Customer[[#This Row],[Customer ID]],[1]!Name[ID],[1]!Name[Description(1)])</f>
        <v>SITI NORMAIZURA BINTI SYAHNIZAM</v>
      </c>
      <c r="C2033" s="11" t="str">
        <f>_xlfn.XLOOKUP(Customer[[#This Row],[Customer ID]],[1]!Name[ID],[1]!Name[Description(2)])</f>
        <v>(ONLINE SALES)</v>
      </c>
      <c r="D2033" s="11" t="str">
        <f>_xlfn.XLOOKUP(Customer[[#This Row],[Customer ID]],[1]!Address[ID],[1]!Address[PIC])</f>
        <v>MAIZURA</v>
      </c>
      <c r="E2033" s="11" t="str">
        <f>_xlfn.XLOOKUP(Customer[[#This Row],[Customer ID]],[1]!Address[ID],[1]!Address[Full Address])</f>
        <v>KAMPUNG SELIAU HILIR 71200 RANTAUNEGERI SEMBILAN</v>
      </c>
      <c r="F2033" s="12" t="s">
        <v>12752</v>
      </c>
      <c r="G2033" s="12" t="s">
        <v>12753</v>
      </c>
      <c r="H2033" s="12" t="s">
        <v>6428</v>
      </c>
      <c r="I2033" s="12" t="b">
        <f>ISNUMBER(VALUE(LEFT(Customer[[#This Row],[Address Line 3 (30 char)]],1)))</f>
        <v>0</v>
      </c>
      <c r="J2033" s="12" t="s">
        <v>203</v>
      </c>
      <c r="K2033" s="12">
        <v>71200</v>
      </c>
      <c r="L2033" s="12" t="s">
        <v>35</v>
      </c>
      <c r="M2033" s="13" t="e">
        <v>#N/A</v>
      </c>
      <c r="N2033" s="14" t="e">
        <v>#N/A</v>
      </c>
      <c r="O2033" s="14" t="e">
        <v>#N/A</v>
      </c>
      <c r="P2033" s="14" t="e">
        <v>#N/A</v>
      </c>
      <c r="Q2033" s="19" t="s">
        <v>12754</v>
      </c>
      <c r="R2033" s="15" t="s">
        <v>12755</v>
      </c>
      <c r="S2033" s="16" t="s">
        <v>89</v>
      </c>
      <c r="T2033" s="16" t="s">
        <v>89</v>
      </c>
      <c r="U2033" s="11" t="str">
        <f>_xlfn.XLOOKUP(Customer[[#This Row],[Customer ID]],[1]!Address[ID],[1]!Address[Phone No.(2)])</f>
        <v/>
      </c>
      <c r="V2033" s="11" t="str">
        <f>_xlfn.XLOOKUP(Customer[[#This Row],[Customer ID]],[1]!Address[ID],[1]!Address[Type])</f>
        <v>WALK IN</v>
      </c>
      <c r="W2033" s="11" t="str">
        <f>_xlfn.XLOOKUP(Customer[[#This Row],[Customer ID]],[1]!Address[ID],[1]!Address[CT])</f>
        <v/>
      </c>
      <c r="X2033" s="11"/>
      <c r="Y2033" s="17" t="s">
        <v>6284</v>
      </c>
      <c r="Z2033" s="17" t="e">
        <f>_xlfn.XLOOKUP(Customer[[#This Row],[NewType]],$AF$36:$AF$54,$AG$36:$AG$54)</f>
        <v>#N/A</v>
      </c>
      <c r="AA2033" s="17" t="s">
        <v>12756</v>
      </c>
      <c r="AB2033" s="11" t="str">
        <f>_xlfn.XLOOKUP(Customer[[#This Row],[Customer ID]],[1]!Address[ID],[1]!Address[Subtype])</f>
        <v>STAFF</v>
      </c>
      <c r="AC2033" s="18" t="str">
        <f>_xlfn.XLOOKUP(Customer[[#This Row],[Customer ID]],[1]!Address[ID],[1]!Address[Zone])</f>
        <v>CENTRAL</v>
      </c>
    </row>
    <row r="2034" spans="1:29" x14ac:dyDescent="0.3">
      <c r="A2034" s="10" t="s">
        <v>12757</v>
      </c>
      <c r="B2034" s="11" t="str">
        <f>_xlfn.XLOOKUP(Customer[[#This Row],[Customer ID]],[1]!Name[ID],[1]!Name[Description(1)])</f>
        <v>MOHAMAD SHAFIQ ALI BIN MOHAMED HASSAN A</v>
      </c>
      <c r="C2034" s="11" t="str">
        <f>_xlfn.XLOOKUP(Customer[[#This Row],[Customer ID]],[1]!Name[ID],[1]!Name[Description(2)])</f>
        <v/>
      </c>
      <c r="D2034" s="11" t="str">
        <f>_xlfn.XLOOKUP(Customer[[#This Row],[Customer ID]],[1]!Address[ID],[1]!Address[PIC])</f>
        <v>SHAFIQ</v>
      </c>
      <c r="E2034" s="11" t="str">
        <f>_xlfn.XLOOKUP(Customer[[#This Row],[Customer ID]],[1]!Address[ID],[1]!Address[Full Address])</f>
        <v>120, JALAN KOTA PERMAI,TAMAN KOTA PERMAI,14000, BUKIT MERTAJAMPULAU PINANG</v>
      </c>
      <c r="F2034" s="12" t="s">
        <v>12758</v>
      </c>
      <c r="G2034" s="12" t="s">
        <v>12759</v>
      </c>
      <c r="H2034" s="12" t="s">
        <v>5591</v>
      </c>
      <c r="I2034" s="12" t="b">
        <f>ISNUMBER(VALUE(LEFT(Customer[[#This Row],[Address Line 3 (30 char)]],1)))</f>
        <v>0</v>
      </c>
      <c r="J2034" s="12" t="s">
        <v>179</v>
      </c>
      <c r="K2034" s="12">
        <v>14000</v>
      </c>
      <c r="L2034" s="12" t="s">
        <v>35</v>
      </c>
      <c r="M2034" s="13" t="e">
        <v>#N/A</v>
      </c>
      <c r="N2034" s="14" t="e">
        <v>#N/A</v>
      </c>
      <c r="O2034" s="14" t="e">
        <v>#N/A</v>
      </c>
      <c r="P2034" s="14" t="e">
        <v>#N/A</v>
      </c>
      <c r="Q2034" s="19" t="s">
        <v>12760</v>
      </c>
      <c r="R2034" s="15" t="s">
        <v>12761</v>
      </c>
      <c r="S2034" s="16" t="s">
        <v>89</v>
      </c>
      <c r="T2034" s="16" t="s">
        <v>89</v>
      </c>
      <c r="U2034" s="11" t="str">
        <f>_xlfn.XLOOKUP(Customer[[#This Row],[Customer ID]],[1]!Address[ID],[1]!Address[Phone No.(2)])</f>
        <v/>
      </c>
      <c r="V2034" s="11" t="str">
        <f>_xlfn.XLOOKUP(Customer[[#This Row],[Customer ID]],[1]!Address[ID],[1]!Address[Type])</f>
        <v>WALK IN</v>
      </c>
      <c r="W2034" s="11" t="str">
        <f>_xlfn.XLOOKUP(Customer[[#This Row],[Customer ID]],[1]!Address[ID],[1]!Address[CT])</f>
        <v/>
      </c>
      <c r="X2034" s="11"/>
      <c r="Y2034" s="17" t="s">
        <v>6284</v>
      </c>
      <c r="Z2034" s="17" t="e">
        <f>_xlfn.XLOOKUP(Customer[[#This Row],[NewType]],$AF$36:$AF$54,$AG$36:$AG$54)</f>
        <v>#N/A</v>
      </c>
      <c r="AA2034" s="17" t="s">
        <v>12762</v>
      </c>
      <c r="AB2034" s="11" t="str">
        <f>_xlfn.XLOOKUP(Customer[[#This Row],[Customer ID]],[1]!Address[ID],[1]!Address[Subtype])</f>
        <v>PEDAS</v>
      </c>
      <c r="AC2034" s="18" t="str">
        <f>_xlfn.XLOOKUP(Customer[[#This Row],[Customer ID]],[1]!Address[ID],[1]!Address[Zone])</f>
        <v>NORTH</v>
      </c>
    </row>
    <row r="2035" spans="1:29" x14ac:dyDescent="0.3">
      <c r="A2035" s="10" t="s">
        <v>12763</v>
      </c>
      <c r="B2035" s="11" t="str">
        <f>_xlfn.XLOOKUP(Customer[[#This Row],[Customer ID]],[1]!Name[ID],[1]!Name[Description(1)])</f>
        <v>ONG KUN MENG</v>
      </c>
      <c r="C2035" s="11" t="str">
        <f>_xlfn.XLOOKUP(Customer[[#This Row],[Customer ID]],[1]!Name[ID],[1]!Name[Description(2)])</f>
        <v>(WAREHOUSE)</v>
      </c>
      <c r="D2035" s="11" t="str">
        <f>_xlfn.XLOOKUP(Customer[[#This Row],[Customer ID]],[1]!Address[ID],[1]!Address[PIC])</f>
        <v>HUD HILMAN</v>
      </c>
      <c r="E2035" s="11" t="str">
        <f>_xlfn.XLOOKUP(Customer[[#This Row],[Customer ID]],[1]!Address[ID],[1]!Address[Full Address])</f>
        <v>NO 261, JALAN PERSIARANTAMAN PEDAS INDAH, PEDAS 71400 NEGERISEMBILAN</v>
      </c>
      <c r="F2035" s="12" t="s">
        <v>12764</v>
      </c>
      <c r="G2035" s="12" t="s">
        <v>12765</v>
      </c>
      <c r="H2035" s="12" t="s">
        <v>8914</v>
      </c>
      <c r="I2035" s="12" t="b">
        <f>ISNUMBER(VALUE(LEFT(Customer[[#This Row],[Address Line 3 (30 char)]],1)))</f>
        <v>0</v>
      </c>
      <c r="J2035" s="12" t="s">
        <v>203</v>
      </c>
      <c r="K2035" s="12">
        <v>71400</v>
      </c>
      <c r="L2035" s="12" t="s">
        <v>35</v>
      </c>
      <c r="M2035" s="13" t="e">
        <v>#N/A</v>
      </c>
      <c r="N2035" s="14" t="e">
        <v>#N/A</v>
      </c>
      <c r="O2035" s="14" t="e">
        <v>#N/A</v>
      </c>
      <c r="P2035" s="14" t="e">
        <v>#N/A</v>
      </c>
      <c r="Q2035" s="19" t="s">
        <v>12766</v>
      </c>
      <c r="R2035" s="15" t="s">
        <v>12767</v>
      </c>
      <c r="S2035" s="16" t="s">
        <v>89</v>
      </c>
      <c r="T2035" s="16" t="s">
        <v>89</v>
      </c>
      <c r="U2035" s="11" t="str">
        <f>_xlfn.XLOOKUP(Customer[[#This Row],[Customer ID]],[1]!Address[ID],[1]!Address[Phone No.(2)])</f>
        <v/>
      </c>
      <c r="V2035" s="11" t="str">
        <f>_xlfn.XLOOKUP(Customer[[#This Row],[Customer ID]],[1]!Address[ID],[1]!Address[Type])</f>
        <v>WALK IN</v>
      </c>
      <c r="W2035" s="11" t="str">
        <f>_xlfn.XLOOKUP(Customer[[#This Row],[Customer ID]],[1]!Address[ID],[1]!Address[CT])</f>
        <v/>
      </c>
      <c r="X2035" s="11"/>
      <c r="Y2035" s="17" t="s">
        <v>6284</v>
      </c>
      <c r="Z2035" s="17" t="e">
        <f>_xlfn.XLOOKUP(Customer[[#This Row],[NewType]],$AF$36:$AF$54,$AG$36:$AG$54)</f>
        <v>#N/A</v>
      </c>
      <c r="AA2035" s="17" t="s">
        <v>12768</v>
      </c>
      <c r="AB2035" s="11" t="str">
        <f>_xlfn.XLOOKUP(Customer[[#This Row],[Customer ID]],[1]!Address[ID],[1]!Address[Subtype])</f>
        <v>STAFF</v>
      </c>
      <c r="AC2035" s="18" t="str">
        <f>_xlfn.XLOOKUP(Customer[[#This Row],[Customer ID]],[1]!Address[ID],[1]!Address[Zone])</f>
        <v>CENTRAL</v>
      </c>
    </row>
    <row r="2036" spans="1:29" x14ac:dyDescent="0.3">
      <c r="A2036" s="10" t="s">
        <v>12769</v>
      </c>
      <c r="B2036" s="11" t="str">
        <f>_xlfn.XLOOKUP(Customer[[#This Row],[Customer ID]],[1]!Name[ID],[1]!Name[Description(1)])</f>
        <v>NURHANINI BINTI ZAMROD</v>
      </c>
      <c r="C2036" s="11" t="str">
        <f>_xlfn.XLOOKUP(Customer[[#This Row],[Customer ID]],[1]!Name[ID],[1]!Name[Description(2)])</f>
        <v/>
      </c>
      <c r="D2036" s="11" t="str">
        <f>_xlfn.XLOOKUP(Customer[[#This Row],[Customer ID]],[1]!Address[ID],[1]!Address[PIC])</f>
        <v>NURHANINI</v>
      </c>
      <c r="E2036" s="11" t="str">
        <f>_xlfn.XLOOKUP(Customer[[#This Row],[Customer ID]],[1]!Address[ID],[1]!Address[Full Address])</f>
        <v>NO 59, LORONG TSR 2, FASA 1,TAMAN SERI REMBAU 71300 REMBAU,NEGERI SEMBILAN</v>
      </c>
      <c r="F2036" s="12" t="s">
        <v>12770</v>
      </c>
      <c r="G2036" s="12" t="s">
        <v>12771</v>
      </c>
      <c r="H2036" s="12" t="s">
        <v>7985</v>
      </c>
      <c r="I2036" s="12" t="b">
        <f>ISNUMBER(VALUE(LEFT(Customer[[#This Row],[Address Line 3 (30 char)]],1)))</f>
        <v>0</v>
      </c>
      <c r="J2036" s="12" t="s">
        <v>203</v>
      </c>
      <c r="K2036" s="12">
        <v>71300</v>
      </c>
      <c r="L2036" s="12" t="s">
        <v>35</v>
      </c>
      <c r="M2036" s="13" t="e">
        <v>#N/A</v>
      </c>
      <c r="N2036" s="14" t="e">
        <v>#N/A</v>
      </c>
      <c r="O2036" s="14" t="e">
        <v>#N/A</v>
      </c>
      <c r="P2036" s="14" t="e">
        <v>#N/A</v>
      </c>
      <c r="Q2036" s="19" t="s">
        <v>12772</v>
      </c>
      <c r="R2036" s="15" t="s">
        <v>12773</v>
      </c>
      <c r="S2036" s="16" t="s">
        <v>89</v>
      </c>
      <c r="T2036" s="16" t="s">
        <v>89</v>
      </c>
      <c r="U2036" s="11" t="str">
        <f>_xlfn.XLOOKUP(Customer[[#This Row],[Customer ID]],[1]!Address[ID],[1]!Address[Phone No.(2)])</f>
        <v/>
      </c>
      <c r="V2036" s="11" t="str">
        <f>_xlfn.XLOOKUP(Customer[[#This Row],[Customer ID]],[1]!Address[ID],[1]!Address[Type])</f>
        <v>WALK IN</v>
      </c>
      <c r="W2036" s="11" t="str">
        <f>_xlfn.XLOOKUP(Customer[[#This Row],[Customer ID]],[1]!Address[ID],[1]!Address[CT])</f>
        <v/>
      </c>
      <c r="X2036" s="11"/>
      <c r="Y2036" s="17" t="s">
        <v>6284</v>
      </c>
      <c r="Z2036" s="17" t="e">
        <f>_xlfn.XLOOKUP(Customer[[#This Row],[NewType]],$AF$36:$AF$54,$AG$36:$AG$54)</f>
        <v>#N/A</v>
      </c>
      <c r="AA2036" s="17" t="s">
        <v>12774</v>
      </c>
      <c r="AB2036" s="11" t="str">
        <f>_xlfn.XLOOKUP(Customer[[#This Row],[Customer ID]],[1]!Address[ID],[1]!Address[Subtype])</f>
        <v>PEDAS</v>
      </c>
      <c r="AC2036" s="18" t="str">
        <f>_xlfn.XLOOKUP(Customer[[#This Row],[Customer ID]],[1]!Address[ID],[1]!Address[Zone])</f>
        <v>CENTRAL</v>
      </c>
    </row>
    <row r="2037" spans="1:29" x14ac:dyDescent="0.3">
      <c r="A2037" s="10" t="s">
        <v>12775</v>
      </c>
      <c r="B2037" s="11" t="str">
        <f>_xlfn.XLOOKUP(Customer[[#This Row],[Customer ID]],[1]!Name[ID],[1]!Name[Description(1)])</f>
        <v>AZYWATI</v>
      </c>
      <c r="C2037" s="11" t="str">
        <f>_xlfn.XLOOKUP(Customer[[#This Row],[Customer ID]],[1]!Name[ID],[1]!Name[Description(2)])</f>
        <v/>
      </c>
      <c r="D2037" s="11" t="str">
        <f>_xlfn.XLOOKUP(Customer[[#This Row],[Customer ID]],[1]!Address[ID],[1]!Address[PIC])</f>
        <v>AZYWATI</v>
      </c>
      <c r="E2037" s="11" t="str">
        <f>_xlfn.XLOOKUP(Customer[[#This Row],[Customer ID]],[1]!Address[ID],[1]!Address[Full Address])</f>
        <v>A-6-12 RESIDENSI SG UDANG, NO.8,PINTASAN SEGAMBUT 52000KUALA LUMPUR</v>
      </c>
      <c r="F2037" s="12" t="s">
        <v>12776</v>
      </c>
      <c r="G2037" s="12" t="s">
        <v>12777</v>
      </c>
      <c r="H2037" s="12" t="s">
        <v>12778</v>
      </c>
      <c r="I2037" s="12" t="b">
        <f>ISNUMBER(VALUE(LEFT(Customer[[#This Row],[Address Line 3 (30 char)]],1)))</f>
        <v>0</v>
      </c>
      <c r="J2037" s="12" t="s">
        <v>34</v>
      </c>
      <c r="K2037" s="12">
        <v>52000</v>
      </c>
      <c r="L2037" s="12" t="s">
        <v>35</v>
      </c>
      <c r="M2037" s="13" t="e">
        <v>#N/A</v>
      </c>
      <c r="N2037" s="14" t="e">
        <v>#N/A</v>
      </c>
      <c r="O2037" s="14" t="e">
        <v>#N/A</v>
      </c>
      <c r="P2037" s="14" t="e">
        <v>#N/A</v>
      </c>
      <c r="Q2037" s="19" t="s">
        <v>12779</v>
      </c>
      <c r="R2037" s="15" t="s">
        <v>12780</v>
      </c>
      <c r="S2037" s="15" t="s">
        <v>4271</v>
      </c>
      <c r="T2037" s="16" t="s">
        <v>89</v>
      </c>
      <c r="U2037" s="11" t="str">
        <f>_xlfn.XLOOKUP(Customer[[#This Row],[Customer ID]],[1]!Address[ID],[1]!Address[Phone No.(2)])</f>
        <v/>
      </c>
      <c r="V2037" s="11" t="str">
        <f>_xlfn.XLOOKUP(Customer[[#This Row],[Customer ID]],[1]!Address[ID],[1]!Address[Type])</f>
        <v>SOCMED</v>
      </c>
      <c r="W2037" s="11" t="str">
        <f>_xlfn.XLOOKUP(Customer[[#This Row],[Customer ID]],[1]!Address[ID],[1]!Address[CT])</f>
        <v/>
      </c>
      <c r="X2037" s="11"/>
      <c r="Y2037" s="17" t="s">
        <v>90</v>
      </c>
      <c r="Z2037" s="17" t="e">
        <f>_xlfn.XLOOKUP(Customer[[#This Row],[NewType]],$AF$36:$AF$54,$AG$36:$AG$54)</f>
        <v>#N/A</v>
      </c>
      <c r="AA2037" s="17" t="s">
        <v>12781</v>
      </c>
      <c r="AB2037" s="11" t="str">
        <f>_xlfn.XLOOKUP(Customer[[#This Row],[Customer ID]],[1]!Address[ID],[1]!Address[Subtype])</f>
        <v>WHATSAPP</v>
      </c>
      <c r="AC2037" s="18" t="str">
        <f>_xlfn.XLOOKUP(Customer[[#This Row],[Customer ID]],[1]!Address[ID],[1]!Address[Zone])</f>
        <v>CENTRAL</v>
      </c>
    </row>
    <row r="2038" spans="1:29" x14ac:dyDescent="0.3">
      <c r="A2038" s="10" t="s">
        <v>12782</v>
      </c>
      <c r="B2038" s="11" t="str">
        <f>_xlfn.XLOOKUP(Customer[[#This Row],[Customer ID]],[1]!Name[ID],[1]!Name[Description(1)])</f>
        <v>ROHAIYU MD ANUAR</v>
      </c>
      <c r="C2038" s="11" t="str">
        <f>_xlfn.XLOOKUP(Customer[[#This Row],[Customer ID]],[1]!Name[ID],[1]!Name[Description(2)])</f>
        <v>(HR)</v>
      </c>
      <c r="D2038" s="11" t="str">
        <f>_xlfn.XLOOKUP(Customer[[#This Row],[Customer ID]],[1]!Address[ID],[1]!Address[PIC])</f>
        <v>AYU</v>
      </c>
      <c r="E2038" s="11" t="str">
        <f>_xlfn.XLOOKUP(Customer[[#This Row],[Customer ID]],[1]!Address[ID],[1]!Address[Full Address])</f>
        <v>NO 271 JLN TITIWANGSA 4, TMN BUKTI,AMPANGAN 70400 SEREMBAN, NEGERI SEMBILAN</v>
      </c>
      <c r="F2038" s="12" t="s">
        <v>12783</v>
      </c>
      <c r="G2038" s="12" t="s">
        <v>12784</v>
      </c>
      <c r="H2038" s="12" t="s">
        <v>2411</v>
      </c>
      <c r="I2038" s="12" t="b">
        <f>ISNUMBER(VALUE(LEFT(Customer[[#This Row],[Address Line 3 (30 char)]],1)))</f>
        <v>0</v>
      </c>
      <c r="J2038" s="12" t="s">
        <v>203</v>
      </c>
      <c r="K2038" s="12">
        <v>70400</v>
      </c>
      <c r="L2038" s="12" t="s">
        <v>35</v>
      </c>
      <c r="M2038" s="13" t="e">
        <v>#N/A</v>
      </c>
      <c r="N2038" s="14" t="e">
        <v>#N/A</v>
      </c>
      <c r="O2038" s="14" t="e">
        <v>#N/A</v>
      </c>
      <c r="P2038" s="14" t="e">
        <v>#N/A</v>
      </c>
      <c r="Q2038" s="19" t="s">
        <v>12785</v>
      </c>
      <c r="R2038" s="15" t="s">
        <v>12786</v>
      </c>
      <c r="S2038" s="16" t="s">
        <v>89</v>
      </c>
      <c r="T2038" s="16" t="s">
        <v>89</v>
      </c>
      <c r="U2038" s="11" t="str">
        <f>_xlfn.XLOOKUP(Customer[[#This Row],[Customer ID]],[1]!Address[ID],[1]!Address[Phone No.(2)])</f>
        <v/>
      </c>
      <c r="V2038" s="11" t="str">
        <f>_xlfn.XLOOKUP(Customer[[#This Row],[Customer ID]],[1]!Address[ID],[1]!Address[Type])</f>
        <v>WALK IN</v>
      </c>
      <c r="W2038" s="11" t="str">
        <f>_xlfn.XLOOKUP(Customer[[#This Row],[Customer ID]],[1]!Address[ID],[1]!Address[CT])</f>
        <v/>
      </c>
      <c r="X2038" s="11"/>
      <c r="Y2038" s="17" t="s">
        <v>6284</v>
      </c>
      <c r="Z2038" s="17" t="e">
        <f>_xlfn.XLOOKUP(Customer[[#This Row],[NewType]],$AF$36:$AF$54,$AG$36:$AG$54)</f>
        <v>#N/A</v>
      </c>
      <c r="AA2038" s="17" t="s">
        <v>12787</v>
      </c>
      <c r="AB2038" s="11" t="str">
        <f>_xlfn.XLOOKUP(Customer[[#This Row],[Customer ID]],[1]!Address[ID],[1]!Address[Subtype])</f>
        <v>STAFF</v>
      </c>
      <c r="AC2038" s="18" t="str">
        <f>_xlfn.XLOOKUP(Customer[[#This Row],[Customer ID]],[1]!Address[ID],[1]!Address[Zone])</f>
        <v>CENTRAL</v>
      </c>
    </row>
    <row r="2039" spans="1:29" x14ac:dyDescent="0.3">
      <c r="A2039" s="10" t="s">
        <v>12788</v>
      </c>
      <c r="B2039" s="11" t="str">
        <f>_xlfn.XLOOKUP(Customer[[#This Row],[Customer ID]],[1]!Name[ID],[1]!Name[Description(1)])</f>
        <v>DILAILA BALQISH BINTI ZAHARI</v>
      </c>
      <c r="C2039" s="11" t="str">
        <f>_xlfn.XLOOKUP(Customer[[#This Row],[Customer ID]],[1]!Name[ID],[1]!Name[Description(2)])</f>
        <v>(HR)</v>
      </c>
      <c r="D2039" s="11" t="str">
        <f>_xlfn.XLOOKUP(Customer[[#This Row],[Customer ID]],[1]!Address[ID],[1]!Address[PIC])</f>
        <v>DILAILA</v>
      </c>
      <c r="E2039" s="11" t="str">
        <f>_xlfn.XLOOKUP(Customer[[#This Row],[Customer ID]],[1]!Address[ID],[1]!Address[Full Address])</f>
        <v>NO.60 JLN 5/11, TAMAN PINGGIRANSENAWANG, 71450 SG GADUT,NEGERI SEMBILAN</v>
      </c>
      <c r="F2039" s="12" t="s">
        <v>12789</v>
      </c>
      <c r="G2039" s="12" t="s">
        <v>12790</v>
      </c>
      <c r="H2039" s="12" t="s">
        <v>11963</v>
      </c>
      <c r="I2039" s="12" t="b">
        <f>ISNUMBER(VALUE(LEFT(Customer[[#This Row],[Address Line 3 (30 char)]],1)))</f>
        <v>0</v>
      </c>
      <c r="J2039" s="12" t="s">
        <v>203</v>
      </c>
      <c r="K2039" s="12">
        <v>71450</v>
      </c>
      <c r="L2039" s="12" t="s">
        <v>35</v>
      </c>
      <c r="M2039" s="13" t="e">
        <v>#N/A</v>
      </c>
      <c r="N2039" s="14" t="e">
        <v>#N/A</v>
      </c>
      <c r="O2039" s="14" t="e">
        <v>#N/A</v>
      </c>
      <c r="P2039" s="14" t="e">
        <v>#N/A</v>
      </c>
      <c r="Q2039" s="19" t="s">
        <v>12791</v>
      </c>
      <c r="R2039" s="15" t="s">
        <v>9380</v>
      </c>
      <c r="S2039" s="16" t="s">
        <v>89</v>
      </c>
      <c r="T2039" s="16" t="s">
        <v>89</v>
      </c>
      <c r="U2039" s="11" t="str">
        <f>_xlfn.XLOOKUP(Customer[[#This Row],[Customer ID]],[1]!Address[ID],[1]!Address[Phone No.(2)])</f>
        <v/>
      </c>
      <c r="V2039" s="11" t="str">
        <f>_xlfn.XLOOKUP(Customer[[#This Row],[Customer ID]],[1]!Address[ID],[1]!Address[Type])</f>
        <v>WALK IN</v>
      </c>
      <c r="W2039" s="11" t="str">
        <f>_xlfn.XLOOKUP(Customer[[#This Row],[Customer ID]],[1]!Address[ID],[1]!Address[CT])</f>
        <v/>
      </c>
      <c r="X2039" s="11"/>
      <c r="Y2039" s="17" t="s">
        <v>6284</v>
      </c>
      <c r="Z2039" s="17" t="e">
        <f>_xlfn.XLOOKUP(Customer[[#This Row],[NewType]],$AF$36:$AF$54,$AG$36:$AG$54)</f>
        <v>#N/A</v>
      </c>
      <c r="AA2039" s="17" t="s">
        <v>12792</v>
      </c>
      <c r="AB2039" s="11" t="str">
        <f>_xlfn.XLOOKUP(Customer[[#This Row],[Customer ID]],[1]!Address[ID],[1]!Address[Subtype])</f>
        <v>STAFF</v>
      </c>
      <c r="AC2039" s="18" t="str">
        <f>_xlfn.XLOOKUP(Customer[[#This Row],[Customer ID]],[1]!Address[ID],[1]!Address[Zone])</f>
        <v>CENTRAL</v>
      </c>
    </row>
    <row r="2040" spans="1:29" x14ac:dyDescent="0.3">
      <c r="A2040" s="10" t="s">
        <v>12793</v>
      </c>
      <c r="B2040" s="11" t="str">
        <f>_xlfn.XLOOKUP(Customer[[#This Row],[Customer ID]],[1]!Name[ID],[1]!Name[Description(1)])</f>
        <v>UNIT PENERAJU AGENDA BUMIPUTERA (TERAJU)</v>
      </c>
      <c r="C2040" s="11" t="str">
        <f>_xlfn.XLOOKUP(Customer[[#This Row],[Customer ID]],[1]!Name[ID],[1]!Name[Description(2)])</f>
        <v/>
      </c>
      <c r="D2040" s="11" t="str">
        <f>_xlfn.XLOOKUP(Customer[[#This Row],[Customer ID]],[1]!Address[ID],[1]!Address[PIC])</f>
        <v>NURUL IYAZAI</v>
      </c>
      <c r="E2040" s="11" t="str">
        <f>_xlfn.XLOOKUP(Customer[[#This Row],[Customer ID]],[1]!Address[ID],[1]!Address[Full Address])</f>
        <v>TINGKAT 13, BLOK A,SUASANA PJH,JALAN TUN ABDUL RAZAK,PRESINT 2,62100 PUTRAJAYA</v>
      </c>
      <c r="F2040" s="12" t="s">
        <v>12794</v>
      </c>
      <c r="G2040" s="12" t="s">
        <v>12795</v>
      </c>
      <c r="H2040" s="12" t="s">
        <v>12796</v>
      </c>
      <c r="I2040" s="12" t="b">
        <f>ISNUMBER(VALUE(LEFT(Customer[[#This Row],[Address Line 3 (30 char)]],1)))</f>
        <v>0</v>
      </c>
      <c r="J2040" s="12" t="s">
        <v>4229</v>
      </c>
      <c r="K2040" s="12">
        <v>62100</v>
      </c>
      <c r="L2040" s="12" t="s">
        <v>35</v>
      </c>
      <c r="M2040" s="13">
        <v>201101003579</v>
      </c>
      <c r="N2040" s="14" t="s">
        <v>12797</v>
      </c>
      <c r="O2040" s="14" t="e">
        <v>#N/A</v>
      </c>
      <c r="P2040" s="14" t="e">
        <v>#N/A</v>
      </c>
      <c r="Q2040" s="19" t="s">
        <v>12798</v>
      </c>
      <c r="R2040" s="15" t="s">
        <v>12799</v>
      </c>
      <c r="S2040" s="15" t="s">
        <v>5934</v>
      </c>
      <c r="T2040" s="16"/>
      <c r="U2040" s="11" t="str">
        <f>_xlfn.XLOOKUP(Customer[[#This Row],[Customer ID]],[1]!Address[ID],[1]!Address[Phone No.(2)])</f>
        <v/>
      </c>
      <c r="V2040" s="11" t="str">
        <f>_xlfn.XLOOKUP(Customer[[#This Row],[Customer ID]],[1]!Address[ID],[1]!Address[Type])</f>
        <v>CORPORATE</v>
      </c>
      <c r="W2040" s="11" t="str">
        <f>_xlfn.XLOOKUP(Customer[[#This Row],[Customer ID]],[1]!Address[ID],[1]!Address[CT])</f>
        <v>30 DAYS</v>
      </c>
      <c r="X2040" s="11"/>
      <c r="Y2040" s="17" t="s">
        <v>6418</v>
      </c>
      <c r="Z2040" s="17" t="e">
        <f>_xlfn.XLOOKUP(Customer[[#This Row],[NewType]],$AF$36:$AF$54,$AG$36:$AG$54)</f>
        <v>#N/A</v>
      </c>
      <c r="AA2040" s="17" t="s">
        <v>12800</v>
      </c>
      <c r="AB2040" s="11" t="str">
        <f>_xlfn.XLOOKUP(Customer[[#This Row],[Customer ID]],[1]!Address[ID],[1]!Address[Subtype])</f>
        <v>TERAJU</v>
      </c>
      <c r="AC2040" s="18" t="str">
        <f>_xlfn.XLOOKUP(Customer[[#This Row],[Customer ID]],[1]!Address[ID],[1]!Address[Zone])</f>
        <v>CENTRAL</v>
      </c>
    </row>
    <row r="2041" spans="1:29" x14ac:dyDescent="0.3">
      <c r="A2041" s="10" t="s">
        <v>12801</v>
      </c>
      <c r="B2041" s="11" t="str">
        <f>_xlfn.XLOOKUP(Customer[[#This Row],[Customer ID]],[1]!Name[ID],[1]!Name[Description(1)])</f>
        <v>AIDI AZLI BIN WAHIT</v>
      </c>
      <c r="C2041" s="11" t="str">
        <f>_xlfn.XLOOKUP(Customer[[#This Row],[Customer ID]],[1]!Name[ID],[1]!Name[Description(2)])</f>
        <v/>
      </c>
      <c r="D2041" s="11" t="str">
        <f>_xlfn.XLOOKUP(Customer[[#This Row],[Customer ID]],[1]!Address[ID],[1]!Address[PIC])</f>
        <v>AIDI AZLI</v>
      </c>
      <c r="E2041" s="11" t="str">
        <f>_xlfn.XLOOKUP(Customer[[#This Row],[Customer ID]],[1]!Address[ID],[1]!Address[Full Address])</f>
        <v>76, JALAN LAMAN BAKAWALI C/5,LAMAN BAKAWALI, KOTA SERIEMAS, 71800NILAI, NEGERI SEMBILAN</v>
      </c>
      <c r="F2041" s="12" t="s">
        <v>12802</v>
      </c>
      <c r="G2041" s="12" t="s">
        <v>12803</v>
      </c>
      <c r="H2041" s="12" t="s">
        <v>12804</v>
      </c>
      <c r="I2041" s="12" t="b">
        <f>ISNUMBER(VALUE(LEFT(Customer[[#This Row],[Address Line 3 (30 char)]],1)))</f>
        <v>0</v>
      </c>
      <c r="J2041" s="12" t="s">
        <v>203</v>
      </c>
      <c r="K2041" s="12">
        <v>71800</v>
      </c>
      <c r="L2041" s="12" t="s">
        <v>35</v>
      </c>
      <c r="M2041" s="13" t="e">
        <v>#N/A</v>
      </c>
      <c r="N2041" s="14" t="e">
        <v>#N/A</v>
      </c>
      <c r="O2041" s="14" t="e">
        <v>#N/A</v>
      </c>
      <c r="P2041" s="14" t="e">
        <v>#N/A</v>
      </c>
      <c r="Q2041" s="19" t="s">
        <v>12805</v>
      </c>
      <c r="R2041" s="15" t="s">
        <v>12806</v>
      </c>
      <c r="S2041" s="15" t="s">
        <v>89</v>
      </c>
      <c r="T2041" s="16" t="s">
        <v>89</v>
      </c>
      <c r="U2041" s="11" t="str">
        <f>_xlfn.XLOOKUP(Customer[[#This Row],[Customer ID]],[1]!Address[ID],[1]!Address[Phone No.(2)])</f>
        <v/>
      </c>
      <c r="V2041" s="11" t="str">
        <f>_xlfn.XLOOKUP(Customer[[#This Row],[Customer ID]],[1]!Address[ID],[1]!Address[Type])</f>
        <v>SOCMED</v>
      </c>
      <c r="W2041" s="11" t="str">
        <f>_xlfn.XLOOKUP(Customer[[#This Row],[Customer ID]],[1]!Address[ID],[1]!Address[CT])</f>
        <v/>
      </c>
      <c r="X2041" s="11"/>
      <c r="Y2041" s="17" t="s">
        <v>90</v>
      </c>
      <c r="Z2041" s="17" t="e">
        <f>_xlfn.XLOOKUP(Customer[[#This Row],[NewType]],$AF$36:$AF$54,$AG$36:$AG$54)</f>
        <v>#N/A</v>
      </c>
      <c r="AA2041" s="17" t="s">
        <v>12807</v>
      </c>
      <c r="AB2041" s="11" t="str">
        <f>_xlfn.XLOOKUP(Customer[[#This Row],[Customer ID]],[1]!Address[ID],[1]!Address[Subtype])</f>
        <v>WHATSAPP</v>
      </c>
      <c r="AC2041" s="18" t="str">
        <f>_xlfn.XLOOKUP(Customer[[#This Row],[Customer ID]],[1]!Address[ID],[1]!Address[Zone])</f>
        <v>CENTRAL</v>
      </c>
    </row>
    <row r="2042" spans="1:29" x14ac:dyDescent="0.3">
      <c r="A2042" s="10" t="s">
        <v>12808</v>
      </c>
      <c r="B2042" s="11" t="str">
        <f>_xlfn.XLOOKUP(Customer[[#This Row],[Customer ID]],[1]!Name[ID],[1]!Name[Description(1)])</f>
        <v>NADEA MART</v>
      </c>
      <c r="C2042" s="11" t="str">
        <f>_xlfn.XLOOKUP(Customer[[#This Row],[Customer ID]],[1]!Name[ID],[1]!Name[Description(2)])</f>
        <v>EL NADEA FOOD VENTUR</v>
      </c>
      <c r="D2042" s="11" t="str">
        <f>_xlfn.XLOOKUP(Customer[[#This Row],[Customer ID]],[1]!Address[ID],[1]!Address[PIC])</f>
        <v>NADEA MART</v>
      </c>
      <c r="E2042" s="11" t="str">
        <f>_xlfn.XLOOKUP(Customer[[#This Row],[Customer ID]],[1]!Address[ID],[1]!Address[Full Address])</f>
        <v>C335GL, LORONG TEMERLOH MALL,JALAN TENGKU ISMAIL, 28000 TEMERLOHPAHANG</v>
      </c>
      <c r="F2042" s="12" t="s">
        <v>12809</v>
      </c>
      <c r="G2042" s="12" t="s">
        <v>12810</v>
      </c>
      <c r="H2042" s="12" t="s">
        <v>4801</v>
      </c>
      <c r="I2042" s="12" t="b">
        <f>ISNUMBER(VALUE(LEFT(Customer[[#This Row],[Address Line 3 (30 char)]],1)))</f>
        <v>0</v>
      </c>
      <c r="J2042" s="12" t="s">
        <v>339</v>
      </c>
      <c r="K2042" s="12">
        <v>28000</v>
      </c>
      <c r="L2042" s="12" t="s">
        <v>35</v>
      </c>
      <c r="M2042" s="13" t="e">
        <v>#N/A</v>
      </c>
      <c r="N2042" s="14" t="e">
        <v>#N/A</v>
      </c>
      <c r="O2042" s="14" t="e">
        <v>#N/A</v>
      </c>
      <c r="P2042" s="14" t="e">
        <v>#N/A</v>
      </c>
      <c r="Q2042" s="14" t="e">
        <v>#N/A</v>
      </c>
      <c r="R2042" s="15" t="s">
        <v>11700</v>
      </c>
      <c r="S2042" s="15" t="s">
        <v>88</v>
      </c>
      <c r="T2042" s="16" t="s">
        <v>89</v>
      </c>
      <c r="U2042" s="11" t="str">
        <f>_xlfn.XLOOKUP(Customer[[#This Row],[Customer ID]],[1]!Address[ID],[1]!Address[Phone No.(2)])</f>
        <v/>
      </c>
      <c r="V2042" s="11" t="str">
        <f>_xlfn.XLOOKUP(Customer[[#This Row],[Customer ID]],[1]!Address[ID],[1]!Address[Type])</f>
        <v>SOCMED</v>
      </c>
      <c r="W2042" s="11" t="str">
        <f>_xlfn.XLOOKUP(Customer[[#This Row],[Customer ID]],[1]!Address[ID],[1]!Address[CT])</f>
        <v/>
      </c>
      <c r="X2042" s="11"/>
      <c r="Y2042" s="17" t="s">
        <v>90</v>
      </c>
      <c r="Z2042" s="17" t="e">
        <f>_xlfn.XLOOKUP(Customer[[#This Row],[NewType]],$AF$36:$AF$54,$AG$36:$AG$54)</f>
        <v>#N/A</v>
      </c>
      <c r="AA2042" s="17" t="s">
        <v>12811</v>
      </c>
      <c r="AB2042" s="11" t="str">
        <f>_xlfn.XLOOKUP(Customer[[#This Row],[Customer ID]],[1]!Address[ID],[1]!Address[Subtype])</f>
        <v>ONLINE ROS</v>
      </c>
      <c r="AC2042" s="18" t="str">
        <f>_xlfn.XLOOKUP(Customer[[#This Row],[Customer ID]],[1]!Address[ID],[1]!Address[Zone])</f>
        <v>TAEDH</v>
      </c>
    </row>
    <row r="2043" spans="1:29" x14ac:dyDescent="0.3">
      <c r="A2043" s="10" t="s">
        <v>12812</v>
      </c>
      <c r="B2043" s="11" t="str">
        <f>_xlfn.XLOOKUP(Customer[[#This Row],[Customer ID]],[1]!Name[ID],[1]!Name[Description(1)])</f>
        <v>AMIN FAISAL BIN AZMI</v>
      </c>
      <c r="C2043" s="11" t="str">
        <f>_xlfn.XLOOKUP(Customer[[#This Row],[Customer ID]],[1]!Name[ID],[1]!Name[Description(2)])</f>
        <v>(IT)</v>
      </c>
      <c r="D2043" s="11" t="str">
        <f>_xlfn.XLOOKUP(Customer[[#This Row],[Customer ID]],[1]!Address[ID],[1]!Address[PIC])</f>
        <v>AMIN</v>
      </c>
      <c r="E2043" s="11" t="str">
        <f>_xlfn.XLOOKUP(Customer[[#This Row],[Customer ID]],[1]!Address[ID],[1]!Address[Full Address])</f>
        <v>LORONG TSR 3, TAMAN SERI REMBAU,REMBAU, 71300, NEGERI SEMBILAN</v>
      </c>
      <c r="F2043" s="12" t="s">
        <v>12813</v>
      </c>
      <c r="G2043" s="12" t="s">
        <v>12814</v>
      </c>
      <c r="H2043" s="12" t="s">
        <v>7985</v>
      </c>
      <c r="I2043" s="12" t="b">
        <f>ISNUMBER(VALUE(LEFT(Customer[[#This Row],[Address Line 3 (30 char)]],1)))</f>
        <v>0</v>
      </c>
      <c r="J2043" s="12" t="s">
        <v>203</v>
      </c>
      <c r="K2043" s="12">
        <v>71300</v>
      </c>
      <c r="L2043" s="12" t="s">
        <v>35</v>
      </c>
      <c r="M2043" s="13" t="e">
        <v>#N/A</v>
      </c>
      <c r="N2043" s="14" t="e">
        <v>#N/A</v>
      </c>
      <c r="O2043" s="14" t="e">
        <v>#N/A</v>
      </c>
      <c r="P2043" s="14" t="e">
        <v>#N/A</v>
      </c>
      <c r="Q2043" s="19" t="s">
        <v>12815</v>
      </c>
      <c r="R2043" s="15" t="s">
        <v>12816</v>
      </c>
      <c r="S2043" s="16" t="s">
        <v>89</v>
      </c>
      <c r="T2043" s="16" t="s">
        <v>89</v>
      </c>
      <c r="U2043" s="11" t="str">
        <f>_xlfn.XLOOKUP(Customer[[#This Row],[Customer ID]],[1]!Address[ID],[1]!Address[Phone No.(2)])</f>
        <v/>
      </c>
      <c r="V2043" s="11" t="str">
        <f>_xlfn.XLOOKUP(Customer[[#This Row],[Customer ID]],[1]!Address[ID],[1]!Address[Type])</f>
        <v>WALK IN</v>
      </c>
      <c r="W2043" s="11" t="str">
        <f>_xlfn.XLOOKUP(Customer[[#This Row],[Customer ID]],[1]!Address[ID],[1]!Address[CT])</f>
        <v/>
      </c>
      <c r="X2043" s="11"/>
      <c r="Y2043" s="17" t="s">
        <v>6284</v>
      </c>
      <c r="Z2043" s="17" t="e">
        <f>_xlfn.XLOOKUP(Customer[[#This Row],[NewType]],$AF$36:$AF$54,$AG$36:$AG$54)</f>
        <v>#N/A</v>
      </c>
      <c r="AA2043" s="17" t="s">
        <v>12817</v>
      </c>
      <c r="AB2043" s="11" t="str">
        <f>_xlfn.XLOOKUP(Customer[[#This Row],[Customer ID]],[1]!Address[ID],[1]!Address[Subtype])</f>
        <v>STAFF</v>
      </c>
      <c r="AC2043" s="18" t="str">
        <f>_xlfn.XLOOKUP(Customer[[#This Row],[Customer ID]],[1]!Address[ID],[1]!Address[Zone])</f>
        <v>CENTRAL</v>
      </c>
    </row>
    <row r="2044" spans="1:29" x14ac:dyDescent="0.3">
      <c r="A2044" s="10" t="s">
        <v>12818</v>
      </c>
      <c r="B2044" s="11" t="str">
        <f>_xlfn.XLOOKUP(Customer[[#This Row],[Customer ID]],[1]!Name[ID],[1]!Name[Description(1)])</f>
        <v>U.N.I FARMASI SALAK TINGGI</v>
      </c>
      <c r="C2044" s="11" t="str">
        <f>_xlfn.XLOOKUP(Customer[[#This Row],[Customer ID]],[1]!Name[ID],[1]!Name[Description(2)])</f>
        <v/>
      </c>
      <c r="D2044" s="11" t="str">
        <f>_xlfn.XLOOKUP(Customer[[#This Row],[Customer ID]],[1]!Address[ID],[1]!Address[PIC])</f>
        <v>FARMASI</v>
      </c>
      <c r="E2044" s="11" t="str">
        <f>_xlfn.XLOOKUP(Customer[[#This Row],[Customer ID]],[1]!Address[ID],[1]!Address[Full Address])</f>
        <v>NO.28, JALAN SRI QASEH PERMAI,DESA SRI QASEH 43900 SEPANG, SELANGOR</v>
      </c>
      <c r="F2044" s="12" t="s">
        <v>12819</v>
      </c>
      <c r="G2044" s="12" t="s">
        <v>12820</v>
      </c>
      <c r="H2044" s="12" t="s">
        <v>2757</v>
      </c>
      <c r="I2044" s="12" t="b">
        <f>ISNUMBER(VALUE(LEFT(Customer[[#This Row],[Address Line 3 (30 char)]],1)))</f>
        <v>0</v>
      </c>
      <c r="J2044" s="12" t="s">
        <v>1907</v>
      </c>
      <c r="K2044" s="12">
        <v>43900</v>
      </c>
      <c r="L2044" s="12" t="s">
        <v>35</v>
      </c>
      <c r="M2044" s="13" t="e">
        <v>#N/A</v>
      </c>
      <c r="N2044" s="14" t="e">
        <v>#N/A</v>
      </c>
      <c r="O2044" s="14" t="e">
        <v>#N/A</v>
      </c>
      <c r="P2044" s="14" t="e">
        <v>#N/A</v>
      </c>
      <c r="Q2044" s="14" t="e">
        <v>#N/A</v>
      </c>
      <c r="R2044" s="15" t="s">
        <v>12821</v>
      </c>
      <c r="S2044" s="15" t="s">
        <v>88</v>
      </c>
      <c r="T2044" s="16" t="s">
        <v>89</v>
      </c>
      <c r="U2044" s="11" t="str">
        <f>_xlfn.XLOOKUP(Customer[[#This Row],[Customer ID]],[1]!Address[ID],[1]!Address[Phone No.(2)])</f>
        <v/>
      </c>
      <c r="V2044" s="11" t="str">
        <f>_xlfn.XLOOKUP(Customer[[#This Row],[Customer ID]],[1]!Address[ID],[1]!Address[Type])</f>
        <v>SOCMED</v>
      </c>
      <c r="W2044" s="11" t="str">
        <f>_xlfn.XLOOKUP(Customer[[#This Row],[Customer ID]],[1]!Address[ID],[1]!Address[CT])</f>
        <v/>
      </c>
      <c r="X2044" s="11"/>
      <c r="Y2044" s="17" t="s">
        <v>90</v>
      </c>
      <c r="Z2044" s="17" t="e">
        <f>_xlfn.XLOOKUP(Customer[[#This Row],[NewType]],$AF$36:$AF$54,$AG$36:$AG$54)</f>
        <v>#N/A</v>
      </c>
      <c r="AA2044" s="17" t="s">
        <v>12822</v>
      </c>
      <c r="AB2044" s="11" t="str">
        <f>_xlfn.XLOOKUP(Customer[[#This Row],[Customer ID]],[1]!Address[ID],[1]!Address[Subtype])</f>
        <v>ONLINE ROS</v>
      </c>
      <c r="AC2044" s="18" t="str">
        <f>_xlfn.XLOOKUP(Customer[[#This Row],[Customer ID]],[1]!Address[ID],[1]!Address[Zone])</f>
        <v>EEEDH</v>
      </c>
    </row>
    <row r="2045" spans="1:29" x14ac:dyDescent="0.3">
      <c r="A2045" s="10" t="s">
        <v>12823</v>
      </c>
      <c r="B2045" s="11" t="str">
        <f>_xlfn.XLOOKUP(Customer[[#This Row],[Customer ID]],[1]!Name[ID],[1]!Name[Description(1)])</f>
        <v>NURFAZILAH BINTI KAMARUDIN</v>
      </c>
      <c r="C2045" s="11" t="str">
        <f>_xlfn.XLOOKUP(Customer[[#This Row],[Customer ID]],[1]!Name[ID],[1]!Name[Description(2)])</f>
        <v>(SALES ORDERING)</v>
      </c>
      <c r="D2045" s="11" t="str">
        <f>_xlfn.XLOOKUP(Customer[[#This Row],[Customer ID]],[1]!Address[ID],[1]!Address[PIC])</f>
        <v>FAZILAH</v>
      </c>
      <c r="E2045" s="11" t="str">
        <f>_xlfn.XLOOKUP(Customer[[#This Row],[Customer ID]],[1]!Address[ID],[1]!Address[Full Address])</f>
        <v>NO 2, LORONG SRI ANGGERIK 2/6,TAMAN SRI ANGGERIK, 71200 RANTAU,NEGERI SEMBILAN</v>
      </c>
      <c r="F2045" s="12" t="s">
        <v>12824</v>
      </c>
      <c r="G2045" s="12" t="s">
        <v>12825</v>
      </c>
      <c r="H2045" s="24" t="s">
        <v>12826</v>
      </c>
      <c r="I2045" s="24" t="b">
        <f>ISNUMBER(VALUE(LEFT(Customer[[#This Row],[Address Line 3 (30 char)]],1)))</f>
        <v>0</v>
      </c>
      <c r="J2045" s="12" t="s">
        <v>203</v>
      </c>
      <c r="K2045" s="12">
        <v>71200</v>
      </c>
      <c r="L2045" s="12" t="s">
        <v>35</v>
      </c>
      <c r="M2045" s="13" t="e">
        <v>#N/A</v>
      </c>
      <c r="N2045" s="14" t="e">
        <v>#N/A</v>
      </c>
      <c r="O2045" s="14" t="e">
        <v>#N/A</v>
      </c>
      <c r="P2045" s="14" t="e">
        <v>#N/A</v>
      </c>
      <c r="Q2045" s="19" t="s">
        <v>12827</v>
      </c>
      <c r="R2045" s="15" t="s">
        <v>12828</v>
      </c>
      <c r="S2045" s="16" t="s">
        <v>89</v>
      </c>
      <c r="T2045" s="16" t="s">
        <v>89</v>
      </c>
      <c r="U2045" s="11" t="str">
        <f>_xlfn.XLOOKUP(Customer[[#This Row],[Customer ID]],[1]!Address[ID],[1]!Address[Phone No.(2)])</f>
        <v/>
      </c>
      <c r="V2045" s="11" t="str">
        <f>_xlfn.XLOOKUP(Customer[[#This Row],[Customer ID]],[1]!Address[ID],[1]!Address[Type])</f>
        <v>WALK IN</v>
      </c>
      <c r="W2045" s="11" t="str">
        <f>_xlfn.XLOOKUP(Customer[[#This Row],[Customer ID]],[1]!Address[ID],[1]!Address[CT])</f>
        <v/>
      </c>
      <c r="X2045" s="11"/>
      <c r="Y2045" s="17" t="s">
        <v>6284</v>
      </c>
      <c r="Z2045" s="17" t="e">
        <f>_xlfn.XLOOKUP(Customer[[#This Row],[NewType]],$AF$36:$AF$54,$AG$36:$AG$54)</f>
        <v>#N/A</v>
      </c>
      <c r="AA2045" s="17" t="s">
        <v>12829</v>
      </c>
      <c r="AB2045" s="11" t="str">
        <f>_xlfn.XLOOKUP(Customer[[#This Row],[Customer ID]],[1]!Address[ID],[1]!Address[Subtype])</f>
        <v>STAFF</v>
      </c>
      <c r="AC2045" s="18" t="str">
        <f>_xlfn.XLOOKUP(Customer[[#This Row],[Customer ID]],[1]!Address[ID],[1]!Address[Zone])</f>
        <v>CENTRAL</v>
      </c>
    </row>
    <row r="2046" spans="1:29" x14ac:dyDescent="0.3">
      <c r="A2046" s="10" t="s">
        <v>12830</v>
      </c>
      <c r="B2046" s="11" t="str">
        <f>_xlfn.XLOOKUP(Customer[[#This Row],[Customer ID]],[1]!Name[ID],[1]!Name[Description(1)])</f>
        <v>FARMASI NORIFA TUMPAT</v>
      </c>
      <c r="C2046" s="11" t="str">
        <f>_xlfn.XLOOKUP(Customer[[#This Row],[Customer ID]],[1]!Name[ID],[1]!Name[Description(2)])</f>
        <v/>
      </c>
      <c r="D2046" s="11" t="str">
        <f>_xlfn.XLOOKUP(Customer[[#This Row],[Customer ID]],[1]!Address[ID],[1]!Address[PIC])</f>
        <v>FARMASI</v>
      </c>
      <c r="E2046" s="11" t="str">
        <f>_xlfn.XLOOKUP(Customer[[#This Row],[Customer ID]],[1]!Address[ID],[1]!Address[Full Address])</f>
        <v>LOT 866-C, KAMPUNG GETING 16080TUMPAT, KELANTAN</v>
      </c>
      <c r="F2046" s="12" t="s">
        <v>12831</v>
      </c>
      <c r="G2046" s="12" t="s">
        <v>12832</v>
      </c>
      <c r="H2046" s="12" t="s">
        <v>12833</v>
      </c>
      <c r="I2046" s="12" t="b">
        <f>ISNUMBER(VALUE(LEFT(Customer[[#This Row],[Address Line 3 (30 char)]],1)))</f>
        <v>0</v>
      </c>
      <c r="J2046" s="12" t="s">
        <v>1007</v>
      </c>
      <c r="K2046" s="12">
        <v>16080</v>
      </c>
      <c r="L2046" s="12" t="s">
        <v>35</v>
      </c>
      <c r="M2046" s="13" t="e">
        <v>#N/A</v>
      </c>
      <c r="N2046" s="14" t="e">
        <v>#N/A</v>
      </c>
      <c r="O2046" s="14" t="e">
        <v>#N/A</v>
      </c>
      <c r="P2046" s="14" t="e">
        <v>#N/A</v>
      </c>
      <c r="Q2046" s="14" t="e">
        <v>#N/A</v>
      </c>
      <c r="R2046" s="15" t="s">
        <v>12834</v>
      </c>
      <c r="S2046" s="15" t="s">
        <v>88</v>
      </c>
      <c r="T2046" s="16" t="s">
        <v>89</v>
      </c>
      <c r="U2046" s="11" t="str">
        <f>_xlfn.XLOOKUP(Customer[[#This Row],[Customer ID]],[1]!Address[ID],[1]!Address[Phone No.(2)])</f>
        <v/>
      </c>
      <c r="V2046" s="11" t="str">
        <f>_xlfn.XLOOKUP(Customer[[#This Row],[Customer ID]],[1]!Address[ID],[1]!Address[Type])</f>
        <v>SOCMED</v>
      </c>
      <c r="W2046" s="11" t="str">
        <f>_xlfn.XLOOKUP(Customer[[#This Row],[Customer ID]],[1]!Address[ID],[1]!Address[CT])</f>
        <v/>
      </c>
      <c r="X2046" s="11"/>
      <c r="Y2046" s="17" t="s">
        <v>90</v>
      </c>
      <c r="Z2046" s="17" t="e">
        <f>_xlfn.XLOOKUP(Customer[[#This Row],[NewType]],$AF$36:$AF$54,$AG$36:$AG$54)</f>
        <v>#N/A</v>
      </c>
      <c r="AA2046" s="17" t="s">
        <v>12835</v>
      </c>
      <c r="AB2046" s="11" t="str">
        <f>_xlfn.XLOOKUP(Customer[[#This Row],[Customer ID]],[1]!Address[ID],[1]!Address[Subtype])</f>
        <v>ONLINE ROS</v>
      </c>
      <c r="AC2046" s="18" t="str">
        <f>_xlfn.XLOOKUP(Customer[[#This Row],[Customer ID]],[1]!Address[ID],[1]!Address[Zone])</f>
        <v>EAST COAST</v>
      </c>
    </row>
    <row r="2047" spans="1:29" x14ac:dyDescent="0.3">
      <c r="A2047" s="10" t="s">
        <v>12836</v>
      </c>
      <c r="B2047" s="11" t="str">
        <f>_xlfn.XLOOKUP(Customer[[#This Row],[Customer ID]],[1]!Name[ID],[1]!Name[Description(1)])</f>
        <v>EZZAH</v>
      </c>
      <c r="C2047" s="11" t="str">
        <f>_xlfn.XLOOKUP(Customer[[#This Row],[Customer ID]],[1]!Name[ID],[1]!Name[Description(2)])</f>
        <v>RED CLOVER RESOURCES</v>
      </c>
      <c r="D2047" s="11" t="str">
        <f>_xlfn.XLOOKUP(Customer[[#This Row],[Customer ID]],[1]!Address[ID],[1]!Address[PIC])</f>
        <v>KHAIREZA</v>
      </c>
      <c r="E2047" s="11" t="str">
        <f>_xlfn.XLOOKUP(Customer[[#This Row],[Customer ID]],[1]!Address[ID],[1]!Address[Full Address])</f>
        <v>B-20 JALAN TG LUMPUR 7, TANJUNGLUMPUR 26010 KUANTAN, PAHANG</v>
      </c>
      <c r="F2047" s="12" t="s">
        <v>12837</v>
      </c>
      <c r="G2047" s="12" t="s">
        <v>5708</v>
      </c>
      <c r="H2047" s="12" t="s">
        <v>1038</v>
      </c>
      <c r="I2047" s="12" t="b">
        <f>ISNUMBER(VALUE(LEFT(Customer[[#This Row],[Address Line 3 (30 char)]],1)))</f>
        <v>0</v>
      </c>
      <c r="J2047" s="12" t="s">
        <v>339</v>
      </c>
      <c r="K2047" s="12">
        <v>26010</v>
      </c>
      <c r="L2047" s="12" t="s">
        <v>35</v>
      </c>
      <c r="M2047" s="13" t="e">
        <v>#N/A</v>
      </c>
      <c r="N2047" s="14" t="e">
        <v>#N/A</v>
      </c>
      <c r="O2047" s="14" t="e">
        <v>#N/A</v>
      </c>
      <c r="P2047" s="14" t="e">
        <v>#N/A</v>
      </c>
      <c r="Q2047" s="19" t="s">
        <v>12838</v>
      </c>
      <c r="R2047" s="15" t="s">
        <v>8031</v>
      </c>
      <c r="S2047" s="15" t="s">
        <v>88</v>
      </c>
      <c r="T2047" s="16" t="s">
        <v>89</v>
      </c>
      <c r="U2047" s="11" t="str">
        <f>_xlfn.XLOOKUP(Customer[[#This Row],[Customer ID]],[1]!Address[ID],[1]!Address[Phone No.(2)])</f>
        <v/>
      </c>
      <c r="V2047" s="11" t="str">
        <f>_xlfn.XLOOKUP(Customer[[#This Row],[Customer ID]],[1]!Address[ID],[1]!Address[Type])</f>
        <v>SOCMED</v>
      </c>
      <c r="W2047" s="11" t="str">
        <f>_xlfn.XLOOKUP(Customer[[#This Row],[Customer ID]],[1]!Address[ID],[1]!Address[CT])</f>
        <v/>
      </c>
      <c r="X2047" s="11"/>
      <c r="Y2047" s="17" t="s">
        <v>90</v>
      </c>
      <c r="Z2047" s="17" t="e">
        <f>_xlfn.XLOOKUP(Customer[[#This Row],[NewType]],$AF$36:$AF$54,$AG$36:$AG$54)</f>
        <v>#N/A</v>
      </c>
      <c r="AA2047" s="17" t="s">
        <v>12839</v>
      </c>
      <c r="AB2047" s="11" t="str">
        <f>_xlfn.XLOOKUP(Customer[[#This Row],[Customer ID]],[1]!Address[ID],[1]!Address[Subtype])</f>
        <v>ONLINE ROS</v>
      </c>
      <c r="AC2047" s="18" t="str">
        <f>_xlfn.XLOOKUP(Customer[[#This Row],[Customer ID]],[1]!Address[ID],[1]!Address[Zone])</f>
        <v>EAST COAST</v>
      </c>
    </row>
    <row r="2048" spans="1:29" x14ac:dyDescent="0.3">
      <c r="A2048" s="10" t="s">
        <v>12840</v>
      </c>
      <c r="B2048" s="11" t="str">
        <f>_xlfn.XLOOKUP(Customer[[#This Row],[Customer ID]],[1]!Name[ID],[1]!Name[Description(1)])</f>
        <v>RIDZUAN AHMAD</v>
      </c>
      <c r="C2048" s="11" t="str">
        <f>_xlfn.XLOOKUP(Customer[[#This Row],[Customer ID]],[1]!Name[ID],[1]!Name[Description(2)])</f>
        <v/>
      </c>
      <c r="D2048" s="11" t="str">
        <f>_xlfn.XLOOKUP(Customer[[#This Row],[Customer ID]],[1]!Address[ID],[1]!Address[PIC])</f>
        <v>RIDZUAN AHMAD</v>
      </c>
      <c r="E2048" s="11" t="str">
        <f>_xlfn.XLOOKUP(Customer[[#This Row],[Customer ID]],[1]!Address[ID],[1]!Address[Full Address])</f>
        <v>LOT 6289, LORONG MAWAR,KG BUKIT TOK BAT 21700 KUALA BERANGTERENGGANU</v>
      </c>
      <c r="F2048" s="12" t="s">
        <v>12841</v>
      </c>
      <c r="G2048" s="12" t="s">
        <v>12842</v>
      </c>
      <c r="H2048" s="12" t="s">
        <v>12843</v>
      </c>
      <c r="I2048" s="12" t="b">
        <f>ISNUMBER(VALUE(LEFT(Customer[[#This Row],[Address Line 3 (30 char)]],1)))</f>
        <v>0</v>
      </c>
      <c r="J2048" s="12" t="s">
        <v>1056</v>
      </c>
      <c r="K2048" s="12">
        <v>21700</v>
      </c>
      <c r="L2048" s="12" t="s">
        <v>35</v>
      </c>
      <c r="M2048" s="13" t="e">
        <v>#N/A</v>
      </c>
      <c r="N2048" s="14" t="e">
        <v>#N/A</v>
      </c>
      <c r="O2048" s="14" t="e">
        <v>#N/A</v>
      </c>
      <c r="P2048" s="14" t="e">
        <v>#N/A</v>
      </c>
      <c r="Q2048" s="14" t="e">
        <v>#N/A</v>
      </c>
      <c r="R2048" s="15" t="s">
        <v>12844</v>
      </c>
      <c r="S2048" s="15" t="s">
        <v>88</v>
      </c>
      <c r="T2048" s="16" t="s">
        <v>89</v>
      </c>
      <c r="U2048" s="11" t="str">
        <f>_xlfn.XLOOKUP(Customer[[#This Row],[Customer ID]],[1]!Address[ID],[1]!Address[Phone No.(2)])</f>
        <v/>
      </c>
      <c r="V2048" s="11" t="str">
        <f>_xlfn.XLOOKUP(Customer[[#This Row],[Customer ID]],[1]!Address[ID],[1]!Address[Type])</f>
        <v>SOCMED</v>
      </c>
      <c r="W2048" s="11" t="str">
        <f>_xlfn.XLOOKUP(Customer[[#This Row],[Customer ID]],[1]!Address[ID],[1]!Address[CT])</f>
        <v/>
      </c>
      <c r="X2048" s="11"/>
      <c r="Y2048" s="17" t="s">
        <v>90</v>
      </c>
      <c r="Z2048" s="17" t="e">
        <f>_xlfn.XLOOKUP(Customer[[#This Row],[NewType]],$AF$36:$AF$54,$AG$36:$AG$54)</f>
        <v>#N/A</v>
      </c>
      <c r="AA2048" s="17" t="s">
        <v>12845</v>
      </c>
      <c r="AB2048" s="11" t="str">
        <f>_xlfn.XLOOKUP(Customer[[#This Row],[Customer ID]],[1]!Address[ID],[1]!Address[Subtype])</f>
        <v>ONLINE ROS</v>
      </c>
      <c r="AC2048" s="18" t="str">
        <f>_xlfn.XLOOKUP(Customer[[#This Row],[Customer ID]],[1]!Address[ID],[1]!Address[Zone])</f>
        <v>EAST COAST</v>
      </c>
    </row>
    <row r="2049" spans="1:29" x14ac:dyDescent="0.3">
      <c r="A2049" s="10" t="s">
        <v>12846</v>
      </c>
      <c r="B2049" s="11" t="str">
        <f>_xlfn.XLOOKUP(Customer[[#This Row],[Customer ID]],[1]!Name[ID],[1]!Name[Description(1)])</f>
        <v>KERAJAAN NEGERI NEGERI SEMBILAN</v>
      </c>
      <c r="C2049" s="11" t="str">
        <f>_xlfn.XLOOKUP(Customer[[#This Row],[Customer ID]],[1]!Name[ID],[1]!Name[Description(2)])</f>
        <v>WISMA NEGERI SEMBILAN</v>
      </c>
      <c r="D2049" s="11" t="str">
        <f>_xlfn.XLOOKUP(Customer[[#This Row],[Customer ID]],[1]!Address[ID],[1]!Address[PIC])</f>
        <v/>
      </c>
      <c r="E2049" s="11" t="str">
        <f>_xlfn.XLOOKUP(Customer[[#This Row],[Customer ID]],[1]!Address[ID],[1]!Address[Full Address])</f>
        <v>TINGKAT 5, BLOK D,WISMA NEGERI SEMBILAN70503 SEREMBAN NEGERI SEMBILAN</v>
      </c>
      <c r="F2049" s="12" t="s">
        <v>12847</v>
      </c>
      <c r="G2049" s="12" t="s">
        <v>12848</v>
      </c>
      <c r="H2049" s="24" t="s">
        <v>6799</v>
      </c>
      <c r="I2049" s="24" t="b">
        <f>ISNUMBER(VALUE(LEFT(Customer[[#This Row],[Address Line 3 (30 char)]],1)))</f>
        <v>0</v>
      </c>
      <c r="J2049" s="12" t="s">
        <v>203</v>
      </c>
      <c r="K2049" s="12">
        <v>70503</v>
      </c>
      <c r="L2049" s="12" t="s">
        <v>35</v>
      </c>
      <c r="M2049" s="13" t="e">
        <v>#N/A</v>
      </c>
      <c r="N2049" s="14" t="e">
        <v>#N/A</v>
      </c>
      <c r="O2049" s="14" t="e">
        <v>#N/A</v>
      </c>
      <c r="P2049" s="14" t="e">
        <v>#N/A</v>
      </c>
      <c r="Q2049" s="19" t="s">
        <v>12849</v>
      </c>
      <c r="R2049" s="15" t="s">
        <v>11027</v>
      </c>
      <c r="S2049" s="15" t="s">
        <v>5934</v>
      </c>
      <c r="T2049" s="16"/>
      <c r="U2049" s="11" t="str">
        <f>_xlfn.XLOOKUP(Customer[[#This Row],[Customer ID]],[1]!Address[ID],[1]!Address[Phone No.(2)])</f>
        <v/>
      </c>
      <c r="V2049" s="11" t="str">
        <f>_xlfn.XLOOKUP(Customer[[#This Row],[Customer ID]],[1]!Address[ID],[1]!Address[Type])</f>
        <v>CORPORATE</v>
      </c>
      <c r="W2049" s="11" t="str">
        <f>_xlfn.XLOOKUP(Customer[[#This Row],[Customer ID]],[1]!Address[ID],[1]!Address[CT])</f>
        <v>30 DAYS</v>
      </c>
      <c r="X2049" s="11"/>
      <c r="Y2049" s="17" t="s">
        <v>6418</v>
      </c>
      <c r="Z2049" s="17" t="e">
        <f>_xlfn.XLOOKUP(Customer[[#This Row],[NewType]],$AF$36:$AF$54,$AG$36:$AG$54)</f>
        <v>#N/A</v>
      </c>
      <c r="AA2049" s="17" t="s">
        <v>12850</v>
      </c>
      <c r="AB2049" s="11" t="str">
        <f>_xlfn.XLOOKUP(Customer[[#This Row],[Customer ID]],[1]!Address[ID],[1]!Address[Subtype])</f>
        <v>WISMA NEGERI</v>
      </c>
      <c r="AC2049" s="18" t="str">
        <f>_xlfn.XLOOKUP(Customer[[#This Row],[Customer ID]],[1]!Address[ID],[1]!Address[Zone])</f>
        <v>CENTRAL</v>
      </c>
    </row>
    <row r="2050" spans="1:29" x14ac:dyDescent="0.3">
      <c r="A2050" s="10" t="s">
        <v>12851</v>
      </c>
      <c r="B2050" s="11" t="str">
        <f>_xlfn.XLOOKUP(Customer[[#This Row],[Customer ID]],[1]!Name[ID],[1]!Name[Description(1)])</f>
        <v>AMIRUL ASYRAF BIN IBRAHIM</v>
      </c>
      <c r="C2050" s="11" t="str">
        <f>_xlfn.XLOOKUP(Customer[[#This Row],[Customer ID]],[1]!Name[ID],[1]!Name[Description(2)])</f>
        <v>(SAFETY)</v>
      </c>
      <c r="D2050" s="11" t="str">
        <f>_xlfn.XLOOKUP(Customer[[#This Row],[Customer ID]],[1]!Address[ID],[1]!Address[PIC])</f>
        <v>AMIRUL</v>
      </c>
      <c r="E2050" s="11" t="str">
        <f>_xlfn.XLOOKUP(Customer[[#This Row],[Customer ID]],[1]!Address[ID],[1]!Address[Full Address])</f>
        <v>172 TAMAN SERI REMBAU,  71300 REMBAUNEGERI SEMBILAN</v>
      </c>
      <c r="F2050" s="12" t="s">
        <v>12852</v>
      </c>
      <c r="G2050" s="12" t="s">
        <v>12853</v>
      </c>
      <c r="H2050" s="12" t="s">
        <v>7985</v>
      </c>
      <c r="I2050" s="12" t="b">
        <f>ISNUMBER(VALUE(LEFT(Customer[[#This Row],[Address Line 3 (30 char)]],1)))</f>
        <v>0</v>
      </c>
      <c r="J2050" s="12" t="s">
        <v>203</v>
      </c>
      <c r="K2050" s="12">
        <v>71300</v>
      </c>
      <c r="L2050" s="12" t="s">
        <v>35</v>
      </c>
      <c r="M2050" s="13" t="e">
        <v>#N/A</v>
      </c>
      <c r="N2050" s="14" t="e">
        <v>#N/A</v>
      </c>
      <c r="O2050" s="14" t="e">
        <v>#N/A</v>
      </c>
      <c r="P2050" s="14" t="e">
        <v>#N/A</v>
      </c>
      <c r="Q2050" s="19" t="s">
        <v>12854</v>
      </c>
      <c r="R2050" s="15" t="s">
        <v>12855</v>
      </c>
      <c r="S2050" s="16" t="s">
        <v>89</v>
      </c>
      <c r="T2050" s="16" t="s">
        <v>89</v>
      </c>
      <c r="U2050" s="11" t="str">
        <f>_xlfn.XLOOKUP(Customer[[#This Row],[Customer ID]],[1]!Address[ID],[1]!Address[Phone No.(2)])</f>
        <v/>
      </c>
      <c r="V2050" s="11" t="str">
        <f>_xlfn.XLOOKUP(Customer[[#This Row],[Customer ID]],[1]!Address[ID],[1]!Address[Type])</f>
        <v>WALK IN</v>
      </c>
      <c r="W2050" s="11" t="str">
        <f>_xlfn.XLOOKUP(Customer[[#This Row],[Customer ID]],[1]!Address[ID],[1]!Address[CT])</f>
        <v/>
      </c>
      <c r="X2050" s="11"/>
      <c r="Y2050" s="17" t="s">
        <v>6284</v>
      </c>
      <c r="Z2050" s="17" t="e">
        <f>_xlfn.XLOOKUP(Customer[[#This Row],[NewType]],$AF$36:$AF$54,$AG$36:$AG$54)</f>
        <v>#N/A</v>
      </c>
      <c r="AA2050" s="17" t="s">
        <v>12856</v>
      </c>
      <c r="AB2050" s="11" t="str">
        <f>_xlfn.XLOOKUP(Customer[[#This Row],[Customer ID]],[1]!Address[ID],[1]!Address[Subtype])</f>
        <v>STAFF</v>
      </c>
      <c r="AC2050" s="18" t="str">
        <f>_xlfn.XLOOKUP(Customer[[#This Row],[Customer ID]],[1]!Address[ID],[1]!Address[Zone])</f>
        <v>CENTRAL</v>
      </c>
    </row>
    <row r="2051" spans="1:29" x14ac:dyDescent="0.3">
      <c r="A2051" s="10" t="s">
        <v>12857</v>
      </c>
      <c r="B2051" s="11" t="str">
        <f>_xlfn.XLOOKUP(Customer[[#This Row],[Customer ID]],[1]!Name[ID],[1]!Name[Description(1)])</f>
        <v>CHE ZAHARUDIN BIN CHE IBRAHIM</v>
      </c>
      <c r="C2051" s="11" t="str">
        <f>_xlfn.XLOOKUP(Customer[[#This Row],[Customer ID]],[1]!Name[ID],[1]!Name[Description(2)])</f>
        <v/>
      </c>
      <c r="D2051" s="11" t="str">
        <f>_xlfn.XLOOKUP(Customer[[#This Row],[Customer ID]],[1]!Address[ID],[1]!Address[PIC])</f>
        <v>CHE ZAHARUDIN B</v>
      </c>
      <c r="E2051" s="11" t="str">
        <f>_xlfn.XLOOKUP(Customer[[#This Row],[Customer ID]],[1]!Address[ID],[1]!Address[Full Address])</f>
        <v>PT 1129, KAMPUNG PULAU PISANG,JALAN KUALA BESAR,15350 KOTA BHARU,KELANTAN</v>
      </c>
      <c r="F2051" s="12" t="s">
        <v>12858</v>
      </c>
      <c r="G2051" s="12" t="s">
        <v>7146</v>
      </c>
      <c r="H2051" s="24" t="s">
        <v>2824</v>
      </c>
      <c r="I2051" s="24" t="b">
        <f>ISNUMBER(VALUE(LEFT(Customer[[#This Row],[Address Line 3 (30 char)]],1)))</f>
        <v>0</v>
      </c>
      <c r="J2051" s="12" t="s">
        <v>1007</v>
      </c>
      <c r="K2051" s="12">
        <v>15350</v>
      </c>
      <c r="L2051" s="12" t="s">
        <v>35</v>
      </c>
      <c r="M2051" s="13" t="e">
        <v>#N/A</v>
      </c>
      <c r="N2051" s="113" t="s">
        <v>12859</v>
      </c>
      <c r="O2051" s="14" t="e">
        <v>#N/A</v>
      </c>
      <c r="P2051" s="14" t="e">
        <v>#N/A</v>
      </c>
      <c r="Q2051" s="19" t="s">
        <v>12860</v>
      </c>
      <c r="R2051" s="15" t="s">
        <v>12861</v>
      </c>
      <c r="S2051" s="16" t="s">
        <v>89</v>
      </c>
      <c r="T2051" s="16" t="s">
        <v>89</v>
      </c>
      <c r="U2051" s="11" t="str">
        <f>_xlfn.XLOOKUP(Customer[[#This Row],[Customer ID]],[1]!Address[ID],[1]!Address[Phone No.(2)])</f>
        <v/>
      </c>
      <c r="V2051" s="11" t="str">
        <f>_xlfn.XLOOKUP(Customer[[#This Row],[Customer ID]],[1]!Address[ID],[1]!Address[Type])</f>
        <v>WALK IN</v>
      </c>
      <c r="W2051" s="11" t="str">
        <f>_xlfn.XLOOKUP(Customer[[#This Row],[Customer ID]],[1]!Address[ID],[1]!Address[CT])</f>
        <v/>
      </c>
      <c r="X2051" s="11"/>
      <c r="Y2051" s="17" t="s">
        <v>6284</v>
      </c>
      <c r="Z2051" s="17" t="e">
        <f>_xlfn.XLOOKUP(Customer[[#This Row],[NewType]],$AF$36:$AF$54,$AG$36:$AG$54)</f>
        <v>#N/A</v>
      </c>
      <c r="AA2051" s="17" t="s">
        <v>12862</v>
      </c>
      <c r="AB2051" s="11" t="str">
        <f>_xlfn.XLOOKUP(Customer[[#This Row],[Customer ID]],[1]!Address[ID],[1]!Address[Subtype])</f>
        <v>STAFF</v>
      </c>
      <c r="AC2051" s="18" t="str">
        <f>_xlfn.XLOOKUP(Customer[[#This Row],[Customer ID]],[1]!Address[ID],[1]!Address[Zone])</f>
        <v>EAST COAST</v>
      </c>
    </row>
    <row r="2052" spans="1:29" x14ac:dyDescent="0.3">
      <c r="A2052" s="10" t="s">
        <v>12863</v>
      </c>
      <c r="B2052" s="11" t="str">
        <f>_xlfn.XLOOKUP(Customer[[#This Row],[Customer ID]],[1]!Name[ID],[1]!Name[Description(1)])</f>
        <v>IDA NORWANI BINTI ONTONG</v>
      </c>
      <c r="C2052" s="11" t="str">
        <f>_xlfn.XLOOKUP(Customer[[#This Row],[Customer ID]],[1]!Name[ID],[1]!Name[Description(2)])</f>
        <v/>
      </c>
      <c r="D2052" s="11" t="str">
        <f>_xlfn.XLOOKUP(Customer[[#This Row],[Customer ID]],[1]!Address[ID],[1]!Address[PIC])</f>
        <v>IDA NORWANI</v>
      </c>
      <c r="E2052" s="11" t="str">
        <f>_xlfn.XLOOKUP(Customer[[#This Row],[Customer ID]],[1]!Address[ID],[1]!Address[Full Address])</f>
        <v>178 JALAN CHEMARA 4, CHEMARA HILLS70200 SEREMBAN, NEGERI SEMBILAN</v>
      </c>
      <c r="F2052" s="12" t="s">
        <v>12864</v>
      </c>
      <c r="G2052" s="12" t="s">
        <v>12865</v>
      </c>
      <c r="H2052" s="12" t="s">
        <v>2411</v>
      </c>
      <c r="I2052" s="12" t="b">
        <f>ISNUMBER(VALUE(LEFT(Customer[[#This Row],[Address Line 3 (30 char)]],1)))</f>
        <v>0</v>
      </c>
      <c r="J2052" s="12" t="s">
        <v>203</v>
      </c>
      <c r="K2052" s="12">
        <v>70200</v>
      </c>
      <c r="L2052" s="12" t="s">
        <v>35</v>
      </c>
      <c r="M2052" s="13" t="e">
        <v>#N/A</v>
      </c>
      <c r="N2052" s="14" t="e">
        <v>#N/A</v>
      </c>
      <c r="O2052" s="14" t="e">
        <v>#N/A</v>
      </c>
      <c r="P2052" s="14" t="e">
        <v>#N/A</v>
      </c>
      <c r="Q2052" s="19" t="s">
        <v>12866</v>
      </c>
      <c r="R2052" s="15" t="s">
        <v>12867</v>
      </c>
      <c r="S2052" s="16" t="s">
        <v>89</v>
      </c>
      <c r="T2052" s="16" t="s">
        <v>89</v>
      </c>
      <c r="U2052" s="11" t="str">
        <f>_xlfn.XLOOKUP(Customer[[#This Row],[Customer ID]],[1]!Address[ID],[1]!Address[Phone No.(2)])</f>
        <v/>
      </c>
      <c r="V2052" s="11" t="str">
        <f>_xlfn.XLOOKUP(Customer[[#This Row],[Customer ID]],[1]!Address[ID],[1]!Address[Type])</f>
        <v>WALK IN</v>
      </c>
      <c r="W2052" s="11" t="str">
        <f>_xlfn.XLOOKUP(Customer[[#This Row],[Customer ID]],[1]!Address[ID],[1]!Address[CT])</f>
        <v/>
      </c>
      <c r="X2052" s="11"/>
      <c r="Y2052" s="17" t="s">
        <v>6284</v>
      </c>
      <c r="Z2052" s="17" t="e">
        <f>_xlfn.XLOOKUP(Customer[[#This Row],[NewType]],$AF$36:$AF$54,$AG$36:$AG$54)</f>
        <v>#N/A</v>
      </c>
      <c r="AA2052" s="17" t="s">
        <v>12868</v>
      </c>
      <c r="AB2052" s="11" t="str">
        <f>_xlfn.XLOOKUP(Customer[[#This Row],[Customer ID]],[1]!Address[ID],[1]!Address[Subtype])</f>
        <v>PEDAS</v>
      </c>
      <c r="AC2052" s="18" t="str">
        <f>_xlfn.XLOOKUP(Customer[[#This Row],[Customer ID]],[1]!Address[ID],[1]!Address[Zone])</f>
        <v>CENTRAL</v>
      </c>
    </row>
    <row r="2053" spans="1:29" x14ac:dyDescent="0.3">
      <c r="A2053" s="10" t="s">
        <v>12869</v>
      </c>
      <c r="B2053" s="11" t="str">
        <f>_xlfn.XLOOKUP(Customer[[#This Row],[Customer ID]],[1]!Name[ID],[1]!Name[Description(1)])</f>
        <v>MOHD FAIRUZ KAHAR BIN MOHD KHAIMI</v>
      </c>
      <c r="C2053" s="11" t="str">
        <f>_xlfn.XLOOKUP(Customer[[#This Row],[Customer ID]],[1]!Name[ID],[1]!Name[Description(2)])</f>
        <v/>
      </c>
      <c r="D2053" s="11" t="str">
        <f>_xlfn.XLOOKUP(Customer[[#This Row],[Customer ID]],[1]!Address[ID],[1]!Address[PIC])</f>
        <v>FAIRUZ</v>
      </c>
      <c r="E2053" s="11" t="str">
        <f>_xlfn.XLOOKUP(Customer[[#This Row],[Customer ID]],[1]!Address[ID],[1]!Address[Full Address])</f>
        <v>A-10-14 PANGSAPURI DESA TENAGA,BATU 3 1/2, JALAN KELANG LAMA58100 KUALA LUMPUR</v>
      </c>
      <c r="F2053" s="12" t="s">
        <v>12870</v>
      </c>
      <c r="G2053" s="12" t="s">
        <v>12871</v>
      </c>
      <c r="H2053" s="12" t="s">
        <v>12872</v>
      </c>
      <c r="I2053" s="12" t="b">
        <f>ISNUMBER(VALUE(LEFT(Customer[[#This Row],[Address Line 3 (30 char)]],1)))</f>
        <v>0</v>
      </c>
      <c r="J2053" s="12" t="s">
        <v>34</v>
      </c>
      <c r="K2053" s="12">
        <v>58100</v>
      </c>
      <c r="L2053" s="12" t="s">
        <v>35</v>
      </c>
      <c r="M2053" s="13" t="e">
        <v>#N/A</v>
      </c>
      <c r="N2053" s="14" t="e">
        <v>#N/A</v>
      </c>
      <c r="O2053" s="14" t="e">
        <v>#N/A</v>
      </c>
      <c r="P2053" s="14" t="e">
        <v>#N/A</v>
      </c>
      <c r="Q2053" s="19" t="s">
        <v>12873</v>
      </c>
      <c r="R2053" s="15" t="s">
        <v>12874</v>
      </c>
      <c r="S2053" s="16" t="s">
        <v>89</v>
      </c>
      <c r="T2053" s="16" t="s">
        <v>89</v>
      </c>
      <c r="U2053" s="11" t="str">
        <f>_xlfn.XLOOKUP(Customer[[#This Row],[Customer ID]],[1]!Address[ID],[1]!Address[Phone No.(2)])</f>
        <v/>
      </c>
      <c r="V2053" s="11" t="str">
        <f>_xlfn.XLOOKUP(Customer[[#This Row],[Customer ID]],[1]!Address[ID],[1]!Address[Type])</f>
        <v>WALK IN</v>
      </c>
      <c r="W2053" s="11" t="str">
        <f>_xlfn.XLOOKUP(Customer[[#This Row],[Customer ID]],[1]!Address[ID],[1]!Address[CT])</f>
        <v/>
      </c>
      <c r="X2053" s="11"/>
      <c r="Y2053" s="17" t="s">
        <v>6284</v>
      </c>
      <c r="Z2053" s="17" t="e">
        <f>_xlfn.XLOOKUP(Customer[[#This Row],[NewType]],$AF$36:$AF$54,$AG$36:$AG$54)</f>
        <v>#N/A</v>
      </c>
      <c r="AA2053" s="17" t="s">
        <v>12875</v>
      </c>
      <c r="AB2053" s="11" t="str">
        <f>_xlfn.XLOOKUP(Customer[[#This Row],[Customer ID]],[1]!Address[ID],[1]!Address[Subtype])</f>
        <v>PEDAS</v>
      </c>
      <c r="AC2053" s="18" t="str">
        <f>_xlfn.XLOOKUP(Customer[[#This Row],[Customer ID]],[1]!Address[ID],[1]!Address[Zone])</f>
        <v>CENTRAL</v>
      </c>
    </row>
    <row r="2054" spans="1:29" x14ac:dyDescent="0.3">
      <c r="A2054" s="10" t="s">
        <v>12876</v>
      </c>
      <c r="B2054" s="11" t="str">
        <f>_xlfn.XLOOKUP(Customer[[#This Row],[Customer ID]],[1]!Name[ID],[1]!Name[Description(1)])</f>
        <v>AHMAD FARID BIN AHMAD SUBKI</v>
      </c>
      <c r="C2054" s="11" t="str">
        <f>_xlfn.XLOOKUP(Customer[[#This Row],[Customer ID]],[1]!Name[ID],[1]!Name[Description(2)])</f>
        <v/>
      </c>
      <c r="D2054" s="11" t="str">
        <f>_xlfn.XLOOKUP(Customer[[#This Row],[Customer ID]],[1]!Address[ID],[1]!Address[PIC])</f>
        <v>AHMAD FARID</v>
      </c>
      <c r="E2054" s="11" t="str">
        <f>_xlfn.XLOOKUP(Customer[[#This Row],[Customer ID]],[1]!Address[ID],[1]!Address[Full Address])</f>
        <v>558, TAMAN JUJUR KIRI, JALAN SIKAMAT70400 SEREMBAN, NEGERI SEMBILAN</v>
      </c>
      <c r="F2054" s="12" t="s">
        <v>12877</v>
      </c>
      <c r="G2054" s="12" t="s">
        <v>12878</v>
      </c>
      <c r="H2054" s="12" t="s">
        <v>2411</v>
      </c>
      <c r="I2054" s="12" t="b">
        <f>ISNUMBER(VALUE(LEFT(Customer[[#This Row],[Address Line 3 (30 char)]],1)))</f>
        <v>0</v>
      </c>
      <c r="J2054" s="12" t="s">
        <v>203</v>
      </c>
      <c r="K2054" s="12">
        <v>70400</v>
      </c>
      <c r="L2054" s="12" t="s">
        <v>35</v>
      </c>
      <c r="M2054" s="13" t="e">
        <v>#N/A</v>
      </c>
      <c r="N2054" s="14" t="e">
        <v>#N/A</v>
      </c>
      <c r="O2054" s="14" t="e">
        <v>#N/A</v>
      </c>
      <c r="P2054" s="14" t="e">
        <v>#N/A</v>
      </c>
      <c r="Q2054" s="19" t="s">
        <v>12879</v>
      </c>
      <c r="R2054" s="15" t="s">
        <v>12880</v>
      </c>
      <c r="S2054" s="16" t="s">
        <v>89</v>
      </c>
      <c r="T2054" s="16" t="s">
        <v>89</v>
      </c>
      <c r="U2054" s="11" t="str">
        <f>_xlfn.XLOOKUP(Customer[[#This Row],[Customer ID]],[1]!Address[ID],[1]!Address[Phone No.(2)])</f>
        <v/>
      </c>
      <c r="V2054" s="11" t="str">
        <f>_xlfn.XLOOKUP(Customer[[#This Row],[Customer ID]],[1]!Address[ID],[1]!Address[Type])</f>
        <v>WALK IN</v>
      </c>
      <c r="W2054" s="11" t="str">
        <f>_xlfn.XLOOKUP(Customer[[#This Row],[Customer ID]],[1]!Address[ID],[1]!Address[CT])</f>
        <v/>
      </c>
      <c r="X2054" s="11"/>
      <c r="Y2054" s="17" t="s">
        <v>6284</v>
      </c>
      <c r="Z2054" s="17" t="e">
        <f>_xlfn.XLOOKUP(Customer[[#This Row],[NewType]],$AF$36:$AF$54,$AG$36:$AG$54)</f>
        <v>#N/A</v>
      </c>
      <c r="AA2054" s="17" t="s">
        <v>12881</v>
      </c>
      <c r="AB2054" s="11" t="str">
        <f>_xlfn.XLOOKUP(Customer[[#This Row],[Customer ID]],[1]!Address[ID],[1]!Address[Subtype])</f>
        <v>PEDAS</v>
      </c>
      <c r="AC2054" s="18" t="str">
        <f>_xlfn.XLOOKUP(Customer[[#This Row],[Customer ID]],[1]!Address[ID],[1]!Address[Zone])</f>
        <v>CENTRAL</v>
      </c>
    </row>
    <row r="2055" spans="1:29" x14ac:dyDescent="0.3">
      <c r="A2055" s="10" t="s">
        <v>12882</v>
      </c>
      <c r="B2055" s="11" t="str">
        <f>_xlfn.XLOOKUP(Customer[[#This Row],[Customer ID]],[1]!Name[ID],[1]!Name[Description(1)])</f>
        <v>SITI SHAFIRA BINTI AZAHARI</v>
      </c>
      <c r="C2055" s="11" t="str">
        <f>_xlfn.XLOOKUP(Customer[[#This Row],[Customer ID]],[1]!Name[ID],[1]!Name[Description(2)])</f>
        <v/>
      </c>
      <c r="D2055" s="11" t="str">
        <f>_xlfn.XLOOKUP(Customer[[#This Row],[Customer ID]],[1]!Address[ID],[1]!Address[PIC])</f>
        <v>SITI SHAFIRA</v>
      </c>
      <c r="E2055" s="11" t="str">
        <f>_xlfn.XLOOKUP(Customer[[#This Row],[Customer ID]],[1]!Address[ID],[1]!Address[Full Address])</f>
        <v>424-A KAMPUNG KUBANG TUMAN,JALAN PENGKALAN CHEPA,15400 KOTA BHARU,KELANTAN</v>
      </c>
      <c r="F2055" s="12" t="s">
        <v>12883</v>
      </c>
      <c r="G2055" s="12" t="s">
        <v>10748</v>
      </c>
      <c r="H2055" s="24" t="s">
        <v>2824</v>
      </c>
      <c r="I2055" s="24" t="b">
        <f>ISNUMBER(VALUE(LEFT(Customer[[#This Row],[Address Line 3 (30 char)]],1)))</f>
        <v>0</v>
      </c>
      <c r="J2055" s="12" t="s">
        <v>1007</v>
      </c>
      <c r="K2055" s="12">
        <v>15400</v>
      </c>
      <c r="L2055" s="12" t="s">
        <v>35</v>
      </c>
      <c r="M2055" s="13" t="e">
        <v>#N/A</v>
      </c>
      <c r="N2055" s="113" t="s">
        <v>12884</v>
      </c>
      <c r="O2055" s="14" t="e">
        <v>#N/A</v>
      </c>
      <c r="P2055" s="14" t="e">
        <v>#N/A</v>
      </c>
      <c r="Q2055" s="19" t="s">
        <v>12885</v>
      </c>
      <c r="R2055" s="15" t="s">
        <v>12886</v>
      </c>
      <c r="S2055" s="16" t="s">
        <v>89</v>
      </c>
      <c r="T2055" s="16" t="s">
        <v>89</v>
      </c>
      <c r="U2055" s="11" t="str">
        <f>_xlfn.XLOOKUP(Customer[[#This Row],[Customer ID]],[1]!Address[ID],[1]!Address[Phone No.(2)])</f>
        <v/>
      </c>
      <c r="V2055" s="11" t="str">
        <f>_xlfn.XLOOKUP(Customer[[#This Row],[Customer ID]],[1]!Address[ID],[1]!Address[Type])</f>
        <v>WALK IN</v>
      </c>
      <c r="W2055" s="11" t="str">
        <f>_xlfn.XLOOKUP(Customer[[#This Row],[Customer ID]],[1]!Address[ID],[1]!Address[CT])</f>
        <v/>
      </c>
      <c r="X2055" s="11"/>
      <c r="Y2055" s="17" t="s">
        <v>6284</v>
      </c>
      <c r="Z2055" s="17" t="e">
        <f>_xlfn.XLOOKUP(Customer[[#This Row],[NewType]],$AF$36:$AF$54,$AG$36:$AG$54)</f>
        <v>#N/A</v>
      </c>
      <c r="AA2055" s="17" t="s">
        <v>12887</v>
      </c>
      <c r="AB2055" s="11" t="str">
        <f>_xlfn.XLOOKUP(Customer[[#This Row],[Customer ID]],[1]!Address[ID],[1]!Address[Subtype])</f>
        <v>KB</v>
      </c>
      <c r="AC2055" s="18" t="str">
        <f>_xlfn.XLOOKUP(Customer[[#This Row],[Customer ID]],[1]!Address[ID],[1]!Address[Zone])</f>
        <v>EAST COAST</v>
      </c>
    </row>
    <row r="2056" spans="1:29" x14ac:dyDescent="0.3">
      <c r="A2056" s="10" t="s">
        <v>12888</v>
      </c>
      <c r="B2056" s="11" t="str">
        <f>_xlfn.XLOOKUP(Customer[[#This Row],[Customer ID]],[1]!Name[ID],[1]!Name[Description(1)])</f>
        <v>MUMTHAJ</v>
      </c>
      <c r="C2056" s="32" t="str">
        <f>_xlfn.XLOOKUP(Customer[[#This Row],[Customer ID]],[1]!Name[ID],[1]!Name[Description(2)])</f>
        <v/>
      </c>
      <c r="D2056" s="11" t="str">
        <f>_xlfn.XLOOKUP(Customer[[#This Row],[Customer ID]],[1]!Address[ID],[1]!Address[PIC])</f>
        <v>MUMTHAJ</v>
      </c>
      <c r="E2056" s="11" t="str">
        <f>_xlfn.XLOOKUP(Customer[[#This Row],[Customer ID]],[1]!Address[ID],[1]!Address[Full Address])</f>
        <v>NO 62 JLN TAN 1/10, TAMAN TUANKUAMPUAN NAJIHAH</v>
      </c>
      <c r="F2056" s="12" t="s">
        <v>12889</v>
      </c>
      <c r="G2056" s="12" t="s">
        <v>12890</v>
      </c>
      <c r="H2056" s="12" t="s">
        <v>12891</v>
      </c>
      <c r="I2056" s="12" t="b">
        <f>ISNUMBER(VALUE(LEFT(Customer[[#This Row],[Address Line 3 (30 char)]],1)))</f>
        <v>0</v>
      </c>
      <c r="J2056" s="32" t="s">
        <v>203</v>
      </c>
      <c r="K2056" s="32">
        <v>71450</v>
      </c>
      <c r="L2056" s="12" t="s">
        <v>35</v>
      </c>
      <c r="M2056" s="13" t="e">
        <v>#N/A</v>
      </c>
      <c r="N2056" s="14" t="e">
        <v>#N/A</v>
      </c>
      <c r="O2056" s="14" t="e">
        <v>#N/A</v>
      </c>
      <c r="P2056" s="14" t="e">
        <v>#N/A</v>
      </c>
      <c r="Q2056" s="19" t="s">
        <v>12892</v>
      </c>
      <c r="R2056" s="15" t="s">
        <v>12893</v>
      </c>
      <c r="S2056" s="16" t="s">
        <v>89</v>
      </c>
      <c r="T2056" s="16" t="s">
        <v>89</v>
      </c>
      <c r="U2056" s="11" t="str">
        <f>_xlfn.XLOOKUP(Customer[[#This Row],[Customer ID]],[1]!Address[ID],[1]!Address[Phone No.(2)])</f>
        <v/>
      </c>
      <c r="V2056" s="11" t="str">
        <f>_xlfn.XLOOKUP(Customer[[#This Row],[Customer ID]],[1]!Address[ID],[1]!Address[Type])</f>
        <v>WALK IN</v>
      </c>
      <c r="W2056" s="11" t="str">
        <f>_xlfn.XLOOKUP(Customer[[#This Row],[Customer ID]],[1]!Address[ID],[1]!Address[CT])</f>
        <v/>
      </c>
      <c r="X2056" s="11"/>
      <c r="Y2056" s="17" t="s">
        <v>6284</v>
      </c>
      <c r="Z2056" s="17" t="e">
        <f>_xlfn.XLOOKUP(Customer[[#This Row],[NewType]],$AF$36:$AF$54,$AG$36:$AG$54)</f>
        <v>#N/A</v>
      </c>
      <c r="AA2056" s="17" t="s">
        <v>12894</v>
      </c>
      <c r="AB2056" s="11" t="str">
        <f>_xlfn.XLOOKUP(Customer[[#This Row],[Customer ID]],[1]!Address[ID],[1]!Address[Subtype])</f>
        <v>PEDAS</v>
      </c>
      <c r="AC2056" s="18" t="str">
        <f>_xlfn.XLOOKUP(Customer[[#This Row],[Customer ID]],[1]!Address[ID],[1]!Address[Zone])</f>
        <v>CENTRAL</v>
      </c>
    </row>
    <row r="2057" spans="1:29" x14ac:dyDescent="0.3">
      <c r="A2057" s="10" t="s">
        <v>12895</v>
      </c>
      <c r="B2057" s="11" t="str">
        <f>_xlfn.XLOOKUP(Customer[[#This Row],[Customer ID]],[1]!Name[ID],[1]!Name[Description(1)])</f>
        <v>NORAZLIN BINTI MUHAMMAD AZMAN SHAH</v>
      </c>
      <c r="C2057" s="11" t="str">
        <f>_xlfn.XLOOKUP(Customer[[#This Row],[Customer ID]],[1]!Name[ID],[1]!Name[Description(2)])</f>
        <v>(BD)</v>
      </c>
      <c r="D2057" s="11" t="str">
        <f>_xlfn.XLOOKUP(Customer[[#This Row],[Customer ID]],[1]!Address[ID],[1]!Address[PIC])</f>
        <v>AZLIN</v>
      </c>
      <c r="E2057" s="11" t="str">
        <f>_xlfn.XLOOKUP(Customer[[#This Row],[Customer ID]],[1]!Address[ID],[1]!Address[Full Address])</f>
        <v>RESIDENSI TASIKMAS JALAN 9/118B,DESA TUN RAZAK 56000 KUALA LUMPUR</v>
      </c>
      <c r="F2057" s="12" t="s">
        <v>12896</v>
      </c>
      <c r="G2057" s="12" t="s">
        <v>12897</v>
      </c>
      <c r="H2057" s="12" t="s">
        <v>12898</v>
      </c>
      <c r="I2057" s="12" t="b">
        <f>ISNUMBER(VALUE(LEFT(Customer[[#This Row],[Address Line 3 (30 char)]],1)))</f>
        <v>0</v>
      </c>
      <c r="J2057" s="12" t="s">
        <v>34</v>
      </c>
      <c r="K2057" s="12">
        <v>56000</v>
      </c>
      <c r="L2057" s="12" t="s">
        <v>35</v>
      </c>
      <c r="M2057" s="13" t="e">
        <v>#N/A</v>
      </c>
      <c r="N2057" s="14" t="e">
        <v>#N/A</v>
      </c>
      <c r="O2057" s="14" t="e">
        <v>#N/A</v>
      </c>
      <c r="P2057" s="14" t="e">
        <v>#N/A</v>
      </c>
      <c r="Q2057" s="19" t="s">
        <v>12899</v>
      </c>
      <c r="R2057" s="15" t="s">
        <v>12900</v>
      </c>
      <c r="S2057" s="16" t="s">
        <v>89</v>
      </c>
      <c r="T2057" s="16" t="s">
        <v>89</v>
      </c>
      <c r="U2057" s="11" t="str">
        <f>_xlfn.XLOOKUP(Customer[[#This Row],[Customer ID]],[1]!Address[ID],[1]!Address[Phone No.(2)])</f>
        <v/>
      </c>
      <c r="V2057" s="11" t="str">
        <f>_xlfn.XLOOKUP(Customer[[#This Row],[Customer ID]],[1]!Address[ID],[1]!Address[Type])</f>
        <v>WALK IN</v>
      </c>
      <c r="W2057" s="11" t="str">
        <f>_xlfn.XLOOKUP(Customer[[#This Row],[Customer ID]],[1]!Address[ID],[1]!Address[CT])</f>
        <v/>
      </c>
      <c r="X2057" s="11"/>
      <c r="Y2057" s="17" t="s">
        <v>6284</v>
      </c>
      <c r="Z2057" s="17" t="e">
        <f>_xlfn.XLOOKUP(Customer[[#This Row],[NewType]],$AF$36:$AF$54,$AG$36:$AG$54)</f>
        <v>#N/A</v>
      </c>
      <c r="AA2057" s="17" t="s">
        <v>12901</v>
      </c>
      <c r="AB2057" s="11" t="str">
        <f>_xlfn.XLOOKUP(Customer[[#This Row],[Customer ID]],[1]!Address[ID],[1]!Address[Subtype])</f>
        <v>STAFF</v>
      </c>
      <c r="AC2057" s="18" t="str">
        <f>_xlfn.XLOOKUP(Customer[[#This Row],[Customer ID]],[1]!Address[ID],[1]!Address[Zone])</f>
        <v>CENTRAL</v>
      </c>
    </row>
    <row r="2058" spans="1:29" x14ac:dyDescent="0.3">
      <c r="A2058" s="10" t="s">
        <v>12902</v>
      </c>
      <c r="B2058" s="11" t="str">
        <f>_xlfn.XLOOKUP(Customer[[#This Row],[Customer ID]],[1]!Name[ID],[1]!Name[Description(1)])</f>
        <v>HIDAYAH HASBI</v>
      </c>
      <c r="C2058" s="11" t="str">
        <f>_xlfn.XLOOKUP(Customer[[#This Row],[Customer ID]],[1]!Name[ID],[1]!Name[Description(2)])</f>
        <v/>
      </c>
      <c r="D2058" s="11" t="str">
        <f>_xlfn.XLOOKUP(Customer[[#This Row],[Customer ID]],[1]!Address[ID],[1]!Address[PIC])</f>
        <v>HIDAYAH</v>
      </c>
      <c r="E2058" s="11" t="str">
        <f>_xlfn.XLOOKUP(Customer[[#This Row],[Customer ID]],[1]!Address[ID],[1]!Address[Full Address])</f>
        <v>88A, KAMPUNG SOURABAYA HILIR,PETRAJAYA 93050 KUCHING, SARAWAK</v>
      </c>
      <c r="F2058" s="12" t="s">
        <v>12903</v>
      </c>
      <c r="G2058" s="12" t="s">
        <v>12904</v>
      </c>
      <c r="H2058" s="12" t="s">
        <v>12905</v>
      </c>
      <c r="I2058" s="12" t="b">
        <f>ISNUMBER(VALUE(LEFT(Customer[[#This Row],[Address Line 3 (30 char)]],1)))</f>
        <v>0</v>
      </c>
      <c r="J2058" s="12" t="s">
        <v>9000</v>
      </c>
      <c r="K2058" s="12">
        <v>93050</v>
      </c>
      <c r="L2058" s="12" t="s">
        <v>35</v>
      </c>
      <c r="M2058" s="13" t="e">
        <v>#N/A</v>
      </c>
      <c r="N2058" s="14" t="e">
        <v>#N/A</v>
      </c>
      <c r="O2058" s="14" t="e">
        <v>#N/A</v>
      </c>
      <c r="P2058" s="14" t="e">
        <v>#N/A</v>
      </c>
      <c r="Q2058" s="19" t="s">
        <v>12906</v>
      </c>
      <c r="R2058" s="15" t="s">
        <v>12907</v>
      </c>
      <c r="S2058" s="16" t="s">
        <v>6283</v>
      </c>
      <c r="T2058" s="16"/>
      <c r="U2058" s="11" t="str">
        <f>_xlfn.XLOOKUP(Customer[[#This Row],[Customer ID]],[1]!Address[ID],[1]!Address[Phone No.(2)])</f>
        <v/>
      </c>
      <c r="V2058" s="11" t="str">
        <f>_xlfn.XLOOKUP(Customer[[#This Row],[Customer ID]],[1]!Address[ID],[1]!Address[Type])</f>
        <v>WALK IN</v>
      </c>
      <c r="W2058" s="11" t="str">
        <f>_xlfn.XLOOKUP(Customer[[#This Row],[Customer ID]],[1]!Address[ID],[1]!Address[CT])</f>
        <v/>
      </c>
      <c r="X2058" s="11"/>
      <c r="Y2058" s="17" t="s">
        <v>6284</v>
      </c>
      <c r="Z2058" s="17" t="e">
        <f>_xlfn.XLOOKUP(Customer[[#This Row],[NewType]],$AF$36:$AF$54,$AG$36:$AG$54)</f>
        <v>#N/A</v>
      </c>
      <c r="AA2058" s="17" t="s">
        <v>12908</v>
      </c>
      <c r="AB2058" s="11" t="str">
        <f>_xlfn.XLOOKUP(Customer[[#This Row],[Customer ID]],[1]!Address[ID],[1]!Address[Subtype])</f>
        <v>RANTAU</v>
      </c>
      <c r="AC2058" s="18" t="str">
        <f>_xlfn.XLOOKUP(Customer[[#This Row],[Customer ID]],[1]!Address[ID],[1]!Address[Zone])</f>
        <v>AEH</v>
      </c>
    </row>
    <row r="2059" spans="1:29" x14ac:dyDescent="0.3">
      <c r="A2059" s="10" t="s">
        <v>12909</v>
      </c>
      <c r="B2059" s="11" t="str">
        <f>_xlfn.XLOOKUP(Customer[[#This Row],[Customer ID]],[1]!Name[ID],[1]!Name[Description(1)])</f>
        <v>KHADIJAH MAHMUDIN</v>
      </c>
      <c r="C2059" s="11" t="str">
        <f>_xlfn.XLOOKUP(Customer[[#This Row],[Customer ID]],[1]!Name[ID],[1]!Name[Description(2)])</f>
        <v/>
      </c>
      <c r="D2059" s="11" t="str">
        <f>_xlfn.XLOOKUP(Customer[[#This Row],[Customer ID]],[1]!Address[ID],[1]!Address[PIC])</f>
        <v>KHADIJAH</v>
      </c>
      <c r="E2059" s="11" t="str">
        <f>_xlfn.XLOOKUP(Customer[[#This Row],[Customer ID]],[1]!Address[ID],[1]!Address[Full Address])</f>
        <v>NO. 407 LORONG 9,TAMAN MATAHARI INDAH,SENAWANG 70400 NEGERI SEMBILAN</v>
      </c>
      <c r="F2059" s="12" t="s">
        <v>12910</v>
      </c>
      <c r="G2059" s="12" t="s">
        <v>12911</v>
      </c>
      <c r="H2059" s="12" t="s">
        <v>3106</v>
      </c>
      <c r="I2059" s="12" t="b">
        <f>ISNUMBER(VALUE(LEFT(Customer[[#This Row],[Address Line 3 (30 char)]],1)))</f>
        <v>0</v>
      </c>
      <c r="J2059" s="12" t="s">
        <v>203</v>
      </c>
      <c r="K2059" s="12">
        <v>70400</v>
      </c>
      <c r="L2059" s="12" t="s">
        <v>35</v>
      </c>
      <c r="M2059" s="13" t="e">
        <v>#N/A</v>
      </c>
      <c r="N2059" s="14" t="e">
        <v>#N/A</v>
      </c>
      <c r="O2059" s="14" t="e">
        <v>#N/A</v>
      </c>
      <c r="P2059" s="14" t="e">
        <v>#N/A</v>
      </c>
      <c r="Q2059" s="19" t="s">
        <v>12912</v>
      </c>
      <c r="R2059" s="15" t="s">
        <v>12913</v>
      </c>
      <c r="S2059" s="16" t="s">
        <v>89</v>
      </c>
      <c r="T2059" s="16" t="s">
        <v>89</v>
      </c>
      <c r="U2059" s="11" t="str">
        <f>_xlfn.XLOOKUP(Customer[[#This Row],[Customer ID]],[1]!Address[ID],[1]!Address[Phone No.(2)])</f>
        <v/>
      </c>
      <c r="V2059" s="11" t="str">
        <f>_xlfn.XLOOKUP(Customer[[#This Row],[Customer ID]],[1]!Address[ID],[1]!Address[Type])</f>
        <v>WALK IN</v>
      </c>
      <c r="W2059" s="11" t="str">
        <f>_xlfn.XLOOKUP(Customer[[#This Row],[Customer ID]],[1]!Address[ID],[1]!Address[CT])</f>
        <v/>
      </c>
      <c r="X2059" s="11"/>
      <c r="Y2059" s="17" t="s">
        <v>6284</v>
      </c>
      <c r="Z2059" s="17" t="e">
        <f>_xlfn.XLOOKUP(Customer[[#This Row],[NewType]],$AF$36:$AF$54,$AG$36:$AG$54)</f>
        <v>#N/A</v>
      </c>
      <c r="AA2059" s="17" t="s">
        <v>12914</v>
      </c>
      <c r="AB2059" s="11" t="str">
        <f>_xlfn.XLOOKUP(Customer[[#This Row],[Customer ID]],[1]!Address[ID],[1]!Address[Subtype])</f>
        <v>PEDAS</v>
      </c>
      <c r="AC2059" s="18" t="str">
        <f>_xlfn.XLOOKUP(Customer[[#This Row],[Customer ID]],[1]!Address[ID],[1]!Address[Zone])</f>
        <v>CENTRAL</v>
      </c>
    </row>
    <row r="2060" spans="1:29" x14ac:dyDescent="0.3">
      <c r="A2060" s="10" t="s">
        <v>12915</v>
      </c>
      <c r="B2060" s="11" t="str">
        <f>_xlfn.XLOOKUP(Customer[[#This Row],[Customer ID]],[1]!Name[ID],[1]!Name[Description(1)])</f>
        <v>MUHAMAD IZZUDIN AZAHARI</v>
      </c>
      <c r="C2060" s="11" t="str">
        <f>_xlfn.XLOOKUP(Customer[[#This Row],[Customer ID]],[1]!Name[ID],[1]!Name[Description(2)])</f>
        <v/>
      </c>
      <c r="D2060" s="11" t="str">
        <f>_xlfn.XLOOKUP(Customer[[#This Row],[Customer ID]],[1]!Address[ID],[1]!Address[PIC])</f>
        <v>IZZUDIN</v>
      </c>
      <c r="E2060" s="11" t="str">
        <f>_xlfn.XLOOKUP(Customer[[#This Row],[Customer ID]],[1]!Address[ID],[1]!Address[Full Address])</f>
        <v>NO 5, JALAN IMPIAN MAKMUR 3/B,SAUJANA IMPIAN 43000 KAJANG,SELANGOR</v>
      </c>
      <c r="F2060" s="12" t="s">
        <v>8355</v>
      </c>
      <c r="G2060" s="12" t="s">
        <v>12916</v>
      </c>
      <c r="H2060" s="12" t="s">
        <v>172</v>
      </c>
      <c r="I2060" s="12" t="b">
        <f>ISNUMBER(VALUE(LEFT(Customer[[#This Row],[Address Line 3 (30 char)]],1)))</f>
        <v>0</v>
      </c>
      <c r="J2060" s="12" t="s">
        <v>1907</v>
      </c>
      <c r="K2060" s="12">
        <v>43000</v>
      </c>
      <c r="L2060" s="12" t="s">
        <v>35</v>
      </c>
      <c r="M2060" s="13" t="e">
        <v>#N/A</v>
      </c>
      <c r="N2060" s="14" t="e">
        <v>#N/A</v>
      </c>
      <c r="O2060" s="14" t="e">
        <v>#N/A</v>
      </c>
      <c r="P2060" s="14" t="e">
        <v>#N/A</v>
      </c>
      <c r="Q2060" s="19" t="s">
        <v>12917</v>
      </c>
      <c r="R2060" s="15" t="s">
        <v>12918</v>
      </c>
      <c r="S2060" s="16" t="s">
        <v>89</v>
      </c>
      <c r="T2060" s="16" t="s">
        <v>89</v>
      </c>
      <c r="U2060" s="11" t="str">
        <f>_xlfn.XLOOKUP(Customer[[#This Row],[Customer ID]],[1]!Address[ID],[1]!Address[Phone No.(2)])</f>
        <v/>
      </c>
      <c r="V2060" s="11" t="str">
        <f>_xlfn.XLOOKUP(Customer[[#This Row],[Customer ID]],[1]!Address[ID],[1]!Address[Type])</f>
        <v>WALK IN</v>
      </c>
      <c r="W2060" s="11" t="str">
        <f>_xlfn.XLOOKUP(Customer[[#This Row],[Customer ID]],[1]!Address[ID],[1]!Address[CT])</f>
        <v/>
      </c>
      <c r="X2060" s="11"/>
      <c r="Y2060" s="17" t="s">
        <v>6284</v>
      </c>
      <c r="Z2060" s="17" t="e">
        <f>_xlfn.XLOOKUP(Customer[[#This Row],[NewType]],$AF$36:$AF$54,$AG$36:$AG$54)</f>
        <v>#N/A</v>
      </c>
      <c r="AA2060" s="17" t="s">
        <v>12919</v>
      </c>
      <c r="AB2060" s="11" t="str">
        <f>_xlfn.XLOOKUP(Customer[[#This Row],[Customer ID]],[1]!Address[ID],[1]!Address[Subtype])</f>
        <v>PEDAS</v>
      </c>
      <c r="AC2060" s="18" t="str">
        <f>_xlfn.XLOOKUP(Customer[[#This Row],[Customer ID]],[1]!Address[ID],[1]!Address[Zone])</f>
        <v>CENTRAL</v>
      </c>
    </row>
    <row r="2061" spans="1:29" x14ac:dyDescent="0.3">
      <c r="A2061" s="10" t="s">
        <v>12920</v>
      </c>
      <c r="B2061" s="11" t="str">
        <f>_xlfn.XLOOKUP(Customer[[#This Row],[Customer ID]],[1]!Name[ID],[1]!Name[Description(1)])</f>
        <v>SITI NURBAITI BINTI ABDUL RAHMAN</v>
      </c>
      <c r="C2061" s="11" t="str">
        <f>_xlfn.XLOOKUP(Customer[[#This Row],[Customer ID]],[1]!Name[ID],[1]!Name[Description(2)])</f>
        <v/>
      </c>
      <c r="D2061" s="11" t="str">
        <f>_xlfn.XLOOKUP(Customer[[#This Row],[Customer ID]],[1]!Address[ID],[1]!Address[PIC])</f>
        <v>NURBAITI</v>
      </c>
      <c r="E2061" s="11" t="str">
        <f>_xlfn.XLOOKUP(Customer[[#This Row],[Customer ID]],[1]!Address[ID],[1]!Address[Full Address])</f>
        <v>NO 185 BLOK 3 FELDA SERTING HILIR 7,72120 BANDAR SRI JEMPOL, NSDK</v>
      </c>
      <c r="F2061" s="12" t="s">
        <v>12921</v>
      </c>
      <c r="G2061" s="12" t="s">
        <v>12922</v>
      </c>
      <c r="H2061" s="12" t="s">
        <v>12923</v>
      </c>
      <c r="I2061" s="12" t="b">
        <f>ISNUMBER(VALUE(LEFT(Customer[[#This Row],[Address Line 3 (30 char)]],1)))</f>
        <v>0</v>
      </c>
      <c r="J2061" s="12" t="s">
        <v>203</v>
      </c>
      <c r="K2061" s="12">
        <v>72120</v>
      </c>
      <c r="L2061" s="12" t="s">
        <v>35</v>
      </c>
      <c r="M2061" s="13" t="e">
        <v>#N/A</v>
      </c>
      <c r="N2061" s="14" t="e">
        <v>#N/A</v>
      </c>
      <c r="O2061" s="14" t="e">
        <v>#N/A</v>
      </c>
      <c r="P2061" s="14" t="e">
        <v>#N/A</v>
      </c>
      <c r="Q2061" s="19" t="s">
        <v>12924</v>
      </c>
      <c r="R2061" s="15" t="s">
        <v>12925</v>
      </c>
      <c r="S2061" s="16" t="s">
        <v>89</v>
      </c>
      <c r="T2061" s="16" t="s">
        <v>89</v>
      </c>
      <c r="U2061" s="11" t="str">
        <f>_xlfn.XLOOKUP(Customer[[#This Row],[Customer ID]],[1]!Address[ID],[1]!Address[Phone No.(2)])</f>
        <v/>
      </c>
      <c r="V2061" s="11" t="str">
        <f>_xlfn.XLOOKUP(Customer[[#This Row],[Customer ID]],[1]!Address[ID],[1]!Address[Type])</f>
        <v>WALK IN</v>
      </c>
      <c r="W2061" s="11" t="str">
        <f>_xlfn.XLOOKUP(Customer[[#This Row],[Customer ID]],[1]!Address[ID],[1]!Address[CT])</f>
        <v/>
      </c>
      <c r="X2061" s="11"/>
      <c r="Y2061" s="17" t="s">
        <v>6284</v>
      </c>
      <c r="Z2061" s="17" t="e">
        <f>_xlfn.XLOOKUP(Customer[[#This Row],[NewType]],$AF$36:$AF$54,$AG$36:$AG$54)</f>
        <v>#N/A</v>
      </c>
      <c r="AA2061" s="17" t="s">
        <v>12926</v>
      </c>
      <c r="AB2061" s="11" t="str">
        <f>_xlfn.XLOOKUP(Customer[[#This Row],[Customer ID]],[1]!Address[ID],[1]!Address[Subtype])</f>
        <v>PEDAS</v>
      </c>
      <c r="AC2061" s="18" t="str">
        <f>_xlfn.XLOOKUP(Customer[[#This Row],[Customer ID]],[1]!Address[ID],[1]!Address[Zone])</f>
        <v>SLUTH</v>
      </c>
    </row>
    <row r="2062" spans="1:29" x14ac:dyDescent="0.3">
      <c r="A2062" s="48" t="s">
        <v>12927</v>
      </c>
      <c r="B2062" s="49" t="str">
        <f>_xlfn.XLOOKUP(Customer[[#This Row],[Customer ID]],[1]!Name[ID],[1]!Name[Description(1)])</f>
        <v>WARISAN LOSONG ENTERPRISE</v>
      </c>
      <c r="C2062" s="11" t="str">
        <f>_xlfn.XLOOKUP(Customer[[#This Row],[Customer ID]],[1]!Name[ID],[1]!Name[Description(2)])</f>
        <v/>
      </c>
      <c r="D2062" s="11" t="str">
        <f>_xlfn.XLOOKUP(Customer[[#This Row],[Customer ID]],[1]!Address[ID],[1]!Address[PIC])</f>
        <v>NATASHA</v>
      </c>
      <c r="E2062" s="11" t="str">
        <f>_xlfn.XLOOKUP(Customer[[#This Row],[Customer ID]],[1]!Address[ID],[1]!Address[Full Address])</f>
        <v>74E, KG LOSONG HAJI SU 21000KUALA TERENGGANU, TERENGGANU</v>
      </c>
      <c r="F2062" s="12" t="s">
        <v>12928</v>
      </c>
      <c r="G2062" s="12" t="s">
        <v>12929</v>
      </c>
      <c r="H2062" s="12" t="s">
        <v>36</v>
      </c>
      <c r="I2062" s="12" t="b">
        <f>ISNUMBER(VALUE(LEFT(Customer[[#This Row],[Address Line 3 (30 char)]],1)))</f>
        <v>0</v>
      </c>
      <c r="J2062" s="12" t="s">
        <v>1056</v>
      </c>
      <c r="K2062" s="12">
        <v>21000</v>
      </c>
      <c r="L2062" s="12" t="s">
        <v>35</v>
      </c>
      <c r="M2062" s="13" t="e">
        <v>#N/A</v>
      </c>
      <c r="N2062" s="14" t="e">
        <v>#N/A</v>
      </c>
      <c r="O2062" s="14" t="e">
        <v>#N/A</v>
      </c>
      <c r="P2062" s="14" t="e">
        <v>#N/A</v>
      </c>
      <c r="Q2062" s="19" t="s">
        <v>12930</v>
      </c>
      <c r="R2062" s="15" t="s">
        <v>12931</v>
      </c>
      <c r="S2062" s="15" t="s">
        <v>3212</v>
      </c>
      <c r="T2062" s="16" t="s">
        <v>89</v>
      </c>
      <c r="U2062" s="11" t="str">
        <f>_xlfn.XLOOKUP(Customer[[#This Row],[Customer ID]],[1]!Address[ID],[1]!Address[Phone No.(2)])</f>
        <v/>
      </c>
      <c r="V2062" s="11" t="str">
        <f>_xlfn.XLOOKUP(Customer[[#This Row],[Customer ID]],[1]!Address[ID],[1]!Address[Type])</f>
        <v>SOCMED</v>
      </c>
      <c r="W2062" s="11" t="str">
        <f>_xlfn.XLOOKUP(Customer[[#This Row],[Customer ID]],[1]!Address[ID],[1]!Address[CT])</f>
        <v/>
      </c>
      <c r="X2062" s="11"/>
      <c r="Y2062" s="17" t="s">
        <v>90</v>
      </c>
      <c r="Z2062" s="17" t="e">
        <f>_xlfn.XLOOKUP(Customer[[#This Row],[NewType]],$AF$36:$AF$54,$AG$36:$AG$54)</f>
        <v>#N/A</v>
      </c>
      <c r="AA2062" s="17" t="s">
        <v>12932</v>
      </c>
      <c r="AB2062" s="11" t="str">
        <f>_xlfn.XLOOKUP(Customer[[#This Row],[Customer ID]],[1]!Address[ID],[1]!Address[Subtype])</f>
        <v>ONLINE HAJAR</v>
      </c>
      <c r="AC2062" s="18" t="str">
        <f>_xlfn.XLOOKUP(Customer[[#This Row],[Customer ID]],[1]!Address[ID],[1]!Address[Zone])</f>
        <v>EAST COAST</v>
      </c>
    </row>
    <row r="2063" spans="1:29" x14ac:dyDescent="0.3">
      <c r="A2063" s="10" t="s">
        <v>12933</v>
      </c>
      <c r="B2063" s="11" t="str">
        <f>_xlfn.XLOOKUP(Customer[[#This Row],[Customer ID]],[1]!Name[ID],[1]!Name[Description(1)])</f>
        <v>NUR ADIBAH BINTI TERMIZI</v>
      </c>
      <c r="C2063" s="11" t="s">
        <v>12934</v>
      </c>
      <c r="D2063" s="11" t="str">
        <f>_xlfn.XLOOKUP(Customer[[#This Row],[Customer ID]],[1]!Address[ID],[1]!Address[PIC])</f>
        <v>ADIBAH TERMIZI</v>
      </c>
      <c r="E2063" s="11" t="str">
        <f>_xlfn.XLOOKUP(Customer[[#This Row],[Customer ID]],[1]!Address[ID],[1]!Address[Full Address])</f>
        <v>KAMPUNG PASIR TENGAH,BATU 12 1/2 JALAN SILIAU,71200 RANTAU,NEGERI SEMBILAN</v>
      </c>
      <c r="F2063" s="12" t="s">
        <v>12935</v>
      </c>
      <c r="G2063" s="12" t="s">
        <v>12936</v>
      </c>
      <c r="H2063" s="24" t="s">
        <v>6428</v>
      </c>
      <c r="I2063" s="24" t="b">
        <f>ISNUMBER(VALUE(LEFT(Customer[[#This Row],[Address Line 3 (30 char)]],1)))</f>
        <v>0</v>
      </c>
      <c r="J2063" s="12" t="s">
        <v>203</v>
      </c>
      <c r="K2063" s="12">
        <v>43650</v>
      </c>
      <c r="L2063" s="12" t="s">
        <v>35</v>
      </c>
      <c r="M2063" s="13" t="e">
        <v>#N/A</v>
      </c>
      <c r="N2063" s="113" t="s">
        <v>12937</v>
      </c>
      <c r="O2063" s="14" t="e">
        <v>#N/A</v>
      </c>
      <c r="P2063" s="14" t="e">
        <v>#N/A</v>
      </c>
      <c r="Q2063" s="19" t="s">
        <v>12938</v>
      </c>
      <c r="R2063" s="15" t="s">
        <v>12939</v>
      </c>
      <c r="S2063" s="16" t="s">
        <v>89</v>
      </c>
      <c r="T2063" s="16" t="s">
        <v>89</v>
      </c>
      <c r="U2063" s="11" t="str">
        <f>_xlfn.XLOOKUP(Customer[[#This Row],[Customer ID]],[1]!Address[ID],[1]!Address[Phone No.(2)])</f>
        <v/>
      </c>
      <c r="V2063" s="11" t="str">
        <f>_xlfn.XLOOKUP(Customer[[#This Row],[Customer ID]],[1]!Address[ID],[1]!Address[Type])</f>
        <v>WALK IN</v>
      </c>
      <c r="W2063" s="11" t="str">
        <f>_xlfn.XLOOKUP(Customer[[#This Row],[Customer ID]],[1]!Address[ID],[1]!Address[CT])</f>
        <v/>
      </c>
      <c r="X2063" s="11"/>
      <c r="Y2063" s="17" t="s">
        <v>6284</v>
      </c>
      <c r="Z2063" s="17" t="e">
        <f>_xlfn.XLOOKUP(Customer[[#This Row],[NewType]],$AF$36:$AF$54,$AG$36:$AG$54)</f>
        <v>#N/A</v>
      </c>
      <c r="AA2063" s="17" t="s">
        <v>12940</v>
      </c>
      <c r="AB2063" s="11" t="str">
        <f>_xlfn.XLOOKUP(Customer[[#This Row],[Customer ID]],[1]!Address[ID],[1]!Address[Subtype])</f>
        <v>STAFF</v>
      </c>
      <c r="AC2063" s="18" t="str">
        <f>_xlfn.XLOOKUP(Customer[[#This Row],[Customer ID]],[1]!Address[ID],[1]!Address[Zone])</f>
        <v>CENTRAL</v>
      </c>
    </row>
    <row r="2064" spans="1:29" x14ac:dyDescent="0.3">
      <c r="A2064" s="10" t="s">
        <v>12941</v>
      </c>
      <c r="B2064" s="11" t="str">
        <f>_xlfn.XLOOKUP(Customer[[#This Row],[Customer ID]],[1]!Name[ID],[1]!Name[Description(1)])</f>
        <v>NORAZLIZA BINTI MOHD ARIFF</v>
      </c>
      <c r="C2064" s="11" t="str">
        <f>_xlfn.XLOOKUP(Customer[[#This Row],[Customer ID]],[1]!Name[ID],[1]!Name[Description(2)])</f>
        <v>(MB)</v>
      </c>
      <c r="D2064" s="11" t="str">
        <f>_xlfn.XLOOKUP(Customer[[#This Row],[Customer ID]],[1]!Address[ID],[1]!Address[PIC])</f>
        <v>MORAZLIZA</v>
      </c>
      <c r="E2064" s="11" t="str">
        <f>_xlfn.XLOOKUP(Customer[[#This Row],[Customer ID]],[1]!Address[ID],[1]!Address[Full Address])</f>
        <v>NO 5 JALAN 1/3M, MUTIARA BANGI,BANDAR BARU BANGI 43650 SELANGOR</v>
      </c>
      <c r="F2064" s="29" t="s">
        <v>12942</v>
      </c>
      <c r="G2064" s="29" t="s">
        <v>8485</v>
      </c>
      <c r="H2064" s="29" t="s">
        <v>4431</v>
      </c>
      <c r="I2064" s="29" t="b">
        <f>ISNUMBER(VALUE(LEFT(Customer[[#This Row],[Address Line 3 (30 char)]],1)))</f>
        <v>0</v>
      </c>
      <c r="J2064" s="29" t="s">
        <v>172</v>
      </c>
      <c r="K2064" s="29">
        <v>43650</v>
      </c>
      <c r="L2064" s="29" t="s">
        <v>35</v>
      </c>
      <c r="M2064" s="31" t="e">
        <v>#N/A</v>
      </c>
      <c r="N2064" s="36" t="e">
        <v>#N/A</v>
      </c>
      <c r="O2064" s="36" t="e">
        <v>#N/A</v>
      </c>
      <c r="P2064" s="36" t="e">
        <v>#N/A</v>
      </c>
      <c r="Q2064" s="36" t="e">
        <v>#N/A</v>
      </c>
      <c r="R2064" s="15" t="s">
        <v>12943</v>
      </c>
      <c r="S2064" s="15" t="s">
        <v>4271</v>
      </c>
      <c r="T2064" s="16" t="s">
        <v>89</v>
      </c>
      <c r="U2064" s="11" t="str">
        <f>_xlfn.XLOOKUP(Customer[[#This Row],[Customer ID]],[1]!Address[ID],[1]!Address[Phone No.(2)])</f>
        <v/>
      </c>
      <c r="V2064" s="11" t="str">
        <f>_xlfn.XLOOKUP(Customer[[#This Row],[Customer ID]],[1]!Address[ID],[1]!Address[Type])</f>
        <v>SOCMED</v>
      </c>
      <c r="W2064" s="11" t="str">
        <f>_xlfn.XLOOKUP(Customer[[#This Row],[Customer ID]],[1]!Address[ID],[1]!Address[CT])</f>
        <v/>
      </c>
      <c r="X2064" s="11"/>
      <c r="Y2064" s="17" t="s">
        <v>90</v>
      </c>
      <c r="Z2064" s="17" t="e">
        <f>_xlfn.XLOOKUP(Customer[[#This Row],[NewType]],$AF$36:$AF$54,$AG$36:$AG$54)</f>
        <v>#N/A</v>
      </c>
      <c r="AA2064" s="17" t="s">
        <v>12944</v>
      </c>
      <c r="AB2064" s="11" t="str">
        <f>_xlfn.XLOOKUP(Customer[[#This Row],[Customer ID]],[1]!Address[ID],[1]!Address[Subtype])</f>
        <v>WHATSAPP</v>
      </c>
      <c r="AC2064" s="18" t="str">
        <f>_xlfn.XLOOKUP(Customer[[#This Row],[Customer ID]],[1]!Address[ID],[1]!Address[Zone])</f>
        <v>MBAUNDARH</v>
      </c>
    </row>
    <row r="2065" spans="1:30" x14ac:dyDescent="0.3">
      <c r="A2065" s="48" t="s">
        <v>12945</v>
      </c>
      <c r="B2065" s="49" t="str">
        <f>_xlfn.XLOOKUP(Customer[[#This Row],[Customer ID]],[1]!Name[ID],[1]!Name[Description(1)])</f>
        <v>ZURA</v>
      </c>
      <c r="C2065" s="49" t="str">
        <f>_xlfn.XLOOKUP(Customer[[#This Row],[Customer ID]],[1]!Name[ID],[1]!Name[Description(2)])</f>
        <v/>
      </c>
      <c r="D2065" s="49" t="str">
        <f>_xlfn.XLOOKUP(Customer[[#This Row],[Customer ID]],[1]!Address[ID],[1]!Address[PIC])</f>
        <v>ZURA</v>
      </c>
      <c r="E2065" s="11" t="str">
        <f>_xlfn.XLOOKUP(Customer[[#This Row],[Customer ID]],[1]!Address[ID],[1]!Address[Full Address])</f>
        <v>28-3 JALAN PJU 8/5B DAMANSARAPERDANA, 47820 PETALING JAYA,SELANGOR</v>
      </c>
      <c r="F2065" s="29" t="s">
        <v>12946</v>
      </c>
      <c r="G2065" s="29" t="s">
        <v>12947</v>
      </c>
      <c r="H2065" s="29" t="s">
        <v>172</v>
      </c>
      <c r="I2065" s="29" t="b">
        <f>ISNUMBER(VALUE(LEFT(Customer[[#This Row],[Address Line 3 (30 char)]],1)))</f>
        <v>0</v>
      </c>
      <c r="J2065" s="29" t="s">
        <v>1907</v>
      </c>
      <c r="K2065" s="29">
        <v>47820</v>
      </c>
      <c r="L2065" s="29" t="s">
        <v>35</v>
      </c>
      <c r="M2065" s="31" t="e">
        <v>#N/A</v>
      </c>
      <c r="N2065" s="36" t="e">
        <v>#N/A</v>
      </c>
      <c r="O2065" s="36" t="e">
        <v>#N/A</v>
      </c>
      <c r="P2065" s="36" t="e">
        <v>#N/A</v>
      </c>
      <c r="Q2065" s="36" t="e">
        <v>#N/A</v>
      </c>
      <c r="R2065" s="51" t="s">
        <v>12948</v>
      </c>
      <c r="S2065" s="15" t="s">
        <v>4271</v>
      </c>
      <c r="T2065" s="52" t="s">
        <v>89</v>
      </c>
      <c r="U2065" s="49" t="str">
        <f>_xlfn.XLOOKUP(Customer[[#This Row],[Customer ID]],[1]!Address[ID],[1]!Address[Phone No.(2)])</f>
        <v/>
      </c>
      <c r="V2065" s="49" t="str">
        <f>_xlfn.XLOOKUP(Customer[[#This Row],[Customer ID]],[1]!Address[ID],[1]!Address[Type])</f>
        <v>SOCMED</v>
      </c>
      <c r="W2065" s="49" t="str">
        <f>_xlfn.XLOOKUP(Customer[[#This Row],[Customer ID]],[1]!Address[ID],[1]!Address[CT])</f>
        <v/>
      </c>
      <c r="X2065" s="49"/>
      <c r="Y2065" s="53" t="s">
        <v>90</v>
      </c>
      <c r="Z2065" s="53" t="e">
        <f>_xlfn.XLOOKUP(Customer[[#This Row],[NewType]],$AF$36:$AF$54,$AG$36:$AG$54)</f>
        <v>#N/A</v>
      </c>
      <c r="AA2065" s="53" t="s">
        <v>12949</v>
      </c>
      <c r="AB2065" s="49" t="str">
        <f>_xlfn.XLOOKUP(Customer[[#This Row],[Customer ID]],[1]!Address[ID],[1]!Address[Subtype])</f>
        <v>WHATSAPP</v>
      </c>
      <c r="AC2065" s="54" t="str">
        <f>_xlfn.XLOOKUP(Customer[[#This Row],[Customer ID]],[1]!Address[ID],[1]!Address[Zone])</f>
        <v>AEEDH</v>
      </c>
      <c r="AD2065" s="55"/>
    </row>
    <row r="2066" spans="1:30" x14ac:dyDescent="0.3">
      <c r="A2066" s="10" t="s">
        <v>12950</v>
      </c>
      <c r="B2066" s="11" t="str">
        <f>_xlfn.XLOOKUP(Customer[[#This Row],[Customer ID]],[1]!Name[ID],[1]!Name[Description(1)])</f>
        <v>MUHAMAD SAIFUL BAHRIM BIN ZAKARIA</v>
      </c>
      <c r="C2066" s="11" t="str">
        <f>_xlfn.XLOOKUP(Customer[[#This Row],[Customer ID]],[1]!Name[ID],[1]!Name[Description(2)])</f>
        <v/>
      </c>
      <c r="D2066" s="11" t="str">
        <f>_xlfn.XLOOKUP(Customer[[#This Row],[Customer ID]],[1]!Address[ID],[1]!Address[PIC])</f>
        <v>SAIFUL</v>
      </c>
      <c r="E2066" s="11" t="str">
        <f>_xlfn.XLOOKUP(Customer[[#This Row],[Customer ID]],[1]!Address[ID],[1]!Address[Full Address])</f>
        <v>NO 48, TAMAN SUNGAI PINANG 12B/KS13,JALAN DATO AHMAD RAZALI 42920PULAU INDAH, SELANGOR</v>
      </c>
      <c r="F2066" s="12" t="s">
        <v>12951</v>
      </c>
      <c r="G2066" s="12" t="s">
        <v>12952</v>
      </c>
      <c r="H2066" s="12" t="s">
        <v>12953</v>
      </c>
      <c r="I2066" s="12" t="b">
        <f>ISNUMBER(VALUE(LEFT(Customer[[#This Row],[Address Line 3 (30 char)]],1)))</f>
        <v>0</v>
      </c>
      <c r="J2066" s="12" t="s">
        <v>172</v>
      </c>
      <c r="K2066" s="12">
        <v>42920</v>
      </c>
      <c r="L2066" s="12" t="s">
        <v>35</v>
      </c>
      <c r="M2066" s="13" t="e">
        <v>#N/A</v>
      </c>
      <c r="N2066" s="14" t="e">
        <v>#N/A</v>
      </c>
      <c r="O2066" s="14" t="e">
        <v>#N/A</v>
      </c>
      <c r="P2066" s="14" t="e">
        <v>#N/A</v>
      </c>
      <c r="Q2066" s="19" t="s">
        <v>12954</v>
      </c>
      <c r="R2066" s="15" t="s">
        <v>12955</v>
      </c>
      <c r="S2066" s="16" t="s">
        <v>89</v>
      </c>
      <c r="T2066" s="16" t="s">
        <v>89</v>
      </c>
      <c r="U2066" s="11" t="str">
        <f>_xlfn.XLOOKUP(Customer[[#This Row],[Customer ID]],[1]!Address[ID],[1]!Address[Phone No.(2)])</f>
        <v/>
      </c>
      <c r="V2066" s="11" t="str">
        <f>_xlfn.XLOOKUP(Customer[[#This Row],[Customer ID]],[1]!Address[ID],[1]!Address[Type])</f>
        <v>WALK IN</v>
      </c>
      <c r="W2066" s="11" t="str">
        <f>_xlfn.XLOOKUP(Customer[[#This Row],[Customer ID]],[1]!Address[ID],[1]!Address[CT])</f>
        <v/>
      </c>
      <c r="X2066" s="11"/>
      <c r="Y2066" s="17" t="s">
        <v>6284</v>
      </c>
      <c r="Z2066" s="17" t="e">
        <f>_xlfn.XLOOKUP(Customer[[#This Row],[NewType]],$AF$36:$AF$54,$AG$36:$AG$54)</f>
        <v>#N/A</v>
      </c>
      <c r="AA2066" s="17" t="s">
        <v>12956</v>
      </c>
      <c r="AB2066" s="11" t="str">
        <f>_xlfn.XLOOKUP(Customer[[#This Row],[Customer ID]],[1]!Address[ID],[1]!Address[Subtype])</f>
        <v>PEDAS</v>
      </c>
      <c r="AC2066" s="18" t="str">
        <f>_xlfn.XLOOKUP(Customer[[#This Row],[Customer ID]],[1]!Address[ID],[1]!Address[Zone])</f>
        <v>SLUTH</v>
      </c>
    </row>
    <row r="2067" spans="1:30" x14ac:dyDescent="0.3">
      <c r="A2067" s="10" t="s">
        <v>12957</v>
      </c>
      <c r="B2067" s="11" t="str">
        <f>_xlfn.XLOOKUP(Customer[[#This Row],[Customer ID]],[1]!Name[ID],[1]!Name[Description(1)])</f>
        <v>NORASZURA OSMAN</v>
      </c>
      <c r="C2067" s="11" t="str">
        <f>_xlfn.XLOOKUP(Customer[[#This Row],[Customer ID]],[1]!Name[ID],[1]!Name[Description(2)])</f>
        <v/>
      </c>
      <c r="D2067" s="11" t="str">
        <f>_xlfn.XLOOKUP(Customer[[#This Row],[Customer ID]],[1]!Address[ID],[1]!Address[PIC])</f>
        <v>NORASZURA</v>
      </c>
      <c r="E2067" s="11" t="str">
        <f>_xlfn.XLOOKUP(Customer[[#This Row],[Customer ID]],[1]!Address[ID],[1]!Address[Full Address])</f>
        <v>BLOK H-G-7, PUCHONG UTAMA COURT 1,PUCHONG UTAMA,47140 PUCHONG, SELANGOR</v>
      </c>
      <c r="F2067" s="12" t="s">
        <v>12958</v>
      </c>
      <c r="G2067" s="12" t="s">
        <v>12959</v>
      </c>
      <c r="H2067" s="12" t="s">
        <v>12960</v>
      </c>
      <c r="I2067" s="12" t="b">
        <f>ISNUMBER(VALUE(LEFT(Customer[[#This Row],[Address Line 3 (30 char)]],1)))</f>
        <v>0</v>
      </c>
      <c r="J2067" s="12" t="s">
        <v>172</v>
      </c>
      <c r="K2067" s="12">
        <v>47140</v>
      </c>
      <c r="L2067" s="12" t="s">
        <v>35</v>
      </c>
      <c r="M2067" s="13" t="e">
        <v>#N/A</v>
      </c>
      <c r="N2067" s="14" t="e">
        <v>#N/A</v>
      </c>
      <c r="O2067" s="14" t="e">
        <v>#N/A</v>
      </c>
      <c r="P2067" s="14" t="e">
        <v>#N/A</v>
      </c>
      <c r="Q2067" s="19" t="s">
        <v>12961</v>
      </c>
      <c r="R2067" s="15" t="s">
        <v>12962</v>
      </c>
      <c r="S2067" s="16" t="s">
        <v>89</v>
      </c>
      <c r="T2067" s="16" t="s">
        <v>89</v>
      </c>
      <c r="U2067" s="11" t="str">
        <f>_xlfn.XLOOKUP(Customer[[#This Row],[Customer ID]],[1]!Address[ID],[1]!Address[Phone No.(2)])</f>
        <v/>
      </c>
      <c r="V2067" s="11" t="str">
        <f>_xlfn.XLOOKUP(Customer[[#This Row],[Customer ID]],[1]!Address[ID],[1]!Address[Type])</f>
        <v>WALK IN</v>
      </c>
      <c r="W2067" s="11" t="str">
        <f>_xlfn.XLOOKUP(Customer[[#This Row],[Customer ID]],[1]!Address[ID],[1]!Address[CT])</f>
        <v/>
      </c>
      <c r="X2067" s="11"/>
      <c r="Y2067" s="17" t="s">
        <v>6284</v>
      </c>
      <c r="Z2067" s="17" t="e">
        <f>_xlfn.XLOOKUP(Customer[[#This Row],[NewType]],$AF$36:$AF$54,$AG$36:$AG$54)</f>
        <v>#N/A</v>
      </c>
      <c r="AA2067" s="17" t="s">
        <v>12963</v>
      </c>
      <c r="AB2067" s="11" t="str">
        <f>_xlfn.XLOOKUP(Customer[[#This Row],[Customer ID]],[1]!Address[ID],[1]!Address[Subtype])</f>
        <v>PEDAS</v>
      </c>
      <c r="AC2067" s="18" t="str">
        <f>_xlfn.XLOOKUP(Customer[[#This Row],[Customer ID]],[1]!Address[ID],[1]!Address[Zone])</f>
        <v>CENTRAL</v>
      </c>
    </row>
    <row r="2068" spans="1:30" x14ac:dyDescent="0.3">
      <c r="A2068" s="10" t="s">
        <v>12964</v>
      </c>
      <c r="B2068" s="11" t="str">
        <f>_xlfn.XLOOKUP(Customer[[#This Row],[Customer ID]],[1]!Name[ID],[1]!Name[Description(1)])</f>
        <v>MOHD RIZUAN BIN MOHAMAD</v>
      </c>
      <c r="C2068" s="11" t="str">
        <f>_xlfn.XLOOKUP(Customer[[#This Row],[Customer ID]],[1]!Name[ID],[1]!Name[Description(2)])</f>
        <v>(L&amp;W)</v>
      </c>
      <c r="D2068" s="11" t="str">
        <f>_xlfn.XLOOKUP(Customer[[#This Row],[Customer ID]],[1]!Address[ID],[1]!Address[PIC])</f>
        <v>RIZUAN</v>
      </c>
      <c r="E2068" s="11" t="str">
        <f>_xlfn.XLOOKUP(Customer[[#This Row],[Customer ID]],[1]!Address[ID],[1]!Address[Full Address])</f>
        <v>K02 09 13A JALAN 1/2 ECOHILL SEMENYIH</v>
      </c>
      <c r="F2068" s="12" t="s">
        <v>12965</v>
      </c>
      <c r="G2068" s="12" t="s">
        <v>12966</v>
      </c>
      <c r="H2068" s="12" t="s">
        <v>12624</v>
      </c>
      <c r="I2068" s="12" t="b">
        <f>ISNUMBER(VALUE(LEFT(Customer[[#This Row],[Address Line 3 (30 char)]],1)))</f>
        <v>0</v>
      </c>
      <c r="J2068" s="32" t="s">
        <v>172</v>
      </c>
      <c r="K2068" s="32">
        <v>43500</v>
      </c>
      <c r="L2068" s="12" t="s">
        <v>35</v>
      </c>
      <c r="M2068" s="13" t="e">
        <v>#N/A</v>
      </c>
      <c r="N2068" s="14" t="e">
        <v>#N/A</v>
      </c>
      <c r="O2068" s="14" t="e">
        <v>#N/A</v>
      </c>
      <c r="P2068" s="14" t="e">
        <v>#N/A</v>
      </c>
      <c r="Q2068" s="19" t="s">
        <v>12967</v>
      </c>
      <c r="R2068" s="15" t="s">
        <v>12968</v>
      </c>
      <c r="S2068" s="16" t="s">
        <v>89</v>
      </c>
      <c r="T2068" s="16" t="s">
        <v>89</v>
      </c>
      <c r="U2068" s="11" t="str">
        <f>_xlfn.XLOOKUP(Customer[[#This Row],[Customer ID]],[1]!Address[ID],[1]!Address[Phone No.(2)])</f>
        <v/>
      </c>
      <c r="V2068" s="11" t="str">
        <f>_xlfn.XLOOKUP(Customer[[#This Row],[Customer ID]],[1]!Address[ID],[1]!Address[Type])</f>
        <v>WALK IN</v>
      </c>
      <c r="W2068" s="11" t="str">
        <f>_xlfn.XLOOKUP(Customer[[#This Row],[Customer ID]],[1]!Address[ID],[1]!Address[CT])</f>
        <v/>
      </c>
      <c r="X2068" s="11"/>
      <c r="Y2068" s="17" t="s">
        <v>6284</v>
      </c>
      <c r="Z2068" s="17" t="e">
        <f>_xlfn.XLOOKUP(Customer[[#This Row],[NewType]],$AF$36:$AF$54,$AG$36:$AG$54)</f>
        <v>#N/A</v>
      </c>
      <c r="AA2068" s="17" t="s">
        <v>12969</v>
      </c>
      <c r="AB2068" s="11" t="str">
        <f>_xlfn.XLOOKUP(Customer[[#This Row],[Customer ID]],[1]!Address[ID],[1]!Address[Subtype])</f>
        <v>STAFF</v>
      </c>
      <c r="AC2068" s="18" t="str">
        <f>_xlfn.XLOOKUP(Customer[[#This Row],[Customer ID]],[1]!Address[ID],[1]!Address[Zone])</f>
        <v>A H</v>
      </c>
    </row>
    <row r="2069" spans="1:30" x14ac:dyDescent="0.3">
      <c r="A2069" s="10" t="s">
        <v>12970</v>
      </c>
      <c r="B2069" s="11" t="str">
        <f>_xlfn.XLOOKUP(Customer[[#This Row],[Customer ID]],[1]!Name[ID],[1]!Name[Description(1)])</f>
        <v>FAIZ BIN DAUD</v>
      </c>
      <c r="C2069" s="11" t="str">
        <f>_xlfn.XLOOKUP(Customer[[#This Row],[Customer ID]],[1]!Name[ID],[1]!Name[Description(2)])</f>
        <v/>
      </c>
      <c r="D2069" s="11" t="str">
        <f>_xlfn.XLOOKUP(Customer[[#This Row],[Customer ID]],[1]!Address[ID],[1]!Address[PIC])</f>
        <v>FAIZ</v>
      </c>
      <c r="E2069" s="11" t="str">
        <f>_xlfn.XLOOKUP(Customer[[#This Row],[Customer ID]],[1]!Address[ID],[1]!Address[Full Address])</f>
        <v>NO.5 JALAN 2/1JBANDAR BARU BANGI43650, SELANGOR</v>
      </c>
      <c r="F2069" s="29" t="s">
        <v>12971</v>
      </c>
      <c r="G2069" s="29" t="s">
        <v>4431</v>
      </c>
      <c r="H2069" s="79"/>
      <c r="I2069" s="79" t="b">
        <f>ISNUMBER(VALUE(LEFT(Customer[[#This Row],[Address Line 3 (30 char)]],1)))</f>
        <v>0</v>
      </c>
      <c r="J2069" s="29" t="s">
        <v>1907</v>
      </c>
      <c r="K2069" s="29">
        <v>43650</v>
      </c>
      <c r="L2069" s="29" t="s">
        <v>35</v>
      </c>
      <c r="M2069" s="31" t="e">
        <v>#N/A</v>
      </c>
      <c r="N2069" s="36" t="e">
        <v>#N/A</v>
      </c>
      <c r="O2069" s="36" t="e">
        <v>#N/A</v>
      </c>
      <c r="P2069" s="36" t="e">
        <v>#N/A</v>
      </c>
      <c r="Q2069" s="89" t="s">
        <v>11449</v>
      </c>
      <c r="R2069" s="15" t="s">
        <v>11450</v>
      </c>
      <c r="S2069" s="15" t="s">
        <v>4271</v>
      </c>
      <c r="T2069" s="16" t="s">
        <v>89</v>
      </c>
      <c r="U2069" s="11" t="str">
        <f>_xlfn.XLOOKUP(Customer[[#This Row],[Customer ID]],[1]!Address[ID],[1]!Address[Phone No.(2)])</f>
        <v/>
      </c>
      <c r="V2069" s="11" t="str">
        <f>_xlfn.XLOOKUP(Customer[[#This Row],[Customer ID]],[1]!Address[ID],[1]!Address[Type])</f>
        <v>SOCMED</v>
      </c>
      <c r="W2069" s="11" t="str">
        <f>_xlfn.XLOOKUP(Customer[[#This Row],[Customer ID]],[1]!Address[ID],[1]!Address[CT])</f>
        <v/>
      </c>
      <c r="X2069" s="11"/>
      <c r="Y2069" s="17" t="s">
        <v>90</v>
      </c>
      <c r="Z2069" s="17" t="e">
        <f>_xlfn.XLOOKUP(Customer[[#This Row],[NewType]],$AF$36:$AF$54,$AG$36:$AG$54)</f>
        <v>#N/A</v>
      </c>
      <c r="AA2069" s="17" t="s">
        <v>12972</v>
      </c>
      <c r="AB2069" s="11" t="str">
        <f>_xlfn.XLOOKUP(Customer[[#This Row],[Customer ID]],[1]!Address[ID],[1]!Address[Subtype])</f>
        <v>WHATSAPP</v>
      </c>
      <c r="AC2069" s="18" t="str">
        <f>_xlfn.XLOOKUP(Customer[[#This Row],[Customer ID]],[1]!Address[ID],[1]!Address[Zone])</f>
        <v>AEEDH</v>
      </c>
    </row>
    <row r="2070" spans="1:30" x14ac:dyDescent="0.3">
      <c r="A2070" s="10" t="s">
        <v>12973</v>
      </c>
      <c r="B2070" s="11" t="str">
        <f>_xlfn.XLOOKUP(Customer[[#This Row],[Customer ID]],[1]!Name[ID],[1]!Name[Description(1)])</f>
        <v>KHAIRILANWAR KHAIRUDIN</v>
      </c>
      <c r="C2070" s="11" t="str">
        <f>_xlfn.XLOOKUP(Customer[[#This Row],[Customer ID]],[1]!Name[ID],[1]!Name[Description(2)])</f>
        <v/>
      </c>
      <c r="D2070" s="11" t="str">
        <f>_xlfn.XLOOKUP(Customer[[#This Row],[Customer ID]],[1]!Address[ID],[1]!Address[PIC])</f>
        <v>KHAIRILANWAR</v>
      </c>
      <c r="E2070" s="11" t="str">
        <f>_xlfn.XLOOKUP(Customer[[#This Row],[Customer ID]],[1]!Address[ID],[1]!Address[Full Address])</f>
        <v>NO 1, JALAN BUKIT MEWAH 9/4,TAMAN BUKIT MEWAH FASA 9,43000 KAJANG, SELANGOR DARUL EHSAN</v>
      </c>
      <c r="F2070" s="29" t="s">
        <v>12974</v>
      </c>
      <c r="G2070" s="29" t="s">
        <v>6089</v>
      </c>
      <c r="H2070" s="29"/>
      <c r="I2070" s="29" t="b">
        <f>ISNUMBER(VALUE(LEFT(Customer[[#This Row],[Address Line 3 (30 char)]],1)))</f>
        <v>0</v>
      </c>
      <c r="J2070" s="29" t="s">
        <v>1907</v>
      </c>
      <c r="K2070" s="29">
        <v>43000</v>
      </c>
      <c r="L2070" s="29" t="s">
        <v>35</v>
      </c>
      <c r="M2070" s="31" t="e">
        <v>#N/A</v>
      </c>
      <c r="N2070" s="36" t="e">
        <v>#N/A</v>
      </c>
      <c r="O2070" s="36" t="e">
        <v>#N/A</v>
      </c>
      <c r="P2070" s="36" t="e">
        <v>#N/A</v>
      </c>
      <c r="Q2070" s="89" t="s">
        <v>12975</v>
      </c>
      <c r="R2070" s="15" t="s">
        <v>36</v>
      </c>
      <c r="S2070" s="15" t="s">
        <v>89</v>
      </c>
      <c r="T2070" s="16" t="s">
        <v>89</v>
      </c>
      <c r="U2070" s="11" t="str">
        <f>_xlfn.XLOOKUP(Customer[[#This Row],[Customer ID]],[1]!Address[ID],[1]!Address[Phone No.(2)])</f>
        <v/>
      </c>
      <c r="V2070" s="11" t="str">
        <f>_xlfn.XLOOKUP(Customer[[#This Row],[Customer ID]],[1]!Address[ID],[1]!Address[Type])</f>
        <v>SOCMED</v>
      </c>
      <c r="W2070" s="11" t="str">
        <f>_xlfn.XLOOKUP(Customer[[#This Row],[Customer ID]],[1]!Address[ID],[1]!Address[CT])</f>
        <v/>
      </c>
      <c r="X2070" s="11"/>
      <c r="Y2070" s="17" t="s">
        <v>90</v>
      </c>
      <c r="Z2070" s="17" t="e">
        <f>_xlfn.XLOOKUP(Customer[[#This Row],[NewType]],$AF$36:$AF$54,$AG$36:$AG$54)</f>
        <v>#N/A</v>
      </c>
      <c r="AA2070" s="17" t="s">
        <v>12976</v>
      </c>
      <c r="AB2070" s="11" t="str">
        <f>_xlfn.XLOOKUP(Customer[[#This Row],[Customer ID]],[1]!Address[ID],[1]!Address[Subtype])</f>
        <v>WHATSAPP</v>
      </c>
      <c r="AC2070" s="18" t="str">
        <f>_xlfn.XLOOKUP(Customer[[#This Row],[Customer ID]],[1]!Address[ID],[1]!Address[Zone])</f>
        <v>CENTRAL</v>
      </c>
    </row>
    <row r="2071" spans="1:30" x14ac:dyDescent="0.3">
      <c r="A2071" s="10" t="s">
        <v>12977</v>
      </c>
      <c r="B2071" s="11" t="str">
        <f>_xlfn.XLOOKUP(Customer[[#This Row],[Customer ID]],[1]!Name[ID],[1]!Name[Description(1)])</f>
        <v>MUHAMMAD IMRAN BIN ABDUL RASID</v>
      </c>
      <c r="C2071" s="11" t="str">
        <f>_xlfn.XLOOKUP(Customer[[#This Row],[Customer ID]],[1]!Name[ID],[1]!Name[Description(2)])</f>
        <v>(CARI GALI)</v>
      </c>
      <c r="D2071" s="11" t="str">
        <f>_xlfn.XLOOKUP(Customer[[#This Row],[Customer ID]],[1]!Address[ID],[1]!Address[PIC])</f>
        <v>IMRAN</v>
      </c>
      <c r="E2071" s="11" t="str">
        <f>_xlfn.XLOOKUP(Customer[[#This Row],[Customer ID]],[1]!Address[ID],[1]!Address[Full Address])</f>
        <v>KAMPUNG TANJUNG 71200 RANTAUNEGERI SEMBILAN</v>
      </c>
      <c r="F2071" s="12" t="s">
        <v>12978</v>
      </c>
      <c r="G2071" s="12"/>
      <c r="H2071" s="12" t="s">
        <v>36</v>
      </c>
      <c r="I2071" s="12" t="b">
        <f>ISNUMBER(VALUE(LEFT(Customer[[#This Row],[Address Line 3 (30 char)]],1)))</f>
        <v>0</v>
      </c>
      <c r="J2071" s="12" t="s">
        <v>203</v>
      </c>
      <c r="K2071" s="12">
        <v>71200</v>
      </c>
      <c r="L2071" s="12" t="s">
        <v>35</v>
      </c>
      <c r="M2071" s="13" t="e">
        <v>#N/A</v>
      </c>
      <c r="N2071" s="14" t="e">
        <v>#N/A</v>
      </c>
      <c r="O2071" s="14" t="e">
        <v>#N/A</v>
      </c>
      <c r="P2071" s="14" t="e">
        <v>#N/A</v>
      </c>
      <c r="Q2071" s="19" t="s">
        <v>12979</v>
      </c>
      <c r="R2071" s="15" t="s">
        <v>12980</v>
      </c>
      <c r="S2071" s="16" t="s">
        <v>89</v>
      </c>
      <c r="T2071" s="16" t="s">
        <v>89</v>
      </c>
      <c r="U2071" s="11" t="str">
        <f>_xlfn.XLOOKUP(Customer[[#This Row],[Customer ID]],[1]!Address[ID],[1]!Address[Phone No.(2)])</f>
        <v/>
      </c>
      <c r="V2071" s="11" t="str">
        <f>_xlfn.XLOOKUP(Customer[[#This Row],[Customer ID]],[1]!Address[ID],[1]!Address[Type])</f>
        <v>WALK IN</v>
      </c>
      <c r="W2071" s="11" t="str">
        <f>_xlfn.XLOOKUP(Customer[[#This Row],[Customer ID]],[1]!Address[ID],[1]!Address[CT])</f>
        <v/>
      </c>
      <c r="X2071" s="11"/>
      <c r="Y2071" s="17" t="s">
        <v>6284</v>
      </c>
      <c r="Z2071" s="17" t="e">
        <f>_xlfn.XLOOKUP(Customer[[#This Row],[NewType]],$AF$36:$AF$54,$AG$36:$AG$54)</f>
        <v>#N/A</v>
      </c>
      <c r="AA2071" s="17" t="s">
        <v>12981</v>
      </c>
      <c r="AB2071" s="11" t="str">
        <f>_xlfn.XLOOKUP(Customer[[#This Row],[Customer ID]],[1]!Address[ID],[1]!Address[Subtype])</f>
        <v>STAFF</v>
      </c>
      <c r="AC2071" s="18" t="str">
        <f>_xlfn.XLOOKUP(Customer[[#This Row],[Customer ID]],[1]!Address[ID],[1]!Address[Zone])</f>
        <v>CENTRAL</v>
      </c>
    </row>
    <row r="2072" spans="1:30" x14ac:dyDescent="0.3">
      <c r="A2072" s="10" t="s">
        <v>12982</v>
      </c>
      <c r="B2072" s="11" t="str">
        <f>_xlfn.XLOOKUP(Customer[[#This Row],[Customer ID]],[1]!Name[ID],[1]!Name[Description(1)])</f>
        <v>YUSRA</v>
      </c>
      <c r="C2072" s="11" t="str">
        <f>_xlfn.XLOOKUP(Customer[[#This Row],[Customer ID]],[1]!Name[ID],[1]!Name[Description(2)])</f>
        <v/>
      </c>
      <c r="D2072" s="11" t="str">
        <f>_xlfn.XLOOKUP(Customer[[#This Row],[Customer ID]],[1]!Address[ID],[1]!Address[PIC])</f>
        <v>YUSRA</v>
      </c>
      <c r="E2072" s="11" t="str">
        <f>_xlfn.XLOOKUP(Customer[[#This Row],[Customer ID]],[1]!Address[ID],[1]!Address[Full Address])</f>
        <v>128 TME 6, TAMAN MAWAR EHSAN,71400 PEDAS, NEGERI SEMBILAN</v>
      </c>
      <c r="F2072" s="12" t="s">
        <v>12983</v>
      </c>
      <c r="G2072" s="12" t="s">
        <v>8914</v>
      </c>
      <c r="H2072" s="12" t="s">
        <v>36</v>
      </c>
      <c r="I2072" s="12" t="b">
        <f>ISNUMBER(VALUE(LEFT(Customer[[#This Row],[Address Line 3 (30 char)]],1)))</f>
        <v>0</v>
      </c>
      <c r="J2072" s="12" t="s">
        <v>203</v>
      </c>
      <c r="K2072" s="12">
        <v>71400</v>
      </c>
      <c r="L2072" s="12" t="s">
        <v>35</v>
      </c>
      <c r="M2072" s="13" t="e">
        <v>#N/A</v>
      </c>
      <c r="N2072" s="14" t="e">
        <v>#N/A</v>
      </c>
      <c r="O2072" s="14" t="e">
        <v>#N/A</v>
      </c>
      <c r="P2072" s="14" t="e">
        <v>#N/A</v>
      </c>
      <c r="Q2072" s="19" t="s">
        <v>12984</v>
      </c>
      <c r="R2072" s="15" t="s">
        <v>12985</v>
      </c>
      <c r="S2072" s="16" t="s">
        <v>89</v>
      </c>
      <c r="T2072" s="16" t="s">
        <v>89</v>
      </c>
      <c r="U2072" s="11" t="str">
        <f>_xlfn.XLOOKUP(Customer[[#This Row],[Customer ID]],[1]!Address[ID],[1]!Address[Phone No.(2)])</f>
        <v/>
      </c>
      <c r="V2072" s="11" t="str">
        <f>_xlfn.XLOOKUP(Customer[[#This Row],[Customer ID]],[1]!Address[ID],[1]!Address[Type])</f>
        <v>WALK IN</v>
      </c>
      <c r="W2072" s="11" t="str">
        <f>_xlfn.XLOOKUP(Customer[[#This Row],[Customer ID]],[1]!Address[ID],[1]!Address[CT])</f>
        <v/>
      </c>
      <c r="X2072" s="11"/>
      <c r="Y2072" s="17" t="s">
        <v>6284</v>
      </c>
      <c r="Z2072" s="17" t="e">
        <f>_xlfn.XLOOKUP(Customer[[#This Row],[NewType]],$AF$36:$AF$54,$AG$36:$AG$54)</f>
        <v>#N/A</v>
      </c>
      <c r="AA2072" s="17" t="s">
        <v>12986</v>
      </c>
      <c r="AB2072" s="11" t="str">
        <f>_xlfn.XLOOKUP(Customer[[#This Row],[Customer ID]],[1]!Address[ID],[1]!Address[Subtype])</f>
        <v>PEDAS</v>
      </c>
      <c r="AC2072" s="18" t="str">
        <f>_xlfn.XLOOKUP(Customer[[#This Row],[Customer ID]],[1]!Address[ID],[1]!Address[Zone])</f>
        <v>CENTRAL</v>
      </c>
    </row>
    <row r="2073" spans="1:30" x14ac:dyDescent="0.3">
      <c r="A2073" s="10" t="s">
        <v>12987</v>
      </c>
      <c r="B2073" s="11" t="str">
        <f>_xlfn.XLOOKUP(Customer[[#This Row],[Customer ID]],[1]!Name[ID],[1]!Name[Description(1)])</f>
        <v>SAUKAT ALI</v>
      </c>
      <c r="C2073" s="11" t="str">
        <f>_xlfn.XLOOKUP(Customer[[#This Row],[Customer ID]],[1]!Name[ID],[1]!Name[Description(2)])</f>
        <v/>
      </c>
      <c r="D2073" s="11" t="str">
        <f>_xlfn.XLOOKUP(Customer[[#This Row],[Customer ID]],[1]!Address[ID],[1]!Address[PIC])</f>
        <v>SAUKAT ALI</v>
      </c>
      <c r="E2073" s="11" t="str">
        <f>_xlfn.XLOOKUP(Customer[[#This Row],[Customer ID]],[1]!Address[ID],[1]!Address[Full Address])</f>
        <v>NO 8, LORONG ZAITON INDAH 1/1,TAMAN ZAITON INDAH, 70400 SEREMBAN,NEGERI SEMBILAN</v>
      </c>
      <c r="F2073" s="12" t="s">
        <v>12988</v>
      </c>
      <c r="G2073" s="12" t="s">
        <v>12989</v>
      </c>
      <c r="H2073" s="12" t="s">
        <v>2377</v>
      </c>
      <c r="I2073" s="12" t="b">
        <f>ISNUMBER(VALUE(LEFT(Customer[[#This Row],[Address Line 3 (30 char)]],1)))</f>
        <v>0</v>
      </c>
      <c r="J2073" s="12" t="s">
        <v>203</v>
      </c>
      <c r="K2073" s="12">
        <v>70400</v>
      </c>
      <c r="L2073" s="12" t="s">
        <v>35</v>
      </c>
      <c r="M2073" s="13" t="e">
        <v>#N/A</v>
      </c>
      <c r="N2073" s="14" t="e">
        <v>#N/A</v>
      </c>
      <c r="O2073" s="14" t="e">
        <v>#N/A</v>
      </c>
      <c r="P2073" s="14" t="e">
        <v>#N/A</v>
      </c>
      <c r="Q2073" s="19" t="s">
        <v>12990</v>
      </c>
      <c r="R2073" s="15" t="s">
        <v>12991</v>
      </c>
      <c r="S2073" s="16" t="s">
        <v>89</v>
      </c>
      <c r="T2073" s="16" t="s">
        <v>89</v>
      </c>
      <c r="U2073" s="11" t="str">
        <f>_xlfn.XLOOKUP(Customer[[#This Row],[Customer ID]],[1]!Address[ID],[1]!Address[Phone No.(2)])</f>
        <v/>
      </c>
      <c r="V2073" s="11" t="str">
        <f>_xlfn.XLOOKUP(Customer[[#This Row],[Customer ID]],[1]!Address[ID],[1]!Address[Type])</f>
        <v>WALK IN</v>
      </c>
      <c r="W2073" s="11" t="str">
        <f>_xlfn.XLOOKUP(Customer[[#This Row],[Customer ID]],[1]!Address[ID],[1]!Address[CT])</f>
        <v/>
      </c>
      <c r="X2073" s="11"/>
      <c r="Y2073" s="17" t="s">
        <v>6284</v>
      </c>
      <c r="Z2073" s="17" t="e">
        <f>_xlfn.XLOOKUP(Customer[[#This Row],[NewType]],$AF$36:$AF$54,$AG$36:$AG$54)</f>
        <v>#N/A</v>
      </c>
      <c r="AA2073" s="17" t="s">
        <v>12992</v>
      </c>
      <c r="AB2073" s="11" t="str">
        <f>_xlfn.XLOOKUP(Customer[[#This Row],[Customer ID]],[1]!Address[ID],[1]!Address[Subtype])</f>
        <v>PEDAS</v>
      </c>
      <c r="AC2073" s="18" t="str">
        <f>_xlfn.XLOOKUP(Customer[[#This Row],[Customer ID]],[1]!Address[ID],[1]!Address[Zone])</f>
        <v>CENTRAL</v>
      </c>
    </row>
    <row r="2074" spans="1:30" x14ac:dyDescent="0.3">
      <c r="A2074" s="10" t="s">
        <v>12993</v>
      </c>
      <c r="B2074" s="11" t="str">
        <f>_xlfn.XLOOKUP(Customer[[#This Row],[Customer ID]],[1]!Name[ID],[1]!Name[Description(1)])</f>
        <v>KST ( M ) SDN BHD</v>
      </c>
      <c r="C2074" s="11" t="str">
        <f>_xlfn.XLOOKUP(Customer[[#This Row],[Customer ID]],[1]!Name[ID],[1]!Name[Description(2)])</f>
        <v/>
      </c>
      <c r="D2074" s="11" t="str">
        <f>_xlfn.XLOOKUP(Customer[[#This Row],[Customer ID]],[1]!Address[ID],[1]!Address[PIC])</f>
        <v>KST ( M ) SDN B</v>
      </c>
      <c r="E2074" s="11" t="str">
        <f>_xlfn.XLOOKUP(Customer[[#This Row],[Customer ID]],[1]!Address[ID],[1]!Address[Full Address])</f>
        <v>LOT 4045-E , JALAN 1 ,SEK 44  KAWASAN PERINDUSTRIANPENGKALAN CHEPA II, PADANG TEMBAK,16100 KOTA BHARU, KELANTAN</v>
      </c>
      <c r="F2074" s="12" t="s">
        <v>12994</v>
      </c>
      <c r="G2074" s="12" t="s">
        <v>12995</v>
      </c>
      <c r="H2074" s="12" t="s">
        <v>12996</v>
      </c>
      <c r="I2074" s="12" t="b">
        <f>ISNUMBER(VALUE(LEFT(Customer[[#This Row],[Address Line 3 (30 char)]],1)))</f>
        <v>0</v>
      </c>
      <c r="J2074" s="12" t="s">
        <v>1007</v>
      </c>
      <c r="K2074" s="12">
        <v>16100</v>
      </c>
      <c r="L2074" s="12" t="s">
        <v>35</v>
      </c>
      <c r="M2074" s="13">
        <v>202301032789</v>
      </c>
      <c r="N2074" s="14" t="s">
        <v>12997</v>
      </c>
      <c r="O2074" s="14" t="e">
        <v>#N/A</v>
      </c>
      <c r="P2074" s="14" t="e">
        <v>#N/A</v>
      </c>
      <c r="Q2074" s="19" t="s">
        <v>12998</v>
      </c>
      <c r="R2074" s="15" t="s">
        <v>12999</v>
      </c>
      <c r="S2074" s="15" t="s">
        <v>6749</v>
      </c>
      <c r="T2074" s="16" t="s">
        <v>6749</v>
      </c>
      <c r="U2074" s="11" t="str">
        <f>_xlfn.XLOOKUP(Customer[[#This Row],[Customer ID]],[1]!Address[ID],[1]!Address[Phone No.(2)])</f>
        <v/>
      </c>
      <c r="V2074" s="11" t="str">
        <f>_xlfn.XLOOKUP(Customer[[#This Row],[Customer ID]],[1]!Address[ID],[1]!Address[Type])</f>
        <v>WALK IN</v>
      </c>
      <c r="W2074" s="11" t="str">
        <f>_xlfn.XLOOKUP(Customer[[#This Row],[Customer ID]],[1]!Address[ID],[1]!Address[CT])</f>
        <v/>
      </c>
      <c r="X2074" s="11"/>
      <c r="Y2074" s="17" t="s">
        <v>6284</v>
      </c>
      <c r="Z2074" s="17" t="e">
        <f>_xlfn.XLOOKUP(Customer[[#This Row],[NewType]],$AF$36:$AF$54,$AG$36:$AG$54)</f>
        <v>#N/A</v>
      </c>
      <c r="AA2074" s="17" t="s">
        <v>13000</v>
      </c>
      <c r="AB2074" s="11" t="str">
        <f>_xlfn.XLOOKUP(Customer[[#This Row],[Customer ID]],[1]!Address[ID],[1]!Address[Subtype])</f>
        <v>KB</v>
      </c>
      <c r="AC2074" s="18" t="str">
        <f>_xlfn.XLOOKUP(Customer[[#This Row],[Customer ID]],[1]!Address[ID],[1]!Address[Zone])</f>
        <v>EAST COAST</v>
      </c>
    </row>
    <row r="2075" spans="1:30" x14ac:dyDescent="0.3">
      <c r="A2075" s="10" t="s">
        <v>13001</v>
      </c>
      <c r="B2075" s="11" t="str">
        <f>_xlfn.XLOOKUP(Customer[[#This Row],[Customer ID]],[1]!Name[ID],[1]!Name[Description(1)])</f>
        <v>ASM MARKETING</v>
      </c>
      <c r="C2075" s="11" t="str">
        <f>_xlfn.XLOOKUP(Customer[[#This Row],[Customer ID]],[1]!Name[ID],[1]!Name[Description(2)])</f>
        <v>SHELL AYER HITAM</v>
      </c>
      <c r="D2075" s="11" t="str">
        <f>_xlfn.XLOOKUP(Customer[[#This Row],[Customer ID]],[1]!Address[ID],[1]!Address[PIC])</f>
        <v/>
      </c>
      <c r="E2075" s="11" t="str">
        <f>_xlfn.XLOOKUP(Customer[[#This Row],[Customer ID]],[1]!Address[ID],[1]!Address[Full Address])</f>
        <v>SHELL AYER HITAMLOT PTD 4099, KM 1-5 JALAN KLUANG86100 AYER HITAM, JOHOR</v>
      </c>
      <c r="F2075" s="12" t="s">
        <v>13002</v>
      </c>
      <c r="G2075" s="12" t="s">
        <v>13003</v>
      </c>
      <c r="H2075" s="12" t="s">
        <v>13004</v>
      </c>
      <c r="I2075" s="12" t="b">
        <f>ISNUMBER(VALUE(LEFT(Customer[[#This Row],[Address Line 3 (30 char)]],1)))</f>
        <v>0</v>
      </c>
      <c r="J2075" s="12" t="s">
        <v>52</v>
      </c>
      <c r="K2075" s="12">
        <v>86100</v>
      </c>
      <c r="L2075" s="12" t="s">
        <v>35</v>
      </c>
      <c r="M2075" s="13">
        <v>200603012466</v>
      </c>
      <c r="N2075" s="14" t="s">
        <v>13005</v>
      </c>
      <c r="O2075" s="14" t="e">
        <v>#N/A</v>
      </c>
      <c r="P2075" s="14" t="e">
        <v>#N/A</v>
      </c>
      <c r="Q2075" s="19" t="s">
        <v>13006</v>
      </c>
      <c r="R2075" s="15" t="s">
        <v>13007</v>
      </c>
      <c r="S2075" s="15" t="s">
        <v>37</v>
      </c>
      <c r="T2075" s="16" t="s">
        <v>38</v>
      </c>
      <c r="U2075" s="11" t="str">
        <f>_xlfn.XLOOKUP(Customer[[#This Row],[Customer ID]],[1]!Address[ID],[1]!Address[Phone No.(2)])</f>
        <v/>
      </c>
      <c r="V2075" s="11" t="str">
        <f>_xlfn.XLOOKUP(Customer[[#This Row],[Customer ID]],[1]!Address[ID],[1]!Address[Type])</f>
        <v>PETROMART</v>
      </c>
      <c r="W2075" s="11" t="str">
        <f>_xlfn.XLOOKUP(Customer[[#This Row],[Customer ID]],[1]!Address[ID],[1]!Address[CT])</f>
        <v>CASH</v>
      </c>
      <c r="X2075" s="11" t="s">
        <v>39</v>
      </c>
      <c r="Y2075" s="17" t="s">
        <v>40</v>
      </c>
      <c r="Z2075" s="17" t="e">
        <f>_xlfn.XLOOKUP(Customer[[#This Row],[NewType]],$AF$36:$AF$54,$AG$36:$AG$54)</f>
        <v>#N/A</v>
      </c>
      <c r="AA2075" s="17" t="s">
        <v>13008</v>
      </c>
      <c r="AB2075" s="11" t="str">
        <f>_xlfn.XLOOKUP(Customer[[#This Row],[Customer ID]],[1]!Address[ID],[1]!Address[Subtype])</f>
        <v>SHELL</v>
      </c>
      <c r="AC2075" s="18" t="str">
        <f>_xlfn.XLOOKUP(Customer[[#This Row],[Customer ID]],[1]!Address[ID],[1]!Address[Zone])</f>
        <v>SOUTH</v>
      </c>
    </row>
    <row r="2076" spans="1:30" x14ac:dyDescent="0.3">
      <c r="A2076" s="10" t="s">
        <v>13009</v>
      </c>
      <c r="B2076" s="11" t="str">
        <f>_xlfn.XLOOKUP(Customer[[#This Row],[Customer ID]],[1]!Name[ID],[1]!Name[Description(1)])</f>
        <v>SHAZLIN BINTI MUHAMAD</v>
      </c>
      <c r="C2076" s="11" t="str">
        <f>_xlfn.XLOOKUP(Customer[[#This Row],[Customer ID]],[1]!Name[ID],[1]!Name[Description(2)])</f>
        <v/>
      </c>
      <c r="D2076" s="11" t="str">
        <f>_xlfn.XLOOKUP(Customer[[#This Row],[Customer ID]],[1]!Address[ID],[1]!Address[PIC])</f>
        <v>SHAZLIN</v>
      </c>
      <c r="E2076" s="11" t="str">
        <f>_xlfn.XLOOKUP(Customer[[#This Row],[Customer ID]],[1]!Address[ID],[1]!Address[Full Address])</f>
        <v>NO. 4, LORONG 1, JALAN BM5,TAMAN BERTAM MURNI, 75260 MELAKA</v>
      </c>
      <c r="F2076" s="12" t="s">
        <v>13010</v>
      </c>
      <c r="G2076" s="12" t="s">
        <v>12004</v>
      </c>
      <c r="H2076" s="12" t="s">
        <v>36</v>
      </c>
      <c r="I2076" s="12" t="b">
        <f>ISNUMBER(VALUE(LEFT(Customer[[#This Row],[Address Line 3 (30 char)]],1)))</f>
        <v>0</v>
      </c>
      <c r="J2076" s="12" t="s">
        <v>61</v>
      </c>
      <c r="K2076" s="12">
        <v>75260</v>
      </c>
      <c r="L2076" s="12" t="s">
        <v>35</v>
      </c>
      <c r="M2076" s="13" t="e">
        <v>#N/A</v>
      </c>
      <c r="N2076" s="14" t="e">
        <v>#N/A</v>
      </c>
      <c r="O2076" s="14" t="e">
        <v>#N/A</v>
      </c>
      <c r="P2076" s="14" t="e">
        <v>#N/A</v>
      </c>
      <c r="Q2076" s="19" t="s">
        <v>12006</v>
      </c>
      <c r="R2076" s="15" t="s">
        <v>12007</v>
      </c>
      <c r="S2076" s="16" t="s">
        <v>89</v>
      </c>
      <c r="T2076" s="16" t="s">
        <v>89</v>
      </c>
      <c r="U2076" s="11" t="str">
        <f>_xlfn.XLOOKUP(Customer[[#This Row],[Customer ID]],[1]!Address[ID],[1]!Address[Phone No.(2)])</f>
        <v/>
      </c>
      <c r="V2076" s="11" t="str">
        <f>_xlfn.XLOOKUP(Customer[[#This Row],[Customer ID]],[1]!Address[ID],[1]!Address[Type])</f>
        <v>WALK IN</v>
      </c>
      <c r="W2076" s="11" t="str">
        <f>_xlfn.XLOOKUP(Customer[[#This Row],[Customer ID]],[1]!Address[ID],[1]!Address[CT])</f>
        <v/>
      </c>
      <c r="X2076" s="11"/>
      <c r="Y2076" s="17" t="s">
        <v>6284</v>
      </c>
      <c r="Z2076" s="17" t="e">
        <f>_xlfn.XLOOKUP(Customer[[#This Row],[NewType]],$AF$36:$AF$54,$AG$36:$AG$54)</f>
        <v>#N/A</v>
      </c>
      <c r="AA2076" s="17" t="s">
        <v>13011</v>
      </c>
      <c r="AB2076" s="11" t="str">
        <f>_xlfn.XLOOKUP(Customer[[#This Row],[Customer ID]],[1]!Address[ID],[1]!Address[Subtype])</f>
        <v>PEDAS</v>
      </c>
      <c r="AC2076" s="18" t="str">
        <f>_xlfn.XLOOKUP(Customer[[#This Row],[Customer ID]],[1]!Address[ID],[1]!Address[Zone])</f>
        <v>SOUTH</v>
      </c>
    </row>
    <row r="2077" spans="1:30" x14ac:dyDescent="0.3">
      <c r="A2077" s="10" t="s">
        <v>13012</v>
      </c>
      <c r="B2077" s="11" t="str">
        <f>_xlfn.XLOOKUP(Customer[[#This Row],[Customer ID]],[1]!Name[ID],[1]!Name[Description(1)])</f>
        <v>MUHAMMAD ASYRUL NAIEM BIN AZMI</v>
      </c>
      <c r="C2077" s="11" t="str">
        <f>_xlfn.XLOOKUP(Customer[[#This Row],[Customer ID]],[1]!Name[ID],[1]!Name[Description(2)])</f>
        <v>(DRIVER WAREHOUSE RANTAU)</v>
      </c>
      <c r="D2077" s="11" t="str">
        <f>_xlfn.XLOOKUP(Customer[[#This Row],[Customer ID]],[1]!Address[ID],[1]!Address[PIC])</f>
        <v>NAIEM</v>
      </c>
      <c r="E2077" s="11" t="str">
        <f>_xlfn.XLOOKUP(Customer[[#This Row],[Customer ID]],[1]!Address[ID],[1]!Address[Full Address])</f>
        <v>TAMAN PEDAS INDAH</v>
      </c>
      <c r="F2077" s="12" t="s">
        <v>13013</v>
      </c>
      <c r="G2077" s="12" t="s">
        <v>13014</v>
      </c>
      <c r="H2077" s="12" t="s">
        <v>36</v>
      </c>
      <c r="I2077" s="12" t="b">
        <f>ISNUMBER(VALUE(LEFT(Customer[[#This Row],[Address Line 3 (30 char)]],1)))</f>
        <v>0</v>
      </c>
      <c r="J2077" s="32" t="s">
        <v>203</v>
      </c>
      <c r="K2077" s="32">
        <v>70200</v>
      </c>
      <c r="L2077" s="12" t="s">
        <v>35</v>
      </c>
      <c r="M2077" s="13" t="e">
        <v>#N/A</v>
      </c>
      <c r="N2077" s="14" t="e">
        <v>#N/A</v>
      </c>
      <c r="O2077" s="14" t="e">
        <v>#N/A</v>
      </c>
      <c r="P2077" s="14" t="e">
        <v>#N/A</v>
      </c>
      <c r="Q2077" s="14" t="e">
        <v>#N/A</v>
      </c>
      <c r="R2077" s="15" t="s">
        <v>13015</v>
      </c>
      <c r="S2077" s="16" t="s">
        <v>89</v>
      </c>
      <c r="T2077" s="16" t="s">
        <v>89</v>
      </c>
      <c r="U2077" s="11" t="str">
        <f>_xlfn.XLOOKUP(Customer[[#This Row],[Customer ID]],[1]!Address[ID],[1]!Address[Phone No.(2)])</f>
        <v/>
      </c>
      <c r="V2077" s="11" t="str">
        <f>_xlfn.XLOOKUP(Customer[[#This Row],[Customer ID]],[1]!Address[ID],[1]!Address[Type])</f>
        <v>WALK IN</v>
      </c>
      <c r="W2077" s="11" t="str">
        <f>_xlfn.XLOOKUP(Customer[[#This Row],[Customer ID]],[1]!Address[ID],[1]!Address[CT])</f>
        <v/>
      </c>
      <c r="X2077" s="11"/>
      <c r="Y2077" s="17" t="s">
        <v>6284</v>
      </c>
      <c r="Z2077" s="17" t="e">
        <f>_xlfn.XLOOKUP(Customer[[#This Row],[NewType]],$AF$36:$AF$54,$AG$36:$AG$54)</f>
        <v>#N/A</v>
      </c>
      <c r="AA2077" s="17" t="s">
        <v>13016</v>
      </c>
      <c r="AB2077" s="11" t="str">
        <f>_xlfn.XLOOKUP(Customer[[#This Row],[Customer ID]],[1]!Address[ID],[1]!Address[Subtype])</f>
        <v>STAFF</v>
      </c>
      <c r="AC2077" s="18" t="str">
        <f>_xlfn.XLOOKUP(Customer[[#This Row],[Customer ID]],[1]!Address[ID],[1]!Address[Zone])</f>
        <v>CENTRAL</v>
      </c>
    </row>
    <row r="2078" spans="1:30" x14ac:dyDescent="0.3">
      <c r="A2078" s="48" t="s">
        <v>13017</v>
      </c>
      <c r="B2078" s="49" t="str">
        <f>_xlfn.XLOOKUP(Customer[[#This Row],[Customer ID]],[1]!Name[ID],[1]!Name[Description(1)])</f>
        <v>AULIYA RESOURCES</v>
      </c>
      <c r="C2078" s="11" t="str">
        <f>_xlfn.XLOOKUP(Customer[[#This Row],[Customer ID]],[1]!Name[ID],[1]!Name[Description(2)])</f>
        <v/>
      </c>
      <c r="D2078" s="11" t="str">
        <f>_xlfn.XLOOKUP(Customer[[#This Row],[Customer ID]],[1]!Address[ID],[1]!Address[PIC])</f>
        <v>PUAN ZANA</v>
      </c>
      <c r="E2078" s="11" t="str">
        <f>_xlfn.XLOOKUP(Customer[[#This Row],[Customer ID]],[1]!Address[ID],[1]!Address[Full Address])</f>
        <v>SAWADDIMART BUKIT PAYONG,LOT 12659 (3592-D) KG PADANG LEBAM,BUKIT PAYONG, TERENGGANU</v>
      </c>
      <c r="F2078" s="12" t="s">
        <v>13018</v>
      </c>
      <c r="G2078" s="12" t="s">
        <v>13019</v>
      </c>
      <c r="H2078" s="12" t="s">
        <v>13020</v>
      </c>
      <c r="I2078" s="12" t="b">
        <f>ISNUMBER(VALUE(LEFT(Customer[[#This Row],[Address Line 3 (30 char)]],1)))</f>
        <v>0</v>
      </c>
      <c r="J2078" s="12" t="s">
        <v>1056</v>
      </c>
      <c r="K2078" s="12">
        <v>21400</v>
      </c>
      <c r="L2078" s="12" t="s">
        <v>35</v>
      </c>
      <c r="M2078" s="13" t="e">
        <v>#N/A</v>
      </c>
      <c r="N2078" s="14" t="e">
        <v>#N/A</v>
      </c>
      <c r="O2078" s="14" t="e">
        <v>#N/A</v>
      </c>
      <c r="P2078" s="14" t="e">
        <v>#N/A</v>
      </c>
      <c r="Q2078" s="19" t="s">
        <v>13021</v>
      </c>
      <c r="R2078" s="15" t="s">
        <v>13022</v>
      </c>
      <c r="S2078" s="15" t="s">
        <v>3212</v>
      </c>
      <c r="T2078" s="16" t="s">
        <v>89</v>
      </c>
      <c r="U2078" s="11" t="str">
        <f>_xlfn.XLOOKUP(Customer[[#This Row],[Customer ID]],[1]!Address[ID],[1]!Address[Phone No.(2)])</f>
        <v/>
      </c>
      <c r="V2078" s="11" t="str">
        <f>_xlfn.XLOOKUP(Customer[[#This Row],[Customer ID]],[1]!Address[ID],[1]!Address[Type])</f>
        <v>SOCMED</v>
      </c>
      <c r="W2078" s="11" t="str">
        <f>_xlfn.XLOOKUP(Customer[[#This Row],[Customer ID]],[1]!Address[ID],[1]!Address[CT])</f>
        <v/>
      </c>
      <c r="X2078" s="11"/>
      <c r="Y2078" s="17" t="s">
        <v>90</v>
      </c>
      <c r="Z2078" s="17" t="e">
        <f>_xlfn.XLOOKUP(Customer[[#This Row],[NewType]],$AF$36:$AF$54,$AG$36:$AG$54)</f>
        <v>#N/A</v>
      </c>
      <c r="AA2078" s="17" t="s">
        <v>13023</v>
      </c>
      <c r="AB2078" s="11" t="str">
        <f>_xlfn.XLOOKUP(Customer[[#This Row],[Customer ID]],[1]!Address[ID],[1]!Address[Subtype])</f>
        <v>ONLINE HAJAR</v>
      </c>
      <c r="AC2078" s="18" t="str">
        <f>_xlfn.XLOOKUP(Customer[[#This Row],[Customer ID]],[1]!Address[ID],[1]!Address[Zone])</f>
        <v>EAST COAST</v>
      </c>
    </row>
    <row r="2079" spans="1:30" x14ac:dyDescent="0.3">
      <c r="A2079" s="10" t="s">
        <v>13024</v>
      </c>
      <c r="B2079" s="11" t="str">
        <f>_xlfn.XLOOKUP(Customer[[#This Row],[Customer ID]],[1]!Name[ID],[1]!Name[Description(1)])</f>
        <v>EEQARICH BEAUTY</v>
      </c>
      <c r="C2079" s="11" t="str">
        <f>_xlfn.XLOOKUP(Customer[[#This Row],[Customer ID]],[1]!Name[ID],[1]!Name[Description(2)])</f>
        <v/>
      </c>
      <c r="D2079" s="11" t="str">
        <f>_xlfn.XLOOKUP(Customer[[#This Row],[Customer ID]],[1]!Address[ID],[1]!Address[PIC])</f>
        <v>IKA FENDY</v>
      </c>
      <c r="E2079" s="11" t="str">
        <f>_xlfn.XLOOKUP(Customer[[#This Row],[Customer ID]],[1]!Address[ID],[1]!Address[Full Address])</f>
        <v>PT 7324 BLOK KEDAI TAMAN RAKYATJAYA 23000 DUNGUN TERENGGANU</v>
      </c>
      <c r="F2079" s="12" t="s">
        <v>13025</v>
      </c>
      <c r="G2079" s="12" t="s">
        <v>13026</v>
      </c>
      <c r="H2079" s="12" t="s">
        <v>1553</v>
      </c>
      <c r="I2079" s="12" t="b">
        <f>ISNUMBER(VALUE(LEFT(Customer[[#This Row],[Address Line 3 (30 char)]],1)))</f>
        <v>0</v>
      </c>
      <c r="J2079" s="12" t="s">
        <v>1056</v>
      </c>
      <c r="K2079" s="12">
        <v>23000</v>
      </c>
      <c r="L2079" s="12" t="s">
        <v>35</v>
      </c>
      <c r="M2079" s="13" t="e">
        <v>#N/A</v>
      </c>
      <c r="N2079" s="14" t="e">
        <v>#N/A</v>
      </c>
      <c r="O2079" s="14" t="e">
        <v>#N/A</v>
      </c>
      <c r="P2079" s="14" t="e">
        <v>#N/A</v>
      </c>
      <c r="Q2079" s="19" t="s">
        <v>13027</v>
      </c>
      <c r="R2079" s="15" t="s">
        <v>13028</v>
      </c>
      <c r="S2079" s="15" t="s">
        <v>88</v>
      </c>
      <c r="T2079" s="16" t="s">
        <v>89</v>
      </c>
      <c r="U2079" s="11" t="str">
        <f>_xlfn.XLOOKUP(Customer[[#This Row],[Customer ID]],[1]!Address[ID],[1]!Address[Phone No.(2)])</f>
        <v/>
      </c>
      <c r="V2079" s="11" t="str">
        <f>_xlfn.XLOOKUP(Customer[[#This Row],[Customer ID]],[1]!Address[ID],[1]!Address[Type])</f>
        <v>SOCMED</v>
      </c>
      <c r="W2079" s="11" t="str">
        <f>_xlfn.XLOOKUP(Customer[[#This Row],[Customer ID]],[1]!Address[ID],[1]!Address[CT])</f>
        <v/>
      </c>
      <c r="X2079" s="11"/>
      <c r="Y2079" s="17" t="s">
        <v>90</v>
      </c>
      <c r="Z2079" s="17" t="e">
        <f>_xlfn.XLOOKUP(Customer[[#This Row],[NewType]],$AF$36:$AF$54,$AG$36:$AG$54)</f>
        <v>#N/A</v>
      </c>
      <c r="AA2079" s="17" t="s">
        <v>13029</v>
      </c>
      <c r="AB2079" s="11" t="str">
        <f>_xlfn.XLOOKUP(Customer[[#This Row],[Customer ID]],[1]!Address[ID],[1]!Address[Subtype])</f>
        <v>ONLINE ROS</v>
      </c>
      <c r="AC2079" s="18" t="str">
        <f>_xlfn.XLOOKUP(Customer[[#This Row],[Customer ID]],[1]!Address[ID],[1]!Address[Zone])</f>
        <v>EAST COAST</v>
      </c>
    </row>
    <row r="2080" spans="1:30" x14ac:dyDescent="0.3">
      <c r="A2080" s="10" t="s">
        <v>13030</v>
      </c>
      <c r="B2080" s="11" t="str">
        <f>_xlfn.XLOOKUP(Customer[[#This Row],[Customer ID]],[1]!Name[ID],[1]!Name[Description(1)])</f>
        <v>NOR SAKILA BINTI ABDULLAH</v>
      </c>
      <c r="C2080" s="11" t="str">
        <f>_xlfn.XLOOKUP(Customer[[#This Row],[Customer ID]],[1]!Name[ID],[1]!Name[Description(2)])</f>
        <v/>
      </c>
      <c r="D2080" s="11" t="str">
        <f>_xlfn.XLOOKUP(Customer[[#This Row],[Customer ID]],[1]!Address[ID],[1]!Address[PIC])</f>
        <v>NOR SAKILA</v>
      </c>
      <c r="E2080" s="11" t="str">
        <f>_xlfn.XLOOKUP(Customer[[#This Row],[Customer ID]],[1]!Address[ID],[1]!Address[Full Address])</f>
        <v>NO.26, JALAN HARMONI 18,TAMAN HARMONI KAJANG, 43500 KAJANGSELANGOR</v>
      </c>
      <c r="F2080" s="12" t="s">
        <v>13031</v>
      </c>
      <c r="G2080" s="12" t="s">
        <v>13032</v>
      </c>
      <c r="H2080" s="12" t="s">
        <v>4134</v>
      </c>
      <c r="I2080" s="12" t="b">
        <f>ISNUMBER(VALUE(LEFT(Customer[[#This Row],[Address Line 3 (30 char)]],1)))</f>
        <v>0</v>
      </c>
      <c r="J2080" s="12" t="s">
        <v>1907</v>
      </c>
      <c r="K2080" s="12">
        <v>43500</v>
      </c>
      <c r="L2080" s="12" t="s">
        <v>35</v>
      </c>
      <c r="M2080" s="13" t="e">
        <v>#N/A</v>
      </c>
      <c r="N2080" s="14" t="e">
        <v>#N/A</v>
      </c>
      <c r="O2080" s="14" t="e">
        <v>#N/A</v>
      </c>
      <c r="P2080" s="14" t="e">
        <v>#N/A</v>
      </c>
      <c r="Q2080" s="19" t="s">
        <v>13033</v>
      </c>
      <c r="R2080" s="15" t="s">
        <v>13034</v>
      </c>
      <c r="S2080" s="15" t="s">
        <v>88</v>
      </c>
      <c r="T2080" s="16" t="s">
        <v>89</v>
      </c>
      <c r="U2080" s="11" t="str">
        <f>_xlfn.XLOOKUP(Customer[[#This Row],[Customer ID]],[1]!Address[ID],[1]!Address[Phone No.(2)])</f>
        <v/>
      </c>
      <c r="V2080" s="11" t="str">
        <f>_xlfn.XLOOKUP(Customer[[#This Row],[Customer ID]],[1]!Address[ID],[1]!Address[Type])</f>
        <v>SOCMED</v>
      </c>
      <c r="W2080" s="11" t="str">
        <f>_xlfn.XLOOKUP(Customer[[#This Row],[Customer ID]],[1]!Address[ID],[1]!Address[CT])</f>
        <v/>
      </c>
      <c r="X2080" s="11"/>
      <c r="Y2080" s="17" t="s">
        <v>90</v>
      </c>
      <c r="Z2080" s="17" t="e">
        <f>_xlfn.XLOOKUP(Customer[[#This Row],[NewType]],$AF$36:$AF$54,$AG$36:$AG$54)</f>
        <v>#N/A</v>
      </c>
      <c r="AA2080" s="17" t="s">
        <v>13035</v>
      </c>
      <c r="AB2080" s="11" t="str">
        <f>_xlfn.XLOOKUP(Customer[[#This Row],[Customer ID]],[1]!Address[ID],[1]!Address[Subtype])</f>
        <v>ONLINE ROS</v>
      </c>
      <c r="AC2080" s="18" t="str">
        <f>_xlfn.XLOOKUP(Customer[[#This Row],[Customer ID]],[1]!Address[ID],[1]!Address[Zone])</f>
        <v>CENTRAL</v>
      </c>
    </row>
    <row r="2081" spans="1:29" x14ac:dyDescent="0.3">
      <c r="A2081" s="10" t="s">
        <v>13036</v>
      </c>
      <c r="B2081" s="11" t="str">
        <f>_xlfn.XLOOKUP(Customer[[#This Row],[Customer ID]],[1]!Name[ID],[1]!Name[Description(1)])</f>
        <v>A.S.F.A ENTERPRISE</v>
      </c>
      <c r="C2081" s="11" t="str">
        <f>_xlfn.XLOOKUP(Customer[[#This Row],[Customer ID]],[1]!Name[ID],[1]!Name[Description(2)])</f>
        <v/>
      </c>
      <c r="D2081" s="11" t="str">
        <f>_xlfn.XLOOKUP(Customer[[#This Row],[Customer ID]],[1]!Address[ID],[1]!Address[PIC])</f>
        <v>SYAFFIE</v>
      </c>
      <c r="E2081" s="11" t="str">
        <f>_xlfn.XLOOKUP(Customer[[#This Row],[Customer ID]],[1]!Address[ID],[1]!Address[Full Address])</f>
        <v>PASAR TELUK BAHANG BR-1, JALANHASSAN ABBAS, TELUK BAHANG, 11050PULAU PINANG</v>
      </c>
      <c r="F2081" s="12" t="s">
        <v>13037</v>
      </c>
      <c r="G2081" s="12" t="s">
        <v>13038</v>
      </c>
      <c r="H2081" s="12"/>
      <c r="I2081" s="12" t="b">
        <f>ISNUMBER(VALUE(LEFT(Customer[[#This Row],[Address Line 3 (30 char)]],1)))</f>
        <v>0</v>
      </c>
      <c r="J2081" s="12" t="s">
        <v>179</v>
      </c>
      <c r="K2081" s="12">
        <v>11050</v>
      </c>
      <c r="L2081" s="12" t="s">
        <v>35</v>
      </c>
      <c r="M2081" s="13" t="e">
        <v>#N/A</v>
      </c>
      <c r="N2081" s="14" t="e">
        <v>#N/A</v>
      </c>
      <c r="O2081" s="14" t="e">
        <v>#N/A</v>
      </c>
      <c r="P2081" s="14" t="e">
        <v>#N/A</v>
      </c>
      <c r="Q2081" s="19" t="s">
        <v>13039</v>
      </c>
      <c r="R2081" s="15" t="s">
        <v>13040</v>
      </c>
      <c r="S2081" s="15" t="s">
        <v>88</v>
      </c>
      <c r="T2081" s="16" t="s">
        <v>89</v>
      </c>
      <c r="U2081" s="11" t="str">
        <f>_xlfn.XLOOKUP(Customer[[#This Row],[Customer ID]],[1]!Address[ID],[1]!Address[Phone No.(2)])</f>
        <v/>
      </c>
      <c r="V2081" s="11" t="str">
        <f>_xlfn.XLOOKUP(Customer[[#This Row],[Customer ID]],[1]!Address[ID],[1]!Address[Type])</f>
        <v>SOCMED</v>
      </c>
      <c r="W2081" s="11" t="str">
        <f>_xlfn.XLOOKUP(Customer[[#This Row],[Customer ID]],[1]!Address[ID],[1]!Address[CT])</f>
        <v/>
      </c>
      <c r="X2081" s="11"/>
      <c r="Y2081" s="17" t="s">
        <v>90</v>
      </c>
      <c r="Z2081" s="17" t="e">
        <f>_xlfn.XLOOKUP(Customer[[#This Row],[NewType]],$AF$36:$AF$54,$AG$36:$AG$54)</f>
        <v>#N/A</v>
      </c>
      <c r="AA2081" s="17" t="s">
        <v>13041</v>
      </c>
      <c r="AB2081" s="11" t="str">
        <f>_xlfn.XLOOKUP(Customer[[#This Row],[Customer ID]],[1]!Address[ID],[1]!Address[Subtype])</f>
        <v>ONLINE ROS</v>
      </c>
      <c r="AC2081" s="18" t="str">
        <f>_xlfn.XLOOKUP(Customer[[#This Row],[Customer ID]],[1]!Address[ID],[1]!Address[Zone])</f>
        <v>NORTH</v>
      </c>
    </row>
    <row r="2082" spans="1:29" x14ac:dyDescent="0.3">
      <c r="A2082" s="10" t="s">
        <v>13042</v>
      </c>
      <c r="B2082" s="11" t="str">
        <f>_xlfn.XLOOKUP(Customer[[#This Row],[Customer ID]],[1]!Name[ID],[1]!Name[Description(1)])</f>
        <v>RASED BIN MOHD ARIS</v>
      </c>
      <c r="C2082" s="11" t="str">
        <f>_xlfn.XLOOKUP(Customer[[#This Row],[Customer ID]],[1]!Name[ID],[1]!Name[Description(2)])</f>
        <v>(LOGISTIC)</v>
      </c>
      <c r="D2082" s="11" t="str">
        <f>_xlfn.XLOOKUP(Customer[[#This Row],[Customer ID]],[1]!Address[ID],[1]!Address[PIC])</f>
        <v>RASED</v>
      </c>
      <c r="E2082" s="11" t="str">
        <f>_xlfn.XLOOKUP(Customer[[#This Row],[Customer ID]],[1]!Address[ID],[1]!Address[Full Address])</f>
        <v>KAMPUNG KANCHONG 71200 RANTAUNEGERI SEMBILAN</v>
      </c>
      <c r="F2082" s="12" t="s">
        <v>13043</v>
      </c>
      <c r="G2082" s="12"/>
      <c r="H2082" s="12" t="s">
        <v>36</v>
      </c>
      <c r="I2082" s="12" t="b">
        <f>ISNUMBER(VALUE(LEFT(Customer[[#This Row],[Address Line 3 (30 char)]],1)))</f>
        <v>0</v>
      </c>
      <c r="J2082" s="12" t="s">
        <v>203</v>
      </c>
      <c r="K2082" s="12">
        <v>71200</v>
      </c>
      <c r="L2082" s="12" t="s">
        <v>35</v>
      </c>
      <c r="M2082" s="13" t="e">
        <v>#N/A</v>
      </c>
      <c r="N2082" s="14" t="e">
        <v>#N/A</v>
      </c>
      <c r="O2082" s="14" t="e">
        <v>#N/A</v>
      </c>
      <c r="P2082" s="14" t="e">
        <v>#N/A</v>
      </c>
      <c r="Q2082" s="19" t="s">
        <v>13044</v>
      </c>
      <c r="R2082" s="15" t="s">
        <v>13045</v>
      </c>
      <c r="S2082" s="16" t="s">
        <v>89</v>
      </c>
      <c r="T2082" s="16" t="s">
        <v>89</v>
      </c>
      <c r="U2082" s="11" t="str">
        <f>_xlfn.XLOOKUP(Customer[[#This Row],[Customer ID]],[1]!Address[ID],[1]!Address[Phone No.(2)])</f>
        <v/>
      </c>
      <c r="V2082" s="11" t="str">
        <f>_xlfn.XLOOKUP(Customer[[#This Row],[Customer ID]],[1]!Address[ID],[1]!Address[Type])</f>
        <v>WALK IN</v>
      </c>
      <c r="W2082" s="11" t="str">
        <f>_xlfn.XLOOKUP(Customer[[#This Row],[Customer ID]],[1]!Address[ID],[1]!Address[CT])</f>
        <v/>
      </c>
      <c r="X2082" s="11"/>
      <c r="Y2082" s="17" t="s">
        <v>6284</v>
      </c>
      <c r="Z2082" s="17" t="e">
        <f>_xlfn.XLOOKUP(Customer[[#This Row],[NewType]],$AF$36:$AF$54,$AG$36:$AG$54)</f>
        <v>#N/A</v>
      </c>
      <c r="AA2082" s="17" t="s">
        <v>13046</v>
      </c>
      <c r="AB2082" s="11" t="str">
        <f>_xlfn.XLOOKUP(Customer[[#This Row],[Customer ID]],[1]!Address[ID],[1]!Address[Subtype])</f>
        <v>STAFF</v>
      </c>
      <c r="AC2082" s="18" t="str">
        <f>_xlfn.XLOOKUP(Customer[[#This Row],[Customer ID]],[1]!Address[ID],[1]!Address[Zone])</f>
        <v>CENTRAL</v>
      </c>
    </row>
    <row r="2083" spans="1:29" x14ac:dyDescent="0.3">
      <c r="A2083" s="10" t="s">
        <v>13047</v>
      </c>
      <c r="B2083" s="11" t="str">
        <f>_xlfn.XLOOKUP(Customer[[#This Row],[Customer ID]],[1]!Name[ID],[1]!Name[Description(1)])</f>
        <v>ZULKIFLEE B HASHIM</v>
      </c>
      <c r="C2083" s="11" t="str">
        <f>_xlfn.XLOOKUP(Customer[[#This Row],[Customer ID]],[1]!Name[ID],[1]!Name[Description(2)])</f>
        <v/>
      </c>
      <c r="D2083" s="11" t="str">
        <f>_xlfn.XLOOKUP(Customer[[#This Row],[Customer ID]],[1]!Address[ID],[1]!Address[PIC])</f>
        <v>ZULKIFLEE</v>
      </c>
      <c r="E2083" s="11" t="str">
        <f>_xlfn.XLOOKUP(Customer[[#This Row],[Customer ID]],[1]!Address[ID],[1]!Address[Full Address])</f>
        <v>KG SELIAU TENGAH, LORONG KERAMAT71200 RANTAU, NEGERI SEMBILAN</v>
      </c>
      <c r="F2083" s="12" t="s">
        <v>13048</v>
      </c>
      <c r="G2083" s="12" t="s">
        <v>13049</v>
      </c>
      <c r="H2083" s="12" t="s">
        <v>6428</v>
      </c>
      <c r="I2083" s="12" t="b">
        <f>ISNUMBER(VALUE(LEFT(Customer[[#This Row],[Address Line 3 (30 char)]],1)))</f>
        <v>0</v>
      </c>
      <c r="J2083" s="12" t="s">
        <v>203</v>
      </c>
      <c r="K2083" s="12">
        <v>71200</v>
      </c>
      <c r="L2083" s="12" t="s">
        <v>35</v>
      </c>
      <c r="M2083" s="13" t="e">
        <v>#N/A</v>
      </c>
      <c r="N2083" s="14" t="e">
        <v>#N/A</v>
      </c>
      <c r="O2083" s="14" t="e">
        <v>#N/A</v>
      </c>
      <c r="P2083" s="14" t="e">
        <v>#N/A</v>
      </c>
      <c r="Q2083" s="19" t="s">
        <v>13050</v>
      </c>
      <c r="R2083" s="15" t="s">
        <v>13051</v>
      </c>
      <c r="S2083" s="16" t="s">
        <v>89</v>
      </c>
      <c r="T2083" s="16" t="s">
        <v>89</v>
      </c>
      <c r="U2083" s="11" t="str">
        <f>_xlfn.XLOOKUP(Customer[[#This Row],[Customer ID]],[1]!Address[ID],[1]!Address[Phone No.(2)])</f>
        <v/>
      </c>
      <c r="V2083" s="11" t="str">
        <f>_xlfn.XLOOKUP(Customer[[#This Row],[Customer ID]],[1]!Address[ID],[1]!Address[Type])</f>
        <v>WALK IN</v>
      </c>
      <c r="W2083" s="11" t="str">
        <f>_xlfn.XLOOKUP(Customer[[#This Row],[Customer ID]],[1]!Address[ID],[1]!Address[CT])</f>
        <v/>
      </c>
      <c r="X2083" s="11"/>
      <c r="Y2083" s="17" t="s">
        <v>6284</v>
      </c>
      <c r="Z2083" s="17" t="e">
        <f>_xlfn.XLOOKUP(Customer[[#This Row],[NewType]],$AF$36:$AF$54,$AG$36:$AG$54)</f>
        <v>#N/A</v>
      </c>
      <c r="AA2083" s="17" t="s">
        <v>13052</v>
      </c>
      <c r="AB2083" s="11" t="str">
        <f>_xlfn.XLOOKUP(Customer[[#This Row],[Customer ID]],[1]!Address[ID],[1]!Address[Subtype])</f>
        <v>STAFF</v>
      </c>
      <c r="AC2083" s="18" t="str">
        <f>_xlfn.XLOOKUP(Customer[[#This Row],[Customer ID]],[1]!Address[ID],[1]!Address[Zone])</f>
        <v>CENTRAL</v>
      </c>
    </row>
    <row r="2084" spans="1:29" x14ac:dyDescent="0.3">
      <c r="A2084" s="10" t="s">
        <v>13053</v>
      </c>
      <c r="B2084" s="11" t="str">
        <f>_xlfn.XLOOKUP(Customer[[#This Row],[Customer ID]],[1]!Name[ID],[1]!Name[Description(1)])</f>
        <v>YUSRINA ZAKIRAH BINTI YUSOFF ZAKI</v>
      </c>
      <c r="C2084" s="11" t="str">
        <f>_xlfn.XLOOKUP(Customer[[#This Row],[Customer ID]],[1]!Name[ID],[1]!Name[Description(2)])</f>
        <v/>
      </c>
      <c r="D2084" s="11" t="str">
        <f>_xlfn.XLOOKUP(Customer[[#This Row],[Customer ID]],[1]!Address[ID],[1]!Address[PIC])</f>
        <v>YUSRINA</v>
      </c>
      <c r="E2084" s="11" t="str">
        <f>_xlfn.XLOOKUP(Customer[[#This Row],[Customer ID]],[1]!Address[ID],[1]!Address[Full Address])</f>
        <v>PT 15544 TAMAN TAJIN SEJAHTERA21700 KUALA BERANG, TERENGGANU</v>
      </c>
      <c r="F2084" s="12" t="s">
        <v>13054</v>
      </c>
      <c r="G2084" s="12" t="s">
        <v>13055</v>
      </c>
      <c r="H2084" s="12" t="s">
        <v>36</v>
      </c>
      <c r="I2084" s="12" t="b">
        <f>ISNUMBER(VALUE(LEFT(Customer[[#This Row],[Address Line 3 (30 char)]],1)))</f>
        <v>0</v>
      </c>
      <c r="J2084" s="12" t="s">
        <v>1056</v>
      </c>
      <c r="K2084" s="12">
        <v>21700</v>
      </c>
      <c r="L2084" s="12" t="s">
        <v>35</v>
      </c>
      <c r="M2084" s="13" t="e">
        <v>#N/A</v>
      </c>
      <c r="N2084" s="14" t="e">
        <v>#N/A</v>
      </c>
      <c r="O2084" s="14" t="e">
        <v>#N/A</v>
      </c>
      <c r="P2084" s="14" t="e">
        <v>#N/A</v>
      </c>
      <c r="Q2084" s="19" t="s">
        <v>13056</v>
      </c>
      <c r="R2084" s="15" t="s">
        <v>13057</v>
      </c>
      <c r="S2084" s="16" t="s">
        <v>89</v>
      </c>
      <c r="T2084" s="16" t="s">
        <v>89</v>
      </c>
      <c r="U2084" s="11" t="str">
        <f>_xlfn.XLOOKUP(Customer[[#This Row],[Customer ID]],[1]!Address[ID],[1]!Address[Phone No.(2)])</f>
        <v/>
      </c>
      <c r="V2084" s="11" t="str">
        <f>_xlfn.XLOOKUP(Customer[[#This Row],[Customer ID]],[1]!Address[ID],[1]!Address[Type])</f>
        <v>WALK IN</v>
      </c>
      <c r="W2084" s="11" t="str">
        <f>_xlfn.XLOOKUP(Customer[[#This Row],[Customer ID]],[1]!Address[ID],[1]!Address[CT])</f>
        <v/>
      </c>
      <c r="X2084" s="11"/>
      <c r="Y2084" s="17" t="s">
        <v>6284</v>
      </c>
      <c r="Z2084" s="17" t="e">
        <f>_xlfn.XLOOKUP(Customer[[#This Row],[NewType]],$AF$36:$AF$54,$AG$36:$AG$54)</f>
        <v>#N/A</v>
      </c>
      <c r="AA2084" s="17" t="s">
        <v>13058</v>
      </c>
      <c r="AB2084" s="11" t="str">
        <f>_xlfn.XLOOKUP(Customer[[#This Row],[Customer ID]],[1]!Address[ID],[1]!Address[Subtype])</f>
        <v>PEDAS</v>
      </c>
      <c r="AC2084" s="18" t="str">
        <f>_xlfn.XLOOKUP(Customer[[#This Row],[Customer ID]],[1]!Address[ID],[1]!Address[Zone])</f>
        <v>EAST COAST</v>
      </c>
    </row>
    <row r="2085" spans="1:29" x14ac:dyDescent="0.3">
      <c r="A2085" s="10" t="s">
        <v>13059</v>
      </c>
      <c r="B2085" s="11" t="str">
        <f>_xlfn.XLOOKUP(Customer[[#This Row],[Customer ID]],[1]!Name[ID],[1]!Name[Description(1)])</f>
        <v>NUR NASHITAH BINTI AHMAD MUHAIMIN</v>
      </c>
      <c r="C2085" s="11" t="str">
        <f>_xlfn.XLOOKUP(Customer[[#This Row],[Customer ID]],[1]!Name[ID],[1]!Name[Description(2)])</f>
        <v>(FINANCE)</v>
      </c>
      <c r="D2085" s="11" t="str">
        <f>_xlfn.XLOOKUP(Customer[[#This Row],[Customer ID]],[1]!Address[ID],[1]!Address[PIC])</f>
        <v>NASHITAH</v>
      </c>
      <c r="E2085" s="11" t="str">
        <f>_xlfn.XLOOKUP(Customer[[#This Row],[Customer ID]],[1]!Address[ID],[1]!Address[Full Address])</f>
        <v>NO.54, JAlAN TME4, TAMAN MAWAR EHSAN71400 PEDAS, NEGERI SEMBILAN</v>
      </c>
      <c r="F2085" s="12" t="s">
        <v>13060</v>
      </c>
      <c r="G2085" s="12" t="s">
        <v>11976</v>
      </c>
      <c r="H2085" s="12" t="s">
        <v>8914</v>
      </c>
      <c r="I2085" s="12" t="b">
        <f>ISNUMBER(VALUE(LEFT(Customer[[#This Row],[Address Line 3 (30 char)]],1)))</f>
        <v>0</v>
      </c>
      <c r="J2085" s="12" t="s">
        <v>203</v>
      </c>
      <c r="K2085" s="12">
        <v>71400</v>
      </c>
      <c r="L2085" s="12" t="s">
        <v>35</v>
      </c>
      <c r="M2085" s="13" t="e">
        <v>#N/A</v>
      </c>
      <c r="N2085" s="14" t="s">
        <v>13061</v>
      </c>
      <c r="O2085" s="14" t="e">
        <v>#N/A</v>
      </c>
      <c r="P2085" s="14" t="e">
        <v>#N/A</v>
      </c>
      <c r="Q2085" s="19" t="s">
        <v>13062</v>
      </c>
      <c r="R2085" s="15" t="s">
        <v>13063</v>
      </c>
      <c r="S2085" s="16" t="s">
        <v>89</v>
      </c>
      <c r="T2085" s="16" t="s">
        <v>89</v>
      </c>
      <c r="U2085" s="11" t="str">
        <f>_xlfn.XLOOKUP(Customer[[#This Row],[Customer ID]],[1]!Address[ID],[1]!Address[Phone No.(2)])</f>
        <v/>
      </c>
      <c r="V2085" s="11" t="str">
        <f>_xlfn.XLOOKUP(Customer[[#This Row],[Customer ID]],[1]!Address[ID],[1]!Address[Type])</f>
        <v>WALK IN</v>
      </c>
      <c r="W2085" s="11" t="str">
        <f>_xlfn.XLOOKUP(Customer[[#This Row],[Customer ID]],[1]!Address[ID],[1]!Address[CT])</f>
        <v/>
      </c>
      <c r="X2085" s="11"/>
      <c r="Y2085" s="17" t="s">
        <v>6284</v>
      </c>
      <c r="Z2085" s="17" t="e">
        <f>_xlfn.XLOOKUP(Customer[[#This Row],[NewType]],$AF$36:$AF$54,$AG$36:$AG$54)</f>
        <v>#N/A</v>
      </c>
      <c r="AA2085" s="17" t="s">
        <v>13064</v>
      </c>
      <c r="AB2085" s="11" t="str">
        <f>_xlfn.XLOOKUP(Customer[[#This Row],[Customer ID]],[1]!Address[ID],[1]!Address[Subtype])</f>
        <v>STAFF</v>
      </c>
      <c r="AC2085" s="18" t="str">
        <f>_xlfn.XLOOKUP(Customer[[#This Row],[Customer ID]],[1]!Address[ID],[1]!Address[Zone])</f>
        <v>CENTRAL</v>
      </c>
    </row>
    <row r="2086" spans="1:29" x14ac:dyDescent="0.3">
      <c r="A2086" s="10" t="s">
        <v>13065</v>
      </c>
      <c r="B2086" s="11" t="str">
        <f>_xlfn.XLOOKUP(Customer[[#This Row],[Customer ID]],[1]!Name[ID],[1]!Name[Description(1)])</f>
        <v>AHMAD HAFIZ BIN SAMSUDIN</v>
      </c>
      <c r="C2086" s="11" t="str">
        <f>_xlfn.XLOOKUP(Customer[[#This Row],[Customer ID]],[1]!Name[ID],[1]!Name[Description(2)])</f>
        <v/>
      </c>
      <c r="D2086" s="11" t="str">
        <f>_xlfn.XLOOKUP(Customer[[#This Row],[Customer ID]],[1]!Address[ID],[1]!Address[PIC])</f>
        <v>AHMAD HAFIZ</v>
      </c>
      <c r="E2086" s="11" t="str">
        <f>_xlfn.XLOOKUP(Customer[[#This Row],[Customer ID]],[1]!Address[ID],[1]!Address[Full Address])</f>
        <v>A-01-08 SURIA JELUTONG 1,JALAN BAZAR U8/99 BUKIT JELUTONG,40150 SHAH ALAM, SELANGOR</v>
      </c>
      <c r="F2086" s="12" t="s">
        <v>13066</v>
      </c>
      <c r="G2086" s="12" t="s">
        <v>13067</v>
      </c>
      <c r="H2086" s="12" t="s">
        <v>13068</v>
      </c>
      <c r="I2086" s="12" t="b">
        <f>ISNUMBER(VALUE(LEFT(Customer[[#This Row],[Address Line 3 (30 char)]],1)))</f>
        <v>0</v>
      </c>
      <c r="J2086" s="12" t="s">
        <v>1907</v>
      </c>
      <c r="K2086" s="12">
        <v>40150</v>
      </c>
      <c r="L2086" s="12" t="s">
        <v>35</v>
      </c>
      <c r="M2086" s="13" t="e">
        <v>#N/A</v>
      </c>
      <c r="N2086" s="14" t="e">
        <v>#N/A</v>
      </c>
      <c r="O2086" s="14" t="e">
        <v>#N/A</v>
      </c>
      <c r="P2086" s="14" t="e">
        <v>#N/A</v>
      </c>
      <c r="Q2086" s="19" t="s">
        <v>13069</v>
      </c>
      <c r="R2086" s="15" t="s">
        <v>13070</v>
      </c>
      <c r="S2086" s="16" t="s">
        <v>89</v>
      </c>
      <c r="T2086" s="16" t="s">
        <v>89</v>
      </c>
      <c r="U2086" s="11" t="str">
        <f>_xlfn.XLOOKUP(Customer[[#This Row],[Customer ID]],[1]!Address[ID],[1]!Address[Phone No.(2)])</f>
        <v/>
      </c>
      <c r="V2086" s="11" t="str">
        <f>_xlfn.XLOOKUP(Customer[[#This Row],[Customer ID]],[1]!Address[ID],[1]!Address[Type])</f>
        <v>WALK IN</v>
      </c>
      <c r="W2086" s="11" t="str">
        <f>_xlfn.XLOOKUP(Customer[[#This Row],[Customer ID]],[1]!Address[ID],[1]!Address[CT])</f>
        <v/>
      </c>
      <c r="X2086" s="11"/>
      <c r="Y2086" s="17" t="s">
        <v>6284</v>
      </c>
      <c r="Z2086" s="17" t="e">
        <f>_xlfn.XLOOKUP(Customer[[#This Row],[NewType]],$AF$36:$AF$54,$AG$36:$AG$54)</f>
        <v>#N/A</v>
      </c>
      <c r="AA2086" s="17" t="s">
        <v>13071</v>
      </c>
      <c r="AB2086" s="11" t="str">
        <f>_xlfn.XLOOKUP(Customer[[#This Row],[Customer ID]],[1]!Address[ID],[1]!Address[Subtype])</f>
        <v>PEDAS</v>
      </c>
      <c r="AC2086" s="18" t="str">
        <f>_xlfn.XLOOKUP(Customer[[#This Row],[Customer ID]],[1]!Address[ID],[1]!Address[Zone])</f>
        <v>SLUTH</v>
      </c>
    </row>
    <row r="2087" spans="1:29" x14ac:dyDescent="0.3">
      <c r="A2087" s="48" t="s">
        <v>13072</v>
      </c>
      <c r="B2087" s="49" t="str">
        <f>_xlfn.XLOOKUP(Customer[[#This Row],[Customer ID]],[1]!Name[ID],[1]!Name[Description(1)])</f>
        <v>FARMASI RESTU UTAMA</v>
      </c>
      <c r="C2087" s="11" t="str">
        <f>_xlfn.XLOOKUP(Customer[[#This Row],[Customer ID]],[1]!Name[ID],[1]!Name[Description(2)])</f>
        <v/>
      </c>
      <c r="D2087" s="11" t="str">
        <f>_xlfn.XLOOKUP(Customer[[#This Row],[Customer ID]],[1]!Address[ID],[1]!Address[PIC])</f>
        <v/>
      </c>
      <c r="E2087" s="11" t="str">
        <f>_xlfn.XLOOKUP(Customer[[#This Row],[Customer ID]],[1]!Address[ID],[1]!Address[Full Address])</f>
        <v>NO 10 TAMAN BANDAR BARU,06400 POKOK SENA, KEDAH</v>
      </c>
      <c r="F2087" s="12" t="s">
        <v>13073</v>
      </c>
      <c r="G2087" s="12" t="s">
        <v>7948</v>
      </c>
      <c r="H2087" s="12" t="s">
        <v>36</v>
      </c>
      <c r="I2087" s="12" t="b">
        <f>ISNUMBER(VALUE(LEFT(Customer[[#This Row],[Address Line 3 (30 char)]],1)))</f>
        <v>0</v>
      </c>
      <c r="J2087" s="12" t="s">
        <v>355</v>
      </c>
      <c r="K2087" s="30" t="s">
        <v>7949</v>
      </c>
      <c r="L2087" s="12" t="s">
        <v>35</v>
      </c>
      <c r="M2087" s="13" t="e">
        <v>#N/A</v>
      </c>
      <c r="N2087" s="14" t="e">
        <v>#N/A</v>
      </c>
      <c r="O2087" s="14" t="e">
        <v>#N/A</v>
      </c>
      <c r="P2087" s="14" t="e">
        <v>#N/A</v>
      </c>
      <c r="Q2087" s="14" t="e">
        <v>#N/A</v>
      </c>
      <c r="R2087" s="15" t="s">
        <v>13074</v>
      </c>
      <c r="S2087" s="15" t="s">
        <v>3212</v>
      </c>
      <c r="T2087" s="16" t="s">
        <v>89</v>
      </c>
      <c r="U2087" s="11" t="str">
        <f>_xlfn.XLOOKUP(Customer[[#This Row],[Customer ID]],[1]!Address[ID],[1]!Address[Phone No.(2)])</f>
        <v/>
      </c>
      <c r="V2087" s="11" t="str">
        <f>_xlfn.XLOOKUP(Customer[[#This Row],[Customer ID]],[1]!Address[ID],[1]!Address[Type])</f>
        <v>SOCMED</v>
      </c>
      <c r="W2087" s="11" t="str">
        <f>_xlfn.XLOOKUP(Customer[[#This Row],[Customer ID]],[1]!Address[ID],[1]!Address[CT])</f>
        <v/>
      </c>
      <c r="X2087" s="11"/>
      <c r="Y2087" s="17" t="s">
        <v>90</v>
      </c>
      <c r="Z2087" s="17" t="e">
        <f>_xlfn.XLOOKUP(Customer[[#This Row],[NewType]],$AF$36:$AF$54,$AG$36:$AG$54)</f>
        <v>#N/A</v>
      </c>
      <c r="AA2087" s="17" t="s">
        <v>13075</v>
      </c>
      <c r="AB2087" s="11" t="str">
        <f>_xlfn.XLOOKUP(Customer[[#This Row],[Customer ID]],[1]!Address[ID],[1]!Address[Subtype])</f>
        <v>ONLINE HAJAR</v>
      </c>
      <c r="AC2087" s="18" t="str">
        <f>_xlfn.XLOOKUP(Customer[[#This Row],[Customer ID]],[1]!Address[ID],[1]!Address[Zone])</f>
        <v>NORTH</v>
      </c>
    </row>
    <row r="2088" spans="1:29" x14ac:dyDescent="0.3">
      <c r="A2088" s="48" t="s">
        <v>13076</v>
      </c>
      <c r="B2088" s="49" t="str">
        <f>_xlfn.XLOOKUP(Customer[[#This Row],[Customer ID]],[1]!Name[ID],[1]!Name[Description(1)])</f>
        <v>MNZ PHARMACY</v>
      </c>
      <c r="C2088" s="11" t="str">
        <f>_xlfn.XLOOKUP(Customer[[#This Row],[Customer ID]],[1]!Name[ID],[1]!Name[Description(2)])</f>
        <v/>
      </c>
      <c r="D2088" s="11" t="str">
        <f>_xlfn.XLOOKUP(Customer[[#This Row],[Customer ID]],[1]!Address[ID],[1]!Address[PIC])</f>
        <v/>
      </c>
      <c r="E2088" s="11" t="str">
        <f>_xlfn.XLOOKUP(Customer[[#This Row],[Customer ID]],[1]!Address[ID],[1]!Address[Full Address])</f>
        <v>4A JLN AROWANA TMN AROWANA06150 AIR HITAM, KEDAH</v>
      </c>
      <c r="F2088" s="12" t="s">
        <v>13077</v>
      </c>
      <c r="G2088" s="12" t="s">
        <v>13078</v>
      </c>
      <c r="H2088" s="12" t="s">
        <v>36</v>
      </c>
      <c r="I2088" s="12" t="b">
        <f>ISNUMBER(VALUE(LEFT(Customer[[#This Row],[Address Line 3 (30 char)]],1)))</f>
        <v>0</v>
      </c>
      <c r="J2088" s="12" t="s">
        <v>355</v>
      </c>
      <c r="K2088" s="30" t="s">
        <v>80</v>
      </c>
      <c r="L2088" s="12" t="s">
        <v>35</v>
      </c>
      <c r="M2088" s="13" t="e">
        <v>#N/A</v>
      </c>
      <c r="N2088" s="14" t="e">
        <v>#N/A</v>
      </c>
      <c r="O2088" s="14" t="e">
        <v>#N/A</v>
      </c>
      <c r="P2088" s="14" t="e">
        <v>#N/A</v>
      </c>
      <c r="Q2088" s="14" t="e">
        <v>#N/A</v>
      </c>
      <c r="R2088" s="15" t="s">
        <v>13079</v>
      </c>
      <c r="S2088" s="15" t="s">
        <v>3212</v>
      </c>
      <c r="T2088" s="16" t="s">
        <v>89</v>
      </c>
      <c r="U2088" s="11" t="str">
        <f>_xlfn.XLOOKUP(Customer[[#This Row],[Customer ID]],[1]!Address[ID],[1]!Address[Phone No.(2)])</f>
        <v/>
      </c>
      <c r="V2088" s="11" t="str">
        <f>_xlfn.XLOOKUP(Customer[[#This Row],[Customer ID]],[1]!Address[ID],[1]!Address[Type])</f>
        <v>SOCMED</v>
      </c>
      <c r="W2088" s="11" t="str">
        <f>_xlfn.XLOOKUP(Customer[[#This Row],[Customer ID]],[1]!Address[ID],[1]!Address[CT])</f>
        <v/>
      </c>
      <c r="X2088" s="11"/>
      <c r="Y2088" s="17" t="s">
        <v>90</v>
      </c>
      <c r="Z2088" s="17" t="e">
        <f>_xlfn.XLOOKUP(Customer[[#This Row],[NewType]],$AF$36:$AF$54,$AG$36:$AG$54)</f>
        <v>#N/A</v>
      </c>
      <c r="AA2088" s="17" t="s">
        <v>13080</v>
      </c>
      <c r="AB2088" s="11" t="str">
        <f>_xlfn.XLOOKUP(Customer[[#This Row],[Customer ID]],[1]!Address[ID],[1]!Address[Subtype])</f>
        <v>ONLINE HAJAR</v>
      </c>
      <c r="AC2088" s="18" t="str">
        <f>_xlfn.XLOOKUP(Customer[[#This Row],[Customer ID]],[1]!Address[ID],[1]!Address[Zone])</f>
        <v>NORTH</v>
      </c>
    </row>
    <row r="2089" spans="1:29" x14ac:dyDescent="0.3">
      <c r="A2089" s="10" t="s">
        <v>13081</v>
      </c>
      <c r="B2089" s="11" t="str">
        <f>_xlfn.XLOOKUP(Customer[[#This Row],[Customer ID]],[1]!Name[ID],[1]!Name[Description(1)])</f>
        <v>ISMAIZAYU ISMAIL</v>
      </c>
      <c r="C2089" s="11" t="str">
        <f>_xlfn.XLOOKUP(Customer[[#This Row],[Customer ID]],[1]!Name[ID],[1]!Name[Description(2)])</f>
        <v/>
      </c>
      <c r="D2089" s="11" t="str">
        <f>_xlfn.XLOOKUP(Customer[[#This Row],[Customer ID]],[1]!Address[ID],[1]!Address[PIC])</f>
        <v>ISMAIZAYU</v>
      </c>
      <c r="E2089" s="11" t="str">
        <f>_xlfn.XLOOKUP(Customer[[#This Row],[Customer ID]],[1]!Address[ID],[1]!Address[Full Address])</f>
        <v>NO 16,JALAN SUTERA 3/2,FASA 3,TAMAN SUTERA 43000 KAJANG SELANGOR</v>
      </c>
      <c r="F2089" s="12" t="s">
        <v>13082</v>
      </c>
      <c r="G2089" s="12" t="s">
        <v>13083</v>
      </c>
      <c r="H2089" s="12" t="s">
        <v>4134</v>
      </c>
      <c r="I2089" s="12" t="b">
        <f>ISNUMBER(VALUE(LEFT(Customer[[#This Row],[Address Line 3 (30 char)]],1)))</f>
        <v>0</v>
      </c>
      <c r="J2089" s="12" t="s">
        <v>172</v>
      </c>
      <c r="K2089" s="12">
        <v>43000</v>
      </c>
      <c r="L2089" s="12" t="s">
        <v>35</v>
      </c>
      <c r="M2089" s="13" t="e">
        <v>#N/A</v>
      </c>
      <c r="N2089" s="14" t="e">
        <v>#N/A</v>
      </c>
      <c r="O2089" s="14" t="e">
        <v>#N/A</v>
      </c>
      <c r="P2089" s="14" t="e">
        <v>#N/A</v>
      </c>
      <c r="Q2089" s="21" t="s">
        <v>13084</v>
      </c>
      <c r="R2089" s="15" t="s">
        <v>13085</v>
      </c>
      <c r="S2089" s="15" t="s">
        <v>88</v>
      </c>
      <c r="T2089" s="16" t="s">
        <v>89</v>
      </c>
      <c r="U2089" s="11" t="str">
        <f>_xlfn.XLOOKUP(Customer[[#This Row],[Customer ID]],[1]!Address[ID],[1]!Address[Phone No.(2)])</f>
        <v/>
      </c>
      <c r="V2089" s="11" t="str">
        <f>_xlfn.XLOOKUP(Customer[[#This Row],[Customer ID]],[1]!Address[ID],[1]!Address[Type])</f>
        <v>SOCMED</v>
      </c>
      <c r="W2089" s="11" t="str">
        <f>_xlfn.XLOOKUP(Customer[[#This Row],[Customer ID]],[1]!Address[ID],[1]!Address[CT])</f>
        <v/>
      </c>
      <c r="X2089" s="11"/>
      <c r="Y2089" s="17" t="s">
        <v>90</v>
      </c>
      <c r="Z2089" s="17" t="e">
        <f>_xlfn.XLOOKUP(Customer[[#This Row],[NewType]],$AF$36:$AF$54,$AG$36:$AG$54)</f>
        <v>#N/A</v>
      </c>
      <c r="AA2089" s="17" t="s">
        <v>13086</v>
      </c>
      <c r="AB2089" s="11" t="str">
        <f>_xlfn.XLOOKUP(Customer[[#This Row],[Customer ID]],[1]!Address[ID],[1]!Address[Subtype])</f>
        <v>ONLINE ROS</v>
      </c>
      <c r="AC2089" s="18" t="str">
        <f>_xlfn.XLOOKUP(Customer[[#This Row],[Customer ID]],[1]!Address[ID],[1]!Address[Zone])</f>
        <v xml:space="preserve"> AEDH</v>
      </c>
    </row>
    <row r="2090" spans="1:29" x14ac:dyDescent="0.3">
      <c r="A2090" s="10" t="s">
        <v>13087</v>
      </c>
      <c r="B2090" s="11" t="str">
        <f>_xlfn.XLOOKUP(Customer[[#This Row],[Customer ID]],[1]!Name[ID],[1]!Name[Description(1)])</f>
        <v>SITI NORAZIERAH BINTI NORDIN</v>
      </c>
      <c r="C2090" s="11" t="str">
        <f>_xlfn.XLOOKUP(Customer[[#This Row],[Customer ID]],[1]!Name[ID],[1]!Name[Description(2)])</f>
        <v>(KILANG BOTOL)</v>
      </c>
      <c r="D2090" s="11" t="str">
        <f>_xlfn.XLOOKUP(Customer[[#This Row],[Customer ID]],[1]!Address[ID],[1]!Address[PIC])</f>
        <v>ZIERAH</v>
      </c>
      <c r="E2090" s="11" t="str">
        <f>_xlfn.XLOOKUP(Customer[[#This Row],[Customer ID]],[1]!Address[ID],[1]!Address[Full Address])</f>
        <v>NO 94 JALAN MERANTI,KUNDUR HILIR,71400 PEDAS,NEGERI SEMBILAN DARUL KHUSUS</v>
      </c>
      <c r="F2090" s="12" t="s">
        <v>13088</v>
      </c>
      <c r="G2090" s="12" t="s">
        <v>13089</v>
      </c>
      <c r="H2090" s="12"/>
      <c r="I2090" s="12" t="b">
        <f>ISNUMBER(VALUE(LEFT(Customer[[#This Row],[Address Line 3 (30 char)]],1)))</f>
        <v>0</v>
      </c>
      <c r="J2090" s="12" t="s">
        <v>203</v>
      </c>
      <c r="K2090" s="12">
        <v>71400</v>
      </c>
      <c r="L2090" s="12" t="s">
        <v>35</v>
      </c>
      <c r="M2090" s="13" t="e">
        <v>#N/A</v>
      </c>
      <c r="N2090" s="14" t="e">
        <v>#N/A</v>
      </c>
      <c r="O2090" s="14" t="e">
        <v>#N/A</v>
      </c>
      <c r="P2090" s="14" t="e">
        <v>#N/A</v>
      </c>
      <c r="Q2090" s="19" t="s">
        <v>13090</v>
      </c>
      <c r="R2090" s="15" t="s">
        <v>13091</v>
      </c>
      <c r="S2090" s="16" t="s">
        <v>89</v>
      </c>
      <c r="T2090" s="16" t="s">
        <v>89</v>
      </c>
      <c r="U2090" s="11" t="str">
        <f>_xlfn.XLOOKUP(Customer[[#This Row],[Customer ID]],[1]!Address[ID],[1]!Address[Phone No.(2)])</f>
        <v/>
      </c>
      <c r="V2090" s="11" t="str">
        <f>_xlfn.XLOOKUP(Customer[[#This Row],[Customer ID]],[1]!Address[ID],[1]!Address[Type])</f>
        <v>WALK IN</v>
      </c>
      <c r="W2090" s="11" t="str">
        <f>_xlfn.XLOOKUP(Customer[[#This Row],[Customer ID]],[1]!Address[ID],[1]!Address[CT])</f>
        <v/>
      </c>
      <c r="X2090" s="11"/>
      <c r="Y2090" s="17" t="s">
        <v>6284</v>
      </c>
      <c r="Z2090" s="17" t="e">
        <f>_xlfn.XLOOKUP(Customer[[#This Row],[NewType]],$AF$36:$AF$54,$AG$36:$AG$54)</f>
        <v>#N/A</v>
      </c>
      <c r="AA2090" s="17" t="s">
        <v>13092</v>
      </c>
      <c r="AB2090" s="11" t="str">
        <f>_xlfn.XLOOKUP(Customer[[#This Row],[Customer ID]],[1]!Address[ID],[1]!Address[Subtype])</f>
        <v>STAFF</v>
      </c>
      <c r="AC2090" s="18" t="str">
        <f>_xlfn.XLOOKUP(Customer[[#This Row],[Customer ID]],[1]!Address[ID],[1]!Address[Zone])</f>
        <v>CENTRAL</v>
      </c>
    </row>
    <row r="2091" spans="1:29" x14ac:dyDescent="0.3">
      <c r="A2091" s="10" t="s">
        <v>13093</v>
      </c>
      <c r="B2091" s="11" t="str">
        <f>_xlfn.XLOOKUP(Customer[[#This Row],[Customer ID]],[1]!Name[ID],[1]!Name[Description(1)])</f>
        <v>AHMAD SYARIFUDDIN BIN SHAHRIN</v>
      </c>
      <c r="C2091" s="11" t="str">
        <f>_xlfn.XLOOKUP(Customer[[#This Row],[Customer ID]],[1]!Name[ID],[1]!Name[Description(2)])</f>
        <v>(NINJA VAN)</v>
      </c>
      <c r="D2091" s="11" t="str">
        <f>_xlfn.XLOOKUP(Customer[[#This Row],[Customer ID]],[1]!Address[ID],[1]!Address[PIC])</f>
        <v>SYARIFUDDIN</v>
      </c>
      <c r="E2091" s="11" t="str">
        <f>_xlfn.XLOOKUP(Customer[[#This Row],[Customer ID]],[1]!Address[ID],[1]!Address[Full Address])</f>
        <v>WISMA CONSPLANT 1, SUBANG 47000SELANGOR</v>
      </c>
      <c r="F2091" s="12" t="s">
        <v>13094</v>
      </c>
      <c r="G2091" s="12" t="s">
        <v>13095</v>
      </c>
      <c r="H2091" s="12" t="s">
        <v>12568</v>
      </c>
      <c r="I2091" s="12" t="b">
        <f>ISNUMBER(VALUE(LEFT(Customer[[#This Row],[Address Line 3 (30 char)]],1)))</f>
        <v>0</v>
      </c>
      <c r="J2091" s="12" t="s">
        <v>172</v>
      </c>
      <c r="K2091" s="12">
        <v>47000</v>
      </c>
      <c r="L2091" s="12" t="s">
        <v>35</v>
      </c>
      <c r="M2091" s="13" t="e">
        <v>#N/A</v>
      </c>
      <c r="N2091" s="14" t="e">
        <v>#N/A</v>
      </c>
      <c r="O2091" s="14" t="e">
        <v>#N/A</v>
      </c>
      <c r="P2091" s="14" t="e">
        <v>#N/A</v>
      </c>
      <c r="Q2091" s="19" t="s">
        <v>13096</v>
      </c>
      <c r="R2091" s="15" t="s">
        <v>13097</v>
      </c>
      <c r="S2091" s="16" t="s">
        <v>89</v>
      </c>
      <c r="T2091" s="16" t="s">
        <v>89</v>
      </c>
      <c r="U2091" s="11" t="str">
        <f>_xlfn.XLOOKUP(Customer[[#This Row],[Customer ID]],[1]!Address[ID],[1]!Address[Phone No.(2)])</f>
        <v/>
      </c>
      <c r="V2091" s="11" t="str">
        <f>_xlfn.XLOOKUP(Customer[[#This Row],[Customer ID]],[1]!Address[ID],[1]!Address[Type])</f>
        <v>WALK IN</v>
      </c>
      <c r="W2091" s="11" t="str">
        <f>_xlfn.XLOOKUP(Customer[[#This Row],[Customer ID]],[1]!Address[ID],[1]!Address[CT])</f>
        <v/>
      </c>
      <c r="X2091" s="11"/>
      <c r="Y2091" s="17" t="s">
        <v>6284</v>
      </c>
      <c r="Z2091" s="17" t="e">
        <f>_xlfn.XLOOKUP(Customer[[#This Row],[NewType]],$AF$36:$AF$54,$AG$36:$AG$54)</f>
        <v>#N/A</v>
      </c>
      <c r="AA2091" s="17" t="s">
        <v>13098</v>
      </c>
      <c r="AB2091" s="11" t="str">
        <f>_xlfn.XLOOKUP(Customer[[#This Row],[Customer ID]],[1]!Address[ID],[1]!Address[Subtype])</f>
        <v>PEDAS</v>
      </c>
      <c r="AC2091" s="18" t="str">
        <f>_xlfn.XLOOKUP(Customer[[#This Row],[Customer ID]],[1]!Address[ID],[1]!Address[Zone])</f>
        <v>D H</v>
      </c>
    </row>
    <row r="2092" spans="1:29" x14ac:dyDescent="0.3">
      <c r="A2092" s="10" t="s">
        <v>13099</v>
      </c>
      <c r="B2092" s="11" t="str">
        <f>_xlfn.XLOOKUP(Customer[[#This Row],[Customer ID]],[1]!Name[ID],[1]!Name[Description(1)])</f>
        <v>NURFARAHDIANA SYAFIRA BINTI ROSDI</v>
      </c>
      <c r="C2092" s="11" t="str">
        <f>_xlfn.XLOOKUP(Customer[[#This Row],[Customer ID]],[1]!Name[ID],[1]!Name[Description(2)])</f>
        <v>(ONLINE SALES)</v>
      </c>
      <c r="D2092" s="11" t="str">
        <f>_xlfn.XLOOKUP(Customer[[#This Row],[Customer ID]],[1]!Address[ID],[1]!Address[PIC])</f>
        <v>FARAH</v>
      </c>
      <c r="E2092" s="11" t="str">
        <f>_xlfn.XLOOKUP(Customer[[#This Row],[Customer ID]],[1]!Address[ID],[1]!Address[Full Address])</f>
        <v>BATU 4, KAMPUNG PEDAS HILIR SEBELAHTAMAN PINGGIRAN, 71400 PEDAS,NEGERI SEMBILAN</v>
      </c>
      <c r="F2092" s="12" t="s">
        <v>13100</v>
      </c>
      <c r="G2092" s="12" t="s">
        <v>13101</v>
      </c>
      <c r="H2092" s="12" t="s">
        <v>8914</v>
      </c>
      <c r="I2092" s="12" t="b">
        <f>ISNUMBER(VALUE(LEFT(Customer[[#This Row],[Address Line 3 (30 char)]],1)))</f>
        <v>0</v>
      </c>
      <c r="J2092" s="12" t="s">
        <v>203</v>
      </c>
      <c r="K2092" s="12">
        <v>71400</v>
      </c>
      <c r="L2092" s="12" t="s">
        <v>35</v>
      </c>
      <c r="M2092" s="13" t="e">
        <v>#N/A</v>
      </c>
      <c r="N2092" s="14" t="e">
        <v>#N/A</v>
      </c>
      <c r="O2092" s="14" t="e">
        <v>#N/A</v>
      </c>
      <c r="P2092" s="14" t="e">
        <v>#N/A</v>
      </c>
      <c r="Q2092" s="19" t="s">
        <v>13102</v>
      </c>
      <c r="R2092" s="15" t="s">
        <v>13103</v>
      </c>
      <c r="S2092" s="16" t="s">
        <v>89</v>
      </c>
      <c r="T2092" s="16" t="s">
        <v>89</v>
      </c>
      <c r="U2092" s="11" t="str">
        <f>_xlfn.XLOOKUP(Customer[[#This Row],[Customer ID]],[1]!Address[ID],[1]!Address[Phone No.(2)])</f>
        <v/>
      </c>
      <c r="V2092" s="11" t="str">
        <f>_xlfn.XLOOKUP(Customer[[#This Row],[Customer ID]],[1]!Address[ID],[1]!Address[Type])</f>
        <v>WALK IN</v>
      </c>
      <c r="W2092" s="11" t="str">
        <f>_xlfn.XLOOKUP(Customer[[#This Row],[Customer ID]],[1]!Address[ID],[1]!Address[CT])</f>
        <v/>
      </c>
      <c r="X2092" s="11"/>
      <c r="Y2092" s="17" t="s">
        <v>6284</v>
      </c>
      <c r="Z2092" s="17" t="e">
        <f>_xlfn.XLOOKUP(Customer[[#This Row],[NewType]],$AF$36:$AF$54,$AG$36:$AG$54)</f>
        <v>#N/A</v>
      </c>
      <c r="AA2092" s="17" t="s">
        <v>13104</v>
      </c>
      <c r="AB2092" s="11" t="str">
        <f>_xlfn.XLOOKUP(Customer[[#This Row],[Customer ID]],[1]!Address[ID],[1]!Address[Subtype])</f>
        <v>STAFF</v>
      </c>
      <c r="AC2092" s="18" t="str">
        <f>_xlfn.XLOOKUP(Customer[[#This Row],[Customer ID]],[1]!Address[ID],[1]!Address[Zone])</f>
        <v>CENTRAL</v>
      </c>
    </row>
    <row r="2093" spans="1:29" x14ac:dyDescent="0.3">
      <c r="A2093" s="10" t="s">
        <v>13105</v>
      </c>
      <c r="B2093" s="11" t="str">
        <f>_xlfn.XLOOKUP(Customer[[#This Row],[Customer ID]],[1]!Name[ID],[1]!Name[Description(1)])</f>
        <v>MUHAMMAD BIN MUSTAPHA KAMAL</v>
      </c>
      <c r="C2093" s="11" t="str">
        <f>_xlfn.XLOOKUP(Customer[[#This Row],[Customer ID]],[1]!Name[ID],[1]!Name[Description(2)])</f>
        <v>(MARKETING)</v>
      </c>
      <c r="D2093" s="11" t="str">
        <f>_xlfn.XLOOKUP(Customer[[#This Row],[Customer ID]],[1]!Address[ID],[1]!Address[PIC])</f>
        <v>MUHAMMAD</v>
      </c>
      <c r="E2093" s="11" t="str">
        <f>_xlfn.XLOOKUP(Customer[[#This Row],[Customer ID]],[1]!Address[ID],[1]!Address[Full Address])</f>
        <v>NO.5, BLOK 1 JALAN AU3/1,TAMAN DESA KERAMAT, 54200 KL</v>
      </c>
      <c r="F2093" s="12" t="s">
        <v>13106</v>
      </c>
      <c r="G2093" s="12" t="s">
        <v>13107</v>
      </c>
      <c r="H2093" s="12" t="s">
        <v>36</v>
      </c>
      <c r="I2093" s="12" t="b">
        <f>ISNUMBER(VALUE(LEFT(Customer[[#This Row],[Address Line 3 (30 char)]],1)))</f>
        <v>0</v>
      </c>
      <c r="J2093" s="12" t="s">
        <v>34</v>
      </c>
      <c r="K2093" s="12">
        <v>41050</v>
      </c>
      <c r="L2093" s="12" t="s">
        <v>35</v>
      </c>
      <c r="M2093" s="13" t="e">
        <v>#N/A</v>
      </c>
      <c r="N2093" s="14" t="e">
        <v>#N/A</v>
      </c>
      <c r="O2093" s="14" t="e">
        <v>#N/A</v>
      </c>
      <c r="P2093" s="14" t="e">
        <v>#N/A</v>
      </c>
      <c r="Q2093" s="19" t="s">
        <v>13108</v>
      </c>
      <c r="R2093" s="15" t="s">
        <v>9470</v>
      </c>
      <c r="S2093" s="16" t="s">
        <v>89</v>
      </c>
      <c r="T2093" s="16" t="s">
        <v>89</v>
      </c>
      <c r="U2093" s="11" t="str">
        <f>_xlfn.XLOOKUP(Customer[[#This Row],[Customer ID]],[1]!Address[ID],[1]!Address[Phone No.(2)])</f>
        <v/>
      </c>
      <c r="V2093" s="11" t="str">
        <f>_xlfn.XLOOKUP(Customer[[#This Row],[Customer ID]],[1]!Address[ID],[1]!Address[Type])</f>
        <v>WALK IN</v>
      </c>
      <c r="W2093" s="11" t="str">
        <f>_xlfn.XLOOKUP(Customer[[#This Row],[Customer ID]],[1]!Address[ID],[1]!Address[CT])</f>
        <v/>
      </c>
      <c r="X2093" s="11"/>
      <c r="Y2093" s="17" t="s">
        <v>6284</v>
      </c>
      <c r="Z2093" s="17" t="e">
        <f>_xlfn.XLOOKUP(Customer[[#This Row],[NewType]],$AF$36:$AF$54,$AG$36:$AG$54)</f>
        <v>#N/A</v>
      </c>
      <c r="AA2093" s="17" t="s">
        <v>13109</v>
      </c>
      <c r="AB2093" s="11" t="str">
        <f>_xlfn.XLOOKUP(Customer[[#This Row],[Customer ID]],[1]!Address[ID],[1]!Address[Subtype])</f>
        <v>STAFF</v>
      </c>
      <c r="AC2093" s="18" t="str">
        <f>_xlfn.XLOOKUP(Customer[[#This Row],[Customer ID]],[1]!Address[ID],[1]!Address[Zone])</f>
        <v>CENTRAL</v>
      </c>
    </row>
    <row r="2094" spans="1:29" x14ac:dyDescent="0.3">
      <c r="A2094" s="10" t="s">
        <v>13110</v>
      </c>
      <c r="B2094" s="11" t="str">
        <f>_xlfn.XLOOKUP(Customer[[#This Row],[Customer ID]],[1]!Name[ID],[1]!Name[Description(1)])</f>
        <v>NIMS ADELICIOUSZ SDN BHD</v>
      </c>
      <c r="C2094" s="11" t="str">
        <f>_xlfn.XLOOKUP(Customer[[#This Row],[Customer ID]],[1]!Name[ID],[1]!Name[Description(2)])</f>
        <v>LED</v>
      </c>
      <c r="D2094" s="11" t="str">
        <f>_xlfn.XLOOKUP(Customer[[#This Row],[Customer ID]],[1]!Address[ID],[1]!Address[PIC])</f>
        <v/>
      </c>
      <c r="E2094" s="11" t="str">
        <f>_xlfn.XLOOKUP(Customer[[#This Row],[Customer ID]],[1]!Address[ID],[1]!Address[Full Address])</f>
        <v>NO.93 JALAN PERINDUSTRIAN 4/KU8,KAWASAN PERINDUSTRIAN MERU SELATAN,41050 KLANG, SELANGOR</v>
      </c>
      <c r="F2094" s="12" t="s">
        <v>13111</v>
      </c>
      <c r="G2094" s="12" t="s">
        <v>13112</v>
      </c>
      <c r="H2094" s="12" t="s">
        <v>13113</v>
      </c>
      <c r="I2094" s="12" t="b">
        <f>ISNUMBER(VALUE(LEFT(Customer[[#This Row],[Address Line 3 (30 char)]],1)))</f>
        <v>0</v>
      </c>
      <c r="J2094" s="12" t="s">
        <v>172</v>
      </c>
      <c r="K2094" s="12">
        <v>41050</v>
      </c>
      <c r="L2094" s="12" t="s">
        <v>35</v>
      </c>
      <c r="M2094" s="13" t="e">
        <v>#N/A</v>
      </c>
      <c r="N2094" s="14" t="e">
        <v>#N/A</v>
      </c>
      <c r="O2094" s="14" t="e">
        <v>#N/A</v>
      </c>
      <c r="P2094" s="14" t="e">
        <v>#N/A</v>
      </c>
      <c r="Q2094" s="14" t="e">
        <v>#N/A</v>
      </c>
      <c r="R2094" s="15" t="s">
        <v>13114</v>
      </c>
      <c r="S2094" s="15" t="s">
        <v>5917</v>
      </c>
      <c r="T2094" s="16"/>
      <c r="U2094" s="11" t="str">
        <f>_xlfn.XLOOKUP(Customer[[#This Row],[Customer ID]],[1]!Address[ID],[1]!Address[Phone No.(2)])</f>
        <v/>
      </c>
      <c r="V2094" s="11" t="str">
        <f>_xlfn.XLOOKUP(Customer[[#This Row],[Customer ID]],[1]!Address[ID],[1]!Address[Type])</f>
        <v>BODG</v>
      </c>
      <c r="W2094" s="11" t="str">
        <f>_xlfn.XLOOKUP(Customer[[#This Row],[Customer ID]],[1]!Address[ID],[1]!Address[CT])</f>
        <v>50% DEPOSIT</v>
      </c>
      <c r="X2094" s="11"/>
      <c r="Y2094" s="17" t="s">
        <v>13115</v>
      </c>
      <c r="Z2094" s="17" t="e">
        <f>_xlfn.XLOOKUP(Customer[[#This Row],[NewType]],$AF$36:$AF$54,$AG$36:$AG$54)</f>
        <v>#N/A</v>
      </c>
      <c r="AA2094" s="17" t="s">
        <v>13116</v>
      </c>
      <c r="AB2094" s="11" t="str">
        <f>_xlfn.XLOOKUP(Customer[[#This Row],[Customer ID]],[1]!Address[ID],[1]!Address[Subtype])</f>
        <v>LED</v>
      </c>
      <c r="AC2094" s="18">
        <f>_xlfn.XLOOKUP(Customer[[#This Row],[Customer ID]],[1]!Address[ID],[1]!Address[Zone])</f>
        <v>0</v>
      </c>
    </row>
    <row r="2095" spans="1:29" x14ac:dyDescent="0.3">
      <c r="A2095" s="10" t="s">
        <v>13117</v>
      </c>
      <c r="B2095" s="11" t="str">
        <f>_xlfn.XLOOKUP(Customer[[#This Row],[Customer ID]],[1]!Name[ID],[1]!Name[Description(1)])</f>
        <v>HIFZUDDIN BIN MOHAMAD RADZI</v>
      </c>
      <c r="C2095" s="11" t="str">
        <f>_xlfn.XLOOKUP(Customer[[#This Row],[Customer ID]],[1]!Name[ID],[1]!Name[Description(2)])</f>
        <v/>
      </c>
      <c r="D2095" s="11" t="str">
        <f>_xlfn.XLOOKUP(Customer[[#This Row],[Customer ID]],[1]!Address[ID],[1]!Address[PIC])</f>
        <v>HIFZUDDIN</v>
      </c>
      <c r="E2095" s="11" t="str">
        <f>_xlfn.XLOOKUP(Customer[[#This Row],[Customer ID]],[1]!Address[ID],[1]!Address[Full Address])</f>
        <v>LOT 2509, JALAN SEREMBAN-TAMPIN71300 REMBAU, NEGERI SEMBILAN</v>
      </c>
      <c r="F2095" s="12" t="s">
        <v>4351</v>
      </c>
      <c r="G2095" s="12" t="s">
        <v>13118</v>
      </c>
      <c r="H2095" s="12" t="s">
        <v>7985</v>
      </c>
      <c r="I2095" s="12" t="b">
        <f>ISNUMBER(VALUE(LEFT(Customer[[#This Row],[Address Line 3 (30 char)]],1)))</f>
        <v>0</v>
      </c>
      <c r="J2095" s="12" t="s">
        <v>203</v>
      </c>
      <c r="K2095" s="12">
        <v>71300</v>
      </c>
      <c r="L2095" s="12" t="s">
        <v>35</v>
      </c>
      <c r="M2095" s="13" t="e">
        <v>#N/A</v>
      </c>
      <c r="N2095" s="14" t="e">
        <v>#N/A</v>
      </c>
      <c r="O2095" s="14" t="e">
        <v>#N/A</v>
      </c>
      <c r="P2095" s="14" t="e">
        <v>#N/A</v>
      </c>
      <c r="Q2095" s="19" t="s">
        <v>13119</v>
      </c>
      <c r="R2095" s="15" t="s">
        <v>13120</v>
      </c>
      <c r="S2095" s="16" t="s">
        <v>89</v>
      </c>
      <c r="T2095" s="16" t="s">
        <v>89</v>
      </c>
      <c r="U2095" s="11" t="str">
        <f>_xlfn.XLOOKUP(Customer[[#This Row],[Customer ID]],[1]!Address[ID],[1]!Address[Phone No.(2)])</f>
        <v/>
      </c>
      <c r="V2095" s="11" t="str">
        <f>_xlfn.XLOOKUP(Customer[[#This Row],[Customer ID]],[1]!Address[ID],[1]!Address[Type])</f>
        <v>WALK IN</v>
      </c>
      <c r="W2095" s="11" t="str">
        <f>_xlfn.XLOOKUP(Customer[[#This Row],[Customer ID]],[1]!Address[ID],[1]!Address[CT])</f>
        <v/>
      </c>
      <c r="X2095" s="11"/>
      <c r="Y2095" s="17" t="s">
        <v>6284</v>
      </c>
      <c r="Z2095" s="17" t="e">
        <f>_xlfn.XLOOKUP(Customer[[#This Row],[NewType]],$AF$36:$AF$54,$AG$36:$AG$54)</f>
        <v>#N/A</v>
      </c>
      <c r="AA2095" s="17" t="s">
        <v>13121</v>
      </c>
      <c r="AB2095" s="11" t="str">
        <f>_xlfn.XLOOKUP(Customer[[#This Row],[Customer ID]],[1]!Address[ID],[1]!Address[Subtype])</f>
        <v>PEDAS</v>
      </c>
      <c r="AC2095" s="18" t="str">
        <f>_xlfn.XLOOKUP(Customer[[#This Row],[Customer ID]],[1]!Address[ID],[1]!Address[Zone])</f>
        <v>CENTRAL</v>
      </c>
    </row>
    <row r="2096" spans="1:29" x14ac:dyDescent="0.3">
      <c r="A2096" s="10" t="s">
        <v>13122</v>
      </c>
      <c r="B2096" s="11" t="str">
        <f>_xlfn.XLOOKUP(Customer[[#This Row],[Customer ID]],[1]!Name[ID],[1]!Name[Description(1)])</f>
        <v>OMAK JENNY SDN BHD</v>
      </c>
      <c r="C2096" s="11" t="str">
        <f>_xlfn.XLOOKUP(Customer[[#This Row],[Customer ID]],[1]!Name[ID],[1]!Name[Description(2)])</f>
        <v>LED</v>
      </c>
      <c r="D2096" s="11" t="str">
        <f>_xlfn.XLOOKUP(Customer[[#This Row],[Customer ID]],[1]!Address[ID],[1]!Address[PIC])</f>
        <v/>
      </c>
      <c r="E2096" s="11" t="str">
        <f>_xlfn.XLOOKUP(Customer[[#This Row],[Customer ID]],[1]!Address[ID],[1]!Address[Full Address])</f>
        <v>2,8-1,3, JALAN RK 5, RASAH KEMAYAN,70350 SEREMBAN, NEGERI SEMBILAN</v>
      </c>
      <c r="F2096" s="12" t="s">
        <v>13123</v>
      </c>
      <c r="G2096" s="12" t="s">
        <v>13124</v>
      </c>
      <c r="H2096" s="12" t="s">
        <v>2411</v>
      </c>
      <c r="I2096" s="12" t="b">
        <f>ISNUMBER(VALUE(LEFT(Customer[[#This Row],[Address Line 3 (30 char)]],1)))</f>
        <v>0</v>
      </c>
      <c r="J2096" s="12" t="s">
        <v>203</v>
      </c>
      <c r="K2096" s="12">
        <v>70350</v>
      </c>
      <c r="L2096" s="12" t="s">
        <v>35</v>
      </c>
      <c r="M2096" s="13" t="e">
        <v>#N/A</v>
      </c>
      <c r="N2096" s="14" t="e">
        <v>#N/A</v>
      </c>
      <c r="O2096" s="14" t="e">
        <v>#N/A</v>
      </c>
      <c r="P2096" s="14" t="e">
        <v>#N/A</v>
      </c>
      <c r="Q2096" s="14" t="e">
        <v>#N/A</v>
      </c>
      <c r="R2096" s="15" t="s">
        <v>13125</v>
      </c>
      <c r="S2096" s="15" t="s">
        <v>5917</v>
      </c>
      <c r="T2096" s="16"/>
      <c r="U2096" s="11" t="str">
        <f>_xlfn.XLOOKUP(Customer[[#This Row],[Customer ID]],[1]!Address[ID],[1]!Address[Phone No.(2)])</f>
        <v/>
      </c>
      <c r="V2096" s="11" t="str">
        <f>_xlfn.XLOOKUP(Customer[[#This Row],[Customer ID]],[1]!Address[ID],[1]!Address[Type])</f>
        <v>BODG</v>
      </c>
      <c r="W2096" s="11" t="str">
        <f>_xlfn.XLOOKUP(Customer[[#This Row],[Customer ID]],[1]!Address[ID],[1]!Address[CT])</f>
        <v>50% DEPOSIT</v>
      </c>
      <c r="X2096" s="11"/>
      <c r="Y2096" s="17" t="s">
        <v>13115</v>
      </c>
      <c r="Z2096" s="17" t="e">
        <f>_xlfn.XLOOKUP(Customer[[#This Row],[NewType]],$AF$36:$AF$54,$AG$36:$AG$54)</f>
        <v>#N/A</v>
      </c>
      <c r="AA2096" s="17" t="s">
        <v>13126</v>
      </c>
      <c r="AB2096" s="11" t="str">
        <f>_xlfn.XLOOKUP(Customer[[#This Row],[Customer ID]],[1]!Address[ID],[1]!Address[Subtype])</f>
        <v>LED</v>
      </c>
      <c r="AC2096" s="18" t="str">
        <f>_xlfn.XLOOKUP(Customer[[#This Row],[Customer ID]],[1]!Address[ID],[1]!Address[Zone])</f>
        <v>CENTRAL</v>
      </c>
    </row>
    <row r="2097" spans="1:29" x14ac:dyDescent="0.3">
      <c r="A2097" s="10" t="s">
        <v>13127</v>
      </c>
      <c r="B2097" s="11" t="str">
        <f>_xlfn.XLOOKUP(Customer[[#This Row],[Customer ID]],[1]!Name[ID],[1]!Name[Description(1)])</f>
        <v>RICHIAMO COFFEE SDN BHD</v>
      </c>
      <c r="C2097" s="11" t="str">
        <f>_xlfn.XLOOKUP(Customer[[#This Row],[Customer ID]],[1]!Name[ID],[1]!Name[Description(2)])</f>
        <v>LED</v>
      </c>
      <c r="D2097" s="11" t="str">
        <f>_xlfn.XLOOKUP(Customer[[#This Row],[Customer ID]],[1]!Address[ID],[1]!Address[PIC])</f>
        <v/>
      </c>
      <c r="E2097" s="11" t="str">
        <f>_xlfn.XLOOKUP(Customer[[#This Row],[Customer ID]],[1]!Address[ID],[1]!Address[Full Address])</f>
        <v>LOT 6, JALAN UB1, TAMAN PERINDUSTRIAN UB48000 RAWANG, SELANGOR</v>
      </c>
      <c r="F2097" s="12" t="s">
        <v>13128</v>
      </c>
      <c r="G2097" s="12" t="s">
        <v>13129</v>
      </c>
      <c r="H2097" s="12" t="s">
        <v>7979</v>
      </c>
      <c r="I2097" s="12" t="b">
        <f>ISNUMBER(VALUE(LEFT(Customer[[#This Row],[Address Line 3 (30 char)]],1)))</f>
        <v>0</v>
      </c>
      <c r="J2097" s="12" t="s">
        <v>172</v>
      </c>
      <c r="K2097" s="12">
        <v>48000</v>
      </c>
      <c r="L2097" s="12" t="s">
        <v>35</v>
      </c>
      <c r="M2097" s="13" t="e">
        <v>#N/A</v>
      </c>
      <c r="N2097" s="14" t="e">
        <v>#N/A</v>
      </c>
      <c r="O2097" s="14" t="e">
        <v>#N/A</v>
      </c>
      <c r="P2097" s="14" t="e">
        <v>#N/A</v>
      </c>
      <c r="Q2097" s="19" t="s">
        <v>13130</v>
      </c>
      <c r="R2097" s="15" t="s">
        <v>13131</v>
      </c>
      <c r="S2097" s="15" t="s">
        <v>5917</v>
      </c>
      <c r="T2097" s="16" t="s">
        <v>3477</v>
      </c>
      <c r="U2097" s="11" t="str">
        <f>_xlfn.XLOOKUP(Customer[[#This Row],[Customer ID]],[1]!Address[ID],[1]!Address[Phone No.(2)])</f>
        <v/>
      </c>
      <c r="V2097" s="11" t="str">
        <f>_xlfn.XLOOKUP(Customer[[#This Row],[Customer ID]],[1]!Address[ID],[1]!Address[Type])</f>
        <v>BODG</v>
      </c>
      <c r="W2097" s="11" t="str">
        <f>_xlfn.XLOOKUP(Customer[[#This Row],[Customer ID]],[1]!Address[ID],[1]!Address[CT])</f>
        <v>50% DEPOSIT</v>
      </c>
      <c r="X2097" s="11"/>
      <c r="Y2097" s="17" t="s">
        <v>13115</v>
      </c>
      <c r="Z2097" s="17" t="e">
        <f>_xlfn.XLOOKUP(Customer[[#This Row],[NewType]],$AF$36:$AF$54,$AG$36:$AG$54)</f>
        <v>#N/A</v>
      </c>
      <c r="AA2097" s="17" t="s">
        <v>13132</v>
      </c>
      <c r="AB2097" s="11" t="str">
        <f>_xlfn.XLOOKUP(Customer[[#This Row],[Customer ID]],[1]!Address[ID],[1]!Address[Subtype])</f>
        <v>LED</v>
      </c>
      <c r="AC2097" s="18" t="str">
        <f>_xlfn.XLOOKUP(Customer[[#This Row],[Customer ID]],[1]!Address[ID],[1]!Address[Zone])</f>
        <v>CENTRAL</v>
      </c>
    </row>
    <row r="2098" spans="1:29" x14ac:dyDescent="0.3">
      <c r="A2098" s="10" t="s">
        <v>13133</v>
      </c>
      <c r="B2098" s="11" t="str">
        <f>_xlfn.XLOOKUP(Customer[[#This Row],[Customer ID]],[1]!Name[ID],[1]!Name[Description(1)])</f>
        <v>FIT TWO SHAPE</v>
      </c>
      <c r="C2098" s="11" t="str">
        <f>_xlfn.XLOOKUP(Customer[[#This Row],[Customer ID]],[1]!Name[ID],[1]!Name[Description(2)])</f>
        <v>F2S</v>
      </c>
      <c r="D2098" s="11" t="str">
        <f>_xlfn.XLOOKUP(Customer[[#This Row],[Customer ID]],[1]!Address[ID],[1]!Address[PIC])</f>
        <v/>
      </c>
      <c r="E2098" s="11" t="str">
        <f>_xlfn.XLOOKUP(Customer[[#This Row],[Customer ID]],[1]!Address[ID],[1]!Address[Full Address])</f>
        <v>LOT 4. 10A, LEVEL 5,WISMA SABERKAS,JALAN TUN ABANG HAJI OPENG,83250 KUCHING,SARAWAK</v>
      </c>
      <c r="F2098" s="12" t="s">
        <v>13134</v>
      </c>
      <c r="G2098" s="12" t="s">
        <v>13135</v>
      </c>
      <c r="H2098" s="12" t="s">
        <v>13136</v>
      </c>
      <c r="I2098" s="12" t="b">
        <f>ISNUMBER(VALUE(LEFT(Customer[[#This Row],[Address Line 3 (30 char)]],1)))</f>
        <v>0</v>
      </c>
      <c r="J2098" s="12" t="s">
        <v>9000</v>
      </c>
      <c r="K2098" s="12">
        <v>83250</v>
      </c>
      <c r="L2098" s="12" t="s">
        <v>35</v>
      </c>
      <c r="M2098" s="13">
        <v>202201001872</v>
      </c>
      <c r="N2098" s="14" t="s">
        <v>13137</v>
      </c>
      <c r="O2098" s="14" t="e">
        <v>#N/A</v>
      </c>
      <c r="P2098" s="14" t="e">
        <v>#N/A</v>
      </c>
      <c r="Q2098" s="19" t="s">
        <v>13138</v>
      </c>
      <c r="R2098" s="15" t="s">
        <v>13139</v>
      </c>
      <c r="S2098" s="15" t="s">
        <v>3476</v>
      </c>
      <c r="T2098" s="16" t="s">
        <v>3477</v>
      </c>
      <c r="U2098" s="11" t="str">
        <f>_xlfn.XLOOKUP(Customer[[#This Row],[Customer ID]],[1]!Address[ID],[1]!Address[Phone No.(2)])</f>
        <v/>
      </c>
      <c r="V2098" s="11" t="str">
        <f>_xlfn.XLOOKUP(Customer[[#This Row],[Customer ID]],[1]!Address[ID],[1]!Address[Type])</f>
        <v>PHARMACY</v>
      </c>
      <c r="W2098" s="11" t="str">
        <f>_xlfn.XLOOKUP(Customer[[#This Row],[Customer ID]],[1]!Address[ID],[1]!Address[CT])</f>
        <v>CASH</v>
      </c>
      <c r="X2098" s="11"/>
      <c r="Y2098" s="17" t="s">
        <v>5955</v>
      </c>
      <c r="Z2098" s="17" t="e">
        <f>_xlfn.XLOOKUP(Customer[[#This Row],[NewType]],$AF$36:$AF$54,$AG$36:$AG$54)</f>
        <v>#N/A</v>
      </c>
      <c r="AA2098" s="17" t="s">
        <v>13140</v>
      </c>
      <c r="AB2098" s="11" t="str">
        <f>_xlfn.XLOOKUP(Customer[[#This Row],[Customer ID]],[1]!Address[ID],[1]!Address[Subtype])</f>
        <v>FIT TWO SHAP</v>
      </c>
      <c r="AC2098" s="18" t="str">
        <f>_xlfn.XLOOKUP(Customer[[#This Row],[Customer ID]],[1]!Address[ID],[1]!Address[Zone])</f>
        <v>FTARNG</v>
      </c>
    </row>
    <row r="2099" spans="1:29" x14ac:dyDescent="0.3">
      <c r="A2099" s="10" t="s">
        <v>13141</v>
      </c>
      <c r="B2099" s="11" t="str">
        <f>_xlfn.XLOOKUP(Customer[[#This Row],[Customer ID]],[1]!Name[ID],[1]!Name[Description(1)])</f>
        <v>ZHAFOU GLOBAL SDN BHD</v>
      </c>
      <c r="C2099" s="11" t="str">
        <f>_xlfn.XLOOKUP(Customer[[#This Row],[Customer ID]],[1]!Name[ID],[1]!Name[Description(2)])</f>
        <v>FG WALET BIRD'S NEST (LED)</v>
      </c>
      <c r="D2099" s="11" t="str">
        <f>_xlfn.XLOOKUP(Customer[[#This Row],[Customer ID]],[1]!Address[ID],[1]!Address[PIC])</f>
        <v/>
      </c>
      <c r="E2099" s="11" t="str">
        <f>_xlfn.XLOOKUP(Customer[[#This Row],[Customer ID]],[1]!Address[ID],[1]!Address[Full Address])</f>
        <v>NO.51,G&amp;51-1, JLN BAZAR P U8/P,SEKSYEN U8, 40150 SHAH ALAM, SELANGOR</v>
      </c>
      <c r="F2099" s="12" t="s">
        <v>13142</v>
      </c>
      <c r="G2099" s="12" t="s">
        <v>13143</v>
      </c>
      <c r="H2099" s="12" t="s">
        <v>4488</v>
      </c>
      <c r="I2099" s="12" t="b">
        <f>ISNUMBER(VALUE(LEFT(Customer[[#This Row],[Address Line 3 (30 char)]],1)))</f>
        <v>0</v>
      </c>
      <c r="J2099" s="12" t="s">
        <v>172</v>
      </c>
      <c r="K2099" s="12">
        <v>40150</v>
      </c>
      <c r="L2099" s="12" t="s">
        <v>35</v>
      </c>
      <c r="M2099" s="13" t="e">
        <v>#N/A</v>
      </c>
      <c r="N2099" s="14" t="e">
        <v>#N/A</v>
      </c>
      <c r="O2099" s="14" t="e">
        <v>#N/A</v>
      </c>
      <c r="P2099" s="14" t="e">
        <v>#N/A</v>
      </c>
      <c r="Q2099" s="14" t="e">
        <v>#N/A</v>
      </c>
      <c r="R2099" s="15" t="s">
        <v>13144</v>
      </c>
      <c r="S2099" s="15" t="s">
        <v>5917</v>
      </c>
      <c r="T2099" s="16"/>
      <c r="U2099" s="11" t="str">
        <f>_xlfn.XLOOKUP(Customer[[#This Row],[Customer ID]],[1]!Address[ID],[1]!Address[Phone No.(2)])</f>
        <v/>
      </c>
      <c r="V2099" s="11" t="str">
        <f>_xlfn.XLOOKUP(Customer[[#This Row],[Customer ID]],[1]!Address[ID],[1]!Address[Type])</f>
        <v>BODG</v>
      </c>
      <c r="W2099" s="11" t="str">
        <f>_xlfn.XLOOKUP(Customer[[#This Row],[Customer ID]],[1]!Address[ID],[1]!Address[CT])</f>
        <v>50% DEPOSIT</v>
      </c>
      <c r="X2099" s="11"/>
      <c r="Y2099" s="17" t="s">
        <v>13115</v>
      </c>
      <c r="Z2099" s="17" t="e">
        <f>_xlfn.XLOOKUP(Customer[[#This Row],[NewType]],$AF$36:$AF$54,$AG$36:$AG$54)</f>
        <v>#N/A</v>
      </c>
      <c r="AA2099" s="17" t="s">
        <v>13145</v>
      </c>
      <c r="AB2099" s="11" t="str">
        <f>_xlfn.XLOOKUP(Customer[[#This Row],[Customer ID]],[1]!Address[ID],[1]!Address[Subtype])</f>
        <v>LED</v>
      </c>
      <c r="AC2099" s="18" t="str">
        <f>_xlfn.XLOOKUP(Customer[[#This Row],[Customer ID]],[1]!Address[ID],[1]!Address[Zone])</f>
        <v>GEUKSYENH</v>
      </c>
    </row>
    <row r="2100" spans="1:29" x14ac:dyDescent="0.3">
      <c r="A2100" s="10" t="s">
        <v>13146</v>
      </c>
      <c r="B2100" s="11" t="str">
        <f>_xlfn.XLOOKUP(Customer[[#This Row],[Customer ID]],[1]!Name[ID],[1]!Name[Description(1)])</f>
        <v>ENSU LIFESCIENCES SDN BHD</v>
      </c>
      <c r="C2100" s="11" t="str">
        <f>_xlfn.XLOOKUP(Customer[[#This Row],[Customer ID]],[1]!Name[ID],[1]!Name[Description(2)])</f>
        <v>LED</v>
      </c>
      <c r="D2100" s="11" t="str">
        <f>_xlfn.XLOOKUP(Customer[[#This Row],[Customer ID]],[1]!Address[ID],[1]!Address[PIC])</f>
        <v/>
      </c>
      <c r="E2100" s="11" t="str">
        <f>_xlfn.XLOOKUP(Customer[[#This Row],[Customer ID]],[1]!Address[ID],[1]!Address[Full Address])</f>
        <v>BATU ARANG, SELANGOR</v>
      </c>
      <c r="F2100" s="12" t="s">
        <v>13147</v>
      </c>
      <c r="G2100" s="12" t="s">
        <v>36</v>
      </c>
      <c r="H2100" s="12" t="s">
        <v>36</v>
      </c>
      <c r="I2100" s="12" t="b">
        <f>ISNUMBER(VALUE(LEFT(Customer[[#This Row],[Address Line 3 (30 char)]],1)))</f>
        <v>0</v>
      </c>
      <c r="J2100" s="12" t="s">
        <v>1907</v>
      </c>
      <c r="K2100" s="12">
        <v>48100</v>
      </c>
      <c r="L2100" s="12" t="s">
        <v>35</v>
      </c>
      <c r="M2100" s="13" t="e">
        <v>#N/A</v>
      </c>
      <c r="N2100" s="14" t="e">
        <v>#N/A</v>
      </c>
      <c r="O2100" s="14" t="e">
        <v>#N/A</v>
      </c>
      <c r="P2100" s="14" t="e">
        <v>#N/A</v>
      </c>
      <c r="Q2100" s="14" t="e">
        <v>#N/A</v>
      </c>
      <c r="R2100" s="15" t="s">
        <v>13148</v>
      </c>
      <c r="S2100" s="15" t="s">
        <v>5917</v>
      </c>
      <c r="T2100" s="16"/>
      <c r="U2100" s="11" t="str">
        <f>_xlfn.XLOOKUP(Customer[[#This Row],[Customer ID]],[1]!Address[ID],[1]!Address[Phone No.(2)])</f>
        <v/>
      </c>
      <c r="V2100" s="11" t="str">
        <f>_xlfn.XLOOKUP(Customer[[#This Row],[Customer ID]],[1]!Address[ID],[1]!Address[Type])</f>
        <v>BODG</v>
      </c>
      <c r="W2100" s="11" t="str">
        <f>_xlfn.XLOOKUP(Customer[[#This Row],[Customer ID]],[1]!Address[ID],[1]!Address[CT])</f>
        <v>50% DEPOSIT</v>
      </c>
      <c r="X2100" s="11"/>
      <c r="Y2100" s="17" t="s">
        <v>13115</v>
      </c>
      <c r="Z2100" s="17" t="e">
        <f>_xlfn.XLOOKUP(Customer[[#This Row],[NewType]],$AF$36:$AF$54,$AG$36:$AG$54)</f>
        <v>#N/A</v>
      </c>
      <c r="AA2100" s="17" t="s">
        <v>13149</v>
      </c>
      <c r="AB2100" s="11" t="str">
        <f>_xlfn.XLOOKUP(Customer[[#This Row],[Customer ID]],[1]!Address[ID],[1]!Address[Subtype])</f>
        <v>LED</v>
      </c>
      <c r="AC2100" s="18">
        <f>_xlfn.XLOOKUP(Customer[[#This Row],[Customer ID]],[1]!Address[ID],[1]!Address[Zone])</f>
        <v>0</v>
      </c>
    </row>
    <row r="2101" spans="1:29" x14ac:dyDescent="0.3">
      <c r="A2101" s="39" t="s">
        <v>13150</v>
      </c>
      <c r="B2101" s="40" t="str">
        <f>_xlfn.XLOOKUP(Customer[[#This Row],[Customer ID]],[1]!Name[ID],[1]!Name[Description(1)])</f>
        <v>FRESCA MART</v>
      </c>
      <c r="C2101" s="11" t="str">
        <f>_xlfn.XLOOKUP(Customer[[#This Row],[Customer ID]],[1]!Name[ID],[1]!Name[Description(2)])</f>
        <v>LED</v>
      </c>
      <c r="D2101" s="11" t="str">
        <f>_xlfn.XLOOKUP(Customer[[#This Row],[Customer ID]],[1]!Address[ID],[1]!Address[PIC])</f>
        <v/>
      </c>
      <c r="E2101" s="11" t="str">
        <f>_xlfn.XLOOKUP(Customer[[#This Row],[Customer ID]],[1]!Address[ID],[1]!Address[Full Address])</f>
        <v>FRESCA MART</v>
      </c>
      <c r="F2101" s="12" t="s">
        <v>13151</v>
      </c>
      <c r="G2101" s="12" t="s">
        <v>36</v>
      </c>
      <c r="H2101" s="12" t="s">
        <v>36</v>
      </c>
      <c r="I2101" s="12" t="b">
        <f>ISNUMBER(VALUE(LEFT(Customer[[#This Row],[Address Line 3 (30 char)]],1)))</f>
        <v>0</v>
      </c>
      <c r="J2101" s="12" t="s">
        <v>1907</v>
      </c>
      <c r="K2101" s="12">
        <v>43900</v>
      </c>
      <c r="L2101" s="12" t="s">
        <v>35</v>
      </c>
      <c r="M2101" s="13" t="e">
        <v>#N/A</v>
      </c>
      <c r="N2101" s="14" t="e">
        <v>#N/A</v>
      </c>
      <c r="O2101" s="14" t="e">
        <v>#N/A</v>
      </c>
      <c r="P2101" s="14" t="e">
        <v>#N/A</v>
      </c>
      <c r="Q2101" s="14" t="e">
        <v>#N/A</v>
      </c>
      <c r="R2101" s="15" t="s">
        <v>13152</v>
      </c>
      <c r="S2101" s="15" t="s">
        <v>5917</v>
      </c>
      <c r="T2101" s="16"/>
      <c r="U2101" s="11" t="str">
        <f>_xlfn.XLOOKUP(Customer[[#This Row],[Customer ID]],[1]!Address[ID],[1]!Address[Phone No.(2)])</f>
        <v/>
      </c>
      <c r="V2101" s="11" t="str">
        <f>_xlfn.XLOOKUP(Customer[[#This Row],[Customer ID]],[1]!Address[ID],[1]!Address[Type])</f>
        <v>BODG</v>
      </c>
      <c r="W2101" s="11" t="str">
        <f>_xlfn.XLOOKUP(Customer[[#This Row],[Customer ID]],[1]!Address[ID],[1]!Address[CT])</f>
        <v>50% DEPOSIT</v>
      </c>
      <c r="X2101" s="11"/>
      <c r="Y2101" s="17" t="s">
        <v>13115</v>
      </c>
      <c r="Z2101" s="17" t="e">
        <f>_xlfn.XLOOKUP(Customer[[#This Row],[NewType]],$AF$36:$AF$54,$AG$36:$AG$54)</f>
        <v>#N/A</v>
      </c>
      <c r="AA2101" s="17" t="s">
        <v>13153</v>
      </c>
      <c r="AB2101" s="11" t="str">
        <f>_xlfn.XLOOKUP(Customer[[#This Row],[Customer ID]],[1]!Address[ID],[1]!Address[Subtype])</f>
        <v>LED</v>
      </c>
      <c r="AC2101" s="18">
        <f>_xlfn.XLOOKUP(Customer[[#This Row],[Customer ID]],[1]!Address[ID],[1]!Address[Zone])</f>
        <v>0</v>
      </c>
    </row>
    <row r="2102" spans="1:29" x14ac:dyDescent="0.3">
      <c r="A2102" s="10" t="s">
        <v>13154</v>
      </c>
      <c r="B2102" s="11" t="str">
        <f>_xlfn.XLOOKUP(Customer[[#This Row],[Customer ID]],[1]!Name[ID],[1]!Name[Description(1)])</f>
        <v>YUSUF TAIYOOB SDN BHD</v>
      </c>
      <c r="C2102" s="11" t="str">
        <f>_xlfn.XLOOKUP(Customer[[#This Row],[Customer ID]],[1]!Name[ID],[1]!Name[Description(2)])</f>
        <v>LED</v>
      </c>
      <c r="D2102" s="11" t="str">
        <f>_xlfn.XLOOKUP(Customer[[#This Row],[Customer ID]],[1]!Address[ID],[1]!Address[PIC])</f>
        <v/>
      </c>
      <c r="E2102" s="11" t="str">
        <f>_xlfn.XLOOKUP(Customer[[#This Row],[Customer ID]],[1]!Address[ID],[1]!Address[Full Address])</f>
        <v>SUITE 11.08, 11TH FLOOR, PLAZA MWE,8 LEBUHRAYA FARQUHAR,10200 PENANG, MALAYSIA</v>
      </c>
      <c r="F2102" s="12" t="s">
        <v>13155</v>
      </c>
      <c r="G2102" s="12" t="s">
        <v>13156</v>
      </c>
      <c r="H2102" s="24" t="s">
        <v>13157</v>
      </c>
      <c r="I2102" s="24" t="b">
        <f>ISNUMBER(VALUE(LEFT(Customer[[#This Row],[Address Line 3 (30 char)]],1)))</f>
        <v>0</v>
      </c>
      <c r="J2102" s="12" t="s">
        <v>179</v>
      </c>
      <c r="K2102" s="12">
        <v>10200</v>
      </c>
      <c r="L2102" s="12" t="s">
        <v>35</v>
      </c>
      <c r="M2102" s="13" t="e">
        <v>#N/A</v>
      </c>
      <c r="N2102" s="14" t="e">
        <v>#N/A</v>
      </c>
      <c r="O2102" s="14" t="e">
        <v>#N/A</v>
      </c>
      <c r="P2102" s="14" t="e">
        <v>#N/A</v>
      </c>
      <c r="Q2102" s="14" t="e">
        <v>#N/A</v>
      </c>
      <c r="R2102" s="15" t="s">
        <v>13158</v>
      </c>
      <c r="S2102" s="15" t="s">
        <v>5917</v>
      </c>
      <c r="T2102" s="16"/>
      <c r="U2102" s="11" t="str">
        <f>_xlfn.XLOOKUP(Customer[[#This Row],[Customer ID]],[1]!Address[ID],[1]!Address[Phone No.(2)])</f>
        <v/>
      </c>
      <c r="V2102" s="11" t="str">
        <f>_xlfn.XLOOKUP(Customer[[#This Row],[Customer ID]],[1]!Address[ID],[1]!Address[Type])</f>
        <v>BODG</v>
      </c>
      <c r="W2102" s="11" t="str">
        <f>_xlfn.XLOOKUP(Customer[[#This Row],[Customer ID]],[1]!Address[ID],[1]!Address[CT])</f>
        <v>50% DEPOSIT</v>
      </c>
      <c r="X2102" s="11"/>
      <c r="Y2102" s="17" t="s">
        <v>13115</v>
      </c>
      <c r="Z2102" s="17" t="e">
        <f>_xlfn.XLOOKUP(Customer[[#This Row],[NewType]],$AF$36:$AF$54,$AG$36:$AG$54)</f>
        <v>#N/A</v>
      </c>
      <c r="AA2102" s="17" t="s">
        <v>13159</v>
      </c>
      <c r="AB2102" s="11" t="str">
        <f>_xlfn.XLOOKUP(Customer[[#This Row],[Customer ID]],[1]!Address[ID],[1]!Address[Subtype])</f>
        <v>LED</v>
      </c>
      <c r="AC2102" s="18" t="str">
        <f>_xlfn.XLOOKUP(Customer[[#This Row],[Customer ID]],[1]!Address[ID],[1]!Address[Zone])</f>
        <v>NORTH</v>
      </c>
    </row>
    <row r="2103" spans="1:29" x14ac:dyDescent="0.3">
      <c r="A2103" s="10" t="s">
        <v>13160</v>
      </c>
      <c r="B2103" s="11" t="str">
        <f>_xlfn.XLOOKUP(Customer[[#This Row],[Customer ID]],[1]!Name[ID],[1]!Name[Description(1)])</f>
        <v>SRI TERNAK MART (SK) SDN BHD</v>
      </c>
      <c r="C2103" s="11" t="str">
        <f>_xlfn.XLOOKUP(Customer[[#This Row],[Customer ID]],[1]!Name[ID],[1]!Name[Description(2)])</f>
        <v>LED</v>
      </c>
      <c r="D2103" s="11" t="str">
        <f>_xlfn.XLOOKUP(Customer[[#This Row],[Customer ID]],[1]!Address[ID],[1]!Address[PIC])</f>
        <v/>
      </c>
      <c r="E2103" s="11" t="str">
        <f>_xlfn.XLOOKUP(Customer[[#This Row],[Customer ID]],[1]!Address[ID],[1]!Address[Full Address])</f>
        <v>LOT 3, KOMPLEKS PERNIAGAAN PASAR BORONGSELANGOR, KM10,JALAN PUSAT BANDAR PUTRAPERMAI, 43300 SERI KEMBANGAN, SELANGOR</v>
      </c>
      <c r="F2103" s="12" t="s">
        <v>13161</v>
      </c>
      <c r="G2103" s="12" t="s">
        <v>13162</v>
      </c>
      <c r="H2103" s="12" t="s">
        <v>13163</v>
      </c>
      <c r="I2103" s="12" t="b">
        <f>ISNUMBER(VALUE(LEFT(Customer[[#This Row],[Address Line 3 (30 char)]],1)))</f>
        <v>0</v>
      </c>
      <c r="J2103" s="12" t="s">
        <v>172</v>
      </c>
      <c r="K2103" s="12">
        <v>43300</v>
      </c>
      <c r="L2103" s="12" t="s">
        <v>35</v>
      </c>
      <c r="M2103" s="13" t="e">
        <v>#N/A</v>
      </c>
      <c r="N2103" s="14" t="e">
        <v>#N/A</v>
      </c>
      <c r="O2103" s="14" t="e">
        <v>#N/A</v>
      </c>
      <c r="P2103" s="14" t="e">
        <v>#N/A</v>
      </c>
      <c r="Q2103" s="14" t="e">
        <v>#N/A</v>
      </c>
      <c r="R2103" s="15" t="s">
        <v>13164</v>
      </c>
      <c r="S2103" s="15" t="s">
        <v>5917</v>
      </c>
      <c r="T2103" s="16"/>
      <c r="U2103" s="11" t="str">
        <f>_xlfn.XLOOKUP(Customer[[#This Row],[Customer ID]],[1]!Address[ID],[1]!Address[Phone No.(2)])</f>
        <v/>
      </c>
      <c r="V2103" s="11" t="str">
        <f>_xlfn.XLOOKUP(Customer[[#This Row],[Customer ID]],[1]!Address[ID],[1]!Address[Type])</f>
        <v>BODG</v>
      </c>
      <c r="W2103" s="11" t="str">
        <f>_xlfn.XLOOKUP(Customer[[#This Row],[Customer ID]],[1]!Address[ID],[1]!Address[CT])</f>
        <v>50% DEPOSIT</v>
      </c>
      <c r="X2103" s="11"/>
      <c r="Y2103" s="17" t="s">
        <v>13115</v>
      </c>
      <c r="Z2103" s="17" t="e">
        <f>_xlfn.XLOOKUP(Customer[[#This Row],[NewType]],$AF$36:$AF$54,$AG$36:$AG$54)</f>
        <v>#N/A</v>
      </c>
      <c r="AA2103" s="17" t="s">
        <v>13165</v>
      </c>
      <c r="AB2103" s="11" t="str">
        <f>_xlfn.XLOOKUP(Customer[[#This Row],[Customer ID]],[1]!Address[ID],[1]!Address[Subtype])</f>
        <v>LED</v>
      </c>
      <c r="AC2103" s="18" t="str">
        <f>_xlfn.XLOOKUP(Customer[[#This Row],[Customer ID]],[1]!Address[ID],[1]!Address[Zone])</f>
        <v>CENTRAL</v>
      </c>
    </row>
    <row r="2104" spans="1:29" x14ac:dyDescent="0.3">
      <c r="A2104" s="10" t="s">
        <v>13166</v>
      </c>
      <c r="B2104" s="11" t="str">
        <f>_xlfn.XLOOKUP(Customer[[#This Row],[Customer ID]],[1]!Name[ID],[1]!Name[Description(1)])</f>
        <v>POS MALAYSIA BERHAD</v>
      </c>
      <c r="C2104" s="11" t="str">
        <f>_xlfn.XLOOKUP(Customer[[#This Row],[Customer ID]],[1]!Name[ID],[1]!Name[Description(2)])</f>
        <v>LED</v>
      </c>
      <c r="D2104" s="11" t="str">
        <f>_xlfn.XLOOKUP(Customer[[#This Row],[Customer ID]],[1]!Address[ID],[1]!Address[PIC])</f>
        <v/>
      </c>
      <c r="E2104" s="11" t="str">
        <f>_xlfn.XLOOKUP(Customer[[#This Row],[Customer ID]],[1]!Address[ID],[1]!Address[Full Address])</f>
        <v>TINGKAT 1, DAYABUMI, KUALA LUMPUR CITYCENTRE, 50670 KUALA LUMPUR,FEDERAL TERITORY KUALA LUMPUR</v>
      </c>
      <c r="F2104" s="12" t="s">
        <v>13167</v>
      </c>
      <c r="G2104" s="12" t="s">
        <v>13168</v>
      </c>
      <c r="H2104" s="12" t="s">
        <v>13169</v>
      </c>
      <c r="I2104" s="12" t="b">
        <f>ISNUMBER(VALUE(LEFT(Customer[[#This Row],[Address Line 3 (30 char)]],1)))</f>
        <v>0</v>
      </c>
      <c r="J2104" s="12" t="s">
        <v>34</v>
      </c>
      <c r="K2104" s="12">
        <v>50670</v>
      </c>
      <c r="L2104" s="12" t="s">
        <v>35</v>
      </c>
      <c r="M2104" s="13" t="e">
        <v>#N/A</v>
      </c>
      <c r="N2104" s="14" t="e">
        <v>#N/A</v>
      </c>
      <c r="O2104" s="14" t="e">
        <v>#N/A</v>
      </c>
      <c r="P2104" s="14" t="e">
        <v>#N/A</v>
      </c>
      <c r="Q2104" s="14" t="e">
        <v>#N/A</v>
      </c>
      <c r="R2104" s="15" t="s">
        <v>13170</v>
      </c>
      <c r="S2104" s="15" t="s">
        <v>5917</v>
      </c>
      <c r="T2104" s="16" t="s">
        <v>3477</v>
      </c>
      <c r="U2104" s="11" t="str">
        <f>_xlfn.XLOOKUP(Customer[[#This Row],[Customer ID]],[1]!Address[ID],[1]!Address[Phone No.(2)])</f>
        <v/>
      </c>
      <c r="V2104" s="11" t="str">
        <f>_xlfn.XLOOKUP(Customer[[#This Row],[Customer ID]],[1]!Address[ID],[1]!Address[Type])</f>
        <v>BODG</v>
      </c>
      <c r="W2104" s="11" t="str">
        <f>_xlfn.XLOOKUP(Customer[[#This Row],[Customer ID]],[1]!Address[ID],[1]!Address[CT])</f>
        <v>50% DEPOSIT</v>
      </c>
      <c r="X2104" s="11"/>
      <c r="Y2104" s="17" t="s">
        <v>13115</v>
      </c>
      <c r="Z2104" s="17" t="e">
        <f>_xlfn.XLOOKUP(Customer[[#This Row],[NewType]],$AF$36:$AF$54,$AG$36:$AG$54)</f>
        <v>#N/A</v>
      </c>
      <c r="AA2104" s="17" t="s">
        <v>13171</v>
      </c>
      <c r="AB2104" s="11" t="str">
        <f>_xlfn.XLOOKUP(Customer[[#This Row],[Customer ID]],[1]!Address[ID],[1]!Address[Subtype])</f>
        <v>LED</v>
      </c>
      <c r="AC2104" s="18" t="str">
        <f>_xlfn.XLOOKUP(Customer[[#This Row],[Customer ID]],[1]!Address[ID],[1]!Address[Zone])</f>
        <v>CENTRAL</v>
      </c>
    </row>
    <row r="2105" spans="1:29" x14ac:dyDescent="0.3">
      <c r="A2105" s="10" t="s">
        <v>13172</v>
      </c>
      <c r="B2105" s="11" t="str">
        <f>_xlfn.XLOOKUP(Customer[[#This Row],[Customer ID]],[1]!Name[ID],[1]!Name[Description(1)])</f>
        <v>UN ACADEMY</v>
      </c>
      <c r="C2105" s="11" t="str">
        <f>_xlfn.XLOOKUP(Customer[[#This Row],[Customer ID]],[1]!Name[ID],[1]!Name[Description(2)])</f>
        <v>LED</v>
      </c>
      <c r="D2105" s="11" t="str">
        <f>_xlfn.XLOOKUP(Customer[[#This Row],[Customer ID]],[1]!Address[ID],[1]!Address[PIC])</f>
        <v/>
      </c>
      <c r="E2105" s="11" t="str">
        <f>_xlfn.XLOOKUP(Customer[[#This Row],[Customer ID]],[1]!Address[ID],[1]!Address[Full Address])</f>
        <v>LOT 371-4, JALAN LEDANG, OFF JALAN DUTA50480 KUALA LUMPUR</v>
      </c>
      <c r="F2105" s="12" t="s">
        <v>13173</v>
      </c>
      <c r="G2105" s="12" t="s">
        <v>13174</v>
      </c>
      <c r="H2105" s="12" t="s">
        <v>13175</v>
      </c>
      <c r="I2105" s="12" t="b">
        <f>ISNUMBER(VALUE(LEFT(Customer[[#This Row],[Address Line 3 (30 char)]],1)))</f>
        <v>0</v>
      </c>
      <c r="J2105" s="12" t="s">
        <v>34</v>
      </c>
      <c r="K2105" s="12">
        <v>50480</v>
      </c>
      <c r="L2105" s="12" t="s">
        <v>35</v>
      </c>
      <c r="M2105" s="13" t="e">
        <v>#N/A</v>
      </c>
      <c r="N2105" s="14" t="e">
        <v>#N/A</v>
      </c>
      <c r="O2105" s="14" t="e">
        <v>#N/A</v>
      </c>
      <c r="P2105" s="14" t="e">
        <v>#N/A</v>
      </c>
      <c r="Q2105" s="14" t="e">
        <v>#N/A</v>
      </c>
      <c r="R2105" s="15" t="s">
        <v>13176</v>
      </c>
      <c r="S2105" s="15" t="s">
        <v>5917</v>
      </c>
      <c r="T2105" s="16"/>
      <c r="U2105" s="11" t="str">
        <f>_xlfn.XLOOKUP(Customer[[#This Row],[Customer ID]],[1]!Address[ID],[1]!Address[Phone No.(2)])</f>
        <v/>
      </c>
      <c r="V2105" s="11" t="str">
        <f>_xlfn.XLOOKUP(Customer[[#This Row],[Customer ID]],[1]!Address[ID],[1]!Address[Type])</f>
        <v>BODG</v>
      </c>
      <c r="W2105" s="11" t="str">
        <f>_xlfn.XLOOKUP(Customer[[#This Row],[Customer ID]],[1]!Address[ID],[1]!Address[CT])</f>
        <v>50% DEPOSIT</v>
      </c>
      <c r="X2105" s="11"/>
      <c r="Y2105" s="17" t="s">
        <v>13115</v>
      </c>
      <c r="Z2105" s="17" t="e">
        <f>_xlfn.XLOOKUP(Customer[[#This Row],[NewType]],$AF$36:$AF$54,$AG$36:$AG$54)</f>
        <v>#N/A</v>
      </c>
      <c r="AA2105" s="17" t="s">
        <v>13177</v>
      </c>
      <c r="AB2105" s="11" t="str">
        <f>_xlfn.XLOOKUP(Customer[[#This Row],[Customer ID]],[1]!Address[ID],[1]!Address[Subtype])</f>
        <v>LED</v>
      </c>
      <c r="AC2105" s="18" t="str">
        <f>_xlfn.XLOOKUP(Customer[[#This Row],[Customer ID]],[1]!Address[ID],[1]!Address[Zone])</f>
        <v>CENTRAL</v>
      </c>
    </row>
    <row r="2106" spans="1:29" x14ac:dyDescent="0.3">
      <c r="A2106" s="10" t="s">
        <v>13178</v>
      </c>
      <c r="B2106" s="11" t="str">
        <f>_xlfn.XLOOKUP(Customer[[#This Row],[Customer ID]],[1]!Name[ID],[1]!Name[Description(1)])</f>
        <v>RABBISYFINA FOOD INDUSTRY</v>
      </c>
      <c r="C2106" s="11" t="str">
        <f>_xlfn.XLOOKUP(Customer[[#This Row],[Customer ID]],[1]!Name[ID],[1]!Name[Description(2)])</f>
        <v>LED</v>
      </c>
      <c r="D2106" s="11" t="str">
        <f>_xlfn.XLOOKUP(Customer[[#This Row],[Customer ID]],[1]!Address[ID],[1]!Address[PIC])</f>
        <v/>
      </c>
      <c r="E2106" s="11" t="str">
        <f>_xlfn.XLOOKUP(Customer[[#This Row],[Customer ID]],[1]!Address[ID],[1]!Address[Full Address])</f>
        <v>23,25 JALAN DESA RAKYAT 2,TAMAN DESA RAKYAT,81700 PASIR GUDANG, JOHOR.</v>
      </c>
      <c r="F2106" s="12" t="s">
        <v>13179</v>
      </c>
      <c r="G2106" s="12" t="s">
        <v>13180</v>
      </c>
      <c r="H2106" s="24" t="s">
        <v>13181</v>
      </c>
      <c r="I2106" s="24" t="b">
        <f>ISNUMBER(VALUE(LEFT(Customer[[#This Row],[Address Line 3 (30 char)]],1)))</f>
        <v>0</v>
      </c>
      <c r="J2106" s="12" t="s">
        <v>52</v>
      </c>
      <c r="K2106" s="12">
        <v>81700</v>
      </c>
      <c r="L2106" s="12" t="s">
        <v>35</v>
      </c>
      <c r="M2106" s="13" t="e">
        <v>#N/A</v>
      </c>
      <c r="N2106" s="14" t="e">
        <v>#N/A</v>
      </c>
      <c r="O2106" s="14" t="e">
        <v>#N/A</v>
      </c>
      <c r="P2106" s="14" t="e">
        <v>#N/A</v>
      </c>
      <c r="Q2106" s="14" t="e">
        <v>#N/A</v>
      </c>
      <c r="R2106" s="15" t="s">
        <v>13182</v>
      </c>
      <c r="S2106" s="15" t="s">
        <v>5917</v>
      </c>
      <c r="T2106" s="16"/>
      <c r="U2106" s="11" t="str">
        <f>_xlfn.XLOOKUP(Customer[[#This Row],[Customer ID]],[1]!Address[ID],[1]!Address[Phone No.(2)])</f>
        <v/>
      </c>
      <c r="V2106" s="11" t="str">
        <f>_xlfn.XLOOKUP(Customer[[#This Row],[Customer ID]],[1]!Address[ID],[1]!Address[Type])</f>
        <v>BODG</v>
      </c>
      <c r="W2106" s="11" t="str">
        <f>_xlfn.XLOOKUP(Customer[[#This Row],[Customer ID]],[1]!Address[ID],[1]!Address[CT])</f>
        <v>50% DEPOSIT</v>
      </c>
      <c r="X2106" s="11"/>
      <c r="Y2106" s="17" t="s">
        <v>13115</v>
      </c>
      <c r="Z2106" s="17" t="e">
        <f>_xlfn.XLOOKUP(Customer[[#This Row],[NewType]],$AF$36:$AF$54,$AG$36:$AG$54)</f>
        <v>#N/A</v>
      </c>
      <c r="AA2106" s="17" t="s">
        <v>13183</v>
      </c>
      <c r="AB2106" s="11" t="str">
        <f>_xlfn.XLOOKUP(Customer[[#This Row],[Customer ID]],[1]!Address[ID],[1]!Address[Subtype])</f>
        <v>LED</v>
      </c>
      <c r="AC2106" s="18" t="str">
        <f>_xlfn.XLOOKUP(Customer[[#This Row],[Customer ID]],[1]!Address[ID],[1]!Address[Zone])</f>
        <v>SOUTH</v>
      </c>
    </row>
    <row r="2107" spans="1:29" x14ac:dyDescent="0.3">
      <c r="A2107" s="10" t="s">
        <v>13184</v>
      </c>
      <c r="B2107" s="11" t="str">
        <f>_xlfn.XLOOKUP(Customer[[#This Row],[Customer ID]],[1]!Name[ID],[1]!Name[Description(1)])</f>
        <v>REMPAH WAU TRADISI</v>
      </c>
      <c r="C2107" s="11" t="str">
        <f>_xlfn.XLOOKUP(Customer[[#This Row],[Customer ID]],[1]!Name[ID],[1]!Name[Description(2)])</f>
        <v>LED</v>
      </c>
      <c r="D2107" s="11" t="str">
        <f>_xlfn.XLOOKUP(Customer[[#This Row],[Customer ID]],[1]!Address[ID],[1]!Address[PIC])</f>
        <v/>
      </c>
      <c r="E2107" s="11" t="str">
        <f>_xlfn.XLOOKUP(Customer[[#This Row],[Customer ID]],[1]!Address[ID],[1]!Address[Full Address])</f>
        <v>B3-B5 KOMPLEKS PREMIS USAHAWANSME BANK (KOTA BHARU 1),KAW. PERINDUSTRIAN PENGKALAN CHEPA,16100 KOTA BHARU, KELANTAN.</v>
      </c>
      <c r="F2107" s="12" t="s">
        <v>13185</v>
      </c>
      <c r="G2107" s="12" t="s">
        <v>13186</v>
      </c>
      <c r="H2107" s="12" t="s">
        <v>13187</v>
      </c>
      <c r="I2107" s="12" t="b">
        <f>ISNUMBER(VALUE(LEFT(Customer[[#This Row],[Address Line 3 (30 char)]],1)))</f>
        <v>0</v>
      </c>
      <c r="J2107" s="12" t="s">
        <v>1007</v>
      </c>
      <c r="K2107" s="12">
        <v>16100</v>
      </c>
      <c r="L2107" s="12" t="s">
        <v>35</v>
      </c>
      <c r="M2107" s="13" t="e">
        <v>#N/A</v>
      </c>
      <c r="N2107" s="14" t="e">
        <v>#N/A</v>
      </c>
      <c r="O2107" s="14" t="e">
        <v>#N/A</v>
      </c>
      <c r="P2107" s="14" t="e">
        <v>#N/A</v>
      </c>
      <c r="Q2107" s="14" t="e">
        <v>#N/A</v>
      </c>
      <c r="R2107" s="15" t="s">
        <v>13188</v>
      </c>
      <c r="S2107" s="15" t="s">
        <v>5917</v>
      </c>
      <c r="T2107" s="16"/>
      <c r="U2107" s="11" t="str">
        <f>_xlfn.XLOOKUP(Customer[[#This Row],[Customer ID]],[1]!Address[ID],[1]!Address[Phone No.(2)])</f>
        <v/>
      </c>
      <c r="V2107" s="11" t="str">
        <f>_xlfn.XLOOKUP(Customer[[#This Row],[Customer ID]],[1]!Address[ID],[1]!Address[Type])</f>
        <v>BODG</v>
      </c>
      <c r="W2107" s="11" t="str">
        <f>_xlfn.XLOOKUP(Customer[[#This Row],[Customer ID]],[1]!Address[ID],[1]!Address[CT])</f>
        <v>50% DEPOSIT</v>
      </c>
      <c r="X2107" s="11"/>
      <c r="Y2107" s="17" t="s">
        <v>13115</v>
      </c>
      <c r="Z2107" s="17" t="e">
        <f>_xlfn.XLOOKUP(Customer[[#This Row],[NewType]],$AF$36:$AF$54,$AG$36:$AG$54)</f>
        <v>#N/A</v>
      </c>
      <c r="AA2107" s="17" t="s">
        <v>13189</v>
      </c>
      <c r="AB2107" s="11" t="str">
        <f>_xlfn.XLOOKUP(Customer[[#This Row],[Customer ID]],[1]!Address[ID],[1]!Address[Subtype])</f>
        <v>LED</v>
      </c>
      <c r="AC2107" s="18" t="str">
        <f>_xlfn.XLOOKUP(Customer[[#This Row],[Customer ID]],[1]!Address[ID],[1]!Address[Zone])</f>
        <v>EAST COAST</v>
      </c>
    </row>
    <row r="2108" spans="1:29" x14ac:dyDescent="0.3">
      <c r="A2108" s="27" t="s">
        <v>13190</v>
      </c>
      <c r="B2108" s="28" t="str">
        <f>_xlfn.XLOOKUP(Customer[[#This Row],[Customer ID]],[1]!Name[ID],[1]!Name[Description(1)])</f>
        <v>MUMMY RQ SDN BHD</v>
      </c>
      <c r="C2108" s="11" t="str">
        <f>_xlfn.XLOOKUP(Customer[[#This Row],[Customer ID]],[1]!Name[ID],[1]!Name[Description(2)])</f>
        <v>LED</v>
      </c>
      <c r="D2108" s="11" t="str">
        <f>_xlfn.XLOOKUP(Customer[[#This Row],[Customer ID]],[1]!Address[ID],[1]!Address[PIC])</f>
        <v/>
      </c>
      <c r="E2108" s="11" t="str">
        <f>_xlfn.XLOOKUP(Customer[[#This Row],[Customer ID]],[1]!Address[ID],[1]!Address[Full Address])</f>
        <v>C4,C5,C6 KEDAH HALAL PARKKAWASAN PERINDUSTRIAN SUNGAI PETANI08000 SUNGAI PETANI, KEDAH</v>
      </c>
      <c r="F2108" s="12" t="s">
        <v>13191</v>
      </c>
      <c r="G2108" s="12" t="s">
        <v>13192</v>
      </c>
      <c r="H2108" s="12" t="s">
        <v>295</v>
      </c>
      <c r="I2108" s="12" t="b">
        <f>ISNUMBER(VALUE(LEFT(Customer[[#This Row],[Address Line 3 (30 char)]],1)))</f>
        <v>0</v>
      </c>
      <c r="J2108" s="12" t="s">
        <v>355</v>
      </c>
      <c r="K2108" s="30" t="s">
        <v>296</v>
      </c>
      <c r="L2108" s="12" t="s">
        <v>35</v>
      </c>
      <c r="M2108" s="13" t="e">
        <v>#N/A</v>
      </c>
      <c r="N2108" s="14" t="e">
        <v>#N/A</v>
      </c>
      <c r="O2108" s="14" t="e">
        <v>#N/A</v>
      </c>
      <c r="P2108" s="14" t="e">
        <v>#N/A</v>
      </c>
      <c r="Q2108" s="14" t="e">
        <v>#N/A</v>
      </c>
      <c r="R2108" s="15" t="s">
        <v>13193</v>
      </c>
      <c r="S2108" s="15" t="s">
        <v>5917</v>
      </c>
      <c r="T2108" s="16"/>
      <c r="U2108" s="11" t="str">
        <f>_xlfn.XLOOKUP(Customer[[#This Row],[Customer ID]],[1]!Address[ID],[1]!Address[Phone No.(2)])</f>
        <v/>
      </c>
      <c r="V2108" s="11" t="str">
        <f>_xlfn.XLOOKUP(Customer[[#This Row],[Customer ID]],[1]!Address[ID],[1]!Address[Type])</f>
        <v>BODG</v>
      </c>
      <c r="W2108" s="11" t="str">
        <f>_xlfn.XLOOKUP(Customer[[#This Row],[Customer ID]],[1]!Address[ID],[1]!Address[CT])</f>
        <v>50% DEPOSIT</v>
      </c>
      <c r="X2108" s="11"/>
      <c r="Y2108" s="17" t="s">
        <v>13115</v>
      </c>
      <c r="Z2108" s="17" t="e">
        <f>_xlfn.XLOOKUP(Customer[[#This Row],[NewType]],$AF$36:$AF$54,$AG$36:$AG$54)</f>
        <v>#N/A</v>
      </c>
      <c r="AA2108" s="17" t="s">
        <v>13194</v>
      </c>
      <c r="AB2108" s="11" t="str">
        <f>_xlfn.XLOOKUP(Customer[[#This Row],[Customer ID]],[1]!Address[ID],[1]!Address[Subtype])</f>
        <v>LED</v>
      </c>
      <c r="AC2108" s="18" t="str">
        <f>_xlfn.XLOOKUP(Customer[[#This Row],[Customer ID]],[1]!Address[ID],[1]!Address[Zone])</f>
        <v>NORTH</v>
      </c>
    </row>
    <row r="2109" spans="1:29" x14ac:dyDescent="0.3">
      <c r="A2109" s="10" t="s">
        <v>13195</v>
      </c>
      <c r="B2109" s="11" t="str">
        <f>_xlfn.XLOOKUP(Customer[[#This Row],[Customer ID]],[1]!Name[ID],[1]!Name[Description(1)])</f>
        <v>3 BUMI SDN BHD</v>
      </c>
      <c r="C2109" s="11" t="str">
        <f>_xlfn.XLOOKUP(Customer[[#This Row],[Customer ID]],[1]!Name[ID],[1]!Name[Description(2)])</f>
        <v>LED</v>
      </c>
      <c r="D2109" s="11" t="str">
        <f>_xlfn.XLOOKUP(Customer[[#This Row],[Customer ID]],[1]!Address[ID],[1]!Address[PIC])</f>
        <v/>
      </c>
      <c r="E2109" s="11" t="str">
        <f>_xlfn.XLOOKUP(Customer[[#This Row],[Customer ID]],[1]!Address[ID],[1]!Address[Full Address])</f>
        <v>15TH FLOOR, 566 JALAN IPOH,51200 KUALA LUMPUR.</v>
      </c>
      <c r="F2109" s="12" t="s">
        <v>13196</v>
      </c>
      <c r="G2109" s="12"/>
      <c r="H2109" s="12" t="s">
        <v>36</v>
      </c>
      <c r="I2109" s="12" t="b">
        <f>ISNUMBER(VALUE(LEFT(Customer[[#This Row],[Address Line 3 (30 char)]],1)))</f>
        <v>0</v>
      </c>
      <c r="J2109" s="12" t="s">
        <v>34</v>
      </c>
      <c r="K2109" s="12">
        <v>51200</v>
      </c>
      <c r="L2109" s="12" t="s">
        <v>35</v>
      </c>
      <c r="M2109" s="13" t="e">
        <v>#N/A</v>
      </c>
      <c r="N2109" s="14" t="e">
        <v>#N/A</v>
      </c>
      <c r="O2109" s="14" t="e">
        <v>#N/A</v>
      </c>
      <c r="P2109" s="14" t="e">
        <v>#N/A</v>
      </c>
      <c r="Q2109" s="14" t="e">
        <v>#N/A</v>
      </c>
      <c r="R2109" s="15" t="s">
        <v>13197</v>
      </c>
      <c r="S2109" s="15" t="s">
        <v>5917</v>
      </c>
      <c r="T2109" s="16"/>
      <c r="U2109" s="11" t="str">
        <f>_xlfn.XLOOKUP(Customer[[#This Row],[Customer ID]],[1]!Address[ID],[1]!Address[Phone No.(2)])</f>
        <v/>
      </c>
      <c r="V2109" s="11" t="str">
        <f>_xlfn.XLOOKUP(Customer[[#This Row],[Customer ID]],[1]!Address[ID],[1]!Address[Type])</f>
        <v>BODG</v>
      </c>
      <c r="W2109" s="11" t="str">
        <f>_xlfn.XLOOKUP(Customer[[#This Row],[Customer ID]],[1]!Address[ID],[1]!Address[CT])</f>
        <v>50% DEPOSIT</v>
      </c>
      <c r="X2109" s="11"/>
      <c r="Y2109" s="17" t="s">
        <v>13115</v>
      </c>
      <c r="Z2109" s="17" t="e">
        <f>_xlfn.XLOOKUP(Customer[[#This Row],[NewType]],$AF$36:$AF$54,$AG$36:$AG$54)</f>
        <v>#N/A</v>
      </c>
      <c r="AA2109" s="17" t="s">
        <v>13198</v>
      </c>
      <c r="AB2109" s="11" t="str">
        <f>_xlfn.XLOOKUP(Customer[[#This Row],[Customer ID]],[1]!Address[ID],[1]!Address[Subtype])</f>
        <v>LED</v>
      </c>
      <c r="AC2109" s="18" t="str">
        <f>_xlfn.XLOOKUP(Customer[[#This Row],[Customer ID]],[1]!Address[ID],[1]!Address[Zone])</f>
        <v>CENTRAL</v>
      </c>
    </row>
    <row r="2110" spans="1:29" x14ac:dyDescent="0.3">
      <c r="A2110" s="10" t="s">
        <v>13199</v>
      </c>
      <c r="B2110" s="11" t="str">
        <f>_xlfn.XLOOKUP(Customer[[#This Row],[Customer ID]],[1]!Name[ID],[1]!Name[Description(1)])</f>
        <v>D'ERA POUCH INDUSTRIES SDN BHD</v>
      </c>
      <c r="C2110" s="11" t="str">
        <f>_xlfn.XLOOKUP(Customer[[#This Row],[Customer ID]],[1]!Name[ID],[1]!Name[Description(2)])</f>
        <v>LED</v>
      </c>
      <c r="D2110" s="11" t="str">
        <f>_xlfn.XLOOKUP(Customer[[#This Row],[Customer ID]],[1]!Address[ID],[1]!Address[PIC])</f>
        <v/>
      </c>
      <c r="E2110" s="11" t="str">
        <f>_xlfn.XLOOKUP(Customer[[#This Row],[Customer ID]],[1]!Address[ID],[1]!Address[Full Address])</f>
        <v>NO 610 JALAN NILAI 3/15,KAWASAN PERINDUSTRIAN NILAI 3,71800 NILAI, NEGERI SEMBILAN</v>
      </c>
      <c r="F2110" s="12" t="s">
        <v>13200</v>
      </c>
      <c r="G2110" s="12" t="s">
        <v>13201</v>
      </c>
      <c r="H2110" s="24" t="s">
        <v>2620</v>
      </c>
      <c r="I2110" s="24" t="b">
        <f>ISNUMBER(VALUE(LEFT(Customer[[#This Row],[Address Line 3 (30 char)]],1)))</f>
        <v>0</v>
      </c>
      <c r="J2110" s="12" t="s">
        <v>203</v>
      </c>
      <c r="K2110" s="12">
        <v>71800</v>
      </c>
      <c r="L2110" s="12" t="s">
        <v>35</v>
      </c>
      <c r="M2110" s="13" t="e">
        <v>#N/A</v>
      </c>
      <c r="N2110" s="14" t="e">
        <v>#N/A</v>
      </c>
      <c r="O2110" s="14" t="e">
        <v>#N/A</v>
      </c>
      <c r="P2110" s="14" t="e">
        <v>#N/A</v>
      </c>
      <c r="Q2110" s="14" t="e">
        <v>#N/A</v>
      </c>
      <c r="R2110" s="15" t="s">
        <v>13202</v>
      </c>
      <c r="S2110" s="15" t="s">
        <v>5917</v>
      </c>
      <c r="T2110" s="16"/>
      <c r="U2110" s="11" t="str">
        <f>_xlfn.XLOOKUP(Customer[[#This Row],[Customer ID]],[1]!Address[ID],[1]!Address[Phone No.(2)])</f>
        <v/>
      </c>
      <c r="V2110" s="11" t="str">
        <f>_xlfn.XLOOKUP(Customer[[#This Row],[Customer ID]],[1]!Address[ID],[1]!Address[Type])</f>
        <v>BODG</v>
      </c>
      <c r="W2110" s="11" t="str">
        <f>_xlfn.XLOOKUP(Customer[[#This Row],[Customer ID]],[1]!Address[ID],[1]!Address[CT])</f>
        <v>50% DEPOSIT</v>
      </c>
      <c r="X2110" s="11"/>
      <c r="Y2110" s="17" t="s">
        <v>13115</v>
      </c>
      <c r="Z2110" s="17" t="e">
        <f>_xlfn.XLOOKUP(Customer[[#This Row],[NewType]],$AF$36:$AF$54,$AG$36:$AG$54)</f>
        <v>#N/A</v>
      </c>
      <c r="AA2110" s="17" t="s">
        <v>13203</v>
      </c>
      <c r="AB2110" s="11" t="str">
        <f>_xlfn.XLOOKUP(Customer[[#This Row],[Customer ID]],[1]!Address[ID],[1]!Address[Subtype])</f>
        <v>LED</v>
      </c>
      <c r="AC2110" s="18" t="str">
        <f>_xlfn.XLOOKUP(Customer[[#This Row],[Customer ID]],[1]!Address[ID],[1]!Address[Zone])</f>
        <v>CENTRAL</v>
      </c>
    </row>
    <row r="2111" spans="1:29" x14ac:dyDescent="0.3">
      <c r="A2111" s="10" t="s">
        <v>13204</v>
      </c>
      <c r="B2111" s="11" t="str">
        <f>_xlfn.XLOOKUP(Customer[[#This Row],[Customer ID]],[1]!Name[ID],[1]!Name[Description(1)])</f>
        <v>HANNAHFNB</v>
      </c>
      <c r="C2111" s="11" t="str">
        <f>_xlfn.XLOOKUP(Customer[[#This Row],[Customer ID]],[1]!Name[ID],[1]!Name[Description(2)])</f>
        <v>LED</v>
      </c>
      <c r="D2111" s="11" t="str">
        <f>_xlfn.XLOOKUP(Customer[[#This Row],[Customer ID]],[1]!Address[ID],[1]!Address[PIC])</f>
        <v/>
      </c>
      <c r="E2111" s="11" t="str">
        <f>_xlfn.XLOOKUP(Customer[[#This Row],[Customer ID]],[1]!Address[ID],[1]!Address[Full Address])</f>
        <v>NO.71, JALAN ECO 1, ZON INDUSTRI AYERKEROH BARU, HANG TUAH JAYA,75450 AYER KEROH, MELAKA</v>
      </c>
      <c r="F2111" s="12" t="s">
        <v>13205</v>
      </c>
      <c r="G2111" s="12" t="s">
        <v>13206</v>
      </c>
      <c r="H2111" s="12" t="s">
        <v>13207</v>
      </c>
      <c r="I2111" s="12" t="b">
        <f>ISNUMBER(VALUE(LEFT(Customer[[#This Row],[Address Line 3 (30 char)]],1)))</f>
        <v>0</v>
      </c>
      <c r="J2111" s="12" t="s">
        <v>61</v>
      </c>
      <c r="K2111" s="12">
        <v>75450</v>
      </c>
      <c r="L2111" s="12" t="s">
        <v>35</v>
      </c>
      <c r="M2111" s="13" t="e">
        <v>#N/A</v>
      </c>
      <c r="N2111" s="14" t="e">
        <v>#N/A</v>
      </c>
      <c r="O2111" s="14" t="e">
        <v>#N/A</v>
      </c>
      <c r="P2111" s="14" t="e">
        <v>#N/A</v>
      </c>
      <c r="Q2111" s="14" t="e">
        <v>#N/A</v>
      </c>
      <c r="R2111" s="15" t="s">
        <v>13208</v>
      </c>
      <c r="S2111" s="15" t="s">
        <v>5917</v>
      </c>
      <c r="T2111" s="16"/>
      <c r="U2111" s="11" t="str">
        <f>_xlfn.XLOOKUP(Customer[[#This Row],[Customer ID]],[1]!Address[ID],[1]!Address[Phone No.(2)])</f>
        <v/>
      </c>
      <c r="V2111" s="11" t="str">
        <f>_xlfn.XLOOKUP(Customer[[#This Row],[Customer ID]],[1]!Address[ID],[1]!Address[Type])</f>
        <v>BODG</v>
      </c>
      <c r="W2111" s="11" t="str">
        <f>_xlfn.XLOOKUP(Customer[[#This Row],[Customer ID]],[1]!Address[ID],[1]!Address[CT])</f>
        <v>50% DEPOSIT</v>
      </c>
      <c r="X2111" s="11"/>
      <c r="Y2111" s="17" t="s">
        <v>13115</v>
      </c>
      <c r="Z2111" s="17" t="e">
        <f>_xlfn.XLOOKUP(Customer[[#This Row],[NewType]],$AF$36:$AF$54,$AG$36:$AG$54)</f>
        <v>#N/A</v>
      </c>
      <c r="AA2111" s="17" t="s">
        <v>13209</v>
      </c>
      <c r="AB2111" s="11" t="str">
        <f>_xlfn.XLOOKUP(Customer[[#This Row],[Customer ID]],[1]!Address[ID],[1]!Address[Subtype])</f>
        <v>LED</v>
      </c>
      <c r="AC2111" s="18" t="str">
        <f>_xlfn.XLOOKUP(Customer[[#This Row],[Customer ID]],[1]!Address[ID],[1]!Address[Zone])</f>
        <v>SOUTH</v>
      </c>
    </row>
    <row r="2112" spans="1:29" x14ac:dyDescent="0.3">
      <c r="A2112" s="10" t="s">
        <v>13210</v>
      </c>
      <c r="B2112" s="11" t="str">
        <f>_xlfn.XLOOKUP(Customer[[#This Row],[Customer ID]],[1]!Name[ID],[1]!Name[Description(1)])</f>
        <v>PAK MAN INDUSTRIES SDN BHD</v>
      </c>
      <c r="C2112" s="11" t="str">
        <f>_xlfn.XLOOKUP(Customer[[#This Row],[Customer ID]],[1]!Name[ID],[1]!Name[Description(2)])</f>
        <v>LED</v>
      </c>
      <c r="D2112" s="11" t="str">
        <f>_xlfn.XLOOKUP(Customer[[#This Row],[Customer ID]],[1]!Address[ID],[1]!Address[PIC])</f>
        <v/>
      </c>
      <c r="E2112" s="11" t="str">
        <f>_xlfn.XLOOKUP(Customer[[#This Row],[Customer ID]],[1]!Address[ID],[1]!Address[Full Address])</f>
        <v>NO.21 JALAN KPTU 3,KAWASAN PERINDUSTRIANTASIK UTAMA, DURIAN TUNGGAL,76100 HANG TUAH JAYA, MELAKA</v>
      </c>
      <c r="F2112" s="12" t="s">
        <v>13211</v>
      </c>
      <c r="G2112" s="12" t="s">
        <v>13212</v>
      </c>
      <c r="H2112" s="12" t="s">
        <v>13213</v>
      </c>
      <c r="I2112" s="12" t="b">
        <f>ISNUMBER(VALUE(LEFT(Customer[[#This Row],[Address Line 3 (30 char)]],1)))</f>
        <v>0</v>
      </c>
      <c r="J2112" s="12" t="s">
        <v>61</v>
      </c>
      <c r="K2112" s="12">
        <v>76100</v>
      </c>
      <c r="L2112" s="12" t="s">
        <v>35</v>
      </c>
      <c r="M2112" s="13" t="e">
        <v>#N/A</v>
      </c>
      <c r="N2112" s="14" t="e">
        <v>#N/A</v>
      </c>
      <c r="O2112" s="14" t="e">
        <v>#N/A</v>
      </c>
      <c r="P2112" s="14" t="e">
        <v>#N/A</v>
      </c>
      <c r="Q2112" s="14" t="e">
        <v>#N/A</v>
      </c>
      <c r="R2112" s="15" t="s">
        <v>13214</v>
      </c>
      <c r="S2112" s="15" t="s">
        <v>5917</v>
      </c>
      <c r="T2112" s="16"/>
      <c r="U2112" s="11" t="str">
        <f>_xlfn.XLOOKUP(Customer[[#This Row],[Customer ID]],[1]!Address[ID],[1]!Address[Phone No.(2)])</f>
        <v/>
      </c>
      <c r="V2112" s="11" t="str">
        <f>_xlfn.XLOOKUP(Customer[[#This Row],[Customer ID]],[1]!Address[ID],[1]!Address[Type])</f>
        <v>BODG</v>
      </c>
      <c r="W2112" s="11" t="str">
        <f>_xlfn.XLOOKUP(Customer[[#This Row],[Customer ID]],[1]!Address[ID],[1]!Address[CT])</f>
        <v>50% DEPOSIT</v>
      </c>
      <c r="X2112" s="11"/>
      <c r="Y2112" s="17" t="s">
        <v>13115</v>
      </c>
      <c r="Z2112" s="17" t="e">
        <f>_xlfn.XLOOKUP(Customer[[#This Row],[NewType]],$AF$36:$AF$54,$AG$36:$AG$54)</f>
        <v>#N/A</v>
      </c>
      <c r="AA2112" s="17" t="s">
        <v>13215</v>
      </c>
      <c r="AB2112" s="11" t="str">
        <f>_xlfn.XLOOKUP(Customer[[#This Row],[Customer ID]],[1]!Address[ID],[1]!Address[Subtype])</f>
        <v>LED</v>
      </c>
      <c r="AC2112" s="18" t="str">
        <f>_xlfn.XLOOKUP(Customer[[#This Row],[Customer ID]],[1]!Address[ID],[1]!Address[Zone])</f>
        <v>SOUTH</v>
      </c>
    </row>
    <row r="2113" spans="1:29" x14ac:dyDescent="0.3">
      <c r="A2113" s="46" t="s">
        <v>13216</v>
      </c>
      <c r="B2113" s="24" t="str">
        <f>_xlfn.XLOOKUP(Customer[[#This Row],[Customer ID]],[1]!Name[ID],[1]!Name[Description(1)])</f>
        <v>COMPLIMENTARY MANAGEMENT</v>
      </c>
      <c r="C2113" s="24" t="str">
        <f>_xlfn.XLOOKUP(Customer[[#This Row],[Customer ID]],[1]!Name[ID],[1]!Name[Description(2)])</f>
        <v/>
      </c>
      <c r="D2113" s="11" t="str">
        <f>_xlfn.XLOOKUP(Customer[[#This Row],[Customer ID]],[1]!Address[ID],[1]!Address[PIC])</f>
        <v/>
      </c>
      <c r="E2113" s="11" t="str">
        <f>_xlfn.XLOOKUP(Customer[[#This Row],[Customer ID]],[1]!Address[ID],[1]!Address[Full Address])</f>
        <v/>
      </c>
      <c r="F2113" s="12" t="s">
        <v>36</v>
      </c>
      <c r="G2113" s="12" t="s">
        <v>36</v>
      </c>
      <c r="H2113" s="12" t="s">
        <v>36</v>
      </c>
      <c r="I2113" s="12" t="b">
        <f>ISNUMBER(VALUE(LEFT(Customer[[#This Row],[Address Line 3 (30 char)]],1)))</f>
        <v>0</v>
      </c>
      <c r="J2113" s="24"/>
      <c r="K2113" s="24"/>
      <c r="L2113" s="12" t="s">
        <v>35</v>
      </c>
      <c r="M2113" s="13" t="e">
        <v>#N/A</v>
      </c>
      <c r="N2113" s="14" t="e">
        <v>#N/A</v>
      </c>
      <c r="O2113" s="14" t="e">
        <v>#N/A</v>
      </c>
      <c r="P2113" s="14" t="e">
        <v>#N/A</v>
      </c>
      <c r="Q2113" s="14" t="e">
        <v>#N/A</v>
      </c>
      <c r="R2113" s="15" t="s">
        <v>36</v>
      </c>
      <c r="S2113" s="15"/>
      <c r="T2113" s="16"/>
      <c r="U2113" s="11" t="str">
        <f>_xlfn.XLOOKUP(Customer[[#This Row],[Customer ID]],[1]!Address[ID],[1]!Address[Phone No.(2)])</f>
        <v/>
      </c>
      <c r="V2113" s="11" t="str">
        <f>_xlfn.XLOOKUP(Customer[[#This Row],[Customer ID]],[1]!Address[ID],[1]!Address[Type])</f>
        <v/>
      </c>
      <c r="W2113" s="11" t="str">
        <f>_xlfn.XLOOKUP(Customer[[#This Row],[Customer ID]],[1]!Address[ID],[1]!Address[CT])</f>
        <v/>
      </c>
      <c r="X2113" s="11"/>
      <c r="Y2113" s="17" t="s">
        <v>6418</v>
      </c>
      <c r="Z2113" s="17" t="e">
        <f>_xlfn.XLOOKUP(Customer[[#This Row],[NewType]],$AF$36:$AF$54,$AG$36:$AG$54)</f>
        <v>#N/A</v>
      </c>
      <c r="AA2113" s="17" t="s">
        <v>13217</v>
      </c>
      <c r="AB2113" s="11" t="str">
        <f>_xlfn.XLOOKUP(Customer[[#This Row],[Customer ID]],[1]!Address[ID],[1]!Address[Subtype])</f>
        <v/>
      </c>
      <c r="AC2113" s="18">
        <f>_xlfn.XLOOKUP(Customer[[#This Row],[Customer ID]],[1]!Address[ID],[1]!Address[Zone])</f>
        <v>0</v>
      </c>
    </row>
    <row r="2114" spans="1:29" x14ac:dyDescent="0.3">
      <c r="A2114" s="48" t="s">
        <v>13218</v>
      </c>
      <c r="B2114" s="49" t="str">
        <f>_xlfn.XLOOKUP(Customer[[#This Row],[Customer ID]],[1]!Name[ID],[1]!Name[Description(1)])</f>
        <v>KIMAN NIAGA SHOES &amp; APPAREL</v>
      </c>
      <c r="C2114" s="11" t="str">
        <f>_xlfn.XLOOKUP(Customer[[#This Row],[Customer ID]],[1]!Name[ID],[1]!Name[Description(2)])</f>
        <v/>
      </c>
      <c r="D2114" s="11" t="str">
        <f>_xlfn.XLOOKUP(Customer[[#This Row],[Customer ID]],[1]!Address[ID],[1]!Address[PIC])</f>
        <v>NATASHA ZAMILEY</v>
      </c>
      <c r="E2114" s="11" t="str">
        <f>_xlfn.XLOOKUP(Customer[[#This Row],[Customer ID]],[1]!Address[ID],[1]!Address[Full Address])</f>
        <v>74E KG LOSONG HAJI SU 21000KUALA TERENGGANU, TERENGGANU</v>
      </c>
      <c r="F2114" s="12" t="s">
        <v>13219</v>
      </c>
      <c r="G2114" s="12" t="s">
        <v>12929</v>
      </c>
      <c r="H2114" s="12" t="s">
        <v>36</v>
      </c>
      <c r="I2114" s="12" t="b">
        <f>ISNUMBER(VALUE(LEFT(Customer[[#This Row],[Address Line 3 (30 char)]],1)))</f>
        <v>0</v>
      </c>
      <c r="J2114" s="12" t="s">
        <v>1056</v>
      </c>
      <c r="K2114" s="12">
        <v>21000</v>
      </c>
      <c r="L2114" s="12" t="s">
        <v>35</v>
      </c>
      <c r="M2114" s="13" t="e">
        <v>#N/A</v>
      </c>
      <c r="N2114" s="14" t="e">
        <v>#N/A</v>
      </c>
      <c r="O2114" s="14" t="e">
        <v>#N/A</v>
      </c>
      <c r="P2114" s="14" t="e">
        <v>#N/A</v>
      </c>
      <c r="Q2114" s="19" t="s">
        <v>13220</v>
      </c>
      <c r="R2114" s="15" t="s">
        <v>12931</v>
      </c>
      <c r="S2114" s="15" t="s">
        <v>3212</v>
      </c>
      <c r="T2114" s="16" t="s">
        <v>89</v>
      </c>
      <c r="U2114" s="11" t="str">
        <f>_xlfn.XLOOKUP(Customer[[#This Row],[Customer ID]],[1]!Address[ID],[1]!Address[Phone No.(2)])</f>
        <v/>
      </c>
      <c r="V2114" s="11" t="str">
        <f>_xlfn.XLOOKUP(Customer[[#This Row],[Customer ID]],[1]!Address[ID],[1]!Address[Type])</f>
        <v>SOCMED</v>
      </c>
      <c r="W2114" s="11" t="str">
        <f>_xlfn.XLOOKUP(Customer[[#This Row],[Customer ID]],[1]!Address[ID],[1]!Address[CT])</f>
        <v/>
      </c>
      <c r="X2114" s="11"/>
      <c r="Y2114" s="17" t="s">
        <v>90</v>
      </c>
      <c r="Z2114" s="17" t="e">
        <f>_xlfn.XLOOKUP(Customer[[#This Row],[NewType]],$AF$36:$AF$54,$AG$36:$AG$54)</f>
        <v>#N/A</v>
      </c>
      <c r="AA2114" s="17" t="s">
        <v>13221</v>
      </c>
      <c r="AB2114" s="11" t="str">
        <f>_xlfn.XLOOKUP(Customer[[#This Row],[Customer ID]],[1]!Address[ID],[1]!Address[Subtype])</f>
        <v>ONLINE HAJAR</v>
      </c>
      <c r="AC2114" s="18" t="str">
        <f>_xlfn.XLOOKUP(Customer[[#This Row],[Customer ID]],[1]!Address[ID],[1]!Address[Zone])</f>
        <v>EAST COAST</v>
      </c>
    </row>
    <row r="2115" spans="1:29" x14ac:dyDescent="0.3">
      <c r="A2115" s="48" t="s">
        <v>13222</v>
      </c>
      <c r="B2115" s="49" t="str">
        <f>_xlfn.XLOOKUP(Customer[[#This Row],[Customer ID]],[1]!Name[ID],[1]!Name[Description(1)])</f>
        <v>IDAMAN HEALTHCARE SDN BHD</v>
      </c>
      <c r="C2115" s="11" t="str">
        <f>_xlfn.XLOOKUP(Customer[[#This Row],[Customer ID]],[1]!Name[ID],[1]!Name[Description(2)])</f>
        <v/>
      </c>
      <c r="D2115" s="11" t="str">
        <f>_xlfn.XLOOKUP(Customer[[#This Row],[Customer ID]],[1]!Address[ID],[1]!Address[PIC])</f>
        <v>HAZWAN</v>
      </c>
      <c r="E2115" s="11" t="str">
        <f>_xlfn.XLOOKUP(Customer[[#This Row],[Customer ID]],[1]!Address[ID],[1]!Address[Full Address])</f>
        <v>FARMASI IDAMAN, NO 3, JLN CENDANA 5/1,TAMAN CENDANA 81700 PASIR GUDANG,JOHOR</v>
      </c>
      <c r="F2115" s="12" t="s">
        <v>13223</v>
      </c>
      <c r="G2115" s="12" t="s">
        <v>13224</v>
      </c>
      <c r="H2115" s="12" t="s">
        <v>13225</v>
      </c>
      <c r="I2115" s="12" t="b">
        <f>ISNUMBER(VALUE(LEFT(Customer[[#This Row],[Address Line 3 (30 char)]],1)))</f>
        <v>0</v>
      </c>
      <c r="J2115" s="12" t="s">
        <v>52</v>
      </c>
      <c r="K2115" s="12">
        <v>81700</v>
      </c>
      <c r="L2115" s="12" t="s">
        <v>35</v>
      </c>
      <c r="M2115" s="13">
        <v>201701016997</v>
      </c>
      <c r="N2115" s="14" t="s">
        <v>13226</v>
      </c>
      <c r="O2115" s="14"/>
      <c r="P2115" s="14">
        <v>86201</v>
      </c>
      <c r="Q2115" s="14" t="s">
        <v>13227</v>
      </c>
      <c r="R2115" s="15" t="s">
        <v>13228</v>
      </c>
      <c r="S2115" s="15" t="s">
        <v>3212</v>
      </c>
      <c r="T2115" s="16" t="s">
        <v>89</v>
      </c>
      <c r="U2115" s="11" t="str">
        <f>_xlfn.XLOOKUP(Customer[[#This Row],[Customer ID]],[1]!Address[ID],[1]!Address[Phone No.(2)])</f>
        <v/>
      </c>
      <c r="V2115" s="11" t="str">
        <f>_xlfn.XLOOKUP(Customer[[#This Row],[Customer ID]],[1]!Address[ID],[1]!Address[Type])</f>
        <v>SOCMED</v>
      </c>
      <c r="W2115" s="11" t="str">
        <f>_xlfn.XLOOKUP(Customer[[#This Row],[Customer ID]],[1]!Address[ID],[1]!Address[CT])</f>
        <v/>
      </c>
      <c r="X2115" s="11"/>
      <c r="Y2115" s="17" t="s">
        <v>90</v>
      </c>
      <c r="Z2115" s="17" t="e">
        <f>_xlfn.XLOOKUP(Customer[[#This Row],[NewType]],$AF$36:$AF$54,$AG$36:$AG$54)</f>
        <v>#N/A</v>
      </c>
      <c r="AA2115" s="17" t="s">
        <v>13229</v>
      </c>
      <c r="AB2115" s="11" t="str">
        <f>_xlfn.XLOOKUP(Customer[[#This Row],[Customer ID]],[1]!Address[ID],[1]!Address[Subtype])</f>
        <v>ONLINE HAJAR</v>
      </c>
      <c r="AC2115" s="18" t="str">
        <f>_xlfn.XLOOKUP(Customer[[#This Row],[Customer ID]],[1]!Address[ID],[1]!Address[Zone])</f>
        <v>SOUTH</v>
      </c>
    </row>
    <row r="2116" spans="1:29" x14ac:dyDescent="0.3">
      <c r="A2116" s="10" t="s">
        <v>13230</v>
      </c>
      <c r="B2116" s="11" t="str">
        <f>_xlfn.XLOOKUP(Customer[[#This Row],[Customer ID]],[1]!Name[ID],[1]!Name[Description(1)])</f>
        <v>FAUZIAH BINTI ABDUL RAHMAN</v>
      </c>
      <c r="C2116" s="11" t="str">
        <f>_xlfn.XLOOKUP(Customer[[#This Row],[Customer ID]],[1]!Name[ID],[1]!Name[Description(2)])</f>
        <v>(MB)</v>
      </c>
      <c r="D2116" s="11" t="str">
        <f>_xlfn.XLOOKUP(Customer[[#This Row],[Customer ID]],[1]!Address[ID],[1]!Address[PIC])</f>
        <v>FAUZIAH</v>
      </c>
      <c r="E2116" s="11" t="str">
        <f>_xlfn.XLOOKUP(Customer[[#This Row],[Customer ID]],[1]!Address[ID],[1]!Address[Full Address])</f>
        <v>NO 37 JLN 1/3P, MUTIARA BANGI,BANDAR BARU BANGI 43650 SELANGOR</v>
      </c>
      <c r="F2116" s="29" t="s">
        <v>13231</v>
      </c>
      <c r="G2116" s="29" t="s">
        <v>5964</v>
      </c>
      <c r="H2116" s="29" t="s">
        <v>36</v>
      </c>
      <c r="I2116" s="29" t="b">
        <f>ISNUMBER(VALUE(LEFT(Customer[[#This Row],[Address Line 3 (30 char)]],1)))</f>
        <v>0</v>
      </c>
      <c r="J2116" s="29" t="s">
        <v>172</v>
      </c>
      <c r="K2116" s="29">
        <v>43650</v>
      </c>
      <c r="L2116" s="29" t="s">
        <v>35</v>
      </c>
      <c r="M2116" s="31" t="e">
        <v>#N/A</v>
      </c>
      <c r="N2116" s="36" t="e">
        <v>#N/A</v>
      </c>
      <c r="O2116" s="36" t="e">
        <v>#N/A</v>
      </c>
      <c r="P2116" s="36" t="e">
        <v>#N/A</v>
      </c>
      <c r="Q2116" s="89" t="s">
        <v>13232</v>
      </c>
      <c r="R2116" s="15" t="s">
        <v>13233</v>
      </c>
      <c r="S2116" s="15" t="s">
        <v>4271</v>
      </c>
      <c r="T2116" s="16" t="s">
        <v>89</v>
      </c>
      <c r="U2116" s="11" t="str">
        <f>_xlfn.XLOOKUP(Customer[[#This Row],[Customer ID]],[1]!Address[ID],[1]!Address[Phone No.(2)])</f>
        <v/>
      </c>
      <c r="V2116" s="11" t="str">
        <f>_xlfn.XLOOKUP(Customer[[#This Row],[Customer ID]],[1]!Address[ID],[1]!Address[Type])</f>
        <v>SOCMED</v>
      </c>
      <c r="W2116" s="11" t="str">
        <f>_xlfn.XLOOKUP(Customer[[#This Row],[Customer ID]],[1]!Address[ID],[1]!Address[CT])</f>
        <v/>
      </c>
      <c r="X2116" s="11"/>
      <c r="Y2116" s="17" t="s">
        <v>90</v>
      </c>
      <c r="Z2116" s="17" t="e">
        <f>_xlfn.XLOOKUP(Customer[[#This Row],[NewType]],$AF$36:$AF$54,$AG$36:$AG$54)</f>
        <v>#N/A</v>
      </c>
      <c r="AA2116" s="17" t="s">
        <v>13234</v>
      </c>
      <c r="AB2116" s="11" t="str">
        <f>_xlfn.XLOOKUP(Customer[[#This Row],[Customer ID]],[1]!Address[ID],[1]!Address[Subtype])</f>
        <v>WHATSAPP</v>
      </c>
      <c r="AC2116" s="18" t="str">
        <f>_xlfn.XLOOKUP(Customer[[#This Row],[Customer ID]],[1]!Address[ID],[1]!Address[Zone])</f>
        <v>MBAUNDARH</v>
      </c>
    </row>
    <row r="2117" spans="1:29" x14ac:dyDescent="0.3">
      <c r="A2117" s="46" t="s">
        <v>13235</v>
      </c>
      <c r="B2117" s="24" t="str">
        <f>_xlfn.XLOOKUP(Customer[[#This Row],[Customer ID]],[1]!Name[ID],[1]!Name[Description(1)])</f>
        <v>CSR</v>
      </c>
      <c r="C2117" s="24" t="str">
        <f>_xlfn.XLOOKUP(Customer[[#This Row],[Customer ID]],[1]!Name[ID],[1]!Name[Description(2)])</f>
        <v/>
      </c>
      <c r="D2117" s="11" t="str">
        <f>_xlfn.XLOOKUP(Customer[[#This Row],[Customer ID]],[1]!Address[ID],[1]!Address[PIC])</f>
        <v/>
      </c>
      <c r="E2117" s="11" t="str">
        <f>_xlfn.XLOOKUP(Customer[[#This Row],[Customer ID]],[1]!Address[ID],[1]!Address[Full Address])</f>
        <v/>
      </c>
      <c r="F2117" s="12" t="s">
        <v>36</v>
      </c>
      <c r="G2117" s="12" t="s">
        <v>36</v>
      </c>
      <c r="H2117" s="12" t="s">
        <v>36</v>
      </c>
      <c r="I2117" s="12" t="b">
        <f>ISNUMBER(VALUE(LEFT(Customer[[#This Row],[Address Line 3 (30 char)]],1)))</f>
        <v>0</v>
      </c>
      <c r="J2117" s="24"/>
      <c r="K2117" s="24"/>
      <c r="L2117" s="12" t="s">
        <v>35</v>
      </c>
      <c r="M2117" s="13" t="e">
        <v>#N/A</v>
      </c>
      <c r="N2117" s="14" t="e">
        <v>#N/A</v>
      </c>
      <c r="O2117" s="14" t="e">
        <v>#N/A</v>
      </c>
      <c r="P2117" s="14" t="e">
        <v>#N/A</v>
      </c>
      <c r="Q2117" s="14" t="e">
        <v>#N/A</v>
      </c>
      <c r="R2117" s="15" t="s">
        <v>36</v>
      </c>
      <c r="S2117" s="15"/>
      <c r="T2117" s="16"/>
      <c r="U2117" s="11" t="str">
        <f>_xlfn.XLOOKUP(Customer[[#This Row],[Customer ID]],[1]!Address[ID],[1]!Address[Phone No.(2)])</f>
        <v/>
      </c>
      <c r="V2117" s="11" t="str">
        <f>_xlfn.XLOOKUP(Customer[[#This Row],[Customer ID]],[1]!Address[ID],[1]!Address[Type])</f>
        <v>CSR</v>
      </c>
      <c r="W2117" s="11" t="str">
        <f>_xlfn.XLOOKUP(Customer[[#This Row],[Customer ID]],[1]!Address[ID],[1]!Address[CT])</f>
        <v/>
      </c>
      <c r="X2117" s="11"/>
      <c r="Y2117" s="17" t="s">
        <v>13236</v>
      </c>
      <c r="Z2117" s="17" t="e">
        <f>_xlfn.XLOOKUP(Customer[[#This Row],[NewType]],$AF$36:$AF$54,$AG$36:$AG$54)</f>
        <v>#N/A</v>
      </c>
      <c r="AA2117" s="17" t="s">
        <v>13237</v>
      </c>
      <c r="AB2117" s="11" t="str">
        <f>_xlfn.XLOOKUP(Customer[[#This Row],[Customer ID]],[1]!Address[ID],[1]!Address[Subtype])</f>
        <v>CSR</v>
      </c>
      <c r="AC2117" s="18">
        <f>_xlfn.XLOOKUP(Customer[[#This Row],[Customer ID]],[1]!Address[ID],[1]!Address[Zone])</f>
        <v>0</v>
      </c>
    </row>
    <row r="2118" spans="1:29" x14ac:dyDescent="0.3">
      <c r="A2118" s="10" t="s">
        <v>13238</v>
      </c>
      <c r="B2118" s="11" t="str">
        <f>_xlfn.XLOOKUP(Customer[[#This Row],[Customer ID]],[1]!Name[ID],[1]!Name[Description(1)])</f>
        <v>TERENGGANU FOOTBALL CLUB</v>
      </c>
      <c r="C2118" s="11" t="str">
        <f>_xlfn.XLOOKUP(Customer[[#This Row],[Customer ID]],[1]!Name[ID],[1]!Name[Description(2)])</f>
        <v>TFC</v>
      </c>
      <c r="D2118" s="11" t="str">
        <f>_xlfn.XLOOKUP(Customer[[#This Row],[Customer ID]],[1]!Address[ID],[1]!Address[PIC])</f>
        <v/>
      </c>
      <c r="E2118" s="11" t="str">
        <f>_xlfn.XLOOKUP(Customer[[#This Row],[Customer ID]],[1]!Address[ID],[1]!Address[Full Address])</f>
        <v>TFC DIRECT,TINGKAT BAWAH PINTU UTAMA STADIUMSULTAN MIZAN ABIDIN,21200 KUALA TERENGGANU</v>
      </c>
      <c r="F2118" s="12" t="s">
        <v>13239</v>
      </c>
      <c r="G2118" s="12" t="s">
        <v>13240</v>
      </c>
      <c r="H2118" s="12" t="s">
        <v>13241</v>
      </c>
      <c r="I2118" s="12" t="b">
        <f>ISNUMBER(VALUE(LEFT(Customer[[#This Row],[Address Line 3 (30 char)]],1)))</f>
        <v>0</v>
      </c>
      <c r="J2118" s="12" t="s">
        <v>1056</v>
      </c>
      <c r="K2118" s="12">
        <v>21200</v>
      </c>
      <c r="L2118" s="12" t="s">
        <v>35</v>
      </c>
      <c r="M2118" s="13" t="e">
        <v>#N/A</v>
      </c>
      <c r="N2118" s="14" t="e">
        <v>#N/A</v>
      </c>
      <c r="O2118" s="14" t="e">
        <v>#N/A</v>
      </c>
      <c r="P2118" s="14" t="e">
        <v>#N/A</v>
      </c>
      <c r="Q2118" s="19" t="s">
        <v>13242</v>
      </c>
      <c r="R2118" s="15" t="s">
        <v>13243</v>
      </c>
      <c r="S2118" s="15" t="s">
        <v>6418</v>
      </c>
      <c r="T2118" s="16" t="s">
        <v>3477</v>
      </c>
      <c r="U2118" s="11" t="str">
        <f>_xlfn.XLOOKUP(Customer[[#This Row],[Customer ID]],[1]!Address[ID],[1]!Address[Phone No.(2)])</f>
        <v/>
      </c>
      <c r="V2118" s="11" t="str">
        <f>_xlfn.XLOOKUP(Customer[[#This Row],[Customer ID]],[1]!Address[ID],[1]!Address[Type])</f>
        <v>CORPORATE</v>
      </c>
      <c r="W2118" s="11" t="str">
        <f>_xlfn.XLOOKUP(Customer[[#This Row],[Customer ID]],[1]!Address[ID],[1]!Address[CT])</f>
        <v>CASH</v>
      </c>
      <c r="X2118" s="11"/>
      <c r="Y2118" s="17" t="s">
        <v>6418</v>
      </c>
      <c r="Z2118" s="17" t="e">
        <f>_xlfn.XLOOKUP(Customer[[#This Row],[NewType]],$AF$36:$AF$54,$AG$36:$AG$54)</f>
        <v>#N/A</v>
      </c>
      <c r="AA2118" s="17" t="s">
        <v>13244</v>
      </c>
      <c r="AB2118" s="11" t="str">
        <f>_xlfn.XLOOKUP(Customer[[#This Row],[Customer ID]],[1]!Address[ID],[1]!Address[Subtype])</f>
        <v>TFC</v>
      </c>
      <c r="AC2118" s="18" t="str">
        <f>_xlfn.XLOOKUP(Customer[[#This Row],[Customer ID]],[1]!Address[ID],[1]!Address[Zone])</f>
        <v>EAST COAST</v>
      </c>
    </row>
    <row r="2119" spans="1:29" x14ac:dyDescent="0.3">
      <c r="A2119" s="10" t="s">
        <v>13245</v>
      </c>
      <c r="B2119" s="11" t="str">
        <f>_xlfn.XLOOKUP(Customer[[#This Row],[Customer ID]],[1]!Name[ID],[1]!Name[Description(1)])</f>
        <v>ELIYAN BINTI ZAINUDDIN</v>
      </c>
      <c r="C2119" s="11" t="str">
        <f>_xlfn.XLOOKUP(Customer[[#This Row],[Customer ID]],[1]!Name[ID],[1]!Name[Description(2)])</f>
        <v/>
      </c>
      <c r="D2119" s="11" t="str">
        <f>_xlfn.XLOOKUP(Customer[[#This Row],[Customer ID]],[1]!Address[ID],[1]!Address[PIC])</f>
        <v>ELIYAN</v>
      </c>
      <c r="E2119" s="11" t="str">
        <f>_xlfn.XLOOKUP(Customer[[#This Row],[Customer ID]],[1]!Address[ID],[1]!Address[Full Address])</f>
        <v>9M JALAN PERMATA 2,TAMAN HARTA PERTAMA BUKIT BARU75150 MELAKA</v>
      </c>
      <c r="F2119" s="12" t="s">
        <v>13246</v>
      </c>
      <c r="G2119" s="12" t="s">
        <v>13247</v>
      </c>
      <c r="H2119" s="24"/>
      <c r="I2119" s="24" t="b">
        <f>ISNUMBER(VALUE(LEFT(Customer[[#This Row],[Address Line 3 (30 char)]],1)))</f>
        <v>0</v>
      </c>
      <c r="J2119" s="12" t="s">
        <v>61</v>
      </c>
      <c r="K2119" s="12">
        <v>75150</v>
      </c>
      <c r="L2119" s="12" t="s">
        <v>35</v>
      </c>
      <c r="M2119" s="13" t="e">
        <v>#N/A</v>
      </c>
      <c r="N2119" s="14" t="e">
        <v>#N/A</v>
      </c>
      <c r="O2119" s="14" t="e">
        <v>#N/A</v>
      </c>
      <c r="P2119" s="14" t="e">
        <v>#N/A</v>
      </c>
      <c r="Q2119" s="19" t="s">
        <v>13248</v>
      </c>
      <c r="R2119" s="15" t="s">
        <v>13249</v>
      </c>
      <c r="S2119" s="16" t="s">
        <v>89</v>
      </c>
      <c r="T2119" s="16" t="s">
        <v>89</v>
      </c>
      <c r="U2119" s="11" t="str">
        <f>_xlfn.XLOOKUP(Customer[[#This Row],[Customer ID]],[1]!Address[ID],[1]!Address[Phone No.(2)])</f>
        <v/>
      </c>
      <c r="V2119" s="11" t="str">
        <f>_xlfn.XLOOKUP(Customer[[#This Row],[Customer ID]],[1]!Address[ID],[1]!Address[Type])</f>
        <v>WALK IN</v>
      </c>
      <c r="W2119" s="11" t="str">
        <f>_xlfn.XLOOKUP(Customer[[#This Row],[Customer ID]],[1]!Address[ID],[1]!Address[CT])</f>
        <v/>
      </c>
      <c r="X2119" s="11"/>
      <c r="Y2119" s="17" t="s">
        <v>6284</v>
      </c>
      <c r="Z2119" s="17" t="e">
        <f>_xlfn.XLOOKUP(Customer[[#This Row],[NewType]],$AF$36:$AF$54,$AG$36:$AG$54)</f>
        <v>#N/A</v>
      </c>
      <c r="AA2119" s="17" t="s">
        <v>13250</v>
      </c>
      <c r="AB2119" s="11" t="str">
        <f>_xlfn.XLOOKUP(Customer[[#This Row],[Customer ID]],[1]!Address[ID],[1]!Address[Subtype])</f>
        <v>PEDAS</v>
      </c>
      <c r="AC2119" s="18" t="str">
        <f>_xlfn.XLOOKUP(Customer[[#This Row],[Customer ID]],[1]!Address[ID],[1]!Address[Zone])</f>
        <v>SOUTH</v>
      </c>
    </row>
    <row r="2120" spans="1:29" x14ac:dyDescent="0.3">
      <c r="A2120" s="10" t="s">
        <v>13251</v>
      </c>
      <c r="B2120" s="11" t="str">
        <f>_xlfn.XLOOKUP(Customer[[#This Row],[Customer ID]],[1]!Name[ID],[1]!Name[Description(1)])</f>
        <v>MUHAMAD IZZUDIN</v>
      </c>
      <c r="C2120" s="11" t="str">
        <f>_xlfn.XLOOKUP(Customer[[#This Row],[Customer ID]],[1]!Name[ID],[1]!Name[Description(2)])</f>
        <v/>
      </c>
      <c r="D2120" s="11" t="str">
        <f>_xlfn.XLOOKUP(Customer[[#This Row],[Customer ID]],[1]!Address[ID],[1]!Address[PIC])</f>
        <v>IZZUDIN</v>
      </c>
      <c r="E2120" s="11" t="str">
        <f>_xlfn.XLOOKUP(Customer[[#This Row],[Customer ID]],[1]!Address[ID],[1]!Address[Full Address])</f>
        <v>NO 5, JALAN IMPIAN MAKMUR 3/B,SAUJANA IMPIAN 43000 KAJANGSELANGOR</v>
      </c>
      <c r="F2120" s="12" t="s">
        <v>8355</v>
      </c>
      <c r="G2120" s="12" t="s">
        <v>13252</v>
      </c>
      <c r="H2120" s="12"/>
      <c r="I2120" s="12" t="b">
        <f>ISNUMBER(VALUE(LEFT(Customer[[#This Row],[Address Line 3 (30 char)]],1)))</f>
        <v>0</v>
      </c>
      <c r="J2120" s="12" t="s">
        <v>1907</v>
      </c>
      <c r="K2120" s="12">
        <v>43000</v>
      </c>
      <c r="L2120" s="12" t="s">
        <v>35</v>
      </c>
      <c r="M2120" s="13" t="e">
        <v>#N/A</v>
      </c>
      <c r="N2120" s="14" t="e">
        <v>#N/A</v>
      </c>
      <c r="O2120" s="14" t="e">
        <v>#N/A</v>
      </c>
      <c r="P2120" s="14" t="e">
        <v>#N/A</v>
      </c>
      <c r="Q2120" s="19" t="s">
        <v>13253</v>
      </c>
      <c r="R2120" s="15" t="s">
        <v>12918</v>
      </c>
      <c r="S2120" s="16" t="s">
        <v>89</v>
      </c>
      <c r="T2120" s="16" t="s">
        <v>89</v>
      </c>
      <c r="U2120" s="11" t="str">
        <f>_xlfn.XLOOKUP(Customer[[#This Row],[Customer ID]],[1]!Address[ID],[1]!Address[Phone No.(2)])</f>
        <v/>
      </c>
      <c r="V2120" s="11" t="str">
        <f>_xlfn.XLOOKUP(Customer[[#This Row],[Customer ID]],[1]!Address[ID],[1]!Address[Type])</f>
        <v>WALK IN</v>
      </c>
      <c r="W2120" s="11" t="str">
        <f>_xlfn.XLOOKUP(Customer[[#This Row],[Customer ID]],[1]!Address[ID],[1]!Address[CT])</f>
        <v/>
      </c>
      <c r="X2120" s="11"/>
      <c r="Y2120" s="17" t="s">
        <v>6284</v>
      </c>
      <c r="Z2120" s="17" t="e">
        <f>_xlfn.XLOOKUP(Customer[[#This Row],[NewType]],$AF$36:$AF$54,$AG$36:$AG$54)</f>
        <v>#N/A</v>
      </c>
      <c r="AA2120" s="17" t="s">
        <v>13254</v>
      </c>
      <c r="AB2120" s="11" t="str">
        <f>_xlfn.XLOOKUP(Customer[[#This Row],[Customer ID]],[1]!Address[ID],[1]!Address[Subtype])</f>
        <v>PEDAS</v>
      </c>
      <c r="AC2120" s="18" t="str">
        <f>_xlfn.XLOOKUP(Customer[[#This Row],[Customer ID]],[1]!Address[ID],[1]!Address[Zone])</f>
        <v>CENTRAL</v>
      </c>
    </row>
    <row r="2121" spans="1:29" x14ac:dyDescent="0.3">
      <c r="A2121" s="10" t="s">
        <v>13255</v>
      </c>
      <c r="B2121" s="11" t="str">
        <f>_xlfn.XLOOKUP(Customer[[#This Row],[Customer ID]],[1]!Name[ID],[1]!Name[Description(1)])</f>
        <v>AZHARUDIN IDRIS-PERNAS</v>
      </c>
      <c r="C2121" s="11" t="str">
        <f>_xlfn.XLOOKUP(Customer[[#This Row],[Customer ID]],[1]!Name[ID],[1]!Name[Description(2)])</f>
        <v/>
      </c>
      <c r="D2121" s="11" t="str">
        <f>_xlfn.XLOOKUP(Customer[[#This Row],[Customer ID]],[1]!Address[ID],[1]!Address[PIC])</f>
        <v>AZHARUDIN BIN I</v>
      </c>
      <c r="E2121" s="11" t="str">
        <f>_xlfn.XLOOKUP(Customer[[#This Row],[Customer ID]],[1]!Address[ID],[1]!Address[Full Address])</f>
        <v>NO 43, JALAN PALADIUM 7/33,SEKSYEN 7, 40000 SHAH ALAMSELANGOR</v>
      </c>
      <c r="F2121" s="12" t="s">
        <v>13256</v>
      </c>
      <c r="G2121" s="12" t="s">
        <v>13257</v>
      </c>
      <c r="H2121" s="12"/>
      <c r="I2121" s="12" t="b">
        <f>ISNUMBER(VALUE(LEFT(Customer[[#This Row],[Address Line 3 (30 char)]],1)))</f>
        <v>0</v>
      </c>
      <c r="J2121" s="12" t="s">
        <v>1907</v>
      </c>
      <c r="K2121" s="12">
        <v>40000</v>
      </c>
      <c r="L2121" s="12" t="s">
        <v>35</v>
      </c>
      <c r="M2121" s="13" t="e">
        <v>#N/A</v>
      </c>
      <c r="N2121" s="14" t="e">
        <v>#N/A</v>
      </c>
      <c r="O2121" s="14" t="e">
        <v>#N/A</v>
      </c>
      <c r="P2121" s="14" t="e">
        <v>#N/A</v>
      </c>
      <c r="Q2121" s="19" t="s">
        <v>13258</v>
      </c>
      <c r="R2121" s="15" t="s">
        <v>9951</v>
      </c>
      <c r="S2121" s="15" t="s">
        <v>6418</v>
      </c>
      <c r="T2121" s="16" t="s">
        <v>3477</v>
      </c>
      <c r="U2121" s="11" t="str">
        <f>_xlfn.XLOOKUP(Customer[[#This Row],[Customer ID]],[1]!Address[ID],[1]!Address[Phone No.(2)])</f>
        <v/>
      </c>
      <c r="V2121" s="11" t="str">
        <f>_xlfn.XLOOKUP(Customer[[#This Row],[Customer ID]],[1]!Address[ID],[1]!Address[Type])</f>
        <v>SOCMED</v>
      </c>
      <c r="W2121" s="11" t="str">
        <f>_xlfn.XLOOKUP(Customer[[#This Row],[Customer ID]],[1]!Address[ID],[1]!Address[CT])</f>
        <v>CASH</v>
      </c>
      <c r="X2121" s="11"/>
      <c r="Y2121" s="17" t="s">
        <v>90</v>
      </c>
      <c r="Z2121" s="17" t="e">
        <f>_xlfn.XLOOKUP(Customer[[#This Row],[NewType]],$AF$36:$AF$54,$AG$36:$AG$54)</f>
        <v>#N/A</v>
      </c>
      <c r="AA2121" s="17" t="s">
        <v>13259</v>
      </c>
      <c r="AB2121" s="11" t="str">
        <f>_xlfn.XLOOKUP(Customer[[#This Row],[Customer ID]],[1]!Address[ID],[1]!Address[Subtype])</f>
        <v>WHATSAPP</v>
      </c>
      <c r="AC2121" s="18" t="str">
        <f>_xlfn.XLOOKUP(Customer[[#This Row],[Customer ID]],[1]!Address[ID],[1]!Address[Zone])</f>
        <v>CENTRAL</v>
      </c>
    </row>
    <row r="2122" spans="1:29" x14ac:dyDescent="0.3">
      <c r="A2122" s="10" t="s">
        <v>13260</v>
      </c>
      <c r="B2122" s="11" t="str">
        <f>_xlfn.XLOOKUP(Customer[[#This Row],[Customer ID]],[1]!Name[ID],[1]!Name[Description(1)])</f>
        <v>NOOR ABDULLAH</v>
      </c>
      <c r="C2122" s="11" t="str">
        <f>_xlfn.XLOOKUP(Customer[[#This Row],[Customer ID]],[1]!Name[ID],[1]!Name[Description(2)])</f>
        <v/>
      </c>
      <c r="D2122" s="11" t="str">
        <f>_xlfn.XLOOKUP(Customer[[#This Row],[Customer ID]],[1]!Address[ID],[1]!Address[PIC])</f>
        <v>NOOR ABDULLAH</v>
      </c>
      <c r="E2122" s="11" t="str">
        <f>_xlfn.XLOOKUP(Customer[[#This Row],[Customer ID]],[1]!Address[ID],[1]!Address[Full Address])</f>
        <v>26 JLN 6, TAMAN DESA MEWAH43500 SEMENYIH</v>
      </c>
      <c r="F2122" s="12" t="s">
        <v>13261</v>
      </c>
      <c r="G2122" s="12" t="s">
        <v>13262</v>
      </c>
      <c r="H2122" s="12" t="s">
        <v>36</v>
      </c>
      <c r="I2122" s="12" t="b">
        <f>ISNUMBER(VALUE(LEFT(Customer[[#This Row],[Address Line 3 (30 char)]],1)))</f>
        <v>0</v>
      </c>
      <c r="J2122" s="12" t="s">
        <v>1907</v>
      </c>
      <c r="K2122" s="12">
        <v>43500</v>
      </c>
      <c r="L2122" s="12" t="s">
        <v>35</v>
      </c>
      <c r="M2122" s="13" t="e">
        <v>#N/A</v>
      </c>
      <c r="N2122" s="14" t="e">
        <v>#N/A</v>
      </c>
      <c r="O2122" s="14" t="e">
        <v>#N/A</v>
      </c>
      <c r="P2122" s="14" t="e">
        <v>#N/A</v>
      </c>
      <c r="Q2122" s="19" t="s">
        <v>13263</v>
      </c>
      <c r="R2122" s="15" t="s">
        <v>13264</v>
      </c>
      <c r="S2122" s="16" t="s">
        <v>89</v>
      </c>
      <c r="T2122" s="16" t="s">
        <v>89</v>
      </c>
      <c r="U2122" s="11" t="str">
        <f>_xlfn.XLOOKUP(Customer[[#This Row],[Customer ID]],[1]!Address[ID],[1]!Address[Phone No.(2)])</f>
        <v/>
      </c>
      <c r="V2122" s="11" t="str">
        <f>_xlfn.XLOOKUP(Customer[[#This Row],[Customer ID]],[1]!Address[ID],[1]!Address[Type])</f>
        <v>WALK IN</v>
      </c>
      <c r="W2122" s="11" t="str">
        <f>_xlfn.XLOOKUP(Customer[[#This Row],[Customer ID]],[1]!Address[ID],[1]!Address[CT])</f>
        <v/>
      </c>
      <c r="X2122" s="11"/>
      <c r="Y2122" s="17" t="s">
        <v>6284</v>
      </c>
      <c r="Z2122" s="17" t="e">
        <f>_xlfn.XLOOKUP(Customer[[#This Row],[NewType]],$AF$36:$AF$54,$AG$36:$AG$54)</f>
        <v>#N/A</v>
      </c>
      <c r="AA2122" s="17" t="s">
        <v>13265</v>
      </c>
      <c r="AB2122" s="11" t="str">
        <f>_xlfn.XLOOKUP(Customer[[#This Row],[Customer ID]],[1]!Address[ID],[1]!Address[Subtype])</f>
        <v>PEDAS</v>
      </c>
      <c r="AC2122" s="18" t="str">
        <f>_xlfn.XLOOKUP(Customer[[#This Row],[Customer ID]],[1]!Address[ID],[1]!Address[Zone])</f>
        <v>CENTRAL</v>
      </c>
    </row>
    <row r="2123" spans="1:29" x14ac:dyDescent="0.3">
      <c r="A2123" s="10" t="s">
        <v>13266</v>
      </c>
      <c r="B2123" s="11" t="str">
        <f>_xlfn.XLOOKUP(Customer[[#This Row],[Customer ID]],[1]!Name[ID],[1]!Name[Description(1)])</f>
        <v>EN HAFIZAN-PUSMA</v>
      </c>
      <c r="C2123" s="11" t="str">
        <f>_xlfn.XLOOKUP(Customer[[#This Row],[Customer ID]],[1]!Name[ID],[1]!Name[Description(2)])</f>
        <v>MARA REMBAU</v>
      </c>
      <c r="D2123" s="11" t="str">
        <f>_xlfn.XLOOKUP(Customer[[#This Row],[Customer ID]],[1]!Address[ID],[1]!Address[PIC])</f>
        <v/>
      </c>
      <c r="E2123" s="11" t="str">
        <f>_xlfn.XLOOKUP(Customer[[#This Row],[Customer ID]],[1]!Address[ID],[1]!Address[Full Address])</f>
        <v>ARAS 3, BANGUNAN SEREMBAN PLAZA,JALAN DATO' MUDA LINGGI,70100 SEREMBAN</v>
      </c>
      <c r="F2123" s="12" t="s">
        <v>13267</v>
      </c>
      <c r="G2123" s="12" t="s">
        <v>13268</v>
      </c>
      <c r="H2123" s="12" t="s">
        <v>13269</v>
      </c>
      <c r="I2123" s="12" t="b">
        <f>ISNUMBER(VALUE(LEFT(Customer[[#This Row],[Address Line 3 (30 char)]],1)))</f>
        <v>0</v>
      </c>
      <c r="J2123" s="12" t="s">
        <v>203</v>
      </c>
      <c r="K2123" s="12">
        <v>70100</v>
      </c>
      <c r="L2123" s="12" t="s">
        <v>35</v>
      </c>
      <c r="M2123" s="13" t="e">
        <v>#N/A</v>
      </c>
      <c r="N2123" s="14" t="e">
        <v>#N/A</v>
      </c>
      <c r="O2123" s="14" t="e">
        <v>#N/A</v>
      </c>
      <c r="P2123" s="14" t="e">
        <v>#N/A</v>
      </c>
      <c r="Q2123" s="19" t="s">
        <v>13270</v>
      </c>
      <c r="R2123" s="15" t="s">
        <v>13271</v>
      </c>
      <c r="S2123" s="15" t="s">
        <v>6418</v>
      </c>
      <c r="T2123" s="16" t="s">
        <v>3477</v>
      </c>
      <c r="U2123" s="11" t="str">
        <f>_xlfn.XLOOKUP(Customer[[#This Row],[Customer ID]],[1]!Address[ID],[1]!Address[Phone No.(2)])</f>
        <v/>
      </c>
      <c r="V2123" s="11" t="str">
        <f>_xlfn.XLOOKUP(Customer[[#This Row],[Customer ID]],[1]!Address[ID],[1]!Address[Type])</f>
        <v>SOCMED</v>
      </c>
      <c r="W2123" s="11" t="str">
        <f>_xlfn.XLOOKUP(Customer[[#This Row],[Customer ID]],[1]!Address[ID],[1]!Address[CT])</f>
        <v>CASH</v>
      </c>
      <c r="X2123" s="11"/>
      <c r="Y2123" s="17" t="s">
        <v>90</v>
      </c>
      <c r="Z2123" s="17" t="e">
        <f>_xlfn.XLOOKUP(Customer[[#This Row],[NewType]],$AF$36:$AF$54,$AG$36:$AG$54)</f>
        <v>#N/A</v>
      </c>
      <c r="AA2123" s="17" t="s">
        <v>13272</v>
      </c>
      <c r="AB2123" s="11" t="str">
        <f>_xlfn.XLOOKUP(Customer[[#This Row],[Customer ID]],[1]!Address[ID],[1]!Address[Subtype])</f>
        <v>WHATSAPP</v>
      </c>
      <c r="AC2123" s="18" t="str">
        <f>_xlfn.XLOOKUP(Customer[[#This Row],[Customer ID]],[1]!Address[ID],[1]!Address[Zone])</f>
        <v>CENTRAL</v>
      </c>
    </row>
    <row r="2124" spans="1:29" x14ac:dyDescent="0.3">
      <c r="A2124" s="10" t="s">
        <v>13273</v>
      </c>
      <c r="B2124" s="11" t="str">
        <f>_xlfn.XLOOKUP(Customer[[#This Row],[Customer ID]],[1]!Name[ID],[1]!Name[Description(1)])</f>
        <v>FITA BINTI MADEKAN</v>
      </c>
      <c r="C2124" s="11" t="str">
        <f>_xlfn.XLOOKUP(Customer[[#This Row],[Customer ID]],[1]!Name[ID],[1]!Name[Description(2)])</f>
        <v/>
      </c>
      <c r="D2124" s="11" t="str">
        <f>_xlfn.XLOOKUP(Customer[[#This Row],[Customer ID]],[1]!Address[ID],[1]!Address[PIC])</f>
        <v>FITA</v>
      </c>
      <c r="E2124" s="11" t="str">
        <f>_xlfn.XLOOKUP(Customer[[#This Row],[Customer ID]],[1]!Address[ID],[1]!Address[Full Address])</f>
        <v>NO.11, JALAN SERI 13, SAUJANAUTAMA, 47000 SUNGAI BULOH, SELANGOR</v>
      </c>
      <c r="F2124" s="12" t="s">
        <v>13274</v>
      </c>
      <c r="G2124" s="12" t="s">
        <v>13275</v>
      </c>
      <c r="H2124" s="12" t="s">
        <v>3413</v>
      </c>
      <c r="I2124" s="12" t="b">
        <f>ISNUMBER(VALUE(LEFT(Customer[[#This Row],[Address Line 3 (30 char)]],1)))</f>
        <v>0</v>
      </c>
      <c r="J2124" s="12" t="s">
        <v>1907</v>
      </c>
      <c r="K2124" s="12">
        <v>47000</v>
      </c>
      <c r="L2124" s="12" t="s">
        <v>35</v>
      </c>
      <c r="M2124" s="13" t="e">
        <v>#N/A</v>
      </c>
      <c r="N2124" s="14" t="e">
        <v>#N/A</v>
      </c>
      <c r="O2124" s="14" t="e">
        <v>#N/A</v>
      </c>
      <c r="P2124" s="14" t="e">
        <v>#N/A</v>
      </c>
      <c r="Q2124" s="19" t="s">
        <v>13276</v>
      </c>
      <c r="R2124" s="15" t="s">
        <v>13277</v>
      </c>
      <c r="S2124" s="15" t="s">
        <v>88</v>
      </c>
      <c r="T2124" s="16" t="s">
        <v>89</v>
      </c>
      <c r="U2124" s="11" t="str">
        <f>_xlfn.XLOOKUP(Customer[[#This Row],[Customer ID]],[1]!Address[ID],[1]!Address[Phone No.(2)])</f>
        <v/>
      </c>
      <c r="V2124" s="11" t="str">
        <f>_xlfn.XLOOKUP(Customer[[#This Row],[Customer ID]],[1]!Address[ID],[1]!Address[Type])</f>
        <v>SOCMED</v>
      </c>
      <c r="W2124" s="11" t="str">
        <f>_xlfn.XLOOKUP(Customer[[#This Row],[Customer ID]],[1]!Address[ID],[1]!Address[CT])</f>
        <v/>
      </c>
      <c r="X2124" s="11"/>
      <c r="Y2124" s="17" t="s">
        <v>90</v>
      </c>
      <c r="Z2124" s="17" t="e">
        <f>_xlfn.XLOOKUP(Customer[[#This Row],[NewType]],$AF$36:$AF$54,$AG$36:$AG$54)</f>
        <v>#N/A</v>
      </c>
      <c r="AA2124" s="17" t="s">
        <v>13278</v>
      </c>
      <c r="AB2124" s="11" t="str">
        <f>_xlfn.XLOOKUP(Customer[[#This Row],[Customer ID]],[1]!Address[ID],[1]!Address[Subtype])</f>
        <v>ONLINE ROS</v>
      </c>
      <c r="AC2124" s="18" t="str">
        <f>_xlfn.XLOOKUP(Customer[[#This Row],[Customer ID]],[1]!Address[ID],[1]!Address[Zone])</f>
        <v>CENTRAL</v>
      </c>
    </row>
    <row r="2125" spans="1:29" x14ac:dyDescent="0.3">
      <c r="A2125" s="10" t="s">
        <v>13279</v>
      </c>
      <c r="B2125" s="11" t="str">
        <f>_xlfn.XLOOKUP(Customer[[#This Row],[Customer ID]],[1]!Name[ID],[1]!Name[Description(1)])</f>
        <v>MOHAMAD FITRI AZIZI BIN YOSRI</v>
      </c>
      <c r="C2125" s="11" t="str">
        <f>_xlfn.XLOOKUP(Customer[[#This Row],[Customer ID]],[1]!Name[ID],[1]!Name[Description(2)])</f>
        <v/>
      </c>
      <c r="D2125" s="11" t="str">
        <f>_xlfn.XLOOKUP(Customer[[#This Row],[Customer ID]],[1]!Address[ID],[1]!Address[PIC])</f>
        <v>FITRI</v>
      </c>
      <c r="E2125" s="11" t="str">
        <f>_xlfn.XLOOKUP(Customer[[#This Row],[Customer ID]],[1]!Address[ID],[1]!Address[Full Address])</f>
        <v>IBU PEJABAT MARITIM NEGERI MELAKA &amp;NEGERI SEMBILAN, AGENSI PENGUATKUASAANMARITIM MALAYSIA KEMENTERIAN DALAMNEGERI,LOT 1113 MUKIM KUALA LINGGI 78200</v>
      </c>
      <c r="F2125" s="12" t="s">
        <v>13280</v>
      </c>
      <c r="G2125" s="12" t="s">
        <v>13281</v>
      </c>
      <c r="H2125" s="12" t="s">
        <v>13282</v>
      </c>
      <c r="I2125" s="12" t="b">
        <f>ISNUMBER(VALUE(LEFT(Customer[[#This Row],[Address Line 3 (30 char)]],1)))</f>
        <v>0</v>
      </c>
      <c r="J2125" s="12" t="s">
        <v>61</v>
      </c>
      <c r="K2125" s="12">
        <v>78200</v>
      </c>
      <c r="L2125" s="12" t="s">
        <v>35</v>
      </c>
      <c r="M2125" s="13" t="e">
        <v>#N/A</v>
      </c>
      <c r="N2125" s="14" t="e">
        <v>#N/A</v>
      </c>
      <c r="O2125" s="14" t="e">
        <v>#N/A</v>
      </c>
      <c r="P2125" s="14" t="e">
        <v>#N/A</v>
      </c>
      <c r="Q2125" s="19" t="s">
        <v>13283</v>
      </c>
      <c r="R2125" s="15" t="s">
        <v>13284</v>
      </c>
      <c r="S2125" s="16" t="s">
        <v>89</v>
      </c>
      <c r="T2125" s="16" t="s">
        <v>89</v>
      </c>
      <c r="U2125" s="11" t="str">
        <f>_xlfn.XLOOKUP(Customer[[#This Row],[Customer ID]],[1]!Address[ID],[1]!Address[Phone No.(2)])</f>
        <v/>
      </c>
      <c r="V2125" s="11" t="str">
        <f>_xlfn.XLOOKUP(Customer[[#This Row],[Customer ID]],[1]!Address[ID],[1]!Address[Type])</f>
        <v>WALK IN</v>
      </c>
      <c r="W2125" s="11" t="str">
        <f>_xlfn.XLOOKUP(Customer[[#This Row],[Customer ID]],[1]!Address[ID],[1]!Address[CT])</f>
        <v/>
      </c>
      <c r="X2125" s="11"/>
      <c r="Y2125" s="17" t="s">
        <v>6284</v>
      </c>
      <c r="Z2125" s="17" t="e">
        <f>_xlfn.XLOOKUP(Customer[[#This Row],[NewType]],$AF$36:$AF$54,$AG$36:$AG$54)</f>
        <v>#N/A</v>
      </c>
      <c r="AA2125" s="17" t="s">
        <v>13285</v>
      </c>
      <c r="AB2125" s="11" t="str">
        <f>_xlfn.XLOOKUP(Customer[[#This Row],[Customer ID]],[1]!Address[ID],[1]!Address[Subtype])</f>
        <v>PEDAS</v>
      </c>
      <c r="AC2125" s="18" t="str">
        <f>_xlfn.XLOOKUP(Customer[[#This Row],[Customer ID]],[1]!Address[ID],[1]!Address[Zone])</f>
        <v>SLUTH</v>
      </c>
    </row>
    <row r="2126" spans="1:29" x14ac:dyDescent="0.3">
      <c r="A2126" s="10" t="s">
        <v>13286</v>
      </c>
      <c r="B2126" s="11" t="str">
        <f>_xlfn.XLOOKUP(Customer[[#This Row],[Customer ID]],[1]!Name[ID],[1]!Name[Description(1)])</f>
        <v>NABISHAH BEGAM KADER MOHIDIN</v>
      </c>
      <c r="C2126" s="11" t="str">
        <f>_xlfn.XLOOKUP(Customer[[#This Row],[Customer ID]],[1]!Name[ID],[1]!Name[Description(2)])</f>
        <v/>
      </c>
      <c r="D2126" s="11" t="str">
        <f>_xlfn.XLOOKUP(Customer[[#This Row],[Customer ID]],[1]!Address[ID],[1]!Address[PIC])</f>
        <v>NABISHAH</v>
      </c>
      <c r="E2126" s="11" t="str">
        <f>_xlfn.XLOOKUP(Customer[[#This Row],[Customer ID]],[1]!Address[ID],[1]!Address[Full Address])</f>
        <v>IKTBN CHEMBONG 71300 REMBAU,NEGERI SEMBILAN</v>
      </c>
      <c r="F2126" s="12" t="s">
        <v>13287</v>
      </c>
      <c r="G2126" s="12"/>
      <c r="H2126" s="12" t="s">
        <v>36</v>
      </c>
      <c r="I2126" s="12" t="b">
        <f>ISNUMBER(VALUE(LEFT(Customer[[#This Row],[Address Line 3 (30 char)]],1)))</f>
        <v>0</v>
      </c>
      <c r="J2126" s="12" t="s">
        <v>203</v>
      </c>
      <c r="K2126" s="12">
        <v>71300</v>
      </c>
      <c r="L2126" s="12" t="s">
        <v>35</v>
      </c>
      <c r="M2126" s="13" t="e">
        <v>#N/A</v>
      </c>
      <c r="N2126" s="14" t="e">
        <v>#N/A</v>
      </c>
      <c r="O2126" s="14" t="e">
        <v>#N/A</v>
      </c>
      <c r="P2126" s="14" t="e">
        <v>#N/A</v>
      </c>
      <c r="Q2126" s="19" t="s">
        <v>13288</v>
      </c>
      <c r="R2126" s="15" t="s">
        <v>13289</v>
      </c>
      <c r="S2126" s="16" t="s">
        <v>89</v>
      </c>
      <c r="T2126" s="16" t="s">
        <v>89</v>
      </c>
      <c r="U2126" s="11" t="str">
        <f>_xlfn.XLOOKUP(Customer[[#This Row],[Customer ID]],[1]!Address[ID],[1]!Address[Phone No.(2)])</f>
        <v/>
      </c>
      <c r="V2126" s="11" t="str">
        <f>_xlfn.XLOOKUP(Customer[[#This Row],[Customer ID]],[1]!Address[ID],[1]!Address[Type])</f>
        <v>WALK IN</v>
      </c>
      <c r="W2126" s="11" t="str">
        <f>_xlfn.XLOOKUP(Customer[[#This Row],[Customer ID]],[1]!Address[ID],[1]!Address[CT])</f>
        <v/>
      </c>
      <c r="X2126" s="11"/>
      <c r="Y2126" s="17" t="s">
        <v>6284</v>
      </c>
      <c r="Z2126" s="17" t="e">
        <f>_xlfn.XLOOKUP(Customer[[#This Row],[NewType]],$AF$36:$AF$54,$AG$36:$AG$54)</f>
        <v>#N/A</v>
      </c>
      <c r="AA2126" s="17" t="s">
        <v>13290</v>
      </c>
      <c r="AB2126" s="11" t="str">
        <f>_xlfn.XLOOKUP(Customer[[#This Row],[Customer ID]],[1]!Address[ID],[1]!Address[Subtype])</f>
        <v>PEDAS</v>
      </c>
      <c r="AC2126" s="18" t="str">
        <f>_xlfn.XLOOKUP(Customer[[#This Row],[Customer ID]],[1]!Address[ID],[1]!Address[Zone])</f>
        <v>CENTRAL</v>
      </c>
    </row>
    <row r="2127" spans="1:29" x14ac:dyDescent="0.3">
      <c r="A2127" s="10" t="s">
        <v>13291</v>
      </c>
      <c r="B2127" s="11" t="str">
        <f>_xlfn.XLOOKUP(Customer[[#This Row],[Customer ID]],[1]!Name[ID],[1]!Name[Description(1)])</f>
        <v>MAHADI BIN MAMAT</v>
      </c>
      <c r="C2127" s="11" t="str">
        <f>_xlfn.XLOOKUP(Customer[[#This Row],[Customer ID]],[1]!Name[ID],[1]!Name[Description(2)])</f>
        <v/>
      </c>
      <c r="D2127" s="11" t="str">
        <f>_xlfn.XLOOKUP(Customer[[#This Row],[Customer ID]],[1]!Address[ID],[1]!Address[PIC])</f>
        <v>MAHADI</v>
      </c>
      <c r="E2127" s="11" t="str">
        <f>_xlfn.XLOOKUP(Customer[[#This Row],[Customer ID]],[1]!Address[ID],[1]!Address[Full Address])</f>
        <v>K3-06 JLN 5/6 SEKSYEN 5 BDR TEKNOLOGIKAJANG 43000 SEMENYIH, SELANGOR</v>
      </c>
      <c r="F2127" s="12" t="s">
        <v>13292</v>
      </c>
      <c r="G2127" s="12" t="s">
        <v>13293</v>
      </c>
      <c r="H2127" s="12" t="s">
        <v>12624</v>
      </c>
      <c r="I2127" s="12" t="b">
        <f>ISNUMBER(VALUE(LEFT(Customer[[#This Row],[Address Line 3 (30 char)]],1)))</f>
        <v>0</v>
      </c>
      <c r="J2127" s="12" t="s">
        <v>172</v>
      </c>
      <c r="K2127" s="12">
        <v>43000</v>
      </c>
      <c r="L2127" s="12" t="s">
        <v>35</v>
      </c>
      <c r="M2127" s="13" t="e">
        <v>#N/A</v>
      </c>
      <c r="N2127" s="14" t="e">
        <v>#N/A</v>
      </c>
      <c r="O2127" s="14" t="e">
        <v>#N/A</v>
      </c>
      <c r="P2127" s="14" t="e">
        <v>#N/A</v>
      </c>
      <c r="Q2127" s="19" t="s">
        <v>13294</v>
      </c>
      <c r="R2127" s="15" t="s">
        <v>13295</v>
      </c>
      <c r="S2127" s="16" t="s">
        <v>89</v>
      </c>
      <c r="T2127" s="16" t="s">
        <v>89</v>
      </c>
      <c r="U2127" s="11" t="str">
        <f>_xlfn.XLOOKUP(Customer[[#This Row],[Customer ID]],[1]!Address[ID],[1]!Address[Phone No.(2)])</f>
        <v/>
      </c>
      <c r="V2127" s="11" t="str">
        <f>_xlfn.XLOOKUP(Customer[[#This Row],[Customer ID]],[1]!Address[ID],[1]!Address[Type])</f>
        <v>WALK IN</v>
      </c>
      <c r="W2127" s="11" t="str">
        <f>_xlfn.XLOOKUP(Customer[[#This Row],[Customer ID]],[1]!Address[ID],[1]!Address[CT])</f>
        <v/>
      </c>
      <c r="X2127" s="11"/>
      <c r="Y2127" s="17" t="s">
        <v>6284</v>
      </c>
      <c r="Z2127" s="17" t="e">
        <f>_xlfn.XLOOKUP(Customer[[#This Row],[NewType]],$AF$36:$AF$54,$AG$36:$AG$54)</f>
        <v>#N/A</v>
      </c>
      <c r="AA2127" s="17" t="s">
        <v>13296</v>
      </c>
      <c r="AB2127" s="11" t="str">
        <f>_xlfn.XLOOKUP(Customer[[#This Row],[Customer ID]],[1]!Address[ID],[1]!Address[Subtype])</f>
        <v>PEDAS</v>
      </c>
      <c r="AC2127" s="18" t="str">
        <f>_xlfn.XLOOKUP(Customer[[#This Row],[Customer ID]],[1]!Address[ID],[1]!Address[Zone])</f>
        <v>D H</v>
      </c>
    </row>
    <row r="2128" spans="1:29" x14ac:dyDescent="0.3">
      <c r="A2128" s="10" t="s">
        <v>13297</v>
      </c>
      <c r="B2128" s="11" t="str">
        <f>_xlfn.XLOOKUP(Customer[[#This Row],[Customer ID]],[1]!Name[ID],[1]!Name[Description(1)])</f>
        <v>RAZALI BIN RAIH</v>
      </c>
      <c r="C2128" s="11" t="str">
        <f>_xlfn.XLOOKUP(Customer[[#This Row],[Customer ID]],[1]!Name[ID],[1]!Name[Description(2)])</f>
        <v/>
      </c>
      <c r="D2128" s="11" t="str">
        <f>_xlfn.XLOOKUP(Customer[[#This Row],[Customer ID]],[1]!Address[ID],[1]!Address[PIC])</f>
        <v>RAZALI</v>
      </c>
      <c r="E2128" s="11" t="str">
        <f>_xlfn.XLOOKUP(Customer[[#This Row],[Customer ID]],[1]!Address[ID],[1]!Address[Full Address])</f>
        <v>NO 15 JALAN WARIS TEBATKG CHEMBONG KECIL71300 REMBAU N9</v>
      </c>
      <c r="F2128" s="12" t="s">
        <v>13298</v>
      </c>
      <c r="G2128" s="12" t="s">
        <v>13299</v>
      </c>
      <c r="H2128" s="24" t="s">
        <v>7985</v>
      </c>
      <c r="I2128" s="24" t="b">
        <f>ISNUMBER(VALUE(LEFT(Customer[[#This Row],[Address Line 3 (30 char)]],1)))</f>
        <v>0</v>
      </c>
      <c r="J2128" s="12" t="s">
        <v>2004</v>
      </c>
      <c r="K2128" s="12">
        <v>71300</v>
      </c>
      <c r="L2128" s="12" t="s">
        <v>35</v>
      </c>
      <c r="M2128" s="13" t="e">
        <v>#N/A</v>
      </c>
      <c r="N2128" s="14" t="e">
        <v>#N/A</v>
      </c>
      <c r="O2128" s="14" t="e">
        <v>#N/A</v>
      </c>
      <c r="P2128" s="14" t="e">
        <v>#N/A</v>
      </c>
      <c r="Q2128" s="19" t="s">
        <v>13300</v>
      </c>
      <c r="R2128" s="15" t="s">
        <v>13301</v>
      </c>
      <c r="S2128" s="16" t="s">
        <v>89</v>
      </c>
      <c r="T2128" s="16" t="s">
        <v>89</v>
      </c>
      <c r="U2128" s="11" t="str">
        <f>_xlfn.XLOOKUP(Customer[[#This Row],[Customer ID]],[1]!Address[ID],[1]!Address[Phone No.(2)])</f>
        <v/>
      </c>
      <c r="V2128" s="11" t="str">
        <f>_xlfn.XLOOKUP(Customer[[#This Row],[Customer ID]],[1]!Address[ID],[1]!Address[Type])</f>
        <v>WALK IN</v>
      </c>
      <c r="W2128" s="11" t="str">
        <f>_xlfn.XLOOKUP(Customer[[#This Row],[Customer ID]],[1]!Address[ID],[1]!Address[CT])</f>
        <v/>
      </c>
      <c r="X2128" s="11"/>
      <c r="Y2128" s="17" t="s">
        <v>6284</v>
      </c>
      <c r="Z2128" s="17" t="e">
        <f>_xlfn.XLOOKUP(Customer[[#This Row],[NewType]],$AF$36:$AF$54,$AG$36:$AG$54)</f>
        <v>#N/A</v>
      </c>
      <c r="AA2128" s="17" t="s">
        <v>13302</v>
      </c>
      <c r="AB2128" s="11" t="str">
        <f>_xlfn.XLOOKUP(Customer[[#This Row],[Customer ID]],[1]!Address[ID],[1]!Address[Subtype])</f>
        <v>PEDAS</v>
      </c>
      <c r="AC2128" s="18" t="str">
        <f>_xlfn.XLOOKUP(Customer[[#This Row],[Customer ID]],[1]!Address[ID],[1]!Address[Zone])</f>
        <v>CENTRAL</v>
      </c>
    </row>
    <row r="2129" spans="1:29" x14ac:dyDescent="0.3">
      <c r="A2129" s="10" t="s">
        <v>13303</v>
      </c>
      <c r="B2129" s="11" t="str">
        <f>_xlfn.XLOOKUP(Customer[[#This Row],[Customer ID]],[1]!Name[ID],[1]!Name[Description(1)])</f>
        <v>ABDUL MALEK BIN AHMAD</v>
      </c>
      <c r="C2129" s="11" t="str">
        <f>_xlfn.XLOOKUP(Customer[[#This Row],[Customer ID]],[1]!Name[ID],[1]!Name[Description(2)])</f>
        <v>(L&amp;W)</v>
      </c>
      <c r="D2129" s="11" t="str">
        <f>_xlfn.XLOOKUP(Customer[[#This Row],[Customer ID]],[1]!Address[ID],[1]!Address[PIC])</f>
        <v>ABDUL MALEK</v>
      </c>
      <c r="E2129" s="11" t="str">
        <f>_xlfn.XLOOKUP(Customer[[#This Row],[Customer ID]],[1]!Address[ID],[1]!Address[Full Address])</f>
        <v>NO.19 JALAN NEKMAT, DURIAN DAUNDALAM 75400 MELAKA</v>
      </c>
      <c r="F2129" s="12" t="s">
        <v>13304</v>
      </c>
      <c r="G2129" s="12" t="s">
        <v>13305</v>
      </c>
      <c r="H2129" s="12" t="s">
        <v>13306</v>
      </c>
      <c r="I2129" s="12" t="b">
        <f>ISNUMBER(VALUE(LEFT(Customer[[#This Row],[Address Line 3 (30 char)]],1)))</f>
        <v>0</v>
      </c>
      <c r="J2129" s="12" t="s">
        <v>61</v>
      </c>
      <c r="K2129" s="12">
        <v>75400</v>
      </c>
      <c r="L2129" s="12" t="s">
        <v>35</v>
      </c>
      <c r="M2129" s="13" t="e">
        <v>#N/A</v>
      </c>
      <c r="N2129" s="14" t="e">
        <v>#N/A</v>
      </c>
      <c r="O2129" s="14" t="e">
        <v>#N/A</v>
      </c>
      <c r="P2129" s="14" t="e">
        <v>#N/A</v>
      </c>
      <c r="Q2129" s="19" t="s">
        <v>13307</v>
      </c>
      <c r="R2129" s="15" t="s">
        <v>13308</v>
      </c>
      <c r="S2129" s="16" t="s">
        <v>89</v>
      </c>
      <c r="T2129" s="16" t="s">
        <v>89</v>
      </c>
      <c r="U2129" s="11" t="str">
        <f>_xlfn.XLOOKUP(Customer[[#This Row],[Customer ID]],[1]!Address[ID],[1]!Address[Phone No.(2)])</f>
        <v/>
      </c>
      <c r="V2129" s="11" t="str">
        <f>_xlfn.XLOOKUP(Customer[[#This Row],[Customer ID]],[1]!Address[ID],[1]!Address[Type])</f>
        <v>WALK IN</v>
      </c>
      <c r="W2129" s="11" t="str">
        <f>_xlfn.XLOOKUP(Customer[[#This Row],[Customer ID]],[1]!Address[ID],[1]!Address[CT])</f>
        <v/>
      </c>
      <c r="X2129" s="11"/>
      <c r="Y2129" s="17" t="s">
        <v>6284</v>
      </c>
      <c r="Z2129" s="17" t="e">
        <f>_xlfn.XLOOKUP(Customer[[#This Row],[NewType]],$AF$36:$AF$54,$AG$36:$AG$54)</f>
        <v>#N/A</v>
      </c>
      <c r="AA2129" s="17" t="s">
        <v>13309</v>
      </c>
      <c r="AB2129" s="11" t="str">
        <f>_xlfn.XLOOKUP(Customer[[#This Row],[Customer ID]],[1]!Address[ID],[1]!Address[Subtype])</f>
        <v>STAFF</v>
      </c>
      <c r="AC2129" s="18" t="str">
        <f>_xlfn.XLOOKUP(Customer[[#This Row],[Customer ID]],[1]!Address[ID],[1]!Address[Zone])</f>
        <v>SOUTH</v>
      </c>
    </row>
    <row r="2130" spans="1:29" x14ac:dyDescent="0.3">
      <c r="A2130" s="10" t="s">
        <v>13310</v>
      </c>
      <c r="B2130" s="11" t="str">
        <f>_xlfn.XLOOKUP(Customer[[#This Row],[Customer ID]],[1]!Name[ID],[1]!Name[Description(1)])</f>
        <v>KHAIRUL ZAMAN BIN MANSOR</v>
      </c>
      <c r="C2130" s="11" t="str">
        <f>_xlfn.XLOOKUP(Customer[[#This Row],[Customer ID]],[1]!Name[ID],[1]!Name[Description(2)])</f>
        <v>(BD)</v>
      </c>
      <c r="D2130" s="11" t="str">
        <f>_xlfn.XLOOKUP(Customer[[#This Row],[Customer ID]],[1]!Address[ID],[1]!Address[PIC])</f>
        <v>KHAIRUL</v>
      </c>
      <c r="E2130" s="11" t="str">
        <f>_xlfn.XLOOKUP(Customer[[#This Row],[Customer ID]],[1]!Address[ID],[1]!Address[Full Address])</f>
        <v>62 JLN HARMONI 14TMN HARMONI 43500 SEMENYIH</v>
      </c>
      <c r="F2130" s="12" t="s">
        <v>13311</v>
      </c>
      <c r="G2130" s="12" t="s">
        <v>13312</v>
      </c>
      <c r="H2130" s="12" t="s">
        <v>36</v>
      </c>
      <c r="I2130" s="12" t="b">
        <f>ISNUMBER(VALUE(LEFT(Customer[[#This Row],[Address Line 3 (30 char)]],1)))</f>
        <v>0</v>
      </c>
      <c r="J2130" s="12" t="s">
        <v>1907</v>
      </c>
      <c r="K2130" s="12">
        <v>43500</v>
      </c>
      <c r="L2130" s="12" t="s">
        <v>35</v>
      </c>
      <c r="M2130" s="13" t="e">
        <v>#N/A</v>
      </c>
      <c r="N2130" s="14" t="e">
        <v>#N/A</v>
      </c>
      <c r="O2130" s="14" t="e">
        <v>#N/A</v>
      </c>
      <c r="P2130" s="14" t="e">
        <v>#N/A</v>
      </c>
      <c r="Q2130" s="19" t="s">
        <v>13313</v>
      </c>
      <c r="R2130" s="15" t="s">
        <v>13314</v>
      </c>
      <c r="S2130" s="16" t="s">
        <v>89</v>
      </c>
      <c r="T2130" s="16" t="s">
        <v>89</v>
      </c>
      <c r="U2130" s="11" t="str">
        <f>_xlfn.XLOOKUP(Customer[[#This Row],[Customer ID]],[1]!Address[ID],[1]!Address[Phone No.(2)])</f>
        <v/>
      </c>
      <c r="V2130" s="11" t="str">
        <f>_xlfn.XLOOKUP(Customer[[#This Row],[Customer ID]],[1]!Address[ID],[1]!Address[Type])</f>
        <v>WALK IN</v>
      </c>
      <c r="W2130" s="11" t="str">
        <f>_xlfn.XLOOKUP(Customer[[#This Row],[Customer ID]],[1]!Address[ID],[1]!Address[CT])</f>
        <v/>
      </c>
      <c r="X2130" s="11"/>
      <c r="Y2130" s="17" t="s">
        <v>6284</v>
      </c>
      <c r="Z2130" s="17" t="e">
        <f>_xlfn.XLOOKUP(Customer[[#This Row],[NewType]],$AF$36:$AF$54,$AG$36:$AG$54)</f>
        <v>#N/A</v>
      </c>
      <c r="AA2130" s="17" t="s">
        <v>13315</v>
      </c>
      <c r="AB2130" s="11" t="str">
        <f>_xlfn.XLOOKUP(Customer[[#This Row],[Customer ID]],[1]!Address[ID],[1]!Address[Subtype])</f>
        <v>STAFF</v>
      </c>
      <c r="AC2130" s="18" t="str">
        <f>_xlfn.XLOOKUP(Customer[[#This Row],[Customer ID]],[1]!Address[ID],[1]!Address[Zone])</f>
        <v>CENTRAL</v>
      </c>
    </row>
    <row r="2131" spans="1:29" x14ac:dyDescent="0.3">
      <c r="A2131" s="10" t="s">
        <v>13316</v>
      </c>
      <c r="B2131" s="11" t="str">
        <f>_xlfn.XLOOKUP(Customer[[#This Row],[Customer ID]],[1]!Name[ID],[1]!Name[Description(1)])</f>
        <v>NASREEN HELMI BT IZZAT</v>
      </c>
      <c r="C2131" s="32" t="str">
        <f>_xlfn.XLOOKUP(Customer[[#This Row],[Customer ID]],[1]!Name[ID],[1]!Name[Description(2)])</f>
        <v/>
      </c>
      <c r="D2131" s="11" t="str">
        <f>_xlfn.XLOOKUP(Customer[[#This Row],[Customer ID]],[1]!Address[ID],[1]!Address[PIC])</f>
        <v>NASREEN</v>
      </c>
      <c r="E2131" s="11" t="str">
        <f>_xlfn.XLOOKUP(Customer[[#This Row],[Customer ID]],[1]!Address[ID],[1]!Address[Full Address])</f>
        <v>SEKOLAH MENENGAH KEBANGSAAN CONVENTBUKIT NANAS, JALAN BUKIT NANAS KL</v>
      </c>
      <c r="F2131" s="29" t="s">
        <v>13317</v>
      </c>
      <c r="G2131" s="29" t="s">
        <v>13318</v>
      </c>
      <c r="H2131" s="29" t="s">
        <v>13319</v>
      </c>
      <c r="I2131" s="29" t="b">
        <f>ISNUMBER(VALUE(LEFT(Customer[[#This Row],[Address Line 3 (30 char)]],1)))</f>
        <v>0</v>
      </c>
      <c r="J2131" s="95" t="s">
        <v>34</v>
      </c>
      <c r="K2131" s="95"/>
      <c r="L2131" s="29" t="s">
        <v>35</v>
      </c>
      <c r="M2131" s="31" t="e">
        <v>#N/A</v>
      </c>
      <c r="N2131" s="36" t="e">
        <v>#N/A</v>
      </c>
      <c r="O2131" s="36" t="e">
        <v>#N/A</v>
      </c>
      <c r="P2131" s="36" t="e">
        <v>#N/A</v>
      </c>
      <c r="Q2131" s="89" t="s">
        <v>13320</v>
      </c>
      <c r="R2131" s="15" t="s">
        <v>13321</v>
      </c>
      <c r="S2131" s="15" t="s">
        <v>4271</v>
      </c>
      <c r="T2131" s="16" t="s">
        <v>89</v>
      </c>
      <c r="U2131" s="11" t="str">
        <f>_xlfn.XLOOKUP(Customer[[#This Row],[Customer ID]],[1]!Address[ID],[1]!Address[Phone No.(2)])</f>
        <v/>
      </c>
      <c r="V2131" s="11" t="str">
        <f>_xlfn.XLOOKUP(Customer[[#This Row],[Customer ID]],[1]!Address[ID],[1]!Address[Type])</f>
        <v>SOCMED</v>
      </c>
      <c r="W2131" s="11" t="str">
        <f>_xlfn.XLOOKUP(Customer[[#This Row],[Customer ID]],[1]!Address[ID],[1]!Address[CT])</f>
        <v/>
      </c>
      <c r="X2131" s="11"/>
      <c r="Y2131" s="17" t="s">
        <v>90</v>
      </c>
      <c r="Z2131" s="17" t="e">
        <f>_xlfn.XLOOKUP(Customer[[#This Row],[NewType]],$AF$36:$AF$54,$AG$36:$AG$54)</f>
        <v>#N/A</v>
      </c>
      <c r="AA2131" s="17" t="s">
        <v>13322</v>
      </c>
      <c r="AB2131" s="11" t="str">
        <f>_xlfn.XLOOKUP(Customer[[#This Row],[Customer ID]],[1]!Address[ID],[1]!Address[Subtype])</f>
        <v>WHATSAPP</v>
      </c>
      <c r="AC2131" s="18" t="str">
        <f>_xlfn.XLOOKUP(Customer[[#This Row],[Customer ID]],[1]!Address[ID],[1]!Address[Zone])</f>
        <v>CENTRAL</v>
      </c>
    </row>
    <row r="2132" spans="1:29" x14ac:dyDescent="0.3">
      <c r="A2132" s="10" t="s">
        <v>13323</v>
      </c>
      <c r="B2132" s="11" t="str">
        <f>_xlfn.XLOOKUP(Customer[[#This Row],[Customer ID]],[1]!Name[ID],[1]!Name[Description(1)])</f>
        <v>ABDUL RAHIM BIN MOHAMAD</v>
      </c>
      <c r="C2132" s="11" t="str">
        <f>_xlfn.XLOOKUP(Customer[[#This Row],[Customer ID]],[1]!Name[ID],[1]!Name[Description(2)])</f>
        <v/>
      </c>
      <c r="D2132" s="11" t="str">
        <f>_xlfn.XLOOKUP(Customer[[#This Row],[Customer ID]],[1]!Address[ID],[1]!Address[PIC])</f>
        <v>ABDUL RAHIM</v>
      </c>
      <c r="E2132" s="11" t="str">
        <f>_xlfn.XLOOKUP(Customer[[#This Row],[Customer ID]],[1]!Address[ID],[1]!Address[Full Address])</f>
        <v>PT 726 PERUMAHAN DATO SYAHBANDAR26600 PEKAN, PAHANG</v>
      </c>
      <c r="F2132" s="12" t="s">
        <v>13324</v>
      </c>
      <c r="G2132" s="12" t="s">
        <v>13325</v>
      </c>
      <c r="H2132" s="12" t="s">
        <v>575</v>
      </c>
      <c r="I2132" s="12" t="b">
        <f>ISNUMBER(VALUE(LEFT(Customer[[#This Row],[Address Line 3 (30 char)]],1)))</f>
        <v>0</v>
      </c>
      <c r="J2132" s="12" t="s">
        <v>339</v>
      </c>
      <c r="K2132" s="12">
        <v>26600</v>
      </c>
      <c r="L2132" s="12" t="s">
        <v>35</v>
      </c>
      <c r="M2132" s="13" t="e">
        <v>#N/A</v>
      </c>
      <c r="N2132" s="14" t="e">
        <v>#N/A</v>
      </c>
      <c r="O2132" s="14" t="e">
        <v>#N/A</v>
      </c>
      <c r="P2132" s="14" t="e">
        <v>#N/A</v>
      </c>
      <c r="Q2132" s="19" t="s">
        <v>13326</v>
      </c>
      <c r="R2132" s="15" t="s">
        <v>13327</v>
      </c>
      <c r="S2132" s="16" t="s">
        <v>89</v>
      </c>
      <c r="T2132" s="16" t="s">
        <v>89</v>
      </c>
      <c r="U2132" s="11" t="str">
        <f>_xlfn.XLOOKUP(Customer[[#This Row],[Customer ID]],[1]!Address[ID],[1]!Address[Phone No.(2)])</f>
        <v/>
      </c>
      <c r="V2132" s="11" t="str">
        <f>_xlfn.XLOOKUP(Customer[[#This Row],[Customer ID]],[1]!Address[ID],[1]!Address[Type])</f>
        <v>WALK IN</v>
      </c>
      <c r="W2132" s="11" t="str">
        <f>_xlfn.XLOOKUP(Customer[[#This Row],[Customer ID]],[1]!Address[ID],[1]!Address[CT])</f>
        <v/>
      </c>
      <c r="X2132" s="11"/>
      <c r="Y2132" s="17" t="s">
        <v>6284</v>
      </c>
      <c r="Z2132" s="17" t="e">
        <f>_xlfn.XLOOKUP(Customer[[#This Row],[NewType]],$AF$36:$AF$54,$AG$36:$AG$54)</f>
        <v>#N/A</v>
      </c>
      <c r="AA2132" s="17" t="s">
        <v>13328</v>
      </c>
      <c r="AB2132" s="11" t="str">
        <f>_xlfn.XLOOKUP(Customer[[#This Row],[Customer ID]],[1]!Address[ID],[1]!Address[Subtype])</f>
        <v>PEDAS</v>
      </c>
      <c r="AC2132" s="18" t="str">
        <f>_xlfn.XLOOKUP(Customer[[#This Row],[Customer ID]],[1]!Address[ID],[1]!Address[Zone])</f>
        <v>D H</v>
      </c>
    </row>
    <row r="2133" spans="1:29" x14ac:dyDescent="0.3">
      <c r="A2133" s="10" t="s">
        <v>13329</v>
      </c>
      <c r="B2133" s="11" t="str">
        <f>_xlfn.XLOOKUP(Customer[[#This Row],[Customer ID]],[1]!Name[ID],[1]!Name[Description(1)])</f>
        <v>SITI NAQIYAH BINTI KASSIM</v>
      </c>
      <c r="C2133" s="11" t="str">
        <f>_xlfn.XLOOKUP(Customer[[#This Row],[Customer ID]],[1]!Name[ID],[1]!Name[Description(2)])</f>
        <v/>
      </c>
      <c r="D2133" s="11" t="str">
        <f>_xlfn.XLOOKUP(Customer[[#This Row],[Customer ID]],[1]!Address[ID],[1]!Address[PIC])</f>
        <v>NAQIYAH</v>
      </c>
      <c r="E2133" s="11" t="str">
        <f>_xlfn.XLOOKUP(Customer[[#This Row],[Customer ID]],[1]!Address[ID],[1]!Address[Full Address])</f>
        <v>NO 8 KAMPUNG BERAMBAI,73100 JOHOL</v>
      </c>
      <c r="F2133" s="12" t="s">
        <v>13330</v>
      </c>
      <c r="G2133" s="12" t="s">
        <v>13331</v>
      </c>
      <c r="H2133" s="12" t="s">
        <v>36</v>
      </c>
      <c r="I2133" s="12" t="b">
        <f>ISNUMBER(VALUE(LEFT(Customer[[#This Row],[Address Line 3 (30 char)]],1)))</f>
        <v>0</v>
      </c>
      <c r="J2133" s="12" t="s">
        <v>52</v>
      </c>
      <c r="K2133" s="12">
        <v>73100</v>
      </c>
      <c r="L2133" s="12" t="s">
        <v>35</v>
      </c>
      <c r="M2133" s="13" t="e">
        <v>#N/A</v>
      </c>
      <c r="N2133" s="14" t="e">
        <v>#N/A</v>
      </c>
      <c r="O2133" s="14" t="e">
        <v>#N/A</v>
      </c>
      <c r="P2133" s="14" t="e">
        <v>#N/A</v>
      </c>
      <c r="Q2133" s="19" t="s">
        <v>13332</v>
      </c>
      <c r="R2133" s="15" t="s">
        <v>13333</v>
      </c>
      <c r="S2133" s="16" t="s">
        <v>89</v>
      </c>
      <c r="T2133" s="16" t="s">
        <v>89</v>
      </c>
      <c r="U2133" s="11" t="str">
        <f>_xlfn.XLOOKUP(Customer[[#This Row],[Customer ID]],[1]!Address[ID],[1]!Address[Phone No.(2)])</f>
        <v/>
      </c>
      <c r="V2133" s="11" t="str">
        <f>_xlfn.XLOOKUP(Customer[[#This Row],[Customer ID]],[1]!Address[ID],[1]!Address[Type])</f>
        <v>WALK IN</v>
      </c>
      <c r="W2133" s="11" t="str">
        <f>_xlfn.XLOOKUP(Customer[[#This Row],[Customer ID]],[1]!Address[ID],[1]!Address[CT])</f>
        <v/>
      </c>
      <c r="X2133" s="11"/>
      <c r="Y2133" s="17" t="s">
        <v>6284</v>
      </c>
      <c r="Z2133" s="17" t="e">
        <f>_xlfn.XLOOKUP(Customer[[#This Row],[NewType]],$AF$36:$AF$54,$AG$36:$AG$54)</f>
        <v>#N/A</v>
      </c>
      <c r="AA2133" s="17" t="s">
        <v>13334</v>
      </c>
      <c r="AB2133" s="11" t="str">
        <f>_xlfn.XLOOKUP(Customer[[#This Row],[Customer ID]],[1]!Address[ID],[1]!Address[Subtype])</f>
        <v>PEDAS</v>
      </c>
      <c r="AC2133" s="18" t="str">
        <f>_xlfn.XLOOKUP(Customer[[#This Row],[Customer ID]],[1]!Address[ID],[1]!Address[Zone])</f>
        <v>CENTRAL</v>
      </c>
    </row>
    <row r="2134" spans="1:29" x14ac:dyDescent="0.3">
      <c r="A2134" s="45" t="s">
        <v>13335</v>
      </c>
      <c r="B2134" s="32" t="str">
        <f>_xlfn.XLOOKUP(Customer[[#This Row],[Customer ID]],[1]!Name[ID],[1]!Name[Description(1)])</f>
        <v>HARLEM BIN DAUT</v>
      </c>
      <c r="C2134" s="32" t="str">
        <f>_xlfn.XLOOKUP(Customer[[#This Row],[Customer ID]],[1]!Name[ID],[1]!Name[Description(2)])</f>
        <v/>
      </c>
      <c r="D2134" s="11" t="str">
        <f>_xlfn.XLOOKUP(Customer[[#This Row],[Customer ID]],[1]!Address[ID],[1]!Address[PIC])</f>
        <v>HARLEM</v>
      </c>
      <c r="E2134" s="11" t="str">
        <f>_xlfn.XLOOKUP(Customer[[#This Row],[Customer ID]],[1]!Address[ID],[1]!Address[Full Address])</f>
        <v>BATU GAJAH, MELAKA</v>
      </c>
      <c r="F2134" s="12" t="s">
        <v>13336</v>
      </c>
      <c r="G2134" s="12" t="s">
        <v>36</v>
      </c>
      <c r="H2134" s="12" t="s">
        <v>36</v>
      </c>
      <c r="I2134" s="12" t="b">
        <f>ISNUMBER(VALUE(LEFT(Customer[[#This Row],[Address Line 3 (30 char)]],1)))</f>
        <v>0</v>
      </c>
      <c r="J2134" s="32" t="s">
        <v>61</v>
      </c>
      <c r="K2134" s="32"/>
      <c r="L2134" s="12" t="s">
        <v>35</v>
      </c>
      <c r="M2134" s="13" t="e">
        <v>#N/A</v>
      </c>
      <c r="N2134" s="14" t="e">
        <v>#N/A</v>
      </c>
      <c r="O2134" s="14" t="e">
        <v>#N/A</v>
      </c>
      <c r="P2134" s="14" t="e">
        <v>#N/A</v>
      </c>
      <c r="Q2134" s="14" t="e">
        <v>#N/A</v>
      </c>
      <c r="R2134" s="15" t="s">
        <v>13337</v>
      </c>
      <c r="S2134" s="16" t="s">
        <v>89</v>
      </c>
      <c r="T2134" s="16" t="s">
        <v>89</v>
      </c>
      <c r="U2134" s="11" t="str">
        <f>_xlfn.XLOOKUP(Customer[[#This Row],[Customer ID]],[1]!Address[ID],[1]!Address[Phone No.(2)])</f>
        <v/>
      </c>
      <c r="V2134" s="11" t="str">
        <f>_xlfn.XLOOKUP(Customer[[#This Row],[Customer ID]],[1]!Address[ID],[1]!Address[Type])</f>
        <v>WALK IN</v>
      </c>
      <c r="W2134" s="11" t="str">
        <f>_xlfn.XLOOKUP(Customer[[#This Row],[Customer ID]],[1]!Address[ID],[1]!Address[CT])</f>
        <v/>
      </c>
      <c r="X2134" s="11"/>
      <c r="Y2134" s="17" t="s">
        <v>6284</v>
      </c>
      <c r="Z2134" s="17" t="e">
        <f>_xlfn.XLOOKUP(Customer[[#This Row],[NewType]],$AF$36:$AF$54,$AG$36:$AG$54)</f>
        <v>#N/A</v>
      </c>
      <c r="AA2134" s="17" t="s">
        <v>13338</v>
      </c>
      <c r="AB2134" s="11" t="str">
        <f>_xlfn.XLOOKUP(Customer[[#This Row],[Customer ID]],[1]!Address[ID],[1]!Address[Subtype])</f>
        <v>PEDAS</v>
      </c>
      <c r="AC2134" s="18" t="str">
        <f>_xlfn.XLOOKUP(Customer[[#This Row],[Customer ID]],[1]!Address[ID],[1]!Address[Zone])</f>
        <v>SOUTH</v>
      </c>
    </row>
    <row r="2135" spans="1:29" x14ac:dyDescent="0.3">
      <c r="A2135" s="45" t="s">
        <v>13339</v>
      </c>
      <c r="B2135" s="32" t="str">
        <f>_xlfn.XLOOKUP(Customer[[#This Row],[Customer ID]],[1]!Name[ID],[1]!Name[Description(1)])</f>
        <v>HJH NORAINE MINHAD</v>
      </c>
      <c r="C2135" s="32" t="str">
        <f>_xlfn.XLOOKUP(Customer[[#This Row],[Customer ID]],[1]!Name[ID],[1]!Name[Description(2)])</f>
        <v/>
      </c>
      <c r="D2135" s="11" t="str">
        <f>_xlfn.XLOOKUP(Customer[[#This Row],[Customer ID]],[1]!Address[ID],[1]!Address[PIC])</f>
        <v>HJH NORAINE</v>
      </c>
      <c r="E2135" s="11" t="str">
        <f>_xlfn.XLOOKUP(Customer[[#This Row],[Customer ID]],[1]!Address[ID],[1]!Address[Full Address])</f>
        <v>NO.32, JLN KJ 27, TAMAN KRUBONG JAYA,MELAKA</v>
      </c>
      <c r="F2135" s="12" t="s">
        <v>13340</v>
      </c>
      <c r="G2135" s="12" t="s">
        <v>13341</v>
      </c>
      <c r="H2135" s="12" t="s">
        <v>13342</v>
      </c>
      <c r="I2135" s="12" t="b">
        <f>ISNUMBER(VALUE(LEFT(Customer[[#This Row],[Address Line 3 (30 char)]],1)))</f>
        <v>0</v>
      </c>
      <c r="J2135" s="32" t="s">
        <v>61</v>
      </c>
      <c r="K2135" s="32">
        <v>75260</v>
      </c>
      <c r="L2135" s="12" t="s">
        <v>35</v>
      </c>
      <c r="M2135" s="13" t="e">
        <v>#N/A</v>
      </c>
      <c r="N2135" s="14" t="e">
        <v>#N/A</v>
      </c>
      <c r="O2135" s="14" t="e">
        <v>#N/A</v>
      </c>
      <c r="P2135" s="14" t="e">
        <v>#N/A</v>
      </c>
      <c r="Q2135" s="14" t="e">
        <v>#N/A</v>
      </c>
      <c r="R2135" s="15" t="s">
        <v>13343</v>
      </c>
      <c r="S2135" s="16" t="s">
        <v>89</v>
      </c>
      <c r="T2135" s="16" t="s">
        <v>89</v>
      </c>
      <c r="U2135" s="11" t="str">
        <f>_xlfn.XLOOKUP(Customer[[#This Row],[Customer ID]],[1]!Address[ID],[1]!Address[Phone No.(2)])</f>
        <v/>
      </c>
      <c r="V2135" s="11" t="str">
        <f>_xlfn.XLOOKUP(Customer[[#This Row],[Customer ID]],[1]!Address[ID],[1]!Address[Type])</f>
        <v>WALK IN</v>
      </c>
      <c r="W2135" s="11" t="str">
        <f>_xlfn.XLOOKUP(Customer[[#This Row],[Customer ID]],[1]!Address[ID],[1]!Address[CT])</f>
        <v/>
      </c>
      <c r="X2135" s="11"/>
      <c r="Y2135" s="17" t="s">
        <v>6284</v>
      </c>
      <c r="Z2135" s="17" t="e">
        <f>_xlfn.XLOOKUP(Customer[[#This Row],[NewType]],$AF$36:$AF$54,$AG$36:$AG$54)</f>
        <v>#N/A</v>
      </c>
      <c r="AA2135" s="17" t="s">
        <v>13344</v>
      </c>
      <c r="AB2135" s="11" t="str">
        <f>_xlfn.XLOOKUP(Customer[[#This Row],[Customer ID]],[1]!Address[ID],[1]!Address[Subtype])</f>
        <v>PEDAS</v>
      </c>
      <c r="AC2135" s="18" t="str">
        <f>_xlfn.XLOOKUP(Customer[[#This Row],[Customer ID]],[1]!Address[ID],[1]!Address[Zone])</f>
        <v>SOUTH</v>
      </c>
    </row>
    <row r="2136" spans="1:29" x14ac:dyDescent="0.3">
      <c r="A2136" s="10" t="s">
        <v>13345</v>
      </c>
      <c r="B2136" s="11" t="str">
        <f>_xlfn.XLOOKUP(Customer[[#This Row],[Customer ID]],[1]!Name[ID],[1]!Name[Description(1)])</f>
        <v>SHAZALIENA</v>
      </c>
      <c r="C2136" s="11" t="str">
        <f>_xlfn.XLOOKUP(Customer[[#This Row],[Customer ID]],[1]!Name[ID],[1]!Name[Description(2)])</f>
        <v>(PRODUCTION KILANG AIR)</v>
      </c>
      <c r="D2136" s="11" t="str">
        <f>_xlfn.XLOOKUP(Customer[[#This Row],[Customer ID]],[1]!Address[ID],[1]!Address[PIC])</f>
        <v>SHAZALIENA</v>
      </c>
      <c r="E2136" s="11" t="str">
        <f>_xlfn.XLOOKUP(Customer[[#This Row],[Customer ID]],[1]!Address[ID],[1]!Address[Full Address])</f>
        <v>LOT 3128 KG KANCHONG 71200RANTAU N.SEMBILAN</v>
      </c>
      <c r="F2136" s="12" t="s">
        <v>13346</v>
      </c>
      <c r="G2136" s="12" t="s">
        <v>13347</v>
      </c>
      <c r="H2136" s="12" t="s">
        <v>36</v>
      </c>
      <c r="I2136" s="12" t="b">
        <f>ISNUMBER(VALUE(LEFT(Customer[[#This Row],[Address Line 3 (30 char)]],1)))</f>
        <v>0</v>
      </c>
      <c r="J2136" s="12" t="s">
        <v>203</v>
      </c>
      <c r="K2136" s="12">
        <v>71200</v>
      </c>
      <c r="L2136" s="12" t="s">
        <v>35</v>
      </c>
      <c r="M2136" s="13" t="e">
        <v>#N/A</v>
      </c>
      <c r="N2136" s="14" t="e">
        <v>#N/A</v>
      </c>
      <c r="O2136" s="14" t="e">
        <v>#N/A</v>
      </c>
      <c r="P2136" s="14" t="e">
        <v>#N/A</v>
      </c>
      <c r="Q2136" s="19" t="s">
        <v>13348</v>
      </c>
      <c r="R2136" s="15" t="s">
        <v>13349</v>
      </c>
      <c r="S2136" s="16" t="s">
        <v>89</v>
      </c>
      <c r="T2136" s="16" t="s">
        <v>89</v>
      </c>
      <c r="U2136" s="11" t="str">
        <f>_xlfn.XLOOKUP(Customer[[#This Row],[Customer ID]],[1]!Address[ID],[1]!Address[Phone No.(2)])</f>
        <v/>
      </c>
      <c r="V2136" s="11" t="str">
        <f>_xlfn.XLOOKUP(Customer[[#This Row],[Customer ID]],[1]!Address[ID],[1]!Address[Type])</f>
        <v>WALK IN</v>
      </c>
      <c r="W2136" s="11" t="str">
        <f>_xlfn.XLOOKUP(Customer[[#This Row],[Customer ID]],[1]!Address[ID],[1]!Address[CT])</f>
        <v/>
      </c>
      <c r="X2136" s="11"/>
      <c r="Y2136" s="17" t="s">
        <v>6284</v>
      </c>
      <c r="Z2136" s="17" t="e">
        <f>_xlfn.XLOOKUP(Customer[[#This Row],[NewType]],$AF$36:$AF$54,$AG$36:$AG$54)</f>
        <v>#N/A</v>
      </c>
      <c r="AA2136" s="17" t="s">
        <v>13350</v>
      </c>
      <c r="AB2136" s="11" t="str">
        <f>_xlfn.XLOOKUP(Customer[[#This Row],[Customer ID]],[1]!Address[ID],[1]!Address[Subtype])</f>
        <v>STAFF</v>
      </c>
      <c r="AC2136" s="18" t="str">
        <f>_xlfn.XLOOKUP(Customer[[#This Row],[Customer ID]],[1]!Address[ID],[1]!Address[Zone])</f>
        <v>CENTRAL</v>
      </c>
    </row>
    <row r="2137" spans="1:29" x14ac:dyDescent="0.3">
      <c r="A2137" s="10" t="s">
        <v>13351</v>
      </c>
      <c r="B2137" s="11" t="str">
        <f>_xlfn.XLOOKUP(Customer[[#This Row],[Customer ID]],[1]!Name[ID],[1]!Name[Description(1)])</f>
        <v>EXCELLENT PREMIUM LUBRICANT ENTERPRISE</v>
      </c>
      <c r="C2137" s="11" t="str">
        <f>_xlfn.XLOOKUP(Customer[[#This Row],[Customer ID]],[1]!Name[ID],[1]!Name[Description(2)])</f>
        <v>LED</v>
      </c>
      <c r="D2137" s="11" t="str">
        <f>_xlfn.XLOOKUP(Customer[[#This Row],[Customer ID]],[1]!Address[ID],[1]!Address[PIC])</f>
        <v/>
      </c>
      <c r="E2137" s="11" t="str">
        <f>_xlfn.XLOOKUP(Customer[[#This Row],[Customer ID]],[1]!Address[ID],[1]!Address[Full Address])</f>
        <v>NO.28 JALAN UTARID U5/DSUBANG MUTIARA40150 SHAH ALAM SELANGOR</v>
      </c>
      <c r="F2137" s="12" t="s">
        <v>13352</v>
      </c>
      <c r="G2137" s="12" t="s">
        <v>13353</v>
      </c>
      <c r="H2137" s="24" t="s">
        <v>4488</v>
      </c>
      <c r="I2137" s="24" t="b">
        <f>ISNUMBER(VALUE(LEFT(Customer[[#This Row],[Address Line 3 (30 char)]],1)))</f>
        <v>0</v>
      </c>
      <c r="J2137" s="12" t="s">
        <v>1907</v>
      </c>
      <c r="K2137" s="12">
        <v>41150</v>
      </c>
      <c r="L2137" s="12" t="s">
        <v>35</v>
      </c>
      <c r="M2137" s="13" t="e">
        <v>#N/A</v>
      </c>
      <c r="N2137" s="14" t="e">
        <v>#N/A</v>
      </c>
      <c r="O2137" s="14" t="e">
        <v>#N/A</v>
      </c>
      <c r="P2137" s="14" t="e">
        <v>#N/A</v>
      </c>
      <c r="Q2137" s="14" t="e">
        <v>#N/A</v>
      </c>
      <c r="R2137" s="15" t="s">
        <v>13354</v>
      </c>
      <c r="S2137" s="15" t="s">
        <v>5917</v>
      </c>
      <c r="T2137" s="16"/>
      <c r="U2137" s="11" t="str">
        <f>_xlfn.XLOOKUP(Customer[[#This Row],[Customer ID]],[1]!Address[ID],[1]!Address[Phone No.(2)])</f>
        <v/>
      </c>
      <c r="V2137" s="11" t="str">
        <f>_xlfn.XLOOKUP(Customer[[#This Row],[Customer ID]],[1]!Address[ID],[1]!Address[Type])</f>
        <v>BODG</v>
      </c>
      <c r="W2137" s="11" t="str">
        <f>_xlfn.XLOOKUP(Customer[[#This Row],[Customer ID]],[1]!Address[ID],[1]!Address[CT])</f>
        <v>50% DEPOSIT</v>
      </c>
      <c r="X2137" s="11"/>
      <c r="Y2137" s="17" t="s">
        <v>13115</v>
      </c>
      <c r="Z2137" s="17" t="e">
        <f>_xlfn.XLOOKUP(Customer[[#This Row],[NewType]],$AF$36:$AF$54,$AG$36:$AG$54)</f>
        <v>#N/A</v>
      </c>
      <c r="AA2137" s="17" t="s">
        <v>13355</v>
      </c>
      <c r="AB2137" s="11" t="str">
        <f>_xlfn.XLOOKUP(Customer[[#This Row],[Customer ID]],[1]!Address[ID],[1]!Address[Subtype])</f>
        <v>LED</v>
      </c>
      <c r="AC2137" s="18" t="str">
        <f>_xlfn.XLOOKUP(Customer[[#This Row],[Customer ID]],[1]!Address[ID],[1]!Address[Zone])</f>
        <v>CENTRAL</v>
      </c>
    </row>
    <row r="2138" spans="1:29" x14ac:dyDescent="0.3">
      <c r="A2138" s="10" t="s">
        <v>13356</v>
      </c>
      <c r="B2138" s="11" t="str">
        <f>_xlfn.XLOOKUP(Customer[[#This Row],[Customer ID]],[1]!Name[ID],[1]!Name[Description(1)])</f>
        <v>ELITE DEFINITION SDN BHD</v>
      </c>
      <c r="C2138" s="11" t="str">
        <f>_xlfn.XLOOKUP(Customer[[#This Row],[Customer ID]],[1]!Name[ID],[1]!Name[Description(2)])</f>
        <v>LED</v>
      </c>
      <c r="D2138" s="11" t="str">
        <f>_xlfn.XLOOKUP(Customer[[#This Row],[Customer ID]],[1]!Address[ID],[1]!Address[PIC])</f>
        <v/>
      </c>
      <c r="E2138" s="11" t="str">
        <f>_xlfn.XLOOKUP(Customer[[#This Row],[Customer ID]],[1]!Address[ID],[1]!Address[Full Address])</f>
        <v>NO.26 (GROUND FLOOR)JALAN TIARA 5, BDR BARU KLANG41150 KLANG, SELANGOR</v>
      </c>
      <c r="F2138" s="12" t="s">
        <v>13357</v>
      </c>
      <c r="G2138" s="12" t="s">
        <v>13358</v>
      </c>
      <c r="H2138" s="24" t="s">
        <v>827</v>
      </c>
      <c r="I2138" s="24" t="b">
        <f>ISNUMBER(VALUE(LEFT(Customer[[#This Row],[Address Line 3 (30 char)]],1)))</f>
        <v>0</v>
      </c>
      <c r="J2138" s="12" t="s">
        <v>1056</v>
      </c>
      <c r="K2138" s="12">
        <v>41150</v>
      </c>
      <c r="L2138" s="12" t="s">
        <v>35</v>
      </c>
      <c r="M2138" s="13" t="e">
        <v>#N/A</v>
      </c>
      <c r="N2138" s="14" t="e">
        <v>#N/A</v>
      </c>
      <c r="O2138" s="14" t="e">
        <v>#N/A</v>
      </c>
      <c r="P2138" s="14" t="e">
        <v>#N/A</v>
      </c>
      <c r="Q2138" s="14" t="e">
        <v>#N/A</v>
      </c>
      <c r="R2138" s="15" t="s">
        <v>13359</v>
      </c>
      <c r="S2138" s="15" t="s">
        <v>5917</v>
      </c>
      <c r="T2138" s="16"/>
      <c r="U2138" s="11" t="str">
        <f>_xlfn.XLOOKUP(Customer[[#This Row],[Customer ID]],[1]!Address[ID],[1]!Address[Phone No.(2)])</f>
        <v/>
      </c>
      <c r="V2138" s="11" t="str">
        <f>_xlfn.XLOOKUP(Customer[[#This Row],[Customer ID]],[1]!Address[ID],[1]!Address[Type])</f>
        <v>BODG</v>
      </c>
      <c r="W2138" s="11" t="str">
        <f>_xlfn.XLOOKUP(Customer[[#This Row],[Customer ID]],[1]!Address[ID],[1]!Address[CT])</f>
        <v>50% DEPOSIT</v>
      </c>
      <c r="X2138" s="11"/>
      <c r="Y2138" s="17" t="s">
        <v>13115</v>
      </c>
      <c r="Z2138" s="17" t="e">
        <f>_xlfn.XLOOKUP(Customer[[#This Row],[NewType]],$AF$36:$AF$54,$AG$36:$AG$54)</f>
        <v>#N/A</v>
      </c>
      <c r="AA2138" s="17" t="s">
        <v>13360</v>
      </c>
      <c r="AB2138" s="11" t="str">
        <f>_xlfn.XLOOKUP(Customer[[#This Row],[Customer ID]],[1]!Address[ID],[1]!Address[Subtype])</f>
        <v>LED</v>
      </c>
      <c r="AC2138" s="18" t="str">
        <f>_xlfn.XLOOKUP(Customer[[#This Row],[Customer ID]],[1]!Address[ID],[1]!Address[Zone])</f>
        <v>CENTRAL</v>
      </c>
    </row>
    <row r="2139" spans="1:29" x14ac:dyDescent="0.3">
      <c r="A2139" s="10" t="s">
        <v>13361</v>
      </c>
      <c r="B2139" s="11" t="str">
        <f>_xlfn.XLOOKUP(Customer[[#This Row],[Customer ID]],[1]!Name[ID],[1]!Name[Description(1)])</f>
        <v>PINANG DAMAI ENTERPRISE</v>
      </c>
      <c r="C2139" s="11" t="str">
        <f>_xlfn.XLOOKUP(Customer[[#This Row],[Customer ID]],[1]!Name[ID],[1]!Name[Description(2)])</f>
        <v/>
      </c>
      <c r="D2139" s="11" t="str">
        <f>_xlfn.XLOOKUP(Customer[[#This Row],[Customer ID]],[1]!Address[ID],[1]!Address[PIC])</f>
        <v>WAN RIDHUAN</v>
      </c>
      <c r="E2139" s="11" t="str">
        <f>_xlfn.XLOOKUP(Customer[[#This Row],[Customer ID]],[1]!Address[ID],[1]!Address[Full Address])</f>
        <v>PT8266 KAMPUNG BENTING LINTANGMUKIM TEMBILA 22200 BESUT TERENGGANU</v>
      </c>
      <c r="F2139" s="12" t="s">
        <v>13362</v>
      </c>
      <c r="G2139" s="12" t="s">
        <v>13363</v>
      </c>
      <c r="H2139" s="12" t="s">
        <v>13364</v>
      </c>
      <c r="I2139" s="12" t="b">
        <f>ISNUMBER(VALUE(LEFT(Customer[[#This Row],[Address Line 3 (30 char)]],1)))</f>
        <v>0</v>
      </c>
      <c r="J2139" s="12" t="s">
        <v>1056</v>
      </c>
      <c r="K2139" s="12">
        <v>22200</v>
      </c>
      <c r="L2139" s="12" t="s">
        <v>35</v>
      </c>
      <c r="M2139" s="13" t="e">
        <v>#N/A</v>
      </c>
      <c r="N2139" s="14" t="e">
        <v>#N/A</v>
      </c>
      <c r="O2139" s="14" t="e">
        <v>#N/A</v>
      </c>
      <c r="P2139" s="14" t="e">
        <v>#N/A</v>
      </c>
      <c r="Q2139" s="19" t="s">
        <v>13365</v>
      </c>
      <c r="R2139" s="15" t="s">
        <v>13366</v>
      </c>
      <c r="S2139" s="15" t="s">
        <v>3212</v>
      </c>
      <c r="T2139" s="16" t="s">
        <v>89</v>
      </c>
      <c r="U2139" s="11" t="str">
        <f>_xlfn.XLOOKUP(Customer[[#This Row],[Customer ID]],[1]!Address[ID],[1]!Address[Phone No.(2)])</f>
        <v/>
      </c>
      <c r="V2139" s="11" t="str">
        <f>_xlfn.XLOOKUP(Customer[[#This Row],[Customer ID]],[1]!Address[ID],[1]!Address[Type])</f>
        <v>SOCMED</v>
      </c>
      <c r="W2139" s="11" t="str">
        <f>_xlfn.XLOOKUP(Customer[[#This Row],[Customer ID]],[1]!Address[ID],[1]!Address[CT])</f>
        <v/>
      </c>
      <c r="X2139" s="11"/>
      <c r="Y2139" s="17" t="s">
        <v>90</v>
      </c>
      <c r="Z2139" s="17" t="e">
        <f>_xlfn.XLOOKUP(Customer[[#This Row],[NewType]],$AF$36:$AF$54,$AG$36:$AG$54)</f>
        <v>#N/A</v>
      </c>
      <c r="AA2139" s="17" t="s">
        <v>13367</v>
      </c>
      <c r="AB2139" s="11" t="str">
        <f>_xlfn.XLOOKUP(Customer[[#This Row],[Customer ID]],[1]!Address[ID],[1]!Address[Subtype])</f>
        <v>ONLINE HAJAR</v>
      </c>
      <c r="AC2139" s="18" t="str">
        <f>_xlfn.XLOOKUP(Customer[[#This Row],[Customer ID]],[1]!Address[ID],[1]!Address[Zone])</f>
        <v>EAST COAST</v>
      </c>
    </row>
    <row r="2140" spans="1:29" x14ac:dyDescent="0.3">
      <c r="A2140" s="45" t="s">
        <v>13368</v>
      </c>
      <c r="B2140" s="32" t="str">
        <f>_xlfn.XLOOKUP(Customer[[#This Row],[Customer ID]],[1]!Name[ID],[1]!Name[Description(1)])</f>
        <v>AZLIN SHUHA IZAYU BINTI TAJUDDIN</v>
      </c>
      <c r="C2140" s="32" t="str">
        <f>_xlfn.XLOOKUP(Customer[[#This Row],[Customer ID]],[1]!Name[ID],[1]!Name[Description(2)])</f>
        <v/>
      </c>
      <c r="D2140" s="11" t="str">
        <f>_xlfn.XLOOKUP(Customer[[#This Row],[Customer ID]],[1]!Address[ID],[1]!Address[PIC])</f>
        <v>AZLIN</v>
      </c>
      <c r="E2140" s="11" t="str">
        <f>_xlfn.XLOOKUP(Customer[[#This Row],[Customer ID]],[1]!Address[ID],[1]!Address[Full Address])</f>
        <v>SMS TUANKU MUNAWIR, SIKAMAT,SEREMBAN, NEGERI SEMBILAN</v>
      </c>
      <c r="F2140" s="12" t="s">
        <v>13369</v>
      </c>
      <c r="G2140" s="12" t="s">
        <v>2411</v>
      </c>
      <c r="H2140" s="12" t="s">
        <v>36</v>
      </c>
      <c r="I2140" s="12" t="b">
        <f>ISNUMBER(VALUE(LEFT(Customer[[#This Row],[Address Line 3 (30 char)]],1)))</f>
        <v>0</v>
      </c>
      <c r="J2140" s="32" t="s">
        <v>203</v>
      </c>
      <c r="K2140" s="32"/>
      <c r="L2140" s="12" t="s">
        <v>35</v>
      </c>
      <c r="M2140" s="13" t="e">
        <v>#N/A</v>
      </c>
      <c r="N2140" s="14" t="e">
        <v>#N/A</v>
      </c>
      <c r="O2140" s="14" t="e">
        <v>#N/A</v>
      </c>
      <c r="P2140" s="14" t="e">
        <v>#N/A</v>
      </c>
      <c r="Q2140" s="19" t="s">
        <v>13370</v>
      </c>
      <c r="R2140" s="15" t="s">
        <v>13371</v>
      </c>
      <c r="S2140" s="15" t="s">
        <v>88</v>
      </c>
      <c r="T2140" s="16" t="s">
        <v>89</v>
      </c>
      <c r="U2140" s="11" t="str">
        <f>_xlfn.XLOOKUP(Customer[[#This Row],[Customer ID]],[1]!Address[ID],[1]!Address[Phone No.(2)])</f>
        <v/>
      </c>
      <c r="V2140" s="11" t="str">
        <f>_xlfn.XLOOKUP(Customer[[#This Row],[Customer ID]],[1]!Address[ID],[1]!Address[Type])</f>
        <v>SOCMED</v>
      </c>
      <c r="W2140" s="11" t="str">
        <f>_xlfn.XLOOKUP(Customer[[#This Row],[Customer ID]],[1]!Address[ID],[1]!Address[CT])</f>
        <v/>
      </c>
      <c r="X2140" s="11"/>
      <c r="Y2140" s="17" t="s">
        <v>90</v>
      </c>
      <c r="Z2140" s="17" t="e">
        <f>_xlfn.XLOOKUP(Customer[[#This Row],[NewType]],$AF$36:$AF$54,$AG$36:$AG$54)</f>
        <v>#N/A</v>
      </c>
      <c r="AA2140" s="17" t="s">
        <v>13372</v>
      </c>
      <c r="AB2140" s="11" t="str">
        <f>_xlfn.XLOOKUP(Customer[[#This Row],[Customer ID]],[1]!Address[ID],[1]!Address[Subtype])</f>
        <v>ONLINE ROS</v>
      </c>
      <c r="AC2140" s="18" t="str">
        <f>_xlfn.XLOOKUP(Customer[[#This Row],[Customer ID]],[1]!Address[ID],[1]!Address[Zone])</f>
        <v>CENTRAL</v>
      </c>
    </row>
    <row r="2141" spans="1:29" x14ac:dyDescent="0.3">
      <c r="A2141" s="45" t="s">
        <v>13373</v>
      </c>
      <c r="B2141" s="32" t="str">
        <f>_xlfn.XLOOKUP(Customer[[#This Row],[Customer ID]],[1]!Name[ID],[1]!Name[Description(1)])</f>
        <v>ROZAMRI BIN AB GHANI</v>
      </c>
      <c r="C2141" s="32" t="str">
        <f>_xlfn.XLOOKUP(Customer[[#This Row],[Customer ID]],[1]!Name[ID],[1]!Name[Description(2)])</f>
        <v/>
      </c>
      <c r="D2141" s="11" t="str">
        <f>_xlfn.XLOOKUP(Customer[[#This Row],[Customer ID]],[1]!Address[ID],[1]!Address[PIC])</f>
        <v>ROZAMRI</v>
      </c>
      <c r="E2141" s="11" t="str">
        <f>_xlfn.XLOOKUP(Customer[[#This Row],[Customer ID]],[1]!Address[ID],[1]!Address[Full Address])</f>
        <v>NO 423, JALAN 21, TAMAN INTANDUYUNG, PORT DICKSON, NEGERI SEMBILAN</v>
      </c>
      <c r="F2141" s="12" t="s">
        <v>13374</v>
      </c>
      <c r="G2141" s="12" t="s">
        <v>13375</v>
      </c>
      <c r="H2141" s="12" t="s">
        <v>13376</v>
      </c>
      <c r="I2141" s="12" t="b">
        <f>ISNUMBER(VALUE(LEFT(Customer[[#This Row],[Address Line 3 (30 char)]],1)))</f>
        <v>0</v>
      </c>
      <c r="J2141" s="32" t="s">
        <v>203</v>
      </c>
      <c r="K2141" s="32"/>
      <c r="L2141" s="12" t="s">
        <v>35</v>
      </c>
      <c r="M2141" s="13" t="e">
        <v>#N/A</v>
      </c>
      <c r="N2141" s="14" t="e">
        <v>#N/A</v>
      </c>
      <c r="O2141" s="14" t="e">
        <v>#N/A</v>
      </c>
      <c r="P2141" s="14" t="e">
        <v>#N/A</v>
      </c>
      <c r="Q2141" s="19" t="s">
        <v>13377</v>
      </c>
      <c r="R2141" s="15" t="s">
        <v>13378</v>
      </c>
      <c r="S2141" s="16" t="s">
        <v>89</v>
      </c>
      <c r="T2141" s="16" t="s">
        <v>89</v>
      </c>
      <c r="U2141" s="11" t="str">
        <f>_xlfn.XLOOKUP(Customer[[#This Row],[Customer ID]],[1]!Address[ID],[1]!Address[Phone No.(2)])</f>
        <v/>
      </c>
      <c r="V2141" s="11" t="str">
        <f>_xlfn.XLOOKUP(Customer[[#This Row],[Customer ID]],[1]!Address[ID],[1]!Address[Type])</f>
        <v>WALK IN</v>
      </c>
      <c r="W2141" s="11" t="str">
        <f>_xlfn.XLOOKUP(Customer[[#This Row],[Customer ID]],[1]!Address[ID],[1]!Address[CT])</f>
        <v/>
      </c>
      <c r="X2141" s="11"/>
      <c r="Y2141" s="17" t="s">
        <v>6284</v>
      </c>
      <c r="Z2141" s="17" t="e">
        <f>_xlfn.XLOOKUP(Customer[[#This Row],[NewType]],$AF$36:$AF$54,$AG$36:$AG$54)</f>
        <v>#N/A</v>
      </c>
      <c r="AA2141" s="17" t="s">
        <v>13379</v>
      </c>
      <c r="AB2141" s="11" t="str">
        <f>_xlfn.XLOOKUP(Customer[[#This Row],[Customer ID]],[1]!Address[ID],[1]!Address[Subtype])</f>
        <v>PEDAS</v>
      </c>
      <c r="AC2141" s="18" t="str">
        <f>_xlfn.XLOOKUP(Customer[[#This Row],[Customer ID]],[1]!Address[ID],[1]!Address[Zone])</f>
        <v>CENTRAL</v>
      </c>
    </row>
    <row r="2142" spans="1:29" x14ac:dyDescent="0.3">
      <c r="A2142" s="10" t="s">
        <v>13380</v>
      </c>
      <c r="B2142" s="11" t="str">
        <f>_xlfn.XLOOKUP(Customer[[#This Row],[Customer ID]],[1]!Name[ID],[1]!Name[Description(1)])</f>
        <v>SITI ZALIQAH BINTI ABDUL RAHMAN</v>
      </c>
      <c r="C2142" s="11" t="str">
        <f>_xlfn.XLOOKUP(Customer[[#This Row],[Customer ID]],[1]!Name[ID],[1]!Name[Description(2)])</f>
        <v/>
      </c>
      <c r="D2142" s="11" t="str">
        <f>_xlfn.XLOOKUP(Customer[[#This Row],[Customer ID]],[1]!Address[ID],[1]!Address[PIC])</f>
        <v>ZALIQAH</v>
      </c>
      <c r="E2142" s="11" t="str">
        <f>_xlfn.XLOOKUP(Customer[[#This Row],[Customer ID]],[1]!Address[ID],[1]!Address[Full Address])</f>
        <v>NO 1122 JLN GUNUNG DATOK 29,TMN ANGSAMAS 70300 SEREMBAN</v>
      </c>
      <c r="F2142" s="12" t="s">
        <v>13381</v>
      </c>
      <c r="G2142" s="12" t="s">
        <v>13382</v>
      </c>
      <c r="H2142" s="12" t="s">
        <v>36</v>
      </c>
      <c r="I2142" s="12" t="b">
        <f>ISNUMBER(VALUE(LEFT(Customer[[#This Row],[Address Line 3 (30 char)]],1)))</f>
        <v>0</v>
      </c>
      <c r="J2142" s="12" t="s">
        <v>203</v>
      </c>
      <c r="K2142" s="12">
        <v>70300</v>
      </c>
      <c r="L2142" s="12" t="s">
        <v>35</v>
      </c>
      <c r="M2142" s="13" t="e">
        <v>#N/A</v>
      </c>
      <c r="N2142" s="14" t="e">
        <v>#N/A</v>
      </c>
      <c r="O2142" s="14" t="e">
        <v>#N/A</v>
      </c>
      <c r="P2142" s="14" t="e">
        <v>#N/A</v>
      </c>
      <c r="Q2142" s="19" t="s">
        <v>13383</v>
      </c>
      <c r="R2142" s="15" t="s">
        <v>13384</v>
      </c>
      <c r="S2142" s="16" t="s">
        <v>89</v>
      </c>
      <c r="T2142" s="16" t="s">
        <v>89</v>
      </c>
      <c r="U2142" s="11" t="str">
        <f>_xlfn.XLOOKUP(Customer[[#This Row],[Customer ID]],[1]!Address[ID],[1]!Address[Phone No.(2)])</f>
        <v/>
      </c>
      <c r="V2142" s="11" t="str">
        <f>_xlfn.XLOOKUP(Customer[[#This Row],[Customer ID]],[1]!Address[ID],[1]!Address[Type])</f>
        <v>WALK IN</v>
      </c>
      <c r="W2142" s="11" t="str">
        <f>_xlfn.XLOOKUP(Customer[[#This Row],[Customer ID]],[1]!Address[ID],[1]!Address[CT])</f>
        <v/>
      </c>
      <c r="X2142" s="11"/>
      <c r="Y2142" s="17" t="s">
        <v>6284</v>
      </c>
      <c r="Z2142" s="17" t="e">
        <f>_xlfn.XLOOKUP(Customer[[#This Row],[NewType]],$AF$36:$AF$54,$AG$36:$AG$54)</f>
        <v>#N/A</v>
      </c>
      <c r="AA2142" s="17" t="s">
        <v>13385</v>
      </c>
      <c r="AB2142" s="11" t="str">
        <f>_xlfn.XLOOKUP(Customer[[#This Row],[Customer ID]],[1]!Address[ID],[1]!Address[Subtype])</f>
        <v>STAFF</v>
      </c>
      <c r="AC2142" s="18" t="str">
        <f>_xlfn.XLOOKUP(Customer[[#This Row],[Customer ID]],[1]!Address[ID],[1]!Address[Zone])</f>
        <v>CENTRAL</v>
      </c>
    </row>
    <row r="2143" spans="1:29" x14ac:dyDescent="0.3">
      <c r="A2143" s="10" t="s">
        <v>13386</v>
      </c>
      <c r="B2143" s="11" t="str">
        <f>_xlfn.XLOOKUP(Customer[[#This Row],[Customer ID]],[1]!Name[ID],[1]!Name[Description(1)])</f>
        <v>HJ SHAFIE BIN HJ MOHD NOOR</v>
      </c>
      <c r="C2143" s="11" t="str">
        <f>_xlfn.XLOOKUP(Customer[[#This Row],[Customer ID]],[1]!Name[ID],[1]!Name[Description(2)])</f>
        <v/>
      </c>
      <c r="D2143" s="11" t="str">
        <f>_xlfn.XLOOKUP(Customer[[#This Row],[Customer ID]],[1]!Address[ID],[1]!Address[PIC])</f>
        <v>SHAFIE</v>
      </c>
      <c r="E2143" s="11" t="str">
        <f>_xlfn.XLOOKUP(Customer[[#This Row],[Customer ID]],[1]!Address[ID],[1]!Address[Full Address])</f>
        <v>KG SOGO ULU, KUALA SAWAH, 71200RANTAU, NEGERI SEMBILAN</v>
      </c>
      <c r="F2143" s="12" t="s">
        <v>13387</v>
      </c>
      <c r="G2143" s="12" t="s">
        <v>6735</v>
      </c>
      <c r="H2143" s="12" t="s">
        <v>6428</v>
      </c>
      <c r="I2143" s="12" t="b">
        <f>ISNUMBER(VALUE(LEFT(Customer[[#This Row],[Address Line 3 (30 char)]],1)))</f>
        <v>0</v>
      </c>
      <c r="J2143" s="12" t="s">
        <v>203</v>
      </c>
      <c r="K2143" s="12">
        <v>71200</v>
      </c>
      <c r="L2143" s="12" t="s">
        <v>35</v>
      </c>
      <c r="M2143" s="13" t="e">
        <v>#N/A</v>
      </c>
      <c r="N2143" s="14" t="e">
        <v>#N/A</v>
      </c>
      <c r="O2143" s="14" t="e">
        <v>#N/A</v>
      </c>
      <c r="P2143" s="14" t="e">
        <v>#N/A</v>
      </c>
      <c r="Q2143" s="14" t="s">
        <v>13388</v>
      </c>
      <c r="R2143" s="15" t="s">
        <v>13389</v>
      </c>
      <c r="S2143" s="15" t="s">
        <v>4271</v>
      </c>
      <c r="T2143" s="16" t="s">
        <v>89</v>
      </c>
      <c r="U2143" s="11" t="str">
        <f>_xlfn.XLOOKUP(Customer[[#This Row],[Customer ID]],[1]!Address[ID],[1]!Address[Phone No.(2)])</f>
        <v/>
      </c>
      <c r="V2143" s="11" t="str">
        <f>_xlfn.XLOOKUP(Customer[[#This Row],[Customer ID]],[1]!Address[ID],[1]!Address[Type])</f>
        <v>SOCMED</v>
      </c>
      <c r="W2143" s="11" t="str">
        <f>_xlfn.XLOOKUP(Customer[[#This Row],[Customer ID]],[1]!Address[ID],[1]!Address[CT])</f>
        <v/>
      </c>
      <c r="X2143" s="11"/>
      <c r="Y2143" s="17" t="s">
        <v>90</v>
      </c>
      <c r="Z2143" s="17" t="e">
        <f>_xlfn.XLOOKUP(Customer[[#This Row],[NewType]],$AF$36:$AF$54,$AG$36:$AG$54)</f>
        <v>#N/A</v>
      </c>
      <c r="AA2143" s="17" t="s">
        <v>13390</v>
      </c>
      <c r="AB2143" s="11" t="str">
        <f>_xlfn.XLOOKUP(Customer[[#This Row],[Customer ID]],[1]!Address[ID],[1]!Address[Subtype])</f>
        <v>WHATSAPP</v>
      </c>
      <c r="AC2143" s="18" t="str">
        <f>_xlfn.XLOOKUP(Customer[[#This Row],[Customer ID]],[1]!Address[ID],[1]!Address[Zone])</f>
        <v>CENTRAL</v>
      </c>
    </row>
    <row r="2144" spans="1:29" x14ac:dyDescent="0.3">
      <c r="A2144" s="10" t="s">
        <v>13391</v>
      </c>
      <c r="B2144" s="11" t="str">
        <f>_xlfn.XLOOKUP(Customer[[#This Row],[Customer ID]],[1]!Name[ID],[1]!Name[Description(1)])</f>
        <v>AHMAD'IEFWATFAARIS BIN ABDULLAH</v>
      </c>
      <c r="C2144" s="11" t="str">
        <f>_xlfn.XLOOKUP(Customer[[#This Row],[Customer ID]],[1]!Name[ID],[1]!Name[Description(2)])</f>
        <v>(IT)</v>
      </c>
      <c r="D2144" s="11" t="str">
        <f>_xlfn.XLOOKUP(Customer[[#This Row],[Customer ID]],[1]!Address[ID],[1]!Address[PIC])</f>
        <v>IEFWAT</v>
      </c>
      <c r="E2144" s="11" t="str">
        <f>_xlfn.XLOOKUP(Customer[[#This Row],[Customer ID]],[1]!Address[ID],[1]!Address[Full Address])</f>
        <v>15, JALAN AU2A/20, TAMAN SRI KERAMATKUALA LUMPUR,54200</v>
      </c>
      <c r="F2144" s="12" t="s">
        <v>13392</v>
      </c>
      <c r="G2144" s="12" t="s">
        <v>13393</v>
      </c>
      <c r="H2144" s="12" t="s">
        <v>13394</v>
      </c>
      <c r="I2144" s="12" t="b">
        <f>ISNUMBER(VALUE(LEFT(Customer[[#This Row],[Address Line 3 (30 char)]],1)))</f>
        <v>0</v>
      </c>
      <c r="J2144" s="12" t="s">
        <v>34</v>
      </c>
      <c r="K2144" s="12">
        <v>54200</v>
      </c>
      <c r="L2144" s="12" t="s">
        <v>35</v>
      </c>
      <c r="M2144" s="13" t="e">
        <v>#N/A</v>
      </c>
      <c r="N2144" s="14" t="e">
        <v>#N/A</v>
      </c>
      <c r="O2144" s="14" t="e">
        <v>#N/A</v>
      </c>
      <c r="P2144" s="14" t="e">
        <v>#N/A</v>
      </c>
      <c r="Q2144" s="19" t="s">
        <v>13395</v>
      </c>
      <c r="R2144" s="15" t="s">
        <v>13396</v>
      </c>
      <c r="S2144" s="16" t="s">
        <v>89</v>
      </c>
      <c r="T2144" s="16" t="s">
        <v>89</v>
      </c>
      <c r="U2144" s="11" t="str">
        <f>_xlfn.XLOOKUP(Customer[[#This Row],[Customer ID]],[1]!Address[ID],[1]!Address[Phone No.(2)])</f>
        <v/>
      </c>
      <c r="V2144" s="11" t="str">
        <f>_xlfn.XLOOKUP(Customer[[#This Row],[Customer ID]],[1]!Address[ID],[1]!Address[Type])</f>
        <v>WALK IN</v>
      </c>
      <c r="W2144" s="11" t="str">
        <f>_xlfn.XLOOKUP(Customer[[#This Row],[Customer ID]],[1]!Address[ID],[1]!Address[CT])</f>
        <v/>
      </c>
      <c r="X2144" s="11"/>
      <c r="Y2144" s="17" t="s">
        <v>6284</v>
      </c>
      <c r="Z2144" s="17" t="e">
        <f>_xlfn.XLOOKUP(Customer[[#This Row],[NewType]],$AF$36:$AF$54,$AG$36:$AG$54)</f>
        <v>#N/A</v>
      </c>
      <c r="AA2144" s="17" t="s">
        <v>13397</v>
      </c>
      <c r="AB2144" s="11" t="str">
        <f>_xlfn.XLOOKUP(Customer[[#This Row],[Customer ID]],[1]!Address[ID],[1]!Address[Subtype])</f>
        <v>STAFF</v>
      </c>
      <c r="AC2144" s="18" t="str">
        <f>_xlfn.XLOOKUP(Customer[[#This Row],[Customer ID]],[1]!Address[ID],[1]!Address[Zone])</f>
        <v>CENTRAL</v>
      </c>
    </row>
    <row r="2145" spans="1:30" x14ac:dyDescent="0.3">
      <c r="A2145" s="10" t="s">
        <v>13398</v>
      </c>
      <c r="B2145" s="11" t="str">
        <f>_xlfn.XLOOKUP(Customer[[#This Row],[Customer ID]],[1]!Name[ID],[1]!Name[Description(1)])</f>
        <v>GUATERRA SDN BHD</v>
      </c>
      <c r="C2145" s="11" t="str">
        <f>_xlfn.XLOOKUP(Customer[[#This Row],[Customer ID]],[1]!Name[ID],[1]!Name[Description(2)])</f>
        <v>LED</v>
      </c>
      <c r="D2145" s="11" t="str">
        <f>_xlfn.XLOOKUP(Customer[[#This Row],[Customer ID]],[1]!Address[ID],[1]!Address[PIC])</f>
        <v/>
      </c>
      <c r="E2145" s="11" t="str">
        <f>_xlfn.XLOOKUP(Customer[[#This Row],[Customer ID]],[1]!Address[ID],[1]!Address[Full Address])</f>
        <v>33,JALAN KAJANG IMPIAN 2/1TAMAN KAJANG IMPIAN43650 BANDAR BARU BANGISELANGOR DARUL EHSAN</v>
      </c>
      <c r="F2145" s="12" t="s">
        <v>13399</v>
      </c>
      <c r="G2145" s="12" t="s">
        <v>13400</v>
      </c>
      <c r="H2145" s="24" t="s">
        <v>4431</v>
      </c>
      <c r="I2145" s="24" t="b">
        <f>ISNUMBER(VALUE(LEFT(Customer[[#This Row],[Address Line 3 (30 char)]],1)))</f>
        <v>0</v>
      </c>
      <c r="J2145" s="12" t="s">
        <v>1907</v>
      </c>
      <c r="K2145" s="12">
        <v>43650</v>
      </c>
      <c r="L2145" s="12" t="s">
        <v>35</v>
      </c>
      <c r="M2145" s="13" t="e">
        <v>#N/A</v>
      </c>
      <c r="N2145" s="14" t="e">
        <v>#N/A</v>
      </c>
      <c r="O2145" s="14" t="e">
        <v>#N/A</v>
      </c>
      <c r="P2145" s="14" t="e">
        <v>#N/A</v>
      </c>
      <c r="Q2145" s="14" t="e">
        <v>#N/A</v>
      </c>
      <c r="R2145" s="15" t="s">
        <v>13401</v>
      </c>
      <c r="S2145" s="15" t="s">
        <v>5917</v>
      </c>
      <c r="T2145" s="16"/>
      <c r="U2145" s="11" t="str">
        <f>_xlfn.XLOOKUP(Customer[[#This Row],[Customer ID]],[1]!Address[ID],[1]!Address[Phone No.(2)])</f>
        <v/>
      </c>
      <c r="V2145" s="11" t="str">
        <f>_xlfn.XLOOKUP(Customer[[#This Row],[Customer ID]],[1]!Address[ID],[1]!Address[Type])</f>
        <v>BODG</v>
      </c>
      <c r="W2145" s="11" t="str">
        <f>_xlfn.XLOOKUP(Customer[[#This Row],[Customer ID]],[1]!Address[ID],[1]!Address[CT])</f>
        <v>50% DEPOSIT</v>
      </c>
      <c r="X2145" s="11"/>
      <c r="Y2145" s="17" t="s">
        <v>13115</v>
      </c>
      <c r="Z2145" s="17" t="e">
        <f>_xlfn.XLOOKUP(Customer[[#This Row],[NewType]],$AF$36:$AF$54,$AG$36:$AG$54)</f>
        <v>#N/A</v>
      </c>
      <c r="AA2145" s="17" t="s">
        <v>13402</v>
      </c>
      <c r="AB2145" s="11" t="str">
        <f>_xlfn.XLOOKUP(Customer[[#This Row],[Customer ID]],[1]!Address[ID],[1]!Address[Subtype])</f>
        <v>LED</v>
      </c>
      <c r="AC2145" s="18" t="str">
        <f>_xlfn.XLOOKUP(Customer[[#This Row],[Customer ID]],[1]!Address[ID],[1]!Address[Zone])</f>
        <v>CENTRAL</v>
      </c>
    </row>
    <row r="2146" spans="1:30" x14ac:dyDescent="0.3">
      <c r="A2146" s="10" t="s">
        <v>13403</v>
      </c>
      <c r="B2146" s="68" t="str">
        <f>_xlfn.XLOOKUP(Customer[[#This Row],[Customer ID]],[1]!Name[ID],[1]!Name[Description(1)])</f>
        <v>HAZLAN ALI BIN ABDUL HAMID</v>
      </c>
      <c r="C2146" s="11" t="str">
        <f>_xlfn.XLOOKUP(Customer[[#This Row],[Customer ID]],[1]!Name[ID],[1]!Name[Description(2)])</f>
        <v>RAGBI PDRM</v>
      </c>
      <c r="D2146" s="11" t="str">
        <f>_xlfn.XLOOKUP(Customer[[#This Row],[Customer ID]],[1]!Address[ID],[1]!Address[PIC])</f>
        <v>HAZLAN ALI BIN</v>
      </c>
      <c r="E2146" s="11" t="str">
        <f>_xlfn.XLOOKUP(Customer[[#This Row],[Customer ID]],[1]!Address[ID],[1]!Address[Full Address])</f>
        <v>JALAN TERENGGANU,PUSAT LATIHAN POLIS (PULAPOL),54100 KUALA LUMPUR</v>
      </c>
      <c r="F2146" s="12" t="s">
        <v>13404</v>
      </c>
      <c r="G2146" s="12" t="s">
        <v>13405</v>
      </c>
      <c r="H2146" s="24"/>
      <c r="I2146" s="24" t="b">
        <f>ISNUMBER(VALUE(LEFT(Customer[[#This Row],[Address Line 3 (30 char)]],1)))</f>
        <v>0</v>
      </c>
      <c r="J2146" s="12" t="s">
        <v>34</v>
      </c>
      <c r="K2146" s="12">
        <v>54100</v>
      </c>
      <c r="L2146" s="12" t="s">
        <v>35</v>
      </c>
      <c r="M2146" s="13" t="e">
        <v>#N/A</v>
      </c>
      <c r="N2146" s="14" t="e">
        <v>#N/A</v>
      </c>
      <c r="O2146" s="14" t="e">
        <v>#N/A</v>
      </c>
      <c r="P2146" s="14" t="e">
        <v>#N/A</v>
      </c>
      <c r="Q2146" s="14" t="e">
        <v>#N/A</v>
      </c>
      <c r="R2146" s="15" t="s">
        <v>13406</v>
      </c>
      <c r="S2146" s="15" t="s">
        <v>5934</v>
      </c>
      <c r="T2146" s="16"/>
      <c r="U2146" s="11" t="str">
        <f>_xlfn.XLOOKUP(Customer[[#This Row],[Customer ID]],[1]!Address[ID],[1]!Address[Phone No.(2)])</f>
        <v/>
      </c>
      <c r="V2146" s="11" t="str">
        <f>_xlfn.XLOOKUP(Customer[[#This Row],[Customer ID]],[1]!Address[ID],[1]!Address[Type])</f>
        <v>SOCMED</v>
      </c>
      <c r="W2146" s="11" t="str">
        <f>_xlfn.XLOOKUP(Customer[[#This Row],[Customer ID]],[1]!Address[ID],[1]!Address[CT])</f>
        <v>CASH</v>
      </c>
      <c r="X2146" s="11"/>
      <c r="Y2146" s="17" t="s">
        <v>90</v>
      </c>
      <c r="Z2146" s="17" t="e">
        <f>_xlfn.XLOOKUP(Customer[[#This Row],[NewType]],$AF$36:$AF$54,$AG$36:$AG$54)</f>
        <v>#N/A</v>
      </c>
      <c r="AA2146" s="17" t="s">
        <v>13407</v>
      </c>
      <c r="AB2146" s="11" t="str">
        <f>_xlfn.XLOOKUP(Customer[[#This Row],[Customer ID]],[1]!Address[ID],[1]!Address[Subtype])</f>
        <v>WHATSAPP</v>
      </c>
      <c r="AC2146" s="18" t="str">
        <f>_xlfn.XLOOKUP(Customer[[#This Row],[Customer ID]],[1]!Address[ID],[1]!Address[Zone])</f>
        <v>CENTRAL</v>
      </c>
    </row>
    <row r="2147" spans="1:30" x14ac:dyDescent="0.3">
      <c r="A2147" s="48" t="s">
        <v>13408</v>
      </c>
      <c r="B2147" s="49" t="str">
        <f>_xlfn.XLOOKUP(Customer[[#This Row],[Customer ID]],[1]!Name[ID],[1]!Name[Description(1)])</f>
        <v>NUR ZAHIRAH</v>
      </c>
      <c r="C2147" s="11" t="str">
        <f>_xlfn.XLOOKUP(Customer[[#This Row],[Customer ID]],[1]!Name[ID],[1]!Name[Description(2)])</f>
        <v>(QC)</v>
      </c>
      <c r="D2147" s="11" t="str">
        <f>_xlfn.XLOOKUP(Customer[[#This Row],[Customer ID]],[1]!Address[ID],[1]!Address[PIC])</f>
        <v>ZAHIRAH</v>
      </c>
      <c r="E2147" s="11" t="str">
        <f>_xlfn.XLOOKUP(Customer[[#This Row],[Customer ID]],[1]!Address[ID],[1]!Address[Full Address])</f>
        <v>NO 99 LORONG KAMPUNG KANCHONG 2,71200 RANTAU NEGERI SEMBILAN</v>
      </c>
      <c r="F2147" s="12" t="s">
        <v>13409</v>
      </c>
      <c r="G2147" s="12" t="s">
        <v>13410</v>
      </c>
      <c r="H2147" s="12" t="s">
        <v>6428</v>
      </c>
      <c r="I2147" s="12" t="b">
        <f>ISNUMBER(VALUE(LEFT(Customer[[#This Row],[Address Line 3 (30 char)]],1)))</f>
        <v>0</v>
      </c>
      <c r="J2147" s="12" t="s">
        <v>203</v>
      </c>
      <c r="K2147" s="12">
        <v>71200</v>
      </c>
      <c r="L2147" s="12" t="s">
        <v>35</v>
      </c>
      <c r="M2147" s="13" t="e">
        <v>#N/A</v>
      </c>
      <c r="N2147" s="35" t="s">
        <v>13411</v>
      </c>
      <c r="O2147" s="14" t="e">
        <v>#N/A</v>
      </c>
      <c r="P2147" s="14" t="e">
        <v>#N/A</v>
      </c>
      <c r="Q2147" s="19" t="s">
        <v>13412</v>
      </c>
      <c r="R2147" s="15" t="s">
        <v>13413</v>
      </c>
      <c r="S2147" s="16" t="s">
        <v>89</v>
      </c>
      <c r="T2147" s="16" t="s">
        <v>89</v>
      </c>
      <c r="U2147" s="11" t="str">
        <f>_xlfn.XLOOKUP(Customer[[#This Row],[Customer ID]],[1]!Address[ID],[1]!Address[Phone No.(2)])</f>
        <v/>
      </c>
      <c r="V2147" s="11" t="str">
        <f>_xlfn.XLOOKUP(Customer[[#This Row],[Customer ID]],[1]!Address[ID],[1]!Address[Type])</f>
        <v>WALK IN</v>
      </c>
      <c r="W2147" s="11" t="str">
        <f>_xlfn.XLOOKUP(Customer[[#This Row],[Customer ID]],[1]!Address[ID],[1]!Address[CT])</f>
        <v/>
      </c>
      <c r="X2147" s="11"/>
      <c r="Y2147" s="17" t="s">
        <v>6284</v>
      </c>
      <c r="Z2147" s="17" t="e">
        <f>_xlfn.XLOOKUP(Customer[[#This Row],[NewType]],$AF$36:$AF$54,$AG$36:$AG$54)</f>
        <v>#N/A</v>
      </c>
      <c r="AA2147" s="17" t="s">
        <v>13414</v>
      </c>
      <c r="AB2147" s="11" t="str">
        <f>_xlfn.XLOOKUP(Customer[[#This Row],[Customer ID]],[1]!Address[ID],[1]!Address[Subtype])</f>
        <v>STAFF</v>
      </c>
      <c r="AC2147" s="18" t="str">
        <f>_xlfn.XLOOKUP(Customer[[#This Row],[Customer ID]],[1]!Address[ID],[1]!Address[Zone])</f>
        <v>SOUTH</v>
      </c>
    </row>
    <row r="2148" spans="1:30" x14ac:dyDescent="0.3">
      <c r="A2148" s="48" t="s">
        <v>13415</v>
      </c>
      <c r="B2148" s="49" t="str">
        <f>_xlfn.XLOOKUP(Customer[[#This Row],[Customer ID]],[1]!Name[ID],[1]!Name[Description(1)])</f>
        <v>NURUL AIN BINTI NOORYUZLEENAZAM</v>
      </c>
      <c r="C2148" s="11" t="str">
        <f>_xlfn.XLOOKUP(Customer[[#This Row],[Customer ID]],[1]!Name[ID],[1]!Name[Description(2)])</f>
        <v>(PRODUCTION KILANG AIR)</v>
      </c>
      <c r="D2148" s="11" t="str">
        <f>_xlfn.XLOOKUP(Customer[[#This Row],[Customer ID]],[1]!Address[ID],[1]!Address[PIC])</f>
        <v>NURUL AIN</v>
      </c>
      <c r="E2148" s="11" t="str">
        <f>_xlfn.XLOOKUP(Customer[[#This Row],[Customer ID]],[1]!Address[ID],[1]!Address[Full Address])</f>
        <v>NO 2045, JALAN EKAR 4/19,BANDAR EKAR, RANTAU, 71200NEGERI SEMBILAN</v>
      </c>
      <c r="F2148" s="12" t="s">
        <v>13416</v>
      </c>
      <c r="G2148" s="12" t="s">
        <v>13417</v>
      </c>
      <c r="H2148" s="12"/>
      <c r="I2148" s="12" t="b">
        <f>ISNUMBER(VALUE(LEFT(Customer[[#This Row],[Address Line 3 (30 char)]],1)))</f>
        <v>0</v>
      </c>
      <c r="J2148" s="12" t="s">
        <v>2004</v>
      </c>
      <c r="K2148" s="12">
        <v>71200</v>
      </c>
      <c r="L2148" s="12" t="s">
        <v>35</v>
      </c>
      <c r="M2148" s="13" t="e">
        <v>#N/A</v>
      </c>
      <c r="N2148" s="14" t="e">
        <v>#N/A</v>
      </c>
      <c r="O2148" s="14" t="e">
        <v>#N/A</v>
      </c>
      <c r="P2148" s="14" t="e">
        <v>#N/A</v>
      </c>
      <c r="Q2148" s="19" t="s">
        <v>13418</v>
      </c>
      <c r="R2148" s="15" t="s">
        <v>13419</v>
      </c>
      <c r="S2148" s="16" t="s">
        <v>89</v>
      </c>
      <c r="T2148" s="16" t="s">
        <v>89</v>
      </c>
      <c r="U2148" s="11" t="str">
        <f>_xlfn.XLOOKUP(Customer[[#This Row],[Customer ID]],[1]!Address[ID],[1]!Address[Phone No.(2)])</f>
        <v/>
      </c>
      <c r="V2148" s="11" t="str">
        <f>_xlfn.XLOOKUP(Customer[[#This Row],[Customer ID]],[1]!Address[ID],[1]!Address[Type])</f>
        <v>WALK IN</v>
      </c>
      <c r="W2148" s="11" t="str">
        <f>_xlfn.XLOOKUP(Customer[[#This Row],[Customer ID]],[1]!Address[ID],[1]!Address[CT])</f>
        <v/>
      </c>
      <c r="X2148" s="11"/>
      <c r="Y2148" s="17" t="s">
        <v>6284</v>
      </c>
      <c r="Z2148" s="17" t="e">
        <f>_xlfn.XLOOKUP(Customer[[#This Row],[NewType]],$AF$36:$AF$54,$AG$36:$AG$54)</f>
        <v>#N/A</v>
      </c>
      <c r="AA2148" s="17" t="s">
        <v>13420</v>
      </c>
      <c r="AB2148" s="11" t="str">
        <f>_xlfn.XLOOKUP(Customer[[#This Row],[Customer ID]],[1]!Address[ID],[1]!Address[Subtype])</f>
        <v>STAFF</v>
      </c>
      <c r="AC2148" s="18" t="str">
        <f>_xlfn.XLOOKUP(Customer[[#This Row],[Customer ID]],[1]!Address[ID],[1]!Address[Zone])</f>
        <v>SOUTH</v>
      </c>
    </row>
    <row r="2149" spans="1:30" x14ac:dyDescent="0.3">
      <c r="A2149" s="48" t="s">
        <v>13421</v>
      </c>
      <c r="B2149" s="49" t="str">
        <f>_xlfn.XLOOKUP(Customer[[#This Row],[Customer ID]],[1]!Name[ID],[1]!Name[Description(1)])</f>
        <v>YA ALIA NURDINA BT YA RAHIM</v>
      </c>
      <c r="C2149" s="11" t="str">
        <f>_xlfn.XLOOKUP(Customer[[#This Row],[Customer ID]],[1]!Name[ID],[1]!Name[Description(2)])</f>
        <v>(HSE INTERN)</v>
      </c>
      <c r="D2149" s="11" t="str">
        <f>_xlfn.XLOOKUP(Customer[[#This Row],[Customer ID]],[1]!Address[ID],[1]!Address[PIC])</f>
        <v>YA ALIA</v>
      </c>
      <c r="E2149" s="11" t="str">
        <f>_xlfn.XLOOKUP(Customer[[#This Row],[Customer ID]],[1]!Address[ID],[1]!Address[Full Address])</f>
        <v>537, JALAN CENDERAWASIH 2, TAMAN PAROIJAYA, 70400 SEREMBAN, NEGERI SEMBILAN</v>
      </c>
      <c r="F2149" s="12" t="s">
        <v>13422</v>
      </c>
      <c r="G2149" s="12" t="s">
        <v>13423</v>
      </c>
      <c r="H2149" s="12" t="s">
        <v>2411</v>
      </c>
      <c r="I2149" s="12" t="b">
        <f>ISNUMBER(VALUE(LEFT(Customer[[#This Row],[Address Line 3 (30 char)]],1)))</f>
        <v>0</v>
      </c>
      <c r="J2149" s="12" t="s">
        <v>203</v>
      </c>
      <c r="K2149" s="12">
        <v>70400</v>
      </c>
      <c r="L2149" s="12" t="s">
        <v>35</v>
      </c>
      <c r="M2149" s="13" t="e">
        <v>#N/A</v>
      </c>
      <c r="N2149" s="113" t="s">
        <v>13424</v>
      </c>
      <c r="O2149" s="14" t="e">
        <v>#N/A</v>
      </c>
      <c r="P2149" s="14" t="e">
        <v>#N/A</v>
      </c>
      <c r="Q2149" s="19" t="s">
        <v>13425</v>
      </c>
      <c r="R2149" s="15" t="s">
        <v>13426</v>
      </c>
      <c r="S2149" s="16" t="s">
        <v>89</v>
      </c>
      <c r="T2149" s="16" t="s">
        <v>89</v>
      </c>
      <c r="U2149" s="11" t="str">
        <f>_xlfn.XLOOKUP(Customer[[#This Row],[Customer ID]],[1]!Address[ID],[1]!Address[Phone No.(2)])</f>
        <v/>
      </c>
      <c r="V2149" s="11" t="str">
        <f>_xlfn.XLOOKUP(Customer[[#This Row],[Customer ID]],[1]!Address[ID],[1]!Address[Type])</f>
        <v>WALK IN</v>
      </c>
      <c r="W2149" s="11" t="str">
        <f>_xlfn.XLOOKUP(Customer[[#This Row],[Customer ID]],[1]!Address[ID],[1]!Address[CT])</f>
        <v/>
      </c>
      <c r="X2149" s="11"/>
      <c r="Y2149" s="17" t="s">
        <v>6284</v>
      </c>
      <c r="Z2149" s="17" t="e">
        <f>_xlfn.XLOOKUP(Customer[[#This Row],[NewType]],$AF$36:$AF$54,$AG$36:$AG$54)</f>
        <v>#N/A</v>
      </c>
      <c r="AA2149" s="17" t="s">
        <v>13427</v>
      </c>
      <c r="AB2149" s="11" t="str">
        <f>_xlfn.XLOOKUP(Customer[[#This Row],[Customer ID]],[1]!Address[ID],[1]!Address[Subtype])</f>
        <v>STAFF</v>
      </c>
      <c r="AC2149" s="18" t="str">
        <f>_xlfn.XLOOKUP(Customer[[#This Row],[Customer ID]],[1]!Address[ID],[1]!Address[Zone])</f>
        <v>SOUTH</v>
      </c>
    </row>
    <row r="2150" spans="1:30" x14ac:dyDescent="0.3">
      <c r="A2150" s="10" t="s">
        <v>13428</v>
      </c>
      <c r="B2150" s="11" t="str">
        <f>_xlfn.XLOOKUP(Customer[[#This Row],[Customer ID]],[1]!Name[ID],[1]!Name[Description(1)])</f>
        <v>SJN KEFLI ABDULLAH</v>
      </c>
      <c r="C2150" s="11" t="str">
        <f>_xlfn.XLOOKUP(Customer[[#This Row],[Customer ID]],[1]!Name[ID],[1]!Name[Description(2)])</f>
        <v>(PEMANGKU KETUA POLIS,BALAI RANTAU)</v>
      </c>
      <c r="D2150" s="11" t="str">
        <f>_xlfn.XLOOKUP(Customer[[#This Row],[Customer ID]],[1]!Address[ID],[1]!Address[PIC])</f>
        <v>SJN KEFLI</v>
      </c>
      <c r="E2150" s="11" t="str">
        <f>_xlfn.XLOOKUP(Customer[[#This Row],[Customer ID]],[1]!Address[ID],[1]!Address[Full Address])</f>
        <v>RANTAU 71200 SEREMBAN, NEGERI SEMBILAN</v>
      </c>
      <c r="F2150" s="12" t="s">
        <v>6428</v>
      </c>
      <c r="G2150" s="12" t="s">
        <v>2411</v>
      </c>
      <c r="H2150" s="12"/>
      <c r="I2150" s="12" t="b">
        <f>ISNUMBER(VALUE(LEFT(Customer[[#This Row],[Address Line 3 (30 char)]],1)))</f>
        <v>0</v>
      </c>
      <c r="J2150" s="12" t="s">
        <v>203</v>
      </c>
      <c r="K2150" s="12">
        <v>71200</v>
      </c>
      <c r="L2150" s="12" t="s">
        <v>35</v>
      </c>
      <c r="M2150" s="13" t="e">
        <v>#N/A</v>
      </c>
      <c r="N2150" s="14" t="e">
        <v>#N/A</v>
      </c>
      <c r="O2150" s="14" t="e">
        <v>#N/A</v>
      </c>
      <c r="P2150" s="14" t="e">
        <v>#N/A</v>
      </c>
      <c r="Q2150" s="14" t="e">
        <v>#N/A</v>
      </c>
      <c r="R2150" s="15" t="s">
        <v>13429</v>
      </c>
      <c r="S2150" s="16" t="s">
        <v>89</v>
      </c>
      <c r="T2150" s="16" t="s">
        <v>89</v>
      </c>
      <c r="U2150" s="11" t="str">
        <f>_xlfn.XLOOKUP(Customer[[#This Row],[Customer ID]],[1]!Address[ID],[1]!Address[Phone No.(2)])</f>
        <v/>
      </c>
      <c r="V2150" s="11" t="str">
        <f>_xlfn.XLOOKUP(Customer[[#This Row],[Customer ID]],[1]!Address[ID],[1]!Address[Type])</f>
        <v>WALK IN</v>
      </c>
      <c r="W2150" s="11" t="str">
        <f>_xlfn.XLOOKUP(Customer[[#This Row],[Customer ID]],[1]!Address[ID],[1]!Address[CT])</f>
        <v/>
      </c>
      <c r="X2150" s="11"/>
      <c r="Y2150" s="17" t="s">
        <v>6284</v>
      </c>
      <c r="Z2150" s="17" t="e">
        <f>_xlfn.XLOOKUP(Customer[[#This Row],[NewType]],$AF$36:$AF$54,$AG$36:$AG$54)</f>
        <v>#N/A</v>
      </c>
      <c r="AA2150" s="17" t="s">
        <v>13430</v>
      </c>
      <c r="AB2150" s="11" t="str">
        <f>_xlfn.XLOOKUP(Customer[[#This Row],[Customer ID]],[1]!Address[ID],[1]!Address[Subtype])</f>
        <v>PEDAS</v>
      </c>
      <c r="AC2150" s="18" t="str">
        <f>_xlfn.XLOOKUP(Customer[[#This Row],[Customer ID]],[1]!Address[ID],[1]!Address[Zone])</f>
        <v>SOUTH</v>
      </c>
    </row>
    <row r="2151" spans="1:30" x14ac:dyDescent="0.3">
      <c r="A2151" s="48" t="s">
        <v>13431</v>
      </c>
      <c r="B2151" s="49" t="str">
        <f>_xlfn.XLOOKUP(Customer[[#This Row],[Customer ID]],[1]!Name[ID],[1]!Name[Description(1)])</f>
        <v>FADHILLAH DAYANA BINTI JOHARI</v>
      </c>
      <c r="C2151" s="11" t="str">
        <f>_xlfn.XLOOKUP(Customer[[#This Row],[Customer ID]],[1]!Name[ID],[1]!Name[Description(2)])</f>
        <v>(MARKETING)</v>
      </c>
      <c r="D2151" s="11" t="str">
        <f>_xlfn.XLOOKUP(Customer[[#This Row],[Customer ID]],[1]!Address[ID],[1]!Address[PIC])</f>
        <v>DILLA</v>
      </c>
      <c r="E2151" s="11" t="str">
        <f>_xlfn.XLOOKUP(Customer[[#This Row],[Customer ID]],[1]!Address[ID],[1]!Address[Full Address])</f>
        <v>26, MUTIARA 6, TAMAN SRI NANDING43100 HULU LANGAT, SELANGOR</v>
      </c>
      <c r="F2151" s="12" t="s">
        <v>13432</v>
      </c>
      <c r="G2151" s="12" t="s">
        <v>13433</v>
      </c>
      <c r="H2151" s="12" t="s">
        <v>13434</v>
      </c>
      <c r="I2151" s="12" t="b">
        <f>ISNUMBER(VALUE(LEFT(Customer[[#This Row],[Address Line 3 (30 char)]],1)))</f>
        <v>0</v>
      </c>
      <c r="J2151" s="12" t="s">
        <v>172</v>
      </c>
      <c r="K2151" s="12">
        <v>43100</v>
      </c>
      <c r="L2151" s="12" t="s">
        <v>35</v>
      </c>
      <c r="M2151" s="13" t="e">
        <v>#N/A</v>
      </c>
      <c r="N2151" s="35" t="s">
        <v>13435</v>
      </c>
      <c r="O2151" s="14" t="e">
        <v>#N/A</v>
      </c>
      <c r="P2151" s="14" t="e">
        <v>#N/A</v>
      </c>
      <c r="Q2151" s="19" t="s">
        <v>13436</v>
      </c>
      <c r="R2151" s="15" t="s">
        <v>13437</v>
      </c>
      <c r="S2151" s="16" t="s">
        <v>89</v>
      </c>
      <c r="T2151" s="16" t="s">
        <v>89</v>
      </c>
      <c r="U2151" s="11" t="str">
        <f>_xlfn.XLOOKUP(Customer[[#This Row],[Customer ID]],[1]!Address[ID],[1]!Address[Phone No.(2)])</f>
        <v/>
      </c>
      <c r="V2151" s="11" t="str">
        <f>_xlfn.XLOOKUP(Customer[[#This Row],[Customer ID]],[1]!Address[ID],[1]!Address[Type])</f>
        <v>WALK IN</v>
      </c>
      <c r="W2151" s="11" t="str">
        <f>_xlfn.XLOOKUP(Customer[[#This Row],[Customer ID]],[1]!Address[ID],[1]!Address[CT])</f>
        <v/>
      </c>
      <c r="X2151" s="11"/>
      <c r="Y2151" s="17" t="s">
        <v>6284</v>
      </c>
      <c r="Z2151" s="17" t="e">
        <f>_xlfn.XLOOKUP(Customer[[#This Row],[NewType]],$AF$36:$AF$54,$AG$36:$AG$54)</f>
        <v>#N/A</v>
      </c>
      <c r="AA2151" s="17" t="s">
        <v>13438</v>
      </c>
      <c r="AB2151" s="11" t="str">
        <f>_xlfn.XLOOKUP(Customer[[#This Row],[Customer ID]],[1]!Address[ID],[1]!Address[Subtype])</f>
        <v>STAFF</v>
      </c>
      <c r="AC2151" s="18" t="str">
        <f>_xlfn.XLOOKUP(Customer[[#This Row],[Customer ID]],[1]!Address[ID],[1]!Address[Zone])</f>
        <v>CENTRAL</v>
      </c>
    </row>
    <row r="2152" spans="1:30" x14ac:dyDescent="0.3">
      <c r="A2152" s="87" t="s">
        <v>13439</v>
      </c>
      <c r="B2152" s="88" t="str">
        <f>_xlfn.XLOOKUP(Customer[[#This Row],[Customer ID]],[1]!Name[ID],[1]!Name[Description(1)])</f>
        <v>MOHD RASHDAN BIN AZIZI</v>
      </c>
      <c r="C2152" s="88" t="str">
        <f>_xlfn.XLOOKUP(Customer[[#This Row],[Customer ID]],[1]!Name[ID],[1]!Name[Description(2)])</f>
        <v/>
      </c>
      <c r="D2152" s="49" t="str">
        <f>_xlfn.XLOOKUP(Customer[[#This Row],[Customer ID]],[1]!Address[ID],[1]!Address[PIC])</f>
        <v>RASHDAN</v>
      </c>
      <c r="E2152" s="11" t="str">
        <f>_xlfn.XLOOKUP(Customer[[#This Row],[Customer ID]],[1]!Address[ID],[1]!Address[Full Address])</f>
        <v>KUARTERS LOJI RAWATAN AIR SAWAH RAJA,</v>
      </c>
      <c r="F2152" s="12" t="s">
        <v>13440</v>
      </c>
      <c r="G2152" s="12" t="s">
        <v>13441</v>
      </c>
      <c r="H2152" s="12" t="s">
        <v>13442</v>
      </c>
      <c r="I2152" s="12" t="b">
        <f>ISNUMBER(VALUE(LEFT(Customer[[#This Row],[Address Line 3 (30 char)]],1)))</f>
        <v>0</v>
      </c>
      <c r="J2152" s="32" t="s">
        <v>203</v>
      </c>
      <c r="K2152" s="32"/>
      <c r="L2152" s="12" t="s">
        <v>35</v>
      </c>
      <c r="M2152" s="13" t="e">
        <v>#N/A</v>
      </c>
      <c r="N2152" s="35" t="s">
        <v>13443</v>
      </c>
      <c r="O2152" s="14" t="e">
        <v>#N/A</v>
      </c>
      <c r="P2152" s="14" t="e">
        <v>#N/A</v>
      </c>
      <c r="Q2152" s="14" t="e">
        <v>#N/A</v>
      </c>
      <c r="R2152" s="51" t="s">
        <v>13444</v>
      </c>
      <c r="S2152" s="52" t="s">
        <v>89</v>
      </c>
      <c r="T2152" s="52" t="s">
        <v>89</v>
      </c>
      <c r="U2152" s="49" t="str">
        <f>_xlfn.XLOOKUP(Customer[[#This Row],[Customer ID]],[1]!Address[ID],[1]!Address[Phone No.(2)])</f>
        <v/>
      </c>
      <c r="V2152" s="49" t="str">
        <f>_xlfn.XLOOKUP(Customer[[#This Row],[Customer ID]],[1]!Address[ID],[1]!Address[Type])</f>
        <v>WALK IN</v>
      </c>
      <c r="W2152" s="49" t="str">
        <f>_xlfn.XLOOKUP(Customer[[#This Row],[Customer ID]],[1]!Address[ID],[1]!Address[CT])</f>
        <v/>
      </c>
      <c r="X2152" s="49"/>
      <c r="Y2152" s="53" t="s">
        <v>6284</v>
      </c>
      <c r="Z2152" s="53" t="e">
        <f>_xlfn.XLOOKUP(Customer[[#This Row],[NewType]],$AF$36:$AF$54,$AG$36:$AG$54)</f>
        <v>#N/A</v>
      </c>
      <c r="AA2152" s="53" t="s">
        <v>13445</v>
      </c>
      <c r="AB2152" s="49" t="str">
        <f>_xlfn.XLOOKUP(Customer[[#This Row],[Customer ID]],[1]!Address[ID],[1]!Address[Subtype])</f>
        <v>PEDAS</v>
      </c>
      <c r="AC2152" s="54" t="str">
        <f>_xlfn.XLOOKUP(Customer[[#This Row],[Customer ID]],[1]!Address[ID],[1]!Address[Zone])</f>
        <v>SOUTH</v>
      </c>
      <c r="AD2152" s="55"/>
    </row>
    <row r="2153" spans="1:30" x14ac:dyDescent="0.3">
      <c r="A2153" s="48" t="s">
        <v>13446</v>
      </c>
      <c r="B2153" s="49" t="str">
        <f>_xlfn.XLOOKUP(Customer[[#This Row],[Customer ID]],[1]!Name[ID],[1]!Name[Description(1)])</f>
        <v>MOHAMAD FAIRUZ BIN ABD RAHMAN</v>
      </c>
      <c r="C2153" s="49" t="str">
        <f>_xlfn.XLOOKUP(Customer[[#This Row],[Customer ID]],[1]!Name[ID],[1]!Name[Description(2)])</f>
        <v/>
      </c>
      <c r="D2153" s="49" t="str">
        <f>_xlfn.XLOOKUP(Customer[[#This Row],[Customer ID]],[1]!Address[ID],[1]!Address[PIC])</f>
        <v>FAIRUZ</v>
      </c>
      <c r="E2153" s="11" t="str">
        <f>_xlfn.XLOOKUP(Customer[[#This Row],[Customer ID]],[1]!Address[ID],[1]!Address[Full Address])</f>
        <v>878 LORONG MAJU, JALAN SNSALOR LINTANG 22200 BESUT TERENGGANU</v>
      </c>
      <c r="F2153" s="12" t="s">
        <v>13447</v>
      </c>
      <c r="G2153" s="12" t="s">
        <v>13448</v>
      </c>
      <c r="H2153" s="12" t="s">
        <v>13364</v>
      </c>
      <c r="I2153" s="12" t="b">
        <f>ISNUMBER(VALUE(LEFT(Customer[[#This Row],[Address Line 3 (30 char)]],1)))</f>
        <v>0</v>
      </c>
      <c r="J2153" s="12" t="s">
        <v>1056</v>
      </c>
      <c r="K2153" s="12">
        <v>22200</v>
      </c>
      <c r="L2153" s="12" t="s">
        <v>35</v>
      </c>
      <c r="M2153" s="13" t="e">
        <v>#N/A</v>
      </c>
      <c r="N2153" s="35" t="s">
        <v>13449</v>
      </c>
      <c r="O2153" s="14" t="e">
        <v>#N/A</v>
      </c>
      <c r="P2153" s="14" t="e">
        <v>#N/A</v>
      </c>
      <c r="Q2153" s="19" t="s">
        <v>13450</v>
      </c>
      <c r="R2153" s="51" t="s">
        <v>13451</v>
      </c>
      <c r="S2153" s="52" t="s">
        <v>89</v>
      </c>
      <c r="T2153" s="52" t="s">
        <v>89</v>
      </c>
      <c r="U2153" s="49" t="str">
        <f>_xlfn.XLOOKUP(Customer[[#This Row],[Customer ID]],[1]!Address[ID],[1]!Address[Phone No.(2)])</f>
        <v/>
      </c>
      <c r="V2153" s="49" t="str">
        <f>_xlfn.XLOOKUP(Customer[[#This Row],[Customer ID]],[1]!Address[ID],[1]!Address[Type])</f>
        <v>WALK IN</v>
      </c>
      <c r="W2153" s="49" t="str">
        <f>_xlfn.XLOOKUP(Customer[[#This Row],[Customer ID]],[1]!Address[ID],[1]!Address[CT])</f>
        <v/>
      </c>
      <c r="X2153" s="49"/>
      <c r="Y2153" s="53" t="s">
        <v>6284</v>
      </c>
      <c r="Z2153" s="53" t="e">
        <f>_xlfn.XLOOKUP(Customer[[#This Row],[NewType]],$AF$36:$AF$54,$AG$36:$AG$54)</f>
        <v>#N/A</v>
      </c>
      <c r="AA2153" s="53" t="s">
        <v>13452</v>
      </c>
      <c r="AB2153" s="49" t="str">
        <f>_xlfn.XLOOKUP(Customer[[#This Row],[Customer ID]],[1]!Address[ID],[1]!Address[Subtype])</f>
        <v>PEDAS</v>
      </c>
      <c r="AC2153" s="54" t="str">
        <f>_xlfn.XLOOKUP(Customer[[#This Row],[Customer ID]],[1]!Address[ID],[1]!Address[Zone])</f>
        <v>EAST COAST</v>
      </c>
      <c r="AD2153" s="55"/>
    </row>
    <row r="2154" spans="1:30" x14ac:dyDescent="0.3">
      <c r="A2154" s="87" t="s">
        <v>13453</v>
      </c>
      <c r="B2154" s="88" t="str">
        <f>_xlfn.XLOOKUP(Customer[[#This Row],[Customer ID]],[1]!Name[ID],[1]!Name[Description(1)])</f>
        <v>MOHD HELMY BIN DIN</v>
      </c>
      <c r="C2154" s="88" t="str">
        <f>_xlfn.XLOOKUP(Customer[[#This Row],[Customer ID]],[1]!Name[ID],[1]!Name[Description(2)])</f>
        <v/>
      </c>
      <c r="D2154" s="49" t="str">
        <f>_xlfn.XLOOKUP(Customer[[#This Row],[Customer ID]],[1]!Address[ID],[1]!Address[PIC])</f>
        <v>HELMY</v>
      </c>
      <c r="E2154" s="11" t="str">
        <f>_xlfn.XLOOKUP(Customer[[#This Row],[Customer ID]],[1]!Address[ID],[1]!Address[Full Address])</f>
        <v>NO 38 JALAN IDAMAN VILLA 1, IDAMAN VILLABANDAR SRI SENDAYAN, SEREMBAN, NS</v>
      </c>
      <c r="F2154" s="12" t="s">
        <v>13454</v>
      </c>
      <c r="G2154" s="12" t="s">
        <v>13455</v>
      </c>
      <c r="H2154" s="12" t="s">
        <v>13456</v>
      </c>
      <c r="I2154" s="12" t="b">
        <f>ISNUMBER(VALUE(LEFT(Customer[[#This Row],[Address Line 3 (30 char)]],1)))</f>
        <v>0</v>
      </c>
      <c r="J2154" s="32" t="s">
        <v>203</v>
      </c>
      <c r="K2154" s="32">
        <v>71950</v>
      </c>
      <c r="L2154" s="12" t="s">
        <v>35</v>
      </c>
      <c r="M2154" s="13" t="e">
        <v>#N/A</v>
      </c>
      <c r="N2154" s="35" t="s">
        <v>13457</v>
      </c>
      <c r="O2154" s="14" t="e">
        <v>#N/A</v>
      </c>
      <c r="P2154" s="14" t="e">
        <v>#N/A</v>
      </c>
      <c r="Q2154" s="19" t="s">
        <v>13458</v>
      </c>
      <c r="R2154" s="51" t="s">
        <v>13459</v>
      </c>
      <c r="S2154" s="52" t="s">
        <v>89</v>
      </c>
      <c r="T2154" s="52" t="s">
        <v>89</v>
      </c>
      <c r="U2154" s="49" t="str">
        <f>_xlfn.XLOOKUP(Customer[[#This Row],[Customer ID]],[1]!Address[ID],[1]!Address[Phone No.(2)])</f>
        <v/>
      </c>
      <c r="V2154" s="49" t="str">
        <f>_xlfn.XLOOKUP(Customer[[#This Row],[Customer ID]],[1]!Address[ID],[1]!Address[Type])</f>
        <v>WALK IN</v>
      </c>
      <c r="W2154" s="49" t="str">
        <f>_xlfn.XLOOKUP(Customer[[#This Row],[Customer ID]],[1]!Address[ID],[1]!Address[CT])</f>
        <v/>
      </c>
      <c r="X2154" s="49"/>
      <c r="Y2154" s="53" t="s">
        <v>6284</v>
      </c>
      <c r="Z2154" s="53" t="e">
        <f>_xlfn.XLOOKUP(Customer[[#This Row],[NewType]],$AF$36:$AF$54,$AG$36:$AG$54)</f>
        <v>#N/A</v>
      </c>
      <c r="AA2154" s="53" t="s">
        <v>13460</v>
      </c>
      <c r="AB2154" s="49" t="str">
        <f>_xlfn.XLOOKUP(Customer[[#This Row],[Customer ID]],[1]!Address[ID],[1]!Address[Subtype])</f>
        <v>PEDAS</v>
      </c>
      <c r="AC2154" s="54" t="str">
        <f>_xlfn.XLOOKUP(Customer[[#This Row],[Customer ID]],[1]!Address[ID],[1]!Address[Zone])</f>
        <v>SOUTH</v>
      </c>
      <c r="AD2154" s="55"/>
    </row>
    <row r="2155" spans="1:30" x14ac:dyDescent="0.3">
      <c r="A2155" s="10" t="s">
        <v>13461</v>
      </c>
      <c r="B2155" s="11" t="str">
        <f>_xlfn.XLOOKUP(Customer[[#This Row],[Customer ID]],[1]!Name[ID],[1]!Name[Description(1)])</f>
        <v>ASWAD NIZAM SAWARDI LUKMAN</v>
      </c>
      <c r="C2155" s="11" t="str">
        <f>_xlfn.XLOOKUP(Customer[[#This Row],[Customer ID]],[1]!Name[ID],[1]!Name[Description(2)])</f>
        <v/>
      </c>
      <c r="D2155" s="11" t="str">
        <f>_xlfn.XLOOKUP(Customer[[#This Row],[Customer ID]],[1]!Address[ID],[1]!Address[PIC])</f>
        <v/>
      </c>
      <c r="E2155" s="11" t="str">
        <f>_xlfn.XLOOKUP(Customer[[#This Row],[Customer ID]],[1]!Address[ID],[1]!Address[Full Address])</f>
        <v>NO 476, LORONG LAVENDER HEIGHTS 15/1,TAMAN LAVENDER HEIGHTS,SENAWANG 70400SEREMBAN, NS</v>
      </c>
      <c r="F2155" s="12" t="s">
        <v>13462</v>
      </c>
      <c r="G2155" s="12" t="s">
        <v>13463</v>
      </c>
      <c r="H2155" s="12" t="s">
        <v>13464</v>
      </c>
      <c r="I2155" s="12" t="b">
        <f>ISNUMBER(VALUE(LEFT(Customer[[#This Row],[Address Line 3 (30 char)]],1)))</f>
        <v>0</v>
      </c>
      <c r="J2155" s="12" t="s">
        <v>203</v>
      </c>
      <c r="K2155" s="12">
        <v>70400</v>
      </c>
      <c r="L2155" s="12" t="s">
        <v>35</v>
      </c>
      <c r="M2155" s="13" t="e">
        <v>#N/A</v>
      </c>
      <c r="N2155" s="14" t="e">
        <v>#N/A</v>
      </c>
      <c r="O2155" s="14" t="e">
        <v>#N/A</v>
      </c>
      <c r="P2155" s="14" t="e">
        <v>#N/A</v>
      </c>
      <c r="Q2155" s="19" t="s">
        <v>13465</v>
      </c>
      <c r="R2155" s="15" t="s">
        <v>13466</v>
      </c>
      <c r="S2155" s="16" t="s">
        <v>89</v>
      </c>
      <c r="T2155" s="16" t="s">
        <v>89</v>
      </c>
      <c r="U2155" s="11" t="str">
        <f>_xlfn.XLOOKUP(Customer[[#This Row],[Customer ID]],[1]!Address[ID],[1]!Address[Phone No.(2)])</f>
        <v/>
      </c>
      <c r="V2155" s="11" t="str">
        <f>_xlfn.XLOOKUP(Customer[[#This Row],[Customer ID]],[1]!Address[ID],[1]!Address[Type])</f>
        <v>WALK IN</v>
      </c>
      <c r="W2155" s="11" t="str">
        <f>_xlfn.XLOOKUP(Customer[[#This Row],[Customer ID]],[1]!Address[ID],[1]!Address[CT])</f>
        <v/>
      </c>
      <c r="X2155" s="11"/>
      <c r="Y2155" s="17" t="s">
        <v>6284</v>
      </c>
      <c r="Z2155" s="17" t="e">
        <f>_xlfn.XLOOKUP(Customer[[#This Row],[NewType]],$AF$36:$AF$54,$AG$36:$AG$54)</f>
        <v>#N/A</v>
      </c>
      <c r="AA2155" s="17" t="s">
        <v>13467</v>
      </c>
      <c r="AB2155" s="11" t="str">
        <f>_xlfn.XLOOKUP(Customer[[#This Row],[Customer ID]],[1]!Address[ID],[1]!Address[Subtype])</f>
        <v>PEDAS</v>
      </c>
      <c r="AC2155" s="18" t="str">
        <f>_xlfn.XLOOKUP(Customer[[#This Row],[Customer ID]],[1]!Address[ID],[1]!Address[Zone])</f>
        <v>SOUTH</v>
      </c>
    </row>
    <row r="2156" spans="1:30" x14ac:dyDescent="0.3">
      <c r="A2156" s="10" t="s">
        <v>13468</v>
      </c>
      <c r="B2156" s="11" t="str">
        <f>_xlfn.XLOOKUP(Customer[[#This Row],[Customer ID]],[1]!Name[ID],[1]!Name[Description(1)])</f>
        <v>NURUL BAZILAH BINTI OTHMAN</v>
      </c>
      <c r="C2156" s="11" t="str">
        <f>_xlfn.XLOOKUP(Customer[[#This Row],[Customer ID]],[1]!Name[ID],[1]!Name[Description(2)])</f>
        <v/>
      </c>
      <c r="D2156" s="11" t="str">
        <f>_xlfn.XLOOKUP(Customer[[#This Row],[Customer ID]],[1]!Address[ID],[1]!Address[PIC])</f>
        <v/>
      </c>
      <c r="E2156" s="11" t="str">
        <f>_xlfn.XLOOKUP(Customer[[#This Row],[Customer ID]],[1]!Address[ID],[1]!Address[Full Address])</f>
        <v>NO 389, JLN DESA RUSA 5,TMN DESA RUSA, 71050 PD, NS</v>
      </c>
      <c r="F2156" s="12" t="s">
        <v>13469</v>
      </c>
      <c r="G2156" s="12" t="s">
        <v>13470</v>
      </c>
      <c r="H2156" s="12" t="s">
        <v>36</v>
      </c>
      <c r="I2156" s="12" t="b">
        <f>ISNUMBER(VALUE(LEFT(Customer[[#This Row],[Address Line 3 (30 char)]],1)))</f>
        <v>0</v>
      </c>
      <c r="J2156" s="12" t="s">
        <v>2004</v>
      </c>
      <c r="K2156" s="12">
        <v>70400</v>
      </c>
      <c r="L2156" s="12" t="s">
        <v>35</v>
      </c>
      <c r="M2156" s="13" t="e">
        <v>#N/A</v>
      </c>
      <c r="N2156" s="14" t="e">
        <v>#N/A</v>
      </c>
      <c r="O2156" s="14" t="e">
        <v>#N/A</v>
      </c>
      <c r="P2156" s="14" t="e">
        <v>#N/A</v>
      </c>
      <c r="Q2156" s="19" t="s">
        <v>13471</v>
      </c>
      <c r="R2156" s="15" t="s">
        <v>13472</v>
      </c>
      <c r="S2156" s="16" t="s">
        <v>89</v>
      </c>
      <c r="T2156" s="16" t="s">
        <v>89</v>
      </c>
      <c r="U2156" s="11" t="str">
        <f>_xlfn.XLOOKUP(Customer[[#This Row],[Customer ID]],[1]!Address[ID],[1]!Address[Phone No.(2)])</f>
        <v/>
      </c>
      <c r="V2156" s="11" t="str">
        <f>_xlfn.XLOOKUP(Customer[[#This Row],[Customer ID]],[1]!Address[ID],[1]!Address[Type])</f>
        <v>WALK IN</v>
      </c>
      <c r="W2156" s="11" t="str">
        <f>_xlfn.XLOOKUP(Customer[[#This Row],[Customer ID]],[1]!Address[ID],[1]!Address[CT])</f>
        <v/>
      </c>
      <c r="X2156" s="11"/>
      <c r="Y2156" s="17" t="s">
        <v>6284</v>
      </c>
      <c r="Z2156" s="17" t="e">
        <f>_xlfn.XLOOKUP(Customer[[#This Row],[NewType]],$AF$36:$AF$54,$AG$36:$AG$54)</f>
        <v>#N/A</v>
      </c>
      <c r="AA2156" s="17" t="s">
        <v>13473</v>
      </c>
      <c r="AB2156" s="11" t="str">
        <f>_xlfn.XLOOKUP(Customer[[#This Row],[Customer ID]],[1]!Address[ID],[1]!Address[Subtype])</f>
        <v>PEDAS</v>
      </c>
      <c r="AC2156" s="18" t="str">
        <f>_xlfn.XLOOKUP(Customer[[#This Row],[Customer ID]],[1]!Address[ID],[1]!Address[Zone])</f>
        <v>SOUTH</v>
      </c>
    </row>
    <row r="2157" spans="1:30" x14ac:dyDescent="0.3">
      <c r="A2157" s="10" t="s">
        <v>13474</v>
      </c>
      <c r="B2157" s="11" t="str">
        <f>_xlfn.XLOOKUP(Customer[[#This Row],[Customer ID]],[1]!Name[ID],[1]!Name[Description(1)])</f>
        <v>SITI AZLINA BT ABD LATIF</v>
      </c>
      <c r="C2157" s="11" t="str">
        <f>_xlfn.XLOOKUP(Customer[[#This Row],[Customer ID]],[1]!Name[ID],[1]!Name[Description(2)])</f>
        <v/>
      </c>
      <c r="D2157" s="11" t="str">
        <f>_xlfn.XLOOKUP(Customer[[#This Row],[Customer ID]],[1]!Address[ID],[1]!Address[PIC])</f>
        <v>SITI AZLINA BT</v>
      </c>
      <c r="E2157" s="11" t="str">
        <f>_xlfn.XLOOKUP(Customer[[#This Row],[Customer ID]],[1]!Address[ID],[1]!Address[Full Address])</f>
        <v>NO 43, JALAN UP3/2,UKAY PERDANA,68000 AMPANG SELANGOR</v>
      </c>
      <c r="F2157" s="29" t="s">
        <v>13475</v>
      </c>
      <c r="G2157" s="29" t="s">
        <v>13476</v>
      </c>
      <c r="H2157" s="79" t="s">
        <v>3837</v>
      </c>
      <c r="I2157" s="79" t="b">
        <f>ISNUMBER(VALUE(LEFT(Customer[[#This Row],[Address Line 3 (30 char)]],1)))</f>
        <v>0</v>
      </c>
      <c r="J2157" s="29" t="s">
        <v>2004</v>
      </c>
      <c r="K2157" s="29">
        <v>71050</v>
      </c>
      <c r="L2157" s="29" t="s">
        <v>35</v>
      </c>
      <c r="M2157" s="31" t="e">
        <v>#N/A</v>
      </c>
      <c r="N2157" s="36" t="e">
        <v>#N/A</v>
      </c>
      <c r="O2157" s="36" t="e">
        <v>#N/A</v>
      </c>
      <c r="P2157" s="36" t="e">
        <v>#N/A</v>
      </c>
      <c r="Q2157" s="89" t="s">
        <v>13477</v>
      </c>
      <c r="R2157" s="15" t="s">
        <v>13478</v>
      </c>
      <c r="S2157" s="15" t="s">
        <v>6418</v>
      </c>
      <c r="T2157" s="16" t="s">
        <v>3477</v>
      </c>
      <c r="U2157" s="11" t="str">
        <f>_xlfn.XLOOKUP(Customer[[#This Row],[Customer ID]],[1]!Address[ID],[1]!Address[Phone No.(2)])</f>
        <v/>
      </c>
      <c r="V2157" s="11" t="str">
        <f>_xlfn.XLOOKUP(Customer[[#This Row],[Customer ID]],[1]!Address[ID],[1]!Address[Type])</f>
        <v>SOCMED</v>
      </c>
      <c r="W2157" s="11" t="str">
        <f>_xlfn.XLOOKUP(Customer[[#This Row],[Customer ID]],[1]!Address[ID],[1]!Address[CT])</f>
        <v>CASH</v>
      </c>
      <c r="X2157" s="11"/>
      <c r="Y2157" s="17" t="s">
        <v>90</v>
      </c>
      <c r="Z2157" s="17" t="e">
        <f>_xlfn.XLOOKUP(Customer[[#This Row],[NewType]],$AF$36:$AF$54,$AG$36:$AG$54)</f>
        <v>#N/A</v>
      </c>
      <c r="AA2157" s="17" t="s">
        <v>13479</v>
      </c>
      <c r="AB2157" s="11" t="str">
        <f>_xlfn.XLOOKUP(Customer[[#This Row],[Customer ID]],[1]!Address[ID],[1]!Address[Subtype])</f>
        <v>WHATSAPP</v>
      </c>
      <c r="AC2157" s="18" t="str">
        <f>_xlfn.XLOOKUP(Customer[[#This Row],[Customer ID]],[1]!Address[ID],[1]!Address[Zone])</f>
        <v>CENTRAL</v>
      </c>
    </row>
    <row r="2158" spans="1:30" x14ac:dyDescent="0.3">
      <c r="A2158" s="10" t="s">
        <v>13480</v>
      </c>
      <c r="B2158" s="11" t="str">
        <f>_xlfn.XLOOKUP(Customer[[#This Row],[Customer ID]],[1]!Name[ID],[1]!Name[Description(1)])</f>
        <v>PAWLIFESTYLE</v>
      </c>
      <c r="C2158" s="11" t="str">
        <f>_xlfn.XLOOKUP(Customer[[#This Row],[Customer ID]],[1]!Name[ID],[1]!Name[Description(2)])</f>
        <v>LED</v>
      </c>
      <c r="D2158" s="11" t="str">
        <f>_xlfn.XLOOKUP(Customer[[#This Row],[Customer ID]],[1]!Address[ID],[1]!Address[PIC])</f>
        <v/>
      </c>
      <c r="E2158" s="11" t="str">
        <f>_xlfn.XLOOKUP(Customer[[#This Row],[Customer ID]],[1]!Address[ID],[1]!Address[Full Address])</f>
        <v>C1-2,JALAN SELAMAN 1,DATARAN PALMA, 68000 AMPANGSELANGOR</v>
      </c>
      <c r="F2158" s="12" t="s">
        <v>13481</v>
      </c>
      <c r="G2158" s="12" t="s">
        <v>13482</v>
      </c>
      <c r="H2158" s="12"/>
      <c r="I2158" s="12" t="b">
        <f>ISNUMBER(VALUE(LEFT(Customer[[#This Row],[Address Line 3 (30 char)]],1)))</f>
        <v>0</v>
      </c>
      <c r="J2158" s="12" t="s">
        <v>1907</v>
      </c>
      <c r="K2158" s="12">
        <v>68000</v>
      </c>
      <c r="L2158" s="12" t="s">
        <v>35</v>
      </c>
      <c r="M2158" s="13" t="e">
        <v>#N/A</v>
      </c>
      <c r="N2158" s="14" t="e">
        <v>#N/A</v>
      </c>
      <c r="O2158" s="14" t="e">
        <v>#N/A</v>
      </c>
      <c r="P2158" s="14" t="e">
        <v>#N/A</v>
      </c>
      <c r="Q2158" s="14" t="e">
        <v>#N/A</v>
      </c>
      <c r="R2158" s="15" t="s">
        <v>13483</v>
      </c>
      <c r="S2158" s="15" t="s">
        <v>5917</v>
      </c>
      <c r="T2158" s="16"/>
      <c r="U2158" s="11" t="str">
        <f>_xlfn.XLOOKUP(Customer[[#This Row],[Customer ID]],[1]!Address[ID],[1]!Address[Phone No.(2)])</f>
        <v/>
      </c>
      <c r="V2158" s="11" t="str">
        <f>_xlfn.XLOOKUP(Customer[[#This Row],[Customer ID]],[1]!Address[ID],[1]!Address[Type])</f>
        <v>BODG</v>
      </c>
      <c r="W2158" s="11" t="str">
        <f>_xlfn.XLOOKUP(Customer[[#This Row],[Customer ID]],[1]!Address[ID],[1]!Address[CT])</f>
        <v>50% DEPOSIT</v>
      </c>
      <c r="X2158" s="11"/>
      <c r="Y2158" s="17" t="s">
        <v>13115</v>
      </c>
      <c r="Z2158" s="17" t="e">
        <f>_xlfn.XLOOKUP(Customer[[#This Row],[NewType]],$AF$36:$AF$54,$AG$36:$AG$54)</f>
        <v>#N/A</v>
      </c>
      <c r="AA2158" s="17" t="s">
        <v>13484</v>
      </c>
      <c r="AB2158" s="11" t="str">
        <f>_xlfn.XLOOKUP(Customer[[#This Row],[Customer ID]],[1]!Address[ID],[1]!Address[Subtype])</f>
        <v>LED</v>
      </c>
      <c r="AC2158" s="18" t="str">
        <f>_xlfn.XLOOKUP(Customer[[#This Row],[Customer ID]],[1]!Address[ID],[1]!Address[Zone])</f>
        <v>CENTRAL</v>
      </c>
    </row>
    <row r="2159" spans="1:30" x14ac:dyDescent="0.3">
      <c r="A2159" s="48" t="s">
        <v>13485</v>
      </c>
      <c r="B2159" s="49" t="str">
        <f>_xlfn.XLOOKUP(Customer[[#This Row],[Customer ID]],[1]!Name[ID],[1]!Name[Description(1)])</f>
        <v>MOHD IKRAM BIN ROSLAN</v>
      </c>
      <c r="C2159" s="11" t="str">
        <f>_xlfn.XLOOKUP(Customer[[#This Row],[Customer ID]],[1]!Name[ID],[1]!Name[Description(2)])</f>
        <v>(PRODUCTION KILANG AIR)</v>
      </c>
      <c r="D2159" s="11" t="str">
        <f>_xlfn.XLOOKUP(Customer[[#This Row],[Customer ID]],[1]!Address[ID],[1]!Address[PIC])</f>
        <v>IKRAM</v>
      </c>
      <c r="E2159" s="11" t="str">
        <f>_xlfn.XLOOKUP(Customer[[#This Row],[Customer ID]],[1]!Address[ID],[1]!Address[Full Address])</f>
        <v>NO 364, JALAN PI 7, TAMAN PEDAS INDAH71400 PEDAS, NEGERI SEMBILAN</v>
      </c>
      <c r="F2159" s="12" t="s">
        <v>13486</v>
      </c>
      <c r="G2159" s="12" t="s">
        <v>12426</v>
      </c>
      <c r="H2159" s="12" t="s">
        <v>8914</v>
      </c>
      <c r="I2159" s="12" t="b">
        <f>ISNUMBER(VALUE(LEFT(Customer[[#This Row],[Address Line 3 (30 char)]],1)))</f>
        <v>0</v>
      </c>
      <c r="J2159" s="12" t="s">
        <v>203</v>
      </c>
      <c r="K2159" s="12">
        <v>71400</v>
      </c>
      <c r="L2159" s="12" t="s">
        <v>35</v>
      </c>
      <c r="M2159" s="13" t="e">
        <v>#N/A</v>
      </c>
      <c r="N2159" s="35" t="s">
        <v>13487</v>
      </c>
      <c r="O2159" s="14" t="e">
        <v>#N/A</v>
      </c>
      <c r="P2159" s="14" t="e">
        <v>#N/A</v>
      </c>
      <c r="Q2159" s="19" t="s">
        <v>13488</v>
      </c>
      <c r="R2159" s="15" t="s">
        <v>13489</v>
      </c>
      <c r="S2159" s="16" t="s">
        <v>89</v>
      </c>
      <c r="T2159" s="16" t="s">
        <v>89</v>
      </c>
      <c r="U2159" s="11" t="str">
        <f>_xlfn.XLOOKUP(Customer[[#This Row],[Customer ID]],[1]!Address[ID],[1]!Address[Phone No.(2)])</f>
        <v/>
      </c>
      <c r="V2159" s="11" t="str">
        <f>_xlfn.XLOOKUP(Customer[[#This Row],[Customer ID]],[1]!Address[ID],[1]!Address[Type])</f>
        <v>WALK IN</v>
      </c>
      <c r="W2159" s="11" t="str">
        <f>_xlfn.XLOOKUP(Customer[[#This Row],[Customer ID]],[1]!Address[ID],[1]!Address[CT])</f>
        <v/>
      </c>
      <c r="X2159" s="11"/>
      <c r="Y2159" s="17" t="s">
        <v>6284</v>
      </c>
      <c r="Z2159" s="17" t="e">
        <f>_xlfn.XLOOKUP(Customer[[#This Row],[NewType]],$AF$36:$AF$54,$AG$36:$AG$54)</f>
        <v>#N/A</v>
      </c>
      <c r="AA2159" s="17" t="s">
        <v>13490</v>
      </c>
      <c r="AB2159" s="11" t="str">
        <f>_xlfn.XLOOKUP(Customer[[#This Row],[Customer ID]],[1]!Address[ID],[1]!Address[Subtype])</f>
        <v>STAFF</v>
      </c>
      <c r="AC2159" s="18" t="str">
        <f>_xlfn.XLOOKUP(Customer[[#This Row],[Customer ID]],[1]!Address[ID],[1]!Address[Zone])</f>
        <v>SOUTH</v>
      </c>
    </row>
    <row r="2160" spans="1:30" x14ac:dyDescent="0.3">
      <c r="A2160" s="27" t="s">
        <v>13491</v>
      </c>
      <c r="B2160" s="28" t="str">
        <f>_xlfn.XLOOKUP(Customer[[#This Row],[Customer ID]],[1]!Name[ID],[1]!Name[Description(1)])</f>
        <v>SPONSORSHIP MFL</v>
      </c>
      <c r="C2160" s="11" t="str">
        <f>_xlfn.XLOOKUP(Customer[[#This Row],[Customer ID]],[1]!Name[ID],[1]!Name[Description(2)])</f>
        <v/>
      </c>
      <c r="D2160" s="11" t="str">
        <f>_xlfn.XLOOKUP(Customer[[#This Row],[Customer ID]],[1]!Address[ID],[1]!Address[PIC])</f>
        <v/>
      </c>
      <c r="E2160" s="11" t="str">
        <f>_xlfn.XLOOKUP(Customer[[#This Row],[Customer ID]],[1]!Address[ID],[1]!Address[Full Address])</f>
        <v/>
      </c>
      <c r="F2160" s="12" t="s">
        <v>36</v>
      </c>
      <c r="G2160" s="12" t="s">
        <v>36</v>
      </c>
      <c r="H2160" s="12" t="s">
        <v>36</v>
      </c>
      <c r="I2160" s="12" t="b">
        <f>ISNUMBER(VALUE(LEFT(Customer[[#This Row],[Address Line 3 (30 char)]],1)))</f>
        <v>0</v>
      </c>
      <c r="J2160" s="29" t="s">
        <v>203</v>
      </c>
      <c r="K2160" s="12">
        <v>71400</v>
      </c>
      <c r="L2160" s="12" t="s">
        <v>35</v>
      </c>
      <c r="M2160" s="13" t="e">
        <v>#N/A</v>
      </c>
      <c r="N2160" s="14" t="e">
        <v>#N/A</v>
      </c>
      <c r="O2160" s="14" t="e">
        <v>#N/A</v>
      </c>
      <c r="P2160" s="14" t="e">
        <v>#N/A</v>
      </c>
      <c r="Q2160" s="14" t="e">
        <v>#N/A</v>
      </c>
      <c r="R2160" s="15" t="s">
        <v>36</v>
      </c>
      <c r="S2160" s="15" t="s">
        <v>6418</v>
      </c>
      <c r="T2160" s="16"/>
      <c r="U2160" s="11" t="str">
        <f>_xlfn.XLOOKUP(Customer[[#This Row],[Customer ID]],[1]!Address[ID],[1]!Address[Phone No.(2)])</f>
        <v/>
      </c>
      <c r="V2160" s="11" t="str">
        <f>_xlfn.XLOOKUP(Customer[[#This Row],[Customer ID]],[1]!Address[ID],[1]!Address[Type])</f>
        <v>CORPORATE</v>
      </c>
      <c r="W2160" s="11" t="str">
        <f>_xlfn.XLOOKUP(Customer[[#This Row],[Customer ID]],[1]!Address[ID],[1]!Address[CT])</f>
        <v/>
      </c>
      <c r="X2160" s="11"/>
      <c r="Y2160" s="17" t="s">
        <v>6418</v>
      </c>
      <c r="Z2160" s="17" t="e">
        <f>_xlfn.XLOOKUP(Customer[[#This Row],[NewType]],$AF$36:$AF$54,$AG$36:$AG$54)</f>
        <v>#N/A</v>
      </c>
      <c r="AA2160" s="17" t="s">
        <v>13492</v>
      </c>
      <c r="AB2160" s="11" t="str">
        <f>_xlfn.XLOOKUP(Customer[[#This Row],[Customer ID]],[1]!Address[ID],[1]!Address[Subtype])</f>
        <v>MFL</v>
      </c>
      <c r="AC2160" s="18">
        <f>_xlfn.XLOOKUP(Customer[[#This Row],[Customer ID]],[1]!Address[ID],[1]!Address[Zone])</f>
        <v>0</v>
      </c>
    </row>
    <row r="2161" spans="1:30" x14ac:dyDescent="0.3">
      <c r="A2161" s="48" t="s">
        <v>13493</v>
      </c>
      <c r="B2161" s="49" t="str">
        <f>_xlfn.XLOOKUP(Customer[[#This Row],[Customer ID]],[1]!Name[ID],[1]!Name[Description(1)])</f>
        <v>MUHAMAD RIDZUAN BIN MOHD RADZI</v>
      </c>
      <c r="C2161" s="11" t="str">
        <f>_xlfn.XLOOKUP(Customer[[#This Row],[Customer ID]],[1]!Name[ID],[1]!Name[Description(2)])</f>
        <v>(FACILITIES MANAGEMENT DEPARTMENT)</v>
      </c>
      <c r="D2161" s="11" t="str">
        <f>_xlfn.XLOOKUP(Customer[[#This Row],[Customer ID]],[1]!Address[ID],[1]!Address[PIC])</f>
        <v>RIDZUAN</v>
      </c>
      <c r="E2161" s="11" t="str">
        <f>_xlfn.XLOOKUP(Customer[[#This Row],[Customer ID]],[1]!Address[ID],[1]!Address[Full Address])</f>
        <v>NO.49, LORONG PP1, TAMAN PINGGIRANPEDAS, 71400 PEDAS, NEGERI SEMBILAN</v>
      </c>
      <c r="F2161" s="12" t="s">
        <v>13494</v>
      </c>
      <c r="G2161" s="12" t="s">
        <v>13495</v>
      </c>
      <c r="H2161" s="12" t="s">
        <v>8914</v>
      </c>
      <c r="I2161" s="12" t="b">
        <f>ISNUMBER(VALUE(LEFT(Customer[[#This Row],[Address Line 3 (30 char)]],1)))</f>
        <v>0</v>
      </c>
      <c r="J2161" s="12" t="s">
        <v>203</v>
      </c>
      <c r="K2161" s="12">
        <v>71400</v>
      </c>
      <c r="L2161" s="12" t="s">
        <v>35</v>
      </c>
      <c r="M2161" s="13" t="e">
        <v>#N/A</v>
      </c>
      <c r="N2161" s="35" t="s">
        <v>13496</v>
      </c>
      <c r="O2161" s="14" t="e">
        <v>#N/A</v>
      </c>
      <c r="P2161" s="14" t="e">
        <v>#N/A</v>
      </c>
      <c r="Q2161" s="19" t="s">
        <v>13497</v>
      </c>
      <c r="R2161" s="15" t="s">
        <v>13498</v>
      </c>
      <c r="S2161" s="16" t="s">
        <v>89</v>
      </c>
      <c r="T2161" s="16" t="s">
        <v>89</v>
      </c>
      <c r="U2161" s="11" t="str">
        <f>_xlfn.XLOOKUP(Customer[[#This Row],[Customer ID]],[1]!Address[ID],[1]!Address[Phone No.(2)])</f>
        <v/>
      </c>
      <c r="V2161" s="11" t="str">
        <f>_xlfn.XLOOKUP(Customer[[#This Row],[Customer ID]],[1]!Address[ID],[1]!Address[Type])</f>
        <v>WALK IN</v>
      </c>
      <c r="W2161" s="11" t="str">
        <f>_xlfn.XLOOKUP(Customer[[#This Row],[Customer ID]],[1]!Address[ID],[1]!Address[CT])</f>
        <v/>
      </c>
      <c r="X2161" s="11"/>
      <c r="Y2161" s="17" t="s">
        <v>6284</v>
      </c>
      <c r="Z2161" s="17" t="e">
        <f>_xlfn.XLOOKUP(Customer[[#This Row],[NewType]],$AF$36:$AF$54,$AG$36:$AG$54)</f>
        <v>#N/A</v>
      </c>
      <c r="AA2161" s="17" t="s">
        <v>13499</v>
      </c>
      <c r="AB2161" s="11" t="str">
        <f>_xlfn.XLOOKUP(Customer[[#This Row],[Customer ID]],[1]!Address[ID],[1]!Address[Subtype])</f>
        <v>STAFF</v>
      </c>
      <c r="AC2161" s="18" t="str">
        <f>_xlfn.XLOOKUP(Customer[[#This Row],[Customer ID]],[1]!Address[ID],[1]!Address[Zone])</f>
        <v>SOUTH</v>
      </c>
    </row>
    <row r="2162" spans="1:30" x14ac:dyDescent="0.3">
      <c r="A2162" s="27" t="s">
        <v>13500</v>
      </c>
      <c r="B2162" s="28" t="str">
        <f>_xlfn.XLOOKUP(Customer[[#This Row],[Customer ID]],[1]!Name[ID],[1]!Name[Description(1)])</f>
        <v>MUHAMMAD FAQRUL</v>
      </c>
      <c r="C2162" s="11" t="str">
        <f>_xlfn.XLOOKUP(Customer[[#This Row],[Customer ID]],[1]!Name[ID],[1]!Name[Description(2)])</f>
        <v>PRODUCTION KILANG AIR</v>
      </c>
      <c r="D2162" s="11" t="str">
        <f>_xlfn.XLOOKUP(Customer[[#This Row],[Customer ID]],[1]!Address[ID],[1]!Address[PIC])</f>
        <v>FAQRUL</v>
      </c>
      <c r="E2162" s="11" t="str">
        <f>_xlfn.XLOOKUP(Customer[[#This Row],[Customer ID]],[1]!Address[ID],[1]!Address[Full Address])</f>
        <v>NO 2228, JALAN EKAR 4/26,TAMAN BANDAR EKAR,71200 RANTAU</v>
      </c>
      <c r="F2162" s="12" t="s">
        <v>13501</v>
      </c>
      <c r="G2162" s="12" t="s">
        <v>13502</v>
      </c>
      <c r="H2162" s="12" t="s">
        <v>36</v>
      </c>
      <c r="I2162" s="12" t="b">
        <f>ISNUMBER(VALUE(LEFT(Customer[[#This Row],[Address Line 3 (30 char)]],1)))</f>
        <v>0</v>
      </c>
      <c r="J2162" s="12" t="s">
        <v>203</v>
      </c>
      <c r="K2162" s="12">
        <v>71200</v>
      </c>
      <c r="L2162" s="12" t="s">
        <v>35</v>
      </c>
      <c r="M2162" s="13" t="e">
        <v>#N/A</v>
      </c>
      <c r="N2162" s="113" t="s">
        <v>13503</v>
      </c>
      <c r="O2162" s="14" t="e">
        <v>#N/A</v>
      </c>
      <c r="P2162" s="14" t="e">
        <v>#N/A</v>
      </c>
      <c r="Q2162" s="19" t="s">
        <v>13504</v>
      </c>
      <c r="R2162" s="15" t="s">
        <v>13505</v>
      </c>
      <c r="S2162" s="15" t="s">
        <v>89</v>
      </c>
      <c r="T2162" s="16" t="s">
        <v>89</v>
      </c>
      <c r="U2162" s="11" t="str">
        <f>_xlfn.XLOOKUP(Customer[[#This Row],[Customer ID]],[1]!Address[ID],[1]!Address[Phone No.(2)])</f>
        <v/>
      </c>
      <c r="V2162" s="11" t="str">
        <f>_xlfn.XLOOKUP(Customer[[#This Row],[Customer ID]],[1]!Address[ID],[1]!Address[Type])</f>
        <v>SOCMED</v>
      </c>
      <c r="W2162" s="11" t="str">
        <f>_xlfn.XLOOKUP(Customer[[#This Row],[Customer ID]],[1]!Address[ID],[1]!Address[CT])</f>
        <v/>
      </c>
      <c r="X2162" s="11"/>
      <c r="Y2162" s="17" t="s">
        <v>90</v>
      </c>
      <c r="Z2162" s="17" t="e">
        <f>_xlfn.XLOOKUP(Customer[[#This Row],[NewType]],$AF$36:$AF$54,$AG$36:$AG$54)</f>
        <v>#N/A</v>
      </c>
      <c r="AA2162" s="17" t="s">
        <v>13506</v>
      </c>
      <c r="AB2162" s="11" t="str">
        <f>_xlfn.XLOOKUP(Customer[[#This Row],[Customer ID]],[1]!Address[ID],[1]!Address[Subtype])</f>
        <v>STAFF</v>
      </c>
      <c r="AC2162" s="18" t="str">
        <f>_xlfn.XLOOKUP(Customer[[#This Row],[Customer ID]],[1]!Address[ID],[1]!Address[Zone])</f>
        <v>SOUTH</v>
      </c>
    </row>
    <row r="2163" spans="1:30" x14ac:dyDescent="0.3">
      <c r="A2163" s="10" t="s">
        <v>13507</v>
      </c>
      <c r="B2163" s="11" t="str">
        <f>_xlfn.XLOOKUP(Customer[[#This Row],[Customer ID]],[1]!Name[ID],[1]!Name[Description(1)])</f>
        <v>NORASHID BIN MD NOR</v>
      </c>
      <c r="C2163" s="49" t="str">
        <f>_xlfn.XLOOKUP(Customer[[#This Row],[Customer ID]],[1]!Name[ID],[1]!Name[Description(2)])</f>
        <v>(GUARD)</v>
      </c>
      <c r="D2163" s="11" t="str">
        <f>_xlfn.XLOOKUP(Customer[[#This Row],[Customer ID]],[1]!Address[ID],[1]!Address[PIC])</f>
        <v>NORASHID</v>
      </c>
      <c r="E2163" s="11" t="str">
        <f>_xlfn.XLOOKUP(Customer[[#This Row],[Customer ID]],[1]!Address[ID],[1]!Address[Full Address])</f>
        <v>NO.32 RUMAH RAKYAT TAMAN RANTAUNEGERI SEMBILAN</v>
      </c>
      <c r="F2163" s="12" t="s">
        <v>13340</v>
      </c>
      <c r="G2163" s="12" t="s">
        <v>13508</v>
      </c>
      <c r="H2163" s="12" t="s">
        <v>13509</v>
      </c>
      <c r="I2163" s="12" t="b">
        <f>ISNUMBER(VALUE(LEFT(Customer[[#This Row],[Address Line 3 (30 char)]],1)))</f>
        <v>0</v>
      </c>
      <c r="J2163" s="32" t="s">
        <v>203</v>
      </c>
      <c r="K2163" s="32">
        <v>71200</v>
      </c>
      <c r="L2163" s="12" t="s">
        <v>35</v>
      </c>
      <c r="M2163" s="13" t="e">
        <v>#N/A</v>
      </c>
      <c r="N2163" s="14" t="e">
        <v>#N/A</v>
      </c>
      <c r="O2163" s="14" t="e">
        <v>#N/A</v>
      </c>
      <c r="P2163" s="14" t="e">
        <v>#N/A</v>
      </c>
      <c r="Q2163" s="19" t="s">
        <v>13510</v>
      </c>
      <c r="R2163" s="15" t="s">
        <v>13511</v>
      </c>
      <c r="S2163" s="16" t="s">
        <v>89</v>
      </c>
      <c r="T2163" s="16" t="s">
        <v>89</v>
      </c>
      <c r="U2163" s="11" t="str">
        <f>_xlfn.XLOOKUP(Customer[[#This Row],[Customer ID]],[1]!Address[ID],[1]!Address[Phone No.(2)])</f>
        <v/>
      </c>
      <c r="V2163" s="11" t="str">
        <f>_xlfn.XLOOKUP(Customer[[#This Row],[Customer ID]],[1]!Address[ID],[1]!Address[Type])</f>
        <v>WALK IN</v>
      </c>
      <c r="W2163" s="11" t="str">
        <f>_xlfn.XLOOKUP(Customer[[#This Row],[Customer ID]],[1]!Address[ID],[1]!Address[CT])</f>
        <v/>
      </c>
      <c r="X2163" s="11"/>
      <c r="Y2163" s="17" t="s">
        <v>6284</v>
      </c>
      <c r="Z2163" s="17" t="e">
        <f>_xlfn.XLOOKUP(Customer[[#This Row],[NewType]],$AF$36:$AF$54,$AG$36:$AG$54)</f>
        <v>#N/A</v>
      </c>
      <c r="AA2163" s="17" t="s">
        <v>13512</v>
      </c>
      <c r="AB2163" s="11" t="str">
        <f>_xlfn.XLOOKUP(Customer[[#This Row],[Customer ID]],[1]!Address[ID],[1]!Address[Subtype])</f>
        <v>STAFF</v>
      </c>
      <c r="AC2163" s="18" t="str">
        <f>_xlfn.XLOOKUP(Customer[[#This Row],[Customer ID]],[1]!Address[ID],[1]!Address[Zone])</f>
        <v>SOUTH</v>
      </c>
    </row>
    <row r="2164" spans="1:30" x14ac:dyDescent="0.3">
      <c r="A2164" s="48" t="s">
        <v>13513</v>
      </c>
      <c r="B2164" s="49" t="str">
        <f>_xlfn.XLOOKUP(Customer[[#This Row],[Customer ID]],[1]!Name[ID],[1]!Name[Description(1)])</f>
        <v>WAN MUHAMMAD HAIKAL BIN WAN HAZIR</v>
      </c>
      <c r="C2164" s="49" t="str">
        <f>_xlfn.XLOOKUP(Customer[[#This Row],[Customer ID]],[1]!Name[ID],[1]!Name[Description(2)])</f>
        <v/>
      </c>
      <c r="D2164" s="49" t="str">
        <f>_xlfn.XLOOKUP(Customer[[#This Row],[Customer ID]],[1]!Address[ID],[1]!Address[PIC])</f>
        <v>HAIKAL</v>
      </c>
      <c r="E2164" s="11" t="str">
        <f>_xlfn.XLOOKUP(Customer[[#This Row],[Customer ID]],[1]!Address[ID],[1]!Address[Full Address])</f>
        <v>PLO 829T, KOMPLEKS USAHAWANBUMIPUTERA,JALAN SUSUR BESAR 1,KWSN PERINDUSTRIAN PASIR GUDANG,PASIR GUDANG, 81700 JOHOR</v>
      </c>
      <c r="F2164" s="57" t="s">
        <v>13514</v>
      </c>
      <c r="G2164" s="57" t="s">
        <v>13515</v>
      </c>
      <c r="H2164" s="57" t="s">
        <v>13516</v>
      </c>
      <c r="I2164" s="57" t="b">
        <f>ISNUMBER(VALUE(LEFT(Customer[[#This Row],[Address Line 3 (30 char)]],1)))</f>
        <v>0</v>
      </c>
      <c r="J2164" s="57" t="s">
        <v>1995</v>
      </c>
      <c r="K2164" s="57">
        <v>81700</v>
      </c>
      <c r="L2164" s="57" t="s">
        <v>35</v>
      </c>
      <c r="M2164" s="58" t="e">
        <v>#N/A</v>
      </c>
      <c r="N2164" s="51" t="s">
        <v>13517</v>
      </c>
      <c r="O2164" s="59" t="e">
        <v>#N/A</v>
      </c>
      <c r="P2164" s="59" t="e">
        <v>#N/A</v>
      </c>
      <c r="Q2164" s="111" t="s">
        <v>13518</v>
      </c>
      <c r="R2164" s="51" t="s">
        <v>13519</v>
      </c>
      <c r="S2164" s="51" t="s">
        <v>89</v>
      </c>
      <c r="T2164" s="52" t="s">
        <v>89</v>
      </c>
      <c r="U2164" s="49" t="str">
        <f>_xlfn.XLOOKUP(Customer[[#This Row],[Customer ID]],[1]!Address[ID],[1]!Address[Phone No.(2)])</f>
        <v/>
      </c>
      <c r="V2164" s="49" t="str">
        <f>_xlfn.XLOOKUP(Customer[[#This Row],[Customer ID]],[1]!Address[ID],[1]!Address[Type])</f>
        <v>SOCMED</v>
      </c>
      <c r="W2164" s="49" t="str">
        <f>_xlfn.XLOOKUP(Customer[[#This Row],[Customer ID]],[1]!Address[ID],[1]!Address[CT])</f>
        <v/>
      </c>
      <c r="X2164" s="49"/>
      <c r="Y2164" s="53" t="s">
        <v>90</v>
      </c>
      <c r="Z2164" s="53" t="e">
        <f>_xlfn.XLOOKUP(Customer[[#This Row],[NewType]],$AF$36:$AF$54,$AG$36:$AG$54)</f>
        <v>#N/A</v>
      </c>
      <c r="AA2164" s="53" t="s">
        <v>13520</v>
      </c>
      <c r="AB2164" s="49" t="str">
        <f>_xlfn.XLOOKUP(Customer[[#This Row],[Customer ID]],[1]!Address[ID],[1]!Address[Subtype])</f>
        <v>WHATSAPP</v>
      </c>
      <c r="AC2164" s="54" t="str">
        <f>_xlfn.XLOOKUP(Customer[[#This Row],[Customer ID]],[1]!Address[ID],[1]!Address[Zone])</f>
        <v>SOUTH</v>
      </c>
      <c r="AD2164" s="55"/>
    </row>
    <row r="2165" spans="1:30" x14ac:dyDescent="0.3">
      <c r="A2165" s="48" t="s">
        <v>13521</v>
      </c>
      <c r="B2165" s="49" t="str">
        <f>_xlfn.XLOOKUP(Customer[[#This Row],[Customer ID]],[1]!Name[ID],[1]!Name[Description(1)])</f>
        <v>MUHAMMAD PUTRA SHAZWAN BIN RAHIDI</v>
      </c>
      <c r="C2165" s="11" t="str">
        <f>_xlfn.XLOOKUP(Customer[[#This Row],[Customer ID]],[1]!Name[ID],[1]!Name[Description(2)])</f>
        <v>(MARKETING)</v>
      </c>
      <c r="D2165" s="11" t="str">
        <f>_xlfn.XLOOKUP(Customer[[#This Row],[Customer ID]],[1]!Address[ID],[1]!Address[PIC])</f>
        <v>PUTRA</v>
      </c>
      <c r="E2165" s="11" t="str">
        <f>_xlfn.XLOOKUP(Customer[[#This Row],[Customer ID]],[1]!Address[ID],[1]!Address[Full Address])</f>
        <v>KV 04-11 KRISTAL VILLA,TAMAN KAJANG VILLA, JALAN KAJANGVILLA, 43000 KAJANG, SELANGOR</v>
      </c>
      <c r="F2165" s="12" t="s">
        <v>13522</v>
      </c>
      <c r="G2165" s="12" t="s">
        <v>13523</v>
      </c>
      <c r="H2165" s="12" t="s">
        <v>13524</v>
      </c>
      <c r="I2165" s="12" t="b">
        <f>ISNUMBER(VALUE(LEFT(Customer[[#This Row],[Address Line 3 (30 char)]],1)))</f>
        <v>0</v>
      </c>
      <c r="J2165" s="12" t="s">
        <v>172</v>
      </c>
      <c r="K2165" s="12">
        <v>43000</v>
      </c>
      <c r="L2165" s="12" t="s">
        <v>35</v>
      </c>
      <c r="M2165" s="13" t="e">
        <v>#N/A</v>
      </c>
      <c r="N2165" s="113" t="s">
        <v>13525</v>
      </c>
      <c r="O2165" s="14" t="e">
        <v>#N/A</v>
      </c>
      <c r="P2165" s="14" t="e">
        <v>#N/A</v>
      </c>
      <c r="Q2165" s="19" t="s">
        <v>13526</v>
      </c>
      <c r="R2165" s="15" t="s">
        <v>13527</v>
      </c>
      <c r="S2165" s="16" t="s">
        <v>89</v>
      </c>
      <c r="T2165" s="16" t="s">
        <v>89</v>
      </c>
      <c r="U2165" s="11" t="str">
        <f>_xlfn.XLOOKUP(Customer[[#This Row],[Customer ID]],[1]!Address[ID],[1]!Address[Phone No.(2)])</f>
        <v/>
      </c>
      <c r="V2165" s="11" t="str">
        <f>_xlfn.XLOOKUP(Customer[[#This Row],[Customer ID]],[1]!Address[ID],[1]!Address[Type])</f>
        <v>WALK IN</v>
      </c>
      <c r="W2165" s="11" t="str">
        <f>_xlfn.XLOOKUP(Customer[[#This Row],[Customer ID]],[1]!Address[ID],[1]!Address[CT])</f>
        <v/>
      </c>
      <c r="X2165" s="11"/>
      <c r="Y2165" s="17" t="s">
        <v>6284</v>
      </c>
      <c r="Z2165" s="17" t="e">
        <f>_xlfn.XLOOKUP(Customer[[#This Row],[NewType]],$AF$36:$AF$54,$AG$36:$AG$54)</f>
        <v>#N/A</v>
      </c>
      <c r="AA2165" s="17" t="s">
        <v>13528</v>
      </c>
      <c r="AB2165" s="11" t="str">
        <f>_xlfn.XLOOKUP(Customer[[#This Row],[Customer ID]],[1]!Address[ID],[1]!Address[Subtype])</f>
        <v>STAFF</v>
      </c>
      <c r="AC2165" s="18" t="str">
        <f>_xlfn.XLOOKUP(Customer[[#This Row],[Customer ID]],[1]!Address[ID],[1]!Address[Zone])</f>
        <v>CENTRAL</v>
      </c>
    </row>
    <row r="2166" spans="1:30" x14ac:dyDescent="0.3">
      <c r="A2166" s="48" t="s">
        <v>13529</v>
      </c>
      <c r="B2166" s="49" t="str">
        <f>_xlfn.XLOOKUP(Customer[[#This Row],[Customer ID]],[1]!Name[ID],[1]!Name[Description(1)])</f>
        <v>SITI NOORAZIZAI BINTI AB RAHMAN</v>
      </c>
      <c r="C2166" s="49" t="str">
        <f>_xlfn.XLOOKUP(Customer[[#This Row],[Customer ID]],[1]!Name[ID],[1]!Name[Description(2)])</f>
        <v/>
      </c>
      <c r="D2166" s="49" t="str">
        <f>_xlfn.XLOOKUP(Customer[[#This Row],[Customer ID]],[1]!Address[ID],[1]!Address[PIC])</f>
        <v>SITI</v>
      </c>
      <c r="E2166" s="11" t="str">
        <f>_xlfn.XLOOKUP(Customer[[#This Row],[Customer ID]],[1]!Address[ID],[1]!Address[Full Address])</f>
        <v>NO 49, LORONG 6, TAMAN NUSA PUTERI,26800 KUALA ROMPIN, PAHANG</v>
      </c>
      <c r="F2166" s="57" t="s">
        <v>13530</v>
      </c>
      <c r="G2166" s="57" t="s">
        <v>13531</v>
      </c>
      <c r="H2166" s="57" t="s">
        <v>13532</v>
      </c>
      <c r="I2166" s="57" t="b">
        <f>ISNUMBER(VALUE(LEFT(Customer[[#This Row],[Address Line 3 (30 char)]],1)))</f>
        <v>0</v>
      </c>
      <c r="J2166" s="57" t="s">
        <v>339</v>
      </c>
      <c r="K2166" s="57">
        <v>26800</v>
      </c>
      <c r="L2166" s="57" t="s">
        <v>35</v>
      </c>
      <c r="M2166" s="58" t="e">
        <v>#N/A</v>
      </c>
      <c r="N2166" s="58" t="s">
        <v>13533</v>
      </c>
      <c r="O2166" s="59" t="e">
        <v>#N/A</v>
      </c>
      <c r="P2166" s="59" t="e">
        <v>#N/A</v>
      </c>
      <c r="Q2166" s="111" t="s">
        <v>13534</v>
      </c>
      <c r="R2166" s="51" t="s">
        <v>13535</v>
      </c>
      <c r="S2166" s="51" t="s">
        <v>89</v>
      </c>
      <c r="T2166" s="52" t="s">
        <v>89</v>
      </c>
      <c r="U2166" s="49" t="str">
        <f>_xlfn.XLOOKUP(Customer[[#This Row],[Customer ID]],[1]!Address[ID],[1]!Address[Phone No.(2)])</f>
        <v/>
      </c>
      <c r="V2166" s="49" t="str">
        <f>_xlfn.XLOOKUP(Customer[[#This Row],[Customer ID]],[1]!Address[ID],[1]!Address[Type])</f>
        <v>SOCMED</v>
      </c>
      <c r="W2166" s="49" t="str">
        <f>_xlfn.XLOOKUP(Customer[[#This Row],[Customer ID]],[1]!Address[ID],[1]!Address[CT])</f>
        <v/>
      </c>
      <c r="X2166" s="49"/>
      <c r="Y2166" s="53" t="s">
        <v>90</v>
      </c>
      <c r="Z2166" s="53" t="e">
        <f>_xlfn.XLOOKUP(Customer[[#This Row],[NewType]],$AF$36:$AF$54,$AG$36:$AG$54)</f>
        <v>#N/A</v>
      </c>
      <c r="AA2166" s="53" t="s">
        <v>13536</v>
      </c>
      <c r="AB2166" s="49" t="str">
        <f>_xlfn.XLOOKUP(Customer[[#This Row],[Customer ID]],[1]!Address[ID],[1]!Address[Subtype])</f>
        <v>WHATSAPP</v>
      </c>
      <c r="AC2166" s="54" t="str">
        <f>_xlfn.XLOOKUP(Customer[[#This Row],[Customer ID]],[1]!Address[ID],[1]!Address[Zone])</f>
        <v>EAST COAST</v>
      </c>
      <c r="AD2166" s="55"/>
    </row>
    <row r="2167" spans="1:30" x14ac:dyDescent="0.3">
      <c r="A2167" s="72" t="s">
        <v>13537</v>
      </c>
      <c r="B2167" s="68" t="str">
        <f>_xlfn.XLOOKUP(Customer[[#This Row],[Customer ID]],[1]!Name[ID],[1]!Name[Description(1)])</f>
        <v>THE BAKERDORABLE EMPIRE</v>
      </c>
      <c r="C2167" s="68" t="str">
        <f>_xlfn.XLOOKUP(Customer[[#This Row],[Customer ID]],[1]!Name[ID],[1]!Name[Description(2)])</f>
        <v/>
      </c>
      <c r="D2167" s="68" t="str">
        <f>_xlfn.XLOOKUP(Customer[[#This Row],[Customer ID]],[1]!Address[ID],[1]!Address[PIC])</f>
        <v/>
      </c>
      <c r="E2167" s="11" t="str">
        <f>_xlfn.XLOOKUP(Customer[[#This Row],[Customer ID]],[1]!Address[ID],[1]!Address[Full Address])</f>
        <v>A-11-7 PLATINUM HILL CONDOMINIUM PV6JALAN MELATI UTAMA 1, MELATI UTAMA53100 KUALA LUMPURWILAYAH PERSEKUTUAN</v>
      </c>
      <c r="F2167" s="12" t="s">
        <v>13538</v>
      </c>
      <c r="G2167" s="12" t="s">
        <v>13539</v>
      </c>
      <c r="H2167" s="12" t="s">
        <v>13540</v>
      </c>
      <c r="I2167" s="12" t="b">
        <f>ISNUMBER(VALUE(LEFT(Customer[[#This Row],[Address Line 3 (30 char)]],1)))</f>
        <v>0</v>
      </c>
      <c r="J2167" s="12" t="s">
        <v>34</v>
      </c>
      <c r="K2167" s="12">
        <v>53100</v>
      </c>
      <c r="L2167" s="12" t="s">
        <v>35</v>
      </c>
      <c r="M2167" s="13" t="e">
        <v>#N/A</v>
      </c>
      <c r="N2167" s="14" t="e">
        <v>#N/A</v>
      </c>
      <c r="O2167" s="14" t="e">
        <v>#N/A</v>
      </c>
      <c r="P2167" s="14" t="e">
        <v>#N/A</v>
      </c>
      <c r="Q2167" s="14" t="e">
        <v>#N/A</v>
      </c>
      <c r="R2167" s="67" t="s">
        <v>13541</v>
      </c>
      <c r="S2167" s="67"/>
      <c r="T2167" s="76"/>
      <c r="U2167" s="68" t="str">
        <f>_xlfn.XLOOKUP(Customer[[#This Row],[Customer ID]],[1]!Address[ID],[1]!Address[Phone No.(2)])</f>
        <v/>
      </c>
      <c r="V2167" s="68" t="str">
        <f>_xlfn.XLOOKUP(Customer[[#This Row],[Customer ID]],[1]!Address[ID],[1]!Address[Type])</f>
        <v>WALK IN</v>
      </c>
      <c r="W2167" s="68" t="str">
        <f>_xlfn.XLOOKUP(Customer[[#This Row],[Customer ID]],[1]!Address[ID],[1]!Address[CT])</f>
        <v>CASH</v>
      </c>
      <c r="X2167" s="68"/>
      <c r="Y2167" s="69" t="s">
        <v>6284</v>
      </c>
      <c r="Z2167" s="69" t="e">
        <f>_xlfn.XLOOKUP(Customer[[#This Row],[NewType]],$AF$36:$AF$54,$AG$36:$AG$54)</f>
        <v>#N/A</v>
      </c>
      <c r="AA2167" s="69" t="s">
        <v>13542</v>
      </c>
      <c r="AB2167" s="68" t="str">
        <f>_xlfn.XLOOKUP(Customer[[#This Row],[Customer ID]],[1]!Address[ID],[1]!Address[Subtype])</f>
        <v>CASH</v>
      </c>
      <c r="AC2167" s="70" t="str">
        <f>_xlfn.XLOOKUP(Customer[[#This Row],[Customer ID]],[1]!Address[ID],[1]!Address[Zone])</f>
        <v>CENTRAL</v>
      </c>
      <c r="AD2167" s="71"/>
    </row>
    <row r="2168" spans="1:30" x14ac:dyDescent="0.3">
      <c r="A2168" s="10" t="s">
        <v>13543</v>
      </c>
      <c r="B2168" s="11" t="str">
        <f>_xlfn.XLOOKUP(Customer[[#This Row],[Customer ID]],[1]!Name[ID],[1]!Name[Description(1)])</f>
        <v>NUR SHAKILA BINTI MOHD ARSHAD</v>
      </c>
      <c r="C2168" s="11" t="str">
        <f>_xlfn.XLOOKUP(Customer[[#This Row],[Customer ID]],[1]!Name[ID],[1]!Name[Description(2)])</f>
        <v>(HR)</v>
      </c>
      <c r="D2168" s="11" t="str">
        <f>_xlfn.XLOOKUP(Customer[[#This Row],[Customer ID]],[1]!Address[ID],[1]!Address[PIC])</f>
        <v>KILA</v>
      </c>
      <c r="E2168" s="11" t="str">
        <f>_xlfn.XLOOKUP(Customer[[#This Row],[Customer ID]],[1]!Address[ID],[1]!Address[Full Address])</f>
        <v>NO 22, LORONG 7, TMN SERAYA REMBAU,71300 REMBAU, NEGERI SEMBILAN DK</v>
      </c>
      <c r="F2168" s="12" t="s">
        <v>13544</v>
      </c>
      <c r="G2168" s="12" t="s">
        <v>13545</v>
      </c>
      <c r="H2168" s="12" t="s">
        <v>7985</v>
      </c>
      <c r="I2168" s="12" t="b">
        <f>ISNUMBER(VALUE(LEFT(Customer[[#This Row],[Address Line 3 (30 char)]],1)))</f>
        <v>0</v>
      </c>
      <c r="J2168" s="12" t="s">
        <v>203</v>
      </c>
      <c r="K2168" s="12">
        <v>71300</v>
      </c>
      <c r="L2168" s="12" t="s">
        <v>35</v>
      </c>
      <c r="M2168" s="13" t="e">
        <v>#N/A</v>
      </c>
      <c r="N2168" s="14" t="e">
        <v>#N/A</v>
      </c>
      <c r="O2168" s="14" t="e">
        <v>#N/A</v>
      </c>
      <c r="P2168" s="14" t="e">
        <v>#N/A</v>
      </c>
      <c r="Q2168" s="19" t="s">
        <v>13546</v>
      </c>
      <c r="R2168" s="15" t="s">
        <v>13547</v>
      </c>
      <c r="S2168" s="16" t="s">
        <v>89</v>
      </c>
      <c r="T2168" s="16" t="s">
        <v>89</v>
      </c>
      <c r="U2168" s="11" t="str">
        <f>_xlfn.XLOOKUP(Customer[[#This Row],[Customer ID]],[1]!Address[ID],[1]!Address[Phone No.(2)])</f>
        <v/>
      </c>
      <c r="V2168" s="11" t="str">
        <f>_xlfn.XLOOKUP(Customer[[#This Row],[Customer ID]],[1]!Address[ID],[1]!Address[Type])</f>
        <v>WALK IN</v>
      </c>
      <c r="W2168" s="11" t="str">
        <f>_xlfn.XLOOKUP(Customer[[#This Row],[Customer ID]],[1]!Address[ID],[1]!Address[CT])</f>
        <v/>
      </c>
      <c r="X2168" s="11"/>
      <c r="Y2168" s="17" t="s">
        <v>6284</v>
      </c>
      <c r="Z2168" s="17" t="e">
        <f>_xlfn.XLOOKUP(Customer[[#This Row],[NewType]],$AF$36:$AF$54,$AG$36:$AG$54)</f>
        <v>#N/A</v>
      </c>
      <c r="AA2168" s="17" t="s">
        <v>13548</v>
      </c>
      <c r="AB2168" s="11" t="str">
        <f>_xlfn.XLOOKUP(Customer[[#This Row],[Customer ID]],[1]!Address[ID],[1]!Address[Subtype])</f>
        <v>STAFF</v>
      </c>
      <c r="AC2168" s="18" t="str">
        <f>_xlfn.XLOOKUP(Customer[[#This Row],[Customer ID]],[1]!Address[ID],[1]!Address[Zone])</f>
        <v>SOUTH</v>
      </c>
    </row>
    <row r="2169" spans="1:30" x14ac:dyDescent="0.3">
      <c r="A2169" s="48" t="s">
        <v>13549</v>
      </c>
      <c r="B2169" s="49" t="str">
        <f>_xlfn.XLOOKUP(Customer[[#This Row],[Customer ID]],[1]!Name[ID],[1]!Name[Description(1)])</f>
        <v>SITI ASIAH BINTI EHSAN</v>
      </c>
      <c r="C2169" s="49" t="str">
        <f>_xlfn.XLOOKUP(Customer[[#This Row],[Customer ID]],[1]!Name[ID],[1]!Name[Description(2)])</f>
        <v/>
      </c>
      <c r="D2169" s="49" t="str">
        <f>_xlfn.XLOOKUP(Customer[[#This Row],[Customer ID]],[1]!Address[ID],[1]!Address[PIC])</f>
        <v>SITI ASIAH</v>
      </c>
      <c r="E2169" s="11" t="str">
        <f>_xlfn.XLOOKUP(Customer[[#This Row],[Customer ID]],[1]!Address[ID],[1]!Address[Full Address])</f>
        <v>272,FELDA TENGGAROH 1,JEMALUANG 86810 MERSING JOHOR</v>
      </c>
      <c r="F2169" s="57" t="s">
        <v>13550</v>
      </c>
      <c r="G2169" s="57" t="s">
        <v>13551</v>
      </c>
      <c r="H2169" s="57" t="s">
        <v>36</v>
      </c>
      <c r="I2169" s="57" t="b">
        <f>ISNUMBER(VALUE(LEFT(Customer[[#This Row],[Address Line 3 (30 char)]],1)))</f>
        <v>0</v>
      </c>
      <c r="J2169" s="57" t="s">
        <v>1995</v>
      </c>
      <c r="K2169" s="57">
        <v>86810</v>
      </c>
      <c r="L2169" s="57" t="s">
        <v>35</v>
      </c>
      <c r="M2169" s="58" t="e">
        <v>#N/A</v>
      </c>
      <c r="N2169" s="58" t="s">
        <v>13552</v>
      </c>
      <c r="O2169" s="59" t="e">
        <v>#N/A</v>
      </c>
      <c r="P2169" s="59" t="e">
        <v>#N/A</v>
      </c>
      <c r="Q2169" s="111" t="s">
        <v>13553</v>
      </c>
      <c r="R2169" s="51" t="s">
        <v>13554</v>
      </c>
      <c r="S2169" s="51" t="s">
        <v>89</v>
      </c>
      <c r="T2169" s="52" t="s">
        <v>89</v>
      </c>
      <c r="U2169" s="49" t="str">
        <f>_xlfn.XLOOKUP(Customer[[#This Row],[Customer ID]],[1]!Address[ID],[1]!Address[Phone No.(2)])</f>
        <v/>
      </c>
      <c r="V2169" s="49" t="str">
        <f>_xlfn.XLOOKUP(Customer[[#This Row],[Customer ID]],[1]!Address[ID],[1]!Address[Type])</f>
        <v>SOCMED</v>
      </c>
      <c r="W2169" s="49" t="str">
        <f>_xlfn.XLOOKUP(Customer[[#This Row],[Customer ID]],[1]!Address[ID],[1]!Address[CT])</f>
        <v/>
      </c>
      <c r="X2169" s="49"/>
      <c r="Y2169" s="53" t="s">
        <v>90</v>
      </c>
      <c r="Z2169" s="53" t="e">
        <f>_xlfn.XLOOKUP(Customer[[#This Row],[NewType]],$AF$36:$AF$54,$AG$36:$AG$54)</f>
        <v>#N/A</v>
      </c>
      <c r="AA2169" s="53" t="s">
        <v>13555</v>
      </c>
      <c r="AB2169" s="49" t="str">
        <f>_xlfn.XLOOKUP(Customer[[#This Row],[Customer ID]],[1]!Address[ID],[1]!Address[Subtype])</f>
        <v>WHATSAPP</v>
      </c>
      <c r="AC2169" s="54" t="str">
        <f>_xlfn.XLOOKUP(Customer[[#This Row],[Customer ID]],[1]!Address[ID],[1]!Address[Zone])</f>
        <v>SOUTH</v>
      </c>
      <c r="AD2169" s="55"/>
    </row>
    <row r="2170" spans="1:30" x14ac:dyDescent="0.3">
      <c r="A2170" s="10" t="s">
        <v>13556</v>
      </c>
      <c r="B2170" s="11" t="str">
        <f>_xlfn.XLOOKUP(Customer[[#This Row],[Customer ID]],[1]!Name[ID],[1]!Name[Description(1)])</f>
        <v>MESSRS NADIA JANNAH &amp; CO</v>
      </c>
      <c r="C2170" s="11" t="str">
        <f>_xlfn.XLOOKUP(Customer[[#This Row],[Customer ID]],[1]!Name[ID],[1]!Name[Description(2)])</f>
        <v/>
      </c>
      <c r="D2170" s="11" t="str">
        <f>_xlfn.XLOOKUP(Customer[[#This Row],[Customer ID]],[1]!Address[ID],[1]!Address[PIC])</f>
        <v>NADIA</v>
      </c>
      <c r="E2170" s="11" t="str">
        <f>_xlfn.XLOOKUP(Customer[[#This Row],[Customer ID]],[1]!Address[ID],[1]!Address[Full Address])</f>
        <v>NO.10A, TINGKAT ATAS,JALAN LAMAN DELFINA 1/1, NILAI IMPIAN71800 NILAI NEGERI SEMBILAN</v>
      </c>
      <c r="F2170" s="12" t="s">
        <v>13557</v>
      </c>
      <c r="G2170" s="12" t="s">
        <v>13558</v>
      </c>
      <c r="H2170" s="12" t="s">
        <v>13559</v>
      </c>
      <c r="I2170" s="12" t="b">
        <f>ISNUMBER(VALUE(LEFT(Customer[[#This Row],[Address Line 3 (30 char)]],1)))</f>
        <v>0</v>
      </c>
      <c r="J2170" s="12" t="s">
        <v>203</v>
      </c>
      <c r="K2170" s="12">
        <v>71800</v>
      </c>
      <c r="L2170" s="12" t="s">
        <v>35</v>
      </c>
      <c r="M2170" s="13" t="e">
        <v>#N/A</v>
      </c>
      <c r="N2170" s="14" t="e">
        <v>#N/A</v>
      </c>
      <c r="O2170" s="14" t="e">
        <v>#N/A</v>
      </c>
      <c r="P2170" s="14" t="e">
        <v>#N/A</v>
      </c>
      <c r="Q2170" s="19" t="s">
        <v>13560</v>
      </c>
      <c r="R2170" s="15" t="s">
        <v>13561</v>
      </c>
      <c r="S2170" s="16" t="s">
        <v>89</v>
      </c>
      <c r="T2170" s="16" t="s">
        <v>89</v>
      </c>
      <c r="U2170" s="11" t="str">
        <f>_xlfn.XLOOKUP(Customer[[#This Row],[Customer ID]],[1]!Address[ID],[1]!Address[Phone No.(2)])</f>
        <v/>
      </c>
      <c r="V2170" s="11" t="str">
        <f>_xlfn.XLOOKUP(Customer[[#This Row],[Customer ID]],[1]!Address[ID],[1]!Address[Type])</f>
        <v>WALK IN</v>
      </c>
      <c r="W2170" s="11" t="str">
        <f>_xlfn.XLOOKUP(Customer[[#This Row],[Customer ID]],[1]!Address[ID],[1]!Address[CT])</f>
        <v/>
      </c>
      <c r="X2170" s="11"/>
      <c r="Y2170" s="17" t="s">
        <v>6284</v>
      </c>
      <c r="Z2170" s="17" t="e">
        <f>_xlfn.XLOOKUP(Customer[[#This Row],[NewType]],$AF$36:$AF$54,$AG$36:$AG$54)</f>
        <v>#N/A</v>
      </c>
      <c r="AA2170" s="17" t="s">
        <v>13562</v>
      </c>
      <c r="AB2170" s="11" t="str">
        <f>_xlfn.XLOOKUP(Customer[[#This Row],[Customer ID]],[1]!Address[ID],[1]!Address[Subtype])</f>
        <v>PEDAS</v>
      </c>
      <c r="AC2170" s="18" t="str">
        <f>_xlfn.XLOOKUP(Customer[[#This Row],[Customer ID]],[1]!Address[ID],[1]!Address[Zone])</f>
        <v>SOUTH</v>
      </c>
    </row>
    <row r="2171" spans="1:30" x14ac:dyDescent="0.3">
      <c r="A2171" s="48" t="s">
        <v>13563</v>
      </c>
      <c r="B2171" s="49" t="str">
        <f>_xlfn.XLOOKUP(Customer[[#This Row],[Customer ID]],[1]!Name[ID],[1]!Name[Description(1)])</f>
        <v>NURULHAYAH BINTI NASIR</v>
      </c>
      <c r="C2171" s="49" t="str">
        <f>_xlfn.XLOOKUP(Customer[[#This Row],[Customer ID]],[1]!Name[ID],[1]!Name[Description(2)])</f>
        <v/>
      </c>
      <c r="D2171" s="49" t="str">
        <f>_xlfn.XLOOKUP(Customer[[#This Row],[Customer ID]],[1]!Address[ID],[1]!Address[PIC])</f>
        <v/>
      </c>
      <c r="E2171" s="11" t="str">
        <f>_xlfn.XLOOKUP(Customer[[#This Row],[Customer ID]],[1]!Address[ID],[1]!Address[Full Address])</f>
        <v>25 JALAN KACIP 11/8A,40000 SHAH ALAM, SELANGOR</v>
      </c>
      <c r="F2171" s="63" t="s">
        <v>13564</v>
      </c>
      <c r="G2171" s="63" t="s">
        <v>4488</v>
      </c>
      <c r="H2171" s="63" t="s">
        <v>36</v>
      </c>
      <c r="I2171" s="63" t="b">
        <f>ISNUMBER(VALUE(LEFT(Customer[[#This Row],[Address Line 3 (30 char)]],1)))</f>
        <v>0</v>
      </c>
      <c r="J2171" s="63" t="s">
        <v>1907</v>
      </c>
      <c r="K2171" s="63">
        <v>40000</v>
      </c>
      <c r="L2171" s="63" t="s">
        <v>35</v>
      </c>
      <c r="M2171" s="65" t="e">
        <v>#N/A</v>
      </c>
      <c r="N2171" s="66" t="e">
        <v>#N/A</v>
      </c>
      <c r="O2171" s="66" t="e">
        <v>#N/A</v>
      </c>
      <c r="P2171" s="66" t="e">
        <v>#N/A</v>
      </c>
      <c r="Q2171" s="110" t="s">
        <v>13565</v>
      </c>
      <c r="R2171" s="51" t="s">
        <v>13566</v>
      </c>
      <c r="S2171" s="52" t="s">
        <v>89</v>
      </c>
      <c r="T2171" s="52" t="s">
        <v>89</v>
      </c>
      <c r="U2171" s="49" t="str">
        <f>_xlfn.XLOOKUP(Customer[[#This Row],[Customer ID]],[1]!Address[ID],[1]!Address[Phone No.(2)])</f>
        <v/>
      </c>
      <c r="V2171" s="49" t="str">
        <f>_xlfn.XLOOKUP(Customer[[#This Row],[Customer ID]],[1]!Address[ID],[1]!Address[Type])</f>
        <v>SOCMED</v>
      </c>
      <c r="W2171" s="49" t="str">
        <f>_xlfn.XLOOKUP(Customer[[#This Row],[Customer ID]],[1]!Address[ID],[1]!Address[CT])</f>
        <v/>
      </c>
      <c r="X2171" s="49"/>
      <c r="Y2171" s="53" t="s">
        <v>90</v>
      </c>
      <c r="Z2171" s="53" t="e">
        <f>_xlfn.XLOOKUP(Customer[[#This Row],[NewType]],$AF$36:$AF$54,$AG$36:$AG$54)</f>
        <v>#N/A</v>
      </c>
      <c r="AA2171" s="53" t="s">
        <v>13567</v>
      </c>
      <c r="AB2171" s="49" t="str">
        <f>_xlfn.XLOOKUP(Customer[[#This Row],[Customer ID]],[1]!Address[ID],[1]!Address[Subtype])</f>
        <v>WHATSAPP</v>
      </c>
      <c r="AC2171" s="54" t="str">
        <f>_xlfn.XLOOKUP(Customer[[#This Row],[Customer ID]],[1]!Address[ID],[1]!Address[Zone])</f>
        <v>CENTRAL</v>
      </c>
      <c r="AD2171" s="55"/>
    </row>
    <row r="2172" spans="1:30" x14ac:dyDescent="0.3">
      <c r="A2172" s="72" t="s">
        <v>13568</v>
      </c>
      <c r="B2172" s="68" t="str">
        <f>_xlfn.XLOOKUP(Customer[[#This Row],[Customer ID]],[1]!Name[ID],[1]!Name[Description(1)])</f>
        <v>1 CARE FARMASI</v>
      </c>
      <c r="C2172" s="68" t="str">
        <f>_xlfn.XLOOKUP(Customer[[#This Row],[Customer ID]],[1]!Name[ID],[1]!Name[Description(2)])</f>
        <v/>
      </c>
      <c r="D2172" s="68" t="str">
        <f>_xlfn.XLOOKUP(Customer[[#This Row],[Customer ID]],[1]!Address[ID],[1]!Address[PIC])</f>
        <v/>
      </c>
      <c r="E2172" s="11" t="str">
        <f>_xlfn.XLOOKUP(Customer[[#This Row],[Customer ID]],[1]!Address[ID],[1]!Address[Full Address])</f>
        <v>SP25, JLN SG. PETAI PERMAI 2/UTAMATAMAN SUNGAI PETAI PERMAI FASA 278000 ALOR GAJAH, MELAKA.</v>
      </c>
      <c r="F2172" s="12" t="s">
        <v>13569</v>
      </c>
      <c r="G2172" s="12" t="s">
        <v>13570</v>
      </c>
      <c r="H2172" s="12" t="s">
        <v>13571</v>
      </c>
      <c r="I2172" s="12" t="b">
        <f>ISNUMBER(VALUE(LEFT(Customer[[#This Row],[Address Line 3 (30 char)]],1)))</f>
        <v>0</v>
      </c>
      <c r="J2172" s="12" t="s">
        <v>61</v>
      </c>
      <c r="K2172" s="12">
        <v>78000</v>
      </c>
      <c r="L2172" s="12" t="s">
        <v>35</v>
      </c>
      <c r="M2172" s="13" t="e">
        <v>#N/A</v>
      </c>
      <c r="N2172" s="14" t="e">
        <v>#N/A</v>
      </c>
      <c r="O2172" s="14" t="e">
        <v>#N/A</v>
      </c>
      <c r="P2172" s="14" t="e">
        <v>#N/A</v>
      </c>
      <c r="Q2172" s="14" t="e">
        <v>#N/A</v>
      </c>
      <c r="R2172" s="67" t="s">
        <v>13572</v>
      </c>
      <c r="S2172" s="67"/>
      <c r="T2172" s="76"/>
      <c r="U2172" s="68" t="str">
        <f>_xlfn.XLOOKUP(Customer[[#This Row],[Customer ID]],[1]!Address[ID],[1]!Address[Phone No.(2)])</f>
        <v/>
      </c>
      <c r="V2172" s="68" t="str">
        <f>_xlfn.XLOOKUP(Customer[[#This Row],[Customer ID]],[1]!Address[ID],[1]!Address[Type])</f>
        <v>WALK IN</v>
      </c>
      <c r="W2172" s="68" t="str">
        <f>_xlfn.XLOOKUP(Customer[[#This Row],[Customer ID]],[1]!Address[ID],[1]!Address[CT])</f>
        <v>CASH</v>
      </c>
      <c r="X2172" s="68"/>
      <c r="Y2172" s="69" t="s">
        <v>6284</v>
      </c>
      <c r="Z2172" s="69" t="e">
        <f>_xlfn.XLOOKUP(Customer[[#This Row],[NewType]],$AF$36:$AF$54,$AG$36:$AG$54)</f>
        <v>#N/A</v>
      </c>
      <c r="AA2172" s="69" t="s">
        <v>13573</v>
      </c>
      <c r="AB2172" s="68" t="str">
        <f>_xlfn.XLOOKUP(Customer[[#This Row],[Customer ID]],[1]!Address[ID],[1]!Address[Subtype])</f>
        <v>CASH</v>
      </c>
      <c r="AC2172" s="70" t="str">
        <f>_xlfn.XLOOKUP(Customer[[#This Row],[Customer ID]],[1]!Address[ID],[1]!Address[Zone])</f>
        <v>SOUTH</v>
      </c>
      <c r="AD2172" s="71"/>
    </row>
    <row r="2173" spans="1:30" x14ac:dyDescent="0.3">
      <c r="A2173" s="10" t="s">
        <v>13574</v>
      </c>
      <c r="B2173" s="11" t="str">
        <f>_xlfn.XLOOKUP(Customer[[#This Row],[Customer ID]],[1]!Name[ID],[1]!Name[Description(1)])</f>
        <v>KHAIRUDDIN BIN SAAD</v>
      </c>
      <c r="C2173" s="11" t="str">
        <f>_xlfn.XLOOKUP(Customer[[#This Row],[Customer ID]],[1]!Name[ID],[1]!Name[Description(2)])</f>
        <v/>
      </c>
      <c r="D2173" s="11" t="str">
        <f>_xlfn.XLOOKUP(Customer[[#This Row],[Customer ID]],[1]!Address[ID],[1]!Address[PIC])</f>
        <v>KHAIRUDDIN</v>
      </c>
      <c r="E2173" s="11" t="str">
        <f>_xlfn.XLOOKUP(Customer[[#This Row],[Customer ID]],[1]!Address[ID],[1]!Address[Full Address])</f>
        <v>ADTEC JTM KAMPUS KEPALA BATAS,JALAN TUN HAMDAN SHEIKH TAHIR13200 KEPALA BATAS, PULAU PINANG</v>
      </c>
      <c r="F2173" s="12" t="s">
        <v>13575</v>
      </c>
      <c r="G2173" s="12" t="s">
        <v>13576</v>
      </c>
      <c r="H2173" s="12" t="s">
        <v>13577</v>
      </c>
      <c r="I2173" s="12" t="b">
        <f>ISNUMBER(VALUE(LEFT(Customer[[#This Row],[Address Line 3 (30 char)]],1)))</f>
        <v>0</v>
      </c>
      <c r="J2173" s="12" t="s">
        <v>179</v>
      </c>
      <c r="K2173" s="12">
        <v>13200</v>
      </c>
      <c r="L2173" s="12" t="s">
        <v>35</v>
      </c>
      <c r="M2173" s="13" t="e">
        <v>#N/A</v>
      </c>
      <c r="N2173" s="14" t="e">
        <v>#N/A</v>
      </c>
      <c r="O2173" s="14" t="e">
        <v>#N/A</v>
      </c>
      <c r="P2173" s="14" t="e">
        <v>#N/A</v>
      </c>
      <c r="Q2173" s="19" t="s">
        <v>13578</v>
      </c>
      <c r="R2173" s="15" t="s">
        <v>13579</v>
      </c>
      <c r="S2173" s="16" t="s">
        <v>89</v>
      </c>
      <c r="T2173" s="16" t="s">
        <v>89</v>
      </c>
      <c r="U2173" s="11" t="str">
        <f>_xlfn.XLOOKUP(Customer[[#This Row],[Customer ID]],[1]!Address[ID],[1]!Address[Phone No.(2)])</f>
        <v/>
      </c>
      <c r="V2173" s="11" t="str">
        <f>_xlfn.XLOOKUP(Customer[[#This Row],[Customer ID]],[1]!Address[ID],[1]!Address[Type])</f>
        <v>WALK IN</v>
      </c>
      <c r="W2173" s="11" t="str">
        <f>_xlfn.XLOOKUP(Customer[[#This Row],[Customer ID]],[1]!Address[ID],[1]!Address[CT])</f>
        <v/>
      </c>
      <c r="X2173" s="11"/>
      <c r="Y2173" s="17" t="s">
        <v>6284</v>
      </c>
      <c r="Z2173" s="17" t="e">
        <f>_xlfn.XLOOKUP(Customer[[#This Row],[NewType]],$AF$36:$AF$54,$AG$36:$AG$54)</f>
        <v>#N/A</v>
      </c>
      <c r="AA2173" s="17" t="s">
        <v>13580</v>
      </c>
      <c r="AB2173" s="11" t="str">
        <f>_xlfn.XLOOKUP(Customer[[#This Row],[Customer ID]],[1]!Address[ID],[1]!Address[Subtype])</f>
        <v>PEDAS</v>
      </c>
      <c r="AC2173" s="18" t="str">
        <f>_xlfn.XLOOKUP(Customer[[#This Row],[Customer ID]],[1]!Address[ID],[1]!Address[Zone])</f>
        <v>NORTH</v>
      </c>
    </row>
    <row r="2174" spans="1:30" x14ac:dyDescent="0.3">
      <c r="A2174" s="10" t="s">
        <v>13581</v>
      </c>
      <c r="B2174" s="11" t="str">
        <f>_xlfn.XLOOKUP(Customer[[#This Row],[Customer ID]],[1]!Name[ID],[1]!Name[Description(1)])</f>
        <v>GANESAN VADIVELLU</v>
      </c>
      <c r="C2174" s="11" t="str">
        <f>_xlfn.XLOOKUP(Customer[[#This Row],[Customer ID]],[1]!Name[ID],[1]!Name[Description(2)])</f>
        <v>(KILANG BOTOL)</v>
      </c>
      <c r="D2174" s="11" t="str">
        <f>_xlfn.XLOOKUP(Customer[[#This Row],[Customer ID]],[1]!Address[ID],[1]!Address[PIC])</f>
        <v>GANESAN</v>
      </c>
      <c r="E2174" s="11" t="str">
        <f>_xlfn.XLOOKUP(Customer[[#This Row],[Customer ID]],[1]!Address[ID],[1]!Address[Full Address])</f>
        <v>7757, JLN BBN 5/3B, TMN DESA JASMIN,71800 NILAI, NEGERI SEMBILAN</v>
      </c>
      <c r="F2174" s="12" t="s">
        <v>13582</v>
      </c>
      <c r="G2174" s="12" t="s">
        <v>13583</v>
      </c>
      <c r="H2174" s="12" t="s">
        <v>2620</v>
      </c>
      <c r="I2174" s="12" t="b">
        <f>ISNUMBER(VALUE(LEFT(Customer[[#This Row],[Address Line 3 (30 char)]],1)))</f>
        <v>0</v>
      </c>
      <c r="J2174" s="12" t="s">
        <v>203</v>
      </c>
      <c r="K2174" s="12">
        <v>71800</v>
      </c>
      <c r="L2174" s="12" t="s">
        <v>35</v>
      </c>
      <c r="M2174" s="13" t="e">
        <v>#N/A</v>
      </c>
      <c r="N2174" s="14" t="e">
        <v>#N/A</v>
      </c>
      <c r="O2174" s="14" t="e">
        <v>#N/A</v>
      </c>
      <c r="P2174" s="14" t="e">
        <v>#N/A</v>
      </c>
      <c r="Q2174" s="19" t="s">
        <v>13584</v>
      </c>
      <c r="R2174" s="15" t="s">
        <v>13585</v>
      </c>
      <c r="S2174" s="16" t="s">
        <v>89</v>
      </c>
      <c r="T2174" s="16" t="s">
        <v>89</v>
      </c>
      <c r="U2174" s="11" t="str">
        <f>_xlfn.XLOOKUP(Customer[[#This Row],[Customer ID]],[1]!Address[ID],[1]!Address[Phone No.(2)])</f>
        <v/>
      </c>
      <c r="V2174" s="11" t="str">
        <f>_xlfn.XLOOKUP(Customer[[#This Row],[Customer ID]],[1]!Address[ID],[1]!Address[Type])</f>
        <v>WALK IN</v>
      </c>
      <c r="W2174" s="11" t="str">
        <f>_xlfn.XLOOKUP(Customer[[#This Row],[Customer ID]],[1]!Address[ID],[1]!Address[CT])</f>
        <v/>
      </c>
      <c r="X2174" s="11"/>
      <c r="Y2174" s="17" t="s">
        <v>6284</v>
      </c>
      <c r="Z2174" s="17" t="e">
        <f>_xlfn.XLOOKUP(Customer[[#This Row],[NewType]],$AF$36:$AF$54,$AG$36:$AG$54)</f>
        <v>#N/A</v>
      </c>
      <c r="AA2174" s="17" t="s">
        <v>13586</v>
      </c>
      <c r="AB2174" s="11" t="str">
        <f>_xlfn.XLOOKUP(Customer[[#This Row],[Customer ID]],[1]!Address[ID],[1]!Address[Subtype])</f>
        <v>STAFF</v>
      </c>
      <c r="AC2174" s="18" t="str">
        <f>_xlfn.XLOOKUP(Customer[[#This Row],[Customer ID]],[1]!Address[ID],[1]!Address[Zone])</f>
        <v>SOUTH</v>
      </c>
    </row>
    <row r="2175" spans="1:30" x14ac:dyDescent="0.3">
      <c r="A2175" s="45" t="s">
        <v>13587</v>
      </c>
      <c r="B2175" s="32" t="str">
        <f>_xlfn.XLOOKUP(Customer[[#This Row],[Customer ID]],[1]!Name[ID],[1]!Name[Description(1)])</f>
        <v>SHAHFIZAL (GMI)</v>
      </c>
      <c r="C2175" s="32" t="str">
        <f>_xlfn.XLOOKUP(Customer[[#This Row],[Customer ID]],[1]!Name[ID],[1]!Name[Description(2)])</f>
        <v/>
      </c>
      <c r="D2175" s="11" t="str">
        <f>_xlfn.XLOOKUP(Customer[[#This Row],[Customer ID]],[1]!Address[ID],[1]!Address[PIC])</f>
        <v>SHAHFIZAL</v>
      </c>
      <c r="E2175" s="11" t="str">
        <f>_xlfn.XLOOKUP(Customer[[#This Row],[Customer ID]],[1]!Address[ID],[1]!Address[Full Address])</f>
        <v>GMI</v>
      </c>
      <c r="F2175" s="12" t="s">
        <v>13588</v>
      </c>
      <c r="G2175" s="12" t="s">
        <v>36</v>
      </c>
      <c r="H2175" s="12" t="s">
        <v>36</v>
      </c>
      <c r="I2175" s="12" t="b">
        <f>ISNUMBER(VALUE(LEFT(Customer[[#This Row],[Address Line 3 (30 char)]],1)))</f>
        <v>0</v>
      </c>
      <c r="J2175" s="32" t="s">
        <v>172</v>
      </c>
      <c r="K2175" s="32"/>
      <c r="L2175" s="12" t="s">
        <v>35</v>
      </c>
      <c r="M2175" s="13" t="e">
        <v>#N/A</v>
      </c>
      <c r="N2175" s="14" t="e">
        <v>#N/A</v>
      </c>
      <c r="O2175" s="14" t="e">
        <v>#N/A</v>
      </c>
      <c r="P2175" s="14" t="e">
        <v>#N/A</v>
      </c>
      <c r="Q2175" s="14" t="e">
        <v>#N/A</v>
      </c>
      <c r="R2175" s="15" t="s">
        <v>13589</v>
      </c>
      <c r="S2175" s="16" t="s">
        <v>6283</v>
      </c>
      <c r="T2175" s="16"/>
      <c r="U2175" s="11" t="str">
        <f>_xlfn.XLOOKUP(Customer[[#This Row],[Customer ID]],[1]!Address[ID],[1]!Address[Phone No.(2)])</f>
        <v/>
      </c>
      <c r="V2175" s="11" t="str">
        <f>_xlfn.XLOOKUP(Customer[[#This Row],[Customer ID]],[1]!Address[ID],[1]!Address[Type])</f>
        <v>WALK IN</v>
      </c>
      <c r="W2175" s="11" t="str">
        <f>_xlfn.XLOOKUP(Customer[[#This Row],[Customer ID]],[1]!Address[ID],[1]!Address[CT])</f>
        <v/>
      </c>
      <c r="X2175" s="11"/>
      <c r="Y2175" s="17" t="s">
        <v>6284</v>
      </c>
      <c r="Z2175" s="17" t="e">
        <f>_xlfn.XLOOKUP(Customer[[#This Row],[NewType]],$AF$36:$AF$54,$AG$36:$AG$54)</f>
        <v>#N/A</v>
      </c>
      <c r="AA2175" s="17" t="s">
        <v>13590</v>
      </c>
      <c r="AB2175" s="11" t="str">
        <f>_xlfn.XLOOKUP(Customer[[#This Row],[Customer ID]],[1]!Address[ID],[1]!Address[Subtype])</f>
        <v>RANTAU</v>
      </c>
      <c r="AC2175" s="18" t="str">
        <f>_xlfn.XLOOKUP(Customer[[#This Row],[Customer ID]],[1]!Address[ID],[1]!Address[Zone])</f>
        <v>CENTRAL</v>
      </c>
    </row>
    <row r="2176" spans="1:30" x14ac:dyDescent="0.3">
      <c r="A2176" s="10" t="s">
        <v>13591</v>
      </c>
      <c r="B2176" s="11" t="str">
        <f>_xlfn.XLOOKUP(Customer[[#This Row],[Customer ID]],[1]!Name[ID],[1]!Name[Description(1)])</f>
        <v>MUHAMAD LUQMAN HAKIM BIN MOHD RAZNI</v>
      </c>
      <c r="C2176" s="11" t="str">
        <f>_xlfn.XLOOKUP(Customer[[#This Row],[Customer ID]],[1]!Name[ID],[1]!Name[Description(2)])</f>
        <v>(PRODUCTION KILANG AIR)</v>
      </c>
      <c r="D2176" s="11" t="str">
        <f>_xlfn.XLOOKUP(Customer[[#This Row],[Customer ID]],[1]!Address[ID],[1]!Address[PIC])</f>
        <v>LUQMAN HAKIM</v>
      </c>
      <c r="E2176" s="11" t="str">
        <f>_xlfn.XLOOKUP(Customer[[#This Row],[Customer ID]],[1]!Address[ID],[1]!Address[Full Address])</f>
        <v>NO 2279 LORONG 5/A,TAMAN BANDAR EKAR, SEREMBAN71200 NEGERI SEMBILAN</v>
      </c>
      <c r="F2176" s="12" t="s">
        <v>13592</v>
      </c>
      <c r="G2176" s="12" t="s">
        <v>13593</v>
      </c>
      <c r="H2176" s="24"/>
      <c r="I2176" s="24" t="b">
        <f>ISNUMBER(VALUE(LEFT(Customer[[#This Row],[Address Line 3 (30 char)]],1)))</f>
        <v>0</v>
      </c>
      <c r="J2176" s="12" t="s">
        <v>203</v>
      </c>
      <c r="K2176" s="12">
        <v>71200</v>
      </c>
      <c r="L2176" s="12" t="s">
        <v>35</v>
      </c>
      <c r="M2176" s="13" t="e">
        <v>#N/A</v>
      </c>
      <c r="N2176" s="14" t="e">
        <v>#N/A</v>
      </c>
      <c r="O2176" s="14" t="e">
        <v>#N/A</v>
      </c>
      <c r="P2176" s="14" t="e">
        <v>#N/A</v>
      </c>
      <c r="Q2176" s="19" t="s">
        <v>13594</v>
      </c>
      <c r="R2176" s="15" t="s">
        <v>13595</v>
      </c>
      <c r="S2176" s="16" t="s">
        <v>89</v>
      </c>
      <c r="T2176" s="16" t="s">
        <v>89</v>
      </c>
      <c r="U2176" s="11" t="str">
        <f>_xlfn.XLOOKUP(Customer[[#This Row],[Customer ID]],[1]!Address[ID],[1]!Address[Phone No.(2)])</f>
        <v/>
      </c>
      <c r="V2176" s="11" t="str">
        <f>_xlfn.XLOOKUP(Customer[[#This Row],[Customer ID]],[1]!Address[ID],[1]!Address[Type])</f>
        <v>WALK IN</v>
      </c>
      <c r="W2176" s="11" t="str">
        <f>_xlfn.XLOOKUP(Customer[[#This Row],[Customer ID]],[1]!Address[ID],[1]!Address[CT])</f>
        <v/>
      </c>
      <c r="X2176" s="11"/>
      <c r="Y2176" s="17" t="s">
        <v>6284</v>
      </c>
      <c r="Z2176" s="17" t="e">
        <f>_xlfn.XLOOKUP(Customer[[#This Row],[NewType]],$AF$36:$AF$54,$AG$36:$AG$54)</f>
        <v>#N/A</v>
      </c>
      <c r="AA2176" s="17" t="s">
        <v>13596</v>
      </c>
      <c r="AB2176" s="11" t="str">
        <f>_xlfn.XLOOKUP(Customer[[#This Row],[Customer ID]],[1]!Address[ID],[1]!Address[Subtype])</f>
        <v>STAFF</v>
      </c>
      <c r="AC2176" s="18" t="str">
        <f>_xlfn.XLOOKUP(Customer[[#This Row],[Customer ID]],[1]!Address[ID],[1]!Address[Zone])</f>
        <v>SOUTH</v>
      </c>
    </row>
    <row r="2177" spans="1:29" x14ac:dyDescent="0.3">
      <c r="A2177" s="10" t="s">
        <v>13597</v>
      </c>
      <c r="B2177" s="11" t="str">
        <f>_xlfn.XLOOKUP(Customer[[#This Row],[Customer ID]],[1]!Name[ID],[1]!Name[Description(1)])</f>
        <v>MUHAMMAD ALIF IMRAN BIN ISMAIL</v>
      </c>
      <c r="C2177" s="11" t="str">
        <f>_xlfn.XLOOKUP(Customer[[#This Row],[Customer ID]],[1]!Name[ID],[1]!Name[Description(2)])</f>
        <v>(PACKING KILANG AIR)</v>
      </c>
      <c r="D2177" s="11" t="str">
        <f>_xlfn.XLOOKUP(Customer[[#This Row],[Customer ID]],[1]!Address[ID],[1]!Address[PIC])</f>
        <v>ALIF IMRAN</v>
      </c>
      <c r="E2177" s="11" t="str">
        <f>_xlfn.XLOOKUP(Customer[[#This Row],[Customer ID]],[1]!Address[ID],[1]!Address[Full Address])</f>
        <v>NO 13 LORONG SRI ANGGERIK 2/6TAMAN SRI ANGGERIK 71200 RANTAU</v>
      </c>
      <c r="F2177" s="12" t="s">
        <v>13598</v>
      </c>
      <c r="G2177" s="12" t="s">
        <v>12679</v>
      </c>
      <c r="H2177" s="12" t="s">
        <v>6428</v>
      </c>
      <c r="I2177" s="12" t="b">
        <f>ISNUMBER(VALUE(LEFT(Customer[[#This Row],[Address Line 3 (30 char)]],1)))</f>
        <v>0</v>
      </c>
      <c r="J2177" s="12" t="s">
        <v>203</v>
      </c>
      <c r="K2177" s="12">
        <v>71200</v>
      </c>
      <c r="L2177" s="12" t="s">
        <v>35</v>
      </c>
      <c r="M2177" s="13" t="e">
        <v>#N/A</v>
      </c>
      <c r="N2177" s="14" t="e">
        <v>#N/A</v>
      </c>
      <c r="O2177" s="14" t="e">
        <v>#N/A</v>
      </c>
      <c r="P2177" s="14" t="e">
        <v>#N/A</v>
      </c>
      <c r="Q2177" s="19" t="s">
        <v>13599</v>
      </c>
      <c r="R2177" s="15" t="s">
        <v>13600</v>
      </c>
      <c r="S2177" s="16" t="s">
        <v>89</v>
      </c>
      <c r="T2177" s="16" t="s">
        <v>89</v>
      </c>
      <c r="U2177" s="11" t="str">
        <f>_xlfn.XLOOKUP(Customer[[#This Row],[Customer ID]],[1]!Address[ID],[1]!Address[Phone No.(2)])</f>
        <v/>
      </c>
      <c r="V2177" s="11" t="str">
        <f>_xlfn.XLOOKUP(Customer[[#This Row],[Customer ID]],[1]!Address[ID],[1]!Address[Type])</f>
        <v>WALK IN</v>
      </c>
      <c r="W2177" s="11" t="str">
        <f>_xlfn.XLOOKUP(Customer[[#This Row],[Customer ID]],[1]!Address[ID],[1]!Address[CT])</f>
        <v/>
      </c>
      <c r="X2177" s="11"/>
      <c r="Y2177" s="17" t="s">
        <v>6284</v>
      </c>
      <c r="Z2177" s="17" t="e">
        <f>_xlfn.XLOOKUP(Customer[[#This Row],[NewType]],$AF$36:$AF$54,$AG$36:$AG$54)</f>
        <v>#N/A</v>
      </c>
      <c r="AA2177" s="17" t="s">
        <v>13601</v>
      </c>
      <c r="AB2177" s="11" t="str">
        <f>_xlfn.XLOOKUP(Customer[[#This Row],[Customer ID]],[1]!Address[ID],[1]!Address[Subtype])</f>
        <v>STAFF</v>
      </c>
      <c r="AC2177" s="18" t="str">
        <f>_xlfn.XLOOKUP(Customer[[#This Row],[Customer ID]],[1]!Address[ID],[1]!Address[Zone])</f>
        <v>SOUTH</v>
      </c>
    </row>
    <row r="2178" spans="1:29" x14ac:dyDescent="0.3">
      <c r="A2178" s="10" t="s">
        <v>13602</v>
      </c>
      <c r="B2178" s="11" t="str">
        <f>_xlfn.XLOOKUP(Customer[[#This Row],[Customer ID]],[1]!Name[ID],[1]!Name[Description(1)])</f>
        <v>NUR LIYANA BINTI SHAHARULLAH</v>
      </c>
      <c r="C2178" s="11" t="str">
        <f>_xlfn.XLOOKUP(Customer[[#This Row],[Customer ID]],[1]!Name[ID],[1]!Name[Description(2)])</f>
        <v>(MARKETING)</v>
      </c>
      <c r="D2178" s="11" t="str">
        <f>_xlfn.XLOOKUP(Customer[[#This Row],[Customer ID]],[1]!Address[ID],[1]!Address[PIC])</f>
        <v>LIYANA</v>
      </c>
      <c r="E2178" s="11" t="str">
        <f>_xlfn.XLOOKUP(Customer[[#This Row],[Customer ID]],[1]!Address[ID],[1]!Address[Full Address])</f>
        <v>NO 399, JLN SP 14, TAMANSENAWANG PERDANA 71450 SEREMBANNEGERI SEMBILAN</v>
      </c>
      <c r="F2178" s="12" t="s">
        <v>13603</v>
      </c>
      <c r="G2178" s="12" t="s">
        <v>13604</v>
      </c>
      <c r="H2178" s="12" t="s">
        <v>2411</v>
      </c>
      <c r="I2178" s="12" t="b">
        <f>ISNUMBER(VALUE(LEFT(Customer[[#This Row],[Address Line 3 (30 char)]],1)))</f>
        <v>0</v>
      </c>
      <c r="J2178" s="12" t="s">
        <v>203</v>
      </c>
      <c r="K2178" s="12">
        <v>71450</v>
      </c>
      <c r="L2178" s="12" t="s">
        <v>35</v>
      </c>
      <c r="M2178" s="13" t="e">
        <v>#N/A</v>
      </c>
      <c r="N2178" s="14" t="e">
        <v>#N/A</v>
      </c>
      <c r="O2178" s="14" t="e">
        <v>#N/A</v>
      </c>
      <c r="P2178" s="14" t="e">
        <v>#N/A</v>
      </c>
      <c r="Q2178" s="19" t="s">
        <v>13605</v>
      </c>
      <c r="R2178" s="15" t="s">
        <v>13606</v>
      </c>
      <c r="S2178" s="16" t="s">
        <v>89</v>
      </c>
      <c r="T2178" s="16" t="s">
        <v>89</v>
      </c>
      <c r="U2178" s="11" t="str">
        <f>_xlfn.XLOOKUP(Customer[[#This Row],[Customer ID]],[1]!Address[ID],[1]!Address[Phone No.(2)])</f>
        <v/>
      </c>
      <c r="V2178" s="11" t="str">
        <f>_xlfn.XLOOKUP(Customer[[#This Row],[Customer ID]],[1]!Address[ID],[1]!Address[Type])</f>
        <v>WALK IN</v>
      </c>
      <c r="W2178" s="11" t="str">
        <f>_xlfn.XLOOKUP(Customer[[#This Row],[Customer ID]],[1]!Address[ID],[1]!Address[CT])</f>
        <v/>
      </c>
      <c r="X2178" s="11"/>
      <c r="Y2178" s="17" t="s">
        <v>6284</v>
      </c>
      <c r="Z2178" s="17" t="e">
        <f>_xlfn.XLOOKUP(Customer[[#This Row],[NewType]],$AF$36:$AF$54,$AG$36:$AG$54)</f>
        <v>#N/A</v>
      </c>
      <c r="AA2178" s="17" t="s">
        <v>13607</v>
      </c>
      <c r="AB2178" s="11" t="str">
        <f>_xlfn.XLOOKUP(Customer[[#This Row],[Customer ID]],[1]!Address[ID],[1]!Address[Subtype])</f>
        <v>STAFF</v>
      </c>
      <c r="AC2178" s="18" t="str">
        <f>_xlfn.XLOOKUP(Customer[[#This Row],[Customer ID]],[1]!Address[ID],[1]!Address[Zone])</f>
        <v>SOUTH</v>
      </c>
    </row>
    <row r="2179" spans="1:29" x14ac:dyDescent="0.3">
      <c r="A2179" s="10" t="s">
        <v>13608</v>
      </c>
      <c r="B2179" s="11" t="str">
        <f>_xlfn.XLOOKUP(Customer[[#This Row],[Customer ID]],[1]!Name[ID],[1]!Name[Description(1)])</f>
        <v>UDA MALL</v>
      </c>
      <c r="C2179" s="11" t="str">
        <f>_xlfn.XLOOKUP(Customer[[#This Row],[Customer ID]],[1]!Name[ID],[1]!Name[Description(2)])</f>
        <v>LED</v>
      </c>
      <c r="D2179" s="11" t="str">
        <f>_xlfn.XLOOKUP(Customer[[#This Row],[Customer ID]],[1]!Address[ID],[1]!Address[PIC])</f>
        <v/>
      </c>
      <c r="E2179" s="11" t="str">
        <f>_xlfn.XLOOKUP(Customer[[#This Row],[Customer ID]],[1]!Address[ID],[1]!Address[Full Address])</f>
        <v>LEVEL RG, TOWER BLOCK, PERTAMA COMPLEX,JALAN TUANKU ABDUL RAHMAN50100 KUALA LUMPUR</v>
      </c>
      <c r="F2179" s="12" t="s">
        <v>13609</v>
      </c>
      <c r="G2179" s="12" t="s">
        <v>13610</v>
      </c>
      <c r="H2179" s="12" t="s">
        <v>13611</v>
      </c>
      <c r="I2179" s="12" t="b">
        <f>ISNUMBER(VALUE(LEFT(Customer[[#This Row],[Address Line 3 (30 char)]],1)))</f>
        <v>0</v>
      </c>
      <c r="J2179" s="12" t="s">
        <v>34</v>
      </c>
      <c r="K2179" s="12">
        <v>50100</v>
      </c>
      <c r="L2179" s="12" t="s">
        <v>35</v>
      </c>
      <c r="M2179" s="13" t="e">
        <v>#N/A</v>
      </c>
      <c r="N2179" s="14" t="e">
        <v>#N/A</v>
      </c>
      <c r="O2179" s="14" t="e">
        <v>#N/A</v>
      </c>
      <c r="P2179" s="14" t="e">
        <v>#N/A</v>
      </c>
      <c r="Q2179" s="14" t="e">
        <v>#N/A</v>
      </c>
      <c r="R2179" s="15" t="s">
        <v>13612</v>
      </c>
      <c r="S2179" s="15" t="s">
        <v>5917</v>
      </c>
      <c r="T2179" s="16"/>
      <c r="U2179" s="11" t="str">
        <f>_xlfn.XLOOKUP(Customer[[#This Row],[Customer ID]],[1]!Address[ID],[1]!Address[Phone No.(2)])</f>
        <v/>
      </c>
      <c r="V2179" s="11" t="str">
        <f>_xlfn.XLOOKUP(Customer[[#This Row],[Customer ID]],[1]!Address[ID],[1]!Address[Type])</f>
        <v>BODG</v>
      </c>
      <c r="W2179" s="11" t="str">
        <f>_xlfn.XLOOKUP(Customer[[#This Row],[Customer ID]],[1]!Address[ID],[1]!Address[CT])</f>
        <v>50% DEPOSIT</v>
      </c>
      <c r="X2179" s="11"/>
      <c r="Y2179" s="17" t="s">
        <v>13115</v>
      </c>
      <c r="Z2179" s="17" t="e">
        <f>_xlfn.XLOOKUP(Customer[[#This Row],[NewType]],$AF$36:$AF$54,$AG$36:$AG$54)</f>
        <v>#N/A</v>
      </c>
      <c r="AA2179" s="17" t="s">
        <v>13613</v>
      </c>
      <c r="AB2179" s="11" t="str">
        <f>_xlfn.XLOOKUP(Customer[[#This Row],[Customer ID]],[1]!Address[ID],[1]!Address[Subtype])</f>
        <v>LED</v>
      </c>
      <c r="AC2179" s="18" t="str">
        <f>_xlfn.XLOOKUP(Customer[[#This Row],[Customer ID]],[1]!Address[ID],[1]!Address[Zone])</f>
        <v>CENTRAL</v>
      </c>
    </row>
    <row r="2180" spans="1:29" x14ac:dyDescent="0.3">
      <c r="A2180" s="10" t="s">
        <v>13614</v>
      </c>
      <c r="B2180" s="11" t="str">
        <f>_xlfn.XLOOKUP(Customer[[#This Row],[Customer ID]],[1]!Name[ID],[1]!Name[Description(1)])</f>
        <v>NUR ZULAIKHA BINTI MAHMOD</v>
      </c>
      <c r="C2180" s="11" t="str">
        <f>_xlfn.XLOOKUP(Customer[[#This Row],[Customer ID]],[1]!Name[ID],[1]!Name[Description(2)])</f>
        <v>(PRODUCTION KILANG AIR)</v>
      </c>
      <c r="D2180" s="11" t="str">
        <f>_xlfn.XLOOKUP(Customer[[#This Row],[Customer ID]],[1]!Address[ID],[1]!Address[PIC])</f>
        <v>ZULAIKHA</v>
      </c>
      <c r="E2180" s="11" t="str">
        <f>_xlfn.XLOOKUP(Customer[[#This Row],[Customer ID]],[1]!Address[ID],[1]!Address[Full Address])</f>
        <v>NO.203, JALAN EKAR 1/5, BANDAR EKARRANTAU 71200 NEGERI SEMBILAN</v>
      </c>
      <c r="F2180" s="12" t="s">
        <v>13615</v>
      </c>
      <c r="G2180" s="12" t="s">
        <v>13616</v>
      </c>
      <c r="H2180" s="12" t="s">
        <v>6428</v>
      </c>
      <c r="I2180" s="12" t="b">
        <f>ISNUMBER(VALUE(LEFT(Customer[[#This Row],[Address Line 3 (30 char)]],1)))</f>
        <v>0</v>
      </c>
      <c r="J2180" s="12" t="s">
        <v>203</v>
      </c>
      <c r="K2180" s="12">
        <v>71200</v>
      </c>
      <c r="L2180" s="12" t="s">
        <v>35</v>
      </c>
      <c r="M2180" s="13" t="e">
        <v>#N/A</v>
      </c>
      <c r="N2180" s="14" t="e">
        <v>#N/A</v>
      </c>
      <c r="O2180" s="14" t="e">
        <v>#N/A</v>
      </c>
      <c r="P2180" s="14" t="e">
        <v>#N/A</v>
      </c>
      <c r="Q2180" s="19" t="s">
        <v>13617</v>
      </c>
      <c r="R2180" s="15" t="s">
        <v>13618</v>
      </c>
      <c r="S2180" s="16" t="s">
        <v>89</v>
      </c>
      <c r="T2180" s="16" t="s">
        <v>89</v>
      </c>
      <c r="U2180" s="11" t="str">
        <f>_xlfn.XLOOKUP(Customer[[#This Row],[Customer ID]],[1]!Address[ID],[1]!Address[Phone No.(2)])</f>
        <v/>
      </c>
      <c r="V2180" s="11" t="str">
        <f>_xlfn.XLOOKUP(Customer[[#This Row],[Customer ID]],[1]!Address[ID],[1]!Address[Type])</f>
        <v>WALK IN</v>
      </c>
      <c r="W2180" s="11" t="str">
        <f>_xlfn.XLOOKUP(Customer[[#This Row],[Customer ID]],[1]!Address[ID],[1]!Address[CT])</f>
        <v/>
      </c>
      <c r="X2180" s="11"/>
      <c r="Y2180" s="17" t="s">
        <v>6284</v>
      </c>
      <c r="Z2180" s="17" t="e">
        <f>_xlfn.XLOOKUP(Customer[[#This Row],[NewType]],$AF$36:$AF$54,$AG$36:$AG$54)</f>
        <v>#N/A</v>
      </c>
      <c r="AA2180" s="17" t="s">
        <v>13619</v>
      </c>
      <c r="AB2180" s="11" t="str">
        <f>_xlfn.XLOOKUP(Customer[[#This Row],[Customer ID]],[1]!Address[ID],[1]!Address[Subtype])</f>
        <v>STAFF</v>
      </c>
      <c r="AC2180" s="18" t="str">
        <f>_xlfn.XLOOKUP(Customer[[#This Row],[Customer ID]],[1]!Address[ID],[1]!Address[Zone])</f>
        <v>SOUTH</v>
      </c>
    </row>
    <row r="2181" spans="1:29" x14ac:dyDescent="0.3">
      <c r="A2181" s="10" t="s">
        <v>13620</v>
      </c>
      <c r="B2181" s="11" t="str">
        <f>_xlfn.XLOOKUP(Customer[[#This Row],[Customer ID]],[1]!Name[ID],[1]!Name[Description(1)])</f>
        <v>NUR AKMAL SAFWAN</v>
      </c>
      <c r="C2181" s="11" t="str">
        <f>_xlfn.XLOOKUP(Customer[[#This Row],[Customer ID]],[1]!Name[ID],[1]!Name[Description(2)])</f>
        <v>(PRODUCTION KILANG AIR)</v>
      </c>
      <c r="D2181" s="11" t="str">
        <f>_xlfn.XLOOKUP(Customer[[#This Row],[Customer ID]],[1]!Address[ID],[1]!Address[PIC])</f>
        <v>AKMAL</v>
      </c>
      <c r="E2181" s="11" t="str">
        <f>_xlfn.XLOOKUP(Customer[[#This Row],[Customer ID]],[1]!Address[ID],[1]!Address[Full Address])</f>
        <v>138 JALAN DESA MELOR 4,TAMAN DESA MELOR SENAWANG, 70450,SEREMBAN NEGERI SEMBILAN</v>
      </c>
      <c r="F2181" s="12" t="s">
        <v>13621</v>
      </c>
      <c r="G2181" s="12" t="s">
        <v>13622</v>
      </c>
      <c r="H2181" s="12" t="s">
        <v>2377</v>
      </c>
      <c r="I2181" s="12" t="b">
        <f>ISNUMBER(VALUE(LEFT(Customer[[#This Row],[Address Line 3 (30 char)]],1)))</f>
        <v>0</v>
      </c>
      <c r="J2181" s="12" t="s">
        <v>203</v>
      </c>
      <c r="K2181" s="12">
        <v>70450</v>
      </c>
      <c r="L2181" s="12" t="s">
        <v>35</v>
      </c>
      <c r="M2181" s="13" t="e">
        <v>#N/A</v>
      </c>
      <c r="N2181" s="14" t="e">
        <v>#N/A</v>
      </c>
      <c r="O2181" s="14" t="e">
        <v>#N/A</v>
      </c>
      <c r="P2181" s="14" t="e">
        <v>#N/A</v>
      </c>
      <c r="Q2181" s="19" t="s">
        <v>13623</v>
      </c>
      <c r="R2181" s="15" t="s">
        <v>13624</v>
      </c>
      <c r="S2181" s="16" t="s">
        <v>89</v>
      </c>
      <c r="T2181" s="16" t="s">
        <v>89</v>
      </c>
      <c r="U2181" s="11" t="str">
        <f>_xlfn.XLOOKUP(Customer[[#This Row],[Customer ID]],[1]!Address[ID],[1]!Address[Phone No.(2)])</f>
        <v/>
      </c>
      <c r="V2181" s="11" t="str">
        <f>_xlfn.XLOOKUP(Customer[[#This Row],[Customer ID]],[1]!Address[ID],[1]!Address[Type])</f>
        <v>WALK IN</v>
      </c>
      <c r="W2181" s="11" t="str">
        <f>_xlfn.XLOOKUP(Customer[[#This Row],[Customer ID]],[1]!Address[ID],[1]!Address[CT])</f>
        <v/>
      </c>
      <c r="X2181" s="11"/>
      <c r="Y2181" s="17" t="s">
        <v>6284</v>
      </c>
      <c r="Z2181" s="17" t="e">
        <f>_xlfn.XLOOKUP(Customer[[#This Row],[NewType]],$AF$36:$AF$54,$AG$36:$AG$54)</f>
        <v>#N/A</v>
      </c>
      <c r="AA2181" s="17" t="s">
        <v>13625</v>
      </c>
      <c r="AB2181" s="11" t="str">
        <f>_xlfn.XLOOKUP(Customer[[#This Row],[Customer ID]],[1]!Address[ID],[1]!Address[Subtype])</f>
        <v>STAFF</v>
      </c>
      <c r="AC2181" s="18" t="str">
        <f>_xlfn.XLOOKUP(Customer[[#This Row],[Customer ID]],[1]!Address[ID],[1]!Address[Zone])</f>
        <v>SOUTH</v>
      </c>
    </row>
    <row r="2182" spans="1:29" x14ac:dyDescent="0.3">
      <c r="A2182" s="10" t="s">
        <v>13626</v>
      </c>
      <c r="B2182" s="11" t="str">
        <f>_xlfn.XLOOKUP(Customer[[#This Row],[Customer ID]],[1]!Name[ID],[1]!Name[Description(1)])</f>
        <v>WAHIDAH ZAINI</v>
      </c>
      <c r="C2182" s="11" t="str">
        <f>_xlfn.XLOOKUP(Customer[[#This Row],[Customer ID]],[1]!Name[ID],[1]!Name[Description(2)])</f>
        <v/>
      </c>
      <c r="D2182" s="11" t="str">
        <f>_xlfn.XLOOKUP(Customer[[#This Row],[Customer ID]],[1]!Address[ID],[1]!Address[PIC])</f>
        <v>WAHIDAH</v>
      </c>
      <c r="E2182" s="11" t="str">
        <f>_xlfn.XLOOKUP(Customer[[#This Row],[Customer ID]],[1]!Address[ID],[1]!Address[Full Address])</f>
        <v>KEMENTERIAN KERJA RAYA, KOMPLEKSKERJA RAYA, JALAN SULTAN SALAHUDDIN50580 KUALA LUMPUR</v>
      </c>
      <c r="F2182" s="12" t="s">
        <v>11476</v>
      </c>
      <c r="G2182" s="12" t="s">
        <v>13627</v>
      </c>
      <c r="H2182" s="12" t="s">
        <v>7760</v>
      </c>
      <c r="I2182" s="12" t="b">
        <f>ISNUMBER(VALUE(LEFT(Customer[[#This Row],[Address Line 3 (30 char)]],1)))</f>
        <v>0</v>
      </c>
      <c r="J2182" s="12" t="s">
        <v>34</v>
      </c>
      <c r="K2182" s="12">
        <v>50580</v>
      </c>
      <c r="L2182" s="12" t="s">
        <v>35</v>
      </c>
      <c r="M2182" s="13" t="e">
        <v>#N/A</v>
      </c>
      <c r="N2182" s="14" t="e">
        <v>#N/A</v>
      </c>
      <c r="O2182" s="14" t="e">
        <v>#N/A</v>
      </c>
      <c r="P2182" s="14" t="e">
        <v>#N/A</v>
      </c>
      <c r="Q2182" s="19" t="s">
        <v>13628</v>
      </c>
      <c r="R2182" s="15" t="s">
        <v>13629</v>
      </c>
      <c r="S2182" s="16" t="s">
        <v>89</v>
      </c>
      <c r="T2182" s="16" t="s">
        <v>89</v>
      </c>
      <c r="U2182" s="11" t="str">
        <f>_xlfn.XLOOKUP(Customer[[#This Row],[Customer ID]],[1]!Address[ID],[1]!Address[Phone No.(2)])</f>
        <v/>
      </c>
      <c r="V2182" s="11" t="str">
        <f>_xlfn.XLOOKUP(Customer[[#This Row],[Customer ID]],[1]!Address[ID],[1]!Address[Type])</f>
        <v>WALK IN</v>
      </c>
      <c r="W2182" s="11" t="str">
        <f>_xlfn.XLOOKUP(Customer[[#This Row],[Customer ID]],[1]!Address[ID],[1]!Address[CT])</f>
        <v/>
      </c>
      <c r="X2182" s="11"/>
      <c r="Y2182" s="17" t="s">
        <v>6284</v>
      </c>
      <c r="Z2182" s="17" t="e">
        <f>_xlfn.XLOOKUP(Customer[[#This Row],[NewType]],$AF$36:$AF$54,$AG$36:$AG$54)</f>
        <v>#N/A</v>
      </c>
      <c r="AA2182" s="17" t="s">
        <v>13630</v>
      </c>
      <c r="AB2182" s="11" t="str">
        <f>_xlfn.XLOOKUP(Customer[[#This Row],[Customer ID]],[1]!Address[ID],[1]!Address[Subtype])</f>
        <v>PEDAS</v>
      </c>
      <c r="AC2182" s="18" t="str">
        <f>_xlfn.XLOOKUP(Customer[[#This Row],[Customer ID]],[1]!Address[ID],[1]!Address[Zone])</f>
        <v>CENTRAL</v>
      </c>
    </row>
    <row r="2183" spans="1:29" x14ac:dyDescent="0.3">
      <c r="A2183" s="10" t="s">
        <v>13631</v>
      </c>
      <c r="B2183" s="11" t="str">
        <f>_xlfn.XLOOKUP(Customer[[#This Row],[Customer ID]],[1]!Name[ID],[1]!Name[Description(1)])</f>
        <v>MUHAMMAD IRFAN</v>
      </c>
      <c r="C2183" s="11" t="str">
        <f>_xlfn.XLOOKUP(Customer[[#This Row],[Customer ID]],[1]!Name[ID],[1]!Name[Description(2)])</f>
        <v>(PRODUCTION KILANG AIR)</v>
      </c>
      <c r="D2183" s="11" t="str">
        <f>_xlfn.XLOOKUP(Customer[[#This Row],[Customer ID]],[1]!Address[ID],[1]!Address[PIC])</f>
        <v>IRFAN</v>
      </c>
      <c r="E2183" s="11" t="str">
        <f>_xlfn.XLOOKUP(Customer[[#This Row],[Customer ID]],[1]!Address[ID],[1]!Address[Full Address])</f>
        <v>86, TAMAN SRI INTAN, RANTAU71200 NEGERI SEMBILAN</v>
      </c>
      <c r="F2183" s="12" t="s">
        <v>13632</v>
      </c>
      <c r="G2183" s="12"/>
      <c r="H2183" s="12" t="s">
        <v>36</v>
      </c>
      <c r="I2183" s="12" t="b">
        <f>ISNUMBER(VALUE(LEFT(Customer[[#This Row],[Address Line 3 (30 char)]],1)))</f>
        <v>0</v>
      </c>
      <c r="J2183" s="12" t="s">
        <v>2004</v>
      </c>
      <c r="K2183" s="12">
        <v>71200</v>
      </c>
      <c r="L2183" s="12" t="s">
        <v>35</v>
      </c>
      <c r="M2183" s="13" t="e">
        <v>#N/A</v>
      </c>
      <c r="N2183" s="14" t="e">
        <v>#N/A</v>
      </c>
      <c r="O2183" s="14" t="e">
        <v>#N/A</v>
      </c>
      <c r="P2183" s="14" t="e">
        <v>#N/A</v>
      </c>
      <c r="Q2183" s="14" t="s">
        <v>13633</v>
      </c>
      <c r="R2183" s="15" t="s">
        <v>13634</v>
      </c>
      <c r="S2183" s="16" t="s">
        <v>89</v>
      </c>
      <c r="T2183" s="16" t="s">
        <v>89</v>
      </c>
      <c r="U2183" s="11" t="str">
        <f>_xlfn.XLOOKUP(Customer[[#This Row],[Customer ID]],[1]!Address[ID],[1]!Address[Phone No.(2)])</f>
        <v/>
      </c>
      <c r="V2183" s="11" t="str">
        <f>_xlfn.XLOOKUP(Customer[[#This Row],[Customer ID]],[1]!Address[ID],[1]!Address[Type])</f>
        <v>WALK IN</v>
      </c>
      <c r="W2183" s="11" t="str">
        <f>_xlfn.XLOOKUP(Customer[[#This Row],[Customer ID]],[1]!Address[ID],[1]!Address[CT])</f>
        <v/>
      </c>
      <c r="X2183" s="11"/>
      <c r="Y2183" s="17" t="s">
        <v>6284</v>
      </c>
      <c r="Z2183" s="17" t="e">
        <f>_xlfn.XLOOKUP(Customer[[#This Row],[NewType]],$AF$36:$AF$54,$AG$36:$AG$54)</f>
        <v>#N/A</v>
      </c>
      <c r="AA2183" s="17" t="s">
        <v>13635</v>
      </c>
      <c r="AB2183" s="11" t="str">
        <f>_xlfn.XLOOKUP(Customer[[#This Row],[Customer ID]],[1]!Address[ID],[1]!Address[Subtype])</f>
        <v>STAFF</v>
      </c>
      <c r="AC2183" s="18" t="str">
        <f>_xlfn.XLOOKUP(Customer[[#This Row],[Customer ID]],[1]!Address[ID],[1]!Address[Zone])</f>
        <v>SOUTH</v>
      </c>
    </row>
    <row r="2184" spans="1:29" x14ac:dyDescent="0.3">
      <c r="A2184" s="10" t="s">
        <v>13636</v>
      </c>
      <c r="B2184" s="11" t="str">
        <f>_xlfn.XLOOKUP(Customer[[#This Row],[Customer ID]],[1]!Name[ID],[1]!Name[Description(1)])</f>
        <v>FIRDAUS SAMSAINI</v>
      </c>
      <c r="C2184" s="11" t="str">
        <f>_xlfn.XLOOKUP(Customer[[#This Row],[Customer ID]],[1]!Name[ID],[1]!Name[Description(2)])</f>
        <v/>
      </c>
      <c r="D2184" s="11" t="str">
        <f>_xlfn.XLOOKUP(Customer[[#This Row],[Customer ID]],[1]!Address[ID],[1]!Address[PIC])</f>
        <v>FIRDAUS</v>
      </c>
      <c r="E2184" s="11" t="str">
        <f>_xlfn.XLOOKUP(Customer[[#This Row],[Customer ID]],[1]!Address[ID],[1]!Address[Full Address])</f>
        <v>LOT 2263, KG SUNGAI BERINGIN,AIR PANAS PEDAS, 71400 PEDAS,NEGERI SEMBILAN</v>
      </c>
      <c r="F2184" s="12" t="s">
        <v>13637</v>
      </c>
      <c r="G2184" s="12" t="s">
        <v>13638</v>
      </c>
      <c r="H2184" s="12"/>
      <c r="I2184" s="12" t="b">
        <f>ISNUMBER(VALUE(LEFT(Customer[[#This Row],[Address Line 3 (30 char)]],1)))</f>
        <v>0</v>
      </c>
      <c r="J2184" s="12" t="s">
        <v>203</v>
      </c>
      <c r="K2184" s="12">
        <v>71400</v>
      </c>
      <c r="L2184" s="12" t="s">
        <v>35</v>
      </c>
      <c r="M2184" s="13" t="e">
        <v>#N/A</v>
      </c>
      <c r="N2184" s="14" t="e">
        <v>#N/A</v>
      </c>
      <c r="O2184" s="14" t="e">
        <v>#N/A</v>
      </c>
      <c r="P2184" s="14" t="e">
        <v>#N/A</v>
      </c>
      <c r="Q2184" s="19" t="s">
        <v>13639</v>
      </c>
      <c r="R2184" s="15" t="s">
        <v>13640</v>
      </c>
      <c r="S2184" s="16" t="s">
        <v>89</v>
      </c>
      <c r="T2184" s="16" t="s">
        <v>89</v>
      </c>
      <c r="U2184" s="11" t="str">
        <f>_xlfn.XLOOKUP(Customer[[#This Row],[Customer ID]],[1]!Address[ID],[1]!Address[Phone No.(2)])</f>
        <v/>
      </c>
      <c r="V2184" s="11" t="str">
        <f>_xlfn.XLOOKUP(Customer[[#This Row],[Customer ID]],[1]!Address[ID],[1]!Address[Type])</f>
        <v>WALK IN</v>
      </c>
      <c r="W2184" s="11" t="str">
        <f>_xlfn.XLOOKUP(Customer[[#This Row],[Customer ID]],[1]!Address[ID],[1]!Address[CT])</f>
        <v/>
      </c>
      <c r="X2184" s="11"/>
      <c r="Y2184" s="17" t="s">
        <v>6284</v>
      </c>
      <c r="Z2184" s="17" t="e">
        <f>_xlfn.XLOOKUP(Customer[[#This Row],[NewType]],$AF$36:$AF$54,$AG$36:$AG$54)</f>
        <v>#N/A</v>
      </c>
      <c r="AA2184" s="17" t="s">
        <v>13641</v>
      </c>
      <c r="AB2184" s="11" t="str">
        <f>_xlfn.XLOOKUP(Customer[[#This Row],[Customer ID]],[1]!Address[ID],[1]!Address[Subtype])</f>
        <v>PEDAS</v>
      </c>
      <c r="AC2184" s="18" t="str">
        <f>_xlfn.XLOOKUP(Customer[[#This Row],[Customer ID]],[1]!Address[ID],[1]!Address[Zone])</f>
        <v>SOUTH</v>
      </c>
    </row>
    <row r="2185" spans="1:29" x14ac:dyDescent="0.3">
      <c r="A2185" s="10" t="s">
        <v>13642</v>
      </c>
      <c r="B2185" s="11" t="str">
        <f>_xlfn.XLOOKUP(Customer[[#This Row],[Customer ID]],[1]!Name[ID],[1]!Name[Description(1)])</f>
        <v>MUHAMMAD AZIZAN AZRI</v>
      </c>
      <c r="C2185" s="11" t="str">
        <f>_xlfn.XLOOKUP(Customer[[#This Row],[Customer ID]],[1]!Name[ID],[1]!Name[Description(2)])</f>
        <v>(MARKETING)</v>
      </c>
      <c r="D2185" s="11" t="str">
        <f>_xlfn.XLOOKUP(Customer[[#This Row],[Customer ID]],[1]!Address[ID],[1]!Address[PIC])</f>
        <v>AZIZAN</v>
      </c>
      <c r="E2185" s="11" t="str">
        <f>_xlfn.XLOOKUP(Customer[[#This Row],[Customer ID]],[1]!Address[ID],[1]!Address[Full Address])</f>
        <v>KAMPUNG MERBAU SEMBILAN 71400PEDAS, NEGERI SEMBILAN</v>
      </c>
      <c r="F2185" s="12" t="s">
        <v>13643</v>
      </c>
      <c r="G2185" s="12" t="s">
        <v>8914</v>
      </c>
      <c r="H2185" s="12" t="s">
        <v>36</v>
      </c>
      <c r="I2185" s="12" t="b">
        <f>ISNUMBER(VALUE(LEFT(Customer[[#This Row],[Address Line 3 (30 char)]],1)))</f>
        <v>0</v>
      </c>
      <c r="J2185" s="12" t="s">
        <v>203</v>
      </c>
      <c r="K2185" s="12">
        <v>71400</v>
      </c>
      <c r="L2185" s="12" t="s">
        <v>35</v>
      </c>
      <c r="M2185" s="13" t="e">
        <v>#N/A</v>
      </c>
      <c r="N2185" s="14" t="e">
        <v>#N/A</v>
      </c>
      <c r="O2185" s="14" t="e">
        <v>#N/A</v>
      </c>
      <c r="P2185" s="14" t="e">
        <v>#N/A</v>
      </c>
      <c r="Q2185" s="19" t="s">
        <v>13644</v>
      </c>
      <c r="R2185" s="15" t="s">
        <v>13645</v>
      </c>
      <c r="S2185" s="16" t="s">
        <v>89</v>
      </c>
      <c r="T2185" s="16" t="s">
        <v>89</v>
      </c>
      <c r="U2185" s="11" t="str">
        <f>_xlfn.XLOOKUP(Customer[[#This Row],[Customer ID]],[1]!Address[ID],[1]!Address[Phone No.(2)])</f>
        <v/>
      </c>
      <c r="V2185" s="11" t="str">
        <f>_xlfn.XLOOKUP(Customer[[#This Row],[Customer ID]],[1]!Address[ID],[1]!Address[Type])</f>
        <v>WALK IN</v>
      </c>
      <c r="W2185" s="11" t="str">
        <f>_xlfn.XLOOKUP(Customer[[#This Row],[Customer ID]],[1]!Address[ID],[1]!Address[CT])</f>
        <v/>
      </c>
      <c r="X2185" s="11"/>
      <c r="Y2185" s="17" t="s">
        <v>6284</v>
      </c>
      <c r="Z2185" s="17" t="e">
        <f>_xlfn.XLOOKUP(Customer[[#This Row],[NewType]],$AF$36:$AF$54,$AG$36:$AG$54)</f>
        <v>#N/A</v>
      </c>
      <c r="AA2185" s="17" t="s">
        <v>13646</v>
      </c>
      <c r="AB2185" s="11" t="str">
        <f>_xlfn.XLOOKUP(Customer[[#This Row],[Customer ID]],[1]!Address[ID],[1]!Address[Subtype])</f>
        <v>STAFF</v>
      </c>
      <c r="AC2185" s="18" t="str">
        <f>_xlfn.XLOOKUP(Customer[[#This Row],[Customer ID]],[1]!Address[ID],[1]!Address[Zone])</f>
        <v>SOUTH</v>
      </c>
    </row>
    <row r="2186" spans="1:29" x14ac:dyDescent="0.3">
      <c r="A2186" s="10" t="s">
        <v>13647</v>
      </c>
      <c r="B2186" s="11" t="str">
        <f>_xlfn.XLOOKUP(Customer[[#This Row],[Customer ID]],[1]!Name[ID],[1]!Name[Description(1)])</f>
        <v>JOHARI BIN JANTAN</v>
      </c>
      <c r="C2186" s="11" t="str">
        <f>_xlfn.XLOOKUP(Customer[[#This Row],[Customer ID]],[1]!Name[ID],[1]!Name[Description(2)])</f>
        <v>(BD)</v>
      </c>
      <c r="D2186" s="11" t="str">
        <f>_xlfn.XLOOKUP(Customer[[#This Row],[Customer ID]],[1]!Address[ID],[1]!Address[PIC])</f>
        <v>JOHARI</v>
      </c>
      <c r="E2186" s="11" t="str">
        <f>_xlfn.XLOOKUP(Customer[[#This Row],[Customer ID]],[1]!Address[ID],[1]!Address[Full Address])</f>
        <v>NO 26, TAMAN SRI NANDING 43100HULU LANGAT, SELANGOR</v>
      </c>
      <c r="F2186" s="12" t="s">
        <v>13648</v>
      </c>
      <c r="G2186" s="12" t="s">
        <v>13434</v>
      </c>
      <c r="H2186" s="12" t="s">
        <v>36</v>
      </c>
      <c r="I2186" s="12" t="b">
        <f>ISNUMBER(VALUE(LEFT(Customer[[#This Row],[Address Line 3 (30 char)]],1)))</f>
        <v>0</v>
      </c>
      <c r="J2186" s="12" t="s">
        <v>172</v>
      </c>
      <c r="K2186" s="12">
        <v>43100</v>
      </c>
      <c r="L2186" s="12" t="s">
        <v>35</v>
      </c>
      <c r="M2186" s="13" t="e">
        <v>#N/A</v>
      </c>
      <c r="N2186" s="14" t="e">
        <v>#N/A</v>
      </c>
      <c r="O2186" s="14" t="e">
        <v>#N/A</v>
      </c>
      <c r="P2186" s="14" t="e">
        <v>#N/A</v>
      </c>
      <c r="Q2186" s="19" t="s">
        <v>13436</v>
      </c>
      <c r="R2186" s="15" t="s">
        <v>13649</v>
      </c>
      <c r="S2186" s="16" t="s">
        <v>89</v>
      </c>
      <c r="T2186" s="16" t="s">
        <v>89</v>
      </c>
      <c r="U2186" s="11" t="str">
        <f>_xlfn.XLOOKUP(Customer[[#This Row],[Customer ID]],[1]!Address[ID],[1]!Address[Phone No.(2)])</f>
        <v/>
      </c>
      <c r="V2186" s="11" t="str">
        <f>_xlfn.XLOOKUP(Customer[[#This Row],[Customer ID]],[1]!Address[ID],[1]!Address[Type])</f>
        <v>WALK IN</v>
      </c>
      <c r="W2186" s="11" t="str">
        <f>_xlfn.XLOOKUP(Customer[[#This Row],[Customer ID]],[1]!Address[ID],[1]!Address[CT])</f>
        <v/>
      </c>
      <c r="X2186" s="11"/>
      <c r="Y2186" s="17" t="s">
        <v>6284</v>
      </c>
      <c r="Z2186" s="17" t="e">
        <f>_xlfn.XLOOKUP(Customer[[#This Row],[NewType]],$AF$36:$AF$54,$AG$36:$AG$54)</f>
        <v>#N/A</v>
      </c>
      <c r="AA2186" s="17" t="s">
        <v>13650</v>
      </c>
      <c r="AB2186" s="11" t="str">
        <f>_xlfn.XLOOKUP(Customer[[#This Row],[Customer ID]],[1]!Address[ID],[1]!Address[Subtype])</f>
        <v>STAFF</v>
      </c>
      <c r="AC2186" s="18" t="str">
        <f>_xlfn.XLOOKUP(Customer[[#This Row],[Customer ID]],[1]!Address[ID],[1]!Address[Zone])</f>
        <v>CENTRAL</v>
      </c>
    </row>
    <row r="2187" spans="1:29" x14ac:dyDescent="0.3">
      <c r="A2187" s="10" t="s">
        <v>13651</v>
      </c>
      <c r="B2187" s="11" t="str">
        <f>_xlfn.XLOOKUP(Customer[[#This Row],[Customer ID]],[1]!Name[ID],[1]!Name[Description(1)])</f>
        <v>MUHAMMAD HILMI BIN MOHD ARIF</v>
      </c>
      <c r="C2187" s="11" t="str">
        <f>_xlfn.XLOOKUP(Customer[[#This Row],[Customer ID]],[1]!Name[ID],[1]!Name[Description(2)])</f>
        <v>(PROJECT)</v>
      </c>
      <c r="D2187" s="11" t="str">
        <f>_xlfn.XLOOKUP(Customer[[#This Row],[Customer ID]],[1]!Address[ID],[1]!Address[PIC])</f>
        <v>HILMI</v>
      </c>
      <c r="E2187" s="11" t="str">
        <f>_xlfn.XLOOKUP(Customer[[#This Row],[Customer ID]],[1]!Address[ID],[1]!Address[Full Address])</f>
        <v>NO.15, KAMPUNG GAMIN HILIR 71550SERI MENANTI, NEGERI SEMBILAN</v>
      </c>
      <c r="F2187" s="12" t="s">
        <v>13392</v>
      </c>
      <c r="G2187" s="12" t="s">
        <v>13652</v>
      </c>
      <c r="H2187" s="12" t="s">
        <v>13653</v>
      </c>
      <c r="I2187" s="12" t="b">
        <f>ISNUMBER(VALUE(LEFT(Customer[[#This Row],[Address Line 3 (30 char)]],1)))</f>
        <v>0</v>
      </c>
      <c r="J2187" s="12" t="s">
        <v>203</v>
      </c>
      <c r="K2187" s="12">
        <v>71550</v>
      </c>
      <c r="L2187" s="12" t="s">
        <v>35</v>
      </c>
      <c r="M2187" s="13" t="e">
        <v>#N/A</v>
      </c>
      <c r="N2187" s="14" t="e">
        <v>#N/A</v>
      </c>
      <c r="O2187" s="14" t="e">
        <v>#N/A</v>
      </c>
      <c r="P2187" s="14" t="e">
        <v>#N/A</v>
      </c>
      <c r="Q2187" s="19" t="s">
        <v>13654</v>
      </c>
      <c r="R2187" s="15" t="s">
        <v>13655</v>
      </c>
      <c r="S2187" s="16" t="s">
        <v>89</v>
      </c>
      <c r="T2187" s="16" t="s">
        <v>89</v>
      </c>
      <c r="U2187" s="11" t="str">
        <f>_xlfn.XLOOKUP(Customer[[#This Row],[Customer ID]],[1]!Address[ID],[1]!Address[Phone No.(2)])</f>
        <v/>
      </c>
      <c r="V2187" s="11" t="str">
        <f>_xlfn.XLOOKUP(Customer[[#This Row],[Customer ID]],[1]!Address[ID],[1]!Address[Type])</f>
        <v>WALK IN</v>
      </c>
      <c r="W2187" s="11" t="str">
        <f>_xlfn.XLOOKUP(Customer[[#This Row],[Customer ID]],[1]!Address[ID],[1]!Address[CT])</f>
        <v/>
      </c>
      <c r="X2187" s="11"/>
      <c r="Y2187" s="17" t="s">
        <v>6284</v>
      </c>
      <c r="Z2187" s="17" t="e">
        <f>_xlfn.XLOOKUP(Customer[[#This Row],[NewType]],$AF$36:$AF$54,$AG$36:$AG$54)</f>
        <v>#N/A</v>
      </c>
      <c r="AA2187" s="17" t="s">
        <v>13656</v>
      </c>
      <c r="AB2187" s="11" t="str">
        <f>_xlfn.XLOOKUP(Customer[[#This Row],[Customer ID]],[1]!Address[ID],[1]!Address[Subtype])</f>
        <v>STAFF</v>
      </c>
      <c r="AC2187" s="18" t="str">
        <f>_xlfn.XLOOKUP(Customer[[#This Row],[Customer ID]],[1]!Address[ID],[1]!Address[Zone])</f>
        <v>SOUTH</v>
      </c>
    </row>
    <row r="2188" spans="1:29" x14ac:dyDescent="0.3">
      <c r="A2188" s="10" t="s">
        <v>13657</v>
      </c>
      <c r="B2188" s="11" t="str">
        <f>_xlfn.XLOOKUP(Customer[[#This Row],[Customer ID]],[1]!Name[ID],[1]!Name[Description(1)])</f>
        <v>RAMLI BIN AHMAD</v>
      </c>
      <c r="C2188" s="11" t="str">
        <f>_xlfn.XLOOKUP(Customer[[#This Row],[Customer ID]],[1]!Name[ID],[1]!Name[Description(2)])</f>
        <v/>
      </c>
      <c r="D2188" s="11" t="str">
        <f>_xlfn.XLOOKUP(Customer[[#This Row],[Customer ID]],[1]!Address[ID],[1]!Address[PIC])</f>
        <v>RAMLI</v>
      </c>
      <c r="E2188" s="11" t="str">
        <f>_xlfn.XLOOKUP(Customer[[#This Row],[Customer ID]],[1]!Address[ID],[1]!Address[Full Address])</f>
        <v>TAMAN SRI REMBAU 71300 REMBAU</v>
      </c>
      <c r="F2188" s="12" t="s">
        <v>13658</v>
      </c>
      <c r="G2188" s="12" t="s">
        <v>36</v>
      </c>
      <c r="H2188" s="12" t="s">
        <v>36</v>
      </c>
      <c r="I2188" s="12" t="b">
        <f>ISNUMBER(VALUE(LEFT(Customer[[#This Row],[Address Line 3 (30 char)]],1)))</f>
        <v>0</v>
      </c>
      <c r="J2188" s="12" t="s">
        <v>2004</v>
      </c>
      <c r="K2188" s="12">
        <v>71300</v>
      </c>
      <c r="L2188" s="12" t="s">
        <v>35</v>
      </c>
      <c r="M2188" s="13" t="e">
        <v>#N/A</v>
      </c>
      <c r="N2188" s="14" t="e">
        <v>#N/A</v>
      </c>
      <c r="O2188" s="14" t="e">
        <v>#N/A</v>
      </c>
      <c r="P2188" s="14" t="e">
        <v>#N/A</v>
      </c>
      <c r="Q2188" s="19" t="s">
        <v>13659</v>
      </c>
      <c r="R2188" s="15" t="s">
        <v>13660</v>
      </c>
      <c r="S2188" s="16" t="s">
        <v>89</v>
      </c>
      <c r="T2188" s="16" t="s">
        <v>89</v>
      </c>
      <c r="U2188" s="11" t="str">
        <f>_xlfn.XLOOKUP(Customer[[#This Row],[Customer ID]],[1]!Address[ID],[1]!Address[Phone No.(2)])</f>
        <v/>
      </c>
      <c r="V2188" s="11" t="str">
        <f>_xlfn.XLOOKUP(Customer[[#This Row],[Customer ID]],[1]!Address[ID],[1]!Address[Type])</f>
        <v>WALK IN</v>
      </c>
      <c r="W2188" s="11" t="str">
        <f>_xlfn.XLOOKUP(Customer[[#This Row],[Customer ID]],[1]!Address[ID],[1]!Address[CT])</f>
        <v/>
      </c>
      <c r="X2188" s="11"/>
      <c r="Y2188" s="17" t="s">
        <v>6284</v>
      </c>
      <c r="Z2188" s="17" t="e">
        <f>_xlfn.XLOOKUP(Customer[[#This Row],[NewType]],$AF$36:$AF$54,$AG$36:$AG$54)</f>
        <v>#N/A</v>
      </c>
      <c r="AA2188" s="17" t="s">
        <v>13661</v>
      </c>
      <c r="AB2188" s="11" t="str">
        <f>_xlfn.XLOOKUP(Customer[[#This Row],[Customer ID]],[1]!Address[ID],[1]!Address[Subtype])</f>
        <v>PEDAS</v>
      </c>
      <c r="AC2188" s="18" t="str">
        <f>_xlfn.XLOOKUP(Customer[[#This Row],[Customer ID]],[1]!Address[ID],[1]!Address[Zone])</f>
        <v>SOUTH</v>
      </c>
    </row>
    <row r="2189" spans="1:29" x14ac:dyDescent="0.3">
      <c r="A2189" s="10" t="s">
        <v>13662</v>
      </c>
      <c r="B2189" s="11" t="str">
        <f>_xlfn.XLOOKUP(Customer[[#This Row],[Customer ID]],[1]!Name[ID],[1]!Name[Description(1)])</f>
        <v>ZAINAL ABIDIN BIN HJ ABU</v>
      </c>
      <c r="C2189" s="11" t="str">
        <f>_xlfn.XLOOKUP(Customer[[#This Row],[Customer ID]],[1]!Name[ID],[1]!Name[Description(2)])</f>
        <v/>
      </c>
      <c r="D2189" s="11" t="str">
        <f>_xlfn.XLOOKUP(Customer[[#This Row],[Customer ID]],[1]!Address[ID],[1]!Address[PIC])</f>
        <v>ZAINAL ABIDIN</v>
      </c>
      <c r="E2189" s="11" t="str">
        <f>_xlfn.XLOOKUP(Customer[[#This Row],[Customer ID]],[1]!Address[ID],[1]!Address[Full Address])</f>
        <v>FZI FROZEN &amp; MART, TMN GUNUNG MAS,TAMPIN, 73000 NEGERI SEMBILAN</v>
      </c>
      <c r="F2189" s="12" t="s">
        <v>13663</v>
      </c>
      <c r="G2189" s="12" t="s">
        <v>13664</v>
      </c>
      <c r="H2189" s="12" t="s">
        <v>1698</v>
      </c>
      <c r="I2189" s="12" t="b">
        <f>ISNUMBER(VALUE(LEFT(Customer[[#This Row],[Address Line 3 (30 char)]],1)))</f>
        <v>0</v>
      </c>
      <c r="J2189" s="12" t="s">
        <v>203</v>
      </c>
      <c r="K2189" s="12">
        <v>73000</v>
      </c>
      <c r="L2189" s="12" t="s">
        <v>35</v>
      </c>
      <c r="M2189" s="13" t="e">
        <v>#N/A</v>
      </c>
      <c r="N2189" s="14" t="e">
        <v>#N/A</v>
      </c>
      <c r="O2189" s="14" t="e">
        <v>#N/A</v>
      </c>
      <c r="P2189" s="14" t="e">
        <v>#N/A</v>
      </c>
      <c r="Q2189" s="19" t="s">
        <v>13665</v>
      </c>
      <c r="R2189" s="15" t="s">
        <v>13666</v>
      </c>
      <c r="S2189" s="16" t="s">
        <v>89</v>
      </c>
      <c r="T2189" s="16" t="s">
        <v>89</v>
      </c>
      <c r="U2189" s="11" t="str">
        <f>_xlfn.XLOOKUP(Customer[[#This Row],[Customer ID]],[1]!Address[ID],[1]!Address[Phone No.(2)])</f>
        <v/>
      </c>
      <c r="V2189" s="11" t="str">
        <f>_xlfn.XLOOKUP(Customer[[#This Row],[Customer ID]],[1]!Address[ID],[1]!Address[Type])</f>
        <v>WALK IN</v>
      </c>
      <c r="W2189" s="11" t="str">
        <f>_xlfn.XLOOKUP(Customer[[#This Row],[Customer ID]],[1]!Address[ID],[1]!Address[CT])</f>
        <v/>
      </c>
      <c r="X2189" s="11"/>
      <c r="Y2189" s="17" t="s">
        <v>6284</v>
      </c>
      <c r="Z2189" s="17" t="e">
        <f>_xlfn.XLOOKUP(Customer[[#This Row],[NewType]],$AF$36:$AF$54,$AG$36:$AG$54)</f>
        <v>#N/A</v>
      </c>
      <c r="AA2189" s="17" t="s">
        <v>13667</v>
      </c>
      <c r="AB2189" s="11" t="str">
        <f>_xlfn.XLOOKUP(Customer[[#This Row],[Customer ID]],[1]!Address[ID],[1]!Address[Subtype])</f>
        <v>PEDAS</v>
      </c>
      <c r="AC2189" s="18" t="str">
        <f>_xlfn.XLOOKUP(Customer[[#This Row],[Customer ID]],[1]!Address[ID],[1]!Address[Zone])</f>
        <v>SOUTH</v>
      </c>
    </row>
    <row r="2190" spans="1:29" x14ac:dyDescent="0.3">
      <c r="A2190" s="10" t="s">
        <v>13668</v>
      </c>
      <c r="B2190" s="11" t="str">
        <f>_xlfn.XLOOKUP(Customer[[#This Row],[Customer ID]],[1]!Name[ID],[1]!Name[Description(1)])</f>
        <v>NOR LIYANA BINTI AZEMAN</v>
      </c>
      <c r="C2190" s="11" t="str">
        <f>_xlfn.XLOOKUP(Customer[[#This Row],[Customer ID]],[1]!Name[ID],[1]!Name[Description(2)])</f>
        <v>(FINANCE)</v>
      </c>
      <c r="D2190" s="11" t="str">
        <f>_xlfn.XLOOKUP(Customer[[#This Row],[Customer ID]],[1]!Address[ID],[1]!Address[PIC])</f>
        <v/>
      </c>
      <c r="E2190" s="11" t="str">
        <f>_xlfn.XLOOKUP(Customer[[#This Row],[Customer ID]],[1]!Address[ID],[1]!Address[Full Address])</f>
        <v>TAMAN FATIMAH,72000KUALA PILAH, NEGERI SEMBILAN</v>
      </c>
      <c r="F2190" s="12" t="s">
        <v>13669</v>
      </c>
      <c r="G2190" s="12" t="s">
        <v>4565</v>
      </c>
      <c r="H2190" s="12" t="s">
        <v>36</v>
      </c>
      <c r="I2190" s="12" t="b">
        <f>ISNUMBER(VALUE(LEFT(Customer[[#This Row],[Address Line 3 (30 char)]],1)))</f>
        <v>0</v>
      </c>
      <c r="J2190" s="12" t="s">
        <v>203</v>
      </c>
      <c r="K2190" s="12">
        <v>72000</v>
      </c>
      <c r="L2190" s="12" t="s">
        <v>35</v>
      </c>
      <c r="M2190" s="13" t="e">
        <v>#N/A</v>
      </c>
      <c r="N2190" s="14" t="e">
        <v>#N/A</v>
      </c>
      <c r="O2190" s="14" t="e">
        <v>#N/A</v>
      </c>
      <c r="P2190" s="14" t="e">
        <v>#N/A</v>
      </c>
      <c r="Q2190" s="19" t="s">
        <v>13670</v>
      </c>
      <c r="R2190" s="15" t="s">
        <v>13671</v>
      </c>
      <c r="S2190" s="16" t="s">
        <v>89</v>
      </c>
      <c r="T2190" s="16" t="s">
        <v>89</v>
      </c>
      <c r="U2190" s="11" t="str">
        <f>_xlfn.XLOOKUP(Customer[[#This Row],[Customer ID]],[1]!Address[ID],[1]!Address[Phone No.(2)])</f>
        <v/>
      </c>
      <c r="V2190" s="11" t="str">
        <f>_xlfn.XLOOKUP(Customer[[#This Row],[Customer ID]],[1]!Address[ID],[1]!Address[Type])</f>
        <v>WALK IN</v>
      </c>
      <c r="W2190" s="11" t="str">
        <f>_xlfn.XLOOKUP(Customer[[#This Row],[Customer ID]],[1]!Address[ID],[1]!Address[CT])</f>
        <v/>
      </c>
      <c r="X2190" s="11"/>
      <c r="Y2190" s="17" t="s">
        <v>6284</v>
      </c>
      <c r="Z2190" s="17" t="e">
        <f>_xlfn.XLOOKUP(Customer[[#This Row],[NewType]],$AF$36:$AF$54,$AG$36:$AG$54)</f>
        <v>#N/A</v>
      </c>
      <c r="AA2190" s="17" t="s">
        <v>13672</v>
      </c>
      <c r="AB2190" s="11" t="str">
        <f>_xlfn.XLOOKUP(Customer[[#This Row],[Customer ID]],[1]!Address[ID],[1]!Address[Subtype])</f>
        <v>STAFF</v>
      </c>
      <c r="AC2190" s="18" t="str">
        <f>_xlfn.XLOOKUP(Customer[[#This Row],[Customer ID]],[1]!Address[ID],[1]!Address[Zone])</f>
        <v>SOUTH</v>
      </c>
    </row>
    <row r="2191" spans="1:29" x14ac:dyDescent="0.3">
      <c r="A2191" s="10" t="s">
        <v>13673</v>
      </c>
      <c r="B2191" s="11" t="str">
        <f>_xlfn.XLOOKUP(Customer[[#This Row],[Customer ID]],[1]!Name[ID],[1]!Name[Description(1)])</f>
        <v>NUR FARZANA BINTI MAZLAN</v>
      </c>
      <c r="C2191" s="11" t="str">
        <f>_xlfn.XLOOKUP(Customer[[#This Row],[Customer ID]],[1]!Name[ID],[1]!Name[Description(2)])</f>
        <v>(BD)</v>
      </c>
      <c r="D2191" s="11" t="str">
        <f>_xlfn.XLOOKUP(Customer[[#This Row],[Customer ID]],[1]!Address[ID],[1]!Address[PIC])</f>
        <v>FARZANA</v>
      </c>
      <c r="E2191" s="11" t="str">
        <f>_xlfn.XLOOKUP(Customer[[#This Row],[Customer ID]],[1]!Address[ID],[1]!Address[Full Address])</f>
        <v>NO 390 JALAN 9, TAMAN WIDURI INDAH,70450 SEREMBAN, NEGERI SEMBILAN</v>
      </c>
      <c r="F2191" s="12" t="s">
        <v>13674</v>
      </c>
      <c r="G2191" s="12" t="s">
        <v>13675</v>
      </c>
      <c r="H2191" s="12" t="s">
        <v>2411</v>
      </c>
      <c r="I2191" s="12" t="b">
        <f>ISNUMBER(VALUE(LEFT(Customer[[#This Row],[Address Line 3 (30 char)]],1)))</f>
        <v>0</v>
      </c>
      <c r="J2191" s="12" t="s">
        <v>203</v>
      </c>
      <c r="K2191" s="12">
        <v>70450</v>
      </c>
      <c r="L2191" s="12" t="s">
        <v>35</v>
      </c>
      <c r="M2191" s="13" t="e">
        <v>#N/A</v>
      </c>
      <c r="N2191" s="14" t="e">
        <v>#N/A</v>
      </c>
      <c r="O2191" s="14" t="e">
        <v>#N/A</v>
      </c>
      <c r="P2191" s="14" t="e">
        <v>#N/A</v>
      </c>
      <c r="Q2191" s="19" t="s">
        <v>13676</v>
      </c>
      <c r="R2191" s="15" t="s">
        <v>13677</v>
      </c>
      <c r="S2191" s="16" t="s">
        <v>89</v>
      </c>
      <c r="T2191" s="16" t="s">
        <v>89</v>
      </c>
      <c r="U2191" s="11" t="str">
        <f>_xlfn.XLOOKUP(Customer[[#This Row],[Customer ID]],[1]!Address[ID],[1]!Address[Phone No.(2)])</f>
        <v/>
      </c>
      <c r="V2191" s="11" t="str">
        <f>_xlfn.XLOOKUP(Customer[[#This Row],[Customer ID]],[1]!Address[ID],[1]!Address[Type])</f>
        <v>WALK IN</v>
      </c>
      <c r="W2191" s="11" t="str">
        <f>_xlfn.XLOOKUP(Customer[[#This Row],[Customer ID]],[1]!Address[ID],[1]!Address[CT])</f>
        <v/>
      </c>
      <c r="X2191" s="11"/>
      <c r="Y2191" s="17" t="s">
        <v>6284</v>
      </c>
      <c r="Z2191" s="17" t="e">
        <f>_xlfn.XLOOKUP(Customer[[#This Row],[NewType]],$AF$36:$AF$54,$AG$36:$AG$54)</f>
        <v>#N/A</v>
      </c>
      <c r="AA2191" s="17" t="s">
        <v>13678</v>
      </c>
      <c r="AB2191" s="11" t="str">
        <f>_xlfn.XLOOKUP(Customer[[#This Row],[Customer ID]],[1]!Address[ID],[1]!Address[Subtype])</f>
        <v>STAFF</v>
      </c>
      <c r="AC2191" s="18" t="str">
        <f>_xlfn.XLOOKUP(Customer[[#This Row],[Customer ID]],[1]!Address[ID],[1]!Address[Zone])</f>
        <v>SOUTH</v>
      </c>
    </row>
    <row r="2192" spans="1:29" x14ac:dyDescent="0.3">
      <c r="A2192" s="10" t="s">
        <v>13679</v>
      </c>
      <c r="B2192" s="11" t="str">
        <f>_xlfn.XLOOKUP(Customer[[#This Row],[Customer ID]],[1]!Name[ID],[1]!Name[Description(1)])</f>
        <v>MOHAMMAD KHAIRUDDIN BIN KHALIB</v>
      </c>
      <c r="C2192" s="11" t="str">
        <f>_xlfn.XLOOKUP(Customer[[#This Row],[Customer ID]],[1]!Name[ID],[1]!Name[Description(2)])</f>
        <v>(PRODUCTION KILANG AIR)</v>
      </c>
      <c r="D2192" s="11" t="str">
        <f>_xlfn.XLOOKUP(Customer[[#This Row],[Customer ID]],[1]!Address[ID],[1]!Address[PIC])</f>
        <v>KHAIRUDDIN</v>
      </c>
      <c r="E2192" s="11" t="str">
        <f>_xlfn.XLOOKUP(Customer[[#This Row],[Customer ID]],[1]!Address[ID],[1]!Address[Full Address])</f>
        <v>NO 26, JALAN RU 2, TAMAN REMBAUUTAMA 71300 REMBAU, NEGERI SEMBILAN</v>
      </c>
      <c r="F2192" s="12" t="s">
        <v>13680</v>
      </c>
      <c r="G2192" s="12" t="s">
        <v>6466</v>
      </c>
      <c r="H2192" s="12" t="s">
        <v>7985</v>
      </c>
      <c r="I2192" s="12" t="b">
        <f>ISNUMBER(VALUE(LEFT(Customer[[#This Row],[Address Line 3 (30 char)]],1)))</f>
        <v>0</v>
      </c>
      <c r="J2192" s="12" t="s">
        <v>203</v>
      </c>
      <c r="K2192" s="12">
        <v>71300</v>
      </c>
      <c r="L2192" s="12" t="s">
        <v>35</v>
      </c>
      <c r="M2192" s="13" t="e">
        <v>#N/A</v>
      </c>
      <c r="N2192" s="14" t="e">
        <v>#N/A</v>
      </c>
      <c r="O2192" s="14" t="e">
        <v>#N/A</v>
      </c>
      <c r="P2192" s="14" t="e">
        <v>#N/A</v>
      </c>
      <c r="Q2192" s="19" t="s">
        <v>13681</v>
      </c>
      <c r="R2192" s="15" t="s">
        <v>13682</v>
      </c>
      <c r="S2192" s="16" t="s">
        <v>89</v>
      </c>
      <c r="T2192" s="16" t="s">
        <v>89</v>
      </c>
      <c r="U2192" s="11" t="str">
        <f>_xlfn.XLOOKUP(Customer[[#This Row],[Customer ID]],[1]!Address[ID],[1]!Address[Phone No.(2)])</f>
        <v/>
      </c>
      <c r="V2192" s="11" t="str">
        <f>_xlfn.XLOOKUP(Customer[[#This Row],[Customer ID]],[1]!Address[ID],[1]!Address[Type])</f>
        <v>WALK IN</v>
      </c>
      <c r="W2192" s="11" t="str">
        <f>_xlfn.XLOOKUP(Customer[[#This Row],[Customer ID]],[1]!Address[ID],[1]!Address[CT])</f>
        <v/>
      </c>
      <c r="X2192" s="11"/>
      <c r="Y2192" s="17" t="s">
        <v>6284</v>
      </c>
      <c r="Z2192" s="17" t="e">
        <f>_xlfn.XLOOKUP(Customer[[#This Row],[NewType]],$AF$36:$AF$54,$AG$36:$AG$54)</f>
        <v>#N/A</v>
      </c>
      <c r="AA2192" s="17" t="s">
        <v>13683</v>
      </c>
      <c r="AB2192" s="11" t="str">
        <f>_xlfn.XLOOKUP(Customer[[#This Row],[Customer ID]],[1]!Address[ID],[1]!Address[Subtype])</f>
        <v>STAFF</v>
      </c>
      <c r="AC2192" s="18" t="str">
        <f>_xlfn.XLOOKUP(Customer[[#This Row],[Customer ID]],[1]!Address[ID],[1]!Address[Zone])</f>
        <v>SOUTH</v>
      </c>
    </row>
    <row r="2193" spans="1:29" x14ac:dyDescent="0.3">
      <c r="A2193" s="10" t="s">
        <v>13684</v>
      </c>
      <c r="B2193" s="11" t="str">
        <f>_xlfn.XLOOKUP(Customer[[#This Row],[Customer ID]],[1]!Name[ID],[1]!Name[Description(1)])</f>
        <v>TOK SALAI EMPIRE</v>
      </c>
      <c r="C2193" s="11" t="str">
        <f>_xlfn.XLOOKUP(Customer[[#This Row],[Customer ID]],[1]!Name[ID],[1]!Name[Description(2)])</f>
        <v/>
      </c>
      <c r="D2193" s="11" t="str">
        <f>_xlfn.XLOOKUP(Customer[[#This Row],[Customer ID]],[1]!Address[ID],[1]!Address[PIC])</f>
        <v/>
      </c>
      <c r="E2193" s="11" t="str">
        <f>_xlfn.XLOOKUP(Customer[[#This Row],[Customer ID]],[1]!Address[ID],[1]!Address[Full Address])</f>
        <v>NO 66, FELDA LUI MUDA72120 BANDAR SERI JEMPOLNEGERI SEMBILAN</v>
      </c>
      <c r="F2193" s="12" t="s">
        <v>13685</v>
      </c>
      <c r="G2193" s="12" t="s">
        <v>13686</v>
      </c>
      <c r="H2193" s="12"/>
      <c r="I2193" s="12" t="b">
        <f>ISNUMBER(VALUE(LEFT(Customer[[#This Row],[Address Line 3 (30 char)]],1)))</f>
        <v>0</v>
      </c>
      <c r="J2193" s="12" t="s">
        <v>203</v>
      </c>
      <c r="K2193" s="12">
        <v>72120</v>
      </c>
      <c r="L2193" s="12" t="s">
        <v>35</v>
      </c>
      <c r="M2193" s="13" t="e">
        <v>#N/A</v>
      </c>
      <c r="N2193" s="14" t="e">
        <v>#N/A</v>
      </c>
      <c r="O2193" s="14" t="e">
        <v>#N/A</v>
      </c>
      <c r="P2193" s="14" t="e">
        <v>#N/A</v>
      </c>
      <c r="Q2193" s="14" t="e">
        <v>#N/A</v>
      </c>
      <c r="R2193" s="15" t="s">
        <v>13687</v>
      </c>
      <c r="S2193" s="15" t="s">
        <v>5934</v>
      </c>
      <c r="T2193" s="16"/>
      <c r="U2193" s="11" t="str">
        <f>_xlfn.XLOOKUP(Customer[[#This Row],[Customer ID]],[1]!Address[ID],[1]!Address[Phone No.(2)])</f>
        <v/>
      </c>
      <c r="V2193" s="11" t="str">
        <f>_xlfn.XLOOKUP(Customer[[#This Row],[Customer ID]],[1]!Address[ID],[1]!Address[Type])</f>
        <v>HOCA</v>
      </c>
      <c r="W2193" s="11" t="str">
        <f>_xlfn.XLOOKUP(Customer[[#This Row],[Customer ID]],[1]!Address[ID],[1]!Address[CT])</f>
        <v>CASH</v>
      </c>
      <c r="X2193" s="11"/>
      <c r="Y2193" s="17" t="s">
        <v>6028</v>
      </c>
      <c r="Z2193" s="17" t="e">
        <f>_xlfn.XLOOKUP(Customer[[#This Row],[NewType]],$AF$36:$AF$54,$AG$36:$AG$54)</f>
        <v>#N/A</v>
      </c>
      <c r="AA2193" s="17" t="s">
        <v>13688</v>
      </c>
      <c r="AB2193" s="11" t="str">
        <f>_xlfn.XLOOKUP(Customer[[#This Row],[Customer ID]],[1]!Address[ID],[1]!Address[Subtype])</f>
        <v>TOK SALAI</v>
      </c>
      <c r="AC2193" s="18" t="str">
        <f>_xlfn.XLOOKUP(Customer[[#This Row],[Customer ID]],[1]!Address[ID],[1]!Address[Zone])</f>
        <v>SOUTH</v>
      </c>
    </row>
    <row r="2194" spans="1:29" x14ac:dyDescent="0.3">
      <c r="A2194" s="10" t="s">
        <v>13689</v>
      </c>
      <c r="B2194" s="11" t="str">
        <f>_xlfn.XLOOKUP(Customer[[#This Row],[Customer ID]],[1]!Name[ID],[1]!Name[Description(1)])</f>
        <v>MUHAMMAD FAIZ HARITH BIN MUHAMMAD</v>
      </c>
      <c r="C2194" s="11" t="str">
        <f>_xlfn.XLOOKUP(Customer[[#This Row],[Customer ID]],[1]!Name[ID],[1]!Name[Description(2)])</f>
        <v>(KIALNG BOTOL)</v>
      </c>
      <c r="D2194" s="11" t="str">
        <f>_xlfn.XLOOKUP(Customer[[#This Row],[Customer ID]],[1]!Address[ID],[1]!Address[PIC])</f>
        <v>FAIZ HARITH</v>
      </c>
      <c r="E2194" s="11" t="str">
        <f>_xlfn.XLOOKUP(Customer[[#This Row],[Customer ID]],[1]!Address[ID],[1]!Address[Full Address])</f>
        <v>LOT 895 , KAMPUNG SELIAU HILIR,71200 , RANTAU , SEREMBAN,NEGERI SEMBILAN</v>
      </c>
      <c r="F2194" s="12" t="s">
        <v>13690</v>
      </c>
      <c r="G2194" s="12" t="s">
        <v>13691</v>
      </c>
      <c r="H2194" s="12" t="s">
        <v>2411</v>
      </c>
      <c r="I2194" s="12" t="b">
        <f>ISNUMBER(VALUE(LEFT(Customer[[#This Row],[Address Line 3 (30 char)]],1)))</f>
        <v>0</v>
      </c>
      <c r="J2194" s="12" t="s">
        <v>203</v>
      </c>
      <c r="K2194" s="12">
        <v>71200</v>
      </c>
      <c r="L2194" s="12" t="s">
        <v>35</v>
      </c>
      <c r="M2194" s="13" t="e">
        <v>#N/A</v>
      </c>
      <c r="N2194" s="14" t="e">
        <v>#N/A</v>
      </c>
      <c r="O2194" s="14" t="e">
        <v>#N/A</v>
      </c>
      <c r="P2194" s="14" t="e">
        <v>#N/A</v>
      </c>
      <c r="Q2194" s="19" t="s">
        <v>13692</v>
      </c>
      <c r="R2194" s="15" t="s">
        <v>13693</v>
      </c>
      <c r="S2194" s="16" t="s">
        <v>89</v>
      </c>
      <c r="T2194" s="16" t="s">
        <v>89</v>
      </c>
      <c r="U2194" s="11" t="str">
        <f>_xlfn.XLOOKUP(Customer[[#This Row],[Customer ID]],[1]!Address[ID],[1]!Address[Phone No.(2)])</f>
        <v/>
      </c>
      <c r="V2194" s="11" t="str">
        <f>_xlfn.XLOOKUP(Customer[[#This Row],[Customer ID]],[1]!Address[ID],[1]!Address[Type])</f>
        <v>WALK IN</v>
      </c>
      <c r="W2194" s="11" t="str">
        <f>_xlfn.XLOOKUP(Customer[[#This Row],[Customer ID]],[1]!Address[ID],[1]!Address[CT])</f>
        <v/>
      </c>
      <c r="X2194" s="11"/>
      <c r="Y2194" s="17" t="s">
        <v>6284</v>
      </c>
      <c r="Z2194" s="17" t="e">
        <f>_xlfn.XLOOKUP(Customer[[#This Row],[NewType]],$AF$36:$AF$54,$AG$36:$AG$54)</f>
        <v>#N/A</v>
      </c>
      <c r="AA2194" s="17" t="s">
        <v>13694</v>
      </c>
      <c r="AB2194" s="11" t="str">
        <f>_xlfn.XLOOKUP(Customer[[#This Row],[Customer ID]],[1]!Address[ID],[1]!Address[Subtype])</f>
        <v>STAFF</v>
      </c>
      <c r="AC2194" s="18" t="str">
        <f>_xlfn.XLOOKUP(Customer[[#This Row],[Customer ID]],[1]!Address[ID],[1]!Address[Zone])</f>
        <v>SOUTH</v>
      </c>
    </row>
    <row r="2195" spans="1:29" x14ac:dyDescent="0.3">
      <c r="A2195" s="10" t="s">
        <v>13695</v>
      </c>
      <c r="B2195" s="11" t="str">
        <f>_xlfn.XLOOKUP(Customer[[#This Row],[Customer ID]],[1]!Name[ID],[1]!Name[Description(1)])</f>
        <v>TERANG TT SDN BHD</v>
      </c>
      <c r="C2195" s="11" t="str">
        <f>_xlfn.XLOOKUP(Customer[[#This Row],[Customer ID]],[1]!Name[ID],[1]!Name[Description(2)])</f>
        <v/>
      </c>
      <c r="D2195" s="11" t="str">
        <f>_xlfn.XLOOKUP(Customer[[#This Row],[Customer ID]],[1]!Address[ID],[1]!Address[PIC])</f>
        <v/>
      </c>
      <c r="E2195" s="11" t="str">
        <f>_xlfn.XLOOKUP(Customer[[#This Row],[Customer ID]],[1]!Address[ID],[1]!Address[Full Address])</f>
        <v>PT 4195 (BLOK H)KAWASAN PERINDUSTRIAN PENGKALAN CHEPA16100 KOTA BHARUKELANTAN</v>
      </c>
      <c r="F2195" s="12" t="s">
        <v>13696</v>
      </c>
      <c r="G2195" s="12" t="s">
        <v>13697</v>
      </c>
      <c r="H2195" s="12" t="s">
        <v>2824</v>
      </c>
      <c r="I2195" s="12" t="b">
        <f>ISNUMBER(VALUE(LEFT(Customer[[#This Row],[Address Line 3 (30 char)]],1)))</f>
        <v>0</v>
      </c>
      <c r="J2195" s="12" t="s">
        <v>1007</v>
      </c>
      <c r="K2195" s="12">
        <v>16100</v>
      </c>
      <c r="L2195" s="12" t="s">
        <v>35</v>
      </c>
      <c r="M2195" s="13" t="e">
        <v>#N/A</v>
      </c>
      <c r="N2195" s="14" t="e">
        <v>#N/A</v>
      </c>
      <c r="O2195" s="14" t="e">
        <v>#N/A</v>
      </c>
      <c r="P2195" s="14" t="e">
        <v>#N/A</v>
      </c>
      <c r="Q2195" s="19" t="s">
        <v>13698</v>
      </c>
      <c r="R2195" s="15" t="s">
        <v>13699</v>
      </c>
      <c r="S2195" s="15" t="s">
        <v>5934</v>
      </c>
      <c r="T2195" s="16" t="s">
        <v>3477</v>
      </c>
      <c r="U2195" s="11" t="str">
        <f>_xlfn.XLOOKUP(Customer[[#This Row],[Customer ID]],[1]!Address[ID],[1]!Address[Phone No.(2)])</f>
        <v/>
      </c>
      <c r="V2195" s="11" t="str">
        <f>_xlfn.XLOOKUP(Customer[[#This Row],[Customer ID]],[1]!Address[ID],[1]!Address[Type])</f>
        <v>CM</v>
      </c>
      <c r="W2195" s="11" t="str">
        <f>_xlfn.XLOOKUP(Customer[[#This Row],[Customer ID]],[1]!Address[ID],[1]!Address[CT])</f>
        <v>CASH</v>
      </c>
      <c r="X2195" s="11"/>
      <c r="Y2195" s="17" t="s">
        <v>5918</v>
      </c>
      <c r="Z2195" s="17" t="e">
        <f>_xlfn.XLOOKUP(Customer[[#This Row],[NewType]],$AF$36:$AF$54,$AG$36:$AG$54)</f>
        <v>#N/A</v>
      </c>
      <c r="AA2195" s="17" t="s">
        <v>13700</v>
      </c>
      <c r="AB2195" s="11" t="str">
        <f>_xlfn.XLOOKUP(Customer[[#This Row],[Customer ID]],[1]!Address[ID],[1]!Address[Subtype])</f>
        <v>TERANG TT</v>
      </c>
      <c r="AC2195" s="18" t="str">
        <f>_xlfn.XLOOKUP(Customer[[#This Row],[Customer ID]],[1]!Address[ID],[1]!Address[Zone])</f>
        <v>EAST COAST</v>
      </c>
    </row>
    <row r="2196" spans="1:29" x14ac:dyDescent="0.3">
      <c r="A2196" s="10" t="s">
        <v>13701</v>
      </c>
      <c r="B2196" s="11" t="str">
        <f>_xlfn.XLOOKUP(Customer[[#This Row],[Customer ID]],[1]!Name[ID],[1]!Name[Description(1)])</f>
        <v>MOHAMMAD SHUKRI BIN MOHAMMAD SUKOR</v>
      </c>
      <c r="C2196" s="11" t="str">
        <f>_xlfn.XLOOKUP(Customer[[#This Row],[Customer ID]],[1]!Name[ID],[1]!Name[Description(2)])</f>
        <v/>
      </c>
      <c r="D2196" s="11" t="str">
        <f>_xlfn.XLOOKUP(Customer[[#This Row],[Customer ID]],[1]!Address[ID],[1]!Address[PIC])</f>
        <v/>
      </c>
      <c r="E2196" s="11" t="str">
        <f>_xlfn.XLOOKUP(Customer[[#This Row],[Customer ID]],[1]!Address[ID],[1]!Address[Full Address])</f>
        <v>A801,PANGSAPURI SRI HIJAUAN,JLN UP 2/1,TMN.UKAY PERDANA,68000AMPANG,SELANGOR</v>
      </c>
      <c r="F2196" s="12" t="s">
        <v>13702</v>
      </c>
      <c r="G2196" s="12" t="s">
        <v>13703</v>
      </c>
      <c r="H2196" s="12" t="s">
        <v>13704</v>
      </c>
      <c r="I2196" s="12" t="b">
        <f>ISNUMBER(VALUE(LEFT(Customer[[#This Row],[Address Line 3 (30 char)]],1)))</f>
        <v>0</v>
      </c>
      <c r="J2196" s="12" t="s">
        <v>172</v>
      </c>
      <c r="K2196" s="12">
        <v>68000</v>
      </c>
      <c r="L2196" s="12" t="s">
        <v>35</v>
      </c>
      <c r="M2196" s="13" t="e">
        <v>#N/A</v>
      </c>
      <c r="N2196" s="14" t="e">
        <v>#N/A</v>
      </c>
      <c r="O2196" s="14" t="e">
        <v>#N/A</v>
      </c>
      <c r="P2196" s="14" t="e">
        <v>#N/A</v>
      </c>
      <c r="Q2196" s="19" t="s">
        <v>13705</v>
      </c>
      <c r="R2196" s="15" t="s">
        <v>13706</v>
      </c>
      <c r="S2196" s="16" t="s">
        <v>89</v>
      </c>
      <c r="T2196" s="16" t="s">
        <v>89</v>
      </c>
      <c r="U2196" s="11" t="str">
        <f>_xlfn.XLOOKUP(Customer[[#This Row],[Customer ID]],[1]!Address[ID],[1]!Address[Phone No.(2)])</f>
        <v/>
      </c>
      <c r="V2196" s="11" t="str">
        <f>_xlfn.XLOOKUP(Customer[[#This Row],[Customer ID]],[1]!Address[ID],[1]!Address[Type])</f>
        <v>WALK IN</v>
      </c>
      <c r="W2196" s="11" t="str">
        <f>_xlfn.XLOOKUP(Customer[[#This Row],[Customer ID]],[1]!Address[ID],[1]!Address[CT])</f>
        <v/>
      </c>
      <c r="X2196" s="11"/>
      <c r="Y2196" s="17" t="s">
        <v>6284</v>
      </c>
      <c r="Z2196" s="17" t="e">
        <f>_xlfn.XLOOKUP(Customer[[#This Row],[NewType]],$AF$36:$AF$54,$AG$36:$AG$54)</f>
        <v>#N/A</v>
      </c>
      <c r="AA2196" s="17" t="s">
        <v>13707</v>
      </c>
      <c r="AB2196" s="11" t="str">
        <f>_xlfn.XLOOKUP(Customer[[#This Row],[Customer ID]],[1]!Address[ID],[1]!Address[Subtype])</f>
        <v>PEDAS</v>
      </c>
      <c r="AC2196" s="18" t="str">
        <f>_xlfn.XLOOKUP(Customer[[#This Row],[Customer ID]],[1]!Address[ID],[1]!Address[Zone])</f>
        <v>CENTRAL</v>
      </c>
    </row>
    <row r="2197" spans="1:29" x14ac:dyDescent="0.3">
      <c r="A2197" s="45" t="s">
        <v>13708</v>
      </c>
      <c r="B2197" s="32" t="str">
        <f>_xlfn.XLOOKUP(Customer[[#This Row],[Customer ID]],[1]!Name[ID],[1]!Name[Description(1)])</f>
        <v>IZWAN NIZAM</v>
      </c>
      <c r="C2197" s="32" t="str">
        <f>_xlfn.XLOOKUP(Customer[[#This Row],[Customer ID]],[1]!Name[ID],[1]!Name[Description(2)])</f>
        <v/>
      </c>
      <c r="D2197" s="11" t="str">
        <f>_xlfn.XLOOKUP(Customer[[#This Row],[Customer ID]],[1]!Address[ID],[1]!Address[PIC])</f>
        <v/>
      </c>
      <c r="E2197" s="11" t="str">
        <f>_xlfn.XLOOKUP(Customer[[#This Row],[Customer ID]],[1]!Address[ID],[1]!Address[Full Address])</f>
        <v>SK PANGLIMA ADNAN</v>
      </c>
      <c r="F2197" s="12" t="s">
        <v>13709</v>
      </c>
      <c r="G2197" s="12" t="s">
        <v>36</v>
      </c>
      <c r="H2197" s="12" t="s">
        <v>36</v>
      </c>
      <c r="I2197" s="12" t="b">
        <f>ISNUMBER(VALUE(LEFT(Customer[[#This Row],[Address Line 3 (30 char)]],1)))</f>
        <v>0</v>
      </c>
      <c r="J2197" s="32" t="s">
        <v>203</v>
      </c>
      <c r="K2197" s="32">
        <v>71050</v>
      </c>
      <c r="L2197" s="12" t="s">
        <v>35</v>
      </c>
      <c r="M2197" s="13" t="e">
        <v>#N/A</v>
      </c>
      <c r="N2197" s="14" t="e">
        <v>#N/A</v>
      </c>
      <c r="O2197" s="14" t="e">
        <v>#N/A</v>
      </c>
      <c r="P2197" s="14" t="e">
        <v>#N/A</v>
      </c>
      <c r="Q2197" s="19" t="s">
        <v>13710</v>
      </c>
      <c r="R2197" s="15" t="s">
        <v>13711</v>
      </c>
      <c r="S2197" s="16" t="s">
        <v>89</v>
      </c>
      <c r="T2197" s="16" t="s">
        <v>89</v>
      </c>
      <c r="U2197" s="11" t="str">
        <f>_xlfn.XLOOKUP(Customer[[#This Row],[Customer ID]],[1]!Address[ID],[1]!Address[Phone No.(2)])</f>
        <v/>
      </c>
      <c r="V2197" s="11" t="str">
        <f>_xlfn.XLOOKUP(Customer[[#This Row],[Customer ID]],[1]!Address[ID],[1]!Address[Type])</f>
        <v>WALK IN</v>
      </c>
      <c r="W2197" s="11" t="str">
        <f>_xlfn.XLOOKUP(Customer[[#This Row],[Customer ID]],[1]!Address[ID],[1]!Address[CT])</f>
        <v/>
      </c>
      <c r="X2197" s="11"/>
      <c r="Y2197" s="17" t="s">
        <v>6284</v>
      </c>
      <c r="Z2197" s="17" t="e">
        <f>_xlfn.XLOOKUP(Customer[[#This Row],[NewType]],$AF$36:$AF$54,$AG$36:$AG$54)</f>
        <v>#N/A</v>
      </c>
      <c r="AA2197" s="17" t="s">
        <v>13712</v>
      </c>
      <c r="AB2197" s="11" t="str">
        <f>_xlfn.XLOOKUP(Customer[[#This Row],[Customer ID]],[1]!Address[ID],[1]!Address[Subtype])</f>
        <v>PEDAS</v>
      </c>
      <c r="AC2197" s="18" t="str">
        <f>_xlfn.XLOOKUP(Customer[[#This Row],[Customer ID]],[1]!Address[ID],[1]!Address[Zone])</f>
        <v>SOUTH</v>
      </c>
    </row>
    <row r="2198" spans="1:29" x14ac:dyDescent="0.3">
      <c r="A2198" s="10" t="s">
        <v>13713</v>
      </c>
      <c r="B2198" s="11" t="str">
        <f>_xlfn.XLOOKUP(Customer[[#This Row],[Customer ID]],[1]!Name[ID],[1]!Name[Description(1)])</f>
        <v>IMAN LISA SABRINA BINTI MAHMUD</v>
      </c>
      <c r="C2198" s="11" t="str">
        <f>_xlfn.XLOOKUP(Customer[[#This Row],[Customer ID]],[1]!Name[ID],[1]!Name[Description(2)])</f>
        <v/>
      </c>
      <c r="D2198" s="11" t="str">
        <f>_xlfn.XLOOKUP(Customer[[#This Row],[Customer ID]],[1]!Address[ID],[1]!Address[PIC])</f>
        <v/>
      </c>
      <c r="E2198" s="11" t="str">
        <f>_xlfn.XLOOKUP(Customer[[#This Row],[Customer ID]],[1]!Address[ID],[1]!Address[Full Address])</f>
        <v>NO.258, JALAN 5/4, TAMAN GADONG JAYA,71900, LABU, NEGERI SEMBILAN</v>
      </c>
      <c r="F2198" s="12" t="s">
        <v>13714</v>
      </c>
      <c r="G2198" s="12" t="s">
        <v>13715</v>
      </c>
      <c r="H2198" s="12" t="s">
        <v>9635</v>
      </c>
      <c r="I2198" s="12" t="b">
        <f>ISNUMBER(VALUE(LEFT(Customer[[#This Row],[Address Line 3 (30 char)]],1)))</f>
        <v>0</v>
      </c>
      <c r="J2198" s="12" t="s">
        <v>203</v>
      </c>
      <c r="K2198" s="12">
        <v>71900</v>
      </c>
      <c r="L2198" s="12" t="s">
        <v>35</v>
      </c>
      <c r="M2198" s="13" t="e">
        <v>#N/A</v>
      </c>
      <c r="N2198" s="14" t="e">
        <v>#N/A</v>
      </c>
      <c r="O2198" s="14" t="e">
        <v>#N/A</v>
      </c>
      <c r="P2198" s="14" t="e">
        <v>#N/A</v>
      </c>
      <c r="Q2198" s="19" t="s">
        <v>13716</v>
      </c>
      <c r="R2198" s="15" t="s">
        <v>13717</v>
      </c>
      <c r="S2198" s="16" t="s">
        <v>89</v>
      </c>
      <c r="T2198" s="16" t="s">
        <v>89</v>
      </c>
      <c r="U2198" s="11" t="str">
        <f>_xlfn.XLOOKUP(Customer[[#This Row],[Customer ID]],[1]!Address[ID],[1]!Address[Phone No.(2)])</f>
        <v/>
      </c>
      <c r="V2198" s="11" t="str">
        <f>_xlfn.XLOOKUP(Customer[[#This Row],[Customer ID]],[1]!Address[ID],[1]!Address[Type])</f>
        <v>WALK IN</v>
      </c>
      <c r="W2198" s="11" t="str">
        <f>_xlfn.XLOOKUP(Customer[[#This Row],[Customer ID]],[1]!Address[ID],[1]!Address[CT])</f>
        <v/>
      </c>
      <c r="X2198" s="11"/>
      <c r="Y2198" s="17" t="s">
        <v>6284</v>
      </c>
      <c r="Z2198" s="17" t="e">
        <f>_xlfn.XLOOKUP(Customer[[#This Row],[NewType]],$AF$36:$AF$54,$AG$36:$AG$54)</f>
        <v>#N/A</v>
      </c>
      <c r="AA2198" s="17" t="s">
        <v>13718</v>
      </c>
      <c r="AB2198" s="11" t="str">
        <f>_xlfn.XLOOKUP(Customer[[#This Row],[Customer ID]],[1]!Address[ID],[1]!Address[Subtype])</f>
        <v>PEDAS</v>
      </c>
      <c r="AC2198" s="18" t="str">
        <f>_xlfn.XLOOKUP(Customer[[#This Row],[Customer ID]],[1]!Address[ID],[1]!Address[Zone])</f>
        <v>SOUTH</v>
      </c>
    </row>
    <row r="2199" spans="1:29" x14ac:dyDescent="0.3">
      <c r="A2199" s="10" t="s">
        <v>13719</v>
      </c>
      <c r="B2199" s="11" t="str">
        <f>_xlfn.XLOOKUP(Customer[[#This Row],[Customer ID]],[1]!Name[ID],[1]!Name[Description(1)])</f>
        <v>RAJA ROHANA ANOM</v>
      </c>
      <c r="C2199" s="11" t="str">
        <f>_xlfn.XLOOKUP(Customer[[#This Row],[Customer ID]],[1]!Name[ID],[1]!Name[Description(2)])</f>
        <v/>
      </c>
      <c r="D2199" s="11" t="str">
        <f>_xlfn.XLOOKUP(Customer[[#This Row],[Customer ID]],[1]!Address[ID],[1]!Address[PIC])</f>
        <v/>
      </c>
      <c r="E2199" s="11" t="str">
        <f>_xlfn.XLOOKUP(Customer[[#This Row],[Customer ID]],[1]!Address[ID],[1]!Address[Full Address])</f>
        <v>B8-8 IDAMAN PUTERA KONDO,MEDAN IDAMAN JALAN JERNAI, 53100 GOMBAK</v>
      </c>
      <c r="F2199" s="12" t="s">
        <v>13720</v>
      </c>
      <c r="G2199" s="12" t="s">
        <v>13721</v>
      </c>
      <c r="H2199" s="12" t="s">
        <v>875</v>
      </c>
      <c r="I2199" s="12" t="b">
        <f>ISNUMBER(VALUE(LEFT(Customer[[#This Row],[Address Line 3 (30 char)]],1)))</f>
        <v>0</v>
      </c>
      <c r="J2199" s="12" t="s">
        <v>34</v>
      </c>
      <c r="K2199" s="12">
        <v>53100</v>
      </c>
      <c r="L2199" s="12" t="s">
        <v>35</v>
      </c>
      <c r="M2199" s="13" t="e">
        <v>#N/A</v>
      </c>
      <c r="N2199" s="14" t="e">
        <v>#N/A</v>
      </c>
      <c r="O2199" s="14" t="e">
        <v>#N/A</v>
      </c>
      <c r="P2199" s="14" t="e">
        <v>#N/A</v>
      </c>
      <c r="Q2199" s="19" t="s">
        <v>13722</v>
      </c>
      <c r="R2199" s="15" t="s">
        <v>13723</v>
      </c>
      <c r="S2199" s="16" t="s">
        <v>89</v>
      </c>
      <c r="T2199" s="16" t="s">
        <v>89</v>
      </c>
      <c r="U2199" s="11" t="str">
        <f>_xlfn.XLOOKUP(Customer[[#This Row],[Customer ID]],[1]!Address[ID],[1]!Address[Phone No.(2)])</f>
        <v/>
      </c>
      <c r="V2199" s="11" t="str">
        <f>_xlfn.XLOOKUP(Customer[[#This Row],[Customer ID]],[1]!Address[ID],[1]!Address[Type])</f>
        <v>WALK IN</v>
      </c>
      <c r="W2199" s="11" t="str">
        <f>_xlfn.XLOOKUP(Customer[[#This Row],[Customer ID]],[1]!Address[ID],[1]!Address[CT])</f>
        <v/>
      </c>
      <c r="X2199" s="11"/>
      <c r="Y2199" s="17" t="s">
        <v>6284</v>
      </c>
      <c r="Z2199" s="17" t="e">
        <f>_xlfn.XLOOKUP(Customer[[#This Row],[NewType]],$AF$36:$AF$54,$AG$36:$AG$54)</f>
        <v>#N/A</v>
      </c>
      <c r="AA2199" s="17" t="s">
        <v>13724</v>
      </c>
      <c r="AB2199" s="11" t="str">
        <f>_xlfn.XLOOKUP(Customer[[#This Row],[Customer ID]],[1]!Address[ID],[1]!Address[Subtype])</f>
        <v>PEDAS</v>
      </c>
      <c r="AC2199" s="18" t="str">
        <f>_xlfn.XLOOKUP(Customer[[#This Row],[Customer ID]],[1]!Address[ID],[1]!Address[Zone])</f>
        <v>CENTRAL</v>
      </c>
    </row>
    <row r="2200" spans="1:29" x14ac:dyDescent="0.3">
      <c r="A2200" s="10" t="s">
        <v>13725</v>
      </c>
      <c r="B2200" s="11" t="str">
        <f>_xlfn.XLOOKUP(Customer[[#This Row],[Customer ID]],[1]!Name[ID],[1]!Name[Description(1)])</f>
        <v>MUHAMMAD ARIFFIN BIN ABD HALIM</v>
      </c>
      <c r="C2200" s="11" t="str">
        <f>_xlfn.XLOOKUP(Customer[[#This Row],[Customer ID]],[1]!Name[ID],[1]!Name[Description(2)])</f>
        <v>(WAREHOUSE RANTAU)</v>
      </c>
      <c r="D2200" s="11" t="str">
        <f>_xlfn.XLOOKUP(Customer[[#This Row],[Customer ID]],[1]!Address[ID],[1]!Address[PIC])</f>
        <v>ARIFFIN</v>
      </c>
      <c r="E2200" s="11" t="str">
        <f>_xlfn.XLOOKUP(Customer[[#This Row],[Customer ID]],[1]!Address[ID],[1]!Address[Full Address])</f>
        <v>NO 2189, JALAN SJ 9/4,TAMAN SEREMBAN JAYA, 70450 SEREMBANNEGERI SEMBILAN</v>
      </c>
      <c r="F2200" s="12" t="s">
        <v>13726</v>
      </c>
      <c r="G2200" s="12" t="s">
        <v>8306</v>
      </c>
      <c r="H2200" s="12" t="s">
        <v>2377</v>
      </c>
      <c r="I2200" s="12" t="b">
        <f>ISNUMBER(VALUE(LEFT(Customer[[#This Row],[Address Line 3 (30 char)]],1)))</f>
        <v>0</v>
      </c>
      <c r="J2200" s="12" t="s">
        <v>203</v>
      </c>
      <c r="K2200" s="12">
        <v>70450</v>
      </c>
      <c r="L2200" s="12" t="s">
        <v>35</v>
      </c>
      <c r="M2200" s="13" t="e">
        <v>#N/A</v>
      </c>
      <c r="N2200" s="14" t="e">
        <v>#N/A</v>
      </c>
      <c r="O2200" s="14" t="e">
        <v>#N/A</v>
      </c>
      <c r="P2200" s="14" t="e">
        <v>#N/A</v>
      </c>
      <c r="Q2200" s="19" t="s">
        <v>13727</v>
      </c>
      <c r="R2200" s="15" t="s">
        <v>13728</v>
      </c>
      <c r="S2200" s="16" t="s">
        <v>89</v>
      </c>
      <c r="T2200" s="16" t="s">
        <v>89</v>
      </c>
      <c r="U2200" s="11" t="str">
        <f>_xlfn.XLOOKUP(Customer[[#This Row],[Customer ID]],[1]!Address[ID],[1]!Address[Phone No.(2)])</f>
        <v/>
      </c>
      <c r="V2200" s="11" t="str">
        <f>_xlfn.XLOOKUP(Customer[[#This Row],[Customer ID]],[1]!Address[ID],[1]!Address[Type])</f>
        <v>WALK IN</v>
      </c>
      <c r="W2200" s="11" t="str">
        <f>_xlfn.XLOOKUP(Customer[[#This Row],[Customer ID]],[1]!Address[ID],[1]!Address[CT])</f>
        <v/>
      </c>
      <c r="X2200" s="11"/>
      <c r="Y2200" s="17" t="s">
        <v>6284</v>
      </c>
      <c r="Z2200" s="17" t="e">
        <f>_xlfn.XLOOKUP(Customer[[#This Row],[NewType]],$AF$36:$AF$54,$AG$36:$AG$54)</f>
        <v>#N/A</v>
      </c>
      <c r="AA2200" s="17" t="s">
        <v>13729</v>
      </c>
      <c r="AB2200" s="11" t="str">
        <f>_xlfn.XLOOKUP(Customer[[#This Row],[Customer ID]],[1]!Address[ID],[1]!Address[Subtype])</f>
        <v>STAFF</v>
      </c>
      <c r="AC2200" s="18" t="str">
        <f>_xlfn.XLOOKUP(Customer[[#This Row],[Customer ID]],[1]!Address[ID],[1]!Address[Zone])</f>
        <v>SOUTH</v>
      </c>
    </row>
    <row r="2201" spans="1:29" x14ac:dyDescent="0.3">
      <c r="A2201" s="10" t="s">
        <v>13730</v>
      </c>
      <c r="B2201" s="11" t="str">
        <f>_xlfn.XLOOKUP(Customer[[#This Row],[Customer ID]],[1]!Name[ID],[1]!Name[Description(1)])</f>
        <v>KHAIRUL ADZWA BIN RAMLI</v>
      </c>
      <c r="C2201" s="11" t="str">
        <f>_xlfn.XLOOKUP(Customer[[#This Row],[Customer ID]],[1]!Name[ID],[1]!Name[Description(2)])</f>
        <v/>
      </c>
      <c r="D2201" s="11" t="str">
        <f>_xlfn.XLOOKUP(Customer[[#This Row],[Customer ID]],[1]!Address[ID],[1]!Address[PIC])</f>
        <v>KHAIRUL</v>
      </c>
      <c r="E2201" s="11" t="str">
        <f>_xlfn.XLOOKUP(Customer[[#This Row],[Customer ID]],[1]!Address[ID],[1]!Address[Full Address])</f>
        <v>11 JLN 2/2C, 43650 BANDAR BARU BANGISELANGOR</v>
      </c>
      <c r="F2201" s="12" t="s">
        <v>13731</v>
      </c>
      <c r="G2201" s="12" t="s">
        <v>2512</v>
      </c>
      <c r="H2201" s="12" t="s">
        <v>6877</v>
      </c>
      <c r="I2201" s="12" t="b">
        <f>ISNUMBER(VALUE(LEFT(Customer[[#This Row],[Address Line 3 (30 char)]],1)))</f>
        <v>0</v>
      </c>
      <c r="J2201" s="12" t="s">
        <v>172</v>
      </c>
      <c r="K2201" s="12">
        <v>43650</v>
      </c>
      <c r="L2201" s="12" t="s">
        <v>35</v>
      </c>
      <c r="M2201" s="13" t="e">
        <v>#N/A</v>
      </c>
      <c r="N2201" s="14" t="e">
        <v>#N/A</v>
      </c>
      <c r="O2201" s="14" t="e">
        <v>#N/A</v>
      </c>
      <c r="P2201" s="14" t="e">
        <v>#N/A</v>
      </c>
      <c r="Q2201" s="19" t="s">
        <v>13732</v>
      </c>
      <c r="R2201" s="15" t="s">
        <v>13733</v>
      </c>
      <c r="S2201" s="16" t="s">
        <v>6283</v>
      </c>
      <c r="T2201" s="16"/>
      <c r="U2201" s="11" t="str">
        <f>_xlfn.XLOOKUP(Customer[[#This Row],[Customer ID]],[1]!Address[ID],[1]!Address[Phone No.(2)])</f>
        <v/>
      </c>
      <c r="V2201" s="11" t="str">
        <f>_xlfn.XLOOKUP(Customer[[#This Row],[Customer ID]],[1]!Address[ID],[1]!Address[Type])</f>
        <v>WALK IN</v>
      </c>
      <c r="W2201" s="11" t="str">
        <f>_xlfn.XLOOKUP(Customer[[#This Row],[Customer ID]],[1]!Address[ID],[1]!Address[CT])</f>
        <v/>
      </c>
      <c r="X2201" s="11"/>
      <c r="Y2201" s="17" t="s">
        <v>6284</v>
      </c>
      <c r="Z2201" s="17" t="e">
        <f>_xlfn.XLOOKUP(Customer[[#This Row],[NewType]],$AF$36:$AF$54,$AG$36:$AG$54)</f>
        <v>#N/A</v>
      </c>
      <c r="AA2201" s="17" t="s">
        <v>13734</v>
      </c>
      <c r="AB2201" s="11" t="str">
        <f>_xlfn.XLOOKUP(Customer[[#This Row],[Customer ID]],[1]!Address[ID],[1]!Address[Subtype])</f>
        <v>RANTAU</v>
      </c>
      <c r="AC2201" s="18" t="str">
        <f>_xlfn.XLOOKUP(Customer[[#This Row],[Customer ID]],[1]!Address[ID],[1]!Address[Zone])</f>
        <v>CENTRAL</v>
      </c>
    </row>
    <row r="2202" spans="1:29" x14ac:dyDescent="0.3">
      <c r="A2202" s="10" t="s">
        <v>13735</v>
      </c>
      <c r="B2202" s="11" t="str">
        <f>_xlfn.XLOOKUP(Customer[[#This Row],[Customer ID]],[1]!Name[ID],[1]!Name[Description(1)])</f>
        <v>UDA MALL</v>
      </c>
      <c r="C2202" s="11" t="str">
        <f>_xlfn.XLOOKUP(Customer[[#This Row],[Customer ID]],[1]!Name[ID],[1]!Name[Description(2)])</f>
        <v/>
      </c>
      <c r="D2202" s="11" t="str">
        <f>_xlfn.XLOOKUP(Customer[[#This Row],[Customer ID]],[1]!Address[ID],[1]!Address[PIC])</f>
        <v/>
      </c>
      <c r="E2202" s="11" t="str">
        <f>_xlfn.XLOOKUP(Customer[[#This Row],[Customer ID]],[1]!Address[ID],[1]!Address[Full Address])</f>
        <v>LEVEL RG, TOWER BLOCK, PERTAMA COMPLEXJALAN TUANKU ABDUL RAHMAN50100 KUALA LUMPUR</v>
      </c>
      <c r="F2202" s="12" t="s">
        <v>13609</v>
      </c>
      <c r="G2202" s="12" t="s">
        <v>13736</v>
      </c>
      <c r="H2202" s="12" t="s">
        <v>13611</v>
      </c>
      <c r="I2202" s="12" t="b">
        <f>ISNUMBER(VALUE(LEFT(Customer[[#This Row],[Address Line 3 (30 char)]],1)))</f>
        <v>0</v>
      </c>
      <c r="J2202" s="12" t="s">
        <v>34</v>
      </c>
      <c r="K2202" s="12">
        <v>50100</v>
      </c>
      <c r="L2202" s="12" t="s">
        <v>35</v>
      </c>
      <c r="M2202" s="13" t="e">
        <v>#N/A</v>
      </c>
      <c r="N2202" s="14" t="e">
        <v>#N/A</v>
      </c>
      <c r="O2202" s="14" t="e">
        <v>#N/A</v>
      </c>
      <c r="P2202" s="14" t="e">
        <v>#N/A</v>
      </c>
      <c r="Q2202" s="14" t="e">
        <v>#N/A</v>
      </c>
      <c r="R2202" s="15" t="s">
        <v>13737</v>
      </c>
      <c r="S2202" s="15" t="s">
        <v>5934</v>
      </c>
      <c r="T2202" s="16" t="s">
        <v>3477</v>
      </c>
      <c r="U2202" s="11" t="str">
        <f>_xlfn.XLOOKUP(Customer[[#This Row],[Customer ID]],[1]!Address[ID],[1]!Address[Phone No.(2)])</f>
        <v/>
      </c>
      <c r="V2202" s="11" t="str">
        <f>_xlfn.XLOOKUP(Customer[[#This Row],[Customer ID]],[1]!Address[ID],[1]!Address[Type])</f>
        <v>CM</v>
      </c>
      <c r="W2202" s="11" t="str">
        <f>_xlfn.XLOOKUP(Customer[[#This Row],[Customer ID]],[1]!Address[ID],[1]!Address[CT])</f>
        <v>CASH</v>
      </c>
      <c r="X2202" s="11"/>
      <c r="Y2202" s="17" t="s">
        <v>5918</v>
      </c>
      <c r="Z2202" s="17" t="e">
        <f>_xlfn.XLOOKUP(Customer[[#This Row],[NewType]],$AF$36:$AF$54,$AG$36:$AG$54)</f>
        <v>#N/A</v>
      </c>
      <c r="AA2202" s="17" t="s">
        <v>13738</v>
      </c>
      <c r="AB2202" s="11" t="str">
        <f>_xlfn.XLOOKUP(Customer[[#This Row],[Customer ID]],[1]!Address[ID],[1]!Address[Subtype])</f>
        <v>UDA</v>
      </c>
      <c r="AC2202" s="18" t="str">
        <f>_xlfn.XLOOKUP(Customer[[#This Row],[Customer ID]],[1]!Address[ID],[1]!Address[Zone])</f>
        <v>CENTRAL</v>
      </c>
    </row>
    <row r="2203" spans="1:29" x14ac:dyDescent="0.3">
      <c r="A2203" s="10" t="s">
        <v>13739</v>
      </c>
      <c r="B2203" s="11" t="str">
        <f>_xlfn.XLOOKUP(Customer[[#This Row],[Customer ID]],[1]!Name[ID],[1]!Name[Description(1)])</f>
        <v>SAUKAT ALI BIN NARUL HAQ</v>
      </c>
      <c r="C2203" s="11" t="str">
        <f>_xlfn.XLOOKUP(Customer[[#This Row],[Customer ID]],[1]!Name[ID],[1]!Name[Description(2)])</f>
        <v/>
      </c>
      <c r="D2203" s="11" t="str">
        <f>_xlfn.XLOOKUP(Customer[[#This Row],[Customer ID]],[1]!Address[ID],[1]!Address[PIC])</f>
        <v/>
      </c>
      <c r="E2203" s="11" t="str">
        <f>_xlfn.XLOOKUP(Customer[[#This Row],[Customer ID]],[1]!Address[ID],[1]!Address[Full Address])</f>
        <v>NO 8, LORONG ZAITON INDAH 1/1,TAMAN ZAITON INDAH, 70400 SEREMBAN</v>
      </c>
      <c r="F2203" s="12" t="s">
        <v>12988</v>
      </c>
      <c r="G2203" s="12" t="s">
        <v>12989</v>
      </c>
      <c r="H2203" s="12" t="s">
        <v>2377</v>
      </c>
      <c r="I2203" s="12" t="b">
        <f>ISNUMBER(VALUE(LEFT(Customer[[#This Row],[Address Line 3 (30 char)]],1)))</f>
        <v>0</v>
      </c>
      <c r="J2203" s="12" t="s">
        <v>2004</v>
      </c>
      <c r="K2203" s="12">
        <v>70400</v>
      </c>
      <c r="L2203" s="12" t="s">
        <v>35</v>
      </c>
      <c r="M2203" s="13" t="e">
        <v>#N/A</v>
      </c>
      <c r="N2203" s="14" t="e">
        <v>#N/A</v>
      </c>
      <c r="O2203" s="14" t="e">
        <v>#N/A</v>
      </c>
      <c r="P2203" s="14" t="e">
        <v>#N/A</v>
      </c>
      <c r="Q2203" s="19" t="s">
        <v>12990</v>
      </c>
      <c r="R2203" s="15" t="s">
        <v>12991</v>
      </c>
      <c r="S2203" s="16" t="s">
        <v>89</v>
      </c>
      <c r="T2203" s="16" t="s">
        <v>89</v>
      </c>
      <c r="U2203" s="11" t="str">
        <f>_xlfn.XLOOKUP(Customer[[#This Row],[Customer ID]],[1]!Address[ID],[1]!Address[Phone No.(2)])</f>
        <v/>
      </c>
      <c r="V2203" s="11" t="str">
        <f>_xlfn.XLOOKUP(Customer[[#This Row],[Customer ID]],[1]!Address[ID],[1]!Address[Type])</f>
        <v>WALK IN</v>
      </c>
      <c r="W2203" s="11" t="str">
        <f>_xlfn.XLOOKUP(Customer[[#This Row],[Customer ID]],[1]!Address[ID],[1]!Address[CT])</f>
        <v/>
      </c>
      <c r="X2203" s="11"/>
      <c r="Y2203" s="17" t="s">
        <v>6284</v>
      </c>
      <c r="Z2203" s="17" t="e">
        <f>_xlfn.XLOOKUP(Customer[[#This Row],[NewType]],$AF$36:$AF$54,$AG$36:$AG$54)</f>
        <v>#N/A</v>
      </c>
      <c r="AA2203" s="17" t="s">
        <v>13740</v>
      </c>
      <c r="AB2203" s="11" t="str">
        <f>_xlfn.XLOOKUP(Customer[[#This Row],[Customer ID]],[1]!Address[ID],[1]!Address[Subtype])</f>
        <v>PEDAS</v>
      </c>
      <c r="AC2203" s="18" t="str">
        <f>_xlfn.XLOOKUP(Customer[[#This Row],[Customer ID]],[1]!Address[ID],[1]!Address[Zone])</f>
        <v>SOUTH</v>
      </c>
    </row>
    <row r="2204" spans="1:29" x14ac:dyDescent="0.3">
      <c r="A2204" s="10" t="s">
        <v>13741</v>
      </c>
      <c r="B2204" s="11" t="str">
        <f>_xlfn.XLOOKUP(Customer[[#This Row],[Customer ID]],[1]!Name[ID],[1]!Name[Description(1)])</f>
        <v>ZAINURI BIN SAPRAN</v>
      </c>
      <c r="C2204" s="11" t="str">
        <f>_xlfn.XLOOKUP(Customer[[#This Row],[Customer ID]],[1]!Name[ID],[1]!Name[Description(2)])</f>
        <v/>
      </c>
      <c r="D2204" s="11" t="str">
        <f>_xlfn.XLOOKUP(Customer[[#This Row],[Customer ID]],[1]!Address[ID],[1]!Address[PIC])</f>
        <v/>
      </c>
      <c r="E2204" s="11" t="str">
        <f>_xlfn.XLOOKUP(Customer[[#This Row],[Customer ID]],[1]!Address[ID],[1]!Address[Full Address])</f>
        <v>NO 59, KG BUYAU KIRI,71550 SERI MENANTI, KUALA PILAHNEGERI SEMBILAN</v>
      </c>
      <c r="F2204" s="12" t="s">
        <v>13742</v>
      </c>
      <c r="G2204" s="12" t="s">
        <v>13743</v>
      </c>
      <c r="H2204" s="12" t="s">
        <v>13744</v>
      </c>
      <c r="I2204" s="12" t="b">
        <f>ISNUMBER(VALUE(LEFT(Customer[[#This Row],[Address Line 3 (30 char)]],1)))</f>
        <v>0</v>
      </c>
      <c r="J2204" s="12" t="s">
        <v>203</v>
      </c>
      <c r="K2204" s="12">
        <v>71550</v>
      </c>
      <c r="L2204" s="12" t="s">
        <v>35</v>
      </c>
      <c r="M2204" s="13" t="e">
        <v>#N/A</v>
      </c>
      <c r="N2204" s="14" t="e">
        <v>#N/A</v>
      </c>
      <c r="O2204" s="14" t="e">
        <v>#N/A</v>
      </c>
      <c r="P2204" s="14" t="e">
        <v>#N/A</v>
      </c>
      <c r="Q2204" s="19" t="s">
        <v>13745</v>
      </c>
      <c r="R2204" s="15" t="s">
        <v>13746</v>
      </c>
      <c r="S2204" s="16" t="s">
        <v>89</v>
      </c>
      <c r="T2204" s="16" t="s">
        <v>89</v>
      </c>
      <c r="U2204" s="11" t="str">
        <f>_xlfn.XLOOKUP(Customer[[#This Row],[Customer ID]],[1]!Address[ID],[1]!Address[Phone No.(2)])</f>
        <v/>
      </c>
      <c r="V2204" s="11" t="str">
        <f>_xlfn.XLOOKUP(Customer[[#This Row],[Customer ID]],[1]!Address[ID],[1]!Address[Type])</f>
        <v>WALK IN</v>
      </c>
      <c r="W2204" s="11" t="str">
        <f>_xlfn.XLOOKUP(Customer[[#This Row],[Customer ID]],[1]!Address[ID],[1]!Address[CT])</f>
        <v/>
      </c>
      <c r="X2204" s="11"/>
      <c r="Y2204" s="17" t="s">
        <v>6284</v>
      </c>
      <c r="Z2204" s="17" t="e">
        <f>_xlfn.XLOOKUP(Customer[[#This Row],[NewType]],$AF$36:$AF$54,$AG$36:$AG$54)</f>
        <v>#N/A</v>
      </c>
      <c r="AA2204" s="17" t="s">
        <v>13747</v>
      </c>
      <c r="AB2204" s="11" t="str">
        <f>_xlfn.XLOOKUP(Customer[[#This Row],[Customer ID]],[1]!Address[ID],[1]!Address[Subtype])</f>
        <v>PEDAS</v>
      </c>
      <c r="AC2204" s="18" t="str">
        <f>_xlfn.XLOOKUP(Customer[[#This Row],[Customer ID]],[1]!Address[ID],[1]!Address[Zone])</f>
        <v>SOUTH</v>
      </c>
    </row>
    <row r="2205" spans="1:29" x14ac:dyDescent="0.3">
      <c r="A2205" s="10" t="s">
        <v>13748</v>
      </c>
      <c r="B2205" s="11" t="str">
        <f>_xlfn.XLOOKUP(Customer[[#This Row],[Customer ID]],[1]!Name[ID],[1]!Name[Description(1)])</f>
        <v>NURUL MARDHIAH BINTI SENIN</v>
      </c>
      <c r="C2205" s="11" t="str">
        <f>_xlfn.XLOOKUP(Customer[[#This Row],[Customer ID]],[1]!Name[ID],[1]!Name[Description(2)])</f>
        <v/>
      </c>
      <c r="D2205" s="11" t="str">
        <f>_xlfn.XLOOKUP(Customer[[#This Row],[Customer ID]],[1]!Address[ID],[1]!Address[PIC])</f>
        <v>MARDHIAH</v>
      </c>
      <c r="E2205" s="11" t="str">
        <f>_xlfn.XLOOKUP(Customer[[#This Row],[Customer ID]],[1]!Address[ID],[1]!Address[Full Address])</f>
        <v>C-4249 KAMPUNG PAYA IKAN, BUKIT BARU75150 MELAKA</v>
      </c>
      <c r="F2205" s="12" t="s">
        <v>13749</v>
      </c>
      <c r="G2205" s="12" t="s">
        <v>13750</v>
      </c>
      <c r="H2205" s="12" t="s">
        <v>13751</v>
      </c>
      <c r="I2205" s="12" t="b">
        <f>ISNUMBER(VALUE(LEFT(Customer[[#This Row],[Address Line 3 (30 char)]],1)))</f>
        <v>0</v>
      </c>
      <c r="J2205" s="12" t="s">
        <v>61</v>
      </c>
      <c r="K2205" s="12">
        <v>75150</v>
      </c>
      <c r="L2205" s="12" t="s">
        <v>35</v>
      </c>
      <c r="M2205" s="13" t="e">
        <v>#N/A</v>
      </c>
      <c r="N2205" s="14" t="e">
        <v>#N/A</v>
      </c>
      <c r="O2205" s="14" t="e">
        <v>#N/A</v>
      </c>
      <c r="P2205" s="14" t="e">
        <v>#N/A</v>
      </c>
      <c r="Q2205" s="19" t="s">
        <v>13752</v>
      </c>
      <c r="R2205" s="15" t="s">
        <v>13753</v>
      </c>
      <c r="S2205" s="16" t="s">
        <v>89</v>
      </c>
      <c r="T2205" s="16" t="s">
        <v>89</v>
      </c>
      <c r="U2205" s="11" t="str">
        <f>_xlfn.XLOOKUP(Customer[[#This Row],[Customer ID]],[1]!Address[ID],[1]!Address[Phone No.(2)])</f>
        <v/>
      </c>
      <c r="V2205" s="11" t="str">
        <f>_xlfn.XLOOKUP(Customer[[#This Row],[Customer ID]],[1]!Address[ID],[1]!Address[Type])</f>
        <v>WALK IN</v>
      </c>
      <c r="W2205" s="11" t="str">
        <f>_xlfn.XLOOKUP(Customer[[#This Row],[Customer ID]],[1]!Address[ID],[1]!Address[CT])</f>
        <v/>
      </c>
      <c r="X2205" s="11"/>
      <c r="Y2205" s="17" t="s">
        <v>6284</v>
      </c>
      <c r="Z2205" s="17" t="e">
        <f>_xlfn.XLOOKUP(Customer[[#This Row],[NewType]],$AF$36:$AF$54,$AG$36:$AG$54)</f>
        <v>#N/A</v>
      </c>
      <c r="AA2205" s="17" t="s">
        <v>13754</v>
      </c>
      <c r="AB2205" s="11" t="str">
        <f>_xlfn.XLOOKUP(Customer[[#This Row],[Customer ID]],[1]!Address[ID],[1]!Address[Subtype])</f>
        <v>PEDAS</v>
      </c>
      <c r="AC2205" s="18" t="str">
        <f>_xlfn.XLOOKUP(Customer[[#This Row],[Customer ID]],[1]!Address[ID],[1]!Address[Zone])</f>
        <v>SOUTH</v>
      </c>
    </row>
    <row r="2206" spans="1:29" x14ac:dyDescent="0.3">
      <c r="A2206" s="10" t="s">
        <v>13755</v>
      </c>
      <c r="B2206" s="11" t="str">
        <f>_xlfn.XLOOKUP(Customer[[#This Row],[Customer ID]],[1]!Name[ID],[1]!Name[Description(1)])</f>
        <v>SITI SUYAH BINTI YUSOF</v>
      </c>
      <c r="C2206" s="11" t="str">
        <f>_xlfn.XLOOKUP(Customer[[#This Row],[Customer ID]],[1]!Name[ID],[1]!Name[Description(2)])</f>
        <v/>
      </c>
      <c r="D2206" s="11" t="str">
        <f>_xlfn.XLOOKUP(Customer[[#This Row],[Customer ID]],[1]!Address[ID],[1]!Address[PIC])</f>
        <v/>
      </c>
      <c r="E2206" s="11" t="str">
        <f>_xlfn.XLOOKUP(Customer[[#This Row],[Customer ID]],[1]!Address[ID],[1]!Address[Full Address])</f>
        <v>NO 56, KG BUYAU KIRI,71550 SERI MENANTI, KUALA PILAHNEGERI SEMBILAN</v>
      </c>
      <c r="F2206" s="12" t="s">
        <v>13756</v>
      </c>
      <c r="G2206" s="12" t="s">
        <v>13743</v>
      </c>
      <c r="H2206" s="12" t="s">
        <v>13744</v>
      </c>
      <c r="I2206" s="12" t="b">
        <f>ISNUMBER(VALUE(LEFT(Customer[[#This Row],[Address Line 3 (30 char)]],1)))</f>
        <v>0</v>
      </c>
      <c r="J2206" s="12" t="s">
        <v>203</v>
      </c>
      <c r="K2206" s="12">
        <v>71550</v>
      </c>
      <c r="L2206" s="12" t="s">
        <v>35</v>
      </c>
      <c r="M2206" s="13" t="e">
        <v>#N/A</v>
      </c>
      <c r="N2206" s="14" t="e">
        <v>#N/A</v>
      </c>
      <c r="O2206" s="14" t="e">
        <v>#N/A</v>
      </c>
      <c r="P2206" s="14" t="e">
        <v>#N/A</v>
      </c>
      <c r="Q2206" s="19" t="s">
        <v>13757</v>
      </c>
      <c r="R2206" s="15" t="s">
        <v>13758</v>
      </c>
      <c r="S2206" s="16" t="s">
        <v>89</v>
      </c>
      <c r="T2206" s="16" t="s">
        <v>89</v>
      </c>
      <c r="U2206" s="11" t="str">
        <f>_xlfn.XLOOKUP(Customer[[#This Row],[Customer ID]],[1]!Address[ID],[1]!Address[Phone No.(2)])</f>
        <v/>
      </c>
      <c r="V2206" s="11" t="str">
        <f>_xlfn.XLOOKUP(Customer[[#This Row],[Customer ID]],[1]!Address[ID],[1]!Address[Type])</f>
        <v>WALK IN</v>
      </c>
      <c r="W2206" s="11" t="str">
        <f>_xlfn.XLOOKUP(Customer[[#This Row],[Customer ID]],[1]!Address[ID],[1]!Address[CT])</f>
        <v/>
      </c>
      <c r="X2206" s="11"/>
      <c r="Y2206" s="17" t="s">
        <v>6284</v>
      </c>
      <c r="Z2206" s="17" t="e">
        <f>_xlfn.XLOOKUP(Customer[[#This Row],[NewType]],$AF$36:$AF$54,$AG$36:$AG$54)</f>
        <v>#N/A</v>
      </c>
      <c r="AA2206" s="17" t="s">
        <v>13759</v>
      </c>
      <c r="AB2206" s="11" t="str">
        <f>_xlfn.XLOOKUP(Customer[[#This Row],[Customer ID]],[1]!Address[ID],[1]!Address[Subtype])</f>
        <v>PEDAS</v>
      </c>
      <c r="AC2206" s="18" t="str">
        <f>_xlfn.XLOOKUP(Customer[[#This Row],[Customer ID]],[1]!Address[ID],[1]!Address[Zone])</f>
        <v>SOUTH</v>
      </c>
    </row>
    <row r="2207" spans="1:29" x14ac:dyDescent="0.3">
      <c r="A2207" s="10" t="s">
        <v>13760</v>
      </c>
      <c r="B2207" s="11" t="str">
        <f>_xlfn.XLOOKUP(Customer[[#This Row],[Customer ID]],[1]!Name[ID],[1]!Name[Description(1)])</f>
        <v>AMIR ZAMRI BIN ABU HANAPIAH</v>
      </c>
      <c r="C2207" s="11" t="str">
        <f>_xlfn.XLOOKUP(Customer[[#This Row],[Customer ID]],[1]!Name[ID],[1]!Name[Description(2)])</f>
        <v>(BD)</v>
      </c>
      <c r="D2207" s="11" t="str">
        <f>_xlfn.XLOOKUP(Customer[[#This Row],[Customer ID]],[1]!Address[ID],[1]!Address[PIC])</f>
        <v>AMIR</v>
      </c>
      <c r="E2207" s="11" t="str">
        <f>_xlfn.XLOOKUP(Customer[[#This Row],[Customer ID]],[1]!Address[ID],[1]!Address[Full Address])</f>
        <v>NO.10, JALAN 1/3P MUTIARA BANGI,SEKSYEN 1 TAMBAHAN, 43650 BANDAR BARUBANGI, SELANGOR</v>
      </c>
      <c r="F2207" s="12" t="s">
        <v>13761</v>
      </c>
      <c r="G2207" s="12" t="s">
        <v>13762</v>
      </c>
      <c r="H2207" s="12" t="s">
        <v>4431</v>
      </c>
      <c r="I2207" s="12" t="b">
        <f>ISNUMBER(VALUE(LEFT(Customer[[#This Row],[Address Line 3 (30 char)]],1)))</f>
        <v>0</v>
      </c>
      <c r="J2207" s="12" t="s">
        <v>172</v>
      </c>
      <c r="K2207" s="12">
        <v>43650</v>
      </c>
      <c r="L2207" s="12" t="s">
        <v>35</v>
      </c>
      <c r="M2207" s="13" t="e">
        <v>#N/A</v>
      </c>
      <c r="N2207" s="14" t="e">
        <v>#N/A</v>
      </c>
      <c r="O2207" s="14" t="e">
        <v>#N/A</v>
      </c>
      <c r="P2207" s="14" t="e">
        <v>#N/A</v>
      </c>
      <c r="Q2207" s="19" t="s">
        <v>13763</v>
      </c>
      <c r="R2207" s="15" t="s">
        <v>13764</v>
      </c>
      <c r="S2207" s="16" t="s">
        <v>89</v>
      </c>
      <c r="T2207" s="16" t="s">
        <v>89</v>
      </c>
      <c r="U2207" s="11" t="str">
        <f>_xlfn.XLOOKUP(Customer[[#This Row],[Customer ID]],[1]!Address[ID],[1]!Address[Phone No.(2)])</f>
        <v/>
      </c>
      <c r="V2207" s="11" t="str">
        <f>_xlfn.XLOOKUP(Customer[[#This Row],[Customer ID]],[1]!Address[ID],[1]!Address[Type])</f>
        <v>WALK IN</v>
      </c>
      <c r="W2207" s="11" t="str">
        <f>_xlfn.XLOOKUP(Customer[[#This Row],[Customer ID]],[1]!Address[ID],[1]!Address[CT])</f>
        <v/>
      </c>
      <c r="X2207" s="11"/>
      <c r="Y2207" s="17" t="s">
        <v>6284</v>
      </c>
      <c r="Z2207" s="17" t="e">
        <f>_xlfn.XLOOKUP(Customer[[#This Row],[NewType]],$AF$36:$AF$54,$AG$36:$AG$54)</f>
        <v>#N/A</v>
      </c>
      <c r="AA2207" s="17" t="s">
        <v>13765</v>
      </c>
      <c r="AB2207" s="11" t="str">
        <f>_xlfn.XLOOKUP(Customer[[#This Row],[Customer ID]],[1]!Address[ID],[1]!Address[Subtype])</f>
        <v>STAFF</v>
      </c>
      <c r="AC2207" s="18" t="str">
        <f>_xlfn.XLOOKUP(Customer[[#This Row],[Customer ID]],[1]!Address[ID],[1]!Address[Zone])</f>
        <v>CENTRAL</v>
      </c>
    </row>
    <row r="2208" spans="1:29" x14ac:dyDescent="0.3">
      <c r="A2208" s="10" t="s">
        <v>13766</v>
      </c>
      <c r="B2208" s="11" t="str">
        <f>_xlfn.XLOOKUP(Customer[[#This Row],[Customer ID]],[1]!Name[ID],[1]!Name[Description(1)])</f>
        <v>RAIHAN FITTI BINTI MOHD NOR</v>
      </c>
      <c r="C2208" s="11" t="str">
        <f>_xlfn.XLOOKUP(Customer[[#This Row],[Customer ID]],[1]!Name[ID],[1]!Name[Description(2)])</f>
        <v/>
      </c>
      <c r="D2208" s="11" t="str">
        <f>_xlfn.XLOOKUP(Customer[[#This Row],[Customer ID]],[1]!Address[ID],[1]!Address[PIC])</f>
        <v/>
      </c>
      <c r="E2208" s="11" t="str">
        <f>_xlfn.XLOOKUP(Customer[[#This Row],[Customer ID]],[1]!Address[ID],[1]!Address[Full Address])</f>
        <v>405, JALAN NUSA INTAN, 70450 SEREMBAN</v>
      </c>
      <c r="F2208" s="12" t="s">
        <v>13767</v>
      </c>
      <c r="G2208" s="12" t="s">
        <v>13768</v>
      </c>
      <c r="H2208" s="12" t="s">
        <v>2411</v>
      </c>
      <c r="I2208" s="12" t="b">
        <f>ISNUMBER(VALUE(LEFT(Customer[[#This Row],[Address Line 3 (30 char)]],1)))</f>
        <v>0</v>
      </c>
      <c r="J2208" s="12" t="s">
        <v>203</v>
      </c>
      <c r="K2208" s="12">
        <v>70450</v>
      </c>
      <c r="L2208" s="12" t="s">
        <v>35</v>
      </c>
      <c r="M2208" s="13" t="e">
        <v>#N/A</v>
      </c>
      <c r="N2208" s="14" t="e">
        <v>#N/A</v>
      </c>
      <c r="O2208" s="14" t="e">
        <v>#N/A</v>
      </c>
      <c r="P2208" s="14" t="e">
        <v>#N/A</v>
      </c>
      <c r="Q2208" s="19" t="s">
        <v>13769</v>
      </c>
      <c r="R2208" s="15" t="s">
        <v>13770</v>
      </c>
      <c r="S2208" s="16" t="s">
        <v>89</v>
      </c>
      <c r="T2208" s="16" t="s">
        <v>89</v>
      </c>
      <c r="U2208" s="11" t="str">
        <f>_xlfn.XLOOKUP(Customer[[#This Row],[Customer ID]],[1]!Address[ID],[1]!Address[Phone No.(2)])</f>
        <v/>
      </c>
      <c r="V2208" s="11" t="str">
        <f>_xlfn.XLOOKUP(Customer[[#This Row],[Customer ID]],[1]!Address[ID],[1]!Address[Type])</f>
        <v>WALK IN</v>
      </c>
      <c r="W2208" s="11" t="str">
        <f>_xlfn.XLOOKUP(Customer[[#This Row],[Customer ID]],[1]!Address[ID],[1]!Address[CT])</f>
        <v/>
      </c>
      <c r="X2208" s="11"/>
      <c r="Y2208" s="17" t="s">
        <v>6284</v>
      </c>
      <c r="Z2208" s="17" t="e">
        <f>_xlfn.XLOOKUP(Customer[[#This Row],[NewType]],$AF$36:$AF$54,$AG$36:$AG$54)</f>
        <v>#N/A</v>
      </c>
      <c r="AA2208" s="17" t="s">
        <v>13771</v>
      </c>
      <c r="AB2208" s="11" t="str">
        <f>_xlfn.XLOOKUP(Customer[[#This Row],[Customer ID]],[1]!Address[ID],[1]!Address[Subtype])</f>
        <v>PEDAS</v>
      </c>
      <c r="AC2208" s="18" t="str">
        <f>_xlfn.XLOOKUP(Customer[[#This Row],[Customer ID]],[1]!Address[ID],[1]!Address[Zone])</f>
        <v>SOUTH</v>
      </c>
    </row>
    <row r="2209" spans="1:30" x14ac:dyDescent="0.3">
      <c r="A2209" s="10" t="s">
        <v>13772</v>
      </c>
      <c r="B2209" s="11" t="str">
        <f>_xlfn.XLOOKUP(Customer[[#This Row],[Customer ID]],[1]!Name[ID],[1]!Name[Description(1)])</f>
        <v>MOHD SYAHKURNIA BIN SAIFUL</v>
      </c>
      <c r="C2209" s="11" t="str">
        <f>_xlfn.XLOOKUP(Customer[[#This Row],[Customer ID]],[1]!Name[ID],[1]!Name[Description(2)])</f>
        <v/>
      </c>
      <c r="D2209" s="11" t="str">
        <f>_xlfn.XLOOKUP(Customer[[#This Row],[Customer ID]],[1]!Address[ID],[1]!Address[PIC])</f>
        <v/>
      </c>
      <c r="E2209" s="11" t="str">
        <f>_xlfn.XLOOKUP(Customer[[#This Row],[Customer ID]],[1]!Address[ID],[1]!Address[Full Address])</f>
        <v>NO.157, TAMAN BAHAGIA DELIMA,72000 KUALA PILAH NEGERI SEMBILAN</v>
      </c>
      <c r="F2209" s="12" t="s">
        <v>13773</v>
      </c>
      <c r="G2209" s="12" t="s">
        <v>13744</v>
      </c>
      <c r="H2209" s="12" t="s">
        <v>36</v>
      </c>
      <c r="I2209" s="12" t="b">
        <f>ISNUMBER(VALUE(LEFT(Customer[[#This Row],[Address Line 3 (30 char)]],1)))</f>
        <v>0</v>
      </c>
      <c r="J2209" s="12" t="s">
        <v>203</v>
      </c>
      <c r="K2209" s="12">
        <v>72000</v>
      </c>
      <c r="L2209" s="12" t="s">
        <v>35</v>
      </c>
      <c r="M2209" s="13" t="e">
        <v>#N/A</v>
      </c>
      <c r="N2209" s="14" t="e">
        <v>#N/A</v>
      </c>
      <c r="O2209" s="14" t="e">
        <v>#N/A</v>
      </c>
      <c r="P2209" s="14" t="e">
        <v>#N/A</v>
      </c>
      <c r="Q2209" s="19" t="s">
        <v>13774</v>
      </c>
      <c r="R2209" s="15" t="s">
        <v>13775</v>
      </c>
      <c r="S2209" s="16" t="s">
        <v>89</v>
      </c>
      <c r="T2209" s="16" t="s">
        <v>89</v>
      </c>
      <c r="U2209" s="11" t="str">
        <f>_xlfn.XLOOKUP(Customer[[#This Row],[Customer ID]],[1]!Address[ID],[1]!Address[Phone No.(2)])</f>
        <v/>
      </c>
      <c r="V2209" s="11" t="str">
        <f>_xlfn.XLOOKUP(Customer[[#This Row],[Customer ID]],[1]!Address[ID],[1]!Address[Type])</f>
        <v>WALK IN</v>
      </c>
      <c r="W2209" s="11" t="str">
        <f>_xlfn.XLOOKUP(Customer[[#This Row],[Customer ID]],[1]!Address[ID],[1]!Address[CT])</f>
        <v/>
      </c>
      <c r="X2209" s="11"/>
      <c r="Y2209" s="17" t="s">
        <v>6284</v>
      </c>
      <c r="Z2209" s="17" t="e">
        <f>_xlfn.XLOOKUP(Customer[[#This Row],[NewType]],$AF$36:$AF$54,$AG$36:$AG$54)</f>
        <v>#N/A</v>
      </c>
      <c r="AA2209" s="17" t="s">
        <v>13776</v>
      </c>
      <c r="AB2209" s="11" t="str">
        <f>_xlfn.XLOOKUP(Customer[[#This Row],[Customer ID]],[1]!Address[ID],[1]!Address[Subtype])</f>
        <v>PEDAS</v>
      </c>
      <c r="AC2209" s="18" t="str">
        <f>_xlfn.XLOOKUP(Customer[[#This Row],[Customer ID]],[1]!Address[ID],[1]!Address[Zone])</f>
        <v>SOUTH</v>
      </c>
    </row>
    <row r="2210" spans="1:30" x14ac:dyDescent="0.3">
      <c r="A2210" s="10" t="s">
        <v>13777</v>
      </c>
      <c r="B2210" s="11" t="str">
        <f>_xlfn.XLOOKUP(Customer[[#This Row],[Customer ID]],[1]!Name[ID],[1]!Name[Description(1)])</f>
        <v>MUHAMMAD MUNIER BIN MOHD ZAINUDDIN</v>
      </c>
      <c r="C2210" s="11" t="str">
        <f>_xlfn.XLOOKUP(Customer[[#This Row],[Customer ID]],[1]!Name[ID],[1]!Name[Description(2)])</f>
        <v>(PRODUCTION)</v>
      </c>
      <c r="D2210" s="11" t="str">
        <f>_xlfn.XLOOKUP(Customer[[#This Row],[Customer ID]],[1]!Address[ID],[1]!Address[PIC])</f>
        <v/>
      </c>
      <c r="E2210" s="11" t="str">
        <f>_xlfn.XLOOKUP(Customer[[#This Row],[Customer ID]],[1]!Address[ID],[1]!Address[Full Address])</f>
        <v>NO. 2, LORONG BUDI 1,KAMPUNG SEGA HULU, KUALA SAWAH,71200 RANTAU, NEGERI SEMBILAN</v>
      </c>
      <c r="F2210" s="12" t="s">
        <v>13778</v>
      </c>
      <c r="G2210" s="12" t="s">
        <v>13779</v>
      </c>
      <c r="H2210" s="12" t="s">
        <v>13780</v>
      </c>
      <c r="I2210" s="12" t="b">
        <f>ISNUMBER(VALUE(LEFT(Customer[[#This Row],[Address Line 3 (30 char)]],1)))</f>
        <v>0</v>
      </c>
      <c r="J2210" s="12" t="s">
        <v>203</v>
      </c>
      <c r="K2210" s="12">
        <v>71200</v>
      </c>
      <c r="L2210" s="12" t="s">
        <v>35</v>
      </c>
      <c r="M2210" s="13" t="e">
        <v>#N/A</v>
      </c>
      <c r="N2210" s="14" t="e">
        <v>#N/A</v>
      </c>
      <c r="O2210" s="14" t="e">
        <v>#N/A</v>
      </c>
      <c r="P2210" s="14" t="e">
        <v>#N/A</v>
      </c>
      <c r="Q2210" s="19" t="s">
        <v>13781</v>
      </c>
      <c r="R2210" s="15" t="s">
        <v>13782</v>
      </c>
      <c r="S2210" s="16" t="s">
        <v>89</v>
      </c>
      <c r="T2210" s="16" t="s">
        <v>89</v>
      </c>
      <c r="U2210" s="11" t="str">
        <f>_xlfn.XLOOKUP(Customer[[#This Row],[Customer ID]],[1]!Address[ID],[1]!Address[Phone No.(2)])</f>
        <v/>
      </c>
      <c r="V2210" s="11" t="str">
        <f>_xlfn.XLOOKUP(Customer[[#This Row],[Customer ID]],[1]!Address[ID],[1]!Address[Type])</f>
        <v>WALK IN</v>
      </c>
      <c r="W2210" s="11" t="str">
        <f>_xlfn.XLOOKUP(Customer[[#This Row],[Customer ID]],[1]!Address[ID],[1]!Address[CT])</f>
        <v/>
      </c>
      <c r="X2210" s="11"/>
      <c r="Y2210" s="17" t="s">
        <v>6284</v>
      </c>
      <c r="Z2210" s="17" t="e">
        <f>_xlfn.XLOOKUP(Customer[[#This Row],[NewType]],$AF$36:$AF$54,$AG$36:$AG$54)</f>
        <v>#N/A</v>
      </c>
      <c r="AA2210" s="17" t="s">
        <v>13783</v>
      </c>
      <c r="AB2210" s="11" t="str">
        <f>_xlfn.XLOOKUP(Customer[[#This Row],[Customer ID]],[1]!Address[ID],[1]!Address[Subtype])</f>
        <v>STAFF</v>
      </c>
      <c r="AC2210" s="18" t="str">
        <f>_xlfn.XLOOKUP(Customer[[#This Row],[Customer ID]],[1]!Address[ID],[1]!Address[Zone])</f>
        <v>SOUTH</v>
      </c>
    </row>
    <row r="2211" spans="1:30" x14ac:dyDescent="0.3">
      <c r="A2211" s="10" t="s">
        <v>13784</v>
      </c>
      <c r="B2211" s="11" t="str">
        <f>_xlfn.XLOOKUP(Customer[[#This Row],[Customer ID]],[1]!Name[ID],[1]!Name[Description(1)])</f>
        <v>ZULHELMY SHAMSHUDIN</v>
      </c>
      <c r="C2211" s="11" t="str">
        <f>_xlfn.XLOOKUP(Customer[[#This Row],[Customer ID]],[1]!Name[ID],[1]!Name[Description(2)])</f>
        <v/>
      </c>
      <c r="D2211" s="11" t="str">
        <f>_xlfn.XLOOKUP(Customer[[#This Row],[Customer ID]],[1]!Address[ID],[1]!Address[PIC])</f>
        <v/>
      </c>
      <c r="E2211" s="11" t="str">
        <f>_xlfn.XLOOKUP(Customer[[#This Row],[Customer ID]],[1]!Address[ID],[1]!Address[Full Address])</f>
        <v>NO 31 JALAN 6A/5 SEKSYEN 16,43650 BANDAR BARU BANGI SELANGOR</v>
      </c>
      <c r="F2211" s="12" t="s">
        <v>13785</v>
      </c>
      <c r="G2211" s="12" t="s">
        <v>4481</v>
      </c>
      <c r="H2211" s="12" t="s">
        <v>36</v>
      </c>
      <c r="I2211" s="12" t="b">
        <f>ISNUMBER(VALUE(LEFT(Customer[[#This Row],[Address Line 3 (30 char)]],1)))</f>
        <v>0</v>
      </c>
      <c r="J2211" s="12" t="s">
        <v>1907</v>
      </c>
      <c r="K2211" s="12">
        <v>43650</v>
      </c>
      <c r="L2211" s="12" t="s">
        <v>35</v>
      </c>
      <c r="M2211" s="13" t="e">
        <v>#N/A</v>
      </c>
      <c r="N2211" s="14" t="e">
        <v>#N/A</v>
      </c>
      <c r="O2211" s="14" t="e">
        <v>#N/A</v>
      </c>
      <c r="P2211" s="14" t="e">
        <v>#N/A</v>
      </c>
      <c r="Q2211" s="19" t="s">
        <v>13786</v>
      </c>
      <c r="R2211" s="15" t="s">
        <v>13787</v>
      </c>
      <c r="S2211" s="16" t="s">
        <v>89</v>
      </c>
      <c r="T2211" s="16" t="s">
        <v>89</v>
      </c>
      <c r="U2211" s="11" t="str">
        <f>_xlfn.XLOOKUP(Customer[[#This Row],[Customer ID]],[1]!Address[ID],[1]!Address[Phone No.(2)])</f>
        <v/>
      </c>
      <c r="V2211" s="11" t="str">
        <f>_xlfn.XLOOKUP(Customer[[#This Row],[Customer ID]],[1]!Address[ID],[1]!Address[Type])</f>
        <v>WALK IN</v>
      </c>
      <c r="W2211" s="11" t="str">
        <f>_xlfn.XLOOKUP(Customer[[#This Row],[Customer ID]],[1]!Address[ID],[1]!Address[CT])</f>
        <v/>
      </c>
      <c r="X2211" s="11"/>
      <c r="Y2211" s="17" t="s">
        <v>6284</v>
      </c>
      <c r="Z2211" s="17" t="e">
        <f>_xlfn.XLOOKUP(Customer[[#This Row],[NewType]],$AF$36:$AF$54,$AG$36:$AG$54)</f>
        <v>#N/A</v>
      </c>
      <c r="AA2211" s="17" t="s">
        <v>13788</v>
      </c>
      <c r="AB2211" s="11" t="str">
        <f>_xlfn.XLOOKUP(Customer[[#This Row],[Customer ID]],[1]!Address[ID],[1]!Address[Subtype])</f>
        <v>PEDAS</v>
      </c>
      <c r="AC2211" s="18" t="str">
        <f>_xlfn.XLOOKUP(Customer[[#This Row],[Customer ID]],[1]!Address[ID],[1]!Address[Zone])</f>
        <v>CENTRAL</v>
      </c>
    </row>
    <row r="2212" spans="1:30" x14ac:dyDescent="0.3">
      <c r="A2212" s="10" t="s">
        <v>13789</v>
      </c>
      <c r="B2212" s="11" t="str">
        <f>_xlfn.XLOOKUP(Customer[[#This Row],[Customer ID]],[1]!Name[ID],[1]!Name[Description(1)])</f>
        <v>NORNAJMIAH BINTI ISMAIL</v>
      </c>
      <c r="C2212" s="11" t="str">
        <f>_xlfn.XLOOKUP(Customer[[#This Row],[Customer ID]],[1]!Name[ID],[1]!Name[Description(2)])</f>
        <v>(SALES ORDERING)</v>
      </c>
      <c r="D2212" s="11" t="str">
        <f>_xlfn.XLOOKUP(Customer[[#This Row],[Customer ID]],[1]!Address[ID],[1]!Address[PIC])</f>
        <v/>
      </c>
      <c r="E2212" s="11" t="str">
        <f>_xlfn.XLOOKUP(Customer[[#This Row],[Customer ID]],[1]!Address[ID],[1]!Address[Full Address])</f>
        <v>D-12-8 PANGSAPURI PUTRA,TAMAN PUTRA IMPIAN,43000 KAJANG,SELANGOR</v>
      </c>
      <c r="F2212" s="12" t="s">
        <v>13790</v>
      </c>
      <c r="G2212" s="12" t="s">
        <v>13791</v>
      </c>
      <c r="H2212" s="12" t="s">
        <v>4134</v>
      </c>
      <c r="I2212" s="12" t="b">
        <f>ISNUMBER(VALUE(LEFT(Customer[[#This Row],[Address Line 3 (30 char)]],1)))</f>
        <v>0</v>
      </c>
      <c r="J2212" s="12" t="s">
        <v>1907</v>
      </c>
      <c r="K2212" s="12">
        <v>43000</v>
      </c>
      <c r="L2212" s="12" t="s">
        <v>35</v>
      </c>
      <c r="M2212" s="13" t="e">
        <v>#N/A</v>
      </c>
      <c r="N2212" s="14" t="e">
        <v>#N/A</v>
      </c>
      <c r="O2212" s="14" t="e">
        <v>#N/A</v>
      </c>
      <c r="P2212" s="14" t="e">
        <v>#N/A</v>
      </c>
      <c r="Q2212" s="19" t="s">
        <v>13792</v>
      </c>
      <c r="R2212" s="15" t="s">
        <v>13793</v>
      </c>
      <c r="S2212" s="16" t="s">
        <v>89</v>
      </c>
      <c r="T2212" s="16" t="s">
        <v>89</v>
      </c>
      <c r="U2212" s="11" t="str">
        <f>_xlfn.XLOOKUP(Customer[[#This Row],[Customer ID]],[1]!Address[ID],[1]!Address[Phone No.(2)])</f>
        <v/>
      </c>
      <c r="V2212" s="11" t="str">
        <f>_xlfn.XLOOKUP(Customer[[#This Row],[Customer ID]],[1]!Address[ID],[1]!Address[Type])</f>
        <v>WALK IN</v>
      </c>
      <c r="W2212" s="11" t="str">
        <f>_xlfn.XLOOKUP(Customer[[#This Row],[Customer ID]],[1]!Address[ID],[1]!Address[CT])</f>
        <v/>
      </c>
      <c r="X2212" s="11"/>
      <c r="Y2212" s="17" t="s">
        <v>6284</v>
      </c>
      <c r="Z2212" s="17" t="e">
        <f>_xlfn.XLOOKUP(Customer[[#This Row],[NewType]],$AF$36:$AF$54,$AG$36:$AG$54)</f>
        <v>#N/A</v>
      </c>
      <c r="AA2212" s="17" t="s">
        <v>13794</v>
      </c>
      <c r="AB2212" s="11" t="str">
        <f>_xlfn.XLOOKUP(Customer[[#This Row],[Customer ID]],[1]!Address[ID],[1]!Address[Subtype])</f>
        <v>STAFF</v>
      </c>
      <c r="AC2212" s="18" t="str">
        <f>_xlfn.XLOOKUP(Customer[[#This Row],[Customer ID]],[1]!Address[ID],[1]!Address[Zone])</f>
        <v>CENTRAL</v>
      </c>
    </row>
    <row r="2213" spans="1:30" x14ac:dyDescent="0.3">
      <c r="A2213" s="10" t="s">
        <v>13795</v>
      </c>
      <c r="B2213" s="11" t="str">
        <f>_xlfn.XLOOKUP(Customer[[#This Row],[Customer ID]],[1]!Name[ID],[1]!Name[Description(1)])</f>
        <v>SHAHARULLAH BIN NYATA</v>
      </c>
      <c r="C2213" s="11" t="str">
        <f>_xlfn.XLOOKUP(Customer[[#This Row],[Customer ID]],[1]!Name[ID],[1]!Name[Description(2)])</f>
        <v/>
      </c>
      <c r="D2213" s="11" t="str">
        <f>_xlfn.XLOOKUP(Customer[[#This Row],[Customer ID]],[1]!Address[ID],[1]!Address[PIC])</f>
        <v/>
      </c>
      <c r="E2213" s="11" t="str">
        <f>_xlfn.XLOOKUP(Customer[[#This Row],[Customer ID]],[1]!Address[ID],[1]!Address[Full Address])</f>
        <v>NO 399, JALAN SP 14,TAMAN SENAWANG PERDANA, 71450SEREMBAN, NEGERI SEMBILAN</v>
      </c>
      <c r="F2213" s="12" t="s">
        <v>13796</v>
      </c>
      <c r="G2213" s="12" t="s">
        <v>13797</v>
      </c>
      <c r="H2213" s="12" t="s">
        <v>2411</v>
      </c>
      <c r="I2213" s="12" t="b">
        <f>ISNUMBER(VALUE(LEFT(Customer[[#This Row],[Address Line 3 (30 char)]],1)))</f>
        <v>0</v>
      </c>
      <c r="J2213" s="12" t="s">
        <v>1907</v>
      </c>
      <c r="K2213" s="12">
        <v>71450</v>
      </c>
      <c r="L2213" s="12" t="s">
        <v>35</v>
      </c>
      <c r="M2213" s="13" t="e">
        <v>#N/A</v>
      </c>
      <c r="N2213" s="14" t="e">
        <v>#N/A</v>
      </c>
      <c r="O2213" s="14" t="e">
        <v>#N/A</v>
      </c>
      <c r="P2213" s="14" t="e">
        <v>#N/A</v>
      </c>
      <c r="Q2213" s="19" t="s">
        <v>13798</v>
      </c>
      <c r="R2213" s="15" t="s">
        <v>13799</v>
      </c>
      <c r="S2213" s="16" t="s">
        <v>89</v>
      </c>
      <c r="T2213" s="16" t="s">
        <v>89</v>
      </c>
      <c r="U2213" s="11" t="str">
        <f>_xlfn.XLOOKUP(Customer[[#This Row],[Customer ID]],[1]!Address[ID],[1]!Address[Phone No.(2)])</f>
        <v/>
      </c>
      <c r="V2213" s="11" t="str">
        <f>_xlfn.XLOOKUP(Customer[[#This Row],[Customer ID]],[1]!Address[ID],[1]!Address[Type])</f>
        <v>WALK IN</v>
      </c>
      <c r="W2213" s="11" t="str">
        <f>_xlfn.XLOOKUP(Customer[[#This Row],[Customer ID]],[1]!Address[ID],[1]!Address[CT])</f>
        <v/>
      </c>
      <c r="X2213" s="11"/>
      <c r="Y2213" s="17" t="s">
        <v>6284</v>
      </c>
      <c r="Z2213" s="17" t="e">
        <f>_xlfn.XLOOKUP(Customer[[#This Row],[NewType]],$AF$36:$AF$54,$AG$36:$AG$54)</f>
        <v>#N/A</v>
      </c>
      <c r="AA2213" s="17" t="s">
        <v>13800</v>
      </c>
      <c r="AB2213" s="11" t="str">
        <f>_xlfn.XLOOKUP(Customer[[#This Row],[Customer ID]],[1]!Address[ID],[1]!Address[Subtype])</f>
        <v>STAFF</v>
      </c>
      <c r="AC2213" s="18" t="str">
        <f>_xlfn.XLOOKUP(Customer[[#This Row],[Customer ID]],[1]!Address[ID],[1]!Address[Zone])</f>
        <v>SOUTH</v>
      </c>
    </row>
    <row r="2214" spans="1:30" x14ac:dyDescent="0.3">
      <c r="A2214" s="10" t="s">
        <v>13801</v>
      </c>
      <c r="B2214" s="11" t="str">
        <f>_xlfn.XLOOKUP(Customer[[#This Row],[Customer ID]],[1]!Name[ID],[1]!Name[Description(1)])</f>
        <v>MAHADZIR BIN MOHAMAD</v>
      </c>
      <c r="C2214" s="11" t="str">
        <f>_xlfn.XLOOKUP(Customer[[#This Row],[Customer ID]],[1]!Name[ID],[1]!Name[Description(2)])</f>
        <v/>
      </c>
      <c r="D2214" s="11" t="str">
        <f>_xlfn.XLOOKUP(Customer[[#This Row],[Customer ID]],[1]!Address[ID],[1]!Address[PIC])</f>
        <v/>
      </c>
      <c r="E2214" s="11" t="str">
        <f>_xlfn.XLOOKUP(Customer[[#This Row],[Customer ID]],[1]!Address[ID],[1]!Address[Full Address])</f>
        <v>LOT 1007, JALAN KUALA LINGGI,78200 KUALA SG BARU, MELAKA</v>
      </c>
      <c r="F2214" s="12" t="s">
        <v>13802</v>
      </c>
      <c r="G2214" s="12" t="s">
        <v>13803</v>
      </c>
      <c r="H2214" s="12" t="s">
        <v>36</v>
      </c>
      <c r="I2214" s="12" t="b">
        <f>ISNUMBER(VALUE(LEFT(Customer[[#This Row],[Address Line 3 (30 char)]],1)))</f>
        <v>0</v>
      </c>
      <c r="J2214" s="12" t="s">
        <v>61</v>
      </c>
      <c r="K2214" s="12">
        <v>78200</v>
      </c>
      <c r="L2214" s="12" t="s">
        <v>35</v>
      </c>
      <c r="M2214" s="13" t="e">
        <v>#N/A</v>
      </c>
      <c r="N2214" s="14" t="e">
        <v>#N/A</v>
      </c>
      <c r="O2214" s="14" t="e">
        <v>#N/A</v>
      </c>
      <c r="P2214" s="14" t="e">
        <v>#N/A</v>
      </c>
      <c r="Q2214" s="19" t="s">
        <v>13804</v>
      </c>
      <c r="R2214" s="15" t="s">
        <v>13805</v>
      </c>
      <c r="S2214" s="16" t="s">
        <v>89</v>
      </c>
      <c r="T2214" s="16" t="s">
        <v>89</v>
      </c>
      <c r="U2214" s="11" t="str">
        <f>_xlfn.XLOOKUP(Customer[[#This Row],[Customer ID]],[1]!Address[ID],[1]!Address[Phone No.(2)])</f>
        <v/>
      </c>
      <c r="V2214" s="11" t="str">
        <f>_xlfn.XLOOKUP(Customer[[#This Row],[Customer ID]],[1]!Address[ID],[1]!Address[Type])</f>
        <v>WALK IN</v>
      </c>
      <c r="W2214" s="11" t="str">
        <f>_xlfn.XLOOKUP(Customer[[#This Row],[Customer ID]],[1]!Address[ID],[1]!Address[CT])</f>
        <v/>
      </c>
      <c r="X2214" s="11"/>
      <c r="Y2214" s="17" t="s">
        <v>6284</v>
      </c>
      <c r="Z2214" s="17" t="e">
        <f>_xlfn.XLOOKUP(Customer[[#This Row],[NewType]],$AF$36:$AF$54,$AG$36:$AG$54)</f>
        <v>#N/A</v>
      </c>
      <c r="AA2214" s="17" t="s">
        <v>13806</v>
      </c>
      <c r="AB2214" s="11" t="str">
        <f>_xlfn.XLOOKUP(Customer[[#This Row],[Customer ID]],[1]!Address[ID],[1]!Address[Subtype])</f>
        <v>PEDAS</v>
      </c>
      <c r="AC2214" s="18" t="str">
        <f>_xlfn.XLOOKUP(Customer[[#This Row],[Customer ID]],[1]!Address[ID],[1]!Address[Zone])</f>
        <v>SOUTH</v>
      </c>
    </row>
    <row r="2215" spans="1:30" x14ac:dyDescent="0.3">
      <c r="A2215" s="10" t="s">
        <v>13807</v>
      </c>
      <c r="B2215" s="11" t="str">
        <f>_xlfn.XLOOKUP(Customer[[#This Row],[Customer ID]],[1]!Name[ID],[1]!Name[Description(1)])</f>
        <v>NURANI NADIZZ ENTERPRISE</v>
      </c>
      <c r="C2215" s="11" t="str">
        <f>_xlfn.XLOOKUP(Customer[[#This Row],[Customer ID]],[1]!Name[ID],[1]!Name[Description(2)])</f>
        <v/>
      </c>
      <c r="D2215" s="11" t="str">
        <f>_xlfn.XLOOKUP(Customer[[#This Row],[Customer ID]],[1]!Address[ID],[1]!Address[PIC])</f>
        <v/>
      </c>
      <c r="E2215" s="11" t="str">
        <f>_xlfn.XLOOKUP(Customer[[#This Row],[Customer ID]],[1]!Address[ID],[1]!Address[Full Address])</f>
        <v>5, JALAN IMPIAN MAKMUR 3/B,SAUJANA IMPIAN,43000 KAJANG SELANGOR</v>
      </c>
      <c r="F2215" s="12" t="s">
        <v>13808</v>
      </c>
      <c r="G2215" s="12" t="s">
        <v>13809</v>
      </c>
      <c r="H2215" s="12" t="s">
        <v>4134</v>
      </c>
      <c r="I2215" s="12" t="b">
        <f>ISNUMBER(VALUE(LEFT(Customer[[#This Row],[Address Line 3 (30 char)]],1)))</f>
        <v>0</v>
      </c>
      <c r="J2215" s="12" t="s">
        <v>1907</v>
      </c>
      <c r="K2215" s="12">
        <v>43000</v>
      </c>
      <c r="L2215" s="12" t="s">
        <v>35</v>
      </c>
      <c r="M2215" s="13" t="e">
        <v>#N/A</v>
      </c>
      <c r="N2215" s="14" t="e">
        <v>#N/A</v>
      </c>
      <c r="O2215" s="14" t="e">
        <v>#N/A</v>
      </c>
      <c r="P2215" s="14" t="e">
        <v>#N/A</v>
      </c>
      <c r="Q2215" s="19" t="s">
        <v>13810</v>
      </c>
      <c r="R2215" s="15" t="s">
        <v>12918</v>
      </c>
      <c r="S2215" s="15" t="s">
        <v>3212</v>
      </c>
      <c r="T2215" s="16" t="s">
        <v>89</v>
      </c>
      <c r="U2215" s="11" t="str">
        <f>_xlfn.XLOOKUP(Customer[[#This Row],[Customer ID]],[1]!Address[ID],[1]!Address[Phone No.(2)])</f>
        <v/>
      </c>
      <c r="V2215" s="11" t="str">
        <f>_xlfn.XLOOKUP(Customer[[#This Row],[Customer ID]],[1]!Address[ID],[1]!Address[Type])</f>
        <v>SOCMED</v>
      </c>
      <c r="W2215" s="11" t="str">
        <f>_xlfn.XLOOKUP(Customer[[#This Row],[Customer ID]],[1]!Address[ID],[1]!Address[CT])</f>
        <v/>
      </c>
      <c r="X2215" s="11"/>
      <c r="Y2215" s="17" t="s">
        <v>90</v>
      </c>
      <c r="Z2215" s="17" t="e">
        <f>_xlfn.XLOOKUP(Customer[[#This Row],[NewType]],$AF$36:$AF$54,$AG$36:$AG$54)</f>
        <v>#N/A</v>
      </c>
      <c r="AA2215" s="17" t="s">
        <v>13811</v>
      </c>
      <c r="AB2215" s="11" t="str">
        <f>_xlfn.XLOOKUP(Customer[[#This Row],[Customer ID]],[1]!Address[ID],[1]!Address[Subtype])</f>
        <v>ONLINE HAJAR</v>
      </c>
      <c r="AC2215" s="18" t="str">
        <f>_xlfn.XLOOKUP(Customer[[#This Row],[Customer ID]],[1]!Address[ID],[1]!Address[Zone])</f>
        <v>CENTRAL</v>
      </c>
    </row>
    <row r="2216" spans="1:30" x14ac:dyDescent="0.3">
      <c r="A2216" s="10" t="s">
        <v>13812</v>
      </c>
      <c r="B2216" s="11" t="str">
        <f>_xlfn.XLOOKUP(Customer[[#This Row],[Customer ID]],[1]!Name[ID],[1]!Name[Description(1)])</f>
        <v>NUR AQILAH ZARIFAH</v>
      </c>
      <c r="C2216" s="11" t="str">
        <f>_xlfn.XLOOKUP(Customer[[#This Row],[Customer ID]],[1]!Name[ID],[1]!Name[Description(2)])</f>
        <v>(OPERATOR)</v>
      </c>
      <c r="D2216" s="11" t="str">
        <f>_xlfn.XLOOKUP(Customer[[#This Row],[Customer ID]],[1]!Address[ID],[1]!Address[PIC])</f>
        <v/>
      </c>
      <c r="E2216" s="11" t="str">
        <f>_xlfn.XLOOKUP(Customer[[#This Row],[Customer ID]],[1]!Address[ID],[1]!Address[Full Address])</f>
        <v>3491 KG.BARISAN, JALAN SUA GRESING,71200 RANTAU, NEGERI SEMBILAN</v>
      </c>
      <c r="F2216" s="12" t="s">
        <v>13813</v>
      </c>
      <c r="G2216" s="12" t="s">
        <v>13814</v>
      </c>
      <c r="H2216" s="12" t="s">
        <v>6428</v>
      </c>
      <c r="I2216" s="12" t="b">
        <f>ISNUMBER(VALUE(LEFT(Customer[[#This Row],[Address Line 3 (30 char)]],1)))</f>
        <v>0</v>
      </c>
      <c r="J2216" s="12" t="s">
        <v>203</v>
      </c>
      <c r="K2216" s="12">
        <v>71200</v>
      </c>
      <c r="L2216" s="12" t="s">
        <v>35</v>
      </c>
      <c r="M2216" s="13" t="e">
        <v>#N/A</v>
      </c>
      <c r="N2216" s="14" t="e">
        <v>#N/A</v>
      </c>
      <c r="O2216" s="14" t="e">
        <v>#N/A</v>
      </c>
      <c r="P2216" s="14" t="e">
        <v>#N/A</v>
      </c>
      <c r="Q2216" s="19" t="s">
        <v>13815</v>
      </c>
      <c r="R2216" s="15" t="s">
        <v>13816</v>
      </c>
      <c r="S2216" s="16" t="s">
        <v>89</v>
      </c>
      <c r="T2216" s="16" t="s">
        <v>89</v>
      </c>
      <c r="U2216" s="11" t="str">
        <f>_xlfn.XLOOKUP(Customer[[#This Row],[Customer ID]],[1]!Address[ID],[1]!Address[Phone No.(2)])</f>
        <v/>
      </c>
      <c r="V2216" s="11" t="str">
        <f>_xlfn.XLOOKUP(Customer[[#This Row],[Customer ID]],[1]!Address[ID],[1]!Address[Type])</f>
        <v>WALK IN</v>
      </c>
      <c r="W2216" s="11" t="str">
        <f>_xlfn.XLOOKUP(Customer[[#This Row],[Customer ID]],[1]!Address[ID],[1]!Address[CT])</f>
        <v/>
      </c>
      <c r="X2216" s="11"/>
      <c r="Y2216" s="17" t="s">
        <v>6284</v>
      </c>
      <c r="Z2216" s="17" t="e">
        <f>_xlfn.XLOOKUP(Customer[[#This Row],[NewType]],$AF$36:$AF$54,$AG$36:$AG$54)</f>
        <v>#N/A</v>
      </c>
      <c r="AA2216" s="17" t="s">
        <v>13817</v>
      </c>
      <c r="AB2216" s="11" t="str">
        <f>_xlfn.XLOOKUP(Customer[[#This Row],[Customer ID]],[1]!Address[ID],[1]!Address[Subtype])</f>
        <v>STAFF</v>
      </c>
      <c r="AC2216" s="18" t="str">
        <f>_xlfn.XLOOKUP(Customer[[#This Row],[Customer ID]],[1]!Address[ID],[1]!Address[Zone])</f>
        <v>SOUTH</v>
      </c>
    </row>
    <row r="2217" spans="1:30" x14ac:dyDescent="0.3">
      <c r="A2217" s="10" t="s">
        <v>13818</v>
      </c>
      <c r="B2217" s="11" t="str">
        <f>_xlfn.XLOOKUP(Customer[[#This Row],[Customer ID]],[1]!Name[ID],[1]!Name[Description(1)])</f>
        <v>MOHD SHUKRI BIN MD HASSIM</v>
      </c>
      <c r="C2217" s="11" t="str">
        <f>_xlfn.XLOOKUP(Customer[[#This Row],[Customer ID]],[1]!Name[ID],[1]!Name[Description(2)])</f>
        <v/>
      </c>
      <c r="D2217" s="11" t="str">
        <f>_xlfn.XLOOKUP(Customer[[#This Row],[Customer ID]],[1]!Address[ID],[1]!Address[PIC])</f>
        <v>SHUKRI</v>
      </c>
      <c r="E2217" s="11" t="str">
        <f>_xlfn.XLOOKUP(Customer[[#This Row],[Customer ID]],[1]!Address[ID],[1]!Address[Full Address])</f>
        <v>NO 35 JALAN 2/2C, 43650 BANDAR BARUBANGI, SELANGOR</v>
      </c>
      <c r="F2217" s="12" t="s">
        <v>13819</v>
      </c>
      <c r="G2217" s="12" t="s">
        <v>13820</v>
      </c>
      <c r="H2217" s="12" t="s">
        <v>4431</v>
      </c>
      <c r="I2217" s="12" t="b">
        <f>ISNUMBER(VALUE(LEFT(Customer[[#This Row],[Address Line 3 (30 char)]],1)))</f>
        <v>0</v>
      </c>
      <c r="J2217" s="12" t="s">
        <v>172</v>
      </c>
      <c r="K2217" s="12">
        <v>43650</v>
      </c>
      <c r="L2217" s="12" t="s">
        <v>35</v>
      </c>
      <c r="M2217" s="13" t="e">
        <v>#N/A</v>
      </c>
      <c r="N2217" s="14" t="e">
        <v>#N/A</v>
      </c>
      <c r="O2217" s="14" t="e">
        <v>#N/A</v>
      </c>
      <c r="P2217" s="14" t="e">
        <v>#N/A</v>
      </c>
      <c r="Q2217" s="19" t="s">
        <v>13821</v>
      </c>
      <c r="R2217" s="15" t="s">
        <v>36</v>
      </c>
      <c r="S2217" s="16" t="s">
        <v>6283</v>
      </c>
      <c r="T2217" s="16"/>
      <c r="U2217" s="11" t="str">
        <f>_xlfn.XLOOKUP(Customer[[#This Row],[Customer ID]],[1]!Address[ID],[1]!Address[Phone No.(2)])</f>
        <v/>
      </c>
      <c r="V2217" s="11" t="str">
        <f>_xlfn.XLOOKUP(Customer[[#This Row],[Customer ID]],[1]!Address[ID],[1]!Address[Type])</f>
        <v>WALK IN</v>
      </c>
      <c r="W2217" s="11" t="str">
        <f>_xlfn.XLOOKUP(Customer[[#This Row],[Customer ID]],[1]!Address[ID],[1]!Address[CT])</f>
        <v/>
      </c>
      <c r="X2217" s="11"/>
      <c r="Y2217" s="17" t="s">
        <v>6284</v>
      </c>
      <c r="Z2217" s="17" t="e">
        <f>_xlfn.XLOOKUP(Customer[[#This Row],[NewType]],$AF$36:$AF$54,$AG$36:$AG$54)</f>
        <v>#N/A</v>
      </c>
      <c r="AA2217" s="17" t="s">
        <v>13822</v>
      </c>
      <c r="AB2217" s="11" t="str">
        <f>_xlfn.XLOOKUP(Customer[[#This Row],[Customer ID]],[1]!Address[ID],[1]!Address[Subtype])</f>
        <v>RANTAU</v>
      </c>
      <c r="AC2217" s="18" t="str">
        <f>_xlfn.XLOOKUP(Customer[[#This Row],[Customer ID]],[1]!Address[ID],[1]!Address[Zone])</f>
        <v>CENTRAL</v>
      </c>
    </row>
    <row r="2218" spans="1:30" x14ac:dyDescent="0.3">
      <c r="A2218" s="10" t="s">
        <v>13823</v>
      </c>
      <c r="B2218" s="11" t="str">
        <f>_xlfn.XLOOKUP(Customer[[#This Row],[Customer ID]],[1]!Name[ID],[1]!Name[Description(1)])</f>
        <v>MOHD RIDZUAN ZAKARIA</v>
      </c>
      <c r="C2218" s="11" t="str">
        <f>_xlfn.XLOOKUP(Customer[[#This Row],[Customer ID]],[1]!Name[ID],[1]!Name[Description(2)])</f>
        <v>(L&amp;W)</v>
      </c>
      <c r="D2218" s="11" t="str">
        <f>_xlfn.XLOOKUP(Customer[[#This Row],[Customer ID]],[1]!Address[ID],[1]!Address[PIC])</f>
        <v>RIDZUAN</v>
      </c>
      <c r="E2218" s="11" t="str">
        <f>_xlfn.XLOOKUP(Customer[[#This Row],[Customer ID]],[1]!Address[ID],[1]!Address[Full Address])</f>
        <v>NO.307, BLOK 10, PANGSAPURI JUBLIPERAK, JALAN 4/2 SEKSYEN 4, 43650BANDAR BARU BANGI, SELANGOR</v>
      </c>
      <c r="F2218" s="12" t="s">
        <v>13824</v>
      </c>
      <c r="G2218" s="12" t="s">
        <v>13825</v>
      </c>
      <c r="H2218" s="12" t="s">
        <v>4431</v>
      </c>
      <c r="I2218" s="12" t="b">
        <f>ISNUMBER(VALUE(LEFT(Customer[[#This Row],[Address Line 3 (30 char)]],1)))</f>
        <v>0</v>
      </c>
      <c r="J2218" s="12" t="s">
        <v>172</v>
      </c>
      <c r="K2218" s="12">
        <v>43650</v>
      </c>
      <c r="L2218" s="12" t="s">
        <v>35</v>
      </c>
      <c r="M2218" s="13" t="e">
        <v>#N/A</v>
      </c>
      <c r="N2218" s="14" t="e">
        <v>#N/A</v>
      </c>
      <c r="O2218" s="14" t="e">
        <v>#N/A</v>
      </c>
      <c r="P2218" s="14" t="e">
        <v>#N/A</v>
      </c>
      <c r="Q2218" s="19" t="s">
        <v>13826</v>
      </c>
      <c r="R2218" s="15" t="s">
        <v>13827</v>
      </c>
      <c r="S2218" s="16" t="s">
        <v>89</v>
      </c>
      <c r="T2218" s="16" t="s">
        <v>89</v>
      </c>
      <c r="U2218" s="11" t="str">
        <f>_xlfn.XLOOKUP(Customer[[#This Row],[Customer ID]],[1]!Address[ID],[1]!Address[Phone No.(2)])</f>
        <v/>
      </c>
      <c r="V2218" s="11" t="str">
        <f>_xlfn.XLOOKUP(Customer[[#This Row],[Customer ID]],[1]!Address[ID],[1]!Address[Type])</f>
        <v>WALK IN</v>
      </c>
      <c r="W2218" s="11" t="str">
        <f>_xlfn.XLOOKUP(Customer[[#This Row],[Customer ID]],[1]!Address[ID],[1]!Address[CT])</f>
        <v/>
      </c>
      <c r="X2218" s="11"/>
      <c r="Y2218" s="17" t="s">
        <v>6284</v>
      </c>
      <c r="Z2218" s="17" t="e">
        <f>_xlfn.XLOOKUP(Customer[[#This Row],[NewType]],$AF$36:$AF$54,$AG$36:$AG$54)</f>
        <v>#N/A</v>
      </c>
      <c r="AA2218" s="17" t="s">
        <v>13828</v>
      </c>
      <c r="AB2218" s="11" t="str">
        <f>_xlfn.XLOOKUP(Customer[[#This Row],[Customer ID]],[1]!Address[ID],[1]!Address[Subtype])</f>
        <v>STAFF</v>
      </c>
      <c r="AC2218" s="18" t="str">
        <f>_xlfn.XLOOKUP(Customer[[#This Row],[Customer ID]],[1]!Address[ID],[1]!Address[Zone])</f>
        <v>CENTRAL</v>
      </c>
    </row>
    <row r="2219" spans="1:30" x14ac:dyDescent="0.3">
      <c r="A2219" s="72" t="s">
        <v>13829</v>
      </c>
      <c r="B2219" s="68" t="str">
        <f>_xlfn.XLOOKUP(Customer[[#This Row],[Customer ID]],[1]!Name[ID],[1]!Name[Description(1)])</f>
        <v>UTM HOLDINGS SDN BHD</v>
      </c>
      <c r="C2219" s="68" t="str">
        <f>_xlfn.XLOOKUP(Customer[[#This Row],[Customer ID]],[1]!Name[ID],[1]!Name[Description(2)])</f>
        <v/>
      </c>
      <c r="D2219" s="68" t="str">
        <f>_xlfn.XLOOKUP(Customer[[#This Row],[Customer ID]],[1]!Address[ID],[1]!Address[PIC])</f>
        <v/>
      </c>
      <c r="E2219" s="11" t="str">
        <f>_xlfn.XLOOKUP(Customer[[#This Row],[Customer ID]],[1]!Address[ID],[1]!Address[Full Address])</f>
        <v>RESIDENTSI UTMKL, TOWER 2,LEVEL 16, JALAN MENTAKAB54100 KUALA LUMPUR</v>
      </c>
      <c r="F2219" s="12" t="s">
        <v>13830</v>
      </c>
      <c r="G2219" s="12" t="s">
        <v>13831</v>
      </c>
      <c r="H2219" s="24"/>
      <c r="I2219" s="24" t="b">
        <f>ISNUMBER(VALUE(LEFT(Customer[[#This Row],[Address Line 3 (30 char)]],1)))</f>
        <v>0</v>
      </c>
      <c r="J2219" s="12" t="s">
        <v>8855</v>
      </c>
      <c r="K2219" s="12">
        <v>54100</v>
      </c>
      <c r="L2219" s="12" t="s">
        <v>35</v>
      </c>
      <c r="M2219" s="13" t="e">
        <v>#N/A</v>
      </c>
      <c r="N2219" s="14" t="e">
        <v>#N/A</v>
      </c>
      <c r="O2219" s="14" t="e">
        <v>#N/A</v>
      </c>
      <c r="P2219" s="14" t="e">
        <v>#N/A</v>
      </c>
      <c r="Q2219" s="14" t="e">
        <v>#N/A</v>
      </c>
      <c r="R2219" s="67" t="s">
        <v>13832</v>
      </c>
      <c r="S2219" s="67"/>
      <c r="T2219" s="76"/>
      <c r="U2219" s="68" t="str">
        <f>_xlfn.XLOOKUP(Customer[[#This Row],[Customer ID]],[1]!Address[ID],[1]!Address[Phone No.(2)])</f>
        <v/>
      </c>
      <c r="V2219" s="68" t="str">
        <f>_xlfn.XLOOKUP(Customer[[#This Row],[Customer ID]],[1]!Address[ID],[1]!Address[Type])</f>
        <v>WALK IN</v>
      </c>
      <c r="W2219" s="68" t="str">
        <f>_xlfn.XLOOKUP(Customer[[#This Row],[Customer ID]],[1]!Address[ID],[1]!Address[CT])</f>
        <v>CASH</v>
      </c>
      <c r="X2219" s="68"/>
      <c r="Y2219" s="69" t="s">
        <v>6284</v>
      </c>
      <c r="Z2219" s="69" t="e">
        <f>_xlfn.XLOOKUP(Customer[[#This Row],[NewType]],$AF$36:$AF$54,$AG$36:$AG$54)</f>
        <v>#N/A</v>
      </c>
      <c r="AA2219" s="69" t="s">
        <v>13833</v>
      </c>
      <c r="AB2219" s="68" t="str">
        <f>_xlfn.XLOOKUP(Customer[[#This Row],[Customer ID]],[1]!Address[ID],[1]!Address[Subtype])</f>
        <v>CASH</v>
      </c>
      <c r="AC2219" s="70" t="str">
        <f>_xlfn.XLOOKUP(Customer[[#This Row],[Customer ID]],[1]!Address[ID],[1]!Address[Zone])</f>
        <v>CENTRAL</v>
      </c>
      <c r="AD2219" s="71"/>
    </row>
    <row r="2220" spans="1:30" x14ac:dyDescent="0.3">
      <c r="A2220" s="10" t="s">
        <v>13834</v>
      </c>
      <c r="B2220" s="11" t="str">
        <f>_xlfn.XLOOKUP(Customer[[#This Row],[Customer ID]],[1]!Name[ID],[1]!Name[Description(1)])</f>
        <v>PEJABAT SETIAUSAHA KERAJAAN NEGERI SEMBN</v>
      </c>
      <c r="C2220" s="11" t="str">
        <f>_xlfn.XLOOKUP(Customer[[#This Row],[Customer ID]],[1]!Name[ID],[1]!Name[Description(2)])</f>
        <v>SUKNS</v>
      </c>
      <c r="D2220" s="11" t="str">
        <f>_xlfn.XLOOKUP(Customer[[#This Row],[Customer ID]],[1]!Address[ID],[1]!Address[PIC])</f>
        <v/>
      </c>
      <c r="E2220" s="11" t="str">
        <f>_xlfn.XLOOKUP(Customer[[#This Row],[Customer ID]],[1]!Address[ID],[1]!Address[Full Address])</f>
        <v>WISMA NEGERIJALAN DATO' ABDUL MALEK70503 SEREMBAN,NEGERI SEMBILAN</v>
      </c>
      <c r="F2220" s="12" t="s">
        <v>13835</v>
      </c>
      <c r="G2220" s="12" t="s">
        <v>13836</v>
      </c>
      <c r="H2220" s="24" t="s">
        <v>2411</v>
      </c>
      <c r="I2220" s="24" t="b">
        <f>ISNUMBER(VALUE(LEFT(Customer[[#This Row],[Address Line 3 (30 char)]],1)))</f>
        <v>0</v>
      </c>
      <c r="J2220" s="12" t="s">
        <v>2004</v>
      </c>
      <c r="K2220" s="12">
        <v>70503</v>
      </c>
      <c r="L2220" s="12" t="s">
        <v>35</v>
      </c>
      <c r="M2220" s="13" t="e">
        <v>#N/A</v>
      </c>
      <c r="N2220" s="14" t="e">
        <v>#N/A</v>
      </c>
      <c r="O2220" s="14" t="e">
        <v>#N/A</v>
      </c>
      <c r="P2220" s="14" t="e">
        <v>#N/A</v>
      </c>
      <c r="Q2220" s="19" t="s">
        <v>13837</v>
      </c>
      <c r="R2220" s="15" t="s">
        <v>13838</v>
      </c>
      <c r="S2220" s="15" t="s">
        <v>5934</v>
      </c>
      <c r="T2220" s="16" t="s">
        <v>3477</v>
      </c>
      <c r="U2220" s="11" t="str">
        <f>_xlfn.XLOOKUP(Customer[[#This Row],[Customer ID]],[1]!Address[ID],[1]!Address[Phone No.(2)])</f>
        <v/>
      </c>
      <c r="V2220" s="11" t="str">
        <f>_xlfn.XLOOKUP(Customer[[#This Row],[Customer ID]],[1]!Address[ID],[1]!Address[Type])</f>
        <v>CORPORATE</v>
      </c>
      <c r="W2220" s="11" t="str">
        <f>_xlfn.XLOOKUP(Customer[[#This Row],[Customer ID]],[1]!Address[ID],[1]!Address[CT])</f>
        <v>30 DAYS</v>
      </c>
      <c r="X2220" s="11"/>
      <c r="Y2220" s="17" t="s">
        <v>6418</v>
      </c>
      <c r="Z2220" s="17" t="e">
        <f>_xlfn.XLOOKUP(Customer[[#This Row],[NewType]],$AF$36:$AF$54,$AG$36:$AG$54)</f>
        <v>#N/A</v>
      </c>
      <c r="AA2220" s="17" t="s">
        <v>13839</v>
      </c>
      <c r="AB2220" s="11" t="str">
        <f>_xlfn.XLOOKUP(Customer[[#This Row],[Customer ID]],[1]!Address[ID],[1]!Address[Subtype])</f>
        <v>SUKNS</v>
      </c>
      <c r="AC2220" s="18" t="str">
        <f>_xlfn.XLOOKUP(Customer[[#This Row],[Customer ID]],[1]!Address[ID],[1]!Address[Zone])</f>
        <v>SOUTH</v>
      </c>
    </row>
    <row r="2221" spans="1:30" x14ac:dyDescent="0.3">
      <c r="A2221" s="10" t="s">
        <v>13840</v>
      </c>
      <c r="B2221" s="11" t="str">
        <f>_xlfn.XLOOKUP(Customer[[#This Row],[Customer ID]],[1]!Name[ID],[1]!Name[Description(1)])</f>
        <v>SITI NUR SHAFIQA BINTI SURAINI</v>
      </c>
      <c r="C2221" s="11" t="str">
        <f>_xlfn.XLOOKUP(Customer[[#This Row],[Customer ID]],[1]!Name[ID],[1]!Name[Description(2)])</f>
        <v/>
      </c>
      <c r="D2221" s="11" t="str">
        <f>_xlfn.XLOOKUP(Customer[[#This Row],[Customer ID]],[1]!Address[ID],[1]!Address[PIC])</f>
        <v/>
      </c>
      <c r="E2221" s="11" t="str">
        <f>_xlfn.XLOOKUP(Customer[[#This Row],[Customer ID]],[1]!Address[ID],[1]!Address[Full Address])</f>
        <v>ST 2432 JALAN BIDARA PALMA 7,TAMAN BIDARA PALMA MASJID TANAH 78300MELAKA</v>
      </c>
      <c r="F2221" s="12" t="s">
        <v>13841</v>
      </c>
      <c r="G2221" s="12" t="s">
        <v>13842</v>
      </c>
      <c r="H2221" s="12" t="s">
        <v>13843</v>
      </c>
      <c r="I2221" s="12" t="b">
        <f>ISNUMBER(VALUE(LEFT(Customer[[#This Row],[Address Line 3 (30 char)]],1)))</f>
        <v>0</v>
      </c>
      <c r="J2221" s="12" t="s">
        <v>61</v>
      </c>
      <c r="K2221" s="12">
        <v>78300</v>
      </c>
      <c r="L2221" s="12" t="s">
        <v>35</v>
      </c>
      <c r="M2221" s="13" t="e">
        <v>#N/A</v>
      </c>
      <c r="N2221" s="14" t="e">
        <v>#N/A</v>
      </c>
      <c r="O2221" s="14" t="e">
        <v>#N/A</v>
      </c>
      <c r="P2221" s="14" t="e">
        <v>#N/A</v>
      </c>
      <c r="Q2221" s="19" t="s">
        <v>13844</v>
      </c>
      <c r="R2221" s="15" t="s">
        <v>13845</v>
      </c>
      <c r="S2221" s="16" t="s">
        <v>89</v>
      </c>
      <c r="T2221" s="16" t="s">
        <v>89</v>
      </c>
      <c r="U2221" s="11" t="str">
        <f>_xlfn.XLOOKUP(Customer[[#This Row],[Customer ID]],[1]!Address[ID],[1]!Address[Phone No.(2)])</f>
        <v/>
      </c>
      <c r="V2221" s="11" t="str">
        <f>_xlfn.XLOOKUP(Customer[[#This Row],[Customer ID]],[1]!Address[ID],[1]!Address[Type])</f>
        <v>WALK IN</v>
      </c>
      <c r="W2221" s="11" t="str">
        <f>_xlfn.XLOOKUP(Customer[[#This Row],[Customer ID]],[1]!Address[ID],[1]!Address[CT])</f>
        <v/>
      </c>
      <c r="X2221" s="11"/>
      <c r="Y2221" s="17" t="s">
        <v>6284</v>
      </c>
      <c r="Z2221" s="17" t="e">
        <f>_xlfn.XLOOKUP(Customer[[#This Row],[NewType]],$AF$36:$AF$54,$AG$36:$AG$54)</f>
        <v>#N/A</v>
      </c>
      <c r="AA2221" s="17" t="s">
        <v>13846</v>
      </c>
      <c r="AB2221" s="11" t="str">
        <f>_xlfn.XLOOKUP(Customer[[#This Row],[Customer ID]],[1]!Address[ID],[1]!Address[Subtype])</f>
        <v>PEDAS</v>
      </c>
      <c r="AC2221" s="18" t="str">
        <f>_xlfn.XLOOKUP(Customer[[#This Row],[Customer ID]],[1]!Address[ID],[1]!Address[Zone])</f>
        <v>SOUTH</v>
      </c>
    </row>
    <row r="2222" spans="1:30" x14ac:dyDescent="0.3">
      <c r="A2222" s="45" t="s">
        <v>13847</v>
      </c>
      <c r="B2222" s="32" t="str">
        <f>_xlfn.XLOOKUP(Customer[[#This Row],[Customer ID]],[1]!Name[ID],[1]!Name[Description(1)])</f>
        <v>FAIZI</v>
      </c>
      <c r="C2222" s="32" t="str">
        <f>_xlfn.XLOOKUP(Customer[[#This Row],[Customer ID]],[1]!Name[ID],[1]!Name[Description(2)])</f>
        <v/>
      </c>
      <c r="D2222" s="11" t="str">
        <f>_xlfn.XLOOKUP(Customer[[#This Row],[Customer ID]],[1]!Address[ID],[1]!Address[PIC])</f>
        <v/>
      </c>
      <c r="E2222" s="11" t="str">
        <f>_xlfn.XLOOKUP(Customer[[#This Row],[Customer ID]],[1]!Address[ID],[1]!Address[Full Address])</f>
        <v>E-6 RUMAH PANGSA FASA 2,TAMAN SRI MAWAR SENAWANGNEGERI SEMBILAN</v>
      </c>
      <c r="F2222" s="12" t="s">
        <v>13848</v>
      </c>
      <c r="G2222" s="12" t="s">
        <v>13849</v>
      </c>
      <c r="H2222" s="12"/>
      <c r="I2222" s="12" t="b">
        <f>ISNUMBER(VALUE(LEFT(Customer[[#This Row],[Address Line 3 (30 char)]],1)))</f>
        <v>0</v>
      </c>
      <c r="J2222" s="32" t="s">
        <v>203</v>
      </c>
      <c r="K2222" s="32">
        <v>70450</v>
      </c>
      <c r="L2222" s="12" t="s">
        <v>35</v>
      </c>
      <c r="M2222" s="13" t="e">
        <v>#N/A</v>
      </c>
      <c r="N2222" s="14" t="e">
        <v>#N/A</v>
      </c>
      <c r="O2222" s="14" t="e">
        <v>#N/A</v>
      </c>
      <c r="P2222" s="14" t="e">
        <v>#N/A</v>
      </c>
      <c r="Q2222" s="14" t="e">
        <v>#N/A</v>
      </c>
      <c r="R2222" s="15" t="s">
        <v>13850</v>
      </c>
      <c r="S2222" s="16" t="s">
        <v>89</v>
      </c>
      <c r="T2222" s="16" t="s">
        <v>89</v>
      </c>
      <c r="U2222" s="11" t="str">
        <f>_xlfn.XLOOKUP(Customer[[#This Row],[Customer ID]],[1]!Address[ID],[1]!Address[Phone No.(2)])</f>
        <v/>
      </c>
      <c r="V2222" s="11" t="str">
        <f>_xlfn.XLOOKUP(Customer[[#This Row],[Customer ID]],[1]!Address[ID],[1]!Address[Type])</f>
        <v>WALK IN</v>
      </c>
      <c r="W2222" s="11" t="str">
        <f>_xlfn.XLOOKUP(Customer[[#This Row],[Customer ID]],[1]!Address[ID],[1]!Address[CT])</f>
        <v/>
      </c>
      <c r="X2222" s="11"/>
      <c r="Y2222" s="17" t="s">
        <v>6284</v>
      </c>
      <c r="Z2222" s="17" t="e">
        <f>_xlfn.XLOOKUP(Customer[[#This Row],[NewType]],$AF$36:$AF$54,$AG$36:$AG$54)</f>
        <v>#N/A</v>
      </c>
      <c r="AA2222" s="17" t="s">
        <v>13851</v>
      </c>
      <c r="AB2222" s="11" t="str">
        <f>_xlfn.XLOOKUP(Customer[[#This Row],[Customer ID]],[1]!Address[ID],[1]!Address[Subtype])</f>
        <v>PEDAS</v>
      </c>
      <c r="AC2222" s="18" t="str">
        <f>_xlfn.XLOOKUP(Customer[[#This Row],[Customer ID]],[1]!Address[ID],[1]!Address[Zone])</f>
        <v>SOUTH</v>
      </c>
    </row>
    <row r="2223" spans="1:30" x14ac:dyDescent="0.3">
      <c r="A2223" s="10" t="s">
        <v>13852</v>
      </c>
      <c r="B2223" s="11" t="str">
        <f>_xlfn.XLOOKUP(Customer[[#This Row],[Customer ID]],[1]!Name[ID],[1]!Name[Description(1)])</f>
        <v>SITI AMINAH MAT ESA</v>
      </c>
      <c r="C2223" s="11" t="str">
        <f>_xlfn.XLOOKUP(Customer[[#This Row],[Customer ID]],[1]!Name[ID],[1]!Name[Description(2)])</f>
        <v/>
      </c>
      <c r="D2223" s="11" t="str">
        <f>_xlfn.XLOOKUP(Customer[[#This Row],[Customer ID]],[1]!Address[ID],[1]!Address[PIC])</f>
        <v/>
      </c>
      <c r="E2223" s="11" t="str">
        <f>_xlfn.XLOOKUP(Customer[[#This Row],[Customer ID]],[1]!Address[ID],[1]!Address[Full Address])</f>
        <v>NO. 97 TMN GEMILANG, 32610SERI ISKANDAR</v>
      </c>
      <c r="F2223" s="12" t="s">
        <v>13853</v>
      </c>
      <c r="G2223" s="12" t="s">
        <v>13854</v>
      </c>
      <c r="H2223" s="12" t="s">
        <v>36</v>
      </c>
      <c r="I2223" s="12" t="b">
        <f>ISNUMBER(VALUE(LEFT(Customer[[#This Row],[Address Line 3 (30 char)]],1)))</f>
        <v>0</v>
      </c>
      <c r="J2223" s="12" t="s">
        <v>242</v>
      </c>
      <c r="K2223" s="12">
        <v>32610</v>
      </c>
      <c r="L2223" s="12" t="s">
        <v>35</v>
      </c>
      <c r="M2223" s="13" t="e">
        <v>#N/A</v>
      </c>
      <c r="N2223" s="14" t="e">
        <v>#N/A</v>
      </c>
      <c r="O2223" s="14" t="e">
        <v>#N/A</v>
      </c>
      <c r="P2223" s="14" t="e">
        <v>#N/A</v>
      </c>
      <c r="Q2223" s="19" t="s">
        <v>13855</v>
      </c>
      <c r="R2223" s="15" t="s">
        <v>13856</v>
      </c>
      <c r="S2223" s="16" t="s">
        <v>89</v>
      </c>
      <c r="T2223" s="16" t="s">
        <v>89</v>
      </c>
      <c r="U2223" s="11" t="str">
        <f>_xlfn.XLOOKUP(Customer[[#This Row],[Customer ID]],[1]!Address[ID],[1]!Address[Phone No.(2)])</f>
        <v/>
      </c>
      <c r="V2223" s="11" t="str">
        <f>_xlfn.XLOOKUP(Customer[[#This Row],[Customer ID]],[1]!Address[ID],[1]!Address[Type])</f>
        <v>WALK IN</v>
      </c>
      <c r="W2223" s="11" t="str">
        <f>_xlfn.XLOOKUP(Customer[[#This Row],[Customer ID]],[1]!Address[ID],[1]!Address[CT])</f>
        <v/>
      </c>
      <c r="X2223" s="11"/>
      <c r="Y2223" s="17" t="s">
        <v>6284</v>
      </c>
      <c r="Z2223" s="17" t="e">
        <f>_xlfn.XLOOKUP(Customer[[#This Row],[NewType]],$AF$36:$AF$54,$AG$36:$AG$54)</f>
        <v>#N/A</v>
      </c>
      <c r="AA2223" s="17" t="s">
        <v>13857</v>
      </c>
      <c r="AB2223" s="11" t="str">
        <f>_xlfn.XLOOKUP(Customer[[#This Row],[Customer ID]],[1]!Address[ID],[1]!Address[Subtype])</f>
        <v>PEDAS</v>
      </c>
      <c r="AC2223" s="18" t="str">
        <f>_xlfn.XLOOKUP(Customer[[#This Row],[Customer ID]],[1]!Address[ID],[1]!Address[Zone])</f>
        <v>NORTH</v>
      </c>
    </row>
    <row r="2224" spans="1:30" x14ac:dyDescent="0.3">
      <c r="A2224" s="10" t="s">
        <v>13858</v>
      </c>
      <c r="B2224" s="11" t="str">
        <f>_xlfn.XLOOKUP(Customer[[#This Row],[Customer ID]],[1]!Name[ID],[1]!Name[Description(1)])</f>
        <v>GEMUROH GROUP SDN BHD</v>
      </c>
      <c r="C2224" s="11" t="str">
        <f>_xlfn.XLOOKUP(Customer[[#This Row],[Customer ID]],[1]!Name[ID],[1]!Name[Description(2)])</f>
        <v/>
      </c>
      <c r="D2224" s="11" t="str">
        <f>_xlfn.XLOOKUP(Customer[[#This Row],[Customer ID]],[1]!Address[ID],[1]!Address[PIC])</f>
        <v>SYAKIR</v>
      </c>
      <c r="E2224" s="11" t="str">
        <f>_xlfn.XLOOKUP(Customer[[#This Row],[Customer ID]],[1]!Address[ID],[1]!Address[Full Address])</f>
        <v>LOT 102422 JALAN KELANTANKG GEMUROH 21060 KUALA NERUS,TERENGGANU</v>
      </c>
      <c r="F2224" s="12" t="s">
        <v>13859</v>
      </c>
      <c r="G2224" s="12" t="s">
        <v>13860</v>
      </c>
      <c r="H2224" s="12"/>
      <c r="I2224" s="12" t="b">
        <f>ISNUMBER(VALUE(LEFT(Customer[[#This Row],[Address Line 3 (30 char)]],1)))</f>
        <v>0</v>
      </c>
      <c r="J2224" s="12" t="s">
        <v>1056</v>
      </c>
      <c r="K2224" s="12">
        <v>21060</v>
      </c>
      <c r="L2224" s="12" t="s">
        <v>35</v>
      </c>
      <c r="M2224" s="13" t="e">
        <v>#N/A</v>
      </c>
      <c r="N2224" s="14" t="e">
        <v>#N/A</v>
      </c>
      <c r="O2224" s="14" t="e">
        <v>#N/A</v>
      </c>
      <c r="P2224" s="14" t="e">
        <v>#N/A</v>
      </c>
      <c r="Q2224" s="19" t="s">
        <v>13861</v>
      </c>
      <c r="R2224" s="15" t="s">
        <v>13862</v>
      </c>
      <c r="S2224" s="15" t="s">
        <v>3212</v>
      </c>
      <c r="T2224" s="16" t="s">
        <v>89</v>
      </c>
      <c r="U2224" s="11" t="str">
        <f>_xlfn.XLOOKUP(Customer[[#This Row],[Customer ID]],[1]!Address[ID],[1]!Address[Phone No.(2)])</f>
        <v/>
      </c>
      <c r="V2224" s="11" t="str">
        <f>_xlfn.XLOOKUP(Customer[[#This Row],[Customer ID]],[1]!Address[ID],[1]!Address[Type])</f>
        <v>SOCMED</v>
      </c>
      <c r="W2224" s="11" t="str">
        <f>_xlfn.XLOOKUP(Customer[[#This Row],[Customer ID]],[1]!Address[ID],[1]!Address[CT])</f>
        <v/>
      </c>
      <c r="X2224" s="11"/>
      <c r="Y2224" s="17" t="s">
        <v>90</v>
      </c>
      <c r="Z2224" s="17" t="e">
        <f>_xlfn.XLOOKUP(Customer[[#This Row],[NewType]],$AF$36:$AF$54,$AG$36:$AG$54)</f>
        <v>#N/A</v>
      </c>
      <c r="AA2224" s="17" t="s">
        <v>13863</v>
      </c>
      <c r="AB2224" s="11" t="str">
        <f>_xlfn.XLOOKUP(Customer[[#This Row],[Customer ID]],[1]!Address[ID],[1]!Address[Subtype])</f>
        <v>ONLINE HAJAR</v>
      </c>
      <c r="AC2224" s="18" t="str">
        <f>_xlfn.XLOOKUP(Customer[[#This Row],[Customer ID]],[1]!Address[ID],[1]!Address[Zone])</f>
        <v>EAST COAST</v>
      </c>
    </row>
    <row r="2225" spans="1:30" x14ac:dyDescent="0.3">
      <c r="A2225" s="10" t="s">
        <v>13864</v>
      </c>
      <c r="B2225" s="11" t="str">
        <f>_xlfn.XLOOKUP(Customer[[#This Row],[Customer ID]],[1]!Name[ID],[1]!Name[Description(1)])</f>
        <v>ISKANDAR BIN ISMAIL</v>
      </c>
      <c r="C2225" s="11" t="str">
        <f>_xlfn.XLOOKUP(Customer[[#This Row],[Customer ID]],[1]!Name[ID],[1]!Name[Description(2)])</f>
        <v/>
      </c>
      <c r="D2225" s="11" t="str">
        <f>_xlfn.XLOOKUP(Customer[[#This Row],[Customer ID]],[1]!Address[ID],[1]!Address[PIC])</f>
        <v>ISKANDAR</v>
      </c>
      <c r="E2225" s="11" t="str">
        <f>_xlfn.XLOOKUP(Customer[[#This Row],[Customer ID]],[1]!Address[ID],[1]!Address[Full Address])</f>
        <v>15,JALAN KAYUMANIS 1,KAYUMANISGARDEN VILLAS,SEKSYEN 5, 43650BANDAR BARU BANGI,SELANGOR</v>
      </c>
      <c r="F2225" s="63" t="s">
        <v>13865</v>
      </c>
      <c r="G2225" s="63" t="s">
        <v>13866</v>
      </c>
      <c r="H2225" s="63" t="s">
        <v>4431</v>
      </c>
      <c r="I2225" s="63" t="b">
        <f>ISNUMBER(VALUE(LEFT(Customer[[#This Row],[Address Line 3 (30 char)]],1)))</f>
        <v>0</v>
      </c>
      <c r="J2225" s="63" t="s">
        <v>172</v>
      </c>
      <c r="K2225" s="63">
        <v>43650</v>
      </c>
      <c r="L2225" s="63" t="s">
        <v>35</v>
      </c>
      <c r="M2225" s="65" t="e">
        <v>#N/A</v>
      </c>
      <c r="N2225" s="66" t="e">
        <v>#N/A</v>
      </c>
      <c r="O2225" s="66" t="e">
        <v>#N/A</v>
      </c>
      <c r="P2225" s="66" t="e">
        <v>#N/A</v>
      </c>
      <c r="Q2225" s="110" t="s">
        <v>13867</v>
      </c>
      <c r="R2225" s="15" t="s">
        <v>13868</v>
      </c>
      <c r="S2225" s="15" t="s">
        <v>4271</v>
      </c>
      <c r="T2225" s="16" t="s">
        <v>89</v>
      </c>
      <c r="U2225" s="11" t="str">
        <f>_xlfn.XLOOKUP(Customer[[#This Row],[Customer ID]],[1]!Address[ID],[1]!Address[Phone No.(2)])</f>
        <v/>
      </c>
      <c r="V2225" s="11" t="str">
        <f>_xlfn.XLOOKUP(Customer[[#This Row],[Customer ID]],[1]!Address[ID],[1]!Address[Type])</f>
        <v>SOCMED</v>
      </c>
      <c r="W2225" s="11" t="str">
        <f>_xlfn.XLOOKUP(Customer[[#This Row],[Customer ID]],[1]!Address[ID],[1]!Address[CT])</f>
        <v/>
      </c>
      <c r="X2225" s="11"/>
      <c r="Y2225" s="17" t="s">
        <v>90</v>
      </c>
      <c r="Z2225" s="17" t="e">
        <f>_xlfn.XLOOKUP(Customer[[#This Row],[NewType]],$AF$36:$AF$54,$AG$36:$AG$54)</f>
        <v>#N/A</v>
      </c>
      <c r="AA2225" s="17" t="s">
        <v>13869</v>
      </c>
      <c r="AB2225" s="11" t="str">
        <f>_xlfn.XLOOKUP(Customer[[#This Row],[Customer ID]],[1]!Address[ID],[1]!Address[Subtype])</f>
        <v>WHATSAPP</v>
      </c>
      <c r="AC2225" s="18" t="str">
        <f>_xlfn.XLOOKUP(Customer[[#This Row],[Customer ID]],[1]!Address[ID],[1]!Address[Zone])</f>
        <v>CENTRAL</v>
      </c>
    </row>
    <row r="2226" spans="1:30" x14ac:dyDescent="0.3">
      <c r="A2226" s="10" t="s">
        <v>13870</v>
      </c>
      <c r="B2226" s="11" t="str">
        <f>_xlfn.XLOOKUP(Customer[[#This Row],[Customer ID]],[1]!Name[ID],[1]!Name[Description(1)])</f>
        <v>MUHAMMAD SHAHRUL ARIB BIN MOHD YUSOF</v>
      </c>
      <c r="C2226" s="32" t="str">
        <f>_xlfn.XLOOKUP(Customer[[#This Row],[Customer ID]],[1]!Name[ID],[1]!Name[Description(2)])</f>
        <v>EBAR PRIMA</v>
      </c>
      <c r="D2226" s="11" t="str">
        <f>_xlfn.XLOOKUP(Customer[[#This Row],[Customer ID]],[1]!Address[ID],[1]!Address[PIC])</f>
        <v>MUHAMMAD SHAHRU</v>
      </c>
      <c r="E2226" s="11" t="str">
        <f>_xlfn.XLOOKUP(Customer[[#This Row],[Customer ID]],[1]!Address[ID],[1]!Address[Full Address])</f>
        <v/>
      </c>
      <c r="F2226" s="63" t="s">
        <v>36</v>
      </c>
      <c r="G2226" s="63" t="s">
        <v>36</v>
      </c>
      <c r="H2226" s="63" t="s">
        <v>36</v>
      </c>
      <c r="I2226" s="63" t="b">
        <f>ISNUMBER(VALUE(LEFT(Customer[[#This Row],[Address Line 3 (30 char)]],1)))</f>
        <v>0</v>
      </c>
      <c r="J2226" s="98"/>
      <c r="K2226" s="98"/>
      <c r="L2226" s="63" t="s">
        <v>35</v>
      </c>
      <c r="M2226" s="65" t="e">
        <v>#N/A</v>
      </c>
      <c r="N2226" s="66" t="e">
        <v>#N/A</v>
      </c>
      <c r="O2226" s="66" t="e">
        <v>#N/A</v>
      </c>
      <c r="P2226" s="66" t="e">
        <v>#N/A</v>
      </c>
      <c r="Q2226" s="66" t="e">
        <v>#N/A</v>
      </c>
      <c r="R2226" s="15" t="s">
        <v>12487</v>
      </c>
      <c r="S2226" s="15" t="s">
        <v>6418</v>
      </c>
      <c r="T2226" s="16" t="s">
        <v>3477</v>
      </c>
      <c r="U2226" s="11" t="str">
        <f>_xlfn.XLOOKUP(Customer[[#This Row],[Customer ID]],[1]!Address[ID],[1]!Address[Phone No.(2)])</f>
        <v/>
      </c>
      <c r="V2226" s="11" t="str">
        <f>_xlfn.XLOOKUP(Customer[[#This Row],[Customer ID]],[1]!Address[ID],[1]!Address[Type])</f>
        <v>SOCMED</v>
      </c>
      <c r="W2226" s="11" t="str">
        <f>_xlfn.XLOOKUP(Customer[[#This Row],[Customer ID]],[1]!Address[ID],[1]!Address[CT])</f>
        <v>CASH</v>
      </c>
      <c r="X2226" s="11"/>
      <c r="Y2226" s="17" t="s">
        <v>90</v>
      </c>
      <c r="Z2226" s="17" t="e">
        <f>_xlfn.XLOOKUP(Customer[[#This Row],[NewType]],$AF$36:$AF$54,$AG$36:$AG$54)</f>
        <v>#N/A</v>
      </c>
      <c r="AA2226" s="17" t="s">
        <v>13871</v>
      </c>
      <c r="AB2226" s="11" t="str">
        <f>_xlfn.XLOOKUP(Customer[[#This Row],[Customer ID]],[1]!Address[ID],[1]!Address[Subtype])</f>
        <v>WHATSAPP</v>
      </c>
      <c r="AC2226" s="18">
        <f>_xlfn.XLOOKUP(Customer[[#This Row],[Customer ID]],[1]!Address[ID],[1]!Address[Zone])</f>
        <v>0</v>
      </c>
    </row>
    <row r="2227" spans="1:30" x14ac:dyDescent="0.3">
      <c r="A2227" s="10" t="s">
        <v>13872</v>
      </c>
      <c r="B2227" s="11" t="str">
        <f>_xlfn.XLOOKUP(Customer[[#This Row],[Customer ID]],[1]!Name[ID],[1]!Name[Description(1)])</f>
        <v>NUR IFFAH SHAHIRA BINTI ABU KASSIM</v>
      </c>
      <c r="C2227" s="11" t="str">
        <f>_xlfn.XLOOKUP(Customer[[#This Row],[Customer ID]],[1]!Name[ID],[1]!Name[Description(2)])</f>
        <v/>
      </c>
      <c r="D2227" s="11" t="str">
        <f>_xlfn.XLOOKUP(Customer[[#This Row],[Customer ID]],[1]!Address[ID],[1]!Address[PIC])</f>
        <v/>
      </c>
      <c r="E2227" s="11" t="str">
        <f>_xlfn.XLOOKUP(Customer[[#This Row],[Customer ID]],[1]!Address[ID],[1]!Address[Full Address])</f>
        <v>NO.817, JALAN KEDIDI 1,TAMAN PAROI JAYA 70400 SEREMBANNEGERI SEMBILAN</v>
      </c>
      <c r="F2227" s="12" t="s">
        <v>13873</v>
      </c>
      <c r="G2227" s="12" t="s">
        <v>13874</v>
      </c>
      <c r="H2227" s="12" t="s">
        <v>2377</v>
      </c>
      <c r="I2227" s="12" t="b">
        <f>ISNUMBER(VALUE(LEFT(Customer[[#This Row],[Address Line 3 (30 char)]],1)))</f>
        <v>0</v>
      </c>
      <c r="J2227" s="12" t="s">
        <v>203</v>
      </c>
      <c r="K2227" s="12">
        <v>70400</v>
      </c>
      <c r="L2227" s="12" t="s">
        <v>35</v>
      </c>
      <c r="M2227" s="13" t="e">
        <v>#N/A</v>
      </c>
      <c r="N2227" s="14" t="e">
        <v>#N/A</v>
      </c>
      <c r="O2227" s="14" t="e">
        <v>#N/A</v>
      </c>
      <c r="P2227" s="14" t="e">
        <v>#N/A</v>
      </c>
      <c r="Q2227" s="19" t="s">
        <v>13875</v>
      </c>
      <c r="R2227" s="15" t="s">
        <v>13876</v>
      </c>
      <c r="S2227" s="16" t="s">
        <v>89</v>
      </c>
      <c r="T2227" s="16" t="s">
        <v>89</v>
      </c>
      <c r="U2227" s="11" t="str">
        <f>_xlfn.XLOOKUP(Customer[[#This Row],[Customer ID]],[1]!Address[ID],[1]!Address[Phone No.(2)])</f>
        <v/>
      </c>
      <c r="V2227" s="11" t="str">
        <f>_xlfn.XLOOKUP(Customer[[#This Row],[Customer ID]],[1]!Address[ID],[1]!Address[Type])</f>
        <v>WALK IN</v>
      </c>
      <c r="W2227" s="11" t="str">
        <f>_xlfn.XLOOKUP(Customer[[#This Row],[Customer ID]],[1]!Address[ID],[1]!Address[CT])</f>
        <v/>
      </c>
      <c r="X2227" s="11"/>
      <c r="Y2227" s="17" t="s">
        <v>6284</v>
      </c>
      <c r="Z2227" s="17" t="e">
        <f>_xlfn.XLOOKUP(Customer[[#This Row],[NewType]],$AF$36:$AF$54,$AG$36:$AG$54)</f>
        <v>#N/A</v>
      </c>
      <c r="AA2227" s="17" t="s">
        <v>13877</v>
      </c>
      <c r="AB2227" s="11" t="str">
        <f>_xlfn.XLOOKUP(Customer[[#This Row],[Customer ID]],[1]!Address[ID],[1]!Address[Subtype])</f>
        <v>PEDAS</v>
      </c>
      <c r="AC2227" s="18" t="str">
        <f>_xlfn.XLOOKUP(Customer[[#This Row],[Customer ID]],[1]!Address[ID],[1]!Address[Zone])</f>
        <v>SOUTH</v>
      </c>
    </row>
    <row r="2228" spans="1:30" x14ac:dyDescent="0.3">
      <c r="A2228" s="45" t="s">
        <v>13878</v>
      </c>
      <c r="B2228" s="32" t="str">
        <f>_xlfn.XLOOKUP(Customer[[#This Row],[Customer ID]],[1]!Name[ID],[1]!Name[Description(1)])</f>
        <v>MISNAWI BIN ASMAWI</v>
      </c>
      <c r="C2228" s="32" t="str">
        <f>_xlfn.XLOOKUP(Customer[[#This Row],[Customer ID]],[1]!Name[ID],[1]!Name[Description(2)])</f>
        <v/>
      </c>
      <c r="D2228" s="11" t="str">
        <f>_xlfn.XLOOKUP(Customer[[#This Row],[Customer ID]],[1]!Address[ID],[1]!Address[PIC])</f>
        <v/>
      </c>
      <c r="E2228" s="11" t="str">
        <f>_xlfn.XLOOKUP(Customer[[#This Row],[Customer ID]],[1]!Address[ID],[1]!Address[Full Address])</f>
        <v>BLK 155 MEI LING STREET# 01-275 S(140155)</v>
      </c>
      <c r="F2228" s="12" t="s">
        <v>13879</v>
      </c>
      <c r="G2228" s="12" t="s">
        <v>13880</v>
      </c>
      <c r="H2228" s="12" t="s">
        <v>36</v>
      </c>
      <c r="I2228" s="12" t="b">
        <f>ISNUMBER(VALUE(LEFT(Customer[[#This Row],[Address Line 3 (30 char)]],1)))</f>
        <v>0</v>
      </c>
      <c r="J2228" s="32"/>
      <c r="K2228" s="32"/>
      <c r="L2228" s="12" t="s">
        <v>13881</v>
      </c>
      <c r="M2228" s="13" t="e">
        <v>#N/A</v>
      </c>
      <c r="N2228" s="14" t="e">
        <v>#N/A</v>
      </c>
      <c r="O2228" s="14" t="e">
        <v>#N/A</v>
      </c>
      <c r="P2228" s="14" t="e">
        <v>#N/A</v>
      </c>
      <c r="Q2228" s="14" t="e">
        <v>#N/A</v>
      </c>
      <c r="R2228" s="15" t="s">
        <v>13882</v>
      </c>
      <c r="S2228" s="16" t="s">
        <v>89</v>
      </c>
      <c r="T2228" s="16" t="s">
        <v>89</v>
      </c>
      <c r="U2228" s="11" t="str">
        <f>_xlfn.XLOOKUP(Customer[[#This Row],[Customer ID]],[1]!Address[ID],[1]!Address[Phone No.(2)])</f>
        <v/>
      </c>
      <c r="V2228" s="11" t="str">
        <f>_xlfn.XLOOKUP(Customer[[#This Row],[Customer ID]],[1]!Address[ID],[1]!Address[Type])</f>
        <v>WALK IN</v>
      </c>
      <c r="W2228" s="11" t="str">
        <f>_xlfn.XLOOKUP(Customer[[#This Row],[Customer ID]],[1]!Address[ID],[1]!Address[CT])</f>
        <v/>
      </c>
      <c r="X2228" s="11"/>
      <c r="Y2228" s="17" t="s">
        <v>6284</v>
      </c>
      <c r="Z2228" s="17" t="e">
        <f>_xlfn.XLOOKUP(Customer[[#This Row],[NewType]],$AF$36:$AF$54,$AG$36:$AG$54)</f>
        <v>#N/A</v>
      </c>
      <c r="AA2228" s="17" t="s">
        <v>13883</v>
      </c>
      <c r="AB2228" s="11" t="str">
        <f>_xlfn.XLOOKUP(Customer[[#This Row],[Customer ID]],[1]!Address[ID],[1]!Address[Subtype])</f>
        <v>PEDAS</v>
      </c>
      <c r="AC2228" s="18" t="str">
        <f>_xlfn.XLOOKUP(Customer[[#This Row],[Customer ID]],[1]!Address[ID],[1]!Address[Zone])</f>
        <v>SOUTH</v>
      </c>
    </row>
    <row r="2229" spans="1:30" x14ac:dyDescent="0.3">
      <c r="A2229" s="10" t="s">
        <v>13884</v>
      </c>
      <c r="B2229" s="11" t="str">
        <f>_xlfn.XLOOKUP(Customer[[#This Row],[Customer ID]],[1]!Name[ID],[1]!Name[Description(1)])</f>
        <v>AHMAD MUKHREEZ</v>
      </c>
      <c r="C2229" s="11" t="str">
        <f>_xlfn.XLOOKUP(Customer[[#This Row],[Customer ID]],[1]!Name[ID],[1]!Name[Description(2)])</f>
        <v/>
      </c>
      <c r="D2229" s="11" t="str">
        <f>_xlfn.XLOOKUP(Customer[[#This Row],[Customer ID]],[1]!Address[ID],[1]!Address[PIC])</f>
        <v/>
      </c>
      <c r="E2229" s="11" t="str">
        <f>_xlfn.XLOOKUP(Customer[[#This Row],[Customer ID]],[1]!Address[ID],[1]!Address[Full Address])</f>
        <v>LOT 1116, KAMPUNG SEGA ULU,KUALA SAWAH 71200 RANTAU,NEGERI SEMBILAN</v>
      </c>
      <c r="F2229" s="12" t="s">
        <v>13885</v>
      </c>
      <c r="G2229" s="12" t="s">
        <v>13886</v>
      </c>
      <c r="H2229" s="12"/>
      <c r="I2229" s="12" t="b">
        <f>ISNUMBER(VALUE(LEFT(Customer[[#This Row],[Address Line 3 (30 char)]],1)))</f>
        <v>0</v>
      </c>
      <c r="J2229" s="12" t="s">
        <v>203</v>
      </c>
      <c r="K2229" s="12">
        <v>71200</v>
      </c>
      <c r="L2229" s="12" t="s">
        <v>35</v>
      </c>
      <c r="M2229" s="13" t="e">
        <v>#N/A</v>
      </c>
      <c r="N2229" s="14" t="e">
        <v>#N/A</v>
      </c>
      <c r="O2229" s="14" t="e">
        <v>#N/A</v>
      </c>
      <c r="P2229" s="14" t="e">
        <v>#N/A</v>
      </c>
      <c r="Q2229" s="19" t="s">
        <v>13887</v>
      </c>
      <c r="R2229" s="15" t="s">
        <v>13888</v>
      </c>
      <c r="S2229" s="16" t="s">
        <v>89</v>
      </c>
      <c r="T2229" s="16" t="s">
        <v>89</v>
      </c>
      <c r="U2229" s="11" t="str">
        <f>_xlfn.XLOOKUP(Customer[[#This Row],[Customer ID]],[1]!Address[ID],[1]!Address[Phone No.(2)])</f>
        <v/>
      </c>
      <c r="V2229" s="11" t="str">
        <f>_xlfn.XLOOKUP(Customer[[#This Row],[Customer ID]],[1]!Address[ID],[1]!Address[Type])</f>
        <v>WALK IN</v>
      </c>
      <c r="W2229" s="11" t="str">
        <f>_xlfn.XLOOKUP(Customer[[#This Row],[Customer ID]],[1]!Address[ID],[1]!Address[CT])</f>
        <v/>
      </c>
      <c r="X2229" s="11"/>
      <c r="Y2229" s="17" t="s">
        <v>6284</v>
      </c>
      <c r="Z2229" s="17" t="e">
        <f>_xlfn.XLOOKUP(Customer[[#This Row],[NewType]],$AF$36:$AF$54,$AG$36:$AG$54)</f>
        <v>#N/A</v>
      </c>
      <c r="AA2229" s="17" t="s">
        <v>13889</v>
      </c>
      <c r="AB2229" s="11" t="str">
        <f>_xlfn.XLOOKUP(Customer[[#This Row],[Customer ID]],[1]!Address[ID],[1]!Address[Subtype])</f>
        <v>PEDAS</v>
      </c>
      <c r="AC2229" s="18" t="str">
        <f>_xlfn.XLOOKUP(Customer[[#This Row],[Customer ID]],[1]!Address[ID],[1]!Address[Zone])</f>
        <v>SOUTH</v>
      </c>
    </row>
    <row r="2230" spans="1:30" x14ac:dyDescent="0.3">
      <c r="A2230" s="10" t="s">
        <v>13890</v>
      </c>
      <c r="B2230" s="11" t="str">
        <f>_xlfn.XLOOKUP(Customer[[#This Row],[Customer ID]],[1]!Name[ID],[1]!Name[Description(1)])</f>
        <v>WH GLOBAL SOLUTION SDN BHD</v>
      </c>
      <c r="C2230" s="11" t="str">
        <f>_xlfn.XLOOKUP(Customer[[#This Row],[Customer ID]],[1]!Name[ID],[1]!Name[Description(2)])</f>
        <v/>
      </c>
      <c r="D2230" s="11" t="str">
        <f>_xlfn.XLOOKUP(Customer[[#This Row],[Customer ID]],[1]!Address[ID],[1]!Address[PIC])</f>
        <v>WAN HAZIR</v>
      </c>
      <c r="E2230" s="11" t="str">
        <f>_xlfn.XLOOKUP(Customer[[#This Row],[Customer ID]],[1]!Address[ID],[1]!Address[Full Address])</f>
        <v>PLO 829T,KOMPLEKS USAHAWAN BUMIPUTERA,JALAN SUSUR BESAR 1, KAWASANPERINDUSTRIAN 81700 PASIR GUDANG,JOHOR</v>
      </c>
      <c r="F2230" s="12" t="s">
        <v>13891</v>
      </c>
      <c r="G2230" s="12" t="s">
        <v>13892</v>
      </c>
      <c r="H2230" s="12" t="s">
        <v>13893</v>
      </c>
      <c r="I2230" s="12" t="b">
        <f>ISNUMBER(VALUE(LEFT(Customer[[#This Row],[Address Line 3 (30 char)]],1)))</f>
        <v>0</v>
      </c>
      <c r="J2230" s="12" t="s">
        <v>52</v>
      </c>
      <c r="K2230" s="12">
        <v>81700</v>
      </c>
      <c r="L2230" s="12" t="s">
        <v>35</v>
      </c>
      <c r="M2230" s="13" t="e">
        <v>#N/A</v>
      </c>
      <c r="N2230" s="14" t="e">
        <v>#N/A</v>
      </c>
      <c r="O2230" s="14" t="e">
        <v>#N/A</v>
      </c>
      <c r="P2230" s="14" t="e">
        <v>#N/A</v>
      </c>
      <c r="Q2230" s="19" t="s">
        <v>13518</v>
      </c>
      <c r="R2230" s="15" t="s">
        <v>13894</v>
      </c>
      <c r="S2230" s="15" t="s">
        <v>89</v>
      </c>
      <c r="T2230" s="16" t="s">
        <v>6283</v>
      </c>
      <c r="U2230" s="11" t="str">
        <f>_xlfn.XLOOKUP(Customer[[#This Row],[Customer ID]],[1]!Address[ID],[1]!Address[Phone No.(2)])</f>
        <v/>
      </c>
      <c r="V2230" s="11" t="str">
        <f>_xlfn.XLOOKUP(Customer[[#This Row],[Customer ID]],[1]!Address[ID],[1]!Address[Type])</f>
        <v>HUB</v>
      </c>
      <c r="W2230" s="11" t="str">
        <f>_xlfn.XLOOKUP(Customer[[#This Row],[Customer ID]],[1]!Address[ID],[1]!Address[CT])</f>
        <v/>
      </c>
      <c r="X2230" s="11"/>
      <c r="Y2230" s="17" t="s">
        <v>13895</v>
      </c>
      <c r="Z2230" s="17" t="e">
        <f>_xlfn.XLOOKUP(Customer[[#This Row],[NewType]],$AF$36:$AF$54,$AG$36:$AG$54)</f>
        <v>#N/A</v>
      </c>
      <c r="AA2230" s="17" t="s">
        <v>13896</v>
      </c>
      <c r="AB2230" s="11" t="str">
        <f>_xlfn.XLOOKUP(Customer[[#This Row],[Customer ID]],[1]!Address[ID],[1]!Address[Subtype])</f>
        <v>LOGISTIC</v>
      </c>
      <c r="AC2230" s="18" t="str">
        <f>_xlfn.XLOOKUP(Customer[[#This Row],[Customer ID]],[1]!Address[ID],[1]!Address[Zone])</f>
        <v>SOUTH</v>
      </c>
    </row>
    <row r="2231" spans="1:30" x14ac:dyDescent="0.3">
      <c r="A2231" s="10" t="s">
        <v>13897</v>
      </c>
      <c r="B2231" s="11" t="str">
        <f>_xlfn.XLOOKUP(Customer[[#This Row],[Customer ID]],[1]!Name[ID],[1]!Name[Description(1)])</f>
        <v>HARYANI BINTI ISMAIL</v>
      </c>
      <c r="C2231" s="11" t="str">
        <f>_xlfn.XLOOKUP(Customer[[#This Row],[Customer ID]],[1]!Name[ID],[1]!Name[Description(2)])</f>
        <v/>
      </c>
      <c r="D2231" s="11" t="str">
        <f>_xlfn.XLOOKUP(Customer[[#This Row],[Customer ID]],[1]!Address[ID],[1]!Address[PIC])</f>
        <v/>
      </c>
      <c r="E2231" s="11" t="str">
        <f>_xlfn.XLOOKUP(Customer[[#This Row],[Customer ID]],[1]!Address[ID],[1]!Address[Full Address])</f>
        <v>NO.450 JALAN NUSA INTAN 5/4TAMAN NUSA 70450 SEREMBANNEGERI SEMBILAN</v>
      </c>
      <c r="F2231" s="12" t="s">
        <v>13898</v>
      </c>
      <c r="G2231" s="12" t="s">
        <v>13899</v>
      </c>
      <c r="H2231" s="12"/>
      <c r="I2231" s="12" t="b">
        <f>ISNUMBER(VALUE(LEFT(Customer[[#This Row],[Address Line 3 (30 char)]],1)))</f>
        <v>0</v>
      </c>
      <c r="J2231" s="12" t="s">
        <v>203</v>
      </c>
      <c r="K2231" s="12">
        <v>70450</v>
      </c>
      <c r="L2231" s="12" t="s">
        <v>35</v>
      </c>
      <c r="M2231" s="13" t="e">
        <v>#N/A</v>
      </c>
      <c r="N2231" s="14" t="e">
        <v>#N/A</v>
      </c>
      <c r="O2231" s="14" t="e">
        <v>#N/A</v>
      </c>
      <c r="P2231" s="14" t="e">
        <v>#N/A</v>
      </c>
      <c r="Q2231" s="14" t="e">
        <v>#N/A</v>
      </c>
      <c r="R2231" s="15" t="s">
        <v>13900</v>
      </c>
      <c r="S2231" s="16" t="s">
        <v>89</v>
      </c>
      <c r="T2231" s="16" t="s">
        <v>89</v>
      </c>
      <c r="U2231" s="11" t="str">
        <f>_xlfn.XLOOKUP(Customer[[#This Row],[Customer ID]],[1]!Address[ID],[1]!Address[Phone No.(2)])</f>
        <v/>
      </c>
      <c r="V2231" s="11" t="str">
        <f>_xlfn.XLOOKUP(Customer[[#This Row],[Customer ID]],[1]!Address[ID],[1]!Address[Type])</f>
        <v>WALK IN</v>
      </c>
      <c r="W2231" s="11" t="str">
        <f>_xlfn.XLOOKUP(Customer[[#This Row],[Customer ID]],[1]!Address[ID],[1]!Address[CT])</f>
        <v/>
      </c>
      <c r="X2231" s="11"/>
      <c r="Y2231" s="17" t="s">
        <v>6284</v>
      </c>
      <c r="Z2231" s="17" t="e">
        <f>_xlfn.XLOOKUP(Customer[[#This Row],[NewType]],$AF$36:$AF$54,$AG$36:$AG$54)</f>
        <v>#N/A</v>
      </c>
      <c r="AA2231" s="17" t="s">
        <v>13901</v>
      </c>
      <c r="AB2231" s="11" t="str">
        <f>_xlfn.XLOOKUP(Customer[[#This Row],[Customer ID]],[1]!Address[ID],[1]!Address[Subtype])</f>
        <v>PEDAS</v>
      </c>
      <c r="AC2231" s="18" t="str">
        <f>_xlfn.XLOOKUP(Customer[[#This Row],[Customer ID]],[1]!Address[ID],[1]!Address[Zone])</f>
        <v>SOUTH</v>
      </c>
    </row>
    <row r="2232" spans="1:30" x14ac:dyDescent="0.3">
      <c r="A2232" s="10" t="s">
        <v>13902</v>
      </c>
      <c r="B2232" s="11" t="str">
        <f>_xlfn.XLOOKUP(Customer[[#This Row],[Customer ID]],[1]!Name[ID],[1]!Name[Description(1)])</f>
        <v>NAZATUL NABILAH BT ZAILY</v>
      </c>
      <c r="C2232" s="11" t="str">
        <f>_xlfn.XLOOKUP(Customer[[#This Row],[Customer ID]],[1]!Name[ID],[1]!Name[Description(2)])</f>
        <v/>
      </c>
      <c r="D2232" s="11" t="str">
        <f>_xlfn.XLOOKUP(Customer[[#This Row],[Customer ID]],[1]!Address[ID],[1]!Address[PIC])</f>
        <v/>
      </c>
      <c r="E2232" s="11" t="str">
        <f>_xlfn.XLOOKUP(Customer[[#This Row],[Customer ID]],[1]!Address[ID],[1]!Address[Full Address])</f>
        <v>BATU 7, KAMPUNG KUNDUR TENGAH,71400 PEDAS NEGERI SEMBILAN</v>
      </c>
      <c r="F2232" s="12" t="s">
        <v>13903</v>
      </c>
      <c r="G2232" s="12" t="s">
        <v>8914</v>
      </c>
      <c r="H2232" s="12" t="s">
        <v>36</v>
      </c>
      <c r="I2232" s="12" t="b">
        <f>ISNUMBER(VALUE(LEFT(Customer[[#This Row],[Address Line 3 (30 char)]],1)))</f>
        <v>0</v>
      </c>
      <c r="J2232" s="12" t="s">
        <v>203</v>
      </c>
      <c r="K2232" s="12">
        <v>71400</v>
      </c>
      <c r="L2232" s="12" t="s">
        <v>35</v>
      </c>
      <c r="M2232" s="13" t="e">
        <v>#N/A</v>
      </c>
      <c r="N2232" s="14" t="e">
        <v>#N/A</v>
      </c>
      <c r="O2232" s="14" t="e">
        <v>#N/A</v>
      </c>
      <c r="P2232" s="14" t="e">
        <v>#N/A</v>
      </c>
      <c r="Q2232" s="19" t="s">
        <v>12443</v>
      </c>
      <c r="R2232" s="15" t="s">
        <v>12444</v>
      </c>
      <c r="S2232" s="16" t="s">
        <v>89</v>
      </c>
      <c r="T2232" s="16" t="s">
        <v>89</v>
      </c>
      <c r="U2232" s="11" t="str">
        <f>_xlfn.XLOOKUP(Customer[[#This Row],[Customer ID]],[1]!Address[ID],[1]!Address[Phone No.(2)])</f>
        <v/>
      </c>
      <c r="V2232" s="11" t="str">
        <f>_xlfn.XLOOKUP(Customer[[#This Row],[Customer ID]],[1]!Address[ID],[1]!Address[Type])</f>
        <v>WALK IN</v>
      </c>
      <c r="W2232" s="11" t="str">
        <f>_xlfn.XLOOKUP(Customer[[#This Row],[Customer ID]],[1]!Address[ID],[1]!Address[CT])</f>
        <v/>
      </c>
      <c r="X2232" s="11"/>
      <c r="Y2232" s="17" t="s">
        <v>6284</v>
      </c>
      <c r="Z2232" s="17" t="e">
        <f>_xlfn.XLOOKUP(Customer[[#This Row],[NewType]],$AF$36:$AF$54,$AG$36:$AG$54)</f>
        <v>#N/A</v>
      </c>
      <c r="AA2232" s="17" t="s">
        <v>13904</v>
      </c>
      <c r="AB2232" s="11" t="str">
        <f>_xlfn.XLOOKUP(Customer[[#This Row],[Customer ID]],[1]!Address[ID],[1]!Address[Subtype])</f>
        <v>PEDAS</v>
      </c>
      <c r="AC2232" s="18" t="str">
        <f>_xlfn.XLOOKUP(Customer[[#This Row],[Customer ID]],[1]!Address[ID],[1]!Address[Zone])</f>
        <v>SOUTH</v>
      </c>
    </row>
    <row r="2233" spans="1:30" x14ac:dyDescent="0.3">
      <c r="A2233" s="10" t="s">
        <v>13905</v>
      </c>
      <c r="B2233" s="11" t="str">
        <f>_xlfn.XLOOKUP(Customer[[#This Row],[Customer ID]],[1]!Name[ID],[1]!Name[Description(1)])</f>
        <v>NAZATUL NADHIRAH AMIRAH BT ZAILY</v>
      </c>
      <c r="C2233" s="11" t="str">
        <f>_xlfn.XLOOKUP(Customer[[#This Row],[Customer ID]],[1]!Name[ID],[1]!Name[Description(2)])</f>
        <v/>
      </c>
      <c r="D2233" s="11" t="str">
        <f>_xlfn.XLOOKUP(Customer[[#This Row],[Customer ID]],[1]!Address[ID],[1]!Address[PIC])</f>
        <v/>
      </c>
      <c r="E2233" s="11" t="str">
        <f>_xlfn.XLOOKUP(Customer[[#This Row],[Customer ID]],[1]!Address[ID],[1]!Address[Full Address])</f>
        <v>BATU 7, KAMPUNG KUNDUR TENGAH,71400 PEDAS NEGERI SEMBILAN</v>
      </c>
      <c r="F2233" s="12" t="s">
        <v>13903</v>
      </c>
      <c r="G2233" s="12" t="s">
        <v>8914</v>
      </c>
      <c r="H2233" s="12" t="s">
        <v>36</v>
      </c>
      <c r="I2233" s="12" t="b">
        <f>ISNUMBER(VALUE(LEFT(Customer[[#This Row],[Address Line 3 (30 char)]],1)))</f>
        <v>0</v>
      </c>
      <c r="J2233" s="12" t="s">
        <v>203</v>
      </c>
      <c r="K2233" s="12">
        <v>71400</v>
      </c>
      <c r="L2233" s="12" t="s">
        <v>35</v>
      </c>
      <c r="M2233" s="13" t="e">
        <v>#N/A</v>
      </c>
      <c r="N2233" s="14" t="e">
        <v>#N/A</v>
      </c>
      <c r="O2233" s="14" t="e">
        <v>#N/A</v>
      </c>
      <c r="P2233" s="14" t="e">
        <v>#N/A</v>
      </c>
      <c r="Q2233" s="19" t="s">
        <v>13906</v>
      </c>
      <c r="R2233" s="15" t="s">
        <v>13907</v>
      </c>
      <c r="S2233" s="16" t="s">
        <v>89</v>
      </c>
      <c r="T2233" s="16" t="s">
        <v>89</v>
      </c>
      <c r="U2233" s="11" t="str">
        <f>_xlfn.XLOOKUP(Customer[[#This Row],[Customer ID]],[1]!Address[ID],[1]!Address[Phone No.(2)])</f>
        <v/>
      </c>
      <c r="V2233" s="11" t="str">
        <f>_xlfn.XLOOKUP(Customer[[#This Row],[Customer ID]],[1]!Address[ID],[1]!Address[Type])</f>
        <v>WALK IN</v>
      </c>
      <c r="W2233" s="11" t="str">
        <f>_xlfn.XLOOKUP(Customer[[#This Row],[Customer ID]],[1]!Address[ID],[1]!Address[CT])</f>
        <v/>
      </c>
      <c r="X2233" s="11"/>
      <c r="Y2233" s="17" t="s">
        <v>6284</v>
      </c>
      <c r="Z2233" s="17" t="e">
        <f>_xlfn.XLOOKUP(Customer[[#This Row],[NewType]],$AF$36:$AF$54,$AG$36:$AG$54)</f>
        <v>#N/A</v>
      </c>
      <c r="AA2233" s="17" t="s">
        <v>13908</v>
      </c>
      <c r="AB2233" s="11" t="str">
        <f>_xlfn.XLOOKUP(Customer[[#This Row],[Customer ID]],[1]!Address[ID],[1]!Address[Subtype])</f>
        <v>PEDAS</v>
      </c>
      <c r="AC2233" s="18" t="str">
        <f>_xlfn.XLOOKUP(Customer[[#This Row],[Customer ID]],[1]!Address[ID],[1]!Address[Zone])</f>
        <v>SOUTH</v>
      </c>
    </row>
    <row r="2234" spans="1:30" x14ac:dyDescent="0.3">
      <c r="A2234" s="10" t="s">
        <v>13909</v>
      </c>
      <c r="B2234" s="11" t="str">
        <f>_xlfn.XLOOKUP(Customer[[#This Row],[Customer ID]],[1]!Name[ID],[1]!Name[Description(1)])</f>
        <v>HASLINDA BT TIMIN</v>
      </c>
      <c r="C2234" s="11" t="str">
        <f>_xlfn.XLOOKUP(Customer[[#This Row],[Customer ID]],[1]!Name[ID],[1]!Name[Description(2)])</f>
        <v/>
      </c>
      <c r="D2234" s="11" t="str">
        <f>_xlfn.XLOOKUP(Customer[[#This Row],[Customer ID]],[1]!Address[ID],[1]!Address[PIC])</f>
        <v/>
      </c>
      <c r="E2234" s="11" t="str">
        <f>_xlfn.XLOOKUP(Customer[[#This Row],[Customer ID]],[1]!Address[ID],[1]!Address[Full Address])</f>
        <v>30 JALAN PINGGIRAN 3/12,TAMAN PINGGIRAN BATU CAVES, 68100BATU CAVES SELANGOR</v>
      </c>
      <c r="F2234" s="12" t="s">
        <v>13910</v>
      </c>
      <c r="G2234" s="12" t="s">
        <v>13911</v>
      </c>
      <c r="H2234" s="12" t="s">
        <v>13912</v>
      </c>
      <c r="I2234" s="12" t="b">
        <f>ISNUMBER(VALUE(LEFT(Customer[[#This Row],[Address Line 3 (30 char)]],1)))</f>
        <v>0</v>
      </c>
      <c r="J2234" s="12" t="s">
        <v>172</v>
      </c>
      <c r="K2234" s="12">
        <v>68100</v>
      </c>
      <c r="L2234" s="12" t="s">
        <v>35</v>
      </c>
      <c r="M2234" s="13" t="e">
        <v>#N/A</v>
      </c>
      <c r="N2234" s="14" t="e">
        <v>#N/A</v>
      </c>
      <c r="O2234" s="14" t="e">
        <v>#N/A</v>
      </c>
      <c r="P2234" s="14" t="e">
        <v>#N/A</v>
      </c>
      <c r="Q2234" s="19" t="s">
        <v>13913</v>
      </c>
      <c r="R2234" s="15" t="s">
        <v>13914</v>
      </c>
      <c r="S2234" s="16" t="s">
        <v>89</v>
      </c>
      <c r="T2234" s="16" t="s">
        <v>89</v>
      </c>
      <c r="U2234" s="11" t="str">
        <f>_xlfn.XLOOKUP(Customer[[#This Row],[Customer ID]],[1]!Address[ID],[1]!Address[Phone No.(2)])</f>
        <v/>
      </c>
      <c r="V2234" s="11" t="str">
        <f>_xlfn.XLOOKUP(Customer[[#This Row],[Customer ID]],[1]!Address[ID],[1]!Address[Type])</f>
        <v>WALK IN</v>
      </c>
      <c r="W2234" s="11" t="str">
        <f>_xlfn.XLOOKUP(Customer[[#This Row],[Customer ID]],[1]!Address[ID],[1]!Address[CT])</f>
        <v/>
      </c>
      <c r="X2234" s="11"/>
      <c r="Y2234" s="17" t="s">
        <v>6284</v>
      </c>
      <c r="Z2234" s="17" t="e">
        <f>_xlfn.XLOOKUP(Customer[[#This Row],[NewType]],$AF$36:$AF$54,$AG$36:$AG$54)</f>
        <v>#N/A</v>
      </c>
      <c r="AA2234" s="17" t="s">
        <v>13915</v>
      </c>
      <c r="AB2234" s="11" t="str">
        <f>_xlfn.XLOOKUP(Customer[[#This Row],[Customer ID]],[1]!Address[ID],[1]!Address[Subtype])</f>
        <v>PEDAS</v>
      </c>
      <c r="AC2234" s="18" t="str">
        <f>_xlfn.XLOOKUP(Customer[[#This Row],[Customer ID]],[1]!Address[ID],[1]!Address[Zone])</f>
        <v>CENTRAL</v>
      </c>
    </row>
    <row r="2235" spans="1:30" x14ac:dyDescent="0.3">
      <c r="A2235" s="10" t="s">
        <v>13916</v>
      </c>
      <c r="B2235" s="11" t="str">
        <f>_xlfn.XLOOKUP(Customer[[#This Row],[Customer ID]],[1]!Name[ID],[1]!Name[Description(1)])</f>
        <v>MOHD RODZI BIN SUNTAU PAWIRA</v>
      </c>
      <c r="C2235" s="11" t="str">
        <f>_xlfn.XLOOKUP(Customer[[#This Row],[Customer ID]],[1]!Name[ID],[1]!Name[Description(2)])</f>
        <v/>
      </c>
      <c r="D2235" s="11" t="str">
        <f>_xlfn.XLOOKUP(Customer[[#This Row],[Customer ID]],[1]!Address[ID],[1]!Address[PIC])</f>
        <v/>
      </c>
      <c r="E2235" s="11" t="str">
        <f>_xlfn.XLOOKUP(Customer[[#This Row],[Customer ID]],[1]!Address[ID],[1]!Address[Full Address])</f>
        <v>JALAN WAK MUSA, KG SEROM 5 HULU,84400, SG MATI, TANGKAK, JOHOR</v>
      </c>
      <c r="F2235" s="12" t="s">
        <v>13917</v>
      </c>
      <c r="G2235" s="12" t="s">
        <v>13918</v>
      </c>
      <c r="H2235" s="12" t="s">
        <v>13919</v>
      </c>
      <c r="I2235" s="12" t="b">
        <f>ISNUMBER(VALUE(LEFT(Customer[[#This Row],[Address Line 3 (30 char)]],1)))</f>
        <v>0</v>
      </c>
      <c r="J2235" s="12" t="s">
        <v>52</v>
      </c>
      <c r="K2235" s="12">
        <v>84400</v>
      </c>
      <c r="L2235" s="12" t="s">
        <v>35</v>
      </c>
      <c r="M2235" s="13" t="e">
        <v>#N/A</v>
      </c>
      <c r="N2235" s="14" t="e">
        <v>#N/A</v>
      </c>
      <c r="O2235" s="14" t="e">
        <v>#N/A</v>
      </c>
      <c r="P2235" s="14" t="e">
        <v>#N/A</v>
      </c>
      <c r="Q2235" s="14" t="e">
        <v>#N/A</v>
      </c>
      <c r="R2235" s="15" t="s">
        <v>13920</v>
      </c>
      <c r="S2235" s="16" t="s">
        <v>89</v>
      </c>
      <c r="T2235" s="16" t="s">
        <v>89</v>
      </c>
      <c r="U2235" s="11" t="str">
        <f>_xlfn.XLOOKUP(Customer[[#This Row],[Customer ID]],[1]!Address[ID],[1]!Address[Phone No.(2)])</f>
        <v/>
      </c>
      <c r="V2235" s="11" t="str">
        <f>_xlfn.XLOOKUP(Customer[[#This Row],[Customer ID]],[1]!Address[ID],[1]!Address[Type])</f>
        <v>WALK IN</v>
      </c>
      <c r="W2235" s="11" t="str">
        <f>_xlfn.XLOOKUP(Customer[[#This Row],[Customer ID]],[1]!Address[ID],[1]!Address[CT])</f>
        <v/>
      </c>
      <c r="X2235" s="11"/>
      <c r="Y2235" s="17" t="s">
        <v>6284</v>
      </c>
      <c r="Z2235" s="17" t="e">
        <f>_xlfn.XLOOKUP(Customer[[#This Row],[NewType]],$AF$36:$AF$54,$AG$36:$AG$54)</f>
        <v>#N/A</v>
      </c>
      <c r="AA2235" s="17" t="s">
        <v>13921</v>
      </c>
      <c r="AB2235" s="11" t="str">
        <f>_xlfn.XLOOKUP(Customer[[#This Row],[Customer ID]],[1]!Address[ID],[1]!Address[Subtype])</f>
        <v>PEDAS</v>
      </c>
      <c r="AC2235" s="18" t="str">
        <f>_xlfn.XLOOKUP(Customer[[#This Row],[Customer ID]],[1]!Address[ID],[1]!Address[Zone])</f>
        <v>SOUTH</v>
      </c>
    </row>
    <row r="2236" spans="1:30" x14ac:dyDescent="0.3">
      <c r="A2236" s="72" t="s">
        <v>13922</v>
      </c>
      <c r="B2236" s="68" t="str">
        <f>_xlfn.XLOOKUP(Customer[[#This Row],[Customer ID]],[1]!Name[ID],[1]!Name[Description(1)])</f>
        <v>10STAR CINEMAS SDN BHD</v>
      </c>
      <c r="C2236" s="68" t="str">
        <f>_xlfn.XLOOKUP(Customer[[#This Row],[Customer ID]],[1]!Name[ID],[1]!Name[Description(2)])</f>
        <v/>
      </c>
      <c r="D2236" s="68" t="str">
        <f>_xlfn.XLOOKUP(Customer[[#This Row],[Customer ID]],[1]!Address[ID],[1]!Address[PIC])</f>
        <v/>
      </c>
      <c r="E2236" s="11" t="str">
        <f>_xlfn.XLOOKUP(Customer[[#This Row],[Customer ID]],[1]!Address[ID],[1]!Address[Full Address])</f>
        <v>Z5-UG &amp;Z5-L2 10 STAR CINEMASEMPIRE CITY, NO.8 JALAN DAMANSARAJALAN PJU 847820 PETALING JAYA KUALA LUMPUR</v>
      </c>
      <c r="F2236" s="12" t="s">
        <v>13923</v>
      </c>
      <c r="G2236" s="12" t="s">
        <v>13924</v>
      </c>
      <c r="H2236" s="12" t="s">
        <v>13925</v>
      </c>
      <c r="I2236" s="12" t="b">
        <f>ISNUMBER(VALUE(LEFT(Customer[[#This Row],[Address Line 3 (30 char)]],1)))</f>
        <v>0</v>
      </c>
      <c r="J2236" s="12" t="s">
        <v>8855</v>
      </c>
      <c r="K2236" s="12">
        <v>51200</v>
      </c>
      <c r="L2236" s="12" t="s">
        <v>35</v>
      </c>
      <c r="M2236" s="13" t="e">
        <v>#N/A</v>
      </c>
      <c r="N2236" s="14" t="e">
        <v>#N/A</v>
      </c>
      <c r="O2236" s="14" t="e">
        <v>#N/A</v>
      </c>
      <c r="P2236" s="14" t="e">
        <v>#N/A</v>
      </c>
      <c r="Q2236" s="14" t="e">
        <v>#N/A</v>
      </c>
      <c r="R2236" s="67" t="s">
        <v>13926</v>
      </c>
      <c r="S2236" s="67"/>
      <c r="T2236" s="76"/>
      <c r="U2236" s="68" t="str">
        <f>_xlfn.XLOOKUP(Customer[[#This Row],[Customer ID]],[1]!Address[ID],[1]!Address[Phone No.(2)])</f>
        <v/>
      </c>
      <c r="V2236" s="68" t="str">
        <f>_xlfn.XLOOKUP(Customer[[#This Row],[Customer ID]],[1]!Address[ID],[1]!Address[Type])</f>
        <v>WALK IN</v>
      </c>
      <c r="W2236" s="68" t="str">
        <f>_xlfn.XLOOKUP(Customer[[#This Row],[Customer ID]],[1]!Address[ID],[1]!Address[CT])</f>
        <v>CASH</v>
      </c>
      <c r="X2236" s="68"/>
      <c r="Y2236" s="69" t="s">
        <v>6284</v>
      </c>
      <c r="Z2236" s="69" t="e">
        <f>_xlfn.XLOOKUP(Customer[[#This Row],[NewType]],$AF$36:$AF$54,$AG$36:$AG$54)</f>
        <v>#N/A</v>
      </c>
      <c r="AA2236" s="69" t="s">
        <v>13927</v>
      </c>
      <c r="AB2236" s="68" t="str">
        <f>_xlfn.XLOOKUP(Customer[[#This Row],[Customer ID]],[1]!Address[ID],[1]!Address[Subtype])</f>
        <v>CASH</v>
      </c>
      <c r="AC2236" s="70" t="str">
        <f>_xlfn.XLOOKUP(Customer[[#This Row],[Customer ID]],[1]!Address[ID],[1]!Address[Zone])</f>
        <v>CENTRAL</v>
      </c>
      <c r="AD2236" s="71"/>
    </row>
    <row r="2237" spans="1:30" x14ac:dyDescent="0.3">
      <c r="A2237" s="45" t="s">
        <v>13928</v>
      </c>
      <c r="B2237" s="32" t="str">
        <f>_xlfn.XLOOKUP(Customer[[#This Row],[Customer ID]],[1]!Name[ID],[1]!Name[Description(1)])</f>
        <v>AINIE SYUHADA BINTI MOHD SHAH</v>
      </c>
      <c r="C2237" s="32" t="str">
        <f>_xlfn.XLOOKUP(Customer[[#This Row],[Customer ID]],[1]!Name[ID],[1]!Name[Description(2)])</f>
        <v/>
      </c>
      <c r="D2237" s="11" t="str">
        <f>_xlfn.XLOOKUP(Customer[[#This Row],[Customer ID]],[1]!Address[ID],[1]!Address[PIC])</f>
        <v/>
      </c>
      <c r="E2237" s="11" t="str">
        <f>_xlfn.XLOOKUP(Customer[[#This Row],[Customer ID]],[1]!Address[ID],[1]!Address[Full Address])</f>
        <v>TAMAN SRI MAWAR</v>
      </c>
      <c r="F2237" s="12" t="s">
        <v>13929</v>
      </c>
      <c r="G2237" s="12" t="s">
        <v>36</v>
      </c>
      <c r="H2237" s="12" t="s">
        <v>36</v>
      </c>
      <c r="I2237" s="12" t="b">
        <f>ISNUMBER(VALUE(LEFT(Customer[[#This Row],[Address Line 3 (30 char)]],1)))</f>
        <v>0</v>
      </c>
      <c r="J2237" s="32" t="s">
        <v>203</v>
      </c>
      <c r="K2237" s="32"/>
      <c r="L2237" s="12" t="s">
        <v>35</v>
      </c>
      <c r="M2237" s="13" t="e">
        <v>#N/A</v>
      </c>
      <c r="N2237" s="14" t="e">
        <v>#N/A</v>
      </c>
      <c r="O2237" s="14" t="e">
        <v>#N/A</v>
      </c>
      <c r="P2237" s="14" t="e">
        <v>#N/A</v>
      </c>
      <c r="Q2237" s="19" t="s">
        <v>13930</v>
      </c>
      <c r="R2237" s="15" t="s">
        <v>13931</v>
      </c>
      <c r="S2237" s="16" t="s">
        <v>89</v>
      </c>
      <c r="T2237" s="16" t="s">
        <v>89</v>
      </c>
      <c r="U2237" s="11" t="str">
        <f>_xlfn.XLOOKUP(Customer[[#This Row],[Customer ID]],[1]!Address[ID],[1]!Address[Phone No.(2)])</f>
        <v/>
      </c>
      <c r="V2237" s="11" t="str">
        <f>_xlfn.XLOOKUP(Customer[[#This Row],[Customer ID]],[1]!Address[ID],[1]!Address[Type])</f>
        <v>WALK IN</v>
      </c>
      <c r="W2237" s="11" t="str">
        <f>_xlfn.XLOOKUP(Customer[[#This Row],[Customer ID]],[1]!Address[ID],[1]!Address[CT])</f>
        <v/>
      </c>
      <c r="X2237" s="11"/>
      <c r="Y2237" s="17" t="s">
        <v>6284</v>
      </c>
      <c r="Z2237" s="17" t="e">
        <f>_xlfn.XLOOKUP(Customer[[#This Row],[NewType]],$AF$36:$AF$54,$AG$36:$AG$54)</f>
        <v>#N/A</v>
      </c>
      <c r="AA2237" s="17" t="s">
        <v>13932</v>
      </c>
      <c r="AB2237" s="11" t="str">
        <f>_xlfn.XLOOKUP(Customer[[#This Row],[Customer ID]],[1]!Address[ID],[1]!Address[Subtype])</f>
        <v>PEDAS</v>
      </c>
      <c r="AC2237" s="18" t="str">
        <f>_xlfn.XLOOKUP(Customer[[#This Row],[Customer ID]],[1]!Address[ID],[1]!Address[Zone])</f>
        <v>SOUTH</v>
      </c>
    </row>
    <row r="2238" spans="1:30" x14ac:dyDescent="0.3">
      <c r="A2238" s="10" t="s">
        <v>13933</v>
      </c>
      <c r="B2238" s="11" t="str">
        <f>_xlfn.XLOOKUP(Customer[[#This Row],[Customer ID]],[1]!Name[ID],[1]!Name[Description(1)])</f>
        <v>SMK SULTAN ALAM SHAH</v>
      </c>
      <c r="C2238" s="11" t="str">
        <f>_xlfn.XLOOKUP(Customer[[#This Row],[Customer ID]],[1]!Name[ID],[1]!Name[Description(2)])</f>
        <v/>
      </c>
      <c r="D2238" s="11" t="str">
        <f>_xlfn.XLOOKUP(Customer[[#This Row],[Customer ID]],[1]!Address[ID],[1]!Address[PIC])</f>
        <v/>
      </c>
      <c r="E2238" s="11" t="str">
        <f>_xlfn.XLOOKUP(Customer[[#This Row],[Customer ID]],[1]!Address[ID],[1]!Address[Full Address])</f>
        <v/>
      </c>
      <c r="F2238" s="63" t="s">
        <v>36</v>
      </c>
      <c r="G2238" s="63" t="s">
        <v>36</v>
      </c>
      <c r="H2238" s="63" t="s">
        <v>36</v>
      </c>
      <c r="I2238" s="63" t="b">
        <f>ISNUMBER(VALUE(LEFT(Customer[[#This Row],[Address Line 3 (30 char)]],1)))</f>
        <v>0</v>
      </c>
      <c r="J2238" s="63" t="s">
        <v>4229</v>
      </c>
      <c r="K2238" s="63">
        <v>62000</v>
      </c>
      <c r="L2238" s="63" t="s">
        <v>35</v>
      </c>
      <c r="M2238" s="65" t="e">
        <v>#N/A</v>
      </c>
      <c r="N2238" s="66" t="e">
        <v>#N/A</v>
      </c>
      <c r="O2238" s="66" t="e">
        <v>#N/A</v>
      </c>
      <c r="P2238" s="66" t="e">
        <v>#N/A</v>
      </c>
      <c r="Q2238" s="66" t="e">
        <v>#N/A</v>
      </c>
      <c r="R2238" s="15" t="s">
        <v>36</v>
      </c>
      <c r="S2238" s="16" t="s">
        <v>89</v>
      </c>
      <c r="T2238" s="16" t="s">
        <v>89</v>
      </c>
      <c r="U2238" s="11" t="str">
        <f>_xlfn.XLOOKUP(Customer[[#This Row],[Customer ID]],[1]!Address[ID],[1]!Address[Phone No.(2)])</f>
        <v/>
      </c>
      <c r="V2238" s="11" t="str">
        <f>_xlfn.XLOOKUP(Customer[[#This Row],[Customer ID]],[1]!Address[ID],[1]!Address[Type])</f>
        <v>SOCMED</v>
      </c>
      <c r="W2238" s="11" t="str">
        <f>_xlfn.XLOOKUP(Customer[[#This Row],[Customer ID]],[1]!Address[ID],[1]!Address[CT])</f>
        <v/>
      </c>
      <c r="X2238" s="11"/>
      <c r="Y2238" s="17" t="s">
        <v>90</v>
      </c>
      <c r="Z2238" s="17" t="e">
        <f>_xlfn.XLOOKUP(Customer[[#This Row],[NewType]],$AF$36:$AF$54,$AG$36:$AG$54)</f>
        <v>#N/A</v>
      </c>
      <c r="AA2238" s="17" t="s">
        <v>13934</v>
      </c>
      <c r="AB2238" s="11" t="str">
        <f>_xlfn.XLOOKUP(Customer[[#This Row],[Customer ID]],[1]!Address[ID],[1]!Address[Subtype])</f>
        <v>WHATSAPP</v>
      </c>
      <c r="AC2238" s="18">
        <f>_xlfn.XLOOKUP(Customer[[#This Row],[Customer ID]],[1]!Address[ID],[1]!Address[Zone])</f>
        <v>0</v>
      </c>
    </row>
    <row r="2239" spans="1:30" x14ac:dyDescent="0.3">
      <c r="A2239" s="10" t="s">
        <v>13935</v>
      </c>
      <c r="B2239" s="11" t="str">
        <f>_xlfn.XLOOKUP(Customer[[#This Row],[Customer ID]],[1]!Name[ID],[1]!Name[Description(1)])</f>
        <v>ISKANDAR BIN ZULKARNAIN</v>
      </c>
      <c r="C2239" s="11" t="str">
        <f>_xlfn.XLOOKUP(Customer[[#This Row],[Customer ID]],[1]!Name[ID],[1]!Name[Description(2)])</f>
        <v>(PRODUCTION)</v>
      </c>
      <c r="D2239" s="11" t="str">
        <f>_xlfn.XLOOKUP(Customer[[#This Row],[Customer ID]],[1]!Address[ID],[1]!Address[PIC])</f>
        <v/>
      </c>
      <c r="E2239" s="11" t="str">
        <f>_xlfn.XLOOKUP(Customer[[#This Row],[Customer ID]],[1]!Address[ID],[1]!Address[Full Address])</f>
        <v>NO.20 RUMAH RAKYAT NYATOH RANTAUNEGERI SEMBILAN</v>
      </c>
      <c r="F2239" s="12" t="s">
        <v>13936</v>
      </c>
      <c r="G2239" s="12" t="s">
        <v>13937</v>
      </c>
      <c r="H2239" s="12" t="s">
        <v>6428</v>
      </c>
      <c r="I2239" s="12" t="b">
        <f>ISNUMBER(VALUE(LEFT(Customer[[#This Row],[Address Line 3 (30 char)]],1)))</f>
        <v>0</v>
      </c>
      <c r="J2239" s="32" t="s">
        <v>2004</v>
      </c>
      <c r="K2239" s="32">
        <v>71200</v>
      </c>
      <c r="L2239" s="12" t="s">
        <v>35</v>
      </c>
      <c r="M2239" s="13" t="e">
        <v>#N/A</v>
      </c>
      <c r="N2239" s="14" t="e">
        <v>#N/A</v>
      </c>
      <c r="O2239" s="14" t="e">
        <v>#N/A</v>
      </c>
      <c r="P2239" s="14" t="e">
        <v>#N/A</v>
      </c>
      <c r="Q2239" s="19" t="s">
        <v>13938</v>
      </c>
      <c r="R2239" s="15" t="s">
        <v>13939</v>
      </c>
      <c r="S2239" s="16" t="s">
        <v>89</v>
      </c>
      <c r="T2239" s="16" t="s">
        <v>89</v>
      </c>
      <c r="U2239" s="11" t="str">
        <f>_xlfn.XLOOKUP(Customer[[#This Row],[Customer ID]],[1]!Address[ID],[1]!Address[Phone No.(2)])</f>
        <v/>
      </c>
      <c r="V2239" s="11" t="str">
        <f>_xlfn.XLOOKUP(Customer[[#This Row],[Customer ID]],[1]!Address[ID],[1]!Address[Type])</f>
        <v>WALK IN</v>
      </c>
      <c r="W2239" s="11" t="str">
        <f>_xlfn.XLOOKUP(Customer[[#This Row],[Customer ID]],[1]!Address[ID],[1]!Address[CT])</f>
        <v/>
      </c>
      <c r="X2239" s="11"/>
      <c r="Y2239" s="17" t="s">
        <v>6284</v>
      </c>
      <c r="Z2239" s="17" t="e">
        <f>_xlfn.XLOOKUP(Customer[[#This Row],[NewType]],$AF$36:$AF$54,$AG$36:$AG$54)</f>
        <v>#N/A</v>
      </c>
      <c r="AA2239" s="17" t="s">
        <v>13940</v>
      </c>
      <c r="AB2239" s="11" t="str">
        <f>_xlfn.XLOOKUP(Customer[[#This Row],[Customer ID]],[1]!Address[ID],[1]!Address[Subtype])</f>
        <v>STAFF</v>
      </c>
      <c r="AC2239" s="18" t="str">
        <f>_xlfn.XLOOKUP(Customer[[#This Row],[Customer ID]],[1]!Address[ID],[1]!Address[Zone])</f>
        <v>SOUTH</v>
      </c>
    </row>
    <row r="2240" spans="1:30" x14ac:dyDescent="0.3">
      <c r="A2240" s="10" t="s">
        <v>13941</v>
      </c>
      <c r="B2240" s="11" t="str">
        <f>_xlfn.XLOOKUP(Customer[[#This Row],[Customer ID]],[1]!Name[ID],[1]!Name[Description(1)])</f>
        <v>MR SERDANG JAYA</v>
      </c>
      <c r="C2240" s="11" t="str">
        <f>_xlfn.XLOOKUP(Customer[[#This Row],[Customer ID]],[1]!Name[ID],[1]!Name[Description(2)])</f>
        <v>SHELL MR SERDANG JAYA</v>
      </c>
      <c r="D2240" s="11" t="str">
        <f>_xlfn.XLOOKUP(Customer[[#This Row],[Customer ID]],[1]!Address[ID],[1]!Address[PIC])</f>
        <v/>
      </c>
      <c r="E2240" s="11" t="str">
        <f>_xlfn.XLOOKUP(Customer[[#This Row],[Customer ID]],[1]!Address[ID],[1]!Address[Full Address])</f>
        <v>SHELL MR SERDANG JAYALOT 25035 JALAN TENGKU MIZANSEBERANG TOK KU TUAN TENGAH21200 JUALA NERUS, TERENGGANU</v>
      </c>
      <c r="F2240" s="12" t="s">
        <v>13942</v>
      </c>
      <c r="G2240" s="12" t="s">
        <v>13943</v>
      </c>
      <c r="H2240" s="12" t="s">
        <v>13944</v>
      </c>
      <c r="I2240" s="12" t="b">
        <f>ISNUMBER(VALUE(LEFT(Customer[[#This Row],[Address Line 3 (30 char)]],1)))</f>
        <v>0</v>
      </c>
      <c r="J2240" s="12" t="s">
        <v>1056</v>
      </c>
      <c r="K2240" s="12">
        <v>21200</v>
      </c>
      <c r="L2240" s="12" t="s">
        <v>35</v>
      </c>
      <c r="M2240" s="13" t="e">
        <v>#N/A</v>
      </c>
      <c r="N2240" s="14" t="e">
        <v>#N/A</v>
      </c>
      <c r="O2240" s="14" t="e">
        <v>#N/A</v>
      </c>
      <c r="P2240" s="14" t="e">
        <v>#N/A</v>
      </c>
      <c r="Q2240" s="19" t="s">
        <v>13945</v>
      </c>
      <c r="R2240" s="15" t="s">
        <v>13946</v>
      </c>
      <c r="S2240" s="15" t="s">
        <v>37</v>
      </c>
      <c r="T2240" s="16" t="s">
        <v>38</v>
      </c>
      <c r="U2240" s="11" t="str">
        <f>_xlfn.XLOOKUP(Customer[[#This Row],[Customer ID]],[1]!Address[ID],[1]!Address[Phone No.(2)])</f>
        <v/>
      </c>
      <c r="V2240" s="11" t="str">
        <f>_xlfn.XLOOKUP(Customer[[#This Row],[Customer ID]],[1]!Address[ID],[1]!Address[Type])</f>
        <v>PETROMART</v>
      </c>
      <c r="W2240" s="11" t="str">
        <f>_xlfn.XLOOKUP(Customer[[#This Row],[Customer ID]],[1]!Address[ID],[1]!Address[CT])</f>
        <v>30</v>
      </c>
      <c r="X2240" s="11" t="s">
        <v>39</v>
      </c>
      <c r="Y2240" s="17" t="s">
        <v>40</v>
      </c>
      <c r="Z2240" s="17" t="e">
        <f>_xlfn.XLOOKUP(Customer[[#This Row],[NewType]],$AF$36:$AF$54,$AG$36:$AG$54)</f>
        <v>#N/A</v>
      </c>
      <c r="AA2240" s="17" t="s">
        <v>13947</v>
      </c>
      <c r="AB2240" s="11" t="str">
        <f>_xlfn.XLOOKUP(Customer[[#This Row],[Customer ID]],[1]!Address[ID],[1]!Address[Subtype])</f>
        <v>SHELL</v>
      </c>
      <c r="AC2240" s="18" t="str">
        <f>_xlfn.XLOOKUP(Customer[[#This Row],[Customer ID]],[1]!Address[ID],[1]!Address[Zone])</f>
        <v>EAST COAST</v>
      </c>
    </row>
    <row r="2241" spans="1:29" x14ac:dyDescent="0.3">
      <c r="A2241" s="10" t="s">
        <v>13948</v>
      </c>
      <c r="B2241" s="11" t="str">
        <f>_xlfn.XLOOKUP(Customer[[#This Row],[Customer ID]],[1]!Name[ID],[1]!Name[Description(1)])</f>
        <v>MOHAMMAD HAKEEM BIN MD NASIR</v>
      </c>
      <c r="C2241" s="11" t="str">
        <f>_xlfn.XLOOKUP(Customer[[#This Row],[Customer ID]],[1]!Name[ID],[1]!Name[Description(2)])</f>
        <v/>
      </c>
      <c r="D2241" s="11" t="str">
        <f>_xlfn.XLOOKUP(Customer[[#This Row],[Customer ID]],[1]!Address[ID],[1]!Address[PIC])</f>
        <v/>
      </c>
      <c r="E2241" s="11" t="str">
        <f>_xlfn.XLOOKUP(Customer[[#This Row],[Customer ID]],[1]!Address[ID],[1]!Address[Full Address])</f>
        <v>NO 8, TINGKAT 4, KUATERS POLIS,BALAI POLIS LUBOK CHINA,78100, LUBOK CHINA, MELAKA</v>
      </c>
      <c r="F2241" s="12" t="s">
        <v>13949</v>
      </c>
      <c r="G2241" s="12" t="s">
        <v>13950</v>
      </c>
      <c r="H2241" s="12" t="s">
        <v>12291</v>
      </c>
      <c r="I2241" s="12" t="b">
        <f>ISNUMBER(VALUE(LEFT(Customer[[#This Row],[Address Line 3 (30 char)]],1)))</f>
        <v>0</v>
      </c>
      <c r="J2241" s="12" t="s">
        <v>61</v>
      </c>
      <c r="K2241" s="12">
        <v>78100</v>
      </c>
      <c r="L2241" s="12" t="s">
        <v>35</v>
      </c>
      <c r="M2241" s="13" t="e">
        <v>#N/A</v>
      </c>
      <c r="N2241" s="14" t="e">
        <v>#N/A</v>
      </c>
      <c r="O2241" s="14" t="e">
        <v>#N/A</v>
      </c>
      <c r="P2241" s="14" t="e">
        <v>#N/A</v>
      </c>
      <c r="Q2241" s="19" t="s">
        <v>13951</v>
      </c>
      <c r="R2241" s="15" t="s">
        <v>13952</v>
      </c>
      <c r="S2241" s="16" t="s">
        <v>89</v>
      </c>
      <c r="T2241" s="16" t="s">
        <v>89</v>
      </c>
      <c r="U2241" s="11" t="str">
        <f>_xlfn.XLOOKUP(Customer[[#This Row],[Customer ID]],[1]!Address[ID],[1]!Address[Phone No.(2)])</f>
        <v/>
      </c>
      <c r="V2241" s="11" t="str">
        <f>_xlfn.XLOOKUP(Customer[[#This Row],[Customer ID]],[1]!Address[ID],[1]!Address[Type])</f>
        <v>WALK IN</v>
      </c>
      <c r="W2241" s="11" t="str">
        <f>_xlfn.XLOOKUP(Customer[[#This Row],[Customer ID]],[1]!Address[ID],[1]!Address[CT])</f>
        <v/>
      </c>
      <c r="X2241" s="11"/>
      <c r="Y2241" s="17" t="s">
        <v>6284</v>
      </c>
      <c r="Z2241" s="17" t="e">
        <f>_xlfn.XLOOKUP(Customer[[#This Row],[NewType]],$AF$36:$AF$54,$AG$36:$AG$54)</f>
        <v>#N/A</v>
      </c>
      <c r="AA2241" s="17" t="s">
        <v>13953</v>
      </c>
      <c r="AB2241" s="11" t="str">
        <f>_xlfn.XLOOKUP(Customer[[#This Row],[Customer ID]],[1]!Address[ID],[1]!Address[Subtype])</f>
        <v>PEDAS</v>
      </c>
      <c r="AC2241" s="18" t="str">
        <f>_xlfn.XLOOKUP(Customer[[#This Row],[Customer ID]],[1]!Address[ID],[1]!Address[Zone])</f>
        <v>SOUTH</v>
      </c>
    </row>
    <row r="2242" spans="1:29" x14ac:dyDescent="0.3">
      <c r="A2242" s="45" t="s">
        <v>13954</v>
      </c>
      <c r="B2242" s="32" t="str">
        <f>_xlfn.XLOOKUP(Customer[[#This Row],[Customer ID]],[1]!Name[ID],[1]!Name[Description(1)])</f>
        <v>HJH SHIMA HASHIM</v>
      </c>
      <c r="C2242" s="32" t="str">
        <f>_xlfn.XLOOKUP(Customer[[#This Row],[Customer ID]],[1]!Name[ID],[1]!Name[Description(2)])</f>
        <v/>
      </c>
      <c r="D2242" s="11" t="str">
        <f>_xlfn.XLOOKUP(Customer[[#This Row],[Customer ID]],[1]!Address[ID],[1]!Address[PIC])</f>
        <v/>
      </c>
      <c r="E2242" s="11" t="str">
        <f>_xlfn.XLOOKUP(Customer[[#This Row],[Customer ID]],[1]!Address[ID],[1]!Address[Full Address])</f>
        <v>NO 5 TMN SRI PUCHONG JLN KULAIKG BARU BATU 14, PUCHONGSELANGOR</v>
      </c>
      <c r="F2242" s="12" t="s">
        <v>13955</v>
      </c>
      <c r="G2242" s="12" t="s">
        <v>13956</v>
      </c>
      <c r="H2242" s="12"/>
      <c r="I2242" s="12" t="b">
        <f>ISNUMBER(VALUE(LEFT(Customer[[#This Row],[Address Line 3 (30 char)]],1)))</f>
        <v>0</v>
      </c>
      <c r="J2242" s="32" t="s">
        <v>1907</v>
      </c>
      <c r="K2242" s="32">
        <v>47100</v>
      </c>
      <c r="L2242" s="12" t="s">
        <v>35</v>
      </c>
      <c r="M2242" s="13" t="e">
        <v>#N/A</v>
      </c>
      <c r="N2242" s="14" t="e">
        <v>#N/A</v>
      </c>
      <c r="O2242" s="14" t="e">
        <v>#N/A</v>
      </c>
      <c r="P2242" s="14" t="e">
        <v>#N/A</v>
      </c>
      <c r="Q2242" s="14" t="e">
        <v>#N/A</v>
      </c>
      <c r="R2242" s="15" t="s">
        <v>13957</v>
      </c>
      <c r="S2242" s="16" t="s">
        <v>89</v>
      </c>
      <c r="T2242" s="16" t="s">
        <v>89</v>
      </c>
      <c r="U2242" s="11" t="str">
        <f>_xlfn.XLOOKUP(Customer[[#This Row],[Customer ID]],[1]!Address[ID],[1]!Address[Phone No.(2)])</f>
        <v/>
      </c>
      <c r="V2242" s="11" t="str">
        <f>_xlfn.XLOOKUP(Customer[[#This Row],[Customer ID]],[1]!Address[ID],[1]!Address[Type])</f>
        <v>WALK IN</v>
      </c>
      <c r="W2242" s="11" t="str">
        <f>_xlfn.XLOOKUP(Customer[[#This Row],[Customer ID]],[1]!Address[ID],[1]!Address[CT])</f>
        <v/>
      </c>
      <c r="X2242" s="11"/>
      <c r="Y2242" s="17" t="s">
        <v>6284</v>
      </c>
      <c r="Z2242" s="17" t="e">
        <f>_xlfn.XLOOKUP(Customer[[#This Row],[NewType]],$AF$36:$AF$54,$AG$36:$AG$54)</f>
        <v>#N/A</v>
      </c>
      <c r="AA2242" s="17" t="s">
        <v>13958</v>
      </c>
      <c r="AB2242" s="11" t="str">
        <f>_xlfn.XLOOKUP(Customer[[#This Row],[Customer ID]],[1]!Address[ID],[1]!Address[Subtype])</f>
        <v>PEDAS</v>
      </c>
      <c r="AC2242" s="18" t="str">
        <f>_xlfn.XLOOKUP(Customer[[#This Row],[Customer ID]],[1]!Address[ID],[1]!Address[Zone])</f>
        <v>CENTRAL</v>
      </c>
    </row>
    <row r="2243" spans="1:29" x14ac:dyDescent="0.3">
      <c r="A2243" s="10" t="s">
        <v>13959</v>
      </c>
      <c r="B2243" s="11" t="str">
        <f>_xlfn.XLOOKUP(Customer[[#This Row],[Customer ID]],[1]!Name[ID],[1]!Name[Description(1)])</f>
        <v>DARUL ANGKASA SDN BHD</v>
      </c>
      <c r="C2243" s="11" t="str">
        <f>_xlfn.XLOOKUP(Customer[[#This Row],[Customer ID]],[1]!Name[ID],[1]!Name[Description(2)])</f>
        <v>PS MALIM MAWAR</v>
      </c>
      <c r="D2243" s="11" t="str">
        <f>_xlfn.XLOOKUP(Customer[[#This Row],[Customer ID]],[1]!Address[ID],[1]!Address[PIC])</f>
        <v/>
      </c>
      <c r="E2243" s="11" t="str">
        <f>_xlfn.XLOOKUP(Customer[[#This Row],[Customer ID]],[1]!Address[ID],[1]!Address[Full Address])</f>
        <v>PS MALIM MAWARLOT 30032 JALAN BESAR, PEKANMALIM MAWAR, 31700 KAMPAR PERAK</v>
      </c>
      <c r="F2243" s="12" t="s">
        <v>13960</v>
      </c>
      <c r="G2243" s="12" t="s">
        <v>13961</v>
      </c>
      <c r="H2243" s="12" t="s">
        <v>2579</v>
      </c>
      <c r="I2243" s="12" t="b">
        <f>ISNUMBER(VALUE(LEFT(Customer[[#This Row],[Address Line 3 (30 char)]],1)))</f>
        <v>0</v>
      </c>
      <c r="J2243" s="12" t="s">
        <v>242</v>
      </c>
      <c r="K2243" s="12">
        <v>31700</v>
      </c>
      <c r="L2243" s="12" t="s">
        <v>35</v>
      </c>
      <c r="M2243" s="13" t="e">
        <v>#N/A</v>
      </c>
      <c r="N2243" s="14" t="e">
        <v>#N/A</v>
      </c>
      <c r="O2243" s="14" t="e">
        <v>#N/A</v>
      </c>
      <c r="P2243" s="14" t="e">
        <v>#N/A</v>
      </c>
      <c r="Q2243" s="19" t="s">
        <v>13962</v>
      </c>
      <c r="R2243" s="15" t="s">
        <v>13963</v>
      </c>
      <c r="S2243" s="15" t="s">
        <v>37</v>
      </c>
      <c r="T2243" s="16" t="s">
        <v>38</v>
      </c>
      <c r="U2243" s="11" t="str">
        <f>_xlfn.XLOOKUP(Customer[[#This Row],[Customer ID]],[1]!Address[ID],[1]!Address[Phone No.(2)])</f>
        <v/>
      </c>
      <c r="V2243" s="11" t="str">
        <f>_xlfn.XLOOKUP(Customer[[#This Row],[Customer ID]],[1]!Address[ID],[1]!Address[Type])</f>
        <v>PETROMART</v>
      </c>
      <c r="W2243" s="11" t="str">
        <f>_xlfn.XLOOKUP(Customer[[#This Row],[Customer ID]],[1]!Address[ID],[1]!Address[CT])</f>
        <v>30</v>
      </c>
      <c r="X2243" s="11" t="s">
        <v>39</v>
      </c>
      <c r="Y2243" s="17" t="s">
        <v>40</v>
      </c>
      <c r="Z2243" s="17" t="e">
        <f>_xlfn.XLOOKUP(Customer[[#This Row],[NewType]],$AF$36:$AF$54,$AG$36:$AG$54)</f>
        <v>#N/A</v>
      </c>
      <c r="AA2243" s="17" t="s">
        <v>13964</v>
      </c>
      <c r="AB2243" s="11" t="str">
        <f>_xlfn.XLOOKUP(Customer[[#This Row],[Customer ID]],[1]!Address[ID],[1]!Address[Subtype])</f>
        <v>PETRONAS</v>
      </c>
      <c r="AC2243" s="18" t="str">
        <f>_xlfn.XLOOKUP(Customer[[#This Row],[Customer ID]],[1]!Address[ID],[1]!Address[Zone])</f>
        <v>NORTH</v>
      </c>
    </row>
    <row r="2244" spans="1:29" x14ac:dyDescent="0.3">
      <c r="A2244" s="45" t="s">
        <v>13965</v>
      </c>
      <c r="B2244" s="32" t="str">
        <f>_xlfn.XLOOKUP(Customer[[#This Row],[Customer ID]],[1]!Name[ID],[1]!Name[Description(1)])</f>
        <v>SALMAH BINTI MOHD ALI</v>
      </c>
      <c r="C2244" s="32" t="str">
        <f>_xlfn.XLOOKUP(Customer[[#This Row],[Customer ID]],[1]!Name[ID],[1]!Name[Description(2)])</f>
        <v/>
      </c>
      <c r="D2244" s="11" t="str">
        <f>_xlfn.XLOOKUP(Customer[[#This Row],[Customer ID]],[1]!Address[ID],[1]!Address[PIC])</f>
        <v/>
      </c>
      <c r="E2244" s="11" t="str">
        <f>_xlfn.XLOOKUP(Customer[[#This Row],[Customer ID]],[1]!Address[ID],[1]!Address[Full Address])</f>
        <v>NO 46 JLN 2/12JALAN MUTIARA INDAH,TAMAN MUTIARA INDAH, 47100PUCHONG SELANGOR</v>
      </c>
      <c r="F2244" s="12" t="s">
        <v>13966</v>
      </c>
      <c r="G2244" s="12" t="s">
        <v>13967</v>
      </c>
      <c r="H2244" s="12" t="s">
        <v>13968</v>
      </c>
      <c r="I2244" s="12" t="b">
        <f>ISNUMBER(VALUE(LEFT(Customer[[#This Row],[Address Line 3 (30 char)]],1)))</f>
        <v>0</v>
      </c>
      <c r="J2244" s="32" t="s">
        <v>172</v>
      </c>
      <c r="K2244" s="32">
        <v>47100</v>
      </c>
      <c r="L2244" s="12" t="s">
        <v>35</v>
      </c>
      <c r="M2244" s="13" t="e">
        <v>#N/A</v>
      </c>
      <c r="N2244" s="14" t="e">
        <v>#N/A</v>
      </c>
      <c r="O2244" s="14" t="e">
        <v>#N/A</v>
      </c>
      <c r="P2244" s="14" t="e">
        <v>#N/A</v>
      </c>
      <c r="Q2244" s="19" t="s">
        <v>13969</v>
      </c>
      <c r="R2244" s="15" t="s">
        <v>13970</v>
      </c>
      <c r="S2244" s="16" t="s">
        <v>89</v>
      </c>
      <c r="T2244" s="16" t="s">
        <v>89</v>
      </c>
      <c r="U2244" s="11" t="str">
        <f>_xlfn.XLOOKUP(Customer[[#This Row],[Customer ID]],[1]!Address[ID],[1]!Address[Phone No.(2)])</f>
        <v/>
      </c>
      <c r="V2244" s="11" t="str">
        <f>_xlfn.XLOOKUP(Customer[[#This Row],[Customer ID]],[1]!Address[ID],[1]!Address[Type])</f>
        <v>WALK IN</v>
      </c>
      <c r="W2244" s="11" t="str">
        <f>_xlfn.XLOOKUP(Customer[[#This Row],[Customer ID]],[1]!Address[ID],[1]!Address[CT])</f>
        <v/>
      </c>
      <c r="X2244" s="11"/>
      <c r="Y2244" s="17" t="s">
        <v>6284</v>
      </c>
      <c r="Z2244" s="17" t="e">
        <f>_xlfn.XLOOKUP(Customer[[#This Row],[NewType]],$AF$36:$AF$54,$AG$36:$AG$54)</f>
        <v>#N/A</v>
      </c>
      <c r="AA2244" s="17" t="s">
        <v>13971</v>
      </c>
      <c r="AB2244" s="11" t="str">
        <f>_xlfn.XLOOKUP(Customer[[#This Row],[Customer ID]],[1]!Address[ID],[1]!Address[Subtype])</f>
        <v>PEDAS</v>
      </c>
      <c r="AC2244" s="18" t="str">
        <f>_xlfn.XLOOKUP(Customer[[#This Row],[Customer ID]],[1]!Address[ID],[1]!Address[Zone])</f>
        <v>CENTRAL</v>
      </c>
    </row>
    <row r="2245" spans="1:29" x14ac:dyDescent="0.3">
      <c r="A2245" s="10" t="s">
        <v>13972</v>
      </c>
      <c r="B2245" s="11" t="str">
        <f>_xlfn.XLOOKUP(Customer[[#This Row],[Customer ID]],[1]!Name[ID],[1]!Name[Description(1)])</f>
        <v>NUR FATIN SYUHAIDA BINTI MOHD SANI</v>
      </c>
      <c r="C2245" s="11" t="str">
        <f>_xlfn.XLOOKUP(Customer[[#This Row],[Customer ID]],[1]!Name[ID],[1]!Name[Description(2)])</f>
        <v/>
      </c>
      <c r="D2245" s="11" t="str">
        <f>_xlfn.XLOOKUP(Customer[[#This Row],[Customer ID]],[1]!Address[ID],[1]!Address[PIC])</f>
        <v/>
      </c>
      <c r="E2245" s="11" t="str">
        <f>_xlfn.XLOOKUP(Customer[[#This Row],[Customer ID]],[1]!Address[ID],[1]!Address[Full Address])</f>
        <v>LOT 700 BATU 7JALAN TRONG 34850 CHANGKAT JERINGTAIPING PERAK</v>
      </c>
      <c r="F2245" s="12" t="s">
        <v>13973</v>
      </c>
      <c r="G2245" s="12" t="s">
        <v>13974</v>
      </c>
      <c r="H2245" s="12" t="s">
        <v>13975</v>
      </c>
      <c r="I2245" s="12" t="b">
        <f>ISNUMBER(VALUE(LEFT(Customer[[#This Row],[Address Line 3 (30 char)]],1)))</f>
        <v>0</v>
      </c>
      <c r="J2245" s="12" t="s">
        <v>242</v>
      </c>
      <c r="K2245" s="12">
        <v>34850</v>
      </c>
      <c r="L2245" s="12" t="s">
        <v>35</v>
      </c>
      <c r="M2245" s="13" t="e">
        <v>#N/A</v>
      </c>
      <c r="N2245" s="14" t="e">
        <v>#N/A</v>
      </c>
      <c r="O2245" s="14" t="e">
        <v>#N/A</v>
      </c>
      <c r="P2245" s="14" t="e">
        <v>#N/A</v>
      </c>
      <c r="Q2245" s="19" t="s">
        <v>13976</v>
      </c>
      <c r="R2245" s="15" t="s">
        <v>13977</v>
      </c>
      <c r="S2245" s="16" t="s">
        <v>89</v>
      </c>
      <c r="T2245" s="16" t="s">
        <v>89</v>
      </c>
      <c r="U2245" s="11" t="str">
        <f>_xlfn.XLOOKUP(Customer[[#This Row],[Customer ID]],[1]!Address[ID],[1]!Address[Phone No.(2)])</f>
        <v/>
      </c>
      <c r="V2245" s="11" t="str">
        <f>_xlfn.XLOOKUP(Customer[[#This Row],[Customer ID]],[1]!Address[ID],[1]!Address[Type])</f>
        <v>WALK IN</v>
      </c>
      <c r="W2245" s="11" t="str">
        <f>_xlfn.XLOOKUP(Customer[[#This Row],[Customer ID]],[1]!Address[ID],[1]!Address[CT])</f>
        <v/>
      </c>
      <c r="X2245" s="11"/>
      <c r="Y2245" s="17" t="s">
        <v>6284</v>
      </c>
      <c r="Z2245" s="17" t="e">
        <f>_xlfn.XLOOKUP(Customer[[#This Row],[NewType]],$AF$36:$AF$54,$AG$36:$AG$54)</f>
        <v>#N/A</v>
      </c>
      <c r="AA2245" s="17" t="s">
        <v>13978</v>
      </c>
      <c r="AB2245" s="11" t="str">
        <f>_xlfn.XLOOKUP(Customer[[#This Row],[Customer ID]],[1]!Address[ID],[1]!Address[Subtype])</f>
        <v>PEDAS</v>
      </c>
      <c r="AC2245" s="18" t="str">
        <f>_xlfn.XLOOKUP(Customer[[#This Row],[Customer ID]],[1]!Address[ID],[1]!Address[Zone])</f>
        <v>NORTH</v>
      </c>
    </row>
    <row r="2246" spans="1:29" x14ac:dyDescent="0.3">
      <c r="A2246" s="45" t="s">
        <v>13979</v>
      </c>
      <c r="B2246" s="32" t="str">
        <f>_xlfn.XLOOKUP(Customer[[#This Row],[Customer ID]],[1]!Name[ID],[1]!Name[Description(1)])</f>
        <v>NURUL AFIFAH BT ABU KASSIM</v>
      </c>
      <c r="C2246" s="32" t="str">
        <f>_xlfn.XLOOKUP(Customer[[#This Row],[Customer ID]],[1]!Name[ID],[1]!Name[Description(2)])</f>
        <v/>
      </c>
      <c r="D2246" s="11" t="str">
        <f>_xlfn.XLOOKUP(Customer[[#This Row],[Customer ID]],[1]!Address[ID],[1]!Address[PIC])</f>
        <v/>
      </c>
      <c r="E2246" s="11" t="str">
        <f>_xlfn.XLOOKUP(Customer[[#This Row],[Customer ID]],[1]!Address[ID],[1]!Address[Full Address])</f>
        <v>NO 817 JALAN KEDIDI 1TAMAN PAROI JAYA ,SEREMBAN, NEGERI SEMBILAN</v>
      </c>
      <c r="F2246" s="12" t="s">
        <v>13980</v>
      </c>
      <c r="G2246" s="12" t="s">
        <v>13981</v>
      </c>
      <c r="H2246" s="12" t="s">
        <v>2411</v>
      </c>
      <c r="I2246" s="12" t="b">
        <f>ISNUMBER(VALUE(LEFT(Customer[[#This Row],[Address Line 3 (30 char)]],1)))</f>
        <v>0</v>
      </c>
      <c r="J2246" s="32" t="s">
        <v>2004</v>
      </c>
      <c r="K2246" s="32">
        <v>70400</v>
      </c>
      <c r="L2246" s="12" t="s">
        <v>35</v>
      </c>
      <c r="M2246" s="13" t="e">
        <v>#N/A</v>
      </c>
      <c r="N2246" s="14" t="e">
        <v>#N/A</v>
      </c>
      <c r="O2246" s="14" t="e">
        <v>#N/A</v>
      </c>
      <c r="P2246" s="14" t="e">
        <v>#N/A</v>
      </c>
      <c r="Q2246" s="19" t="s">
        <v>13982</v>
      </c>
      <c r="R2246" s="15" t="s">
        <v>13983</v>
      </c>
      <c r="S2246" s="16" t="s">
        <v>89</v>
      </c>
      <c r="T2246" s="16" t="s">
        <v>89</v>
      </c>
      <c r="U2246" s="11" t="str">
        <f>_xlfn.XLOOKUP(Customer[[#This Row],[Customer ID]],[1]!Address[ID],[1]!Address[Phone No.(2)])</f>
        <v/>
      </c>
      <c r="V2246" s="11" t="str">
        <f>_xlfn.XLOOKUP(Customer[[#This Row],[Customer ID]],[1]!Address[ID],[1]!Address[Type])</f>
        <v>WALK IN</v>
      </c>
      <c r="W2246" s="11" t="str">
        <f>_xlfn.XLOOKUP(Customer[[#This Row],[Customer ID]],[1]!Address[ID],[1]!Address[CT])</f>
        <v/>
      </c>
      <c r="X2246" s="11"/>
      <c r="Y2246" s="17" t="s">
        <v>6284</v>
      </c>
      <c r="Z2246" s="17" t="e">
        <f>_xlfn.XLOOKUP(Customer[[#This Row],[NewType]],$AF$36:$AF$54,$AG$36:$AG$54)</f>
        <v>#N/A</v>
      </c>
      <c r="AA2246" s="17" t="s">
        <v>13984</v>
      </c>
      <c r="AB2246" s="11" t="str">
        <f>_xlfn.XLOOKUP(Customer[[#This Row],[Customer ID]],[1]!Address[ID],[1]!Address[Subtype])</f>
        <v>PEDAS</v>
      </c>
      <c r="AC2246" s="18" t="str">
        <f>_xlfn.XLOOKUP(Customer[[#This Row],[Customer ID]],[1]!Address[ID],[1]!Address[Zone])</f>
        <v>SOUTH</v>
      </c>
    </row>
    <row r="2247" spans="1:29" x14ac:dyDescent="0.3">
      <c r="A2247" s="45" t="s">
        <v>13985</v>
      </c>
      <c r="B2247" s="32" t="str">
        <f>_xlfn.XLOOKUP(Customer[[#This Row],[Customer ID]],[1]!Name[ID],[1]!Name[Description(1)])</f>
        <v>AHMAD KHAIDIR</v>
      </c>
      <c r="C2247" s="32" t="str">
        <f>_xlfn.XLOOKUP(Customer[[#This Row],[Customer ID]],[1]!Name[ID],[1]!Name[Description(2)])</f>
        <v/>
      </c>
      <c r="D2247" s="11" t="str">
        <f>_xlfn.XLOOKUP(Customer[[#This Row],[Customer ID]],[1]!Address[ID],[1]!Address[PIC])</f>
        <v/>
      </c>
      <c r="E2247" s="11" t="str">
        <f>_xlfn.XLOOKUP(Customer[[#This Row],[Customer ID]],[1]!Address[ID],[1]!Address[Full Address])</f>
        <v>LOT 413 KG MENTAUSSEBERANG DURIAN, JELEBU,NEGERI SEMBILAN</v>
      </c>
      <c r="F2247" s="12" t="s">
        <v>13986</v>
      </c>
      <c r="G2247" s="12" t="s">
        <v>13987</v>
      </c>
      <c r="H2247" s="12"/>
      <c r="I2247" s="12" t="b">
        <f>ISNUMBER(VALUE(LEFT(Customer[[#This Row],[Address Line 3 (30 char)]],1)))</f>
        <v>0</v>
      </c>
      <c r="J2247" s="32" t="s">
        <v>203</v>
      </c>
      <c r="K2247" s="32">
        <v>72400</v>
      </c>
      <c r="L2247" s="12" t="s">
        <v>35</v>
      </c>
      <c r="M2247" s="13" t="e">
        <v>#N/A</v>
      </c>
      <c r="N2247" s="14" t="e">
        <v>#N/A</v>
      </c>
      <c r="O2247" s="14" t="e">
        <v>#N/A</v>
      </c>
      <c r="P2247" s="14" t="e">
        <v>#N/A</v>
      </c>
      <c r="Q2247" s="14" t="e">
        <v>#N/A</v>
      </c>
      <c r="R2247" s="15" t="s">
        <v>13988</v>
      </c>
      <c r="S2247" s="16" t="s">
        <v>89</v>
      </c>
      <c r="T2247" s="16" t="s">
        <v>89</v>
      </c>
      <c r="U2247" s="11" t="str">
        <f>_xlfn.XLOOKUP(Customer[[#This Row],[Customer ID]],[1]!Address[ID],[1]!Address[Phone No.(2)])</f>
        <v/>
      </c>
      <c r="V2247" s="11" t="str">
        <f>_xlfn.XLOOKUP(Customer[[#This Row],[Customer ID]],[1]!Address[ID],[1]!Address[Type])</f>
        <v>WALK IN</v>
      </c>
      <c r="W2247" s="11" t="str">
        <f>_xlfn.XLOOKUP(Customer[[#This Row],[Customer ID]],[1]!Address[ID],[1]!Address[CT])</f>
        <v/>
      </c>
      <c r="X2247" s="11"/>
      <c r="Y2247" s="17" t="s">
        <v>6284</v>
      </c>
      <c r="Z2247" s="17" t="e">
        <f>_xlfn.XLOOKUP(Customer[[#This Row],[NewType]],$AF$36:$AF$54,$AG$36:$AG$54)</f>
        <v>#N/A</v>
      </c>
      <c r="AA2247" s="17" t="s">
        <v>13989</v>
      </c>
      <c r="AB2247" s="11" t="str">
        <f>_xlfn.XLOOKUP(Customer[[#This Row],[Customer ID]],[1]!Address[ID],[1]!Address[Subtype])</f>
        <v>PEDAS</v>
      </c>
      <c r="AC2247" s="18" t="str">
        <f>_xlfn.XLOOKUP(Customer[[#This Row],[Customer ID]],[1]!Address[ID],[1]!Address[Zone])</f>
        <v>SOUTH</v>
      </c>
    </row>
    <row r="2248" spans="1:29" x14ac:dyDescent="0.3">
      <c r="A2248" s="45" t="s">
        <v>13990</v>
      </c>
      <c r="B2248" s="32" t="str">
        <f>_xlfn.XLOOKUP(Customer[[#This Row],[Customer ID]],[1]!Name[ID],[1]!Name[Description(1)])</f>
        <v>FARIZZIAN MAHMUD</v>
      </c>
      <c r="C2248" s="32" t="str">
        <f>_xlfn.XLOOKUP(Customer[[#This Row],[Customer ID]],[1]!Name[ID],[1]!Name[Description(2)])</f>
        <v/>
      </c>
      <c r="D2248" s="11" t="str">
        <f>_xlfn.XLOOKUP(Customer[[#This Row],[Customer ID]],[1]!Address[ID],[1]!Address[PIC])</f>
        <v/>
      </c>
      <c r="E2248" s="11" t="str">
        <f>_xlfn.XLOOKUP(Customer[[#This Row],[Customer ID]],[1]!Address[ID],[1]!Address[Full Address])</f>
        <v>BLOK A-T09-U03A,FASA 4B, PRESINT 8, PUTRAJAYA</v>
      </c>
      <c r="F2248" s="12" t="s">
        <v>13991</v>
      </c>
      <c r="G2248" s="12" t="s">
        <v>13992</v>
      </c>
      <c r="H2248" s="12" t="s">
        <v>36</v>
      </c>
      <c r="I2248" s="12" t="b">
        <f>ISNUMBER(VALUE(LEFT(Customer[[#This Row],[Address Line 3 (30 char)]],1)))</f>
        <v>0</v>
      </c>
      <c r="J2248" s="32" t="s">
        <v>1907</v>
      </c>
      <c r="K2248" s="32">
        <v>62506</v>
      </c>
      <c r="L2248" s="12" t="s">
        <v>35</v>
      </c>
      <c r="M2248" s="13" t="e">
        <v>#N/A</v>
      </c>
      <c r="N2248" s="14" t="e">
        <v>#N/A</v>
      </c>
      <c r="O2248" s="14" t="e">
        <v>#N/A</v>
      </c>
      <c r="P2248" s="14" t="e">
        <v>#N/A</v>
      </c>
      <c r="Q2248" s="19" t="s">
        <v>13993</v>
      </c>
      <c r="R2248" s="15" t="s">
        <v>13994</v>
      </c>
      <c r="S2248" s="16" t="s">
        <v>89</v>
      </c>
      <c r="T2248" s="16" t="s">
        <v>89</v>
      </c>
      <c r="U2248" s="11" t="str">
        <f>_xlfn.XLOOKUP(Customer[[#This Row],[Customer ID]],[1]!Address[ID],[1]!Address[Phone No.(2)])</f>
        <v/>
      </c>
      <c r="V2248" s="11" t="str">
        <f>_xlfn.XLOOKUP(Customer[[#This Row],[Customer ID]],[1]!Address[ID],[1]!Address[Type])</f>
        <v>WALK IN</v>
      </c>
      <c r="W2248" s="11" t="str">
        <f>_xlfn.XLOOKUP(Customer[[#This Row],[Customer ID]],[1]!Address[ID],[1]!Address[CT])</f>
        <v/>
      </c>
      <c r="X2248" s="11"/>
      <c r="Y2248" s="17" t="s">
        <v>6284</v>
      </c>
      <c r="Z2248" s="17" t="e">
        <f>_xlfn.XLOOKUP(Customer[[#This Row],[NewType]],$AF$36:$AF$54,$AG$36:$AG$54)</f>
        <v>#N/A</v>
      </c>
      <c r="AA2248" s="17" t="s">
        <v>13995</v>
      </c>
      <c r="AB2248" s="11" t="str">
        <f>_xlfn.XLOOKUP(Customer[[#This Row],[Customer ID]],[1]!Address[ID],[1]!Address[Subtype])</f>
        <v>PEDAS</v>
      </c>
      <c r="AC2248" s="18" t="str">
        <f>_xlfn.XLOOKUP(Customer[[#This Row],[Customer ID]],[1]!Address[ID],[1]!Address[Zone])</f>
        <v>CENTRAL</v>
      </c>
    </row>
    <row r="2249" spans="1:29" x14ac:dyDescent="0.3">
      <c r="A2249" s="10" t="s">
        <v>13996</v>
      </c>
      <c r="B2249" s="11" t="str">
        <f>_xlfn.XLOOKUP(Customer[[#This Row],[Customer ID]],[1]!Name[ID],[1]!Name[Description(1)])</f>
        <v>HASAN BIN JASSA</v>
      </c>
      <c r="C2249" s="11" t="str">
        <f>_xlfn.XLOOKUP(Customer[[#This Row],[Customer ID]],[1]!Name[ID],[1]!Name[Description(2)])</f>
        <v>SME BANK</v>
      </c>
      <c r="D2249" s="11" t="str">
        <f>_xlfn.XLOOKUP(Customer[[#This Row],[Customer ID]],[1]!Address[ID],[1]!Address[PIC])</f>
        <v>HASAN BIN JASSA</v>
      </c>
      <c r="E2249" s="11" t="str">
        <f>_xlfn.XLOOKUP(Customer[[#This Row],[Customer ID]],[1]!Address[ID],[1]!Address[Full Address])</f>
        <v>6-10 KOI LEGIAN TAMAN KINRARASEKSYEN 5 47100PUCHONG SELANGOR</v>
      </c>
      <c r="F2249" s="12" t="s">
        <v>13997</v>
      </c>
      <c r="G2249" s="12" t="s">
        <v>13998</v>
      </c>
      <c r="H2249" s="12" t="s">
        <v>9070</v>
      </c>
      <c r="I2249" s="12" t="b">
        <f>ISNUMBER(VALUE(LEFT(Customer[[#This Row],[Address Line 3 (30 char)]],1)))</f>
        <v>0</v>
      </c>
      <c r="J2249" s="12" t="s">
        <v>172</v>
      </c>
      <c r="K2249" s="12">
        <v>47100</v>
      </c>
      <c r="L2249" s="12" t="s">
        <v>35</v>
      </c>
      <c r="M2249" s="13" t="e">
        <v>#N/A</v>
      </c>
      <c r="N2249" s="14" t="e">
        <v>#N/A</v>
      </c>
      <c r="O2249" s="14" t="e">
        <v>#N/A</v>
      </c>
      <c r="P2249" s="14" t="e">
        <v>#N/A</v>
      </c>
      <c r="Q2249" s="19" t="s">
        <v>13999</v>
      </c>
      <c r="R2249" s="15" t="s">
        <v>14000</v>
      </c>
      <c r="S2249" s="15" t="s">
        <v>6418</v>
      </c>
      <c r="T2249" s="16" t="s">
        <v>3477</v>
      </c>
      <c r="U2249" s="11" t="str">
        <f>_xlfn.XLOOKUP(Customer[[#This Row],[Customer ID]],[1]!Address[ID],[1]!Address[Phone No.(2)])</f>
        <v/>
      </c>
      <c r="V2249" s="11" t="str">
        <f>_xlfn.XLOOKUP(Customer[[#This Row],[Customer ID]],[1]!Address[ID],[1]!Address[Type])</f>
        <v>SOCMED</v>
      </c>
      <c r="W2249" s="11" t="str">
        <f>_xlfn.XLOOKUP(Customer[[#This Row],[Customer ID]],[1]!Address[ID],[1]!Address[CT])</f>
        <v>CASH</v>
      </c>
      <c r="X2249" s="11"/>
      <c r="Y2249" s="17" t="s">
        <v>90</v>
      </c>
      <c r="Z2249" s="17" t="e">
        <f>_xlfn.XLOOKUP(Customer[[#This Row],[NewType]],$AF$36:$AF$54,$AG$36:$AG$54)</f>
        <v>#N/A</v>
      </c>
      <c r="AA2249" s="17" t="s">
        <v>14001</v>
      </c>
      <c r="AB2249" s="11" t="str">
        <f>_xlfn.XLOOKUP(Customer[[#This Row],[Customer ID]],[1]!Address[ID],[1]!Address[Subtype])</f>
        <v>WHATSAPP</v>
      </c>
      <c r="AC2249" s="18" t="str">
        <f>_xlfn.XLOOKUP(Customer[[#This Row],[Customer ID]],[1]!Address[ID],[1]!Address[Zone])</f>
        <v>CENTRAL</v>
      </c>
    </row>
    <row r="2250" spans="1:29" x14ac:dyDescent="0.3">
      <c r="A2250" s="10" t="s">
        <v>14002</v>
      </c>
      <c r="B2250" s="11" t="str">
        <f>_xlfn.XLOOKUP(Customer[[#This Row],[Customer ID]],[1]!Name[ID],[1]!Name[Description(1)])</f>
        <v>DATO BAHARUDIN</v>
      </c>
      <c r="C2250" s="32" t="str">
        <f>_xlfn.XLOOKUP(Customer[[#This Row],[Customer ID]],[1]!Name[ID],[1]!Name[Description(2)])</f>
        <v/>
      </c>
      <c r="D2250" s="11" t="str">
        <f>_xlfn.XLOOKUP(Customer[[#This Row],[Customer ID]],[1]!Address[ID],[1]!Address[PIC])</f>
        <v/>
      </c>
      <c r="E2250" s="11" t="str">
        <f>_xlfn.XLOOKUP(Customer[[#This Row],[Customer ID]],[1]!Address[ID],[1]!Address[Full Address])</f>
        <v>MUTIARA BANGI</v>
      </c>
      <c r="F2250" s="12" t="s">
        <v>8485</v>
      </c>
      <c r="G2250" s="12" t="s">
        <v>36</v>
      </c>
      <c r="H2250" s="12" t="s">
        <v>36</v>
      </c>
      <c r="I2250" s="12" t="b">
        <f>ISNUMBER(VALUE(LEFT(Customer[[#This Row],[Address Line 3 (30 char)]],1)))</f>
        <v>0</v>
      </c>
      <c r="J2250" s="32" t="s">
        <v>1907</v>
      </c>
      <c r="K2250" s="32"/>
      <c r="L2250" s="12" t="s">
        <v>35</v>
      </c>
      <c r="M2250" s="13" t="e">
        <v>#N/A</v>
      </c>
      <c r="N2250" s="14" t="e">
        <v>#N/A</v>
      </c>
      <c r="O2250" s="14" t="e">
        <v>#N/A</v>
      </c>
      <c r="P2250" s="14" t="e">
        <v>#N/A</v>
      </c>
      <c r="Q2250" s="14" t="e">
        <v>#N/A</v>
      </c>
      <c r="R2250" s="15" t="s">
        <v>36</v>
      </c>
      <c r="S2250" s="15" t="s">
        <v>4271</v>
      </c>
      <c r="T2250" s="16" t="s">
        <v>89</v>
      </c>
      <c r="U2250" s="11" t="str">
        <f>_xlfn.XLOOKUP(Customer[[#This Row],[Customer ID]],[1]!Address[ID],[1]!Address[Phone No.(2)])</f>
        <v/>
      </c>
      <c r="V2250" s="11" t="str">
        <f>_xlfn.XLOOKUP(Customer[[#This Row],[Customer ID]],[1]!Address[ID],[1]!Address[Type])</f>
        <v>SOCMED</v>
      </c>
      <c r="W2250" s="11" t="str">
        <f>_xlfn.XLOOKUP(Customer[[#This Row],[Customer ID]],[1]!Address[ID],[1]!Address[CT])</f>
        <v/>
      </c>
      <c r="X2250" s="11"/>
      <c r="Y2250" s="17" t="s">
        <v>90</v>
      </c>
      <c r="Z2250" s="17" t="e">
        <f>_xlfn.XLOOKUP(Customer[[#This Row],[NewType]],$AF$36:$AF$54,$AG$36:$AG$54)</f>
        <v>#N/A</v>
      </c>
      <c r="AA2250" s="17" t="s">
        <v>14003</v>
      </c>
      <c r="AB2250" s="11" t="str">
        <f>_xlfn.XLOOKUP(Customer[[#This Row],[Customer ID]],[1]!Address[ID],[1]!Address[Subtype])</f>
        <v>WHATSAPP</v>
      </c>
      <c r="AC2250" s="18" t="str">
        <f>_xlfn.XLOOKUP(Customer[[#This Row],[Customer ID]],[1]!Address[ID],[1]!Address[Zone])</f>
        <v>CENTRAL</v>
      </c>
    </row>
    <row r="2251" spans="1:29" x14ac:dyDescent="0.3">
      <c r="A2251" s="10" t="s">
        <v>14004</v>
      </c>
      <c r="B2251" s="11" t="str">
        <f>_xlfn.XLOOKUP(Customer[[#This Row],[Customer ID]],[1]!Name[ID],[1]!Name[Description(1)])</f>
        <v>GUNASEKARAN</v>
      </c>
      <c r="C2251" s="11" t="str">
        <f>_xlfn.XLOOKUP(Customer[[#This Row],[Customer ID]],[1]!Name[ID],[1]!Name[Description(2)])</f>
        <v/>
      </c>
      <c r="D2251" s="11" t="str">
        <f>_xlfn.XLOOKUP(Customer[[#This Row],[Customer ID]],[1]!Address[ID],[1]!Address[PIC])</f>
        <v/>
      </c>
      <c r="E2251" s="11" t="str">
        <f>_xlfn.XLOOKUP(Customer[[#This Row],[Customer ID]],[1]!Address[ID],[1]!Address[Full Address])</f>
        <v>1239, JALAN SURIAMAN 3/16,TAMAN SURIAMAN 3,BANDAR SRI SENDAYAN, 71950SEREMBAN</v>
      </c>
      <c r="F2251" s="12" t="s">
        <v>14005</v>
      </c>
      <c r="G2251" s="12" t="s">
        <v>14006</v>
      </c>
      <c r="H2251" s="12" t="s">
        <v>709</v>
      </c>
      <c r="I2251" s="12" t="b">
        <f>ISNUMBER(VALUE(LEFT(Customer[[#This Row],[Address Line 3 (30 char)]],1)))</f>
        <v>0</v>
      </c>
      <c r="J2251" s="12" t="s">
        <v>2004</v>
      </c>
      <c r="K2251" s="12">
        <v>71950</v>
      </c>
      <c r="L2251" s="12" t="s">
        <v>35</v>
      </c>
      <c r="M2251" s="13" t="e">
        <v>#N/A</v>
      </c>
      <c r="N2251" s="14" t="e">
        <v>#N/A</v>
      </c>
      <c r="O2251" s="14" t="e">
        <v>#N/A</v>
      </c>
      <c r="P2251" s="14" t="e">
        <v>#N/A</v>
      </c>
      <c r="Q2251" s="19" t="s">
        <v>14007</v>
      </c>
      <c r="R2251" s="15" t="s">
        <v>14008</v>
      </c>
      <c r="S2251" s="16" t="s">
        <v>89</v>
      </c>
      <c r="T2251" s="16" t="s">
        <v>89</v>
      </c>
      <c r="U2251" s="11" t="str">
        <f>_xlfn.XLOOKUP(Customer[[#This Row],[Customer ID]],[1]!Address[ID],[1]!Address[Phone No.(2)])</f>
        <v/>
      </c>
      <c r="V2251" s="11" t="str">
        <f>_xlfn.XLOOKUP(Customer[[#This Row],[Customer ID]],[1]!Address[ID],[1]!Address[Type])</f>
        <v>WALK IN</v>
      </c>
      <c r="W2251" s="11" t="str">
        <f>_xlfn.XLOOKUP(Customer[[#This Row],[Customer ID]],[1]!Address[ID],[1]!Address[CT])</f>
        <v/>
      </c>
      <c r="X2251" s="11"/>
      <c r="Y2251" s="17" t="s">
        <v>6284</v>
      </c>
      <c r="Z2251" s="17" t="e">
        <f>_xlfn.XLOOKUP(Customer[[#This Row],[NewType]],$AF$36:$AF$54,$AG$36:$AG$54)</f>
        <v>#N/A</v>
      </c>
      <c r="AA2251" s="17" t="s">
        <v>14009</v>
      </c>
      <c r="AB2251" s="11" t="str">
        <f>_xlfn.XLOOKUP(Customer[[#This Row],[Customer ID]],[1]!Address[ID],[1]!Address[Subtype])</f>
        <v>PEDAS</v>
      </c>
      <c r="AC2251" s="18" t="str">
        <f>_xlfn.XLOOKUP(Customer[[#This Row],[Customer ID]],[1]!Address[ID],[1]!Address[Zone])</f>
        <v>SOUTH</v>
      </c>
    </row>
    <row r="2252" spans="1:29" x14ac:dyDescent="0.3">
      <c r="A2252" s="10" t="s">
        <v>14010</v>
      </c>
      <c r="B2252" s="11" t="str">
        <f>_xlfn.XLOOKUP(Customer[[#This Row],[Customer ID]],[1]!Name[ID],[1]!Name[Description(1)])</f>
        <v>NORANIZA BINTI SAJIN</v>
      </c>
      <c r="C2252" s="11" t="str">
        <f>_xlfn.XLOOKUP(Customer[[#This Row],[Customer ID]],[1]!Name[ID],[1]!Name[Description(2)])</f>
        <v/>
      </c>
      <c r="D2252" s="11" t="str">
        <f>_xlfn.XLOOKUP(Customer[[#This Row],[Customer ID]],[1]!Address[ID],[1]!Address[PIC])</f>
        <v/>
      </c>
      <c r="E2252" s="11" t="str">
        <f>_xlfn.XLOOKUP(Customer[[#This Row],[Customer ID]],[1]!Address[ID],[1]!Address[Full Address])</f>
        <v>NO 42 JALAN PERDANA 3,TAMAN REMBAU PERDANA71300 REMBAU NEGERI SEMBILAN</v>
      </c>
      <c r="F2252" s="12" t="s">
        <v>14011</v>
      </c>
      <c r="G2252" s="12" t="s">
        <v>14012</v>
      </c>
      <c r="H2252" s="24" t="s">
        <v>7985</v>
      </c>
      <c r="I2252" s="24" t="b">
        <f>ISNUMBER(VALUE(LEFT(Customer[[#This Row],[Address Line 3 (30 char)]],1)))</f>
        <v>0</v>
      </c>
      <c r="J2252" s="12" t="s">
        <v>2004</v>
      </c>
      <c r="K2252" s="12">
        <v>71300</v>
      </c>
      <c r="L2252" s="12" t="s">
        <v>35</v>
      </c>
      <c r="M2252" s="13" t="e">
        <v>#N/A</v>
      </c>
      <c r="N2252" s="14" t="e">
        <v>#N/A</v>
      </c>
      <c r="O2252" s="14" t="e">
        <v>#N/A</v>
      </c>
      <c r="P2252" s="14" t="e">
        <v>#N/A</v>
      </c>
      <c r="Q2252" s="19" t="s">
        <v>14013</v>
      </c>
      <c r="R2252" s="15" t="s">
        <v>14014</v>
      </c>
      <c r="S2252" s="16" t="s">
        <v>89</v>
      </c>
      <c r="T2252" s="16" t="s">
        <v>89</v>
      </c>
      <c r="U2252" s="11" t="str">
        <f>_xlfn.XLOOKUP(Customer[[#This Row],[Customer ID]],[1]!Address[ID],[1]!Address[Phone No.(2)])</f>
        <v/>
      </c>
      <c r="V2252" s="11" t="str">
        <f>_xlfn.XLOOKUP(Customer[[#This Row],[Customer ID]],[1]!Address[ID],[1]!Address[Type])</f>
        <v>WALK IN</v>
      </c>
      <c r="W2252" s="11" t="str">
        <f>_xlfn.XLOOKUP(Customer[[#This Row],[Customer ID]],[1]!Address[ID],[1]!Address[CT])</f>
        <v/>
      </c>
      <c r="X2252" s="11"/>
      <c r="Y2252" s="17" t="s">
        <v>6284</v>
      </c>
      <c r="Z2252" s="17" t="e">
        <f>_xlfn.XLOOKUP(Customer[[#This Row],[NewType]],$AF$36:$AF$54,$AG$36:$AG$54)</f>
        <v>#N/A</v>
      </c>
      <c r="AA2252" s="17" t="s">
        <v>14015</v>
      </c>
      <c r="AB2252" s="11" t="str">
        <f>_xlfn.XLOOKUP(Customer[[#This Row],[Customer ID]],[1]!Address[ID],[1]!Address[Subtype])</f>
        <v>PEDAS</v>
      </c>
      <c r="AC2252" s="18" t="str">
        <f>_xlfn.XLOOKUP(Customer[[#This Row],[Customer ID]],[1]!Address[ID],[1]!Address[Zone])</f>
        <v>SOUTH</v>
      </c>
    </row>
    <row r="2253" spans="1:29" x14ac:dyDescent="0.3">
      <c r="A2253" s="10" t="s">
        <v>14016</v>
      </c>
      <c r="B2253" s="11" t="str">
        <f>_xlfn.XLOOKUP(Customer[[#This Row],[Customer ID]],[1]!Name[ID],[1]!Name[Description(1)])</f>
        <v>JELUTONG STAR SDN BHD</v>
      </c>
      <c r="C2253" s="11" t="str">
        <f>_xlfn.XLOOKUP(Customer[[#This Row],[Customer ID]],[1]!Name[ID],[1]!Name[Description(2)])</f>
        <v>CALTEX JELUTONG</v>
      </c>
      <c r="D2253" s="11" t="str">
        <f>_xlfn.XLOOKUP(Customer[[#This Row],[Customer ID]],[1]!Address[ID],[1]!Address[PIC])</f>
        <v/>
      </c>
      <c r="E2253" s="11" t="str">
        <f>_xlfn.XLOOKUP(Customer[[#This Row],[Customer ID]],[1]!Address[ID],[1]!Address[Full Address])</f>
        <v>CALTEX JELUTONG590, Jalan Jelutong,11600 Pulau Pinang.</v>
      </c>
      <c r="F2253" s="12" t="s">
        <v>14017</v>
      </c>
      <c r="G2253" s="12" t="s">
        <v>14018</v>
      </c>
      <c r="H2253" s="24"/>
      <c r="I2253" s="24" t="b">
        <f>ISNUMBER(VALUE(LEFT(Customer[[#This Row],[Address Line 3 (30 char)]],1)))</f>
        <v>0</v>
      </c>
      <c r="J2253" s="12" t="s">
        <v>179</v>
      </c>
      <c r="K2253" s="12">
        <v>11600</v>
      </c>
      <c r="L2253" s="12" t="s">
        <v>35</v>
      </c>
      <c r="M2253" s="13" t="e">
        <v>#N/A</v>
      </c>
      <c r="N2253" s="14" t="e">
        <v>#N/A</v>
      </c>
      <c r="O2253" s="14" t="e">
        <v>#N/A</v>
      </c>
      <c r="P2253" s="14" t="e">
        <v>#N/A</v>
      </c>
      <c r="Q2253" s="19" t="s">
        <v>14019</v>
      </c>
      <c r="R2253" s="15" t="s">
        <v>14020</v>
      </c>
      <c r="S2253" s="15" t="s">
        <v>37</v>
      </c>
      <c r="T2253" s="16" t="s">
        <v>38</v>
      </c>
      <c r="U2253" s="11" t="str">
        <f>_xlfn.XLOOKUP(Customer[[#This Row],[Customer ID]],[1]!Address[ID],[1]!Address[Phone No.(2)])</f>
        <v/>
      </c>
      <c r="V2253" s="11" t="str">
        <f>_xlfn.XLOOKUP(Customer[[#This Row],[Customer ID]],[1]!Address[ID],[1]!Address[Type])</f>
        <v>PETROMART</v>
      </c>
      <c r="W2253" s="11" t="str">
        <f>_xlfn.XLOOKUP(Customer[[#This Row],[Customer ID]],[1]!Address[ID],[1]!Address[CT])</f>
        <v>30</v>
      </c>
      <c r="X2253" s="11" t="s">
        <v>39</v>
      </c>
      <c r="Y2253" s="17" t="s">
        <v>40</v>
      </c>
      <c r="Z2253" s="17" t="e">
        <f>_xlfn.XLOOKUP(Customer[[#This Row],[NewType]],$AF$36:$AF$54,$AG$36:$AG$54)</f>
        <v>#N/A</v>
      </c>
      <c r="AA2253" s="17" t="s">
        <v>14021</v>
      </c>
      <c r="AB2253" s="11" t="str">
        <f>_xlfn.XLOOKUP(Customer[[#This Row],[Customer ID]],[1]!Address[ID],[1]!Address[Subtype])</f>
        <v>XPRESS POINT</v>
      </c>
      <c r="AC2253" s="18" t="str">
        <f>_xlfn.XLOOKUP(Customer[[#This Row],[Customer ID]],[1]!Address[ID],[1]!Address[Zone])</f>
        <v>NORTH</v>
      </c>
    </row>
    <row r="2254" spans="1:29" x14ac:dyDescent="0.3">
      <c r="A2254" s="45" t="s">
        <v>14022</v>
      </c>
      <c r="B2254" s="32" t="str">
        <f>_xlfn.XLOOKUP(Customer[[#This Row],[Customer ID]],[1]!Name[ID],[1]!Name[Description(1)])</f>
        <v>SITI ABSAH BINTI BUSIN</v>
      </c>
      <c r="C2254" s="32" t="str">
        <f>_xlfn.XLOOKUP(Customer[[#This Row],[Customer ID]],[1]!Name[ID],[1]!Name[Description(2)])</f>
        <v/>
      </c>
      <c r="D2254" s="11" t="str">
        <f>_xlfn.XLOOKUP(Customer[[#This Row],[Customer ID]],[1]!Address[ID],[1]!Address[PIC])</f>
        <v/>
      </c>
      <c r="E2254" s="11" t="str">
        <f>_xlfn.XLOOKUP(Customer[[#This Row],[Customer ID]],[1]!Address[ID],[1]!Address[Full Address])</f>
        <v>NO 4165 JLN PINANG 8A,TAMAN DATO HJ ABDUL SAMAD</v>
      </c>
      <c r="F2254" s="12" t="s">
        <v>14023</v>
      </c>
      <c r="G2254" s="12" t="s">
        <v>14024</v>
      </c>
      <c r="H2254" s="12" t="s">
        <v>36</v>
      </c>
      <c r="I2254" s="12" t="b">
        <f>ISNUMBER(VALUE(LEFT(Customer[[#This Row],[Address Line 3 (30 char)]],1)))</f>
        <v>0</v>
      </c>
      <c r="J2254" s="32" t="s">
        <v>2004</v>
      </c>
      <c r="K2254" s="32">
        <v>71050</v>
      </c>
      <c r="L2254" s="12" t="s">
        <v>35</v>
      </c>
      <c r="M2254" s="13" t="e">
        <v>#N/A</v>
      </c>
      <c r="N2254" s="14" t="e">
        <v>#N/A</v>
      </c>
      <c r="O2254" s="14" t="e">
        <v>#N/A</v>
      </c>
      <c r="P2254" s="14" t="e">
        <v>#N/A</v>
      </c>
      <c r="Q2254" s="19" t="s">
        <v>14025</v>
      </c>
      <c r="R2254" s="15" t="s">
        <v>14026</v>
      </c>
      <c r="S2254" s="16" t="s">
        <v>89</v>
      </c>
      <c r="T2254" s="16" t="s">
        <v>89</v>
      </c>
      <c r="U2254" s="11" t="str">
        <f>_xlfn.XLOOKUP(Customer[[#This Row],[Customer ID]],[1]!Address[ID],[1]!Address[Phone No.(2)])</f>
        <v/>
      </c>
      <c r="V2254" s="11" t="str">
        <f>_xlfn.XLOOKUP(Customer[[#This Row],[Customer ID]],[1]!Address[ID],[1]!Address[Type])</f>
        <v>WALK IN</v>
      </c>
      <c r="W2254" s="11" t="str">
        <f>_xlfn.XLOOKUP(Customer[[#This Row],[Customer ID]],[1]!Address[ID],[1]!Address[CT])</f>
        <v/>
      </c>
      <c r="X2254" s="11"/>
      <c r="Y2254" s="17" t="s">
        <v>6284</v>
      </c>
      <c r="Z2254" s="17" t="e">
        <f>_xlfn.XLOOKUP(Customer[[#This Row],[NewType]],$AF$36:$AF$54,$AG$36:$AG$54)</f>
        <v>#N/A</v>
      </c>
      <c r="AA2254" s="17" t="s">
        <v>14027</v>
      </c>
      <c r="AB2254" s="11" t="str">
        <f>_xlfn.XLOOKUP(Customer[[#This Row],[Customer ID]],[1]!Address[ID],[1]!Address[Subtype])</f>
        <v>PEDAS</v>
      </c>
      <c r="AC2254" s="18" t="str">
        <f>_xlfn.XLOOKUP(Customer[[#This Row],[Customer ID]],[1]!Address[ID],[1]!Address[Zone])</f>
        <v>SOUTH</v>
      </c>
    </row>
    <row r="2255" spans="1:29" x14ac:dyDescent="0.3">
      <c r="A2255" s="10" t="s">
        <v>14028</v>
      </c>
      <c r="B2255" s="11" t="str">
        <f>_xlfn.XLOOKUP(Customer[[#This Row],[Customer ID]],[1]!Name[ID],[1]!Name[Description(1)])</f>
        <v>ZAMIEMA ENTERPRISE SDN BHD</v>
      </c>
      <c r="C2255" s="11" t="str">
        <f>_xlfn.XLOOKUP(Customer[[#This Row],[Customer ID]],[1]!Name[ID],[1]!Name[Description(2)])</f>
        <v>PS BUKIT NENAS SEREMBAN BOUND</v>
      </c>
      <c r="D2255" s="11" t="str">
        <f>_xlfn.XLOOKUP(Customer[[#This Row],[Customer ID]],[1]!Address[ID],[1]!Address[PIC])</f>
        <v/>
      </c>
      <c r="E2255" s="11" t="str">
        <f>_xlfn.XLOOKUP(Customer[[#This Row],[Customer ID]],[1]!Address[ID],[1]!Address[Full Address])</f>
        <v>PS BUKIT NENAS SEREMBAN BOUNDPT 28129, JALAN SEREMBANBANDAR BARU ENSTEK, 70300 SEREMBANNEGERI SEMBILAN</v>
      </c>
      <c r="F2255" s="12" t="s">
        <v>14029</v>
      </c>
      <c r="G2255" s="12" t="s">
        <v>14030</v>
      </c>
      <c r="H2255" s="12" t="s">
        <v>2411</v>
      </c>
      <c r="I2255" s="12" t="b">
        <f>ISNUMBER(VALUE(LEFT(Customer[[#This Row],[Address Line 3 (30 char)]],1)))</f>
        <v>0</v>
      </c>
      <c r="J2255" s="12" t="s">
        <v>2004</v>
      </c>
      <c r="K2255" s="12">
        <v>70300</v>
      </c>
      <c r="L2255" s="12" t="s">
        <v>35</v>
      </c>
      <c r="M2255" s="13" t="e">
        <v>#N/A</v>
      </c>
      <c r="N2255" s="14" t="e">
        <v>#N/A</v>
      </c>
      <c r="O2255" s="14" t="e">
        <v>#N/A</v>
      </c>
      <c r="P2255" s="14" t="e">
        <v>#N/A</v>
      </c>
      <c r="Q2255" s="19" t="s">
        <v>14031</v>
      </c>
      <c r="R2255" s="15" t="s">
        <v>14032</v>
      </c>
      <c r="S2255" s="15" t="s">
        <v>37</v>
      </c>
      <c r="T2255" s="16" t="s">
        <v>38</v>
      </c>
      <c r="U2255" s="11" t="str">
        <f>_xlfn.XLOOKUP(Customer[[#This Row],[Customer ID]],[1]!Address[ID],[1]!Address[Phone No.(2)])</f>
        <v/>
      </c>
      <c r="V2255" s="11" t="str">
        <f>_xlfn.XLOOKUP(Customer[[#This Row],[Customer ID]],[1]!Address[ID],[1]!Address[Type])</f>
        <v>PETROMART</v>
      </c>
      <c r="W2255" s="11" t="str">
        <f>_xlfn.XLOOKUP(Customer[[#This Row],[Customer ID]],[1]!Address[ID],[1]!Address[CT])</f>
        <v>30</v>
      </c>
      <c r="X2255" s="11" t="s">
        <v>39</v>
      </c>
      <c r="Y2255" s="17" t="s">
        <v>40</v>
      </c>
      <c r="Z2255" s="17" t="e">
        <f>_xlfn.XLOOKUP(Customer[[#This Row],[NewType]],$AF$36:$AF$54,$AG$36:$AG$54)</f>
        <v>#N/A</v>
      </c>
      <c r="AA2255" s="17" t="s">
        <v>14033</v>
      </c>
      <c r="AB2255" s="11" t="str">
        <f>_xlfn.XLOOKUP(Customer[[#This Row],[Customer ID]],[1]!Address[ID],[1]!Address[Subtype])</f>
        <v>PETRONAS</v>
      </c>
      <c r="AC2255" s="18" t="str">
        <f>_xlfn.XLOOKUP(Customer[[#This Row],[Customer ID]],[1]!Address[ID],[1]!Address[Zone])</f>
        <v>SOUTH</v>
      </c>
    </row>
    <row r="2256" spans="1:29" x14ac:dyDescent="0.3">
      <c r="A2256" s="10" t="s">
        <v>14034</v>
      </c>
      <c r="B2256" s="11" t="str">
        <f>_xlfn.XLOOKUP(Customer[[#This Row],[Customer ID]],[1]!Name[ID],[1]!Name[Description(1)])</f>
        <v>Mesra Retail &amp; Cafe Sdn Bhd</v>
      </c>
      <c r="C2256" s="11" t="str">
        <f>_xlfn.XLOOKUP(Customer[[#This Row],[Customer ID]],[1]!Name[ID],[1]!Name[Description(2)])</f>
        <v>CM TM Cyberjaya CVS</v>
      </c>
      <c r="D2256" s="11" t="str">
        <f>_xlfn.XLOOKUP(Customer[[#This Row],[Customer ID]],[1]!Address[ID],[1]!Address[PIC])</f>
        <v/>
      </c>
      <c r="E2256" s="11" t="str">
        <f>_xlfn.XLOOKUP(Customer[[#This Row],[Customer ID]],[1]!Address[ID],[1]!Address[Full Address])</f>
        <v>CM TM Cyberjaya CVSLobby of TM IT Complex CyberjayaLingkaran Usahawan 1 Timur,63000 Cyberjaya, Selangor</v>
      </c>
      <c r="F2256" s="12" t="s">
        <v>14035</v>
      </c>
      <c r="G2256" s="12" t="s">
        <v>14036</v>
      </c>
      <c r="H2256" s="12" t="s">
        <v>14037</v>
      </c>
      <c r="I2256" s="12" t="b">
        <f>ISNUMBER(VALUE(LEFT(Customer[[#This Row],[Address Line 3 (30 char)]],1)))</f>
        <v>0</v>
      </c>
      <c r="J2256" s="12" t="s">
        <v>1907</v>
      </c>
      <c r="K2256" s="12">
        <v>63000</v>
      </c>
      <c r="L2256" s="12" t="s">
        <v>35</v>
      </c>
      <c r="M2256" s="13" t="e">
        <v>#N/A</v>
      </c>
      <c r="N2256" s="14" t="e">
        <v>#N/A</v>
      </c>
      <c r="O2256" s="14" t="e">
        <v>#N/A</v>
      </c>
      <c r="P2256" s="14" t="e">
        <v>#N/A</v>
      </c>
      <c r="Q2256" s="19" t="s">
        <v>14038</v>
      </c>
      <c r="R2256" s="15" t="s">
        <v>14039</v>
      </c>
      <c r="S2256" s="15" t="s">
        <v>37</v>
      </c>
      <c r="T2256" s="16" t="s">
        <v>38</v>
      </c>
      <c r="U2256" s="11" t="str">
        <f>_xlfn.XLOOKUP(Customer[[#This Row],[Customer ID]],[1]!Address[ID],[1]!Address[Phone No.(2)])</f>
        <v/>
      </c>
      <c r="V2256" s="11" t="str">
        <f>_xlfn.XLOOKUP(Customer[[#This Row],[Customer ID]],[1]!Address[ID],[1]!Address[Type])</f>
        <v>PETROMART</v>
      </c>
      <c r="W2256" s="11" t="str">
        <f>_xlfn.XLOOKUP(Customer[[#This Row],[Customer ID]],[1]!Address[ID],[1]!Address[CT])</f>
        <v>30</v>
      </c>
      <c r="X2256" s="11" t="s">
        <v>39</v>
      </c>
      <c r="Y2256" s="17" t="s">
        <v>40</v>
      </c>
      <c r="Z2256" s="17" t="e">
        <f>_xlfn.XLOOKUP(Customer[[#This Row],[NewType]],$AF$36:$AF$54,$AG$36:$AG$54)</f>
        <v>#N/A</v>
      </c>
      <c r="AA2256" s="17" t="s">
        <v>14040</v>
      </c>
      <c r="AB2256" s="11" t="str">
        <f>_xlfn.XLOOKUP(Customer[[#This Row],[Customer ID]],[1]!Address[ID],[1]!Address[Subtype])</f>
        <v>PETRONAS</v>
      </c>
      <c r="AC2256" s="18" t="str">
        <f>_xlfn.XLOOKUP(Customer[[#This Row],[Customer ID]],[1]!Address[ID],[1]!Address[Zone])</f>
        <v>CENTRAL</v>
      </c>
    </row>
    <row r="2257" spans="1:30" x14ac:dyDescent="0.3">
      <c r="A2257" s="10" t="s">
        <v>14041</v>
      </c>
      <c r="B2257" s="11" t="str">
        <f>_xlfn.XLOOKUP(Customer[[#This Row],[Customer ID]],[1]!Name[ID],[1]!Name[Description(1)])</f>
        <v>RAHMAH BINTI MAHBOT</v>
      </c>
      <c r="C2257" s="11" t="str">
        <f>_xlfn.XLOOKUP(Customer[[#This Row],[Customer ID]],[1]!Name[ID],[1]!Name[Description(2)])</f>
        <v/>
      </c>
      <c r="D2257" s="11" t="str">
        <f>_xlfn.XLOOKUP(Customer[[#This Row],[Customer ID]],[1]!Address[ID],[1]!Address[PIC])</f>
        <v/>
      </c>
      <c r="E2257" s="11" t="str">
        <f>_xlfn.XLOOKUP(Customer[[#This Row],[Customer ID]],[1]!Address[ID],[1]!Address[Full Address])</f>
        <v>NO 52 JLN SB 25 TMN SERI BERTAM76450 MELAKA</v>
      </c>
      <c r="F2257" s="12" t="s">
        <v>14042</v>
      </c>
      <c r="G2257" s="12" t="s">
        <v>14043</v>
      </c>
      <c r="H2257" s="12" t="s">
        <v>14044</v>
      </c>
      <c r="I2257" s="12" t="b">
        <f>ISNUMBER(VALUE(LEFT(Customer[[#This Row],[Address Line 3 (30 char)]],1)))</f>
        <v>0</v>
      </c>
      <c r="J2257" s="12" t="s">
        <v>61</v>
      </c>
      <c r="K2257" s="12">
        <v>76450</v>
      </c>
      <c r="L2257" s="12" t="s">
        <v>35</v>
      </c>
      <c r="M2257" s="13" t="e">
        <v>#N/A</v>
      </c>
      <c r="N2257" s="14" t="e">
        <v>#N/A</v>
      </c>
      <c r="O2257" s="14" t="e">
        <v>#N/A</v>
      </c>
      <c r="P2257" s="14" t="e">
        <v>#N/A</v>
      </c>
      <c r="Q2257" s="19" t="s">
        <v>14045</v>
      </c>
      <c r="R2257" s="15" t="s">
        <v>14046</v>
      </c>
      <c r="S2257" s="16" t="s">
        <v>89</v>
      </c>
      <c r="T2257" s="16" t="s">
        <v>89</v>
      </c>
      <c r="U2257" s="11" t="str">
        <f>_xlfn.XLOOKUP(Customer[[#This Row],[Customer ID]],[1]!Address[ID],[1]!Address[Phone No.(2)])</f>
        <v/>
      </c>
      <c r="V2257" s="11" t="str">
        <f>_xlfn.XLOOKUP(Customer[[#This Row],[Customer ID]],[1]!Address[ID],[1]!Address[Type])</f>
        <v>WALK IN</v>
      </c>
      <c r="W2257" s="11" t="str">
        <f>_xlfn.XLOOKUP(Customer[[#This Row],[Customer ID]],[1]!Address[ID],[1]!Address[CT])</f>
        <v/>
      </c>
      <c r="X2257" s="11"/>
      <c r="Y2257" s="17" t="s">
        <v>6284</v>
      </c>
      <c r="Z2257" s="17" t="e">
        <f>_xlfn.XLOOKUP(Customer[[#This Row],[NewType]],$AF$36:$AF$54,$AG$36:$AG$54)</f>
        <v>#N/A</v>
      </c>
      <c r="AA2257" s="17" t="s">
        <v>14047</v>
      </c>
      <c r="AB2257" s="11" t="str">
        <f>_xlfn.XLOOKUP(Customer[[#This Row],[Customer ID]],[1]!Address[ID],[1]!Address[Subtype])</f>
        <v>PEDAS</v>
      </c>
      <c r="AC2257" s="18" t="str">
        <f>_xlfn.XLOOKUP(Customer[[#This Row],[Customer ID]],[1]!Address[ID],[1]!Address[Zone])</f>
        <v>SOUTH</v>
      </c>
    </row>
    <row r="2258" spans="1:30" x14ac:dyDescent="0.3">
      <c r="A2258" s="10" t="s">
        <v>14048</v>
      </c>
      <c r="B2258" s="11" t="str">
        <f>_xlfn.XLOOKUP(Customer[[#This Row],[Customer ID]],[1]!Name[ID],[1]!Name[Description(1)])</f>
        <v>INSYIRAH</v>
      </c>
      <c r="C2258" s="11" t="str">
        <f>_xlfn.XLOOKUP(Customer[[#This Row],[Customer ID]],[1]!Name[ID],[1]!Name[Description(2)])</f>
        <v/>
      </c>
      <c r="D2258" s="11" t="str">
        <f>_xlfn.XLOOKUP(Customer[[#This Row],[Customer ID]],[1]!Address[ID],[1]!Address[PIC])</f>
        <v/>
      </c>
      <c r="E2258" s="11" t="str">
        <f>_xlfn.XLOOKUP(Customer[[#This Row],[Customer ID]],[1]!Address[ID],[1]!Address[Full Address])</f>
        <v>123,JLN RU 10,TAMAN REMBAU UTAMA71300 REMBAU</v>
      </c>
      <c r="F2258" s="12" t="s">
        <v>14049</v>
      </c>
      <c r="G2258" s="12" t="s">
        <v>14050</v>
      </c>
      <c r="H2258" s="24" t="s">
        <v>7985</v>
      </c>
      <c r="I2258" s="24" t="b">
        <f>ISNUMBER(VALUE(LEFT(Customer[[#This Row],[Address Line 3 (30 char)]],1)))</f>
        <v>0</v>
      </c>
      <c r="J2258" s="12" t="s">
        <v>2004</v>
      </c>
      <c r="K2258" s="12">
        <v>71300</v>
      </c>
      <c r="L2258" s="12" t="s">
        <v>35</v>
      </c>
      <c r="M2258" s="13" t="e">
        <v>#N/A</v>
      </c>
      <c r="N2258" s="14" t="e">
        <v>#N/A</v>
      </c>
      <c r="O2258" s="14" t="e">
        <v>#N/A</v>
      </c>
      <c r="P2258" s="14" t="e">
        <v>#N/A</v>
      </c>
      <c r="Q2258" s="14" t="e">
        <v>#N/A</v>
      </c>
      <c r="R2258" s="15" t="s">
        <v>14051</v>
      </c>
      <c r="S2258" s="16" t="s">
        <v>89</v>
      </c>
      <c r="T2258" s="16" t="s">
        <v>89</v>
      </c>
      <c r="U2258" s="11" t="str">
        <f>_xlfn.XLOOKUP(Customer[[#This Row],[Customer ID]],[1]!Address[ID],[1]!Address[Phone No.(2)])</f>
        <v/>
      </c>
      <c r="V2258" s="11" t="str">
        <f>_xlfn.XLOOKUP(Customer[[#This Row],[Customer ID]],[1]!Address[ID],[1]!Address[Type])</f>
        <v>WALK IN</v>
      </c>
      <c r="W2258" s="11" t="str">
        <f>_xlfn.XLOOKUP(Customer[[#This Row],[Customer ID]],[1]!Address[ID],[1]!Address[CT])</f>
        <v/>
      </c>
      <c r="X2258" s="11"/>
      <c r="Y2258" s="17" t="s">
        <v>6284</v>
      </c>
      <c r="Z2258" s="17" t="e">
        <f>_xlfn.XLOOKUP(Customer[[#This Row],[NewType]],$AF$36:$AF$54,$AG$36:$AG$54)</f>
        <v>#N/A</v>
      </c>
      <c r="AA2258" s="17" t="s">
        <v>14052</v>
      </c>
      <c r="AB2258" s="11" t="str">
        <f>_xlfn.XLOOKUP(Customer[[#This Row],[Customer ID]],[1]!Address[ID],[1]!Address[Subtype])</f>
        <v>PEDAS</v>
      </c>
      <c r="AC2258" s="18" t="str">
        <f>_xlfn.XLOOKUP(Customer[[#This Row],[Customer ID]],[1]!Address[ID],[1]!Address[Zone])</f>
        <v>SOUTH</v>
      </c>
    </row>
    <row r="2259" spans="1:30" x14ac:dyDescent="0.3">
      <c r="A2259" s="48" t="s">
        <v>14053</v>
      </c>
      <c r="B2259" s="49" t="str">
        <f>_xlfn.XLOOKUP(Customer[[#This Row],[Customer ID]],[1]!Name[ID],[1]!Name[Description(1)])</f>
        <v>DATO MAHAT</v>
      </c>
      <c r="C2259" s="49" t="str">
        <f>_xlfn.XLOOKUP(Customer[[#This Row],[Customer ID]],[1]!Name[ID],[1]!Name[Description(2)])</f>
        <v/>
      </c>
      <c r="D2259" s="49" t="str">
        <f>_xlfn.XLOOKUP(Customer[[#This Row],[Customer ID]],[1]!Address[ID],[1]!Address[PIC])</f>
        <v/>
      </c>
      <c r="E2259" s="11" t="str">
        <f>_xlfn.XLOOKUP(Customer[[#This Row],[Customer ID]],[1]!Address[ID],[1]!Address[Full Address])</f>
        <v/>
      </c>
      <c r="F2259" s="63" t="s">
        <v>36</v>
      </c>
      <c r="G2259" s="63" t="s">
        <v>36</v>
      </c>
      <c r="H2259" s="63" t="s">
        <v>36</v>
      </c>
      <c r="I2259" s="63" t="b">
        <f>ISNUMBER(VALUE(LEFT(Customer[[#This Row],[Address Line 3 (30 char)]],1)))</f>
        <v>0</v>
      </c>
      <c r="J2259" s="63" t="s">
        <v>2004</v>
      </c>
      <c r="K2259" s="63">
        <v>71300</v>
      </c>
      <c r="L2259" s="63" t="s">
        <v>35</v>
      </c>
      <c r="M2259" s="65" t="e">
        <v>#N/A</v>
      </c>
      <c r="N2259" s="66" t="e">
        <v>#N/A</v>
      </c>
      <c r="O2259" s="66" t="e">
        <v>#N/A</v>
      </c>
      <c r="P2259" s="66" t="e">
        <v>#N/A</v>
      </c>
      <c r="Q2259" s="66" t="e">
        <v>#N/A</v>
      </c>
      <c r="R2259" s="51" t="s">
        <v>36</v>
      </c>
      <c r="S2259" s="15" t="s">
        <v>4271</v>
      </c>
      <c r="T2259" s="52" t="s">
        <v>89</v>
      </c>
      <c r="U2259" s="49" t="str">
        <f>_xlfn.XLOOKUP(Customer[[#This Row],[Customer ID]],[1]!Address[ID],[1]!Address[Phone No.(2)])</f>
        <v/>
      </c>
      <c r="V2259" s="49" t="str">
        <f>_xlfn.XLOOKUP(Customer[[#This Row],[Customer ID]],[1]!Address[ID],[1]!Address[Type])</f>
        <v>SOCMED</v>
      </c>
      <c r="W2259" s="49" t="str">
        <f>_xlfn.XLOOKUP(Customer[[#This Row],[Customer ID]],[1]!Address[ID],[1]!Address[CT])</f>
        <v/>
      </c>
      <c r="X2259" s="49"/>
      <c r="Y2259" s="53" t="s">
        <v>90</v>
      </c>
      <c r="Z2259" s="53" t="e">
        <f>_xlfn.XLOOKUP(Customer[[#This Row],[NewType]],$AF$36:$AF$54,$AG$36:$AG$54)</f>
        <v>#N/A</v>
      </c>
      <c r="AA2259" s="53" t="s">
        <v>14054</v>
      </c>
      <c r="AB2259" s="49" t="str">
        <f>_xlfn.XLOOKUP(Customer[[#This Row],[Customer ID]],[1]!Address[ID],[1]!Address[Subtype])</f>
        <v>WHATSAPP</v>
      </c>
      <c r="AC2259" s="54">
        <f>_xlfn.XLOOKUP(Customer[[#This Row],[Customer ID]],[1]!Address[ID],[1]!Address[Zone])</f>
        <v>0</v>
      </c>
      <c r="AD2259" s="55"/>
    </row>
    <row r="2260" spans="1:30" x14ac:dyDescent="0.3">
      <c r="A2260" s="10" t="s">
        <v>14055</v>
      </c>
      <c r="B2260" s="11" t="str">
        <f>_xlfn.XLOOKUP(Customer[[#This Row],[Customer ID]],[1]!Name[ID],[1]!Name[Description(1)])</f>
        <v>HJ RAHMAN (MALDIVES)</v>
      </c>
      <c r="C2260" s="32" t="str">
        <f>_xlfn.XLOOKUP(Customer[[#This Row],[Customer ID]],[1]!Name[ID],[1]!Name[Description(2)])</f>
        <v/>
      </c>
      <c r="D2260" s="11" t="str">
        <f>_xlfn.XLOOKUP(Customer[[#This Row],[Customer ID]],[1]!Address[ID],[1]!Address[PIC])</f>
        <v/>
      </c>
      <c r="E2260" s="11" t="str">
        <f>_xlfn.XLOOKUP(Customer[[#This Row],[Customer ID]],[1]!Address[ID],[1]!Address[Full Address])</f>
        <v/>
      </c>
      <c r="F2260" s="12" t="s">
        <v>36</v>
      </c>
      <c r="G2260" s="12" t="s">
        <v>36</v>
      </c>
      <c r="H2260" s="12" t="s">
        <v>36</v>
      </c>
      <c r="I2260" s="12" t="b">
        <f>ISNUMBER(VALUE(LEFT(Customer[[#This Row],[Address Line 3 (30 char)]],1)))</f>
        <v>0</v>
      </c>
      <c r="J2260" s="32"/>
      <c r="K2260" s="32"/>
      <c r="L2260" s="12" t="s">
        <v>35</v>
      </c>
      <c r="M2260" s="13" t="e">
        <v>#N/A</v>
      </c>
      <c r="N2260" s="14" t="e">
        <v>#N/A</v>
      </c>
      <c r="O2260" s="14" t="e">
        <v>#N/A</v>
      </c>
      <c r="P2260" s="14" t="e">
        <v>#N/A</v>
      </c>
      <c r="Q2260" s="14" t="e">
        <v>#N/A</v>
      </c>
      <c r="R2260" s="15" t="s">
        <v>36</v>
      </c>
      <c r="S2260" s="15" t="s">
        <v>4271</v>
      </c>
      <c r="T2260" s="16" t="s">
        <v>89</v>
      </c>
      <c r="U2260" s="11" t="str">
        <f>_xlfn.XLOOKUP(Customer[[#This Row],[Customer ID]],[1]!Address[ID],[1]!Address[Phone No.(2)])</f>
        <v/>
      </c>
      <c r="V2260" s="11" t="str">
        <f>_xlfn.XLOOKUP(Customer[[#This Row],[Customer ID]],[1]!Address[ID],[1]!Address[Type])</f>
        <v>SOCMED</v>
      </c>
      <c r="W2260" s="11" t="str">
        <f>_xlfn.XLOOKUP(Customer[[#This Row],[Customer ID]],[1]!Address[ID],[1]!Address[CT])</f>
        <v/>
      </c>
      <c r="X2260" s="11"/>
      <c r="Y2260" s="17" t="s">
        <v>90</v>
      </c>
      <c r="Z2260" s="17" t="e">
        <f>_xlfn.XLOOKUP(Customer[[#This Row],[NewType]],$AF$36:$AF$54,$AG$36:$AG$54)</f>
        <v>#N/A</v>
      </c>
      <c r="AA2260" s="17" t="s">
        <v>14056</v>
      </c>
      <c r="AB2260" s="11" t="str">
        <f>_xlfn.XLOOKUP(Customer[[#This Row],[Customer ID]],[1]!Address[ID],[1]!Address[Subtype])</f>
        <v>WHATSAPP</v>
      </c>
      <c r="AC2260" s="18">
        <f>_xlfn.XLOOKUP(Customer[[#This Row],[Customer ID]],[1]!Address[ID],[1]!Address[Zone])</f>
        <v>0</v>
      </c>
    </row>
    <row r="2261" spans="1:30" x14ac:dyDescent="0.3">
      <c r="A2261" s="10" t="s">
        <v>14057</v>
      </c>
      <c r="B2261" s="11" t="str">
        <f>_xlfn.XLOOKUP(Customer[[#This Row],[Customer ID]],[1]!Name[ID],[1]!Name[Description(1)])</f>
        <v>ROSLI BIN ISMAIL</v>
      </c>
      <c r="C2261" s="11" t="str">
        <f>_xlfn.XLOOKUP(Customer[[#This Row],[Customer ID]],[1]!Name[ID],[1]!Name[Description(2)])</f>
        <v/>
      </c>
      <c r="D2261" s="11" t="str">
        <f>_xlfn.XLOOKUP(Customer[[#This Row],[Customer ID]],[1]!Address[ID],[1]!Address[PIC])</f>
        <v/>
      </c>
      <c r="E2261" s="11" t="str">
        <f>_xlfn.XLOOKUP(Customer[[#This Row],[Customer ID]],[1]!Address[ID],[1]!Address[Full Address])</f>
        <v>NO 4 LORONG IM 5/14BANDAR INDERA MAHKOTA25200 KUANTANPAHANG</v>
      </c>
      <c r="F2261" s="12" t="s">
        <v>14058</v>
      </c>
      <c r="G2261" s="12" t="s">
        <v>14059</v>
      </c>
      <c r="H2261" s="24" t="s">
        <v>1038</v>
      </c>
      <c r="I2261" s="24" t="b">
        <f>ISNUMBER(VALUE(LEFT(Customer[[#This Row],[Address Line 3 (30 char)]],1)))</f>
        <v>0</v>
      </c>
      <c r="J2261" s="12" t="s">
        <v>339</v>
      </c>
      <c r="K2261" s="12">
        <v>25200</v>
      </c>
      <c r="L2261" s="12" t="s">
        <v>35</v>
      </c>
      <c r="M2261" s="13" t="e">
        <v>#N/A</v>
      </c>
      <c r="N2261" s="14" t="e">
        <v>#N/A</v>
      </c>
      <c r="O2261" s="14" t="e">
        <v>#N/A</v>
      </c>
      <c r="P2261" s="14" t="e">
        <v>#N/A</v>
      </c>
      <c r="Q2261" s="19" t="s">
        <v>14060</v>
      </c>
      <c r="R2261" s="15" t="s">
        <v>14061</v>
      </c>
      <c r="S2261" s="15" t="s">
        <v>88</v>
      </c>
      <c r="T2261" s="16" t="s">
        <v>89</v>
      </c>
      <c r="U2261" s="11" t="str">
        <f>_xlfn.XLOOKUP(Customer[[#This Row],[Customer ID]],[1]!Address[ID],[1]!Address[Phone No.(2)])</f>
        <v/>
      </c>
      <c r="V2261" s="11" t="str">
        <f>_xlfn.XLOOKUP(Customer[[#This Row],[Customer ID]],[1]!Address[ID],[1]!Address[Type])</f>
        <v>SOCMED</v>
      </c>
      <c r="W2261" s="11" t="str">
        <f>_xlfn.XLOOKUP(Customer[[#This Row],[Customer ID]],[1]!Address[ID],[1]!Address[CT])</f>
        <v/>
      </c>
      <c r="X2261" s="11"/>
      <c r="Y2261" s="17" t="s">
        <v>90</v>
      </c>
      <c r="Z2261" s="17" t="e">
        <f>_xlfn.XLOOKUP(Customer[[#This Row],[NewType]],$AF$36:$AF$54,$AG$36:$AG$54)</f>
        <v>#N/A</v>
      </c>
      <c r="AA2261" s="17" t="s">
        <v>14062</v>
      </c>
      <c r="AB2261" s="11" t="str">
        <f>_xlfn.XLOOKUP(Customer[[#This Row],[Customer ID]],[1]!Address[ID],[1]!Address[Subtype])</f>
        <v>ONLINE ROS</v>
      </c>
      <c r="AC2261" s="18" t="str">
        <f>_xlfn.XLOOKUP(Customer[[#This Row],[Customer ID]],[1]!Address[ID],[1]!Address[Zone])</f>
        <v>EAST COAST</v>
      </c>
    </row>
    <row r="2262" spans="1:30" x14ac:dyDescent="0.3">
      <c r="A2262" s="48" t="s">
        <v>14063</v>
      </c>
      <c r="B2262" s="49" t="str">
        <f>_xlfn.XLOOKUP(Customer[[#This Row],[Customer ID]],[1]!Name[ID],[1]!Name[Description(1)])</f>
        <v>AHMAD SAFWAN BIN SAIDI</v>
      </c>
      <c r="C2262" s="49" t="str">
        <f>_xlfn.XLOOKUP(Customer[[#This Row],[Customer ID]],[1]!Name[ID],[1]!Name[Description(2)])</f>
        <v/>
      </c>
      <c r="D2262" s="49" t="str">
        <f>_xlfn.XLOOKUP(Customer[[#This Row],[Customer ID]],[1]!Address[ID],[1]!Address[PIC])</f>
        <v>AHMAD SAFWAN</v>
      </c>
      <c r="E2262" s="11" t="str">
        <f>_xlfn.XLOOKUP(Customer[[#This Row],[Customer ID]],[1]!Address[ID],[1]!Address[Full Address])</f>
        <v>304B, KONDOMINIUM PANGSA MURNI,JALAN 6/27A, SEKSYEN 6C, WANGSA MAJU53300 KUALA LUMPUR, WILAYAH PERSEKUTUAN</v>
      </c>
      <c r="F2262" s="12" t="s">
        <v>14064</v>
      </c>
      <c r="G2262" s="12" t="s">
        <v>14065</v>
      </c>
      <c r="H2262" s="12" t="s">
        <v>14066</v>
      </c>
      <c r="I2262" s="12" t="b">
        <f>ISNUMBER(VALUE(LEFT(Customer[[#This Row],[Address Line 3 (30 char)]],1)))</f>
        <v>0</v>
      </c>
      <c r="J2262" s="12" t="s">
        <v>34</v>
      </c>
      <c r="K2262" s="12">
        <v>53300</v>
      </c>
      <c r="L2262" s="12" t="s">
        <v>35</v>
      </c>
      <c r="M2262" s="13" t="e">
        <v>#N/A</v>
      </c>
      <c r="N2262" s="14" t="e">
        <v>#N/A</v>
      </c>
      <c r="O2262" s="14" t="e">
        <v>#N/A</v>
      </c>
      <c r="P2262" s="14" t="e">
        <v>#N/A</v>
      </c>
      <c r="Q2262" s="19" t="s">
        <v>14067</v>
      </c>
      <c r="R2262" s="51" t="s">
        <v>14068</v>
      </c>
      <c r="S2262" s="51" t="s">
        <v>6418</v>
      </c>
      <c r="T2262" s="52" t="s">
        <v>3477</v>
      </c>
      <c r="U2262" s="49" t="str">
        <f>_xlfn.XLOOKUP(Customer[[#This Row],[Customer ID]],[1]!Address[ID],[1]!Address[Phone No.(2)])</f>
        <v/>
      </c>
      <c r="V2262" s="49" t="str">
        <f>_xlfn.XLOOKUP(Customer[[#This Row],[Customer ID]],[1]!Address[ID],[1]!Address[Type])</f>
        <v>SOCMED</v>
      </c>
      <c r="W2262" s="49" t="str">
        <f>_xlfn.XLOOKUP(Customer[[#This Row],[Customer ID]],[1]!Address[ID],[1]!Address[CT])</f>
        <v/>
      </c>
      <c r="X2262" s="49"/>
      <c r="Y2262" s="53" t="s">
        <v>90</v>
      </c>
      <c r="Z2262" s="53" t="e">
        <f>_xlfn.XLOOKUP(Customer[[#This Row],[NewType]],$AF$36:$AF$54,$AG$36:$AG$54)</f>
        <v>#N/A</v>
      </c>
      <c r="AA2262" s="53" t="s">
        <v>14069</v>
      </c>
      <c r="AB2262" s="49" t="str">
        <f>_xlfn.XLOOKUP(Customer[[#This Row],[Customer ID]],[1]!Address[ID],[1]!Address[Subtype])</f>
        <v>WHATSAPP</v>
      </c>
      <c r="AC2262" s="54" t="str">
        <f>_xlfn.XLOOKUP(Customer[[#This Row],[Customer ID]],[1]!Address[ID],[1]!Address[Zone])</f>
        <v>CENTRAL</v>
      </c>
      <c r="AD2262" s="55"/>
    </row>
    <row r="2263" spans="1:30" x14ac:dyDescent="0.3">
      <c r="A2263" s="10" t="s">
        <v>14070</v>
      </c>
      <c r="B2263" s="11" t="str">
        <f>_xlfn.XLOOKUP(Customer[[#This Row],[Customer ID]],[1]!Name[ID],[1]!Name[Description(1)])</f>
        <v>MOHD FAIZAL ZAINAL ABIDIN</v>
      </c>
      <c r="C2263" s="11" t="str">
        <f>_xlfn.XLOOKUP(Customer[[#This Row],[Customer ID]],[1]!Name[ID],[1]!Name[Description(2)])</f>
        <v/>
      </c>
      <c r="D2263" s="11" t="str">
        <f>_xlfn.XLOOKUP(Customer[[#This Row],[Customer ID]],[1]!Address[ID],[1]!Address[PIC])</f>
        <v>MOHD FAIZAL</v>
      </c>
      <c r="E2263" s="11" t="str">
        <f>_xlfn.XLOOKUP(Customer[[#This Row],[Customer ID]],[1]!Address[ID],[1]!Address[Full Address])</f>
        <v>EXECUTIVE OFFICERS UNION,FEDERATION OF AARAS BAWAH,KUATERS KERAJAAN FASA 12,BLOK 12,E2 JALAN P9C, PRESINT 9,62250 PUTRAJAYA</v>
      </c>
      <c r="F2263" s="12" t="s">
        <v>14071</v>
      </c>
      <c r="G2263" s="12" t="s">
        <v>14072</v>
      </c>
      <c r="H2263" s="12" t="s">
        <v>14073</v>
      </c>
      <c r="I2263" s="12" t="b">
        <f>ISNUMBER(VALUE(LEFT(Customer[[#This Row],[Address Line 3 (30 char)]],1)))</f>
        <v>0</v>
      </c>
      <c r="J2263" s="12" t="s">
        <v>4229</v>
      </c>
      <c r="K2263" s="12">
        <v>62250</v>
      </c>
      <c r="L2263" s="12" t="s">
        <v>35</v>
      </c>
      <c r="M2263" s="13" t="e">
        <v>#N/A</v>
      </c>
      <c r="N2263" s="14" t="e">
        <v>#N/A</v>
      </c>
      <c r="O2263" s="14" t="e">
        <v>#N/A</v>
      </c>
      <c r="P2263" s="14" t="e">
        <v>#N/A</v>
      </c>
      <c r="Q2263" s="19" t="s">
        <v>14074</v>
      </c>
      <c r="R2263" s="15" t="s">
        <v>14075</v>
      </c>
      <c r="S2263" s="15" t="s">
        <v>6418</v>
      </c>
      <c r="T2263" s="16" t="s">
        <v>3477</v>
      </c>
      <c r="U2263" s="11" t="str">
        <f>_xlfn.XLOOKUP(Customer[[#This Row],[Customer ID]],[1]!Address[ID],[1]!Address[Phone No.(2)])</f>
        <v/>
      </c>
      <c r="V2263" s="11" t="str">
        <f>_xlfn.XLOOKUP(Customer[[#This Row],[Customer ID]],[1]!Address[ID],[1]!Address[Type])</f>
        <v>SOCMED</v>
      </c>
      <c r="W2263" s="11" t="str">
        <f>_xlfn.XLOOKUP(Customer[[#This Row],[Customer ID]],[1]!Address[ID],[1]!Address[CT])</f>
        <v>CASH</v>
      </c>
      <c r="X2263" s="11"/>
      <c r="Y2263" s="17" t="s">
        <v>90</v>
      </c>
      <c r="Z2263" s="17" t="e">
        <f>_xlfn.XLOOKUP(Customer[[#This Row],[NewType]],$AF$36:$AF$54,$AG$36:$AG$54)</f>
        <v>#N/A</v>
      </c>
      <c r="AA2263" s="17" t="s">
        <v>14076</v>
      </c>
      <c r="AB2263" s="11" t="str">
        <f>_xlfn.XLOOKUP(Customer[[#This Row],[Customer ID]],[1]!Address[ID],[1]!Address[Subtype])</f>
        <v>WHATSAPP</v>
      </c>
      <c r="AC2263" s="18" t="str">
        <f>_xlfn.XLOOKUP(Customer[[#This Row],[Customer ID]],[1]!Address[ID],[1]!Address[Zone])</f>
        <v>CENTRAL</v>
      </c>
    </row>
    <row r="2264" spans="1:30" x14ac:dyDescent="0.3">
      <c r="A2264" s="10" t="s">
        <v>14077</v>
      </c>
      <c r="B2264" s="11" t="str">
        <f>_xlfn.XLOOKUP(Customer[[#This Row],[Customer ID]],[1]!Name[ID],[1]!Name[Description(1)])</f>
        <v>STAR GROCER SDN BHD-CYBERJAYA</v>
      </c>
      <c r="C2264" s="11" t="str">
        <f>_xlfn.XLOOKUP(Customer[[#This Row],[Customer ID]],[1]!Name[ID],[1]!Name[Description(2)])</f>
        <v/>
      </c>
      <c r="D2264" s="11" t="str">
        <f>_xlfn.XLOOKUP(Customer[[#This Row],[Customer ID]],[1]!Address[ID],[1]!Address[PIC])</f>
        <v/>
      </c>
      <c r="E2264" s="11" t="str">
        <f>_xlfn.XLOOKUP(Customer[[#This Row],[Customer ID]],[1]!Address[ID],[1]!Address[Full Address])</f>
        <v>B-G-01, B-G-02, B-G-03, B-G-04, B-G-05,CYBERSQUARE FIESTA,JALAN TECKNOKRAT 6, CYBER 5,63000 CYBERJAYA SELANGOR</v>
      </c>
      <c r="F2264" s="12" t="s">
        <v>14078</v>
      </c>
      <c r="G2264" s="12" t="s">
        <v>14079</v>
      </c>
      <c r="H2264" s="12" t="s">
        <v>14080</v>
      </c>
      <c r="I2264" s="12" t="b">
        <f>ISNUMBER(VALUE(LEFT(Customer[[#This Row],[Address Line 3 (30 char)]],1)))</f>
        <v>0</v>
      </c>
      <c r="J2264" s="12" t="s">
        <v>172</v>
      </c>
      <c r="K2264" s="12">
        <v>53000</v>
      </c>
      <c r="L2264" s="12" t="s">
        <v>35</v>
      </c>
      <c r="M2264" s="13" t="e">
        <v>#N/A</v>
      </c>
      <c r="N2264" s="14" t="e">
        <v>#N/A</v>
      </c>
      <c r="O2264" s="14" t="e">
        <v>#N/A</v>
      </c>
      <c r="P2264" s="14" t="e">
        <v>#N/A</v>
      </c>
      <c r="Q2264" s="19" t="s">
        <v>14081</v>
      </c>
      <c r="R2264" s="15" t="s">
        <v>14082</v>
      </c>
      <c r="S2264" s="15" t="s">
        <v>5925</v>
      </c>
      <c r="T2264" s="16" t="s">
        <v>3477</v>
      </c>
      <c r="U2264" s="11" t="str">
        <f>_xlfn.XLOOKUP(Customer[[#This Row],[Customer ID]],[1]!Address[ID],[1]!Address[Phone No.(2)])</f>
        <v/>
      </c>
      <c r="V2264" s="11" t="str">
        <f>_xlfn.XLOOKUP(Customer[[#This Row],[Customer ID]],[1]!Address[ID],[1]!Address[Type])</f>
        <v>HM</v>
      </c>
      <c r="W2264" s="11" t="str">
        <f>_xlfn.XLOOKUP(Customer[[#This Row],[Customer ID]],[1]!Address[ID],[1]!Address[CT])</f>
        <v>60 DAYS</v>
      </c>
      <c r="X2264" s="11"/>
      <c r="Y2264" s="17" t="s">
        <v>5968</v>
      </c>
      <c r="Z2264" s="17" t="e">
        <f>_xlfn.XLOOKUP(Customer[[#This Row],[NewType]],$AF$36:$AF$54,$AG$36:$AG$54)</f>
        <v>#N/A</v>
      </c>
      <c r="AA2264" s="17" t="s">
        <v>14083</v>
      </c>
      <c r="AB2264" s="11" t="str">
        <f>_xlfn.XLOOKUP(Customer[[#This Row],[Customer ID]],[1]!Address[ID],[1]!Address[Subtype])</f>
        <v>STAR GROCER</v>
      </c>
      <c r="AC2264" s="18" t="str">
        <f>_xlfn.XLOOKUP(Customer[[#This Row],[Customer ID]],[1]!Address[ID],[1]!Address[Zone])</f>
        <v>CENTRAL</v>
      </c>
    </row>
    <row r="2265" spans="1:30" x14ac:dyDescent="0.3">
      <c r="A2265" s="10" t="s">
        <v>14084</v>
      </c>
      <c r="B2265" s="11" t="str">
        <f>_xlfn.XLOOKUP(Customer[[#This Row],[Customer ID]],[1]!Name[ID],[1]!Name[Description(1)])</f>
        <v>ALINA YAHYA</v>
      </c>
      <c r="C2265" s="11" t="str">
        <f>_xlfn.XLOOKUP(Customer[[#This Row],[Customer ID]],[1]!Name[ID],[1]!Name[Description(2)])</f>
        <v/>
      </c>
      <c r="D2265" s="11" t="str">
        <f>_xlfn.XLOOKUP(Customer[[#This Row],[Customer ID]],[1]!Address[ID],[1]!Address[PIC])</f>
        <v/>
      </c>
      <c r="E2265" s="11" t="str">
        <f>_xlfn.XLOOKUP(Customer[[#This Row],[Customer ID]],[1]!Address[ID],[1]!Address[Full Address])</f>
        <v>LOT 571 KAMPUNG PEGOH78000 ALOR GAJAH</v>
      </c>
      <c r="F2265" s="12" t="s">
        <v>14085</v>
      </c>
      <c r="G2265" s="12" t="s">
        <v>14086</v>
      </c>
      <c r="H2265" s="12" t="s">
        <v>36</v>
      </c>
      <c r="I2265" s="12" t="b">
        <f>ISNUMBER(VALUE(LEFT(Customer[[#This Row],[Address Line 3 (30 char)]],1)))</f>
        <v>0</v>
      </c>
      <c r="J2265" s="12" t="s">
        <v>61</v>
      </c>
      <c r="K2265" s="12">
        <v>78000</v>
      </c>
      <c r="L2265" s="12" t="s">
        <v>35</v>
      </c>
      <c r="M2265" s="13" t="e">
        <v>#N/A</v>
      </c>
      <c r="N2265" s="14" t="e">
        <v>#N/A</v>
      </c>
      <c r="O2265" s="14" t="e">
        <v>#N/A</v>
      </c>
      <c r="P2265" s="14" t="e">
        <v>#N/A</v>
      </c>
      <c r="Q2265" s="19" t="s">
        <v>14087</v>
      </c>
      <c r="R2265" s="15" t="s">
        <v>14088</v>
      </c>
      <c r="S2265" s="16" t="s">
        <v>89</v>
      </c>
      <c r="T2265" s="16" t="s">
        <v>89</v>
      </c>
      <c r="U2265" s="11" t="str">
        <f>_xlfn.XLOOKUP(Customer[[#This Row],[Customer ID]],[1]!Address[ID],[1]!Address[Phone No.(2)])</f>
        <v/>
      </c>
      <c r="V2265" s="11" t="str">
        <f>_xlfn.XLOOKUP(Customer[[#This Row],[Customer ID]],[1]!Address[ID],[1]!Address[Type])</f>
        <v>WALK IN</v>
      </c>
      <c r="W2265" s="11" t="str">
        <f>_xlfn.XLOOKUP(Customer[[#This Row],[Customer ID]],[1]!Address[ID],[1]!Address[CT])</f>
        <v/>
      </c>
      <c r="X2265" s="11"/>
      <c r="Y2265" s="17" t="s">
        <v>6284</v>
      </c>
      <c r="Z2265" s="17" t="e">
        <f>_xlfn.XLOOKUP(Customer[[#This Row],[NewType]],$AF$36:$AF$54,$AG$36:$AG$54)</f>
        <v>#N/A</v>
      </c>
      <c r="AA2265" s="17" t="s">
        <v>14089</v>
      </c>
      <c r="AB2265" s="11" t="str">
        <f>_xlfn.XLOOKUP(Customer[[#This Row],[Customer ID]],[1]!Address[ID],[1]!Address[Subtype])</f>
        <v>PEDAS</v>
      </c>
      <c r="AC2265" s="18" t="str">
        <f>_xlfn.XLOOKUP(Customer[[#This Row],[Customer ID]],[1]!Address[ID],[1]!Address[Zone])</f>
        <v>CENTRAL</v>
      </c>
    </row>
    <row r="2266" spans="1:30" x14ac:dyDescent="0.3">
      <c r="A2266" s="45" t="s">
        <v>14090</v>
      </c>
      <c r="B2266" s="32" t="str">
        <f>_xlfn.XLOOKUP(Customer[[#This Row],[Customer ID]],[1]!Name[ID],[1]!Name[Description(1)])</f>
        <v>AZILA BINTI ISMAIL</v>
      </c>
      <c r="C2266" s="32" t="str">
        <f>_xlfn.XLOOKUP(Customer[[#This Row],[Customer ID]],[1]!Name[ID],[1]!Name[Description(2)])</f>
        <v/>
      </c>
      <c r="D2266" s="11" t="str">
        <f>_xlfn.XLOOKUP(Customer[[#This Row],[Customer ID]],[1]!Address[ID],[1]!Address[PIC])</f>
        <v>AZILA</v>
      </c>
      <c r="E2266" s="11" t="str">
        <f>_xlfn.XLOOKUP(Customer[[#This Row],[Customer ID]],[1]!Address[ID],[1]!Address[Full Address])</f>
        <v>6-2-16 BLOK 16 KOTA DAMANSARA</v>
      </c>
      <c r="F2266" s="12" t="s">
        <v>14091</v>
      </c>
      <c r="G2266" s="12" t="s">
        <v>36</v>
      </c>
      <c r="H2266" s="12" t="s">
        <v>36</v>
      </c>
      <c r="I2266" s="12" t="b">
        <f>ISNUMBER(VALUE(LEFT(Customer[[#This Row],[Address Line 3 (30 char)]],1)))</f>
        <v>0</v>
      </c>
      <c r="J2266" s="32" t="s">
        <v>1907</v>
      </c>
      <c r="K2266" s="32">
        <v>47810</v>
      </c>
      <c r="L2266" s="12" t="s">
        <v>35</v>
      </c>
      <c r="M2266" s="13" t="e">
        <v>#N/A</v>
      </c>
      <c r="N2266" s="14" t="e">
        <v>#N/A</v>
      </c>
      <c r="O2266" s="14" t="e">
        <v>#N/A</v>
      </c>
      <c r="P2266" s="14" t="e">
        <v>#N/A</v>
      </c>
      <c r="Q2266" s="19" t="s">
        <v>14092</v>
      </c>
      <c r="R2266" s="15" t="s">
        <v>14093</v>
      </c>
      <c r="S2266" s="16" t="s">
        <v>89</v>
      </c>
      <c r="T2266" s="16" t="s">
        <v>89</v>
      </c>
      <c r="U2266" s="11" t="str">
        <f>_xlfn.XLOOKUP(Customer[[#This Row],[Customer ID]],[1]!Address[ID],[1]!Address[Phone No.(2)])</f>
        <v/>
      </c>
      <c r="V2266" s="11" t="str">
        <f>_xlfn.XLOOKUP(Customer[[#This Row],[Customer ID]],[1]!Address[ID],[1]!Address[Type])</f>
        <v>WALK IN</v>
      </c>
      <c r="W2266" s="11" t="str">
        <f>_xlfn.XLOOKUP(Customer[[#This Row],[Customer ID]],[1]!Address[ID],[1]!Address[CT])</f>
        <v/>
      </c>
      <c r="X2266" s="11"/>
      <c r="Y2266" s="17" t="s">
        <v>6284</v>
      </c>
      <c r="Z2266" s="17" t="e">
        <f>_xlfn.XLOOKUP(Customer[[#This Row],[NewType]],$AF$36:$AF$54,$AG$36:$AG$54)</f>
        <v>#N/A</v>
      </c>
      <c r="AA2266" s="17" t="s">
        <v>14094</v>
      </c>
      <c r="AB2266" s="11" t="str">
        <f>_xlfn.XLOOKUP(Customer[[#This Row],[Customer ID]],[1]!Address[ID],[1]!Address[Subtype])</f>
        <v>PEDAS</v>
      </c>
      <c r="AC2266" s="18" t="str">
        <f>_xlfn.XLOOKUP(Customer[[#This Row],[Customer ID]],[1]!Address[ID],[1]!Address[Zone])</f>
        <v>CENTRAL</v>
      </c>
    </row>
    <row r="2267" spans="1:30" x14ac:dyDescent="0.3">
      <c r="A2267" s="10" t="s">
        <v>14095</v>
      </c>
      <c r="B2267" s="11" t="str">
        <f>_xlfn.XLOOKUP(Customer[[#This Row],[Customer ID]],[1]!Name[ID],[1]!Name[Description(1)])</f>
        <v>MUHAMMAD HAZMI BIN MOKHTAR</v>
      </c>
      <c r="C2267" s="11" t="str">
        <f>_xlfn.XLOOKUP(Customer[[#This Row],[Customer ID]],[1]!Name[ID],[1]!Name[Description(2)])</f>
        <v/>
      </c>
      <c r="D2267" s="11" t="str">
        <f>_xlfn.XLOOKUP(Customer[[#This Row],[Customer ID]],[1]!Address[ID],[1]!Address[PIC])</f>
        <v>HAZMI</v>
      </c>
      <c r="E2267" s="11" t="str">
        <f>_xlfn.XLOOKUP(Customer[[#This Row],[Customer ID]],[1]!Address[ID],[1]!Address[Full Address])</f>
        <v>35, JALAN PINGGIRAN PUTRA 1/17,DESA PINGGIRAN PUTRA 43000 KAJANG,SELANGOR</v>
      </c>
      <c r="F2267" s="12" t="s">
        <v>14096</v>
      </c>
      <c r="G2267" s="12" t="s">
        <v>14097</v>
      </c>
      <c r="H2267" s="12" t="s">
        <v>6089</v>
      </c>
      <c r="I2267" s="12" t="b">
        <f>ISNUMBER(VALUE(LEFT(Customer[[#This Row],[Address Line 3 (30 char)]],1)))</f>
        <v>0</v>
      </c>
      <c r="J2267" s="12" t="s">
        <v>172</v>
      </c>
      <c r="K2267" s="12">
        <v>43000</v>
      </c>
      <c r="L2267" s="12" t="s">
        <v>35</v>
      </c>
      <c r="M2267" s="13" t="e">
        <v>#N/A</v>
      </c>
      <c r="N2267" s="14" t="e">
        <v>#N/A</v>
      </c>
      <c r="O2267" s="14" t="e">
        <v>#N/A</v>
      </c>
      <c r="P2267" s="14" t="e">
        <v>#N/A</v>
      </c>
      <c r="Q2267" s="19" t="s">
        <v>14098</v>
      </c>
      <c r="R2267" s="15" t="s">
        <v>14099</v>
      </c>
      <c r="S2267" s="16" t="s">
        <v>89</v>
      </c>
      <c r="T2267" s="16" t="s">
        <v>89</v>
      </c>
      <c r="U2267" s="11" t="str">
        <f>_xlfn.XLOOKUP(Customer[[#This Row],[Customer ID]],[1]!Address[ID],[1]!Address[Phone No.(2)])</f>
        <v/>
      </c>
      <c r="V2267" s="11" t="str">
        <f>_xlfn.XLOOKUP(Customer[[#This Row],[Customer ID]],[1]!Address[ID],[1]!Address[Type])</f>
        <v>WALK IN</v>
      </c>
      <c r="W2267" s="11" t="str">
        <f>_xlfn.XLOOKUP(Customer[[#This Row],[Customer ID]],[1]!Address[ID],[1]!Address[CT])</f>
        <v/>
      </c>
      <c r="X2267" s="11"/>
      <c r="Y2267" s="17" t="s">
        <v>6284</v>
      </c>
      <c r="Z2267" s="17" t="e">
        <f>_xlfn.XLOOKUP(Customer[[#This Row],[NewType]],$AF$36:$AF$54,$AG$36:$AG$54)</f>
        <v>#N/A</v>
      </c>
      <c r="AA2267" s="17" t="s">
        <v>14100</v>
      </c>
      <c r="AB2267" s="11" t="str">
        <f>_xlfn.XLOOKUP(Customer[[#This Row],[Customer ID]],[1]!Address[ID],[1]!Address[Subtype])</f>
        <v>PEDAS</v>
      </c>
      <c r="AC2267" s="18" t="str">
        <f>_xlfn.XLOOKUP(Customer[[#This Row],[Customer ID]],[1]!Address[ID],[1]!Address[Zone])</f>
        <v>CENTRAL</v>
      </c>
    </row>
    <row r="2268" spans="1:30" x14ac:dyDescent="0.3">
      <c r="A2268" s="10" t="s">
        <v>14101</v>
      </c>
      <c r="B2268" s="11" t="str">
        <f>_xlfn.XLOOKUP(Customer[[#This Row],[Customer ID]],[1]!Name[ID],[1]!Name[Description(1)])</f>
        <v>PUTRA MALEK BIN JAAFAR</v>
      </c>
      <c r="C2268" s="11" t="str">
        <f>_xlfn.XLOOKUP(Customer[[#This Row],[Customer ID]],[1]!Name[ID],[1]!Name[Description(2)])</f>
        <v>(KILANG BOTOL)</v>
      </c>
      <c r="D2268" s="11" t="str">
        <f>_xlfn.XLOOKUP(Customer[[#This Row],[Customer ID]],[1]!Address[ID],[1]!Address[PIC])</f>
        <v>PUTRA</v>
      </c>
      <c r="E2268" s="11" t="str">
        <f>_xlfn.XLOOKUP(Customer[[#This Row],[Customer ID]],[1]!Address[ID],[1]!Address[Full Address])</f>
        <v>NO17 JLN TCJ 2 TAMAN CHEMBONG JAYA71300 REMBAU NEGERI SEMBILAN</v>
      </c>
      <c r="F2268" s="12" t="s">
        <v>14102</v>
      </c>
      <c r="G2268" s="12" t="s">
        <v>14103</v>
      </c>
      <c r="H2268" s="12" t="s">
        <v>7985</v>
      </c>
      <c r="I2268" s="12" t="b">
        <f>ISNUMBER(VALUE(LEFT(Customer[[#This Row],[Address Line 3 (30 char)]],1)))</f>
        <v>0</v>
      </c>
      <c r="J2268" s="12" t="s">
        <v>203</v>
      </c>
      <c r="K2268" s="12">
        <v>71300</v>
      </c>
      <c r="L2268" s="12" t="s">
        <v>35</v>
      </c>
      <c r="M2268" s="13" t="e">
        <v>#N/A</v>
      </c>
      <c r="N2268" s="14" t="e">
        <v>#N/A</v>
      </c>
      <c r="O2268" s="14" t="e">
        <v>#N/A</v>
      </c>
      <c r="P2268" s="14" t="e">
        <v>#N/A</v>
      </c>
      <c r="Q2268" s="19" t="s">
        <v>14104</v>
      </c>
      <c r="R2268" s="15" t="s">
        <v>14105</v>
      </c>
      <c r="S2268" s="16" t="s">
        <v>89</v>
      </c>
      <c r="T2268" s="16" t="s">
        <v>89</v>
      </c>
      <c r="U2268" s="11" t="str">
        <f>_xlfn.XLOOKUP(Customer[[#This Row],[Customer ID]],[1]!Address[ID],[1]!Address[Phone No.(2)])</f>
        <v/>
      </c>
      <c r="V2268" s="11" t="str">
        <f>_xlfn.XLOOKUP(Customer[[#This Row],[Customer ID]],[1]!Address[ID],[1]!Address[Type])</f>
        <v>WALK IN</v>
      </c>
      <c r="W2268" s="11" t="str">
        <f>_xlfn.XLOOKUP(Customer[[#This Row],[Customer ID]],[1]!Address[ID],[1]!Address[CT])</f>
        <v/>
      </c>
      <c r="X2268" s="11"/>
      <c r="Y2268" s="17" t="s">
        <v>6284</v>
      </c>
      <c r="Z2268" s="17" t="e">
        <f>_xlfn.XLOOKUP(Customer[[#This Row],[NewType]],$AF$36:$AF$54,$AG$36:$AG$54)</f>
        <v>#N/A</v>
      </c>
      <c r="AA2268" s="17" t="s">
        <v>14106</v>
      </c>
      <c r="AB2268" s="11" t="str">
        <f>_xlfn.XLOOKUP(Customer[[#This Row],[Customer ID]],[1]!Address[ID],[1]!Address[Subtype])</f>
        <v>STAFF</v>
      </c>
      <c r="AC2268" s="18" t="str">
        <f>_xlfn.XLOOKUP(Customer[[#This Row],[Customer ID]],[1]!Address[ID],[1]!Address[Zone])</f>
        <v>SOUTH</v>
      </c>
    </row>
    <row r="2269" spans="1:30" x14ac:dyDescent="0.3">
      <c r="A2269" s="10" t="s">
        <v>14107</v>
      </c>
      <c r="B2269" s="11" t="str">
        <f>_xlfn.XLOOKUP(Customer[[#This Row],[Customer ID]],[1]!Name[ID],[1]!Name[Description(1)])</f>
        <v>FIRDAUS HASSIM</v>
      </c>
      <c r="C2269" s="11" t="str">
        <f>_xlfn.XLOOKUP(Customer[[#This Row],[Customer ID]],[1]!Name[ID],[1]!Name[Description(2)])</f>
        <v/>
      </c>
      <c r="D2269" s="11" t="str">
        <f>_xlfn.XLOOKUP(Customer[[#This Row],[Customer ID]],[1]!Address[ID],[1]!Address[PIC])</f>
        <v>FIRDAUS</v>
      </c>
      <c r="E2269" s="11" t="str">
        <f>_xlfn.XLOOKUP(Customer[[#This Row],[Customer ID]],[1]!Address[ID],[1]!Address[Full Address])</f>
        <v>NO 12, JALAN SAUJANA 2/9, TAMAN DESASAUJANA, SG MERAB 43000 KAJANG,SELANGOR</v>
      </c>
      <c r="F2269" s="12" t="s">
        <v>14108</v>
      </c>
      <c r="G2269" s="12" t="s">
        <v>14109</v>
      </c>
      <c r="H2269" s="12" t="s">
        <v>6089</v>
      </c>
      <c r="I2269" s="12" t="b">
        <f>ISNUMBER(VALUE(LEFT(Customer[[#This Row],[Address Line 3 (30 char)]],1)))</f>
        <v>0</v>
      </c>
      <c r="J2269" s="12" t="s">
        <v>172</v>
      </c>
      <c r="K2269" s="12">
        <v>43000</v>
      </c>
      <c r="L2269" s="12" t="s">
        <v>35</v>
      </c>
      <c r="M2269" s="13" t="e">
        <v>#N/A</v>
      </c>
      <c r="N2269" s="14" t="e">
        <v>#N/A</v>
      </c>
      <c r="O2269" s="14" t="e">
        <v>#N/A</v>
      </c>
      <c r="P2269" s="14" t="e">
        <v>#N/A</v>
      </c>
      <c r="Q2269" s="19" t="s">
        <v>14110</v>
      </c>
      <c r="R2269" s="15" t="s">
        <v>14111</v>
      </c>
      <c r="S2269" s="15" t="s">
        <v>4271</v>
      </c>
      <c r="T2269" s="16" t="s">
        <v>89</v>
      </c>
      <c r="U2269" s="11" t="str">
        <f>_xlfn.XLOOKUP(Customer[[#This Row],[Customer ID]],[1]!Address[ID],[1]!Address[Phone No.(2)])</f>
        <v/>
      </c>
      <c r="V2269" s="11" t="str">
        <f>_xlfn.XLOOKUP(Customer[[#This Row],[Customer ID]],[1]!Address[ID],[1]!Address[Type])</f>
        <v>SOCMED</v>
      </c>
      <c r="W2269" s="11" t="str">
        <f>_xlfn.XLOOKUP(Customer[[#This Row],[Customer ID]],[1]!Address[ID],[1]!Address[CT])</f>
        <v/>
      </c>
      <c r="X2269" s="11"/>
      <c r="Y2269" s="17" t="s">
        <v>90</v>
      </c>
      <c r="Z2269" s="17" t="e">
        <f>_xlfn.XLOOKUP(Customer[[#This Row],[NewType]],$AF$36:$AF$54,$AG$36:$AG$54)</f>
        <v>#N/A</v>
      </c>
      <c r="AA2269" s="17" t="s">
        <v>14112</v>
      </c>
      <c r="AB2269" s="11" t="str">
        <f>_xlfn.XLOOKUP(Customer[[#This Row],[Customer ID]],[1]!Address[ID],[1]!Address[Subtype])</f>
        <v>WHATSAPP</v>
      </c>
      <c r="AC2269" s="18" t="str">
        <f>_xlfn.XLOOKUP(Customer[[#This Row],[Customer ID]],[1]!Address[ID],[1]!Address[Zone])</f>
        <v>CENTRAL</v>
      </c>
    </row>
    <row r="2270" spans="1:30" x14ac:dyDescent="0.3">
      <c r="A2270" s="10" t="s">
        <v>14113</v>
      </c>
      <c r="B2270" s="11" t="str">
        <f>_xlfn.XLOOKUP(Customer[[#This Row],[Customer ID]],[1]!Name[ID],[1]!Name[Description(1)])</f>
        <v>NOR JUNA BINTI MD ISA</v>
      </c>
      <c r="C2270" s="11" t="str">
        <f>_xlfn.XLOOKUP(Customer[[#This Row],[Customer ID]],[1]!Name[ID],[1]!Name[Description(2)])</f>
        <v/>
      </c>
      <c r="D2270" s="11" t="str">
        <f>_xlfn.XLOOKUP(Customer[[#This Row],[Customer ID]],[1]!Address[ID],[1]!Address[PIC])</f>
        <v/>
      </c>
      <c r="E2270" s="11" t="str">
        <f>_xlfn.XLOOKUP(Customer[[#This Row],[Customer ID]],[1]!Address[ID],[1]!Address[Full Address])</f>
        <v>LOT 441, JLN DPP 1/3 A1,TAMAN DESA PERMAI PEDAS,71400 PEDAS,NSDK</v>
      </c>
      <c r="F2270" s="12" t="s">
        <v>14114</v>
      </c>
      <c r="G2270" s="12" t="s">
        <v>14115</v>
      </c>
      <c r="H2270" s="24" t="s">
        <v>8914</v>
      </c>
      <c r="I2270" s="24" t="b">
        <f>ISNUMBER(VALUE(LEFT(Customer[[#This Row],[Address Line 3 (30 char)]],1)))</f>
        <v>0</v>
      </c>
      <c r="J2270" s="12" t="s">
        <v>2004</v>
      </c>
      <c r="K2270" s="12">
        <v>71400</v>
      </c>
      <c r="L2270" s="12" t="s">
        <v>35</v>
      </c>
      <c r="M2270" s="13" t="e">
        <v>#N/A</v>
      </c>
      <c r="N2270" s="14" t="e">
        <v>#N/A</v>
      </c>
      <c r="O2270" s="14" t="e">
        <v>#N/A</v>
      </c>
      <c r="P2270" s="14" t="e">
        <v>#N/A</v>
      </c>
      <c r="Q2270" s="19" t="s">
        <v>14116</v>
      </c>
      <c r="R2270" s="15" t="s">
        <v>14117</v>
      </c>
      <c r="S2270" s="16" t="s">
        <v>89</v>
      </c>
      <c r="T2270" s="16" t="s">
        <v>89</v>
      </c>
      <c r="U2270" s="11" t="str">
        <f>_xlfn.XLOOKUP(Customer[[#This Row],[Customer ID]],[1]!Address[ID],[1]!Address[Phone No.(2)])</f>
        <v/>
      </c>
      <c r="V2270" s="11" t="str">
        <f>_xlfn.XLOOKUP(Customer[[#This Row],[Customer ID]],[1]!Address[ID],[1]!Address[Type])</f>
        <v>WALK IN</v>
      </c>
      <c r="W2270" s="11" t="str">
        <f>_xlfn.XLOOKUP(Customer[[#This Row],[Customer ID]],[1]!Address[ID],[1]!Address[CT])</f>
        <v/>
      </c>
      <c r="X2270" s="11"/>
      <c r="Y2270" s="17" t="s">
        <v>6284</v>
      </c>
      <c r="Z2270" s="17" t="e">
        <f>_xlfn.XLOOKUP(Customer[[#This Row],[NewType]],$AF$36:$AF$54,$AG$36:$AG$54)</f>
        <v>#N/A</v>
      </c>
      <c r="AA2270" s="17" t="s">
        <v>14118</v>
      </c>
      <c r="AB2270" s="11" t="str">
        <f>_xlfn.XLOOKUP(Customer[[#This Row],[Customer ID]],[1]!Address[ID],[1]!Address[Subtype])</f>
        <v>PEDAS</v>
      </c>
      <c r="AC2270" s="18" t="str">
        <f>_xlfn.XLOOKUP(Customer[[#This Row],[Customer ID]],[1]!Address[ID],[1]!Address[Zone])</f>
        <v>SOUTH</v>
      </c>
    </row>
    <row r="2271" spans="1:30" x14ac:dyDescent="0.3">
      <c r="A2271" s="72" t="s">
        <v>14119</v>
      </c>
      <c r="B2271" s="49" t="str">
        <f>_xlfn.XLOOKUP(Customer[[#This Row],[Customer ID]],[1]!Name[ID],[1]!Name[Description(1)])</f>
        <v>MAYANG JAYA RESOURCES</v>
      </c>
      <c r="C2271" s="68" t="str">
        <f>_xlfn.XLOOKUP(Customer[[#This Row],[Customer ID]],[1]!Name[ID],[1]!Name[Description(2)])</f>
        <v/>
      </c>
      <c r="D2271" s="68" t="str">
        <f>_xlfn.XLOOKUP(Customer[[#This Row],[Customer ID]],[1]!Address[ID],[1]!Address[PIC])</f>
        <v/>
      </c>
      <c r="E2271" s="11" t="str">
        <f>_xlfn.XLOOKUP(Customer[[#This Row],[Customer ID]],[1]!Address[ID],[1]!Address[Full Address])</f>
        <v>TINGKAT 6, BANGUNAN MCEDEDC PERSIARAN PERBANDARANSEKSYEN 14, 40000SHAH ALAM, SELANGOR</v>
      </c>
      <c r="F2271" s="63" t="s">
        <v>14120</v>
      </c>
      <c r="G2271" s="63" t="s">
        <v>14121</v>
      </c>
      <c r="H2271" s="63" t="s">
        <v>14122</v>
      </c>
      <c r="I2271" s="63" t="b">
        <f>ISNUMBER(VALUE(LEFT(Customer[[#This Row],[Address Line 3 (30 char)]],1)))</f>
        <v>0</v>
      </c>
      <c r="J2271" s="63" t="s">
        <v>172</v>
      </c>
      <c r="K2271" s="63">
        <v>40000</v>
      </c>
      <c r="L2271" s="63" t="s">
        <v>35</v>
      </c>
      <c r="M2271" s="65" t="e">
        <v>#N/A</v>
      </c>
      <c r="N2271" s="66" t="e">
        <v>#N/A</v>
      </c>
      <c r="O2271" s="66" t="e">
        <v>#N/A</v>
      </c>
      <c r="P2271" s="66" t="e">
        <v>#N/A</v>
      </c>
      <c r="Q2271" s="66" t="e">
        <v>#N/A</v>
      </c>
      <c r="R2271" s="67" t="s">
        <v>14123</v>
      </c>
      <c r="S2271" s="51" t="s">
        <v>5934</v>
      </c>
      <c r="T2271" s="16" t="s">
        <v>3477</v>
      </c>
      <c r="U2271" s="68" t="str">
        <f>_xlfn.XLOOKUP(Customer[[#This Row],[Customer ID]],[1]!Address[ID],[1]!Address[Phone No.(2)])</f>
        <v/>
      </c>
      <c r="V2271" s="68" t="str">
        <f>_xlfn.XLOOKUP(Customer[[#This Row],[Customer ID]],[1]!Address[ID],[1]!Address[Type])</f>
        <v>SOCMED</v>
      </c>
      <c r="W2271" s="68" t="str">
        <f>_xlfn.XLOOKUP(Customer[[#This Row],[Customer ID]],[1]!Address[ID],[1]!Address[CT])</f>
        <v>CASH</v>
      </c>
      <c r="X2271" s="68"/>
      <c r="Y2271" s="69" t="s">
        <v>90</v>
      </c>
      <c r="Z2271" s="69" t="e">
        <f>_xlfn.XLOOKUP(Customer[[#This Row],[NewType]],$AF$36:$AF$54,$AG$36:$AG$54)</f>
        <v>#N/A</v>
      </c>
      <c r="AA2271" s="69" t="s">
        <v>14124</v>
      </c>
      <c r="AB2271" s="68" t="str">
        <f>_xlfn.XLOOKUP(Customer[[#This Row],[Customer ID]],[1]!Address[ID],[1]!Address[Subtype])</f>
        <v>WHATSAPP</v>
      </c>
      <c r="AC2271" s="70" t="str">
        <f>_xlfn.XLOOKUP(Customer[[#This Row],[Customer ID]],[1]!Address[ID],[1]!Address[Zone])</f>
        <v>CENTRAL</v>
      </c>
      <c r="AD2271" s="71"/>
    </row>
    <row r="2272" spans="1:30" x14ac:dyDescent="0.3">
      <c r="A2272" s="10" t="s">
        <v>14125</v>
      </c>
      <c r="B2272" s="11" t="str">
        <f>_xlfn.XLOOKUP(Customer[[#This Row],[Customer ID]],[1]!Name[ID],[1]!Name[Description(1)])</f>
        <v>WAN MUHAMMAD ARIF BIN WAN SABRI</v>
      </c>
      <c r="C2272" s="32" t="str">
        <f>_xlfn.XLOOKUP(Customer[[#This Row],[Customer ID]],[1]!Name[ID],[1]!Name[Description(2)])</f>
        <v/>
      </c>
      <c r="D2272" s="11" t="str">
        <f>_xlfn.XLOOKUP(Customer[[#This Row],[Customer ID]],[1]!Address[ID],[1]!Address[PIC])</f>
        <v>ARIF</v>
      </c>
      <c r="E2272" s="11" t="str">
        <f>_xlfn.XLOOKUP(Customer[[#This Row],[Customer ID]],[1]!Address[ID],[1]!Address[Full Address])</f>
        <v>NO.17, JLN 5D/2, SEKSYEN 5,BANDAR BARU BANGI, SELANGOR</v>
      </c>
      <c r="F2272" s="12" t="s">
        <v>14126</v>
      </c>
      <c r="G2272" s="12" t="s">
        <v>4431</v>
      </c>
      <c r="H2272" s="12" t="s">
        <v>36</v>
      </c>
      <c r="I2272" s="12" t="b">
        <f>ISNUMBER(VALUE(LEFT(Customer[[#This Row],[Address Line 3 (30 char)]],1)))</f>
        <v>0</v>
      </c>
      <c r="J2272" s="32" t="s">
        <v>172</v>
      </c>
      <c r="K2272" s="32"/>
      <c r="L2272" s="12" t="s">
        <v>35</v>
      </c>
      <c r="M2272" s="13" t="e">
        <v>#N/A</v>
      </c>
      <c r="N2272" s="14" t="e">
        <v>#N/A</v>
      </c>
      <c r="O2272" s="14" t="e">
        <v>#N/A</v>
      </c>
      <c r="P2272" s="14" t="e">
        <v>#N/A</v>
      </c>
      <c r="Q2272" s="19" t="s">
        <v>14127</v>
      </c>
      <c r="R2272" s="15" t="s">
        <v>14128</v>
      </c>
      <c r="S2272" s="15" t="s">
        <v>4271</v>
      </c>
      <c r="T2272" s="16" t="s">
        <v>89</v>
      </c>
      <c r="U2272" s="11" t="str">
        <f>_xlfn.XLOOKUP(Customer[[#This Row],[Customer ID]],[1]!Address[ID],[1]!Address[Phone No.(2)])</f>
        <v/>
      </c>
      <c r="V2272" s="11" t="str">
        <f>_xlfn.XLOOKUP(Customer[[#This Row],[Customer ID]],[1]!Address[ID],[1]!Address[Type])</f>
        <v>SOCMED</v>
      </c>
      <c r="W2272" s="11" t="str">
        <f>_xlfn.XLOOKUP(Customer[[#This Row],[Customer ID]],[1]!Address[ID],[1]!Address[CT])</f>
        <v/>
      </c>
      <c r="X2272" s="11"/>
      <c r="Y2272" s="17" t="s">
        <v>90</v>
      </c>
      <c r="Z2272" s="17" t="e">
        <f>_xlfn.XLOOKUP(Customer[[#This Row],[NewType]],$AF$36:$AF$54,$AG$36:$AG$54)</f>
        <v>#N/A</v>
      </c>
      <c r="AA2272" s="17" t="s">
        <v>14129</v>
      </c>
      <c r="AB2272" s="11" t="str">
        <f>_xlfn.XLOOKUP(Customer[[#This Row],[Customer ID]],[1]!Address[ID],[1]!Address[Subtype])</f>
        <v>WHATSAPP</v>
      </c>
      <c r="AC2272" s="18" t="str">
        <f>_xlfn.XLOOKUP(Customer[[#This Row],[Customer ID]],[1]!Address[ID],[1]!Address[Zone])</f>
        <v>CENTRAL</v>
      </c>
    </row>
    <row r="2273" spans="1:30" x14ac:dyDescent="0.3">
      <c r="A2273" s="10" t="s">
        <v>14130</v>
      </c>
      <c r="B2273" s="11" t="str">
        <f>_xlfn.XLOOKUP(Customer[[#This Row],[Customer ID]],[1]!Name[ID],[1]!Name[Description(1)])</f>
        <v>RABAATUN BT ZAMIN</v>
      </c>
      <c r="C2273" s="11" t="str">
        <f>_xlfn.XLOOKUP(Customer[[#This Row],[Customer ID]],[1]!Name[ID],[1]!Name[Description(2)])</f>
        <v/>
      </c>
      <c r="D2273" s="11" t="str">
        <f>_xlfn.XLOOKUP(Customer[[#This Row],[Customer ID]],[1]!Address[ID],[1]!Address[PIC])</f>
        <v>RABAATUN</v>
      </c>
      <c r="E2273" s="11" t="str">
        <f>_xlfn.XLOOKUP(Customer[[#This Row],[Customer ID]],[1]!Address[ID],[1]!Address[Full Address])</f>
        <v>3A, BANGUNAN BAKTI SITI HASMAH,NO 6 CHANGKAT ABANG HJ OPENG, TAMANTUN DR ISMAIL, 60000 KUALA LUMPUR</v>
      </c>
      <c r="F2273" s="12" t="s">
        <v>14131</v>
      </c>
      <c r="G2273" s="12" t="s">
        <v>14132</v>
      </c>
      <c r="H2273" s="12" t="s">
        <v>14133</v>
      </c>
      <c r="I2273" s="12" t="b">
        <f>ISNUMBER(VALUE(LEFT(Customer[[#This Row],[Address Line 3 (30 char)]],1)))</f>
        <v>0</v>
      </c>
      <c r="J2273" s="12" t="s">
        <v>34</v>
      </c>
      <c r="K2273" s="12">
        <v>60000</v>
      </c>
      <c r="L2273" s="12" t="s">
        <v>35</v>
      </c>
      <c r="M2273" s="13" t="e">
        <v>#N/A</v>
      </c>
      <c r="N2273" s="14" t="e">
        <v>#N/A</v>
      </c>
      <c r="O2273" s="14" t="e">
        <v>#N/A</v>
      </c>
      <c r="P2273" s="14" t="e">
        <v>#N/A</v>
      </c>
      <c r="Q2273" s="19" t="s">
        <v>14134</v>
      </c>
      <c r="R2273" s="15" t="s">
        <v>12349</v>
      </c>
      <c r="S2273" s="15" t="s">
        <v>89</v>
      </c>
      <c r="T2273" s="16" t="s">
        <v>89</v>
      </c>
      <c r="U2273" s="11" t="str">
        <f>_xlfn.XLOOKUP(Customer[[#This Row],[Customer ID]],[1]!Address[ID],[1]!Address[Phone No.(2)])</f>
        <v/>
      </c>
      <c r="V2273" s="11" t="str">
        <f>_xlfn.XLOOKUP(Customer[[#This Row],[Customer ID]],[1]!Address[ID],[1]!Address[Type])</f>
        <v>SOCMED</v>
      </c>
      <c r="W2273" s="11" t="str">
        <f>_xlfn.XLOOKUP(Customer[[#This Row],[Customer ID]],[1]!Address[ID],[1]!Address[CT])</f>
        <v/>
      </c>
      <c r="X2273" s="11"/>
      <c r="Y2273" s="17" t="s">
        <v>90</v>
      </c>
      <c r="Z2273" s="17" t="e">
        <f>_xlfn.XLOOKUP(Customer[[#This Row],[NewType]],$AF$36:$AF$54,$AG$36:$AG$54)</f>
        <v>#N/A</v>
      </c>
      <c r="AA2273" s="17" t="s">
        <v>14135</v>
      </c>
      <c r="AB2273" s="11" t="str">
        <f>_xlfn.XLOOKUP(Customer[[#This Row],[Customer ID]],[1]!Address[ID],[1]!Address[Subtype])</f>
        <v>WHATSAPP</v>
      </c>
      <c r="AC2273" s="18" t="str">
        <f>_xlfn.XLOOKUP(Customer[[#This Row],[Customer ID]],[1]!Address[ID],[1]!Address[Zone])</f>
        <v>CENTRAL</v>
      </c>
    </row>
    <row r="2274" spans="1:30" x14ac:dyDescent="0.3">
      <c r="A2274" s="45" t="s">
        <v>14136</v>
      </c>
      <c r="B2274" s="32" t="str">
        <f>_xlfn.XLOOKUP(Customer[[#This Row],[Customer ID]],[1]!Name[ID],[1]!Name[Description(1)])</f>
        <v>MOHD FAIZAL BIN MOHAD TAUFIX</v>
      </c>
      <c r="C2274" s="32" t="str">
        <f>_xlfn.XLOOKUP(Customer[[#This Row],[Customer ID]],[1]!Name[ID],[1]!Name[Description(2)])</f>
        <v/>
      </c>
      <c r="D2274" s="11" t="str">
        <f>_xlfn.XLOOKUP(Customer[[#This Row],[Customer ID]],[1]!Address[ID],[1]!Address[PIC])</f>
        <v/>
      </c>
      <c r="E2274" s="11" t="str">
        <f>_xlfn.XLOOKUP(Customer[[#This Row],[Customer ID]],[1]!Address[ID],[1]!Address[Full Address])</f>
        <v>KG ULU LALANG</v>
      </c>
      <c r="F2274" s="12" t="s">
        <v>14137</v>
      </c>
      <c r="G2274" s="12" t="s">
        <v>36</v>
      </c>
      <c r="H2274" s="12" t="s">
        <v>36</v>
      </c>
      <c r="I2274" s="12" t="b">
        <f>ISNUMBER(VALUE(LEFT(Customer[[#This Row],[Address Line 3 (30 char)]],1)))</f>
        <v>0</v>
      </c>
      <c r="J2274" s="32" t="s">
        <v>203</v>
      </c>
      <c r="K2274" s="32"/>
      <c r="L2274" s="12" t="s">
        <v>35</v>
      </c>
      <c r="M2274" s="13" t="e">
        <v>#N/A</v>
      </c>
      <c r="N2274" s="14" t="e">
        <v>#N/A</v>
      </c>
      <c r="O2274" s="14" t="e">
        <v>#N/A</v>
      </c>
      <c r="P2274" s="14" t="e">
        <v>#N/A</v>
      </c>
      <c r="Q2274" s="19" t="s">
        <v>14138</v>
      </c>
      <c r="R2274" s="15" t="s">
        <v>14139</v>
      </c>
      <c r="S2274" s="16" t="s">
        <v>89</v>
      </c>
      <c r="T2274" s="16" t="s">
        <v>89</v>
      </c>
      <c r="U2274" s="11" t="str">
        <f>_xlfn.XLOOKUP(Customer[[#This Row],[Customer ID]],[1]!Address[ID],[1]!Address[Phone No.(2)])</f>
        <v/>
      </c>
      <c r="V2274" s="11" t="str">
        <f>_xlfn.XLOOKUP(Customer[[#This Row],[Customer ID]],[1]!Address[ID],[1]!Address[Type])</f>
        <v>WALK IN</v>
      </c>
      <c r="W2274" s="11" t="str">
        <f>_xlfn.XLOOKUP(Customer[[#This Row],[Customer ID]],[1]!Address[ID],[1]!Address[CT])</f>
        <v/>
      </c>
      <c r="X2274" s="11"/>
      <c r="Y2274" s="17" t="s">
        <v>6284</v>
      </c>
      <c r="Z2274" s="17" t="e">
        <f>_xlfn.XLOOKUP(Customer[[#This Row],[NewType]],$AF$36:$AF$54,$AG$36:$AG$54)</f>
        <v>#N/A</v>
      </c>
      <c r="AA2274" s="17" t="s">
        <v>14140</v>
      </c>
      <c r="AB2274" s="11" t="str">
        <f>_xlfn.XLOOKUP(Customer[[#This Row],[Customer ID]],[1]!Address[ID],[1]!Address[Subtype])</f>
        <v>STAFF</v>
      </c>
      <c r="AC2274" s="18" t="str">
        <f>_xlfn.XLOOKUP(Customer[[#This Row],[Customer ID]],[1]!Address[ID],[1]!Address[Zone])</f>
        <v>SOUTH</v>
      </c>
    </row>
    <row r="2275" spans="1:30" x14ac:dyDescent="0.3">
      <c r="A2275" s="10" t="s">
        <v>14141</v>
      </c>
      <c r="B2275" s="11" t="str">
        <f>_xlfn.XLOOKUP(Customer[[#This Row],[Customer ID]],[1]!Name[ID],[1]!Name[Description(1)])</f>
        <v>ARIF FAIZ BIN ZAINUDIN</v>
      </c>
      <c r="C2275" s="11" t="str">
        <f>_xlfn.XLOOKUP(Customer[[#This Row],[Customer ID]],[1]!Name[ID],[1]!Name[Description(2)])</f>
        <v/>
      </c>
      <c r="D2275" s="11" t="str">
        <f>_xlfn.XLOOKUP(Customer[[#This Row],[Customer ID]],[1]!Address[ID],[1]!Address[PIC])</f>
        <v>ARIF FAIZ</v>
      </c>
      <c r="E2275" s="11" t="str">
        <f>_xlfn.XLOOKUP(Customer[[#This Row],[Customer ID]],[1]!Address[ID],[1]!Address[Full Address])</f>
        <v>30-1, JALAN KF 1, KOTA FESYEN MITC,HANG TUAH JAYA, 75450 MELAKA.</v>
      </c>
      <c r="F2275" s="12" t="s">
        <v>14142</v>
      </c>
      <c r="G2275" s="12" t="s">
        <v>14143</v>
      </c>
      <c r="H2275" s="12" t="s">
        <v>14144</v>
      </c>
      <c r="I2275" s="12" t="b">
        <f>ISNUMBER(VALUE(LEFT(Customer[[#This Row],[Address Line 3 (30 char)]],1)))</f>
        <v>0</v>
      </c>
      <c r="J2275" s="12" t="s">
        <v>61</v>
      </c>
      <c r="K2275" s="12">
        <v>75450</v>
      </c>
      <c r="L2275" s="12" t="s">
        <v>35</v>
      </c>
      <c r="M2275" s="13" t="e">
        <v>#N/A</v>
      </c>
      <c r="N2275" s="14" t="e">
        <v>#N/A</v>
      </c>
      <c r="O2275" s="14" t="e">
        <v>#N/A</v>
      </c>
      <c r="P2275" s="14" t="e">
        <v>#N/A</v>
      </c>
      <c r="Q2275" s="19" t="s">
        <v>14145</v>
      </c>
      <c r="R2275" s="15" t="s">
        <v>14146</v>
      </c>
      <c r="S2275" s="16" t="s">
        <v>89</v>
      </c>
      <c r="T2275" s="16" t="s">
        <v>89</v>
      </c>
      <c r="U2275" s="11" t="str">
        <f>_xlfn.XLOOKUP(Customer[[#This Row],[Customer ID]],[1]!Address[ID],[1]!Address[Phone No.(2)])</f>
        <v/>
      </c>
      <c r="V2275" s="11" t="str">
        <f>_xlfn.XLOOKUP(Customer[[#This Row],[Customer ID]],[1]!Address[ID],[1]!Address[Type])</f>
        <v>WALK IN</v>
      </c>
      <c r="W2275" s="11" t="str">
        <f>_xlfn.XLOOKUP(Customer[[#This Row],[Customer ID]],[1]!Address[ID],[1]!Address[CT])</f>
        <v/>
      </c>
      <c r="X2275" s="11"/>
      <c r="Y2275" s="17" t="s">
        <v>6284</v>
      </c>
      <c r="Z2275" s="17" t="e">
        <f>_xlfn.XLOOKUP(Customer[[#This Row],[NewType]],$AF$36:$AF$54,$AG$36:$AG$54)</f>
        <v>#N/A</v>
      </c>
      <c r="AA2275" s="17" t="s">
        <v>14147</v>
      </c>
      <c r="AB2275" s="11" t="str">
        <f>_xlfn.XLOOKUP(Customer[[#This Row],[Customer ID]],[1]!Address[ID],[1]!Address[Subtype])</f>
        <v>PEDAS</v>
      </c>
      <c r="AC2275" s="18" t="str">
        <f>_xlfn.XLOOKUP(Customer[[#This Row],[Customer ID]],[1]!Address[ID],[1]!Address[Zone])</f>
        <v>SOUTH</v>
      </c>
    </row>
    <row r="2276" spans="1:30" x14ac:dyDescent="0.3">
      <c r="A2276" s="10" t="s">
        <v>14148</v>
      </c>
      <c r="B2276" s="11" t="str">
        <f>_xlfn.XLOOKUP(Customer[[#This Row],[Customer ID]],[1]!Name[ID],[1]!Name[Description(1)])</f>
        <v>MUHAMMAD HAFIZZUDIN AFIQ BIN YAHYA</v>
      </c>
      <c r="C2276" s="11" t="str">
        <f>_xlfn.XLOOKUP(Customer[[#This Row],[Customer ID]],[1]!Name[ID],[1]!Name[Description(2)])</f>
        <v>(WAREHOUSE RANTAU)</v>
      </c>
      <c r="D2276" s="11" t="str">
        <f>_xlfn.XLOOKUP(Customer[[#This Row],[Customer ID]],[1]!Address[ID],[1]!Address[PIC])</f>
        <v/>
      </c>
      <c r="E2276" s="11" t="str">
        <f>_xlfn.XLOOKUP(Customer[[#This Row],[Customer ID]],[1]!Address[ID],[1]!Address[Full Address])</f>
        <v>LOT 511 KAMPUNG PASIR TENGAHBATU 12 1/2 JALAN SILIAU71200 RANTAU NEGERI SEMBILAN</v>
      </c>
      <c r="F2276" s="12" t="s">
        <v>14149</v>
      </c>
      <c r="G2276" s="12" t="s">
        <v>14150</v>
      </c>
      <c r="H2276" s="24" t="s">
        <v>6428</v>
      </c>
      <c r="I2276" s="24" t="b">
        <f>ISNUMBER(VALUE(LEFT(Customer[[#This Row],[Address Line 3 (30 char)]],1)))</f>
        <v>0</v>
      </c>
      <c r="J2276" s="12" t="s">
        <v>2004</v>
      </c>
      <c r="K2276" s="12">
        <v>71200</v>
      </c>
      <c r="L2276" s="12" t="s">
        <v>35</v>
      </c>
      <c r="M2276" s="13" t="e">
        <v>#N/A</v>
      </c>
      <c r="N2276" s="14" t="e">
        <v>#N/A</v>
      </c>
      <c r="O2276" s="14" t="e">
        <v>#N/A</v>
      </c>
      <c r="P2276" s="14" t="e">
        <v>#N/A</v>
      </c>
      <c r="Q2276" s="19" t="s">
        <v>12035</v>
      </c>
      <c r="R2276" s="15" t="s">
        <v>12036</v>
      </c>
      <c r="S2276" s="16" t="s">
        <v>89</v>
      </c>
      <c r="T2276" s="16" t="s">
        <v>89</v>
      </c>
      <c r="U2276" s="11" t="str">
        <f>_xlfn.XLOOKUP(Customer[[#This Row],[Customer ID]],[1]!Address[ID],[1]!Address[Phone No.(2)])</f>
        <v/>
      </c>
      <c r="V2276" s="11" t="str">
        <f>_xlfn.XLOOKUP(Customer[[#This Row],[Customer ID]],[1]!Address[ID],[1]!Address[Type])</f>
        <v>WALK IN</v>
      </c>
      <c r="W2276" s="11" t="str">
        <f>_xlfn.XLOOKUP(Customer[[#This Row],[Customer ID]],[1]!Address[ID],[1]!Address[CT])</f>
        <v/>
      </c>
      <c r="X2276" s="11"/>
      <c r="Y2276" s="17" t="s">
        <v>6284</v>
      </c>
      <c r="Z2276" s="17" t="e">
        <f>_xlfn.XLOOKUP(Customer[[#This Row],[NewType]],$AF$36:$AF$54,$AG$36:$AG$54)</f>
        <v>#N/A</v>
      </c>
      <c r="AA2276" s="17" t="s">
        <v>14151</v>
      </c>
      <c r="AB2276" s="11" t="str">
        <f>_xlfn.XLOOKUP(Customer[[#This Row],[Customer ID]],[1]!Address[ID],[1]!Address[Subtype])</f>
        <v>STAFF</v>
      </c>
      <c r="AC2276" s="18" t="str">
        <f>_xlfn.XLOOKUP(Customer[[#This Row],[Customer ID]],[1]!Address[ID],[1]!Address[Zone])</f>
        <v>SOUTH</v>
      </c>
    </row>
    <row r="2277" spans="1:30" x14ac:dyDescent="0.3">
      <c r="A2277" s="10" t="s">
        <v>14152</v>
      </c>
      <c r="B2277" s="11" t="str">
        <f>_xlfn.XLOOKUP(Customer[[#This Row],[Customer ID]],[1]!Name[ID],[1]!Name[Description(1)])</f>
        <v>KOPERASI KELUARGA TOK NOR MEKONG JUSOH</v>
      </c>
      <c r="C2277" s="11" t="str">
        <f>_xlfn.XLOOKUP(Customer[[#This Row],[Customer ID]],[1]!Name[ID],[1]!Name[Description(2)])</f>
        <v>PS SUNGAI MAS MACHANG</v>
      </c>
      <c r="D2277" s="11" t="str">
        <f>_xlfn.XLOOKUP(Customer[[#This Row],[Customer ID]],[1]!Address[ID],[1]!Address[PIC])</f>
        <v/>
      </c>
      <c r="E2277" s="11" t="str">
        <f>_xlfn.XLOOKUP(Customer[[#This Row],[Customer ID]],[1]!Address[ID],[1]!Address[Full Address])</f>
        <v>PS SUNGAI MAS MACHANGLot 14670, Kampung Sungai Mas,18500 Machang, Kelantan</v>
      </c>
      <c r="F2277" s="12" t="s">
        <v>14153</v>
      </c>
      <c r="G2277" s="12" t="s">
        <v>14154</v>
      </c>
      <c r="H2277" s="24" t="s">
        <v>14155</v>
      </c>
      <c r="I2277" s="24" t="b">
        <f>ISNUMBER(VALUE(LEFT(Customer[[#This Row],[Address Line 3 (30 char)]],1)))</f>
        <v>0</v>
      </c>
      <c r="J2277" s="12" t="s">
        <v>1007</v>
      </c>
      <c r="K2277" s="12">
        <v>18500</v>
      </c>
      <c r="L2277" s="12" t="s">
        <v>35</v>
      </c>
      <c r="M2277" s="13" t="e">
        <v>#N/A</v>
      </c>
      <c r="N2277" s="14" t="e">
        <v>#N/A</v>
      </c>
      <c r="O2277" s="14" t="e">
        <v>#N/A</v>
      </c>
      <c r="P2277" s="14" t="e">
        <v>#N/A</v>
      </c>
      <c r="Q2277" s="19" t="s">
        <v>14156</v>
      </c>
      <c r="R2277" s="15" t="s">
        <v>14157</v>
      </c>
      <c r="S2277" s="15" t="s">
        <v>37</v>
      </c>
      <c r="T2277" s="16" t="s">
        <v>38</v>
      </c>
      <c r="U2277" s="11" t="str">
        <f>_xlfn.XLOOKUP(Customer[[#This Row],[Customer ID]],[1]!Address[ID],[1]!Address[Phone No.(2)])</f>
        <v/>
      </c>
      <c r="V2277" s="11" t="str">
        <f>_xlfn.XLOOKUP(Customer[[#This Row],[Customer ID]],[1]!Address[ID],[1]!Address[Type])</f>
        <v>PETROMART</v>
      </c>
      <c r="W2277" s="11" t="str">
        <f>_xlfn.XLOOKUP(Customer[[#This Row],[Customer ID]],[1]!Address[ID],[1]!Address[CT])</f>
        <v>30</v>
      </c>
      <c r="X2277" s="11" t="s">
        <v>39</v>
      </c>
      <c r="Y2277" s="17" t="s">
        <v>40</v>
      </c>
      <c r="Z2277" s="17" t="e">
        <f>_xlfn.XLOOKUP(Customer[[#This Row],[NewType]],$AF$36:$AF$54,$AG$36:$AG$54)</f>
        <v>#N/A</v>
      </c>
      <c r="AA2277" s="17" t="s">
        <v>14158</v>
      </c>
      <c r="AB2277" s="11" t="str">
        <f>_xlfn.XLOOKUP(Customer[[#This Row],[Customer ID]],[1]!Address[ID],[1]!Address[Subtype])</f>
        <v>PETRONAS</v>
      </c>
      <c r="AC2277" s="18" t="str">
        <f>_xlfn.XLOOKUP(Customer[[#This Row],[Customer ID]],[1]!Address[ID],[1]!Address[Zone])</f>
        <v>EAST COAST</v>
      </c>
    </row>
    <row r="2278" spans="1:30" x14ac:dyDescent="0.3">
      <c r="A2278" s="10" t="s">
        <v>14159</v>
      </c>
      <c r="B2278" s="11" t="str">
        <f>_xlfn.XLOOKUP(Customer[[#This Row],[Customer ID]],[1]!Name[ID],[1]!Name[Description(1)])</f>
        <v>MOHD ALI HAFIZ SALLEH</v>
      </c>
      <c r="C2278" s="11" t="str">
        <f>_xlfn.XLOOKUP(Customer[[#This Row],[Customer ID]],[1]!Name[ID],[1]!Name[Description(2)])</f>
        <v>(BD)</v>
      </c>
      <c r="D2278" s="11" t="str">
        <f>_xlfn.XLOOKUP(Customer[[#This Row],[Customer ID]],[1]!Address[ID],[1]!Address[PIC])</f>
        <v>HAFIZ</v>
      </c>
      <c r="E2278" s="11" t="str">
        <f>_xlfn.XLOOKUP(Customer[[#This Row],[Customer ID]],[1]!Address[ID],[1]!Address[Full Address])</f>
        <v>NO 4 JALAN JED SHAH ALAM 40000SELANGOR</v>
      </c>
      <c r="F2278" s="12" t="s">
        <v>14160</v>
      </c>
      <c r="G2278" s="12"/>
      <c r="H2278" s="12" t="s">
        <v>36</v>
      </c>
      <c r="I2278" s="12" t="b">
        <f>ISNUMBER(VALUE(LEFT(Customer[[#This Row],[Address Line 3 (30 char)]],1)))</f>
        <v>0</v>
      </c>
      <c r="J2278" s="12" t="s">
        <v>172</v>
      </c>
      <c r="K2278" s="12">
        <v>40000</v>
      </c>
      <c r="L2278" s="12" t="s">
        <v>35</v>
      </c>
      <c r="M2278" s="13" t="e">
        <v>#N/A</v>
      </c>
      <c r="N2278" s="14" t="e">
        <v>#N/A</v>
      </c>
      <c r="O2278" s="14" t="e">
        <v>#N/A</v>
      </c>
      <c r="P2278" s="14" t="e">
        <v>#N/A</v>
      </c>
      <c r="Q2278" s="19" t="s">
        <v>14161</v>
      </c>
      <c r="R2278" s="15" t="s">
        <v>14162</v>
      </c>
      <c r="S2278" s="16" t="s">
        <v>89</v>
      </c>
      <c r="T2278" s="16" t="s">
        <v>89</v>
      </c>
      <c r="U2278" s="11" t="str">
        <f>_xlfn.XLOOKUP(Customer[[#This Row],[Customer ID]],[1]!Address[ID],[1]!Address[Phone No.(2)])</f>
        <v/>
      </c>
      <c r="V2278" s="11" t="str">
        <f>_xlfn.XLOOKUP(Customer[[#This Row],[Customer ID]],[1]!Address[ID],[1]!Address[Type])</f>
        <v>WALK IN</v>
      </c>
      <c r="W2278" s="11" t="str">
        <f>_xlfn.XLOOKUP(Customer[[#This Row],[Customer ID]],[1]!Address[ID],[1]!Address[CT])</f>
        <v/>
      </c>
      <c r="X2278" s="11"/>
      <c r="Y2278" s="17" t="s">
        <v>6284</v>
      </c>
      <c r="Z2278" s="17" t="e">
        <f>_xlfn.XLOOKUP(Customer[[#This Row],[NewType]],$AF$36:$AF$54,$AG$36:$AG$54)</f>
        <v>#N/A</v>
      </c>
      <c r="AA2278" s="17" t="s">
        <v>14163</v>
      </c>
      <c r="AB2278" s="11" t="str">
        <f>_xlfn.XLOOKUP(Customer[[#This Row],[Customer ID]],[1]!Address[ID],[1]!Address[Subtype])</f>
        <v>STAFF</v>
      </c>
      <c r="AC2278" s="18" t="str">
        <f>_xlfn.XLOOKUP(Customer[[#This Row],[Customer ID]],[1]!Address[ID],[1]!Address[Zone])</f>
        <v>CENTRAL</v>
      </c>
    </row>
    <row r="2279" spans="1:30" x14ac:dyDescent="0.3">
      <c r="A2279" s="48" t="s">
        <v>14164</v>
      </c>
      <c r="B2279" s="49" t="str">
        <f>_xlfn.XLOOKUP(Customer[[#This Row],[Customer ID]],[1]!Name[ID],[1]!Name[Description(1)])</f>
        <v>MY DELICACIES</v>
      </c>
      <c r="C2279" s="49" t="str">
        <f>_xlfn.XLOOKUP(Customer[[#This Row],[Customer ID]],[1]!Name[ID],[1]!Name[Description(2)])</f>
        <v>SUHAILY HAMZAH</v>
      </c>
      <c r="D2279" s="49" t="str">
        <f>_xlfn.XLOOKUP(Customer[[#This Row],[Customer ID]],[1]!Address[ID],[1]!Address[PIC])</f>
        <v/>
      </c>
      <c r="E2279" s="11" t="str">
        <f>_xlfn.XLOOKUP(Customer[[#This Row],[Customer ID]],[1]!Address[ID],[1]!Address[Full Address])</f>
        <v>LOT NO.01-03,ARAS 1 BUSANA @ MENARA MARA 232,JALAN TAR, 50100 KUALA LUMPUR</v>
      </c>
      <c r="F2279" s="12" t="s">
        <v>14165</v>
      </c>
      <c r="G2279" s="12" t="s">
        <v>14166</v>
      </c>
      <c r="H2279" s="12" t="s">
        <v>14167</v>
      </c>
      <c r="I2279" s="12" t="b">
        <f>ISNUMBER(VALUE(LEFT(Customer[[#This Row],[Address Line 3 (30 char)]],1)))</f>
        <v>0</v>
      </c>
      <c r="J2279" s="12" t="s">
        <v>34</v>
      </c>
      <c r="K2279" s="12">
        <v>50100</v>
      </c>
      <c r="L2279" s="12" t="s">
        <v>35</v>
      </c>
      <c r="M2279" s="13" t="e">
        <v>#N/A</v>
      </c>
      <c r="N2279" s="14" t="e">
        <v>#N/A</v>
      </c>
      <c r="O2279" s="14" t="e">
        <v>#N/A</v>
      </c>
      <c r="P2279" s="14" t="e">
        <v>#N/A</v>
      </c>
      <c r="Q2279" s="19" t="s">
        <v>14168</v>
      </c>
      <c r="R2279" s="51" t="s">
        <v>14169</v>
      </c>
      <c r="S2279" s="51"/>
      <c r="T2279" s="52"/>
      <c r="U2279" s="49" t="str">
        <f>_xlfn.XLOOKUP(Customer[[#This Row],[Customer ID]],[1]!Address[ID],[1]!Address[Phone No.(2)])</f>
        <v/>
      </c>
      <c r="V2279" s="49" t="str">
        <f>_xlfn.XLOOKUP(Customer[[#This Row],[Customer ID]],[1]!Address[ID],[1]!Address[Type])</f>
        <v>SOCMED</v>
      </c>
      <c r="W2279" s="49" t="str">
        <f>_xlfn.XLOOKUP(Customer[[#This Row],[Customer ID]],[1]!Address[ID],[1]!Address[CT])</f>
        <v>CASH</v>
      </c>
      <c r="X2279" s="49"/>
      <c r="Y2279" s="53" t="s">
        <v>90</v>
      </c>
      <c r="Z2279" s="53" t="e">
        <f>_xlfn.XLOOKUP(Customer[[#This Row],[NewType]],$AF$36:$AF$54,$AG$36:$AG$54)</f>
        <v>#N/A</v>
      </c>
      <c r="AA2279" s="53" t="s">
        <v>14170</v>
      </c>
      <c r="AB2279" s="49" t="str">
        <f>_xlfn.XLOOKUP(Customer[[#This Row],[Customer ID]],[1]!Address[ID],[1]!Address[Subtype])</f>
        <v>WHATSAPP</v>
      </c>
      <c r="AC2279" s="54" t="str">
        <f>_xlfn.XLOOKUP(Customer[[#This Row],[Customer ID]],[1]!Address[ID],[1]!Address[Zone])</f>
        <v>CENTRAL</v>
      </c>
      <c r="AD2279" s="55"/>
    </row>
    <row r="2280" spans="1:30" x14ac:dyDescent="0.3">
      <c r="A2280" s="10" t="s">
        <v>14171</v>
      </c>
      <c r="B2280" s="11" t="str">
        <f>_xlfn.XLOOKUP(Customer[[#This Row],[Customer ID]],[1]!Name[ID],[1]!Name[Description(1)])</f>
        <v>MUHAMMAD FIRDAUS HAIKAL BIN ZAMRI</v>
      </c>
      <c r="C2280" s="11" t="str">
        <f>_xlfn.XLOOKUP(Customer[[#This Row],[Customer ID]],[1]!Name[ID],[1]!Name[Description(2)])</f>
        <v/>
      </c>
      <c r="D2280" s="11" t="str">
        <f>_xlfn.XLOOKUP(Customer[[#This Row],[Customer ID]],[1]!Address[ID],[1]!Address[PIC])</f>
        <v/>
      </c>
      <c r="E2280" s="11" t="str">
        <f>_xlfn.XLOOKUP(Customer[[#This Row],[Customer ID]],[1]!Address[ID],[1]!Address[Full Address])</f>
        <v>KAMPUNG SEGA HULU,LORONG BUDI 1 KUALA SAWAH71200 RANTAU NEGERI SEMBILAN</v>
      </c>
      <c r="F2280" s="12" t="s">
        <v>14172</v>
      </c>
      <c r="G2280" s="12" t="s">
        <v>14173</v>
      </c>
      <c r="H2280" s="24" t="s">
        <v>6428</v>
      </c>
      <c r="I2280" s="24" t="b">
        <f>ISNUMBER(VALUE(LEFT(Customer[[#This Row],[Address Line 3 (30 char)]],1)))</f>
        <v>0</v>
      </c>
      <c r="J2280" s="12" t="s">
        <v>203</v>
      </c>
      <c r="K2280" s="12">
        <v>71200</v>
      </c>
      <c r="L2280" s="12" t="s">
        <v>35</v>
      </c>
      <c r="M2280" s="13" t="e">
        <v>#N/A</v>
      </c>
      <c r="N2280" s="14" t="e">
        <v>#N/A</v>
      </c>
      <c r="O2280" s="14" t="e">
        <v>#N/A</v>
      </c>
      <c r="P2280" s="14" t="e">
        <v>#N/A</v>
      </c>
      <c r="Q2280" s="19" t="s">
        <v>14174</v>
      </c>
      <c r="R2280" s="15" t="s">
        <v>14175</v>
      </c>
      <c r="S2280" s="16" t="s">
        <v>89</v>
      </c>
      <c r="T2280" s="16" t="s">
        <v>89</v>
      </c>
      <c r="U2280" s="11" t="str">
        <f>_xlfn.XLOOKUP(Customer[[#This Row],[Customer ID]],[1]!Address[ID],[1]!Address[Phone No.(2)])</f>
        <v/>
      </c>
      <c r="V2280" s="11" t="str">
        <f>_xlfn.XLOOKUP(Customer[[#This Row],[Customer ID]],[1]!Address[ID],[1]!Address[Type])</f>
        <v>WALK IN</v>
      </c>
      <c r="W2280" s="11" t="str">
        <f>_xlfn.XLOOKUP(Customer[[#This Row],[Customer ID]],[1]!Address[ID],[1]!Address[CT])</f>
        <v/>
      </c>
      <c r="X2280" s="11"/>
      <c r="Y2280" s="17" t="s">
        <v>6284</v>
      </c>
      <c r="Z2280" s="17" t="e">
        <f>_xlfn.XLOOKUP(Customer[[#This Row],[NewType]],$AF$36:$AF$54,$AG$36:$AG$54)</f>
        <v>#N/A</v>
      </c>
      <c r="AA2280" s="17" t="s">
        <v>14176</v>
      </c>
      <c r="AB2280" s="11" t="str">
        <f>_xlfn.XLOOKUP(Customer[[#This Row],[Customer ID]],[1]!Address[ID],[1]!Address[Subtype])</f>
        <v>STAFF</v>
      </c>
      <c r="AC2280" s="18" t="str">
        <f>_xlfn.XLOOKUP(Customer[[#This Row],[Customer ID]],[1]!Address[ID],[1]!Address[Zone])</f>
        <v>CENTRAL</v>
      </c>
    </row>
    <row r="2281" spans="1:30" x14ac:dyDescent="0.3">
      <c r="A2281" s="45" t="s">
        <v>14177</v>
      </c>
      <c r="B2281" s="32" t="str">
        <f>_xlfn.XLOOKUP(Customer[[#This Row],[Customer ID]],[1]!Name[ID],[1]!Name[Description(1)])</f>
        <v>HJ ROSLI BIN MOHAMED</v>
      </c>
      <c r="C2281" s="32" t="str">
        <f>_xlfn.XLOOKUP(Customer[[#This Row],[Customer ID]],[1]!Name[ID],[1]!Name[Description(2)])</f>
        <v/>
      </c>
      <c r="D2281" s="11" t="str">
        <f>_xlfn.XLOOKUP(Customer[[#This Row],[Customer ID]],[1]!Address[ID],[1]!Address[PIC])</f>
        <v/>
      </c>
      <c r="E2281" s="11" t="str">
        <f>_xlfn.XLOOKUP(Customer[[#This Row],[Customer ID]],[1]!Address[ID],[1]!Address[Full Address])</f>
        <v>16 JLN TEATER U2 36TTDI JAYA SHAH ALAM</v>
      </c>
      <c r="F2281" s="12" t="s">
        <v>14178</v>
      </c>
      <c r="G2281" s="12" t="s">
        <v>14179</v>
      </c>
      <c r="H2281" s="12" t="s">
        <v>36</v>
      </c>
      <c r="I2281" s="12" t="b">
        <f>ISNUMBER(VALUE(LEFT(Customer[[#This Row],[Address Line 3 (30 char)]],1)))</f>
        <v>0</v>
      </c>
      <c r="J2281" s="32" t="s">
        <v>1907</v>
      </c>
      <c r="K2281" s="32">
        <v>40150</v>
      </c>
      <c r="L2281" s="12" t="s">
        <v>35</v>
      </c>
      <c r="M2281" s="13" t="e">
        <v>#N/A</v>
      </c>
      <c r="N2281" s="14" t="e">
        <v>#N/A</v>
      </c>
      <c r="O2281" s="14" t="e">
        <v>#N/A</v>
      </c>
      <c r="P2281" s="14" t="e">
        <v>#N/A</v>
      </c>
      <c r="Q2281" s="19" t="s">
        <v>14180</v>
      </c>
      <c r="R2281" s="15" t="s">
        <v>14181</v>
      </c>
      <c r="S2281" s="16" t="s">
        <v>89</v>
      </c>
      <c r="T2281" s="16" t="s">
        <v>89</v>
      </c>
      <c r="U2281" s="11" t="str">
        <f>_xlfn.XLOOKUP(Customer[[#This Row],[Customer ID]],[1]!Address[ID],[1]!Address[Phone No.(2)])</f>
        <v/>
      </c>
      <c r="V2281" s="11" t="str">
        <f>_xlfn.XLOOKUP(Customer[[#This Row],[Customer ID]],[1]!Address[ID],[1]!Address[Type])</f>
        <v>WALK IN</v>
      </c>
      <c r="W2281" s="11" t="str">
        <f>_xlfn.XLOOKUP(Customer[[#This Row],[Customer ID]],[1]!Address[ID],[1]!Address[CT])</f>
        <v/>
      </c>
      <c r="X2281" s="11"/>
      <c r="Y2281" s="17" t="s">
        <v>6284</v>
      </c>
      <c r="Z2281" s="17" t="e">
        <f>_xlfn.XLOOKUP(Customer[[#This Row],[NewType]],$AF$36:$AF$54,$AG$36:$AG$54)</f>
        <v>#N/A</v>
      </c>
      <c r="AA2281" s="17" t="s">
        <v>14182</v>
      </c>
      <c r="AB2281" s="11" t="str">
        <f>_xlfn.XLOOKUP(Customer[[#This Row],[Customer ID]],[1]!Address[ID],[1]!Address[Subtype])</f>
        <v>PEDAS</v>
      </c>
      <c r="AC2281" s="18" t="str">
        <f>_xlfn.XLOOKUP(Customer[[#This Row],[Customer ID]],[1]!Address[ID],[1]!Address[Zone])</f>
        <v>CENTRAL</v>
      </c>
    </row>
    <row r="2282" spans="1:30" x14ac:dyDescent="0.3">
      <c r="A2282" s="10" t="s">
        <v>14183</v>
      </c>
      <c r="B2282" s="11" t="str">
        <f>_xlfn.XLOOKUP(Customer[[#This Row],[Customer ID]],[1]!Name[ID],[1]!Name[Description(1)])</f>
        <v>NORADILAH BINTI AUNUDIN</v>
      </c>
      <c r="C2282" s="11" t="str">
        <f>_xlfn.XLOOKUP(Customer[[#This Row],[Customer ID]],[1]!Name[ID],[1]!Name[Description(2)])</f>
        <v>LEMBAGA LEBUHRAYA MALAYSIA(LLM)</v>
      </c>
      <c r="D2282" s="11" t="str">
        <f>_xlfn.XLOOKUP(Customer[[#This Row],[Customer ID]],[1]!Address[ID],[1]!Address[PIC])</f>
        <v>NORADILAH</v>
      </c>
      <c r="E2282" s="11" t="str">
        <f>_xlfn.XLOOKUP(Customer[[#This Row],[Customer ID]],[1]!Address[ID],[1]!Address[Full Address])</f>
        <v>KOPERASI LLM BERHAD, KM6JALAN SERDANG-KAJANG, 43000 KAJANGSELANGOR</v>
      </c>
      <c r="F2282" s="12" t="s">
        <v>14184</v>
      </c>
      <c r="G2282" s="12" t="s">
        <v>14185</v>
      </c>
      <c r="H2282" s="12" t="s">
        <v>6089</v>
      </c>
      <c r="I2282" s="12" t="b">
        <f>ISNUMBER(VALUE(LEFT(Customer[[#This Row],[Address Line 3 (30 char)]],1)))</f>
        <v>0</v>
      </c>
      <c r="J2282" s="12" t="s">
        <v>172</v>
      </c>
      <c r="K2282" s="12">
        <v>43000</v>
      </c>
      <c r="L2282" s="12" t="s">
        <v>35</v>
      </c>
      <c r="M2282" s="13" t="e">
        <v>#N/A</v>
      </c>
      <c r="N2282" s="14" t="e">
        <v>#N/A</v>
      </c>
      <c r="O2282" s="14" t="e">
        <v>#N/A</v>
      </c>
      <c r="P2282" s="14" t="e">
        <v>#N/A</v>
      </c>
      <c r="Q2282" s="19" t="s">
        <v>14186</v>
      </c>
      <c r="R2282" s="15" t="s">
        <v>14187</v>
      </c>
      <c r="S2282" s="15" t="s">
        <v>89</v>
      </c>
      <c r="T2282" s="16" t="s">
        <v>89</v>
      </c>
      <c r="U2282" s="11" t="str">
        <f>_xlfn.XLOOKUP(Customer[[#This Row],[Customer ID]],[1]!Address[ID],[1]!Address[Phone No.(2)])</f>
        <v/>
      </c>
      <c r="V2282" s="11" t="str">
        <f>_xlfn.XLOOKUP(Customer[[#This Row],[Customer ID]],[1]!Address[ID],[1]!Address[Type])</f>
        <v>SOCMED</v>
      </c>
      <c r="W2282" s="11" t="str">
        <f>_xlfn.XLOOKUP(Customer[[#This Row],[Customer ID]],[1]!Address[ID],[1]!Address[CT])</f>
        <v>CASH</v>
      </c>
      <c r="X2282" s="11"/>
      <c r="Y2282" s="17" t="s">
        <v>90</v>
      </c>
      <c r="Z2282" s="17" t="e">
        <f>_xlfn.XLOOKUP(Customer[[#This Row],[NewType]],$AF$36:$AF$54,$AG$36:$AG$54)</f>
        <v>#N/A</v>
      </c>
      <c r="AA2282" s="17" t="s">
        <v>14188</v>
      </c>
      <c r="AB2282" s="11" t="str">
        <f>_xlfn.XLOOKUP(Customer[[#This Row],[Customer ID]],[1]!Address[ID],[1]!Address[Subtype])</f>
        <v>WHATSAPP</v>
      </c>
      <c r="AC2282" s="18" t="str">
        <f>_xlfn.XLOOKUP(Customer[[#This Row],[Customer ID]],[1]!Address[ID],[1]!Address[Zone])</f>
        <v>CENTRAL</v>
      </c>
    </row>
    <row r="2283" spans="1:30" x14ac:dyDescent="0.3">
      <c r="A2283" s="10" t="s">
        <v>14189</v>
      </c>
      <c r="B2283" s="11" t="str">
        <f>_xlfn.XLOOKUP(Customer[[#This Row],[Customer ID]],[1]!Name[ID],[1]!Name[Description(1)])</f>
        <v>SITI AISHAH BINTI BIDIN</v>
      </c>
      <c r="C2283" s="11" t="str">
        <f>_xlfn.XLOOKUP(Customer[[#This Row],[Customer ID]],[1]!Name[ID],[1]!Name[Description(2)])</f>
        <v>(BD)</v>
      </c>
      <c r="D2283" s="11" t="str">
        <f>_xlfn.XLOOKUP(Customer[[#This Row],[Customer ID]],[1]!Address[ID],[1]!Address[PIC])</f>
        <v/>
      </c>
      <c r="E2283" s="11" t="str">
        <f>_xlfn.XLOOKUP(Customer[[#This Row],[Customer ID]],[1]!Address[ID],[1]!Address[Full Address])</f>
        <v>151-UNIT 2, KG MENGKUANG SEMARAK,14000 BUKIT MERTAJAM, PULAU PINANG</v>
      </c>
      <c r="F2283" s="12" t="s">
        <v>14190</v>
      </c>
      <c r="G2283" s="12" t="s">
        <v>14191</v>
      </c>
      <c r="H2283" s="12" t="s">
        <v>5591</v>
      </c>
      <c r="I2283" s="12" t="b">
        <f>ISNUMBER(VALUE(LEFT(Customer[[#This Row],[Address Line 3 (30 char)]],1)))</f>
        <v>0</v>
      </c>
      <c r="J2283" s="12" t="s">
        <v>179</v>
      </c>
      <c r="K2283" s="12">
        <v>14000</v>
      </c>
      <c r="L2283" s="12" t="s">
        <v>35</v>
      </c>
      <c r="M2283" s="13" t="e">
        <v>#N/A</v>
      </c>
      <c r="N2283" s="14" t="e">
        <v>#N/A</v>
      </c>
      <c r="O2283" s="14" t="e">
        <v>#N/A</v>
      </c>
      <c r="P2283" s="14" t="e">
        <v>#N/A</v>
      </c>
      <c r="Q2283" s="19" t="s">
        <v>14192</v>
      </c>
      <c r="R2283" s="15" t="s">
        <v>11579</v>
      </c>
      <c r="S2283" s="16" t="s">
        <v>89</v>
      </c>
      <c r="T2283" s="16" t="s">
        <v>89</v>
      </c>
      <c r="U2283" s="11" t="str">
        <f>_xlfn.XLOOKUP(Customer[[#This Row],[Customer ID]],[1]!Address[ID],[1]!Address[Phone No.(2)])</f>
        <v/>
      </c>
      <c r="V2283" s="11" t="str">
        <f>_xlfn.XLOOKUP(Customer[[#This Row],[Customer ID]],[1]!Address[ID],[1]!Address[Type])</f>
        <v>WALK IN</v>
      </c>
      <c r="W2283" s="11" t="str">
        <f>_xlfn.XLOOKUP(Customer[[#This Row],[Customer ID]],[1]!Address[ID],[1]!Address[CT])</f>
        <v/>
      </c>
      <c r="X2283" s="11"/>
      <c r="Y2283" s="17" t="s">
        <v>6284</v>
      </c>
      <c r="Z2283" s="17" t="e">
        <f>_xlfn.XLOOKUP(Customer[[#This Row],[NewType]],$AF$36:$AF$54,$AG$36:$AG$54)</f>
        <v>#N/A</v>
      </c>
      <c r="AA2283" s="17" t="s">
        <v>14193</v>
      </c>
      <c r="AB2283" s="11" t="str">
        <f>_xlfn.XLOOKUP(Customer[[#This Row],[Customer ID]],[1]!Address[ID],[1]!Address[Subtype])</f>
        <v>STAFF</v>
      </c>
      <c r="AC2283" s="18" t="str">
        <f>_xlfn.XLOOKUP(Customer[[#This Row],[Customer ID]],[1]!Address[ID],[1]!Address[Zone])</f>
        <v>NORTH</v>
      </c>
    </row>
    <row r="2284" spans="1:30" x14ac:dyDescent="0.3">
      <c r="A2284" s="10" t="s">
        <v>14194</v>
      </c>
      <c r="B2284" s="11" t="str">
        <f>_xlfn.XLOOKUP(Customer[[#This Row],[Customer ID]],[1]!Name[ID],[1]!Name[Description(1)])</f>
        <v>SYED NOAH BIN SYED ABU BAKAR</v>
      </c>
      <c r="C2284" s="11" t="str">
        <f>_xlfn.XLOOKUP(Customer[[#This Row],[Customer ID]],[1]!Name[ID],[1]!Name[Description(2)])</f>
        <v/>
      </c>
      <c r="D2284" s="11" t="str">
        <f>_xlfn.XLOOKUP(Customer[[#This Row],[Customer ID]],[1]!Address[ID],[1]!Address[PIC])</f>
        <v/>
      </c>
      <c r="E2284" s="11" t="str">
        <f>_xlfn.XLOOKUP(Customer[[#This Row],[Customer ID]],[1]!Address[ID],[1]!Address[Full Address])</f>
        <v>NO. 10, JALAN WIRAWATI 5,TAMAN MALURI, 55100 KUALA LUMPURWILAYAH PERSEKUTUAN</v>
      </c>
      <c r="F2284" s="12" t="s">
        <v>14195</v>
      </c>
      <c r="G2284" s="12" t="s">
        <v>14196</v>
      </c>
      <c r="H2284" s="12"/>
      <c r="I2284" s="12" t="b">
        <f>ISNUMBER(VALUE(LEFT(Customer[[#This Row],[Address Line 3 (30 char)]],1)))</f>
        <v>0</v>
      </c>
      <c r="J2284" s="12" t="s">
        <v>34</v>
      </c>
      <c r="K2284" s="12">
        <v>55100</v>
      </c>
      <c r="L2284" s="12" t="s">
        <v>35</v>
      </c>
      <c r="M2284" s="13" t="e">
        <v>#N/A</v>
      </c>
      <c r="N2284" s="14" t="e">
        <v>#N/A</v>
      </c>
      <c r="O2284" s="14" t="e">
        <v>#N/A</v>
      </c>
      <c r="P2284" s="14" t="e">
        <v>#N/A</v>
      </c>
      <c r="Q2284" s="19" t="s">
        <v>14197</v>
      </c>
      <c r="R2284" s="15" t="s">
        <v>14198</v>
      </c>
      <c r="S2284" s="16" t="s">
        <v>89</v>
      </c>
      <c r="T2284" s="16" t="s">
        <v>89</v>
      </c>
      <c r="U2284" s="11" t="str">
        <f>_xlfn.XLOOKUP(Customer[[#This Row],[Customer ID]],[1]!Address[ID],[1]!Address[Phone No.(2)])</f>
        <v/>
      </c>
      <c r="V2284" s="11" t="str">
        <f>_xlfn.XLOOKUP(Customer[[#This Row],[Customer ID]],[1]!Address[ID],[1]!Address[Type])</f>
        <v>WALK IN</v>
      </c>
      <c r="W2284" s="11" t="str">
        <f>_xlfn.XLOOKUP(Customer[[#This Row],[Customer ID]],[1]!Address[ID],[1]!Address[CT])</f>
        <v/>
      </c>
      <c r="X2284" s="11"/>
      <c r="Y2284" s="17" t="s">
        <v>6284</v>
      </c>
      <c r="Z2284" s="17" t="e">
        <f>_xlfn.XLOOKUP(Customer[[#This Row],[NewType]],$AF$36:$AF$54,$AG$36:$AG$54)</f>
        <v>#N/A</v>
      </c>
      <c r="AA2284" s="17" t="s">
        <v>14199</v>
      </c>
      <c r="AB2284" s="11" t="str">
        <f>_xlfn.XLOOKUP(Customer[[#This Row],[Customer ID]],[1]!Address[ID],[1]!Address[Subtype])</f>
        <v>PEDAS</v>
      </c>
      <c r="AC2284" s="18" t="str">
        <f>_xlfn.XLOOKUP(Customer[[#This Row],[Customer ID]],[1]!Address[ID],[1]!Address[Zone])</f>
        <v>CENTRAL</v>
      </c>
    </row>
    <row r="2285" spans="1:30" x14ac:dyDescent="0.3">
      <c r="A2285" s="10" t="s">
        <v>14200</v>
      </c>
      <c r="B2285" s="11" t="str">
        <f>_xlfn.XLOOKUP(Customer[[#This Row],[Customer ID]],[1]!Name[ID],[1]!Name[Description(1)])</f>
        <v>NINJA LOGISTICS SDN BHD (NINJA VAN)</v>
      </c>
      <c r="C2285" s="11" t="str">
        <f>_xlfn.XLOOKUP(Customer[[#This Row],[Customer ID]],[1]!Name[ID],[1]!Name[Description(2)])</f>
        <v/>
      </c>
      <c r="D2285" s="11" t="str">
        <f>_xlfn.XLOOKUP(Customer[[#This Row],[Customer ID]],[1]!Address[ID],[1]!Address[PIC])</f>
        <v>SYARIFUDDIN</v>
      </c>
      <c r="E2285" s="11" t="str">
        <f>_xlfn.XLOOKUP(Customer[[#This Row],[Customer ID]],[1]!Address[ID],[1]!Address[Full Address])</f>
        <v>LEVEL 14, WISMA CONSPLANT 1,JALAN KEMAJUAN SUBANG,SS16,47500 SUBANG JAYA, SELANGOR</v>
      </c>
      <c r="F2285" s="12" t="s">
        <v>14201</v>
      </c>
      <c r="G2285" s="12" t="s">
        <v>14202</v>
      </c>
      <c r="H2285" s="12" t="s">
        <v>5839</v>
      </c>
      <c r="I2285" s="12" t="b">
        <f>ISNUMBER(VALUE(LEFT(Customer[[#This Row],[Address Line 3 (30 char)]],1)))</f>
        <v>0</v>
      </c>
      <c r="J2285" s="12" t="s">
        <v>172</v>
      </c>
      <c r="K2285" s="12">
        <v>47500</v>
      </c>
      <c r="L2285" s="12" t="s">
        <v>35</v>
      </c>
      <c r="M2285" s="13" t="e">
        <v>#N/A</v>
      </c>
      <c r="N2285" s="14" t="e">
        <v>#N/A</v>
      </c>
      <c r="O2285" s="14" t="e">
        <v>#N/A</v>
      </c>
      <c r="P2285" s="14" t="e">
        <v>#N/A</v>
      </c>
      <c r="Q2285" s="19" t="s">
        <v>14203</v>
      </c>
      <c r="R2285" s="15" t="s">
        <v>14204</v>
      </c>
      <c r="S2285" s="16" t="s">
        <v>89</v>
      </c>
      <c r="T2285" s="16" t="s">
        <v>89</v>
      </c>
      <c r="U2285" s="11" t="str">
        <f>_xlfn.XLOOKUP(Customer[[#This Row],[Customer ID]],[1]!Address[ID],[1]!Address[Phone No.(2)])</f>
        <v/>
      </c>
      <c r="V2285" s="11" t="str">
        <f>_xlfn.XLOOKUP(Customer[[#This Row],[Customer ID]],[1]!Address[ID],[1]!Address[Type])</f>
        <v>WALK IN</v>
      </c>
      <c r="W2285" s="11" t="str">
        <f>_xlfn.XLOOKUP(Customer[[#This Row],[Customer ID]],[1]!Address[ID],[1]!Address[CT])</f>
        <v/>
      </c>
      <c r="X2285" s="11"/>
      <c r="Y2285" s="17" t="s">
        <v>6284</v>
      </c>
      <c r="Z2285" s="17" t="e">
        <f>_xlfn.XLOOKUP(Customer[[#This Row],[NewType]],$AF$36:$AF$54,$AG$36:$AG$54)</f>
        <v>#N/A</v>
      </c>
      <c r="AA2285" s="17" t="s">
        <v>14205</v>
      </c>
      <c r="AB2285" s="11" t="str">
        <f>_xlfn.XLOOKUP(Customer[[#This Row],[Customer ID]],[1]!Address[ID],[1]!Address[Subtype])</f>
        <v>PEDAS</v>
      </c>
      <c r="AC2285" s="18" t="str">
        <f>_xlfn.XLOOKUP(Customer[[#This Row],[Customer ID]],[1]!Address[ID],[1]!Address[Zone])</f>
        <v>CENTRAL</v>
      </c>
    </row>
    <row r="2286" spans="1:30" x14ac:dyDescent="0.3">
      <c r="A2286" s="10" t="s">
        <v>14206</v>
      </c>
      <c r="B2286" s="11" t="str">
        <f>_xlfn.XLOOKUP(Customer[[#This Row],[Customer ID]],[1]!Name[ID],[1]!Name[Description(1)])</f>
        <v>HARIS ZULFEKAR BIN MD LIAS</v>
      </c>
      <c r="C2286" s="11" t="str">
        <f>_xlfn.XLOOKUP(Customer[[#This Row],[Customer ID]],[1]!Name[ID],[1]!Name[Description(2)])</f>
        <v>(QC KILANG BOTOL)</v>
      </c>
      <c r="D2286" s="11" t="str">
        <f>_xlfn.XLOOKUP(Customer[[#This Row],[Customer ID]],[1]!Address[ID],[1]!Address[PIC])</f>
        <v>HARIS</v>
      </c>
      <c r="E2286" s="11" t="str">
        <f>_xlfn.XLOOKUP(Customer[[#This Row],[Customer ID]],[1]!Address[ID],[1]!Address[Full Address])</f>
        <v>BATU 6 1/2, JALAN TIGA NENEK,KG KUNDUR TENGAH, 71400 PEDAS,NEGERI SEMBILAN</v>
      </c>
      <c r="F2286" s="12" t="s">
        <v>14207</v>
      </c>
      <c r="G2286" s="12" t="s">
        <v>12096</v>
      </c>
      <c r="H2286" s="12"/>
      <c r="I2286" s="12" t="b">
        <f>ISNUMBER(VALUE(LEFT(Customer[[#This Row],[Address Line 3 (30 char)]],1)))</f>
        <v>0</v>
      </c>
      <c r="J2286" s="12" t="s">
        <v>2004</v>
      </c>
      <c r="K2286" s="12">
        <v>71400</v>
      </c>
      <c r="L2286" s="12" t="s">
        <v>35</v>
      </c>
      <c r="M2286" s="13" t="e">
        <v>#N/A</v>
      </c>
      <c r="N2286" s="14" t="e">
        <v>#N/A</v>
      </c>
      <c r="O2286" s="14" t="e">
        <v>#N/A</v>
      </c>
      <c r="P2286" s="14" t="e">
        <v>#N/A</v>
      </c>
      <c r="Q2286" s="19" t="s">
        <v>14208</v>
      </c>
      <c r="R2286" s="15" t="s">
        <v>14209</v>
      </c>
      <c r="S2286" s="16" t="s">
        <v>89</v>
      </c>
      <c r="T2286" s="16" t="s">
        <v>89</v>
      </c>
      <c r="U2286" s="11" t="str">
        <f>_xlfn.XLOOKUP(Customer[[#This Row],[Customer ID]],[1]!Address[ID],[1]!Address[Phone No.(2)])</f>
        <v/>
      </c>
      <c r="V2286" s="11" t="str">
        <f>_xlfn.XLOOKUP(Customer[[#This Row],[Customer ID]],[1]!Address[ID],[1]!Address[Type])</f>
        <v>WALK IN</v>
      </c>
      <c r="W2286" s="11" t="str">
        <f>_xlfn.XLOOKUP(Customer[[#This Row],[Customer ID]],[1]!Address[ID],[1]!Address[CT])</f>
        <v/>
      </c>
      <c r="X2286" s="11"/>
      <c r="Y2286" s="17" t="s">
        <v>6284</v>
      </c>
      <c r="Z2286" s="17" t="e">
        <f>_xlfn.XLOOKUP(Customer[[#This Row],[NewType]],$AF$36:$AF$54,$AG$36:$AG$54)</f>
        <v>#N/A</v>
      </c>
      <c r="AA2286" s="17" t="s">
        <v>14210</v>
      </c>
      <c r="AB2286" s="11" t="str">
        <f>_xlfn.XLOOKUP(Customer[[#This Row],[Customer ID]],[1]!Address[ID],[1]!Address[Subtype])</f>
        <v>STAFF</v>
      </c>
      <c r="AC2286" s="18" t="str">
        <f>_xlfn.XLOOKUP(Customer[[#This Row],[Customer ID]],[1]!Address[ID],[1]!Address[Zone])</f>
        <v>SOUTH</v>
      </c>
    </row>
    <row r="2287" spans="1:30" x14ac:dyDescent="0.3">
      <c r="A2287" s="10" t="s">
        <v>14211</v>
      </c>
      <c r="B2287" s="11" t="str">
        <f>_xlfn.XLOOKUP(Customer[[#This Row],[Customer ID]],[1]!Name[ID],[1]!Name[Description(1)])</f>
        <v>AHMAD TARMIZI BIN UJANG</v>
      </c>
      <c r="C2287" s="11" t="str">
        <f>_xlfn.XLOOKUP(Customer[[#This Row],[Customer ID]],[1]!Name[ID],[1]!Name[Description(2)])</f>
        <v/>
      </c>
      <c r="D2287" s="11" t="str">
        <f>_xlfn.XLOOKUP(Customer[[#This Row],[Customer ID]],[1]!Address[ID],[1]!Address[PIC])</f>
        <v>AHMAD</v>
      </c>
      <c r="E2287" s="11" t="str">
        <f>_xlfn.XLOOKUP(Customer[[#This Row],[Customer ID]],[1]!Address[ID],[1]!Address[Full Address])</f>
        <v>NO.32A, JALAN SARI ILTIZAM 1/3,ILTIZAM 1, ALAM SARI,43000 KAJANG,SELANGOR</v>
      </c>
      <c r="F2287" s="12" t="s">
        <v>14212</v>
      </c>
      <c r="G2287" s="12" t="s">
        <v>14213</v>
      </c>
      <c r="H2287" s="12" t="s">
        <v>14214</v>
      </c>
      <c r="I2287" s="12" t="b">
        <f>ISNUMBER(VALUE(LEFT(Customer[[#This Row],[Address Line 3 (30 char)]],1)))</f>
        <v>0</v>
      </c>
      <c r="J2287" s="12" t="s">
        <v>172</v>
      </c>
      <c r="K2287" s="12">
        <v>43000</v>
      </c>
      <c r="L2287" s="12" t="s">
        <v>35</v>
      </c>
      <c r="M2287" s="13" t="e">
        <v>#N/A</v>
      </c>
      <c r="N2287" s="14" t="e">
        <v>#N/A</v>
      </c>
      <c r="O2287" s="14" t="e">
        <v>#N/A</v>
      </c>
      <c r="P2287" s="14" t="e">
        <v>#N/A</v>
      </c>
      <c r="Q2287" s="19" t="s">
        <v>14215</v>
      </c>
      <c r="R2287" s="15" t="s">
        <v>14216</v>
      </c>
      <c r="S2287" s="16" t="s">
        <v>89</v>
      </c>
      <c r="T2287" s="16" t="s">
        <v>89</v>
      </c>
      <c r="U2287" s="11" t="str">
        <f>_xlfn.XLOOKUP(Customer[[#This Row],[Customer ID]],[1]!Address[ID],[1]!Address[Phone No.(2)])</f>
        <v/>
      </c>
      <c r="V2287" s="11" t="str">
        <f>_xlfn.XLOOKUP(Customer[[#This Row],[Customer ID]],[1]!Address[ID],[1]!Address[Type])</f>
        <v>WALK IN</v>
      </c>
      <c r="W2287" s="11" t="str">
        <f>_xlfn.XLOOKUP(Customer[[#This Row],[Customer ID]],[1]!Address[ID],[1]!Address[CT])</f>
        <v/>
      </c>
      <c r="X2287" s="11"/>
      <c r="Y2287" s="17" t="s">
        <v>6284</v>
      </c>
      <c r="Z2287" s="17" t="e">
        <f>_xlfn.XLOOKUP(Customer[[#This Row],[NewType]],$AF$36:$AF$54,$AG$36:$AG$54)</f>
        <v>#N/A</v>
      </c>
      <c r="AA2287" s="17" t="s">
        <v>14217</v>
      </c>
      <c r="AB2287" s="11" t="str">
        <f>_xlfn.XLOOKUP(Customer[[#This Row],[Customer ID]],[1]!Address[ID],[1]!Address[Subtype])</f>
        <v>PEDAS</v>
      </c>
      <c r="AC2287" s="18" t="str">
        <f>_xlfn.XLOOKUP(Customer[[#This Row],[Customer ID]],[1]!Address[ID],[1]!Address[Zone])</f>
        <v>CENTRAL</v>
      </c>
    </row>
    <row r="2288" spans="1:30" x14ac:dyDescent="0.3">
      <c r="A2288" s="10" t="s">
        <v>14218</v>
      </c>
      <c r="B2288" s="11" t="str">
        <f>_xlfn.XLOOKUP(Customer[[#This Row],[Customer ID]],[1]!Name[ID],[1]!Name[Description(1)])</f>
        <v>SYARIKAT JAMINAN PEMBIAYAAN PERNIAGAAN</v>
      </c>
      <c r="C2288" s="11" t="str">
        <f>_xlfn.XLOOKUP(Customer[[#This Row],[Customer ID]],[1]!Name[ID],[1]!Name[Description(2)])</f>
        <v>BERHAD (PROKHAS)</v>
      </c>
      <c r="D2288" s="11" t="str">
        <f>_xlfn.XLOOKUP(Customer[[#This Row],[Customer ID]],[1]!Address[ID],[1]!Address[PIC])</f>
        <v/>
      </c>
      <c r="E2288" s="11" t="str">
        <f>_xlfn.XLOOKUP(Customer[[#This Row],[Customer ID]],[1]!Address[ID],[1]!Address[Full Address])</f>
        <v>TINGKAT 12, BANGUNAN SETIA 115 LORONG DUNGUN, BUKIT DAMANSARA50490 KUALA LUMPUR</v>
      </c>
      <c r="F2288" s="12" t="s">
        <v>14219</v>
      </c>
      <c r="G2288" s="12" t="s">
        <v>14220</v>
      </c>
      <c r="H2288" s="12" t="s">
        <v>8895</v>
      </c>
      <c r="I2288" s="12" t="b">
        <f>ISNUMBER(VALUE(LEFT(Customer[[#This Row],[Address Line 3 (30 char)]],1)))</f>
        <v>0</v>
      </c>
      <c r="J2288" s="12" t="s">
        <v>34</v>
      </c>
      <c r="K2288" s="12">
        <v>50490</v>
      </c>
      <c r="L2288" s="12" t="s">
        <v>35</v>
      </c>
      <c r="M2288" s="13" t="e">
        <v>#N/A</v>
      </c>
      <c r="N2288" s="14" t="e">
        <v>#N/A</v>
      </c>
      <c r="O2288" s="14" t="e">
        <v>#N/A</v>
      </c>
      <c r="P2288" s="14" t="e">
        <v>#N/A</v>
      </c>
      <c r="Q2288" s="19" t="s">
        <v>14221</v>
      </c>
      <c r="R2288" s="15" t="s">
        <v>14222</v>
      </c>
      <c r="S2288" s="15" t="s">
        <v>5934</v>
      </c>
      <c r="T2288" s="16" t="s">
        <v>3477</v>
      </c>
      <c r="U2288" s="11" t="str">
        <f>_xlfn.XLOOKUP(Customer[[#This Row],[Customer ID]],[1]!Address[ID],[1]!Address[Phone No.(2)])</f>
        <v/>
      </c>
      <c r="V2288" s="11" t="str">
        <f>_xlfn.XLOOKUP(Customer[[#This Row],[Customer ID]],[1]!Address[ID],[1]!Address[Type])</f>
        <v>CORPORATE</v>
      </c>
      <c r="W2288" s="11" t="str">
        <f>_xlfn.XLOOKUP(Customer[[#This Row],[Customer ID]],[1]!Address[ID],[1]!Address[CT])</f>
        <v>CASH</v>
      </c>
      <c r="X2288" s="11"/>
      <c r="Y2288" s="17" t="s">
        <v>6418</v>
      </c>
      <c r="Z2288" s="17" t="e">
        <f>_xlfn.XLOOKUP(Customer[[#This Row],[NewType]],$AF$36:$AF$54,$AG$36:$AG$54)</f>
        <v>#N/A</v>
      </c>
      <c r="AA2288" s="17" t="s">
        <v>14223</v>
      </c>
      <c r="AB2288" s="11" t="str">
        <f>_xlfn.XLOOKUP(Customer[[#This Row],[Customer ID]],[1]!Address[ID],[1]!Address[Subtype])</f>
        <v>PROKHAS</v>
      </c>
      <c r="AC2288" s="18" t="str">
        <f>_xlfn.XLOOKUP(Customer[[#This Row],[Customer ID]],[1]!Address[ID],[1]!Address[Zone])</f>
        <v>CENTRAL</v>
      </c>
    </row>
    <row r="2289" spans="1:29" x14ac:dyDescent="0.3">
      <c r="A2289" s="10" t="s">
        <v>14224</v>
      </c>
      <c r="B2289" s="11" t="str">
        <f>_xlfn.XLOOKUP(Customer[[#This Row],[Customer ID]],[1]!Name[ID],[1]!Name[Description(1)])</f>
        <v>HADI ZULHILMI BIN SEMADI</v>
      </c>
      <c r="C2289" s="11" t="str">
        <f>_xlfn.XLOOKUP(Customer[[#This Row],[Customer ID]],[1]!Name[ID],[1]!Name[Description(2)])</f>
        <v/>
      </c>
      <c r="D2289" s="11" t="str">
        <f>_xlfn.XLOOKUP(Customer[[#This Row],[Customer ID]],[1]!Address[ID],[1]!Address[PIC])</f>
        <v>HADI</v>
      </c>
      <c r="E2289" s="11" t="str">
        <f>_xlfn.XLOOKUP(Customer[[#This Row],[Customer ID]],[1]!Address[ID],[1]!Address[Full Address])</f>
        <v>NO 11, JALAN SRI GADING 4,TAMAN SRI GADING, TANJUNG AGAS,84000 MUAR, JOHOR</v>
      </c>
      <c r="F2289" s="12" t="s">
        <v>14225</v>
      </c>
      <c r="G2289" s="12" t="s">
        <v>14226</v>
      </c>
      <c r="H2289" s="12" t="s">
        <v>9844</v>
      </c>
      <c r="I2289" s="12" t="b">
        <f>ISNUMBER(VALUE(LEFT(Customer[[#This Row],[Address Line 3 (30 char)]],1)))</f>
        <v>0</v>
      </c>
      <c r="J2289" s="12" t="s">
        <v>52</v>
      </c>
      <c r="K2289" s="12">
        <v>84000</v>
      </c>
      <c r="L2289" s="12" t="s">
        <v>35</v>
      </c>
      <c r="M2289" s="13" t="e">
        <v>#N/A</v>
      </c>
      <c r="N2289" s="14" t="e">
        <v>#N/A</v>
      </c>
      <c r="O2289" s="14" t="e">
        <v>#N/A</v>
      </c>
      <c r="P2289" s="14" t="e">
        <v>#N/A</v>
      </c>
      <c r="Q2289" s="19" t="s">
        <v>14227</v>
      </c>
      <c r="R2289" s="15" t="s">
        <v>14228</v>
      </c>
      <c r="S2289" s="16" t="s">
        <v>89</v>
      </c>
      <c r="T2289" s="16" t="s">
        <v>89</v>
      </c>
      <c r="U2289" s="11" t="str">
        <f>_xlfn.XLOOKUP(Customer[[#This Row],[Customer ID]],[1]!Address[ID],[1]!Address[Phone No.(2)])</f>
        <v/>
      </c>
      <c r="V2289" s="11" t="str">
        <f>_xlfn.XLOOKUP(Customer[[#This Row],[Customer ID]],[1]!Address[ID],[1]!Address[Type])</f>
        <v>WALK IN</v>
      </c>
      <c r="W2289" s="11" t="str">
        <f>_xlfn.XLOOKUP(Customer[[#This Row],[Customer ID]],[1]!Address[ID],[1]!Address[CT])</f>
        <v/>
      </c>
      <c r="X2289" s="11"/>
      <c r="Y2289" s="17" t="s">
        <v>6284</v>
      </c>
      <c r="Z2289" s="17" t="e">
        <f>_xlfn.XLOOKUP(Customer[[#This Row],[NewType]],$AF$36:$AF$54,$AG$36:$AG$54)</f>
        <v>#N/A</v>
      </c>
      <c r="AA2289" s="17" t="s">
        <v>14229</v>
      </c>
      <c r="AB2289" s="11" t="str">
        <f>_xlfn.XLOOKUP(Customer[[#This Row],[Customer ID]],[1]!Address[ID],[1]!Address[Subtype])</f>
        <v>PEDAS</v>
      </c>
      <c r="AC2289" s="18" t="str">
        <f>_xlfn.XLOOKUP(Customer[[#This Row],[Customer ID]],[1]!Address[ID],[1]!Address[Zone])</f>
        <v>SOUTH</v>
      </c>
    </row>
    <row r="2290" spans="1:29" x14ac:dyDescent="0.3">
      <c r="A2290" s="10" t="s">
        <v>14230</v>
      </c>
      <c r="B2290" s="11" t="str">
        <f>_xlfn.XLOOKUP(Customer[[#This Row],[Customer ID]],[1]!Name[ID],[1]!Name[Description(1)])</f>
        <v>NORDIN BIN ABDUL JABAR</v>
      </c>
      <c r="C2290" s="11" t="str">
        <f>_xlfn.XLOOKUP(Customer[[#This Row],[Customer ID]],[1]!Name[ID],[1]!Name[Description(2)])</f>
        <v/>
      </c>
      <c r="D2290" s="11" t="str">
        <f>_xlfn.XLOOKUP(Customer[[#This Row],[Customer ID]],[1]!Address[ID],[1]!Address[PIC])</f>
        <v>NORDIN</v>
      </c>
      <c r="E2290" s="11" t="str">
        <f>_xlfn.XLOOKUP(Customer[[#This Row],[Customer ID]],[1]!Address[ID],[1]!Address[Full Address])</f>
        <v>NO 11, JLN CEMPAKA 14, TMN CEMPAKA,68000 AMPANG, SELANGOR</v>
      </c>
      <c r="F2290" s="12" t="s">
        <v>14231</v>
      </c>
      <c r="G2290" s="12" t="s">
        <v>14232</v>
      </c>
      <c r="H2290" s="12" t="s">
        <v>14233</v>
      </c>
      <c r="I2290" s="12" t="b">
        <f>ISNUMBER(VALUE(LEFT(Customer[[#This Row],[Address Line 3 (30 char)]],1)))</f>
        <v>0</v>
      </c>
      <c r="J2290" s="12" t="s">
        <v>172</v>
      </c>
      <c r="K2290" s="12">
        <v>68000</v>
      </c>
      <c r="L2290" s="12" t="s">
        <v>35</v>
      </c>
      <c r="M2290" s="13" t="e">
        <v>#N/A</v>
      </c>
      <c r="N2290" s="14" t="e">
        <v>#N/A</v>
      </c>
      <c r="O2290" s="14" t="e">
        <v>#N/A</v>
      </c>
      <c r="P2290" s="14" t="e">
        <v>#N/A</v>
      </c>
      <c r="Q2290" s="19" t="s">
        <v>14234</v>
      </c>
      <c r="R2290" s="15" t="s">
        <v>14235</v>
      </c>
      <c r="S2290" s="16" t="s">
        <v>89</v>
      </c>
      <c r="T2290" s="16" t="s">
        <v>89</v>
      </c>
      <c r="U2290" s="11" t="str">
        <f>_xlfn.XLOOKUP(Customer[[#This Row],[Customer ID]],[1]!Address[ID],[1]!Address[Phone No.(2)])</f>
        <v/>
      </c>
      <c r="V2290" s="11" t="str">
        <f>_xlfn.XLOOKUP(Customer[[#This Row],[Customer ID]],[1]!Address[ID],[1]!Address[Type])</f>
        <v>WALK IN</v>
      </c>
      <c r="W2290" s="11" t="str">
        <f>_xlfn.XLOOKUP(Customer[[#This Row],[Customer ID]],[1]!Address[ID],[1]!Address[CT])</f>
        <v/>
      </c>
      <c r="X2290" s="11"/>
      <c r="Y2290" s="17" t="s">
        <v>6284</v>
      </c>
      <c r="Z2290" s="17" t="e">
        <f>_xlfn.XLOOKUP(Customer[[#This Row],[NewType]],$AF$36:$AF$54,$AG$36:$AG$54)</f>
        <v>#N/A</v>
      </c>
      <c r="AA2290" s="17" t="s">
        <v>14236</v>
      </c>
      <c r="AB2290" s="11" t="str">
        <f>_xlfn.XLOOKUP(Customer[[#This Row],[Customer ID]],[1]!Address[ID],[1]!Address[Subtype])</f>
        <v>PEDAS</v>
      </c>
      <c r="AC2290" s="18" t="str">
        <f>_xlfn.XLOOKUP(Customer[[#This Row],[Customer ID]],[1]!Address[ID],[1]!Address[Zone])</f>
        <v>CENTRAL</v>
      </c>
    </row>
    <row r="2291" spans="1:29" x14ac:dyDescent="0.3">
      <c r="A2291" s="10" t="s">
        <v>14237</v>
      </c>
      <c r="B2291" s="11" t="str">
        <f>_xlfn.XLOOKUP(Customer[[#This Row],[Customer ID]],[1]!Name[ID],[1]!Name[Description(1)])</f>
        <v>MURTADZA BT MOHD KASIM</v>
      </c>
      <c r="C2291" s="11" t="str">
        <f>_xlfn.XLOOKUP(Customer[[#This Row],[Customer ID]],[1]!Name[ID],[1]!Name[Description(2)])</f>
        <v/>
      </c>
      <c r="D2291" s="11" t="str">
        <f>_xlfn.XLOOKUP(Customer[[#This Row],[Customer ID]],[1]!Address[ID],[1]!Address[PIC])</f>
        <v>MURTADZA</v>
      </c>
      <c r="E2291" s="11" t="str">
        <f>_xlfn.XLOOKUP(Customer[[#This Row],[Customer ID]],[1]!Address[ID],[1]!Address[Full Address])</f>
        <v>NO.30 JALAN USJ 3A/10, 47600SUBANG JAYA, SELANGOR</v>
      </c>
      <c r="F2291" s="12" t="s">
        <v>14238</v>
      </c>
      <c r="G2291" s="12" t="s">
        <v>4439</v>
      </c>
      <c r="H2291" s="12" t="s">
        <v>36</v>
      </c>
      <c r="I2291" s="12" t="b">
        <f>ISNUMBER(VALUE(LEFT(Customer[[#This Row],[Address Line 3 (30 char)]],1)))</f>
        <v>0</v>
      </c>
      <c r="J2291" s="12" t="s">
        <v>172</v>
      </c>
      <c r="K2291" s="12">
        <v>47600</v>
      </c>
      <c r="L2291" s="12" t="s">
        <v>35</v>
      </c>
      <c r="M2291" s="13" t="e">
        <v>#N/A</v>
      </c>
      <c r="N2291" s="14" t="e">
        <v>#N/A</v>
      </c>
      <c r="O2291" s="14" t="e">
        <v>#N/A</v>
      </c>
      <c r="P2291" s="14" t="e">
        <v>#N/A</v>
      </c>
      <c r="Q2291" s="120" t="s">
        <v>14239</v>
      </c>
      <c r="R2291" s="15" t="s">
        <v>14240</v>
      </c>
      <c r="S2291" s="15" t="s">
        <v>4271</v>
      </c>
      <c r="T2291" s="16" t="s">
        <v>89</v>
      </c>
      <c r="U2291" s="11" t="str">
        <f>_xlfn.XLOOKUP(Customer[[#This Row],[Customer ID]],[1]!Address[ID],[1]!Address[Phone No.(2)])</f>
        <v/>
      </c>
      <c r="V2291" s="11" t="str">
        <f>_xlfn.XLOOKUP(Customer[[#This Row],[Customer ID]],[1]!Address[ID],[1]!Address[Type])</f>
        <v>SOCMED</v>
      </c>
      <c r="W2291" s="11" t="str">
        <f>_xlfn.XLOOKUP(Customer[[#This Row],[Customer ID]],[1]!Address[ID],[1]!Address[CT])</f>
        <v/>
      </c>
      <c r="X2291" s="11"/>
      <c r="Y2291" s="17" t="s">
        <v>90</v>
      </c>
      <c r="Z2291" s="17" t="e">
        <f>_xlfn.XLOOKUP(Customer[[#This Row],[NewType]],$AF$36:$AF$54,$AG$36:$AG$54)</f>
        <v>#N/A</v>
      </c>
      <c r="AA2291" s="17" t="s">
        <v>14241</v>
      </c>
      <c r="AB2291" s="11" t="str">
        <f>_xlfn.XLOOKUP(Customer[[#This Row],[Customer ID]],[1]!Address[ID],[1]!Address[Subtype])</f>
        <v>WHATSAPP</v>
      </c>
      <c r="AC2291" s="18" t="str">
        <f>_xlfn.XLOOKUP(Customer[[#This Row],[Customer ID]],[1]!Address[ID],[1]!Address[Zone])</f>
        <v>CENTRAL</v>
      </c>
    </row>
    <row r="2292" spans="1:29" x14ac:dyDescent="0.3">
      <c r="A2292" s="10" t="s">
        <v>14242</v>
      </c>
      <c r="B2292" s="11" t="str">
        <f>_xlfn.XLOOKUP(Customer[[#This Row],[Customer ID]],[1]!Name[ID],[1]!Name[Description(1)])</f>
        <v>STAR GROCER SDN BHD-RAWANG</v>
      </c>
      <c r="C2292" s="11" t="str">
        <f>_xlfn.XLOOKUP(Customer[[#This Row],[Customer ID]],[1]!Name[ID],[1]!Name[Description(2)])</f>
        <v/>
      </c>
      <c r="D2292" s="11" t="str">
        <f>_xlfn.XLOOKUP(Customer[[#This Row],[Customer ID]],[1]!Address[ID],[1]!Address[PIC])</f>
        <v/>
      </c>
      <c r="E2292" s="11" t="str">
        <f>_xlfn.XLOOKUP(Customer[[#This Row],[Customer ID]],[1]!Address[ID],[1]!Address[Full Address])</f>
        <v>LOT 85B,JALAN INDUSTRI 3/1,RAWANG INTEGRATED PARK,48000 RAWANG SELANGOR</v>
      </c>
      <c r="F2292" s="12" t="s">
        <v>14243</v>
      </c>
      <c r="G2292" s="12" t="s">
        <v>14244</v>
      </c>
      <c r="H2292" s="24" t="s">
        <v>7979</v>
      </c>
      <c r="I2292" s="24" t="b">
        <f>ISNUMBER(VALUE(LEFT(Customer[[#This Row],[Address Line 3 (30 char)]],1)))</f>
        <v>0</v>
      </c>
      <c r="J2292" s="12" t="s">
        <v>172</v>
      </c>
      <c r="K2292" s="12">
        <v>48000</v>
      </c>
      <c r="L2292" s="12" t="s">
        <v>35</v>
      </c>
      <c r="M2292" s="13" t="e">
        <v>#N/A</v>
      </c>
      <c r="N2292" s="14" t="e">
        <v>#N/A</v>
      </c>
      <c r="O2292" s="14" t="e">
        <v>#N/A</v>
      </c>
      <c r="P2292" s="14" t="e">
        <v>#N/A</v>
      </c>
      <c r="Q2292" s="19" t="s">
        <v>10583</v>
      </c>
      <c r="R2292" s="15" t="s">
        <v>10584</v>
      </c>
      <c r="S2292" s="15" t="s">
        <v>5925</v>
      </c>
      <c r="T2292" s="16" t="s">
        <v>3477</v>
      </c>
      <c r="U2292" s="11" t="str">
        <f>_xlfn.XLOOKUP(Customer[[#This Row],[Customer ID]],[1]!Address[ID],[1]!Address[Phone No.(2)])</f>
        <v/>
      </c>
      <c r="V2292" s="11" t="str">
        <f>_xlfn.XLOOKUP(Customer[[#This Row],[Customer ID]],[1]!Address[ID],[1]!Address[Type])</f>
        <v>HM</v>
      </c>
      <c r="W2292" s="11" t="str">
        <f>_xlfn.XLOOKUP(Customer[[#This Row],[Customer ID]],[1]!Address[ID],[1]!Address[CT])</f>
        <v>60 DAYS</v>
      </c>
      <c r="X2292" s="11"/>
      <c r="Y2292" s="17" t="s">
        <v>5968</v>
      </c>
      <c r="Z2292" s="17" t="e">
        <f>_xlfn.XLOOKUP(Customer[[#This Row],[NewType]],$AF$36:$AF$54,$AG$36:$AG$54)</f>
        <v>#N/A</v>
      </c>
      <c r="AA2292" s="17" t="s">
        <v>14245</v>
      </c>
      <c r="AB2292" s="11" t="str">
        <f>_xlfn.XLOOKUP(Customer[[#This Row],[Customer ID]],[1]!Address[ID],[1]!Address[Subtype])</f>
        <v>STAR GROCER</v>
      </c>
      <c r="AC2292" s="18" t="str">
        <f>_xlfn.XLOOKUP(Customer[[#This Row],[Customer ID]],[1]!Address[ID],[1]!Address[Zone])</f>
        <v>CENTRAL</v>
      </c>
    </row>
    <row r="2293" spans="1:29" x14ac:dyDescent="0.3">
      <c r="A2293" s="45" t="s">
        <v>14246</v>
      </c>
      <c r="B2293" s="32" t="str">
        <f>_xlfn.XLOOKUP(Customer[[#This Row],[Customer ID]],[1]!Name[ID],[1]!Name[Description(1)])</f>
        <v>SHAIDA BT ABD KHAIR</v>
      </c>
      <c r="C2293" s="32" t="str">
        <f>_xlfn.XLOOKUP(Customer[[#This Row],[Customer ID]],[1]!Name[ID],[1]!Name[Description(2)])</f>
        <v/>
      </c>
      <c r="D2293" s="11" t="str">
        <f>_xlfn.XLOOKUP(Customer[[#This Row],[Customer ID]],[1]!Address[ID],[1]!Address[PIC])</f>
        <v/>
      </c>
      <c r="E2293" s="11" t="str">
        <f>_xlfn.XLOOKUP(Customer[[#This Row],[Customer ID]],[1]!Address[ID],[1]!Address[Full Address])</f>
        <v>HOTEL RASAH</v>
      </c>
      <c r="F2293" s="12" t="s">
        <v>14247</v>
      </c>
      <c r="G2293" s="12" t="s">
        <v>36</v>
      </c>
      <c r="H2293" s="12" t="s">
        <v>36</v>
      </c>
      <c r="I2293" s="12" t="b">
        <f>ISNUMBER(VALUE(LEFT(Customer[[#This Row],[Address Line 3 (30 char)]],1)))</f>
        <v>0</v>
      </c>
      <c r="J2293" s="32" t="s">
        <v>203</v>
      </c>
      <c r="K2293" s="32"/>
      <c r="L2293" s="12" t="s">
        <v>35</v>
      </c>
      <c r="M2293" s="13" t="e">
        <v>#N/A</v>
      </c>
      <c r="N2293" s="14" t="e">
        <v>#N/A</v>
      </c>
      <c r="O2293" s="14" t="e">
        <v>#N/A</v>
      </c>
      <c r="P2293" s="14" t="e">
        <v>#N/A</v>
      </c>
      <c r="Q2293" s="19" t="s">
        <v>14248</v>
      </c>
      <c r="R2293" s="15" t="s">
        <v>14249</v>
      </c>
      <c r="S2293" s="16" t="s">
        <v>89</v>
      </c>
      <c r="T2293" s="16" t="s">
        <v>89</v>
      </c>
      <c r="U2293" s="11" t="str">
        <f>_xlfn.XLOOKUP(Customer[[#This Row],[Customer ID]],[1]!Address[ID],[1]!Address[Phone No.(2)])</f>
        <v/>
      </c>
      <c r="V2293" s="11" t="str">
        <f>_xlfn.XLOOKUP(Customer[[#This Row],[Customer ID]],[1]!Address[ID],[1]!Address[Type])</f>
        <v>WALK IN</v>
      </c>
      <c r="W2293" s="11" t="str">
        <f>_xlfn.XLOOKUP(Customer[[#This Row],[Customer ID]],[1]!Address[ID],[1]!Address[CT])</f>
        <v/>
      </c>
      <c r="X2293" s="11"/>
      <c r="Y2293" s="17" t="s">
        <v>6284</v>
      </c>
      <c r="Z2293" s="17" t="e">
        <f>_xlfn.XLOOKUP(Customer[[#This Row],[NewType]],$AF$36:$AF$54,$AG$36:$AG$54)</f>
        <v>#N/A</v>
      </c>
      <c r="AA2293" s="17" t="s">
        <v>14250</v>
      </c>
      <c r="AB2293" s="11" t="str">
        <f>_xlfn.XLOOKUP(Customer[[#This Row],[Customer ID]],[1]!Address[ID],[1]!Address[Subtype])</f>
        <v>PEDAS</v>
      </c>
      <c r="AC2293" s="18" t="str">
        <f>_xlfn.XLOOKUP(Customer[[#This Row],[Customer ID]],[1]!Address[ID],[1]!Address[Zone])</f>
        <v>SOUTH</v>
      </c>
    </row>
    <row r="2294" spans="1:29" x14ac:dyDescent="0.3">
      <c r="A2294" s="10" t="s">
        <v>14251</v>
      </c>
      <c r="B2294" s="11" t="str">
        <f>_xlfn.XLOOKUP(Customer[[#This Row],[Customer ID]],[1]!Name[ID],[1]!Name[Description(1)])</f>
        <v>SEIBU</v>
      </c>
      <c r="C2294" s="11" t="str">
        <f>_xlfn.XLOOKUP(Customer[[#This Row],[Customer ID]],[1]!Name[ID],[1]!Name[Description(2)])</f>
        <v>SOGO KL DEPARTMENT STORE SDN BHD</v>
      </c>
      <c r="D2294" s="11" t="str">
        <f>_xlfn.XLOOKUP(Customer[[#This Row],[Customer ID]],[1]!Address[ID],[1]!Address[PIC])</f>
        <v>PIC</v>
      </c>
      <c r="E2294" s="11" t="str">
        <f>_xlfn.XLOOKUP(Customer[[#This Row],[Customer ID]],[1]!Address[ID],[1]!Address[Full Address])</f>
        <v>TINGKAT 8,KOMPLEKS SOGO, 190JALAN TUANKU ABDUL RAHMAN50100 KUALA LUMPUR</v>
      </c>
      <c r="F2294" s="12" t="s">
        <v>14252</v>
      </c>
      <c r="G2294" s="12" t="s">
        <v>14253</v>
      </c>
      <c r="H2294" s="24"/>
      <c r="I2294" s="24" t="b">
        <f>ISNUMBER(VALUE(LEFT(Customer[[#This Row],[Address Line 3 (30 char)]],1)))</f>
        <v>0</v>
      </c>
      <c r="J2294" s="12" t="s">
        <v>8855</v>
      </c>
      <c r="K2294" s="12">
        <v>50100</v>
      </c>
      <c r="L2294" s="12" t="s">
        <v>35</v>
      </c>
      <c r="M2294" s="13">
        <v>199001003704</v>
      </c>
      <c r="N2294" s="14" t="s">
        <v>14254</v>
      </c>
      <c r="O2294" s="14" t="e">
        <v>#N/A</v>
      </c>
      <c r="P2294" s="14" t="e">
        <v>#N/A</v>
      </c>
      <c r="Q2294" s="19" t="s">
        <v>14255</v>
      </c>
      <c r="R2294" s="15" t="s">
        <v>14256</v>
      </c>
      <c r="S2294" s="15" t="s">
        <v>5934</v>
      </c>
      <c r="T2294" s="16" t="s">
        <v>3477</v>
      </c>
      <c r="U2294" s="11" t="str">
        <f>_xlfn.XLOOKUP(Customer[[#This Row],[Customer ID]],[1]!Address[ID],[1]!Address[Phone No.(2)])</f>
        <v/>
      </c>
      <c r="V2294" s="11" t="str">
        <f>_xlfn.XLOOKUP(Customer[[#This Row],[Customer ID]],[1]!Address[ID],[1]!Address[Type])</f>
        <v>CM</v>
      </c>
      <c r="W2294" s="11" t="str">
        <f>_xlfn.XLOOKUP(Customer[[#This Row],[Customer ID]],[1]!Address[ID],[1]!Address[CT])</f>
        <v>30 DAYS</v>
      </c>
      <c r="X2294" s="11"/>
      <c r="Y2294" s="17" t="s">
        <v>5918</v>
      </c>
      <c r="Z2294" s="17" t="e">
        <f>_xlfn.XLOOKUP(Customer[[#This Row],[NewType]],$AF$36:$AF$54,$AG$36:$AG$54)</f>
        <v>#N/A</v>
      </c>
      <c r="AA2294" s="17" t="s">
        <v>14257</v>
      </c>
      <c r="AB2294" s="11" t="str">
        <f>_xlfn.XLOOKUP(Customer[[#This Row],[Customer ID]],[1]!Address[ID],[1]!Address[Subtype])</f>
        <v>SEIBU</v>
      </c>
      <c r="AC2294" s="18" t="str">
        <f>_xlfn.XLOOKUP(Customer[[#This Row],[Customer ID]],[1]!Address[ID],[1]!Address[Zone])</f>
        <v>CENTRAL</v>
      </c>
    </row>
    <row r="2295" spans="1:29" x14ac:dyDescent="0.3">
      <c r="A2295" s="10" t="s">
        <v>14258</v>
      </c>
      <c r="B2295" s="11" t="str">
        <f>_xlfn.XLOOKUP(Customer[[#This Row],[Customer ID]],[1]!Name[ID],[1]!Name[Description(1)])</f>
        <v>MESRA RETAIL &amp; CAFE SDN BHD</v>
      </c>
      <c r="C2295" s="11" t="str">
        <f>_xlfn.XLOOKUP(Customer[[#This Row],[Customer ID]],[1]!Name[ID],[1]!Name[Description(2)])</f>
        <v>CM KOMPLEKS KERAJAAN PARCEL F</v>
      </c>
      <c r="D2295" s="11" t="str">
        <f>_xlfn.XLOOKUP(Customer[[#This Row],[Customer ID]],[1]!Address[ID],[1]!Address[PIC])</f>
        <v/>
      </c>
      <c r="E2295" s="11" t="str">
        <f>_xlfn.XLOOKUP(Customer[[#This Row],[Customer ID]],[1]!Address[ID],[1]!Address[Full Address])</f>
        <v>CM KOMPLEKS KERAJAAN PARCEL FAras 1, Blok F8, Kompleks KerajaanParcel F, Lebuh Perdana Timur,Presint 1, 62000 Putrajaya, Wilayah</v>
      </c>
      <c r="F2295" s="12" t="s">
        <v>14259</v>
      </c>
      <c r="G2295" s="12" t="s">
        <v>14260</v>
      </c>
      <c r="H2295" s="12" t="s">
        <v>14261</v>
      </c>
      <c r="I2295" s="12" t="b">
        <f>ISNUMBER(VALUE(LEFT(Customer[[#This Row],[Address Line 3 (30 char)]],1)))</f>
        <v>0</v>
      </c>
      <c r="J2295" s="12" t="s">
        <v>172</v>
      </c>
      <c r="K2295" s="12">
        <v>62000</v>
      </c>
      <c r="L2295" s="12" t="s">
        <v>35</v>
      </c>
      <c r="M2295" s="13" t="e">
        <v>#N/A</v>
      </c>
      <c r="N2295" s="14" t="e">
        <v>#N/A</v>
      </c>
      <c r="O2295" s="14" t="e">
        <v>#N/A</v>
      </c>
      <c r="P2295" s="14" t="e">
        <v>#N/A</v>
      </c>
      <c r="Q2295" s="19" t="s">
        <v>14262</v>
      </c>
      <c r="R2295" s="15" t="s">
        <v>11928</v>
      </c>
      <c r="S2295" s="15" t="s">
        <v>37</v>
      </c>
      <c r="T2295" s="16" t="s">
        <v>38</v>
      </c>
      <c r="U2295" s="11" t="str">
        <f>_xlfn.XLOOKUP(Customer[[#This Row],[Customer ID]],[1]!Address[ID],[1]!Address[Phone No.(2)])</f>
        <v/>
      </c>
      <c r="V2295" s="11" t="str">
        <f>_xlfn.XLOOKUP(Customer[[#This Row],[Customer ID]],[1]!Address[ID],[1]!Address[Type])</f>
        <v>PETROMART</v>
      </c>
      <c r="W2295" s="11" t="str">
        <f>_xlfn.XLOOKUP(Customer[[#This Row],[Customer ID]],[1]!Address[ID],[1]!Address[CT])</f>
        <v>30</v>
      </c>
      <c r="X2295" s="11" t="s">
        <v>39</v>
      </c>
      <c r="Y2295" s="17" t="s">
        <v>40</v>
      </c>
      <c r="Z2295" s="17" t="e">
        <f>_xlfn.XLOOKUP(Customer[[#This Row],[NewType]],$AF$36:$AF$54,$AG$36:$AG$54)</f>
        <v>#N/A</v>
      </c>
      <c r="AA2295" s="17" t="s">
        <v>14263</v>
      </c>
      <c r="AB2295" s="11" t="str">
        <f>_xlfn.XLOOKUP(Customer[[#This Row],[Customer ID]],[1]!Address[ID],[1]!Address[Subtype])</f>
        <v>PETRONAS</v>
      </c>
      <c r="AC2295" s="18" t="str">
        <f>_xlfn.XLOOKUP(Customer[[#This Row],[Customer ID]],[1]!Address[ID],[1]!Address[Zone])</f>
        <v>CENTRAL</v>
      </c>
    </row>
    <row r="2296" spans="1:29" x14ac:dyDescent="0.3">
      <c r="A2296" s="10" t="s">
        <v>14264</v>
      </c>
      <c r="B2296" s="11" t="str">
        <f>_xlfn.XLOOKUP(Customer[[#This Row],[Customer ID]],[1]!Name[ID],[1]!Name[Description(1)])</f>
        <v>TEAN SENG SDN BHD</v>
      </c>
      <c r="C2296" s="11" t="str">
        <f>_xlfn.XLOOKUP(Customer[[#This Row],[Customer ID]],[1]!Name[ID],[1]!Name[Description(2)])</f>
        <v>LED</v>
      </c>
      <c r="D2296" s="11" t="str">
        <f>_xlfn.XLOOKUP(Customer[[#This Row],[Customer ID]],[1]!Address[ID],[1]!Address[PIC])</f>
        <v/>
      </c>
      <c r="E2296" s="11" t="str">
        <f>_xlfn.XLOOKUP(Customer[[#This Row],[Customer ID]],[1]!Address[ID],[1]!Address[Full Address])</f>
        <v>PT 4144, KAWASAN PERINDUSTRIANPENGKALAN CHEPA FASA II16100 KOTA BHARU</v>
      </c>
      <c r="F2296" s="12" t="s">
        <v>9359</v>
      </c>
      <c r="G2296" s="12" t="s">
        <v>14265</v>
      </c>
      <c r="H2296" s="24" t="s">
        <v>2824</v>
      </c>
      <c r="I2296" s="24" t="b">
        <f>ISNUMBER(VALUE(LEFT(Customer[[#This Row],[Address Line 3 (30 char)]],1)))</f>
        <v>0</v>
      </c>
      <c r="J2296" s="12" t="s">
        <v>1007</v>
      </c>
      <c r="K2296" s="12">
        <v>16100</v>
      </c>
      <c r="L2296" s="12" t="s">
        <v>35</v>
      </c>
      <c r="M2296" s="13" t="e">
        <v>#N/A</v>
      </c>
      <c r="N2296" s="14" t="e">
        <v>#N/A</v>
      </c>
      <c r="O2296" s="14" t="e">
        <v>#N/A</v>
      </c>
      <c r="P2296" s="14" t="e">
        <v>#N/A</v>
      </c>
      <c r="Q2296" s="19" t="s">
        <v>14266</v>
      </c>
      <c r="R2296" s="15" t="s">
        <v>9363</v>
      </c>
      <c r="S2296" s="15" t="s">
        <v>5917</v>
      </c>
      <c r="T2296" s="16" t="s">
        <v>3477</v>
      </c>
      <c r="U2296" s="11" t="str">
        <f>_xlfn.XLOOKUP(Customer[[#This Row],[Customer ID]],[1]!Address[ID],[1]!Address[Phone No.(2)])</f>
        <v/>
      </c>
      <c r="V2296" s="11" t="str">
        <f>_xlfn.XLOOKUP(Customer[[#This Row],[Customer ID]],[1]!Address[ID],[1]!Address[Type])</f>
        <v>BODG</v>
      </c>
      <c r="W2296" s="11" t="str">
        <f>_xlfn.XLOOKUP(Customer[[#This Row],[Customer ID]],[1]!Address[ID],[1]!Address[CT])</f>
        <v>CASH</v>
      </c>
      <c r="X2296" s="11"/>
      <c r="Y2296" s="17" t="s">
        <v>13115</v>
      </c>
      <c r="Z2296" s="17" t="e">
        <f>_xlfn.XLOOKUP(Customer[[#This Row],[NewType]],$AF$36:$AF$54,$AG$36:$AG$54)</f>
        <v>#N/A</v>
      </c>
      <c r="AA2296" s="17" t="s">
        <v>14267</v>
      </c>
      <c r="AB2296" s="11" t="str">
        <f>_xlfn.XLOOKUP(Customer[[#This Row],[Customer ID]],[1]!Address[ID],[1]!Address[Subtype])</f>
        <v>LED</v>
      </c>
      <c r="AC2296" s="18" t="str">
        <f>_xlfn.XLOOKUP(Customer[[#This Row],[Customer ID]],[1]!Address[ID],[1]!Address[Zone])</f>
        <v>EAST COAST</v>
      </c>
    </row>
    <row r="2297" spans="1:29" x14ac:dyDescent="0.3">
      <c r="A2297" s="10" t="s">
        <v>14268</v>
      </c>
      <c r="B2297" s="11" t="str">
        <f>_xlfn.XLOOKUP(Customer[[#This Row],[Customer ID]],[1]!Name[ID],[1]!Name[Description(1)])</f>
        <v>NUR SYUHADAH BINTI ZAKARIA</v>
      </c>
      <c r="C2297" s="11" t="str">
        <f>_xlfn.XLOOKUP(Customer[[#This Row],[Customer ID]],[1]!Name[ID],[1]!Name[Description(2)])</f>
        <v/>
      </c>
      <c r="D2297" s="11" t="str">
        <f>_xlfn.XLOOKUP(Customer[[#This Row],[Customer ID]],[1]!Address[ID],[1]!Address[PIC])</f>
        <v/>
      </c>
      <c r="E2297" s="11" t="str">
        <f>_xlfn.XLOOKUP(Customer[[#This Row],[Customer ID]],[1]!Address[ID],[1]!Address[Full Address])</f>
        <v>KAMPUNG SUNGAI BATU,71400 PEDAS NEGERI SEMBILAN</v>
      </c>
      <c r="F2297" s="12" t="s">
        <v>14269</v>
      </c>
      <c r="G2297" s="12" t="s">
        <v>8914</v>
      </c>
      <c r="H2297" s="12" t="s">
        <v>36</v>
      </c>
      <c r="I2297" s="12" t="b">
        <f>ISNUMBER(VALUE(LEFT(Customer[[#This Row],[Address Line 3 (30 char)]],1)))</f>
        <v>0</v>
      </c>
      <c r="J2297" s="12" t="s">
        <v>2004</v>
      </c>
      <c r="K2297" s="12">
        <v>71400</v>
      </c>
      <c r="L2297" s="12" t="s">
        <v>35</v>
      </c>
      <c r="M2297" s="13" t="e">
        <v>#N/A</v>
      </c>
      <c r="N2297" s="14" t="e">
        <v>#N/A</v>
      </c>
      <c r="O2297" s="14" t="e">
        <v>#N/A</v>
      </c>
      <c r="P2297" s="14" t="e">
        <v>#N/A</v>
      </c>
      <c r="Q2297" s="19" t="s">
        <v>14270</v>
      </c>
      <c r="R2297" s="15" t="s">
        <v>14271</v>
      </c>
      <c r="S2297" s="16" t="s">
        <v>89</v>
      </c>
      <c r="T2297" s="16" t="s">
        <v>89</v>
      </c>
      <c r="U2297" s="11" t="str">
        <f>_xlfn.XLOOKUP(Customer[[#This Row],[Customer ID]],[1]!Address[ID],[1]!Address[Phone No.(2)])</f>
        <v/>
      </c>
      <c r="V2297" s="11" t="str">
        <f>_xlfn.XLOOKUP(Customer[[#This Row],[Customer ID]],[1]!Address[ID],[1]!Address[Type])</f>
        <v>WALK IN</v>
      </c>
      <c r="W2297" s="11" t="str">
        <f>_xlfn.XLOOKUP(Customer[[#This Row],[Customer ID]],[1]!Address[ID],[1]!Address[CT])</f>
        <v/>
      </c>
      <c r="X2297" s="11"/>
      <c r="Y2297" s="17" t="s">
        <v>6284</v>
      </c>
      <c r="Z2297" s="17" t="e">
        <f>_xlfn.XLOOKUP(Customer[[#This Row],[NewType]],$AF$36:$AF$54,$AG$36:$AG$54)</f>
        <v>#N/A</v>
      </c>
      <c r="AA2297" s="17" t="s">
        <v>14272</v>
      </c>
      <c r="AB2297" s="11" t="str">
        <f>_xlfn.XLOOKUP(Customer[[#This Row],[Customer ID]],[1]!Address[ID],[1]!Address[Subtype])</f>
        <v>STAFF</v>
      </c>
      <c r="AC2297" s="18" t="str">
        <f>_xlfn.XLOOKUP(Customer[[#This Row],[Customer ID]],[1]!Address[ID],[1]!Address[Zone])</f>
        <v>SOUTH</v>
      </c>
    </row>
    <row r="2298" spans="1:29" x14ac:dyDescent="0.3">
      <c r="A2298" s="10" t="s">
        <v>14273</v>
      </c>
      <c r="B2298" s="11" t="str">
        <f>_xlfn.XLOOKUP(Customer[[#This Row],[Customer ID]],[1]!Name[ID],[1]!Name[Description(1)])</f>
        <v>MOHAMAD FIRDAUS BIN ABDULLAH</v>
      </c>
      <c r="C2298" s="11" t="str">
        <f>_xlfn.XLOOKUP(Customer[[#This Row],[Customer ID]],[1]!Name[ID],[1]!Name[Description(2)])</f>
        <v/>
      </c>
      <c r="D2298" s="11" t="str">
        <f>_xlfn.XLOOKUP(Customer[[#This Row],[Customer ID]],[1]!Address[ID],[1]!Address[PIC])</f>
        <v>FIRDAUS</v>
      </c>
      <c r="E2298" s="11" t="str">
        <f>_xlfn.XLOOKUP(Customer[[#This Row],[Customer ID]],[1]!Address[ID],[1]!Address[Full Address])</f>
        <v>NO 14, JALAN SEROJA INDAH 3,TAMAN SEROJA INDAH 83000 BATUPAHAT, JOHOR</v>
      </c>
      <c r="F2298" s="12" t="s">
        <v>14274</v>
      </c>
      <c r="G2298" s="12" t="s">
        <v>14275</v>
      </c>
      <c r="H2298" s="12" t="s">
        <v>5764</v>
      </c>
      <c r="I2298" s="12" t="b">
        <f>ISNUMBER(VALUE(LEFT(Customer[[#This Row],[Address Line 3 (30 char)]],1)))</f>
        <v>0</v>
      </c>
      <c r="J2298" s="12" t="s">
        <v>52</v>
      </c>
      <c r="K2298" s="12">
        <v>83000</v>
      </c>
      <c r="L2298" s="12" t="s">
        <v>35</v>
      </c>
      <c r="M2298" s="13" t="e">
        <v>#N/A</v>
      </c>
      <c r="N2298" s="14" t="e">
        <v>#N/A</v>
      </c>
      <c r="O2298" s="14" t="e">
        <v>#N/A</v>
      </c>
      <c r="P2298" s="14" t="e">
        <v>#N/A</v>
      </c>
      <c r="Q2298" s="19" t="s">
        <v>14276</v>
      </c>
      <c r="R2298" s="15" t="s">
        <v>14277</v>
      </c>
      <c r="S2298" s="16" t="s">
        <v>89</v>
      </c>
      <c r="T2298" s="16" t="s">
        <v>89</v>
      </c>
      <c r="U2298" s="11" t="str">
        <f>_xlfn.XLOOKUP(Customer[[#This Row],[Customer ID]],[1]!Address[ID],[1]!Address[Phone No.(2)])</f>
        <v/>
      </c>
      <c r="V2298" s="11" t="str">
        <f>_xlfn.XLOOKUP(Customer[[#This Row],[Customer ID]],[1]!Address[ID],[1]!Address[Type])</f>
        <v>WALK IN</v>
      </c>
      <c r="W2298" s="11" t="str">
        <f>_xlfn.XLOOKUP(Customer[[#This Row],[Customer ID]],[1]!Address[ID],[1]!Address[CT])</f>
        <v/>
      </c>
      <c r="X2298" s="11"/>
      <c r="Y2298" s="17" t="s">
        <v>6284</v>
      </c>
      <c r="Z2298" s="17" t="e">
        <f>_xlfn.XLOOKUP(Customer[[#This Row],[NewType]],$AF$36:$AF$54,$AG$36:$AG$54)</f>
        <v>#N/A</v>
      </c>
      <c r="AA2298" s="17" t="s">
        <v>14278</v>
      </c>
      <c r="AB2298" s="11" t="str">
        <f>_xlfn.XLOOKUP(Customer[[#This Row],[Customer ID]],[1]!Address[ID],[1]!Address[Subtype])</f>
        <v>PEDAS</v>
      </c>
      <c r="AC2298" s="18" t="str">
        <f>_xlfn.XLOOKUP(Customer[[#This Row],[Customer ID]],[1]!Address[ID],[1]!Address[Zone])</f>
        <v>SOUTH</v>
      </c>
    </row>
    <row r="2299" spans="1:29" x14ac:dyDescent="0.3">
      <c r="A2299" s="10" t="s">
        <v>14279</v>
      </c>
      <c r="B2299" s="11" t="str">
        <f>_xlfn.XLOOKUP(Customer[[#This Row],[Customer ID]],[1]!Name[ID],[1]!Name[Description(1)])</f>
        <v>JUNAIDAH BINTI JAMNI (LLM)</v>
      </c>
      <c r="C2299" s="11" t="str">
        <f>_xlfn.XLOOKUP(Customer[[#This Row],[Customer ID]],[1]!Name[ID],[1]!Name[Description(2)])</f>
        <v/>
      </c>
      <c r="D2299" s="11" t="str">
        <f>_xlfn.XLOOKUP(Customer[[#This Row],[Customer ID]],[1]!Address[ID],[1]!Address[PIC])</f>
        <v>JUNAIDAH</v>
      </c>
      <c r="E2299" s="11" t="str">
        <f>_xlfn.XLOOKUP(Customer[[#This Row],[Customer ID]],[1]!Address[ID],[1]!Address[Full Address])</f>
        <v>IBU PEJABAT LEMBAGA LEBUHRAYAMALAYSIA,KM 6,JALAN SERDANG-KAJANG43000 KAJANG,SELANGOR</v>
      </c>
      <c r="F2299" s="63" t="s">
        <v>14280</v>
      </c>
      <c r="G2299" s="63" t="s">
        <v>14281</v>
      </c>
      <c r="H2299" s="63" t="s">
        <v>14282</v>
      </c>
      <c r="I2299" s="63" t="b">
        <f>ISNUMBER(VALUE(LEFT(Customer[[#This Row],[Address Line 3 (30 char)]],1)))</f>
        <v>0</v>
      </c>
      <c r="J2299" s="63" t="s">
        <v>172</v>
      </c>
      <c r="K2299" s="63">
        <v>43000</v>
      </c>
      <c r="L2299" s="63" t="s">
        <v>35</v>
      </c>
      <c r="M2299" s="65" t="e">
        <v>#N/A</v>
      </c>
      <c r="N2299" s="66" t="e">
        <v>#N/A</v>
      </c>
      <c r="O2299" s="66" t="e">
        <v>#N/A</v>
      </c>
      <c r="P2299" s="66" t="e">
        <v>#N/A</v>
      </c>
      <c r="Q2299" s="110" t="s">
        <v>14283</v>
      </c>
      <c r="R2299" s="15" t="s">
        <v>14284</v>
      </c>
      <c r="S2299" s="15" t="s">
        <v>4271</v>
      </c>
      <c r="T2299" s="16" t="s">
        <v>89</v>
      </c>
      <c r="U2299" s="11" t="str">
        <f>_xlfn.XLOOKUP(Customer[[#This Row],[Customer ID]],[1]!Address[ID],[1]!Address[Phone No.(2)])</f>
        <v/>
      </c>
      <c r="V2299" s="11" t="str">
        <f>_xlfn.XLOOKUP(Customer[[#This Row],[Customer ID]],[1]!Address[ID],[1]!Address[Type])</f>
        <v>SOCMED</v>
      </c>
      <c r="W2299" s="11" t="str">
        <f>_xlfn.XLOOKUP(Customer[[#This Row],[Customer ID]],[1]!Address[ID],[1]!Address[CT])</f>
        <v/>
      </c>
      <c r="X2299" s="11"/>
      <c r="Y2299" s="17" t="s">
        <v>90</v>
      </c>
      <c r="Z2299" s="17" t="e">
        <f>_xlfn.XLOOKUP(Customer[[#This Row],[NewType]],$AF$36:$AF$54,$AG$36:$AG$54)</f>
        <v>#N/A</v>
      </c>
      <c r="AA2299" s="17" t="s">
        <v>14285</v>
      </c>
      <c r="AB2299" s="11" t="str">
        <f>_xlfn.XLOOKUP(Customer[[#This Row],[Customer ID]],[1]!Address[ID],[1]!Address[Subtype])</f>
        <v>WHATSAPP</v>
      </c>
      <c r="AC2299" s="18" t="str">
        <f>_xlfn.XLOOKUP(Customer[[#This Row],[Customer ID]],[1]!Address[ID],[1]!Address[Zone])</f>
        <v>CENTRAL</v>
      </c>
    </row>
    <row r="2300" spans="1:29" x14ac:dyDescent="0.3">
      <c r="A2300" s="10" t="s">
        <v>14286</v>
      </c>
      <c r="B2300" s="11" t="str">
        <f>_xlfn.XLOOKUP(Customer[[#This Row],[Customer ID]],[1]!Name[ID],[1]!Name[Description(1)])</f>
        <v>ADLI NOR BIN AHMAD KAMAR</v>
      </c>
      <c r="C2300" s="11" t="str">
        <f>_xlfn.XLOOKUP(Customer[[#This Row],[Customer ID]],[1]!Name[ID],[1]!Name[Description(2)])</f>
        <v/>
      </c>
      <c r="D2300" s="11" t="str">
        <f>_xlfn.XLOOKUP(Customer[[#This Row],[Customer ID]],[1]!Address[ID],[1]!Address[PIC])</f>
        <v/>
      </c>
      <c r="E2300" s="11" t="str">
        <f>_xlfn.XLOOKUP(Customer[[#This Row],[Customer ID]],[1]!Address[ID],[1]!Address[Full Address])</f>
        <v>NO 12, JALAN RT 8A,TAMAN RAMBAI TENGAH,75260 MELAKA</v>
      </c>
      <c r="F2300" s="12" t="s">
        <v>14287</v>
      </c>
      <c r="G2300" s="12" t="s">
        <v>14288</v>
      </c>
      <c r="H2300" s="24"/>
      <c r="I2300" s="24" t="b">
        <f>ISNUMBER(VALUE(LEFT(Customer[[#This Row],[Address Line 3 (30 char)]],1)))</f>
        <v>0</v>
      </c>
      <c r="J2300" s="12" t="s">
        <v>61</v>
      </c>
      <c r="K2300" s="12">
        <v>75260</v>
      </c>
      <c r="L2300" s="12" t="s">
        <v>35</v>
      </c>
      <c r="M2300" s="13" t="e">
        <v>#N/A</v>
      </c>
      <c r="N2300" s="14" t="e">
        <v>#N/A</v>
      </c>
      <c r="O2300" s="14" t="e">
        <v>#N/A</v>
      </c>
      <c r="P2300" s="14" t="e">
        <v>#N/A</v>
      </c>
      <c r="Q2300" s="19" t="s">
        <v>14289</v>
      </c>
      <c r="R2300" s="15" t="s">
        <v>14290</v>
      </c>
      <c r="S2300" s="16" t="s">
        <v>89</v>
      </c>
      <c r="T2300" s="16" t="s">
        <v>89</v>
      </c>
      <c r="U2300" s="11" t="str">
        <f>_xlfn.XLOOKUP(Customer[[#This Row],[Customer ID]],[1]!Address[ID],[1]!Address[Phone No.(2)])</f>
        <v/>
      </c>
      <c r="V2300" s="11" t="str">
        <f>_xlfn.XLOOKUP(Customer[[#This Row],[Customer ID]],[1]!Address[ID],[1]!Address[Type])</f>
        <v>WALK IN</v>
      </c>
      <c r="W2300" s="11" t="str">
        <f>_xlfn.XLOOKUP(Customer[[#This Row],[Customer ID]],[1]!Address[ID],[1]!Address[CT])</f>
        <v/>
      </c>
      <c r="X2300" s="11"/>
      <c r="Y2300" s="17" t="s">
        <v>6284</v>
      </c>
      <c r="Z2300" s="17" t="e">
        <f>_xlfn.XLOOKUP(Customer[[#This Row],[NewType]],$AF$36:$AF$54,$AG$36:$AG$54)</f>
        <v>#N/A</v>
      </c>
      <c r="AA2300" s="17" t="s">
        <v>14291</v>
      </c>
      <c r="AB2300" s="11" t="str">
        <f>_xlfn.XLOOKUP(Customer[[#This Row],[Customer ID]],[1]!Address[ID],[1]!Address[Subtype])</f>
        <v>PEDAS</v>
      </c>
      <c r="AC2300" s="18" t="str">
        <f>_xlfn.XLOOKUP(Customer[[#This Row],[Customer ID]],[1]!Address[ID],[1]!Address[Zone])</f>
        <v>SOUTH</v>
      </c>
    </row>
    <row r="2301" spans="1:29" x14ac:dyDescent="0.3">
      <c r="A2301" s="45" t="s">
        <v>14292</v>
      </c>
      <c r="B2301" s="32" t="str">
        <f>_xlfn.XLOOKUP(Customer[[#This Row],[Customer ID]],[1]!Name[ID],[1]!Name[Description(1)])</f>
        <v>SITI ZAFARIDAH</v>
      </c>
      <c r="C2301" s="32" t="str">
        <f>_xlfn.XLOOKUP(Customer[[#This Row],[Customer ID]],[1]!Name[ID],[1]!Name[Description(2)])</f>
        <v/>
      </c>
      <c r="D2301" s="11" t="str">
        <f>_xlfn.XLOOKUP(Customer[[#This Row],[Customer ID]],[1]!Address[ID],[1]!Address[PIC])</f>
        <v/>
      </c>
      <c r="E2301" s="11" t="str">
        <f>_xlfn.XLOOKUP(Customer[[#This Row],[Customer ID]],[1]!Address[ID],[1]!Address[Full Address])</f>
        <v>LOT 1575, KG. CHUAI HILIR,71300 REMBAU, NEGERI SEMBILAN</v>
      </c>
      <c r="F2301" s="12" t="s">
        <v>14293</v>
      </c>
      <c r="G2301" s="12" t="s">
        <v>7985</v>
      </c>
      <c r="H2301" s="12" t="s">
        <v>36</v>
      </c>
      <c r="I2301" s="12" t="b">
        <f>ISNUMBER(VALUE(LEFT(Customer[[#This Row],[Address Line 3 (30 char)]],1)))</f>
        <v>0</v>
      </c>
      <c r="J2301" s="32" t="s">
        <v>203</v>
      </c>
      <c r="K2301" s="32">
        <v>71300</v>
      </c>
      <c r="L2301" s="12" t="s">
        <v>35</v>
      </c>
      <c r="M2301" s="13" t="e">
        <v>#N/A</v>
      </c>
      <c r="N2301" s="14" t="e">
        <v>#N/A</v>
      </c>
      <c r="O2301" s="14" t="e">
        <v>#N/A</v>
      </c>
      <c r="P2301" s="14" t="e">
        <v>#N/A</v>
      </c>
      <c r="Q2301" s="19" t="s">
        <v>14294</v>
      </c>
      <c r="R2301" s="15" t="s">
        <v>14295</v>
      </c>
      <c r="S2301" s="16" t="s">
        <v>89</v>
      </c>
      <c r="T2301" s="16" t="s">
        <v>89</v>
      </c>
      <c r="U2301" s="11" t="str">
        <f>_xlfn.XLOOKUP(Customer[[#This Row],[Customer ID]],[1]!Address[ID],[1]!Address[Phone No.(2)])</f>
        <v/>
      </c>
      <c r="V2301" s="11" t="str">
        <f>_xlfn.XLOOKUP(Customer[[#This Row],[Customer ID]],[1]!Address[ID],[1]!Address[Type])</f>
        <v>WALK IN</v>
      </c>
      <c r="W2301" s="11" t="str">
        <f>_xlfn.XLOOKUP(Customer[[#This Row],[Customer ID]],[1]!Address[ID],[1]!Address[CT])</f>
        <v/>
      </c>
      <c r="X2301" s="11"/>
      <c r="Y2301" s="17" t="s">
        <v>6284</v>
      </c>
      <c r="Z2301" s="17" t="e">
        <f>_xlfn.XLOOKUP(Customer[[#This Row],[NewType]],$AF$36:$AF$54,$AG$36:$AG$54)</f>
        <v>#N/A</v>
      </c>
      <c r="AA2301" s="17" t="s">
        <v>14296</v>
      </c>
      <c r="AB2301" s="11" t="str">
        <f>_xlfn.XLOOKUP(Customer[[#This Row],[Customer ID]],[1]!Address[ID],[1]!Address[Subtype])</f>
        <v>PEDAS</v>
      </c>
      <c r="AC2301" s="18" t="str">
        <f>_xlfn.XLOOKUP(Customer[[#This Row],[Customer ID]],[1]!Address[ID],[1]!Address[Zone])</f>
        <v>SOUTH</v>
      </c>
    </row>
    <row r="2302" spans="1:29" x14ac:dyDescent="0.3">
      <c r="A2302" s="10" t="s">
        <v>14297</v>
      </c>
      <c r="B2302" s="11" t="str">
        <f>_xlfn.XLOOKUP(Customer[[#This Row],[Customer ID]],[1]!Name[ID],[1]!Name[Description(1)])</f>
        <v>NORIZAN BINTI ABU JAMAL</v>
      </c>
      <c r="C2302" s="11" t="str">
        <f>_xlfn.XLOOKUP(Customer[[#This Row],[Customer ID]],[1]!Name[ID],[1]!Name[Description(2)])</f>
        <v/>
      </c>
      <c r="D2302" s="11" t="str">
        <f>_xlfn.XLOOKUP(Customer[[#This Row],[Customer ID]],[1]!Address[ID],[1]!Address[PIC])</f>
        <v/>
      </c>
      <c r="E2302" s="11" t="str">
        <f>_xlfn.XLOOKUP(Customer[[#This Row],[Customer ID]],[1]!Address[ID],[1]!Address[Full Address])</f>
        <v>NO 117 JALAN SENDAYAN 3,TAMAN BUKIT SENDAYAN 71950NEGERI SEMBILAN</v>
      </c>
      <c r="F2302" s="12" t="s">
        <v>14298</v>
      </c>
      <c r="G2302" s="12" t="s">
        <v>14299</v>
      </c>
      <c r="H2302" s="12"/>
      <c r="I2302" s="12" t="b">
        <f>ISNUMBER(VALUE(LEFT(Customer[[#This Row],[Address Line 3 (30 char)]],1)))</f>
        <v>0</v>
      </c>
      <c r="J2302" s="12" t="s">
        <v>203</v>
      </c>
      <c r="K2302" s="12">
        <v>71950</v>
      </c>
      <c r="L2302" s="12" t="s">
        <v>35</v>
      </c>
      <c r="M2302" s="13" t="e">
        <v>#N/A</v>
      </c>
      <c r="N2302" s="14" t="e">
        <v>#N/A</v>
      </c>
      <c r="O2302" s="14" t="e">
        <v>#N/A</v>
      </c>
      <c r="P2302" s="14" t="e">
        <v>#N/A</v>
      </c>
      <c r="Q2302" s="19" t="s">
        <v>14300</v>
      </c>
      <c r="R2302" s="15" t="s">
        <v>14301</v>
      </c>
      <c r="S2302" s="16" t="s">
        <v>89</v>
      </c>
      <c r="T2302" s="16" t="s">
        <v>89</v>
      </c>
      <c r="U2302" s="11" t="str">
        <f>_xlfn.XLOOKUP(Customer[[#This Row],[Customer ID]],[1]!Address[ID],[1]!Address[Phone No.(2)])</f>
        <v/>
      </c>
      <c r="V2302" s="11" t="str">
        <f>_xlfn.XLOOKUP(Customer[[#This Row],[Customer ID]],[1]!Address[ID],[1]!Address[Type])</f>
        <v>WALK IN</v>
      </c>
      <c r="W2302" s="11" t="str">
        <f>_xlfn.XLOOKUP(Customer[[#This Row],[Customer ID]],[1]!Address[ID],[1]!Address[CT])</f>
        <v/>
      </c>
      <c r="X2302" s="11"/>
      <c r="Y2302" s="17" t="s">
        <v>6284</v>
      </c>
      <c r="Z2302" s="17" t="e">
        <f>_xlfn.XLOOKUP(Customer[[#This Row],[NewType]],$AF$36:$AF$54,$AG$36:$AG$54)</f>
        <v>#N/A</v>
      </c>
      <c r="AA2302" s="17" t="s">
        <v>14302</v>
      </c>
      <c r="AB2302" s="11" t="str">
        <f>_xlfn.XLOOKUP(Customer[[#This Row],[Customer ID]],[1]!Address[ID],[1]!Address[Subtype])</f>
        <v>PEDAS</v>
      </c>
      <c r="AC2302" s="18" t="str">
        <f>_xlfn.XLOOKUP(Customer[[#This Row],[Customer ID]],[1]!Address[ID],[1]!Address[Zone])</f>
        <v>SOUTH</v>
      </c>
    </row>
    <row r="2303" spans="1:29" x14ac:dyDescent="0.3">
      <c r="A2303" s="10" t="s">
        <v>14303</v>
      </c>
      <c r="B2303" s="11" t="str">
        <f>_xlfn.XLOOKUP(Customer[[#This Row],[Customer ID]],[1]!Name[ID],[1]!Name[Description(1)])</f>
        <v>MUHAMMAD FAQRUL REDHA BIN AHMAD TARMEJI</v>
      </c>
      <c r="C2303" s="11" t="str">
        <f>_xlfn.XLOOKUP(Customer[[#This Row],[Customer ID]],[1]!Name[ID],[1]!Name[Description(2)])</f>
        <v/>
      </c>
      <c r="D2303" s="11" t="str">
        <f>_xlfn.XLOOKUP(Customer[[#This Row],[Customer ID]],[1]!Address[ID],[1]!Address[PIC])</f>
        <v/>
      </c>
      <c r="E2303" s="11" t="str">
        <f>_xlfn.XLOOKUP(Customer[[#This Row],[Customer ID]],[1]!Address[ID],[1]!Address[Full Address])</f>
        <v>KAMPUNG PULAU BESAR, 71300,REMBAU, NEGERI SEMBILAN</v>
      </c>
      <c r="F2303" s="12" t="s">
        <v>14304</v>
      </c>
      <c r="G2303" s="12" t="s">
        <v>7985</v>
      </c>
      <c r="H2303" s="12" t="s">
        <v>36</v>
      </c>
      <c r="I2303" s="12" t="b">
        <f>ISNUMBER(VALUE(LEFT(Customer[[#This Row],[Address Line 3 (30 char)]],1)))</f>
        <v>0</v>
      </c>
      <c r="J2303" s="12" t="s">
        <v>203</v>
      </c>
      <c r="K2303" s="12">
        <v>71300</v>
      </c>
      <c r="L2303" s="12" t="s">
        <v>35</v>
      </c>
      <c r="M2303" s="13" t="e">
        <v>#N/A</v>
      </c>
      <c r="N2303" s="14" t="e">
        <v>#N/A</v>
      </c>
      <c r="O2303" s="14" t="e">
        <v>#N/A</v>
      </c>
      <c r="P2303" s="14" t="e">
        <v>#N/A</v>
      </c>
      <c r="Q2303" s="19" t="s">
        <v>14305</v>
      </c>
      <c r="R2303" s="15" t="s">
        <v>14306</v>
      </c>
      <c r="S2303" s="16" t="s">
        <v>89</v>
      </c>
      <c r="T2303" s="16" t="s">
        <v>89</v>
      </c>
      <c r="U2303" s="11" t="str">
        <f>_xlfn.XLOOKUP(Customer[[#This Row],[Customer ID]],[1]!Address[ID],[1]!Address[Phone No.(2)])</f>
        <v/>
      </c>
      <c r="V2303" s="11" t="str">
        <f>_xlfn.XLOOKUP(Customer[[#This Row],[Customer ID]],[1]!Address[ID],[1]!Address[Type])</f>
        <v>WALK IN</v>
      </c>
      <c r="W2303" s="11" t="str">
        <f>_xlfn.XLOOKUP(Customer[[#This Row],[Customer ID]],[1]!Address[ID],[1]!Address[CT])</f>
        <v/>
      </c>
      <c r="X2303" s="11"/>
      <c r="Y2303" s="17" t="s">
        <v>6284</v>
      </c>
      <c r="Z2303" s="17" t="e">
        <f>_xlfn.XLOOKUP(Customer[[#This Row],[NewType]],$AF$36:$AF$54,$AG$36:$AG$54)</f>
        <v>#N/A</v>
      </c>
      <c r="AA2303" s="17" t="s">
        <v>14307</v>
      </c>
      <c r="AB2303" s="11" t="str">
        <f>_xlfn.XLOOKUP(Customer[[#This Row],[Customer ID]],[1]!Address[ID],[1]!Address[Subtype])</f>
        <v>STAFF</v>
      </c>
      <c r="AC2303" s="18" t="str">
        <f>_xlfn.XLOOKUP(Customer[[#This Row],[Customer ID]],[1]!Address[ID],[1]!Address[Zone])</f>
        <v>SOUTH</v>
      </c>
    </row>
    <row r="2304" spans="1:29" x14ac:dyDescent="0.3">
      <c r="A2304" s="10" t="s">
        <v>14308</v>
      </c>
      <c r="B2304" s="11" t="str">
        <f>_xlfn.XLOOKUP(Customer[[#This Row],[Customer ID]],[1]!Name[ID],[1]!Name[Description(1)])</f>
        <v>SITI HAZAIRAH BINTI HASHIM</v>
      </c>
      <c r="C2304" s="11" t="str">
        <f>_xlfn.XLOOKUP(Customer[[#This Row],[Customer ID]],[1]!Name[ID],[1]!Name[Description(2)])</f>
        <v/>
      </c>
      <c r="D2304" s="11" t="str">
        <f>_xlfn.XLOOKUP(Customer[[#This Row],[Customer ID]],[1]!Address[ID],[1]!Address[PIC])</f>
        <v/>
      </c>
      <c r="E2304" s="11" t="str">
        <f>_xlfn.XLOOKUP(Customer[[#This Row],[Customer ID]],[1]!Address[ID],[1]!Address[Full Address])</f>
        <v>NO. 14 JALAN HELANG SIPUT 3,TMN PANTAI SEPANG PUTRA,43950 SG. PELEK. SELANGOR</v>
      </c>
      <c r="F2304" s="12" t="s">
        <v>14309</v>
      </c>
      <c r="G2304" s="12" t="s">
        <v>14310</v>
      </c>
      <c r="H2304" s="24" t="s">
        <v>14311</v>
      </c>
      <c r="I2304" s="24" t="b">
        <f>ISNUMBER(VALUE(LEFT(Customer[[#This Row],[Address Line 3 (30 char)]],1)))</f>
        <v>0</v>
      </c>
      <c r="J2304" s="12" t="s">
        <v>172</v>
      </c>
      <c r="K2304" s="12">
        <v>43950</v>
      </c>
      <c r="L2304" s="12" t="s">
        <v>35</v>
      </c>
      <c r="M2304" s="13" t="e">
        <v>#N/A</v>
      </c>
      <c r="N2304" s="14" t="e">
        <v>#N/A</v>
      </c>
      <c r="O2304" s="14" t="e">
        <v>#N/A</v>
      </c>
      <c r="P2304" s="14" t="e">
        <v>#N/A</v>
      </c>
      <c r="Q2304" s="19" t="s">
        <v>14312</v>
      </c>
      <c r="R2304" s="15" t="s">
        <v>14313</v>
      </c>
      <c r="S2304" s="16" t="s">
        <v>89</v>
      </c>
      <c r="T2304" s="16" t="s">
        <v>89</v>
      </c>
      <c r="U2304" s="11" t="str">
        <f>_xlfn.XLOOKUP(Customer[[#This Row],[Customer ID]],[1]!Address[ID],[1]!Address[Phone No.(2)])</f>
        <v/>
      </c>
      <c r="V2304" s="11" t="str">
        <f>_xlfn.XLOOKUP(Customer[[#This Row],[Customer ID]],[1]!Address[ID],[1]!Address[Type])</f>
        <v>WALK IN</v>
      </c>
      <c r="W2304" s="11" t="str">
        <f>_xlfn.XLOOKUP(Customer[[#This Row],[Customer ID]],[1]!Address[ID],[1]!Address[CT])</f>
        <v/>
      </c>
      <c r="X2304" s="11"/>
      <c r="Y2304" s="17" t="s">
        <v>6284</v>
      </c>
      <c r="Z2304" s="17" t="e">
        <f>_xlfn.XLOOKUP(Customer[[#This Row],[NewType]],$AF$36:$AF$54,$AG$36:$AG$54)</f>
        <v>#N/A</v>
      </c>
      <c r="AA2304" s="17" t="s">
        <v>14314</v>
      </c>
      <c r="AB2304" s="11" t="str">
        <f>_xlfn.XLOOKUP(Customer[[#This Row],[Customer ID]],[1]!Address[ID],[1]!Address[Subtype])</f>
        <v>SEPANG</v>
      </c>
      <c r="AC2304" s="18" t="str">
        <f>_xlfn.XLOOKUP(Customer[[#This Row],[Customer ID]],[1]!Address[ID],[1]!Address[Zone])</f>
        <v>CENTRAL</v>
      </c>
    </row>
    <row r="2305" spans="1:29" x14ac:dyDescent="0.3">
      <c r="A2305" s="10" t="s">
        <v>14315</v>
      </c>
      <c r="B2305" s="11" t="str">
        <f>_xlfn.XLOOKUP(Customer[[#This Row],[Customer ID]],[1]!Name[ID],[1]!Name[Description(1)])</f>
        <v>RAJA MUHAMMAD HARITH BIN RAJA OTHMAN</v>
      </c>
      <c r="C2305" s="11" t="str">
        <f>_xlfn.XLOOKUP(Customer[[#This Row],[Customer ID]],[1]!Name[ID],[1]!Name[Description(2)])</f>
        <v/>
      </c>
      <c r="D2305" s="11" t="str">
        <f>_xlfn.XLOOKUP(Customer[[#This Row],[Customer ID]],[1]!Address[ID],[1]!Address[PIC])</f>
        <v/>
      </c>
      <c r="E2305" s="11" t="str">
        <f>_xlfn.XLOOKUP(Customer[[#This Row],[Customer ID]],[1]!Address[ID],[1]!Address[Full Address])</f>
        <v>NO 28, PERSIARAN ISKANDAR PERDANA 8,TAMAN ISKANDAR PERDANA, 32610,SERI ISKANDAR, PERAK</v>
      </c>
      <c r="F2305" s="12" t="s">
        <v>14316</v>
      </c>
      <c r="G2305" s="12" t="s">
        <v>14317</v>
      </c>
      <c r="H2305" s="12" t="s">
        <v>14318</v>
      </c>
      <c r="I2305" s="12" t="b">
        <f>ISNUMBER(VALUE(LEFT(Customer[[#This Row],[Address Line 3 (30 char)]],1)))</f>
        <v>0</v>
      </c>
      <c r="J2305" s="12" t="s">
        <v>242</v>
      </c>
      <c r="K2305" s="12">
        <v>32610</v>
      </c>
      <c r="L2305" s="12" t="s">
        <v>35</v>
      </c>
      <c r="M2305" s="13" t="e">
        <v>#N/A</v>
      </c>
      <c r="N2305" s="14" t="e">
        <v>#N/A</v>
      </c>
      <c r="O2305" s="14" t="e">
        <v>#N/A</v>
      </c>
      <c r="P2305" s="14" t="e">
        <v>#N/A</v>
      </c>
      <c r="Q2305" s="19" t="s">
        <v>14319</v>
      </c>
      <c r="R2305" s="15" t="s">
        <v>14320</v>
      </c>
      <c r="S2305" s="16" t="s">
        <v>89</v>
      </c>
      <c r="T2305" s="16" t="s">
        <v>89</v>
      </c>
      <c r="U2305" s="11" t="str">
        <f>_xlfn.XLOOKUP(Customer[[#This Row],[Customer ID]],[1]!Address[ID],[1]!Address[Phone No.(2)])</f>
        <v/>
      </c>
      <c r="V2305" s="11" t="str">
        <f>_xlfn.XLOOKUP(Customer[[#This Row],[Customer ID]],[1]!Address[ID],[1]!Address[Type])</f>
        <v>WALK IN</v>
      </c>
      <c r="W2305" s="11" t="str">
        <f>_xlfn.XLOOKUP(Customer[[#This Row],[Customer ID]],[1]!Address[ID],[1]!Address[CT])</f>
        <v/>
      </c>
      <c r="X2305" s="11"/>
      <c r="Y2305" s="17" t="s">
        <v>6284</v>
      </c>
      <c r="Z2305" s="17" t="e">
        <f>_xlfn.XLOOKUP(Customer[[#This Row],[NewType]],$AF$36:$AF$54,$AG$36:$AG$54)</f>
        <v>#N/A</v>
      </c>
      <c r="AA2305" s="17" t="s">
        <v>14321</v>
      </c>
      <c r="AB2305" s="11" t="str">
        <f>_xlfn.XLOOKUP(Customer[[#This Row],[Customer ID]],[1]!Address[ID],[1]!Address[Subtype])</f>
        <v>PEDAS</v>
      </c>
      <c r="AC2305" s="18" t="str">
        <f>_xlfn.XLOOKUP(Customer[[#This Row],[Customer ID]],[1]!Address[ID],[1]!Address[Zone])</f>
        <v>NORTH</v>
      </c>
    </row>
    <row r="2306" spans="1:29" x14ac:dyDescent="0.3">
      <c r="A2306" s="10" t="s">
        <v>14322</v>
      </c>
      <c r="B2306" s="11" t="str">
        <f>_xlfn.XLOOKUP(Customer[[#This Row],[Customer ID]],[1]!Name[ID],[1]!Name[Description(1)])</f>
        <v>SUHAIDA BINTI MUSTAFA</v>
      </c>
      <c r="C2306" s="11" t="str">
        <f>_xlfn.XLOOKUP(Customer[[#This Row],[Customer ID]],[1]!Name[ID],[1]!Name[Description(2)])</f>
        <v/>
      </c>
      <c r="D2306" s="11" t="str">
        <f>_xlfn.XLOOKUP(Customer[[#This Row],[Customer ID]],[1]!Address[ID],[1]!Address[PIC])</f>
        <v/>
      </c>
      <c r="E2306" s="11" t="str">
        <f>_xlfn.XLOOKUP(Customer[[#This Row],[Customer ID]],[1]!Address[ID],[1]!Address[Full Address])</f>
        <v>148 TMN SRI REMBAU,JLN 4, FASA 1, 71300 REMBAU</v>
      </c>
      <c r="F2306" s="12" t="s">
        <v>14323</v>
      </c>
      <c r="G2306" s="12" t="s">
        <v>14324</v>
      </c>
      <c r="H2306" s="12" t="s">
        <v>36</v>
      </c>
      <c r="I2306" s="12" t="b">
        <f>ISNUMBER(VALUE(LEFT(Customer[[#This Row],[Address Line 3 (30 char)]],1)))</f>
        <v>0</v>
      </c>
      <c r="J2306" s="12" t="s">
        <v>2004</v>
      </c>
      <c r="K2306" s="12">
        <v>713000</v>
      </c>
      <c r="L2306" s="12" t="s">
        <v>35</v>
      </c>
      <c r="M2306" s="13" t="e">
        <v>#N/A</v>
      </c>
      <c r="N2306" s="14" t="e">
        <v>#N/A</v>
      </c>
      <c r="O2306" s="14" t="e">
        <v>#N/A</v>
      </c>
      <c r="P2306" s="14" t="e">
        <v>#N/A</v>
      </c>
      <c r="Q2306" s="19" t="s">
        <v>14325</v>
      </c>
      <c r="R2306" s="15" t="s">
        <v>14326</v>
      </c>
      <c r="S2306" s="16" t="s">
        <v>89</v>
      </c>
      <c r="T2306" s="16" t="s">
        <v>89</v>
      </c>
      <c r="U2306" s="11" t="str">
        <f>_xlfn.XLOOKUP(Customer[[#This Row],[Customer ID]],[1]!Address[ID],[1]!Address[Phone No.(2)])</f>
        <v/>
      </c>
      <c r="V2306" s="11" t="str">
        <f>_xlfn.XLOOKUP(Customer[[#This Row],[Customer ID]],[1]!Address[ID],[1]!Address[Type])</f>
        <v>WALK IN</v>
      </c>
      <c r="W2306" s="11" t="str">
        <f>_xlfn.XLOOKUP(Customer[[#This Row],[Customer ID]],[1]!Address[ID],[1]!Address[CT])</f>
        <v/>
      </c>
      <c r="X2306" s="11"/>
      <c r="Y2306" s="17" t="s">
        <v>6284</v>
      </c>
      <c r="Z2306" s="17" t="e">
        <f>_xlfn.XLOOKUP(Customer[[#This Row],[NewType]],$AF$36:$AF$54,$AG$36:$AG$54)</f>
        <v>#N/A</v>
      </c>
      <c r="AA2306" s="17" t="s">
        <v>14327</v>
      </c>
      <c r="AB2306" s="11" t="str">
        <f>_xlfn.XLOOKUP(Customer[[#This Row],[Customer ID]],[1]!Address[ID],[1]!Address[Subtype])</f>
        <v>PEDAS</v>
      </c>
      <c r="AC2306" s="18" t="str">
        <f>_xlfn.XLOOKUP(Customer[[#This Row],[Customer ID]],[1]!Address[ID],[1]!Address[Zone])</f>
        <v>SOUTH</v>
      </c>
    </row>
    <row r="2307" spans="1:29" x14ac:dyDescent="0.3">
      <c r="A2307" s="10" t="s">
        <v>14328</v>
      </c>
      <c r="B2307" s="11" t="str">
        <f>_xlfn.XLOOKUP(Customer[[#This Row],[Customer ID]],[1]!Name[ID],[1]!Name[Description(1)])</f>
        <v>NAJWA BINTI MOHD ARIS</v>
      </c>
      <c r="C2307" s="11" t="str">
        <f>_xlfn.XLOOKUP(Customer[[#This Row],[Customer ID]],[1]!Name[ID],[1]!Name[Description(2)])</f>
        <v/>
      </c>
      <c r="D2307" s="11" t="str">
        <f>_xlfn.XLOOKUP(Customer[[#This Row],[Customer ID]],[1]!Address[ID],[1]!Address[PIC])</f>
        <v/>
      </c>
      <c r="E2307" s="11" t="str">
        <f>_xlfn.XLOOKUP(Customer[[#This Row],[Customer ID]],[1]!Address[ID],[1]!Address[Full Address])</f>
        <v>LOT 229,KG TIROI,BT 7,LABU,71900, SEREMBAN, NEGERI SEMBILAN.</v>
      </c>
      <c r="F2307" s="12" t="s">
        <v>14329</v>
      </c>
      <c r="G2307" s="12" t="s">
        <v>14330</v>
      </c>
      <c r="H2307" s="12" t="s">
        <v>36</v>
      </c>
      <c r="I2307" s="12" t="b">
        <f>ISNUMBER(VALUE(LEFT(Customer[[#This Row],[Address Line 3 (30 char)]],1)))</f>
        <v>0</v>
      </c>
      <c r="J2307" s="12" t="s">
        <v>203</v>
      </c>
      <c r="K2307" s="12">
        <v>71900</v>
      </c>
      <c r="L2307" s="12" t="s">
        <v>35</v>
      </c>
      <c r="M2307" s="13" t="e">
        <v>#N/A</v>
      </c>
      <c r="N2307" s="14" t="e">
        <v>#N/A</v>
      </c>
      <c r="O2307" s="14" t="e">
        <v>#N/A</v>
      </c>
      <c r="P2307" s="14" t="e">
        <v>#N/A</v>
      </c>
      <c r="Q2307" s="19" t="s">
        <v>14331</v>
      </c>
      <c r="R2307" s="15" t="s">
        <v>14332</v>
      </c>
      <c r="S2307" s="16" t="s">
        <v>89</v>
      </c>
      <c r="T2307" s="16" t="s">
        <v>89</v>
      </c>
      <c r="U2307" s="11" t="str">
        <f>_xlfn.XLOOKUP(Customer[[#This Row],[Customer ID]],[1]!Address[ID],[1]!Address[Phone No.(2)])</f>
        <v/>
      </c>
      <c r="V2307" s="11" t="str">
        <f>_xlfn.XLOOKUP(Customer[[#This Row],[Customer ID]],[1]!Address[ID],[1]!Address[Type])</f>
        <v>WALK IN</v>
      </c>
      <c r="W2307" s="11" t="str">
        <f>_xlfn.XLOOKUP(Customer[[#This Row],[Customer ID]],[1]!Address[ID],[1]!Address[CT])</f>
        <v/>
      </c>
      <c r="X2307" s="11"/>
      <c r="Y2307" s="17" t="s">
        <v>6284</v>
      </c>
      <c r="Z2307" s="17" t="e">
        <f>_xlfn.XLOOKUP(Customer[[#This Row],[NewType]],$AF$36:$AF$54,$AG$36:$AG$54)</f>
        <v>#N/A</v>
      </c>
      <c r="AA2307" s="17" t="s">
        <v>14333</v>
      </c>
      <c r="AB2307" s="11" t="str">
        <f>_xlfn.XLOOKUP(Customer[[#This Row],[Customer ID]],[1]!Address[ID],[1]!Address[Subtype])</f>
        <v>PEDAS</v>
      </c>
      <c r="AC2307" s="18" t="str">
        <f>_xlfn.XLOOKUP(Customer[[#This Row],[Customer ID]],[1]!Address[ID],[1]!Address[Zone])</f>
        <v>SOUTH</v>
      </c>
    </row>
    <row r="2308" spans="1:29" x14ac:dyDescent="0.3">
      <c r="A2308" s="10" t="s">
        <v>14334</v>
      </c>
      <c r="B2308" s="11" t="str">
        <f>_xlfn.XLOOKUP(Customer[[#This Row],[Customer ID]],[1]!Name[ID],[1]!Name[Description(1)])</f>
        <v>MUHAMMAD AFIQ HAZWAN ROSLY</v>
      </c>
      <c r="C2308" s="11" t="str">
        <f>_xlfn.XLOOKUP(Customer[[#This Row],[Customer ID]],[1]!Name[ID],[1]!Name[Description(2)])</f>
        <v>(PRODUCTION KILANG AIR)</v>
      </c>
      <c r="D2308" s="11" t="str">
        <f>_xlfn.XLOOKUP(Customer[[#This Row],[Customer ID]],[1]!Address[ID],[1]!Address[PIC])</f>
        <v>AFIQ HAZWAN</v>
      </c>
      <c r="E2308" s="11" t="str">
        <f>_xlfn.XLOOKUP(Customer[[#This Row],[Customer ID]],[1]!Address[ID],[1]!Address[Full Address])</f>
        <v>LOT 1723, KG TANJUNG, 71200 RANTAUNEGERI SEMBILAN</v>
      </c>
      <c r="F2308" s="12" t="s">
        <v>14335</v>
      </c>
      <c r="G2308" s="12" t="s">
        <v>6491</v>
      </c>
      <c r="H2308" s="12" t="s">
        <v>6428</v>
      </c>
      <c r="I2308" s="12" t="b">
        <f>ISNUMBER(VALUE(LEFT(Customer[[#This Row],[Address Line 3 (30 char)]],1)))</f>
        <v>0</v>
      </c>
      <c r="J2308" s="12" t="s">
        <v>203</v>
      </c>
      <c r="K2308" s="12">
        <v>71200</v>
      </c>
      <c r="L2308" s="12" t="s">
        <v>35</v>
      </c>
      <c r="M2308" s="13" t="e">
        <v>#N/A</v>
      </c>
      <c r="N2308" s="14" t="e">
        <v>#N/A</v>
      </c>
      <c r="O2308" s="14" t="e">
        <v>#N/A</v>
      </c>
      <c r="P2308" s="14" t="e">
        <v>#N/A</v>
      </c>
      <c r="Q2308" s="19" t="s">
        <v>14336</v>
      </c>
      <c r="R2308" s="15" t="s">
        <v>14337</v>
      </c>
      <c r="S2308" s="16" t="s">
        <v>89</v>
      </c>
      <c r="T2308" s="16" t="s">
        <v>89</v>
      </c>
      <c r="U2308" s="11" t="str">
        <f>_xlfn.XLOOKUP(Customer[[#This Row],[Customer ID]],[1]!Address[ID],[1]!Address[Phone No.(2)])</f>
        <v/>
      </c>
      <c r="V2308" s="11" t="str">
        <f>_xlfn.XLOOKUP(Customer[[#This Row],[Customer ID]],[1]!Address[ID],[1]!Address[Type])</f>
        <v>WALK IN</v>
      </c>
      <c r="W2308" s="11" t="str">
        <f>_xlfn.XLOOKUP(Customer[[#This Row],[Customer ID]],[1]!Address[ID],[1]!Address[CT])</f>
        <v/>
      </c>
      <c r="X2308" s="11"/>
      <c r="Y2308" s="17" t="s">
        <v>6284</v>
      </c>
      <c r="Z2308" s="17" t="e">
        <f>_xlfn.XLOOKUP(Customer[[#This Row],[NewType]],$AF$36:$AF$54,$AG$36:$AG$54)</f>
        <v>#N/A</v>
      </c>
      <c r="AA2308" s="17" t="s">
        <v>14338</v>
      </c>
      <c r="AB2308" s="11" t="str">
        <f>_xlfn.XLOOKUP(Customer[[#This Row],[Customer ID]],[1]!Address[ID],[1]!Address[Subtype])</f>
        <v>STAFF</v>
      </c>
      <c r="AC2308" s="18" t="str">
        <f>_xlfn.XLOOKUP(Customer[[#This Row],[Customer ID]],[1]!Address[ID],[1]!Address[Zone])</f>
        <v>SOUTH</v>
      </c>
    </row>
    <row r="2309" spans="1:29" x14ac:dyDescent="0.3">
      <c r="A2309" s="45" t="s">
        <v>14339</v>
      </c>
      <c r="B2309" s="32" t="str">
        <f>_xlfn.XLOOKUP(Customer[[#This Row],[Customer ID]],[1]!Name[ID],[1]!Name[Description(1)])</f>
        <v>KATHESH VARMA YOGABALAN</v>
      </c>
      <c r="C2309" s="32" t="str">
        <f>_xlfn.XLOOKUP(Customer[[#This Row],[Customer ID]],[1]!Name[ID],[1]!Name[Description(2)])</f>
        <v/>
      </c>
      <c r="D2309" s="11" t="str">
        <f>_xlfn.XLOOKUP(Customer[[#This Row],[Customer ID]],[1]!Address[ID],[1]!Address[PIC])</f>
        <v/>
      </c>
      <c r="E2309" s="11" t="str">
        <f>_xlfn.XLOOKUP(Customer[[#This Row],[Customer ID]],[1]!Address[ID],[1]!Address[Full Address])</f>
        <v>NO 6 JALAN TTS 3/10,TAMAN TASIK SEMENYIH SELANGOR</v>
      </c>
      <c r="F2309" s="12" t="s">
        <v>14340</v>
      </c>
      <c r="G2309" s="12" t="s">
        <v>14341</v>
      </c>
      <c r="H2309" s="12"/>
      <c r="I2309" s="12" t="b">
        <f>ISNUMBER(VALUE(LEFT(Customer[[#This Row],[Address Line 3 (30 char)]],1)))</f>
        <v>0</v>
      </c>
      <c r="J2309" s="32" t="s">
        <v>172</v>
      </c>
      <c r="K2309" s="32">
        <v>43500</v>
      </c>
      <c r="L2309" s="12" t="s">
        <v>35</v>
      </c>
      <c r="M2309" s="13" t="e">
        <v>#N/A</v>
      </c>
      <c r="N2309" s="14" t="e">
        <v>#N/A</v>
      </c>
      <c r="O2309" s="14" t="e">
        <v>#N/A</v>
      </c>
      <c r="P2309" s="14" t="e">
        <v>#N/A</v>
      </c>
      <c r="Q2309" s="19" t="s">
        <v>14342</v>
      </c>
      <c r="R2309" s="15" t="s">
        <v>14343</v>
      </c>
      <c r="S2309" s="16" t="s">
        <v>89</v>
      </c>
      <c r="T2309" s="16" t="s">
        <v>89</v>
      </c>
      <c r="U2309" s="11" t="str">
        <f>_xlfn.XLOOKUP(Customer[[#This Row],[Customer ID]],[1]!Address[ID],[1]!Address[Phone No.(2)])</f>
        <v/>
      </c>
      <c r="V2309" s="11" t="str">
        <f>_xlfn.XLOOKUP(Customer[[#This Row],[Customer ID]],[1]!Address[ID],[1]!Address[Type])</f>
        <v>WALK IN</v>
      </c>
      <c r="W2309" s="11" t="str">
        <f>_xlfn.XLOOKUP(Customer[[#This Row],[Customer ID]],[1]!Address[ID],[1]!Address[CT])</f>
        <v/>
      </c>
      <c r="X2309" s="11"/>
      <c r="Y2309" s="17" t="s">
        <v>6284</v>
      </c>
      <c r="Z2309" s="17" t="e">
        <f>_xlfn.XLOOKUP(Customer[[#This Row],[NewType]],$AF$36:$AF$54,$AG$36:$AG$54)</f>
        <v>#N/A</v>
      </c>
      <c r="AA2309" s="17" t="s">
        <v>14344</v>
      </c>
      <c r="AB2309" s="11" t="str">
        <f>_xlfn.XLOOKUP(Customer[[#This Row],[Customer ID]],[1]!Address[ID],[1]!Address[Subtype])</f>
        <v>PEDAS</v>
      </c>
      <c r="AC2309" s="18" t="str">
        <f>_xlfn.XLOOKUP(Customer[[#This Row],[Customer ID]],[1]!Address[ID],[1]!Address[Zone])</f>
        <v>CENTRAL</v>
      </c>
    </row>
    <row r="2310" spans="1:29" x14ac:dyDescent="0.3">
      <c r="A2310" s="45" t="s">
        <v>14345</v>
      </c>
      <c r="B2310" s="32" t="str">
        <f>_xlfn.XLOOKUP(Customer[[#This Row],[Customer ID]],[1]!Name[ID],[1]!Name[Description(1)])</f>
        <v>ROHAYA SHUIB</v>
      </c>
      <c r="C2310" s="32" t="str">
        <f>_xlfn.XLOOKUP(Customer[[#This Row],[Customer ID]],[1]!Name[ID],[1]!Name[Description(2)])</f>
        <v/>
      </c>
      <c r="D2310" s="11" t="str">
        <f>_xlfn.XLOOKUP(Customer[[#This Row],[Customer ID]],[1]!Address[ID],[1]!Address[PIC])</f>
        <v/>
      </c>
      <c r="E2310" s="11" t="str">
        <f>_xlfn.XLOOKUP(Customer[[#This Row],[Customer ID]],[1]!Address[ID],[1]!Address[Full Address])</f>
        <v>NO 214 QUARTERS IPD PERAK TENGAH,SERI ISKANDAR</v>
      </c>
      <c r="F2310" s="12" t="s">
        <v>14346</v>
      </c>
      <c r="G2310" s="12" t="s">
        <v>14347</v>
      </c>
      <c r="H2310" s="12" t="s">
        <v>13854</v>
      </c>
      <c r="I2310" s="12" t="b">
        <f>ISNUMBER(VALUE(LEFT(Customer[[#This Row],[Address Line 3 (30 char)]],1)))</f>
        <v>0</v>
      </c>
      <c r="J2310" s="32" t="s">
        <v>172</v>
      </c>
      <c r="K2310" s="32">
        <v>32600</v>
      </c>
      <c r="L2310" s="12" t="s">
        <v>35</v>
      </c>
      <c r="M2310" s="13" t="e">
        <v>#N/A</v>
      </c>
      <c r="N2310" s="14" t="e">
        <v>#N/A</v>
      </c>
      <c r="O2310" s="14" t="e">
        <v>#N/A</v>
      </c>
      <c r="P2310" s="14" t="e">
        <v>#N/A</v>
      </c>
      <c r="Q2310" s="14" t="s">
        <v>14348</v>
      </c>
      <c r="R2310" s="15" t="s">
        <v>36</v>
      </c>
      <c r="S2310" s="16" t="s">
        <v>89</v>
      </c>
      <c r="T2310" s="16" t="s">
        <v>89</v>
      </c>
      <c r="U2310" s="11" t="str">
        <f>_xlfn.XLOOKUP(Customer[[#This Row],[Customer ID]],[1]!Address[ID],[1]!Address[Phone No.(2)])</f>
        <v/>
      </c>
      <c r="V2310" s="11" t="str">
        <f>_xlfn.XLOOKUP(Customer[[#This Row],[Customer ID]],[1]!Address[ID],[1]!Address[Type])</f>
        <v>WALK IN</v>
      </c>
      <c r="W2310" s="11" t="str">
        <f>_xlfn.XLOOKUP(Customer[[#This Row],[Customer ID]],[1]!Address[ID],[1]!Address[CT])</f>
        <v/>
      </c>
      <c r="X2310" s="11"/>
      <c r="Y2310" s="17" t="s">
        <v>6284</v>
      </c>
      <c r="Z2310" s="17" t="e">
        <f>_xlfn.XLOOKUP(Customer[[#This Row],[NewType]],$AF$36:$AF$54,$AG$36:$AG$54)</f>
        <v>#N/A</v>
      </c>
      <c r="AA2310" s="17" t="s">
        <v>14349</v>
      </c>
      <c r="AB2310" s="11" t="str">
        <f>_xlfn.XLOOKUP(Customer[[#This Row],[Customer ID]],[1]!Address[ID],[1]!Address[Subtype])</f>
        <v>PEDAS</v>
      </c>
      <c r="AC2310" s="18" t="str">
        <f>_xlfn.XLOOKUP(Customer[[#This Row],[Customer ID]],[1]!Address[ID],[1]!Address[Zone])</f>
        <v>NORTH</v>
      </c>
    </row>
    <row r="2311" spans="1:29" x14ac:dyDescent="0.3">
      <c r="A2311" s="10" t="s">
        <v>14350</v>
      </c>
      <c r="B2311" s="11" t="str">
        <f>_xlfn.XLOOKUP(Customer[[#This Row],[Customer ID]],[1]!Name[ID],[1]!Name[Description(1)])</f>
        <v>SHAFIKA AMEERA BINTI SALLEH</v>
      </c>
      <c r="C2311" s="11" t="str">
        <f>_xlfn.XLOOKUP(Customer[[#This Row],[Customer ID]],[1]!Name[ID],[1]!Name[Description(2)])</f>
        <v/>
      </c>
      <c r="D2311" s="11" t="str">
        <f>_xlfn.XLOOKUP(Customer[[#This Row],[Customer ID]],[1]!Address[ID],[1]!Address[PIC])</f>
        <v/>
      </c>
      <c r="E2311" s="11" t="str">
        <f>_xlfn.XLOOKUP(Customer[[#This Row],[Customer ID]],[1]!Address[ID],[1]!Address[Full Address])</f>
        <v>11 JLN BIDARA BANDAR SRI PERANI81900 KOTA TINGGI, JOHOR</v>
      </c>
      <c r="F2311" s="12" t="s">
        <v>14351</v>
      </c>
      <c r="G2311" s="12" t="s">
        <v>14352</v>
      </c>
      <c r="H2311" s="12" t="s">
        <v>5815</v>
      </c>
      <c r="I2311" s="12" t="b">
        <f>ISNUMBER(VALUE(LEFT(Customer[[#This Row],[Address Line 3 (30 char)]],1)))</f>
        <v>0</v>
      </c>
      <c r="J2311" s="12" t="s">
        <v>52</v>
      </c>
      <c r="K2311" s="12">
        <v>81900</v>
      </c>
      <c r="L2311" s="12" t="s">
        <v>35</v>
      </c>
      <c r="M2311" s="13" t="e">
        <v>#N/A</v>
      </c>
      <c r="N2311" s="14" t="e">
        <v>#N/A</v>
      </c>
      <c r="O2311" s="14" t="e">
        <v>#N/A</v>
      </c>
      <c r="P2311" s="14" t="e">
        <v>#N/A</v>
      </c>
      <c r="Q2311" s="19" t="s">
        <v>14353</v>
      </c>
      <c r="R2311" s="15" t="s">
        <v>14354</v>
      </c>
      <c r="S2311" s="16" t="s">
        <v>89</v>
      </c>
      <c r="T2311" s="16" t="s">
        <v>89</v>
      </c>
      <c r="U2311" s="11" t="str">
        <f>_xlfn.XLOOKUP(Customer[[#This Row],[Customer ID]],[1]!Address[ID],[1]!Address[Phone No.(2)])</f>
        <v/>
      </c>
      <c r="V2311" s="11" t="str">
        <f>_xlfn.XLOOKUP(Customer[[#This Row],[Customer ID]],[1]!Address[ID],[1]!Address[Type])</f>
        <v>WALK IN</v>
      </c>
      <c r="W2311" s="11" t="str">
        <f>_xlfn.XLOOKUP(Customer[[#This Row],[Customer ID]],[1]!Address[ID],[1]!Address[CT])</f>
        <v/>
      </c>
      <c r="X2311" s="11"/>
      <c r="Y2311" s="17" t="s">
        <v>6284</v>
      </c>
      <c r="Z2311" s="17" t="e">
        <f>_xlfn.XLOOKUP(Customer[[#This Row],[NewType]],$AF$36:$AF$54,$AG$36:$AG$54)</f>
        <v>#N/A</v>
      </c>
      <c r="AA2311" s="17" t="s">
        <v>14355</v>
      </c>
      <c r="AB2311" s="11" t="str">
        <f>_xlfn.XLOOKUP(Customer[[#This Row],[Customer ID]],[1]!Address[ID],[1]!Address[Subtype])</f>
        <v>PEDAS</v>
      </c>
      <c r="AC2311" s="18" t="str">
        <f>_xlfn.XLOOKUP(Customer[[#This Row],[Customer ID]],[1]!Address[ID],[1]!Address[Zone])</f>
        <v>SOUTH</v>
      </c>
    </row>
    <row r="2312" spans="1:29" x14ac:dyDescent="0.3">
      <c r="A2312" s="45" t="s">
        <v>14356</v>
      </c>
      <c r="B2312" s="32" t="str">
        <f>_xlfn.XLOOKUP(Customer[[#This Row],[Customer ID]],[1]!Name[ID],[1]!Name[Description(1)])</f>
        <v>ABD RASHID BIN MOHAMAD YAMAN</v>
      </c>
      <c r="C2312" s="32" t="str">
        <f>_xlfn.XLOOKUP(Customer[[#This Row],[Customer ID]],[1]!Name[ID],[1]!Name[Description(2)])</f>
        <v/>
      </c>
      <c r="D2312" s="11" t="str">
        <f>_xlfn.XLOOKUP(Customer[[#This Row],[Customer ID]],[1]!Address[ID],[1]!Address[PIC])</f>
        <v/>
      </c>
      <c r="E2312" s="11" t="str">
        <f>_xlfn.XLOOKUP(Customer[[#This Row],[Customer ID]],[1]!Address[ID],[1]!Address[Full Address])</f>
        <v>NO 49 TAMAN MAWAR EHSAN,BATU 4 PEDAS NEGERI SEMBILAN</v>
      </c>
      <c r="F2312" s="12" t="s">
        <v>14357</v>
      </c>
      <c r="G2312" s="12" t="s">
        <v>14358</v>
      </c>
      <c r="H2312" s="12" t="s">
        <v>36</v>
      </c>
      <c r="I2312" s="12" t="b">
        <f>ISNUMBER(VALUE(LEFT(Customer[[#This Row],[Address Line 3 (30 char)]],1)))</f>
        <v>0</v>
      </c>
      <c r="J2312" s="32" t="s">
        <v>203</v>
      </c>
      <c r="K2312" s="32">
        <v>71400</v>
      </c>
      <c r="L2312" s="12" t="s">
        <v>35</v>
      </c>
      <c r="M2312" s="13" t="e">
        <v>#N/A</v>
      </c>
      <c r="N2312" s="14" t="e">
        <v>#N/A</v>
      </c>
      <c r="O2312" s="14" t="e">
        <v>#N/A</v>
      </c>
      <c r="P2312" s="14" t="e">
        <v>#N/A</v>
      </c>
      <c r="Q2312" s="19" t="s">
        <v>14359</v>
      </c>
      <c r="R2312" s="15" t="s">
        <v>14360</v>
      </c>
      <c r="S2312" s="16" t="s">
        <v>89</v>
      </c>
      <c r="T2312" s="16" t="s">
        <v>89</v>
      </c>
      <c r="U2312" s="11" t="str">
        <f>_xlfn.XLOOKUP(Customer[[#This Row],[Customer ID]],[1]!Address[ID],[1]!Address[Phone No.(2)])</f>
        <v/>
      </c>
      <c r="V2312" s="11" t="str">
        <f>_xlfn.XLOOKUP(Customer[[#This Row],[Customer ID]],[1]!Address[ID],[1]!Address[Type])</f>
        <v>WALK IN</v>
      </c>
      <c r="W2312" s="11" t="str">
        <f>_xlfn.XLOOKUP(Customer[[#This Row],[Customer ID]],[1]!Address[ID],[1]!Address[CT])</f>
        <v/>
      </c>
      <c r="X2312" s="11"/>
      <c r="Y2312" s="17" t="s">
        <v>6284</v>
      </c>
      <c r="Z2312" s="17" t="e">
        <f>_xlfn.XLOOKUP(Customer[[#This Row],[NewType]],$AF$36:$AF$54,$AG$36:$AG$54)</f>
        <v>#N/A</v>
      </c>
      <c r="AA2312" s="17" t="s">
        <v>14361</v>
      </c>
      <c r="AB2312" s="11" t="str">
        <f>_xlfn.XLOOKUP(Customer[[#This Row],[Customer ID]],[1]!Address[ID],[1]!Address[Subtype])</f>
        <v>PEDAS</v>
      </c>
      <c r="AC2312" s="18" t="str">
        <f>_xlfn.XLOOKUP(Customer[[#This Row],[Customer ID]],[1]!Address[ID],[1]!Address[Zone])</f>
        <v>SOUTH</v>
      </c>
    </row>
    <row r="2313" spans="1:29" x14ac:dyDescent="0.3">
      <c r="A2313" s="10" t="s">
        <v>14362</v>
      </c>
      <c r="B2313" s="11" t="str">
        <f>_xlfn.XLOOKUP(Customer[[#This Row],[Customer ID]],[1]!Name[ID],[1]!Name[Description(1)])</f>
        <v>MESRA RETAIL &amp; CAFE SDN BHD</v>
      </c>
      <c r="C2313" s="11" t="str">
        <f>_xlfn.XLOOKUP(Customer[[#This Row],[Customer ID]],[1]!Name[ID],[1]!Name[Description(2)])</f>
        <v>CM TM CYBERJAYA CVS</v>
      </c>
      <c r="D2313" s="11" t="str">
        <f>_xlfn.XLOOKUP(Customer[[#This Row],[Customer ID]],[1]!Address[ID],[1]!Address[PIC])</f>
        <v/>
      </c>
      <c r="E2313" s="11" t="str">
        <f>_xlfn.XLOOKUP(Customer[[#This Row],[Customer ID]],[1]!Address[ID],[1]!Address[Full Address])</f>
        <v>CM TM CYBERJAYA CVSLobby of TM IT Complex CyberjayaLingkaran Usahawan 1 Timur,63000 Cyberjaya, Selangor.</v>
      </c>
      <c r="F2313" s="12" t="s">
        <v>14363</v>
      </c>
      <c r="G2313" s="12" t="s">
        <v>14364</v>
      </c>
      <c r="H2313" s="12" t="s">
        <v>14365</v>
      </c>
      <c r="I2313" s="12" t="b">
        <f>ISNUMBER(VALUE(LEFT(Customer[[#This Row],[Address Line 3 (30 char)]],1)))</f>
        <v>0</v>
      </c>
      <c r="J2313" s="12" t="s">
        <v>1907</v>
      </c>
      <c r="K2313" s="12">
        <v>63000</v>
      </c>
      <c r="L2313" s="12" t="s">
        <v>35</v>
      </c>
      <c r="M2313" s="13" t="e">
        <v>#N/A</v>
      </c>
      <c r="N2313" s="14" t="e">
        <v>#N/A</v>
      </c>
      <c r="O2313" s="14" t="e">
        <v>#N/A</v>
      </c>
      <c r="P2313" s="14" t="e">
        <v>#N/A</v>
      </c>
      <c r="Q2313" s="19" t="s">
        <v>14038</v>
      </c>
      <c r="R2313" s="15" t="s">
        <v>14039</v>
      </c>
      <c r="S2313" s="15" t="s">
        <v>37</v>
      </c>
      <c r="T2313" s="16" t="s">
        <v>38</v>
      </c>
      <c r="U2313" s="11" t="str">
        <f>_xlfn.XLOOKUP(Customer[[#This Row],[Customer ID]],[1]!Address[ID],[1]!Address[Phone No.(2)])</f>
        <v/>
      </c>
      <c r="V2313" s="11" t="str">
        <f>_xlfn.XLOOKUP(Customer[[#This Row],[Customer ID]],[1]!Address[ID],[1]!Address[Type])</f>
        <v>PETROMART</v>
      </c>
      <c r="W2313" s="11" t="str">
        <f>_xlfn.XLOOKUP(Customer[[#This Row],[Customer ID]],[1]!Address[ID],[1]!Address[CT])</f>
        <v>30</v>
      </c>
      <c r="X2313" s="11" t="s">
        <v>39</v>
      </c>
      <c r="Y2313" s="17" t="s">
        <v>40</v>
      </c>
      <c r="Z2313" s="17" t="e">
        <f>_xlfn.XLOOKUP(Customer[[#This Row],[NewType]],$AF$36:$AF$54,$AG$36:$AG$54)</f>
        <v>#N/A</v>
      </c>
      <c r="AA2313" s="17" t="s">
        <v>14366</v>
      </c>
      <c r="AB2313" s="11" t="str">
        <f>_xlfn.XLOOKUP(Customer[[#This Row],[Customer ID]],[1]!Address[ID],[1]!Address[Subtype])</f>
        <v>PETRONAS</v>
      </c>
      <c r="AC2313" s="18" t="str">
        <f>_xlfn.XLOOKUP(Customer[[#This Row],[Customer ID]],[1]!Address[ID],[1]!Address[Zone])</f>
        <v>CENTRAL</v>
      </c>
    </row>
    <row r="2314" spans="1:29" x14ac:dyDescent="0.3">
      <c r="A2314" s="10" t="s">
        <v>14367</v>
      </c>
      <c r="B2314" s="11" t="str">
        <f>_xlfn.XLOOKUP(Customer[[#This Row],[Customer ID]],[1]!Name[ID],[1]!Name[Description(1)])</f>
        <v>SYED REEZAM BIN SYED HAMID</v>
      </c>
      <c r="C2314" s="11" t="str">
        <f>_xlfn.XLOOKUP(Customer[[#This Row],[Customer ID]],[1]!Name[ID],[1]!Name[Description(2)])</f>
        <v/>
      </c>
      <c r="D2314" s="11" t="str">
        <f>_xlfn.XLOOKUP(Customer[[#This Row],[Customer ID]],[1]!Address[ID],[1]!Address[PIC])</f>
        <v>SYED REEZAM</v>
      </c>
      <c r="E2314" s="11" t="str">
        <f>_xlfn.XLOOKUP(Customer[[#This Row],[Customer ID]],[1]!Address[ID],[1]!Address[Full Address])</f>
        <v>BAHAGIAN PENGURUSAN ASET DANPEROLEHAN,TINGKAT 17,IBU PEJABAT MARA,21 JALAN MARA 50609 KUALA LUMPUR</v>
      </c>
      <c r="F2314" s="12" t="s">
        <v>14368</v>
      </c>
      <c r="G2314" s="12" t="s">
        <v>14369</v>
      </c>
      <c r="H2314" s="12" t="s">
        <v>14370</v>
      </c>
      <c r="I2314" s="12" t="b">
        <f>ISNUMBER(VALUE(LEFT(Customer[[#This Row],[Address Line 3 (30 char)]],1)))</f>
        <v>0</v>
      </c>
      <c r="J2314" s="12" t="s">
        <v>34</v>
      </c>
      <c r="K2314" s="12">
        <v>50609</v>
      </c>
      <c r="L2314" s="12" t="s">
        <v>35</v>
      </c>
      <c r="M2314" s="13" t="e">
        <v>#N/A</v>
      </c>
      <c r="N2314" s="14" t="e">
        <v>#N/A</v>
      </c>
      <c r="O2314" s="14" t="e">
        <v>#N/A</v>
      </c>
      <c r="P2314" s="14" t="e">
        <v>#N/A</v>
      </c>
      <c r="Q2314" s="19" t="s">
        <v>14371</v>
      </c>
      <c r="R2314" s="15" t="s">
        <v>14372</v>
      </c>
      <c r="S2314" s="15" t="s">
        <v>88</v>
      </c>
      <c r="T2314" s="16" t="s">
        <v>89</v>
      </c>
      <c r="U2314" s="11" t="str">
        <f>_xlfn.XLOOKUP(Customer[[#This Row],[Customer ID]],[1]!Address[ID],[1]!Address[Phone No.(2)])</f>
        <v/>
      </c>
      <c r="V2314" s="11" t="str">
        <f>_xlfn.XLOOKUP(Customer[[#This Row],[Customer ID]],[1]!Address[ID],[1]!Address[Type])</f>
        <v>SOCMED</v>
      </c>
      <c r="W2314" s="11" t="str">
        <f>_xlfn.XLOOKUP(Customer[[#This Row],[Customer ID]],[1]!Address[ID],[1]!Address[CT])</f>
        <v/>
      </c>
      <c r="X2314" s="11"/>
      <c r="Y2314" s="17" t="s">
        <v>90</v>
      </c>
      <c r="Z2314" s="17" t="e">
        <f>_xlfn.XLOOKUP(Customer[[#This Row],[NewType]],$AF$36:$AF$54,$AG$36:$AG$54)</f>
        <v>#N/A</v>
      </c>
      <c r="AA2314" s="17" t="s">
        <v>14373</v>
      </c>
      <c r="AB2314" s="11" t="str">
        <f>_xlfn.XLOOKUP(Customer[[#This Row],[Customer ID]],[1]!Address[ID],[1]!Address[Subtype])</f>
        <v>ONLINE ROS</v>
      </c>
      <c r="AC2314" s="18" t="str">
        <f>_xlfn.XLOOKUP(Customer[[#This Row],[Customer ID]],[1]!Address[ID],[1]!Address[Zone])</f>
        <v>CENTRAL</v>
      </c>
    </row>
    <row r="2315" spans="1:29" x14ac:dyDescent="0.3">
      <c r="A2315" s="10" t="s">
        <v>14374</v>
      </c>
      <c r="B2315" s="11" t="str">
        <f>_xlfn.XLOOKUP(Customer[[#This Row],[Customer ID]],[1]!Name[ID],[1]!Name[Description(1)])</f>
        <v>NORSHAKIENA SYAMIRA BINTI RAHMAT</v>
      </c>
      <c r="C2315" s="11" t="str">
        <f>_xlfn.XLOOKUP(Customer[[#This Row],[Customer ID]],[1]!Name[ID],[1]!Name[Description(2)])</f>
        <v>(KILANG BOTOL)</v>
      </c>
      <c r="D2315" s="11" t="str">
        <f>_xlfn.XLOOKUP(Customer[[#This Row],[Customer ID]],[1]!Address[ID],[1]!Address[PIC])</f>
        <v>SYAMIRA</v>
      </c>
      <c r="E2315" s="11" t="str">
        <f>_xlfn.XLOOKUP(Customer[[#This Row],[Customer ID]],[1]!Address[ID],[1]!Address[Full Address])</f>
        <v>KAMPUNG PELEGONG BATU 871900 LABU, NEGERI SEMBILAN</v>
      </c>
      <c r="F2315" s="12" t="s">
        <v>14375</v>
      </c>
      <c r="G2315" s="12" t="s">
        <v>9635</v>
      </c>
      <c r="H2315" s="12" t="s">
        <v>36</v>
      </c>
      <c r="I2315" s="12" t="b">
        <f>ISNUMBER(VALUE(LEFT(Customer[[#This Row],[Address Line 3 (30 char)]],1)))</f>
        <v>0</v>
      </c>
      <c r="J2315" s="12" t="s">
        <v>203</v>
      </c>
      <c r="K2315" s="12">
        <v>879100</v>
      </c>
      <c r="L2315" s="12" t="s">
        <v>35</v>
      </c>
      <c r="M2315" s="13" t="e">
        <v>#N/A</v>
      </c>
      <c r="N2315" s="14" t="e">
        <v>#N/A</v>
      </c>
      <c r="O2315" s="14" t="e">
        <v>#N/A</v>
      </c>
      <c r="P2315" s="14" t="e">
        <v>#N/A</v>
      </c>
      <c r="Q2315" s="19" t="s">
        <v>14376</v>
      </c>
      <c r="R2315" s="15" t="s">
        <v>14377</v>
      </c>
      <c r="S2315" s="16" t="s">
        <v>89</v>
      </c>
      <c r="T2315" s="16" t="s">
        <v>89</v>
      </c>
      <c r="U2315" s="11" t="str">
        <f>_xlfn.XLOOKUP(Customer[[#This Row],[Customer ID]],[1]!Address[ID],[1]!Address[Phone No.(2)])</f>
        <v/>
      </c>
      <c r="V2315" s="11" t="str">
        <f>_xlfn.XLOOKUP(Customer[[#This Row],[Customer ID]],[1]!Address[ID],[1]!Address[Type])</f>
        <v>WALK IN</v>
      </c>
      <c r="W2315" s="11" t="str">
        <f>_xlfn.XLOOKUP(Customer[[#This Row],[Customer ID]],[1]!Address[ID],[1]!Address[CT])</f>
        <v/>
      </c>
      <c r="X2315" s="11"/>
      <c r="Y2315" s="17" t="s">
        <v>6284</v>
      </c>
      <c r="Z2315" s="17" t="e">
        <f>_xlfn.XLOOKUP(Customer[[#This Row],[NewType]],$AF$36:$AF$54,$AG$36:$AG$54)</f>
        <v>#N/A</v>
      </c>
      <c r="AA2315" s="17" t="s">
        <v>14378</v>
      </c>
      <c r="AB2315" s="11" t="str">
        <f>_xlfn.XLOOKUP(Customer[[#This Row],[Customer ID]],[1]!Address[ID],[1]!Address[Subtype])</f>
        <v>STAFF</v>
      </c>
      <c r="AC2315" s="18" t="str">
        <f>_xlfn.XLOOKUP(Customer[[#This Row],[Customer ID]],[1]!Address[ID],[1]!Address[Zone])</f>
        <v>SOUTH</v>
      </c>
    </row>
    <row r="2316" spans="1:29" x14ac:dyDescent="0.3">
      <c r="A2316" s="45" t="s">
        <v>14379</v>
      </c>
      <c r="B2316" s="32" t="str">
        <f>_xlfn.XLOOKUP(Customer[[#This Row],[Customer ID]],[1]!Name[ID],[1]!Name[Description(1)])</f>
        <v>HAMIDI BIN JUHARI</v>
      </c>
      <c r="C2316" s="32" t="str">
        <f>_xlfn.XLOOKUP(Customer[[#This Row],[Customer ID]],[1]!Name[ID],[1]!Name[Description(2)])</f>
        <v/>
      </c>
      <c r="D2316" s="11" t="str">
        <f>_xlfn.XLOOKUP(Customer[[#This Row],[Customer ID]],[1]!Address[ID],[1]!Address[PIC])</f>
        <v/>
      </c>
      <c r="E2316" s="11" t="str">
        <f>_xlfn.XLOOKUP(Customer[[#This Row],[Customer ID]],[1]!Address[ID],[1]!Address[Full Address])</f>
        <v>NO 650 LORONG SEJATI 5SITIAWAN PERAK</v>
      </c>
      <c r="F2316" s="12" t="s">
        <v>14380</v>
      </c>
      <c r="G2316" s="12" t="s">
        <v>14381</v>
      </c>
      <c r="H2316" s="12" t="s">
        <v>36</v>
      </c>
      <c r="I2316" s="12" t="b">
        <f>ISNUMBER(VALUE(LEFT(Customer[[#This Row],[Address Line 3 (30 char)]],1)))</f>
        <v>0</v>
      </c>
      <c r="J2316" s="32" t="s">
        <v>387</v>
      </c>
      <c r="K2316" s="32">
        <v>32000</v>
      </c>
      <c r="L2316" s="12" t="s">
        <v>35</v>
      </c>
      <c r="M2316" s="13" t="e">
        <v>#N/A</v>
      </c>
      <c r="N2316" s="14" t="e">
        <v>#N/A</v>
      </c>
      <c r="O2316" s="14" t="e">
        <v>#N/A</v>
      </c>
      <c r="P2316" s="14" t="e">
        <v>#N/A</v>
      </c>
      <c r="Q2316" s="19" t="s">
        <v>14382</v>
      </c>
      <c r="R2316" s="15" t="s">
        <v>14383</v>
      </c>
      <c r="S2316" s="16" t="s">
        <v>89</v>
      </c>
      <c r="T2316" s="16" t="s">
        <v>89</v>
      </c>
      <c r="U2316" s="11" t="str">
        <f>_xlfn.XLOOKUP(Customer[[#This Row],[Customer ID]],[1]!Address[ID],[1]!Address[Phone No.(2)])</f>
        <v/>
      </c>
      <c r="V2316" s="11" t="str">
        <f>_xlfn.XLOOKUP(Customer[[#This Row],[Customer ID]],[1]!Address[ID],[1]!Address[Type])</f>
        <v>WALK IN</v>
      </c>
      <c r="W2316" s="11" t="str">
        <f>_xlfn.XLOOKUP(Customer[[#This Row],[Customer ID]],[1]!Address[ID],[1]!Address[CT])</f>
        <v/>
      </c>
      <c r="X2316" s="11"/>
      <c r="Y2316" s="17" t="s">
        <v>6284</v>
      </c>
      <c r="Z2316" s="17" t="e">
        <f>_xlfn.XLOOKUP(Customer[[#This Row],[NewType]],$AF$36:$AF$54,$AG$36:$AG$54)</f>
        <v>#N/A</v>
      </c>
      <c r="AA2316" s="17" t="s">
        <v>14384</v>
      </c>
      <c r="AB2316" s="11" t="str">
        <f>_xlfn.XLOOKUP(Customer[[#This Row],[Customer ID]],[1]!Address[ID],[1]!Address[Subtype])</f>
        <v>PEDAS</v>
      </c>
      <c r="AC2316" s="18" t="str">
        <f>_xlfn.XLOOKUP(Customer[[#This Row],[Customer ID]],[1]!Address[ID],[1]!Address[Zone])</f>
        <v>SOUTH</v>
      </c>
    </row>
    <row r="2317" spans="1:29" x14ac:dyDescent="0.3">
      <c r="A2317" s="10" t="s">
        <v>14385</v>
      </c>
      <c r="B2317" s="11" t="str">
        <f>_xlfn.XLOOKUP(Customer[[#This Row],[Customer ID]],[1]!Name[ID],[1]!Name[Description(1)])</f>
        <v>NAZHAIZA BINTI JOHARI</v>
      </c>
      <c r="C2317" s="11" t="str">
        <f>_xlfn.XLOOKUP(Customer[[#This Row],[Customer ID]],[1]!Name[ID],[1]!Name[Description(2)])</f>
        <v/>
      </c>
      <c r="D2317" s="11" t="str">
        <f>_xlfn.XLOOKUP(Customer[[#This Row],[Customer ID]],[1]!Address[ID],[1]!Address[PIC])</f>
        <v>NAZHAIZA</v>
      </c>
      <c r="E2317" s="11" t="str">
        <f>_xlfn.XLOOKUP(Customer[[#This Row],[Customer ID]],[1]!Address[ID],[1]!Address[Full Address])</f>
        <v>FARMASI BARAKAH, NO.30, JALAN BISTARI1/1, TAMAN YAYASAN 1, 85010 SEGAMATJOHOR</v>
      </c>
      <c r="F2317" s="12" t="s">
        <v>14386</v>
      </c>
      <c r="G2317" s="12" t="s">
        <v>14387</v>
      </c>
      <c r="H2317" s="12" t="s">
        <v>14388</v>
      </c>
      <c r="I2317" s="12" t="b">
        <f>ISNUMBER(VALUE(LEFT(Customer[[#This Row],[Address Line 3 (30 char)]],1)))</f>
        <v>0</v>
      </c>
      <c r="J2317" s="12" t="s">
        <v>52</v>
      </c>
      <c r="K2317" s="12">
        <v>85010</v>
      </c>
      <c r="L2317" s="12" t="s">
        <v>35</v>
      </c>
      <c r="M2317" s="13" t="e">
        <v>#N/A</v>
      </c>
      <c r="N2317" s="14" t="e">
        <v>#N/A</v>
      </c>
      <c r="O2317" s="14" t="e">
        <v>#N/A</v>
      </c>
      <c r="P2317" s="14" t="e">
        <v>#N/A</v>
      </c>
      <c r="Q2317" s="19" t="s">
        <v>14389</v>
      </c>
      <c r="R2317" s="15" t="s">
        <v>14390</v>
      </c>
      <c r="S2317" s="16" t="s">
        <v>89</v>
      </c>
      <c r="T2317" s="16" t="s">
        <v>89</v>
      </c>
      <c r="U2317" s="11" t="str">
        <f>_xlfn.XLOOKUP(Customer[[#This Row],[Customer ID]],[1]!Address[ID],[1]!Address[Phone No.(2)])</f>
        <v/>
      </c>
      <c r="V2317" s="11" t="str">
        <f>_xlfn.XLOOKUP(Customer[[#This Row],[Customer ID]],[1]!Address[ID],[1]!Address[Type])</f>
        <v>WALK IN</v>
      </c>
      <c r="W2317" s="11" t="str">
        <f>_xlfn.XLOOKUP(Customer[[#This Row],[Customer ID]],[1]!Address[ID],[1]!Address[CT])</f>
        <v/>
      </c>
      <c r="X2317" s="11"/>
      <c r="Y2317" s="17" t="s">
        <v>6284</v>
      </c>
      <c r="Z2317" s="17" t="e">
        <f>_xlfn.XLOOKUP(Customer[[#This Row],[NewType]],$AF$36:$AF$54,$AG$36:$AG$54)</f>
        <v>#N/A</v>
      </c>
      <c r="AA2317" s="17" t="s">
        <v>14391</v>
      </c>
      <c r="AB2317" s="11" t="str">
        <f>_xlfn.XLOOKUP(Customer[[#This Row],[Customer ID]],[1]!Address[ID],[1]!Address[Subtype])</f>
        <v>PEDAS</v>
      </c>
      <c r="AC2317" s="18" t="str">
        <f>_xlfn.XLOOKUP(Customer[[#This Row],[Customer ID]],[1]!Address[ID],[1]!Address[Zone])</f>
        <v>SOUTH</v>
      </c>
    </row>
    <row r="2318" spans="1:29" x14ac:dyDescent="0.3">
      <c r="A2318" s="10" t="s">
        <v>14392</v>
      </c>
      <c r="B2318" s="11" t="str">
        <f>_xlfn.XLOOKUP(Customer[[#This Row],[Customer ID]],[1]!Name[ID],[1]!Name[Description(1)])</f>
        <v>MOHD NIZAM BIN SAHLAN</v>
      </c>
      <c r="C2318" s="11" t="str">
        <f>_xlfn.XLOOKUP(Customer[[#This Row],[Customer ID]],[1]!Name[ID],[1]!Name[Description(2)])</f>
        <v/>
      </c>
      <c r="D2318" s="11" t="str">
        <f>_xlfn.XLOOKUP(Customer[[#This Row],[Customer ID]],[1]!Address[ID],[1]!Address[PIC])</f>
        <v>NIZAM</v>
      </c>
      <c r="E2318" s="11" t="str">
        <f>_xlfn.XLOOKUP(Customer[[#This Row],[Customer ID]],[1]!Address[ID],[1]!Address[Full Address])</f>
        <v>NO 128,PERUMAHAN POLIS IDP REMBAU71300 REMBAU</v>
      </c>
      <c r="F2318" s="12" t="s">
        <v>14393</v>
      </c>
      <c r="G2318" s="12" t="s">
        <v>14394</v>
      </c>
      <c r="H2318" s="12" t="s">
        <v>7985</v>
      </c>
      <c r="I2318" s="12" t="b">
        <f>ISNUMBER(VALUE(LEFT(Customer[[#This Row],[Address Line 3 (30 char)]],1)))</f>
        <v>0</v>
      </c>
      <c r="J2318" s="12" t="s">
        <v>203</v>
      </c>
      <c r="K2318" s="12">
        <v>71300</v>
      </c>
      <c r="L2318" s="12" t="s">
        <v>35</v>
      </c>
      <c r="M2318" s="13" t="e">
        <v>#N/A</v>
      </c>
      <c r="N2318" s="14" t="e">
        <v>#N/A</v>
      </c>
      <c r="O2318" s="14" t="e">
        <v>#N/A</v>
      </c>
      <c r="P2318" s="14" t="e">
        <v>#N/A</v>
      </c>
      <c r="Q2318" s="19" t="s">
        <v>14395</v>
      </c>
      <c r="R2318" s="15" t="s">
        <v>14396</v>
      </c>
      <c r="S2318" s="16" t="s">
        <v>89</v>
      </c>
      <c r="T2318" s="16" t="s">
        <v>89</v>
      </c>
      <c r="U2318" s="11" t="str">
        <f>_xlfn.XLOOKUP(Customer[[#This Row],[Customer ID]],[1]!Address[ID],[1]!Address[Phone No.(2)])</f>
        <v/>
      </c>
      <c r="V2318" s="11" t="str">
        <f>_xlfn.XLOOKUP(Customer[[#This Row],[Customer ID]],[1]!Address[ID],[1]!Address[Type])</f>
        <v>WALK IN</v>
      </c>
      <c r="W2318" s="11" t="str">
        <f>_xlfn.XLOOKUP(Customer[[#This Row],[Customer ID]],[1]!Address[ID],[1]!Address[CT])</f>
        <v/>
      </c>
      <c r="X2318" s="11"/>
      <c r="Y2318" s="17" t="s">
        <v>6284</v>
      </c>
      <c r="Z2318" s="17" t="e">
        <f>_xlfn.XLOOKUP(Customer[[#This Row],[NewType]],$AF$36:$AF$54,$AG$36:$AG$54)</f>
        <v>#N/A</v>
      </c>
      <c r="AA2318" s="17" t="s">
        <v>14397</v>
      </c>
      <c r="AB2318" s="11" t="str">
        <f>_xlfn.XLOOKUP(Customer[[#This Row],[Customer ID]],[1]!Address[ID],[1]!Address[Subtype])</f>
        <v>PEDAS</v>
      </c>
      <c r="AC2318" s="18" t="str">
        <f>_xlfn.XLOOKUP(Customer[[#This Row],[Customer ID]],[1]!Address[ID],[1]!Address[Zone])</f>
        <v>SOUTH</v>
      </c>
    </row>
    <row r="2319" spans="1:29" x14ac:dyDescent="0.3">
      <c r="A2319" s="10" t="s">
        <v>14398</v>
      </c>
      <c r="B2319" s="11" t="str">
        <f>_xlfn.XLOOKUP(Customer[[#This Row],[Customer ID]],[1]!Name[ID],[1]!Name[Description(1)])</f>
        <v>ABU BAKAR</v>
      </c>
      <c r="C2319" s="11" t="str">
        <f>_xlfn.XLOOKUP(Customer[[#This Row],[Customer ID]],[1]!Name[ID],[1]!Name[Description(2)])</f>
        <v/>
      </c>
      <c r="D2319" s="11" t="str">
        <f>_xlfn.XLOOKUP(Customer[[#This Row],[Customer ID]],[1]!Address[ID],[1]!Address[PIC])</f>
        <v/>
      </c>
      <c r="E2319" s="11" t="str">
        <f>_xlfn.XLOOKUP(Customer[[#This Row],[Customer ID]],[1]!Address[ID],[1]!Address[Full Address])</f>
        <v>11A, JALAN 1/7C,43650 BANADAR BARU BANGI, SELANGOR</v>
      </c>
      <c r="F2319" s="12" t="s">
        <v>14399</v>
      </c>
      <c r="G2319" s="12" t="s">
        <v>14400</v>
      </c>
      <c r="H2319" s="12" t="s">
        <v>36</v>
      </c>
      <c r="I2319" s="12" t="b">
        <f>ISNUMBER(VALUE(LEFT(Customer[[#This Row],[Address Line 3 (30 char)]],1)))</f>
        <v>0</v>
      </c>
      <c r="J2319" s="12" t="s">
        <v>172</v>
      </c>
      <c r="K2319" s="12">
        <v>43650</v>
      </c>
      <c r="L2319" s="12" t="s">
        <v>35</v>
      </c>
      <c r="M2319" s="13" t="e">
        <v>#N/A</v>
      </c>
      <c r="N2319" s="14" t="e">
        <v>#N/A</v>
      </c>
      <c r="O2319" s="14" t="e">
        <v>#N/A</v>
      </c>
      <c r="P2319" s="14" t="e">
        <v>#N/A</v>
      </c>
      <c r="Q2319" s="19" t="s">
        <v>14401</v>
      </c>
      <c r="R2319" s="15" t="s">
        <v>14402</v>
      </c>
      <c r="S2319" s="16" t="s">
        <v>89</v>
      </c>
      <c r="T2319" s="16" t="s">
        <v>89</v>
      </c>
      <c r="U2319" s="11" t="str">
        <f>_xlfn.XLOOKUP(Customer[[#This Row],[Customer ID]],[1]!Address[ID],[1]!Address[Phone No.(2)])</f>
        <v/>
      </c>
      <c r="V2319" s="11" t="str">
        <f>_xlfn.XLOOKUP(Customer[[#This Row],[Customer ID]],[1]!Address[ID],[1]!Address[Type])</f>
        <v>WALK IN</v>
      </c>
      <c r="W2319" s="11" t="str">
        <f>_xlfn.XLOOKUP(Customer[[#This Row],[Customer ID]],[1]!Address[ID],[1]!Address[CT])</f>
        <v/>
      </c>
      <c r="X2319" s="11"/>
      <c r="Y2319" s="17" t="s">
        <v>6284</v>
      </c>
      <c r="Z2319" s="17" t="e">
        <f>_xlfn.XLOOKUP(Customer[[#This Row],[NewType]],$AF$36:$AF$54,$AG$36:$AG$54)</f>
        <v>#N/A</v>
      </c>
      <c r="AA2319" s="17" t="s">
        <v>14403</v>
      </c>
      <c r="AB2319" s="11" t="str">
        <f>_xlfn.XLOOKUP(Customer[[#This Row],[Customer ID]],[1]!Address[ID],[1]!Address[Subtype])</f>
        <v>PEDAS</v>
      </c>
      <c r="AC2319" s="18" t="str">
        <f>_xlfn.XLOOKUP(Customer[[#This Row],[Customer ID]],[1]!Address[ID],[1]!Address[Zone])</f>
        <v>CENTRAL</v>
      </c>
    </row>
    <row r="2320" spans="1:29" x14ac:dyDescent="0.3">
      <c r="A2320" s="10" t="s">
        <v>14404</v>
      </c>
      <c r="B2320" s="11" t="str">
        <f>_xlfn.XLOOKUP(Customer[[#This Row],[Customer ID]],[1]!Name[ID],[1]!Name[Description(1)])</f>
        <v>AZLINDA BINTI MUHAMMAD</v>
      </c>
      <c r="C2320" s="11" t="str">
        <f>_xlfn.XLOOKUP(Customer[[#This Row],[Customer ID]],[1]!Name[ID],[1]!Name[Description(2)])</f>
        <v/>
      </c>
      <c r="D2320" s="11" t="str">
        <f>_xlfn.XLOOKUP(Customer[[#This Row],[Customer ID]],[1]!Address[ID],[1]!Address[PIC])</f>
        <v>AZLINDA</v>
      </c>
      <c r="E2320" s="11" t="str">
        <f>_xlfn.XLOOKUP(Customer[[#This Row],[Customer ID]],[1]!Address[ID],[1]!Address[Full Address])</f>
        <v>16-01,RESIDENSI KERINCHI,JLN KERINCHIKIRI 1,KL GATEWAY 59200 KUALA LUMPUR</v>
      </c>
      <c r="F2320" s="12" t="s">
        <v>14405</v>
      </c>
      <c r="G2320" s="12" t="s">
        <v>14406</v>
      </c>
      <c r="H2320" s="12" t="s">
        <v>14407</v>
      </c>
      <c r="I2320" s="12" t="b">
        <f>ISNUMBER(VALUE(LEFT(Customer[[#This Row],[Address Line 3 (30 char)]],1)))</f>
        <v>0</v>
      </c>
      <c r="J2320" s="12" t="s">
        <v>34</v>
      </c>
      <c r="K2320" s="12">
        <v>59200</v>
      </c>
      <c r="L2320" s="12" t="s">
        <v>35</v>
      </c>
      <c r="M2320" s="13" t="e">
        <v>#N/A</v>
      </c>
      <c r="N2320" s="14" t="e">
        <v>#N/A</v>
      </c>
      <c r="O2320" s="14" t="e">
        <v>#N/A</v>
      </c>
      <c r="P2320" s="14" t="e">
        <v>#N/A</v>
      </c>
      <c r="Q2320" s="19" t="s">
        <v>14408</v>
      </c>
      <c r="R2320" s="15" t="s">
        <v>14409</v>
      </c>
      <c r="S2320" s="16" t="s">
        <v>89</v>
      </c>
      <c r="T2320" s="16" t="s">
        <v>89</v>
      </c>
      <c r="U2320" s="11" t="str">
        <f>_xlfn.XLOOKUP(Customer[[#This Row],[Customer ID]],[1]!Address[ID],[1]!Address[Phone No.(2)])</f>
        <v/>
      </c>
      <c r="V2320" s="11" t="str">
        <f>_xlfn.XLOOKUP(Customer[[#This Row],[Customer ID]],[1]!Address[ID],[1]!Address[Type])</f>
        <v>WALK IN</v>
      </c>
      <c r="W2320" s="11" t="str">
        <f>_xlfn.XLOOKUP(Customer[[#This Row],[Customer ID]],[1]!Address[ID],[1]!Address[CT])</f>
        <v/>
      </c>
      <c r="X2320" s="11"/>
      <c r="Y2320" s="17" t="s">
        <v>6284</v>
      </c>
      <c r="Z2320" s="17" t="e">
        <f>_xlfn.XLOOKUP(Customer[[#This Row],[NewType]],$AF$36:$AF$54,$AG$36:$AG$54)</f>
        <v>#N/A</v>
      </c>
      <c r="AA2320" s="17" t="s">
        <v>14410</v>
      </c>
      <c r="AB2320" s="11" t="str">
        <f>_xlfn.XLOOKUP(Customer[[#This Row],[Customer ID]],[1]!Address[ID],[1]!Address[Subtype])</f>
        <v>PEDAS</v>
      </c>
      <c r="AC2320" s="18" t="str">
        <f>_xlfn.XLOOKUP(Customer[[#This Row],[Customer ID]],[1]!Address[ID],[1]!Address[Zone])</f>
        <v>CENTRAL</v>
      </c>
    </row>
    <row r="2321" spans="1:29" x14ac:dyDescent="0.3">
      <c r="A2321" s="10" t="s">
        <v>14411</v>
      </c>
      <c r="B2321" s="11" t="str">
        <f>_xlfn.XLOOKUP(Customer[[#This Row],[Customer ID]],[1]!Name[ID],[1]!Name[Description(1)])</f>
        <v>AHMAD SHAKIR BIN ABDUL JALIL</v>
      </c>
      <c r="C2321" s="11" t="str">
        <f>_xlfn.XLOOKUP(Customer[[#This Row],[Customer ID]],[1]!Name[ID],[1]!Name[Description(2)])</f>
        <v/>
      </c>
      <c r="D2321" s="11" t="str">
        <f>_xlfn.XLOOKUP(Customer[[#This Row],[Customer ID]],[1]!Address[ID],[1]!Address[PIC])</f>
        <v>SHAKIR</v>
      </c>
      <c r="E2321" s="11" t="str">
        <f>_xlfn.XLOOKUP(Customer[[#This Row],[Customer ID]],[1]!Address[ID],[1]!Address[Full Address])</f>
        <v>20 JALAN ZAITON INDAH 2,TAMAN ZAITON INDAH 70400 SEREMBANNEGERI SEMBILAN</v>
      </c>
      <c r="F2321" s="12" t="s">
        <v>14412</v>
      </c>
      <c r="G2321" s="12" t="s">
        <v>12989</v>
      </c>
      <c r="H2321" s="12" t="s">
        <v>2377</v>
      </c>
      <c r="I2321" s="12" t="b">
        <f>ISNUMBER(VALUE(LEFT(Customer[[#This Row],[Address Line 3 (30 char)]],1)))</f>
        <v>0</v>
      </c>
      <c r="J2321" s="12" t="s">
        <v>203</v>
      </c>
      <c r="K2321" s="12">
        <v>70400</v>
      </c>
      <c r="L2321" s="12" t="s">
        <v>35</v>
      </c>
      <c r="M2321" s="13" t="e">
        <v>#N/A</v>
      </c>
      <c r="N2321" s="14" t="e">
        <v>#N/A</v>
      </c>
      <c r="O2321" s="14" t="e">
        <v>#N/A</v>
      </c>
      <c r="P2321" s="14" t="e">
        <v>#N/A</v>
      </c>
      <c r="Q2321" s="19" t="s">
        <v>14413</v>
      </c>
      <c r="R2321" s="15" t="s">
        <v>14414</v>
      </c>
      <c r="S2321" s="16" t="s">
        <v>89</v>
      </c>
      <c r="T2321" s="16" t="s">
        <v>89</v>
      </c>
      <c r="U2321" s="11" t="str">
        <f>_xlfn.XLOOKUP(Customer[[#This Row],[Customer ID]],[1]!Address[ID],[1]!Address[Phone No.(2)])</f>
        <v/>
      </c>
      <c r="V2321" s="11" t="str">
        <f>_xlfn.XLOOKUP(Customer[[#This Row],[Customer ID]],[1]!Address[ID],[1]!Address[Type])</f>
        <v>WALK IN</v>
      </c>
      <c r="W2321" s="11" t="str">
        <f>_xlfn.XLOOKUP(Customer[[#This Row],[Customer ID]],[1]!Address[ID],[1]!Address[CT])</f>
        <v/>
      </c>
      <c r="X2321" s="11"/>
      <c r="Y2321" s="17" t="s">
        <v>6284</v>
      </c>
      <c r="Z2321" s="17" t="e">
        <f>_xlfn.XLOOKUP(Customer[[#This Row],[NewType]],$AF$36:$AF$54,$AG$36:$AG$54)</f>
        <v>#N/A</v>
      </c>
      <c r="AA2321" s="17" t="s">
        <v>14415</v>
      </c>
      <c r="AB2321" s="11" t="str">
        <f>_xlfn.XLOOKUP(Customer[[#This Row],[Customer ID]],[1]!Address[ID],[1]!Address[Subtype])</f>
        <v>PEDAS</v>
      </c>
      <c r="AC2321" s="18" t="str">
        <f>_xlfn.XLOOKUP(Customer[[#This Row],[Customer ID]],[1]!Address[ID],[1]!Address[Zone])</f>
        <v>SOUTH</v>
      </c>
    </row>
    <row r="2322" spans="1:29" x14ac:dyDescent="0.3">
      <c r="A2322" s="10" t="s">
        <v>14416</v>
      </c>
      <c r="B2322" s="11" t="str">
        <f>_xlfn.XLOOKUP(Customer[[#This Row],[Customer ID]],[1]!Name[ID],[1]!Name[Description(1)])</f>
        <v>MUHAMMAD AKMAL BIN MOHD KHIR</v>
      </c>
      <c r="C2322" s="11" t="str">
        <f>_xlfn.XLOOKUP(Customer[[#This Row],[Customer ID]],[1]!Name[ID],[1]!Name[Description(2)])</f>
        <v>(PROJECT DEPT)</v>
      </c>
      <c r="D2322" s="11" t="str">
        <f>_xlfn.XLOOKUP(Customer[[#This Row],[Customer ID]],[1]!Address[ID],[1]!Address[PIC])</f>
        <v>AKMAL</v>
      </c>
      <c r="E2322" s="11" t="str">
        <f>_xlfn.XLOOKUP(Customer[[#This Row],[Customer ID]],[1]!Address[ID],[1]!Address[Full Address])</f>
        <v>NO 596 JALAN SO 26, TAMANSENAWANG PERDANA 71450 SG GADUT,NEGERI SEMBILAN</v>
      </c>
      <c r="F2322" s="12" t="s">
        <v>14417</v>
      </c>
      <c r="G2322" s="12" t="s">
        <v>13604</v>
      </c>
      <c r="H2322" s="12" t="s">
        <v>14418</v>
      </c>
      <c r="I2322" s="12" t="b">
        <f>ISNUMBER(VALUE(LEFT(Customer[[#This Row],[Address Line 3 (30 char)]],1)))</f>
        <v>0</v>
      </c>
      <c r="J2322" s="12" t="s">
        <v>203</v>
      </c>
      <c r="K2322" s="12">
        <v>71450</v>
      </c>
      <c r="L2322" s="12" t="s">
        <v>35</v>
      </c>
      <c r="M2322" s="13" t="e">
        <v>#N/A</v>
      </c>
      <c r="N2322" s="14" t="e">
        <v>#N/A</v>
      </c>
      <c r="O2322" s="14" t="e">
        <v>#N/A</v>
      </c>
      <c r="P2322" s="14" t="e">
        <v>#N/A</v>
      </c>
      <c r="Q2322" s="19" t="s">
        <v>14419</v>
      </c>
      <c r="R2322" s="15" t="s">
        <v>14420</v>
      </c>
      <c r="S2322" s="16" t="s">
        <v>89</v>
      </c>
      <c r="T2322" s="16" t="s">
        <v>89</v>
      </c>
      <c r="U2322" s="11" t="str">
        <f>_xlfn.XLOOKUP(Customer[[#This Row],[Customer ID]],[1]!Address[ID],[1]!Address[Phone No.(2)])</f>
        <v/>
      </c>
      <c r="V2322" s="11" t="str">
        <f>_xlfn.XLOOKUP(Customer[[#This Row],[Customer ID]],[1]!Address[ID],[1]!Address[Type])</f>
        <v>WALK IN</v>
      </c>
      <c r="W2322" s="11" t="str">
        <f>_xlfn.XLOOKUP(Customer[[#This Row],[Customer ID]],[1]!Address[ID],[1]!Address[CT])</f>
        <v/>
      </c>
      <c r="X2322" s="11"/>
      <c r="Y2322" s="17" t="s">
        <v>6284</v>
      </c>
      <c r="Z2322" s="17" t="e">
        <f>_xlfn.XLOOKUP(Customer[[#This Row],[NewType]],$AF$36:$AF$54,$AG$36:$AG$54)</f>
        <v>#N/A</v>
      </c>
      <c r="AA2322" s="17" t="s">
        <v>14421</v>
      </c>
      <c r="AB2322" s="11" t="str">
        <f>_xlfn.XLOOKUP(Customer[[#This Row],[Customer ID]],[1]!Address[ID],[1]!Address[Subtype])</f>
        <v>STAFF</v>
      </c>
      <c r="AC2322" s="18" t="str">
        <f>_xlfn.XLOOKUP(Customer[[#This Row],[Customer ID]],[1]!Address[ID],[1]!Address[Zone])</f>
        <v>SOUTH</v>
      </c>
    </row>
    <row r="2323" spans="1:29" x14ac:dyDescent="0.3">
      <c r="A2323" s="10" t="s">
        <v>14422</v>
      </c>
      <c r="B2323" s="11" t="str">
        <f>_xlfn.XLOOKUP(Customer[[#This Row],[Customer ID]],[1]!Name[ID],[1]!Name[Description(1)])</f>
        <v>JARIAH MASUD</v>
      </c>
      <c r="C2323" s="11" t="str">
        <f>_xlfn.XLOOKUP(Customer[[#This Row],[Customer ID]],[1]!Name[ID],[1]!Name[Description(2)])</f>
        <v/>
      </c>
      <c r="D2323" s="11" t="str">
        <f>_xlfn.XLOOKUP(Customer[[#This Row],[Customer ID]],[1]!Address[ID],[1]!Address[PIC])</f>
        <v>JARIAH</v>
      </c>
      <c r="E2323" s="11" t="str">
        <f>_xlfn.XLOOKUP(Customer[[#This Row],[Customer ID]],[1]!Address[ID],[1]!Address[Full Address])</f>
        <v>NO 21,JLN 3/3,BANDAR BARU BANGI43650 SELANGOR</v>
      </c>
      <c r="F2323" s="12" t="s">
        <v>14423</v>
      </c>
      <c r="G2323" s="12" t="s">
        <v>14424</v>
      </c>
      <c r="H2323" s="12" t="s">
        <v>4431</v>
      </c>
      <c r="I2323" s="12" t="b">
        <f>ISNUMBER(VALUE(LEFT(Customer[[#This Row],[Address Line 3 (30 char)]],1)))</f>
        <v>0</v>
      </c>
      <c r="J2323" s="12" t="s">
        <v>172</v>
      </c>
      <c r="K2323" s="12">
        <v>43650</v>
      </c>
      <c r="L2323" s="12" t="s">
        <v>35</v>
      </c>
      <c r="M2323" s="13" t="e">
        <v>#N/A</v>
      </c>
      <c r="N2323" s="14" t="e">
        <v>#N/A</v>
      </c>
      <c r="O2323" s="14" t="e">
        <v>#N/A</v>
      </c>
      <c r="P2323" s="14" t="e">
        <v>#N/A</v>
      </c>
      <c r="Q2323" s="19" t="s">
        <v>14425</v>
      </c>
      <c r="R2323" s="15" t="s">
        <v>14426</v>
      </c>
      <c r="S2323" s="16" t="s">
        <v>89</v>
      </c>
      <c r="T2323" s="16" t="s">
        <v>89</v>
      </c>
      <c r="U2323" s="11" t="str">
        <f>_xlfn.XLOOKUP(Customer[[#This Row],[Customer ID]],[1]!Address[ID],[1]!Address[Phone No.(2)])</f>
        <v/>
      </c>
      <c r="V2323" s="11" t="str">
        <f>_xlfn.XLOOKUP(Customer[[#This Row],[Customer ID]],[1]!Address[ID],[1]!Address[Type])</f>
        <v>WALK IN</v>
      </c>
      <c r="W2323" s="11" t="str">
        <f>_xlfn.XLOOKUP(Customer[[#This Row],[Customer ID]],[1]!Address[ID],[1]!Address[CT])</f>
        <v/>
      </c>
      <c r="X2323" s="11"/>
      <c r="Y2323" s="17" t="s">
        <v>6284</v>
      </c>
      <c r="Z2323" s="17" t="e">
        <f>_xlfn.XLOOKUP(Customer[[#This Row],[NewType]],$AF$36:$AF$54,$AG$36:$AG$54)</f>
        <v>#N/A</v>
      </c>
      <c r="AA2323" s="17" t="s">
        <v>14427</v>
      </c>
      <c r="AB2323" s="11" t="str">
        <f>_xlfn.XLOOKUP(Customer[[#This Row],[Customer ID]],[1]!Address[ID],[1]!Address[Subtype])</f>
        <v>PEDAS</v>
      </c>
      <c r="AC2323" s="18" t="str">
        <f>_xlfn.XLOOKUP(Customer[[#This Row],[Customer ID]],[1]!Address[ID],[1]!Address[Zone])</f>
        <v>CENTRAL</v>
      </c>
    </row>
    <row r="2324" spans="1:29" x14ac:dyDescent="0.3">
      <c r="A2324" s="10" t="s">
        <v>14428</v>
      </c>
      <c r="B2324" s="11" t="str">
        <f>_xlfn.XLOOKUP(Customer[[#This Row],[Customer ID]],[1]!Name[ID],[1]!Name[Description(1)])</f>
        <v>JIN HE JIA INTERNATIONAL SDN BHD</v>
      </c>
      <c r="C2324" s="11" t="str">
        <f>_xlfn.XLOOKUP(Customer[[#This Row],[Customer ID]],[1]!Name[ID],[1]!Name[Description(2)])</f>
        <v/>
      </c>
      <c r="D2324" s="11" t="str">
        <f>_xlfn.XLOOKUP(Customer[[#This Row],[Customer ID]],[1]!Address[ID],[1]!Address[PIC])</f>
        <v/>
      </c>
      <c r="E2324" s="11" t="str">
        <f>_xlfn.XLOOKUP(Customer[[#This Row],[Customer ID]],[1]!Address[ID],[1]!Address[Full Address])</f>
        <v>NO.3,PERSIARAN KERAPU, TAMAN KERAPU13400 BUTTERWORTH, PULAU PINANGMALAYSIA</v>
      </c>
      <c r="F2324" s="12" t="s">
        <v>14429</v>
      </c>
      <c r="G2324" s="12" t="s">
        <v>14430</v>
      </c>
      <c r="H2324" s="12" t="s">
        <v>12656</v>
      </c>
      <c r="I2324" s="12" t="b">
        <f>ISNUMBER(VALUE(LEFT(Customer[[#This Row],[Address Line 3 (30 char)]],1)))</f>
        <v>0</v>
      </c>
      <c r="J2324" s="12" t="s">
        <v>179</v>
      </c>
      <c r="K2324" s="12">
        <v>43650</v>
      </c>
      <c r="L2324" s="12" t="s">
        <v>35</v>
      </c>
      <c r="M2324" s="13" t="e">
        <v>#N/A</v>
      </c>
      <c r="N2324" s="14" t="e">
        <v>#N/A</v>
      </c>
      <c r="O2324" s="14" t="e">
        <v>#N/A</v>
      </c>
      <c r="P2324" s="14" t="e">
        <v>#N/A</v>
      </c>
      <c r="Q2324" s="14" t="e">
        <v>#N/A</v>
      </c>
      <c r="R2324" s="15" t="s">
        <v>14431</v>
      </c>
      <c r="S2324" s="15" t="s">
        <v>5917</v>
      </c>
      <c r="T2324" s="16" t="s">
        <v>3477</v>
      </c>
      <c r="U2324" s="11" t="str">
        <f>_xlfn.XLOOKUP(Customer[[#This Row],[Customer ID]],[1]!Address[ID],[1]!Address[Phone No.(2)])</f>
        <v/>
      </c>
      <c r="V2324" s="11" t="str">
        <f>_xlfn.XLOOKUP(Customer[[#This Row],[Customer ID]],[1]!Address[ID],[1]!Address[Type])</f>
        <v>BODG</v>
      </c>
      <c r="W2324" s="11" t="str">
        <f>_xlfn.XLOOKUP(Customer[[#This Row],[Customer ID]],[1]!Address[ID],[1]!Address[CT])</f>
        <v>CASH</v>
      </c>
      <c r="X2324" s="11"/>
      <c r="Y2324" s="17" t="s">
        <v>13115</v>
      </c>
      <c r="Z2324" s="17" t="e">
        <f>_xlfn.XLOOKUP(Customer[[#This Row],[NewType]],$AF$36:$AF$54,$AG$36:$AG$54)</f>
        <v>#N/A</v>
      </c>
      <c r="AA2324" s="17" t="s">
        <v>14432</v>
      </c>
      <c r="AB2324" s="11" t="str">
        <f>_xlfn.XLOOKUP(Customer[[#This Row],[Customer ID]],[1]!Address[ID],[1]!Address[Subtype])</f>
        <v>LED</v>
      </c>
      <c r="AC2324" s="18" t="str">
        <f>_xlfn.XLOOKUP(Customer[[#This Row],[Customer ID]],[1]!Address[ID],[1]!Address[Zone])</f>
        <v>NORTH</v>
      </c>
    </row>
    <row r="2325" spans="1:29" x14ac:dyDescent="0.3">
      <c r="A2325" s="10" t="s">
        <v>14433</v>
      </c>
      <c r="B2325" s="11" t="str">
        <f>_xlfn.XLOOKUP(Customer[[#This Row],[Customer ID]],[1]!Name[ID],[1]!Name[Description(1)])</f>
        <v>MEIPLUS INTERNATIONAL SDN BHD</v>
      </c>
      <c r="C2325" s="11" t="str">
        <f>_xlfn.XLOOKUP(Customer[[#This Row],[Customer ID]],[1]!Name[ID],[1]!Name[Description(2)])</f>
        <v/>
      </c>
      <c r="D2325" s="11" t="str">
        <f>_xlfn.XLOOKUP(Customer[[#This Row],[Customer ID]],[1]!Address[ID],[1]!Address[PIC])</f>
        <v/>
      </c>
      <c r="E2325" s="11" t="str">
        <f>_xlfn.XLOOKUP(Customer[[#This Row],[Customer ID]],[1]!Address[ID],[1]!Address[Full Address])</f>
        <v>NO.3, JALAN INDUSTRI GANGSA JAYA 2PUSAT KOMERSIAL DAN PERINDUSTRIANGANGSA JAYA76100 DURIAN TUNGGAL MELAKA</v>
      </c>
      <c r="F2325" s="12" t="s">
        <v>14434</v>
      </c>
      <c r="G2325" s="12" t="s">
        <v>14435</v>
      </c>
      <c r="H2325" s="12" t="s">
        <v>14436</v>
      </c>
      <c r="I2325" s="12" t="b">
        <f>ISNUMBER(VALUE(LEFT(Customer[[#This Row],[Address Line 3 (30 char)]],1)))</f>
        <v>0</v>
      </c>
      <c r="J2325" s="12" t="s">
        <v>61</v>
      </c>
      <c r="K2325" s="12">
        <v>13400</v>
      </c>
      <c r="L2325" s="12" t="s">
        <v>35</v>
      </c>
      <c r="M2325" s="13" t="e">
        <v>#N/A</v>
      </c>
      <c r="N2325" s="14" t="e">
        <v>#N/A</v>
      </c>
      <c r="O2325" s="14" t="e">
        <v>#N/A</v>
      </c>
      <c r="P2325" s="14" t="e">
        <v>#N/A</v>
      </c>
      <c r="Q2325" s="14" t="e">
        <v>#N/A</v>
      </c>
      <c r="R2325" s="15" t="s">
        <v>14437</v>
      </c>
      <c r="S2325" s="15" t="s">
        <v>5917</v>
      </c>
      <c r="T2325" s="16" t="s">
        <v>3477</v>
      </c>
      <c r="U2325" s="11" t="str">
        <f>_xlfn.XLOOKUP(Customer[[#This Row],[Customer ID]],[1]!Address[ID],[1]!Address[Phone No.(2)])</f>
        <v/>
      </c>
      <c r="V2325" s="11" t="str">
        <f>_xlfn.XLOOKUP(Customer[[#This Row],[Customer ID]],[1]!Address[ID],[1]!Address[Type])</f>
        <v>BODG</v>
      </c>
      <c r="W2325" s="11" t="str">
        <f>_xlfn.XLOOKUP(Customer[[#This Row],[Customer ID]],[1]!Address[ID],[1]!Address[CT])</f>
        <v>CASH</v>
      </c>
      <c r="X2325" s="11"/>
      <c r="Y2325" s="17" t="s">
        <v>13115</v>
      </c>
      <c r="Z2325" s="17" t="e">
        <f>_xlfn.XLOOKUP(Customer[[#This Row],[NewType]],$AF$36:$AF$54,$AG$36:$AG$54)</f>
        <v>#N/A</v>
      </c>
      <c r="AA2325" s="17" t="s">
        <v>14438</v>
      </c>
      <c r="AB2325" s="11" t="str">
        <f>_xlfn.XLOOKUP(Customer[[#This Row],[Customer ID]],[1]!Address[ID],[1]!Address[Subtype])</f>
        <v>LED</v>
      </c>
      <c r="AC2325" s="18" t="str">
        <f>_xlfn.XLOOKUP(Customer[[#This Row],[Customer ID]],[1]!Address[ID],[1]!Address[Zone])</f>
        <v>SOUTH</v>
      </c>
    </row>
    <row r="2326" spans="1:29" x14ac:dyDescent="0.3">
      <c r="A2326" s="10" t="s">
        <v>14439</v>
      </c>
      <c r="B2326" s="11" t="str">
        <f>_xlfn.XLOOKUP(Customer[[#This Row],[Customer ID]],[1]!Name[ID],[1]!Name[Description(1)])</f>
        <v>NOOR ERMA BINTI ABU BAKAR</v>
      </c>
      <c r="C2326" s="11" t="str">
        <f>_xlfn.XLOOKUP(Customer[[#This Row],[Customer ID]],[1]!Name[ID],[1]!Name[Description(2)])</f>
        <v/>
      </c>
      <c r="D2326" s="11" t="str">
        <f>_xlfn.XLOOKUP(Customer[[#This Row],[Customer ID]],[1]!Address[ID],[1]!Address[PIC])</f>
        <v>ERMA</v>
      </c>
      <c r="E2326" s="11" t="str">
        <f>_xlfn.XLOOKUP(Customer[[#This Row],[Customer ID]],[1]!Address[ID],[1]!Address[Full Address])</f>
        <v>NO.520,JALAN NUSARI BAYU 2/4,TAMAN NUSARI BAYU 1, 71950 BANDARSRI SENDAYAN, NSDK</v>
      </c>
      <c r="F2326" s="12" t="s">
        <v>14440</v>
      </c>
      <c r="G2326" s="12" t="s">
        <v>14441</v>
      </c>
      <c r="H2326" s="12" t="s">
        <v>14442</v>
      </c>
      <c r="I2326" s="12" t="b">
        <f>ISNUMBER(VALUE(LEFT(Customer[[#This Row],[Address Line 3 (30 char)]],1)))</f>
        <v>0</v>
      </c>
      <c r="J2326" s="12" t="s">
        <v>203</v>
      </c>
      <c r="K2326" s="12">
        <v>71950</v>
      </c>
      <c r="L2326" s="12" t="s">
        <v>35</v>
      </c>
      <c r="M2326" s="13" t="e">
        <v>#N/A</v>
      </c>
      <c r="N2326" s="14" t="e">
        <v>#N/A</v>
      </c>
      <c r="O2326" s="14" t="e">
        <v>#N/A</v>
      </c>
      <c r="P2326" s="14" t="e">
        <v>#N/A</v>
      </c>
      <c r="Q2326" s="19" t="s">
        <v>14443</v>
      </c>
      <c r="R2326" s="15" t="s">
        <v>14444</v>
      </c>
      <c r="S2326" s="16" t="s">
        <v>89</v>
      </c>
      <c r="T2326" s="16" t="s">
        <v>89</v>
      </c>
      <c r="U2326" s="11" t="str">
        <f>_xlfn.XLOOKUP(Customer[[#This Row],[Customer ID]],[1]!Address[ID],[1]!Address[Phone No.(2)])</f>
        <v/>
      </c>
      <c r="V2326" s="11" t="str">
        <f>_xlfn.XLOOKUP(Customer[[#This Row],[Customer ID]],[1]!Address[ID],[1]!Address[Type])</f>
        <v>WALK IN</v>
      </c>
      <c r="W2326" s="11" t="str">
        <f>_xlfn.XLOOKUP(Customer[[#This Row],[Customer ID]],[1]!Address[ID],[1]!Address[CT])</f>
        <v/>
      </c>
      <c r="X2326" s="11"/>
      <c r="Y2326" s="17" t="s">
        <v>6284</v>
      </c>
      <c r="Z2326" s="17" t="e">
        <f>_xlfn.XLOOKUP(Customer[[#This Row],[NewType]],$AF$36:$AF$54,$AG$36:$AG$54)</f>
        <v>#N/A</v>
      </c>
      <c r="AA2326" s="17" t="s">
        <v>14445</v>
      </c>
      <c r="AB2326" s="11" t="str">
        <f>_xlfn.XLOOKUP(Customer[[#This Row],[Customer ID]],[1]!Address[ID],[1]!Address[Subtype])</f>
        <v>PEDAS</v>
      </c>
      <c r="AC2326" s="18" t="str">
        <f>_xlfn.XLOOKUP(Customer[[#This Row],[Customer ID]],[1]!Address[ID],[1]!Address[Zone])</f>
        <v>SOUTH</v>
      </c>
    </row>
    <row r="2327" spans="1:29" x14ac:dyDescent="0.3">
      <c r="A2327" s="10" t="s">
        <v>14446</v>
      </c>
      <c r="B2327" s="11" t="str">
        <f>_xlfn.XLOOKUP(Customer[[#This Row],[Customer ID]],[1]!Name[ID],[1]!Name[Description(1)])</f>
        <v>ABD WAHAB BIN MD ALI</v>
      </c>
      <c r="C2327" s="11" t="str">
        <f>_xlfn.XLOOKUP(Customer[[#This Row],[Customer ID]],[1]!Name[ID],[1]!Name[Description(2)])</f>
        <v/>
      </c>
      <c r="D2327" s="11" t="str">
        <f>_xlfn.XLOOKUP(Customer[[#This Row],[Customer ID]],[1]!Address[ID],[1]!Address[PIC])</f>
        <v>ABD WAHAB</v>
      </c>
      <c r="E2327" s="11" t="str">
        <f>_xlfn.XLOOKUP(Customer[[#This Row],[Customer ID]],[1]!Address[ID],[1]!Address[Full Address])</f>
        <v>LOT 2091, JALAN BENTENG, SUNGAIAYER BALOI, 82100 AYER BALOI,PONTIAN, JOHOR</v>
      </c>
      <c r="F2327" s="12" t="s">
        <v>14447</v>
      </c>
      <c r="G2327" s="12" t="s">
        <v>14448</v>
      </c>
      <c r="H2327" s="12" t="s">
        <v>14449</v>
      </c>
      <c r="I2327" s="12" t="b">
        <f>ISNUMBER(VALUE(LEFT(Customer[[#This Row],[Address Line 3 (30 char)]],1)))</f>
        <v>0</v>
      </c>
      <c r="J2327" s="12" t="s">
        <v>52</v>
      </c>
      <c r="K2327" s="12">
        <v>82100</v>
      </c>
      <c r="L2327" s="12" t="s">
        <v>35</v>
      </c>
      <c r="M2327" s="13" t="e">
        <v>#N/A</v>
      </c>
      <c r="N2327" s="14" t="e">
        <v>#N/A</v>
      </c>
      <c r="O2327" s="14" t="e">
        <v>#N/A</v>
      </c>
      <c r="P2327" s="14" t="e">
        <v>#N/A</v>
      </c>
      <c r="Q2327" s="19" t="s">
        <v>14450</v>
      </c>
      <c r="R2327" s="15" t="s">
        <v>14451</v>
      </c>
      <c r="S2327" s="16" t="s">
        <v>89</v>
      </c>
      <c r="T2327" s="16" t="s">
        <v>89</v>
      </c>
      <c r="U2327" s="11" t="str">
        <f>_xlfn.XLOOKUP(Customer[[#This Row],[Customer ID]],[1]!Address[ID],[1]!Address[Phone No.(2)])</f>
        <v/>
      </c>
      <c r="V2327" s="11" t="str">
        <f>_xlfn.XLOOKUP(Customer[[#This Row],[Customer ID]],[1]!Address[ID],[1]!Address[Type])</f>
        <v>WALK IN</v>
      </c>
      <c r="W2327" s="11" t="str">
        <f>_xlfn.XLOOKUP(Customer[[#This Row],[Customer ID]],[1]!Address[ID],[1]!Address[CT])</f>
        <v/>
      </c>
      <c r="X2327" s="11"/>
      <c r="Y2327" s="17" t="s">
        <v>6284</v>
      </c>
      <c r="Z2327" s="17" t="e">
        <f>_xlfn.XLOOKUP(Customer[[#This Row],[NewType]],$AF$36:$AF$54,$AG$36:$AG$54)</f>
        <v>#N/A</v>
      </c>
      <c r="AA2327" s="17" t="s">
        <v>14452</v>
      </c>
      <c r="AB2327" s="11" t="str">
        <f>_xlfn.XLOOKUP(Customer[[#This Row],[Customer ID]],[1]!Address[ID],[1]!Address[Subtype])</f>
        <v>PEDAS</v>
      </c>
      <c r="AC2327" s="18" t="str">
        <f>_xlfn.XLOOKUP(Customer[[#This Row],[Customer ID]],[1]!Address[ID],[1]!Address[Zone])</f>
        <v>SOUTH</v>
      </c>
    </row>
    <row r="2328" spans="1:29" x14ac:dyDescent="0.3">
      <c r="A2328" s="10" t="s">
        <v>14453</v>
      </c>
      <c r="B2328" s="11" t="str">
        <f>_xlfn.XLOOKUP(Customer[[#This Row],[Customer ID]],[1]!Name[ID],[1]!Name[Description(1)])</f>
        <v>USTAZAH ROSNIZAH</v>
      </c>
      <c r="C2328" s="11" t="str">
        <f>_xlfn.XLOOKUP(Customer[[#This Row],[Customer ID]],[1]!Name[ID],[1]!Name[Description(2)])</f>
        <v/>
      </c>
      <c r="D2328" s="11" t="str">
        <f>_xlfn.XLOOKUP(Customer[[#This Row],[Customer ID]],[1]!Address[ID],[1]!Address[PIC])</f>
        <v/>
      </c>
      <c r="E2328" s="11" t="str">
        <f>_xlfn.XLOOKUP(Customer[[#This Row],[Customer ID]],[1]!Address[ID],[1]!Address[Full Address])</f>
        <v>SK TAMAN MIDAH, JALAN CHERAS,56000 CHERAS KUALA LUMPUR</v>
      </c>
      <c r="F2328" s="12" t="s">
        <v>14454</v>
      </c>
      <c r="G2328" s="12" t="s">
        <v>5973</v>
      </c>
      <c r="H2328" s="12" t="s">
        <v>36</v>
      </c>
      <c r="I2328" s="12" t="b">
        <f>ISNUMBER(VALUE(LEFT(Customer[[#This Row],[Address Line 3 (30 char)]],1)))</f>
        <v>0</v>
      </c>
      <c r="J2328" s="12" t="s">
        <v>8855</v>
      </c>
      <c r="K2328" s="12">
        <v>56000</v>
      </c>
      <c r="L2328" s="12" t="s">
        <v>35</v>
      </c>
      <c r="M2328" s="13" t="e">
        <v>#N/A</v>
      </c>
      <c r="N2328" s="14" t="e">
        <v>#N/A</v>
      </c>
      <c r="O2328" s="14" t="e">
        <v>#N/A</v>
      </c>
      <c r="P2328" s="14" t="e">
        <v>#N/A</v>
      </c>
      <c r="Q2328" s="14" t="s">
        <v>14455</v>
      </c>
      <c r="R2328" s="15" t="s">
        <v>14456</v>
      </c>
      <c r="S2328" s="15" t="s">
        <v>88</v>
      </c>
      <c r="T2328" s="16" t="s">
        <v>89</v>
      </c>
      <c r="U2328" s="11" t="str">
        <f>_xlfn.XLOOKUP(Customer[[#This Row],[Customer ID]],[1]!Address[ID],[1]!Address[Phone No.(2)])</f>
        <v/>
      </c>
      <c r="V2328" s="11" t="str">
        <f>_xlfn.XLOOKUP(Customer[[#This Row],[Customer ID]],[1]!Address[ID],[1]!Address[Type])</f>
        <v>SOCMED</v>
      </c>
      <c r="W2328" s="11" t="str">
        <f>_xlfn.XLOOKUP(Customer[[#This Row],[Customer ID]],[1]!Address[ID],[1]!Address[CT])</f>
        <v/>
      </c>
      <c r="X2328" s="11"/>
      <c r="Y2328" s="17" t="s">
        <v>90</v>
      </c>
      <c r="Z2328" s="17" t="e">
        <f>_xlfn.XLOOKUP(Customer[[#This Row],[NewType]],$AF$36:$AF$54,$AG$36:$AG$54)</f>
        <v>#N/A</v>
      </c>
      <c r="AA2328" s="17" t="s">
        <v>14457</v>
      </c>
      <c r="AB2328" s="11" t="str">
        <f>_xlfn.XLOOKUP(Customer[[#This Row],[Customer ID]],[1]!Address[ID],[1]!Address[Subtype])</f>
        <v>ONLINE ROS</v>
      </c>
      <c r="AC2328" s="18" t="str">
        <f>_xlfn.XLOOKUP(Customer[[#This Row],[Customer ID]],[1]!Address[ID],[1]!Address[Zone])</f>
        <v>CENTRAL</v>
      </c>
    </row>
    <row r="2329" spans="1:29" x14ac:dyDescent="0.3">
      <c r="A2329" s="10" t="s">
        <v>14458</v>
      </c>
      <c r="B2329" s="11" t="str">
        <f>_xlfn.XLOOKUP(Customer[[#This Row],[Customer ID]],[1]!Name[ID],[1]!Name[Description(1)])</f>
        <v>HJ RAZAK (MB)</v>
      </c>
      <c r="C2329" s="32" t="str">
        <f>_xlfn.XLOOKUP(Customer[[#This Row],[Customer ID]],[1]!Name[ID],[1]!Name[Description(2)])</f>
        <v/>
      </c>
      <c r="D2329" s="11" t="str">
        <f>_xlfn.XLOOKUP(Customer[[#This Row],[Customer ID]],[1]!Address[ID],[1]!Address[PIC])</f>
        <v>HJ RAZAK</v>
      </c>
      <c r="E2329" s="11" t="str">
        <f>_xlfn.XLOOKUP(Customer[[#This Row],[Customer ID]],[1]!Address[ID],[1]!Address[Full Address])</f>
        <v>MUTIARA BANGI</v>
      </c>
      <c r="F2329" s="12" t="s">
        <v>8485</v>
      </c>
      <c r="G2329" s="12" t="s">
        <v>36</v>
      </c>
      <c r="H2329" s="12" t="s">
        <v>36</v>
      </c>
      <c r="I2329" s="12" t="b">
        <f>ISNUMBER(VALUE(LEFT(Customer[[#This Row],[Address Line 3 (30 char)]],1)))</f>
        <v>0</v>
      </c>
      <c r="J2329" s="32" t="s">
        <v>172</v>
      </c>
      <c r="K2329" s="32"/>
      <c r="L2329" s="12" t="s">
        <v>35</v>
      </c>
      <c r="M2329" s="13" t="e">
        <v>#N/A</v>
      </c>
      <c r="N2329" s="14" t="e">
        <v>#N/A</v>
      </c>
      <c r="O2329" s="14" t="e">
        <v>#N/A</v>
      </c>
      <c r="P2329" s="14" t="e">
        <v>#N/A</v>
      </c>
      <c r="Q2329" s="14" t="e">
        <v>#N/A</v>
      </c>
      <c r="R2329" s="15" t="s">
        <v>14459</v>
      </c>
      <c r="S2329" s="15" t="s">
        <v>4271</v>
      </c>
      <c r="T2329" s="16" t="s">
        <v>89</v>
      </c>
      <c r="U2329" s="11" t="str">
        <f>_xlfn.XLOOKUP(Customer[[#This Row],[Customer ID]],[1]!Address[ID],[1]!Address[Phone No.(2)])</f>
        <v/>
      </c>
      <c r="V2329" s="11" t="str">
        <f>_xlfn.XLOOKUP(Customer[[#This Row],[Customer ID]],[1]!Address[ID],[1]!Address[Type])</f>
        <v>SOCMED</v>
      </c>
      <c r="W2329" s="11" t="str">
        <f>_xlfn.XLOOKUP(Customer[[#This Row],[Customer ID]],[1]!Address[ID],[1]!Address[CT])</f>
        <v/>
      </c>
      <c r="X2329" s="11"/>
      <c r="Y2329" s="17" t="s">
        <v>90</v>
      </c>
      <c r="Z2329" s="17" t="e">
        <f>_xlfn.XLOOKUP(Customer[[#This Row],[NewType]],$AF$36:$AF$54,$AG$36:$AG$54)</f>
        <v>#N/A</v>
      </c>
      <c r="AA2329" s="17" t="s">
        <v>14460</v>
      </c>
      <c r="AB2329" s="11" t="str">
        <f>_xlfn.XLOOKUP(Customer[[#This Row],[Customer ID]],[1]!Address[ID],[1]!Address[Subtype])</f>
        <v>WHATSAPP</v>
      </c>
      <c r="AC2329" s="18" t="str">
        <f>_xlfn.XLOOKUP(Customer[[#This Row],[Customer ID]],[1]!Address[ID],[1]!Address[Zone])</f>
        <v>CENTRAL</v>
      </c>
    </row>
    <row r="2330" spans="1:29" x14ac:dyDescent="0.3">
      <c r="A2330" s="10" t="s">
        <v>14461</v>
      </c>
      <c r="B2330" s="11" t="str">
        <f>_xlfn.XLOOKUP(Customer[[#This Row],[Customer ID]],[1]!Name[ID],[1]!Name[Description(1)])</f>
        <v>AIN AZIZAH BINTI ARIFIN</v>
      </c>
      <c r="C2330" s="11" t="str">
        <f>_xlfn.XLOOKUP(Customer[[#This Row],[Customer ID]],[1]!Name[ID],[1]!Name[Description(2)])</f>
        <v>(MD BUBBLES O2)</v>
      </c>
      <c r="D2330" s="11" t="str">
        <f>_xlfn.XLOOKUP(Customer[[#This Row],[Customer ID]],[1]!Address[ID],[1]!Address[PIC])</f>
        <v>AIN AZIZAH</v>
      </c>
      <c r="E2330" s="11" t="str">
        <f>_xlfn.XLOOKUP(Customer[[#This Row],[Customer ID]],[1]!Address[ID],[1]!Address[Full Address])</f>
        <v>NO 13,JALAN 1/3L  MUTIARA BANGI,43650 BANDAR BARU BANGI, SELANGOR</v>
      </c>
      <c r="F2330" s="12" t="s">
        <v>14462</v>
      </c>
      <c r="G2330" s="12" t="s">
        <v>8485</v>
      </c>
      <c r="H2330" s="12" t="s">
        <v>4431</v>
      </c>
      <c r="I2330" s="12" t="b">
        <f>ISNUMBER(VALUE(LEFT(Customer[[#This Row],[Address Line 3 (30 char)]],1)))</f>
        <v>0</v>
      </c>
      <c r="J2330" s="12" t="s">
        <v>172</v>
      </c>
      <c r="K2330" s="12">
        <v>43650</v>
      </c>
      <c r="L2330" s="12" t="s">
        <v>35</v>
      </c>
      <c r="M2330" s="13" t="e">
        <v>#N/A</v>
      </c>
      <c r="N2330" s="14" t="e">
        <v>#N/A</v>
      </c>
      <c r="O2330" s="14" t="e">
        <v>#N/A</v>
      </c>
      <c r="P2330" s="14" t="e">
        <v>#N/A</v>
      </c>
      <c r="Q2330" s="19" t="s">
        <v>14463</v>
      </c>
      <c r="R2330" s="15" t="s">
        <v>14464</v>
      </c>
      <c r="S2330" s="16" t="s">
        <v>89</v>
      </c>
      <c r="T2330" s="16" t="s">
        <v>89</v>
      </c>
      <c r="U2330" s="11" t="str">
        <f>_xlfn.XLOOKUP(Customer[[#This Row],[Customer ID]],[1]!Address[ID],[1]!Address[Phone No.(2)])</f>
        <v/>
      </c>
      <c r="V2330" s="11" t="str">
        <f>_xlfn.XLOOKUP(Customer[[#This Row],[Customer ID]],[1]!Address[ID],[1]!Address[Type])</f>
        <v>WALK IN</v>
      </c>
      <c r="W2330" s="11" t="str">
        <f>_xlfn.XLOOKUP(Customer[[#This Row],[Customer ID]],[1]!Address[ID],[1]!Address[CT])</f>
        <v/>
      </c>
      <c r="X2330" s="11"/>
      <c r="Y2330" s="17" t="s">
        <v>6284</v>
      </c>
      <c r="Z2330" s="17" t="e">
        <f>_xlfn.XLOOKUP(Customer[[#This Row],[NewType]],$AF$36:$AF$54,$AG$36:$AG$54)</f>
        <v>#N/A</v>
      </c>
      <c r="AA2330" s="17" t="s">
        <v>14465</v>
      </c>
      <c r="AB2330" s="11" t="str">
        <f>_xlfn.XLOOKUP(Customer[[#This Row],[Customer ID]],[1]!Address[ID],[1]!Address[Subtype])</f>
        <v>STAFF</v>
      </c>
      <c r="AC2330" s="18" t="str">
        <f>_xlfn.XLOOKUP(Customer[[#This Row],[Customer ID]],[1]!Address[ID],[1]!Address[Zone])</f>
        <v>CENTRAL</v>
      </c>
    </row>
    <row r="2331" spans="1:29" x14ac:dyDescent="0.3">
      <c r="A2331" s="10" t="s">
        <v>14466</v>
      </c>
      <c r="B2331" s="11" t="str">
        <f>_xlfn.XLOOKUP(Customer[[#This Row],[Customer ID]],[1]!Name[ID],[1]!Name[Description(1)])</f>
        <v>NOR AHYA SYAZWANI BINTI SAIDIN</v>
      </c>
      <c r="C2331" s="11" t="str">
        <f>_xlfn.XLOOKUP(Customer[[#This Row],[Customer ID]],[1]!Name[ID],[1]!Name[Description(2)])</f>
        <v>(QA)</v>
      </c>
      <c r="D2331" s="11" t="str">
        <f>_xlfn.XLOOKUP(Customer[[#This Row],[Customer ID]],[1]!Address[ID],[1]!Address[PIC])</f>
        <v>SYAZWANI</v>
      </c>
      <c r="E2331" s="11" t="str">
        <f>_xlfn.XLOOKUP(Customer[[#This Row],[Customer ID]],[1]!Address[ID],[1]!Address[Full Address])</f>
        <v>28-G TAMAN TROPIKA 2, JALAN TROPIKA 2/243000 KAJANG SELANGOR</v>
      </c>
      <c r="F2331" s="12" t="s">
        <v>14467</v>
      </c>
      <c r="G2331" s="12" t="s">
        <v>14468</v>
      </c>
      <c r="H2331" s="12" t="s">
        <v>6089</v>
      </c>
      <c r="I2331" s="12" t="b">
        <f>ISNUMBER(VALUE(LEFT(Customer[[#This Row],[Address Line 3 (30 char)]],1)))</f>
        <v>0</v>
      </c>
      <c r="J2331" s="12" t="s">
        <v>172</v>
      </c>
      <c r="K2331" s="12">
        <v>43000</v>
      </c>
      <c r="L2331" s="12" t="s">
        <v>35</v>
      </c>
      <c r="M2331" s="13" t="e">
        <v>#N/A</v>
      </c>
      <c r="N2331" s="14" t="e">
        <v>#N/A</v>
      </c>
      <c r="O2331" s="14" t="e">
        <v>#N/A</v>
      </c>
      <c r="P2331" s="14" t="e">
        <v>#N/A</v>
      </c>
      <c r="Q2331" s="19" t="s">
        <v>14469</v>
      </c>
      <c r="R2331" s="15" t="s">
        <v>14470</v>
      </c>
      <c r="S2331" s="16" t="s">
        <v>89</v>
      </c>
      <c r="T2331" s="16" t="s">
        <v>89</v>
      </c>
      <c r="U2331" s="11" t="str">
        <f>_xlfn.XLOOKUP(Customer[[#This Row],[Customer ID]],[1]!Address[ID],[1]!Address[Phone No.(2)])</f>
        <v/>
      </c>
      <c r="V2331" s="11" t="str">
        <f>_xlfn.XLOOKUP(Customer[[#This Row],[Customer ID]],[1]!Address[ID],[1]!Address[Type])</f>
        <v>WALK IN</v>
      </c>
      <c r="W2331" s="11" t="str">
        <f>_xlfn.XLOOKUP(Customer[[#This Row],[Customer ID]],[1]!Address[ID],[1]!Address[CT])</f>
        <v/>
      </c>
      <c r="X2331" s="11"/>
      <c r="Y2331" s="17" t="s">
        <v>6284</v>
      </c>
      <c r="Z2331" s="17" t="e">
        <f>_xlfn.XLOOKUP(Customer[[#This Row],[NewType]],$AF$36:$AF$54,$AG$36:$AG$54)</f>
        <v>#N/A</v>
      </c>
      <c r="AA2331" s="17" t="s">
        <v>14471</v>
      </c>
      <c r="AB2331" s="11" t="str">
        <f>_xlfn.XLOOKUP(Customer[[#This Row],[Customer ID]],[1]!Address[ID],[1]!Address[Subtype])</f>
        <v>STAFF</v>
      </c>
      <c r="AC2331" s="18" t="str">
        <f>_xlfn.XLOOKUP(Customer[[#This Row],[Customer ID]],[1]!Address[ID],[1]!Address[Zone])</f>
        <v>CENTRAL</v>
      </c>
    </row>
    <row r="2332" spans="1:29" x14ac:dyDescent="0.3">
      <c r="A2332" s="10" t="s">
        <v>14472</v>
      </c>
      <c r="B2332" s="11" t="str">
        <f>_xlfn.XLOOKUP(Customer[[#This Row],[Customer ID]],[1]!Name[ID],[1]!Name[Description(1)])</f>
        <v>RAMLAH BINTI MOKHTAR</v>
      </c>
      <c r="C2332" s="11" t="str">
        <f>_xlfn.XLOOKUP(Customer[[#This Row],[Customer ID]],[1]!Name[ID],[1]!Name[Description(2)])</f>
        <v/>
      </c>
      <c r="D2332" s="11" t="str">
        <f>_xlfn.XLOOKUP(Customer[[#This Row],[Customer ID]],[1]!Address[ID],[1]!Address[PIC])</f>
        <v>RAMLAH</v>
      </c>
      <c r="E2332" s="11" t="str">
        <f>_xlfn.XLOOKUP(Customer[[#This Row],[Customer ID]],[1]!Address[ID],[1]!Address[Full Address])</f>
        <v>NO 1 BLOK I PONDOK WARGAMASNOOR QASEH LOT 2178 JALAN HAJIHASHIM, KG BUKIT BELIMBING 45000KUALA SELANGOR, SELANGOR</v>
      </c>
      <c r="F2332" s="12" t="s">
        <v>14473</v>
      </c>
      <c r="G2332" s="12" t="s">
        <v>14474</v>
      </c>
      <c r="H2332" s="12" t="s">
        <v>14475</v>
      </c>
      <c r="I2332" s="12" t="b">
        <f>ISNUMBER(VALUE(LEFT(Customer[[#This Row],[Address Line 3 (30 char)]],1)))</f>
        <v>0</v>
      </c>
      <c r="J2332" s="12" t="s">
        <v>1907</v>
      </c>
      <c r="K2332" s="12">
        <v>45000</v>
      </c>
      <c r="L2332" s="12" t="s">
        <v>35</v>
      </c>
      <c r="M2332" s="13" t="e">
        <v>#N/A</v>
      </c>
      <c r="N2332" s="14" t="e">
        <v>#N/A</v>
      </c>
      <c r="O2332" s="14" t="e">
        <v>#N/A</v>
      </c>
      <c r="P2332" s="14" t="e">
        <v>#N/A</v>
      </c>
      <c r="Q2332" s="19" t="s">
        <v>14476</v>
      </c>
      <c r="R2332" s="15" t="s">
        <v>14477</v>
      </c>
      <c r="S2332" s="15" t="s">
        <v>88</v>
      </c>
      <c r="T2332" s="16" t="s">
        <v>89</v>
      </c>
      <c r="U2332" s="11" t="str">
        <f>_xlfn.XLOOKUP(Customer[[#This Row],[Customer ID]],[1]!Address[ID],[1]!Address[Phone No.(2)])</f>
        <v/>
      </c>
      <c r="V2332" s="11" t="str">
        <f>_xlfn.XLOOKUP(Customer[[#This Row],[Customer ID]],[1]!Address[ID],[1]!Address[Type])</f>
        <v>SOCMED</v>
      </c>
      <c r="W2332" s="11" t="str">
        <f>_xlfn.XLOOKUP(Customer[[#This Row],[Customer ID]],[1]!Address[ID],[1]!Address[CT])</f>
        <v/>
      </c>
      <c r="X2332" s="11"/>
      <c r="Y2332" s="17" t="s">
        <v>90</v>
      </c>
      <c r="Z2332" s="17" t="e">
        <f>_xlfn.XLOOKUP(Customer[[#This Row],[NewType]],$AF$36:$AF$54,$AG$36:$AG$54)</f>
        <v>#N/A</v>
      </c>
      <c r="AA2332" s="17" t="s">
        <v>14478</v>
      </c>
      <c r="AB2332" s="11" t="str">
        <f>_xlfn.XLOOKUP(Customer[[#This Row],[Customer ID]],[1]!Address[ID],[1]!Address[Subtype])</f>
        <v>ONLINE ROS</v>
      </c>
      <c r="AC2332" s="18" t="str">
        <f>_xlfn.XLOOKUP(Customer[[#This Row],[Customer ID]],[1]!Address[ID],[1]!Address[Zone])</f>
        <v>CENTRAL</v>
      </c>
    </row>
    <row r="2333" spans="1:29" x14ac:dyDescent="0.3">
      <c r="A2333" s="10" t="s">
        <v>14479</v>
      </c>
      <c r="B2333" s="11" t="str">
        <f>_xlfn.XLOOKUP(Customer[[#This Row],[Customer ID]],[1]!Name[ID],[1]!Name[Description(1)])</f>
        <v>NOR HAZIRAH AUNI</v>
      </c>
      <c r="C2333" s="11" t="str">
        <f>_xlfn.XLOOKUP(Customer[[#This Row],[Customer ID]],[1]!Name[ID],[1]!Name[Description(2)])</f>
        <v/>
      </c>
      <c r="D2333" s="11" t="str">
        <f>_xlfn.XLOOKUP(Customer[[#This Row],[Customer ID]],[1]!Address[ID],[1]!Address[PIC])</f>
        <v/>
      </c>
      <c r="E2333" s="11" t="str">
        <f>_xlfn.XLOOKUP(Customer[[#This Row],[Customer ID]],[1]!Address[ID],[1]!Address[Full Address])</f>
        <v>NO 19, JALAN CEMARA 2, TAMAN CEMARA26800 KUALA ROMPIN, PAHANG</v>
      </c>
      <c r="F2333" s="12" t="s">
        <v>14480</v>
      </c>
      <c r="G2333" s="12" t="s">
        <v>14481</v>
      </c>
      <c r="H2333" s="12" t="s">
        <v>13532</v>
      </c>
      <c r="I2333" s="12" t="b">
        <f>ISNUMBER(VALUE(LEFT(Customer[[#This Row],[Address Line 3 (30 char)]],1)))</f>
        <v>0</v>
      </c>
      <c r="J2333" s="12" t="s">
        <v>339</v>
      </c>
      <c r="K2333" s="12">
        <v>26800</v>
      </c>
      <c r="L2333" s="12" t="s">
        <v>35</v>
      </c>
      <c r="M2333" s="13" t="e">
        <v>#N/A</v>
      </c>
      <c r="N2333" s="14" t="e">
        <v>#N/A</v>
      </c>
      <c r="O2333" s="14" t="e">
        <v>#N/A</v>
      </c>
      <c r="P2333" s="14" t="e">
        <v>#N/A</v>
      </c>
      <c r="Q2333" s="19" t="s">
        <v>14482</v>
      </c>
      <c r="R2333" s="15" t="s">
        <v>14483</v>
      </c>
      <c r="S2333" s="16" t="s">
        <v>89</v>
      </c>
      <c r="T2333" s="16" t="s">
        <v>89</v>
      </c>
      <c r="U2333" s="11" t="str">
        <f>_xlfn.XLOOKUP(Customer[[#This Row],[Customer ID]],[1]!Address[ID],[1]!Address[Phone No.(2)])</f>
        <v/>
      </c>
      <c r="V2333" s="11" t="str">
        <f>_xlfn.XLOOKUP(Customer[[#This Row],[Customer ID]],[1]!Address[ID],[1]!Address[Type])</f>
        <v>WALK IN</v>
      </c>
      <c r="W2333" s="11" t="str">
        <f>_xlfn.XLOOKUP(Customer[[#This Row],[Customer ID]],[1]!Address[ID],[1]!Address[CT])</f>
        <v/>
      </c>
      <c r="X2333" s="11"/>
      <c r="Y2333" s="17" t="s">
        <v>6284</v>
      </c>
      <c r="Z2333" s="17" t="e">
        <f>_xlfn.XLOOKUP(Customer[[#This Row],[NewType]],$AF$36:$AF$54,$AG$36:$AG$54)</f>
        <v>#N/A</v>
      </c>
      <c r="AA2333" s="17" t="s">
        <v>14484</v>
      </c>
      <c r="AB2333" s="11" t="str">
        <f>_xlfn.XLOOKUP(Customer[[#This Row],[Customer ID]],[1]!Address[ID],[1]!Address[Subtype])</f>
        <v>PEDAS</v>
      </c>
      <c r="AC2333" s="18" t="str">
        <f>_xlfn.XLOOKUP(Customer[[#This Row],[Customer ID]],[1]!Address[ID],[1]!Address[Zone])</f>
        <v>EAST COAST</v>
      </c>
    </row>
    <row r="2334" spans="1:29" x14ac:dyDescent="0.3">
      <c r="A2334" s="45" t="s">
        <v>14485</v>
      </c>
      <c r="B2334" s="32" t="str">
        <f>_xlfn.XLOOKUP(Customer[[#This Row],[Customer ID]],[1]!Name[ID],[1]!Name[Description(1)])</f>
        <v>ABDUL MOATI BIN ABDUL WAHAB</v>
      </c>
      <c r="C2334" s="32" t="str">
        <f>_xlfn.XLOOKUP(Customer[[#This Row],[Customer ID]],[1]!Name[ID],[1]!Name[Description(2)])</f>
        <v/>
      </c>
      <c r="D2334" s="11" t="str">
        <f>_xlfn.XLOOKUP(Customer[[#This Row],[Customer ID]],[1]!Address[ID],[1]!Address[PIC])</f>
        <v/>
      </c>
      <c r="E2334" s="11" t="str">
        <f>_xlfn.XLOOKUP(Customer[[#This Row],[Customer ID]],[1]!Address[ID],[1]!Address[Full Address])</f>
        <v>KG TAMPIN LINGGI71150 LINGGI NEGERI SEMBILAN</v>
      </c>
      <c r="F2334" s="12" t="s">
        <v>14486</v>
      </c>
      <c r="G2334" s="12" t="s">
        <v>14487</v>
      </c>
      <c r="H2334" s="12" t="s">
        <v>36</v>
      </c>
      <c r="I2334" s="12" t="b">
        <f>ISNUMBER(VALUE(LEFT(Customer[[#This Row],[Address Line 3 (30 char)]],1)))</f>
        <v>0</v>
      </c>
      <c r="J2334" s="32" t="s">
        <v>2004</v>
      </c>
      <c r="K2334" s="32">
        <v>71150</v>
      </c>
      <c r="L2334" s="12" t="s">
        <v>35</v>
      </c>
      <c r="M2334" s="13" t="e">
        <v>#N/A</v>
      </c>
      <c r="N2334" s="14" t="e">
        <v>#N/A</v>
      </c>
      <c r="O2334" s="14" t="e">
        <v>#N/A</v>
      </c>
      <c r="P2334" s="14" t="e">
        <v>#N/A</v>
      </c>
      <c r="Q2334" s="19" t="s">
        <v>14488</v>
      </c>
      <c r="R2334" s="15" t="s">
        <v>14489</v>
      </c>
      <c r="S2334" s="16" t="s">
        <v>89</v>
      </c>
      <c r="T2334" s="16" t="s">
        <v>89</v>
      </c>
      <c r="U2334" s="11" t="str">
        <f>_xlfn.XLOOKUP(Customer[[#This Row],[Customer ID]],[1]!Address[ID],[1]!Address[Phone No.(2)])</f>
        <v/>
      </c>
      <c r="V2334" s="11" t="str">
        <f>_xlfn.XLOOKUP(Customer[[#This Row],[Customer ID]],[1]!Address[ID],[1]!Address[Type])</f>
        <v>WALK IN</v>
      </c>
      <c r="W2334" s="11" t="str">
        <f>_xlfn.XLOOKUP(Customer[[#This Row],[Customer ID]],[1]!Address[ID],[1]!Address[CT])</f>
        <v/>
      </c>
      <c r="X2334" s="11"/>
      <c r="Y2334" s="17" t="s">
        <v>6284</v>
      </c>
      <c r="Z2334" s="17" t="e">
        <f>_xlfn.XLOOKUP(Customer[[#This Row],[NewType]],$AF$36:$AF$54,$AG$36:$AG$54)</f>
        <v>#N/A</v>
      </c>
      <c r="AA2334" s="17" t="s">
        <v>14490</v>
      </c>
      <c r="AB2334" s="11" t="str">
        <f>_xlfn.XLOOKUP(Customer[[#This Row],[Customer ID]],[1]!Address[ID],[1]!Address[Subtype])</f>
        <v>STAFF</v>
      </c>
      <c r="AC2334" s="18" t="str">
        <f>_xlfn.XLOOKUP(Customer[[#This Row],[Customer ID]],[1]!Address[ID],[1]!Address[Zone])</f>
        <v>SOUTH</v>
      </c>
    </row>
    <row r="2335" spans="1:29" x14ac:dyDescent="0.3">
      <c r="A2335" s="10" t="s">
        <v>14491</v>
      </c>
      <c r="B2335" s="11" t="str">
        <f>_xlfn.XLOOKUP(Customer[[#This Row],[Customer ID]],[1]!Name[ID],[1]!Name[Description(1)])</f>
        <v>MADRASAH TAHFIZ YAMIN</v>
      </c>
      <c r="C2335" s="11" t="str">
        <f>_xlfn.XLOOKUP(Customer[[#This Row],[Customer ID]],[1]!Name[ID],[1]!Name[Description(2)])</f>
        <v/>
      </c>
      <c r="D2335" s="11" t="str">
        <f>_xlfn.XLOOKUP(Customer[[#This Row],[Customer ID]],[1]!Address[ID],[1]!Address[PIC])</f>
        <v/>
      </c>
      <c r="E2335" s="11" t="str">
        <f>_xlfn.XLOOKUP(Customer[[#This Row],[Customer ID]],[1]!Address[ID],[1]!Address[Full Address])</f>
        <v>BATU 18 1/12, SUNGAI KEPONG,JALAN SEREMBAN, KUALA KLAWANG,JELEBU, NEGERI SEMBILAN</v>
      </c>
      <c r="F2335" s="12" t="s">
        <v>14492</v>
      </c>
      <c r="G2335" s="12" t="s">
        <v>14493</v>
      </c>
      <c r="H2335" s="12" t="s">
        <v>10940</v>
      </c>
      <c r="I2335" s="12" t="b">
        <f>ISNUMBER(VALUE(LEFT(Customer[[#This Row],[Address Line 3 (30 char)]],1)))</f>
        <v>0</v>
      </c>
      <c r="J2335" s="12" t="s">
        <v>2004</v>
      </c>
      <c r="K2335" s="12">
        <v>71600</v>
      </c>
      <c r="L2335" s="12" t="s">
        <v>35</v>
      </c>
      <c r="M2335" s="13" t="e">
        <v>#N/A</v>
      </c>
      <c r="N2335" s="14" t="e">
        <v>#N/A</v>
      </c>
      <c r="O2335" s="14" t="e">
        <v>#N/A</v>
      </c>
      <c r="P2335" s="14" t="e">
        <v>#N/A</v>
      </c>
      <c r="Q2335" s="14" t="e">
        <v>#N/A</v>
      </c>
      <c r="R2335" s="15" t="s">
        <v>14494</v>
      </c>
      <c r="S2335" s="15" t="s">
        <v>5934</v>
      </c>
      <c r="T2335" s="16" t="s">
        <v>3477</v>
      </c>
      <c r="U2335" s="11" t="str">
        <f>_xlfn.XLOOKUP(Customer[[#This Row],[Customer ID]],[1]!Address[ID],[1]!Address[Phone No.(2)])</f>
        <v/>
      </c>
      <c r="V2335" s="11" t="str">
        <f>_xlfn.XLOOKUP(Customer[[#This Row],[Customer ID]],[1]!Address[ID],[1]!Address[Type])</f>
        <v>MADRASAH</v>
      </c>
      <c r="W2335" s="11" t="str">
        <f>_xlfn.XLOOKUP(Customer[[#This Row],[Customer ID]],[1]!Address[ID],[1]!Address[CT])</f>
        <v>CASH</v>
      </c>
      <c r="X2335" s="11"/>
      <c r="Y2335" s="17" t="s">
        <v>6284</v>
      </c>
      <c r="Z2335" s="17" t="e">
        <f>_xlfn.XLOOKUP(Customer[[#This Row],[NewType]],$AF$36:$AF$54,$AG$36:$AG$54)</f>
        <v>#N/A</v>
      </c>
      <c r="AA2335" s="17" t="s">
        <v>14495</v>
      </c>
      <c r="AB2335" s="11" t="str">
        <f>_xlfn.XLOOKUP(Customer[[#This Row],[Customer ID]],[1]!Address[ID],[1]!Address[Subtype])</f>
        <v>TAHFIZ YAMIN</v>
      </c>
      <c r="AC2335" s="18" t="str">
        <f>_xlfn.XLOOKUP(Customer[[#This Row],[Customer ID]],[1]!Address[ID],[1]!Address[Zone])</f>
        <v>SOUTH</v>
      </c>
    </row>
    <row r="2336" spans="1:29" x14ac:dyDescent="0.3">
      <c r="A2336" s="10" t="s">
        <v>14496</v>
      </c>
      <c r="B2336" s="11" t="str">
        <f>_xlfn.XLOOKUP(Customer[[#This Row],[Customer ID]],[1]!Name[ID],[1]!Name[Description(1)])</f>
        <v>IZZAH SYAFIQAH BT AHMAD HER</v>
      </c>
      <c r="C2336" s="11" t="str">
        <f>_xlfn.XLOOKUP(Customer[[#This Row],[Customer ID]],[1]!Name[ID],[1]!Name[Description(2)])</f>
        <v/>
      </c>
      <c r="D2336" s="11" t="str">
        <f>_xlfn.XLOOKUP(Customer[[#This Row],[Customer ID]],[1]!Address[ID],[1]!Address[PIC])</f>
        <v/>
      </c>
      <c r="E2336" s="11" t="str">
        <f>_xlfn.XLOOKUP(Customer[[#This Row],[Customer ID]],[1]!Address[ID],[1]!Address[Full Address])</f>
        <v>1764, PERSIARAN SRU PUTRITAMAN PUTRI 81000 KULAI JOHOR</v>
      </c>
      <c r="F2336" s="12" t="s">
        <v>14497</v>
      </c>
      <c r="G2336" s="12" t="s">
        <v>14498</v>
      </c>
      <c r="H2336" s="12" t="s">
        <v>36</v>
      </c>
      <c r="I2336" s="12" t="b">
        <f>ISNUMBER(VALUE(LEFT(Customer[[#This Row],[Address Line 3 (30 char)]],1)))</f>
        <v>0</v>
      </c>
      <c r="J2336" s="12" t="s">
        <v>52</v>
      </c>
      <c r="K2336" s="12">
        <v>81000</v>
      </c>
      <c r="L2336" s="12" t="s">
        <v>35</v>
      </c>
      <c r="M2336" s="13" t="e">
        <v>#N/A</v>
      </c>
      <c r="N2336" s="14" t="e">
        <v>#N/A</v>
      </c>
      <c r="O2336" s="14" t="e">
        <v>#N/A</v>
      </c>
      <c r="P2336" s="14" t="e">
        <v>#N/A</v>
      </c>
      <c r="Q2336" s="19" t="s">
        <v>14499</v>
      </c>
      <c r="R2336" s="15" t="s">
        <v>14500</v>
      </c>
      <c r="S2336" s="16" t="s">
        <v>89</v>
      </c>
      <c r="T2336" s="16" t="s">
        <v>89</v>
      </c>
      <c r="U2336" s="11" t="str">
        <f>_xlfn.XLOOKUP(Customer[[#This Row],[Customer ID]],[1]!Address[ID],[1]!Address[Phone No.(2)])</f>
        <v/>
      </c>
      <c r="V2336" s="11" t="str">
        <f>_xlfn.XLOOKUP(Customer[[#This Row],[Customer ID]],[1]!Address[ID],[1]!Address[Type])</f>
        <v>WALK IN</v>
      </c>
      <c r="W2336" s="11" t="str">
        <f>_xlfn.XLOOKUP(Customer[[#This Row],[Customer ID]],[1]!Address[ID],[1]!Address[CT])</f>
        <v/>
      </c>
      <c r="X2336" s="11"/>
      <c r="Y2336" s="17" t="s">
        <v>6284</v>
      </c>
      <c r="Z2336" s="17" t="e">
        <f>_xlfn.XLOOKUP(Customer[[#This Row],[NewType]],$AF$36:$AF$54,$AG$36:$AG$54)</f>
        <v>#N/A</v>
      </c>
      <c r="AA2336" s="17" t="s">
        <v>14501</v>
      </c>
      <c r="AB2336" s="11" t="str">
        <f>_xlfn.XLOOKUP(Customer[[#This Row],[Customer ID]],[1]!Address[ID],[1]!Address[Subtype])</f>
        <v>PEDAS</v>
      </c>
      <c r="AC2336" s="18" t="str">
        <f>_xlfn.XLOOKUP(Customer[[#This Row],[Customer ID]],[1]!Address[ID],[1]!Address[Zone])</f>
        <v>SOUTH</v>
      </c>
    </row>
    <row r="2337" spans="1:30" x14ac:dyDescent="0.3">
      <c r="A2337" s="10" t="s">
        <v>14502</v>
      </c>
      <c r="B2337" s="11" t="str">
        <f>_xlfn.XLOOKUP(Customer[[#This Row],[Customer ID]],[1]!Name[ID],[1]!Name[Description(1)])</f>
        <v>BEACH MART</v>
      </c>
      <c r="C2337" s="11" t="str">
        <f>_xlfn.XLOOKUP(Customer[[#This Row],[Customer ID]],[1]!Name[ID],[1]!Name[Description(2)])</f>
        <v/>
      </c>
      <c r="D2337" s="11" t="str">
        <f>_xlfn.XLOOKUP(Customer[[#This Row],[Customer ID]],[1]!Address[ID],[1]!Address[PIC])</f>
        <v/>
      </c>
      <c r="E2337" s="11" t="str">
        <f>_xlfn.XLOOKUP(Customer[[#This Row],[Customer ID]],[1]!Address[ID],[1]!Address[Full Address])</f>
        <v>LOT 70985A, JALAN PANTAU SURA,KAMPUNG SURA HUJUNG,23000 DUNGUN TERENGGANU</v>
      </c>
      <c r="F2337" s="12" t="s">
        <v>14503</v>
      </c>
      <c r="G2337" s="12" t="s">
        <v>14504</v>
      </c>
      <c r="H2337" s="24" t="s">
        <v>1553</v>
      </c>
      <c r="I2337" s="24" t="b">
        <f>ISNUMBER(VALUE(LEFT(Customer[[#This Row],[Address Line 3 (30 char)]],1)))</f>
        <v>0</v>
      </c>
      <c r="J2337" s="12" t="s">
        <v>154</v>
      </c>
      <c r="K2337" s="12">
        <v>23000</v>
      </c>
      <c r="L2337" s="12" t="s">
        <v>35</v>
      </c>
      <c r="M2337" s="13" t="e">
        <v>#N/A</v>
      </c>
      <c r="N2337" s="14" t="e">
        <v>#N/A</v>
      </c>
      <c r="O2337" s="14" t="e">
        <v>#N/A</v>
      </c>
      <c r="P2337" s="14" t="e">
        <v>#N/A</v>
      </c>
      <c r="Q2337" s="19" t="s">
        <v>14505</v>
      </c>
      <c r="R2337" s="15" t="s">
        <v>14506</v>
      </c>
      <c r="S2337" s="15" t="s">
        <v>37</v>
      </c>
      <c r="T2337" s="16" t="s">
        <v>3477</v>
      </c>
      <c r="U2337" s="11" t="str">
        <f>_xlfn.XLOOKUP(Customer[[#This Row],[Customer ID]],[1]!Address[ID],[1]!Address[Phone No.(2)])</f>
        <v/>
      </c>
      <c r="V2337" s="11" t="str">
        <f>_xlfn.XLOOKUP(Customer[[#This Row],[Customer ID]],[1]!Address[ID],[1]!Address[Type])</f>
        <v>CM</v>
      </c>
      <c r="W2337" s="11" t="str">
        <f>_xlfn.XLOOKUP(Customer[[#This Row],[Customer ID]],[1]!Address[ID],[1]!Address[CT])</f>
        <v>CASH</v>
      </c>
      <c r="X2337" s="11"/>
      <c r="Y2337" s="17" t="s">
        <v>5918</v>
      </c>
      <c r="Z2337" s="17" t="e">
        <f>_xlfn.XLOOKUP(Customer[[#This Row],[NewType]],$AF$36:$AF$54,$AG$36:$AG$54)</f>
        <v>#N/A</v>
      </c>
      <c r="AA2337" s="17" t="s">
        <v>14507</v>
      </c>
      <c r="AB2337" s="11" t="str">
        <f>_xlfn.XLOOKUP(Customer[[#This Row],[Customer ID]],[1]!Address[ID],[1]!Address[Subtype])</f>
        <v>BEACH MART</v>
      </c>
      <c r="AC2337" s="18" t="str">
        <f>_xlfn.XLOOKUP(Customer[[#This Row],[Customer ID]],[1]!Address[ID],[1]!Address[Zone])</f>
        <v>EAST COAST</v>
      </c>
    </row>
    <row r="2338" spans="1:30" x14ac:dyDescent="0.3">
      <c r="A2338" s="10" t="s">
        <v>14508</v>
      </c>
      <c r="B2338" s="11" t="str">
        <f>_xlfn.XLOOKUP(Customer[[#This Row],[Customer ID]],[1]!Name[ID],[1]!Name[Description(1)])</f>
        <v>AZLI BIN AMIR</v>
      </c>
      <c r="C2338" s="11" t="str">
        <f>_xlfn.XLOOKUP(Customer[[#This Row],[Customer ID]],[1]!Name[ID],[1]!Name[Description(2)])</f>
        <v/>
      </c>
      <c r="D2338" s="11" t="str">
        <f>_xlfn.XLOOKUP(Customer[[#This Row],[Customer ID]],[1]!Address[ID],[1]!Address[PIC])</f>
        <v>AZLI</v>
      </c>
      <c r="E2338" s="11" t="str">
        <f>_xlfn.XLOOKUP(Customer[[#This Row],[Customer ID]],[1]!Address[ID],[1]!Address[Full Address])</f>
        <v>38 JALAN SRI BAYU INDAH,TAMAN SRI BAYU, BAGAN LALANG43950 SUNGAI PELEK SELANGOR</v>
      </c>
      <c r="F2338" s="12" t="s">
        <v>14509</v>
      </c>
      <c r="G2338" s="12" t="s">
        <v>14510</v>
      </c>
      <c r="H2338" s="24" t="s">
        <v>14511</v>
      </c>
      <c r="I2338" s="24" t="b">
        <f>ISNUMBER(VALUE(LEFT(Customer[[#This Row],[Address Line 3 (30 char)]],1)))</f>
        <v>0</v>
      </c>
      <c r="J2338" s="12" t="s">
        <v>1907</v>
      </c>
      <c r="K2338" s="12">
        <v>43950</v>
      </c>
      <c r="L2338" s="12" t="s">
        <v>35</v>
      </c>
      <c r="M2338" s="13" t="e">
        <v>#N/A</v>
      </c>
      <c r="N2338" s="14" t="e">
        <v>#N/A</v>
      </c>
      <c r="O2338" s="14" t="e">
        <v>#N/A</v>
      </c>
      <c r="P2338" s="14" t="e">
        <v>#N/A</v>
      </c>
      <c r="Q2338" s="19" t="s">
        <v>14512</v>
      </c>
      <c r="R2338" s="15" t="s">
        <v>14513</v>
      </c>
      <c r="S2338" s="15" t="s">
        <v>88</v>
      </c>
      <c r="T2338" s="16" t="s">
        <v>89</v>
      </c>
      <c r="U2338" s="11" t="str">
        <f>_xlfn.XLOOKUP(Customer[[#This Row],[Customer ID]],[1]!Address[ID],[1]!Address[Phone No.(2)])</f>
        <v/>
      </c>
      <c r="V2338" s="11" t="str">
        <f>_xlfn.XLOOKUP(Customer[[#This Row],[Customer ID]],[1]!Address[ID],[1]!Address[Type])</f>
        <v>SOCMED</v>
      </c>
      <c r="W2338" s="11" t="str">
        <f>_xlfn.XLOOKUP(Customer[[#This Row],[Customer ID]],[1]!Address[ID],[1]!Address[CT])</f>
        <v/>
      </c>
      <c r="X2338" s="11"/>
      <c r="Y2338" s="17" t="s">
        <v>90</v>
      </c>
      <c r="Z2338" s="17" t="e">
        <f>_xlfn.XLOOKUP(Customer[[#This Row],[NewType]],$AF$36:$AF$54,$AG$36:$AG$54)</f>
        <v>#N/A</v>
      </c>
      <c r="AA2338" s="17" t="s">
        <v>14514</v>
      </c>
      <c r="AB2338" s="11" t="str">
        <f>_xlfn.XLOOKUP(Customer[[#This Row],[Customer ID]],[1]!Address[ID],[1]!Address[Subtype])</f>
        <v>ONLINE ROS</v>
      </c>
      <c r="AC2338" s="18" t="str">
        <f>_xlfn.XLOOKUP(Customer[[#This Row],[Customer ID]],[1]!Address[ID],[1]!Address[Zone])</f>
        <v>EAST COAST</v>
      </c>
    </row>
    <row r="2339" spans="1:30" x14ac:dyDescent="0.3">
      <c r="A2339" s="10" t="s">
        <v>14515</v>
      </c>
      <c r="B2339" s="11" t="str">
        <f>_xlfn.XLOOKUP(Customer[[#This Row],[Customer ID]],[1]!Name[ID],[1]!Name[Description(1)])</f>
        <v>NORSILAWATI ARIS</v>
      </c>
      <c r="C2339" s="11" t="str">
        <f>_xlfn.XLOOKUP(Customer[[#This Row],[Customer ID]],[1]!Name[ID],[1]!Name[Description(2)])</f>
        <v/>
      </c>
      <c r="D2339" s="11" t="str">
        <f>_xlfn.XLOOKUP(Customer[[#This Row],[Customer ID]],[1]!Address[ID],[1]!Address[PIC])</f>
        <v/>
      </c>
      <c r="E2339" s="11" t="str">
        <f>_xlfn.XLOOKUP(Customer[[#This Row],[Customer ID]],[1]!Address[ID],[1]!Address[Full Address])</f>
        <v>309, JLN S2 K9, VISION HOMESSEREMBAN 2, 70300 SEREMBAN.</v>
      </c>
      <c r="F2339" s="12" t="s">
        <v>14516</v>
      </c>
      <c r="G2339" s="12" t="s">
        <v>14517</v>
      </c>
      <c r="H2339" s="12" t="s">
        <v>36</v>
      </c>
      <c r="I2339" s="12" t="b">
        <f>ISNUMBER(VALUE(LEFT(Customer[[#This Row],[Address Line 3 (30 char)]],1)))</f>
        <v>0</v>
      </c>
      <c r="J2339" s="12" t="s">
        <v>2004</v>
      </c>
      <c r="K2339" s="12">
        <v>70300</v>
      </c>
      <c r="L2339" s="12" t="s">
        <v>35</v>
      </c>
      <c r="M2339" s="13" t="e">
        <v>#N/A</v>
      </c>
      <c r="N2339" s="14" t="e">
        <v>#N/A</v>
      </c>
      <c r="O2339" s="14" t="e">
        <v>#N/A</v>
      </c>
      <c r="P2339" s="14" t="e">
        <v>#N/A</v>
      </c>
      <c r="Q2339" s="19" t="s">
        <v>14518</v>
      </c>
      <c r="R2339" s="15" t="s">
        <v>14519</v>
      </c>
      <c r="S2339" s="16" t="s">
        <v>89</v>
      </c>
      <c r="T2339" s="16" t="s">
        <v>89</v>
      </c>
      <c r="U2339" s="11" t="str">
        <f>_xlfn.XLOOKUP(Customer[[#This Row],[Customer ID]],[1]!Address[ID],[1]!Address[Phone No.(2)])</f>
        <v/>
      </c>
      <c r="V2339" s="11" t="str">
        <f>_xlfn.XLOOKUP(Customer[[#This Row],[Customer ID]],[1]!Address[ID],[1]!Address[Type])</f>
        <v>WALK IN</v>
      </c>
      <c r="W2339" s="11" t="str">
        <f>_xlfn.XLOOKUP(Customer[[#This Row],[Customer ID]],[1]!Address[ID],[1]!Address[CT])</f>
        <v/>
      </c>
      <c r="X2339" s="11"/>
      <c r="Y2339" s="17" t="s">
        <v>6284</v>
      </c>
      <c r="Z2339" s="17" t="e">
        <f>_xlfn.XLOOKUP(Customer[[#This Row],[NewType]],$AF$36:$AF$54,$AG$36:$AG$54)</f>
        <v>#N/A</v>
      </c>
      <c r="AA2339" s="17" t="s">
        <v>14520</v>
      </c>
      <c r="AB2339" s="11" t="str">
        <f>_xlfn.XLOOKUP(Customer[[#This Row],[Customer ID]],[1]!Address[ID],[1]!Address[Subtype])</f>
        <v>PEDAS</v>
      </c>
      <c r="AC2339" s="18" t="str">
        <f>_xlfn.XLOOKUP(Customer[[#This Row],[Customer ID]],[1]!Address[ID],[1]!Address[Zone])</f>
        <v>SOUTH</v>
      </c>
    </row>
    <row r="2340" spans="1:30" x14ac:dyDescent="0.3">
      <c r="A2340" s="10" t="s">
        <v>14521</v>
      </c>
      <c r="B2340" s="11" t="str">
        <f>_xlfn.XLOOKUP(Customer[[#This Row],[Customer ID]],[1]!Name[ID],[1]!Name[Description(1)])</f>
        <v>NIK MOHAMED IZZUDIN BIN NIK MOHD YUSOFF</v>
      </c>
      <c r="C2340" s="11" t="str">
        <f>_xlfn.XLOOKUP(Customer[[#This Row],[Customer ID]],[1]!Name[ID],[1]!Name[Description(2)])</f>
        <v>(WAREHOUSE PEDAS)</v>
      </c>
      <c r="D2340" s="11" t="str">
        <f>_xlfn.XLOOKUP(Customer[[#This Row],[Customer ID]],[1]!Address[ID],[1]!Address[PIC])</f>
        <v/>
      </c>
      <c r="E2340" s="11" t="str">
        <f>_xlfn.XLOOKUP(Customer[[#This Row],[Customer ID]],[1]!Address[ID],[1]!Address[Full Address])</f>
        <v>NO 6, JALAN 11/2 TAMAN DESA RHU,SIKAMAT SEREMBAN 70400NEGERI SEMBILAN</v>
      </c>
      <c r="F2340" s="12" t="s">
        <v>14522</v>
      </c>
      <c r="G2340" s="12" t="s">
        <v>14523</v>
      </c>
      <c r="H2340" s="12" t="s">
        <v>2411</v>
      </c>
      <c r="I2340" s="12" t="b">
        <f>ISNUMBER(VALUE(LEFT(Customer[[#This Row],[Address Line 3 (30 char)]],1)))</f>
        <v>0</v>
      </c>
      <c r="J2340" s="12" t="s">
        <v>203</v>
      </c>
      <c r="K2340" s="12">
        <v>70400</v>
      </c>
      <c r="L2340" s="12" t="s">
        <v>35</v>
      </c>
      <c r="M2340" s="13" t="e">
        <v>#N/A</v>
      </c>
      <c r="N2340" s="14" t="e">
        <v>#N/A</v>
      </c>
      <c r="O2340" s="14" t="e">
        <v>#N/A</v>
      </c>
      <c r="P2340" s="14" t="e">
        <v>#N/A</v>
      </c>
      <c r="Q2340" s="19" t="s">
        <v>14524</v>
      </c>
      <c r="R2340" s="15" t="s">
        <v>14525</v>
      </c>
      <c r="S2340" s="16" t="s">
        <v>89</v>
      </c>
      <c r="T2340" s="16" t="s">
        <v>89</v>
      </c>
      <c r="U2340" s="11" t="str">
        <f>_xlfn.XLOOKUP(Customer[[#This Row],[Customer ID]],[1]!Address[ID],[1]!Address[Phone No.(2)])</f>
        <v/>
      </c>
      <c r="V2340" s="11" t="str">
        <f>_xlfn.XLOOKUP(Customer[[#This Row],[Customer ID]],[1]!Address[ID],[1]!Address[Type])</f>
        <v>WALK IN</v>
      </c>
      <c r="W2340" s="11" t="str">
        <f>_xlfn.XLOOKUP(Customer[[#This Row],[Customer ID]],[1]!Address[ID],[1]!Address[CT])</f>
        <v/>
      </c>
      <c r="X2340" s="11"/>
      <c r="Y2340" s="17" t="s">
        <v>6284</v>
      </c>
      <c r="Z2340" s="17" t="e">
        <f>_xlfn.XLOOKUP(Customer[[#This Row],[NewType]],$AF$36:$AF$54,$AG$36:$AG$54)</f>
        <v>#N/A</v>
      </c>
      <c r="AA2340" s="17" t="s">
        <v>14526</v>
      </c>
      <c r="AB2340" s="11" t="str">
        <f>_xlfn.XLOOKUP(Customer[[#This Row],[Customer ID]],[1]!Address[ID],[1]!Address[Subtype])</f>
        <v>STAFF</v>
      </c>
      <c r="AC2340" s="18" t="str">
        <f>_xlfn.XLOOKUP(Customer[[#This Row],[Customer ID]],[1]!Address[ID],[1]!Address[Zone])</f>
        <v>SOUTH</v>
      </c>
    </row>
    <row r="2341" spans="1:30" x14ac:dyDescent="0.3">
      <c r="A2341" s="45" t="s">
        <v>14527</v>
      </c>
      <c r="B2341" s="32" t="str">
        <f>_xlfn.XLOOKUP(Customer[[#This Row],[Customer ID]],[1]!Name[ID],[1]!Name[Description(1)])</f>
        <v>ROSMAWATI MARZUKI</v>
      </c>
      <c r="C2341" s="32" t="str">
        <f>_xlfn.XLOOKUP(Customer[[#This Row],[Customer ID]],[1]!Name[ID],[1]!Name[Description(2)])</f>
        <v/>
      </c>
      <c r="D2341" s="11" t="str">
        <f>_xlfn.XLOOKUP(Customer[[#This Row],[Customer ID]],[1]!Address[ID],[1]!Address[PIC])</f>
        <v/>
      </c>
      <c r="E2341" s="11" t="str">
        <f>_xlfn.XLOOKUP(Customer[[#This Row],[Customer ID]],[1]!Address[ID],[1]!Address[Full Address])</f>
        <v>LOT 266, KG BATU DUA,43900 SEPANG SELANGOR</v>
      </c>
      <c r="F2341" s="12" t="s">
        <v>14528</v>
      </c>
      <c r="G2341" s="12" t="s">
        <v>14529</v>
      </c>
      <c r="H2341" s="12" t="s">
        <v>36</v>
      </c>
      <c r="I2341" s="12" t="b">
        <f>ISNUMBER(VALUE(LEFT(Customer[[#This Row],[Address Line 3 (30 char)]],1)))</f>
        <v>0</v>
      </c>
      <c r="J2341" s="32" t="s">
        <v>1907</v>
      </c>
      <c r="K2341" s="32">
        <v>43900</v>
      </c>
      <c r="L2341" s="12" t="s">
        <v>35</v>
      </c>
      <c r="M2341" s="13" t="e">
        <v>#N/A</v>
      </c>
      <c r="N2341" s="14" t="e">
        <v>#N/A</v>
      </c>
      <c r="O2341" s="14" t="e">
        <v>#N/A</v>
      </c>
      <c r="P2341" s="14" t="e">
        <v>#N/A</v>
      </c>
      <c r="Q2341" s="19" t="s">
        <v>14530</v>
      </c>
      <c r="R2341" s="15" t="s">
        <v>7491</v>
      </c>
      <c r="S2341" s="16" t="s">
        <v>89</v>
      </c>
      <c r="T2341" s="16" t="s">
        <v>6283</v>
      </c>
      <c r="U2341" s="11" t="str">
        <f>_xlfn.XLOOKUP(Customer[[#This Row],[Customer ID]],[1]!Address[ID],[1]!Address[Phone No.(2)])</f>
        <v/>
      </c>
      <c r="V2341" s="11" t="str">
        <f>_xlfn.XLOOKUP(Customer[[#This Row],[Customer ID]],[1]!Address[ID],[1]!Address[Type])</f>
        <v>WALK IN</v>
      </c>
      <c r="W2341" s="11" t="str">
        <f>_xlfn.XLOOKUP(Customer[[#This Row],[Customer ID]],[1]!Address[ID],[1]!Address[CT])</f>
        <v/>
      </c>
      <c r="X2341" s="11"/>
      <c r="Y2341" s="17" t="s">
        <v>6284</v>
      </c>
      <c r="Z2341" s="17" t="e">
        <f>_xlfn.XLOOKUP(Customer[[#This Row],[NewType]],$AF$36:$AF$54,$AG$36:$AG$54)</f>
        <v>#N/A</v>
      </c>
      <c r="AA2341" s="17" t="s">
        <v>14531</v>
      </c>
      <c r="AB2341" s="11" t="str">
        <f>_xlfn.XLOOKUP(Customer[[#This Row],[Customer ID]],[1]!Address[ID],[1]!Address[Subtype])</f>
        <v>SEPANG</v>
      </c>
      <c r="AC2341" s="18" t="str">
        <f>_xlfn.XLOOKUP(Customer[[#This Row],[Customer ID]],[1]!Address[ID],[1]!Address[Zone])</f>
        <v>CENTRAL</v>
      </c>
    </row>
    <row r="2342" spans="1:30" x14ac:dyDescent="0.3">
      <c r="A2342" s="10" t="s">
        <v>14532</v>
      </c>
      <c r="B2342" s="11" t="str">
        <f>_xlfn.XLOOKUP(Customer[[#This Row],[Customer ID]],[1]!Name[ID],[1]!Name[Description(1)])</f>
        <v>JATI KENALI TRADING</v>
      </c>
      <c r="C2342" s="11" t="str">
        <f>_xlfn.XLOOKUP(Customer[[#This Row],[Customer ID]],[1]!Name[ID],[1]!Name[Description(2)])</f>
        <v>BHP GEMURUH</v>
      </c>
      <c r="D2342" s="11" t="str">
        <f>_xlfn.XLOOKUP(Customer[[#This Row],[Customer ID]],[1]!Address[ID],[1]!Address[PIC])</f>
        <v>MUHAMMAD HAKIMI</v>
      </c>
      <c r="E2342" s="11" t="str">
        <f>_xlfn.XLOOKUP(Customer[[#This Row],[Customer ID]],[1]!Address[ID],[1]!Address[Full Address])</f>
        <v>BHP GEMURUHNO PT 10098, KAMPUNG PETALING,JALAN KELANTAN, 21060KUALA NERUS TERENGGANU</v>
      </c>
      <c r="F2342" s="12" t="s">
        <v>14533</v>
      </c>
      <c r="G2342" s="12" t="s">
        <v>14534</v>
      </c>
      <c r="H2342" s="12" t="s">
        <v>14535</v>
      </c>
      <c r="I2342" s="12" t="b">
        <f>ISNUMBER(VALUE(LEFT(Customer[[#This Row],[Address Line 3 (30 char)]],1)))</f>
        <v>0</v>
      </c>
      <c r="J2342" s="12" t="s">
        <v>154</v>
      </c>
      <c r="K2342" s="12">
        <v>21060</v>
      </c>
      <c r="L2342" s="12" t="s">
        <v>35</v>
      </c>
      <c r="M2342" s="13" t="s">
        <v>14536</v>
      </c>
      <c r="N2342" s="14" t="s">
        <v>14537</v>
      </c>
      <c r="O2342" s="14"/>
      <c r="P2342" s="14">
        <v>46611</v>
      </c>
      <c r="Q2342" s="19" t="s">
        <v>14538</v>
      </c>
      <c r="R2342" s="15" t="s">
        <v>14539</v>
      </c>
      <c r="S2342" s="15" t="s">
        <v>37</v>
      </c>
      <c r="T2342" s="16" t="s">
        <v>38</v>
      </c>
      <c r="U2342" s="11" t="str">
        <f>_xlfn.XLOOKUP(Customer[[#This Row],[Customer ID]],[1]!Address[ID],[1]!Address[Phone No.(2)])</f>
        <v/>
      </c>
      <c r="V2342" s="11" t="str">
        <f>_xlfn.XLOOKUP(Customer[[#This Row],[Customer ID]],[1]!Address[ID],[1]!Address[Type])</f>
        <v>PETROMART</v>
      </c>
      <c r="W2342" s="11" t="str">
        <f>_xlfn.XLOOKUP(Customer[[#This Row],[Customer ID]],[1]!Address[ID],[1]!Address[CT])</f>
        <v>30 DAYS</v>
      </c>
      <c r="X2342" s="11" t="s">
        <v>39</v>
      </c>
      <c r="Y2342" s="17" t="s">
        <v>40</v>
      </c>
      <c r="Z2342" s="17" t="e">
        <f>_xlfn.XLOOKUP(Customer[[#This Row],[NewType]],$AF$36:$AF$54,$AG$36:$AG$54)</f>
        <v>#N/A</v>
      </c>
      <c r="AA2342" s="17" t="s">
        <v>14540</v>
      </c>
      <c r="AB2342" s="11" t="str">
        <f>_xlfn.XLOOKUP(Customer[[#This Row],[Customer ID]],[1]!Address[ID],[1]!Address[Subtype])</f>
        <v>BHP</v>
      </c>
      <c r="AC2342" s="18" t="str">
        <f>_xlfn.XLOOKUP(Customer[[#This Row],[Customer ID]],[1]!Address[ID],[1]!Address[Zone])</f>
        <v>EAST COAST</v>
      </c>
    </row>
    <row r="2343" spans="1:30" x14ac:dyDescent="0.3">
      <c r="A2343" s="10" t="s">
        <v>14541</v>
      </c>
      <c r="B2343" s="11" t="str">
        <f>_xlfn.XLOOKUP(Customer[[#This Row],[Customer ID]],[1]!Name[ID],[1]!Name[Description(1)])</f>
        <v>ANIS ZULAIKHA</v>
      </c>
      <c r="C2343" s="11" t="str">
        <f>_xlfn.XLOOKUP(Customer[[#This Row],[Customer ID]],[1]!Name[ID],[1]!Name[Description(2)])</f>
        <v/>
      </c>
      <c r="D2343" s="11" t="str">
        <f>_xlfn.XLOOKUP(Customer[[#This Row],[Customer ID]],[1]!Address[ID],[1]!Address[PIC])</f>
        <v/>
      </c>
      <c r="E2343" s="11" t="str">
        <f>_xlfn.XLOOKUP(Customer[[#This Row],[Customer ID]],[1]!Address[ID],[1]!Address[Full Address])</f>
        <v>7, JALAN DAHLIA 6,BUKIT DAHLIA 81700 PASIR GUDANG, JOHOR</v>
      </c>
      <c r="F2343" s="12" t="s">
        <v>14542</v>
      </c>
      <c r="G2343" s="12" t="s">
        <v>14543</v>
      </c>
      <c r="H2343" s="12" t="s">
        <v>14544</v>
      </c>
      <c r="I2343" s="12" t="b">
        <f>ISNUMBER(VALUE(LEFT(Customer[[#This Row],[Address Line 3 (30 char)]],1)))</f>
        <v>0</v>
      </c>
      <c r="J2343" s="12" t="s">
        <v>52</v>
      </c>
      <c r="K2343" s="12">
        <v>81700</v>
      </c>
      <c r="L2343" s="12" t="s">
        <v>35</v>
      </c>
      <c r="M2343" s="13" t="e">
        <v>#N/A</v>
      </c>
      <c r="N2343" s="14" t="e">
        <v>#N/A</v>
      </c>
      <c r="O2343" s="14" t="e">
        <v>#N/A</v>
      </c>
      <c r="P2343" s="14" t="e">
        <v>#N/A</v>
      </c>
      <c r="Q2343" s="19" t="s">
        <v>14545</v>
      </c>
      <c r="R2343" s="15" t="s">
        <v>14546</v>
      </c>
      <c r="S2343" s="16" t="s">
        <v>89</v>
      </c>
      <c r="T2343" s="16" t="s">
        <v>89</v>
      </c>
      <c r="U2343" s="11" t="str">
        <f>_xlfn.XLOOKUP(Customer[[#This Row],[Customer ID]],[1]!Address[ID],[1]!Address[Phone No.(2)])</f>
        <v/>
      </c>
      <c r="V2343" s="11" t="str">
        <f>_xlfn.XLOOKUP(Customer[[#This Row],[Customer ID]],[1]!Address[ID],[1]!Address[Type])</f>
        <v>WALK IN</v>
      </c>
      <c r="W2343" s="11" t="str">
        <f>_xlfn.XLOOKUP(Customer[[#This Row],[Customer ID]],[1]!Address[ID],[1]!Address[CT])</f>
        <v/>
      </c>
      <c r="X2343" s="11"/>
      <c r="Y2343" s="17" t="s">
        <v>6284</v>
      </c>
      <c r="Z2343" s="17" t="e">
        <f>_xlfn.XLOOKUP(Customer[[#This Row],[NewType]],$AF$36:$AF$54,$AG$36:$AG$54)</f>
        <v>#N/A</v>
      </c>
      <c r="AA2343" s="17" t="s">
        <v>14547</v>
      </c>
      <c r="AB2343" s="11" t="str">
        <f>_xlfn.XLOOKUP(Customer[[#This Row],[Customer ID]],[1]!Address[ID],[1]!Address[Subtype])</f>
        <v>PEDAS</v>
      </c>
      <c r="AC2343" s="18" t="str">
        <f>_xlfn.XLOOKUP(Customer[[#This Row],[Customer ID]],[1]!Address[ID],[1]!Address[Zone])</f>
        <v>SOUTH</v>
      </c>
    </row>
    <row r="2344" spans="1:30" x14ac:dyDescent="0.3">
      <c r="A2344" s="48" t="s">
        <v>14548</v>
      </c>
      <c r="B2344" s="49" t="str">
        <f>_xlfn.XLOOKUP(Customer[[#This Row],[Customer ID]],[1]!Name[ID],[1]!Name[Description(1)])</f>
        <v>IZFAR BIN PAMAN (RAHIM)</v>
      </c>
      <c r="C2344" s="49" t="str">
        <f>_xlfn.XLOOKUP(Customer[[#This Row],[Customer ID]],[1]!Name[ID],[1]!Name[Description(2)])</f>
        <v/>
      </c>
      <c r="D2344" s="49" t="str">
        <f>_xlfn.XLOOKUP(Customer[[#This Row],[Customer ID]],[1]!Address[ID],[1]!Address[PIC])</f>
        <v>IZFAR</v>
      </c>
      <c r="E2344" s="11" t="str">
        <f>_xlfn.XLOOKUP(Customer[[#This Row],[Customer ID]],[1]!Address[ID],[1]!Address[Full Address])</f>
        <v>32, JLN SUNGAI SAMA GAGAH 20,TAMAN TELUK GEDUNG INDAH, 42000PORT KLANG, SELANGOR</v>
      </c>
      <c r="F2344" s="63" t="s">
        <v>14549</v>
      </c>
      <c r="G2344" s="63" t="s">
        <v>14550</v>
      </c>
      <c r="H2344" s="63" t="s">
        <v>14551</v>
      </c>
      <c r="I2344" s="63" t="b">
        <f>ISNUMBER(VALUE(LEFT(Customer[[#This Row],[Address Line 3 (30 char)]],1)))</f>
        <v>0</v>
      </c>
      <c r="J2344" s="63" t="s">
        <v>172</v>
      </c>
      <c r="K2344" s="63">
        <v>42000</v>
      </c>
      <c r="L2344" s="63" t="s">
        <v>35</v>
      </c>
      <c r="M2344" s="65" t="e">
        <v>#N/A</v>
      </c>
      <c r="N2344" s="66" t="e">
        <v>#N/A</v>
      </c>
      <c r="O2344" s="66" t="e">
        <v>#N/A</v>
      </c>
      <c r="P2344" s="66" t="e">
        <v>#N/A</v>
      </c>
      <c r="Q2344" s="66" t="e">
        <v>#N/A</v>
      </c>
      <c r="R2344" s="51" t="s">
        <v>14552</v>
      </c>
      <c r="S2344" s="51"/>
      <c r="T2344" s="52"/>
      <c r="U2344" s="49" t="str">
        <f>_xlfn.XLOOKUP(Customer[[#This Row],[Customer ID]],[1]!Address[ID],[1]!Address[Phone No.(2)])</f>
        <v/>
      </c>
      <c r="V2344" s="49" t="str">
        <f>_xlfn.XLOOKUP(Customer[[#This Row],[Customer ID]],[1]!Address[ID],[1]!Address[Type])</f>
        <v>SOCMED</v>
      </c>
      <c r="W2344" s="49" t="str">
        <f>_xlfn.XLOOKUP(Customer[[#This Row],[Customer ID]],[1]!Address[ID],[1]!Address[CT])</f>
        <v/>
      </c>
      <c r="X2344" s="49"/>
      <c r="Y2344" s="53" t="s">
        <v>90</v>
      </c>
      <c r="Z2344" s="53" t="e">
        <f>_xlfn.XLOOKUP(Customer[[#This Row],[NewType]],$AF$36:$AF$54,$AG$36:$AG$54)</f>
        <v>#N/A</v>
      </c>
      <c r="AA2344" s="53" t="s">
        <v>14553</v>
      </c>
      <c r="AB2344" s="49" t="str">
        <f>_xlfn.XLOOKUP(Customer[[#This Row],[Customer ID]],[1]!Address[ID],[1]!Address[Subtype])</f>
        <v>WHATSAPP</v>
      </c>
      <c r="AC2344" s="54" t="str">
        <f>_xlfn.XLOOKUP(Customer[[#This Row],[Customer ID]],[1]!Address[ID],[1]!Address[Zone])</f>
        <v>CENTRAL</v>
      </c>
      <c r="AD2344" s="55"/>
    </row>
    <row r="2345" spans="1:30" x14ac:dyDescent="0.3">
      <c r="A2345" s="10" t="s">
        <v>14554</v>
      </c>
      <c r="B2345" s="11" t="str">
        <f>_xlfn.XLOOKUP(Customer[[#This Row],[Customer ID]],[1]!Name[ID],[1]!Name[Description(1)])</f>
        <v>ROSLAN BIN ISHAK</v>
      </c>
      <c r="C2345" s="11" t="str">
        <f>_xlfn.XLOOKUP(Customer[[#This Row],[Customer ID]],[1]!Name[ID],[1]!Name[Description(2)])</f>
        <v/>
      </c>
      <c r="D2345" s="11" t="str">
        <f>_xlfn.XLOOKUP(Customer[[#This Row],[Customer ID]],[1]!Address[ID],[1]!Address[PIC])</f>
        <v/>
      </c>
      <c r="E2345" s="11" t="str">
        <f>_xlfn.XLOOKUP(Customer[[#This Row],[Customer ID]],[1]!Address[ID],[1]!Address[Full Address])</f>
        <v>NO 35 TAMAN BELIDA71500 PORT DICKSON, NEGERI SEMBILAN</v>
      </c>
      <c r="F2345" s="12" t="s">
        <v>14555</v>
      </c>
      <c r="G2345" s="12" t="s">
        <v>13376</v>
      </c>
      <c r="H2345" s="12" t="s">
        <v>36</v>
      </c>
      <c r="I2345" s="12" t="b">
        <f>ISNUMBER(VALUE(LEFT(Customer[[#This Row],[Address Line 3 (30 char)]],1)))</f>
        <v>0</v>
      </c>
      <c r="J2345" s="12" t="s">
        <v>203</v>
      </c>
      <c r="K2345" s="12">
        <v>71500</v>
      </c>
      <c r="L2345" s="12" t="s">
        <v>35</v>
      </c>
      <c r="M2345" s="13" t="e">
        <v>#N/A</v>
      </c>
      <c r="N2345" s="14" t="e">
        <v>#N/A</v>
      </c>
      <c r="O2345" s="14" t="e">
        <v>#N/A</v>
      </c>
      <c r="P2345" s="14" t="e">
        <v>#N/A</v>
      </c>
      <c r="Q2345" s="19" t="s">
        <v>14556</v>
      </c>
      <c r="R2345" s="15" t="s">
        <v>14557</v>
      </c>
      <c r="S2345" s="16" t="s">
        <v>89</v>
      </c>
      <c r="T2345" s="16" t="s">
        <v>89</v>
      </c>
      <c r="U2345" s="11" t="str">
        <f>_xlfn.XLOOKUP(Customer[[#This Row],[Customer ID]],[1]!Address[ID],[1]!Address[Phone No.(2)])</f>
        <v/>
      </c>
      <c r="V2345" s="11" t="str">
        <f>_xlfn.XLOOKUP(Customer[[#This Row],[Customer ID]],[1]!Address[ID],[1]!Address[Type])</f>
        <v>WALK IN</v>
      </c>
      <c r="W2345" s="11" t="str">
        <f>_xlfn.XLOOKUP(Customer[[#This Row],[Customer ID]],[1]!Address[ID],[1]!Address[CT])</f>
        <v/>
      </c>
      <c r="X2345" s="11"/>
      <c r="Y2345" s="17" t="s">
        <v>6284</v>
      </c>
      <c r="Z2345" s="17" t="e">
        <f>_xlfn.XLOOKUP(Customer[[#This Row],[NewType]],$AF$36:$AF$54,$AG$36:$AG$54)</f>
        <v>#N/A</v>
      </c>
      <c r="AA2345" s="17" t="s">
        <v>14558</v>
      </c>
      <c r="AB2345" s="11" t="str">
        <f>_xlfn.XLOOKUP(Customer[[#This Row],[Customer ID]],[1]!Address[ID],[1]!Address[Subtype])</f>
        <v>PEDAS</v>
      </c>
      <c r="AC2345" s="18" t="str">
        <f>_xlfn.XLOOKUP(Customer[[#This Row],[Customer ID]],[1]!Address[ID],[1]!Address[Zone])</f>
        <v>SOUTH</v>
      </c>
    </row>
    <row r="2346" spans="1:30" x14ac:dyDescent="0.3">
      <c r="A2346" s="10" t="s">
        <v>14559</v>
      </c>
      <c r="B2346" s="11" t="str">
        <f>_xlfn.XLOOKUP(Customer[[#This Row],[Customer ID]],[1]!Name[ID],[1]!Name[Description(1)])</f>
        <v>BEN JAWI VENTURES SDN BHD</v>
      </c>
      <c r="C2346" s="11" t="str">
        <f>_xlfn.XLOOKUP(Customer[[#This Row],[Customer ID]],[1]!Name[ID],[1]!Name[Description(2)])</f>
        <v/>
      </c>
      <c r="D2346" s="11" t="str">
        <f>_xlfn.XLOOKUP(Customer[[#This Row],[Customer ID]],[1]!Address[ID],[1]!Address[PIC])</f>
        <v/>
      </c>
      <c r="E2346" s="11" t="str">
        <f>_xlfn.XLOOKUP(Customer[[#This Row],[Customer ID]],[1]!Address[ID],[1]!Address[Full Address])</f>
        <v>JALAN BARAT, BUKIT JALIL,57000 KUALA LUMPURFEDERAL TERRITORY OF KUALA LUMPUR</v>
      </c>
      <c r="F2346" s="12" t="s">
        <v>34</v>
      </c>
      <c r="G2346" s="12" t="s">
        <v>14560</v>
      </c>
      <c r="H2346" s="12" t="s">
        <v>14561</v>
      </c>
      <c r="I2346" s="12" t="b">
        <f>ISNUMBER(VALUE(LEFT(Customer[[#This Row],[Address Line 3 (30 char)]],1)))</f>
        <v>0</v>
      </c>
      <c r="J2346" s="12" t="s">
        <v>172</v>
      </c>
      <c r="K2346" s="12">
        <v>40150</v>
      </c>
      <c r="L2346" s="12" t="s">
        <v>35</v>
      </c>
      <c r="M2346" s="13" t="e">
        <v>#N/A</v>
      </c>
      <c r="N2346" s="14" t="e">
        <v>#N/A</v>
      </c>
      <c r="O2346" s="14" t="e">
        <v>#N/A</v>
      </c>
      <c r="P2346" s="14" t="e">
        <v>#N/A</v>
      </c>
      <c r="Q2346" s="14" t="e">
        <v>#N/A</v>
      </c>
      <c r="R2346" s="15" t="s">
        <v>14562</v>
      </c>
      <c r="S2346" s="15" t="s">
        <v>6418</v>
      </c>
      <c r="T2346" s="16" t="s">
        <v>3477</v>
      </c>
      <c r="U2346" s="11" t="str">
        <f>_xlfn.XLOOKUP(Customer[[#This Row],[Customer ID]],[1]!Address[ID],[1]!Address[Phone No.(2)])</f>
        <v/>
      </c>
      <c r="V2346" s="11" t="str">
        <f>_xlfn.XLOOKUP(Customer[[#This Row],[Customer ID]],[1]!Address[ID],[1]!Address[Type])</f>
        <v>CORPORATE</v>
      </c>
      <c r="W2346" s="11" t="str">
        <f>_xlfn.XLOOKUP(Customer[[#This Row],[Customer ID]],[1]!Address[ID],[1]!Address[CT])</f>
        <v>CASH</v>
      </c>
      <c r="X2346" s="11"/>
      <c r="Y2346" s="17" t="s">
        <v>6418</v>
      </c>
      <c r="Z2346" s="17" t="e">
        <f>_xlfn.XLOOKUP(Customer[[#This Row],[NewType]],$AF$36:$AF$54,$AG$36:$AG$54)</f>
        <v>#N/A</v>
      </c>
      <c r="AA2346" s="17" t="s">
        <v>14563</v>
      </c>
      <c r="AB2346" s="11" t="str">
        <f>_xlfn.XLOOKUP(Customer[[#This Row],[Customer ID]],[1]!Address[ID],[1]!Address[Subtype])</f>
        <v>BEN JAWI</v>
      </c>
      <c r="AC2346" s="18" t="str">
        <f>_xlfn.XLOOKUP(Customer[[#This Row],[Customer ID]],[1]!Address[ID],[1]!Address[Zone])</f>
        <v>CENTRAL</v>
      </c>
    </row>
    <row r="2347" spans="1:30" x14ac:dyDescent="0.3">
      <c r="A2347" s="10" t="s">
        <v>14564</v>
      </c>
      <c r="B2347" s="11" t="str">
        <f>_xlfn.XLOOKUP(Customer[[#This Row],[Customer ID]],[1]!Name[ID],[1]!Name[Description(1)])</f>
        <v>PEJABAT KEWANGAN DAN PERBENDAHARAAN</v>
      </c>
      <c r="C2347" s="11" t="str">
        <f>_xlfn.XLOOKUP(Customer[[#This Row],[Customer ID]],[1]!Name[ID],[1]!Name[Description(2)])</f>
        <v>NEGERI PAHANG</v>
      </c>
      <c r="D2347" s="11" t="str">
        <f>_xlfn.XLOOKUP(Customer[[#This Row],[Customer ID]],[1]!Address[ID],[1]!Address[PIC])</f>
        <v/>
      </c>
      <c r="E2347" s="11" t="str">
        <f>_xlfn.XLOOKUP(Customer[[#This Row],[Customer ID]],[1]!Address[ID],[1]!Address[Full Address])</f>
        <v>KOMPLEKS PENTADBIRAN KERAJAANNEGERI PAHANG25000 KUANTAN PAHANG</v>
      </c>
      <c r="F2347" s="12" t="s">
        <v>14565</v>
      </c>
      <c r="G2347" s="12" t="s">
        <v>14566</v>
      </c>
      <c r="H2347" s="24" t="s">
        <v>1038</v>
      </c>
      <c r="I2347" s="24" t="b">
        <f>ISNUMBER(VALUE(LEFT(Customer[[#This Row],[Address Line 3 (30 char)]],1)))</f>
        <v>0</v>
      </c>
      <c r="J2347" s="12" t="s">
        <v>8855</v>
      </c>
      <c r="K2347" s="12">
        <v>25000</v>
      </c>
      <c r="L2347" s="12" t="s">
        <v>35</v>
      </c>
      <c r="M2347" s="13" t="e">
        <v>#N/A</v>
      </c>
      <c r="N2347" s="14" t="e">
        <v>#N/A</v>
      </c>
      <c r="O2347" s="14" t="e">
        <v>#N/A</v>
      </c>
      <c r="P2347" s="14" t="e">
        <v>#N/A</v>
      </c>
      <c r="Q2347" s="14" t="e">
        <v>#N/A</v>
      </c>
      <c r="R2347" s="15" t="s">
        <v>14567</v>
      </c>
      <c r="S2347" s="15" t="s">
        <v>5934</v>
      </c>
      <c r="T2347" s="16" t="s">
        <v>3477</v>
      </c>
      <c r="U2347" s="11" t="str">
        <f>_xlfn.XLOOKUP(Customer[[#This Row],[Customer ID]],[1]!Address[ID],[1]!Address[Phone No.(2)])</f>
        <v/>
      </c>
      <c r="V2347" s="11" t="str">
        <f>_xlfn.XLOOKUP(Customer[[#This Row],[Customer ID]],[1]!Address[ID],[1]!Address[Type])</f>
        <v>CORPORATE</v>
      </c>
      <c r="W2347" s="11" t="str">
        <f>_xlfn.XLOOKUP(Customer[[#This Row],[Customer ID]],[1]!Address[ID],[1]!Address[CT])</f>
        <v>CASH</v>
      </c>
      <c r="X2347" s="11"/>
      <c r="Y2347" s="17" t="s">
        <v>6418</v>
      </c>
      <c r="Z2347" s="17" t="e">
        <f>_xlfn.XLOOKUP(Customer[[#This Row],[NewType]],$AF$36:$AF$54,$AG$36:$AG$54)</f>
        <v>#N/A</v>
      </c>
      <c r="AA2347" s="17" t="s">
        <v>14568</v>
      </c>
      <c r="AB2347" s="11" t="str">
        <f>_xlfn.XLOOKUP(Customer[[#This Row],[Customer ID]],[1]!Address[ID],[1]!Address[Subtype])</f>
        <v>PAHANG</v>
      </c>
      <c r="AC2347" s="18" t="str">
        <f>_xlfn.XLOOKUP(Customer[[#This Row],[Customer ID]],[1]!Address[ID],[1]!Address[Zone])</f>
        <v>EAST COAST</v>
      </c>
    </row>
    <row r="2348" spans="1:30" x14ac:dyDescent="0.3">
      <c r="A2348" s="10" t="s">
        <v>14569</v>
      </c>
      <c r="B2348" s="11" t="str">
        <f>_xlfn.XLOOKUP(Customer[[#This Row],[Customer ID]],[1]!Name[ID],[1]!Name[Description(1)])</f>
        <v>RADI</v>
      </c>
      <c r="C2348" s="11" t="str">
        <f>_xlfn.XLOOKUP(Customer[[#This Row],[Customer ID]],[1]!Name[ID],[1]!Name[Description(2)])</f>
        <v/>
      </c>
      <c r="D2348" s="11" t="str">
        <f>_xlfn.XLOOKUP(Customer[[#This Row],[Customer ID]],[1]!Address[ID],[1]!Address[PIC])</f>
        <v/>
      </c>
      <c r="E2348" s="11" t="str">
        <f>_xlfn.XLOOKUP(Customer[[#This Row],[Customer ID]],[1]!Address[ID],[1]!Address[Full Address])</f>
        <v>NO 7, JALAN 1, TAMAN MANTAU INDAH,70300, SEREMBAN NEGERI SEMBILAN</v>
      </c>
      <c r="F2348" s="12" t="s">
        <v>14570</v>
      </c>
      <c r="G2348" s="12" t="s">
        <v>14571</v>
      </c>
      <c r="H2348" s="12" t="s">
        <v>2411</v>
      </c>
      <c r="I2348" s="12" t="b">
        <f>ISNUMBER(VALUE(LEFT(Customer[[#This Row],[Address Line 3 (30 char)]],1)))</f>
        <v>0</v>
      </c>
      <c r="J2348" s="12" t="s">
        <v>203</v>
      </c>
      <c r="K2348" s="12">
        <v>70300</v>
      </c>
      <c r="L2348" s="12" t="s">
        <v>35</v>
      </c>
      <c r="M2348" s="13" t="e">
        <v>#N/A</v>
      </c>
      <c r="N2348" s="14" t="e">
        <v>#N/A</v>
      </c>
      <c r="O2348" s="14" t="e">
        <v>#N/A</v>
      </c>
      <c r="P2348" s="14" t="e">
        <v>#N/A</v>
      </c>
      <c r="Q2348" s="19" t="s">
        <v>14572</v>
      </c>
      <c r="R2348" s="15" t="s">
        <v>14573</v>
      </c>
      <c r="S2348" s="16" t="s">
        <v>89</v>
      </c>
      <c r="T2348" s="16" t="s">
        <v>89</v>
      </c>
      <c r="U2348" s="11" t="str">
        <f>_xlfn.XLOOKUP(Customer[[#This Row],[Customer ID]],[1]!Address[ID],[1]!Address[Phone No.(2)])</f>
        <v/>
      </c>
      <c r="V2348" s="11" t="str">
        <f>_xlfn.XLOOKUP(Customer[[#This Row],[Customer ID]],[1]!Address[ID],[1]!Address[Type])</f>
        <v>WALK IN</v>
      </c>
      <c r="W2348" s="11" t="str">
        <f>_xlfn.XLOOKUP(Customer[[#This Row],[Customer ID]],[1]!Address[ID],[1]!Address[CT])</f>
        <v/>
      </c>
      <c r="X2348" s="11"/>
      <c r="Y2348" s="17" t="s">
        <v>6284</v>
      </c>
      <c r="Z2348" s="17" t="e">
        <f>_xlfn.XLOOKUP(Customer[[#This Row],[NewType]],$AF$36:$AF$54,$AG$36:$AG$54)</f>
        <v>#N/A</v>
      </c>
      <c r="AA2348" s="17" t="s">
        <v>14574</v>
      </c>
      <c r="AB2348" s="11" t="str">
        <f>_xlfn.XLOOKUP(Customer[[#This Row],[Customer ID]],[1]!Address[ID],[1]!Address[Subtype])</f>
        <v>PEDAS</v>
      </c>
      <c r="AC2348" s="18" t="str">
        <f>_xlfn.XLOOKUP(Customer[[#This Row],[Customer ID]],[1]!Address[ID],[1]!Address[Zone])</f>
        <v>SOUTH</v>
      </c>
    </row>
    <row r="2349" spans="1:30" x14ac:dyDescent="0.3">
      <c r="A2349" s="10" t="s">
        <v>14575</v>
      </c>
      <c r="B2349" s="11" t="str">
        <f>_xlfn.XLOOKUP(Customer[[#This Row],[Customer ID]],[1]!Name[ID],[1]!Name[Description(1)])</f>
        <v>YAYASAN GURU TUN HUSSEIN ONN</v>
      </c>
      <c r="C2349" s="11" t="str">
        <f>_xlfn.XLOOKUP(Customer[[#This Row],[Customer ID]],[1]!Name[ID],[1]!Name[Description(2)])</f>
        <v/>
      </c>
      <c r="D2349" s="11" t="str">
        <f>_xlfn.XLOOKUP(Customer[[#This Row],[Customer ID]],[1]!Address[ID],[1]!Address[PIC])</f>
        <v/>
      </c>
      <c r="E2349" s="11" t="str">
        <f>_xlfn.XLOOKUP(Customer[[#This Row],[Customer ID]],[1]!Address[ID],[1]!Address[Full Address])</f>
        <v>C2-1-01, AYER@8 JALAN P8GPRECINT 8 (8C1)62250 PUTRAJAYA</v>
      </c>
      <c r="F2349" s="12" t="s">
        <v>14576</v>
      </c>
      <c r="G2349" s="12" t="s">
        <v>14577</v>
      </c>
      <c r="H2349" s="24" t="s">
        <v>4229</v>
      </c>
      <c r="I2349" s="24" t="b">
        <f>ISNUMBER(VALUE(LEFT(Customer[[#This Row],[Address Line 3 (30 char)]],1)))</f>
        <v>0</v>
      </c>
      <c r="J2349" s="12" t="s">
        <v>1907</v>
      </c>
      <c r="K2349" s="12">
        <v>62250</v>
      </c>
      <c r="L2349" s="12" t="s">
        <v>35</v>
      </c>
      <c r="M2349" s="13" t="e">
        <v>#N/A</v>
      </c>
      <c r="N2349" s="14" t="e">
        <v>#N/A</v>
      </c>
      <c r="O2349" s="14" t="e">
        <v>#N/A</v>
      </c>
      <c r="P2349" s="14" t="e">
        <v>#N/A</v>
      </c>
      <c r="Q2349" s="19" t="s">
        <v>14578</v>
      </c>
      <c r="R2349" s="15" t="s">
        <v>14579</v>
      </c>
      <c r="S2349" s="15" t="s">
        <v>6418</v>
      </c>
      <c r="T2349" s="16" t="s">
        <v>3477</v>
      </c>
      <c r="U2349" s="11" t="str">
        <f>_xlfn.XLOOKUP(Customer[[#This Row],[Customer ID]],[1]!Address[ID],[1]!Address[Phone No.(2)])</f>
        <v/>
      </c>
      <c r="V2349" s="11" t="str">
        <f>_xlfn.XLOOKUP(Customer[[#This Row],[Customer ID]],[1]!Address[ID],[1]!Address[Type])</f>
        <v>CORPORATE</v>
      </c>
      <c r="W2349" s="11" t="str">
        <f>_xlfn.XLOOKUP(Customer[[#This Row],[Customer ID]],[1]!Address[ID],[1]!Address[CT])</f>
        <v>CASH</v>
      </c>
      <c r="X2349" s="11"/>
      <c r="Y2349" s="17" t="s">
        <v>6418</v>
      </c>
      <c r="Z2349" s="17" t="e">
        <f>_xlfn.XLOOKUP(Customer[[#This Row],[NewType]],$AF$36:$AF$54,$AG$36:$AG$54)</f>
        <v>#N/A</v>
      </c>
      <c r="AA2349" s="17" t="s">
        <v>14580</v>
      </c>
      <c r="AB2349" s="11" t="str">
        <f>_xlfn.XLOOKUP(Customer[[#This Row],[Customer ID]],[1]!Address[ID],[1]!Address[Subtype])</f>
        <v>YAYASAN THO</v>
      </c>
      <c r="AC2349" s="18" t="str">
        <f>_xlfn.XLOOKUP(Customer[[#This Row],[Customer ID]],[1]!Address[ID],[1]!Address[Zone])</f>
        <v>CENTRAL</v>
      </c>
    </row>
    <row r="2350" spans="1:30" x14ac:dyDescent="0.3">
      <c r="A2350" s="10" t="s">
        <v>14581</v>
      </c>
      <c r="B2350" s="11" t="str">
        <f>_xlfn.XLOOKUP(Customer[[#This Row],[Customer ID]],[1]!Name[ID],[1]!Name[Description(1)])</f>
        <v>BARNIEYLIOUS ENTERPRISE</v>
      </c>
      <c r="C2350" s="11" t="str">
        <f>_xlfn.XLOOKUP(Customer[[#This Row],[Customer ID]],[1]!Name[ID],[1]!Name[Description(2)])</f>
        <v/>
      </c>
      <c r="D2350" s="11" t="str">
        <f>_xlfn.XLOOKUP(Customer[[#This Row],[Customer ID]],[1]!Address[ID],[1]!Address[PIC])</f>
        <v/>
      </c>
      <c r="E2350" s="11" t="str">
        <f>_xlfn.XLOOKUP(Customer[[#This Row],[Customer ID]],[1]!Address[ID],[1]!Address[Full Address])</f>
        <v>JALAN HAJI SIDEKKAMPUNG JIJAN TENGAH71800 NILAI, NEGERI SEMBILAN</v>
      </c>
      <c r="F2350" s="12" t="s">
        <v>14582</v>
      </c>
      <c r="G2350" s="12" t="s">
        <v>14583</v>
      </c>
      <c r="H2350" s="24" t="s">
        <v>2620</v>
      </c>
      <c r="I2350" s="24" t="b">
        <f>ISNUMBER(VALUE(LEFT(Customer[[#This Row],[Address Line 3 (30 char)]],1)))</f>
        <v>0</v>
      </c>
      <c r="J2350" s="12" t="s">
        <v>2004</v>
      </c>
      <c r="K2350" s="12">
        <v>71800</v>
      </c>
      <c r="L2350" s="12" t="s">
        <v>35</v>
      </c>
      <c r="M2350" s="13" t="e">
        <v>#N/A</v>
      </c>
      <c r="N2350" s="14" t="e">
        <v>#N/A</v>
      </c>
      <c r="O2350" s="14" t="e">
        <v>#N/A</v>
      </c>
      <c r="P2350" s="14" t="e">
        <v>#N/A</v>
      </c>
      <c r="Q2350" s="19" t="s">
        <v>14584</v>
      </c>
      <c r="R2350" s="15" t="s">
        <v>14585</v>
      </c>
      <c r="S2350" s="15" t="s">
        <v>5917</v>
      </c>
      <c r="T2350" s="16"/>
      <c r="U2350" s="11" t="str">
        <f>_xlfn.XLOOKUP(Customer[[#This Row],[Customer ID]],[1]!Address[ID],[1]!Address[Phone No.(2)])</f>
        <v/>
      </c>
      <c r="V2350" s="11" t="str">
        <f>_xlfn.XLOOKUP(Customer[[#This Row],[Customer ID]],[1]!Address[ID],[1]!Address[Type])</f>
        <v>CM</v>
      </c>
      <c r="W2350" s="11" t="str">
        <f>_xlfn.XLOOKUP(Customer[[#This Row],[Customer ID]],[1]!Address[ID],[1]!Address[CT])</f>
        <v>CASH</v>
      </c>
      <c r="X2350" s="11"/>
      <c r="Y2350" s="17" t="s">
        <v>5918</v>
      </c>
      <c r="Z2350" s="17" t="e">
        <f>_xlfn.XLOOKUP(Customer[[#This Row],[NewType]],$AF$36:$AF$54,$AG$36:$AG$54)</f>
        <v>#N/A</v>
      </c>
      <c r="AA2350" s="17" t="s">
        <v>14586</v>
      </c>
      <c r="AB2350" s="11" t="str">
        <f>_xlfn.XLOOKUP(Customer[[#This Row],[Customer ID]],[1]!Address[ID],[1]!Address[Subtype])</f>
        <v>BARNIEYLIOUS</v>
      </c>
      <c r="AC2350" s="18" t="str">
        <f>_xlfn.XLOOKUP(Customer[[#This Row],[Customer ID]],[1]!Address[ID],[1]!Address[Zone])</f>
        <v>SOUTH</v>
      </c>
    </row>
    <row r="2351" spans="1:30" x14ac:dyDescent="0.3">
      <c r="A2351" s="10" t="s">
        <v>14587</v>
      </c>
      <c r="B2351" s="11" t="str">
        <f>_xlfn.XLOOKUP(Customer[[#This Row],[Customer ID]],[1]!Name[ID],[1]!Name[Description(1)])</f>
        <v>UD BLAST SERVICES</v>
      </c>
      <c r="C2351" s="11" t="str">
        <f>_xlfn.XLOOKUP(Customer[[#This Row],[Customer ID]],[1]!Name[ID],[1]!Name[Description(2)])</f>
        <v>HASMA NAZIRAH BT GHAZALI</v>
      </c>
      <c r="D2351" s="11" t="str">
        <f>_xlfn.XLOOKUP(Customer[[#This Row],[Customer ID]],[1]!Address[ID],[1]!Address[PIC])</f>
        <v>HASMA</v>
      </c>
      <c r="E2351" s="11" t="str">
        <f>_xlfn.XLOOKUP(Customer[[#This Row],[Customer ID]],[1]!Address[ID],[1]!Address[Full Address])</f>
        <v>13426 TAMAN DESA SOLEHAH,MAK CHILI,24000 CHUKAI,TERENGGANU</v>
      </c>
      <c r="F2351" s="12" t="s">
        <v>14588</v>
      </c>
      <c r="G2351" s="12" t="s">
        <v>14589</v>
      </c>
      <c r="H2351" s="12" t="s">
        <v>14590</v>
      </c>
      <c r="I2351" s="12" t="b">
        <f>ISNUMBER(VALUE(LEFT(Customer[[#This Row],[Address Line 3 (30 char)]],1)))</f>
        <v>0</v>
      </c>
      <c r="J2351" s="12" t="s">
        <v>1056</v>
      </c>
      <c r="K2351" s="12">
        <v>24000</v>
      </c>
      <c r="L2351" s="12" t="s">
        <v>35</v>
      </c>
      <c r="M2351" s="13" t="e">
        <v>#N/A</v>
      </c>
      <c r="N2351" s="14" t="e">
        <v>#N/A</v>
      </c>
      <c r="O2351" s="14" t="e">
        <v>#N/A</v>
      </c>
      <c r="P2351" s="14" t="e">
        <v>#N/A</v>
      </c>
      <c r="Q2351" s="19" t="s">
        <v>14591</v>
      </c>
      <c r="R2351" s="15" t="s">
        <v>14592</v>
      </c>
      <c r="S2351" s="15" t="s">
        <v>89</v>
      </c>
      <c r="T2351" s="16" t="s">
        <v>6283</v>
      </c>
      <c r="U2351" s="11" t="str">
        <f>_xlfn.XLOOKUP(Customer[[#This Row],[Customer ID]],[1]!Address[ID],[1]!Address[Phone No.(2)])</f>
        <v/>
      </c>
      <c r="V2351" s="11" t="str">
        <f>_xlfn.XLOOKUP(Customer[[#This Row],[Customer ID]],[1]!Address[ID],[1]!Address[Type])</f>
        <v>HUB</v>
      </c>
      <c r="W2351" s="11" t="str">
        <f>_xlfn.XLOOKUP(Customer[[#This Row],[Customer ID]],[1]!Address[ID],[1]!Address[CT])</f>
        <v/>
      </c>
      <c r="X2351" s="11"/>
      <c r="Y2351" s="17" t="s">
        <v>13895</v>
      </c>
      <c r="Z2351" s="17" t="e">
        <f>_xlfn.XLOOKUP(Customer[[#This Row],[NewType]],$AF$36:$AF$54,$AG$36:$AG$54)</f>
        <v>#N/A</v>
      </c>
      <c r="AA2351" s="17" t="s">
        <v>14593</v>
      </c>
      <c r="AB2351" s="11" t="str">
        <f>_xlfn.XLOOKUP(Customer[[#This Row],[Customer ID]],[1]!Address[ID],[1]!Address[Subtype])</f>
        <v>LOGISTIC</v>
      </c>
      <c r="AC2351" s="18" t="str">
        <f>_xlfn.XLOOKUP(Customer[[#This Row],[Customer ID]],[1]!Address[ID],[1]!Address[Zone])</f>
        <v>EAST COAST</v>
      </c>
    </row>
    <row r="2352" spans="1:30" x14ac:dyDescent="0.3">
      <c r="A2352" s="10" t="s">
        <v>14594</v>
      </c>
      <c r="B2352" s="11" t="str">
        <f>_xlfn.XLOOKUP(Customer[[#This Row],[Customer ID]],[1]!Name[ID],[1]!Name[Description(1)])</f>
        <v>MOHD SAIFUL MAT AMIN</v>
      </c>
      <c r="C2352" s="11" t="str">
        <f>_xlfn.XLOOKUP(Customer[[#This Row],[Customer ID]],[1]!Name[ID],[1]!Name[Description(2)])</f>
        <v/>
      </c>
      <c r="D2352" s="11" t="str">
        <f>_xlfn.XLOOKUP(Customer[[#This Row],[Customer ID]],[1]!Address[ID],[1]!Address[PIC])</f>
        <v/>
      </c>
      <c r="E2352" s="11" t="str">
        <f>_xlfn.XLOOKUP(Customer[[#This Row],[Customer ID]],[1]!Address[ID],[1]!Address[Full Address])</f>
        <v>NO.31 JALAN PRI 24,TAMAN PAYA RUMPUT INDAH76450 MELAKA</v>
      </c>
      <c r="F2352" s="12" t="s">
        <v>14595</v>
      </c>
      <c r="G2352" s="12" t="s">
        <v>14596</v>
      </c>
      <c r="H2352" s="12"/>
      <c r="I2352" s="12" t="b">
        <f>ISNUMBER(VALUE(LEFT(Customer[[#This Row],[Address Line 3 (30 char)]],1)))</f>
        <v>0</v>
      </c>
      <c r="J2352" s="12" t="s">
        <v>61</v>
      </c>
      <c r="K2352" s="12">
        <v>76450</v>
      </c>
      <c r="L2352" s="12" t="s">
        <v>35</v>
      </c>
      <c r="M2352" s="13" t="e">
        <v>#N/A</v>
      </c>
      <c r="N2352" s="14" t="e">
        <v>#N/A</v>
      </c>
      <c r="O2352" s="14" t="e">
        <v>#N/A</v>
      </c>
      <c r="P2352" s="14" t="e">
        <v>#N/A</v>
      </c>
      <c r="Q2352" s="19" t="s">
        <v>14597</v>
      </c>
      <c r="R2352" s="15" t="s">
        <v>14598</v>
      </c>
      <c r="S2352" s="16" t="s">
        <v>89</v>
      </c>
      <c r="T2352" s="16" t="s">
        <v>89</v>
      </c>
      <c r="U2352" s="11" t="str">
        <f>_xlfn.XLOOKUP(Customer[[#This Row],[Customer ID]],[1]!Address[ID],[1]!Address[Phone No.(2)])</f>
        <v/>
      </c>
      <c r="V2352" s="11" t="str">
        <f>_xlfn.XLOOKUP(Customer[[#This Row],[Customer ID]],[1]!Address[ID],[1]!Address[Type])</f>
        <v>WALK IN</v>
      </c>
      <c r="W2352" s="11" t="str">
        <f>_xlfn.XLOOKUP(Customer[[#This Row],[Customer ID]],[1]!Address[ID],[1]!Address[CT])</f>
        <v/>
      </c>
      <c r="X2352" s="11"/>
      <c r="Y2352" s="17" t="s">
        <v>6284</v>
      </c>
      <c r="Z2352" s="17" t="e">
        <f>_xlfn.XLOOKUP(Customer[[#This Row],[NewType]],$AF$36:$AF$54,$AG$36:$AG$54)</f>
        <v>#N/A</v>
      </c>
      <c r="AA2352" s="17" t="s">
        <v>14599</v>
      </c>
      <c r="AB2352" s="11" t="str">
        <f>_xlfn.XLOOKUP(Customer[[#This Row],[Customer ID]],[1]!Address[ID],[1]!Address[Subtype])</f>
        <v>PEDAS</v>
      </c>
      <c r="AC2352" s="18" t="str">
        <f>_xlfn.XLOOKUP(Customer[[#This Row],[Customer ID]],[1]!Address[ID],[1]!Address[Zone])</f>
        <v>SOUTH</v>
      </c>
    </row>
    <row r="2353" spans="1:29" x14ac:dyDescent="0.3">
      <c r="A2353" s="10" t="s">
        <v>14600</v>
      </c>
      <c r="B2353" s="11" t="str">
        <f>_xlfn.XLOOKUP(Customer[[#This Row],[Customer ID]],[1]!Name[ID],[1]!Name[Description(1)])</f>
        <v>SITI NURULSHAFIQAH BT ABD GHANI</v>
      </c>
      <c r="C2353" s="11" t="str">
        <f>_xlfn.XLOOKUP(Customer[[#This Row],[Customer ID]],[1]!Name[ID],[1]!Name[Description(2)])</f>
        <v/>
      </c>
      <c r="D2353" s="11" t="str">
        <f>_xlfn.XLOOKUP(Customer[[#This Row],[Customer ID]],[1]!Address[ID],[1]!Address[PIC])</f>
        <v/>
      </c>
      <c r="E2353" s="11" t="str">
        <f>_xlfn.XLOOKUP(Customer[[#This Row],[Customer ID]],[1]!Address[ID],[1]!Address[Full Address])</f>
        <v>NO 9, JALAN NURI INDAH 18,TAMAN NURI INDAH,70300 SEREMBAN</v>
      </c>
      <c r="F2353" s="12" t="s">
        <v>14601</v>
      </c>
      <c r="G2353" s="12" t="s">
        <v>14602</v>
      </c>
      <c r="H2353" s="12" t="s">
        <v>2411</v>
      </c>
      <c r="I2353" s="12" t="b">
        <f>ISNUMBER(VALUE(LEFT(Customer[[#This Row],[Address Line 3 (30 char)]],1)))</f>
        <v>0</v>
      </c>
      <c r="J2353" s="12" t="s">
        <v>2004</v>
      </c>
      <c r="K2353" s="12">
        <v>70300</v>
      </c>
      <c r="L2353" s="12" t="s">
        <v>35</v>
      </c>
      <c r="M2353" s="13" t="e">
        <v>#N/A</v>
      </c>
      <c r="N2353" s="14" t="e">
        <v>#N/A</v>
      </c>
      <c r="O2353" s="14" t="e">
        <v>#N/A</v>
      </c>
      <c r="P2353" s="14" t="e">
        <v>#N/A</v>
      </c>
      <c r="Q2353" s="19" t="s">
        <v>14603</v>
      </c>
      <c r="R2353" s="15" t="s">
        <v>14604</v>
      </c>
      <c r="S2353" s="16" t="s">
        <v>89</v>
      </c>
      <c r="T2353" s="16" t="s">
        <v>89</v>
      </c>
      <c r="U2353" s="11" t="str">
        <f>_xlfn.XLOOKUP(Customer[[#This Row],[Customer ID]],[1]!Address[ID],[1]!Address[Phone No.(2)])</f>
        <v/>
      </c>
      <c r="V2353" s="11" t="str">
        <f>_xlfn.XLOOKUP(Customer[[#This Row],[Customer ID]],[1]!Address[ID],[1]!Address[Type])</f>
        <v>WALK IN</v>
      </c>
      <c r="W2353" s="11" t="str">
        <f>_xlfn.XLOOKUP(Customer[[#This Row],[Customer ID]],[1]!Address[ID],[1]!Address[CT])</f>
        <v/>
      </c>
      <c r="X2353" s="11"/>
      <c r="Y2353" s="17" t="s">
        <v>6284</v>
      </c>
      <c r="Z2353" s="17" t="e">
        <f>_xlfn.XLOOKUP(Customer[[#This Row],[NewType]],$AF$36:$AF$54,$AG$36:$AG$54)</f>
        <v>#N/A</v>
      </c>
      <c r="AA2353" s="17" t="s">
        <v>14605</v>
      </c>
      <c r="AB2353" s="11" t="str">
        <f>_xlfn.XLOOKUP(Customer[[#This Row],[Customer ID]],[1]!Address[ID],[1]!Address[Subtype])</f>
        <v>PEDAS</v>
      </c>
      <c r="AC2353" s="18" t="str">
        <f>_xlfn.XLOOKUP(Customer[[#This Row],[Customer ID]],[1]!Address[ID],[1]!Address[Zone])</f>
        <v>SOUTH</v>
      </c>
    </row>
    <row r="2354" spans="1:29" x14ac:dyDescent="0.3">
      <c r="A2354" s="27" t="s">
        <v>14606</v>
      </c>
      <c r="B2354" s="28" t="str">
        <f>_xlfn.XLOOKUP(Customer[[#This Row],[Customer ID]],[1]!Name[ID],[1]!Name[Description(1)])</f>
        <v>BOON KEE TRADING (LGK) SDN BHD</v>
      </c>
      <c r="C2354" s="11" t="str">
        <f>_xlfn.XLOOKUP(Customer[[#This Row],[Customer ID]],[1]!Name[ID],[1]!Name[Description(2)])</f>
        <v/>
      </c>
      <c r="D2354" s="11" t="str">
        <f>_xlfn.XLOOKUP(Customer[[#This Row],[Customer ID]],[1]!Address[ID],[1]!Address[PIC])</f>
        <v/>
      </c>
      <c r="E2354" s="11" t="str">
        <f>_xlfn.XLOOKUP(Customer[[#This Row],[Customer ID]],[1]!Address[ID],[1]!Address[Full Address])</f>
        <v>LOT 3120, BUKIT HANTU,JALAN LUBUK SEMILANG,07100 LANGKAWI, KEDAH</v>
      </c>
      <c r="F2354" s="12" t="s">
        <v>14607</v>
      </c>
      <c r="G2354" s="12" t="s">
        <v>14608</v>
      </c>
      <c r="H2354" s="24" t="s">
        <v>5757</v>
      </c>
      <c r="I2354" s="24" t="b">
        <f>ISNUMBER(VALUE(LEFT(Customer[[#This Row],[Address Line 3 (30 char)]],1)))</f>
        <v>0</v>
      </c>
      <c r="J2354" s="12" t="s">
        <v>79</v>
      </c>
      <c r="K2354" s="30" t="s">
        <v>3664</v>
      </c>
      <c r="L2354" s="12" t="s">
        <v>35</v>
      </c>
      <c r="M2354" s="13" t="e">
        <v>#N/A</v>
      </c>
      <c r="N2354" s="14" t="e">
        <v>#N/A</v>
      </c>
      <c r="O2354" s="14" t="e">
        <v>#N/A</v>
      </c>
      <c r="P2354" s="14" t="e">
        <v>#N/A</v>
      </c>
      <c r="Q2354" s="19" t="s">
        <v>14609</v>
      </c>
      <c r="R2354" s="15" t="s">
        <v>14610</v>
      </c>
      <c r="S2354" s="15" t="s">
        <v>37</v>
      </c>
      <c r="T2354" s="16" t="s">
        <v>3477</v>
      </c>
      <c r="U2354" s="11" t="str">
        <f>_xlfn.XLOOKUP(Customer[[#This Row],[Customer ID]],[1]!Address[ID],[1]!Address[Phone No.(2)])</f>
        <v/>
      </c>
      <c r="V2354" s="11" t="str">
        <f>_xlfn.XLOOKUP(Customer[[#This Row],[Customer ID]],[1]!Address[ID],[1]!Address[Type])</f>
        <v>CM</v>
      </c>
      <c r="W2354" s="11" t="str">
        <f>_xlfn.XLOOKUP(Customer[[#This Row],[Customer ID]],[1]!Address[ID],[1]!Address[CT])</f>
        <v>CASH</v>
      </c>
      <c r="X2354" s="11"/>
      <c r="Y2354" s="17" t="s">
        <v>5918</v>
      </c>
      <c r="Z2354" s="17" t="e">
        <f>_xlfn.XLOOKUP(Customer[[#This Row],[NewType]],$AF$36:$AF$54,$AG$36:$AG$54)</f>
        <v>#N/A</v>
      </c>
      <c r="AA2354" s="17" t="s">
        <v>14611</v>
      </c>
      <c r="AB2354" s="11" t="str">
        <f>_xlfn.XLOOKUP(Customer[[#This Row],[Customer ID]],[1]!Address[ID],[1]!Address[Subtype])</f>
        <v>BOON KEE</v>
      </c>
      <c r="AC2354" s="18" t="str">
        <f>_xlfn.XLOOKUP(Customer[[#This Row],[Customer ID]],[1]!Address[ID],[1]!Address[Zone])</f>
        <v>NORTH</v>
      </c>
    </row>
    <row r="2355" spans="1:29" x14ac:dyDescent="0.3">
      <c r="A2355" s="10" t="s">
        <v>14612</v>
      </c>
      <c r="B2355" s="11" t="str">
        <f>_xlfn.XLOOKUP(Customer[[#This Row],[Customer ID]],[1]!Name[ID],[1]!Name[Description(1)])</f>
        <v>MUHAMMAD ADAM DANIAL HAIKAL BIN ABDULLAH</v>
      </c>
      <c r="C2355" s="11" t="str">
        <f>_xlfn.XLOOKUP(Customer[[#This Row],[Customer ID]],[1]!Name[ID],[1]!Name[Description(2)])</f>
        <v>(PRODUCTION KILANG AIR)</v>
      </c>
      <c r="D2355" s="11" t="str">
        <f>_xlfn.XLOOKUP(Customer[[#This Row],[Customer ID]],[1]!Address[ID],[1]!Address[PIC])</f>
        <v/>
      </c>
      <c r="E2355" s="11" t="str">
        <f>_xlfn.XLOOKUP(Customer[[#This Row],[Customer ID]],[1]!Address[ID],[1]!Address[Full Address])</f>
        <v>LOT 3211, KG. ULU LALANG,71200 RANTAU NEGERI SEMBILAN</v>
      </c>
      <c r="F2355" s="12" t="s">
        <v>14613</v>
      </c>
      <c r="G2355" s="12" t="s">
        <v>6428</v>
      </c>
      <c r="H2355" s="12" t="s">
        <v>36</v>
      </c>
      <c r="I2355" s="12" t="b">
        <f>ISNUMBER(VALUE(LEFT(Customer[[#This Row],[Address Line 3 (30 char)]],1)))</f>
        <v>0</v>
      </c>
      <c r="J2355" s="12" t="s">
        <v>2004</v>
      </c>
      <c r="K2355" s="12">
        <v>71200</v>
      </c>
      <c r="L2355" s="12" t="s">
        <v>35</v>
      </c>
      <c r="M2355" s="13" t="e">
        <v>#N/A</v>
      </c>
      <c r="N2355" s="14" t="e">
        <v>#N/A</v>
      </c>
      <c r="O2355" s="14" t="e">
        <v>#N/A</v>
      </c>
      <c r="P2355" s="14" t="e">
        <v>#N/A</v>
      </c>
      <c r="Q2355" s="19" t="s">
        <v>14614</v>
      </c>
      <c r="R2355" s="15" t="s">
        <v>14615</v>
      </c>
      <c r="S2355" s="16" t="s">
        <v>89</v>
      </c>
      <c r="T2355" s="16" t="s">
        <v>89</v>
      </c>
      <c r="U2355" s="11" t="str">
        <f>_xlfn.XLOOKUP(Customer[[#This Row],[Customer ID]],[1]!Address[ID],[1]!Address[Phone No.(2)])</f>
        <v/>
      </c>
      <c r="V2355" s="11" t="str">
        <f>_xlfn.XLOOKUP(Customer[[#This Row],[Customer ID]],[1]!Address[ID],[1]!Address[Type])</f>
        <v>WALK IN</v>
      </c>
      <c r="W2355" s="11" t="str">
        <f>_xlfn.XLOOKUP(Customer[[#This Row],[Customer ID]],[1]!Address[ID],[1]!Address[CT])</f>
        <v/>
      </c>
      <c r="X2355" s="11"/>
      <c r="Y2355" s="17" t="s">
        <v>6284</v>
      </c>
      <c r="Z2355" s="17" t="e">
        <f>_xlfn.XLOOKUP(Customer[[#This Row],[NewType]],$AF$36:$AF$54,$AG$36:$AG$54)</f>
        <v>#N/A</v>
      </c>
      <c r="AA2355" s="17" t="s">
        <v>14616</v>
      </c>
      <c r="AB2355" s="11" t="str">
        <f>_xlfn.XLOOKUP(Customer[[#This Row],[Customer ID]],[1]!Address[ID],[1]!Address[Subtype])</f>
        <v>STAFF</v>
      </c>
      <c r="AC2355" s="18" t="str">
        <f>_xlfn.XLOOKUP(Customer[[#This Row],[Customer ID]],[1]!Address[ID],[1]!Address[Zone])</f>
        <v>SOUTH</v>
      </c>
    </row>
    <row r="2356" spans="1:29" x14ac:dyDescent="0.3">
      <c r="A2356" s="10" t="s">
        <v>14617</v>
      </c>
      <c r="B2356" s="11" t="str">
        <f>_xlfn.XLOOKUP(Customer[[#This Row],[Customer ID]],[1]!Name[ID],[1]!Name[Description(1)])</f>
        <v>MZ TECH VENTURES</v>
      </c>
      <c r="C2356" s="11" t="str">
        <f>_xlfn.XLOOKUP(Customer[[#This Row],[Customer ID]],[1]!Name[ID],[1]!Name[Description(2)])</f>
        <v>PS PORT DICKSON 1</v>
      </c>
      <c r="D2356" s="11" t="str">
        <f>_xlfn.XLOOKUP(Customer[[#This Row],[Customer ID]],[1]!Address[ID],[1]!Address[PIC])</f>
        <v/>
      </c>
      <c r="E2356" s="11" t="str">
        <f>_xlfn.XLOOKUP(Customer[[#This Row],[Customer ID]],[1]!Address[ID],[1]!Address[Full Address])</f>
        <v>Lot 2253, Batu 4 Jalan Pantai,Mukim SirusaPort Dickson, 71050 Negeri Sembilan</v>
      </c>
      <c r="F2356" s="12" t="s">
        <v>4096</v>
      </c>
      <c r="G2356" s="12" t="s">
        <v>14618</v>
      </c>
      <c r="H2356" s="12" t="s">
        <v>1438</v>
      </c>
      <c r="I2356" s="12" t="b">
        <f>ISNUMBER(VALUE(LEFT(Customer[[#This Row],[Address Line 3 (30 char)]],1)))</f>
        <v>0</v>
      </c>
      <c r="J2356" s="12" t="s">
        <v>203</v>
      </c>
      <c r="K2356" s="12">
        <v>71050</v>
      </c>
      <c r="L2356" s="12" t="s">
        <v>35</v>
      </c>
      <c r="M2356" s="13" t="e">
        <v>#N/A</v>
      </c>
      <c r="N2356" s="14" t="e">
        <v>#N/A</v>
      </c>
      <c r="O2356" s="14" t="e">
        <v>#N/A</v>
      </c>
      <c r="P2356" s="14" t="e">
        <v>#N/A</v>
      </c>
      <c r="Q2356" s="14" t="e">
        <v>#N/A</v>
      </c>
      <c r="R2356" s="15" t="s">
        <v>14619</v>
      </c>
      <c r="S2356" s="15" t="s">
        <v>37</v>
      </c>
      <c r="T2356" s="16" t="s">
        <v>38</v>
      </c>
      <c r="U2356" s="11" t="str">
        <f>_xlfn.XLOOKUP(Customer[[#This Row],[Customer ID]],[1]!Address[ID],[1]!Address[Phone No.(2)])</f>
        <v/>
      </c>
      <c r="V2356" s="11" t="str">
        <f>_xlfn.XLOOKUP(Customer[[#This Row],[Customer ID]],[1]!Address[ID],[1]!Address[Type])</f>
        <v>PETROMART</v>
      </c>
      <c r="W2356" s="11" t="str">
        <f>_xlfn.XLOOKUP(Customer[[#This Row],[Customer ID]],[1]!Address[ID],[1]!Address[CT])</f>
        <v>30</v>
      </c>
      <c r="X2356" s="11" t="s">
        <v>39</v>
      </c>
      <c r="Y2356" s="17" t="s">
        <v>40</v>
      </c>
      <c r="Z2356" s="17" t="e">
        <f>_xlfn.XLOOKUP(Customer[[#This Row],[NewType]],$AF$36:$AF$54,$AG$36:$AG$54)</f>
        <v>#N/A</v>
      </c>
      <c r="AA2356" s="17" t="s">
        <v>14620</v>
      </c>
      <c r="AB2356" s="11" t="str">
        <f>_xlfn.XLOOKUP(Customer[[#This Row],[Customer ID]],[1]!Address[ID],[1]!Address[Subtype])</f>
        <v>PETRONAS</v>
      </c>
      <c r="AC2356" s="18" t="str">
        <f>_xlfn.XLOOKUP(Customer[[#This Row],[Customer ID]],[1]!Address[ID],[1]!Address[Zone])</f>
        <v>SOUTH</v>
      </c>
    </row>
    <row r="2357" spans="1:29" x14ac:dyDescent="0.3">
      <c r="A2357" s="10" t="s">
        <v>14621</v>
      </c>
      <c r="B2357" s="11" t="str">
        <f>_xlfn.XLOOKUP(Customer[[#This Row],[Customer ID]],[1]!Name[ID],[1]!Name[Description(1)])</f>
        <v>DATIN AZAH ABD HALIM (MB)</v>
      </c>
      <c r="C2357" s="32" t="str">
        <f>_xlfn.XLOOKUP(Customer[[#This Row],[Customer ID]],[1]!Name[ID],[1]!Name[Description(2)])</f>
        <v/>
      </c>
      <c r="D2357" s="11" t="str">
        <f>_xlfn.XLOOKUP(Customer[[#This Row],[Customer ID]],[1]!Address[ID],[1]!Address[PIC])</f>
        <v>DATIN AZAH</v>
      </c>
      <c r="E2357" s="11" t="str">
        <f>_xlfn.XLOOKUP(Customer[[#This Row],[Customer ID]],[1]!Address[ID],[1]!Address[Full Address])</f>
        <v>6 JALAN 1/3 MUTIARA BANGI</v>
      </c>
      <c r="F2357" s="12" t="s">
        <v>14622</v>
      </c>
      <c r="G2357" s="12" t="s">
        <v>36</v>
      </c>
      <c r="H2357" s="12" t="s">
        <v>36</v>
      </c>
      <c r="I2357" s="12" t="b">
        <f>ISNUMBER(VALUE(LEFT(Customer[[#This Row],[Address Line 3 (30 char)]],1)))</f>
        <v>0</v>
      </c>
      <c r="J2357" s="32" t="s">
        <v>1907</v>
      </c>
      <c r="K2357" s="32"/>
      <c r="L2357" s="12" t="s">
        <v>35</v>
      </c>
      <c r="M2357" s="13" t="e">
        <v>#N/A</v>
      </c>
      <c r="N2357" s="14" t="e">
        <v>#N/A</v>
      </c>
      <c r="O2357" s="14" t="e">
        <v>#N/A</v>
      </c>
      <c r="P2357" s="14" t="e">
        <v>#N/A</v>
      </c>
      <c r="Q2357" s="14" t="e">
        <v>#N/A</v>
      </c>
      <c r="R2357" s="15" t="s">
        <v>36</v>
      </c>
      <c r="S2357" s="15" t="s">
        <v>4271</v>
      </c>
      <c r="T2357" s="16" t="s">
        <v>89</v>
      </c>
      <c r="U2357" s="11" t="str">
        <f>_xlfn.XLOOKUP(Customer[[#This Row],[Customer ID]],[1]!Address[ID],[1]!Address[Phone No.(2)])</f>
        <v/>
      </c>
      <c r="V2357" s="11" t="str">
        <f>_xlfn.XLOOKUP(Customer[[#This Row],[Customer ID]],[1]!Address[ID],[1]!Address[Type])</f>
        <v>SOCMED</v>
      </c>
      <c r="W2357" s="11" t="str">
        <f>_xlfn.XLOOKUP(Customer[[#This Row],[Customer ID]],[1]!Address[ID],[1]!Address[CT])</f>
        <v/>
      </c>
      <c r="X2357" s="11"/>
      <c r="Y2357" s="17" t="s">
        <v>90</v>
      </c>
      <c r="Z2357" s="17" t="e">
        <f>_xlfn.XLOOKUP(Customer[[#This Row],[NewType]],$AF$36:$AF$54,$AG$36:$AG$54)</f>
        <v>#N/A</v>
      </c>
      <c r="AA2357" s="17" t="s">
        <v>14623</v>
      </c>
      <c r="AB2357" s="11" t="str">
        <f>_xlfn.XLOOKUP(Customer[[#This Row],[Customer ID]],[1]!Address[ID],[1]!Address[Subtype])</f>
        <v>WHATSAPP</v>
      </c>
      <c r="AC2357" s="18" t="str">
        <f>_xlfn.XLOOKUP(Customer[[#This Row],[Customer ID]],[1]!Address[ID],[1]!Address[Zone])</f>
        <v>CENTRAL</v>
      </c>
    </row>
    <row r="2358" spans="1:29" x14ac:dyDescent="0.3">
      <c r="A2358" s="10" t="s">
        <v>14624</v>
      </c>
      <c r="B2358" s="11" t="str">
        <f>_xlfn.XLOOKUP(Customer[[#This Row],[Customer ID]],[1]!Name[ID],[1]!Name[Description(1)])</f>
        <v>MUHAMMAD AMIRUL SHAFIQ BIN JUMAT</v>
      </c>
      <c r="C2358" s="11" t="str">
        <f>_xlfn.XLOOKUP(Customer[[#This Row],[Customer ID]],[1]!Name[ID],[1]!Name[Description(2)])</f>
        <v>STAFF MAINTENANCE</v>
      </c>
      <c r="D2358" s="11" t="str">
        <f>_xlfn.XLOOKUP(Customer[[#This Row],[Customer ID]],[1]!Address[ID],[1]!Address[PIC])</f>
        <v>AMIRUL</v>
      </c>
      <c r="E2358" s="11" t="str">
        <f>_xlfn.XLOOKUP(Customer[[#This Row],[Customer ID]],[1]!Address[ID],[1]!Address[Full Address])</f>
        <v>NO 32, JALAN KOTAMAS 3,TAMAN KOTAMAS 83700 YONG PENGJOHOR</v>
      </c>
      <c r="F2358" s="12" t="s">
        <v>14625</v>
      </c>
      <c r="G2358" s="12" t="s">
        <v>14626</v>
      </c>
      <c r="H2358" s="12"/>
      <c r="I2358" s="12" t="b">
        <f>ISNUMBER(VALUE(LEFT(Customer[[#This Row],[Address Line 3 (30 char)]],1)))</f>
        <v>0</v>
      </c>
      <c r="J2358" s="12" t="s">
        <v>52</v>
      </c>
      <c r="K2358" s="12">
        <v>83700</v>
      </c>
      <c r="L2358" s="12" t="s">
        <v>35</v>
      </c>
      <c r="M2358" s="13" t="e">
        <v>#N/A</v>
      </c>
      <c r="N2358" s="14" t="e">
        <v>#N/A</v>
      </c>
      <c r="O2358" s="14" t="e">
        <v>#N/A</v>
      </c>
      <c r="P2358" s="14" t="e">
        <v>#N/A</v>
      </c>
      <c r="Q2358" s="19" t="s">
        <v>14627</v>
      </c>
      <c r="R2358" s="15" t="s">
        <v>14628</v>
      </c>
      <c r="S2358" s="16" t="s">
        <v>89</v>
      </c>
      <c r="T2358" s="16" t="s">
        <v>89</v>
      </c>
      <c r="U2358" s="11" t="str">
        <f>_xlfn.XLOOKUP(Customer[[#This Row],[Customer ID]],[1]!Address[ID],[1]!Address[Phone No.(2)])</f>
        <v/>
      </c>
      <c r="V2358" s="11" t="str">
        <f>_xlfn.XLOOKUP(Customer[[#This Row],[Customer ID]],[1]!Address[ID],[1]!Address[Type])</f>
        <v>WALK IN</v>
      </c>
      <c r="W2358" s="11" t="str">
        <f>_xlfn.XLOOKUP(Customer[[#This Row],[Customer ID]],[1]!Address[ID],[1]!Address[CT])</f>
        <v/>
      </c>
      <c r="X2358" s="11"/>
      <c r="Y2358" s="17" t="s">
        <v>6284</v>
      </c>
      <c r="Z2358" s="17" t="e">
        <f>_xlfn.XLOOKUP(Customer[[#This Row],[NewType]],$AF$36:$AF$54,$AG$36:$AG$54)</f>
        <v>#N/A</v>
      </c>
      <c r="AA2358" s="17" t="s">
        <v>14629</v>
      </c>
      <c r="AB2358" s="11" t="str">
        <f>_xlfn.XLOOKUP(Customer[[#This Row],[Customer ID]],[1]!Address[ID],[1]!Address[Subtype])</f>
        <v>STAFF</v>
      </c>
      <c r="AC2358" s="18" t="str">
        <f>_xlfn.XLOOKUP(Customer[[#This Row],[Customer ID]],[1]!Address[ID],[1]!Address[Zone])</f>
        <v>SOUTH</v>
      </c>
    </row>
    <row r="2359" spans="1:29" x14ac:dyDescent="0.3">
      <c r="A2359" s="10" t="s">
        <v>14630</v>
      </c>
      <c r="B2359" s="11" t="str">
        <f>_xlfn.XLOOKUP(Customer[[#This Row],[Customer ID]],[1]!Name[ID],[1]!Name[Description(1)])</f>
        <v>HJ MD NOOR (MB)</v>
      </c>
      <c r="C2359" s="32" t="str">
        <f>_xlfn.XLOOKUP(Customer[[#This Row],[Customer ID]],[1]!Name[ID],[1]!Name[Description(2)])</f>
        <v/>
      </c>
      <c r="D2359" s="11" t="str">
        <f>_xlfn.XLOOKUP(Customer[[#This Row],[Customer ID]],[1]!Address[ID],[1]!Address[PIC])</f>
        <v>MD NOOR</v>
      </c>
      <c r="E2359" s="11" t="str">
        <f>_xlfn.XLOOKUP(Customer[[#This Row],[Customer ID]],[1]!Address[ID],[1]!Address[Full Address])</f>
        <v>10, JLN 1/3, MUTIARA BANGI</v>
      </c>
      <c r="F2359" s="12" t="s">
        <v>14631</v>
      </c>
      <c r="G2359" s="12" t="s">
        <v>36</v>
      </c>
      <c r="H2359" s="12"/>
      <c r="I2359" s="12" t="b">
        <f>ISNUMBER(VALUE(LEFT(Customer[[#This Row],[Address Line 3 (30 char)]],1)))</f>
        <v>0</v>
      </c>
      <c r="J2359" s="32" t="s">
        <v>172</v>
      </c>
      <c r="K2359" s="32"/>
      <c r="L2359" s="12" t="s">
        <v>35</v>
      </c>
      <c r="M2359" s="13" t="e">
        <v>#N/A</v>
      </c>
      <c r="N2359" s="14" t="e">
        <v>#N/A</v>
      </c>
      <c r="O2359" s="14" t="e">
        <v>#N/A</v>
      </c>
      <c r="P2359" s="14" t="e">
        <v>#N/A</v>
      </c>
      <c r="Q2359" s="14" t="e">
        <v>#N/A</v>
      </c>
      <c r="R2359" s="15" t="s">
        <v>14632</v>
      </c>
      <c r="S2359" s="15" t="s">
        <v>4271</v>
      </c>
      <c r="T2359" s="16" t="s">
        <v>89</v>
      </c>
      <c r="U2359" s="11" t="str">
        <f>_xlfn.XLOOKUP(Customer[[#This Row],[Customer ID]],[1]!Address[ID],[1]!Address[Phone No.(2)])</f>
        <v/>
      </c>
      <c r="V2359" s="11" t="str">
        <f>_xlfn.XLOOKUP(Customer[[#This Row],[Customer ID]],[1]!Address[ID],[1]!Address[Type])</f>
        <v>SOCMED</v>
      </c>
      <c r="W2359" s="11" t="str">
        <f>_xlfn.XLOOKUP(Customer[[#This Row],[Customer ID]],[1]!Address[ID],[1]!Address[CT])</f>
        <v/>
      </c>
      <c r="X2359" s="11"/>
      <c r="Y2359" s="17" t="s">
        <v>90</v>
      </c>
      <c r="Z2359" s="17" t="e">
        <f>_xlfn.XLOOKUP(Customer[[#This Row],[NewType]],$AF$36:$AF$54,$AG$36:$AG$54)</f>
        <v>#N/A</v>
      </c>
      <c r="AA2359" s="17" t="s">
        <v>14633</v>
      </c>
      <c r="AB2359" s="11" t="str">
        <f>_xlfn.XLOOKUP(Customer[[#This Row],[Customer ID]],[1]!Address[ID],[1]!Address[Subtype])</f>
        <v>WHATSAPP</v>
      </c>
      <c r="AC2359" s="18" t="str">
        <f>_xlfn.XLOOKUP(Customer[[#This Row],[Customer ID]],[1]!Address[ID],[1]!Address[Zone])</f>
        <v>CENTRAL</v>
      </c>
    </row>
    <row r="2360" spans="1:29" x14ac:dyDescent="0.3">
      <c r="A2360" s="10" t="s">
        <v>14634</v>
      </c>
      <c r="B2360" s="11" t="str">
        <f>_xlfn.XLOOKUP(Customer[[#This Row],[Customer ID]],[1]!Name[ID],[1]!Name[Description(1)])</f>
        <v>RASHIDAH HUSSIN (MB)</v>
      </c>
      <c r="C2360" s="11" t="str">
        <f>_xlfn.XLOOKUP(Customer[[#This Row],[Customer ID]],[1]!Name[ID],[1]!Name[Description(2)])</f>
        <v/>
      </c>
      <c r="D2360" s="11" t="str">
        <f>_xlfn.XLOOKUP(Customer[[#This Row],[Customer ID]],[1]!Address[ID],[1]!Address[PIC])</f>
        <v>RASHIDAH</v>
      </c>
      <c r="E2360" s="11" t="str">
        <f>_xlfn.XLOOKUP(Customer[[#This Row],[Customer ID]],[1]!Address[ID],[1]!Address[Full Address])</f>
        <v>NO.6, JALAN 1/3R, SEKSYEN 1,43650 BDR BARU BANGI, SELANGOR</v>
      </c>
      <c r="F2360" s="12" t="s">
        <v>14635</v>
      </c>
      <c r="G2360" s="12" t="s">
        <v>10807</v>
      </c>
      <c r="H2360" s="12" t="s">
        <v>36</v>
      </c>
      <c r="I2360" s="12" t="b">
        <f>ISNUMBER(VALUE(LEFT(Customer[[#This Row],[Address Line 3 (30 char)]],1)))</f>
        <v>0</v>
      </c>
      <c r="J2360" s="12" t="s">
        <v>1907</v>
      </c>
      <c r="K2360" s="12">
        <v>43650</v>
      </c>
      <c r="L2360" s="12" t="s">
        <v>35</v>
      </c>
      <c r="M2360" s="13" t="e">
        <v>#N/A</v>
      </c>
      <c r="N2360" s="14" t="e">
        <v>#N/A</v>
      </c>
      <c r="O2360" s="14" t="e">
        <v>#N/A</v>
      </c>
      <c r="P2360" s="14" t="e">
        <v>#N/A</v>
      </c>
      <c r="Q2360" s="19" t="s">
        <v>14636</v>
      </c>
      <c r="R2360" s="15" t="s">
        <v>14637</v>
      </c>
      <c r="S2360" s="15" t="s">
        <v>4271</v>
      </c>
      <c r="T2360" s="16" t="s">
        <v>89</v>
      </c>
      <c r="U2360" s="11" t="str">
        <f>_xlfn.XLOOKUP(Customer[[#This Row],[Customer ID]],[1]!Address[ID],[1]!Address[Phone No.(2)])</f>
        <v/>
      </c>
      <c r="V2360" s="11" t="str">
        <f>_xlfn.XLOOKUP(Customer[[#This Row],[Customer ID]],[1]!Address[ID],[1]!Address[Type])</f>
        <v>SOCMED</v>
      </c>
      <c r="W2360" s="11" t="str">
        <f>_xlfn.XLOOKUP(Customer[[#This Row],[Customer ID]],[1]!Address[ID],[1]!Address[CT])</f>
        <v/>
      </c>
      <c r="X2360" s="11"/>
      <c r="Y2360" s="17" t="s">
        <v>90</v>
      </c>
      <c r="Z2360" s="17" t="e">
        <f>_xlfn.XLOOKUP(Customer[[#This Row],[NewType]],$AF$36:$AF$54,$AG$36:$AG$54)</f>
        <v>#N/A</v>
      </c>
      <c r="AA2360" s="17" t="s">
        <v>14638</v>
      </c>
      <c r="AB2360" s="11" t="str">
        <f>_xlfn.XLOOKUP(Customer[[#This Row],[Customer ID]],[1]!Address[ID],[1]!Address[Subtype])</f>
        <v>WHATSAPP</v>
      </c>
      <c r="AC2360" s="18" t="str">
        <f>_xlfn.XLOOKUP(Customer[[#This Row],[Customer ID]],[1]!Address[ID],[1]!Address[Zone])</f>
        <v>CENTRAL</v>
      </c>
    </row>
    <row r="2361" spans="1:29" x14ac:dyDescent="0.3">
      <c r="A2361" s="10" t="s">
        <v>14639</v>
      </c>
      <c r="B2361" s="11" t="str">
        <f>_xlfn.XLOOKUP(Customer[[#This Row],[Customer ID]],[1]!Name[ID],[1]!Name[Description(1)])</f>
        <v>MESRA RETAIL &amp; CAFE SDN BHD</v>
      </c>
      <c r="C2361" s="11" t="str">
        <f>_xlfn.XLOOKUP(Customer[[#This Row],[Customer ID]],[1]!Name[ID],[1]!Name[Description(2)])</f>
        <v>CM MENARA PJH</v>
      </c>
      <c r="D2361" s="11" t="str">
        <f>_xlfn.XLOOKUP(Customer[[#This Row],[Customer ID]],[1]!Address[ID],[1]!Address[PIC])</f>
        <v/>
      </c>
      <c r="E2361" s="11" t="str">
        <f>_xlfn.XLOOKUP(Customer[[#This Row],[Customer ID]],[1]!Address[ID],[1]!Address[Full Address])</f>
        <v>CM MENARA PJHGround Floor, Menara PJH, JalanTun Abdul Razak 62000Putrajaya Wilayah Persekutuan Putrajaya.</v>
      </c>
      <c r="F2361" s="12" t="s">
        <v>14640</v>
      </c>
      <c r="G2361" s="12" t="s">
        <v>14641</v>
      </c>
      <c r="H2361" s="12" t="s">
        <v>14642</v>
      </c>
      <c r="I2361" s="12" t="b">
        <f>ISNUMBER(VALUE(LEFT(Customer[[#This Row],[Address Line 3 (30 char)]],1)))</f>
        <v>0</v>
      </c>
      <c r="J2361" s="12" t="s">
        <v>1907</v>
      </c>
      <c r="K2361" s="12">
        <v>62000</v>
      </c>
      <c r="L2361" s="12" t="s">
        <v>35</v>
      </c>
      <c r="M2361" s="13" t="e">
        <v>#N/A</v>
      </c>
      <c r="N2361" s="14" t="e">
        <v>#N/A</v>
      </c>
      <c r="O2361" s="14" t="e">
        <v>#N/A</v>
      </c>
      <c r="P2361" s="14" t="e">
        <v>#N/A</v>
      </c>
      <c r="Q2361" s="19" t="s">
        <v>14643</v>
      </c>
      <c r="R2361" s="15" t="s">
        <v>14039</v>
      </c>
      <c r="S2361" s="15" t="s">
        <v>37</v>
      </c>
      <c r="T2361" s="16" t="s">
        <v>38</v>
      </c>
      <c r="U2361" s="11" t="str">
        <f>_xlfn.XLOOKUP(Customer[[#This Row],[Customer ID]],[1]!Address[ID],[1]!Address[Phone No.(2)])</f>
        <v/>
      </c>
      <c r="V2361" s="11" t="str">
        <f>_xlfn.XLOOKUP(Customer[[#This Row],[Customer ID]],[1]!Address[ID],[1]!Address[Type])</f>
        <v>PETROMART</v>
      </c>
      <c r="W2361" s="11" t="str">
        <f>_xlfn.XLOOKUP(Customer[[#This Row],[Customer ID]],[1]!Address[ID],[1]!Address[CT])</f>
        <v>30</v>
      </c>
      <c r="X2361" s="11" t="s">
        <v>39</v>
      </c>
      <c r="Y2361" s="17" t="s">
        <v>40</v>
      </c>
      <c r="Z2361" s="17" t="e">
        <f>_xlfn.XLOOKUP(Customer[[#This Row],[NewType]],$AF$36:$AF$54,$AG$36:$AG$54)</f>
        <v>#N/A</v>
      </c>
      <c r="AA2361" s="17" t="s">
        <v>14644</v>
      </c>
      <c r="AB2361" s="11" t="str">
        <f>_xlfn.XLOOKUP(Customer[[#This Row],[Customer ID]],[1]!Address[ID],[1]!Address[Subtype])</f>
        <v>PETRONAS</v>
      </c>
      <c r="AC2361" s="18" t="str">
        <f>_xlfn.XLOOKUP(Customer[[#This Row],[Customer ID]],[1]!Address[ID],[1]!Address[Zone])</f>
        <v>CENTRAL</v>
      </c>
    </row>
    <row r="2362" spans="1:29" x14ac:dyDescent="0.3">
      <c r="A2362" s="10" t="s">
        <v>14645</v>
      </c>
      <c r="B2362" s="11" t="str">
        <f>_xlfn.XLOOKUP(Customer[[#This Row],[Customer ID]],[1]!Name[ID],[1]!Name[Description(1)])</f>
        <v>FADZILAH BINTI ZAINAL ABIDIN</v>
      </c>
      <c r="C2362" s="11" t="str">
        <f>_xlfn.XLOOKUP(Customer[[#This Row],[Customer ID]],[1]!Name[ID],[1]!Name[Description(2)])</f>
        <v/>
      </c>
      <c r="D2362" s="11" t="str">
        <f>_xlfn.XLOOKUP(Customer[[#This Row],[Customer ID]],[1]!Address[ID],[1]!Address[PIC])</f>
        <v>FADZILAH</v>
      </c>
      <c r="E2362" s="11" t="str">
        <f>_xlfn.XLOOKUP(Customer[[#This Row],[Customer ID]],[1]!Address[ID],[1]!Address[Full Address])</f>
        <v>LADANG RISDA PALONG 1, KM 20HIGHWAY-BAHAU KERATONG, 72129BANDAR SERI JEMPOL, NEGERI SEMBILAN</v>
      </c>
      <c r="F2362" s="12" t="s">
        <v>14646</v>
      </c>
      <c r="G2362" s="12" t="s">
        <v>14647</v>
      </c>
      <c r="H2362" s="12" t="s">
        <v>14648</v>
      </c>
      <c r="I2362" s="12" t="b">
        <f>ISNUMBER(VALUE(LEFT(Customer[[#This Row],[Address Line 3 (30 char)]],1)))</f>
        <v>0</v>
      </c>
      <c r="J2362" s="12" t="s">
        <v>203</v>
      </c>
      <c r="K2362" s="12">
        <v>72129</v>
      </c>
      <c r="L2362" s="12" t="s">
        <v>35</v>
      </c>
      <c r="M2362" s="13" t="e">
        <v>#N/A</v>
      </c>
      <c r="N2362" s="14" t="e">
        <v>#N/A</v>
      </c>
      <c r="O2362" s="14" t="e">
        <v>#N/A</v>
      </c>
      <c r="P2362" s="14" t="e">
        <v>#N/A</v>
      </c>
      <c r="Q2362" s="19" t="s">
        <v>14649</v>
      </c>
      <c r="R2362" s="15" t="s">
        <v>14650</v>
      </c>
      <c r="S2362" s="16" t="s">
        <v>89</v>
      </c>
      <c r="T2362" s="16" t="s">
        <v>89</v>
      </c>
      <c r="U2362" s="11" t="str">
        <f>_xlfn.XLOOKUP(Customer[[#This Row],[Customer ID]],[1]!Address[ID],[1]!Address[Phone No.(2)])</f>
        <v/>
      </c>
      <c r="V2362" s="11" t="str">
        <f>_xlfn.XLOOKUP(Customer[[#This Row],[Customer ID]],[1]!Address[ID],[1]!Address[Type])</f>
        <v>WALK IN</v>
      </c>
      <c r="W2362" s="11" t="str">
        <f>_xlfn.XLOOKUP(Customer[[#This Row],[Customer ID]],[1]!Address[ID],[1]!Address[CT])</f>
        <v/>
      </c>
      <c r="X2362" s="11"/>
      <c r="Y2362" s="17" t="s">
        <v>6284</v>
      </c>
      <c r="Z2362" s="17" t="e">
        <f>_xlfn.XLOOKUP(Customer[[#This Row],[NewType]],$AF$36:$AF$54,$AG$36:$AG$54)</f>
        <v>#N/A</v>
      </c>
      <c r="AA2362" s="17" t="s">
        <v>14651</v>
      </c>
      <c r="AB2362" s="11" t="str">
        <f>_xlfn.XLOOKUP(Customer[[#This Row],[Customer ID]],[1]!Address[ID],[1]!Address[Subtype])</f>
        <v>PEDAS</v>
      </c>
      <c r="AC2362" s="18" t="str">
        <f>_xlfn.XLOOKUP(Customer[[#This Row],[Customer ID]],[1]!Address[ID],[1]!Address[Zone])</f>
        <v>SOUTH</v>
      </c>
    </row>
    <row r="2363" spans="1:29" x14ac:dyDescent="0.3">
      <c r="A2363" s="10" t="s">
        <v>14652</v>
      </c>
      <c r="B2363" s="11" t="str">
        <f>_xlfn.XLOOKUP(Customer[[#This Row],[Customer ID]],[1]!Name[ID],[1]!Name[Description(1)])</f>
        <v>PENGARAH JHEAINS</v>
      </c>
      <c r="C2363" s="11" t="str">
        <f>_xlfn.XLOOKUP(Customer[[#This Row],[Customer ID]],[1]!Name[ID],[1]!Name[Description(2)])</f>
        <v/>
      </c>
      <c r="D2363" s="11" t="str">
        <f>_xlfn.XLOOKUP(Customer[[#This Row],[Customer ID]],[1]!Address[ID],[1]!Address[PIC])</f>
        <v/>
      </c>
      <c r="E2363" s="11" t="str">
        <f>_xlfn.XLOOKUP(Customer[[#This Row],[Customer ID]],[1]!Address[ID],[1]!Address[Full Address])</f>
        <v>JABATAN HAL EHWAL AGAMA ISLAN N.SEMBILANJHEAINS HQ</v>
      </c>
      <c r="F2363" s="12" t="s">
        <v>14653</v>
      </c>
      <c r="G2363" s="12" t="s">
        <v>14654</v>
      </c>
      <c r="H2363" s="12" t="s">
        <v>14655</v>
      </c>
      <c r="I2363" s="12" t="b">
        <f>ISNUMBER(VALUE(LEFT(Customer[[#This Row],[Address Line 3 (30 char)]],1)))</f>
        <v>0</v>
      </c>
      <c r="J2363" s="12" t="s">
        <v>203</v>
      </c>
      <c r="K2363" s="12">
        <v>70000</v>
      </c>
      <c r="L2363" s="12" t="s">
        <v>35</v>
      </c>
      <c r="M2363" s="13" t="e">
        <v>#N/A</v>
      </c>
      <c r="N2363" s="14" t="e">
        <v>#N/A</v>
      </c>
      <c r="O2363" s="14" t="e">
        <v>#N/A</v>
      </c>
      <c r="P2363" s="14" t="e">
        <v>#N/A</v>
      </c>
      <c r="Q2363" s="19" t="s">
        <v>14656</v>
      </c>
      <c r="R2363" s="15" t="s">
        <v>14657</v>
      </c>
      <c r="S2363" s="15" t="s">
        <v>5934</v>
      </c>
      <c r="T2363" s="16" t="s">
        <v>3477</v>
      </c>
      <c r="U2363" s="11" t="str">
        <f>_xlfn.XLOOKUP(Customer[[#This Row],[Customer ID]],[1]!Address[ID],[1]!Address[Phone No.(2)])</f>
        <v/>
      </c>
      <c r="V2363" s="11" t="str">
        <f>_xlfn.XLOOKUP(Customer[[#This Row],[Customer ID]],[1]!Address[ID],[1]!Address[Type])</f>
        <v>SOCMED</v>
      </c>
      <c r="W2363" s="11" t="str">
        <f>_xlfn.XLOOKUP(Customer[[#This Row],[Customer ID]],[1]!Address[ID],[1]!Address[CT])</f>
        <v>CASH</v>
      </c>
      <c r="X2363" s="11"/>
      <c r="Y2363" s="17" t="s">
        <v>90</v>
      </c>
      <c r="Z2363" s="17" t="e">
        <f>_xlfn.XLOOKUP(Customer[[#This Row],[NewType]],$AF$36:$AF$54,$AG$36:$AG$54)</f>
        <v>#N/A</v>
      </c>
      <c r="AA2363" s="17" t="s">
        <v>14658</v>
      </c>
      <c r="AB2363" s="11" t="str">
        <f>_xlfn.XLOOKUP(Customer[[#This Row],[Customer ID]],[1]!Address[ID],[1]!Address[Subtype])</f>
        <v>WHATSAPP</v>
      </c>
      <c r="AC2363" s="18" t="str">
        <f>_xlfn.XLOOKUP(Customer[[#This Row],[Customer ID]],[1]!Address[ID],[1]!Address[Zone])</f>
        <v>SOUTH</v>
      </c>
    </row>
    <row r="2364" spans="1:29" x14ac:dyDescent="0.3">
      <c r="A2364" s="45" t="s">
        <v>14659</v>
      </c>
      <c r="B2364" s="32" t="str">
        <f>_xlfn.XLOOKUP(Customer[[#This Row],[Customer ID]],[1]!Name[ID],[1]!Name[Description(1)])</f>
        <v>MOHAMAD AIDIL AKMAL</v>
      </c>
      <c r="C2364" s="32" t="str">
        <f>_xlfn.XLOOKUP(Customer[[#This Row],[Customer ID]],[1]!Name[ID],[1]!Name[Description(2)])</f>
        <v/>
      </c>
      <c r="D2364" s="11" t="str">
        <f>_xlfn.XLOOKUP(Customer[[#This Row],[Customer ID]],[1]!Address[ID],[1]!Address[PIC])</f>
        <v/>
      </c>
      <c r="E2364" s="11" t="str">
        <f>_xlfn.XLOOKUP(Customer[[#This Row],[Customer ID]],[1]!Address[ID],[1]!Address[Full Address])</f>
        <v>NO 81, JALAN CERDIK 5,TAMAN UNIVERSITI,KAJANG SELANGOR</v>
      </c>
      <c r="F2364" s="12" t="s">
        <v>14660</v>
      </c>
      <c r="G2364" s="12" t="s">
        <v>14661</v>
      </c>
      <c r="H2364" s="12" t="s">
        <v>6089</v>
      </c>
      <c r="I2364" s="12" t="b">
        <f>ISNUMBER(VALUE(LEFT(Customer[[#This Row],[Address Line 3 (30 char)]],1)))</f>
        <v>0</v>
      </c>
      <c r="J2364" s="32" t="s">
        <v>172</v>
      </c>
      <c r="K2364" s="32">
        <v>43000</v>
      </c>
      <c r="L2364" s="12" t="s">
        <v>35</v>
      </c>
      <c r="M2364" s="13" t="e">
        <v>#N/A</v>
      </c>
      <c r="N2364" s="14" t="e">
        <v>#N/A</v>
      </c>
      <c r="O2364" s="14" t="e">
        <v>#N/A</v>
      </c>
      <c r="P2364" s="14" t="e">
        <v>#N/A</v>
      </c>
      <c r="Q2364" s="19" t="s">
        <v>14662</v>
      </c>
      <c r="R2364" s="15" t="s">
        <v>14663</v>
      </c>
      <c r="S2364" s="16" t="s">
        <v>89</v>
      </c>
      <c r="T2364" s="16" t="s">
        <v>89</v>
      </c>
      <c r="U2364" s="11" t="str">
        <f>_xlfn.XLOOKUP(Customer[[#This Row],[Customer ID]],[1]!Address[ID],[1]!Address[Phone No.(2)])</f>
        <v/>
      </c>
      <c r="V2364" s="11" t="str">
        <f>_xlfn.XLOOKUP(Customer[[#This Row],[Customer ID]],[1]!Address[ID],[1]!Address[Type])</f>
        <v>WALK IN</v>
      </c>
      <c r="W2364" s="11" t="str">
        <f>_xlfn.XLOOKUP(Customer[[#This Row],[Customer ID]],[1]!Address[ID],[1]!Address[CT])</f>
        <v/>
      </c>
      <c r="X2364" s="11"/>
      <c r="Y2364" s="17" t="s">
        <v>6284</v>
      </c>
      <c r="Z2364" s="17" t="e">
        <f>_xlfn.XLOOKUP(Customer[[#This Row],[NewType]],$AF$36:$AF$54,$AG$36:$AG$54)</f>
        <v>#N/A</v>
      </c>
      <c r="AA2364" s="17" t="s">
        <v>14664</v>
      </c>
      <c r="AB2364" s="11" t="str">
        <f>_xlfn.XLOOKUP(Customer[[#This Row],[Customer ID]],[1]!Address[ID],[1]!Address[Subtype])</f>
        <v>PEDAS</v>
      </c>
      <c r="AC2364" s="18" t="str">
        <f>_xlfn.XLOOKUP(Customer[[#This Row],[Customer ID]],[1]!Address[ID],[1]!Address[Zone])</f>
        <v>CENTRAL</v>
      </c>
    </row>
    <row r="2365" spans="1:29" x14ac:dyDescent="0.3">
      <c r="A2365" s="10" t="s">
        <v>14665</v>
      </c>
      <c r="B2365" s="11" t="str">
        <f>_xlfn.XLOOKUP(Customer[[#This Row],[Customer ID]],[1]!Name[ID],[1]!Name[Description(1)])</f>
        <v>ANGKASA</v>
      </c>
      <c r="C2365" s="11" t="str">
        <f>_xlfn.XLOOKUP(Customer[[#This Row],[Customer ID]],[1]!Name[ID],[1]!Name[Description(2)])</f>
        <v>ANGKASAMART</v>
      </c>
      <c r="D2365" s="11" t="str">
        <f>_xlfn.XLOOKUP(Customer[[#This Row],[Customer ID]],[1]!Address[ID],[1]!Address[PIC])</f>
        <v/>
      </c>
      <c r="E2365" s="11" t="str">
        <f>_xlfn.XLOOKUP(Customer[[#This Row],[Customer ID]],[1]!Address[ID],[1]!Address[Full Address])</f>
        <v>ANGKASAMART KELANA JAYA,C-111, GLOMAC BUSINESS CENTRE,JALAN SS 6/1, KELANA JAYA,47301 PETALING JAYA,SELANGOR</v>
      </c>
      <c r="F2365" s="12" t="s">
        <v>14666</v>
      </c>
      <c r="G2365" s="12" t="s">
        <v>14667</v>
      </c>
      <c r="H2365" s="12" t="s">
        <v>14668</v>
      </c>
      <c r="I2365" s="12" t="b">
        <f>ISNUMBER(VALUE(LEFT(Customer[[#This Row],[Address Line 3 (30 char)]],1)))</f>
        <v>0</v>
      </c>
      <c r="J2365" s="12" t="s">
        <v>1907</v>
      </c>
      <c r="K2365" s="12">
        <v>47310</v>
      </c>
      <c r="L2365" s="12" t="s">
        <v>35</v>
      </c>
      <c r="M2365" s="13" t="e">
        <v>#N/A</v>
      </c>
      <c r="N2365" s="14" t="e">
        <v>#N/A</v>
      </c>
      <c r="O2365" s="14" t="e">
        <v>#N/A</v>
      </c>
      <c r="P2365" s="14" t="e">
        <v>#N/A</v>
      </c>
      <c r="Q2365" s="19" t="s">
        <v>10198</v>
      </c>
      <c r="R2365" s="15" t="s">
        <v>10199</v>
      </c>
      <c r="S2365" s="15" t="s">
        <v>5934</v>
      </c>
      <c r="T2365" s="16" t="s">
        <v>3477</v>
      </c>
      <c r="U2365" s="11" t="str">
        <f>_xlfn.XLOOKUP(Customer[[#This Row],[Customer ID]],[1]!Address[ID],[1]!Address[Phone No.(2)])</f>
        <v/>
      </c>
      <c r="V2365" s="11" t="str">
        <f>_xlfn.XLOOKUP(Customer[[#This Row],[Customer ID]],[1]!Address[ID],[1]!Address[Type])</f>
        <v>CM</v>
      </c>
      <c r="W2365" s="11" t="str">
        <f>_xlfn.XLOOKUP(Customer[[#This Row],[Customer ID]],[1]!Address[ID],[1]!Address[CT])</f>
        <v>7 DAYS</v>
      </c>
      <c r="X2365" s="11"/>
      <c r="Y2365" s="17" t="s">
        <v>5918</v>
      </c>
      <c r="Z2365" s="17" t="e">
        <f>_xlfn.XLOOKUP(Customer[[#This Row],[NewType]],$AF$36:$AF$54,$AG$36:$AG$54)</f>
        <v>#N/A</v>
      </c>
      <c r="AA2365" s="17" t="s">
        <v>14669</v>
      </c>
      <c r="AB2365" s="11" t="str">
        <f>_xlfn.XLOOKUP(Customer[[#This Row],[Customer ID]],[1]!Address[ID],[1]!Address[Subtype])</f>
        <v>ANGKASA</v>
      </c>
      <c r="AC2365" s="18" t="str">
        <f>_xlfn.XLOOKUP(Customer[[#This Row],[Customer ID]],[1]!Address[ID],[1]!Address[Zone])</f>
        <v>CENTRAL</v>
      </c>
    </row>
    <row r="2366" spans="1:29" x14ac:dyDescent="0.3">
      <c r="A2366" s="10" t="s">
        <v>14670</v>
      </c>
      <c r="B2366" s="11" t="str">
        <f>_xlfn.XLOOKUP(Customer[[#This Row],[Customer ID]],[1]!Name[ID],[1]!Name[Description(1)])</f>
        <v>3 BUMI SDN BHD</v>
      </c>
      <c r="C2366" s="11" t="str">
        <f>_xlfn.XLOOKUP(Customer[[#This Row],[Customer ID]],[1]!Name[ID],[1]!Name[Description(2)])</f>
        <v/>
      </c>
      <c r="D2366" s="11" t="str">
        <f>_xlfn.XLOOKUP(Customer[[#This Row],[Customer ID]],[1]!Address[ID],[1]!Address[PIC])</f>
        <v/>
      </c>
      <c r="E2366" s="11" t="str">
        <f>_xlfn.XLOOKUP(Customer[[#This Row],[Customer ID]],[1]!Address[ID],[1]!Address[Full Address])</f>
        <v>15TH FLOOR, 566 JALAN IPOH51200 KUALA LUMPUR, MALAYSIA</v>
      </c>
      <c r="F2366" s="12" t="s">
        <v>14671</v>
      </c>
      <c r="G2366" s="12" t="s">
        <v>35</v>
      </c>
      <c r="H2366" s="12" t="s">
        <v>36</v>
      </c>
      <c r="I2366" s="12" t="b">
        <f>ISNUMBER(VALUE(LEFT(Customer[[#This Row],[Address Line 3 (30 char)]],1)))</f>
        <v>0</v>
      </c>
      <c r="J2366" s="12" t="s">
        <v>8855</v>
      </c>
      <c r="K2366" s="12">
        <v>51200</v>
      </c>
      <c r="L2366" s="12" t="s">
        <v>35</v>
      </c>
      <c r="M2366" s="13" t="e">
        <v>#N/A</v>
      </c>
      <c r="N2366" s="14" t="e">
        <v>#N/A</v>
      </c>
      <c r="O2366" s="14" t="e">
        <v>#N/A</v>
      </c>
      <c r="P2366" s="14" t="e">
        <v>#N/A</v>
      </c>
      <c r="Q2366" s="19" t="s">
        <v>14672</v>
      </c>
      <c r="R2366" s="15" t="s">
        <v>13197</v>
      </c>
      <c r="S2366" s="15" t="s">
        <v>5934</v>
      </c>
      <c r="T2366" s="16" t="s">
        <v>3477</v>
      </c>
      <c r="U2366" s="11" t="str">
        <f>_xlfn.XLOOKUP(Customer[[#This Row],[Customer ID]],[1]!Address[ID],[1]!Address[Phone No.(2)])</f>
        <v/>
      </c>
      <c r="V2366" s="11" t="str">
        <f>_xlfn.XLOOKUP(Customer[[#This Row],[Customer ID]],[1]!Address[ID],[1]!Address[Type])</f>
        <v>CM</v>
      </c>
      <c r="W2366" s="11" t="str">
        <f>_xlfn.XLOOKUP(Customer[[#This Row],[Customer ID]],[1]!Address[ID],[1]!Address[CT])</f>
        <v>CASH</v>
      </c>
      <c r="X2366" s="11"/>
      <c r="Y2366" s="17" t="s">
        <v>5918</v>
      </c>
      <c r="Z2366" s="17" t="e">
        <f>_xlfn.XLOOKUP(Customer[[#This Row],[NewType]],$AF$36:$AF$54,$AG$36:$AG$54)</f>
        <v>#N/A</v>
      </c>
      <c r="AA2366" s="17" t="s">
        <v>14673</v>
      </c>
      <c r="AB2366" s="11" t="str">
        <f>_xlfn.XLOOKUP(Customer[[#This Row],[Customer ID]],[1]!Address[ID],[1]!Address[Subtype])</f>
        <v>3 BUMI</v>
      </c>
      <c r="AC2366" s="18" t="str">
        <f>_xlfn.XLOOKUP(Customer[[#This Row],[Customer ID]],[1]!Address[ID],[1]!Address[Zone])</f>
        <v>CENTRAL</v>
      </c>
    </row>
    <row r="2367" spans="1:29" x14ac:dyDescent="0.3">
      <c r="A2367" s="10" t="s">
        <v>14674</v>
      </c>
      <c r="B2367" s="11" t="str">
        <f>_xlfn.XLOOKUP(Customer[[#This Row],[Customer ID]],[1]!Name[ID],[1]!Name[Description(1)])</f>
        <v>RRS MOTORSPORTS</v>
      </c>
      <c r="C2367" s="11" t="str">
        <f>_xlfn.XLOOKUP(Customer[[#This Row],[Customer ID]],[1]!Name[ID],[1]!Name[Description(2)])</f>
        <v/>
      </c>
      <c r="D2367" s="11" t="str">
        <f>_xlfn.XLOOKUP(Customer[[#This Row],[Customer ID]],[1]!Address[ID],[1]!Address[PIC])</f>
        <v/>
      </c>
      <c r="E2367" s="11" t="str">
        <f>_xlfn.XLOOKUP(Customer[[#This Row],[Customer ID]],[1]!Address[ID],[1]!Address[Full Address])</f>
        <v>549, JLN BUKIT 23,KG TERSUSUN BUKIT JANA,34600 KAMUNTING, PERAK</v>
      </c>
      <c r="F2367" s="12" t="s">
        <v>14675</v>
      </c>
      <c r="G2367" s="12" t="s">
        <v>14676</v>
      </c>
      <c r="H2367" s="24" t="s">
        <v>1363</v>
      </c>
      <c r="I2367" s="24" t="b">
        <f>ISNUMBER(VALUE(LEFT(Customer[[#This Row],[Address Line 3 (30 char)]],1)))</f>
        <v>0</v>
      </c>
      <c r="J2367" s="12" t="s">
        <v>387</v>
      </c>
      <c r="K2367" s="12">
        <v>34600</v>
      </c>
      <c r="L2367" s="12" t="s">
        <v>35</v>
      </c>
      <c r="M2367" s="13" t="e">
        <v>#N/A</v>
      </c>
      <c r="N2367" s="14" t="e">
        <v>#N/A</v>
      </c>
      <c r="O2367" s="14" t="e">
        <v>#N/A</v>
      </c>
      <c r="P2367" s="14" t="e">
        <v>#N/A</v>
      </c>
      <c r="Q2367" s="19" t="s">
        <v>14677</v>
      </c>
      <c r="R2367" s="15" t="s">
        <v>14678</v>
      </c>
      <c r="S2367" s="15" t="s">
        <v>5934</v>
      </c>
      <c r="T2367" s="16" t="s">
        <v>3477</v>
      </c>
      <c r="U2367" s="11" t="str">
        <f>_xlfn.XLOOKUP(Customer[[#This Row],[Customer ID]],[1]!Address[ID],[1]!Address[Phone No.(2)])</f>
        <v/>
      </c>
      <c r="V2367" s="11" t="str">
        <f>_xlfn.XLOOKUP(Customer[[#This Row],[Customer ID]],[1]!Address[ID],[1]!Address[Type])</f>
        <v>CM</v>
      </c>
      <c r="W2367" s="11" t="str">
        <f>_xlfn.XLOOKUP(Customer[[#This Row],[Customer ID]],[1]!Address[ID],[1]!Address[CT])</f>
        <v>CASH</v>
      </c>
      <c r="X2367" s="11"/>
      <c r="Y2367" s="17" t="s">
        <v>5918</v>
      </c>
      <c r="Z2367" s="17" t="e">
        <f>_xlfn.XLOOKUP(Customer[[#This Row],[NewType]],$AF$36:$AF$54,$AG$36:$AG$54)</f>
        <v>#N/A</v>
      </c>
      <c r="AA2367" s="17" t="s">
        <v>14679</v>
      </c>
      <c r="AB2367" s="11" t="str">
        <f>_xlfn.XLOOKUP(Customer[[#This Row],[Customer ID]],[1]!Address[ID],[1]!Address[Subtype])</f>
        <v>RRS</v>
      </c>
      <c r="AC2367" s="18" t="str">
        <f>_xlfn.XLOOKUP(Customer[[#This Row],[Customer ID]],[1]!Address[ID],[1]!Address[Zone])</f>
        <v>NORTH</v>
      </c>
    </row>
    <row r="2368" spans="1:29" x14ac:dyDescent="0.3">
      <c r="A2368" s="10" t="s">
        <v>14680</v>
      </c>
      <c r="B2368" s="11" t="str">
        <f>_xlfn.XLOOKUP(Customer[[#This Row],[Customer ID]],[1]!Name[ID],[1]!Name[Description(1)])</f>
        <v>AL-AMIN BAROKAH (M) SDN BHD</v>
      </c>
      <c r="C2368" s="11" t="str">
        <f>_xlfn.XLOOKUP(Customer[[#This Row],[Customer ID]],[1]!Name[ID],[1]!Name[Description(2)])</f>
        <v/>
      </c>
      <c r="D2368" s="11" t="str">
        <f>_xlfn.XLOOKUP(Customer[[#This Row],[Customer ID]],[1]!Address[ID],[1]!Address[PIC])</f>
        <v/>
      </c>
      <c r="E2368" s="11" t="str">
        <f>_xlfn.XLOOKUP(Customer[[#This Row],[Customer ID]],[1]!Address[ID],[1]!Address[Full Address])</f>
        <v>NO 61, KG LOSONG DATO' AMAR,JALAN LOSONG FERI,21000 KUALA TERENGGANU</v>
      </c>
      <c r="F2368" s="12" t="s">
        <v>14681</v>
      </c>
      <c r="G2368" s="12" t="s">
        <v>14682</v>
      </c>
      <c r="H2368" s="24" t="s">
        <v>5736</v>
      </c>
      <c r="I2368" s="24" t="b">
        <f>ISNUMBER(VALUE(LEFT(Customer[[#This Row],[Address Line 3 (30 char)]],1)))</f>
        <v>0</v>
      </c>
      <c r="J2368" s="12" t="s">
        <v>154</v>
      </c>
      <c r="K2368" s="12">
        <v>21000</v>
      </c>
      <c r="L2368" s="12" t="s">
        <v>35</v>
      </c>
      <c r="M2368" s="13" t="e">
        <v>#N/A</v>
      </c>
      <c r="N2368" s="14" t="e">
        <v>#N/A</v>
      </c>
      <c r="O2368" s="14" t="e">
        <v>#N/A</v>
      </c>
      <c r="P2368" s="14" t="e">
        <v>#N/A</v>
      </c>
      <c r="Q2368" s="19" t="s">
        <v>14683</v>
      </c>
      <c r="R2368" s="15" t="s">
        <v>14684</v>
      </c>
      <c r="S2368" s="15" t="s">
        <v>5934</v>
      </c>
      <c r="T2368" s="16" t="s">
        <v>3477</v>
      </c>
      <c r="U2368" s="11" t="str">
        <f>_xlfn.XLOOKUP(Customer[[#This Row],[Customer ID]],[1]!Address[ID],[1]!Address[Phone No.(2)])</f>
        <v/>
      </c>
      <c r="V2368" s="11" t="str">
        <f>_xlfn.XLOOKUP(Customer[[#This Row],[Customer ID]],[1]!Address[ID],[1]!Address[Type])</f>
        <v>CM</v>
      </c>
      <c r="W2368" s="11" t="str">
        <f>_xlfn.XLOOKUP(Customer[[#This Row],[Customer ID]],[1]!Address[ID],[1]!Address[CT])</f>
        <v>CASH</v>
      </c>
      <c r="X2368" s="11"/>
      <c r="Y2368" s="17" t="s">
        <v>5918</v>
      </c>
      <c r="Z2368" s="17" t="e">
        <f>_xlfn.XLOOKUP(Customer[[#This Row],[NewType]],$AF$36:$AF$54,$AG$36:$AG$54)</f>
        <v>#N/A</v>
      </c>
      <c r="AA2368" s="17" t="s">
        <v>14685</v>
      </c>
      <c r="AB2368" s="11" t="str">
        <f>_xlfn.XLOOKUP(Customer[[#This Row],[Customer ID]],[1]!Address[ID],[1]!Address[Subtype])</f>
        <v>AL AMIN</v>
      </c>
      <c r="AC2368" s="18" t="str">
        <f>_xlfn.XLOOKUP(Customer[[#This Row],[Customer ID]],[1]!Address[ID],[1]!Address[Zone])</f>
        <v>EAST COAST</v>
      </c>
    </row>
    <row r="2369" spans="1:29" x14ac:dyDescent="0.3">
      <c r="A2369" s="10" t="s">
        <v>14686</v>
      </c>
      <c r="B2369" s="11" t="str">
        <f>_xlfn.XLOOKUP(Customer[[#This Row],[Customer ID]],[1]!Name[ID],[1]!Name[Description(1)])</f>
        <v>YAYASAN PAHANG</v>
      </c>
      <c r="C2369" s="11" t="str">
        <f>_xlfn.XLOOKUP(Customer[[#This Row],[Customer ID]],[1]!Name[ID],[1]!Name[Description(2)])</f>
        <v/>
      </c>
      <c r="D2369" s="11" t="str">
        <f>_xlfn.XLOOKUP(Customer[[#This Row],[Customer ID]],[1]!Address[ID],[1]!Address[PIC])</f>
        <v/>
      </c>
      <c r="E2369" s="11" t="str">
        <f>_xlfn.XLOOKUP(Customer[[#This Row],[Customer ID]],[1]!Address[ID],[1]!Address[Full Address])</f>
        <v>PERDANA HALL,LEVEL 10,MIDA SENTRAL,JALAN STESEN SENTRAL 5,KUALA LUMPUR SENTRAL,50470 KUALA LUMPUR</v>
      </c>
      <c r="F2369" s="12" t="s">
        <v>14687</v>
      </c>
      <c r="G2369" s="12" t="s">
        <v>14688</v>
      </c>
      <c r="H2369" s="12" t="s">
        <v>14689</v>
      </c>
      <c r="I2369" s="12" t="b">
        <f>ISNUMBER(VALUE(LEFT(Customer[[#This Row],[Address Line 3 (30 char)]],1)))</f>
        <v>0</v>
      </c>
      <c r="J2369" s="12" t="s">
        <v>8855</v>
      </c>
      <c r="K2369" s="12">
        <v>50470</v>
      </c>
      <c r="L2369" s="12" t="s">
        <v>35</v>
      </c>
      <c r="M2369" s="13" t="e">
        <v>#N/A</v>
      </c>
      <c r="N2369" s="14" t="e">
        <v>#N/A</v>
      </c>
      <c r="O2369" s="14" t="e">
        <v>#N/A</v>
      </c>
      <c r="P2369" s="14" t="e">
        <v>#N/A</v>
      </c>
      <c r="Q2369" s="19" t="s">
        <v>14690</v>
      </c>
      <c r="R2369" s="15" t="s">
        <v>14691</v>
      </c>
      <c r="S2369" s="15" t="s">
        <v>6418</v>
      </c>
      <c r="T2369" s="16" t="s">
        <v>3477</v>
      </c>
      <c r="U2369" s="11" t="str">
        <f>_xlfn.XLOOKUP(Customer[[#This Row],[Customer ID]],[1]!Address[ID],[1]!Address[Phone No.(2)])</f>
        <v/>
      </c>
      <c r="V2369" s="11" t="str">
        <f>_xlfn.XLOOKUP(Customer[[#This Row],[Customer ID]],[1]!Address[ID],[1]!Address[Type])</f>
        <v>CORPORATE</v>
      </c>
      <c r="W2369" s="11" t="str">
        <f>_xlfn.XLOOKUP(Customer[[#This Row],[Customer ID]],[1]!Address[ID],[1]!Address[CT])</f>
        <v>30 DAYS</v>
      </c>
      <c r="X2369" s="11"/>
      <c r="Y2369" s="17" t="s">
        <v>6418</v>
      </c>
      <c r="Z2369" s="17" t="e">
        <f>_xlfn.XLOOKUP(Customer[[#This Row],[NewType]],$AF$36:$AF$54,$AG$36:$AG$54)</f>
        <v>#N/A</v>
      </c>
      <c r="AA2369" s="17" t="s">
        <v>14692</v>
      </c>
      <c r="AB2369" s="11" t="str">
        <f>_xlfn.XLOOKUP(Customer[[#This Row],[Customer ID]],[1]!Address[ID],[1]!Address[Subtype])</f>
        <v>YAYASAN PHG</v>
      </c>
      <c r="AC2369" s="18" t="str">
        <f>_xlfn.XLOOKUP(Customer[[#This Row],[Customer ID]],[1]!Address[ID],[1]!Address[Zone])</f>
        <v>CENTRAL</v>
      </c>
    </row>
    <row r="2370" spans="1:29" x14ac:dyDescent="0.3">
      <c r="A2370" s="10" t="s">
        <v>14693</v>
      </c>
      <c r="B2370" s="11" t="str">
        <f>_xlfn.XLOOKUP(Customer[[#This Row],[Customer ID]],[1]!Name[ID],[1]!Name[Description(1)])</f>
        <v>NURUL AIN BINTI AZIZAM</v>
      </c>
      <c r="C2370" s="11" t="str">
        <f>_xlfn.XLOOKUP(Customer[[#This Row],[Customer ID]],[1]!Name[ID],[1]!Name[Description(2)])</f>
        <v>(QC KILANG BOTOL)</v>
      </c>
      <c r="D2370" s="11" t="str">
        <f>_xlfn.XLOOKUP(Customer[[#This Row],[Customer ID]],[1]!Address[ID],[1]!Address[PIC])</f>
        <v/>
      </c>
      <c r="E2370" s="11" t="str">
        <f>_xlfn.XLOOKUP(Customer[[#This Row],[Customer ID]],[1]!Address[ID],[1]!Address[Full Address])</f>
        <v>NO.43, RUMAH RAKYAT PENGKALAN DURIAN,71150 LINGGI, NEGERI SEMBILAN</v>
      </c>
      <c r="F2370" s="12" t="s">
        <v>14694</v>
      </c>
      <c r="G2370" s="12" t="s">
        <v>14695</v>
      </c>
      <c r="H2370" s="12" t="s">
        <v>12292</v>
      </c>
      <c r="I2370" s="12" t="b">
        <f>ISNUMBER(VALUE(LEFT(Customer[[#This Row],[Address Line 3 (30 char)]],1)))</f>
        <v>0</v>
      </c>
      <c r="J2370" s="12" t="s">
        <v>203</v>
      </c>
      <c r="K2370" s="12">
        <v>71150</v>
      </c>
      <c r="L2370" s="12" t="s">
        <v>35</v>
      </c>
      <c r="M2370" s="13" t="e">
        <v>#N/A</v>
      </c>
      <c r="N2370" s="14" t="e">
        <v>#N/A</v>
      </c>
      <c r="O2370" s="14" t="e">
        <v>#N/A</v>
      </c>
      <c r="P2370" s="14" t="e">
        <v>#N/A</v>
      </c>
      <c r="Q2370" s="19" t="s">
        <v>14696</v>
      </c>
      <c r="R2370" s="15" t="s">
        <v>14697</v>
      </c>
      <c r="S2370" s="16" t="s">
        <v>89</v>
      </c>
      <c r="T2370" s="16" t="s">
        <v>89</v>
      </c>
      <c r="U2370" s="11" t="str">
        <f>_xlfn.XLOOKUP(Customer[[#This Row],[Customer ID]],[1]!Address[ID],[1]!Address[Phone No.(2)])</f>
        <v/>
      </c>
      <c r="V2370" s="11" t="str">
        <f>_xlfn.XLOOKUP(Customer[[#This Row],[Customer ID]],[1]!Address[ID],[1]!Address[Type])</f>
        <v>WALK IN</v>
      </c>
      <c r="W2370" s="11" t="str">
        <f>_xlfn.XLOOKUP(Customer[[#This Row],[Customer ID]],[1]!Address[ID],[1]!Address[CT])</f>
        <v/>
      </c>
      <c r="X2370" s="11"/>
      <c r="Y2370" s="17" t="s">
        <v>6284</v>
      </c>
      <c r="Z2370" s="17" t="e">
        <f>_xlfn.XLOOKUP(Customer[[#This Row],[NewType]],$AF$36:$AF$54,$AG$36:$AG$54)</f>
        <v>#N/A</v>
      </c>
      <c r="AA2370" s="17" t="s">
        <v>14698</v>
      </c>
      <c r="AB2370" s="11" t="str">
        <f>_xlfn.XLOOKUP(Customer[[#This Row],[Customer ID]],[1]!Address[ID],[1]!Address[Subtype])</f>
        <v>STAFF</v>
      </c>
      <c r="AC2370" s="18" t="str">
        <f>_xlfn.XLOOKUP(Customer[[#This Row],[Customer ID]],[1]!Address[ID],[1]!Address[Zone])</f>
        <v>SOUTH</v>
      </c>
    </row>
    <row r="2371" spans="1:29" x14ac:dyDescent="0.3">
      <c r="A2371" s="10" t="s">
        <v>14699</v>
      </c>
      <c r="B2371" s="11" t="str">
        <f>_xlfn.XLOOKUP(Customer[[#This Row],[Customer ID]],[1]!Name[ID],[1]!Name[Description(1)])</f>
        <v>HAIDAZARINA BINTI MOHD SALIM</v>
      </c>
      <c r="C2371" s="11" t="str">
        <f>_xlfn.XLOOKUP(Customer[[#This Row],[Customer ID]],[1]!Name[ID],[1]!Name[Description(2)])</f>
        <v>(QC KILANG BOTOL)</v>
      </c>
      <c r="D2371" s="11" t="str">
        <f>_xlfn.XLOOKUP(Customer[[#This Row],[Customer ID]],[1]!Address[ID],[1]!Address[PIC])</f>
        <v>HAIDA</v>
      </c>
      <c r="E2371" s="11" t="str">
        <f>_xlfn.XLOOKUP(Customer[[#This Row],[Customer ID]],[1]!Address[ID],[1]!Address[Full Address])</f>
        <v>NO.466 JALAN SERI PAGI 12,TAMAN SERI PAGI , SENAWANG</v>
      </c>
      <c r="F2371" s="12" t="s">
        <v>14700</v>
      </c>
      <c r="G2371" s="12" t="s">
        <v>14701</v>
      </c>
      <c r="H2371" s="12" t="s">
        <v>36</v>
      </c>
      <c r="I2371" s="12" t="b">
        <f>ISNUMBER(VALUE(LEFT(Customer[[#This Row],[Address Line 3 (30 char)]],1)))</f>
        <v>0</v>
      </c>
      <c r="J2371" s="32" t="s">
        <v>203</v>
      </c>
      <c r="K2371" s="32">
        <v>70450</v>
      </c>
      <c r="L2371" s="12" t="s">
        <v>35</v>
      </c>
      <c r="M2371" s="13" t="e">
        <v>#N/A</v>
      </c>
      <c r="N2371" s="14" t="e">
        <v>#N/A</v>
      </c>
      <c r="O2371" s="14" t="e">
        <v>#N/A</v>
      </c>
      <c r="P2371" s="14" t="e">
        <v>#N/A</v>
      </c>
      <c r="Q2371" s="14" t="e">
        <v>#N/A</v>
      </c>
      <c r="R2371" s="121" t="s">
        <v>14702</v>
      </c>
      <c r="S2371" s="122" t="s">
        <v>89</v>
      </c>
      <c r="T2371" s="122" t="s">
        <v>89</v>
      </c>
      <c r="U2371" s="11" t="str">
        <f>_xlfn.XLOOKUP(Customer[[#This Row],[Customer ID]],[1]!Address[ID],[1]!Address[Phone No.(2)])</f>
        <v/>
      </c>
      <c r="V2371" s="11" t="str">
        <f>_xlfn.XLOOKUP(Customer[[#This Row],[Customer ID]],[1]!Address[ID],[1]!Address[Type])</f>
        <v>WALK IN</v>
      </c>
      <c r="W2371" s="11" t="str">
        <f>_xlfn.XLOOKUP(Customer[[#This Row],[Customer ID]],[1]!Address[ID],[1]!Address[CT])</f>
        <v/>
      </c>
      <c r="X2371" s="11"/>
      <c r="Y2371" s="123" t="s">
        <v>6284</v>
      </c>
      <c r="Z2371" s="123" t="e">
        <f>_xlfn.XLOOKUP(Customer[[#This Row],[NewType]],$AF$36:$AF$54,$AG$36:$AG$54)</f>
        <v>#N/A</v>
      </c>
      <c r="AA2371" s="123" t="s">
        <v>14703</v>
      </c>
      <c r="AB2371" s="11" t="str">
        <f>_xlfn.XLOOKUP(Customer[[#This Row],[Customer ID]],[1]!Address[ID],[1]!Address[Subtype])</f>
        <v>STAFF</v>
      </c>
      <c r="AC2371" s="18" t="str">
        <f>_xlfn.XLOOKUP(Customer[[#This Row],[Customer ID]],[1]!Address[ID],[1]!Address[Zone])</f>
        <v>SOUTH</v>
      </c>
    </row>
    <row r="2372" spans="1:29" x14ac:dyDescent="0.3">
      <c r="A2372" s="10" t="s">
        <v>14704</v>
      </c>
      <c r="B2372" s="11" t="str">
        <f>_xlfn.XLOOKUP(Customer[[#This Row],[Customer ID]],[1]!Name[ID],[1]!Name[Description(1)])</f>
        <v>NUR AQILAH ZARIFAH BINTI JULIYASMAN</v>
      </c>
      <c r="C2372" s="11" t="str">
        <f>_xlfn.XLOOKUP(Customer[[#This Row],[Customer ID]],[1]!Name[ID],[1]!Name[Description(2)])</f>
        <v>KILANG AIR</v>
      </c>
      <c r="D2372" s="11" t="str">
        <f>_xlfn.XLOOKUP(Customer[[#This Row],[Customer ID]],[1]!Address[ID],[1]!Address[PIC])</f>
        <v>AQILAH</v>
      </c>
      <c r="E2372" s="11" t="str">
        <f>_xlfn.XLOOKUP(Customer[[#This Row],[Customer ID]],[1]!Address[ID],[1]!Address[Full Address])</f>
        <v>NO. 3491 KG BARISAN, JALAN SUAGRESING, 71200 RANTAU, NEGERISEMBILAN</v>
      </c>
      <c r="F2372" s="12" t="s">
        <v>14705</v>
      </c>
      <c r="G2372" s="12" t="s">
        <v>14706</v>
      </c>
      <c r="H2372" s="12"/>
      <c r="I2372" s="12" t="b">
        <f>ISNUMBER(VALUE(LEFT(Customer[[#This Row],[Address Line 3 (30 char)]],1)))</f>
        <v>0</v>
      </c>
      <c r="J2372" s="12" t="s">
        <v>2004</v>
      </c>
      <c r="K2372" s="12">
        <v>71200</v>
      </c>
      <c r="L2372" s="12" t="s">
        <v>35</v>
      </c>
      <c r="M2372" s="13" t="e">
        <v>#N/A</v>
      </c>
      <c r="N2372" s="14" t="e">
        <v>#N/A</v>
      </c>
      <c r="O2372" s="14" t="e">
        <v>#N/A</v>
      </c>
      <c r="P2372" s="14" t="e">
        <v>#N/A</v>
      </c>
      <c r="Q2372" s="19" t="s">
        <v>13815</v>
      </c>
      <c r="R2372" s="15" t="s">
        <v>13816</v>
      </c>
      <c r="S2372" s="16" t="s">
        <v>89</v>
      </c>
      <c r="T2372" s="16" t="s">
        <v>89</v>
      </c>
      <c r="U2372" s="11" t="str">
        <f>_xlfn.XLOOKUP(Customer[[#This Row],[Customer ID]],[1]!Address[ID],[1]!Address[Phone No.(2)])</f>
        <v/>
      </c>
      <c r="V2372" s="11" t="str">
        <f>_xlfn.XLOOKUP(Customer[[#This Row],[Customer ID]],[1]!Address[ID],[1]!Address[Type])</f>
        <v>WALK IN</v>
      </c>
      <c r="W2372" s="11" t="str">
        <f>_xlfn.XLOOKUP(Customer[[#This Row],[Customer ID]],[1]!Address[ID],[1]!Address[CT])</f>
        <v/>
      </c>
      <c r="X2372" s="11"/>
      <c r="Y2372" s="17" t="s">
        <v>6284</v>
      </c>
      <c r="Z2372" s="17" t="e">
        <f>_xlfn.XLOOKUP(Customer[[#This Row],[NewType]],$AF$36:$AF$54,$AG$36:$AG$54)</f>
        <v>#N/A</v>
      </c>
      <c r="AA2372" s="17" t="s">
        <v>14707</v>
      </c>
      <c r="AB2372" s="11" t="str">
        <f>_xlfn.XLOOKUP(Customer[[#This Row],[Customer ID]],[1]!Address[ID],[1]!Address[Subtype])</f>
        <v>STAFF</v>
      </c>
      <c r="AC2372" s="18" t="str">
        <f>_xlfn.XLOOKUP(Customer[[#This Row],[Customer ID]],[1]!Address[ID],[1]!Address[Zone])</f>
        <v>SOUTH</v>
      </c>
    </row>
    <row r="2373" spans="1:29" x14ac:dyDescent="0.3">
      <c r="A2373" s="10" t="s">
        <v>14708</v>
      </c>
      <c r="B2373" s="11" t="str">
        <f>_xlfn.XLOOKUP(Customer[[#This Row],[Customer ID]],[1]!Name[ID],[1]!Name[Description(1)])</f>
        <v>MESRA RETAIL &amp; CAFE SDN BHD</v>
      </c>
      <c r="C2373" s="11" t="str">
        <f>_xlfn.XLOOKUP(Customer[[#This Row],[Customer ID]],[1]!Name[ID],[1]!Name[Description(2)])</f>
        <v>CM  KOMPLEKS KERAJAAN PARCEL F</v>
      </c>
      <c r="D2373" s="11" t="str">
        <f>_xlfn.XLOOKUP(Customer[[#This Row],[Customer ID]],[1]!Address[ID],[1]!Address[PIC])</f>
        <v/>
      </c>
      <c r="E2373" s="11" t="str">
        <f>_xlfn.XLOOKUP(Customer[[#This Row],[Customer ID]],[1]!Address[ID],[1]!Address[Full Address])</f>
        <v>CM  KOMPLEKS KERAJAAN PARCEL FAras 1, Blok F8, Kompleks KerajaanParcel F, Lebuh Perdana TimurPresint 1, 62000 Putrajaya, Wilayah</v>
      </c>
      <c r="F2373" s="12" t="s">
        <v>14709</v>
      </c>
      <c r="G2373" s="12" t="s">
        <v>14710</v>
      </c>
      <c r="H2373" s="12" t="s">
        <v>14711</v>
      </c>
      <c r="I2373" s="12" t="b">
        <f>ISNUMBER(VALUE(LEFT(Customer[[#This Row],[Address Line 3 (30 char)]],1)))</f>
        <v>0</v>
      </c>
      <c r="J2373" s="12" t="s">
        <v>1907</v>
      </c>
      <c r="K2373" s="12">
        <v>62000</v>
      </c>
      <c r="L2373" s="12" t="s">
        <v>35</v>
      </c>
      <c r="M2373" s="13" t="e">
        <v>#N/A</v>
      </c>
      <c r="N2373" s="14" t="e">
        <v>#N/A</v>
      </c>
      <c r="O2373" s="14" t="e">
        <v>#N/A</v>
      </c>
      <c r="P2373" s="14" t="e">
        <v>#N/A</v>
      </c>
      <c r="Q2373" s="19" t="s">
        <v>14712</v>
      </c>
      <c r="R2373" s="15" t="s">
        <v>11928</v>
      </c>
      <c r="S2373" s="15" t="s">
        <v>37</v>
      </c>
      <c r="T2373" s="16" t="s">
        <v>38</v>
      </c>
      <c r="U2373" s="11" t="str">
        <f>_xlfn.XLOOKUP(Customer[[#This Row],[Customer ID]],[1]!Address[ID],[1]!Address[Phone No.(2)])</f>
        <v/>
      </c>
      <c r="V2373" s="11" t="str">
        <f>_xlfn.XLOOKUP(Customer[[#This Row],[Customer ID]],[1]!Address[ID],[1]!Address[Type])</f>
        <v>PETROMART</v>
      </c>
      <c r="W2373" s="11" t="str">
        <f>_xlfn.XLOOKUP(Customer[[#This Row],[Customer ID]],[1]!Address[ID],[1]!Address[CT])</f>
        <v>30</v>
      </c>
      <c r="X2373" s="11" t="s">
        <v>39</v>
      </c>
      <c r="Y2373" s="17" t="s">
        <v>40</v>
      </c>
      <c r="Z2373" s="17" t="e">
        <f>_xlfn.XLOOKUP(Customer[[#This Row],[NewType]],$AF$36:$AF$54,$AG$36:$AG$54)</f>
        <v>#N/A</v>
      </c>
      <c r="AA2373" s="17" t="s">
        <v>14713</v>
      </c>
      <c r="AB2373" s="11" t="str">
        <f>_xlfn.XLOOKUP(Customer[[#This Row],[Customer ID]],[1]!Address[ID],[1]!Address[Subtype])</f>
        <v>PETRONAS</v>
      </c>
      <c r="AC2373" s="18" t="str">
        <f>_xlfn.XLOOKUP(Customer[[#This Row],[Customer ID]],[1]!Address[ID],[1]!Address[Zone])</f>
        <v>CENTRAL</v>
      </c>
    </row>
    <row r="2374" spans="1:29" x14ac:dyDescent="0.3">
      <c r="A2374" s="27" t="s">
        <v>14714</v>
      </c>
      <c r="B2374" s="28" t="str">
        <f>_xlfn.XLOOKUP(Customer[[#This Row],[Customer ID]],[1]!Name[ID],[1]!Name[Description(1)])</f>
        <v>ESYNERGY</v>
      </c>
      <c r="C2374" s="11" t="str">
        <f>_xlfn.XLOOKUP(Customer[[#This Row],[Customer ID]],[1]!Name[ID],[1]!Name[Description(2)])</f>
        <v>PS JALAN SULTAN IBRAHIM</v>
      </c>
      <c r="D2374" s="11" t="str">
        <f>_xlfn.XLOOKUP(Customer[[#This Row],[Customer ID]],[1]!Address[ID],[1]!Address[PIC])</f>
        <v/>
      </c>
      <c r="E2374" s="11" t="str">
        <f>_xlfn.XLOOKUP(Customer[[#This Row],[Customer ID]],[1]!Address[ID],[1]!Address[Full Address])</f>
        <v>PS JALAN SULTAN IBRAHIMNO 35 (5289-G) JALAN SULTAN IBRAHIM15050 KOTA BHARU, KELANTAN</v>
      </c>
      <c r="F2374" s="12" t="s">
        <v>14715</v>
      </c>
      <c r="G2374" s="12" t="s">
        <v>14716</v>
      </c>
      <c r="H2374" s="12" t="s">
        <v>14717</v>
      </c>
      <c r="I2374" s="12" t="b">
        <f>ISNUMBER(VALUE(LEFT(Customer[[#This Row],[Address Line 3 (30 char)]],1)))</f>
        <v>0</v>
      </c>
      <c r="J2374" s="12" t="s">
        <v>1007</v>
      </c>
      <c r="K2374" s="12">
        <v>15050</v>
      </c>
      <c r="L2374" s="12" t="s">
        <v>35</v>
      </c>
      <c r="M2374" s="31" t="e">
        <v>#N/A</v>
      </c>
      <c r="N2374" s="33" t="s">
        <v>14718</v>
      </c>
      <c r="O2374" s="14" t="s">
        <v>1048</v>
      </c>
      <c r="P2374" s="14" t="s">
        <v>1048</v>
      </c>
      <c r="Q2374" s="19" t="s">
        <v>14719</v>
      </c>
      <c r="R2374" s="15" t="s">
        <v>14720</v>
      </c>
      <c r="S2374" s="15" t="s">
        <v>37</v>
      </c>
      <c r="T2374" s="16" t="s">
        <v>38</v>
      </c>
      <c r="U2374" s="11" t="str">
        <f>_xlfn.XLOOKUP(Customer[[#This Row],[Customer ID]],[1]!Address[ID],[1]!Address[Phone No.(2)])</f>
        <v/>
      </c>
      <c r="V2374" s="11" t="str">
        <f>_xlfn.XLOOKUP(Customer[[#This Row],[Customer ID]],[1]!Address[ID],[1]!Address[Type])</f>
        <v>PETROMART</v>
      </c>
      <c r="W2374" s="11" t="str">
        <f>_xlfn.XLOOKUP(Customer[[#This Row],[Customer ID]],[1]!Address[ID],[1]!Address[CT])</f>
        <v>30</v>
      </c>
      <c r="X2374" s="11" t="s">
        <v>39</v>
      </c>
      <c r="Y2374" s="17" t="s">
        <v>40</v>
      </c>
      <c r="Z2374" s="17" t="e">
        <f>_xlfn.XLOOKUP(Customer[[#This Row],[NewType]],$AF$36:$AF$54,$AG$36:$AG$54)</f>
        <v>#N/A</v>
      </c>
      <c r="AA2374" s="17" t="s">
        <v>14721</v>
      </c>
      <c r="AB2374" s="11" t="str">
        <f>_xlfn.XLOOKUP(Customer[[#This Row],[Customer ID]],[1]!Address[ID],[1]!Address[Subtype])</f>
        <v>PETRONAS</v>
      </c>
      <c r="AC2374" s="18" t="str">
        <f>_xlfn.XLOOKUP(Customer[[#This Row],[Customer ID]],[1]!Address[ID],[1]!Address[Zone])</f>
        <v>EAST COAST</v>
      </c>
    </row>
    <row r="2375" spans="1:29" x14ac:dyDescent="0.3">
      <c r="A2375" s="10" t="s">
        <v>14722</v>
      </c>
      <c r="B2375" s="11" t="str">
        <f>_xlfn.XLOOKUP(Customer[[#This Row],[Customer ID]],[1]!Name[ID],[1]!Name[Description(1)])</f>
        <v>KOPERASI SMK SERI SEPANG BHD</v>
      </c>
      <c r="C2375" s="11" t="str">
        <f>_xlfn.XLOOKUP(Customer[[#This Row],[Customer ID]],[1]!Name[ID],[1]!Name[Description(2)])</f>
        <v/>
      </c>
      <c r="D2375" s="11" t="str">
        <f>_xlfn.XLOOKUP(Customer[[#This Row],[Customer ID]],[1]!Address[ID],[1]!Address[PIC])</f>
        <v>NOOR ALIZA</v>
      </c>
      <c r="E2375" s="11" t="str">
        <f>_xlfn.XLOOKUP(Customer[[#This Row],[Customer ID]],[1]!Address[ID],[1]!Address[Full Address])</f>
        <v>SMK SERI SEPANG, BANDAR BARUSALAK TINGGI, 43900 SEPANG,SELANGOR</v>
      </c>
      <c r="F2375" s="12" t="s">
        <v>14723</v>
      </c>
      <c r="G2375" s="12" t="s">
        <v>14724</v>
      </c>
      <c r="H2375" s="12"/>
      <c r="I2375" s="12" t="b">
        <f>ISNUMBER(VALUE(LEFT(Customer[[#This Row],[Address Line 3 (30 char)]],1)))</f>
        <v>0</v>
      </c>
      <c r="J2375" s="12" t="s">
        <v>1907</v>
      </c>
      <c r="K2375" s="12">
        <v>43900</v>
      </c>
      <c r="L2375" s="12" t="s">
        <v>35</v>
      </c>
      <c r="M2375" s="13" t="e">
        <v>#N/A</v>
      </c>
      <c r="N2375" s="14" t="e">
        <v>#N/A</v>
      </c>
      <c r="O2375" s="14" t="e">
        <v>#N/A</v>
      </c>
      <c r="P2375" s="14" t="e">
        <v>#N/A</v>
      </c>
      <c r="Q2375" s="19" t="s">
        <v>14725</v>
      </c>
      <c r="R2375" s="15" t="s">
        <v>14726</v>
      </c>
      <c r="S2375" s="15" t="s">
        <v>88</v>
      </c>
      <c r="T2375" s="16" t="s">
        <v>89</v>
      </c>
      <c r="U2375" s="11" t="str">
        <f>_xlfn.XLOOKUP(Customer[[#This Row],[Customer ID]],[1]!Address[ID],[1]!Address[Phone No.(2)])</f>
        <v/>
      </c>
      <c r="V2375" s="11" t="str">
        <f>_xlfn.XLOOKUP(Customer[[#This Row],[Customer ID]],[1]!Address[ID],[1]!Address[Type])</f>
        <v>SOCMED</v>
      </c>
      <c r="W2375" s="11" t="str">
        <f>_xlfn.XLOOKUP(Customer[[#This Row],[Customer ID]],[1]!Address[ID],[1]!Address[CT])</f>
        <v/>
      </c>
      <c r="X2375" s="11"/>
      <c r="Y2375" s="17" t="s">
        <v>90</v>
      </c>
      <c r="Z2375" s="17" t="e">
        <f>_xlfn.XLOOKUP(Customer[[#This Row],[NewType]],$AF$36:$AF$54,$AG$36:$AG$54)</f>
        <v>#N/A</v>
      </c>
      <c r="AA2375" s="17" t="s">
        <v>14727</v>
      </c>
      <c r="AB2375" s="11" t="str">
        <f>_xlfn.XLOOKUP(Customer[[#This Row],[Customer ID]],[1]!Address[ID],[1]!Address[Subtype])</f>
        <v>ONLINE ROS</v>
      </c>
      <c r="AC2375" s="18" t="str">
        <f>_xlfn.XLOOKUP(Customer[[#This Row],[Customer ID]],[1]!Address[ID],[1]!Address[Zone])</f>
        <v>CENTRAL</v>
      </c>
    </row>
    <row r="2376" spans="1:29" x14ac:dyDescent="0.3">
      <c r="A2376" s="10" t="s">
        <v>14728</v>
      </c>
      <c r="B2376" s="11" t="str">
        <f>_xlfn.XLOOKUP(Customer[[#This Row],[Customer ID]],[1]!Name[ID],[1]!Name[Description(1)])</f>
        <v>SAIDATUL NAJIHAH BINTI MOHD HASSAN</v>
      </c>
      <c r="C2376" s="11" t="str">
        <f>_xlfn.XLOOKUP(Customer[[#This Row],[Customer ID]],[1]!Name[ID],[1]!Name[Description(2)])</f>
        <v>PRODUCTION KILANG BOTOL</v>
      </c>
      <c r="D2376" s="11" t="str">
        <f>_xlfn.XLOOKUP(Customer[[#This Row],[Customer ID]],[1]!Address[ID],[1]!Address[PIC])</f>
        <v>SAIDATUL</v>
      </c>
      <c r="E2376" s="11" t="str">
        <f>_xlfn.XLOOKUP(Customer[[#This Row],[Customer ID]],[1]!Address[ID],[1]!Address[Full Address])</f>
        <v>KAMPUNG PULAU BESAR 71300 REMBAUNEGERI SEMBILAN</v>
      </c>
      <c r="F2376" s="12" t="s">
        <v>12150</v>
      </c>
      <c r="G2376" s="12" t="s">
        <v>14729</v>
      </c>
      <c r="H2376" s="12" t="s">
        <v>7985</v>
      </c>
      <c r="I2376" s="12" t="b">
        <f>ISNUMBER(VALUE(LEFT(Customer[[#This Row],[Address Line 3 (30 char)]],1)))</f>
        <v>0</v>
      </c>
      <c r="J2376" s="12" t="s">
        <v>203</v>
      </c>
      <c r="K2376" s="12">
        <v>71300</v>
      </c>
      <c r="L2376" s="12" t="s">
        <v>35</v>
      </c>
      <c r="M2376" s="13" t="e">
        <v>#N/A</v>
      </c>
      <c r="N2376" s="14" t="e">
        <v>#N/A</v>
      </c>
      <c r="O2376" s="14" t="e">
        <v>#N/A</v>
      </c>
      <c r="P2376" s="14" t="e">
        <v>#N/A</v>
      </c>
      <c r="Q2376" s="19" t="s">
        <v>14730</v>
      </c>
      <c r="R2376" s="15" t="s">
        <v>14731</v>
      </c>
      <c r="S2376" s="16" t="s">
        <v>89</v>
      </c>
      <c r="T2376" s="16" t="s">
        <v>89</v>
      </c>
      <c r="U2376" s="11" t="str">
        <f>_xlfn.XLOOKUP(Customer[[#This Row],[Customer ID]],[1]!Address[ID],[1]!Address[Phone No.(2)])</f>
        <v/>
      </c>
      <c r="V2376" s="11" t="str">
        <f>_xlfn.XLOOKUP(Customer[[#This Row],[Customer ID]],[1]!Address[ID],[1]!Address[Type])</f>
        <v>WALK IN</v>
      </c>
      <c r="W2376" s="11" t="str">
        <f>_xlfn.XLOOKUP(Customer[[#This Row],[Customer ID]],[1]!Address[ID],[1]!Address[CT])</f>
        <v/>
      </c>
      <c r="X2376" s="11"/>
      <c r="Y2376" s="17" t="s">
        <v>6284</v>
      </c>
      <c r="Z2376" s="17" t="e">
        <f>_xlfn.XLOOKUP(Customer[[#This Row],[NewType]],$AF$36:$AF$54,$AG$36:$AG$54)</f>
        <v>#N/A</v>
      </c>
      <c r="AA2376" s="17" t="s">
        <v>14732</v>
      </c>
      <c r="AB2376" s="11" t="str">
        <f>_xlfn.XLOOKUP(Customer[[#This Row],[Customer ID]],[1]!Address[ID],[1]!Address[Subtype])</f>
        <v>STAFF</v>
      </c>
      <c r="AC2376" s="18" t="str">
        <f>_xlfn.XLOOKUP(Customer[[#This Row],[Customer ID]],[1]!Address[ID],[1]!Address[Zone])</f>
        <v>SOUTH</v>
      </c>
    </row>
    <row r="2377" spans="1:29" x14ac:dyDescent="0.3">
      <c r="A2377" s="10" t="s">
        <v>14733</v>
      </c>
      <c r="B2377" s="11" t="str">
        <f>_xlfn.XLOOKUP(Customer[[#This Row],[Customer ID]],[1]!Name[ID],[1]!Name[Description(1)])</f>
        <v>SUBKHI BIN SUDARJI</v>
      </c>
      <c r="C2377" s="11" t="str">
        <f>_xlfn.XLOOKUP(Customer[[#This Row],[Customer ID]],[1]!Name[ID],[1]!Name[Description(2)])</f>
        <v/>
      </c>
      <c r="D2377" s="11" t="str">
        <f>_xlfn.XLOOKUP(Customer[[#This Row],[Customer ID]],[1]!Address[ID],[1]!Address[PIC])</f>
        <v>SUBKHI</v>
      </c>
      <c r="E2377" s="11" t="str">
        <f>_xlfn.XLOOKUP(Customer[[#This Row],[Customer ID]],[1]!Address[ID],[1]!Address[Full Address])</f>
        <v>AMATEUR FOOTBALL LEAGUE (AFL),WISMA FAM, JALAN SS 5A/9, SS5, 47301PETALING JAYA, SELANGOR</v>
      </c>
      <c r="F2377" s="12" t="s">
        <v>14734</v>
      </c>
      <c r="G2377" s="12" t="s">
        <v>14735</v>
      </c>
      <c r="H2377" s="12" t="s">
        <v>1477</v>
      </c>
      <c r="I2377" s="12" t="b">
        <f>ISNUMBER(VALUE(LEFT(Customer[[#This Row],[Address Line 3 (30 char)]],1)))</f>
        <v>0</v>
      </c>
      <c r="J2377" s="12" t="s">
        <v>172</v>
      </c>
      <c r="K2377" s="12">
        <v>47301</v>
      </c>
      <c r="L2377" s="12" t="s">
        <v>35</v>
      </c>
      <c r="M2377" s="13" t="e">
        <v>#N/A</v>
      </c>
      <c r="N2377" s="14" t="e">
        <v>#N/A</v>
      </c>
      <c r="O2377" s="14" t="e">
        <v>#N/A</v>
      </c>
      <c r="P2377" s="14" t="e">
        <v>#N/A</v>
      </c>
      <c r="Q2377" s="19" t="s">
        <v>14736</v>
      </c>
      <c r="R2377" s="15" t="s">
        <v>14737</v>
      </c>
      <c r="S2377" s="16" t="s">
        <v>89</v>
      </c>
      <c r="T2377" s="16" t="s">
        <v>89</v>
      </c>
      <c r="U2377" s="11" t="str">
        <f>_xlfn.XLOOKUP(Customer[[#This Row],[Customer ID]],[1]!Address[ID],[1]!Address[Phone No.(2)])</f>
        <v/>
      </c>
      <c r="V2377" s="11" t="str">
        <f>_xlfn.XLOOKUP(Customer[[#This Row],[Customer ID]],[1]!Address[ID],[1]!Address[Type])</f>
        <v>WALK IN</v>
      </c>
      <c r="W2377" s="11" t="str">
        <f>_xlfn.XLOOKUP(Customer[[#This Row],[Customer ID]],[1]!Address[ID],[1]!Address[CT])</f>
        <v/>
      </c>
      <c r="X2377" s="11"/>
      <c r="Y2377" s="17" t="s">
        <v>6284</v>
      </c>
      <c r="Z2377" s="17" t="e">
        <f>_xlfn.XLOOKUP(Customer[[#This Row],[NewType]],$AF$36:$AF$54,$AG$36:$AG$54)</f>
        <v>#N/A</v>
      </c>
      <c r="AA2377" s="17" t="s">
        <v>14738</v>
      </c>
      <c r="AB2377" s="11" t="str">
        <f>_xlfn.XLOOKUP(Customer[[#This Row],[Customer ID]],[1]!Address[ID],[1]!Address[Subtype])</f>
        <v>PEDAS</v>
      </c>
      <c r="AC2377" s="18" t="str">
        <f>_xlfn.XLOOKUP(Customer[[#This Row],[Customer ID]],[1]!Address[ID],[1]!Address[Zone])</f>
        <v>CENTRAL</v>
      </c>
    </row>
    <row r="2378" spans="1:29" x14ac:dyDescent="0.3">
      <c r="A2378" s="10" t="s">
        <v>14739</v>
      </c>
      <c r="B2378" s="11" t="str">
        <f>_xlfn.XLOOKUP(Customer[[#This Row],[Customer ID]],[1]!Name[ID],[1]!Name[Description(1)])</f>
        <v>NOR AIZEREEN @ AIZEE BINTI ISMAIL</v>
      </c>
      <c r="C2378" s="11" t="str">
        <f>_xlfn.XLOOKUP(Customer[[#This Row],[Customer ID]],[1]!Name[ID],[1]!Name[Description(2)])</f>
        <v/>
      </c>
      <c r="D2378" s="11" t="str">
        <f>_xlfn.XLOOKUP(Customer[[#This Row],[Customer ID]],[1]!Address[ID],[1]!Address[PIC])</f>
        <v/>
      </c>
      <c r="E2378" s="11" t="str">
        <f>_xlfn.XLOOKUP(Customer[[#This Row],[Customer ID]],[1]!Address[ID],[1]!Address[Full Address])</f>
        <v>NO.863, JALAN TTJ 2/13,TAMAN TUANKU JAAFAR,71450 SEREMBAN, N.S</v>
      </c>
      <c r="F2378" s="12" t="s">
        <v>14740</v>
      </c>
      <c r="G2378" s="12" t="s">
        <v>14741</v>
      </c>
      <c r="H2378" s="24" t="s">
        <v>2411</v>
      </c>
      <c r="I2378" s="24" t="b">
        <f>ISNUMBER(VALUE(LEFT(Customer[[#This Row],[Address Line 3 (30 char)]],1)))</f>
        <v>0</v>
      </c>
      <c r="J2378" s="12" t="s">
        <v>2004</v>
      </c>
      <c r="K2378" s="12">
        <v>71450</v>
      </c>
      <c r="L2378" s="12" t="s">
        <v>35</v>
      </c>
      <c r="M2378" s="13" t="e">
        <v>#N/A</v>
      </c>
      <c r="N2378" s="14" t="e">
        <v>#N/A</v>
      </c>
      <c r="O2378" s="14" t="e">
        <v>#N/A</v>
      </c>
      <c r="P2378" s="14" t="e">
        <v>#N/A</v>
      </c>
      <c r="Q2378" s="19" t="s">
        <v>14742</v>
      </c>
      <c r="R2378" s="15" t="s">
        <v>14743</v>
      </c>
      <c r="S2378" s="16" t="s">
        <v>89</v>
      </c>
      <c r="T2378" s="16" t="s">
        <v>89</v>
      </c>
      <c r="U2378" s="11" t="str">
        <f>_xlfn.XLOOKUP(Customer[[#This Row],[Customer ID]],[1]!Address[ID],[1]!Address[Phone No.(2)])</f>
        <v/>
      </c>
      <c r="V2378" s="11" t="str">
        <f>_xlfn.XLOOKUP(Customer[[#This Row],[Customer ID]],[1]!Address[ID],[1]!Address[Type])</f>
        <v>WALK IN</v>
      </c>
      <c r="W2378" s="11" t="str">
        <f>_xlfn.XLOOKUP(Customer[[#This Row],[Customer ID]],[1]!Address[ID],[1]!Address[CT])</f>
        <v/>
      </c>
      <c r="X2378" s="11"/>
      <c r="Y2378" s="17" t="s">
        <v>6284</v>
      </c>
      <c r="Z2378" s="17" t="e">
        <f>_xlfn.XLOOKUP(Customer[[#This Row],[NewType]],$AF$36:$AF$54,$AG$36:$AG$54)</f>
        <v>#N/A</v>
      </c>
      <c r="AA2378" s="17" t="s">
        <v>14744</v>
      </c>
      <c r="AB2378" s="11" t="str">
        <f>_xlfn.XLOOKUP(Customer[[#This Row],[Customer ID]],[1]!Address[ID],[1]!Address[Subtype])</f>
        <v>PEDAS</v>
      </c>
      <c r="AC2378" s="18" t="str">
        <f>_xlfn.XLOOKUP(Customer[[#This Row],[Customer ID]],[1]!Address[ID],[1]!Address[Zone])</f>
        <v>SOUTH</v>
      </c>
    </row>
    <row r="2379" spans="1:29" x14ac:dyDescent="0.3">
      <c r="A2379" s="10" t="s">
        <v>14745</v>
      </c>
      <c r="B2379" s="11" t="str">
        <f>_xlfn.XLOOKUP(Customer[[#This Row],[Customer ID]],[1]!Name[ID],[1]!Name[Description(1)])</f>
        <v>MOHD AMIR BIN ABDUL RAHIM</v>
      </c>
      <c r="C2379" s="11" t="str">
        <f>_xlfn.XLOOKUP(Customer[[#This Row],[Customer ID]],[1]!Name[ID],[1]!Name[Description(2)])</f>
        <v/>
      </c>
      <c r="D2379" s="11" t="str">
        <f>_xlfn.XLOOKUP(Customer[[#This Row],[Customer ID]],[1]!Address[ID],[1]!Address[PIC])</f>
        <v/>
      </c>
      <c r="E2379" s="11" t="str">
        <f>_xlfn.XLOOKUP(Customer[[#This Row],[Customer ID]],[1]!Address[ID],[1]!Address[Full Address])</f>
        <v>NO. 138 JALAN MANGGA 13,TAMAN KOTA MASAI,81700 PASIR GUDANG, JOHOR</v>
      </c>
      <c r="F2379" s="12" t="s">
        <v>14746</v>
      </c>
      <c r="G2379" s="12" t="s">
        <v>14747</v>
      </c>
      <c r="H2379" s="24" t="s">
        <v>3772</v>
      </c>
      <c r="I2379" s="24" t="b">
        <f>ISNUMBER(VALUE(LEFT(Customer[[#This Row],[Address Line 3 (30 char)]],1)))</f>
        <v>0</v>
      </c>
      <c r="J2379" s="12" t="s">
        <v>2004</v>
      </c>
      <c r="K2379" s="12">
        <v>81700</v>
      </c>
      <c r="L2379" s="12" t="s">
        <v>35</v>
      </c>
      <c r="M2379" s="13" t="e">
        <v>#N/A</v>
      </c>
      <c r="N2379" s="14" t="e">
        <v>#N/A</v>
      </c>
      <c r="O2379" s="14" t="e">
        <v>#N/A</v>
      </c>
      <c r="P2379" s="14" t="e">
        <v>#N/A</v>
      </c>
      <c r="Q2379" s="19" t="s">
        <v>14748</v>
      </c>
      <c r="R2379" s="15" t="s">
        <v>14749</v>
      </c>
      <c r="S2379" s="16" t="s">
        <v>89</v>
      </c>
      <c r="T2379" s="16" t="s">
        <v>89</v>
      </c>
      <c r="U2379" s="11" t="str">
        <f>_xlfn.XLOOKUP(Customer[[#This Row],[Customer ID]],[1]!Address[ID],[1]!Address[Phone No.(2)])</f>
        <v/>
      </c>
      <c r="V2379" s="11" t="str">
        <f>_xlfn.XLOOKUP(Customer[[#This Row],[Customer ID]],[1]!Address[ID],[1]!Address[Type])</f>
        <v>WALK IN</v>
      </c>
      <c r="W2379" s="11" t="str">
        <f>_xlfn.XLOOKUP(Customer[[#This Row],[Customer ID]],[1]!Address[ID],[1]!Address[CT])</f>
        <v/>
      </c>
      <c r="X2379" s="11"/>
      <c r="Y2379" s="17" t="s">
        <v>6284</v>
      </c>
      <c r="Z2379" s="17" t="e">
        <f>_xlfn.XLOOKUP(Customer[[#This Row],[NewType]],$AF$36:$AF$54,$AG$36:$AG$54)</f>
        <v>#N/A</v>
      </c>
      <c r="AA2379" s="17" t="s">
        <v>14750</v>
      </c>
      <c r="AB2379" s="11" t="str">
        <f>_xlfn.XLOOKUP(Customer[[#This Row],[Customer ID]],[1]!Address[ID],[1]!Address[Subtype])</f>
        <v>PEDAS</v>
      </c>
      <c r="AC2379" s="18" t="str">
        <f>_xlfn.XLOOKUP(Customer[[#This Row],[Customer ID]],[1]!Address[ID],[1]!Address[Zone])</f>
        <v>SOUTH</v>
      </c>
    </row>
    <row r="2380" spans="1:29" x14ac:dyDescent="0.3">
      <c r="A2380" s="10" t="s">
        <v>14751</v>
      </c>
      <c r="B2380" s="11" t="str">
        <f>_xlfn.XLOOKUP(Customer[[#This Row],[Customer ID]],[1]!Name[ID],[1]!Name[Description(1)])</f>
        <v>NORIDZWAN BIN M.NOH</v>
      </c>
      <c r="C2380" s="11" t="str">
        <f>_xlfn.XLOOKUP(Customer[[#This Row],[Customer ID]],[1]!Name[ID],[1]!Name[Description(2)])</f>
        <v/>
      </c>
      <c r="D2380" s="11" t="str">
        <f>_xlfn.XLOOKUP(Customer[[#This Row],[Customer ID]],[1]!Address[ID],[1]!Address[PIC])</f>
        <v/>
      </c>
      <c r="E2380" s="11" t="str">
        <f>_xlfn.XLOOKUP(Customer[[#This Row],[Customer ID]],[1]!Address[ID],[1]!Address[Full Address])</f>
        <v>NO 14, JALAN WAU KIKIR 14,BANDAR LAYANGKASA81700 PASIR GUDANG, JOHOR</v>
      </c>
      <c r="F2380" s="12" t="s">
        <v>14752</v>
      </c>
      <c r="G2380" s="12" t="s">
        <v>14753</v>
      </c>
      <c r="H2380" s="24" t="s">
        <v>3772</v>
      </c>
      <c r="I2380" s="24" t="b">
        <f>ISNUMBER(VALUE(LEFT(Customer[[#This Row],[Address Line 3 (30 char)]],1)))</f>
        <v>0</v>
      </c>
      <c r="J2380" s="12" t="s">
        <v>52</v>
      </c>
      <c r="K2380" s="12">
        <v>81700</v>
      </c>
      <c r="L2380" s="12" t="s">
        <v>35</v>
      </c>
      <c r="M2380" s="13" t="e">
        <v>#N/A</v>
      </c>
      <c r="N2380" s="14" t="e">
        <v>#N/A</v>
      </c>
      <c r="O2380" s="14" t="e">
        <v>#N/A</v>
      </c>
      <c r="P2380" s="14" t="e">
        <v>#N/A</v>
      </c>
      <c r="Q2380" s="19" t="s">
        <v>14754</v>
      </c>
      <c r="R2380" s="15" t="s">
        <v>14755</v>
      </c>
      <c r="S2380" s="16" t="s">
        <v>89</v>
      </c>
      <c r="T2380" s="16" t="s">
        <v>89</v>
      </c>
      <c r="U2380" s="11" t="str">
        <f>_xlfn.XLOOKUP(Customer[[#This Row],[Customer ID]],[1]!Address[ID],[1]!Address[Phone No.(2)])</f>
        <v/>
      </c>
      <c r="V2380" s="11" t="str">
        <f>_xlfn.XLOOKUP(Customer[[#This Row],[Customer ID]],[1]!Address[ID],[1]!Address[Type])</f>
        <v>WALK IN</v>
      </c>
      <c r="W2380" s="11" t="str">
        <f>_xlfn.XLOOKUP(Customer[[#This Row],[Customer ID]],[1]!Address[ID],[1]!Address[CT])</f>
        <v/>
      </c>
      <c r="X2380" s="11"/>
      <c r="Y2380" s="17" t="s">
        <v>6284</v>
      </c>
      <c r="Z2380" s="17" t="e">
        <f>_xlfn.XLOOKUP(Customer[[#This Row],[NewType]],$AF$36:$AF$54,$AG$36:$AG$54)</f>
        <v>#N/A</v>
      </c>
      <c r="AA2380" s="17" t="s">
        <v>14756</v>
      </c>
      <c r="AB2380" s="11" t="str">
        <f>_xlfn.XLOOKUP(Customer[[#This Row],[Customer ID]],[1]!Address[ID],[1]!Address[Subtype])</f>
        <v>PEDAS</v>
      </c>
      <c r="AC2380" s="18" t="str">
        <f>_xlfn.XLOOKUP(Customer[[#This Row],[Customer ID]],[1]!Address[ID],[1]!Address[Zone])</f>
        <v>SOUTH</v>
      </c>
    </row>
    <row r="2381" spans="1:29" x14ac:dyDescent="0.3">
      <c r="A2381" s="10" t="s">
        <v>14757</v>
      </c>
      <c r="B2381" s="11" t="str">
        <f>_xlfn.XLOOKUP(Customer[[#This Row],[Customer ID]],[1]!Name[ID],[1]!Name[Description(1)])</f>
        <v>MOHD FAIZUL BIN RAHMAN</v>
      </c>
      <c r="C2381" s="11" t="str">
        <f>_xlfn.XLOOKUP(Customer[[#This Row],[Customer ID]],[1]!Name[ID],[1]!Name[Description(2)])</f>
        <v>IPKNS</v>
      </c>
      <c r="D2381" s="11" t="str">
        <f>_xlfn.XLOOKUP(Customer[[#This Row],[Customer ID]],[1]!Address[ID],[1]!Address[PIC])</f>
        <v>FAIZUL</v>
      </c>
      <c r="E2381" s="11" t="str">
        <f>_xlfn.XLOOKUP(Customer[[#This Row],[Customer ID]],[1]!Address[ID],[1]!Address[Full Address])</f>
        <v>IBU PEJABAT POLIS KONTINJENNEGERI SEMBILAN, JALAN YAZID AHMAD70000 SEREMBAN N.SEMBILAN</v>
      </c>
      <c r="F2381" s="12" t="s">
        <v>14758</v>
      </c>
      <c r="G2381" s="12"/>
      <c r="H2381" s="12" t="s">
        <v>14759</v>
      </c>
      <c r="I2381" s="12" t="b">
        <f>ISNUMBER(VALUE(LEFT(Customer[[#This Row],[Address Line 3 (30 char)]],1)))</f>
        <v>0</v>
      </c>
      <c r="J2381" s="12" t="s">
        <v>203</v>
      </c>
      <c r="K2381" s="12">
        <v>70000</v>
      </c>
      <c r="L2381" s="12" t="s">
        <v>35</v>
      </c>
      <c r="M2381" s="13" t="e">
        <v>#N/A</v>
      </c>
      <c r="N2381" s="14" t="e">
        <v>#N/A</v>
      </c>
      <c r="O2381" s="14" t="e">
        <v>#N/A</v>
      </c>
      <c r="P2381" s="14" t="e">
        <v>#N/A</v>
      </c>
      <c r="Q2381" s="19" t="s">
        <v>14760</v>
      </c>
      <c r="R2381" s="15" t="s">
        <v>14761</v>
      </c>
      <c r="S2381" s="16" t="s">
        <v>89</v>
      </c>
      <c r="T2381" s="16" t="s">
        <v>89</v>
      </c>
      <c r="U2381" s="11" t="str">
        <f>_xlfn.XLOOKUP(Customer[[#This Row],[Customer ID]],[1]!Address[ID],[1]!Address[Phone No.(2)])</f>
        <v/>
      </c>
      <c r="V2381" s="11" t="str">
        <f>_xlfn.XLOOKUP(Customer[[#This Row],[Customer ID]],[1]!Address[ID],[1]!Address[Type])</f>
        <v>WALK IN</v>
      </c>
      <c r="W2381" s="11" t="str">
        <f>_xlfn.XLOOKUP(Customer[[#This Row],[Customer ID]],[1]!Address[ID],[1]!Address[CT])</f>
        <v/>
      </c>
      <c r="X2381" s="11"/>
      <c r="Y2381" s="17" t="s">
        <v>6284</v>
      </c>
      <c r="Z2381" s="17" t="e">
        <f>_xlfn.XLOOKUP(Customer[[#This Row],[NewType]],$AF$36:$AF$54,$AG$36:$AG$54)</f>
        <v>#N/A</v>
      </c>
      <c r="AA2381" s="17" t="s">
        <v>14762</v>
      </c>
      <c r="AB2381" s="11" t="str">
        <f>_xlfn.XLOOKUP(Customer[[#This Row],[Customer ID]],[1]!Address[ID],[1]!Address[Subtype])</f>
        <v>PEDAS</v>
      </c>
      <c r="AC2381" s="18" t="str">
        <f>_xlfn.XLOOKUP(Customer[[#This Row],[Customer ID]],[1]!Address[ID],[1]!Address[Zone])</f>
        <v>SOUTH</v>
      </c>
    </row>
    <row r="2382" spans="1:29" x14ac:dyDescent="0.3">
      <c r="A2382" s="45" t="s">
        <v>14763</v>
      </c>
      <c r="B2382" s="32" t="str">
        <f>_xlfn.XLOOKUP(Customer[[#This Row],[Customer ID]],[1]!Name[ID],[1]!Name[Description(1)])</f>
        <v>SUAIBAH MUHAMAD SALEH</v>
      </c>
      <c r="C2382" s="32" t="str">
        <f>_xlfn.XLOOKUP(Customer[[#This Row],[Customer ID]],[1]!Name[ID],[1]!Name[Description(2)])</f>
        <v/>
      </c>
      <c r="D2382" s="11" t="str">
        <f>_xlfn.XLOOKUP(Customer[[#This Row],[Customer ID]],[1]!Address[ID],[1]!Address[PIC])</f>
        <v>SUAIBAH</v>
      </c>
      <c r="E2382" s="11" t="str">
        <f>_xlfn.XLOOKUP(Customer[[#This Row],[Customer ID]],[1]!Address[ID],[1]!Address[Full Address])</f>
        <v>LOT 6280 LAY OUT JABI JERTIH,TERENGGANU</v>
      </c>
      <c r="F2382" s="12" t="s">
        <v>14764</v>
      </c>
      <c r="G2382" s="12" t="s">
        <v>1056</v>
      </c>
      <c r="H2382" s="12" t="s">
        <v>36</v>
      </c>
      <c r="I2382" s="12" t="b">
        <f>ISNUMBER(VALUE(LEFT(Customer[[#This Row],[Address Line 3 (30 char)]],1)))</f>
        <v>0</v>
      </c>
      <c r="J2382" s="32" t="s">
        <v>154</v>
      </c>
      <c r="K2382" s="32"/>
      <c r="L2382" s="12" t="s">
        <v>35</v>
      </c>
      <c r="M2382" s="13" t="e">
        <v>#N/A</v>
      </c>
      <c r="N2382" s="14" t="e">
        <v>#N/A</v>
      </c>
      <c r="O2382" s="14" t="e">
        <v>#N/A</v>
      </c>
      <c r="P2382" s="14" t="e">
        <v>#N/A</v>
      </c>
      <c r="Q2382" s="19" t="s">
        <v>14765</v>
      </c>
      <c r="R2382" s="15" t="s">
        <v>14766</v>
      </c>
      <c r="S2382" s="16" t="s">
        <v>89</v>
      </c>
      <c r="T2382" s="16" t="s">
        <v>89</v>
      </c>
      <c r="U2382" s="11" t="str">
        <f>_xlfn.XLOOKUP(Customer[[#This Row],[Customer ID]],[1]!Address[ID],[1]!Address[Phone No.(2)])</f>
        <v/>
      </c>
      <c r="V2382" s="11" t="str">
        <f>_xlfn.XLOOKUP(Customer[[#This Row],[Customer ID]],[1]!Address[ID],[1]!Address[Type])</f>
        <v>WALK IN</v>
      </c>
      <c r="W2382" s="11" t="str">
        <f>_xlfn.XLOOKUP(Customer[[#This Row],[Customer ID]],[1]!Address[ID],[1]!Address[CT])</f>
        <v/>
      </c>
      <c r="X2382" s="11"/>
      <c r="Y2382" s="17" t="s">
        <v>6284</v>
      </c>
      <c r="Z2382" s="17" t="e">
        <f>_xlfn.XLOOKUP(Customer[[#This Row],[NewType]],$AF$36:$AF$54,$AG$36:$AG$54)</f>
        <v>#N/A</v>
      </c>
      <c r="AA2382" s="17" t="s">
        <v>14767</v>
      </c>
      <c r="AB2382" s="11" t="str">
        <f>_xlfn.XLOOKUP(Customer[[#This Row],[Customer ID]],[1]!Address[ID],[1]!Address[Subtype])</f>
        <v>PEDAS</v>
      </c>
      <c r="AC2382" s="18" t="str">
        <f>_xlfn.XLOOKUP(Customer[[#This Row],[Customer ID]],[1]!Address[ID],[1]!Address[Zone])</f>
        <v>EAST COAST</v>
      </c>
    </row>
    <row r="2383" spans="1:29" x14ac:dyDescent="0.3">
      <c r="A2383" s="10" t="s">
        <v>14768</v>
      </c>
      <c r="B2383" s="11" t="str">
        <f>_xlfn.XLOOKUP(Customer[[#This Row],[Customer ID]],[1]!Name[ID],[1]!Name[Description(1)])</f>
        <v>BDI TEGUH ENTERPRISE</v>
      </c>
      <c r="C2383" s="11" t="str">
        <f>_xlfn.XLOOKUP(Customer[[#This Row],[Customer ID]],[1]!Name[ID],[1]!Name[Description(2)])</f>
        <v/>
      </c>
      <c r="D2383" s="11" t="str">
        <f>_xlfn.XLOOKUP(Customer[[#This Row],[Customer ID]],[1]!Address[ID],[1]!Address[PIC])</f>
        <v/>
      </c>
      <c r="E2383" s="11" t="str">
        <f>_xlfn.XLOOKUP(Customer[[#This Row],[Customer ID]],[1]!Address[ID],[1]!Address[Full Address])</f>
        <v>BATU 1 1/2 JALAN KUALA PILAH-BAHAU,72000 KUALA PILAHNEGERI SEMBILAN</v>
      </c>
      <c r="F2383" s="12" t="s">
        <v>14769</v>
      </c>
      <c r="G2383" s="12" t="s">
        <v>2987</v>
      </c>
      <c r="H2383" s="12" t="s">
        <v>4565</v>
      </c>
      <c r="I2383" s="12" t="b">
        <f>ISNUMBER(VALUE(LEFT(Customer[[#This Row],[Address Line 3 (30 char)]],1)))</f>
        <v>0</v>
      </c>
      <c r="J2383" s="12" t="s">
        <v>203</v>
      </c>
      <c r="K2383" s="12">
        <v>72000</v>
      </c>
      <c r="L2383" s="12" t="s">
        <v>35</v>
      </c>
      <c r="M2383" s="13" t="e">
        <v>#N/A</v>
      </c>
      <c r="N2383" s="14" t="e">
        <v>#N/A</v>
      </c>
      <c r="O2383" s="14" t="e">
        <v>#N/A</v>
      </c>
      <c r="P2383" s="14" t="e">
        <v>#N/A</v>
      </c>
      <c r="Q2383" s="14" t="e">
        <v>#N/A</v>
      </c>
      <c r="R2383" s="15" t="s">
        <v>14770</v>
      </c>
      <c r="S2383" s="15" t="s">
        <v>5917</v>
      </c>
      <c r="T2383" s="16" t="s">
        <v>3477</v>
      </c>
      <c r="U2383" s="11" t="str">
        <f>_xlfn.XLOOKUP(Customer[[#This Row],[Customer ID]],[1]!Address[ID],[1]!Address[Phone No.(2)])</f>
        <v/>
      </c>
      <c r="V2383" s="11" t="str">
        <f>_xlfn.XLOOKUP(Customer[[#This Row],[Customer ID]],[1]!Address[ID],[1]!Address[Type])</f>
        <v>CM</v>
      </c>
      <c r="W2383" s="11" t="str">
        <f>_xlfn.XLOOKUP(Customer[[#This Row],[Customer ID]],[1]!Address[ID],[1]!Address[CT])</f>
        <v>CASH</v>
      </c>
      <c r="X2383" s="11"/>
      <c r="Y2383" s="17" t="s">
        <v>5918</v>
      </c>
      <c r="Z2383" s="17" t="e">
        <f>_xlfn.XLOOKUP(Customer[[#This Row],[NewType]],$AF$36:$AF$54,$AG$36:$AG$54)</f>
        <v>#N/A</v>
      </c>
      <c r="AA2383" s="17" t="s">
        <v>14771</v>
      </c>
      <c r="AB2383" s="11" t="str">
        <f>_xlfn.XLOOKUP(Customer[[#This Row],[Customer ID]],[1]!Address[ID],[1]!Address[Subtype])</f>
        <v>BDI TEGUH</v>
      </c>
      <c r="AC2383" s="18" t="str">
        <f>_xlfn.XLOOKUP(Customer[[#This Row],[Customer ID]],[1]!Address[ID],[1]!Address[Zone])</f>
        <v>SOUTH</v>
      </c>
    </row>
    <row r="2384" spans="1:29" x14ac:dyDescent="0.3">
      <c r="A2384" s="10" t="s">
        <v>14772</v>
      </c>
      <c r="B2384" s="11" t="str">
        <f>_xlfn.XLOOKUP(Customer[[#This Row],[Customer ID]],[1]!Name[ID],[1]!Name[Description(1)])</f>
        <v>RISDA HOLDINGS SDN BHD</v>
      </c>
      <c r="C2384" s="11" t="str">
        <f>_xlfn.XLOOKUP(Customer[[#This Row],[Customer ID]],[1]!Name[ID],[1]!Name[Description(2)])</f>
        <v/>
      </c>
      <c r="D2384" s="11" t="str">
        <f>_xlfn.XLOOKUP(Customer[[#This Row],[Customer ID]],[1]!Address[ID],[1]!Address[PIC])</f>
        <v/>
      </c>
      <c r="E2384" s="11" t="str">
        <f>_xlfn.XLOOKUP(Customer[[#This Row],[Customer ID]],[1]!Address[ID],[1]!Address[Full Address])</f>
        <v>TINGKAT 21, MENARA KUMPULAN RISDA,JALAN AMPANG ULU 3,55000 KUALA LUMPUR,WILAYAH PERSEKUTUAN KUALA LUMPUR</v>
      </c>
      <c r="F2384" s="12" t="s">
        <v>10040</v>
      </c>
      <c r="G2384" s="12" t="s">
        <v>14773</v>
      </c>
      <c r="H2384" s="12" t="s">
        <v>10042</v>
      </c>
      <c r="I2384" s="12" t="b">
        <f>ISNUMBER(VALUE(LEFT(Customer[[#This Row],[Address Line 3 (30 char)]],1)))</f>
        <v>0</v>
      </c>
      <c r="J2384" s="12" t="s">
        <v>8855</v>
      </c>
      <c r="K2384" s="12">
        <v>55000</v>
      </c>
      <c r="L2384" s="12" t="s">
        <v>35</v>
      </c>
      <c r="M2384" s="13" t="e">
        <v>#N/A</v>
      </c>
      <c r="N2384" s="14" t="e">
        <v>#N/A</v>
      </c>
      <c r="O2384" s="14" t="e">
        <v>#N/A</v>
      </c>
      <c r="P2384" s="14" t="e">
        <v>#N/A</v>
      </c>
      <c r="Q2384" s="14" t="e">
        <v>#N/A</v>
      </c>
      <c r="R2384" s="15" t="s">
        <v>14774</v>
      </c>
      <c r="S2384" s="15" t="s">
        <v>5934</v>
      </c>
      <c r="T2384" s="16" t="s">
        <v>3477</v>
      </c>
      <c r="U2384" s="11" t="str">
        <f>_xlfn.XLOOKUP(Customer[[#This Row],[Customer ID]],[1]!Address[ID],[1]!Address[Phone No.(2)])</f>
        <v/>
      </c>
      <c r="V2384" s="11" t="str">
        <f>_xlfn.XLOOKUP(Customer[[#This Row],[Customer ID]],[1]!Address[ID],[1]!Address[Type])</f>
        <v>CM</v>
      </c>
      <c r="W2384" s="11" t="str">
        <f>_xlfn.XLOOKUP(Customer[[#This Row],[Customer ID]],[1]!Address[ID],[1]!Address[CT])</f>
        <v>CASH</v>
      </c>
      <c r="X2384" s="11"/>
      <c r="Y2384" s="17" t="s">
        <v>5918</v>
      </c>
      <c r="Z2384" s="17" t="e">
        <f>_xlfn.XLOOKUP(Customer[[#This Row],[NewType]],$AF$36:$AF$54,$AG$36:$AG$54)</f>
        <v>#N/A</v>
      </c>
      <c r="AA2384" s="17" t="s">
        <v>14775</v>
      </c>
      <c r="AB2384" s="11" t="str">
        <f>_xlfn.XLOOKUP(Customer[[#This Row],[Customer ID]],[1]!Address[ID],[1]!Address[Subtype])</f>
        <v>RISSMART</v>
      </c>
      <c r="AC2384" s="18" t="str">
        <f>_xlfn.XLOOKUP(Customer[[#This Row],[Customer ID]],[1]!Address[ID],[1]!Address[Zone])</f>
        <v>CENTRAL</v>
      </c>
    </row>
    <row r="2385" spans="1:29" x14ac:dyDescent="0.3">
      <c r="A2385" s="10" t="s">
        <v>14776</v>
      </c>
      <c r="B2385" s="11" t="str">
        <f>_xlfn.XLOOKUP(Customer[[#This Row],[Customer ID]],[1]!Name[ID],[1]!Name[Description(1)])</f>
        <v>NURASHIKIN BINTI KAMARIZAN</v>
      </c>
      <c r="C2385" s="11" t="str">
        <f>_xlfn.XLOOKUP(Customer[[#This Row],[Customer ID]],[1]!Name[ID],[1]!Name[Description(2)])</f>
        <v/>
      </c>
      <c r="D2385" s="11" t="str">
        <f>_xlfn.XLOOKUP(Customer[[#This Row],[Customer ID]],[1]!Address[ID],[1]!Address[PIC])</f>
        <v/>
      </c>
      <c r="E2385" s="11" t="str">
        <f>_xlfn.XLOOKUP(Customer[[#This Row],[Customer ID]],[1]!Address[ID],[1]!Address[Full Address])</f>
        <v>30, JALAN AKASIA 2,TAMAN AKASIA KUNDUR,71400 PEDAS, N.S</v>
      </c>
      <c r="F2385" s="12" t="s">
        <v>14777</v>
      </c>
      <c r="G2385" s="12" t="s">
        <v>14778</v>
      </c>
      <c r="H2385" s="24" t="s">
        <v>8914</v>
      </c>
      <c r="I2385" s="24" t="b">
        <f>ISNUMBER(VALUE(LEFT(Customer[[#This Row],[Address Line 3 (30 char)]],1)))</f>
        <v>0</v>
      </c>
      <c r="J2385" s="12" t="s">
        <v>203</v>
      </c>
      <c r="K2385" s="12">
        <v>70200</v>
      </c>
      <c r="L2385" s="12" t="s">
        <v>35</v>
      </c>
      <c r="M2385" s="13" t="e">
        <v>#N/A</v>
      </c>
      <c r="N2385" s="14" t="e">
        <v>#N/A</v>
      </c>
      <c r="O2385" s="14" t="e">
        <v>#N/A</v>
      </c>
      <c r="P2385" s="14" t="e">
        <v>#N/A</v>
      </c>
      <c r="Q2385" s="19" t="s">
        <v>14779</v>
      </c>
      <c r="R2385" s="15" t="s">
        <v>14780</v>
      </c>
      <c r="S2385" s="16" t="s">
        <v>89</v>
      </c>
      <c r="T2385" s="16" t="s">
        <v>89</v>
      </c>
      <c r="U2385" s="11" t="str">
        <f>_xlfn.XLOOKUP(Customer[[#This Row],[Customer ID]],[1]!Address[ID],[1]!Address[Phone No.(2)])</f>
        <v/>
      </c>
      <c r="V2385" s="11" t="str">
        <f>_xlfn.XLOOKUP(Customer[[#This Row],[Customer ID]],[1]!Address[ID],[1]!Address[Type])</f>
        <v>WALK IN</v>
      </c>
      <c r="W2385" s="11" t="str">
        <f>_xlfn.XLOOKUP(Customer[[#This Row],[Customer ID]],[1]!Address[ID],[1]!Address[CT])</f>
        <v/>
      </c>
      <c r="X2385" s="11"/>
      <c r="Y2385" s="17" t="s">
        <v>6284</v>
      </c>
      <c r="Z2385" s="17" t="e">
        <f>_xlfn.XLOOKUP(Customer[[#This Row],[NewType]],$AF$36:$AF$54,$AG$36:$AG$54)</f>
        <v>#N/A</v>
      </c>
      <c r="AA2385" s="17" t="s">
        <v>14781</v>
      </c>
      <c r="AB2385" s="11" t="str">
        <f>_xlfn.XLOOKUP(Customer[[#This Row],[Customer ID]],[1]!Address[ID],[1]!Address[Subtype])</f>
        <v>PEDAS</v>
      </c>
      <c r="AC2385" s="18" t="str">
        <f>_xlfn.XLOOKUP(Customer[[#This Row],[Customer ID]],[1]!Address[ID],[1]!Address[Zone])</f>
        <v>SOUTH</v>
      </c>
    </row>
    <row r="2386" spans="1:29" x14ac:dyDescent="0.3">
      <c r="A2386" s="10" t="s">
        <v>14782</v>
      </c>
      <c r="B2386" s="11" t="str">
        <f>_xlfn.XLOOKUP(Customer[[#This Row],[Customer ID]],[1]!Name[ID],[1]!Name[Description(1)])</f>
        <v>HARLINDAI MOHAMED</v>
      </c>
      <c r="C2386" s="11" t="str">
        <f>_xlfn.XLOOKUP(Customer[[#This Row],[Customer ID]],[1]!Name[ID],[1]!Name[Description(2)])</f>
        <v/>
      </c>
      <c r="D2386" s="11" t="str">
        <f>_xlfn.XLOOKUP(Customer[[#This Row],[Customer ID]],[1]!Address[ID],[1]!Address[PIC])</f>
        <v/>
      </c>
      <c r="E2386" s="11" t="str">
        <f>_xlfn.XLOOKUP(Customer[[#This Row],[Customer ID]],[1]!Address[ID],[1]!Address[Full Address])</f>
        <v>413, LORONG MUTIARA GALLA 10/9,TAMAN MUTIARA GALLA,70200 SEREMBAN, N.S</v>
      </c>
      <c r="F2386" s="12" t="s">
        <v>14783</v>
      </c>
      <c r="G2386" s="12" t="s">
        <v>14784</v>
      </c>
      <c r="H2386" s="12" t="s">
        <v>2411</v>
      </c>
      <c r="I2386" s="12" t="b">
        <f>ISNUMBER(VALUE(LEFT(Customer[[#This Row],[Address Line 3 (30 char)]],1)))</f>
        <v>0</v>
      </c>
      <c r="J2386" s="12" t="s">
        <v>203</v>
      </c>
      <c r="K2386" s="12">
        <v>70200</v>
      </c>
      <c r="L2386" s="12" t="s">
        <v>35</v>
      </c>
      <c r="M2386" s="13" t="e">
        <v>#N/A</v>
      </c>
      <c r="N2386" s="14" t="e">
        <v>#N/A</v>
      </c>
      <c r="O2386" s="14" t="e">
        <v>#N/A</v>
      </c>
      <c r="P2386" s="14" t="e">
        <v>#N/A</v>
      </c>
      <c r="Q2386" s="19" t="s">
        <v>14785</v>
      </c>
      <c r="R2386" s="15" t="s">
        <v>14786</v>
      </c>
      <c r="S2386" s="16" t="s">
        <v>89</v>
      </c>
      <c r="T2386" s="16" t="s">
        <v>89</v>
      </c>
      <c r="U2386" s="11" t="str">
        <f>_xlfn.XLOOKUP(Customer[[#This Row],[Customer ID]],[1]!Address[ID],[1]!Address[Phone No.(2)])</f>
        <v/>
      </c>
      <c r="V2386" s="11" t="str">
        <f>_xlfn.XLOOKUP(Customer[[#This Row],[Customer ID]],[1]!Address[ID],[1]!Address[Type])</f>
        <v>WALK IN</v>
      </c>
      <c r="W2386" s="11" t="str">
        <f>_xlfn.XLOOKUP(Customer[[#This Row],[Customer ID]],[1]!Address[ID],[1]!Address[CT])</f>
        <v/>
      </c>
      <c r="X2386" s="11"/>
      <c r="Y2386" s="17" t="s">
        <v>6284</v>
      </c>
      <c r="Z2386" s="17" t="e">
        <f>_xlfn.XLOOKUP(Customer[[#This Row],[NewType]],$AF$36:$AF$54,$AG$36:$AG$54)</f>
        <v>#N/A</v>
      </c>
      <c r="AA2386" s="17" t="s">
        <v>14787</v>
      </c>
      <c r="AB2386" s="11" t="str">
        <f>_xlfn.XLOOKUP(Customer[[#This Row],[Customer ID]],[1]!Address[ID],[1]!Address[Subtype])</f>
        <v>PEDAS</v>
      </c>
      <c r="AC2386" s="18" t="str">
        <f>_xlfn.XLOOKUP(Customer[[#This Row],[Customer ID]],[1]!Address[ID],[1]!Address[Zone])</f>
        <v>SOUTH</v>
      </c>
    </row>
    <row r="2387" spans="1:29" x14ac:dyDescent="0.3">
      <c r="A2387" s="10" t="s">
        <v>14788</v>
      </c>
      <c r="B2387" s="11" t="str">
        <f>_xlfn.XLOOKUP(Customer[[#This Row],[Customer ID]],[1]!Name[ID],[1]!Name[Description(1)])</f>
        <v>MUHAMMAD FARIS BIN MOHD EMRAN</v>
      </c>
      <c r="C2387" s="11" t="str">
        <f>_xlfn.XLOOKUP(Customer[[#This Row],[Customer ID]],[1]!Name[ID],[1]!Name[Description(2)])</f>
        <v/>
      </c>
      <c r="D2387" s="11" t="str">
        <f>_xlfn.XLOOKUP(Customer[[#This Row],[Customer ID]],[1]!Address[ID],[1]!Address[PIC])</f>
        <v/>
      </c>
      <c r="E2387" s="11" t="str">
        <f>_xlfn.XLOOKUP(Customer[[#This Row],[Customer ID]],[1]!Address[ID],[1]!Address[Full Address])</f>
        <v>7, JALAN 2/3B, SEKSYEN 2,43650, BANDAR BARU BANGI, SELANGOR</v>
      </c>
      <c r="F2387" s="12" t="s">
        <v>14789</v>
      </c>
      <c r="G2387" s="12" t="s">
        <v>4481</v>
      </c>
      <c r="H2387" s="12" t="s">
        <v>36</v>
      </c>
      <c r="I2387" s="12" t="b">
        <f>ISNUMBER(VALUE(LEFT(Customer[[#This Row],[Address Line 3 (30 char)]],1)))</f>
        <v>0</v>
      </c>
      <c r="J2387" s="12" t="s">
        <v>172</v>
      </c>
      <c r="K2387" s="12">
        <v>43650</v>
      </c>
      <c r="L2387" s="12" t="s">
        <v>35</v>
      </c>
      <c r="M2387" s="13" t="e">
        <v>#N/A</v>
      </c>
      <c r="N2387" s="14" t="e">
        <v>#N/A</v>
      </c>
      <c r="O2387" s="14" t="e">
        <v>#N/A</v>
      </c>
      <c r="P2387" s="14" t="e">
        <v>#N/A</v>
      </c>
      <c r="Q2387" s="19" t="s">
        <v>14790</v>
      </c>
      <c r="R2387" s="15" t="s">
        <v>14791</v>
      </c>
      <c r="S2387" s="15" t="s">
        <v>89</v>
      </c>
      <c r="T2387" s="16"/>
      <c r="U2387" s="11" t="str">
        <f>_xlfn.XLOOKUP(Customer[[#This Row],[Customer ID]],[1]!Address[ID],[1]!Address[Phone No.(2)])</f>
        <v/>
      </c>
      <c r="V2387" s="11" t="str">
        <f>_xlfn.XLOOKUP(Customer[[#This Row],[Customer ID]],[1]!Address[ID],[1]!Address[Type])</f>
        <v>WALK IN</v>
      </c>
      <c r="W2387" s="11" t="str">
        <f>_xlfn.XLOOKUP(Customer[[#This Row],[Customer ID]],[1]!Address[ID],[1]!Address[CT])</f>
        <v/>
      </c>
      <c r="X2387" s="11"/>
      <c r="Y2387" s="17" t="s">
        <v>6284</v>
      </c>
      <c r="Z2387" s="17" t="e">
        <f>_xlfn.XLOOKUP(Customer[[#This Row],[NewType]],$AF$36:$AF$54,$AG$36:$AG$54)</f>
        <v>#N/A</v>
      </c>
      <c r="AA2387" s="17" t="s">
        <v>14792</v>
      </c>
      <c r="AB2387" s="11" t="str">
        <f>_xlfn.XLOOKUP(Customer[[#This Row],[Customer ID]],[1]!Address[ID],[1]!Address[Subtype])</f>
        <v>STAFF</v>
      </c>
      <c r="AC2387" s="18" t="str">
        <f>_xlfn.XLOOKUP(Customer[[#This Row],[Customer ID]],[1]!Address[ID],[1]!Address[Zone])</f>
        <v>CENTRAL</v>
      </c>
    </row>
    <row r="2388" spans="1:29" x14ac:dyDescent="0.3">
      <c r="A2388" s="10" t="s">
        <v>14793</v>
      </c>
      <c r="B2388" s="11" t="str">
        <f>_xlfn.XLOOKUP(Customer[[#This Row],[Customer ID]],[1]!Name[ID],[1]!Name[Description(1)])</f>
        <v>MUHAMMAD ILHAM BIN MD NADZIFF</v>
      </c>
      <c r="C2388" s="11" t="str">
        <f>_xlfn.XLOOKUP(Customer[[#This Row],[Customer ID]],[1]!Name[ID],[1]!Name[Description(2)])</f>
        <v>(PRODUCTION KILANG AIR)</v>
      </c>
      <c r="D2388" s="11" t="str">
        <f>_xlfn.XLOOKUP(Customer[[#This Row],[Customer ID]],[1]!Address[ID],[1]!Address[PIC])</f>
        <v/>
      </c>
      <c r="E2388" s="11" t="str">
        <f>_xlfn.XLOOKUP(Customer[[#This Row],[Customer ID]],[1]!Address[ID],[1]!Address[Full Address])</f>
        <v>NO 417, JLN 2/B TAMAN BANDAR EKAR71200 RANTAU</v>
      </c>
      <c r="F2388" s="12" t="s">
        <v>14794</v>
      </c>
      <c r="G2388" s="12" t="s">
        <v>14795</v>
      </c>
      <c r="H2388" s="12" t="s">
        <v>6428</v>
      </c>
      <c r="I2388" s="12" t="b">
        <f>ISNUMBER(VALUE(LEFT(Customer[[#This Row],[Address Line 3 (30 char)]],1)))</f>
        <v>0</v>
      </c>
      <c r="J2388" s="12" t="s">
        <v>203</v>
      </c>
      <c r="K2388" s="12">
        <v>71200</v>
      </c>
      <c r="L2388" s="12" t="s">
        <v>35</v>
      </c>
      <c r="M2388" s="13" t="e">
        <v>#N/A</v>
      </c>
      <c r="N2388" s="14" t="e">
        <v>#N/A</v>
      </c>
      <c r="O2388" s="14" t="e">
        <v>#N/A</v>
      </c>
      <c r="P2388" s="14" t="e">
        <v>#N/A</v>
      </c>
      <c r="Q2388" s="19" t="s">
        <v>14796</v>
      </c>
      <c r="R2388" s="15" t="s">
        <v>14797</v>
      </c>
      <c r="S2388" s="16" t="s">
        <v>89</v>
      </c>
      <c r="T2388" s="16" t="s">
        <v>89</v>
      </c>
      <c r="U2388" s="11" t="str">
        <f>_xlfn.XLOOKUP(Customer[[#This Row],[Customer ID]],[1]!Address[ID],[1]!Address[Phone No.(2)])</f>
        <v/>
      </c>
      <c r="V2388" s="11" t="str">
        <f>_xlfn.XLOOKUP(Customer[[#This Row],[Customer ID]],[1]!Address[ID],[1]!Address[Type])</f>
        <v>WALK IN</v>
      </c>
      <c r="W2388" s="11" t="str">
        <f>_xlfn.XLOOKUP(Customer[[#This Row],[Customer ID]],[1]!Address[ID],[1]!Address[CT])</f>
        <v/>
      </c>
      <c r="X2388" s="11"/>
      <c r="Y2388" s="17" t="s">
        <v>6284</v>
      </c>
      <c r="Z2388" s="17" t="e">
        <f>_xlfn.XLOOKUP(Customer[[#This Row],[NewType]],$AF$36:$AF$54,$AG$36:$AG$54)</f>
        <v>#N/A</v>
      </c>
      <c r="AA2388" s="17" t="s">
        <v>14798</v>
      </c>
      <c r="AB2388" s="11" t="str">
        <f>_xlfn.XLOOKUP(Customer[[#This Row],[Customer ID]],[1]!Address[ID],[1]!Address[Subtype])</f>
        <v>PEDAS</v>
      </c>
      <c r="AC2388" s="18" t="str">
        <f>_xlfn.XLOOKUP(Customer[[#This Row],[Customer ID]],[1]!Address[ID],[1]!Address[Zone])</f>
        <v>SOUTH</v>
      </c>
    </row>
    <row r="2389" spans="1:29" x14ac:dyDescent="0.3">
      <c r="A2389" s="10" t="s">
        <v>14799</v>
      </c>
      <c r="B2389" s="11" t="str">
        <f>_xlfn.XLOOKUP(Customer[[#This Row],[Customer ID]],[1]!Name[ID],[1]!Name[Description(1)])</f>
        <v>WAN NU-RULHUDA BINTI WAN IKMAL HISHAM</v>
      </c>
      <c r="C2389" s="11" t="str">
        <f>_xlfn.XLOOKUP(Customer[[#This Row],[Customer ID]],[1]!Name[ID],[1]!Name[Description(2)])</f>
        <v/>
      </c>
      <c r="D2389" s="11" t="str">
        <f>_xlfn.XLOOKUP(Customer[[#This Row],[Customer ID]],[1]!Address[ID],[1]!Address[PIC])</f>
        <v/>
      </c>
      <c r="E2389" s="11" t="str">
        <f>_xlfn.XLOOKUP(Customer[[#This Row],[Customer ID]],[1]!Address[ID],[1]!Address[Full Address])</f>
        <v>WISMA WANIJA, 124 A,JALAN PERINDUSTRIAN SENAWANG,71450, SEREMBAN, NEGERI SEMBILAN</v>
      </c>
      <c r="F2389" s="12" t="s">
        <v>14800</v>
      </c>
      <c r="G2389" s="12" t="s">
        <v>14801</v>
      </c>
      <c r="H2389" s="12" t="s">
        <v>2377</v>
      </c>
      <c r="I2389" s="12" t="b">
        <f>ISNUMBER(VALUE(LEFT(Customer[[#This Row],[Address Line 3 (30 char)]],1)))</f>
        <v>0</v>
      </c>
      <c r="J2389" s="12" t="s">
        <v>203</v>
      </c>
      <c r="K2389" s="12">
        <v>71450</v>
      </c>
      <c r="L2389" s="12" t="s">
        <v>35</v>
      </c>
      <c r="M2389" s="13" t="e">
        <v>#N/A</v>
      </c>
      <c r="N2389" s="14" t="e">
        <v>#N/A</v>
      </c>
      <c r="O2389" s="14" t="e">
        <v>#N/A</v>
      </c>
      <c r="P2389" s="14" t="e">
        <v>#N/A</v>
      </c>
      <c r="Q2389" s="19" t="s">
        <v>14802</v>
      </c>
      <c r="R2389" s="15" t="s">
        <v>14803</v>
      </c>
      <c r="S2389" s="16" t="s">
        <v>89</v>
      </c>
      <c r="T2389" s="16" t="s">
        <v>89</v>
      </c>
      <c r="U2389" s="11" t="str">
        <f>_xlfn.XLOOKUP(Customer[[#This Row],[Customer ID]],[1]!Address[ID],[1]!Address[Phone No.(2)])</f>
        <v/>
      </c>
      <c r="V2389" s="11" t="str">
        <f>_xlfn.XLOOKUP(Customer[[#This Row],[Customer ID]],[1]!Address[ID],[1]!Address[Type])</f>
        <v>WALK IN</v>
      </c>
      <c r="W2389" s="11" t="str">
        <f>_xlfn.XLOOKUP(Customer[[#This Row],[Customer ID]],[1]!Address[ID],[1]!Address[CT])</f>
        <v/>
      </c>
      <c r="X2389" s="11"/>
      <c r="Y2389" s="17" t="s">
        <v>6284</v>
      </c>
      <c r="Z2389" s="17" t="e">
        <f>_xlfn.XLOOKUP(Customer[[#This Row],[NewType]],$AF$36:$AF$54,$AG$36:$AG$54)</f>
        <v>#N/A</v>
      </c>
      <c r="AA2389" s="17" t="s">
        <v>14804</v>
      </c>
      <c r="AB2389" s="11" t="str">
        <f>_xlfn.XLOOKUP(Customer[[#This Row],[Customer ID]],[1]!Address[ID],[1]!Address[Subtype])</f>
        <v>PEDAS</v>
      </c>
      <c r="AC2389" s="18" t="str">
        <f>_xlfn.XLOOKUP(Customer[[#This Row],[Customer ID]],[1]!Address[ID],[1]!Address[Zone])</f>
        <v>SOUTH</v>
      </c>
    </row>
    <row r="2390" spans="1:29" x14ac:dyDescent="0.3">
      <c r="A2390" s="10" t="s">
        <v>14805</v>
      </c>
      <c r="B2390" s="11" t="str">
        <f>_xlfn.XLOOKUP(Customer[[#This Row],[Customer ID]],[1]!Name[ID],[1]!Name[Description(1)])</f>
        <v>DZULKARNAIN BIN DARLIE</v>
      </c>
      <c r="C2390" s="11" t="str">
        <f>_xlfn.XLOOKUP(Customer[[#This Row],[Customer ID]],[1]!Name[ID],[1]!Name[Description(2)])</f>
        <v>WAREHOUSE PEDAS</v>
      </c>
      <c r="D2390" s="11" t="str">
        <f>_xlfn.XLOOKUP(Customer[[#This Row],[Customer ID]],[1]!Address[ID],[1]!Address[PIC])</f>
        <v>DZULKARNAIN</v>
      </c>
      <c r="E2390" s="11" t="str">
        <f>_xlfn.XLOOKUP(Customer[[#This Row],[Customer ID]],[1]!Address[ID],[1]!Address[Full Address])</f>
        <v>PT 14352 KAMPUNG PASIR TENGAHJALAN LINSOM RANTAU 71200NEGERI SEMBILAN</v>
      </c>
      <c r="F2390" s="12" t="s">
        <v>14806</v>
      </c>
      <c r="G2390" s="12" t="s">
        <v>14807</v>
      </c>
      <c r="H2390" s="12"/>
      <c r="I2390" s="12" t="b">
        <f>ISNUMBER(VALUE(LEFT(Customer[[#This Row],[Address Line 3 (30 char)]],1)))</f>
        <v>0</v>
      </c>
      <c r="J2390" s="12" t="s">
        <v>2004</v>
      </c>
      <c r="K2390" s="12">
        <v>71200</v>
      </c>
      <c r="L2390" s="12" t="s">
        <v>35</v>
      </c>
      <c r="M2390" s="13" t="e">
        <v>#N/A</v>
      </c>
      <c r="N2390" s="14" t="e">
        <v>#N/A</v>
      </c>
      <c r="O2390" s="14" t="e">
        <v>#N/A</v>
      </c>
      <c r="P2390" s="14" t="e">
        <v>#N/A</v>
      </c>
      <c r="Q2390" s="19" t="s">
        <v>14808</v>
      </c>
      <c r="R2390" s="15" t="s">
        <v>14809</v>
      </c>
      <c r="S2390" s="16" t="s">
        <v>89</v>
      </c>
      <c r="T2390" s="16" t="s">
        <v>89</v>
      </c>
      <c r="U2390" s="11" t="str">
        <f>_xlfn.XLOOKUP(Customer[[#This Row],[Customer ID]],[1]!Address[ID],[1]!Address[Phone No.(2)])</f>
        <v/>
      </c>
      <c r="V2390" s="11" t="str">
        <f>_xlfn.XLOOKUP(Customer[[#This Row],[Customer ID]],[1]!Address[ID],[1]!Address[Type])</f>
        <v>WALK IN</v>
      </c>
      <c r="W2390" s="11" t="str">
        <f>_xlfn.XLOOKUP(Customer[[#This Row],[Customer ID]],[1]!Address[ID],[1]!Address[CT])</f>
        <v/>
      </c>
      <c r="X2390" s="11"/>
      <c r="Y2390" s="17" t="s">
        <v>6284</v>
      </c>
      <c r="Z2390" s="17" t="e">
        <f>_xlfn.XLOOKUP(Customer[[#This Row],[NewType]],$AF$36:$AF$54,$AG$36:$AG$54)</f>
        <v>#N/A</v>
      </c>
      <c r="AA2390" s="17" t="s">
        <v>14810</v>
      </c>
      <c r="AB2390" s="11" t="str">
        <f>_xlfn.XLOOKUP(Customer[[#This Row],[Customer ID]],[1]!Address[ID],[1]!Address[Subtype])</f>
        <v>STAFF</v>
      </c>
      <c r="AC2390" s="18" t="str">
        <f>_xlfn.XLOOKUP(Customer[[#This Row],[Customer ID]],[1]!Address[ID],[1]!Address[Zone])</f>
        <v>NORTH</v>
      </c>
    </row>
    <row r="2391" spans="1:29" x14ac:dyDescent="0.3">
      <c r="A2391" s="27" t="s">
        <v>14811</v>
      </c>
      <c r="B2391" s="28" t="str">
        <f>_xlfn.XLOOKUP(Customer[[#This Row],[Customer ID]],[1]!Name[ID],[1]!Name[Description(1)])</f>
        <v>PERNIAGAAN MM AFDAL</v>
      </c>
      <c r="C2391" s="11" t="str">
        <f>_xlfn.XLOOKUP(Customer[[#This Row],[Customer ID]],[1]!Name[ID],[1]!Name[Description(2)])</f>
        <v>PS LENCONGAN BARAT</v>
      </c>
      <c r="D2391" s="11" t="str">
        <f>_xlfn.XLOOKUP(Customer[[#This Row],[Customer ID]],[1]!Address[ID],[1]!Address[PIC])</f>
        <v/>
      </c>
      <c r="E2391" s="11" t="str">
        <f>_xlfn.XLOOKUP(Customer[[#This Row],[Customer ID]],[1]!Address[ID],[1]!Address[Full Address])</f>
        <v>PS LENCONGAN BARATLOT 5418, JALAN DATO SYED OMAR05400 ALOR SETAR, KEDAH DARUL AMAN</v>
      </c>
      <c r="F2391" s="12" t="s">
        <v>14812</v>
      </c>
      <c r="G2391" s="12" t="s">
        <v>2335</v>
      </c>
      <c r="H2391" s="12"/>
      <c r="I2391" s="12" t="b">
        <f>ISNUMBER(VALUE(LEFT(Customer[[#This Row],[Address Line 3 (30 char)]],1)))</f>
        <v>0</v>
      </c>
      <c r="J2391" s="12" t="s">
        <v>79</v>
      </c>
      <c r="K2391" s="30" t="s">
        <v>3202</v>
      </c>
      <c r="L2391" s="12" t="s">
        <v>35</v>
      </c>
      <c r="M2391" s="13" t="e">
        <v>#N/A</v>
      </c>
      <c r="N2391" s="14" t="e">
        <v>#N/A</v>
      </c>
      <c r="O2391" s="14" t="e">
        <v>#N/A</v>
      </c>
      <c r="P2391" s="14" t="e">
        <v>#N/A</v>
      </c>
      <c r="Q2391" s="19" t="s">
        <v>14813</v>
      </c>
      <c r="R2391" s="15" t="s">
        <v>14814</v>
      </c>
      <c r="S2391" s="15" t="s">
        <v>37</v>
      </c>
      <c r="T2391" s="16" t="s">
        <v>38</v>
      </c>
      <c r="U2391" s="11" t="str">
        <f>_xlfn.XLOOKUP(Customer[[#This Row],[Customer ID]],[1]!Address[ID],[1]!Address[Phone No.(2)])</f>
        <v/>
      </c>
      <c r="V2391" s="11" t="str">
        <f>_xlfn.XLOOKUP(Customer[[#This Row],[Customer ID]],[1]!Address[ID],[1]!Address[Type])</f>
        <v>PETROMART</v>
      </c>
      <c r="W2391" s="11" t="str">
        <f>_xlfn.XLOOKUP(Customer[[#This Row],[Customer ID]],[1]!Address[ID],[1]!Address[CT])</f>
        <v>30</v>
      </c>
      <c r="X2391" s="11" t="s">
        <v>39</v>
      </c>
      <c r="Y2391" s="17" t="s">
        <v>40</v>
      </c>
      <c r="Z2391" s="17" t="e">
        <f>_xlfn.XLOOKUP(Customer[[#This Row],[NewType]],$AF$36:$AF$54,$AG$36:$AG$54)</f>
        <v>#N/A</v>
      </c>
      <c r="AA2391" s="17" t="s">
        <v>14815</v>
      </c>
      <c r="AB2391" s="11" t="str">
        <f>_xlfn.XLOOKUP(Customer[[#This Row],[Customer ID]],[1]!Address[ID],[1]!Address[Subtype])</f>
        <v>PETRONAS</v>
      </c>
      <c r="AC2391" s="18" t="str">
        <f>_xlfn.XLOOKUP(Customer[[#This Row],[Customer ID]],[1]!Address[ID],[1]!Address[Zone])</f>
        <v>NORTH</v>
      </c>
    </row>
    <row r="2392" spans="1:29" x14ac:dyDescent="0.3">
      <c r="A2392" s="10" t="s">
        <v>14816</v>
      </c>
      <c r="B2392" s="11" t="str">
        <f>_xlfn.XLOOKUP(Customer[[#This Row],[Customer ID]],[1]!Name[ID],[1]!Name[Description(1)])</f>
        <v>PEJABAT MENTERI EKONOMI PUTRAJAYA</v>
      </c>
      <c r="C2392" s="11" t="str">
        <f>_xlfn.XLOOKUP(Customer[[#This Row],[Customer ID]],[1]!Name[ID],[1]!Name[Description(2)])</f>
        <v/>
      </c>
      <c r="D2392" s="11" t="str">
        <f>_xlfn.XLOOKUP(Customer[[#This Row],[Customer ID]],[1]!Address[ID],[1]!Address[PIC])</f>
        <v/>
      </c>
      <c r="E2392" s="11" t="str">
        <f>_xlfn.XLOOKUP(Customer[[#This Row],[Customer ID]],[1]!Address[ID],[1]!Address[Full Address])</f>
        <v>ARAS 8,MENARA PRISMA,NO 26 PERSIARAN PERDANA,PRESINT 3,PUSAT PENTADBIRAN KERAJAAN PERSEKUTUAN,62675 PUTRAJAYA</v>
      </c>
      <c r="F2392" s="12" t="s">
        <v>14817</v>
      </c>
      <c r="G2392" s="12" t="s">
        <v>14818</v>
      </c>
      <c r="H2392" s="12" t="s">
        <v>14819</v>
      </c>
      <c r="I2392" s="12" t="b">
        <f>ISNUMBER(VALUE(LEFT(Customer[[#This Row],[Address Line 3 (30 char)]],1)))</f>
        <v>0</v>
      </c>
      <c r="J2392" s="12" t="s">
        <v>1907</v>
      </c>
      <c r="K2392" s="12">
        <v>62675</v>
      </c>
      <c r="L2392" s="12" t="s">
        <v>35</v>
      </c>
      <c r="M2392" s="13" t="e">
        <v>#N/A</v>
      </c>
      <c r="N2392" s="14" t="e">
        <v>#N/A</v>
      </c>
      <c r="O2392" s="14" t="e">
        <v>#N/A</v>
      </c>
      <c r="P2392" s="14" t="e">
        <v>#N/A</v>
      </c>
      <c r="Q2392" s="19" t="s">
        <v>14820</v>
      </c>
      <c r="R2392" s="15" t="s">
        <v>14821</v>
      </c>
      <c r="S2392" s="15" t="s">
        <v>5934</v>
      </c>
      <c r="T2392" s="16"/>
      <c r="U2392" s="11" t="str">
        <f>_xlfn.XLOOKUP(Customer[[#This Row],[Customer ID]],[1]!Address[ID],[1]!Address[Phone No.(2)])</f>
        <v/>
      </c>
      <c r="V2392" s="11" t="str">
        <f>_xlfn.XLOOKUP(Customer[[#This Row],[Customer ID]],[1]!Address[ID],[1]!Address[Type])</f>
        <v>CORPORATE</v>
      </c>
      <c r="W2392" s="11" t="str">
        <f>_xlfn.XLOOKUP(Customer[[#This Row],[Customer ID]],[1]!Address[ID],[1]!Address[CT])</f>
        <v>CASH</v>
      </c>
      <c r="X2392" s="11"/>
      <c r="Y2392" s="17" t="s">
        <v>6418</v>
      </c>
      <c r="Z2392" s="17" t="e">
        <f>_xlfn.XLOOKUP(Customer[[#This Row],[NewType]],$AF$36:$AF$54,$AG$36:$AG$54)</f>
        <v>#N/A</v>
      </c>
      <c r="AA2392" s="17" t="s">
        <v>14822</v>
      </c>
      <c r="AB2392" s="11" t="str">
        <f>_xlfn.XLOOKUP(Customer[[#This Row],[Customer ID]],[1]!Address[ID],[1]!Address[Subtype])</f>
        <v>PEJ.MEN.EKO</v>
      </c>
      <c r="AC2392" s="18" t="str">
        <f>_xlfn.XLOOKUP(Customer[[#This Row],[Customer ID]],[1]!Address[ID],[1]!Address[Zone])</f>
        <v>CENTRAL</v>
      </c>
    </row>
    <row r="2393" spans="1:29" x14ac:dyDescent="0.3">
      <c r="A2393" s="10" t="s">
        <v>14823</v>
      </c>
      <c r="B2393" s="11" t="str">
        <f>_xlfn.XLOOKUP(Customer[[#This Row],[Customer ID]],[1]!Name[ID],[1]!Name[Description(1)])</f>
        <v>NURNAZATUL AZMA BINTI SUBOH</v>
      </c>
      <c r="C2393" s="11" t="str">
        <f>_xlfn.XLOOKUP(Customer[[#This Row],[Customer ID]],[1]!Name[ID],[1]!Name[Description(2)])</f>
        <v/>
      </c>
      <c r="D2393" s="11" t="str">
        <f>_xlfn.XLOOKUP(Customer[[#This Row],[Customer ID]],[1]!Address[ID],[1]!Address[PIC])</f>
        <v/>
      </c>
      <c r="E2393" s="11" t="str">
        <f>_xlfn.XLOOKUP(Customer[[#This Row],[Customer ID]],[1]!Address[ID],[1]!Address[Full Address])</f>
        <v>1676 KUARTERS BALAI POLIS KUALA SAWAH,71200, RANTAU, NEGERI SEMBILAN.</v>
      </c>
      <c r="F2393" s="12" t="s">
        <v>14824</v>
      </c>
      <c r="G2393" s="12" t="s">
        <v>6735</v>
      </c>
      <c r="H2393" s="12" t="s">
        <v>6428</v>
      </c>
      <c r="I2393" s="12" t="b">
        <f>ISNUMBER(VALUE(LEFT(Customer[[#This Row],[Address Line 3 (30 char)]],1)))</f>
        <v>0</v>
      </c>
      <c r="J2393" s="12" t="s">
        <v>203</v>
      </c>
      <c r="K2393" s="12">
        <v>71200</v>
      </c>
      <c r="L2393" s="12" t="s">
        <v>35</v>
      </c>
      <c r="M2393" s="13" t="e">
        <v>#N/A</v>
      </c>
      <c r="N2393" s="14" t="e">
        <v>#N/A</v>
      </c>
      <c r="O2393" s="14" t="e">
        <v>#N/A</v>
      </c>
      <c r="P2393" s="14" t="e">
        <v>#N/A</v>
      </c>
      <c r="Q2393" s="19" t="s">
        <v>14825</v>
      </c>
      <c r="R2393" s="15" t="s">
        <v>14826</v>
      </c>
      <c r="S2393" s="16" t="s">
        <v>89</v>
      </c>
      <c r="T2393" s="16" t="s">
        <v>89</v>
      </c>
      <c r="U2393" s="11" t="str">
        <f>_xlfn.XLOOKUP(Customer[[#This Row],[Customer ID]],[1]!Address[ID],[1]!Address[Phone No.(2)])</f>
        <v/>
      </c>
      <c r="V2393" s="11" t="str">
        <f>_xlfn.XLOOKUP(Customer[[#This Row],[Customer ID]],[1]!Address[ID],[1]!Address[Type])</f>
        <v>WALK IN</v>
      </c>
      <c r="W2393" s="11" t="str">
        <f>_xlfn.XLOOKUP(Customer[[#This Row],[Customer ID]],[1]!Address[ID],[1]!Address[CT])</f>
        <v/>
      </c>
      <c r="X2393" s="11"/>
      <c r="Y2393" s="17" t="s">
        <v>6284</v>
      </c>
      <c r="Z2393" s="17" t="e">
        <f>_xlfn.XLOOKUP(Customer[[#This Row],[NewType]],$AF$36:$AF$54,$AG$36:$AG$54)</f>
        <v>#N/A</v>
      </c>
      <c r="AA2393" s="17" t="s">
        <v>14827</v>
      </c>
      <c r="AB2393" s="11" t="str">
        <f>_xlfn.XLOOKUP(Customer[[#This Row],[Customer ID]],[1]!Address[ID],[1]!Address[Subtype])</f>
        <v>PEDAS</v>
      </c>
      <c r="AC2393" s="18" t="str">
        <f>_xlfn.XLOOKUP(Customer[[#This Row],[Customer ID]],[1]!Address[ID],[1]!Address[Zone])</f>
        <v>SOUTH</v>
      </c>
    </row>
    <row r="2394" spans="1:29" x14ac:dyDescent="0.3">
      <c r="A2394" s="124" t="s">
        <v>14828</v>
      </c>
      <c r="B2394" s="11" t="str">
        <f>_xlfn.XLOOKUP(Customer[[#This Row],[Customer ID]],[1]!Name[ID],[1]!Name[Description(1)])</f>
        <v>KAMARUL ZAINI BIN ABDUL SAMAT</v>
      </c>
      <c r="C2394" s="11" t="str">
        <f>_xlfn.XLOOKUP(Customer[[#This Row],[Customer ID]],[1]!Name[ID],[1]!Name[Description(2)])</f>
        <v/>
      </c>
      <c r="D2394" s="11" t="str">
        <f>_xlfn.XLOOKUP(Customer[[#This Row],[Customer ID]],[1]!Address[ID],[1]!Address[PIC])</f>
        <v>KAMARUL ZAINI</v>
      </c>
      <c r="E2394" s="11" t="str">
        <f>_xlfn.XLOOKUP(Customer[[#This Row],[Customer ID]],[1]!Address[ID],[1]!Address[Full Address])</f>
        <v>14, JALAN SUBANG PERMAI U6/6,DESA SUBANG PERMAI U6, 40150SHAH ALAM, SELANGOR</v>
      </c>
      <c r="F2394" s="12" t="s">
        <v>14829</v>
      </c>
      <c r="G2394" s="12" t="s">
        <v>14830</v>
      </c>
      <c r="H2394" s="12" t="s">
        <v>4488</v>
      </c>
      <c r="I2394" s="12" t="b">
        <f>ISNUMBER(VALUE(LEFT(Customer[[#This Row],[Address Line 3 (30 char)]],1)))</f>
        <v>0</v>
      </c>
      <c r="J2394" s="12" t="s">
        <v>1907</v>
      </c>
      <c r="K2394" s="12">
        <v>40150</v>
      </c>
      <c r="L2394" s="12" t="s">
        <v>35</v>
      </c>
      <c r="M2394" s="13" t="e">
        <v>#N/A</v>
      </c>
      <c r="N2394" s="14" t="e">
        <v>#N/A</v>
      </c>
      <c r="O2394" s="14" t="e">
        <v>#N/A</v>
      </c>
      <c r="P2394" s="14" t="e">
        <v>#N/A</v>
      </c>
      <c r="Q2394" s="19" t="s">
        <v>14831</v>
      </c>
      <c r="R2394" s="15" t="s">
        <v>14832</v>
      </c>
      <c r="S2394" s="15" t="s">
        <v>4271</v>
      </c>
      <c r="T2394" s="16" t="s">
        <v>89</v>
      </c>
      <c r="U2394" s="11" t="str">
        <f>_xlfn.XLOOKUP(Customer[[#This Row],[Customer ID]],[1]!Address[ID],[1]!Address[Phone No.(2)])</f>
        <v/>
      </c>
      <c r="V2394" s="11" t="str">
        <f>_xlfn.XLOOKUP(Customer[[#This Row],[Customer ID]],[1]!Address[ID],[1]!Address[Type])</f>
        <v>SOCMED</v>
      </c>
      <c r="W2394" s="11" t="str">
        <f>_xlfn.XLOOKUP(Customer[[#This Row],[Customer ID]],[1]!Address[ID],[1]!Address[CT])</f>
        <v/>
      </c>
      <c r="X2394" s="11"/>
      <c r="Y2394" s="17" t="s">
        <v>90</v>
      </c>
      <c r="Z2394" s="17" t="e">
        <f>_xlfn.XLOOKUP(Customer[[#This Row],[NewType]],$AF$36:$AF$54,$AG$36:$AG$54)</f>
        <v>#N/A</v>
      </c>
      <c r="AA2394" s="17" t="s">
        <v>14833</v>
      </c>
      <c r="AB2394" s="11" t="str">
        <f>_xlfn.XLOOKUP(Customer[[#This Row],[Customer ID]],[1]!Address[ID],[1]!Address[Subtype])</f>
        <v>WHATSAPP</v>
      </c>
      <c r="AC2394" s="18" t="str">
        <f>_xlfn.XLOOKUP(Customer[[#This Row],[Customer ID]],[1]!Address[ID],[1]!Address[Zone])</f>
        <v>CENTRAL</v>
      </c>
    </row>
    <row r="2395" spans="1:29" x14ac:dyDescent="0.3">
      <c r="A2395" s="124" t="s">
        <v>14834</v>
      </c>
      <c r="B2395" s="11" t="str">
        <f>_xlfn.XLOOKUP(Customer[[#This Row],[Customer ID]],[1]!Name[ID],[1]!Name[Description(1)])</f>
        <v>NAJIHAH HAZIZAN TRADING &amp; SERVICES</v>
      </c>
      <c r="C2395" s="11" t="str">
        <f>_xlfn.XLOOKUP(Customer[[#This Row],[Customer ID]],[1]!Name[ID],[1]!Name[Description(2)])</f>
        <v/>
      </c>
      <c r="D2395" s="11" t="str">
        <f>_xlfn.XLOOKUP(Customer[[#This Row],[Customer ID]],[1]!Address[ID],[1]!Address[PIC])</f>
        <v/>
      </c>
      <c r="E2395" s="11" t="str">
        <f>_xlfn.XLOOKUP(Customer[[#This Row],[Customer ID]],[1]!Address[ID],[1]!Address[Full Address])</f>
        <v>NO 5,JALAN PROGRESIF 1,TAMAN PROGRESIF,01000 KANGAR,PERLIS</v>
      </c>
      <c r="F2395" s="12" t="s">
        <v>14835</v>
      </c>
      <c r="G2395" s="12" t="s">
        <v>14836</v>
      </c>
      <c r="H2395" s="12" t="s">
        <v>10758</v>
      </c>
      <c r="I2395" s="12" t="b">
        <f>ISNUMBER(VALUE(LEFT(Customer[[#This Row],[Address Line 3 (30 char)]],1)))</f>
        <v>0</v>
      </c>
      <c r="J2395" s="12" t="s">
        <v>984</v>
      </c>
      <c r="K2395" s="20" t="s">
        <v>985</v>
      </c>
      <c r="L2395" s="12" t="s">
        <v>35</v>
      </c>
      <c r="M2395" s="13" t="e">
        <v>#N/A</v>
      </c>
      <c r="N2395" s="14" t="e">
        <v>#N/A</v>
      </c>
      <c r="O2395" s="14" t="e">
        <v>#N/A</v>
      </c>
      <c r="P2395" s="14" t="e">
        <v>#N/A</v>
      </c>
      <c r="Q2395" s="19" t="s">
        <v>14837</v>
      </c>
      <c r="R2395" s="15" t="s">
        <v>9051</v>
      </c>
      <c r="S2395" s="15" t="s">
        <v>5917</v>
      </c>
      <c r="T2395" s="16" t="s">
        <v>3477</v>
      </c>
      <c r="U2395" s="11" t="str">
        <f>_xlfn.XLOOKUP(Customer[[#This Row],[Customer ID]],[1]!Address[ID],[1]!Address[Phone No.(2)])</f>
        <v/>
      </c>
      <c r="V2395" s="11" t="str">
        <f>_xlfn.XLOOKUP(Customer[[#This Row],[Customer ID]],[1]!Address[ID],[1]!Address[Type])</f>
        <v>CM</v>
      </c>
      <c r="W2395" s="11" t="str">
        <f>_xlfn.XLOOKUP(Customer[[#This Row],[Customer ID]],[1]!Address[ID],[1]!Address[CT])</f>
        <v>CASH</v>
      </c>
      <c r="X2395" s="11"/>
      <c r="Y2395" s="17" t="s">
        <v>5918</v>
      </c>
      <c r="Z2395" s="17" t="e">
        <f>_xlfn.XLOOKUP(Customer[[#This Row],[NewType]],$AF$36:$AF$54,$AG$36:$AG$54)</f>
        <v>#N/A</v>
      </c>
      <c r="AA2395" s="17" t="s">
        <v>14838</v>
      </c>
      <c r="AB2395" s="11" t="str">
        <f>_xlfn.XLOOKUP(Customer[[#This Row],[Customer ID]],[1]!Address[ID],[1]!Address[Subtype])</f>
        <v>NAJIHAH</v>
      </c>
      <c r="AC2395" s="18" t="str">
        <f>_xlfn.XLOOKUP(Customer[[#This Row],[Customer ID]],[1]!Address[ID],[1]!Address[Zone])</f>
        <v>NORTH</v>
      </c>
    </row>
    <row r="2396" spans="1:29" x14ac:dyDescent="0.3">
      <c r="A2396" s="124" t="s">
        <v>14839</v>
      </c>
      <c r="B2396" s="11" t="str">
        <f>_xlfn.XLOOKUP(Customer[[#This Row],[Customer ID]],[1]!Name[ID],[1]!Name[Description(1)])</f>
        <v>MOHD AZAN BIN SARANON</v>
      </c>
      <c r="C2396" s="11" t="str">
        <f>_xlfn.XLOOKUP(Customer[[#This Row],[Customer ID]],[1]!Name[ID],[1]!Name[Description(2)])</f>
        <v/>
      </c>
      <c r="D2396" s="11" t="str">
        <f>_xlfn.XLOOKUP(Customer[[#This Row],[Customer ID]],[1]!Address[ID],[1]!Address[PIC])</f>
        <v>MOHD AZAN</v>
      </c>
      <c r="E2396" s="11" t="str">
        <f>_xlfn.XLOOKUP(Customer[[#This Row],[Customer ID]],[1]!Address[ID],[1]!Address[Full Address])</f>
        <v>ISTANA MESTIKA, SEKSYEN 7, 40000SHAH ALAM, SELANGOR</v>
      </c>
      <c r="F2396" s="63" t="s">
        <v>14840</v>
      </c>
      <c r="G2396" s="63" t="s">
        <v>4503</v>
      </c>
      <c r="H2396" s="63" t="s">
        <v>4488</v>
      </c>
      <c r="I2396" s="63" t="b">
        <f>ISNUMBER(VALUE(LEFT(Customer[[#This Row],[Address Line 3 (30 char)]],1)))</f>
        <v>0</v>
      </c>
      <c r="J2396" s="63" t="s">
        <v>172</v>
      </c>
      <c r="K2396" s="63">
        <v>40000</v>
      </c>
      <c r="L2396" s="63" t="s">
        <v>35</v>
      </c>
      <c r="M2396" s="65" t="e">
        <v>#N/A</v>
      </c>
      <c r="N2396" s="66" t="e">
        <v>#N/A</v>
      </c>
      <c r="O2396" s="66" t="e">
        <v>#N/A</v>
      </c>
      <c r="P2396" s="66" t="e">
        <v>#N/A</v>
      </c>
      <c r="Q2396" s="110" t="s">
        <v>14841</v>
      </c>
      <c r="R2396" s="15" t="s">
        <v>14842</v>
      </c>
      <c r="S2396" s="15" t="s">
        <v>4271</v>
      </c>
      <c r="T2396" s="16" t="s">
        <v>89</v>
      </c>
      <c r="U2396" s="11" t="str">
        <f>_xlfn.XLOOKUP(Customer[[#This Row],[Customer ID]],[1]!Address[ID],[1]!Address[Phone No.(2)])</f>
        <v/>
      </c>
      <c r="V2396" s="11" t="str">
        <f>_xlfn.XLOOKUP(Customer[[#This Row],[Customer ID]],[1]!Address[ID],[1]!Address[Type])</f>
        <v>SOCMED</v>
      </c>
      <c r="W2396" s="11" t="str">
        <f>_xlfn.XLOOKUP(Customer[[#This Row],[Customer ID]],[1]!Address[ID],[1]!Address[CT])</f>
        <v/>
      </c>
      <c r="X2396" s="11"/>
      <c r="Y2396" s="17" t="s">
        <v>90</v>
      </c>
      <c r="Z2396" s="17" t="e">
        <f>_xlfn.XLOOKUP(Customer[[#This Row],[NewType]],$AF$36:$AF$54,$AG$36:$AG$54)</f>
        <v>#N/A</v>
      </c>
      <c r="AA2396" s="17" t="s">
        <v>14843</v>
      </c>
      <c r="AB2396" s="11" t="str">
        <f>_xlfn.XLOOKUP(Customer[[#This Row],[Customer ID]],[1]!Address[ID],[1]!Address[Subtype])</f>
        <v>WHATSAPP</v>
      </c>
      <c r="AC2396" s="18" t="str">
        <f>_xlfn.XLOOKUP(Customer[[#This Row],[Customer ID]],[1]!Address[ID],[1]!Address[Zone])</f>
        <v>CENTRAL</v>
      </c>
    </row>
    <row r="2397" spans="1:29" x14ac:dyDescent="0.3">
      <c r="A2397" s="124" t="s">
        <v>14844</v>
      </c>
      <c r="B2397" s="11" t="str">
        <f>_xlfn.XLOOKUP(Customer[[#This Row],[Customer ID]],[1]!Name[ID],[1]!Name[Description(1)])</f>
        <v>MOHD UWAIS ALQURNI BIN SUKRI</v>
      </c>
      <c r="C2397" s="11" t="str">
        <f>_xlfn.XLOOKUP(Customer[[#This Row],[Customer ID]],[1]!Name[ID],[1]!Name[Description(2)])</f>
        <v>(PRODUCTION KILANG BOTOL)</v>
      </c>
      <c r="D2397" s="11" t="str">
        <f>_xlfn.XLOOKUP(Customer[[#This Row],[Customer ID]],[1]!Address[ID],[1]!Address[PIC])</f>
        <v/>
      </c>
      <c r="E2397" s="11" t="str">
        <f>_xlfn.XLOOKUP(Customer[[#This Row],[Customer ID]],[1]!Address[ID],[1]!Address[Full Address])</f>
        <v>576 KM 8 SIMPANG 3,JALAN BATAS PAIP 06600 KUALA KEDAH</v>
      </c>
      <c r="F2397" s="12" t="s">
        <v>14845</v>
      </c>
      <c r="G2397" s="12" t="s">
        <v>14846</v>
      </c>
      <c r="H2397" s="12" t="s">
        <v>14847</v>
      </c>
      <c r="I2397" s="12" t="b">
        <f>ISNUMBER(VALUE(LEFT(Customer[[#This Row],[Address Line 3 (30 char)]],1)))</f>
        <v>0</v>
      </c>
      <c r="J2397" s="12" t="s">
        <v>355</v>
      </c>
      <c r="K2397" s="30" t="s">
        <v>479</v>
      </c>
      <c r="L2397" s="12" t="s">
        <v>35</v>
      </c>
      <c r="M2397" s="13" t="e">
        <v>#N/A</v>
      </c>
      <c r="N2397" s="14" t="e">
        <v>#N/A</v>
      </c>
      <c r="O2397" s="14" t="e">
        <v>#N/A</v>
      </c>
      <c r="P2397" s="14" t="e">
        <v>#N/A</v>
      </c>
      <c r="Q2397" s="19" t="s">
        <v>14848</v>
      </c>
      <c r="R2397" s="15" t="s">
        <v>14849</v>
      </c>
      <c r="S2397" s="16" t="s">
        <v>89</v>
      </c>
      <c r="T2397" s="16" t="s">
        <v>89</v>
      </c>
      <c r="U2397" s="11" t="str">
        <f>_xlfn.XLOOKUP(Customer[[#This Row],[Customer ID]],[1]!Address[ID],[1]!Address[Phone No.(2)])</f>
        <v/>
      </c>
      <c r="V2397" s="11" t="str">
        <f>_xlfn.XLOOKUP(Customer[[#This Row],[Customer ID]],[1]!Address[ID],[1]!Address[Type])</f>
        <v>WALK IN</v>
      </c>
      <c r="W2397" s="11" t="str">
        <f>_xlfn.XLOOKUP(Customer[[#This Row],[Customer ID]],[1]!Address[ID],[1]!Address[CT])</f>
        <v/>
      </c>
      <c r="X2397" s="11"/>
      <c r="Y2397" s="17" t="s">
        <v>6284</v>
      </c>
      <c r="Z2397" s="17" t="e">
        <f>_xlfn.XLOOKUP(Customer[[#This Row],[NewType]],$AF$36:$AF$54,$AG$36:$AG$54)</f>
        <v>#N/A</v>
      </c>
      <c r="AA2397" s="17" t="s">
        <v>14850</v>
      </c>
      <c r="AB2397" s="11" t="str">
        <f>_xlfn.XLOOKUP(Customer[[#This Row],[Customer ID]],[1]!Address[ID],[1]!Address[Subtype])</f>
        <v>PEDAS</v>
      </c>
      <c r="AC2397" s="18" t="str">
        <f>_xlfn.XLOOKUP(Customer[[#This Row],[Customer ID]],[1]!Address[ID],[1]!Address[Zone])</f>
        <v>NORTH</v>
      </c>
    </row>
    <row r="2398" spans="1:29" x14ac:dyDescent="0.3">
      <c r="A2398" s="124" t="s">
        <v>14851</v>
      </c>
      <c r="B2398" s="11" t="str">
        <f>_xlfn.XLOOKUP(Customer[[#This Row],[Customer ID]],[1]!Name[ID],[1]!Name[Description(1)])</f>
        <v>FARAH SYAZANA</v>
      </c>
      <c r="C2398" s="11" t="str">
        <f>_xlfn.XLOOKUP(Customer[[#This Row],[Customer ID]],[1]!Name[ID],[1]!Name[Description(2)])</f>
        <v/>
      </c>
      <c r="D2398" s="11" t="str">
        <f>_xlfn.XLOOKUP(Customer[[#This Row],[Customer ID]],[1]!Address[ID],[1]!Address[PIC])</f>
        <v/>
      </c>
      <c r="E2398" s="11" t="str">
        <f>_xlfn.XLOOKUP(Customer[[#This Row],[Customer ID]],[1]!Address[ID],[1]!Address[Full Address])</f>
        <v>LOT 9396, TAMAN GURU MELAYUJLN PAROI-SENAWANG70450, SEREMBAN, N9</v>
      </c>
      <c r="F2398" s="12" t="s">
        <v>14852</v>
      </c>
      <c r="G2398" s="12" t="s">
        <v>14853</v>
      </c>
      <c r="H2398" s="24" t="s">
        <v>2411</v>
      </c>
      <c r="I2398" s="24" t="b">
        <f>ISNUMBER(VALUE(LEFT(Customer[[#This Row],[Address Line 3 (30 char)]],1)))</f>
        <v>0</v>
      </c>
      <c r="J2398" s="12" t="s">
        <v>2004</v>
      </c>
      <c r="K2398" s="12">
        <v>70450</v>
      </c>
      <c r="L2398" s="12" t="s">
        <v>35</v>
      </c>
      <c r="M2398" s="13" t="e">
        <v>#N/A</v>
      </c>
      <c r="N2398" s="14" t="e">
        <v>#N/A</v>
      </c>
      <c r="O2398" s="14" t="e">
        <v>#N/A</v>
      </c>
      <c r="P2398" s="14" t="e">
        <v>#N/A</v>
      </c>
      <c r="Q2398" s="19" t="s">
        <v>14854</v>
      </c>
      <c r="R2398" s="15" t="s">
        <v>14855</v>
      </c>
      <c r="S2398" s="16" t="s">
        <v>89</v>
      </c>
      <c r="T2398" s="16" t="s">
        <v>89</v>
      </c>
      <c r="U2398" s="11" t="str">
        <f>_xlfn.XLOOKUP(Customer[[#This Row],[Customer ID]],[1]!Address[ID],[1]!Address[Phone No.(2)])</f>
        <v/>
      </c>
      <c r="V2398" s="11" t="str">
        <f>_xlfn.XLOOKUP(Customer[[#This Row],[Customer ID]],[1]!Address[ID],[1]!Address[Type])</f>
        <v>WALK IN</v>
      </c>
      <c r="W2398" s="11" t="str">
        <f>_xlfn.XLOOKUP(Customer[[#This Row],[Customer ID]],[1]!Address[ID],[1]!Address[CT])</f>
        <v/>
      </c>
      <c r="X2398" s="11"/>
      <c r="Y2398" s="17" t="s">
        <v>6284</v>
      </c>
      <c r="Z2398" s="17" t="e">
        <f>_xlfn.XLOOKUP(Customer[[#This Row],[NewType]],$AF$36:$AF$54,$AG$36:$AG$54)</f>
        <v>#N/A</v>
      </c>
      <c r="AA2398" s="17" t="s">
        <v>14856</v>
      </c>
      <c r="AB2398" s="11" t="str">
        <f>_xlfn.XLOOKUP(Customer[[#This Row],[Customer ID]],[1]!Address[ID],[1]!Address[Subtype])</f>
        <v>PEDAS</v>
      </c>
      <c r="AC2398" s="18" t="str">
        <f>_xlfn.XLOOKUP(Customer[[#This Row],[Customer ID]],[1]!Address[ID],[1]!Address[Zone])</f>
        <v>SOUTH</v>
      </c>
    </row>
    <row r="2399" spans="1:29" x14ac:dyDescent="0.3">
      <c r="A2399" s="124" t="s">
        <v>14857</v>
      </c>
      <c r="B2399" s="11" t="str">
        <f>_xlfn.XLOOKUP(Customer[[#This Row],[Customer ID]],[1]!Name[ID],[1]!Name[Description(1)])</f>
        <v>MUHAMMAD BAZLI FAIZ BIN NUSRI</v>
      </c>
      <c r="C2399" s="11"/>
      <c r="D2399" s="11" t="str">
        <f>_xlfn.XLOOKUP(Customer[[#This Row],[Customer ID]],[1]!Address[ID],[1]!Address[PIC])</f>
        <v/>
      </c>
      <c r="E2399" s="11" t="str">
        <f>_xlfn.XLOOKUP(Customer[[#This Row],[Customer ID]],[1]!Address[ID],[1]!Address[Full Address])</f>
        <v>NO 75, JALAN BUNGA TANJUNGKAMPUNG BARU AIR HITAM71300 BANDAR SERI JEMPOL N.S</v>
      </c>
      <c r="F2399" s="12" t="s">
        <v>14858</v>
      </c>
      <c r="G2399" s="12" t="s">
        <v>14859</v>
      </c>
      <c r="H2399" s="24" t="s">
        <v>10571</v>
      </c>
      <c r="I2399" s="24" t="b">
        <f>ISNUMBER(VALUE(LEFT(Customer[[#This Row],[Address Line 3 (30 char)]],1)))</f>
        <v>0</v>
      </c>
      <c r="J2399" s="12" t="s">
        <v>2004</v>
      </c>
      <c r="K2399" s="12">
        <v>71300</v>
      </c>
      <c r="L2399" s="12" t="s">
        <v>35</v>
      </c>
      <c r="M2399" s="13" t="e">
        <v>#N/A</v>
      </c>
      <c r="N2399" s="14" t="e">
        <v>#N/A</v>
      </c>
      <c r="O2399" s="14" t="e">
        <v>#N/A</v>
      </c>
      <c r="P2399" s="14" t="e">
        <v>#N/A</v>
      </c>
      <c r="Q2399" s="19" t="s">
        <v>14860</v>
      </c>
      <c r="R2399" s="15" t="s">
        <v>14861</v>
      </c>
      <c r="S2399" s="16" t="s">
        <v>89</v>
      </c>
      <c r="T2399" s="16" t="s">
        <v>89</v>
      </c>
      <c r="U2399" s="11" t="str">
        <f>_xlfn.XLOOKUP(Customer[[#This Row],[Customer ID]],[1]!Address[ID],[1]!Address[Phone No.(2)])</f>
        <v/>
      </c>
      <c r="V2399" s="11" t="str">
        <f>_xlfn.XLOOKUP(Customer[[#This Row],[Customer ID]],[1]!Address[ID],[1]!Address[Type])</f>
        <v>WALK IN</v>
      </c>
      <c r="W2399" s="11" t="str">
        <f>_xlfn.XLOOKUP(Customer[[#This Row],[Customer ID]],[1]!Address[ID],[1]!Address[CT])</f>
        <v/>
      </c>
      <c r="X2399" s="11"/>
      <c r="Y2399" s="17" t="s">
        <v>6284</v>
      </c>
      <c r="Z2399" s="17" t="e">
        <f>_xlfn.XLOOKUP(Customer[[#This Row],[NewType]],$AF$36:$AF$54,$AG$36:$AG$54)</f>
        <v>#N/A</v>
      </c>
      <c r="AA2399" s="17" t="s">
        <v>14862</v>
      </c>
      <c r="AB2399" s="11" t="str">
        <f>_xlfn.XLOOKUP(Customer[[#This Row],[Customer ID]],[1]!Address[ID],[1]!Address[Subtype])</f>
        <v>STAFF</v>
      </c>
      <c r="AC2399" s="18" t="str">
        <f>_xlfn.XLOOKUP(Customer[[#This Row],[Customer ID]],[1]!Address[ID],[1]!Address[Zone])</f>
        <v>SOUTH</v>
      </c>
    </row>
    <row r="2400" spans="1:29" x14ac:dyDescent="0.3">
      <c r="A2400" s="125" t="s">
        <v>14863</v>
      </c>
      <c r="B2400" s="11" t="str">
        <f>_xlfn.XLOOKUP(Customer[[#This Row],[Customer ID]],[1]!Name[ID],[1]!Name[Description(1)])</f>
        <v>PASARAYA K-CERIA (KANGAR) SDN. BHD.</v>
      </c>
      <c r="C2400" s="11" t="str">
        <f>_xlfn.XLOOKUP(Customer[[#This Row],[Customer ID]],[1]!Name[ID],[1]!Name[Description(2)])</f>
        <v/>
      </c>
      <c r="D2400" s="11" t="str">
        <f>_xlfn.XLOOKUP(Customer[[#This Row],[Customer ID]],[1]!Address[ID],[1]!Address[PIC])</f>
        <v/>
      </c>
      <c r="E2400" s="11" t="str">
        <f>_xlfn.XLOOKUP(Customer[[#This Row],[Customer ID]],[1]!Address[ID],[1]!Address[Full Address])</f>
        <v>3,5,7 &amp; 9 JALAN KANGAR-ALOR SETAR,SERIAB,01000 KANGAR PERLIS</v>
      </c>
      <c r="F2400" s="12" t="s">
        <v>14864</v>
      </c>
      <c r="G2400" s="12" t="s">
        <v>14865</v>
      </c>
      <c r="H2400" s="12" t="s">
        <v>10758</v>
      </c>
      <c r="I2400" s="12" t="b">
        <f>ISNUMBER(VALUE(LEFT(Customer[[#This Row],[Address Line 3 (30 char)]],1)))</f>
        <v>0</v>
      </c>
      <c r="J2400" s="12" t="s">
        <v>984</v>
      </c>
      <c r="K2400" s="20" t="s">
        <v>985</v>
      </c>
      <c r="L2400" s="12" t="s">
        <v>35</v>
      </c>
      <c r="M2400" s="13" t="e">
        <v>#N/A</v>
      </c>
      <c r="N2400" s="14" t="e">
        <v>#N/A</v>
      </c>
      <c r="O2400" s="14" t="e">
        <v>#N/A</v>
      </c>
      <c r="P2400" s="14" t="e">
        <v>#N/A</v>
      </c>
      <c r="Q2400" s="19" t="s">
        <v>14866</v>
      </c>
      <c r="R2400" s="15" t="s">
        <v>14867</v>
      </c>
      <c r="S2400" s="15" t="s">
        <v>74</v>
      </c>
      <c r="T2400" s="16" t="s">
        <v>3477</v>
      </c>
      <c r="U2400" s="11" t="str">
        <f>_xlfn.XLOOKUP(Customer[[#This Row],[Customer ID]],[1]!Address[ID],[1]!Address[Phone No.(2)])</f>
        <v/>
      </c>
      <c r="V2400" s="11" t="str">
        <f>_xlfn.XLOOKUP(Customer[[#This Row],[Customer ID]],[1]!Address[ID],[1]!Address[Type])</f>
        <v>HM</v>
      </c>
      <c r="W2400" s="11" t="str">
        <f>_xlfn.XLOOKUP(Customer[[#This Row],[Customer ID]],[1]!Address[ID],[1]!Address[CT])</f>
        <v>CASH</v>
      </c>
      <c r="X2400" s="11"/>
      <c r="Y2400" s="17" t="s">
        <v>5968</v>
      </c>
      <c r="Z2400" s="17" t="e">
        <f>_xlfn.XLOOKUP(Customer[[#This Row],[NewType]],$AF$36:$AF$54,$AG$36:$AG$54)</f>
        <v>#N/A</v>
      </c>
      <c r="AA2400" s="17" t="s">
        <v>14868</v>
      </c>
      <c r="AB2400" s="11" t="str">
        <f>_xlfn.XLOOKUP(Customer[[#This Row],[Customer ID]],[1]!Address[ID],[1]!Address[Subtype])</f>
        <v>PASARAYA K-C</v>
      </c>
      <c r="AC2400" s="18" t="str">
        <f>_xlfn.XLOOKUP(Customer[[#This Row],[Customer ID]],[1]!Address[ID],[1]!Address[Zone])</f>
        <v>NORTH</v>
      </c>
    </row>
    <row r="2401" spans="1:29" x14ac:dyDescent="0.3">
      <c r="A2401" s="125" t="s">
        <v>14869</v>
      </c>
      <c r="B2401" s="11" t="str">
        <f>_xlfn.XLOOKUP(Customer[[#This Row],[Customer ID]],[1]!Name[ID],[1]!Name[Description(1)])</f>
        <v>MUHAMMAD SYAFIQ NAJMI BIN SHAIFULNIZAR</v>
      </c>
      <c r="C2401" s="11" t="str">
        <f>_xlfn.XLOOKUP(Customer[[#This Row],[Customer ID]],[1]!Name[ID],[1]!Name[Description(2)])</f>
        <v>STAFF MAINTENANCE</v>
      </c>
      <c r="D2401" s="11" t="str">
        <f>_xlfn.XLOOKUP(Customer[[#This Row],[Customer ID]],[1]!Address[ID],[1]!Address[PIC])</f>
        <v>SYAFIQ NAJMI</v>
      </c>
      <c r="E2401" s="11" t="str">
        <f>_xlfn.XLOOKUP(Customer[[#This Row],[Customer ID]],[1]!Address[ID],[1]!Address[Full Address])</f>
        <v>LOT 1128 BATU 8 KAMPUNG KUNDUR HILIR71400 PEDAS, NEGERI SEMBILAN</v>
      </c>
      <c r="F2401" s="12" t="s">
        <v>14870</v>
      </c>
      <c r="G2401" s="12" t="s">
        <v>14871</v>
      </c>
      <c r="H2401" s="12" t="s">
        <v>8914</v>
      </c>
      <c r="I2401" s="12" t="b">
        <f>ISNUMBER(VALUE(LEFT(Customer[[#This Row],[Address Line 3 (30 char)]],1)))</f>
        <v>0</v>
      </c>
      <c r="J2401" s="12" t="s">
        <v>203</v>
      </c>
      <c r="K2401" s="12">
        <v>71400</v>
      </c>
      <c r="L2401" s="12" t="s">
        <v>35</v>
      </c>
      <c r="M2401" s="13" t="e">
        <v>#N/A</v>
      </c>
      <c r="N2401" s="14" t="e">
        <v>#N/A</v>
      </c>
      <c r="O2401" s="14" t="e">
        <v>#N/A</v>
      </c>
      <c r="P2401" s="14" t="e">
        <v>#N/A</v>
      </c>
      <c r="Q2401" s="19" t="s">
        <v>14872</v>
      </c>
      <c r="R2401" s="15" t="s">
        <v>14873</v>
      </c>
      <c r="S2401" s="16" t="s">
        <v>89</v>
      </c>
      <c r="T2401" s="16" t="s">
        <v>89</v>
      </c>
      <c r="U2401" s="11" t="str">
        <f>_xlfn.XLOOKUP(Customer[[#This Row],[Customer ID]],[1]!Address[ID],[1]!Address[Phone No.(2)])</f>
        <v/>
      </c>
      <c r="V2401" s="11" t="str">
        <f>_xlfn.XLOOKUP(Customer[[#This Row],[Customer ID]],[1]!Address[ID],[1]!Address[Type])</f>
        <v>WALK IN</v>
      </c>
      <c r="W2401" s="11" t="str">
        <f>_xlfn.XLOOKUP(Customer[[#This Row],[Customer ID]],[1]!Address[ID],[1]!Address[CT])</f>
        <v/>
      </c>
      <c r="X2401" s="11"/>
      <c r="Y2401" s="17" t="s">
        <v>6284</v>
      </c>
      <c r="Z2401" s="17" t="e">
        <f>_xlfn.XLOOKUP(Customer[[#This Row],[NewType]],$AF$36:$AF$54,$AG$36:$AG$54)</f>
        <v>#N/A</v>
      </c>
      <c r="AA2401" s="17" t="s">
        <v>14874</v>
      </c>
      <c r="AB2401" s="11" t="str">
        <f>_xlfn.XLOOKUP(Customer[[#This Row],[Customer ID]],[1]!Address[ID],[1]!Address[Subtype])</f>
        <v>STAFF</v>
      </c>
      <c r="AC2401" s="18" t="str">
        <f>_xlfn.XLOOKUP(Customer[[#This Row],[Customer ID]],[1]!Address[ID],[1]!Address[Zone])</f>
        <v>SOUTH</v>
      </c>
    </row>
    <row r="2402" spans="1:29" x14ac:dyDescent="0.3">
      <c r="A2402" s="126" t="s">
        <v>14875</v>
      </c>
      <c r="B2402" s="11" t="str">
        <f>_xlfn.XLOOKUP(Customer[[#This Row],[Customer ID]],[1]!Name[ID],[1]!Name[Description(1)])</f>
        <v>IZAH BINTI SULAIMAN</v>
      </c>
      <c r="C2402" s="32" t="str">
        <f>_xlfn.XLOOKUP(Customer[[#This Row],[Customer ID]],[1]!Name[ID],[1]!Name[Description(2)])</f>
        <v/>
      </c>
      <c r="D2402" s="11" t="str">
        <f>_xlfn.XLOOKUP(Customer[[#This Row],[Customer ID]],[1]!Address[ID],[1]!Address[PIC])</f>
        <v/>
      </c>
      <c r="E2402" s="11" t="str">
        <f>_xlfn.XLOOKUP(Customer[[#This Row],[Customer ID]],[1]!Address[ID],[1]!Address[Full Address])</f>
        <v>221,JLN. COLLEGE HEIGHT 4,TMN COLLEGE HEIGHT,SEREMBAN</v>
      </c>
      <c r="F2402" s="12" t="s">
        <v>14876</v>
      </c>
      <c r="G2402" s="12" t="s">
        <v>14877</v>
      </c>
      <c r="H2402" s="12" t="s">
        <v>2411</v>
      </c>
      <c r="I2402" s="12" t="b">
        <f>ISNUMBER(VALUE(LEFT(Customer[[#This Row],[Address Line 3 (30 char)]],1)))</f>
        <v>0</v>
      </c>
      <c r="J2402" s="32" t="s">
        <v>203</v>
      </c>
      <c r="K2402" s="32">
        <v>70400</v>
      </c>
      <c r="L2402" s="12" t="s">
        <v>35</v>
      </c>
      <c r="M2402" s="13" t="e">
        <v>#N/A</v>
      </c>
      <c r="N2402" s="14" t="e">
        <v>#N/A</v>
      </c>
      <c r="O2402" s="14" t="e">
        <v>#N/A</v>
      </c>
      <c r="P2402" s="14" t="e">
        <v>#N/A</v>
      </c>
      <c r="Q2402" s="19" t="s">
        <v>14878</v>
      </c>
      <c r="R2402" s="15" t="s">
        <v>14879</v>
      </c>
      <c r="S2402" s="16" t="s">
        <v>89</v>
      </c>
      <c r="T2402" s="16" t="s">
        <v>89</v>
      </c>
      <c r="U2402" s="11" t="str">
        <f>_xlfn.XLOOKUP(Customer[[#This Row],[Customer ID]],[1]!Address[ID],[1]!Address[Phone No.(2)])</f>
        <v/>
      </c>
      <c r="V2402" s="11" t="str">
        <f>_xlfn.XLOOKUP(Customer[[#This Row],[Customer ID]],[1]!Address[ID],[1]!Address[Type])</f>
        <v>WALK IN</v>
      </c>
      <c r="W2402" s="11" t="str">
        <f>_xlfn.XLOOKUP(Customer[[#This Row],[Customer ID]],[1]!Address[ID],[1]!Address[CT])</f>
        <v/>
      </c>
      <c r="X2402" s="11"/>
      <c r="Y2402" s="17" t="s">
        <v>6284</v>
      </c>
      <c r="Z2402" s="17" t="e">
        <f>_xlfn.XLOOKUP(Customer[[#This Row],[NewType]],$AF$36:$AF$54,$AG$36:$AG$54)</f>
        <v>#N/A</v>
      </c>
      <c r="AA2402" s="17" t="s">
        <v>14880</v>
      </c>
      <c r="AB2402" s="11" t="str">
        <f>_xlfn.XLOOKUP(Customer[[#This Row],[Customer ID]],[1]!Address[ID],[1]!Address[Subtype])</f>
        <v>PEDAS</v>
      </c>
      <c r="AC2402" s="18" t="str">
        <f>_xlfn.XLOOKUP(Customer[[#This Row],[Customer ID]],[1]!Address[ID],[1]!Address[Zone])</f>
        <v>SOUTH</v>
      </c>
    </row>
    <row r="2403" spans="1:29" x14ac:dyDescent="0.3">
      <c r="A2403" s="126" t="s">
        <v>14881</v>
      </c>
      <c r="B2403" s="11" t="str">
        <f>_xlfn.XLOOKUP(Customer[[#This Row],[Customer ID]],[1]!Name[ID],[1]!Name[Description(1)])</f>
        <v>EN HAFIZ</v>
      </c>
      <c r="C2403" s="11" t="str">
        <f>_xlfn.XLOOKUP(Customer[[#This Row],[Customer ID]],[1]!Name[ID],[1]!Name[Description(2)])</f>
        <v/>
      </c>
      <c r="D2403" s="11" t="str">
        <f>_xlfn.XLOOKUP(Customer[[#This Row],[Customer ID]],[1]!Address[ID],[1]!Address[PIC])</f>
        <v/>
      </c>
      <c r="E2403" s="11" t="str">
        <f>_xlfn.XLOOKUP(Customer[[#This Row],[Customer ID]],[1]!Address[ID],[1]!Address[Full Address])</f>
        <v>UNIT 18-19 &amp; 18-20, FATEH GROUPOF COMPANIES (PLAZA AZALEA), PERSIARANBANDARAYA SEKSYEN 14, 40000 SHAHALAM, SELANGOR</v>
      </c>
      <c r="F2403" s="12" t="s">
        <v>14882</v>
      </c>
      <c r="G2403" s="12" t="s">
        <v>14883</v>
      </c>
      <c r="H2403" s="12" t="s">
        <v>14884</v>
      </c>
      <c r="I2403" s="12" t="b">
        <f>ISNUMBER(VALUE(LEFT(Customer[[#This Row],[Address Line 3 (30 char)]],1)))</f>
        <v>0</v>
      </c>
      <c r="J2403" s="12" t="s">
        <v>172</v>
      </c>
      <c r="K2403" s="12">
        <v>40000</v>
      </c>
      <c r="L2403" s="12" t="s">
        <v>35</v>
      </c>
      <c r="M2403" s="13" t="e">
        <v>#N/A</v>
      </c>
      <c r="N2403" s="14" t="e">
        <v>#N/A</v>
      </c>
      <c r="O2403" s="14" t="e">
        <v>#N/A</v>
      </c>
      <c r="P2403" s="14" t="e">
        <v>#N/A</v>
      </c>
      <c r="Q2403" s="14" t="e">
        <v>#N/A</v>
      </c>
      <c r="R2403" s="15" t="s">
        <v>14885</v>
      </c>
      <c r="S2403" s="16" t="s">
        <v>89</v>
      </c>
      <c r="T2403" s="16" t="s">
        <v>89</v>
      </c>
      <c r="U2403" s="11" t="str">
        <f>_xlfn.XLOOKUP(Customer[[#This Row],[Customer ID]],[1]!Address[ID],[1]!Address[Phone No.(2)])</f>
        <v/>
      </c>
      <c r="V2403" s="11" t="str">
        <f>_xlfn.XLOOKUP(Customer[[#This Row],[Customer ID]],[1]!Address[ID],[1]!Address[Type])</f>
        <v>WALK IN</v>
      </c>
      <c r="W2403" s="11" t="str">
        <f>_xlfn.XLOOKUP(Customer[[#This Row],[Customer ID]],[1]!Address[ID],[1]!Address[CT])</f>
        <v/>
      </c>
      <c r="X2403" s="11"/>
      <c r="Y2403" s="17" t="s">
        <v>6284</v>
      </c>
      <c r="Z2403" s="17" t="e">
        <f>_xlfn.XLOOKUP(Customer[[#This Row],[NewType]],$AF$36:$AF$54,$AG$36:$AG$54)</f>
        <v>#N/A</v>
      </c>
      <c r="AA2403" s="17" t="s">
        <v>14886</v>
      </c>
      <c r="AB2403" s="11" t="str">
        <f>_xlfn.XLOOKUP(Customer[[#This Row],[Customer ID]],[1]!Address[ID],[1]!Address[Subtype])</f>
        <v>PEDAS</v>
      </c>
      <c r="AC2403" s="18" t="str">
        <f>_xlfn.XLOOKUP(Customer[[#This Row],[Customer ID]],[1]!Address[ID],[1]!Address[Zone])</f>
        <v>CENTRAL</v>
      </c>
    </row>
    <row r="2404" spans="1:29" x14ac:dyDescent="0.3">
      <c r="A2404" s="126" t="s">
        <v>14887</v>
      </c>
      <c r="B2404" s="11" t="str">
        <f>_xlfn.XLOOKUP(Customer[[#This Row],[Customer ID]],[1]!Name[ID],[1]!Name[Description(1)])</f>
        <v>AINA UMAIRAH BINTI MOHD SANI</v>
      </c>
      <c r="C2404" s="11" t="str">
        <f>_xlfn.XLOOKUP(Customer[[#This Row],[Customer ID]],[1]!Name[ID],[1]!Name[Description(2)])</f>
        <v/>
      </c>
      <c r="D2404" s="11" t="str">
        <f>_xlfn.XLOOKUP(Customer[[#This Row],[Customer ID]],[1]!Address[ID],[1]!Address[PIC])</f>
        <v/>
      </c>
      <c r="E2404" s="11" t="str">
        <f>_xlfn.XLOOKUP(Customer[[#This Row],[Customer ID]],[1]!Address[ID],[1]!Address[Full Address])</f>
        <v>KM 3797 JALAN KEBAYA 10TAMAN KEBAYA78000 ALOR GAJAH MELAKA</v>
      </c>
      <c r="F2404" s="12" t="s">
        <v>14888</v>
      </c>
      <c r="G2404" s="12" t="s">
        <v>14889</v>
      </c>
      <c r="H2404" s="24" t="s">
        <v>1568</v>
      </c>
      <c r="I2404" s="24" t="b">
        <f>ISNUMBER(VALUE(LEFT(Customer[[#This Row],[Address Line 3 (30 char)]],1)))</f>
        <v>0</v>
      </c>
      <c r="J2404" s="12" t="s">
        <v>61</v>
      </c>
      <c r="K2404" s="12">
        <v>78000</v>
      </c>
      <c r="L2404" s="12" t="s">
        <v>35</v>
      </c>
      <c r="M2404" s="13" t="e">
        <v>#N/A</v>
      </c>
      <c r="N2404" s="14" t="e">
        <v>#N/A</v>
      </c>
      <c r="O2404" s="14" t="e">
        <v>#N/A</v>
      </c>
      <c r="P2404" s="14" t="e">
        <v>#N/A</v>
      </c>
      <c r="Q2404" s="19" t="s">
        <v>14890</v>
      </c>
      <c r="R2404" s="15" t="s">
        <v>14891</v>
      </c>
      <c r="S2404" s="16" t="s">
        <v>89</v>
      </c>
      <c r="T2404" s="16" t="s">
        <v>89</v>
      </c>
      <c r="U2404" s="11" t="str">
        <f>_xlfn.XLOOKUP(Customer[[#This Row],[Customer ID]],[1]!Address[ID],[1]!Address[Phone No.(2)])</f>
        <v/>
      </c>
      <c r="V2404" s="11" t="str">
        <f>_xlfn.XLOOKUP(Customer[[#This Row],[Customer ID]],[1]!Address[ID],[1]!Address[Type])</f>
        <v>WALK IN</v>
      </c>
      <c r="W2404" s="11" t="str">
        <f>_xlfn.XLOOKUP(Customer[[#This Row],[Customer ID]],[1]!Address[ID],[1]!Address[CT])</f>
        <v/>
      </c>
      <c r="X2404" s="11"/>
      <c r="Y2404" s="17" t="s">
        <v>6284</v>
      </c>
      <c r="Z2404" s="17" t="e">
        <f>_xlfn.XLOOKUP(Customer[[#This Row],[NewType]],$AF$36:$AF$54,$AG$36:$AG$54)</f>
        <v>#N/A</v>
      </c>
      <c r="AA2404" s="17" t="s">
        <v>14892</v>
      </c>
      <c r="AB2404" s="11" t="str">
        <f>_xlfn.XLOOKUP(Customer[[#This Row],[Customer ID]],[1]!Address[ID],[1]!Address[Subtype])</f>
        <v>PEDAS</v>
      </c>
      <c r="AC2404" s="18" t="str">
        <f>_xlfn.XLOOKUP(Customer[[#This Row],[Customer ID]],[1]!Address[ID],[1]!Address[Zone])</f>
        <v>CENTRAL</v>
      </c>
    </row>
    <row r="2405" spans="1:29" x14ac:dyDescent="0.3">
      <c r="A2405" s="126" t="s">
        <v>14893</v>
      </c>
      <c r="B2405" s="11" t="str">
        <f>_xlfn.XLOOKUP(Customer[[#This Row],[Customer ID]],[1]!Name[ID],[1]!Name[Description(1)])</f>
        <v>HAJI TAIB HOLDINGS SDN. BHD.</v>
      </c>
      <c r="C2405" s="11" t="str">
        <f>_xlfn.XLOOKUP(Customer[[#This Row],[Customer ID]],[1]!Name[ID],[1]!Name[Description(2)])</f>
        <v>PS MANOI</v>
      </c>
      <c r="D2405" s="11" t="str">
        <f>_xlfn.XLOOKUP(Customer[[#This Row],[Customer ID]],[1]!Address[ID],[1]!Address[PIC])</f>
        <v/>
      </c>
      <c r="E2405" s="11" t="str">
        <f>_xlfn.XLOOKUP(Customer[[#This Row],[Customer ID]],[1]!Address[ID],[1]!Address[Full Address])</f>
        <v>PS MANOILOT PT117716JALAN RAJA, KAMPUNG MANJOI30020 IPOH, PERAK</v>
      </c>
      <c r="F2405" s="12" t="s">
        <v>14894</v>
      </c>
      <c r="G2405" s="12" t="s">
        <v>14895</v>
      </c>
      <c r="H2405" s="12" t="s">
        <v>14896</v>
      </c>
      <c r="I2405" s="12" t="b">
        <f>ISNUMBER(VALUE(LEFT(Customer[[#This Row],[Address Line 3 (30 char)]],1)))</f>
        <v>0</v>
      </c>
      <c r="J2405" s="12" t="s">
        <v>387</v>
      </c>
      <c r="K2405" s="12">
        <v>78000</v>
      </c>
      <c r="L2405" s="12" t="s">
        <v>35</v>
      </c>
      <c r="M2405" s="13" t="e">
        <v>#N/A</v>
      </c>
      <c r="N2405" s="14" t="e">
        <v>#N/A</v>
      </c>
      <c r="O2405" s="14" t="e">
        <v>#N/A</v>
      </c>
      <c r="P2405" s="14" t="e">
        <v>#N/A</v>
      </c>
      <c r="Q2405" s="19" t="s">
        <v>14897</v>
      </c>
      <c r="R2405" s="15" t="s">
        <v>14898</v>
      </c>
      <c r="S2405" s="15" t="s">
        <v>37</v>
      </c>
      <c r="T2405" s="16" t="s">
        <v>38</v>
      </c>
      <c r="U2405" s="11" t="str">
        <f>_xlfn.XLOOKUP(Customer[[#This Row],[Customer ID]],[1]!Address[ID],[1]!Address[Phone No.(2)])</f>
        <v/>
      </c>
      <c r="V2405" s="11" t="str">
        <f>_xlfn.XLOOKUP(Customer[[#This Row],[Customer ID]],[1]!Address[ID],[1]!Address[Type])</f>
        <v>PETROMART</v>
      </c>
      <c r="W2405" s="11" t="str">
        <f>_xlfn.XLOOKUP(Customer[[#This Row],[Customer ID]],[1]!Address[ID],[1]!Address[CT])</f>
        <v>30</v>
      </c>
      <c r="X2405" s="11" t="s">
        <v>39</v>
      </c>
      <c r="Y2405" s="17" t="s">
        <v>40</v>
      </c>
      <c r="Z2405" s="17" t="e">
        <f>_xlfn.XLOOKUP(Customer[[#This Row],[NewType]],$AF$36:$AF$54,$AG$36:$AG$54)</f>
        <v>#N/A</v>
      </c>
      <c r="AA2405" s="17" t="s">
        <v>14899</v>
      </c>
      <c r="AB2405" s="11" t="str">
        <f>_xlfn.XLOOKUP(Customer[[#This Row],[Customer ID]],[1]!Address[ID],[1]!Address[Subtype])</f>
        <v>PETRONAS</v>
      </c>
      <c r="AC2405" s="18" t="str">
        <f>_xlfn.XLOOKUP(Customer[[#This Row],[Customer ID]],[1]!Address[ID],[1]!Address[Zone])</f>
        <v>NORTH</v>
      </c>
    </row>
    <row r="2406" spans="1:29" x14ac:dyDescent="0.3">
      <c r="A2406" s="127" t="s">
        <v>14900</v>
      </c>
      <c r="B2406" s="28" t="str">
        <f>_xlfn.XLOOKUP(Customer[[#This Row],[Customer ID]],[1]!Name[ID],[1]!Name[Description(1)])</f>
        <v>IDRIS HJ. ADAM (PERLIS) SDN BHD</v>
      </c>
      <c r="C2406" s="11" t="str">
        <f>_xlfn.XLOOKUP(Customer[[#This Row],[Customer ID]],[1]!Name[ID],[1]!Name[Description(2)])</f>
        <v>CALTEX SIMPANG EMPAT, PERLIS</v>
      </c>
      <c r="D2406" s="11" t="str">
        <f>_xlfn.XLOOKUP(Customer[[#This Row],[Customer ID]],[1]!Address[ID],[1]!Address[PIC])</f>
        <v/>
      </c>
      <c r="E2406" s="11" t="str">
        <f>_xlfn.XLOOKUP(Customer[[#This Row],[Customer ID]],[1]!Address[ID],[1]!Address[Full Address])</f>
        <v>CALTEX SIMPANG EMPAT, PERLISLOT 8008 SIMPANG EMPAT02700 SIMPANG EMPAT, PERLIS</v>
      </c>
      <c r="F2406" s="12" t="s">
        <v>14901</v>
      </c>
      <c r="G2406" s="12" t="s">
        <v>14902</v>
      </c>
      <c r="H2406" s="24" t="s">
        <v>4691</v>
      </c>
      <c r="I2406" s="24" t="b">
        <f>ISNUMBER(VALUE(LEFT(Customer[[#This Row],[Address Line 3 (30 char)]],1)))</f>
        <v>0</v>
      </c>
      <c r="J2406" s="12" t="s">
        <v>984</v>
      </c>
      <c r="K2406" s="30" t="s">
        <v>14903</v>
      </c>
      <c r="L2406" s="12" t="s">
        <v>35</v>
      </c>
      <c r="M2406" s="13" t="e">
        <v>#N/A</v>
      </c>
      <c r="N2406" s="14" t="e">
        <v>#N/A</v>
      </c>
      <c r="O2406" s="14" t="e">
        <v>#N/A</v>
      </c>
      <c r="P2406" s="14" t="e">
        <v>#N/A</v>
      </c>
      <c r="Q2406" s="19" t="s">
        <v>14904</v>
      </c>
      <c r="R2406" s="15" t="s">
        <v>9051</v>
      </c>
      <c r="S2406" s="15" t="s">
        <v>37</v>
      </c>
      <c r="T2406" s="16" t="s">
        <v>38</v>
      </c>
      <c r="U2406" s="11" t="str">
        <f>_xlfn.XLOOKUP(Customer[[#This Row],[Customer ID]],[1]!Address[ID],[1]!Address[Phone No.(2)])</f>
        <v/>
      </c>
      <c r="V2406" s="11" t="str">
        <f>_xlfn.XLOOKUP(Customer[[#This Row],[Customer ID]],[1]!Address[ID],[1]!Address[Type])</f>
        <v>PETROMART</v>
      </c>
      <c r="W2406" s="11" t="str">
        <f>_xlfn.XLOOKUP(Customer[[#This Row],[Customer ID]],[1]!Address[ID],[1]!Address[CT])</f>
        <v>30</v>
      </c>
      <c r="X2406" s="11" t="s">
        <v>39</v>
      </c>
      <c r="Y2406" s="17" t="s">
        <v>40</v>
      </c>
      <c r="Z2406" s="17" t="e">
        <f>_xlfn.XLOOKUP(Customer[[#This Row],[NewType]],$AF$36:$AF$54,$AG$36:$AG$54)</f>
        <v>#N/A</v>
      </c>
      <c r="AA2406" s="17" t="s">
        <v>14905</v>
      </c>
      <c r="AB2406" s="11" t="str">
        <f>_xlfn.XLOOKUP(Customer[[#This Row],[Customer ID]],[1]!Address[ID],[1]!Address[Subtype])</f>
        <v>CALTEX</v>
      </c>
      <c r="AC2406" s="18" t="str">
        <f>_xlfn.XLOOKUP(Customer[[#This Row],[Customer ID]],[1]!Address[ID],[1]!Address[Zone])</f>
        <v>NORTH</v>
      </c>
    </row>
    <row r="2407" spans="1:29" x14ac:dyDescent="0.3">
      <c r="A2407" s="126" t="s">
        <v>14906</v>
      </c>
      <c r="B2407" s="11" t="str">
        <f>_xlfn.XLOOKUP(Customer[[#This Row],[Customer ID]],[1]!Name[ID],[1]!Name[Description(1)])</f>
        <v>CT WELL TRADING (PG) SDN BHD</v>
      </c>
      <c r="C2407" s="11" t="str">
        <f>_xlfn.XLOOKUP(Customer[[#This Row],[Customer ID]],[1]!Name[ID],[1]!Name[Description(2)])</f>
        <v/>
      </c>
      <c r="D2407" s="11" t="str">
        <f>_xlfn.XLOOKUP(Customer[[#This Row],[Customer ID]],[1]!Address[ID],[1]!Address[PIC])</f>
        <v/>
      </c>
      <c r="E2407" s="11" t="str">
        <f>_xlfn.XLOOKUP(Customer[[#This Row],[Customer ID]],[1]!Address[ID],[1]!Address[Full Address])</f>
        <v>469, JALAN SAMAGAGAH,13500 PERMATANG PAUH,PULAI PINANG</v>
      </c>
      <c r="F2407" s="12" t="s">
        <v>14907</v>
      </c>
      <c r="G2407" s="12" t="s">
        <v>14908</v>
      </c>
      <c r="H2407" s="12"/>
      <c r="I2407" s="12" t="b">
        <f>ISNUMBER(VALUE(LEFT(Customer[[#This Row],[Address Line 3 (30 char)]],1)))</f>
        <v>0</v>
      </c>
      <c r="J2407" s="12" t="s">
        <v>179</v>
      </c>
      <c r="K2407" s="12">
        <v>13500</v>
      </c>
      <c r="L2407" s="12" t="s">
        <v>35</v>
      </c>
      <c r="M2407" s="13" t="e">
        <v>#N/A</v>
      </c>
      <c r="N2407" s="14" t="e">
        <v>#N/A</v>
      </c>
      <c r="O2407" s="14" t="e">
        <v>#N/A</v>
      </c>
      <c r="P2407" s="14" t="e">
        <v>#N/A</v>
      </c>
      <c r="Q2407" s="19" t="s">
        <v>14909</v>
      </c>
      <c r="R2407" s="15" t="s">
        <v>14910</v>
      </c>
      <c r="S2407" s="15" t="s">
        <v>5917</v>
      </c>
      <c r="T2407" s="16" t="s">
        <v>3477</v>
      </c>
      <c r="U2407" s="11" t="str">
        <f>_xlfn.XLOOKUP(Customer[[#This Row],[Customer ID]],[1]!Address[ID],[1]!Address[Phone No.(2)])</f>
        <v/>
      </c>
      <c r="V2407" s="11" t="str">
        <f>_xlfn.XLOOKUP(Customer[[#This Row],[Customer ID]],[1]!Address[ID],[1]!Address[Type])</f>
        <v>CM</v>
      </c>
      <c r="W2407" s="11" t="str">
        <f>_xlfn.XLOOKUP(Customer[[#This Row],[Customer ID]],[1]!Address[ID],[1]!Address[CT])</f>
        <v>CASH</v>
      </c>
      <c r="X2407" s="11"/>
      <c r="Y2407" s="17" t="s">
        <v>5918</v>
      </c>
      <c r="Z2407" s="17" t="e">
        <f>_xlfn.XLOOKUP(Customer[[#This Row],[NewType]],$AF$36:$AF$54,$AG$36:$AG$54)</f>
        <v>#N/A</v>
      </c>
      <c r="AA2407" s="17" t="s">
        <v>14911</v>
      </c>
      <c r="AB2407" s="11" t="str">
        <f>_xlfn.XLOOKUP(Customer[[#This Row],[Customer ID]],[1]!Address[ID],[1]!Address[Subtype])</f>
        <v>CT WELL</v>
      </c>
      <c r="AC2407" s="18" t="str">
        <f>_xlfn.XLOOKUP(Customer[[#This Row],[Customer ID]],[1]!Address[ID],[1]!Address[Zone])</f>
        <v>NORTH</v>
      </c>
    </row>
    <row r="2408" spans="1:29" x14ac:dyDescent="0.3">
      <c r="A2408" s="126" t="s">
        <v>14912</v>
      </c>
      <c r="B2408" s="11" t="str">
        <f>_xlfn.XLOOKUP(Customer[[#This Row],[Customer ID]],[1]!Name[ID],[1]!Name[Description(1)])</f>
        <v>MARLINA BINTI ABD LATIF</v>
      </c>
      <c r="C2408" s="11" t="str">
        <f>_xlfn.XLOOKUP(Customer[[#This Row],[Customer ID]],[1]!Name[ID],[1]!Name[Description(2)])</f>
        <v/>
      </c>
      <c r="D2408" s="11" t="str">
        <f>_xlfn.XLOOKUP(Customer[[#This Row],[Customer ID]],[1]!Address[ID],[1]!Address[PIC])</f>
        <v/>
      </c>
      <c r="E2408" s="11" t="str">
        <f>_xlfn.XLOOKUP(Customer[[#This Row],[Customer ID]],[1]!Address[ID],[1]!Address[Full Address])</f>
        <v>1-B JALAN KENANGANKG MELAYU MAJIDI81100 JOHOR BAHRU</v>
      </c>
      <c r="F2408" s="12" t="s">
        <v>14913</v>
      </c>
      <c r="G2408" s="12" t="s">
        <v>14914</v>
      </c>
      <c r="H2408" s="24" t="s">
        <v>1155</v>
      </c>
      <c r="I2408" s="24" t="b">
        <f>ISNUMBER(VALUE(LEFT(Customer[[#This Row],[Address Line 3 (30 char)]],1)))</f>
        <v>0</v>
      </c>
      <c r="J2408" s="12" t="s">
        <v>52</v>
      </c>
      <c r="K2408" s="12">
        <v>81100</v>
      </c>
      <c r="L2408" s="12" t="s">
        <v>35</v>
      </c>
      <c r="M2408" s="13" t="e">
        <v>#N/A</v>
      </c>
      <c r="N2408" s="14" t="e">
        <v>#N/A</v>
      </c>
      <c r="O2408" s="14" t="e">
        <v>#N/A</v>
      </c>
      <c r="P2408" s="14" t="e">
        <v>#N/A</v>
      </c>
      <c r="Q2408" s="19" t="s">
        <v>14915</v>
      </c>
      <c r="R2408" s="15" t="s">
        <v>14916</v>
      </c>
      <c r="S2408" s="16" t="s">
        <v>89</v>
      </c>
      <c r="T2408" s="16" t="s">
        <v>89</v>
      </c>
      <c r="U2408" s="11" t="str">
        <f>_xlfn.XLOOKUP(Customer[[#This Row],[Customer ID]],[1]!Address[ID],[1]!Address[Phone No.(2)])</f>
        <v/>
      </c>
      <c r="V2408" s="11" t="str">
        <f>_xlfn.XLOOKUP(Customer[[#This Row],[Customer ID]],[1]!Address[ID],[1]!Address[Type])</f>
        <v>WALK IN</v>
      </c>
      <c r="W2408" s="11" t="str">
        <f>_xlfn.XLOOKUP(Customer[[#This Row],[Customer ID]],[1]!Address[ID],[1]!Address[CT])</f>
        <v/>
      </c>
      <c r="X2408" s="11"/>
      <c r="Y2408" s="17" t="s">
        <v>6284</v>
      </c>
      <c r="Z2408" s="17" t="e">
        <f>_xlfn.XLOOKUP(Customer[[#This Row],[NewType]],$AF$36:$AF$54,$AG$36:$AG$54)</f>
        <v>#N/A</v>
      </c>
      <c r="AA2408" s="17" t="s">
        <v>14917</v>
      </c>
      <c r="AB2408" s="11" t="str">
        <f>_xlfn.XLOOKUP(Customer[[#This Row],[Customer ID]],[1]!Address[ID],[1]!Address[Subtype])</f>
        <v>PEDAS</v>
      </c>
      <c r="AC2408" s="18" t="str">
        <f>_xlfn.XLOOKUP(Customer[[#This Row],[Customer ID]],[1]!Address[ID],[1]!Address[Zone])</f>
        <v>SOUTH</v>
      </c>
    </row>
    <row r="2409" spans="1:29" x14ac:dyDescent="0.3">
      <c r="A2409" s="126" t="s">
        <v>14918</v>
      </c>
      <c r="B2409" s="11" t="str">
        <f>_xlfn.XLOOKUP(Customer[[#This Row],[Customer ID]],[1]!Name[ID],[1]!Name[Description(1)])</f>
        <v>SITI NURIZATI BT HASSAN</v>
      </c>
      <c r="C2409" s="32" t="str">
        <f>_xlfn.XLOOKUP(Customer[[#This Row],[Customer ID]],[1]!Name[ID],[1]!Name[Description(2)])</f>
        <v/>
      </c>
      <c r="D2409" s="11" t="str">
        <f>_xlfn.XLOOKUP(Customer[[#This Row],[Customer ID]],[1]!Address[ID],[1]!Address[PIC])</f>
        <v/>
      </c>
      <c r="E2409" s="11" t="str">
        <f>_xlfn.XLOOKUP(Customer[[#This Row],[Customer ID]],[1]!Address[ID],[1]!Address[Full Address])</f>
        <v>KV DATO' UNDANGHJ MUHAMAD SHARIP</v>
      </c>
      <c r="F2409" s="12" t="s">
        <v>14919</v>
      </c>
      <c r="G2409" s="12" t="s">
        <v>14920</v>
      </c>
      <c r="H2409" s="12" t="s">
        <v>36</v>
      </c>
      <c r="I2409" s="12" t="b">
        <f>ISNUMBER(VALUE(LEFT(Customer[[#This Row],[Address Line 3 (30 char)]],1)))</f>
        <v>0</v>
      </c>
      <c r="J2409" s="32" t="s">
        <v>203</v>
      </c>
      <c r="K2409" s="32"/>
      <c r="L2409" s="12" t="s">
        <v>35</v>
      </c>
      <c r="M2409" s="13" t="e">
        <v>#N/A</v>
      </c>
      <c r="N2409" s="14" t="e">
        <v>#N/A</v>
      </c>
      <c r="O2409" s="14" t="e">
        <v>#N/A</v>
      </c>
      <c r="P2409" s="14" t="e">
        <v>#N/A</v>
      </c>
      <c r="Q2409" s="19" t="s">
        <v>14921</v>
      </c>
      <c r="R2409" s="15" t="s">
        <v>14922</v>
      </c>
      <c r="S2409" s="16" t="s">
        <v>89</v>
      </c>
      <c r="T2409" s="16" t="s">
        <v>89</v>
      </c>
      <c r="U2409" s="11" t="str">
        <f>_xlfn.XLOOKUP(Customer[[#This Row],[Customer ID]],[1]!Address[ID],[1]!Address[Phone No.(2)])</f>
        <v/>
      </c>
      <c r="V2409" s="11" t="str">
        <f>_xlfn.XLOOKUP(Customer[[#This Row],[Customer ID]],[1]!Address[ID],[1]!Address[Type])</f>
        <v>WALK IN</v>
      </c>
      <c r="W2409" s="11" t="str">
        <f>_xlfn.XLOOKUP(Customer[[#This Row],[Customer ID]],[1]!Address[ID],[1]!Address[CT])</f>
        <v/>
      </c>
      <c r="X2409" s="11"/>
      <c r="Y2409" s="17" t="s">
        <v>6284</v>
      </c>
      <c r="Z2409" s="17" t="e">
        <f>_xlfn.XLOOKUP(Customer[[#This Row],[NewType]],$AF$36:$AF$54,$AG$36:$AG$54)</f>
        <v>#N/A</v>
      </c>
      <c r="AA2409" s="17" t="s">
        <v>14923</v>
      </c>
      <c r="AB2409" s="11" t="str">
        <f>_xlfn.XLOOKUP(Customer[[#This Row],[Customer ID]],[1]!Address[ID],[1]!Address[Subtype])</f>
        <v>PEDAS</v>
      </c>
      <c r="AC2409" s="18" t="str">
        <f>_xlfn.XLOOKUP(Customer[[#This Row],[Customer ID]],[1]!Address[ID],[1]!Address[Zone])</f>
        <v>SOUTH</v>
      </c>
    </row>
    <row r="2410" spans="1:29" x14ac:dyDescent="0.3">
      <c r="A2410" s="126" t="s">
        <v>14924</v>
      </c>
      <c r="B2410" s="11" t="str">
        <f>_xlfn.XLOOKUP(Customer[[#This Row],[Customer ID]],[1]!Name[ID],[1]!Name[Description(1)])</f>
        <v>FAMA CORPORATION SDN BHD</v>
      </c>
      <c r="C2410" s="11" t="str">
        <f>_xlfn.XLOOKUP(Customer[[#This Row],[Customer ID]],[1]!Name[ID],[1]!Name[Description(2)])</f>
        <v/>
      </c>
      <c r="D2410" s="11" t="str">
        <f>_xlfn.XLOOKUP(Customer[[#This Row],[Customer ID]],[1]!Address[ID],[1]!Address[PIC])</f>
        <v/>
      </c>
      <c r="E2410" s="11" t="str">
        <f>_xlfn.XLOOKUP(Customer[[#This Row],[Customer ID]],[1]!Address[ID],[1]!Address[Full Address])</f>
        <v>AGROBAZAAR CHENDERING, LOT 2965 (PM8),KAWASAN PERINDUSTRIAN CHENDERING,21080 KUALA TERENGGANU, TERENGGANU.</v>
      </c>
      <c r="F2410" s="12" t="s">
        <v>14925</v>
      </c>
      <c r="G2410" s="12" t="s">
        <v>14926</v>
      </c>
      <c r="H2410" s="12" t="s">
        <v>14927</v>
      </c>
      <c r="I2410" s="12" t="b">
        <f>ISNUMBER(VALUE(LEFT(Customer[[#This Row],[Address Line 3 (30 char)]],1)))</f>
        <v>0</v>
      </c>
      <c r="J2410" s="12" t="s">
        <v>1056</v>
      </c>
      <c r="K2410" s="12">
        <v>21080</v>
      </c>
      <c r="L2410" s="12" t="s">
        <v>35</v>
      </c>
      <c r="M2410" s="13" t="e">
        <v>#N/A</v>
      </c>
      <c r="N2410" s="14" t="e">
        <v>#N/A</v>
      </c>
      <c r="O2410" s="14" t="e">
        <v>#N/A</v>
      </c>
      <c r="P2410" s="14" t="e">
        <v>#N/A</v>
      </c>
      <c r="Q2410" s="19" t="s">
        <v>14928</v>
      </c>
      <c r="R2410" s="15" t="s">
        <v>14929</v>
      </c>
      <c r="S2410" s="15" t="s">
        <v>5934</v>
      </c>
      <c r="T2410" s="16" t="s">
        <v>3477</v>
      </c>
      <c r="U2410" s="11" t="str">
        <f>_xlfn.XLOOKUP(Customer[[#This Row],[Customer ID]],[1]!Address[ID],[1]!Address[Phone No.(2)])</f>
        <v/>
      </c>
      <c r="V2410" s="11" t="str">
        <f>_xlfn.XLOOKUP(Customer[[#This Row],[Customer ID]],[1]!Address[ID],[1]!Address[Type])</f>
        <v>CORPORATE</v>
      </c>
      <c r="W2410" s="11" t="str">
        <f>_xlfn.XLOOKUP(Customer[[#This Row],[Customer ID]],[1]!Address[ID],[1]!Address[CT])</f>
        <v>30 DAYS</v>
      </c>
      <c r="X2410" s="11"/>
      <c r="Y2410" s="17" t="s">
        <v>6418</v>
      </c>
      <c r="Z2410" s="17" t="e">
        <f>_xlfn.XLOOKUP(Customer[[#This Row],[NewType]],$AF$36:$AF$54,$AG$36:$AG$54)</f>
        <v>#N/A</v>
      </c>
      <c r="AA2410" s="17" t="s">
        <v>14930</v>
      </c>
      <c r="AB2410" s="11" t="str">
        <f>_xlfn.XLOOKUP(Customer[[#This Row],[Customer ID]],[1]!Address[ID],[1]!Address[Subtype])</f>
        <v>FAMACO</v>
      </c>
      <c r="AC2410" s="18" t="str">
        <f>_xlfn.XLOOKUP(Customer[[#This Row],[Customer ID]],[1]!Address[ID],[1]!Address[Zone])</f>
        <v>EAST COAST</v>
      </c>
    </row>
    <row r="2411" spans="1:29" x14ac:dyDescent="0.3">
      <c r="A2411" s="126" t="s">
        <v>14931</v>
      </c>
      <c r="B2411" s="11" t="str">
        <f>_xlfn.XLOOKUP(Customer[[#This Row],[Customer ID]],[1]!Name[ID],[1]!Name[Description(1)])</f>
        <v>NORLIANA</v>
      </c>
      <c r="C2411" s="32" t="str">
        <f>_xlfn.XLOOKUP(Customer[[#This Row],[Customer ID]],[1]!Name[ID],[1]!Name[Description(2)])</f>
        <v/>
      </c>
      <c r="D2411" s="11" t="str">
        <f>_xlfn.XLOOKUP(Customer[[#This Row],[Customer ID]],[1]!Address[ID],[1]!Address[PIC])</f>
        <v>NORLIANA</v>
      </c>
      <c r="E2411" s="11" t="str">
        <f>_xlfn.XLOOKUP(Customer[[#This Row],[Customer ID]],[1]!Address[ID],[1]!Address[Full Address])</f>
        <v>TAMAN REMBAU UTAMA, REMBAU</v>
      </c>
      <c r="F2411" s="12" t="s">
        <v>14932</v>
      </c>
      <c r="G2411" s="12" t="s">
        <v>36</v>
      </c>
      <c r="H2411" s="12" t="s">
        <v>36</v>
      </c>
      <c r="I2411" s="12" t="b">
        <f>ISNUMBER(VALUE(LEFT(Customer[[#This Row],[Address Line 3 (30 char)]],1)))</f>
        <v>0</v>
      </c>
      <c r="J2411" s="32" t="s">
        <v>203</v>
      </c>
      <c r="K2411" s="32"/>
      <c r="L2411" s="12" t="s">
        <v>35</v>
      </c>
      <c r="M2411" s="13" t="e">
        <v>#N/A</v>
      </c>
      <c r="N2411" s="14" t="e">
        <v>#N/A</v>
      </c>
      <c r="O2411" s="14" t="e">
        <v>#N/A</v>
      </c>
      <c r="P2411" s="14" t="e">
        <v>#N/A</v>
      </c>
      <c r="Q2411" s="19" t="s">
        <v>14933</v>
      </c>
      <c r="R2411" s="15" t="s">
        <v>14934</v>
      </c>
      <c r="S2411" s="16" t="s">
        <v>89</v>
      </c>
      <c r="T2411" s="16" t="s">
        <v>89</v>
      </c>
      <c r="U2411" s="11" t="str">
        <f>_xlfn.XLOOKUP(Customer[[#This Row],[Customer ID]],[1]!Address[ID],[1]!Address[Phone No.(2)])</f>
        <v/>
      </c>
      <c r="V2411" s="11" t="str">
        <f>_xlfn.XLOOKUP(Customer[[#This Row],[Customer ID]],[1]!Address[ID],[1]!Address[Type])</f>
        <v>WALK IN</v>
      </c>
      <c r="W2411" s="11" t="str">
        <f>_xlfn.XLOOKUP(Customer[[#This Row],[Customer ID]],[1]!Address[ID],[1]!Address[CT])</f>
        <v/>
      </c>
      <c r="X2411" s="11"/>
      <c r="Y2411" s="17" t="s">
        <v>6284</v>
      </c>
      <c r="Z2411" s="17" t="e">
        <f>_xlfn.XLOOKUP(Customer[[#This Row],[NewType]],$AF$36:$AF$54,$AG$36:$AG$54)</f>
        <v>#N/A</v>
      </c>
      <c r="AA2411" s="17" t="s">
        <v>14935</v>
      </c>
      <c r="AB2411" s="11" t="str">
        <f>_xlfn.XLOOKUP(Customer[[#This Row],[Customer ID]],[1]!Address[ID],[1]!Address[Subtype])</f>
        <v>PEDAS</v>
      </c>
      <c r="AC2411" s="18" t="str">
        <f>_xlfn.XLOOKUP(Customer[[#This Row],[Customer ID]],[1]!Address[ID],[1]!Address[Zone])</f>
        <v>SOUTH</v>
      </c>
    </row>
    <row r="2412" spans="1:29" x14ac:dyDescent="0.3">
      <c r="A2412" s="126" t="s">
        <v>14936</v>
      </c>
      <c r="B2412" s="11" t="str">
        <f>_xlfn.XLOOKUP(Customer[[#This Row],[Customer ID]],[1]!Name[ID],[1]!Name[Description(1)])</f>
        <v>HASLINDA BINTI ABDULLAH</v>
      </c>
      <c r="C2412" s="32" t="str">
        <f>_xlfn.XLOOKUP(Customer[[#This Row],[Customer ID]],[1]!Name[ID],[1]!Name[Description(2)])</f>
        <v/>
      </c>
      <c r="D2412" s="11" t="str">
        <f>_xlfn.XLOOKUP(Customer[[#This Row],[Customer ID]],[1]!Address[ID],[1]!Address[PIC])</f>
        <v>HASLINDA</v>
      </c>
      <c r="E2412" s="11" t="str">
        <f>_xlfn.XLOOKUP(Customer[[#This Row],[Customer ID]],[1]!Address[ID],[1]!Address[Full Address])</f>
        <v>405 BLOCK 3, JALAN 2/1 43650BANDAR BARU BANGI</v>
      </c>
      <c r="F2412" s="12" t="s">
        <v>14937</v>
      </c>
      <c r="G2412" s="12" t="s">
        <v>4431</v>
      </c>
      <c r="H2412" s="12" t="s">
        <v>36</v>
      </c>
      <c r="I2412" s="12" t="b">
        <f>ISNUMBER(VALUE(LEFT(Customer[[#This Row],[Address Line 3 (30 char)]],1)))</f>
        <v>0</v>
      </c>
      <c r="J2412" s="32" t="s">
        <v>172</v>
      </c>
      <c r="K2412" s="128">
        <v>43650</v>
      </c>
      <c r="L2412" s="12" t="s">
        <v>35</v>
      </c>
      <c r="M2412" s="13" t="e">
        <v>#N/A</v>
      </c>
      <c r="N2412" s="14" t="e">
        <v>#N/A</v>
      </c>
      <c r="O2412" s="14" t="e">
        <v>#N/A</v>
      </c>
      <c r="P2412" s="14" t="e">
        <v>#N/A</v>
      </c>
      <c r="Q2412" s="19" t="s">
        <v>14938</v>
      </c>
      <c r="R2412" s="15" t="s">
        <v>14939</v>
      </c>
      <c r="S2412" s="16" t="s">
        <v>6283</v>
      </c>
      <c r="T2412" s="16"/>
      <c r="U2412" s="11" t="str">
        <f>_xlfn.XLOOKUP(Customer[[#This Row],[Customer ID]],[1]!Address[ID],[1]!Address[Phone No.(2)])</f>
        <v/>
      </c>
      <c r="V2412" s="11" t="str">
        <f>_xlfn.XLOOKUP(Customer[[#This Row],[Customer ID]],[1]!Address[ID],[1]!Address[Type])</f>
        <v>WALK IN</v>
      </c>
      <c r="W2412" s="11" t="str">
        <f>_xlfn.XLOOKUP(Customer[[#This Row],[Customer ID]],[1]!Address[ID],[1]!Address[CT])</f>
        <v/>
      </c>
      <c r="X2412" s="11"/>
      <c r="Y2412" s="17" t="s">
        <v>6284</v>
      </c>
      <c r="Z2412" s="17" t="e">
        <f>_xlfn.XLOOKUP(Customer[[#This Row],[NewType]],$AF$36:$AF$54,$AG$36:$AG$54)</f>
        <v>#N/A</v>
      </c>
      <c r="AA2412" s="17" t="s">
        <v>14940</v>
      </c>
      <c r="AB2412" s="11" t="str">
        <f>_xlfn.XLOOKUP(Customer[[#This Row],[Customer ID]],[1]!Address[ID],[1]!Address[Subtype])</f>
        <v>RANTAU</v>
      </c>
      <c r="AC2412" s="18" t="str">
        <f>_xlfn.XLOOKUP(Customer[[#This Row],[Customer ID]],[1]!Address[ID],[1]!Address[Zone])</f>
        <v>CENTRAL</v>
      </c>
    </row>
    <row r="2413" spans="1:29" x14ac:dyDescent="0.3">
      <c r="A2413" s="126" t="s">
        <v>14941</v>
      </c>
      <c r="B2413" s="11" t="str">
        <f>_xlfn.XLOOKUP(Customer[[#This Row],[Customer ID]],[1]!Name[ID],[1]!Name[Description(1)])</f>
        <v>MAZIAH MUSTAFA</v>
      </c>
      <c r="C2413" s="11" t="str">
        <f>_xlfn.XLOOKUP(Customer[[#This Row],[Customer ID]],[1]!Name[ID],[1]!Name[Description(2)])</f>
        <v/>
      </c>
      <c r="D2413" s="11" t="str">
        <f>_xlfn.XLOOKUP(Customer[[#This Row],[Customer ID]],[1]!Address[ID],[1]!Address[PIC])</f>
        <v>MAZIAH</v>
      </c>
      <c r="E2413" s="11" t="str">
        <f>_xlfn.XLOOKUP(Customer[[#This Row],[Customer ID]],[1]!Address[ID],[1]!Address[Full Address])</f>
        <v>2ND FLOOR EAST WING MENARA MATRADE,JLN SULTAN HAJI AHMAD SHAH 50480KUALA LUMPUR</v>
      </c>
      <c r="F2413" s="12" t="s">
        <v>14942</v>
      </c>
      <c r="G2413" s="12" t="s">
        <v>14943</v>
      </c>
      <c r="H2413" s="12" t="s">
        <v>14944</v>
      </c>
      <c r="I2413" s="12" t="b">
        <f>ISNUMBER(VALUE(LEFT(Customer[[#This Row],[Address Line 3 (30 char)]],1)))</f>
        <v>0</v>
      </c>
      <c r="J2413" s="12" t="s">
        <v>8855</v>
      </c>
      <c r="K2413" s="12">
        <v>50480</v>
      </c>
      <c r="L2413" s="12" t="s">
        <v>35</v>
      </c>
      <c r="M2413" s="13" t="e">
        <v>#N/A</v>
      </c>
      <c r="N2413" s="14" t="e">
        <v>#N/A</v>
      </c>
      <c r="O2413" s="14" t="e">
        <v>#N/A</v>
      </c>
      <c r="P2413" s="14" t="e">
        <v>#N/A</v>
      </c>
      <c r="Q2413" s="19" t="s">
        <v>12779</v>
      </c>
      <c r="R2413" s="15" t="s">
        <v>12780</v>
      </c>
      <c r="S2413" s="15" t="s">
        <v>89</v>
      </c>
      <c r="T2413" s="16" t="s">
        <v>89</v>
      </c>
      <c r="U2413" s="11" t="str">
        <f>_xlfn.XLOOKUP(Customer[[#This Row],[Customer ID]],[1]!Address[ID],[1]!Address[Phone No.(2)])</f>
        <v/>
      </c>
      <c r="V2413" s="11" t="str">
        <f>_xlfn.XLOOKUP(Customer[[#This Row],[Customer ID]],[1]!Address[ID],[1]!Address[Type])</f>
        <v>SOCMED</v>
      </c>
      <c r="W2413" s="11" t="str">
        <f>_xlfn.XLOOKUP(Customer[[#This Row],[Customer ID]],[1]!Address[ID],[1]!Address[CT])</f>
        <v/>
      </c>
      <c r="X2413" s="11"/>
      <c r="Y2413" s="17" t="s">
        <v>90</v>
      </c>
      <c r="Z2413" s="17" t="e">
        <f>_xlfn.XLOOKUP(Customer[[#This Row],[NewType]],$AF$36:$AF$54,$AG$36:$AG$54)</f>
        <v>#N/A</v>
      </c>
      <c r="AA2413" s="17" t="s">
        <v>14945</v>
      </c>
      <c r="AB2413" s="11" t="str">
        <f>_xlfn.XLOOKUP(Customer[[#This Row],[Customer ID]],[1]!Address[ID],[1]!Address[Subtype])</f>
        <v>WHATSAPP</v>
      </c>
      <c r="AC2413" s="18" t="str">
        <f>_xlfn.XLOOKUP(Customer[[#This Row],[Customer ID]],[1]!Address[ID],[1]!Address[Zone])</f>
        <v>CENTRAL</v>
      </c>
    </row>
    <row r="2414" spans="1:29" x14ac:dyDescent="0.3">
      <c r="A2414" s="126" t="s">
        <v>14946</v>
      </c>
      <c r="B2414" s="11" t="str">
        <f>_xlfn.XLOOKUP(Customer[[#This Row],[Customer ID]],[1]!Name[ID],[1]!Name[Description(1)])</f>
        <v>EM OPULENCE SDN BHD</v>
      </c>
      <c r="C2414" s="11" t="str">
        <f>_xlfn.XLOOKUP(Customer[[#This Row],[Customer ID]],[1]!Name[ID],[1]!Name[Description(2)])</f>
        <v>PETRON TAMAN TUNKU INTAN SAFINAZ</v>
      </c>
      <c r="D2414" s="11" t="str">
        <f>_xlfn.XLOOKUP(Customer[[#This Row],[Customer ID]],[1]!Address[ID],[1]!Address[PIC])</f>
        <v/>
      </c>
      <c r="E2414" s="11" t="str">
        <f>_xlfn.XLOOKUP(Customer[[#This Row],[Customer ID]],[1]!Address[ID],[1]!Address[Full Address])</f>
        <v>PETRON TAMAN TUNKU INTAN SAFINAZNO 1-A, STESYEN MINYAK PETRONTAMAN TUNKU INTAN SAFINAZ,06000, JITRA, KEDAH</v>
      </c>
      <c r="F2414" s="12" t="s">
        <v>14947</v>
      </c>
      <c r="G2414" s="12" t="s">
        <v>14948</v>
      </c>
      <c r="H2414" s="12" t="s">
        <v>7204</v>
      </c>
      <c r="I2414" s="12" t="b">
        <f>ISNUMBER(VALUE(LEFT(Customer[[#This Row],[Address Line 3 (30 char)]],1)))</f>
        <v>0</v>
      </c>
      <c r="J2414" s="12" t="s">
        <v>355</v>
      </c>
      <c r="K2414" s="20" t="s">
        <v>5731</v>
      </c>
      <c r="L2414" s="12" t="s">
        <v>35</v>
      </c>
      <c r="M2414" s="13" t="e">
        <v>#N/A</v>
      </c>
      <c r="N2414" s="14" t="e">
        <v>#N/A</v>
      </c>
      <c r="O2414" s="14" t="e">
        <v>#N/A</v>
      </c>
      <c r="P2414" s="14" t="e">
        <v>#N/A</v>
      </c>
      <c r="Q2414" s="19" t="s">
        <v>14949</v>
      </c>
      <c r="R2414" s="15" t="s">
        <v>14950</v>
      </c>
      <c r="S2414" s="15" t="s">
        <v>37</v>
      </c>
      <c r="T2414" s="16" t="s">
        <v>38</v>
      </c>
      <c r="U2414" s="11" t="str">
        <f>_xlfn.XLOOKUP(Customer[[#This Row],[Customer ID]],[1]!Address[ID],[1]!Address[Phone No.(2)])</f>
        <v/>
      </c>
      <c r="V2414" s="11" t="str">
        <f>_xlfn.XLOOKUP(Customer[[#This Row],[Customer ID]],[1]!Address[ID],[1]!Address[Type])</f>
        <v>PETROMART</v>
      </c>
      <c r="W2414" s="11" t="str">
        <f>_xlfn.XLOOKUP(Customer[[#This Row],[Customer ID]],[1]!Address[ID],[1]!Address[CT])</f>
        <v>30</v>
      </c>
      <c r="X2414" s="11" t="s">
        <v>39</v>
      </c>
      <c r="Y2414" s="17" t="s">
        <v>40</v>
      </c>
      <c r="Z2414" s="17" t="e">
        <f>_xlfn.XLOOKUP(Customer[[#This Row],[NewType]],$AF$36:$AF$54,$AG$36:$AG$54)</f>
        <v>#N/A</v>
      </c>
      <c r="AA2414" s="17" t="s">
        <v>14951</v>
      </c>
      <c r="AB2414" s="11" t="str">
        <f>_xlfn.XLOOKUP(Customer[[#This Row],[Customer ID]],[1]!Address[ID],[1]!Address[Subtype])</f>
        <v>PETRON</v>
      </c>
      <c r="AC2414" s="18" t="str">
        <f>_xlfn.XLOOKUP(Customer[[#This Row],[Customer ID]],[1]!Address[ID],[1]!Address[Zone])</f>
        <v>NORTH</v>
      </c>
    </row>
    <row r="2415" spans="1:29" x14ac:dyDescent="0.3">
      <c r="A2415" s="127" t="s">
        <v>14952</v>
      </c>
      <c r="B2415" s="28" t="str">
        <f>_xlfn.XLOOKUP(Customer[[#This Row],[Customer ID]],[1]!Name[ID],[1]!Name[Description(1)])</f>
        <v>SYARIKAT YAMIN</v>
      </c>
      <c r="C2415" s="11" t="str">
        <f>_xlfn.XLOOKUP(Customer[[#This Row],[Customer ID]],[1]!Name[ID],[1]!Name[Description(2)])</f>
        <v>CALTEX TIKAM BATU</v>
      </c>
      <c r="D2415" s="11" t="str">
        <f>_xlfn.XLOOKUP(Customer[[#This Row],[Customer ID]],[1]!Address[ID],[1]!Address[PIC])</f>
        <v/>
      </c>
      <c r="E2415" s="11" t="str">
        <f>_xlfn.XLOOKUP(Customer[[#This Row],[Customer ID]],[1]!Address[ID],[1]!Address[Full Address])</f>
        <v>CALTEX TIKAM BATULOT 334, MUKIM PEKULATIKAM BATU, 08600, SG PETANI KEDAH</v>
      </c>
      <c r="F2415" s="12" t="s">
        <v>14953</v>
      </c>
      <c r="G2415" s="12" t="s">
        <v>14954</v>
      </c>
      <c r="H2415" s="12" t="s">
        <v>14955</v>
      </c>
      <c r="I2415" s="12" t="b">
        <f>ISNUMBER(VALUE(LEFT(Customer[[#This Row],[Address Line 3 (30 char)]],1)))</f>
        <v>0</v>
      </c>
      <c r="J2415" s="12" t="s">
        <v>355</v>
      </c>
      <c r="K2415" s="30" t="s">
        <v>7687</v>
      </c>
      <c r="L2415" s="12" t="s">
        <v>35</v>
      </c>
      <c r="M2415" s="13" t="e">
        <v>#N/A</v>
      </c>
      <c r="N2415" s="14" t="e">
        <v>#N/A</v>
      </c>
      <c r="O2415" s="14" t="e">
        <v>#N/A</v>
      </c>
      <c r="P2415" s="14" t="e">
        <v>#N/A</v>
      </c>
      <c r="Q2415" s="19" t="s">
        <v>14956</v>
      </c>
      <c r="R2415" s="15" t="s">
        <v>14957</v>
      </c>
      <c r="S2415" s="15" t="s">
        <v>37</v>
      </c>
      <c r="T2415" s="16" t="s">
        <v>38</v>
      </c>
      <c r="U2415" s="11" t="str">
        <f>_xlfn.XLOOKUP(Customer[[#This Row],[Customer ID]],[1]!Address[ID],[1]!Address[Phone No.(2)])</f>
        <v/>
      </c>
      <c r="V2415" s="11" t="str">
        <f>_xlfn.XLOOKUP(Customer[[#This Row],[Customer ID]],[1]!Address[ID],[1]!Address[Type])</f>
        <v>PETROMART</v>
      </c>
      <c r="W2415" s="11" t="str">
        <f>_xlfn.XLOOKUP(Customer[[#This Row],[Customer ID]],[1]!Address[ID],[1]!Address[CT])</f>
        <v>30</v>
      </c>
      <c r="X2415" s="11" t="s">
        <v>39</v>
      </c>
      <c r="Y2415" s="17" t="s">
        <v>40</v>
      </c>
      <c r="Z2415" s="17" t="e">
        <f>_xlfn.XLOOKUP(Customer[[#This Row],[NewType]],$AF$36:$AF$54,$AG$36:$AG$54)</f>
        <v>#N/A</v>
      </c>
      <c r="AA2415" s="17" t="s">
        <v>14958</v>
      </c>
      <c r="AB2415" s="11" t="str">
        <f>_xlfn.XLOOKUP(Customer[[#This Row],[Customer ID]],[1]!Address[ID],[1]!Address[Subtype])</f>
        <v>CALTEX</v>
      </c>
      <c r="AC2415" s="18" t="str">
        <f>_xlfn.XLOOKUP(Customer[[#This Row],[Customer ID]],[1]!Address[ID],[1]!Address[Zone])</f>
        <v>NORTH</v>
      </c>
    </row>
    <row r="2416" spans="1:29" x14ac:dyDescent="0.3">
      <c r="A2416" s="126" t="s">
        <v>14959</v>
      </c>
      <c r="B2416" s="11" t="str">
        <f>_xlfn.XLOOKUP(Customer[[#This Row],[Customer ID]],[1]!Name[ID],[1]!Name[Description(1)])</f>
        <v>NORHAZANA BT NOR IZAN</v>
      </c>
      <c r="C2416" s="11" t="str">
        <f>_xlfn.XLOOKUP(Customer[[#This Row],[Customer ID]],[1]!Name[ID],[1]!Name[Description(2)])</f>
        <v>(COO)</v>
      </c>
      <c r="D2416" s="11" t="str">
        <f>_xlfn.XLOOKUP(Customer[[#This Row],[Customer ID]],[1]!Address[ID],[1]!Address[PIC])</f>
        <v>DR AZA</v>
      </c>
      <c r="E2416" s="11" t="str">
        <f>_xlfn.XLOOKUP(Customer[[#This Row],[Customer ID]],[1]!Address[ID],[1]!Address[Full Address])</f>
        <v>NO 7, JALAN AMAN SERENIA 2/5,BANDAR SERENIA, SEPANG</v>
      </c>
      <c r="F2416" s="12" t="s">
        <v>14960</v>
      </c>
      <c r="G2416" s="12" t="s">
        <v>14961</v>
      </c>
      <c r="H2416" s="12" t="s">
        <v>36</v>
      </c>
      <c r="I2416" s="12" t="b">
        <f>ISNUMBER(VALUE(LEFT(Customer[[#This Row],[Address Line 3 (30 char)]],1)))</f>
        <v>0</v>
      </c>
      <c r="J2416" s="32" t="s">
        <v>172</v>
      </c>
      <c r="K2416" s="32"/>
      <c r="L2416" s="12" t="s">
        <v>35</v>
      </c>
      <c r="M2416" s="13" t="e">
        <v>#N/A</v>
      </c>
      <c r="N2416" s="14" t="e">
        <v>#N/A</v>
      </c>
      <c r="O2416" s="14" t="e">
        <v>#N/A</v>
      </c>
      <c r="P2416" s="14" t="e">
        <v>#N/A</v>
      </c>
      <c r="Q2416" s="19" t="s">
        <v>14962</v>
      </c>
      <c r="R2416" s="15" t="s">
        <v>14963</v>
      </c>
      <c r="S2416" s="16" t="s">
        <v>89</v>
      </c>
      <c r="T2416" s="16" t="s">
        <v>89</v>
      </c>
      <c r="U2416" s="11" t="str">
        <f>_xlfn.XLOOKUP(Customer[[#This Row],[Customer ID]],[1]!Address[ID],[1]!Address[Phone No.(2)])</f>
        <v/>
      </c>
      <c r="V2416" s="11" t="str">
        <f>_xlfn.XLOOKUP(Customer[[#This Row],[Customer ID]],[1]!Address[ID],[1]!Address[Type])</f>
        <v>WALK IN</v>
      </c>
      <c r="W2416" s="11" t="str">
        <f>_xlfn.XLOOKUP(Customer[[#This Row],[Customer ID]],[1]!Address[ID],[1]!Address[CT])</f>
        <v/>
      </c>
      <c r="X2416" s="11"/>
      <c r="Y2416" s="17" t="s">
        <v>6284</v>
      </c>
      <c r="Z2416" s="17" t="e">
        <f>_xlfn.XLOOKUP(Customer[[#This Row],[NewType]],$AF$36:$AF$54,$AG$36:$AG$54)</f>
        <v>#N/A</v>
      </c>
      <c r="AA2416" s="17" t="s">
        <v>14964</v>
      </c>
      <c r="AB2416" s="11" t="str">
        <f>_xlfn.XLOOKUP(Customer[[#This Row],[Customer ID]],[1]!Address[ID],[1]!Address[Subtype])</f>
        <v>STAFF</v>
      </c>
      <c r="AC2416" s="18" t="str">
        <f>_xlfn.XLOOKUP(Customer[[#This Row],[Customer ID]],[1]!Address[ID],[1]!Address[Zone])</f>
        <v>CENTRAL</v>
      </c>
    </row>
    <row r="2417" spans="1:29" x14ac:dyDescent="0.3">
      <c r="A2417" s="126" t="s">
        <v>14965</v>
      </c>
      <c r="B2417" s="11" t="str">
        <f>_xlfn.XLOOKUP(Customer[[#This Row],[Customer ID]],[1]!Name[ID],[1]!Name[Description(1)])</f>
        <v>ROZAIMAN BIN MOHD SHAH</v>
      </c>
      <c r="C2417" s="11" t="str">
        <f>_xlfn.XLOOKUP(Customer[[#This Row],[Customer ID]],[1]!Name[ID],[1]!Name[Description(2)])</f>
        <v>(DRIVER LOGISTIC)</v>
      </c>
      <c r="D2417" s="11" t="str">
        <f>_xlfn.XLOOKUP(Customer[[#This Row],[Customer ID]],[1]!Address[ID],[1]!Address[PIC])</f>
        <v>ROZAIMAN</v>
      </c>
      <c r="E2417" s="11" t="str">
        <f>_xlfn.XLOOKUP(Customer[[#This Row],[Customer ID]],[1]!Address[ID],[1]!Address[Full Address])</f>
        <v>831 JLN MELATI 18, TAMAN DUSUN SETIA,70100 SEREMBAN, NEGERI SEMBILAN</v>
      </c>
      <c r="F2417" s="12" t="s">
        <v>14966</v>
      </c>
      <c r="G2417" s="12" t="s">
        <v>14967</v>
      </c>
      <c r="H2417" s="12" t="s">
        <v>2411</v>
      </c>
      <c r="I2417" s="12" t="b">
        <f>ISNUMBER(VALUE(LEFT(Customer[[#This Row],[Address Line 3 (30 char)]],1)))</f>
        <v>0</v>
      </c>
      <c r="J2417" s="12" t="s">
        <v>203</v>
      </c>
      <c r="K2417" s="12">
        <v>70100</v>
      </c>
      <c r="L2417" s="12" t="s">
        <v>35</v>
      </c>
      <c r="M2417" s="13" t="e">
        <v>#N/A</v>
      </c>
      <c r="N2417" s="14" t="e">
        <v>#N/A</v>
      </c>
      <c r="O2417" s="14" t="e">
        <v>#N/A</v>
      </c>
      <c r="P2417" s="14" t="e">
        <v>#N/A</v>
      </c>
      <c r="Q2417" s="19" t="s">
        <v>14968</v>
      </c>
      <c r="R2417" s="15" t="s">
        <v>14969</v>
      </c>
      <c r="S2417" s="16" t="s">
        <v>89</v>
      </c>
      <c r="T2417" s="16" t="s">
        <v>89</v>
      </c>
      <c r="U2417" s="11" t="str">
        <f>_xlfn.XLOOKUP(Customer[[#This Row],[Customer ID]],[1]!Address[ID],[1]!Address[Phone No.(2)])</f>
        <v/>
      </c>
      <c r="V2417" s="11" t="str">
        <f>_xlfn.XLOOKUP(Customer[[#This Row],[Customer ID]],[1]!Address[ID],[1]!Address[Type])</f>
        <v>WALK IN</v>
      </c>
      <c r="W2417" s="11" t="str">
        <f>_xlfn.XLOOKUP(Customer[[#This Row],[Customer ID]],[1]!Address[ID],[1]!Address[CT])</f>
        <v/>
      </c>
      <c r="X2417" s="11"/>
      <c r="Y2417" s="17" t="s">
        <v>6284</v>
      </c>
      <c r="Z2417" s="17" t="e">
        <f>_xlfn.XLOOKUP(Customer[[#This Row],[NewType]],$AF$36:$AF$54,$AG$36:$AG$54)</f>
        <v>#N/A</v>
      </c>
      <c r="AA2417" s="17" t="s">
        <v>14970</v>
      </c>
      <c r="AB2417" s="11" t="str">
        <f>_xlfn.XLOOKUP(Customer[[#This Row],[Customer ID]],[1]!Address[ID],[1]!Address[Subtype])</f>
        <v>STAFF</v>
      </c>
      <c r="AC2417" s="18" t="str">
        <f>_xlfn.XLOOKUP(Customer[[#This Row],[Customer ID]],[1]!Address[ID],[1]!Address[Zone])</f>
        <v>SOUTH</v>
      </c>
    </row>
    <row r="2418" spans="1:29" x14ac:dyDescent="0.3">
      <c r="A2418" s="127" t="s">
        <v>14971</v>
      </c>
      <c r="B2418" s="28" t="str">
        <f>_xlfn.XLOOKUP(Customer[[#This Row],[Customer ID]],[1]!Name[ID],[1]!Name[Description(1)])</f>
        <v>SINAR CERGAS TRADING SDN BHD</v>
      </c>
      <c r="C2418" s="11" t="str">
        <f>_xlfn.XLOOKUP(Customer[[#This Row],[Customer ID]],[1]!Name[ID],[1]!Name[Description(2)])</f>
        <v>PETRON NAPOH</v>
      </c>
      <c r="D2418" s="11" t="str">
        <f>_xlfn.XLOOKUP(Customer[[#This Row],[Customer ID]],[1]!Address[ID],[1]!Address[PIC])</f>
        <v/>
      </c>
      <c r="E2418" s="11" t="str">
        <f>_xlfn.XLOOKUP(Customer[[#This Row],[Customer ID]],[1]!Address[ID],[1]!Address[Full Address])</f>
        <v>PETRON NAPOHPT1127 STESEN MINYAK PETRONJALAN CHANGLUN, PEKAN NAPOH06000 JITRA KEDAH</v>
      </c>
      <c r="F2418" s="12" t="s">
        <v>14972</v>
      </c>
      <c r="G2418" s="12" t="s">
        <v>14973</v>
      </c>
      <c r="H2418" s="12" t="s">
        <v>14974</v>
      </c>
      <c r="I2418" s="12" t="b">
        <f>ISNUMBER(VALUE(LEFT(Customer[[#This Row],[Address Line 3 (30 char)]],1)))</f>
        <v>0</v>
      </c>
      <c r="J2418" s="12" t="s">
        <v>79</v>
      </c>
      <c r="K2418" s="30" t="s">
        <v>5731</v>
      </c>
      <c r="L2418" s="12" t="s">
        <v>35</v>
      </c>
      <c r="M2418" s="13" t="e">
        <v>#N/A</v>
      </c>
      <c r="N2418" s="14" t="e">
        <v>#N/A</v>
      </c>
      <c r="O2418" s="14" t="e">
        <v>#N/A</v>
      </c>
      <c r="P2418" s="14" t="e">
        <v>#N/A</v>
      </c>
      <c r="Q2418" s="19" t="s">
        <v>14975</v>
      </c>
      <c r="R2418" s="15" t="s">
        <v>14976</v>
      </c>
      <c r="S2418" s="15" t="s">
        <v>37</v>
      </c>
      <c r="T2418" s="16" t="s">
        <v>38</v>
      </c>
      <c r="U2418" s="11" t="str">
        <f>_xlfn.XLOOKUP(Customer[[#This Row],[Customer ID]],[1]!Address[ID],[1]!Address[Phone No.(2)])</f>
        <v/>
      </c>
      <c r="V2418" s="11" t="str">
        <f>_xlfn.XLOOKUP(Customer[[#This Row],[Customer ID]],[1]!Address[ID],[1]!Address[Type])</f>
        <v>PETROMART</v>
      </c>
      <c r="W2418" s="11" t="str">
        <f>_xlfn.XLOOKUP(Customer[[#This Row],[Customer ID]],[1]!Address[ID],[1]!Address[CT])</f>
        <v>30</v>
      </c>
      <c r="X2418" s="11" t="s">
        <v>39</v>
      </c>
      <c r="Y2418" s="17" t="s">
        <v>40</v>
      </c>
      <c r="Z2418" s="17" t="e">
        <f>_xlfn.XLOOKUP(Customer[[#This Row],[NewType]],$AF$36:$AF$54,$AG$36:$AG$54)</f>
        <v>#N/A</v>
      </c>
      <c r="AA2418" s="17" t="s">
        <v>14977</v>
      </c>
      <c r="AB2418" s="11" t="str">
        <f>_xlfn.XLOOKUP(Customer[[#This Row],[Customer ID]],[1]!Address[ID],[1]!Address[Subtype])</f>
        <v>PETRON</v>
      </c>
      <c r="AC2418" s="18" t="str">
        <f>_xlfn.XLOOKUP(Customer[[#This Row],[Customer ID]],[1]!Address[ID],[1]!Address[Zone])</f>
        <v>SOUTH</v>
      </c>
    </row>
    <row r="2419" spans="1:29" x14ac:dyDescent="0.3">
      <c r="A2419" s="126" t="s">
        <v>14978</v>
      </c>
      <c r="B2419" s="11" t="str">
        <f>_xlfn.XLOOKUP(Customer[[#This Row],[Customer ID]],[1]!Name[ID],[1]!Name[Description(1)])</f>
        <v>AHMAD AZHAR</v>
      </c>
      <c r="C2419" s="32" t="str">
        <f>_xlfn.XLOOKUP(Customer[[#This Row],[Customer ID]],[1]!Name[ID],[1]!Name[Description(2)])</f>
        <v/>
      </c>
      <c r="D2419" s="11" t="str">
        <f>_xlfn.XLOOKUP(Customer[[#This Row],[Customer ID]],[1]!Address[ID],[1]!Address[PIC])</f>
        <v/>
      </c>
      <c r="E2419" s="11" t="str">
        <f>_xlfn.XLOOKUP(Customer[[#This Row],[Customer ID]],[1]!Address[ID],[1]!Address[Full Address])</f>
        <v>NO 5 JALAN IRINGAN BAYU 19TAMAN IRINGAN BAYU</v>
      </c>
      <c r="F2419" s="12" t="s">
        <v>14979</v>
      </c>
      <c r="G2419" s="12" t="s">
        <v>14980</v>
      </c>
      <c r="H2419" s="12" t="s">
        <v>36</v>
      </c>
      <c r="I2419" s="12" t="b">
        <f>ISNUMBER(VALUE(LEFT(Customer[[#This Row],[Address Line 3 (30 char)]],1)))</f>
        <v>0</v>
      </c>
      <c r="J2419" s="32" t="s">
        <v>203</v>
      </c>
      <c r="K2419" s="32"/>
      <c r="L2419" s="12" t="s">
        <v>35</v>
      </c>
      <c r="M2419" s="13" t="e">
        <v>#N/A</v>
      </c>
      <c r="N2419" s="14" t="e">
        <v>#N/A</v>
      </c>
      <c r="O2419" s="14" t="e">
        <v>#N/A</v>
      </c>
      <c r="P2419" s="14" t="e">
        <v>#N/A</v>
      </c>
      <c r="Q2419" s="14" t="e">
        <v>#N/A</v>
      </c>
      <c r="R2419" s="15" t="s">
        <v>14981</v>
      </c>
      <c r="S2419" s="16" t="s">
        <v>89</v>
      </c>
      <c r="T2419" s="16" t="s">
        <v>89</v>
      </c>
      <c r="U2419" s="11" t="str">
        <f>_xlfn.XLOOKUP(Customer[[#This Row],[Customer ID]],[1]!Address[ID],[1]!Address[Phone No.(2)])</f>
        <v/>
      </c>
      <c r="V2419" s="11" t="str">
        <f>_xlfn.XLOOKUP(Customer[[#This Row],[Customer ID]],[1]!Address[ID],[1]!Address[Type])</f>
        <v>WALK IN</v>
      </c>
      <c r="W2419" s="11" t="str">
        <f>_xlfn.XLOOKUP(Customer[[#This Row],[Customer ID]],[1]!Address[ID],[1]!Address[CT])</f>
        <v/>
      </c>
      <c r="X2419" s="11"/>
      <c r="Y2419" s="17" t="s">
        <v>6284</v>
      </c>
      <c r="Z2419" s="17" t="e">
        <f>_xlfn.XLOOKUP(Customer[[#This Row],[NewType]],$AF$36:$AF$54,$AG$36:$AG$54)</f>
        <v>#N/A</v>
      </c>
      <c r="AA2419" s="17" t="s">
        <v>14982</v>
      </c>
      <c r="AB2419" s="11" t="str">
        <f>_xlfn.XLOOKUP(Customer[[#This Row],[Customer ID]],[1]!Address[ID],[1]!Address[Subtype])</f>
        <v>PEDAS</v>
      </c>
      <c r="AC2419" s="18" t="str">
        <f>_xlfn.XLOOKUP(Customer[[#This Row],[Customer ID]],[1]!Address[ID],[1]!Address[Zone])</f>
        <v>SOUTH</v>
      </c>
    </row>
    <row r="2420" spans="1:29" x14ac:dyDescent="0.3">
      <c r="A2420" s="126" t="s">
        <v>14983</v>
      </c>
      <c r="B2420" s="11" t="str">
        <f>_xlfn.XLOOKUP(Customer[[#This Row],[Customer ID]],[1]!Name[ID],[1]!Name[Description(1)])</f>
        <v>PERTUBUHAN PELADANG NEGERI</v>
      </c>
      <c r="C2420" s="11" t="str">
        <f>_xlfn.XLOOKUP(Customer[[#This Row],[Customer ID]],[1]!Name[ID],[1]!Name[Description(2)])</f>
        <v/>
      </c>
      <c r="D2420" s="11" t="str">
        <f>_xlfn.XLOOKUP(Customer[[#This Row],[Customer ID]],[1]!Address[ID],[1]!Address[PIC])</f>
        <v/>
      </c>
      <c r="E2420" s="11" t="str">
        <f>_xlfn.XLOOKUP(Customer[[#This Row],[Customer ID]],[1]!Address[ID],[1]!Address[Full Address])</f>
        <v>JALAN PAROI/SENAWANG,70450 SEREMBAN,NEGERI SEMBILAN DARUL KHUSUS</v>
      </c>
      <c r="F2420" s="12" t="s">
        <v>14984</v>
      </c>
      <c r="G2420" s="12" t="s">
        <v>14985</v>
      </c>
      <c r="H2420" s="12"/>
      <c r="I2420" s="12" t="b">
        <f>ISNUMBER(VALUE(LEFT(Customer[[#This Row],[Address Line 3 (30 char)]],1)))</f>
        <v>0</v>
      </c>
      <c r="J2420" s="12" t="s">
        <v>2004</v>
      </c>
      <c r="K2420" s="12">
        <v>70450</v>
      </c>
      <c r="L2420" s="12" t="s">
        <v>35</v>
      </c>
      <c r="M2420" s="13" t="e">
        <v>#N/A</v>
      </c>
      <c r="N2420" s="14" t="e">
        <v>#N/A</v>
      </c>
      <c r="O2420" s="14" t="e">
        <v>#N/A</v>
      </c>
      <c r="P2420" s="14" t="e">
        <v>#N/A</v>
      </c>
      <c r="Q2420" s="19" t="s">
        <v>14986</v>
      </c>
      <c r="R2420" s="15" t="s">
        <v>14987</v>
      </c>
      <c r="S2420" s="15" t="s">
        <v>5934</v>
      </c>
      <c r="T2420" s="16"/>
      <c r="U2420" s="11" t="str">
        <f>_xlfn.XLOOKUP(Customer[[#This Row],[Customer ID]],[1]!Address[ID],[1]!Address[Phone No.(2)])</f>
        <v/>
      </c>
      <c r="V2420" s="11" t="str">
        <f>_xlfn.XLOOKUP(Customer[[#This Row],[Customer ID]],[1]!Address[ID],[1]!Address[Type])</f>
        <v>CORPORATE</v>
      </c>
      <c r="W2420" s="11" t="str">
        <f>_xlfn.XLOOKUP(Customer[[#This Row],[Customer ID]],[1]!Address[ID],[1]!Address[CT])</f>
        <v>30 DAYS</v>
      </c>
      <c r="X2420" s="11"/>
      <c r="Y2420" s="17" t="s">
        <v>6418</v>
      </c>
      <c r="Z2420" s="17" t="e">
        <f>_xlfn.XLOOKUP(Customer[[#This Row],[NewType]],$AF$36:$AF$54,$AG$36:$AG$54)</f>
        <v>#N/A</v>
      </c>
      <c r="AA2420" s="17" t="s">
        <v>14988</v>
      </c>
      <c r="AB2420" s="11" t="str">
        <f>_xlfn.XLOOKUP(Customer[[#This Row],[Customer ID]],[1]!Address[ID],[1]!Address[Subtype])</f>
        <v>PELADANG NS</v>
      </c>
      <c r="AC2420" s="18" t="str">
        <f>_xlfn.XLOOKUP(Customer[[#This Row],[Customer ID]],[1]!Address[ID],[1]!Address[Zone])</f>
        <v>SOUTH</v>
      </c>
    </row>
    <row r="2421" spans="1:29" x14ac:dyDescent="0.3">
      <c r="A2421" s="127" t="s">
        <v>14989</v>
      </c>
      <c r="B2421" s="28" t="str">
        <f>_xlfn.XLOOKUP(Customer[[#This Row],[Customer ID]],[1]!Name[ID],[1]!Name[Description(1)])</f>
        <v>ANGKASAMART KEDAH</v>
      </c>
      <c r="C2421" s="11" t="str">
        <f>_xlfn.XLOOKUP(Customer[[#This Row],[Customer ID]],[1]!Name[ID],[1]!Name[Description(2)])</f>
        <v>PUSAT KEUSAHAWANAN KOMUNITI</v>
      </c>
      <c r="D2421" s="11" t="str">
        <f>_xlfn.XLOOKUP(Customer[[#This Row],[Customer ID]],[1]!Address[ID],[1]!Address[PIC])</f>
        <v/>
      </c>
      <c r="E2421" s="11" t="str">
        <f>_xlfn.XLOOKUP(Customer[[#This Row],[Customer ID]],[1]!Address[ID],[1]!Address[Full Address])</f>
        <v>BAZAR RAKYAT PENDANGJALAN BANGUNAN BERINGIN06700 PENDANG,KEDAH</v>
      </c>
      <c r="F2421" s="12" t="s">
        <v>14990</v>
      </c>
      <c r="G2421" s="12" t="s">
        <v>14991</v>
      </c>
      <c r="H2421" s="24" t="s">
        <v>14992</v>
      </c>
      <c r="I2421" s="24" t="b">
        <f>ISNUMBER(VALUE(LEFT(Customer[[#This Row],[Address Line 3 (30 char)]],1)))</f>
        <v>0</v>
      </c>
      <c r="J2421" s="12" t="s">
        <v>79</v>
      </c>
      <c r="K2421" s="30" t="s">
        <v>3956</v>
      </c>
      <c r="L2421" s="12" t="s">
        <v>35</v>
      </c>
      <c r="M2421" s="13" t="e">
        <v>#N/A</v>
      </c>
      <c r="N2421" s="14" t="e">
        <v>#N/A</v>
      </c>
      <c r="O2421" s="14" t="e">
        <v>#N/A</v>
      </c>
      <c r="P2421" s="14" t="e">
        <v>#N/A</v>
      </c>
      <c r="Q2421" s="19" t="s">
        <v>14993</v>
      </c>
      <c r="R2421" s="15" t="s">
        <v>14994</v>
      </c>
      <c r="S2421" s="15" t="s">
        <v>5934</v>
      </c>
      <c r="T2421" s="16" t="s">
        <v>3477</v>
      </c>
      <c r="U2421" s="11" t="str">
        <f>_xlfn.XLOOKUP(Customer[[#This Row],[Customer ID]],[1]!Address[ID],[1]!Address[Phone No.(2)])</f>
        <v/>
      </c>
      <c r="V2421" s="11" t="str">
        <f>_xlfn.XLOOKUP(Customer[[#This Row],[Customer ID]],[1]!Address[ID],[1]!Address[Type])</f>
        <v>CM</v>
      </c>
      <c r="W2421" s="11" t="str">
        <f>_xlfn.XLOOKUP(Customer[[#This Row],[Customer ID]],[1]!Address[ID],[1]!Address[CT])</f>
        <v>CASH</v>
      </c>
      <c r="X2421" s="11"/>
      <c r="Y2421" s="17" t="s">
        <v>5918</v>
      </c>
      <c r="Z2421" s="17" t="e">
        <f>_xlfn.XLOOKUP(Customer[[#This Row],[NewType]],$AF$36:$AF$54,$AG$36:$AG$54)</f>
        <v>#N/A</v>
      </c>
      <c r="AA2421" s="17" t="s">
        <v>14995</v>
      </c>
      <c r="AB2421" s="11" t="str">
        <f>_xlfn.XLOOKUP(Customer[[#This Row],[Customer ID]],[1]!Address[ID],[1]!Address[Subtype])</f>
        <v>ANGKASAMART</v>
      </c>
      <c r="AC2421" s="18" t="str">
        <f>_xlfn.XLOOKUP(Customer[[#This Row],[Customer ID]],[1]!Address[ID],[1]!Address[Zone])</f>
        <v>NORTH</v>
      </c>
    </row>
    <row r="2422" spans="1:29" x14ac:dyDescent="0.3">
      <c r="A2422" s="126" t="s">
        <v>14996</v>
      </c>
      <c r="B2422" s="11" t="str">
        <f>_xlfn.XLOOKUP(Customer[[#This Row],[Customer ID]],[1]!Name[ID],[1]!Name[Description(1)])</f>
        <v>NINI HARDWARE</v>
      </c>
      <c r="C2422" s="11" t="str">
        <f>_xlfn.XLOOKUP(Customer[[#This Row],[Customer ID]],[1]!Name[ID],[1]!Name[Description(2)])</f>
        <v/>
      </c>
      <c r="D2422" s="11" t="str">
        <f>_xlfn.XLOOKUP(Customer[[#This Row],[Customer ID]],[1]!Address[ID],[1]!Address[PIC])</f>
        <v/>
      </c>
      <c r="E2422" s="11" t="str">
        <f>_xlfn.XLOOKUP(Customer[[#This Row],[Customer ID]],[1]!Address[ID],[1]!Address[Full Address])</f>
        <v>19 SIMPANG KEPAYANG JALAN UTAMA BERA(F),SEBERTAK 28300 TRIANG PAHANG</v>
      </c>
      <c r="F2422" s="12" t="s">
        <v>14997</v>
      </c>
      <c r="G2422" s="12" t="s">
        <v>14998</v>
      </c>
      <c r="H2422" s="12" t="s">
        <v>14999</v>
      </c>
      <c r="I2422" s="12" t="b">
        <f>ISNUMBER(VALUE(LEFT(Customer[[#This Row],[Address Line 3 (30 char)]],1)))</f>
        <v>0</v>
      </c>
      <c r="J2422" s="12" t="s">
        <v>339</v>
      </c>
      <c r="K2422" s="12">
        <v>28300</v>
      </c>
      <c r="L2422" s="12" t="s">
        <v>35</v>
      </c>
      <c r="M2422" s="13" t="e">
        <v>#N/A</v>
      </c>
      <c r="N2422" s="14" t="e">
        <v>#N/A</v>
      </c>
      <c r="O2422" s="14" t="e">
        <v>#N/A</v>
      </c>
      <c r="P2422" s="14" t="e">
        <v>#N/A</v>
      </c>
      <c r="Q2422" s="14" t="e">
        <v>#N/A</v>
      </c>
      <c r="R2422" s="15" t="s">
        <v>9165</v>
      </c>
      <c r="S2422" s="15" t="s">
        <v>5934</v>
      </c>
      <c r="T2422" s="16" t="s">
        <v>3477</v>
      </c>
      <c r="U2422" s="11" t="str">
        <f>_xlfn.XLOOKUP(Customer[[#This Row],[Customer ID]],[1]!Address[ID],[1]!Address[Phone No.(2)])</f>
        <v/>
      </c>
      <c r="V2422" s="11" t="str">
        <f>_xlfn.XLOOKUP(Customer[[#This Row],[Customer ID]],[1]!Address[ID],[1]!Address[Type])</f>
        <v>CM</v>
      </c>
      <c r="W2422" s="11" t="str">
        <f>_xlfn.XLOOKUP(Customer[[#This Row],[Customer ID]],[1]!Address[ID],[1]!Address[CT])</f>
        <v>CASH</v>
      </c>
      <c r="X2422" s="11"/>
      <c r="Y2422" s="17" t="s">
        <v>5918</v>
      </c>
      <c r="Z2422" s="17" t="e">
        <f>_xlfn.XLOOKUP(Customer[[#This Row],[NewType]],$AF$36:$AF$54,$AG$36:$AG$54)</f>
        <v>#N/A</v>
      </c>
      <c r="AA2422" s="17" t="s">
        <v>15000</v>
      </c>
      <c r="AB2422" s="11" t="str">
        <f>_xlfn.XLOOKUP(Customer[[#This Row],[Customer ID]],[1]!Address[ID],[1]!Address[Subtype])</f>
        <v>NINI HARDWAE</v>
      </c>
      <c r="AC2422" s="18" t="str">
        <f>_xlfn.XLOOKUP(Customer[[#This Row],[Customer ID]],[1]!Address[ID],[1]!Address[Zone])</f>
        <v>EAST COAST</v>
      </c>
    </row>
    <row r="2423" spans="1:29" x14ac:dyDescent="0.3">
      <c r="A2423" s="126" t="s">
        <v>15001</v>
      </c>
      <c r="B2423" s="11" t="str">
        <f>_xlfn.XLOOKUP(Customer[[#This Row],[Customer ID]],[1]!Name[ID],[1]!Name[Description(1)])</f>
        <v>MUHADI BIN SULIAMAN</v>
      </c>
      <c r="C2423" s="32" t="str">
        <f>_xlfn.XLOOKUP(Customer[[#This Row],[Customer ID]],[1]!Name[ID],[1]!Name[Description(2)])</f>
        <v/>
      </c>
      <c r="D2423" s="11" t="str">
        <f>_xlfn.XLOOKUP(Customer[[#This Row],[Customer ID]],[1]!Address[ID],[1]!Address[PIC])</f>
        <v/>
      </c>
      <c r="E2423" s="11" t="str">
        <f>_xlfn.XLOOKUP(Customer[[#This Row],[Customer ID]],[1]!Address[ID],[1]!Address[Full Address])</f>
        <v>BAHAGIAN SIASATAN JENAYAHIPD SEREMBAN</v>
      </c>
      <c r="F2423" s="12" t="s">
        <v>15002</v>
      </c>
      <c r="G2423" s="12" t="s">
        <v>15003</v>
      </c>
      <c r="H2423" s="12" t="s">
        <v>36</v>
      </c>
      <c r="I2423" s="12" t="b">
        <f>ISNUMBER(VALUE(LEFT(Customer[[#This Row],[Address Line 3 (30 char)]],1)))</f>
        <v>0</v>
      </c>
      <c r="J2423" s="32" t="s">
        <v>203</v>
      </c>
      <c r="K2423" s="32"/>
      <c r="L2423" s="12" t="s">
        <v>35</v>
      </c>
      <c r="M2423" s="13" t="e">
        <v>#N/A</v>
      </c>
      <c r="N2423" s="14" t="e">
        <v>#N/A</v>
      </c>
      <c r="O2423" s="14" t="e">
        <v>#N/A</v>
      </c>
      <c r="P2423" s="14" t="e">
        <v>#N/A</v>
      </c>
      <c r="Q2423" s="19" t="s">
        <v>15004</v>
      </c>
      <c r="R2423" s="15" t="s">
        <v>15005</v>
      </c>
      <c r="S2423" s="16" t="s">
        <v>6283</v>
      </c>
      <c r="T2423" s="16"/>
      <c r="U2423" s="11" t="str">
        <f>_xlfn.XLOOKUP(Customer[[#This Row],[Customer ID]],[1]!Address[ID],[1]!Address[Phone No.(2)])</f>
        <v/>
      </c>
      <c r="V2423" s="11" t="str">
        <f>_xlfn.XLOOKUP(Customer[[#This Row],[Customer ID]],[1]!Address[ID],[1]!Address[Type])</f>
        <v>WALK IN</v>
      </c>
      <c r="W2423" s="11" t="str">
        <f>_xlfn.XLOOKUP(Customer[[#This Row],[Customer ID]],[1]!Address[ID],[1]!Address[CT])</f>
        <v/>
      </c>
      <c r="X2423" s="11"/>
      <c r="Y2423" s="17" t="s">
        <v>6284</v>
      </c>
      <c r="Z2423" s="17" t="e">
        <f>_xlfn.XLOOKUP(Customer[[#This Row],[NewType]],$AF$36:$AF$54,$AG$36:$AG$54)</f>
        <v>#N/A</v>
      </c>
      <c r="AA2423" s="17" t="s">
        <v>15006</v>
      </c>
      <c r="AB2423" s="11" t="str">
        <f>_xlfn.XLOOKUP(Customer[[#This Row],[Customer ID]],[1]!Address[ID],[1]!Address[Subtype])</f>
        <v>RANTAU</v>
      </c>
      <c r="AC2423" s="18" t="str">
        <f>_xlfn.XLOOKUP(Customer[[#This Row],[Customer ID]],[1]!Address[ID],[1]!Address[Zone])</f>
        <v>SOUTH</v>
      </c>
    </row>
    <row r="2424" spans="1:29" x14ac:dyDescent="0.3">
      <c r="A2424" s="126" t="s">
        <v>15007</v>
      </c>
      <c r="B2424" s="11" t="str">
        <f>_xlfn.XLOOKUP(Customer[[#This Row],[Customer ID]],[1]!Name[ID],[1]!Name[Description(1)])</f>
        <v>KOP TRADTECH SDN BHD</v>
      </c>
      <c r="C2424" s="11" t="str">
        <f>_xlfn.XLOOKUP(Customer[[#This Row],[Customer ID]],[1]!Name[ID],[1]!Name[Description(2)])</f>
        <v/>
      </c>
      <c r="D2424" s="11" t="str">
        <f>_xlfn.XLOOKUP(Customer[[#This Row],[Customer ID]],[1]!Address[ID],[1]!Address[PIC])</f>
        <v/>
      </c>
      <c r="E2424" s="11" t="str">
        <f>_xlfn.XLOOKUP(Customer[[#This Row],[Customer ID]],[1]!Address[ID],[1]!Address[Full Address])</f>
        <v>TINGKAT 3A, BANGUNAN KOPERASI POLIS,N0.1, JALAN SULTAN SULAIMAN,50000 KUALA LUMPUR.</v>
      </c>
      <c r="F2424" s="12" t="s">
        <v>15008</v>
      </c>
      <c r="G2424" s="12" t="s">
        <v>15009</v>
      </c>
      <c r="H2424" s="12" t="s">
        <v>15010</v>
      </c>
      <c r="I2424" s="12" t="b">
        <f>ISNUMBER(VALUE(LEFT(Customer[[#This Row],[Address Line 3 (30 char)]],1)))</f>
        <v>0</v>
      </c>
      <c r="J2424" s="12" t="s">
        <v>8855</v>
      </c>
      <c r="K2424" s="12">
        <v>50000</v>
      </c>
      <c r="L2424" s="12" t="s">
        <v>35</v>
      </c>
      <c r="M2424" s="13" t="e">
        <v>#N/A</v>
      </c>
      <c r="N2424" s="14" t="e">
        <v>#N/A</v>
      </c>
      <c r="O2424" s="14" t="e">
        <v>#N/A</v>
      </c>
      <c r="P2424" s="14" t="e">
        <v>#N/A</v>
      </c>
      <c r="Q2424" s="19" t="s">
        <v>15011</v>
      </c>
      <c r="R2424" s="15" t="s">
        <v>15012</v>
      </c>
      <c r="S2424" s="15" t="s">
        <v>5934</v>
      </c>
      <c r="T2424" s="16" t="s">
        <v>3477</v>
      </c>
      <c r="U2424" s="11" t="str">
        <f>_xlfn.XLOOKUP(Customer[[#This Row],[Customer ID]],[1]!Address[ID],[1]!Address[Phone No.(2)])</f>
        <v/>
      </c>
      <c r="V2424" s="11" t="str">
        <f>_xlfn.XLOOKUP(Customer[[#This Row],[Customer ID]],[1]!Address[ID],[1]!Address[Type])</f>
        <v>CORPORATE</v>
      </c>
      <c r="W2424" s="11" t="str">
        <f>_xlfn.XLOOKUP(Customer[[#This Row],[Customer ID]],[1]!Address[ID],[1]!Address[CT])</f>
        <v>30 DAYS</v>
      </c>
      <c r="X2424" s="11"/>
      <c r="Y2424" s="17" t="s">
        <v>6418</v>
      </c>
      <c r="Z2424" s="17" t="e">
        <f>_xlfn.XLOOKUP(Customer[[#This Row],[NewType]],$AF$36:$AF$54,$AG$36:$AG$54)</f>
        <v>#N/A</v>
      </c>
      <c r="AA2424" s="17" t="s">
        <v>15013</v>
      </c>
      <c r="AB2424" s="11" t="str">
        <f>_xlfn.XLOOKUP(Customer[[#This Row],[Customer ID]],[1]!Address[ID],[1]!Address[Subtype])</f>
        <v>KOPTRADTECH</v>
      </c>
      <c r="AC2424" s="18" t="str">
        <f>_xlfn.XLOOKUP(Customer[[#This Row],[Customer ID]],[1]!Address[ID],[1]!Address[Zone])</f>
        <v>CENTRAL</v>
      </c>
    </row>
    <row r="2425" spans="1:29" x14ac:dyDescent="0.3">
      <c r="A2425" s="126" t="s">
        <v>15014</v>
      </c>
      <c r="B2425" s="11" t="str">
        <f>_xlfn.XLOOKUP(Customer[[#This Row],[Customer ID]],[1]!Name[ID],[1]!Name[Description(1)])</f>
        <v>NOOR HALIZA BINTI ABDULLAH SANI</v>
      </c>
      <c r="C2425" s="11" t="str">
        <f>_xlfn.XLOOKUP(Customer[[#This Row],[Customer ID]],[1]!Name[ID],[1]!Name[Description(2)])</f>
        <v/>
      </c>
      <c r="D2425" s="11" t="str">
        <f>_xlfn.XLOOKUP(Customer[[#This Row],[Customer ID]],[1]!Address[ID],[1]!Address[PIC])</f>
        <v/>
      </c>
      <c r="E2425" s="11" t="str">
        <f>_xlfn.XLOOKUP(Customer[[#This Row],[Customer ID]],[1]!Address[ID],[1]!Address[Full Address])</f>
        <v>NO 1, JALAN KAJANG RAYA 10,TAMAN KAJANG RAYA, 43000 KAJANG,SELANGOR</v>
      </c>
      <c r="F2425" s="12" t="s">
        <v>15015</v>
      </c>
      <c r="G2425" s="12" t="s">
        <v>15016</v>
      </c>
      <c r="H2425" s="12" t="s">
        <v>4134</v>
      </c>
      <c r="I2425" s="12" t="b">
        <f>ISNUMBER(VALUE(LEFT(Customer[[#This Row],[Address Line 3 (30 char)]],1)))</f>
        <v>0</v>
      </c>
      <c r="J2425" s="12" t="s">
        <v>172</v>
      </c>
      <c r="K2425" s="12">
        <v>43000</v>
      </c>
      <c r="L2425" s="12" t="s">
        <v>35</v>
      </c>
      <c r="M2425" s="13" t="e">
        <v>#N/A</v>
      </c>
      <c r="N2425" s="14" t="e">
        <v>#N/A</v>
      </c>
      <c r="O2425" s="14" t="e">
        <v>#N/A</v>
      </c>
      <c r="P2425" s="14" t="e">
        <v>#N/A</v>
      </c>
      <c r="Q2425" s="19" t="s">
        <v>15017</v>
      </c>
      <c r="R2425" s="15" t="s">
        <v>15018</v>
      </c>
      <c r="S2425" s="15" t="s">
        <v>88</v>
      </c>
      <c r="T2425" s="16" t="s">
        <v>89</v>
      </c>
      <c r="U2425" s="11" t="str">
        <f>_xlfn.XLOOKUP(Customer[[#This Row],[Customer ID]],[1]!Address[ID],[1]!Address[Phone No.(2)])</f>
        <v/>
      </c>
      <c r="V2425" s="11" t="str">
        <f>_xlfn.XLOOKUP(Customer[[#This Row],[Customer ID]],[1]!Address[ID],[1]!Address[Type])</f>
        <v>SOCMED</v>
      </c>
      <c r="W2425" s="11" t="str">
        <f>_xlfn.XLOOKUP(Customer[[#This Row],[Customer ID]],[1]!Address[ID],[1]!Address[CT])</f>
        <v/>
      </c>
      <c r="X2425" s="11"/>
      <c r="Y2425" s="17" t="s">
        <v>90</v>
      </c>
      <c r="Z2425" s="17" t="e">
        <f>_xlfn.XLOOKUP(Customer[[#This Row],[NewType]],$AF$36:$AF$54,$AG$36:$AG$54)</f>
        <v>#N/A</v>
      </c>
      <c r="AA2425" s="17" t="s">
        <v>15019</v>
      </c>
      <c r="AB2425" s="11" t="str">
        <f>_xlfn.XLOOKUP(Customer[[#This Row],[Customer ID]],[1]!Address[ID],[1]!Address[Subtype])</f>
        <v>ONLINE ROS</v>
      </c>
      <c r="AC2425" s="18" t="str">
        <f>_xlfn.XLOOKUP(Customer[[#This Row],[Customer ID]],[1]!Address[ID],[1]!Address[Zone])</f>
        <v>CENTRAL</v>
      </c>
    </row>
    <row r="2426" spans="1:29" x14ac:dyDescent="0.3">
      <c r="A2426" s="10" t="s">
        <v>15020</v>
      </c>
      <c r="B2426" s="11" t="str">
        <f>_xlfn.XLOOKUP(Customer[[#This Row],[Customer ID]],[1]!Name[ID],[1]!Name[Description(1)])</f>
        <v>NORIMAH NORDIN</v>
      </c>
      <c r="C2426" s="11" t="str">
        <f>_xlfn.XLOOKUP(Customer[[#This Row],[Customer ID]],[1]!Name[ID],[1]!Name[Description(2)])</f>
        <v/>
      </c>
      <c r="D2426" s="11" t="str">
        <f>_xlfn.XLOOKUP(Customer[[#This Row],[Customer ID]],[1]!Address[ID],[1]!Address[PIC])</f>
        <v/>
      </c>
      <c r="E2426" s="11" t="str">
        <f>_xlfn.XLOOKUP(Customer[[#This Row],[Customer ID]],[1]!Address[ID],[1]!Address[Full Address])</f>
        <v>KANTIN HOSPITAL SULTANAH MALIHABUKIT TEKOH 07000 LANGKAWI KEDAH</v>
      </c>
      <c r="F2426" s="12" t="s">
        <v>15021</v>
      </c>
      <c r="G2426" s="12" t="s">
        <v>15022</v>
      </c>
      <c r="H2426" s="12" t="s">
        <v>15023</v>
      </c>
      <c r="I2426" s="12" t="b">
        <f>ISNUMBER(VALUE(LEFT(Customer[[#This Row],[Address Line 3 (30 char)]],1)))</f>
        <v>0</v>
      </c>
      <c r="J2426" s="12" t="s">
        <v>355</v>
      </c>
      <c r="K2426" s="20" t="s">
        <v>1847</v>
      </c>
      <c r="L2426" s="12" t="s">
        <v>35</v>
      </c>
      <c r="M2426" s="13" t="e">
        <v>#N/A</v>
      </c>
      <c r="N2426" s="14" t="e">
        <v>#N/A</v>
      </c>
      <c r="O2426" s="14" t="e">
        <v>#N/A</v>
      </c>
      <c r="P2426" s="14" t="e">
        <v>#N/A</v>
      </c>
      <c r="Q2426" s="19" t="s">
        <v>15024</v>
      </c>
      <c r="R2426" s="15" t="s">
        <v>15025</v>
      </c>
      <c r="S2426" s="15" t="s">
        <v>88</v>
      </c>
      <c r="T2426" s="16" t="s">
        <v>89</v>
      </c>
      <c r="U2426" s="11" t="str">
        <f>_xlfn.XLOOKUP(Customer[[#This Row],[Customer ID]],[1]!Address[ID],[1]!Address[Phone No.(2)])</f>
        <v/>
      </c>
      <c r="V2426" s="11" t="str">
        <f>_xlfn.XLOOKUP(Customer[[#This Row],[Customer ID]],[1]!Address[ID],[1]!Address[Type])</f>
        <v>SOCMED</v>
      </c>
      <c r="W2426" s="11" t="str">
        <f>_xlfn.XLOOKUP(Customer[[#This Row],[Customer ID]],[1]!Address[ID],[1]!Address[CT])</f>
        <v/>
      </c>
      <c r="X2426" s="11"/>
      <c r="Y2426" s="17" t="s">
        <v>90</v>
      </c>
      <c r="Z2426" s="17" t="e">
        <f>_xlfn.XLOOKUP(Customer[[#This Row],[NewType]],$AF$36:$AF$54,$AG$36:$AG$54)</f>
        <v>#N/A</v>
      </c>
      <c r="AA2426" s="17" t="s">
        <v>15026</v>
      </c>
      <c r="AB2426" s="11" t="str">
        <f>_xlfn.XLOOKUP(Customer[[#This Row],[Customer ID]],[1]!Address[ID],[1]!Address[Subtype])</f>
        <v>ONLINE ROS</v>
      </c>
      <c r="AC2426" s="18" t="str">
        <f>_xlfn.XLOOKUP(Customer[[#This Row],[Customer ID]],[1]!Address[ID],[1]!Address[Zone])</f>
        <v>NORTH</v>
      </c>
    </row>
    <row r="2427" spans="1:29" x14ac:dyDescent="0.3">
      <c r="A2427" s="27" t="s">
        <v>15027</v>
      </c>
      <c r="B2427" s="28" t="str">
        <f>_xlfn.XLOOKUP(Customer[[#This Row],[Customer ID]],[1]!Name[ID],[1]!Name[Description(1)])</f>
        <v>EM VENUS SDN BHD</v>
      </c>
      <c r="C2427" s="11" t="str">
        <f>_xlfn.XLOOKUP(Customer[[#This Row],[Customer ID]],[1]!Name[ID],[1]!Name[Description(2)])</f>
        <v>PETRON SUKA MENANTI</v>
      </c>
      <c r="D2427" s="11" t="str">
        <f>_xlfn.XLOOKUP(Customer[[#This Row],[Customer ID]],[1]!Address[ID],[1]!Address[PIC])</f>
        <v/>
      </c>
      <c r="E2427" s="11" t="str">
        <f>_xlfn.XLOOKUP(Customer[[#This Row],[Customer ID]],[1]!Address[ID],[1]!Address[Full Address])</f>
        <v>PETRON SUKA MENANTIPT 282, JALAN SUKA MENANTIKAMPUNG PUMPONG, 05150 ALOR SETARKEDAH DAULAMAN</v>
      </c>
      <c r="F2427" s="12" t="s">
        <v>15028</v>
      </c>
      <c r="G2427" s="12" t="s">
        <v>15029</v>
      </c>
      <c r="H2427" s="12" t="s">
        <v>2335</v>
      </c>
      <c r="I2427" s="12" t="b">
        <f>ISNUMBER(VALUE(LEFT(Customer[[#This Row],[Address Line 3 (30 char)]],1)))</f>
        <v>0</v>
      </c>
      <c r="J2427" s="12" t="s">
        <v>79</v>
      </c>
      <c r="K2427" s="30" t="s">
        <v>3421</v>
      </c>
      <c r="L2427" s="12" t="s">
        <v>35</v>
      </c>
      <c r="M2427" s="13" t="e">
        <v>#N/A</v>
      </c>
      <c r="N2427" s="14" t="e">
        <v>#N/A</v>
      </c>
      <c r="O2427" s="14" t="e">
        <v>#N/A</v>
      </c>
      <c r="P2427" s="14" t="e">
        <v>#N/A</v>
      </c>
      <c r="Q2427" s="19" t="s">
        <v>15030</v>
      </c>
      <c r="R2427" s="15" t="s">
        <v>15031</v>
      </c>
      <c r="S2427" s="15" t="s">
        <v>37</v>
      </c>
      <c r="T2427" s="16" t="s">
        <v>38</v>
      </c>
      <c r="U2427" s="11" t="str">
        <f>_xlfn.XLOOKUP(Customer[[#This Row],[Customer ID]],[1]!Address[ID],[1]!Address[Phone No.(2)])</f>
        <v/>
      </c>
      <c r="V2427" s="11" t="str">
        <f>_xlfn.XLOOKUP(Customer[[#This Row],[Customer ID]],[1]!Address[ID],[1]!Address[Type])</f>
        <v>PETROMART</v>
      </c>
      <c r="W2427" s="11" t="str">
        <f>_xlfn.XLOOKUP(Customer[[#This Row],[Customer ID]],[1]!Address[ID],[1]!Address[CT])</f>
        <v>30</v>
      </c>
      <c r="X2427" s="11" t="s">
        <v>39</v>
      </c>
      <c r="Y2427" s="17" t="s">
        <v>40</v>
      </c>
      <c r="Z2427" s="17" t="e">
        <f>_xlfn.XLOOKUP(Customer[[#This Row],[NewType]],$AF$36:$AF$54,$AG$36:$AG$54)</f>
        <v>#N/A</v>
      </c>
      <c r="AA2427" s="17" t="s">
        <v>15032</v>
      </c>
      <c r="AB2427" s="11" t="str">
        <f>_xlfn.XLOOKUP(Customer[[#This Row],[Customer ID]],[1]!Address[ID],[1]!Address[Subtype])</f>
        <v>PETRON</v>
      </c>
      <c r="AC2427" s="18" t="str">
        <f>_xlfn.XLOOKUP(Customer[[#This Row],[Customer ID]],[1]!Address[ID],[1]!Address[Zone])</f>
        <v>NOUTH</v>
      </c>
    </row>
    <row r="2428" spans="1:29" x14ac:dyDescent="0.3">
      <c r="A2428" s="10" t="s">
        <v>15033</v>
      </c>
      <c r="B2428" s="11" t="str">
        <f>_xlfn.XLOOKUP(Customer[[#This Row],[Customer ID]],[1]!Name[ID],[1]!Name[Description(1)])</f>
        <v>AZRIL AZMI</v>
      </c>
      <c r="C2428" s="11" t="str">
        <f>_xlfn.XLOOKUP(Customer[[#This Row],[Customer ID]],[1]!Name[ID],[1]!Name[Description(2)])</f>
        <v/>
      </c>
      <c r="D2428" s="11" t="str">
        <f>_xlfn.XLOOKUP(Customer[[#This Row],[Customer ID]],[1]!Address[ID],[1]!Address[PIC])</f>
        <v/>
      </c>
      <c r="E2428" s="11" t="str">
        <f>_xlfn.XLOOKUP(Customer[[#This Row],[Customer ID]],[1]!Address[ID],[1]!Address[Full Address])</f>
        <v>TAMAN ANGSANA, JALAN SIKAMAT,70400 SEREMBAN, N.S</v>
      </c>
      <c r="F2428" s="12" t="s">
        <v>15034</v>
      </c>
      <c r="G2428" s="12" t="s">
        <v>15035</v>
      </c>
      <c r="H2428" s="12" t="s">
        <v>36</v>
      </c>
      <c r="I2428" s="12" t="b">
        <f>ISNUMBER(VALUE(LEFT(Customer[[#This Row],[Address Line 3 (30 char)]],1)))</f>
        <v>0</v>
      </c>
      <c r="J2428" s="12" t="s">
        <v>2004</v>
      </c>
      <c r="K2428" s="12">
        <v>70400</v>
      </c>
      <c r="L2428" s="12" t="s">
        <v>35</v>
      </c>
      <c r="M2428" s="13" t="e">
        <v>#N/A</v>
      </c>
      <c r="N2428" s="14" t="e">
        <v>#N/A</v>
      </c>
      <c r="O2428" s="14" t="e">
        <v>#N/A</v>
      </c>
      <c r="P2428" s="14" t="e">
        <v>#N/A</v>
      </c>
      <c r="Q2428" s="19" t="s">
        <v>15036</v>
      </c>
      <c r="R2428" s="15" t="s">
        <v>15037</v>
      </c>
      <c r="S2428" s="16" t="s">
        <v>89</v>
      </c>
      <c r="T2428" s="16" t="s">
        <v>89</v>
      </c>
      <c r="U2428" s="11" t="str">
        <f>_xlfn.XLOOKUP(Customer[[#This Row],[Customer ID]],[1]!Address[ID],[1]!Address[Phone No.(2)])</f>
        <v/>
      </c>
      <c r="V2428" s="11" t="str">
        <f>_xlfn.XLOOKUP(Customer[[#This Row],[Customer ID]],[1]!Address[ID],[1]!Address[Type])</f>
        <v>WALK IN</v>
      </c>
      <c r="W2428" s="11" t="str">
        <f>_xlfn.XLOOKUP(Customer[[#This Row],[Customer ID]],[1]!Address[ID],[1]!Address[CT])</f>
        <v/>
      </c>
      <c r="X2428" s="11"/>
      <c r="Y2428" s="17" t="s">
        <v>6284</v>
      </c>
      <c r="Z2428" s="17" t="e">
        <f>_xlfn.XLOOKUP(Customer[[#This Row],[NewType]],$AF$36:$AF$54,$AG$36:$AG$54)</f>
        <v>#N/A</v>
      </c>
      <c r="AA2428" s="17" t="s">
        <v>15038</v>
      </c>
      <c r="AB2428" s="11" t="str">
        <f>_xlfn.XLOOKUP(Customer[[#This Row],[Customer ID]],[1]!Address[ID],[1]!Address[Subtype])</f>
        <v>PEDAS</v>
      </c>
      <c r="AC2428" s="18" t="str">
        <f>_xlfn.XLOOKUP(Customer[[#This Row],[Customer ID]],[1]!Address[ID],[1]!Address[Zone])</f>
        <v>SOUTH</v>
      </c>
    </row>
    <row r="2429" spans="1:29" x14ac:dyDescent="0.3">
      <c r="A2429" s="10" t="s">
        <v>15039</v>
      </c>
      <c r="B2429" s="11" t="str">
        <f>_xlfn.XLOOKUP(Customer[[#This Row],[Customer ID]],[1]!Name[ID],[1]!Name[Description(1)])</f>
        <v>QAYYUM AFI BIN ABDUL AZIZ</v>
      </c>
      <c r="C2429" s="32" t="str">
        <f>_xlfn.XLOOKUP(Customer[[#This Row],[Customer ID]],[1]!Name[ID],[1]!Name[Description(2)])</f>
        <v/>
      </c>
      <c r="D2429" s="11" t="str">
        <f>_xlfn.XLOOKUP(Customer[[#This Row],[Customer ID]],[1]!Address[ID],[1]!Address[PIC])</f>
        <v/>
      </c>
      <c r="E2429" s="11" t="str">
        <f>_xlfn.XLOOKUP(Customer[[#This Row],[Customer ID]],[1]!Address[ID],[1]!Address[Full Address])</f>
        <v>NO 1474 JALAN 2/3C,BANDAR SEREMBAN SELATAN 71450SENAWANG N.S</v>
      </c>
      <c r="F2429" s="12" t="s">
        <v>15040</v>
      </c>
      <c r="G2429" s="12" t="s">
        <v>15041</v>
      </c>
      <c r="H2429" s="12" t="s">
        <v>15042</v>
      </c>
      <c r="I2429" s="12" t="b">
        <f>ISNUMBER(VALUE(LEFT(Customer[[#This Row],[Address Line 3 (30 char)]],1)))</f>
        <v>0</v>
      </c>
      <c r="J2429" s="95" t="s">
        <v>203</v>
      </c>
      <c r="K2429" s="112"/>
      <c r="L2429" s="12" t="s">
        <v>35</v>
      </c>
      <c r="M2429" s="13" t="e">
        <v>#N/A</v>
      </c>
      <c r="N2429" s="14" t="e">
        <v>#N/A</v>
      </c>
      <c r="O2429" s="14" t="e">
        <v>#N/A</v>
      </c>
      <c r="P2429" s="14" t="e">
        <v>#N/A</v>
      </c>
      <c r="Q2429" s="19" t="s">
        <v>15043</v>
      </c>
      <c r="R2429" s="15" t="s">
        <v>15044</v>
      </c>
      <c r="S2429" s="16" t="s">
        <v>89</v>
      </c>
      <c r="T2429" s="16" t="s">
        <v>89</v>
      </c>
      <c r="U2429" s="11" t="str">
        <f>_xlfn.XLOOKUP(Customer[[#This Row],[Customer ID]],[1]!Address[ID],[1]!Address[Phone No.(2)])</f>
        <v/>
      </c>
      <c r="V2429" s="11" t="str">
        <f>_xlfn.XLOOKUP(Customer[[#This Row],[Customer ID]],[1]!Address[ID],[1]!Address[Type])</f>
        <v>WALK IN</v>
      </c>
      <c r="W2429" s="11" t="str">
        <f>_xlfn.XLOOKUP(Customer[[#This Row],[Customer ID]],[1]!Address[ID],[1]!Address[CT])</f>
        <v/>
      </c>
      <c r="X2429" s="11"/>
      <c r="Y2429" s="17" t="s">
        <v>6284</v>
      </c>
      <c r="Z2429" s="17" t="e">
        <f>_xlfn.XLOOKUP(Customer[[#This Row],[NewType]],$AF$36:$AF$54,$AG$36:$AG$54)</f>
        <v>#N/A</v>
      </c>
      <c r="AA2429" s="17" t="s">
        <v>15045</v>
      </c>
      <c r="AB2429" s="11" t="str">
        <f>_xlfn.XLOOKUP(Customer[[#This Row],[Customer ID]],[1]!Address[ID],[1]!Address[Subtype])</f>
        <v>PEDAS</v>
      </c>
      <c r="AC2429" s="18" t="str">
        <f>_xlfn.XLOOKUP(Customer[[#This Row],[Customer ID]],[1]!Address[ID],[1]!Address[Zone])</f>
        <v>SOUTH</v>
      </c>
    </row>
    <row r="2430" spans="1:29" x14ac:dyDescent="0.3">
      <c r="A2430" s="10" t="s">
        <v>15046</v>
      </c>
      <c r="B2430" s="11" t="str">
        <f>_xlfn.XLOOKUP(Customer[[#This Row],[Customer ID]],[1]!Name[ID],[1]!Name[Description(1)])</f>
        <v>ECONSAVE RETAIL SDN BHD</v>
      </c>
      <c r="C2430" s="11" t="str">
        <f>_xlfn.XLOOKUP(Customer[[#This Row],[Customer ID]],[1]!Name[ID],[1]!Name[Description(2)])</f>
        <v/>
      </c>
      <c r="D2430" s="11" t="str">
        <f>_xlfn.XLOOKUP(Customer[[#This Row],[Customer ID]],[1]!Address[ID],[1]!Address[PIC])</f>
        <v/>
      </c>
      <c r="E2430" s="11" t="str">
        <f>_xlfn.XLOOKUP(Customer[[#This Row],[Customer ID]],[1]!Address[ID],[1]!Address[Full Address])</f>
        <v>LOT 218 &amp; 219, JALAN BANTING KS/05,TAMAN PERINDUSTRIAN SOBENA JAYA,42000 PELABUHAN KLANG,SELANGOR DARUL EHSAN</v>
      </c>
      <c r="F2430" s="12" t="s">
        <v>15047</v>
      </c>
      <c r="G2430" s="12" t="s">
        <v>15048</v>
      </c>
      <c r="H2430" s="12" t="s">
        <v>15049</v>
      </c>
      <c r="I2430" s="12" t="b">
        <f>ISNUMBER(VALUE(LEFT(Customer[[#This Row],[Address Line 3 (30 char)]],1)))</f>
        <v>0</v>
      </c>
      <c r="J2430" s="12" t="s">
        <v>172</v>
      </c>
      <c r="K2430" s="12">
        <v>42000</v>
      </c>
      <c r="L2430" s="12" t="s">
        <v>35</v>
      </c>
      <c r="M2430" s="13" t="e">
        <v>#N/A</v>
      </c>
      <c r="N2430" s="14" t="e">
        <v>#N/A</v>
      </c>
      <c r="O2430" s="14" t="e">
        <v>#N/A</v>
      </c>
      <c r="P2430" s="14" t="e">
        <v>#N/A</v>
      </c>
      <c r="Q2430" s="19" t="s">
        <v>15050</v>
      </c>
      <c r="R2430" s="15" t="s">
        <v>15051</v>
      </c>
      <c r="S2430" s="15" t="s">
        <v>5917</v>
      </c>
      <c r="T2430" s="16" t="s">
        <v>3477</v>
      </c>
      <c r="U2430" s="11" t="str">
        <f>_xlfn.XLOOKUP(Customer[[#This Row],[Customer ID]],[1]!Address[ID],[1]!Address[Phone No.(2)])</f>
        <v/>
      </c>
      <c r="V2430" s="11" t="str">
        <f>_xlfn.XLOOKUP(Customer[[#This Row],[Customer ID]],[1]!Address[ID],[1]!Address[Type])</f>
        <v>CONVENIENCE</v>
      </c>
      <c r="W2430" s="11" t="str">
        <f>_xlfn.XLOOKUP(Customer[[#This Row],[Customer ID]],[1]!Address[ID],[1]!Address[CT])</f>
        <v>30 DAYS</v>
      </c>
      <c r="X2430" s="11"/>
      <c r="Y2430" s="17" t="s">
        <v>5918</v>
      </c>
      <c r="Z2430" s="17" t="e">
        <f>_xlfn.XLOOKUP(Customer[[#This Row],[NewType]],$AF$36:$AF$54,$AG$36:$AG$54)</f>
        <v>#N/A</v>
      </c>
      <c r="AA2430" s="17" t="s">
        <v>15052</v>
      </c>
      <c r="AB2430" s="11" t="str">
        <f>_xlfn.XLOOKUP(Customer[[#This Row],[Customer ID]],[1]!Address[ID],[1]!Address[Subtype])</f>
        <v>ECONSAVE</v>
      </c>
      <c r="AC2430" s="18" t="str">
        <f>_xlfn.XLOOKUP(Customer[[#This Row],[Customer ID]],[1]!Address[ID],[1]!Address[Zone])</f>
        <v>CENTRAL</v>
      </c>
    </row>
    <row r="2431" spans="1:29" x14ac:dyDescent="0.3">
      <c r="A2431" s="10" t="s">
        <v>15053</v>
      </c>
      <c r="B2431" s="11" t="str">
        <f>_xlfn.XLOOKUP(Customer[[#This Row],[Customer ID]],[1]!Name[ID],[1]!Name[Description(1)])</f>
        <v>MESRA RETAIL &amp; CAFE SDN BHD</v>
      </c>
      <c r="C2431" s="11" t="str">
        <f>_xlfn.XLOOKUP(Customer[[#This Row],[Customer ID]],[1]!Name[ID],[1]!Name[Description(2)])</f>
        <v>CM MENARA PJH</v>
      </c>
      <c r="D2431" s="11" t="str">
        <f>_xlfn.XLOOKUP(Customer[[#This Row],[Customer ID]],[1]!Address[ID],[1]!Address[PIC])</f>
        <v/>
      </c>
      <c r="E2431" s="11" t="str">
        <f>_xlfn.XLOOKUP(Customer[[#This Row],[Customer ID]],[1]!Address[ID],[1]!Address[Full Address])</f>
        <v>CM MENARA PJHGround Floor, Menara PJH, JalanTun Abdul Razak 62000Putrajaya Wilayah Persekutuan Putrajaya.</v>
      </c>
      <c r="F2431" s="12" t="s">
        <v>15054</v>
      </c>
      <c r="G2431" s="12" t="s">
        <v>15055</v>
      </c>
      <c r="H2431" s="12" t="s">
        <v>15056</v>
      </c>
      <c r="I2431" s="12" t="b">
        <f>ISNUMBER(VALUE(LEFT(Customer[[#This Row],[Address Line 3 (30 char)]],1)))</f>
        <v>0</v>
      </c>
      <c r="J2431" s="12" t="s">
        <v>172</v>
      </c>
      <c r="K2431" s="12">
        <v>62000</v>
      </c>
      <c r="L2431" s="12" t="s">
        <v>35</v>
      </c>
      <c r="M2431" s="13" t="e">
        <v>#N/A</v>
      </c>
      <c r="N2431" s="14" t="e">
        <v>#N/A</v>
      </c>
      <c r="O2431" s="14" t="e">
        <v>#N/A</v>
      </c>
      <c r="P2431" s="14" t="e">
        <v>#N/A</v>
      </c>
      <c r="Q2431" s="19" t="s">
        <v>15057</v>
      </c>
      <c r="R2431" s="15" t="s">
        <v>14039</v>
      </c>
      <c r="S2431" s="15" t="s">
        <v>37</v>
      </c>
      <c r="T2431" s="16" t="s">
        <v>38</v>
      </c>
      <c r="U2431" s="11" t="str">
        <f>_xlfn.XLOOKUP(Customer[[#This Row],[Customer ID]],[1]!Address[ID],[1]!Address[Phone No.(2)])</f>
        <v/>
      </c>
      <c r="V2431" s="11" t="str">
        <f>_xlfn.XLOOKUP(Customer[[#This Row],[Customer ID]],[1]!Address[ID],[1]!Address[Type])</f>
        <v>PETROMART</v>
      </c>
      <c r="W2431" s="11" t="str">
        <f>_xlfn.XLOOKUP(Customer[[#This Row],[Customer ID]],[1]!Address[ID],[1]!Address[CT])</f>
        <v>30</v>
      </c>
      <c r="X2431" s="11" t="s">
        <v>39</v>
      </c>
      <c r="Y2431" s="17" t="s">
        <v>40</v>
      </c>
      <c r="Z2431" s="17" t="e">
        <f>_xlfn.XLOOKUP(Customer[[#This Row],[NewType]],$AF$36:$AF$54,$AG$36:$AG$54)</f>
        <v>#N/A</v>
      </c>
      <c r="AA2431" s="17" t="s">
        <v>15058</v>
      </c>
      <c r="AB2431" s="11" t="str">
        <f>_xlfn.XLOOKUP(Customer[[#This Row],[Customer ID]],[1]!Address[ID],[1]!Address[Subtype])</f>
        <v>PETRONAS</v>
      </c>
      <c r="AC2431" s="18" t="str">
        <f>_xlfn.XLOOKUP(Customer[[#This Row],[Customer ID]],[1]!Address[ID],[1]!Address[Zone])</f>
        <v>CENTRAL</v>
      </c>
    </row>
    <row r="2432" spans="1:29" x14ac:dyDescent="0.3">
      <c r="A2432" s="10" t="s">
        <v>15059</v>
      </c>
      <c r="B2432" s="11" t="str">
        <f>_xlfn.XLOOKUP(Customer[[#This Row],[Customer ID]],[1]!Name[ID],[1]!Name[Description(1)])</f>
        <v>AZRINA ANNIF</v>
      </c>
      <c r="C2432" s="32" t="str">
        <f>_xlfn.XLOOKUP(Customer[[#This Row],[Customer ID]],[1]!Name[ID],[1]!Name[Description(2)])</f>
        <v/>
      </c>
      <c r="D2432" s="11" t="str">
        <f>_xlfn.XLOOKUP(Customer[[#This Row],[Customer ID]],[1]!Address[ID],[1]!Address[PIC])</f>
        <v/>
      </c>
      <c r="E2432" s="11" t="str">
        <f>_xlfn.XLOOKUP(Customer[[#This Row],[Customer ID]],[1]!Address[ID],[1]!Address[Full Address])</f>
        <v>KEMENTERIAN PENDIDIKAN TINGGI,ARAS 12, PRESINT 5, PUTRAJAYA</v>
      </c>
      <c r="F2432" s="12" t="s">
        <v>15060</v>
      </c>
      <c r="G2432" s="12" t="s">
        <v>15061</v>
      </c>
      <c r="H2432" s="12" t="s">
        <v>36</v>
      </c>
      <c r="I2432" s="12" t="b">
        <f>ISNUMBER(VALUE(LEFT(Customer[[#This Row],[Address Line 3 (30 char)]],1)))</f>
        <v>0</v>
      </c>
      <c r="J2432" s="32" t="s">
        <v>172</v>
      </c>
      <c r="K2432" s="32"/>
      <c r="L2432" s="12" t="s">
        <v>35</v>
      </c>
      <c r="M2432" s="13" t="e">
        <v>#N/A</v>
      </c>
      <c r="N2432" s="14" t="e">
        <v>#N/A</v>
      </c>
      <c r="O2432" s="14" t="e">
        <v>#N/A</v>
      </c>
      <c r="P2432" s="14" t="e">
        <v>#N/A</v>
      </c>
      <c r="Q2432" s="19" t="s">
        <v>15062</v>
      </c>
      <c r="R2432" s="15" t="s">
        <v>15063</v>
      </c>
      <c r="S2432" s="15" t="s">
        <v>6418</v>
      </c>
      <c r="T2432" s="16" t="s">
        <v>3477</v>
      </c>
      <c r="U2432" s="11" t="str">
        <f>_xlfn.XLOOKUP(Customer[[#This Row],[Customer ID]],[1]!Address[ID],[1]!Address[Phone No.(2)])</f>
        <v/>
      </c>
      <c r="V2432" s="11" t="str">
        <f>_xlfn.XLOOKUP(Customer[[#This Row],[Customer ID]],[1]!Address[ID],[1]!Address[Type])</f>
        <v>SOCMED</v>
      </c>
      <c r="W2432" s="11" t="str">
        <f>_xlfn.XLOOKUP(Customer[[#This Row],[Customer ID]],[1]!Address[ID],[1]!Address[CT])</f>
        <v/>
      </c>
      <c r="X2432" s="11"/>
      <c r="Y2432" s="17" t="s">
        <v>90</v>
      </c>
      <c r="Z2432" s="17" t="e">
        <f>_xlfn.XLOOKUP(Customer[[#This Row],[NewType]],$AF$36:$AF$54,$AG$36:$AG$54)</f>
        <v>#N/A</v>
      </c>
      <c r="AA2432" s="17" t="s">
        <v>15064</v>
      </c>
      <c r="AB2432" s="11" t="str">
        <f>_xlfn.XLOOKUP(Customer[[#This Row],[Customer ID]],[1]!Address[ID],[1]!Address[Subtype])</f>
        <v>WHATSAPP</v>
      </c>
      <c r="AC2432" s="18" t="str">
        <f>_xlfn.XLOOKUP(Customer[[#This Row],[Customer ID]],[1]!Address[ID],[1]!Address[Zone])</f>
        <v>CENTRAL</v>
      </c>
    </row>
    <row r="2433" spans="1:29" x14ac:dyDescent="0.3">
      <c r="A2433" s="10" t="s">
        <v>15065</v>
      </c>
      <c r="B2433" s="11" t="str">
        <f>_xlfn.XLOOKUP(Customer[[#This Row],[Customer ID]],[1]!Name[ID],[1]!Name[Description(1)])</f>
        <v>FATHI BIN ABD RAHIM</v>
      </c>
      <c r="C2433" s="11" t="str">
        <f>_xlfn.XLOOKUP(Customer[[#This Row],[Customer ID]],[1]!Name[ID],[1]!Name[Description(2)])</f>
        <v/>
      </c>
      <c r="D2433" s="11" t="str">
        <f>_xlfn.XLOOKUP(Customer[[#This Row],[Customer ID]],[1]!Address[ID],[1]!Address[PIC])</f>
        <v/>
      </c>
      <c r="E2433" s="11" t="str">
        <f>_xlfn.XLOOKUP(Customer[[#This Row],[Customer ID]],[1]!Address[ID],[1]!Address[Full Address])</f>
        <v>1621/16/2 BLOK E,PERUMAHAN POLIS,JALAN YAZID AHMAD,70200,SEREMBAN,N.S</v>
      </c>
      <c r="F2433" s="12" t="s">
        <v>15066</v>
      </c>
      <c r="G2433" s="12" t="s">
        <v>15067</v>
      </c>
      <c r="H2433" s="12" t="s">
        <v>15068</v>
      </c>
      <c r="I2433" s="12" t="b">
        <f>ISNUMBER(VALUE(LEFT(Customer[[#This Row],[Address Line 3 (30 char)]],1)))</f>
        <v>0</v>
      </c>
      <c r="J2433" s="12" t="s">
        <v>203</v>
      </c>
      <c r="K2433" s="12">
        <v>70200</v>
      </c>
      <c r="L2433" s="12" t="s">
        <v>35</v>
      </c>
      <c r="M2433" s="13" t="e">
        <v>#N/A</v>
      </c>
      <c r="N2433" s="14" t="e">
        <v>#N/A</v>
      </c>
      <c r="O2433" s="14" t="e">
        <v>#N/A</v>
      </c>
      <c r="P2433" s="14" t="e">
        <v>#N/A</v>
      </c>
      <c r="Q2433" s="19" t="s">
        <v>15069</v>
      </c>
      <c r="R2433" s="15" t="s">
        <v>15070</v>
      </c>
      <c r="S2433" s="16" t="s">
        <v>6283</v>
      </c>
      <c r="T2433" s="16"/>
      <c r="U2433" s="11" t="str">
        <f>_xlfn.XLOOKUP(Customer[[#This Row],[Customer ID]],[1]!Address[ID],[1]!Address[Phone No.(2)])</f>
        <v/>
      </c>
      <c r="V2433" s="11" t="str">
        <f>_xlfn.XLOOKUP(Customer[[#This Row],[Customer ID]],[1]!Address[ID],[1]!Address[Type])</f>
        <v>WALK IN</v>
      </c>
      <c r="W2433" s="11" t="str">
        <f>_xlfn.XLOOKUP(Customer[[#This Row],[Customer ID]],[1]!Address[ID],[1]!Address[CT])</f>
        <v/>
      </c>
      <c r="X2433" s="11"/>
      <c r="Y2433" s="17" t="s">
        <v>6284</v>
      </c>
      <c r="Z2433" s="17" t="e">
        <f>_xlfn.XLOOKUP(Customer[[#This Row],[NewType]],$AF$36:$AF$54,$AG$36:$AG$54)</f>
        <v>#N/A</v>
      </c>
      <c r="AA2433" s="17" t="s">
        <v>15071</v>
      </c>
      <c r="AB2433" s="11" t="str">
        <f>_xlfn.XLOOKUP(Customer[[#This Row],[Customer ID]],[1]!Address[ID],[1]!Address[Subtype])</f>
        <v>RANTAU</v>
      </c>
      <c r="AC2433" s="18" t="str">
        <f>_xlfn.XLOOKUP(Customer[[#This Row],[Customer ID]],[1]!Address[ID],[1]!Address[Zone])</f>
        <v>SOUTH</v>
      </c>
    </row>
    <row r="2434" spans="1:29" x14ac:dyDescent="0.3">
      <c r="A2434" s="10" t="s">
        <v>15072</v>
      </c>
      <c r="B2434" s="11" t="str">
        <f>_xlfn.XLOOKUP(Customer[[#This Row],[Customer ID]],[1]!Name[ID],[1]!Name[Description(1)])</f>
        <v>FRZ GLOBAL ENTERPRISE</v>
      </c>
      <c r="C2434" s="11" t="str">
        <f>_xlfn.XLOOKUP(Customer[[#This Row],[Customer ID]],[1]!Name[ID],[1]!Name[Description(2)])</f>
        <v>PS JALAN SIMPANG</v>
      </c>
      <c r="D2434" s="11" t="str">
        <f>_xlfn.XLOOKUP(Customer[[#This Row],[Customer ID]],[1]!Address[ID],[1]!Address[PIC])</f>
        <v/>
      </c>
      <c r="E2434" s="11" t="str">
        <f>_xlfn.XLOOKUP(Customer[[#This Row],[Customer ID]],[1]!Address[ID],[1]!Address[Full Address])</f>
        <v>PS JALAN SIMPANGLOT PT6, JALAN SIMPANG34000 TAIPING, PERAK</v>
      </c>
      <c r="F2434" s="12" t="s">
        <v>15073</v>
      </c>
      <c r="G2434" s="12" t="s">
        <v>15074</v>
      </c>
      <c r="H2434" s="24" t="s">
        <v>7210</v>
      </c>
      <c r="I2434" s="24" t="b">
        <f>ISNUMBER(VALUE(LEFT(Customer[[#This Row],[Address Line 3 (30 char)]],1)))</f>
        <v>0</v>
      </c>
      <c r="J2434" s="12" t="s">
        <v>387</v>
      </c>
      <c r="K2434" s="12">
        <v>34000</v>
      </c>
      <c r="L2434" s="12" t="s">
        <v>35</v>
      </c>
      <c r="M2434" s="13" t="e">
        <v>#N/A</v>
      </c>
      <c r="N2434" s="14" t="e">
        <v>#N/A</v>
      </c>
      <c r="O2434" s="14" t="e">
        <v>#N/A</v>
      </c>
      <c r="P2434" s="14" t="e">
        <v>#N/A</v>
      </c>
      <c r="Q2434" s="19" t="s">
        <v>15075</v>
      </c>
      <c r="R2434" s="15" t="s">
        <v>15076</v>
      </c>
      <c r="S2434" s="15" t="s">
        <v>37</v>
      </c>
      <c r="T2434" s="16" t="s">
        <v>38</v>
      </c>
      <c r="U2434" s="11" t="str">
        <f>_xlfn.XLOOKUP(Customer[[#This Row],[Customer ID]],[1]!Address[ID],[1]!Address[Phone No.(2)])</f>
        <v/>
      </c>
      <c r="V2434" s="11" t="str">
        <f>_xlfn.XLOOKUP(Customer[[#This Row],[Customer ID]],[1]!Address[ID],[1]!Address[Type])</f>
        <v>PETROMART</v>
      </c>
      <c r="W2434" s="11" t="str">
        <f>_xlfn.XLOOKUP(Customer[[#This Row],[Customer ID]],[1]!Address[ID],[1]!Address[CT])</f>
        <v>30</v>
      </c>
      <c r="X2434" s="11" t="s">
        <v>39</v>
      </c>
      <c r="Y2434" s="17" t="s">
        <v>40</v>
      </c>
      <c r="Z2434" s="17" t="e">
        <f>_xlfn.XLOOKUP(Customer[[#This Row],[NewType]],$AF$36:$AF$54,$AG$36:$AG$54)</f>
        <v>#N/A</v>
      </c>
      <c r="AA2434" s="17" t="s">
        <v>15077</v>
      </c>
      <c r="AB2434" s="11" t="str">
        <f>_xlfn.XLOOKUP(Customer[[#This Row],[Customer ID]],[1]!Address[ID],[1]!Address[Subtype])</f>
        <v>PETRONAS</v>
      </c>
      <c r="AC2434" s="18" t="str">
        <f>_xlfn.XLOOKUP(Customer[[#This Row],[Customer ID]],[1]!Address[ID],[1]!Address[Zone])</f>
        <v>NORTH</v>
      </c>
    </row>
    <row r="2435" spans="1:29" x14ac:dyDescent="0.3">
      <c r="A2435" s="27" t="s">
        <v>15078</v>
      </c>
      <c r="B2435" s="28" t="str">
        <f>_xlfn.XLOOKUP(Customer[[#This Row],[Customer ID]],[1]!Name[ID],[1]!Name[Description(1)])</f>
        <v>HM PETROCON ENTERPRISE</v>
      </c>
      <c r="C2435" s="11" t="str">
        <f>_xlfn.XLOOKUP(Customer[[#This Row],[Customer ID]],[1]!Name[ID],[1]!Name[Description(2)])</f>
        <v>PS JITRA</v>
      </c>
      <c r="D2435" s="11" t="str">
        <f>_xlfn.XLOOKUP(Customer[[#This Row],[Customer ID]],[1]!Address[ID],[1]!Address[PIC])</f>
        <v/>
      </c>
      <c r="E2435" s="11" t="str">
        <f>_xlfn.XLOOKUP(Customer[[#This Row],[Customer ID]],[1]!Address[ID],[1]!Address[Full Address])</f>
        <v>PS JITRALOT 160 KUBANG LEMBU06000 JITRAKEDAH</v>
      </c>
      <c r="F2435" s="12" t="s">
        <v>15079</v>
      </c>
      <c r="G2435" s="12" t="s">
        <v>15080</v>
      </c>
      <c r="H2435" s="24" t="s">
        <v>7204</v>
      </c>
      <c r="I2435" s="24" t="b">
        <f>ISNUMBER(VALUE(LEFT(Customer[[#This Row],[Address Line 3 (30 char)]],1)))</f>
        <v>0</v>
      </c>
      <c r="J2435" s="12" t="s">
        <v>79</v>
      </c>
      <c r="K2435" s="30" t="s">
        <v>5731</v>
      </c>
      <c r="L2435" s="12" t="s">
        <v>35</v>
      </c>
      <c r="M2435" s="13" t="e">
        <v>#N/A</v>
      </c>
      <c r="N2435" s="14" t="e">
        <v>#N/A</v>
      </c>
      <c r="O2435" s="14" t="e">
        <v>#N/A</v>
      </c>
      <c r="P2435" s="14" t="e">
        <v>#N/A</v>
      </c>
      <c r="Q2435" s="19" t="s">
        <v>15081</v>
      </c>
      <c r="R2435" s="15" t="s">
        <v>15082</v>
      </c>
      <c r="S2435" s="15" t="s">
        <v>37</v>
      </c>
      <c r="T2435" s="16" t="s">
        <v>38</v>
      </c>
      <c r="U2435" s="11" t="str">
        <f>_xlfn.XLOOKUP(Customer[[#This Row],[Customer ID]],[1]!Address[ID],[1]!Address[Phone No.(2)])</f>
        <v/>
      </c>
      <c r="V2435" s="11" t="str">
        <f>_xlfn.XLOOKUP(Customer[[#This Row],[Customer ID]],[1]!Address[ID],[1]!Address[Type])</f>
        <v>PETROMART</v>
      </c>
      <c r="W2435" s="11" t="str">
        <f>_xlfn.XLOOKUP(Customer[[#This Row],[Customer ID]],[1]!Address[ID],[1]!Address[CT])</f>
        <v>30</v>
      </c>
      <c r="X2435" s="11" t="s">
        <v>39</v>
      </c>
      <c r="Y2435" s="17" t="s">
        <v>40</v>
      </c>
      <c r="Z2435" s="17" t="e">
        <f>_xlfn.XLOOKUP(Customer[[#This Row],[NewType]],$AF$36:$AF$54,$AG$36:$AG$54)</f>
        <v>#N/A</v>
      </c>
      <c r="AA2435" s="17" t="s">
        <v>15083</v>
      </c>
      <c r="AB2435" s="11" t="str">
        <f>_xlfn.XLOOKUP(Customer[[#This Row],[Customer ID]],[1]!Address[ID],[1]!Address[Subtype])</f>
        <v>PETRONAS</v>
      </c>
      <c r="AC2435" s="18" t="str">
        <f>_xlfn.XLOOKUP(Customer[[#This Row],[Customer ID]],[1]!Address[ID],[1]!Address[Zone])</f>
        <v>NORTH</v>
      </c>
    </row>
    <row r="2436" spans="1:29" x14ac:dyDescent="0.3">
      <c r="A2436" s="10" t="s">
        <v>15084</v>
      </c>
      <c r="B2436" s="11" t="str">
        <f>_xlfn.XLOOKUP(Customer[[#This Row],[Customer ID]],[1]!Name[ID],[1]!Name[Description(1)])</f>
        <v>MAWARNI</v>
      </c>
      <c r="C2436" s="11" t="str">
        <f>_xlfn.XLOOKUP(Customer[[#This Row],[Customer ID]],[1]!Name[ID],[1]!Name[Description(2)])</f>
        <v/>
      </c>
      <c r="D2436" s="11" t="str">
        <f>_xlfn.XLOOKUP(Customer[[#This Row],[Customer ID]],[1]!Address[ID],[1]!Address[PIC])</f>
        <v/>
      </c>
      <c r="E2436" s="11" t="str">
        <f>_xlfn.XLOOKUP(Customer[[#This Row],[Customer ID]],[1]!Address[ID],[1]!Address[Full Address])</f>
        <v>SERENE HEIGHTS,43500 SEMENYIH, SELANGOR.</v>
      </c>
      <c r="F2436" s="12" t="s">
        <v>15085</v>
      </c>
      <c r="G2436" s="12" t="s">
        <v>12624</v>
      </c>
      <c r="H2436" s="12" t="s">
        <v>36</v>
      </c>
      <c r="I2436" s="12" t="b">
        <f>ISNUMBER(VALUE(LEFT(Customer[[#This Row],[Address Line 3 (30 char)]],1)))</f>
        <v>0</v>
      </c>
      <c r="J2436" s="12" t="s">
        <v>172</v>
      </c>
      <c r="K2436" s="12">
        <v>43500</v>
      </c>
      <c r="L2436" s="12" t="s">
        <v>35</v>
      </c>
      <c r="M2436" s="13" t="e">
        <v>#N/A</v>
      </c>
      <c r="N2436" s="14" t="e">
        <v>#N/A</v>
      </c>
      <c r="O2436" s="14" t="e">
        <v>#N/A</v>
      </c>
      <c r="P2436" s="14" t="e">
        <v>#N/A</v>
      </c>
      <c r="Q2436" s="19" t="s">
        <v>15086</v>
      </c>
      <c r="R2436" s="15" t="s">
        <v>15087</v>
      </c>
      <c r="S2436" s="16" t="s">
        <v>6283</v>
      </c>
      <c r="T2436" s="16"/>
      <c r="U2436" s="11" t="str">
        <f>_xlfn.XLOOKUP(Customer[[#This Row],[Customer ID]],[1]!Address[ID],[1]!Address[Phone No.(2)])</f>
        <v/>
      </c>
      <c r="V2436" s="11" t="str">
        <f>_xlfn.XLOOKUP(Customer[[#This Row],[Customer ID]],[1]!Address[ID],[1]!Address[Type])</f>
        <v>WALK IN</v>
      </c>
      <c r="W2436" s="11" t="str">
        <f>_xlfn.XLOOKUP(Customer[[#This Row],[Customer ID]],[1]!Address[ID],[1]!Address[CT])</f>
        <v/>
      </c>
      <c r="X2436" s="11"/>
      <c r="Y2436" s="17" t="s">
        <v>6284</v>
      </c>
      <c r="Z2436" s="17" t="e">
        <f>_xlfn.XLOOKUP(Customer[[#This Row],[NewType]],$AF$36:$AF$54,$AG$36:$AG$54)</f>
        <v>#N/A</v>
      </c>
      <c r="AA2436" s="17" t="s">
        <v>15088</v>
      </c>
      <c r="AB2436" s="11" t="str">
        <f>_xlfn.XLOOKUP(Customer[[#This Row],[Customer ID]],[1]!Address[ID],[1]!Address[Subtype])</f>
        <v>RANTAU</v>
      </c>
      <c r="AC2436" s="18" t="str">
        <f>_xlfn.XLOOKUP(Customer[[#This Row],[Customer ID]],[1]!Address[ID],[1]!Address[Zone])</f>
        <v>CENTRAL</v>
      </c>
    </row>
    <row r="2437" spans="1:29" x14ac:dyDescent="0.3">
      <c r="A2437" s="10" t="s">
        <v>15089</v>
      </c>
      <c r="B2437" s="11" t="str">
        <f>_xlfn.XLOOKUP(Customer[[#This Row],[Customer ID]],[1]!Name[ID],[1]!Name[Description(1)])</f>
        <v>FORZA MINI VENTURE</v>
      </c>
      <c r="C2437" s="11" t="str">
        <f>_xlfn.XLOOKUP(Customer[[#This Row],[Customer ID]],[1]!Name[ID],[1]!Name[Description(2)])</f>
        <v>PETRON MAMBAU NORTHBOUND</v>
      </c>
      <c r="D2437" s="11" t="str">
        <f>_xlfn.XLOOKUP(Customer[[#This Row],[Customer ID]],[1]!Address[ID],[1]!Address[PIC])</f>
        <v/>
      </c>
      <c r="E2437" s="11" t="str">
        <f>_xlfn.XLOOKUP(Customer[[#This Row],[Customer ID]],[1]!Address[ID],[1]!Address[Full Address])</f>
        <v>PETRON MAMBAU NORTHBOUNDPT 27595 JALAN RASAH70300 SEREMBAN, NEGERI SEMBILAN</v>
      </c>
      <c r="F2437" s="12" t="s">
        <v>15090</v>
      </c>
      <c r="G2437" s="12" t="s">
        <v>15091</v>
      </c>
      <c r="H2437" s="12" t="s">
        <v>2377</v>
      </c>
      <c r="I2437" s="12" t="b">
        <f>ISNUMBER(VALUE(LEFT(Customer[[#This Row],[Address Line 3 (30 char)]],1)))</f>
        <v>0</v>
      </c>
      <c r="J2437" s="12" t="s">
        <v>203</v>
      </c>
      <c r="K2437" s="12">
        <v>70300</v>
      </c>
      <c r="L2437" s="12" t="s">
        <v>35</v>
      </c>
      <c r="M2437" s="13" t="e">
        <v>#N/A</v>
      </c>
      <c r="N2437" s="14" t="e">
        <v>#N/A</v>
      </c>
      <c r="O2437" s="14" t="e">
        <v>#N/A</v>
      </c>
      <c r="P2437" s="14" t="e">
        <v>#N/A</v>
      </c>
      <c r="Q2437" s="19" t="s">
        <v>15092</v>
      </c>
      <c r="R2437" s="15" t="s">
        <v>15093</v>
      </c>
      <c r="S2437" s="15" t="s">
        <v>37</v>
      </c>
      <c r="T2437" s="16" t="s">
        <v>38</v>
      </c>
      <c r="U2437" s="11" t="str">
        <f>_xlfn.XLOOKUP(Customer[[#This Row],[Customer ID]],[1]!Address[ID],[1]!Address[Phone No.(2)])</f>
        <v/>
      </c>
      <c r="V2437" s="11" t="str">
        <f>_xlfn.XLOOKUP(Customer[[#This Row],[Customer ID]],[1]!Address[ID],[1]!Address[Type])</f>
        <v>PETROMART</v>
      </c>
      <c r="W2437" s="11" t="str">
        <f>_xlfn.XLOOKUP(Customer[[#This Row],[Customer ID]],[1]!Address[ID],[1]!Address[CT])</f>
        <v>CASH</v>
      </c>
      <c r="X2437" s="11" t="s">
        <v>39</v>
      </c>
      <c r="Y2437" s="17" t="s">
        <v>40</v>
      </c>
      <c r="Z2437" s="17" t="e">
        <f>_xlfn.XLOOKUP(Customer[[#This Row],[NewType]],$AF$36:$AF$54,$AG$36:$AG$54)</f>
        <v>#N/A</v>
      </c>
      <c r="AA2437" s="17" t="s">
        <v>15094</v>
      </c>
      <c r="AB2437" s="11" t="str">
        <f>_xlfn.XLOOKUP(Customer[[#This Row],[Customer ID]],[1]!Address[ID],[1]!Address[Subtype])</f>
        <v>PETRON</v>
      </c>
      <c r="AC2437" s="18" t="str">
        <f>_xlfn.XLOOKUP(Customer[[#This Row],[Customer ID]],[1]!Address[ID],[1]!Address[Zone])</f>
        <v>SOUTH</v>
      </c>
    </row>
    <row r="2438" spans="1:29" x14ac:dyDescent="0.3">
      <c r="A2438" s="10" t="s">
        <v>15095</v>
      </c>
      <c r="B2438" s="11" t="str">
        <f>_xlfn.XLOOKUP(Customer[[#This Row],[Customer ID]],[1]!Name[ID],[1]!Name[Description(1)])</f>
        <v>MUHAMMAD ZULFIQRY BIN NORHISHAM</v>
      </c>
      <c r="C2438" s="11" t="str">
        <f>_xlfn.XLOOKUP(Customer[[#This Row],[Customer ID]],[1]!Name[ID],[1]!Name[Description(2)])</f>
        <v>(PRODUCTION KILANG AIR)</v>
      </c>
      <c r="D2438" s="11" t="str">
        <f>_xlfn.XLOOKUP(Customer[[#This Row],[Customer ID]],[1]!Address[ID],[1]!Address[PIC])</f>
        <v/>
      </c>
      <c r="E2438" s="11" t="str">
        <f>_xlfn.XLOOKUP(Customer[[#This Row],[Customer ID]],[1]!Address[ID],[1]!Address[Full Address])</f>
        <v>23,RUMAH RAKYAT TAMAN RANTAU,71200, SEREMBAN,NEGERI SEMBILAN</v>
      </c>
      <c r="F2438" s="12" t="s">
        <v>15096</v>
      </c>
      <c r="G2438" s="12" t="s">
        <v>2377</v>
      </c>
      <c r="H2438" s="12" t="s">
        <v>36</v>
      </c>
      <c r="I2438" s="12" t="b">
        <f>ISNUMBER(VALUE(LEFT(Customer[[#This Row],[Address Line 3 (30 char)]],1)))</f>
        <v>0</v>
      </c>
      <c r="J2438" s="12" t="s">
        <v>203</v>
      </c>
      <c r="K2438" s="12">
        <v>71200</v>
      </c>
      <c r="L2438" s="12" t="s">
        <v>35</v>
      </c>
      <c r="M2438" s="13" t="e">
        <v>#N/A</v>
      </c>
      <c r="N2438" s="14" t="e">
        <v>#N/A</v>
      </c>
      <c r="O2438" s="14" t="e">
        <v>#N/A</v>
      </c>
      <c r="P2438" s="14" t="e">
        <v>#N/A</v>
      </c>
      <c r="Q2438" s="19" t="s">
        <v>15097</v>
      </c>
      <c r="R2438" s="15" t="s">
        <v>15098</v>
      </c>
      <c r="S2438" s="16" t="s">
        <v>89</v>
      </c>
      <c r="T2438" s="16" t="s">
        <v>89</v>
      </c>
      <c r="U2438" s="11" t="str">
        <f>_xlfn.XLOOKUP(Customer[[#This Row],[Customer ID]],[1]!Address[ID],[1]!Address[Phone No.(2)])</f>
        <v/>
      </c>
      <c r="V2438" s="11" t="str">
        <f>_xlfn.XLOOKUP(Customer[[#This Row],[Customer ID]],[1]!Address[ID],[1]!Address[Type])</f>
        <v>WALK IN</v>
      </c>
      <c r="W2438" s="11" t="str">
        <f>_xlfn.XLOOKUP(Customer[[#This Row],[Customer ID]],[1]!Address[ID],[1]!Address[CT])</f>
        <v/>
      </c>
      <c r="X2438" s="11"/>
      <c r="Y2438" s="17" t="s">
        <v>6284</v>
      </c>
      <c r="Z2438" s="17" t="e">
        <f>_xlfn.XLOOKUP(Customer[[#This Row],[NewType]],$AF$36:$AF$54,$AG$36:$AG$54)</f>
        <v>#N/A</v>
      </c>
      <c r="AA2438" s="17" t="s">
        <v>15099</v>
      </c>
      <c r="AB2438" s="11" t="str">
        <f>_xlfn.XLOOKUP(Customer[[#This Row],[Customer ID]],[1]!Address[ID],[1]!Address[Subtype])</f>
        <v>STAFF</v>
      </c>
      <c r="AC2438" s="18" t="str">
        <f>_xlfn.XLOOKUP(Customer[[#This Row],[Customer ID]],[1]!Address[ID],[1]!Address[Zone])</f>
        <v>SOUTH</v>
      </c>
    </row>
    <row r="2439" spans="1:29" x14ac:dyDescent="0.3">
      <c r="A2439" s="10" t="s">
        <v>15100</v>
      </c>
      <c r="B2439" s="11" t="str">
        <f>_xlfn.XLOOKUP(Customer[[#This Row],[Customer ID]],[1]!Name[ID],[1]!Name[Description(1)])</f>
        <v>MUHAMMAD FAIZ IZZUL</v>
      </c>
      <c r="C2439" s="11" t="str">
        <f>_xlfn.XLOOKUP(Customer[[#This Row],[Customer ID]],[1]!Name[ID],[1]!Name[Description(2)])</f>
        <v>BD</v>
      </c>
      <c r="D2439" s="11" t="str">
        <f>_xlfn.XLOOKUP(Customer[[#This Row],[Customer ID]],[1]!Address[ID],[1]!Address[PIC])</f>
        <v>FAIZ IZZUL</v>
      </c>
      <c r="E2439" s="11" t="str">
        <f>_xlfn.XLOOKUP(Customer[[#This Row],[Customer ID]],[1]!Address[ID],[1]!Address[Full Address])</f>
        <v>46, JALAN KEMACAHAYA 10,TAMAN KEMACAHAYA, 43100 HULU LANGAT</v>
      </c>
      <c r="F2439" s="12" t="s">
        <v>15101</v>
      </c>
      <c r="G2439" s="12" t="s">
        <v>15102</v>
      </c>
      <c r="H2439" s="12" t="s">
        <v>15103</v>
      </c>
      <c r="I2439" s="12" t="b">
        <f>ISNUMBER(VALUE(LEFT(Customer[[#This Row],[Address Line 3 (30 char)]],1)))</f>
        <v>0</v>
      </c>
      <c r="J2439" s="12" t="s">
        <v>172</v>
      </c>
      <c r="K2439" s="12">
        <v>43100</v>
      </c>
      <c r="L2439" s="12" t="s">
        <v>35</v>
      </c>
      <c r="M2439" s="13" t="e">
        <v>#N/A</v>
      </c>
      <c r="N2439" s="14" t="e">
        <v>#N/A</v>
      </c>
      <c r="O2439" s="14" t="e">
        <v>#N/A</v>
      </c>
      <c r="P2439" s="14" t="e">
        <v>#N/A</v>
      </c>
      <c r="Q2439" s="19" t="s">
        <v>15104</v>
      </c>
      <c r="R2439" s="15" t="s">
        <v>15105</v>
      </c>
      <c r="S2439" s="16" t="s">
        <v>89</v>
      </c>
      <c r="T2439" s="16" t="s">
        <v>89</v>
      </c>
      <c r="U2439" s="11" t="str">
        <f>_xlfn.XLOOKUP(Customer[[#This Row],[Customer ID]],[1]!Address[ID],[1]!Address[Phone No.(2)])</f>
        <v/>
      </c>
      <c r="V2439" s="11" t="str">
        <f>_xlfn.XLOOKUP(Customer[[#This Row],[Customer ID]],[1]!Address[ID],[1]!Address[Type])</f>
        <v>WALK IN</v>
      </c>
      <c r="W2439" s="11" t="str">
        <f>_xlfn.XLOOKUP(Customer[[#This Row],[Customer ID]],[1]!Address[ID],[1]!Address[CT])</f>
        <v/>
      </c>
      <c r="X2439" s="11"/>
      <c r="Y2439" s="17" t="s">
        <v>6284</v>
      </c>
      <c r="Z2439" s="17" t="e">
        <f>_xlfn.XLOOKUP(Customer[[#This Row],[NewType]],$AF$36:$AF$54,$AG$36:$AG$54)</f>
        <v>#N/A</v>
      </c>
      <c r="AA2439" s="17" t="s">
        <v>15106</v>
      </c>
      <c r="AB2439" s="11" t="str">
        <f>_xlfn.XLOOKUP(Customer[[#This Row],[Customer ID]],[1]!Address[ID],[1]!Address[Subtype])</f>
        <v>STAFF</v>
      </c>
      <c r="AC2439" s="18" t="str">
        <f>_xlfn.XLOOKUP(Customer[[#This Row],[Customer ID]],[1]!Address[ID],[1]!Address[Zone])</f>
        <v>CENTRAL</v>
      </c>
    </row>
    <row r="2440" spans="1:29" x14ac:dyDescent="0.3">
      <c r="A2440" s="10" t="s">
        <v>15107</v>
      </c>
      <c r="B2440" s="11" t="str">
        <f>_xlfn.XLOOKUP(Customer[[#This Row],[Customer ID]],[1]!Name[ID],[1]!Name[Description(1)])</f>
        <v>CM NORTHERN HEART HOSPITAL (NHH)</v>
      </c>
      <c r="C2440" s="11" t="str">
        <f>_xlfn.XLOOKUP(Customer[[#This Row],[Customer ID]],[1]!Name[ID],[1]!Name[Description(2)])</f>
        <v>MESRA RETAIL &amp; CAFE SDN BHD</v>
      </c>
      <c r="D2440" s="11" t="str">
        <f>_xlfn.XLOOKUP(Customer[[#This Row],[Customer ID]],[1]!Address[ID],[1]!Address[PIC])</f>
        <v/>
      </c>
      <c r="E2440" s="11" t="str">
        <f>_xlfn.XLOOKUP(Customer[[#This Row],[Customer ID]],[1]!Address[ID],[1]!Address[Full Address])</f>
        <v>MESRA RETAIL &amp; CAFE SDN BHDUnit 1-01, Level 1, NORTHERNHEART HOSPITAL PENANG, No2, Lebuhraya Peel, George</v>
      </c>
      <c r="F2440" s="12" t="s">
        <v>15108</v>
      </c>
      <c r="G2440" s="12" t="s">
        <v>15109</v>
      </c>
      <c r="H2440" s="12" t="s">
        <v>15110</v>
      </c>
      <c r="I2440" s="12" t="b">
        <f>ISNUMBER(VALUE(LEFT(Customer[[#This Row],[Address Line 3 (30 char)]],1)))</f>
        <v>0</v>
      </c>
      <c r="J2440" s="12" t="s">
        <v>179</v>
      </c>
      <c r="K2440" s="12">
        <v>10350</v>
      </c>
      <c r="L2440" s="12" t="s">
        <v>35</v>
      </c>
      <c r="M2440" s="13" t="e">
        <v>#N/A</v>
      </c>
      <c r="N2440" s="14" t="e">
        <v>#N/A</v>
      </c>
      <c r="O2440" s="14" t="e">
        <v>#N/A</v>
      </c>
      <c r="P2440" s="14" t="e">
        <v>#N/A</v>
      </c>
      <c r="Q2440" s="19" t="s">
        <v>15111</v>
      </c>
      <c r="R2440" s="15" t="s">
        <v>15112</v>
      </c>
      <c r="S2440" s="15" t="s">
        <v>37</v>
      </c>
      <c r="T2440" s="16" t="s">
        <v>38</v>
      </c>
      <c r="U2440" s="11" t="str">
        <f>_xlfn.XLOOKUP(Customer[[#This Row],[Customer ID]],[1]!Address[ID],[1]!Address[Phone No.(2)])</f>
        <v/>
      </c>
      <c r="V2440" s="11" t="str">
        <f>_xlfn.XLOOKUP(Customer[[#This Row],[Customer ID]],[1]!Address[ID],[1]!Address[Type])</f>
        <v>PETROMART</v>
      </c>
      <c r="W2440" s="11" t="str">
        <f>_xlfn.XLOOKUP(Customer[[#This Row],[Customer ID]],[1]!Address[ID],[1]!Address[CT])</f>
        <v>30</v>
      </c>
      <c r="X2440" s="11" t="s">
        <v>39</v>
      </c>
      <c r="Y2440" s="17" t="s">
        <v>40</v>
      </c>
      <c r="Z2440" s="17" t="e">
        <f>_xlfn.XLOOKUP(Customer[[#This Row],[NewType]],$AF$36:$AF$54,$AG$36:$AG$54)</f>
        <v>#N/A</v>
      </c>
      <c r="AA2440" s="17" t="s">
        <v>15113</v>
      </c>
      <c r="AB2440" s="11" t="str">
        <f>_xlfn.XLOOKUP(Customer[[#This Row],[Customer ID]],[1]!Address[ID],[1]!Address[Subtype])</f>
        <v>PETRONAS</v>
      </c>
      <c r="AC2440" s="18" t="str">
        <f>_xlfn.XLOOKUP(Customer[[#This Row],[Customer ID]],[1]!Address[ID],[1]!Address[Zone])</f>
        <v>NORTH</v>
      </c>
    </row>
    <row r="2441" spans="1:29" x14ac:dyDescent="0.3">
      <c r="A2441" s="27" t="s">
        <v>15114</v>
      </c>
      <c r="B2441" s="28" t="str">
        <f>_xlfn.XLOOKUP(Customer[[#This Row],[Customer ID]],[1]!Name[ID],[1]!Name[Description(1)])</f>
        <v>PASARAYA INTAN</v>
      </c>
      <c r="C2441" s="11" t="str">
        <f>_xlfn.XLOOKUP(Customer[[#This Row],[Customer ID]],[1]!Name[ID],[1]!Name[Description(2)])</f>
        <v>HASNULINTAN BERKAT ENTERPRISE</v>
      </c>
      <c r="D2441" s="11" t="str">
        <f>_xlfn.XLOOKUP(Customer[[#This Row],[Customer ID]],[1]!Address[ID],[1]!Address[PIC])</f>
        <v/>
      </c>
      <c r="E2441" s="11" t="str">
        <f>_xlfn.XLOOKUP(Customer[[#This Row],[Customer ID]],[1]!Address[ID],[1]!Address[Full Address])</f>
        <v>NO 12, NO 14,JALAN KAYAMAN 1,TAMAN TOK KAYAMAN,02450 BUKIT KETERI,PERLIS</v>
      </c>
      <c r="F2441" s="12" t="s">
        <v>15115</v>
      </c>
      <c r="G2441" s="12" t="s">
        <v>15116</v>
      </c>
      <c r="H2441" s="24" t="s">
        <v>15117</v>
      </c>
      <c r="I2441" s="24" t="b">
        <f>ISNUMBER(VALUE(LEFT(Customer[[#This Row],[Address Line 3 (30 char)]],1)))</f>
        <v>0</v>
      </c>
      <c r="J2441" s="12" t="s">
        <v>984</v>
      </c>
      <c r="K2441" s="30" t="s">
        <v>15118</v>
      </c>
      <c r="L2441" s="12" t="s">
        <v>35</v>
      </c>
      <c r="M2441" s="13" t="e">
        <v>#N/A</v>
      </c>
      <c r="N2441" s="14" t="e">
        <v>#N/A</v>
      </c>
      <c r="O2441" s="14" t="e">
        <v>#N/A</v>
      </c>
      <c r="P2441" s="14" t="e">
        <v>#N/A</v>
      </c>
      <c r="Q2441" s="19" t="s">
        <v>15119</v>
      </c>
      <c r="R2441" s="15" t="s">
        <v>15120</v>
      </c>
      <c r="S2441" s="15" t="s">
        <v>5917</v>
      </c>
      <c r="T2441" s="16" t="s">
        <v>3477</v>
      </c>
      <c r="U2441" s="11" t="str">
        <f>_xlfn.XLOOKUP(Customer[[#This Row],[Customer ID]],[1]!Address[ID],[1]!Address[Phone No.(2)])</f>
        <v/>
      </c>
      <c r="V2441" s="11" t="str">
        <f>_xlfn.XLOOKUP(Customer[[#This Row],[Customer ID]],[1]!Address[ID],[1]!Address[Type])</f>
        <v>CM</v>
      </c>
      <c r="W2441" s="11" t="str">
        <f>_xlfn.XLOOKUP(Customer[[#This Row],[Customer ID]],[1]!Address[ID],[1]!Address[CT])</f>
        <v>CASH</v>
      </c>
      <c r="X2441" s="11"/>
      <c r="Y2441" s="17" t="s">
        <v>5918</v>
      </c>
      <c r="Z2441" s="17" t="e">
        <f>_xlfn.XLOOKUP(Customer[[#This Row],[NewType]],$AF$36:$AF$54,$AG$36:$AG$54)</f>
        <v>#N/A</v>
      </c>
      <c r="AA2441" s="17" t="s">
        <v>15121</v>
      </c>
      <c r="AB2441" s="11" t="str">
        <f>_xlfn.XLOOKUP(Customer[[#This Row],[Customer ID]],[1]!Address[ID],[1]!Address[Subtype])</f>
        <v>HASNULINTAN</v>
      </c>
      <c r="AC2441" s="18" t="str">
        <f>_xlfn.XLOOKUP(Customer[[#This Row],[Customer ID]],[1]!Address[ID],[1]!Address[Zone])</f>
        <v>NORTH</v>
      </c>
    </row>
    <row r="2442" spans="1:29" x14ac:dyDescent="0.3">
      <c r="A2442" s="27" t="s">
        <v>15122</v>
      </c>
      <c r="B2442" s="28" t="str">
        <f>_xlfn.XLOOKUP(Customer[[#This Row],[Customer ID]],[1]!Name[ID],[1]!Name[Description(1)])</f>
        <v>HEALTH PATH,DATUK KUMBAR</v>
      </c>
      <c r="C2442" s="11" t="str">
        <f>_xlfn.XLOOKUP(Customer[[#This Row],[Customer ID]],[1]!Name[ID],[1]!Name[Description(2)])</f>
        <v>HEALTH PATH SDN. BHD.</v>
      </c>
      <c r="D2442" s="11" t="str">
        <f>_xlfn.XLOOKUP(Customer[[#This Row],[Customer ID]],[1]!Address[ID],[1]!Address[PIC])</f>
        <v/>
      </c>
      <c r="E2442" s="11" t="str">
        <f>_xlfn.XLOOKUP(Customer[[#This Row],[Customer ID]],[1]!Address[ID],[1]!Address[Full Address])</f>
        <v>NO 13,JALAN MERANTI 2,DATARAN SHAHAB,05300 ALOR SETAR,KEDAH</v>
      </c>
      <c r="F2442" s="12" t="s">
        <v>15123</v>
      </c>
      <c r="G2442" s="12" t="s">
        <v>15124</v>
      </c>
      <c r="H2442" s="24" t="s">
        <v>2335</v>
      </c>
      <c r="I2442" s="24" t="b">
        <f>ISNUMBER(VALUE(LEFT(Customer[[#This Row],[Address Line 3 (30 char)]],1)))</f>
        <v>0</v>
      </c>
      <c r="J2442" s="12" t="s">
        <v>79</v>
      </c>
      <c r="K2442" s="30" t="s">
        <v>1499</v>
      </c>
      <c r="L2442" s="12" t="s">
        <v>35</v>
      </c>
      <c r="M2442" s="13" t="e">
        <v>#N/A</v>
      </c>
      <c r="N2442" s="14" t="e">
        <v>#N/A</v>
      </c>
      <c r="O2442" s="14" t="e">
        <v>#N/A</v>
      </c>
      <c r="P2442" s="14" t="e">
        <v>#N/A</v>
      </c>
      <c r="Q2442" s="19" t="s">
        <v>15125</v>
      </c>
      <c r="R2442" s="15" t="s">
        <v>15126</v>
      </c>
      <c r="S2442" s="15" t="s">
        <v>3476</v>
      </c>
      <c r="T2442" s="16" t="s">
        <v>3477</v>
      </c>
      <c r="U2442" s="11" t="str">
        <f>_xlfn.XLOOKUP(Customer[[#This Row],[Customer ID]],[1]!Address[ID],[1]!Address[Phone No.(2)])</f>
        <v/>
      </c>
      <c r="V2442" s="11" t="str">
        <f>_xlfn.XLOOKUP(Customer[[#This Row],[Customer ID]],[1]!Address[ID],[1]!Address[Type])</f>
        <v>PHARMACY</v>
      </c>
      <c r="W2442" s="11" t="str">
        <f>_xlfn.XLOOKUP(Customer[[#This Row],[Customer ID]],[1]!Address[ID],[1]!Address[CT])</f>
        <v>CASH</v>
      </c>
      <c r="X2442" s="11"/>
      <c r="Y2442" s="17" t="s">
        <v>5955</v>
      </c>
      <c r="Z2442" s="17" t="e">
        <f>_xlfn.XLOOKUP(Customer[[#This Row],[NewType]],$AF$36:$AF$54,$AG$36:$AG$54)</f>
        <v>#N/A</v>
      </c>
      <c r="AA2442" s="17" t="s">
        <v>15127</v>
      </c>
      <c r="AB2442" s="11" t="str">
        <f>_xlfn.XLOOKUP(Customer[[#This Row],[Customer ID]],[1]!Address[ID],[1]!Address[Subtype])</f>
        <v>HEALTH PATH</v>
      </c>
      <c r="AC2442" s="18" t="str">
        <f>_xlfn.XLOOKUP(Customer[[#This Row],[Customer ID]],[1]!Address[ID],[1]!Address[Zone])</f>
        <v>NORTH</v>
      </c>
    </row>
    <row r="2443" spans="1:29" x14ac:dyDescent="0.3">
      <c r="A2443" s="10" t="s">
        <v>15128</v>
      </c>
      <c r="B2443" s="11" t="str">
        <f>_xlfn.XLOOKUP(Customer[[#This Row],[Customer ID]],[1]!Name[ID],[1]!Name[Description(1)])</f>
        <v>HEALTH PATH,JALAN LANGGAR</v>
      </c>
      <c r="C2443" s="11" t="str">
        <f>_xlfn.XLOOKUP(Customer[[#This Row],[Customer ID]],[1]!Name[ID],[1]!Name[Description(2)])</f>
        <v>HEALTH PATH SDN BHD</v>
      </c>
      <c r="D2443" s="11" t="str">
        <f>_xlfn.XLOOKUP(Customer[[#This Row],[Customer ID]],[1]!Address[ID],[1]!Address[PIC])</f>
        <v/>
      </c>
      <c r="E2443" s="11" t="str">
        <f>_xlfn.XLOOKUP(Customer[[#This Row],[Customer ID]],[1]!Address[ID],[1]!Address[Full Address])</f>
        <v>NO 5, JALAN KOMPLEKS PERNIAGAAN JELATEK,JALAN LANGGAR,05460 ALOR SETAR, KEDAH</v>
      </c>
      <c r="F2443" s="12" t="s">
        <v>15129</v>
      </c>
      <c r="G2443" s="12" t="s">
        <v>15130</v>
      </c>
      <c r="H2443" s="12" t="s">
        <v>15131</v>
      </c>
      <c r="I2443" s="12" t="b">
        <f>ISNUMBER(VALUE(LEFT(Customer[[#This Row],[Address Line 3 (30 char)]],1)))</f>
        <v>0</v>
      </c>
      <c r="J2443" s="12" t="s">
        <v>355</v>
      </c>
      <c r="K2443" s="20" t="s">
        <v>7050</v>
      </c>
      <c r="L2443" s="12" t="s">
        <v>35</v>
      </c>
      <c r="M2443" s="13" t="e">
        <v>#N/A</v>
      </c>
      <c r="N2443" s="14" t="e">
        <v>#N/A</v>
      </c>
      <c r="O2443" s="14" t="e">
        <v>#N/A</v>
      </c>
      <c r="P2443" s="14" t="e">
        <v>#N/A</v>
      </c>
      <c r="Q2443" s="19" t="s">
        <v>15125</v>
      </c>
      <c r="R2443" s="15" t="s">
        <v>15126</v>
      </c>
      <c r="S2443" s="15" t="s">
        <v>3476</v>
      </c>
      <c r="T2443" s="16" t="s">
        <v>3477</v>
      </c>
      <c r="U2443" s="11" t="str">
        <f>_xlfn.XLOOKUP(Customer[[#This Row],[Customer ID]],[1]!Address[ID],[1]!Address[Phone No.(2)])</f>
        <v/>
      </c>
      <c r="V2443" s="11" t="str">
        <f>_xlfn.XLOOKUP(Customer[[#This Row],[Customer ID]],[1]!Address[ID],[1]!Address[Type])</f>
        <v>PHARMACY</v>
      </c>
      <c r="W2443" s="11" t="str">
        <f>_xlfn.XLOOKUP(Customer[[#This Row],[Customer ID]],[1]!Address[ID],[1]!Address[CT])</f>
        <v>CASH</v>
      </c>
      <c r="X2443" s="11"/>
      <c r="Y2443" s="17" t="s">
        <v>5955</v>
      </c>
      <c r="Z2443" s="17" t="e">
        <f>_xlfn.XLOOKUP(Customer[[#This Row],[NewType]],$AF$36:$AF$54,$AG$36:$AG$54)</f>
        <v>#N/A</v>
      </c>
      <c r="AA2443" s="17" t="s">
        <v>15132</v>
      </c>
      <c r="AB2443" s="11" t="str">
        <f>_xlfn.XLOOKUP(Customer[[#This Row],[Customer ID]],[1]!Address[ID],[1]!Address[Subtype])</f>
        <v>HEALTH PATH</v>
      </c>
      <c r="AC2443" s="18" t="str">
        <f>_xlfn.XLOOKUP(Customer[[#This Row],[Customer ID]],[1]!Address[ID],[1]!Address[Zone])</f>
        <v>NORTH</v>
      </c>
    </row>
    <row r="2444" spans="1:29" x14ac:dyDescent="0.3">
      <c r="A2444" s="10" t="s">
        <v>15133</v>
      </c>
      <c r="B2444" s="11" t="str">
        <f>_xlfn.XLOOKUP(Customer[[#This Row],[Customer ID]],[1]!Name[ID],[1]!Name[Description(1)])</f>
        <v>SYAHRIL AKMAR BIN BAHARUDIN</v>
      </c>
      <c r="C2444" s="11" t="str">
        <f>_xlfn.XLOOKUP(Customer[[#This Row],[Customer ID]],[1]!Name[ID],[1]!Name[Description(2)])</f>
        <v>DRIVER SPX EXPRESS</v>
      </c>
      <c r="D2444" s="11" t="str">
        <f>_xlfn.XLOOKUP(Customer[[#This Row],[Customer ID]],[1]!Address[ID],[1]!Address[PIC])</f>
        <v>SYAHRIL</v>
      </c>
      <c r="E2444" s="11" t="str">
        <f>_xlfn.XLOOKUP(Customer[[#This Row],[Customer ID]],[1]!Address[ID],[1]!Address[Full Address])</f>
        <v>NO87,LORONG DESA RHU 10,TAMAN DESA RHU,70400 SIKAMAT,SEREMBAN,NEGERI SEMBILAN</v>
      </c>
      <c r="F2444" s="12" t="s">
        <v>15134</v>
      </c>
      <c r="G2444" s="12" t="s">
        <v>15135</v>
      </c>
      <c r="H2444" s="12" t="s">
        <v>2411</v>
      </c>
      <c r="I2444" s="12" t="b">
        <f>ISNUMBER(VALUE(LEFT(Customer[[#This Row],[Address Line 3 (30 char)]],1)))</f>
        <v>0</v>
      </c>
      <c r="J2444" s="29" t="s">
        <v>203</v>
      </c>
      <c r="K2444" s="12">
        <v>70400</v>
      </c>
      <c r="L2444" s="12" t="s">
        <v>35</v>
      </c>
      <c r="M2444" s="13" t="e">
        <v>#N/A</v>
      </c>
      <c r="N2444" s="14" t="e">
        <v>#N/A</v>
      </c>
      <c r="O2444" s="14" t="e">
        <v>#N/A</v>
      </c>
      <c r="P2444" s="14" t="e">
        <v>#N/A</v>
      </c>
      <c r="Q2444" s="19" t="s">
        <v>15136</v>
      </c>
      <c r="R2444" s="15" t="s">
        <v>15137</v>
      </c>
      <c r="S2444" s="16" t="s">
        <v>89</v>
      </c>
      <c r="T2444" s="16" t="s">
        <v>89</v>
      </c>
      <c r="U2444" s="11" t="str">
        <f>_xlfn.XLOOKUP(Customer[[#This Row],[Customer ID]],[1]!Address[ID],[1]!Address[Phone No.(2)])</f>
        <v/>
      </c>
      <c r="V2444" s="11" t="str">
        <f>_xlfn.XLOOKUP(Customer[[#This Row],[Customer ID]],[1]!Address[ID],[1]!Address[Type])</f>
        <v>WALK IN</v>
      </c>
      <c r="W2444" s="11" t="str">
        <f>_xlfn.XLOOKUP(Customer[[#This Row],[Customer ID]],[1]!Address[ID],[1]!Address[CT])</f>
        <v/>
      </c>
      <c r="X2444" s="11"/>
      <c r="Y2444" s="17" t="s">
        <v>6284</v>
      </c>
      <c r="Z2444" s="17" t="e">
        <f>_xlfn.XLOOKUP(Customer[[#This Row],[NewType]],$AF$36:$AF$54,$AG$36:$AG$54)</f>
        <v>#N/A</v>
      </c>
      <c r="AA2444" s="17" t="s">
        <v>15138</v>
      </c>
      <c r="AB2444" s="11" t="str">
        <f>_xlfn.XLOOKUP(Customer[[#This Row],[Customer ID]],[1]!Address[ID],[1]!Address[Subtype])</f>
        <v>PEDAS</v>
      </c>
      <c r="AC2444" s="18" t="str">
        <f>_xlfn.XLOOKUP(Customer[[#This Row],[Customer ID]],[1]!Address[ID],[1]!Address[Zone])</f>
        <v>SOUTH</v>
      </c>
    </row>
    <row r="2445" spans="1:29" x14ac:dyDescent="0.3">
      <c r="A2445" s="10" t="s">
        <v>15139</v>
      </c>
      <c r="B2445" s="11" t="str">
        <f>_xlfn.XLOOKUP(Customer[[#This Row],[Customer ID]],[1]!Name[ID],[1]!Name[Description(1)])</f>
        <v>MUHAMMAD HAFIZ MUQRI BIN SAIFUL IDZUAN</v>
      </c>
      <c r="C2445" s="11" t="str">
        <f>_xlfn.XLOOKUP(Customer[[#This Row],[Customer ID]],[1]!Name[ID],[1]!Name[Description(2)])</f>
        <v>(DRIVER WH RANTAU)</v>
      </c>
      <c r="D2445" s="11">
        <f>_xlfn.XLOOKUP(Customer[[#This Row],[Customer ID]],[1]!Address[ID],[1]!Address[PIC])</f>
        <v>0</v>
      </c>
      <c r="E2445" s="11" t="str">
        <f>_xlfn.XLOOKUP(Customer[[#This Row],[Customer ID]],[1]!Address[ID],[1]!Address[Full Address])</f>
        <v>NO 3,RUMAH SPKR,TAMAN INDAH,TAMPIN NEGERI SEMBILAN</v>
      </c>
      <c r="F2445" s="12" t="s">
        <v>15140</v>
      </c>
      <c r="G2445" s="12" t="s">
        <v>1698</v>
      </c>
      <c r="H2445" s="12" t="s">
        <v>36</v>
      </c>
      <c r="I2445" s="12" t="b">
        <f>ISNUMBER(VALUE(LEFT(Customer[[#This Row],[Address Line 3 (30 char)]],1)))</f>
        <v>0</v>
      </c>
      <c r="J2445" s="12" t="s">
        <v>203</v>
      </c>
      <c r="K2445" s="12">
        <v>73000</v>
      </c>
      <c r="L2445" s="12" t="s">
        <v>35</v>
      </c>
      <c r="M2445" s="13" t="e">
        <v>#N/A</v>
      </c>
      <c r="N2445" s="14" t="e">
        <v>#N/A</v>
      </c>
      <c r="O2445" s="14" t="e">
        <v>#N/A</v>
      </c>
      <c r="P2445" s="14" t="e">
        <v>#N/A</v>
      </c>
      <c r="Q2445" s="19" t="s">
        <v>15141</v>
      </c>
      <c r="R2445" s="15" t="s">
        <v>15142</v>
      </c>
      <c r="S2445" s="16" t="s">
        <v>89</v>
      </c>
      <c r="T2445" s="16" t="s">
        <v>89</v>
      </c>
      <c r="U2445" s="11" t="str">
        <f>_xlfn.XLOOKUP(Customer[[#This Row],[Customer ID]],[1]!Address[ID],[1]!Address[Phone No.(2)])</f>
        <v/>
      </c>
      <c r="V2445" s="11" t="str">
        <f>_xlfn.XLOOKUP(Customer[[#This Row],[Customer ID]],[1]!Address[ID],[1]!Address[Type])</f>
        <v>WALK IN</v>
      </c>
      <c r="W2445" s="11" t="str">
        <f>_xlfn.XLOOKUP(Customer[[#This Row],[Customer ID]],[1]!Address[ID],[1]!Address[CT])</f>
        <v/>
      </c>
      <c r="X2445" s="11"/>
      <c r="Y2445" s="17" t="s">
        <v>6284</v>
      </c>
      <c r="Z2445" s="17" t="e">
        <f>_xlfn.XLOOKUP(Customer[[#This Row],[NewType]],$AF$36:$AF$54,$AG$36:$AG$54)</f>
        <v>#N/A</v>
      </c>
      <c r="AA2445" s="17" t="s">
        <v>15143</v>
      </c>
      <c r="AB2445" s="11" t="str">
        <f>_xlfn.XLOOKUP(Customer[[#This Row],[Customer ID]],[1]!Address[ID],[1]!Address[Subtype])</f>
        <v>STAFF</v>
      </c>
      <c r="AC2445" s="18" t="str">
        <f>_xlfn.XLOOKUP(Customer[[#This Row],[Customer ID]],[1]!Address[ID],[1]!Address[Zone])</f>
        <v>SOUTH</v>
      </c>
    </row>
    <row r="2446" spans="1:29" x14ac:dyDescent="0.3">
      <c r="A2446" s="10" t="s">
        <v>15144</v>
      </c>
      <c r="B2446" s="11" t="str">
        <f>_xlfn.XLOOKUP(Customer[[#This Row],[Customer ID]],[1]!Name[ID],[1]!Name[Description(1)])</f>
        <v>ROMOH BT YAACOB</v>
      </c>
      <c r="C2446" s="11" t="str">
        <f>_xlfn.XLOOKUP(Customer[[#This Row],[Customer ID]],[1]!Name[ID],[1]!Name[Description(2)])</f>
        <v/>
      </c>
      <c r="D2446" s="11">
        <f>_xlfn.XLOOKUP(Customer[[#This Row],[Customer ID]],[1]!Address[ID],[1]!Address[PIC])</f>
        <v>0</v>
      </c>
      <c r="E2446" s="11" t="str">
        <f>_xlfn.XLOOKUP(Customer[[#This Row],[Customer ID]],[1]!Address[ID],[1]!Address[Full Address])</f>
        <v>274 A, JALAN MASID(KEDAI MAN NASI AIR KOPEH)22300 KUALA BESUT, TERENGGANU</v>
      </c>
      <c r="F2446" s="63" t="s">
        <v>15145</v>
      </c>
      <c r="G2446" s="63" t="s">
        <v>15146</v>
      </c>
      <c r="H2446" s="64" t="s">
        <v>15147</v>
      </c>
      <c r="I2446" s="64" t="b">
        <f>ISNUMBER(VALUE(LEFT(Customer[[#This Row],[Address Line 3 (30 char)]],1)))</f>
        <v>0</v>
      </c>
      <c r="J2446" s="63" t="s">
        <v>1056</v>
      </c>
      <c r="K2446" s="63">
        <v>22300</v>
      </c>
      <c r="L2446" s="63" t="s">
        <v>35</v>
      </c>
      <c r="M2446" s="65" t="e">
        <v>#N/A</v>
      </c>
      <c r="N2446" s="66" t="e">
        <v>#N/A</v>
      </c>
      <c r="O2446" s="66" t="e">
        <v>#N/A</v>
      </c>
      <c r="P2446" s="66" t="e">
        <v>#N/A</v>
      </c>
      <c r="Q2446" s="110" t="s">
        <v>15148</v>
      </c>
      <c r="R2446" s="15" t="s">
        <v>15149</v>
      </c>
      <c r="S2446" s="15" t="s">
        <v>89</v>
      </c>
      <c r="T2446" s="16" t="s">
        <v>89</v>
      </c>
      <c r="U2446" s="11" t="str">
        <f>_xlfn.XLOOKUP(Customer[[#This Row],[Customer ID]],[1]!Address[ID],[1]!Address[Phone No.(2)])</f>
        <v/>
      </c>
      <c r="V2446" s="11" t="str">
        <f>_xlfn.XLOOKUP(Customer[[#This Row],[Customer ID]],[1]!Address[ID],[1]!Address[Type])</f>
        <v>SOCMED</v>
      </c>
      <c r="W2446" s="11" t="str">
        <f>_xlfn.XLOOKUP(Customer[[#This Row],[Customer ID]],[1]!Address[ID],[1]!Address[CT])</f>
        <v/>
      </c>
      <c r="X2446" s="11"/>
      <c r="Y2446" s="17" t="s">
        <v>90</v>
      </c>
      <c r="Z2446" s="17" t="e">
        <f>_xlfn.XLOOKUP(Customer[[#This Row],[NewType]],$AF$36:$AF$54,$AG$36:$AG$54)</f>
        <v>#N/A</v>
      </c>
      <c r="AA2446" s="17" t="s">
        <v>15150</v>
      </c>
      <c r="AB2446" s="11" t="str">
        <f>_xlfn.XLOOKUP(Customer[[#This Row],[Customer ID]],[1]!Address[ID],[1]!Address[Subtype])</f>
        <v>WHATSAPP</v>
      </c>
      <c r="AC2446" s="18" t="str">
        <f>_xlfn.XLOOKUP(Customer[[#This Row],[Customer ID]],[1]!Address[ID],[1]!Address[Zone])</f>
        <v>EAST COAST</v>
      </c>
    </row>
    <row r="2447" spans="1:29" x14ac:dyDescent="0.3">
      <c r="A2447" s="27" t="s">
        <v>15151</v>
      </c>
      <c r="B2447" s="28" t="str">
        <f>_xlfn.XLOOKUP(Customer[[#This Row],[Customer ID]],[1]!Name[ID],[1]!Name[Description(1)])</f>
        <v>ROHIJJAZ KAMAL BIN ROMLI</v>
      </c>
      <c r="C2447" s="11" t="str">
        <f>_xlfn.XLOOKUP(Customer[[#This Row],[Customer ID]],[1]!Name[ID],[1]!Name[Description(2)])</f>
        <v>PS PARIT PANJANG</v>
      </c>
      <c r="D2447" s="11" t="str">
        <f>_xlfn.XLOOKUP(Customer[[#This Row],[Customer ID]],[1]!Address[ID],[1]!Address[PIC])</f>
        <v/>
      </c>
      <c r="E2447" s="11" t="str">
        <f>_xlfn.XLOOKUP(Customer[[#This Row],[Customer ID]],[1]!Address[ID],[1]!Address[Full Address])</f>
        <v>PS PARIT PANJANGLOT 2856, JALAN BATU LIMA,PEKAN PARIT PANJANG, 09120 BALING, KEDA</v>
      </c>
      <c r="F2447" s="12" t="s">
        <v>15152</v>
      </c>
      <c r="G2447" s="12" t="s">
        <v>15153</v>
      </c>
      <c r="H2447" s="12" t="s">
        <v>15154</v>
      </c>
      <c r="I2447" s="12" t="b">
        <f>ISNUMBER(VALUE(LEFT(Customer[[#This Row],[Address Line 3 (30 char)]],1)))</f>
        <v>0</v>
      </c>
      <c r="J2447" s="12" t="s">
        <v>355</v>
      </c>
      <c r="K2447" s="30" t="s">
        <v>15155</v>
      </c>
      <c r="L2447" s="12" t="s">
        <v>35</v>
      </c>
      <c r="M2447" s="13" t="e">
        <v>#N/A</v>
      </c>
      <c r="N2447" s="14" t="e">
        <v>#N/A</v>
      </c>
      <c r="O2447" s="14" t="e">
        <v>#N/A</v>
      </c>
      <c r="P2447" s="14" t="e">
        <v>#N/A</v>
      </c>
      <c r="Q2447" s="19" t="s">
        <v>15156</v>
      </c>
      <c r="R2447" s="15" t="s">
        <v>3996</v>
      </c>
      <c r="S2447" s="15" t="s">
        <v>37</v>
      </c>
      <c r="T2447" s="16" t="s">
        <v>38</v>
      </c>
      <c r="U2447" s="11" t="str">
        <f>_xlfn.XLOOKUP(Customer[[#This Row],[Customer ID]],[1]!Address[ID],[1]!Address[Phone No.(2)])</f>
        <v/>
      </c>
      <c r="V2447" s="11" t="str">
        <f>_xlfn.XLOOKUP(Customer[[#This Row],[Customer ID]],[1]!Address[ID],[1]!Address[Type])</f>
        <v>PETROMART</v>
      </c>
      <c r="W2447" s="11" t="str">
        <f>_xlfn.XLOOKUP(Customer[[#This Row],[Customer ID]],[1]!Address[ID],[1]!Address[CT])</f>
        <v>30</v>
      </c>
      <c r="X2447" s="11" t="s">
        <v>39</v>
      </c>
      <c r="Y2447" s="17" t="s">
        <v>40</v>
      </c>
      <c r="Z2447" s="17" t="e">
        <f>_xlfn.XLOOKUP(Customer[[#This Row],[NewType]],$AF$36:$AF$54,$AG$36:$AG$54)</f>
        <v>#N/A</v>
      </c>
      <c r="AA2447" s="17" t="s">
        <v>15157</v>
      </c>
      <c r="AB2447" s="11" t="str">
        <f>_xlfn.XLOOKUP(Customer[[#This Row],[Customer ID]],[1]!Address[ID],[1]!Address[Subtype])</f>
        <v>PETRONAS</v>
      </c>
      <c r="AC2447" s="18" t="str">
        <f>_xlfn.XLOOKUP(Customer[[#This Row],[Customer ID]],[1]!Address[ID],[1]!Address[Zone])</f>
        <v>NORTH</v>
      </c>
    </row>
    <row r="2448" spans="1:29" x14ac:dyDescent="0.3">
      <c r="A2448" s="10" t="s">
        <v>15158</v>
      </c>
      <c r="B2448" s="11" t="str">
        <f>_xlfn.XLOOKUP(Customer[[#This Row],[Customer ID]],[1]!Name[ID],[1]!Name[Description(1)])</f>
        <v>NURUL SYAMIMI BINTI AB WAHAB</v>
      </c>
      <c r="C2448" s="11" t="str">
        <f>_xlfn.XLOOKUP(Customer[[#This Row],[Customer ID]],[1]!Name[ID],[1]!Name[Description(2)])</f>
        <v>PRODUCTION KILANG AIR</v>
      </c>
      <c r="D2448" s="11" t="str">
        <f>_xlfn.XLOOKUP(Customer[[#This Row],[Customer ID]],[1]!Address[ID],[1]!Address[PIC])</f>
        <v>SYAMIMI</v>
      </c>
      <c r="E2448" s="11" t="str">
        <f>_xlfn.XLOOKUP(Customer[[#This Row],[Customer ID]],[1]!Address[ID],[1]!Address[Full Address])</f>
        <v>NO. 247, JALAN 1/5 BANDAR EKAR,RANTAU 71200, NEGERI SEMBILAN</v>
      </c>
      <c r="F2448" s="12" t="s">
        <v>15159</v>
      </c>
      <c r="G2448" s="12" t="s">
        <v>13616</v>
      </c>
      <c r="H2448" s="12" t="s">
        <v>6428</v>
      </c>
      <c r="I2448" s="12" t="b">
        <f>ISNUMBER(VALUE(LEFT(Customer[[#This Row],[Address Line 3 (30 char)]],1)))</f>
        <v>0</v>
      </c>
      <c r="J2448" s="12" t="s">
        <v>203</v>
      </c>
      <c r="K2448" s="12">
        <v>71200</v>
      </c>
      <c r="L2448" s="12" t="s">
        <v>35</v>
      </c>
      <c r="M2448" s="13" t="e">
        <v>#N/A</v>
      </c>
      <c r="N2448" s="14" t="e">
        <v>#N/A</v>
      </c>
      <c r="O2448" s="14" t="e">
        <v>#N/A</v>
      </c>
      <c r="P2448" s="14" t="e">
        <v>#N/A</v>
      </c>
      <c r="Q2448" s="19" t="s">
        <v>15160</v>
      </c>
      <c r="R2448" s="15" t="s">
        <v>15161</v>
      </c>
      <c r="S2448" s="16" t="s">
        <v>89</v>
      </c>
      <c r="T2448" s="16" t="s">
        <v>89</v>
      </c>
      <c r="U2448" s="11" t="str">
        <f>_xlfn.XLOOKUP(Customer[[#This Row],[Customer ID]],[1]!Address[ID],[1]!Address[Phone No.(2)])</f>
        <v/>
      </c>
      <c r="V2448" s="11" t="str">
        <f>_xlfn.XLOOKUP(Customer[[#This Row],[Customer ID]],[1]!Address[ID],[1]!Address[Type])</f>
        <v>WALK IN</v>
      </c>
      <c r="W2448" s="11" t="str">
        <f>_xlfn.XLOOKUP(Customer[[#This Row],[Customer ID]],[1]!Address[ID],[1]!Address[CT])</f>
        <v/>
      </c>
      <c r="X2448" s="11"/>
      <c r="Y2448" s="17" t="s">
        <v>6284</v>
      </c>
      <c r="Z2448" s="17" t="e">
        <f>_xlfn.XLOOKUP(Customer[[#This Row],[NewType]],$AF$36:$AF$54,$AG$36:$AG$54)</f>
        <v>#N/A</v>
      </c>
      <c r="AA2448" s="17" t="s">
        <v>15162</v>
      </c>
      <c r="AB2448" s="11" t="str">
        <f>_xlfn.XLOOKUP(Customer[[#This Row],[Customer ID]],[1]!Address[ID],[1]!Address[Subtype])</f>
        <v>STAFF</v>
      </c>
      <c r="AC2448" s="18" t="str">
        <f>_xlfn.XLOOKUP(Customer[[#This Row],[Customer ID]],[1]!Address[ID],[1]!Address[Zone])</f>
        <v>SOUTH</v>
      </c>
    </row>
    <row r="2449" spans="1:30" x14ac:dyDescent="0.3">
      <c r="A2449" s="10" t="s">
        <v>15163</v>
      </c>
      <c r="B2449" s="11" t="str">
        <f>_xlfn.XLOOKUP(Customer[[#This Row],[Customer ID]],[1]!Name[ID],[1]!Name[Description(1)])</f>
        <v>NOR AIDA BINTI MOHD SOM</v>
      </c>
      <c r="C2449" s="11" t="str">
        <f>_xlfn.XLOOKUP(Customer[[#This Row],[Customer ID]],[1]!Name[ID],[1]!Name[Description(2)])</f>
        <v/>
      </c>
      <c r="D2449" s="11" t="str">
        <f>_xlfn.XLOOKUP(Customer[[#This Row],[Customer ID]],[1]!Address[ID],[1]!Address[PIC])</f>
        <v>NOR AIDA</v>
      </c>
      <c r="E2449" s="11" t="str">
        <f>_xlfn.XLOOKUP(Customer[[#This Row],[Customer ID]],[1]!Address[ID],[1]!Address[Full Address])</f>
        <v>C-5-8 FLAT DANAU KOTA,OFF JALANGENTING KLANG 53300 SETAPAK, KL</v>
      </c>
      <c r="F2449" s="63" t="s">
        <v>15164</v>
      </c>
      <c r="G2449" s="63" t="s">
        <v>2308</v>
      </c>
      <c r="H2449" s="63" t="s">
        <v>15165</v>
      </c>
      <c r="I2449" s="63" t="b">
        <f>ISNUMBER(VALUE(LEFT(Customer[[#This Row],[Address Line 3 (30 char)]],1)))</f>
        <v>0</v>
      </c>
      <c r="J2449" s="63" t="s">
        <v>8855</v>
      </c>
      <c r="K2449" s="63">
        <v>53300</v>
      </c>
      <c r="L2449" s="63" t="s">
        <v>35</v>
      </c>
      <c r="M2449" s="65" t="e">
        <v>#N/A</v>
      </c>
      <c r="N2449" s="66" t="e">
        <v>#N/A</v>
      </c>
      <c r="O2449" s="66" t="e">
        <v>#N/A</v>
      </c>
      <c r="P2449" s="66" t="e">
        <v>#N/A</v>
      </c>
      <c r="Q2449" s="66" t="e">
        <v>#N/A</v>
      </c>
      <c r="R2449" s="15" t="s">
        <v>15166</v>
      </c>
      <c r="S2449" s="15" t="s">
        <v>6418</v>
      </c>
      <c r="T2449" s="16" t="s">
        <v>3477</v>
      </c>
      <c r="U2449" s="11" t="str">
        <f>_xlfn.XLOOKUP(Customer[[#This Row],[Customer ID]],[1]!Address[ID],[1]!Address[Phone No.(2)])</f>
        <v/>
      </c>
      <c r="V2449" s="11" t="str">
        <f>_xlfn.XLOOKUP(Customer[[#This Row],[Customer ID]],[1]!Address[ID],[1]!Address[Type])</f>
        <v>SOCMED</v>
      </c>
      <c r="W2449" s="11" t="str">
        <f>_xlfn.XLOOKUP(Customer[[#This Row],[Customer ID]],[1]!Address[ID],[1]!Address[CT])</f>
        <v/>
      </c>
      <c r="X2449" s="11"/>
      <c r="Y2449" s="17" t="s">
        <v>90</v>
      </c>
      <c r="Z2449" s="17" t="e">
        <f>_xlfn.XLOOKUP(Customer[[#This Row],[NewType]],$AF$36:$AF$54,$AG$36:$AG$54)</f>
        <v>#N/A</v>
      </c>
      <c r="AA2449" s="17" t="s">
        <v>15167</v>
      </c>
      <c r="AB2449" s="11" t="str">
        <f>_xlfn.XLOOKUP(Customer[[#This Row],[Customer ID]],[1]!Address[ID],[1]!Address[Subtype])</f>
        <v>WHATSAPP</v>
      </c>
      <c r="AC2449" s="18" t="str">
        <f>_xlfn.XLOOKUP(Customer[[#This Row],[Customer ID]],[1]!Address[ID],[1]!Address[Zone])</f>
        <v>CENTRAL</v>
      </c>
    </row>
    <row r="2450" spans="1:30" x14ac:dyDescent="0.3">
      <c r="A2450" s="10" t="s">
        <v>15168</v>
      </c>
      <c r="B2450" s="11" t="str">
        <f>_xlfn.XLOOKUP(Customer[[#This Row],[Customer ID]],[1]!Name[ID],[1]!Name[Description(1)])</f>
        <v>SALAYIAH (MB)</v>
      </c>
      <c r="C2450" s="32" t="str">
        <f>_xlfn.XLOOKUP(Customer[[#This Row],[Customer ID]],[1]!Name[ID],[1]!Name[Description(2)])</f>
        <v/>
      </c>
      <c r="D2450" s="11" t="str">
        <f>_xlfn.XLOOKUP(Customer[[#This Row],[Customer ID]],[1]!Address[ID],[1]!Address[PIC])</f>
        <v>SALAYIAH</v>
      </c>
      <c r="E2450" s="11" t="str">
        <f>_xlfn.XLOOKUP(Customer[[#This Row],[Customer ID]],[1]!Address[ID],[1]!Address[Full Address])</f>
        <v>NO 10, 2/1L MUTIARA BANGI</v>
      </c>
      <c r="F2450" s="12" t="s">
        <v>15169</v>
      </c>
      <c r="G2450" s="12" t="s">
        <v>36</v>
      </c>
      <c r="H2450" s="12" t="s">
        <v>36</v>
      </c>
      <c r="I2450" s="12" t="b">
        <f>ISNUMBER(VALUE(LEFT(Customer[[#This Row],[Address Line 3 (30 char)]],1)))</f>
        <v>0</v>
      </c>
      <c r="J2450" s="32" t="s">
        <v>1907</v>
      </c>
      <c r="K2450" s="32"/>
      <c r="L2450" s="12" t="s">
        <v>35</v>
      </c>
      <c r="M2450" s="13" t="e">
        <v>#N/A</v>
      </c>
      <c r="N2450" s="14" t="e">
        <v>#N/A</v>
      </c>
      <c r="O2450" s="14" t="e">
        <v>#N/A</v>
      </c>
      <c r="P2450" s="14" t="e">
        <v>#N/A</v>
      </c>
      <c r="Q2450" s="14" t="e">
        <v>#N/A</v>
      </c>
      <c r="R2450" s="15" t="s">
        <v>11916</v>
      </c>
      <c r="S2450" s="15" t="s">
        <v>4271</v>
      </c>
      <c r="T2450" s="16" t="s">
        <v>89</v>
      </c>
      <c r="U2450" s="11" t="str">
        <f>_xlfn.XLOOKUP(Customer[[#This Row],[Customer ID]],[1]!Address[ID],[1]!Address[Phone No.(2)])</f>
        <v/>
      </c>
      <c r="V2450" s="11" t="str">
        <f>_xlfn.XLOOKUP(Customer[[#This Row],[Customer ID]],[1]!Address[ID],[1]!Address[Type])</f>
        <v>SOCMED</v>
      </c>
      <c r="W2450" s="11" t="str">
        <f>_xlfn.XLOOKUP(Customer[[#This Row],[Customer ID]],[1]!Address[ID],[1]!Address[CT])</f>
        <v/>
      </c>
      <c r="X2450" s="11"/>
      <c r="Y2450" s="17" t="s">
        <v>90</v>
      </c>
      <c r="Z2450" s="17" t="e">
        <f>_xlfn.XLOOKUP(Customer[[#This Row],[NewType]],$AF$36:$AF$54,$AG$36:$AG$54)</f>
        <v>#N/A</v>
      </c>
      <c r="AA2450" s="17" t="s">
        <v>15170</v>
      </c>
      <c r="AB2450" s="11" t="str">
        <f>_xlfn.XLOOKUP(Customer[[#This Row],[Customer ID]],[1]!Address[ID],[1]!Address[Subtype])</f>
        <v>WHATSAPP</v>
      </c>
      <c r="AC2450" s="18" t="str">
        <f>_xlfn.XLOOKUP(Customer[[#This Row],[Customer ID]],[1]!Address[ID],[1]!Address[Zone])</f>
        <v>CENTRAL</v>
      </c>
    </row>
    <row r="2451" spans="1:30" x14ac:dyDescent="0.3">
      <c r="A2451" s="10" t="s">
        <v>15171</v>
      </c>
      <c r="B2451" s="11" t="str">
        <f>_xlfn.XLOOKUP(Customer[[#This Row],[Customer ID]],[1]!Name[ID],[1]!Name[Description(1)])</f>
        <v>ROZAIDE MEGAT OTHMAN</v>
      </c>
      <c r="C2451" s="11" t="str">
        <f>_xlfn.XLOOKUP(Customer[[#This Row],[Customer ID]],[1]!Name[ID],[1]!Name[Description(2)])</f>
        <v/>
      </c>
      <c r="D2451" s="11" t="str">
        <f>_xlfn.XLOOKUP(Customer[[#This Row],[Customer ID]],[1]!Address[ID],[1]!Address[PIC])</f>
        <v/>
      </c>
      <c r="E2451" s="11" t="str">
        <f>_xlfn.XLOOKUP(Customer[[#This Row],[Customer ID]],[1]!Address[ID],[1]!Address[Full Address])</f>
        <v>NO 9, JALAN ANJUNG MELATI 2,TAMAN ANJUNG MELATI 2,68100 BATU CAVES, SELANGOR</v>
      </c>
      <c r="F2451" s="63" t="s">
        <v>15172</v>
      </c>
      <c r="G2451" s="63" t="s">
        <v>15173</v>
      </c>
      <c r="H2451" s="64" t="s">
        <v>5565</v>
      </c>
      <c r="I2451" s="64" t="b">
        <f>ISNUMBER(VALUE(LEFT(Customer[[#This Row],[Address Line 3 (30 char)]],1)))</f>
        <v>0</v>
      </c>
      <c r="J2451" s="63" t="s">
        <v>172</v>
      </c>
      <c r="K2451" s="63">
        <v>68100</v>
      </c>
      <c r="L2451" s="63" t="s">
        <v>35</v>
      </c>
      <c r="M2451" s="65" t="e">
        <v>#N/A</v>
      </c>
      <c r="N2451" s="66" t="e">
        <v>#N/A</v>
      </c>
      <c r="O2451" s="66" t="e">
        <v>#N/A</v>
      </c>
      <c r="P2451" s="66" t="e">
        <v>#N/A</v>
      </c>
      <c r="Q2451" s="110" t="s">
        <v>15174</v>
      </c>
      <c r="R2451" s="15" t="s">
        <v>15175</v>
      </c>
      <c r="S2451" s="15" t="s">
        <v>89</v>
      </c>
      <c r="T2451" s="16" t="s">
        <v>89</v>
      </c>
      <c r="U2451" s="11" t="str">
        <f>_xlfn.XLOOKUP(Customer[[#This Row],[Customer ID]],[1]!Address[ID],[1]!Address[Phone No.(2)])</f>
        <v/>
      </c>
      <c r="V2451" s="11" t="str">
        <f>_xlfn.XLOOKUP(Customer[[#This Row],[Customer ID]],[1]!Address[ID],[1]!Address[Type])</f>
        <v>SOCMED</v>
      </c>
      <c r="W2451" s="11" t="str">
        <f>_xlfn.XLOOKUP(Customer[[#This Row],[Customer ID]],[1]!Address[ID],[1]!Address[CT])</f>
        <v/>
      </c>
      <c r="X2451" s="11"/>
      <c r="Y2451" s="17" t="s">
        <v>90</v>
      </c>
      <c r="Z2451" s="17" t="e">
        <f>_xlfn.XLOOKUP(Customer[[#This Row],[NewType]],$AF$36:$AF$54,$AG$36:$AG$54)</f>
        <v>#N/A</v>
      </c>
      <c r="AA2451" s="17" t="s">
        <v>15176</v>
      </c>
      <c r="AB2451" s="11" t="str">
        <f>_xlfn.XLOOKUP(Customer[[#This Row],[Customer ID]],[1]!Address[ID],[1]!Address[Subtype])</f>
        <v>WHATSAPP</v>
      </c>
      <c r="AC2451" s="18" t="str">
        <f>_xlfn.XLOOKUP(Customer[[#This Row],[Customer ID]],[1]!Address[ID],[1]!Address[Zone])</f>
        <v>CENTRAL</v>
      </c>
    </row>
    <row r="2452" spans="1:30" x14ac:dyDescent="0.3">
      <c r="A2452" s="10" t="s">
        <v>15177</v>
      </c>
      <c r="B2452" s="11" t="str">
        <f>_xlfn.XLOOKUP(Customer[[#This Row],[Customer ID]],[1]!Name[ID],[1]!Name[Description(1)])</f>
        <v>NS TWO SERVICE STATION</v>
      </c>
      <c r="C2452" s="11" t="str">
        <f>_xlfn.XLOOKUP(Customer[[#This Row],[Customer ID]],[1]!Name[ID],[1]!Name[Description(2)])</f>
        <v>PETRON BUKIT TENGAH</v>
      </c>
      <c r="D2452" s="11" t="str">
        <f>_xlfn.XLOOKUP(Customer[[#This Row],[Customer ID]],[1]!Address[ID],[1]!Address[PIC])</f>
        <v/>
      </c>
      <c r="E2452" s="11" t="str">
        <f>_xlfn.XLOOKUP(Customer[[#This Row],[Customer ID]],[1]!Address[ID],[1]!Address[Full Address])</f>
        <v>PETRON BUKIT TENGAHLOT 1079, JALAN BARU,TAMAN BUNGA RAYA, 14000BUKIT MERTAJAM, PULAU PINANG</v>
      </c>
      <c r="F2452" s="12" t="s">
        <v>15178</v>
      </c>
      <c r="G2452" s="12" t="s">
        <v>15179</v>
      </c>
      <c r="H2452" s="12" t="s">
        <v>15180</v>
      </c>
      <c r="I2452" s="12" t="b">
        <f>ISNUMBER(VALUE(LEFT(Customer[[#This Row],[Address Line 3 (30 char)]],1)))</f>
        <v>0</v>
      </c>
      <c r="J2452" s="12" t="s">
        <v>179</v>
      </c>
      <c r="K2452" s="12">
        <v>14000</v>
      </c>
      <c r="L2452" s="12" t="s">
        <v>35</v>
      </c>
      <c r="M2452" s="13" t="e">
        <v>#N/A</v>
      </c>
      <c r="N2452" s="14" t="e">
        <v>#N/A</v>
      </c>
      <c r="O2452" s="14" t="e">
        <v>#N/A</v>
      </c>
      <c r="P2452" s="14" t="e">
        <v>#N/A</v>
      </c>
      <c r="Q2452" s="19" t="s">
        <v>15181</v>
      </c>
      <c r="R2452" s="15" t="s">
        <v>15182</v>
      </c>
      <c r="S2452" s="15" t="s">
        <v>37</v>
      </c>
      <c r="T2452" s="16" t="s">
        <v>38</v>
      </c>
      <c r="U2452" s="11" t="str">
        <f>_xlfn.XLOOKUP(Customer[[#This Row],[Customer ID]],[1]!Address[ID],[1]!Address[Phone No.(2)])</f>
        <v/>
      </c>
      <c r="V2452" s="11" t="str">
        <f>_xlfn.XLOOKUP(Customer[[#This Row],[Customer ID]],[1]!Address[ID],[1]!Address[Type])</f>
        <v>PETROMART</v>
      </c>
      <c r="W2452" s="11" t="str">
        <f>_xlfn.XLOOKUP(Customer[[#This Row],[Customer ID]],[1]!Address[ID],[1]!Address[CT])</f>
        <v>CASH</v>
      </c>
      <c r="X2452" s="11" t="s">
        <v>39</v>
      </c>
      <c r="Y2452" s="17" t="s">
        <v>40</v>
      </c>
      <c r="Z2452" s="17" t="e">
        <f>_xlfn.XLOOKUP(Customer[[#This Row],[NewType]],$AF$36:$AF$54,$AG$36:$AG$54)</f>
        <v>#N/A</v>
      </c>
      <c r="AA2452" s="17" t="s">
        <v>15183</v>
      </c>
      <c r="AB2452" s="11" t="str">
        <f>_xlfn.XLOOKUP(Customer[[#This Row],[Customer ID]],[1]!Address[ID],[1]!Address[Subtype])</f>
        <v>PETRON</v>
      </c>
      <c r="AC2452" s="18" t="str">
        <f>_xlfn.XLOOKUP(Customer[[#This Row],[Customer ID]],[1]!Address[ID],[1]!Address[Zone])</f>
        <v>NORTH</v>
      </c>
    </row>
    <row r="2453" spans="1:30" x14ac:dyDescent="0.3">
      <c r="A2453" s="10" t="s">
        <v>15184</v>
      </c>
      <c r="B2453" s="11" t="str">
        <f>_xlfn.XLOOKUP(Customer[[#This Row],[Customer ID]],[1]!Name[ID],[1]!Name[Description(1)])</f>
        <v>NORZAILAN MOHD NOR (MB)</v>
      </c>
      <c r="C2453" s="32" t="str">
        <f>_xlfn.XLOOKUP(Customer[[#This Row],[Customer ID]],[1]!Name[ID],[1]!Name[Description(2)])</f>
        <v/>
      </c>
      <c r="D2453" s="11" t="str">
        <f>_xlfn.XLOOKUP(Customer[[#This Row],[Customer ID]],[1]!Address[ID],[1]!Address[PIC])</f>
        <v>NORZAILAN</v>
      </c>
      <c r="E2453" s="11" t="str">
        <f>_xlfn.XLOOKUP(Customer[[#This Row],[Customer ID]],[1]!Address[ID],[1]!Address[Full Address])</f>
        <v>NO 9, JALAN 1/3U, SEKSYEN 1,VILLA SUTERA</v>
      </c>
      <c r="F2453" s="12" t="s">
        <v>15185</v>
      </c>
      <c r="G2453" s="12" t="s">
        <v>15186</v>
      </c>
      <c r="H2453" s="12" t="s">
        <v>36</v>
      </c>
      <c r="I2453" s="12" t="b">
        <f>ISNUMBER(VALUE(LEFT(Customer[[#This Row],[Address Line 3 (30 char)]],1)))</f>
        <v>0</v>
      </c>
      <c r="J2453" s="32" t="s">
        <v>172</v>
      </c>
      <c r="K2453" s="32"/>
      <c r="L2453" s="12" t="s">
        <v>35</v>
      </c>
      <c r="M2453" s="13" t="e">
        <v>#N/A</v>
      </c>
      <c r="N2453" s="14" t="e">
        <v>#N/A</v>
      </c>
      <c r="O2453" s="14" t="e">
        <v>#N/A</v>
      </c>
      <c r="P2453" s="14" t="e">
        <v>#N/A</v>
      </c>
      <c r="Q2453" s="14" t="e">
        <v>#N/A</v>
      </c>
      <c r="R2453" s="15" t="s">
        <v>15187</v>
      </c>
      <c r="S2453" s="15" t="s">
        <v>4271</v>
      </c>
      <c r="T2453" s="16" t="s">
        <v>89</v>
      </c>
      <c r="U2453" s="11" t="str">
        <f>_xlfn.XLOOKUP(Customer[[#This Row],[Customer ID]],[1]!Address[ID],[1]!Address[Phone No.(2)])</f>
        <v/>
      </c>
      <c r="V2453" s="11" t="str">
        <f>_xlfn.XLOOKUP(Customer[[#This Row],[Customer ID]],[1]!Address[ID],[1]!Address[Type])</f>
        <v>SOCMED</v>
      </c>
      <c r="W2453" s="11" t="str">
        <f>_xlfn.XLOOKUP(Customer[[#This Row],[Customer ID]],[1]!Address[ID],[1]!Address[CT])</f>
        <v/>
      </c>
      <c r="X2453" s="11"/>
      <c r="Y2453" s="17" t="s">
        <v>90</v>
      </c>
      <c r="Z2453" s="17" t="e">
        <f>_xlfn.XLOOKUP(Customer[[#This Row],[NewType]],$AF$36:$AF$54,$AG$36:$AG$54)</f>
        <v>#N/A</v>
      </c>
      <c r="AA2453" s="17" t="s">
        <v>15188</v>
      </c>
      <c r="AB2453" s="11" t="str">
        <f>_xlfn.XLOOKUP(Customer[[#This Row],[Customer ID]],[1]!Address[ID],[1]!Address[Subtype])</f>
        <v>WHATSAPP</v>
      </c>
      <c r="AC2453" s="18">
        <f>_xlfn.XLOOKUP(Customer[[#This Row],[Customer ID]],[1]!Address[ID],[1]!Address[Zone])</f>
        <v>0</v>
      </c>
    </row>
    <row r="2454" spans="1:30" x14ac:dyDescent="0.3">
      <c r="A2454" s="27" t="s">
        <v>15189</v>
      </c>
      <c r="B2454" s="28" t="str">
        <f>_xlfn.XLOOKUP(Customer[[#This Row],[Customer ID]],[1]!Name[ID],[1]!Name[Description(1)])</f>
        <v>TAI CHOO INDUSTRY</v>
      </c>
      <c r="C2454" s="11" t="str">
        <f>_xlfn.XLOOKUP(Customer[[#This Row],[Customer ID]],[1]!Name[ID],[1]!Name[Description(2)])</f>
        <v/>
      </c>
      <c r="D2454" s="11" t="str">
        <f>_xlfn.XLOOKUP(Customer[[#This Row],[Customer ID]],[1]!Address[ID],[1]!Address[PIC])</f>
        <v/>
      </c>
      <c r="E2454" s="11" t="str">
        <f>_xlfn.XLOOKUP(Customer[[#This Row],[Customer ID]],[1]!Address[ID],[1]!Address[Full Address])</f>
        <v>NO 2305 A,LORONG KELOMPANG,BAKAR BATA,05100 ALOR SETAR,KEDAH</v>
      </c>
      <c r="F2454" s="12" t="s">
        <v>15190</v>
      </c>
      <c r="G2454" s="12" t="s">
        <v>15191</v>
      </c>
      <c r="H2454" s="12" t="s">
        <v>15192</v>
      </c>
      <c r="I2454" s="12" t="b">
        <f>ISNUMBER(VALUE(LEFT(Customer[[#This Row],[Address Line 3 (30 char)]],1)))</f>
        <v>0</v>
      </c>
      <c r="J2454" s="12" t="s">
        <v>79</v>
      </c>
      <c r="K2454" s="30" t="s">
        <v>3956</v>
      </c>
      <c r="L2454" s="12" t="s">
        <v>35</v>
      </c>
      <c r="M2454" s="13" t="e">
        <v>#N/A</v>
      </c>
      <c r="N2454" s="14" t="e">
        <v>#N/A</v>
      </c>
      <c r="O2454" s="14" t="e">
        <v>#N/A</v>
      </c>
      <c r="P2454" s="14" t="e">
        <v>#N/A</v>
      </c>
      <c r="Q2454" s="19" t="s">
        <v>15193</v>
      </c>
      <c r="R2454" s="15" t="s">
        <v>15194</v>
      </c>
      <c r="S2454" s="15" t="s">
        <v>5917</v>
      </c>
      <c r="T2454" s="16" t="s">
        <v>3477</v>
      </c>
      <c r="U2454" s="11" t="str">
        <f>_xlfn.XLOOKUP(Customer[[#This Row],[Customer ID]],[1]!Address[ID],[1]!Address[Phone No.(2)])</f>
        <v/>
      </c>
      <c r="V2454" s="11" t="str">
        <f>_xlfn.XLOOKUP(Customer[[#This Row],[Customer ID]],[1]!Address[ID],[1]!Address[Type])</f>
        <v>CM</v>
      </c>
      <c r="W2454" s="11" t="str">
        <f>_xlfn.XLOOKUP(Customer[[#This Row],[Customer ID]],[1]!Address[ID],[1]!Address[CT])</f>
        <v>CASH</v>
      </c>
      <c r="X2454" s="11"/>
      <c r="Y2454" s="17" t="s">
        <v>5918</v>
      </c>
      <c r="Z2454" s="17" t="e">
        <f>_xlfn.XLOOKUP(Customer[[#This Row],[NewType]],$AF$36:$AF$54,$AG$36:$AG$54)</f>
        <v>#N/A</v>
      </c>
      <c r="AA2454" s="17" t="s">
        <v>15195</v>
      </c>
      <c r="AB2454" s="11" t="str">
        <f>_xlfn.XLOOKUP(Customer[[#This Row],[Customer ID]],[1]!Address[ID],[1]!Address[Subtype])</f>
        <v>TAI CHOO</v>
      </c>
      <c r="AC2454" s="18" t="str">
        <f>_xlfn.XLOOKUP(Customer[[#This Row],[Customer ID]],[1]!Address[ID],[1]!Address[Zone])</f>
        <v>NORTH</v>
      </c>
    </row>
    <row r="2455" spans="1:30" x14ac:dyDescent="0.3">
      <c r="A2455" s="27" t="s">
        <v>15196</v>
      </c>
      <c r="B2455" s="28" t="str">
        <f>_xlfn.XLOOKUP(Customer[[#This Row],[Customer ID]],[1]!Name[ID],[1]!Name[Description(1)])</f>
        <v>GZA NIAGA ENTERPRISE</v>
      </c>
      <c r="C2455" s="11" t="str">
        <f>_xlfn.XLOOKUP(Customer[[#This Row],[Customer ID]],[1]!Name[ID],[1]!Name[Description(2)])</f>
        <v>CALTEX PONDOK CHEGAR</v>
      </c>
      <c r="D2455" s="11" t="str">
        <f>_xlfn.XLOOKUP(Customer[[#This Row],[Customer ID]],[1]!Address[ID],[1]!Address[PIC])</f>
        <v/>
      </c>
      <c r="E2455" s="11" t="str">
        <f>_xlfn.XLOOKUP(Customer[[#This Row],[Customer ID]],[1]!Address[ID],[1]!Address[Full Address])</f>
        <v>CALTEX PONDOK CHEGARLOT 731, KG CHEGAR,MK PADANG PUSING06700 PENDANG KEDAH</v>
      </c>
      <c r="F2455" s="12" t="s">
        <v>15197</v>
      </c>
      <c r="G2455" s="12" t="s">
        <v>15198</v>
      </c>
      <c r="H2455" s="12" t="s">
        <v>15199</v>
      </c>
      <c r="I2455" s="12" t="b">
        <f>ISNUMBER(VALUE(LEFT(Customer[[#This Row],[Address Line 3 (30 char)]],1)))</f>
        <v>0</v>
      </c>
      <c r="J2455" s="12" t="s">
        <v>355</v>
      </c>
      <c r="K2455" s="30" t="s">
        <v>3956</v>
      </c>
      <c r="L2455" s="12" t="s">
        <v>35</v>
      </c>
      <c r="M2455" s="13" t="e">
        <v>#N/A</v>
      </c>
      <c r="N2455" s="14" t="e">
        <v>#N/A</v>
      </c>
      <c r="O2455" s="14" t="e">
        <v>#N/A</v>
      </c>
      <c r="P2455" s="14" t="e">
        <v>#N/A</v>
      </c>
      <c r="Q2455" s="19" t="s">
        <v>15200</v>
      </c>
      <c r="R2455" s="15" t="s">
        <v>15201</v>
      </c>
      <c r="S2455" s="15" t="s">
        <v>37</v>
      </c>
      <c r="T2455" s="16" t="s">
        <v>38</v>
      </c>
      <c r="U2455" s="11" t="str">
        <f>_xlfn.XLOOKUP(Customer[[#This Row],[Customer ID]],[1]!Address[ID],[1]!Address[Phone No.(2)])</f>
        <v/>
      </c>
      <c r="V2455" s="11" t="str">
        <f>_xlfn.XLOOKUP(Customer[[#This Row],[Customer ID]],[1]!Address[ID],[1]!Address[Type])</f>
        <v>PETROMART</v>
      </c>
      <c r="W2455" s="11" t="str">
        <f>_xlfn.XLOOKUP(Customer[[#This Row],[Customer ID]],[1]!Address[ID],[1]!Address[CT])</f>
        <v>CASH</v>
      </c>
      <c r="X2455" s="11" t="s">
        <v>39</v>
      </c>
      <c r="Y2455" s="17" t="s">
        <v>40</v>
      </c>
      <c r="Z2455" s="17" t="e">
        <f>_xlfn.XLOOKUP(Customer[[#This Row],[NewType]],$AF$36:$AF$54,$AG$36:$AG$54)</f>
        <v>#N/A</v>
      </c>
      <c r="AA2455" s="17" t="s">
        <v>15202</v>
      </c>
      <c r="AB2455" s="11" t="str">
        <f>_xlfn.XLOOKUP(Customer[[#This Row],[Customer ID]],[1]!Address[ID],[1]!Address[Subtype])</f>
        <v>CALTEX</v>
      </c>
      <c r="AC2455" s="18" t="str">
        <f>_xlfn.XLOOKUP(Customer[[#This Row],[Customer ID]],[1]!Address[ID],[1]!Address[Zone])</f>
        <v>NORTH</v>
      </c>
    </row>
    <row r="2456" spans="1:30" x14ac:dyDescent="0.3">
      <c r="A2456" s="10" t="s">
        <v>15203</v>
      </c>
      <c r="B2456" s="11" t="str">
        <f>_xlfn.XLOOKUP(Customer[[#This Row],[Customer ID]],[1]!Name[ID],[1]!Name[Description(1)])</f>
        <v>CM TM CYBERJAYA CVS</v>
      </c>
      <c r="C2456" s="11" t="str">
        <f>_xlfn.XLOOKUP(Customer[[#This Row],[Customer ID]],[1]!Name[ID],[1]!Name[Description(2)])</f>
        <v>MESRA RETAIL &amp; CAFE SDN BHD</v>
      </c>
      <c r="D2456" s="11" t="str">
        <f>_xlfn.XLOOKUP(Customer[[#This Row],[Customer ID]],[1]!Address[ID],[1]!Address[PIC])</f>
        <v/>
      </c>
      <c r="E2456" s="11" t="str">
        <f>_xlfn.XLOOKUP(Customer[[#This Row],[Customer ID]],[1]!Address[ID],[1]!Address[Full Address])</f>
        <v>Lobby of TM IT Complex CyberjayaLingkaran Usahawan 1 Timur,63000 Cyberjaya, Selangor.</v>
      </c>
      <c r="F2456" s="12" t="s">
        <v>15204</v>
      </c>
      <c r="G2456" s="12" t="s">
        <v>15205</v>
      </c>
      <c r="H2456" s="12" t="s">
        <v>15206</v>
      </c>
      <c r="I2456" s="12" t="b">
        <f>ISNUMBER(VALUE(LEFT(Customer[[#This Row],[Address Line 3 (30 char)]],1)))</f>
        <v>0</v>
      </c>
      <c r="J2456" s="12" t="s">
        <v>172</v>
      </c>
      <c r="K2456" s="12">
        <v>63000</v>
      </c>
      <c r="L2456" s="12" t="s">
        <v>35</v>
      </c>
      <c r="M2456" s="13" t="e">
        <v>#N/A</v>
      </c>
      <c r="N2456" s="14" t="e">
        <v>#N/A</v>
      </c>
      <c r="O2456" s="14" t="e">
        <v>#N/A</v>
      </c>
      <c r="P2456" s="14" t="e">
        <v>#N/A</v>
      </c>
      <c r="Q2456" s="19" t="s">
        <v>14038</v>
      </c>
      <c r="R2456" s="15" t="s">
        <v>14039</v>
      </c>
      <c r="S2456" s="15" t="s">
        <v>37</v>
      </c>
      <c r="T2456" s="16" t="s">
        <v>38</v>
      </c>
      <c r="U2456" s="11" t="str">
        <f>_xlfn.XLOOKUP(Customer[[#This Row],[Customer ID]],[1]!Address[ID],[1]!Address[Phone No.(2)])</f>
        <v/>
      </c>
      <c r="V2456" s="11" t="str">
        <f>_xlfn.XLOOKUP(Customer[[#This Row],[Customer ID]],[1]!Address[ID],[1]!Address[Type])</f>
        <v>PETROMART</v>
      </c>
      <c r="W2456" s="11" t="str">
        <f>_xlfn.XLOOKUP(Customer[[#This Row],[Customer ID]],[1]!Address[ID],[1]!Address[CT])</f>
        <v>30</v>
      </c>
      <c r="X2456" s="11" t="s">
        <v>39</v>
      </c>
      <c r="Y2456" s="17" t="s">
        <v>40</v>
      </c>
      <c r="Z2456" s="17" t="e">
        <f>_xlfn.XLOOKUP(Customer[[#This Row],[NewType]],$AF$36:$AF$54,$AG$36:$AG$54)</f>
        <v>#N/A</v>
      </c>
      <c r="AA2456" s="17" t="s">
        <v>15207</v>
      </c>
      <c r="AB2456" s="11" t="str">
        <f>_xlfn.XLOOKUP(Customer[[#This Row],[Customer ID]],[1]!Address[ID],[1]!Address[Subtype])</f>
        <v>PETRONAS</v>
      </c>
      <c r="AC2456" s="18" t="str">
        <f>_xlfn.XLOOKUP(Customer[[#This Row],[Customer ID]],[1]!Address[ID],[1]!Address[Zone])</f>
        <v>CENTRAL</v>
      </c>
    </row>
    <row r="2457" spans="1:30" x14ac:dyDescent="0.3">
      <c r="A2457" s="10" t="s">
        <v>15208</v>
      </c>
      <c r="B2457" s="11" t="str">
        <f>_xlfn.XLOOKUP(Customer[[#This Row],[Customer ID]],[1]!Name[ID],[1]!Name[Description(1)])</f>
        <v>SARIMAH BINTI NADIMON</v>
      </c>
      <c r="C2457" s="11" t="str">
        <f>_xlfn.XLOOKUP(Customer[[#This Row],[Customer ID]],[1]!Name[ID],[1]!Name[Description(2)])</f>
        <v/>
      </c>
      <c r="D2457" s="11" t="str">
        <f>_xlfn.XLOOKUP(Customer[[#This Row],[Customer ID]],[1]!Address[ID],[1]!Address[PIC])</f>
        <v>SARIMAH</v>
      </c>
      <c r="E2457" s="11" t="str">
        <f>_xlfn.XLOOKUP(Customer[[#This Row],[Customer ID]],[1]!Address[ID],[1]!Address[Full Address])</f>
        <v>NO 19,JALAN 15/5G,GARDEN HOME,SEKSYEN 15, 43650 BANDAR BARU BANGI,SELANGOR</v>
      </c>
      <c r="F2457" s="63" t="s">
        <v>15209</v>
      </c>
      <c r="G2457" s="63" t="s">
        <v>15210</v>
      </c>
      <c r="H2457" s="63" t="s">
        <v>4481</v>
      </c>
      <c r="I2457" s="63" t="b">
        <f>ISNUMBER(VALUE(LEFT(Customer[[#This Row],[Address Line 3 (30 char)]],1)))</f>
        <v>0</v>
      </c>
      <c r="J2457" s="63" t="s">
        <v>172</v>
      </c>
      <c r="K2457" s="63">
        <v>43650</v>
      </c>
      <c r="L2457" s="63" t="s">
        <v>35</v>
      </c>
      <c r="M2457" s="65" t="e">
        <v>#N/A</v>
      </c>
      <c r="N2457" s="66" t="e">
        <v>#N/A</v>
      </c>
      <c r="O2457" s="66" t="e">
        <v>#N/A</v>
      </c>
      <c r="P2457" s="66" t="e">
        <v>#N/A</v>
      </c>
      <c r="Q2457" s="110" t="s">
        <v>15211</v>
      </c>
      <c r="R2457" s="15" t="s">
        <v>15212</v>
      </c>
      <c r="S2457" s="15" t="s">
        <v>4271</v>
      </c>
      <c r="T2457" s="16" t="s">
        <v>89</v>
      </c>
      <c r="U2457" s="11" t="str">
        <f>_xlfn.XLOOKUP(Customer[[#This Row],[Customer ID]],[1]!Address[ID],[1]!Address[Phone No.(2)])</f>
        <v/>
      </c>
      <c r="V2457" s="11" t="str">
        <f>_xlfn.XLOOKUP(Customer[[#This Row],[Customer ID]],[1]!Address[ID],[1]!Address[Type])</f>
        <v>SOCMED</v>
      </c>
      <c r="W2457" s="11" t="str">
        <f>_xlfn.XLOOKUP(Customer[[#This Row],[Customer ID]],[1]!Address[ID],[1]!Address[CT])</f>
        <v/>
      </c>
      <c r="X2457" s="11"/>
      <c r="Y2457" s="17" t="s">
        <v>90</v>
      </c>
      <c r="Z2457" s="17" t="e">
        <f>_xlfn.XLOOKUP(Customer[[#This Row],[NewType]],$AF$36:$AF$54,$AG$36:$AG$54)</f>
        <v>#N/A</v>
      </c>
      <c r="AA2457" s="17" t="s">
        <v>15213</v>
      </c>
      <c r="AB2457" s="11" t="str">
        <f>_xlfn.XLOOKUP(Customer[[#This Row],[Customer ID]],[1]!Address[ID],[1]!Address[Subtype])</f>
        <v>WHATSAPP</v>
      </c>
      <c r="AC2457" s="18" t="str">
        <f>_xlfn.XLOOKUP(Customer[[#This Row],[Customer ID]],[1]!Address[ID],[1]!Address[Zone])</f>
        <v>CENTRAL</v>
      </c>
    </row>
    <row r="2458" spans="1:30" x14ac:dyDescent="0.3">
      <c r="A2458" s="10" t="s">
        <v>15214</v>
      </c>
      <c r="B2458" s="11" t="str">
        <f>_xlfn.XLOOKUP(Customer[[#This Row],[Customer ID]],[1]!Name[ID],[1]!Name[Description(1)])</f>
        <v>SHAFIE KARIMIN @ DR SHAFIE (MB)</v>
      </c>
      <c r="C2458" s="11" t="str">
        <f>_xlfn.XLOOKUP(Customer[[#This Row],[Customer ID]],[1]!Name[ID],[1]!Name[Description(2)])</f>
        <v/>
      </c>
      <c r="D2458" s="11" t="str">
        <f>_xlfn.XLOOKUP(Customer[[#This Row],[Customer ID]],[1]!Address[ID],[1]!Address[PIC])</f>
        <v>DR SHAFIE</v>
      </c>
      <c r="E2458" s="11" t="str">
        <f>_xlfn.XLOOKUP(Customer[[#This Row],[Customer ID]],[1]!Address[ID],[1]!Address[Full Address])</f>
        <v>3 JLN 1/3N MUTIARA BANGI 43650BANDAR BARU BANGI, SELANGOR</v>
      </c>
      <c r="F2458" s="12" t="s">
        <v>15215</v>
      </c>
      <c r="G2458" s="12" t="s">
        <v>4431</v>
      </c>
      <c r="H2458" s="12" t="s">
        <v>36</v>
      </c>
      <c r="I2458" s="12" t="b">
        <f>ISNUMBER(VALUE(LEFT(Customer[[#This Row],[Address Line 3 (30 char)]],1)))</f>
        <v>0</v>
      </c>
      <c r="J2458" s="12" t="s">
        <v>172</v>
      </c>
      <c r="K2458" s="12">
        <v>43650</v>
      </c>
      <c r="L2458" s="12" t="s">
        <v>35</v>
      </c>
      <c r="M2458" s="13" t="e">
        <v>#N/A</v>
      </c>
      <c r="N2458" s="14" t="e">
        <v>#N/A</v>
      </c>
      <c r="O2458" s="14" t="e">
        <v>#N/A</v>
      </c>
      <c r="P2458" s="14" t="e">
        <v>#N/A</v>
      </c>
      <c r="Q2458" s="19" t="s">
        <v>15216</v>
      </c>
      <c r="R2458" s="15" t="s">
        <v>15217</v>
      </c>
      <c r="S2458" s="15" t="s">
        <v>4271</v>
      </c>
      <c r="T2458" s="16" t="s">
        <v>89</v>
      </c>
      <c r="U2458" s="11" t="str">
        <f>_xlfn.XLOOKUP(Customer[[#This Row],[Customer ID]],[1]!Address[ID],[1]!Address[Phone No.(2)])</f>
        <v/>
      </c>
      <c r="V2458" s="11" t="str">
        <f>_xlfn.XLOOKUP(Customer[[#This Row],[Customer ID]],[1]!Address[ID],[1]!Address[Type])</f>
        <v>SOCMED</v>
      </c>
      <c r="W2458" s="11" t="str">
        <f>_xlfn.XLOOKUP(Customer[[#This Row],[Customer ID]],[1]!Address[ID],[1]!Address[CT])</f>
        <v/>
      </c>
      <c r="X2458" s="11"/>
      <c r="Y2458" s="17" t="s">
        <v>90</v>
      </c>
      <c r="Z2458" s="17" t="e">
        <f>_xlfn.XLOOKUP(Customer[[#This Row],[NewType]],$AF$36:$AF$54,$AG$36:$AG$54)</f>
        <v>#N/A</v>
      </c>
      <c r="AA2458" s="17" t="s">
        <v>15218</v>
      </c>
      <c r="AB2458" s="11" t="str">
        <f>_xlfn.XLOOKUP(Customer[[#This Row],[Customer ID]],[1]!Address[ID],[1]!Address[Subtype])</f>
        <v>WHATSAPP</v>
      </c>
      <c r="AC2458" s="18" t="str">
        <f>_xlfn.XLOOKUP(Customer[[#This Row],[Customer ID]],[1]!Address[ID],[1]!Address[Zone])</f>
        <v>CENTRAL</v>
      </c>
    </row>
    <row r="2459" spans="1:30" x14ac:dyDescent="0.3">
      <c r="A2459" s="129" t="s">
        <v>15219</v>
      </c>
      <c r="B2459" s="130" t="str">
        <f>_xlfn.XLOOKUP(Customer[[#This Row],[Customer ID]],[1]!Name[ID],[1]!Name[Description(1)])</f>
        <v>HAMDAN OSMAN</v>
      </c>
      <c r="C2459" s="32" t="str">
        <f>_xlfn.XLOOKUP(Customer[[#This Row],[Customer ID]],[1]!Name[ID],[1]!Name[Description(2)])</f>
        <v>AUDITOR ISO</v>
      </c>
      <c r="D2459" s="11" t="str">
        <f>_xlfn.XLOOKUP(Customer[[#This Row],[Customer ID]],[1]!Address[ID],[1]!Address[PIC])</f>
        <v>HAMDAN OSMAN</v>
      </c>
      <c r="E2459" s="11" t="str">
        <f>_xlfn.XLOOKUP(Customer[[#This Row],[Customer ID]],[1]!Address[ID],[1]!Address[Full Address])</f>
        <v>98, JALAN S2 H4, PARK AVENUE,SEREMBAN 2, NEGERI SEMBILAN</v>
      </c>
      <c r="F2459" s="12" t="s">
        <v>15220</v>
      </c>
      <c r="G2459" s="12" t="s">
        <v>15221</v>
      </c>
      <c r="H2459" s="12" t="s">
        <v>36</v>
      </c>
      <c r="I2459" s="12" t="b">
        <f>ISNUMBER(VALUE(LEFT(Customer[[#This Row],[Address Line 3 (30 char)]],1)))</f>
        <v>0</v>
      </c>
      <c r="J2459" s="12" t="s">
        <v>2004</v>
      </c>
      <c r="K2459" s="12">
        <v>70300</v>
      </c>
      <c r="L2459" s="12" t="s">
        <v>35</v>
      </c>
      <c r="M2459" s="13" t="e">
        <v>#N/A</v>
      </c>
      <c r="N2459" s="14" t="e">
        <v>#N/A</v>
      </c>
      <c r="O2459" s="14" t="e">
        <v>#N/A</v>
      </c>
      <c r="P2459" s="14" t="e">
        <v>#N/A</v>
      </c>
      <c r="Q2459" s="19" t="s">
        <v>15222</v>
      </c>
      <c r="R2459" s="15" t="s">
        <v>15223</v>
      </c>
      <c r="S2459" s="16" t="s">
        <v>6283</v>
      </c>
      <c r="T2459" s="16"/>
      <c r="U2459" s="11" t="str">
        <f>_xlfn.XLOOKUP(Customer[[#This Row],[Customer ID]],[1]!Address[ID],[1]!Address[Phone No.(2)])</f>
        <v/>
      </c>
      <c r="V2459" s="11" t="str">
        <f>_xlfn.XLOOKUP(Customer[[#This Row],[Customer ID]],[1]!Address[ID],[1]!Address[Type])</f>
        <v>WALK IN</v>
      </c>
      <c r="W2459" s="11" t="str">
        <f>_xlfn.XLOOKUP(Customer[[#This Row],[Customer ID]],[1]!Address[ID],[1]!Address[CT])</f>
        <v/>
      </c>
      <c r="X2459" s="11"/>
      <c r="Y2459" s="17" t="s">
        <v>6284</v>
      </c>
      <c r="Z2459" s="17" t="e">
        <f>_xlfn.XLOOKUP(Customer[[#This Row],[NewType]],$AF$36:$AF$54,$AG$36:$AG$54)</f>
        <v>#N/A</v>
      </c>
      <c r="AA2459" s="17" t="s">
        <v>15224</v>
      </c>
      <c r="AB2459" s="11" t="str">
        <f>_xlfn.XLOOKUP(Customer[[#This Row],[Customer ID]],[1]!Address[ID],[1]!Address[Subtype])</f>
        <v>RANTAU</v>
      </c>
      <c r="AC2459" s="18" t="str">
        <f>_xlfn.XLOOKUP(Customer[[#This Row],[Customer ID]],[1]!Address[ID],[1]!Address[Zone])</f>
        <v>SOUTH</v>
      </c>
    </row>
    <row r="2460" spans="1:30" x14ac:dyDescent="0.3">
      <c r="A2460" s="10" t="s">
        <v>15225</v>
      </c>
      <c r="B2460" s="11" t="str">
        <f>_xlfn.XLOOKUP(Customer[[#This Row],[Customer ID]],[1]!Name[ID],[1]!Name[Description(1)])</f>
        <v>MALAYSIAN TECHNOLOGY DEVELOPMENT CORPOR</v>
      </c>
      <c r="C2460" s="11" t="str">
        <f>_xlfn.XLOOKUP(Customer[[#This Row],[Customer ID]],[1]!Name[ID],[1]!Name[Description(2)])</f>
        <v>(MTDC)</v>
      </c>
      <c r="D2460" s="11" t="str">
        <f>_xlfn.XLOOKUP(Customer[[#This Row],[Customer ID]],[1]!Address[ID],[1]!Address[PIC])</f>
        <v/>
      </c>
      <c r="E2460" s="11" t="str">
        <f>_xlfn.XLOOKUP(Customer[[#This Row],[Customer ID]],[1]!Address[ID],[1]!Address[Full Address])</f>
        <v>GROUND FLOOR, MENARA YAYASAN TUN RAZAK,JALAN BUKIT BINTANG,55100 KULA LUMPUR</v>
      </c>
      <c r="F2460" s="12" t="s">
        <v>15226</v>
      </c>
      <c r="G2460" s="12" t="s">
        <v>15227</v>
      </c>
      <c r="H2460" s="12" t="s">
        <v>15228</v>
      </c>
      <c r="I2460" s="12" t="b">
        <f>ISNUMBER(VALUE(LEFT(Customer[[#This Row],[Address Line 3 (30 char)]],1)))</f>
        <v>0</v>
      </c>
      <c r="J2460" s="12" t="s">
        <v>8855</v>
      </c>
      <c r="K2460" s="12">
        <v>55100</v>
      </c>
      <c r="L2460" s="12" t="s">
        <v>35</v>
      </c>
      <c r="M2460" s="13" t="e">
        <v>#N/A</v>
      </c>
      <c r="N2460" s="14" t="e">
        <v>#N/A</v>
      </c>
      <c r="O2460" s="14" t="e">
        <v>#N/A</v>
      </c>
      <c r="P2460" s="14" t="e">
        <v>#N/A</v>
      </c>
      <c r="Q2460" s="19" t="s">
        <v>15229</v>
      </c>
      <c r="R2460" s="15" t="s">
        <v>15230</v>
      </c>
      <c r="S2460" s="15" t="s">
        <v>5934</v>
      </c>
      <c r="T2460" s="16"/>
      <c r="U2460" s="11" t="str">
        <f>_xlfn.XLOOKUP(Customer[[#This Row],[Customer ID]],[1]!Address[ID],[1]!Address[Phone No.(2)])</f>
        <v/>
      </c>
      <c r="V2460" s="11" t="str">
        <f>_xlfn.XLOOKUP(Customer[[#This Row],[Customer ID]],[1]!Address[ID],[1]!Address[Type])</f>
        <v>CORPORATE</v>
      </c>
      <c r="W2460" s="11" t="str">
        <f>_xlfn.XLOOKUP(Customer[[#This Row],[Customer ID]],[1]!Address[ID],[1]!Address[CT])</f>
        <v>CASH</v>
      </c>
      <c r="X2460" s="11"/>
      <c r="Y2460" s="17" t="s">
        <v>6418</v>
      </c>
      <c r="Z2460" s="17" t="e">
        <f>_xlfn.XLOOKUP(Customer[[#This Row],[NewType]],$AF$36:$AF$54,$AG$36:$AG$54)</f>
        <v>#N/A</v>
      </c>
      <c r="AA2460" s="17" t="s">
        <v>15231</v>
      </c>
      <c r="AB2460" s="11" t="str">
        <f>_xlfn.XLOOKUP(Customer[[#This Row],[Customer ID]],[1]!Address[ID],[1]!Address[Subtype])</f>
        <v>MTDC</v>
      </c>
      <c r="AC2460" s="18" t="str">
        <f>_xlfn.XLOOKUP(Customer[[#This Row],[Customer ID]],[1]!Address[ID],[1]!Address[Zone])</f>
        <v>CENTRAL</v>
      </c>
    </row>
    <row r="2461" spans="1:30" x14ac:dyDescent="0.3">
      <c r="A2461" s="131" t="s">
        <v>15232</v>
      </c>
      <c r="B2461" s="49" t="str">
        <f>_xlfn.XLOOKUP(Customer[[#This Row],[Customer ID]],[1]!Name[ID],[1]!Name[Description(1)])</f>
        <v>UMI YUSRA BINTI MOHAMAD YUSOF</v>
      </c>
      <c r="C2461" s="49" t="str">
        <f>_xlfn.XLOOKUP(Customer[[#This Row],[Customer ID]],[1]!Name[ID],[1]!Name[Description(2)])</f>
        <v/>
      </c>
      <c r="D2461" s="49" t="str">
        <f>_xlfn.XLOOKUP(Customer[[#This Row],[Customer ID]],[1]!Address[ID],[1]!Address[PIC])</f>
        <v>UMI YUSRA</v>
      </c>
      <c r="E2461" s="11" t="str">
        <f>_xlfn.XLOOKUP(Customer[[#This Row],[Customer ID]],[1]!Address[ID],[1]!Address[Full Address])</f>
        <v>NO.1-G, JALAN 9/9C, SEKSYEN 9,43650 BANDAR BARU BANGI, SELANGOR</v>
      </c>
      <c r="F2461" s="12" t="s">
        <v>15233</v>
      </c>
      <c r="G2461" s="12" t="s">
        <v>4481</v>
      </c>
      <c r="H2461" s="12" t="s">
        <v>36</v>
      </c>
      <c r="I2461" s="12" t="b">
        <f>ISNUMBER(VALUE(LEFT(Customer[[#This Row],[Address Line 3 (30 char)]],1)))</f>
        <v>0</v>
      </c>
      <c r="J2461" s="12" t="s">
        <v>172</v>
      </c>
      <c r="K2461" s="12">
        <v>43650</v>
      </c>
      <c r="L2461" s="12" t="s">
        <v>35</v>
      </c>
      <c r="M2461" s="13" t="e">
        <v>#N/A</v>
      </c>
      <c r="N2461" s="14" t="e">
        <v>#N/A</v>
      </c>
      <c r="O2461" s="14" t="e">
        <v>#N/A</v>
      </c>
      <c r="P2461" s="14" t="e">
        <v>#N/A</v>
      </c>
      <c r="Q2461" s="19" t="s">
        <v>15234</v>
      </c>
      <c r="R2461" s="51" t="s">
        <v>15235</v>
      </c>
      <c r="S2461" s="51" t="s">
        <v>89</v>
      </c>
      <c r="T2461" s="52" t="s">
        <v>89</v>
      </c>
      <c r="U2461" s="49" t="str">
        <f>_xlfn.XLOOKUP(Customer[[#This Row],[Customer ID]],[1]!Address[ID],[1]!Address[Phone No.(2)])</f>
        <v/>
      </c>
      <c r="V2461" s="49" t="str">
        <f>_xlfn.XLOOKUP(Customer[[#This Row],[Customer ID]],[1]!Address[ID],[1]!Address[Type])</f>
        <v>SOCMED</v>
      </c>
      <c r="W2461" s="49" t="str">
        <f>_xlfn.XLOOKUP(Customer[[#This Row],[Customer ID]],[1]!Address[ID],[1]!Address[CT])</f>
        <v/>
      </c>
      <c r="X2461" s="49"/>
      <c r="Y2461" s="53" t="s">
        <v>90</v>
      </c>
      <c r="Z2461" s="53" t="e">
        <f>_xlfn.XLOOKUP(Customer[[#This Row],[NewType]],$AF$36:$AF$54,$AG$36:$AG$54)</f>
        <v>#N/A</v>
      </c>
      <c r="AA2461" s="53" t="s">
        <v>15236</v>
      </c>
      <c r="AB2461" s="49" t="str">
        <f>_xlfn.XLOOKUP(Customer[[#This Row],[Customer ID]],[1]!Address[ID],[1]!Address[Subtype])</f>
        <v>WHATSAPP</v>
      </c>
      <c r="AC2461" s="54" t="str">
        <f>_xlfn.XLOOKUP(Customer[[#This Row],[Customer ID]],[1]!Address[ID],[1]!Address[Zone])</f>
        <v>CENTRAL</v>
      </c>
      <c r="AD2461" s="55"/>
    </row>
    <row r="2462" spans="1:30" x14ac:dyDescent="0.3">
      <c r="A2462" s="126" t="s">
        <v>15237</v>
      </c>
      <c r="B2462" s="11" t="str">
        <f>_xlfn.XLOOKUP(Customer[[#This Row],[Customer ID]],[1]!Name[ID],[1]!Name[Description(1)])</f>
        <v>PENGKALAN BATU SERVICE STATION</v>
      </c>
      <c r="C2462" s="11" t="str">
        <f>_xlfn.XLOOKUP(Customer[[#This Row],[Customer ID]],[1]!Name[ID],[1]!Name[Description(2)])</f>
        <v>PS KASA</v>
      </c>
      <c r="D2462" s="11" t="str">
        <f>_xlfn.XLOOKUP(Customer[[#This Row],[Customer ID]],[1]!Address[ID],[1]!Address[PIC])</f>
        <v/>
      </c>
      <c r="E2462" s="11" t="str">
        <f>_xlfn.XLOOKUP(Customer[[#This Row],[Customer ID]],[1]!Address[ID],[1]!Address[Full Address])</f>
        <v>PS KASALOT 1700 MUKIM KASA17000 PASIR MAS, KELANTAN</v>
      </c>
      <c r="F2462" s="12" t="s">
        <v>15238</v>
      </c>
      <c r="G2462" s="12" t="s">
        <v>15239</v>
      </c>
      <c r="H2462" s="24" t="s">
        <v>2684</v>
      </c>
      <c r="I2462" s="24" t="b">
        <f>ISNUMBER(VALUE(LEFT(Customer[[#This Row],[Address Line 3 (30 char)]],1)))</f>
        <v>0</v>
      </c>
      <c r="J2462" s="12" t="s">
        <v>1007</v>
      </c>
      <c r="K2462" s="12">
        <v>17000</v>
      </c>
      <c r="L2462" s="12" t="s">
        <v>35</v>
      </c>
      <c r="M2462" s="13" t="e">
        <v>#N/A</v>
      </c>
      <c r="N2462" s="14" t="e">
        <v>#N/A</v>
      </c>
      <c r="O2462" s="14" t="e">
        <v>#N/A</v>
      </c>
      <c r="P2462" s="14" t="e">
        <v>#N/A</v>
      </c>
      <c r="Q2462" s="19" t="s">
        <v>15240</v>
      </c>
      <c r="R2462" s="15" t="s">
        <v>15241</v>
      </c>
      <c r="S2462" s="15" t="s">
        <v>37</v>
      </c>
      <c r="T2462" s="16" t="s">
        <v>38</v>
      </c>
      <c r="U2462" s="11" t="str">
        <f>_xlfn.XLOOKUP(Customer[[#This Row],[Customer ID]],[1]!Address[ID],[1]!Address[Phone No.(2)])</f>
        <v/>
      </c>
      <c r="V2462" s="11" t="str">
        <f>_xlfn.XLOOKUP(Customer[[#This Row],[Customer ID]],[1]!Address[ID],[1]!Address[Type])</f>
        <v>PETROMART</v>
      </c>
      <c r="W2462" s="11" t="str">
        <f>_xlfn.XLOOKUP(Customer[[#This Row],[Customer ID]],[1]!Address[ID],[1]!Address[CT])</f>
        <v>30</v>
      </c>
      <c r="X2462" s="11" t="s">
        <v>39</v>
      </c>
      <c r="Y2462" s="17" t="s">
        <v>40</v>
      </c>
      <c r="Z2462" s="17" t="e">
        <f>_xlfn.XLOOKUP(Customer[[#This Row],[NewType]],$AF$36:$AF$54,$AG$36:$AG$54)</f>
        <v>#N/A</v>
      </c>
      <c r="AA2462" s="17" t="s">
        <v>15242</v>
      </c>
      <c r="AB2462" s="11" t="str">
        <f>_xlfn.XLOOKUP(Customer[[#This Row],[Customer ID]],[1]!Address[ID],[1]!Address[Subtype])</f>
        <v>PETRONAS</v>
      </c>
      <c r="AC2462" s="18" t="str">
        <f>_xlfn.XLOOKUP(Customer[[#This Row],[Customer ID]],[1]!Address[ID],[1]!Address[Zone])</f>
        <v>EAST COAST</v>
      </c>
    </row>
    <row r="2463" spans="1:30" x14ac:dyDescent="0.3">
      <c r="A2463" s="126" t="s">
        <v>15243</v>
      </c>
      <c r="B2463" s="11" t="str">
        <f>_xlfn.XLOOKUP(Customer[[#This Row],[Customer ID]],[1]!Name[ID],[1]!Name[Description(1)])</f>
        <v>ABDUL HAFIDZ BIN SABAR</v>
      </c>
      <c r="C2463" s="11" t="str">
        <f>_xlfn.XLOOKUP(Customer[[#This Row],[Customer ID]],[1]!Name[ID],[1]!Name[Description(2)])</f>
        <v>PEGAWAI AADK</v>
      </c>
      <c r="D2463" s="11" t="str">
        <f>_xlfn.XLOOKUP(Customer[[#This Row],[Customer ID]],[1]!Address[ID],[1]!Address[PIC])</f>
        <v>ABDUL HAFIDZ</v>
      </c>
      <c r="E2463" s="11" t="str">
        <f>_xlfn.XLOOKUP(Customer[[#This Row],[Customer ID]],[1]!Address[ID],[1]!Address[Full Address])</f>
        <v>NO.16, LORONG 26/2, TAMAN TASIKJAYA, SENAWANG 70400 SEREMBANNEGERI SEMBILAN</v>
      </c>
      <c r="F2463" s="12" t="s">
        <v>15244</v>
      </c>
      <c r="G2463" s="12" t="s">
        <v>15245</v>
      </c>
      <c r="H2463" s="12" t="s">
        <v>2411</v>
      </c>
      <c r="I2463" s="12" t="b">
        <f>ISNUMBER(VALUE(LEFT(Customer[[#This Row],[Address Line 3 (30 char)]],1)))</f>
        <v>0</v>
      </c>
      <c r="J2463" s="12" t="s">
        <v>203</v>
      </c>
      <c r="K2463" s="12">
        <v>70400</v>
      </c>
      <c r="L2463" s="12" t="s">
        <v>35</v>
      </c>
      <c r="M2463" s="13" t="e">
        <v>#N/A</v>
      </c>
      <c r="N2463" s="14" t="e">
        <v>#N/A</v>
      </c>
      <c r="O2463" s="14" t="e">
        <v>#N/A</v>
      </c>
      <c r="P2463" s="14" t="e">
        <v>#N/A</v>
      </c>
      <c r="Q2463" s="19" t="s">
        <v>15246</v>
      </c>
      <c r="R2463" s="15" t="s">
        <v>15247</v>
      </c>
      <c r="S2463" s="16" t="s">
        <v>89</v>
      </c>
      <c r="T2463" s="16" t="s">
        <v>89</v>
      </c>
      <c r="U2463" s="11" t="str">
        <f>_xlfn.XLOOKUP(Customer[[#This Row],[Customer ID]],[1]!Address[ID],[1]!Address[Phone No.(2)])</f>
        <v/>
      </c>
      <c r="V2463" s="11" t="str">
        <f>_xlfn.XLOOKUP(Customer[[#This Row],[Customer ID]],[1]!Address[ID],[1]!Address[Type])</f>
        <v>WALK IN</v>
      </c>
      <c r="W2463" s="11" t="str">
        <f>_xlfn.XLOOKUP(Customer[[#This Row],[Customer ID]],[1]!Address[ID],[1]!Address[CT])</f>
        <v/>
      </c>
      <c r="X2463" s="11"/>
      <c r="Y2463" s="17" t="s">
        <v>6284</v>
      </c>
      <c r="Z2463" s="17" t="e">
        <f>_xlfn.XLOOKUP(Customer[[#This Row],[NewType]],$AF$36:$AF$54,$AG$36:$AG$54)</f>
        <v>#N/A</v>
      </c>
      <c r="AA2463" s="17" t="s">
        <v>15248</v>
      </c>
      <c r="AB2463" s="11" t="str">
        <f>_xlfn.XLOOKUP(Customer[[#This Row],[Customer ID]],[1]!Address[ID],[1]!Address[Subtype])</f>
        <v>PEDAS</v>
      </c>
      <c r="AC2463" s="18" t="str">
        <f>_xlfn.XLOOKUP(Customer[[#This Row],[Customer ID]],[1]!Address[ID],[1]!Address[Zone])</f>
        <v>SOUTH</v>
      </c>
    </row>
    <row r="2464" spans="1:30" x14ac:dyDescent="0.3">
      <c r="A2464" s="126" t="s">
        <v>15249</v>
      </c>
      <c r="B2464" s="11" t="str">
        <f>_xlfn.XLOOKUP(Customer[[#This Row],[Customer ID]],[1]!Name[ID],[1]!Name[Description(1)])</f>
        <v>MOHAMAD HAMDAN BIN IDRIS</v>
      </c>
      <c r="C2464" s="11" t="str">
        <f>_xlfn.XLOOKUP(Customer[[#This Row],[Customer ID]],[1]!Name[ID],[1]!Name[Description(2)])</f>
        <v>DRIVER J&amp;T</v>
      </c>
      <c r="D2464" s="11" t="str">
        <f>_xlfn.XLOOKUP(Customer[[#This Row],[Customer ID]],[1]!Address[ID],[1]!Address[PIC])</f>
        <v>HAMDAN</v>
      </c>
      <c r="E2464" s="11" t="str">
        <f>_xlfn.XLOOKUP(Customer[[#This Row],[Customer ID]],[1]!Address[ID],[1]!Address[Full Address])</f>
        <v>NO.1, JALAN BAYU 1, TAMAN SRITANJONG 71000 PORT DICKSON,NEGERI SEMBILAN</v>
      </c>
      <c r="F2464" s="12" t="s">
        <v>15250</v>
      </c>
      <c r="G2464" s="12" t="s">
        <v>15251</v>
      </c>
      <c r="H2464" s="12"/>
      <c r="I2464" s="12" t="b">
        <f>ISNUMBER(VALUE(LEFT(Customer[[#This Row],[Address Line 3 (30 char)]],1)))</f>
        <v>0</v>
      </c>
      <c r="J2464" s="29" t="s">
        <v>203</v>
      </c>
      <c r="K2464" s="12">
        <v>71000</v>
      </c>
      <c r="L2464" s="12" t="s">
        <v>35</v>
      </c>
      <c r="M2464" s="13" t="e">
        <v>#N/A</v>
      </c>
      <c r="N2464" s="14" t="e">
        <v>#N/A</v>
      </c>
      <c r="O2464" s="14" t="e">
        <v>#N/A</v>
      </c>
      <c r="P2464" s="14" t="e">
        <v>#N/A</v>
      </c>
      <c r="Q2464" s="19" t="s">
        <v>15252</v>
      </c>
      <c r="R2464" s="15" t="s">
        <v>15253</v>
      </c>
      <c r="S2464" s="16" t="s">
        <v>89</v>
      </c>
      <c r="T2464" s="16" t="s">
        <v>89</v>
      </c>
      <c r="U2464" s="11" t="str">
        <f>_xlfn.XLOOKUP(Customer[[#This Row],[Customer ID]],[1]!Address[ID],[1]!Address[Phone No.(2)])</f>
        <v/>
      </c>
      <c r="V2464" s="11" t="str">
        <f>_xlfn.XLOOKUP(Customer[[#This Row],[Customer ID]],[1]!Address[ID],[1]!Address[Type])</f>
        <v>WALK IN</v>
      </c>
      <c r="W2464" s="11" t="str">
        <f>_xlfn.XLOOKUP(Customer[[#This Row],[Customer ID]],[1]!Address[ID],[1]!Address[CT])</f>
        <v/>
      </c>
      <c r="X2464" s="11"/>
      <c r="Y2464" s="17" t="s">
        <v>6284</v>
      </c>
      <c r="Z2464" s="17" t="e">
        <f>_xlfn.XLOOKUP(Customer[[#This Row],[NewType]],$AF$36:$AF$54,$AG$36:$AG$54)</f>
        <v>#N/A</v>
      </c>
      <c r="AA2464" s="17" t="s">
        <v>15254</v>
      </c>
      <c r="AB2464" s="11" t="str">
        <f>_xlfn.XLOOKUP(Customer[[#This Row],[Customer ID]],[1]!Address[ID],[1]!Address[Subtype])</f>
        <v>PEDAS</v>
      </c>
      <c r="AC2464" s="18" t="str">
        <f>_xlfn.XLOOKUP(Customer[[#This Row],[Customer ID]],[1]!Address[ID],[1]!Address[Zone])</f>
        <v>SOUTH</v>
      </c>
    </row>
    <row r="2465" spans="1:29" x14ac:dyDescent="0.3">
      <c r="A2465" s="126" t="s">
        <v>15255</v>
      </c>
      <c r="B2465" s="11" t="str">
        <f>_xlfn.XLOOKUP(Customer[[#This Row],[Customer ID]],[1]!Name[ID],[1]!Name[Description(1)])</f>
        <v>NURNAJIHA BINTI MUHAMAD NAZI</v>
      </c>
      <c r="C2465" s="11" t="str">
        <f>_xlfn.XLOOKUP(Customer[[#This Row],[Customer ID]],[1]!Name[ID],[1]!Name[Description(2)])</f>
        <v>MARKETING</v>
      </c>
      <c r="D2465" s="11" t="str">
        <f>_xlfn.XLOOKUP(Customer[[#This Row],[Customer ID]],[1]!Address[ID],[1]!Address[PIC])</f>
        <v>NURNAJIHA</v>
      </c>
      <c r="E2465" s="11" t="str">
        <f>_xlfn.XLOOKUP(Customer[[#This Row],[Customer ID]],[1]!Address[ID],[1]!Address[Full Address])</f>
        <v>NO.96, JALAN RU 7,TAMAN REMBAU UTAMA,71300,REMBAU,NEGERI SEMBILAN</v>
      </c>
      <c r="F2465" s="12" t="s">
        <v>15256</v>
      </c>
      <c r="G2465" s="12" t="s">
        <v>15257</v>
      </c>
      <c r="H2465" s="12" t="s">
        <v>15258</v>
      </c>
      <c r="I2465" s="12" t="b">
        <f>ISNUMBER(VALUE(LEFT(Customer[[#This Row],[Address Line 3 (30 char)]],1)))</f>
        <v>0</v>
      </c>
      <c r="J2465" s="12" t="s">
        <v>203</v>
      </c>
      <c r="K2465" s="12">
        <v>71300</v>
      </c>
      <c r="L2465" s="12" t="s">
        <v>35</v>
      </c>
      <c r="M2465" s="13" t="e">
        <v>#N/A</v>
      </c>
      <c r="N2465" s="14" t="e">
        <v>#N/A</v>
      </c>
      <c r="O2465" s="14" t="e">
        <v>#N/A</v>
      </c>
      <c r="P2465" s="14" t="e">
        <v>#N/A</v>
      </c>
      <c r="Q2465" s="19" t="s">
        <v>15259</v>
      </c>
      <c r="R2465" s="15" t="s">
        <v>15260</v>
      </c>
      <c r="S2465" s="16" t="s">
        <v>89</v>
      </c>
      <c r="T2465" s="16" t="s">
        <v>89</v>
      </c>
      <c r="U2465" s="11" t="str">
        <f>_xlfn.XLOOKUP(Customer[[#This Row],[Customer ID]],[1]!Address[ID],[1]!Address[Phone No.(2)])</f>
        <v/>
      </c>
      <c r="V2465" s="11" t="str">
        <f>_xlfn.XLOOKUP(Customer[[#This Row],[Customer ID]],[1]!Address[ID],[1]!Address[Type])</f>
        <v>WALK IN</v>
      </c>
      <c r="W2465" s="11" t="str">
        <f>_xlfn.XLOOKUP(Customer[[#This Row],[Customer ID]],[1]!Address[ID],[1]!Address[CT])</f>
        <v/>
      </c>
      <c r="X2465" s="11"/>
      <c r="Y2465" s="17" t="s">
        <v>6284</v>
      </c>
      <c r="Z2465" s="17" t="e">
        <f>_xlfn.XLOOKUP(Customer[[#This Row],[NewType]],$AF$36:$AF$54,$AG$36:$AG$54)</f>
        <v>#N/A</v>
      </c>
      <c r="AA2465" s="17" t="s">
        <v>15261</v>
      </c>
      <c r="AB2465" s="11" t="str">
        <f>_xlfn.XLOOKUP(Customer[[#This Row],[Customer ID]],[1]!Address[ID],[1]!Address[Subtype])</f>
        <v>STAFF</v>
      </c>
      <c r="AC2465" s="18" t="str">
        <f>_xlfn.XLOOKUP(Customer[[#This Row],[Customer ID]],[1]!Address[ID],[1]!Address[Zone])</f>
        <v>SOUTH</v>
      </c>
    </row>
    <row r="2466" spans="1:29" x14ac:dyDescent="0.3">
      <c r="A2466" s="126" t="s">
        <v>15262</v>
      </c>
      <c r="B2466" s="11" t="str">
        <f>_xlfn.XLOOKUP(Customer[[#This Row],[Customer ID]],[1]!Name[ID],[1]!Name[Description(1)])</f>
        <v>MOHAMAD JAMIL BIN MOHAMAD JAFFAR</v>
      </c>
      <c r="C2466" s="11" t="str">
        <f>_xlfn.XLOOKUP(Customer[[#This Row],[Customer ID]],[1]!Name[ID],[1]!Name[Description(2)])</f>
        <v>IT</v>
      </c>
      <c r="D2466" s="11" t="str">
        <f>_xlfn.XLOOKUP(Customer[[#This Row],[Customer ID]],[1]!Address[ID],[1]!Address[PIC])</f>
        <v>JAMIL</v>
      </c>
      <c r="E2466" s="11" t="str">
        <f>_xlfn.XLOOKUP(Customer[[#This Row],[Customer ID]],[1]!Address[ID],[1]!Address[Full Address])</f>
        <v>NO 391 JALAN 1/3F, BANDAR SEREMBANSELATAN 71450 SEREMBAN, NEGERISEMBILAN</v>
      </c>
      <c r="F2466" s="12" t="s">
        <v>15263</v>
      </c>
      <c r="G2466" s="12" t="s">
        <v>15264</v>
      </c>
      <c r="H2466" s="12" t="s">
        <v>2411</v>
      </c>
      <c r="I2466" s="12" t="b">
        <f>ISNUMBER(VALUE(LEFT(Customer[[#This Row],[Address Line 3 (30 char)]],1)))</f>
        <v>0</v>
      </c>
      <c r="J2466" s="12" t="s">
        <v>203</v>
      </c>
      <c r="K2466" s="12">
        <v>71450</v>
      </c>
      <c r="L2466" s="12" t="s">
        <v>35</v>
      </c>
      <c r="M2466" s="13" t="e">
        <v>#N/A</v>
      </c>
      <c r="N2466" s="14" t="e">
        <v>#N/A</v>
      </c>
      <c r="O2466" s="14" t="e">
        <v>#N/A</v>
      </c>
      <c r="P2466" s="14" t="e">
        <v>#N/A</v>
      </c>
      <c r="Q2466" s="19" t="s">
        <v>15265</v>
      </c>
      <c r="R2466" s="15" t="s">
        <v>15266</v>
      </c>
      <c r="S2466" s="16" t="s">
        <v>89</v>
      </c>
      <c r="T2466" s="16" t="s">
        <v>89</v>
      </c>
      <c r="U2466" s="11" t="str">
        <f>_xlfn.XLOOKUP(Customer[[#This Row],[Customer ID]],[1]!Address[ID],[1]!Address[Phone No.(2)])</f>
        <v/>
      </c>
      <c r="V2466" s="11" t="str">
        <f>_xlfn.XLOOKUP(Customer[[#This Row],[Customer ID]],[1]!Address[ID],[1]!Address[Type])</f>
        <v>WALK IN</v>
      </c>
      <c r="W2466" s="11" t="str">
        <f>_xlfn.XLOOKUP(Customer[[#This Row],[Customer ID]],[1]!Address[ID],[1]!Address[CT])</f>
        <v/>
      </c>
      <c r="X2466" s="11"/>
      <c r="Y2466" s="17" t="s">
        <v>6284</v>
      </c>
      <c r="Z2466" s="17" t="e">
        <f>_xlfn.XLOOKUP(Customer[[#This Row],[NewType]],$AF$36:$AF$54,$AG$36:$AG$54)</f>
        <v>#N/A</v>
      </c>
      <c r="AA2466" s="17" t="s">
        <v>15267</v>
      </c>
      <c r="AB2466" s="11" t="str">
        <f>_xlfn.XLOOKUP(Customer[[#This Row],[Customer ID]],[1]!Address[ID],[1]!Address[Subtype])</f>
        <v>STAFF</v>
      </c>
      <c r="AC2466" s="18" t="str">
        <f>_xlfn.XLOOKUP(Customer[[#This Row],[Customer ID]],[1]!Address[ID],[1]!Address[Zone])</f>
        <v>SOUTH</v>
      </c>
    </row>
    <row r="2467" spans="1:29" x14ac:dyDescent="0.3">
      <c r="A2467" s="126" t="s">
        <v>15268</v>
      </c>
      <c r="B2467" s="11" t="str">
        <f>_xlfn.XLOOKUP(Customer[[#This Row],[Customer ID]],[1]!Name[ID],[1]!Name[Description(1)])</f>
        <v>KK LARWIN PETROLEUM SDN BHD</v>
      </c>
      <c r="C2467" s="11" t="str">
        <f>_xlfn.XLOOKUP(Customer[[#This Row],[Customer ID]],[1]!Name[ID],[1]!Name[Description(2)])</f>
        <v>BHP KUALA KANGSAR</v>
      </c>
      <c r="D2467" s="11" t="str">
        <f>_xlfn.XLOOKUP(Customer[[#This Row],[Customer ID]],[1]!Address[ID],[1]!Address[PIC])</f>
        <v/>
      </c>
      <c r="E2467" s="11" t="str">
        <f>_xlfn.XLOOKUP(Customer[[#This Row],[Customer ID]],[1]!Address[ID],[1]!Address[Full Address])</f>
        <v>BHP KUALA KANGSARSTESEN MINYAK BHPETROL, LOT 5808JALAN PUNCAK BOUGAINVILLEA,33000 KUALA KANGSAR, PERAK</v>
      </c>
      <c r="F2467" s="12" t="s">
        <v>15269</v>
      </c>
      <c r="G2467" s="12" t="s">
        <v>15270</v>
      </c>
      <c r="H2467" s="12" t="s">
        <v>15271</v>
      </c>
      <c r="I2467" s="12" t="b">
        <f>ISNUMBER(VALUE(LEFT(Customer[[#This Row],[Address Line 3 (30 char)]],1)))</f>
        <v>0</v>
      </c>
      <c r="J2467" s="12" t="s">
        <v>387</v>
      </c>
      <c r="K2467" s="12">
        <v>33000</v>
      </c>
      <c r="L2467" s="12" t="s">
        <v>35</v>
      </c>
      <c r="M2467" s="13" t="e">
        <v>#N/A</v>
      </c>
      <c r="N2467" s="14" t="e">
        <v>#N/A</v>
      </c>
      <c r="O2467" s="14" t="e">
        <v>#N/A</v>
      </c>
      <c r="P2467" s="14" t="e">
        <v>#N/A</v>
      </c>
      <c r="Q2467" s="19" t="s">
        <v>15272</v>
      </c>
      <c r="R2467" s="15" t="s">
        <v>15273</v>
      </c>
      <c r="S2467" s="15" t="s">
        <v>37</v>
      </c>
      <c r="T2467" s="16" t="s">
        <v>38</v>
      </c>
      <c r="U2467" s="11" t="str">
        <f>_xlfn.XLOOKUP(Customer[[#This Row],[Customer ID]],[1]!Address[ID],[1]!Address[Phone No.(2)])</f>
        <v/>
      </c>
      <c r="V2467" s="11" t="str">
        <f>_xlfn.XLOOKUP(Customer[[#This Row],[Customer ID]],[1]!Address[ID],[1]!Address[Type])</f>
        <v>PETROMART</v>
      </c>
      <c r="W2467" s="11" t="str">
        <f>_xlfn.XLOOKUP(Customer[[#This Row],[Customer ID]],[1]!Address[ID],[1]!Address[CT])</f>
        <v>cash</v>
      </c>
      <c r="X2467" s="11" t="s">
        <v>39</v>
      </c>
      <c r="Y2467" s="17" t="s">
        <v>40</v>
      </c>
      <c r="Z2467" s="17" t="e">
        <f>_xlfn.XLOOKUP(Customer[[#This Row],[NewType]],$AF$36:$AF$54,$AG$36:$AG$54)</f>
        <v>#N/A</v>
      </c>
      <c r="AA2467" s="17" t="s">
        <v>15274</v>
      </c>
      <c r="AB2467" s="11" t="str">
        <f>_xlfn.XLOOKUP(Customer[[#This Row],[Customer ID]],[1]!Address[ID],[1]!Address[Subtype])</f>
        <v>BHP</v>
      </c>
      <c r="AC2467" s="18" t="str">
        <f>_xlfn.XLOOKUP(Customer[[#This Row],[Customer ID]],[1]!Address[ID],[1]!Address[Zone])</f>
        <v>NORTH</v>
      </c>
    </row>
    <row r="2468" spans="1:29" x14ac:dyDescent="0.3">
      <c r="A2468" s="126" t="s">
        <v>15275</v>
      </c>
      <c r="B2468" s="11" t="str">
        <f>_xlfn.XLOOKUP(Customer[[#This Row],[Customer ID]],[1]!Name[ID],[1]!Name[Description(1)])</f>
        <v>KHALIFAH GLOBAL TRADE (M) SDN BHD</v>
      </c>
      <c r="C2468" s="11" t="str">
        <f>_xlfn.XLOOKUP(Customer[[#This Row],[Customer ID]],[1]!Name[ID],[1]!Name[Description(2)])</f>
        <v/>
      </c>
      <c r="D2468" s="11" t="str">
        <f>_xlfn.XLOOKUP(Customer[[#This Row],[Customer ID]],[1]!Address[ID],[1]!Address[PIC])</f>
        <v/>
      </c>
      <c r="E2468" s="11" t="str">
        <f>_xlfn.XLOOKUP(Customer[[#This Row],[Customer ID]],[1]!Address[ID],[1]!Address[Full Address])</f>
        <v>CNA-27-03A, CONEZION RESIDENCESPERSIARAN IRC 3,IOI RESORT CITY,62502 PUTRAJAYA SEPANG,SELANGOR</v>
      </c>
      <c r="F2468" s="12" t="s">
        <v>15276</v>
      </c>
      <c r="G2468" s="12" t="s">
        <v>15277</v>
      </c>
      <c r="H2468" s="12" t="s">
        <v>15278</v>
      </c>
      <c r="I2468" s="12" t="b">
        <f>ISNUMBER(VALUE(LEFT(Customer[[#This Row],[Address Line 3 (30 char)]],1)))</f>
        <v>0</v>
      </c>
      <c r="J2468" s="12" t="s">
        <v>172</v>
      </c>
      <c r="K2468" s="12">
        <v>62502</v>
      </c>
      <c r="L2468" s="12" t="s">
        <v>35</v>
      </c>
      <c r="M2468" s="13" t="e">
        <v>#N/A</v>
      </c>
      <c r="N2468" s="14" t="e">
        <v>#N/A</v>
      </c>
      <c r="O2468" s="14" t="e">
        <v>#N/A</v>
      </c>
      <c r="P2468" s="14" t="e">
        <v>#N/A</v>
      </c>
      <c r="Q2468" s="19" t="s">
        <v>15279</v>
      </c>
      <c r="R2468" s="15" t="s">
        <v>15280</v>
      </c>
      <c r="S2468" s="15" t="s">
        <v>6418</v>
      </c>
      <c r="T2468" s="16" t="s">
        <v>3477</v>
      </c>
      <c r="U2468" s="11" t="str">
        <f>_xlfn.XLOOKUP(Customer[[#This Row],[Customer ID]],[1]!Address[ID],[1]!Address[Phone No.(2)])</f>
        <v/>
      </c>
      <c r="V2468" s="11" t="str">
        <f>_xlfn.XLOOKUP(Customer[[#This Row],[Customer ID]],[1]!Address[ID],[1]!Address[Type])</f>
        <v>CORPORATE</v>
      </c>
      <c r="W2468" s="11" t="str">
        <f>_xlfn.XLOOKUP(Customer[[#This Row],[Customer ID]],[1]!Address[ID],[1]!Address[CT])</f>
        <v>CASH</v>
      </c>
      <c r="X2468" s="11"/>
      <c r="Y2468" s="17" t="s">
        <v>6418</v>
      </c>
      <c r="Z2468" s="17" t="e">
        <f>_xlfn.XLOOKUP(Customer[[#This Row],[NewType]],$AF$36:$AF$54,$AG$36:$AG$54)</f>
        <v>#N/A</v>
      </c>
      <c r="AA2468" s="17" t="s">
        <v>15281</v>
      </c>
      <c r="AB2468" s="11" t="str">
        <f>_xlfn.XLOOKUP(Customer[[#This Row],[Customer ID]],[1]!Address[ID],[1]!Address[Subtype])</f>
        <v>KHALIFAH GL</v>
      </c>
      <c r="AC2468" s="18" t="str">
        <f>_xlfn.XLOOKUP(Customer[[#This Row],[Customer ID]],[1]!Address[ID],[1]!Address[Zone])</f>
        <v>CENTRAL</v>
      </c>
    </row>
    <row r="2469" spans="1:29" x14ac:dyDescent="0.3">
      <c r="A2469" s="126" t="s">
        <v>15282</v>
      </c>
      <c r="B2469" s="11" t="str">
        <f>_xlfn.XLOOKUP(Customer[[#This Row],[Customer ID]],[1]!Name[ID],[1]!Name[Description(1)])</f>
        <v>MOHD HAMKA IBRAHIM</v>
      </c>
      <c r="C2469" s="32" t="str">
        <f>_xlfn.XLOOKUP(Customer[[#This Row],[Customer ID]],[1]!Name[ID],[1]!Name[Description(2)])</f>
        <v>(HEAD HSE PDNT)</v>
      </c>
      <c r="D2469" s="11" t="str">
        <f>_xlfn.XLOOKUP(Customer[[#This Row],[Customer ID]],[1]!Address[ID],[1]!Address[PIC])</f>
        <v>HAMKA</v>
      </c>
      <c r="E2469" s="11" t="str">
        <f>_xlfn.XLOOKUP(Customer[[#This Row],[Customer ID]],[1]!Address[ID],[1]!Address[Full Address])</f>
        <v>NO 19,JLN 7/5,SEKSYEN 7,BANDAR BARU BANGI</v>
      </c>
      <c r="F2469" s="63" t="s">
        <v>15283</v>
      </c>
      <c r="G2469" s="63" t="s">
        <v>4431</v>
      </c>
      <c r="H2469" s="63" t="s">
        <v>36</v>
      </c>
      <c r="I2469" s="63" t="b">
        <f>ISNUMBER(VALUE(LEFT(Customer[[#This Row],[Address Line 3 (30 char)]],1)))</f>
        <v>0</v>
      </c>
      <c r="J2469" s="98" t="s">
        <v>172</v>
      </c>
      <c r="K2469" s="98"/>
      <c r="L2469" s="63" t="s">
        <v>35</v>
      </c>
      <c r="M2469" s="65" t="e">
        <v>#N/A</v>
      </c>
      <c r="N2469" s="66" t="e">
        <v>#N/A</v>
      </c>
      <c r="O2469" s="66" t="e">
        <v>#N/A</v>
      </c>
      <c r="P2469" s="66" t="e">
        <v>#N/A</v>
      </c>
      <c r="Q2469" s="110" t="s">
        <v>15284</v>
      </c>
      <c r="R2469" s="15" t="s">
        <v>15285</v>
      </c>
      <c r="S2469" s="15" t="s">
        <v>89</v>
      </c>
      <c r="T2469" s="16" t="s">
        <v>89</v>
      </c>
      <c r="U2469" s="11" t="str">
        <f>_xlfn.XLOOKUP(Customer[[#This Row],[Customer ID]],[1]!Address[ID],[1]!Address[Phone No.(2)])</f>
        <v/>
      </c>
      <c r="V2469" s="11" t="str">
        <f>_xlfn.XLOOKUP(Customer[[#This Row],[Customer ID]],[1]!Address[ID],[1]!Address[Type])</f>
        <v>SOCMED</v>
      </c>
      <c r="W2469" s="11" t="str">
        <f>_xlfn.XLOOKUP(Customer[[#This Row],[Customer ID]],[1]!Address[ID],[1]!Address[CT])</f>
        <v/>
      </c>
      <c r="X2469" s="11"/>
      <c r="Y2469" s="17" t="s">
        <v>90</v>
      </c>
      <c r="Z2469" s="17" t="e">
        <f>_xlfn.XLOOKUP(Customer[[#This Row],[NewType]],$AF$36:$AF$54,$AG$36:$AG$54)</f>
        <v>#N/A</v>
      </c>
      <c r="AA2469" s="17" t="s">
        <v>15286</v>
      </c>
      <c r="AB2469" s="11" t="str">
        <f>_xlfn.XLOOKUP(Customer[[#This Row],[Customer ID]],[1]!Address[ID],[1]!Address[Subtype])</f>
        <v>WHATSAPP</v>
      </c>
      <c r="AC2469" s="18" t="str">
        <f>_xlfn.XLOOKUP(Customer[[#This Row],[Customer ID]],[1]!Address[ID],[1]!Address[Zone])</f>
        <v>CENTRAL</v>
      </c>
    </row>
    <row r="2470" spans="1:29" x14ac:dyDescent="0.3">
      <c r="A2470" s="126" t="s">
        <v>15287</v>
      </c>
      <c r="B2470" s="11" t="str">
        <f>_xlfn.XLOOKUP(Customer[[#This Row],[Customer ID]],[1]!Name[ID],[1]!Name[Description(1)])</f>
        <v>ALAF FALAH ENTERPRISE</v>
      </c>
      <c r="C2470" s="11" t="str">
        <f>_xlfn.XLOOKUP(Customer[[#This Row],[Customer ID]],[1]!Name[ID],[1]!Name[Description(2)])</f>
        <v>PS BAGAN SAMAK</v>
      </c>
      <c r="D2470" s="11" t="str">
        <f>_xlfn.XLOOKUP(Customer[[#This Row],[Customer ID]],[1]!Address[ID],[1]!Address[PIC])</f>
        <v/>
      </c>
      <c r="E2470" s="11" t="str">
        <f>_xlfn.XLOOKUP(Customer[[#This Row],[Customer ID]],[1]!Address[ID],[1]!Address[Full Address])</f>
        <v>PS BAGAN SAMAKLOT 6609, KG BAGAN SAMAKBAGAN SAMAK 34950BANDAR BHARU KEDAH</v>
      </c>
      <c r="F2470" s="12" t="s">
        <v>15288</v>
      </c>
      <c r="G2470" s="12" t="s">
        <v>15289</v>
      </c>
      <c r="H2470" s="12" t="s">
        <v>15290</v>
      </c>
      <c r="I2470" s="12" t="b">
        <f>ISNUMBER(VALUE(LEFT(Customer[[#This Row],[Address Line 3 (30 char)]],1)))</f>
        <v>0</v>
      </c>
      <c r="J2470" s="12" t="s">
        <v>79</v>
      </c>
      <c r="K2470" s="12">
        <v>34950</v>
      </c>
      <c r="L2470" s="12" t="s">
        <v>35</v>
      </c>
      <c r="M2470" s="13" t="e">
        <v>#N/A</v>
      </c>
      <c r="N2470" s="14" t="e">
        <v>#N/A</v>
      </c>
      <c r="O2470" s="14" t="e">
        <v>#N/A</v>
      </c>
      <c r="P2470" s="14" t="e">
        <v>#N/A</v>
      </c>
      <c r="Q2470" s="14" t="e">
        <v>#N/A</v>
      </c>
      <c r="R2470" s="15" t="s">
        <v>15291</v>
      </c>
      <c r="S2470" s="15" t="s">
        <v>37</v>
      </c>
      <c r="T2470" s="16" t="s">
        <v>38</v>
      </c>
      <c r="U2470" s="11" t="str">
        <f>_xlfn.XLOOKUP(Customer[[#This Row],[Customer ID]],[1]!Address[ID],[1]!Address[Phone No.(2)])</f>
        <v/>
      </c>
      <c r="V2470" s="11" t="str">
        <f>_xlfn.XLOOKUP(Customer[[#This Row],[Customer ID]],[1]!Address[ID],[1]!Address[Type])</f>
        <v>PETROMART</v>
      </c>
      <c r="W2470" s="11" t="str">
        <f>_xlfn.XLOOKUP(Customer[[#This Row],[Customer ID]],[1]!Address[ID],[1]!Address[CT])</f>
        <v>30</v>
      </c>
      <c r="X2470" s="11" t="s">
        <v>39</v>
      </c>
      <c r="Y2470" s="17" t="s">
        <v>40</v>
      </c>
      <c r="Z2470" s="17" t="e">
        <f>_xlfn.XLOOKUP(Customer[[#This Row],[NewType]],$AF$36:$AF$54,$AG$36:$AG$54)</f>
        <v>#N/A</v>
      </c>
      <c r="AA2470" s="17" t="s">
        <v>15292</v>
      </c>
      <c r="AB2470" s="11" t="str">
        <f>_xlfn.XLOOKUP(Customer[[#This Row],[Customer ID]],[1]!Address[ID],[1]!Address[Subtype])</f>
        <v>PETRONAS</v>
      </c>
      <c r="AC2470" s="18" t="str">
        <f>_xlfn.XLOOKUP(Customer[[#This Row],[Customer ID]],[1]!Address[ID],[1]!Address[Zone])</f>
        <v>NORTH</v>
      </c>
    </row>
    <row r="2471" spans="1:29" x14ac:dyDescent="0.3">
      <c r="A2471" s="126" t="s">
        <v>15293</v>
      </c>
      <c r="B2471" s="11" t="str">
        <f>_xlfn.XLOOKUP(Customer[[#This Row],[Customer ID]],[1]!Name[ID],[1]!Name[Description(1)])</f>
        <v>YAYASAN AL-SULTAN ABDULLAH</v>
      </c>
      <c r="C2471" s="11" t="str">
        <f>_xlfn.XLOOKUP(Customer[[#This Row],[Customer ID]],[1]!Name[ID],[1]!Name[Description(2)])</f>
        <v/>
      </c>
      <c r="D2471" s="11" t="str">
        <f>_xlfn.XLOOKUP(Customer[[#This Row],[Customer ID]],[1]!Address[ID],[1]!Address[PIC])</f>
        <v/>
      </c>
      <c r="E2471" s="11" t="str">
        <f>_xlfn.XLOOKUP(Customer[[#This Row],[Customer ID]],[1]!Address[ID],[1]!Address[Full Address])</f>
        <v>NO.2 JALAN IM 8/7TAMAN MAHKOTA PUTRABANDAR INDERA MAHKOTA25200 KUANTAN, PAHANG.</v>
      </c>
      <c r="F2471" s="12" t="s">
        <v>15294</v>
      </c>
      <c r="G2471" s="12" t="s">
        <v>15295</v>
      </c>
      <c r="H2471" s="12" t="s">
        <v>14059</v>
      </c>
      <c r="I2471" s="12" t="b">
        <f>ISNUMBER(VALUE(LEFT(Customer[[#This Row],[Address Line 3 (30 char)]],1)))</f>
        <v>0</v>
      </c>
      <c r="J2471" s="12" t="s">
        <v>339</v>
      </c>
      <c r="K2471" s="12">
        <v>25200</v>
      </c>
      <c r="L2471" s="12" t="s">
        <v>35</v>
      </c>
      <c r="M2471" s="13" t="e">
        <v>#N/A</v>
      </c>
      <c r="N2471" s="14" t="e">
        <v>#N/A</v>
      </c>
      <c r="O2471" s="14" t="e">
        <v>#N/A</v>
      </c>
      <c r="P2471" s="14" t="e">
        <v>#N/A</v>
      </c>
      <c r="Q2471" s="19" t="s">
        <v>15296</v>
      </c>
      <c r="R2471" s="15" t="s">
        <v>15297</v>
      </c>
      <c r="S2471" s="15" t="s">
        <v>5934</v>
      </c>
      <c r="T2471" s="16"/>
      <c r="U2471" s="11" t="str">
        <f>_xlfn.XLOOKUP(Customer[[#This Row],[Customer ID]],[1]!Address[ID],[1]!Address[Phone No.(2)])</f>
        <v/>
      </c>
      <c r="V2471" s="11" t="str">
        <f>_xlfn.XLOOKUP(Customer[[#This Row],[Customer ID]],[1]!Address[ID],[1]!Address[Type])</f>
        <v>CORPORATE</v>
      </c>
      <c r="W2471" s="11" t="str">
        <f>_xlfn.XLOOKUP(Customer[[#This Row],[Customer ID]],[1]!Address[ID],[1]!Address[CT])</f>
        <v>30 DAYS</v>
      </c>
      <c r="X2471" s="11"/>
      <c r="Y2471" s="17" t="s">
        <v>6418</v>
      </c>
      <c r="Z2471" s="17" t="e">
        <f>_xlfn.XLOOKUP(Customer[[#This Row],[NewType]],$AF$36:$AF$54,$AG$36:$AG$54)</f>
        <v>#N/A</v>
      </c>
      <c r="AA2471" s="17" t="s">
        <v>15298</v>
      </c>
      <c r="AB2471" s="11" t="str">
        <f>_xlfn.XLOOKUP(Customer[[#This Row],[Customer ID]],[1]!Address[ID],[1]!Address[Subtype])</f>
        <v>YAYASAN</v>
      </c>
      <c r="AC2471" s="18" t="str">
        <f>_xlfn.XLOOKUP(Customer[[#This Row],[Customer ID]],[1]!Address[ID],[1]!Address[Zone])</f>
        <v>EAST COAST</v>
      </c>
    </row>
    <row r="2472" spans="1:29" x14ac:dyDescent="0.3">
      <c r="A2472" s="126" t="s">
        <v>15299</v>
      </c>
      <c r="B2472" s="11" t="str">
        <f>_xlfn.XLOOKUP(Customer[[#This Row],[Customer ID]],[1]!Name[ID],[1]!Name[Description(1)])</f>
        <v>FJ GLOBAL AEROPARTS (M) SDN BHD</v>
      </c>
      <c r="C2472" s="11" t="str">
        <f>_xlfn.XLOOKUP(Customer[[#This Row],[Customer ID]],[1]!Name[ID],[1]!Name[Description(2)])</f>
        <v/>
      </c>
      <c r="D2472" s="11" t="str">
        <f>_xlfn.XLOOKUP(Customer[[#This Row],[Customer ID]],[1]!Address[ID],[1]!Address[PIC])</f>
        <v/>
      </c>
      <c r="E2472" s="11" t="str">
        <f>_xlfn.XLOOKUP(Customer[[#This Row],[Customer ID]],[1]!Address[ID],[1]!Address[Full Address])</f>
        <v>NO. 38-40, JALAN PULAU LUMUT QU10/QSEKSYEN U10, ALAM BUDIMAN,SELANGOR</v>
      </c>
      <c r="F2472" s="12" t="s">
        <v>15300</v>
      </c>
      <c r="G2472" s="12" t="s">
        <v>15301</v>
      </c>
      <c r="H2472" s="12" t="s">
        <v>15302</v>
      </c>
      <c r="I2472" s="12" t="b">
        <f>ISNUMBER(VALUE(LEFT(Customer[[#This Row],[Address Line 3 (30 char)]],1)))</f>
        <v>0</v>
      </c>
      <c r="J2472" s="12" t="s">
        <v>172</v>
      </c>
      <c r="K2472" s="12">
        <v>40170</v>
      </c>
      <c r="L2472" s="12" t="s">
        <v>35</v>
      </c>
      <c r="M2472" s="13" t="e">
        <v>#N/A</v>
      </c>
      <c r="N2472" s="14" t="e">
        <v>#N/A</v>
      </c>
      <c r="O2472" s="14" t="e">
        <v>#N/A</v>
      </c>
      <c r="P2472" s="14" t="e">
        <v>#N/A</v>
      </c>
      <c r="Q2472" s="19" t="s">
        <v>15303</v>
      </c>
      <c r="R2472" s="15" t="s">
        <v>15304</v>
      </c>
      <c r="S2472" s="15" t="s">
        <v>5934</v>
      </c>
      <c r="T2472" s="16" t="s">
        <v>3477</v>
      </c>
      <c r="U2472" s="11" t="str">
        <f>_xlfn.XLOOKUP(Customer[[#This Row],[Customer ID]],[1]!Address[ID],[1]!Address[Phone No.(2)])</f>
        <v/>
      </c>
      <c r="V2472" s="11" t="str">
        <f>_xlfn.XLOOKUP(Customer[[#This Row],[Customer ID]],[1]!Address[ID],[1]!Address[Type])</f>
        <v>KOPERASI</v>
      </c>
      <c r="W2472" s="11" t="str">
        <f>_xlfn.XLOOKUP(Customer[[#This Row],[Customer ID]],[1]!Address[ID],[1]!Address[CT])</f>
        <v>CASH</v>
      </c>
      <c r="X2472" s="11"/>
      <c r="Y2472" s="17" t="s">
        <v>6126</v>
      </c>
      <c r="Z2472" s="17" t="e">
        <f>_xlfn.XLOOKUP(Customer[[#This Row],[NewType]],$AF$36:$AF$54,$AG$36:$AG$54)</f>
        <v>#N/A</v>
      </c>
      <c r="AA2472" s="17" t="s">
        <v>15305</v>
      </c>
      <c r="AB2472" s="11" t="str">
        <f>_xlfn.XLOOKUP(Customer[[#This Row],[Customer ID]],[1]!Address[ID],[1]!Address[Subtype])</f>
        <v>FJGLOBAL</v>
      </c>
      <c r="AC2472" s="18" t="str">
        <f>_xlfn.XLOOKUP(Customer[[#This Row],[Customer ID]],[1]!Address[ID],[1]!Address[Zone])</f>
        <v>CENTRAL</v>
      </c>
    </row>
    <row r="2473" spans="1:29" x14ac:dyDescent="0.3">
      <c r="A2473" s="132" t="s">
        <v>15306</v>
      </c>
      <c r="B2473" s="11" t="str">
        <f>_xlfn.XLOOKUP(Customer[[#This Row],[Customer ID]],[1]!Name[ID],[1]!Name[Description(1)])</f>
        <v>MUHAMMAD NOOR FAIZ BIN AZAMAN</v>
      </c>
      <c r="C2473" s="11" t="str">
        <f>_xlfn.XLOOKUP(Customer[[#This Row],[Customer ID]],[1]!Name[ID],[1]!Name[Description(2)])</f>
        <v>PRODUCTION KILANG BOTOL</v>
      </c>
      <c r="D2473" s="11" t="str">
        <f>_xlfn.XLOOKUP(Customer[[#This Row],[Customer ID]],[1]!Address[ID],[1]!Address[PIC])</f>
        <v>FAIZ</v>
      </c>
      <c r="E2473" s="11" t="str">
        <f>_xlfn.XLOOKUP(Customer[[#This Row],[Customer ID]],[1]!Address[ID],[1]!Address[Full Address])</f>
        <v>2227, JALAN EKAR 4/26, BANDAR EKAR,RANTAU 71200 NEGERI SEMBILAN</v>
      </c>
      <c r="F2473" s="12" t="s">
        <v>15307</v>
      </c>
      <c r="G2473" s="12" t="s">
        <v>13616</v>
      </c>
      <c r="H2473" s="12" t="s">
        <v>6428</v>
      </c>
      <c r="I2473" s="12" t="b">
        <f>ISNUMBER(VALUE(LEFT(Customer[[#This Row],[Address Line 3 (30 char)]],1)))</f>
        <v>0</v>
      </c>
      <c r="J2473" s="12" t="s">
        <v>203</v>
      </c>
      <c r="K2473" s="12">
        <v>71200</v>
      </c>
      <c r="L2473" s="12" t="s">
        <v>35</v>
      </c>
      <c r="M2473" s="13" t="e">
        <v>#N/A</v>
      </c>
      <c r="N2473" s="14" t="e">
        <v>#N/A</v>
      </c>
      <c r="O2473" s="14" t="e">
        <v>#N/A</v>
      </c>
      <c r="P2473" s="14" t="e">
        <v>#N/A</v>
      </c>
      <c r="Q2473" s="19" t="s">
        <v>15308</v>
      </c>
      <c r="R2473" s="15" t="s">
        <v>15309</v>
      </c>
      <c r="S2473" s="16" t="s">
        <v>89</v>
      </c>
      <c r="T2473" s="16" t="s">
        <v>89</v>
      </c>
      <c r="U2473" s="11">
        <f>_xlfn.XLOOKUP(Customer[[#This Row],[Customer ID]],[1]!Address[ID],[1]!Address[Phone No.(2)])</f>
        <v>0</v>
      </c>
      <c r="V2473" s="11" t="str">
        <f>_xlfn.XLOOKUP(Customer[[#This Row],[Customer ID]],[1]!Address[ID],[1]!Address[Type])</f>
        <v>WALK IN</v>
      </c>
      <c r="W2473" s="11">
        <f>_xlfn.XLOOKUP(Customer[[#This Row],[Customer ID]],[1]!Address[ID],[1]!Address[CT])</f>
        <v>0</v>
      </c>
      <c r="X2473" s="11"/>
      <c r="Y2473" s="17" t="s">
        <v>6284</v>
      </c>
      <c r="Z2473" s="17" t="e">
        <f>_xlfn.XLOOKUP(Customer[[#This Row],[NewType]],$AF$36:$AF$54,$AG$36:$AG$54)</f>
        <v>#N/A</v>
      </c>
      <c r="AA2473" s="17" t="s">
        <v>15310</v>
      </c>
      <c r="AB2473" s="11" t="str">
        <f>_xlfn.XLOOKUP(Customer[[#This Row],[Customer ID]],[1]!Address[ID],[1]!Address[Subtype])</f>
        <v>STAFF</v>
      </c>
      <c r="AC2473" s="18" t="str">
        <f>_xlfn.XLOOKUP(Customer[[#This Row],[Customer ID]],[1]!Address[ID],[1]!Address[Zone])</f>
        <v>SOUTH</v>
      </c>
    </row>
    <row r="2474" spans="1:29" x14ac:dyDescent="0.3">
      <c r="A2474" s="132" t="s">
        <v>15311</v>
      </c>
      <c r="B2474" s="11" t="str">
        <f>_xlfn.XLOOKUP(Customer[[#This Row],[Customer ID]],[1]!Name[ID],[1]!Name[Description(1)])</f>
        <v>UNITAR CAPITAL SDN BHD</v>
      </c>
      <c r="C2474" s="11">
        <f>_xlfn.XLOOKUP(Customer[[#This Row],[Customer ID]],[1]!Name[ID],[1]!Name[Description(2)])</f>
        <v>0</v>
      </c>
      <c r="D2474" s="11">
        <f>_xlfn.XLOOKUP(Customer[[#This Row],[Customer ID]],[1]!Address[ID],[1]!Address[PIC])</f>
        <v>0</v>
      </c>
      <c r="E2474" s="11" t="str">
        <f>_xlfn.XLOOKUP(Customer[[#This Row],[Customer ID]],[1]!Address[ID],[1]!Address[Full Address])</f>
        <v>TIERRA CREST, JALAN SS6/3,47301 KELANA JAYA,PETALING JAYA, SELANGOR</v>
      </c>
      <c r="F2474" s="12" t="s">
        <v>15312</v>
      </c>
      <c r="G2474" s="12" t="s">
        <v>15313</v>
      </c>
      <c r="H2474" s="12" t="s">
        <v>5169</v>
      </c>
      <c r="I2474" s="12" t="b">
        <f>ISNUMBER(VALUE(LEFT(Customer[[#This Row],[Address Line 3 (30 char)]],1)))</f>
        <v>0</v>
      </c>
      <c r="J2474" s="12" t="s">
        <v>172</v>
      </c>
      <c r="K2474" s="12">
        <v>47301</v>
      </c>
      <c r="L2474" s="12" t="s">
        <v>35</v>
      </c>
      <c r="M2474" s="13" t="e">
        <v>#N/A</v>
      </c>
      <c r="N2474" s="14" t="e">
        <v>#N/A</v>
      </c>
      <c r="O2474" s="14" t="e">
        <v>#N/A</v>
      </c>
      <c r="P2474" s="14" t="e">
        <v>#N/A</v>
      </c>
      <c r="Q2474" s="19" t="s">
        <v>15314</v>
      </c>
      <c r="R2474" s="15" t="s">
        <v>15315</v>
      </c>
      <c r="S2474" s="15" t="s">
        <v>5934</v>
      </c>
      <c r="T2474" s="16"/>
      <c r="U2474" s="11">
        <f>_xlfn.XLOOKUP(Customer[[#This Row],[Customer ID]],[1]!Address[ID],[1]!Address[Phone No.(2)])</f>
        <v>0</v>
      </c>
      <c r="V2474" s="11" t="str">
        <f>_xlfn.XLOOKUP(Customer[[#This Row],[Customer ID]],[1]!Address[ID],[1]!Address[Type])</f>
        <v>CORPORATE</v>
      </c>
      <c r="W2474" s="11" t="str">
        <f>_xlfn.XLOOKUP(Customer[[#This Row],[Customer ID]],[1]!Address[ID],[1]!Address[CT])</f>
        <v>CASH</v>
      </c>
      <c r="X2474" s="11"/>
      <c r="Y2474" s="17" t="s">
        <v>6418</v>
      </c>
      <c r="Z2474" s="17" t="e">
        <f>_xlfn.XLOOKUP(Customer[[#This Row],[NewType]],$AF$36:$AF$54,$AG$36:$AG$54)</f>
        <v>#N/A</v>
      </c>
      <c r="AA2474" s="17" t="s">
        <v>15316</v>
      </c>
      <c r="AB2474" s="11" t="str">
        <f>_xlfn.XLOOKUP(Customer[[#This Row],[Customer ID]],[1]!Address[ID],[1]!Address[Subtype])</f>
        <v>UNITAR</v>
      </c>
      <c r="AC2474" s="18" t="str">
        <f>_xlfn.XLOOKUP(Customer[[#This Row],[Customer ID]],[1]!Address[ID],[1]!Address[Zone])</f>
        <v>CENTRAL</v>
      </c>
    </row>
    <row r="2475" spans="1:29" x14ac:dyDescent="0.3">
      <c r="A2475" s="133" t="s">
        <v>15317</v>
      </c>
      <c r="B2475" s="11" t="str">
        <f>_xlfn.XLOOKUP(Customer[[#This Row],[Customer ID]],[1]!Name[ID],[1]!Name[Description(1)])</f>
        <v>NOORDIANA BINTI YAACOB</v>
      </c>
      <c r="C2475" s="11">
        <f>_xlfn.XLOOKUP(Customer[[#This Row],[Customer ID]],[1]!Name[ID],[1]!Name[Description(2)])</f>
        <v>0</v>
      </c>
      <c r="D2475" s="11" t="str">
        <f>_xlfn.XLOOKUP(Customer[[#This Row],[Customer ID]],[1]!Address[ID],[1]!Address[PIC])</f>
        <v>NOORDIANA</v>
      </c>
      <c r="E2475" s="11" t="str">
        <f>_xlfn.XLOOKUP(Customer[[#This Row],[Customer ID]],[1]!Address[ID],[1]!Address[Full Address])</f>
        <v>NO.7 JLN 1/3R VILLA SUTERA SEK 143650 BANDAR BARU BANGI, SELANGOR</v>
      </c>
      <c r="F2475" s="63" t="s">
        <v>15318</v>
      </c>
      <c r="G2475" s="63" t="s">
        <v>15319</v>
      </c>
      <c r="H2475" s="63" t="s">
        <v>4431</v>
      </c>
      <c r="I2475" s="63" t="b">
        <f>ISNUMBER(VALUE(LEFT(Customer[[#This Row],[Address Line 3 (30 char)]],1)))</f>
        <v>0</v>
      </c>
      <c r="J2475" s="63" t="s">
        <v>172</v>
      </c>
      <c r="K2475" s="63">
        <v>43650</v>
      </c>
      <c r="L2475" s="63" t="s">
        <v>35</v>
      </c>
      <c r="M2475" s="65" t="e">
        <v>#N/A</v>
      </c>
      <c r="N2475" s="66" t="e">
        <v>#N/A</v>
      </c>
      <c r="O2475" s="66" t="e">
        <v>#N/A</v>
      </c>
      <c r="P2475" s="66" t="e">
        <v>#N/A</v>
      </c>
      <c r="Q2475" s="110" t="s">
        <v>15320</v>
      </c>
      <c r="R2475" s="15" t="s">
        <v>15321</v>
      </c>
      <c r="S2475" s="15" t="s">
        <v>4271</v>
      </c>
      <c r="T2475" s="16" t="s">
        <v>89</v>
      </c>
      <c r="U2475" s="11">
        <f>_xlfn.XLOOKUP(Customer[[#This Row],[Customer ID]],[1]!Address[ID],[1]!Address[Phone No.(2)])</f>
        <v>0</v>
      </c>
      <c r="V2475" s="11" t="str">
        <f>_xlfn.XLOOKUP(Customer[[#This Row],[Customer ID]],[1]!Address[ID],[1]!Address[Type])</f>
        <v>SOCMED</v>
      </c>
      <c r="W2475" s="11">
        <f>_xlfn.XLOOKUP(Customer[[#This Row],[Customer ID]],[1]!Address[ID],[1]!Address[CT])</f>
        <v>0</v>
      </c>
      <c r="X2475" s="11"/>
      <c r="Y2475" s="17" t="s">
        <v>90</v>
      </c>
      <c r="Z2475" s="17" t="e">
        <f>_xlfn.XLOOKUP(Customer[[#This Row],[NewType]],$AF$36:$AF$54,$AG$36:$AG$54)</f>
        <v>#N/A</v>
      </c>
      <c r="AA2475" s="17" t="s">
        <v>15322</v>
      </c>
      <c r="AB2475" s="11" t="str">
        <f>_xlfn.XLOOKUP(Customer[[#This Row],[Customer ID]],[1]!Address[ID],[1]!Address[Subtype])</f>
        <v>WHATSAPP</v>
      </c>
      <c r="AC2475" s="18" t="str">
        <f>_xlfn.XLOOKUP(Customer[[#This Row],[Customer ID]],[1]!Address[ID],[1]!Address[Zone])</f>
        <v>CENTRAL</v>
      </c>
    </row>
    <row r="2476" spans="1:29" x14ac:dyDescent="0.3">
      <c r="A2476" s="132" t="s">
        <v>15323</v>
      </c>
      <c r="B2476" s="11" t="str">
        <f>_xlfn.XLOOKUP(Customer[[#This Row],[Customer ID]],[1]!Name[ID],[1]!Name[Description(1)])</f>
        <v>K VENTURES SDN. BHD.</v>
      </c>
      <c r="C2476" s="11">
        <f>_xlfn.XLOOKUP(Customer[[#This Row],[Customer ID]],[1]!Name[ID],[1]!Name[Description(2)])</f>
        <v>0</v>
      </c>
      <c r="D2476" s="11">
        <f>_xlfn.XLOOKUP(Customer[[#This Row],[Customer ID]],[1]!Address[ID],[1]!Address[PIC])</f>
        <v>0</v>
      </c>
      <c r="E2476" s="11" t="str">
        <f>_xlfn.XLOOKUP(Customer[[#This Row],[Customer ID]],[1]!Address[ID],[1]!Address[Full Address])</f>
        <v>19,JALAN MERU BESTARI A14,MEDAN MERU BESTARI,30020 IPOH PERAK</v>
      </c>
      <c r="F2476" s="12" t="s">
        <v>15324</v>
      </c>
      <c r="G2476" s="12" t="s">
        <v>15325</v>
      </c>
      <c r="H2476" s="24" t="s">
        <v>9264</v>
      </c>
      <c r="I2476" s="24" t="b">
        <f>ISNUMBER(VALUE(LEFT(Customer[[#This Row],[Address Line 3 (30 char)]],1)))</f>
        <v>0</v>
      </c>
      <c r="J2476" s="12" t="s">
        <v>387</v>
      </c>
      <c r="K2476" s="12">
        <v>30020</v>
      </c>
      <c r="L2476" s="12" t="s">
        <v>35</v>
      </c>
      <c r="M2476" s="13" t="e">
        <v>#N/A</v>
      </c>
      <c r="N2476" s="14" t="e">
        <v>#N/A</v>
      </c>
      <c r="O2476" s="14" t="e">
        <v>#N/A</v>
      </c>
      <c r="P2476" s="14" t="e">
        <v>#N/A</v>
      </c>
      <c r="Q2476" s="19" t="s">
        <v>15326</v>
      </c>
      <c r="R2476" s="15" t="s">
        <v>15327</v>
      </c>
      <c r="S2476" s="15" t="s">
        <v>6645</v>
      </c>
      <c r="T2476" s="16" t="s">
        <v>3477</v>
      </c>
      <c r="U2476" s="11">
        <f>_xlfn.XLOOKUP(Customer[[#This Row],[Customer ID]],[1]!Address[ID],[1]!Address[Phone No.(2)])</f>
        <v>0</v>
      </c>
      <c r="V2476" s="11">
        <f>_xlfn.XLOOKUP(Customer[[#This Row],[Customer ID]],[1]!Address[ID],[1]!Address[Type])</f>
        <v>0</v>
      </c>
      <c r="W2476" s="11">
        <f>_xlfn.XLOOKUP(Customer[[#This Row],[Customer ID]],[1]!Address[ID],[1]!Address[CT])</f>
        <v>0</v>
      </c>
      <c r="X2476" s="11"/>
      <c r="Y2476" s="17" t="s">
        <v>9264</v>
      </c>
      <c r="Z2476" s="17" t="e">
        <f>_xlfn.XLOOKUP(Customer[[#This Row],[NewType]],$AF$36:$AF$54,$AG$36:$AG$54)</f>
        <v>#N/A</v>
      </c>
      <c r="AA2476" s="17" t="s">
        <v>15328</v>
      </c>
      <c r="AB2476" s="11" t="str">
        <f>_xlfn.XLOOKUP(Customer[[#This Row],[Customer ID]],[1]!Address[ID],[1]!Address[Subtype])</f>
        <v>BO2 IPOH</v>
      </c>
      <c r="AC2476" s="18" t="str">
        <f>_xlfn.XLOOKUP(Customer[[#This Row],[Customer ID]],[1]!Address[ID],[1]!Address[Zone])</f>
        <v>NORTH</v>
      </c>
    </row>
    <row r="2477" spans="1:29" x14ac:dyDescent="0.3">
      <c r="A2477" s="132" t="s">
        <v>15329</v>
      </c>
      <c r="B2477" s="11" t="str">
        <f>_xlfn.XLOOKUP(Customer[[#This Row],[Customer ID]],[1]!Name[ID],[1]!Name[Description(1)])</f>
        <v>KELIPAN MEKAR PETROLEUM SERVICE SDN BHD</v>
      </c>
      <c r="C2477" s="11" t="str">
        <f>_xlfn.XLOOKUP(Customer[[#This Row],[Customer ID]],[1]!Name[ID],[1]!Name[Description(2)])</f>
        <v>PS JALAN BERUAS-AYER TAWAR</v>
      </c>
      <c r="D2477" s="11">
        <f>_xlfn.XLOOKUP(Customer[[#This Row],[Customer ID]],[1]!Address[ID],[1]!Address[PIC])</f>
        <v>0</v>
      </c>
      <c r="E2477" s="11" t="str">
        <f>_xlfn.XLOOKUP(Customer[[#This Row],[Customer ID]],[1]!Address[ID],[1]!Address[Full Address])</f>
        <v>PS JALAN BERUAS-AYER TAWARPT 32578, Batu 15 1/2, JalanBruas, 32400, Ayer Tawar,Perak</v>
      </c>
      <c r="F2477" s="12" t="s">
        <v>15330</v>
      </c>
      <c r="G2477" s="12" t="s">
        <v>15331</v>
      </c>
      <c r="H2477" s="12" t="s">
        <v>15332</v>
      </c>
      <c r="I2477" s="12" t="b">
        <f>ISNUMBER(VALUE(LEFT(Customer[[#This Row],[Address Line 3 (30 char)]],1)))</f>
        <v>0</v>
      </c>
      <c r="J2477" s="12" t="s">
        <v>387</v>
      </c>
      <c r="K2477" s="12">
        <v>32400</v>
      </c>
      <c r="L2477" s="12" t="s">
        <v>35</v>
      </c>
      <c r="M2477" s="13" t="e">
        <v>#N/A</v>
      </c>
      <c r="N2477" s="14" t="e">
        <v>#N/A</v>
      </c>
      <c r="O2477" s="14" t="e">
        <v>#N/A</v>
      </c>
      <c r="P2477" s="14" t="e">
        <v>#N/A</v>
      </c>
      <c r="Q2477" s="19" t="s">
        <v>15333</v>
      </c>
      <c r="R2477" s="15" t="s">
        <v>15334</v>
      </c>
      <c r="S2477" s="15" t="s">
        <v>37</v>
      </c>
      <c r="T2477" s="16" t="s">
        <v>38</v>
      </c>
      <c r="U2477" s="11">
        <f>_xlfn.XLOOKUP(Customer[[#This Row],[Customer ID]],[1]!Address[ID],[1]!Address[Phone No.(2)])</f>
        <v>0</v>
      </c>
      <c r="V2477" s="11" t="str">
        <f>_xlfn.XLOOKUP(Customer[[#This Row],[Customer ID]],[1]!Address[ID],[1]!Address[Type])</f>
        <v>PETROMART</v>
      </c>
      <c r="W2477" s="11">
        <f>_xlfn.XLOOKUP(Customer[[#This Row],[Customer ID]],[1]!Address[ID],[1]!Address[CT])</f>
        <v>30</v>
      </c>
      <c r="X2477" s="11" t="s">
        <v>39</v>
      </c>
      <c r="Y2477" s="17" t="s">
        <v>40</v>
      </c>
      <c r="Z2477" s="17" t="e">
        <f>_xlfn.XLOOKUP(Customer[[#This Row],[NewType]],$AF$36:$AF$54,$AG$36:$AG$54)</f>
        <v>#N/A</v>
      </c>
      <c r="AA2477" s="17" t="s">
        <v>15335</v>
      </c>
      <c r="AB2477" s="11" t="str">
        <f>_xlfn.XLOOKUP(Customer[[#This Row],[Customer ID]],[1]!Address[ID],[1]!Address[Subtype])</f>
        <v>PETRONAS</v>
      </c>
      <c r="AC2477" s="18" t="str">
        <f>_xlfn.XLOOKUP(Customer[[#This Row],[Customer ID]],[1]!Address[ID],[1]!Address[Zone])</f>
        <v>NORTH</v>
      </c>
    </row>
    <row r="2478" spans="1:29" x14ac:dyDescent="0.3">
      <c r="A2478" s="132" t="s">
        <v>15336</v>
      </c>
      <c r="B2478" s="11" t="str">
        <f>_xlfn.XLOOKUP(Customer[[#This Row],[Customer ID]],[1]!Name[ID],[1]!Name[Description(1)])</f>
        <v>PETROLA TRADING SDN BHD</v>
      </c>
      <c r="C2478" s="11" t="str">
        <f>_xlfn.XLOOKUP(Customer[[#This Row],[Customer ID]],[1]!Name[ID],[1]!Name[Description(2)])</f>
        <v>PS KM8 JALAN BESAR ALOR SETAR- SG PETANI</v>
      </c>
      <c r="D2478" s="11">
        <f>_xlfn.XLOOKUP(Customer[[#This Row],[Customer ID]],[1]!Address[ID],[1]!Address[PIC])</f>
        <v>0</v>
      </c>
      <c r="E2478" s="11" t="str">
        <f>_xlfn.XLOOKUP(Customer[[#This Row],[Customer ID]],[1]!Address[ID],[1]!Address[Full Address])</f>
        <v>PS KM8 JALAN BESAR ALOR SETAR- SG PETANIKM8, JALAN BESAR ALOR SETAR- SG PETANI05400 ALOR SETAR KEDAH</v>
      </c>
      <c r="F2478" s="12" t="s">
        <v>15337</v>
      </c>
      <c r="G2478" s="12" t="s">
        <v>15338</v>
      </c>
      <c r="H2478" s="12" t="s">
        <v>2335</v>
      </c>
      <c r="I2478" s="12" t="b">
        <f>ISNUMBER(VALUE(LEFT(Customer[[#This Row],[Address Line 3 (30 char)]],1)))</f>
        <v>0</v>
      </c>
      <c r="J2478" s="12" t="s">
        <v>355</v>
      </c>
      <c r="K2478" s="20" t="s">
        <v>3202</v>
      </c>
      <c r="L2478" s="12" t="s">
        <v>35</v>
      </c>
      <c r="M2478" s="13" t="e">
        <v>#N/A</v>
      </c>
      <c r="N2478" s="14" t="e">
        <v>#N/A</v>
      </c>
      <c r="O2478" s="14" t="e">
        <v>#N/A</v>
      </c>
      <c r="P2478" s="14" t="e">
        <v>#N/A</v>
      </c>
      <c r="Q2478" s="14" t="s">
        <v>15339</v>
      </c>
      <c r="R2478" s="15" t="s">
        <v>15340</v>
      </c>
      <c r="S2478" s="15" t="s">
        <v>37</v>
      </c>
      <c r="T2478" s="16" t="s">
        <v>38</v>
      </c>
      <c r="U2478" s="11">
        <f>_xlfn.XLOOKUP(Customer[[#This Row],[Customer ID]],[1]!Address[ID],[1]!Address[Phone No.(2)])</f>
        <v>0</v>
      </c>
      <c r="V2478" s="11" t="str">
        <f>_xlfn.XLOOKUP(Customer[[#This Row],[Customer ID]],[1]!Address[ID],[1]!Address[Type])</f>
        <v>PETROMART</v>
      </c>
      <c r="W2478" s="11">
        <f>_xlfn.XLOOKUP(Customer[[#This Row],[Customer ID]],[1]!Address[ID],[1]!Address[CT])</f>
        <v>30</v>
      </c>
      <c r="X2478" s="11" t="s">
        <v>39</v>
      </c>
      <c r="Y2478" s="17" t="s">
        <v>40</v>
      </c>
      <c r="Z2478" s="17" t="e">
        <f>_xlfn.XLOOKUP(Customer[[#This Row],[NewType]],$AF$36:$AF$54,$AG$36:$AG$54)</f>
        <v>#N/A</v>
      </c>
      <c r="AA2478" s="17" t="s">
        <v>15341</v>
      </c>
      <c r="AB2478" s="11" t="str">
        <f>_xlfn.XLOOKUP(Customer[[#This Row],[Customer ID]],[1]!Address[ID],[1]!Address[Subtype])</f>
        <v>PETRONAS</v>
      </c>
      <c r="AC2478" s="18" t="str">
        <f>_xlfn.XLOOKUP(Customer[[#This Row],[Customer ID]],[1]!Address[ID],[1]!Address[Zone])</f>
        <v>NORTH</v>
      </c>
    </row>
    <row r="2479" spans="1:29" x14ac:dyDescent="0.3">
      <c r="A2479" s="134" t="s">
        <v>15342</v>
      </c>
      <c r="B2479" s="24" t="str">
        <f>_xlfn.XLOOKUP(Customer[[#This Row],[Customer ID]],[1]!Name[ID],[1]!Name[Description(1)])</f>
        <v>CORPORATE GIFT RAYA</v>
      </c>
      <c r="C2479" s="24">
        <f>_xlfn.XLOOKUP(Customer[[#This Row],[Customer ID]],[1]!Name[ID],[1]!Name[Description(2)])</f>
        <v>0</v>
      </c>
      <c r="D2479" s="11">
        <f>_xlfn.XLOOKUP(Customer[[#This Row],[Customer ID]],[1]!Address[ID],[1]!Address[PIC])</f>
        <v>0</v>
      </c>
      <c r="E2479" s="11" t="str">
        <f>_xlfn.XLOOKUP(Customer[[#This Row],[Customer ID]],[1]!Address[ID],[1]!Address[Full Address])</f>
        <v/>
      </c>
      <c r="F2479" s="12"/>
      <c r="G2479" s="12"/>
      <c r="H2479" s="12"/>
      <c r="I2479" s="12" t="b">
        <f>ISNUMBER(VALUE(LEFT(Customer[[#This Row],[Address Line 3 (30 char)]],1)))</f>
        <v>0</v>
      </c>
      <c r="J2479" s="24"/>
      <c r="K2479" s="24"/>
      <c r="L2479" s="12" t="s">
        <v>35</v>
      </c>
      <c r="M2479" s="13" t="e">
        <v>#N/A</v>
      </c>
      <c r="N2479" s="14" t="e">
        <v>#N/A</v>
      </c>
      <c r="O2479" s="14" t="e">
        <v>#N/A</v>
      </c>
      <c r="P2479" s="14" t="e">
        <v>#N/A</v>
      </c>
      <c r="Q2479" s="14" t="e">
        <v>#N/A</v>
      </c>
      <c r="R2479" s="15"/>
      <c r="S2479" s="15"/>
      <c r="T2479" s="16"/>
      <c r="U2479" s="11">
        <f>_xlfn.XLOOKUP(Customer[[#This Row],[Customer ID]],[1]!Address[ID],[1]!Address[Phone No.(2)])</f>
        <v>0</v>
      </c>
      <c r="V2479" s="11">
        <f>_xlfn.XLOOKUP(Customer[[#This Row],[Customer ID]],[1]!Address[ID],[1]!Address[Type])</f>
        <v>0</v>
      </c>
      <c r="W2479" s="11">
        <f>_xlfn.XLOOKUP(Customer[[#This Row],[Customer ID]],[1]!Address[ID],[1]!Address[CT])</f>
        <v>0</v>
      </c>
      <c r="X2479" s="11"/>
      <c r="Y2479" s="17" t="s">
        <v>6418</v>
      </c>
      <c r="Z2479" s="17" t="e">
        <f>_xlfn.XLOOKUP(Customer[[#This Row],[NewType]],$AF$36:$AF$54,$AG$36:$AG$54)</f>
        <v>#N/A</v>
      </c>
      <c r="AA2479" s="17" t="s">
        <v>15343</v>
      </c>
      <c r="AB2479" s="11">
        <f>_xlfn.XLOOKUP(Customer[[#This Row],[Customer ID]],[1]!Address[ID],[1]!Address[Subtype])</f>
        <v>0</v>
      </c>
      <c r="AC2479" s="18">
        <f>_xlfn.XLOOKUP(Customer[[#This Row],[Customer ID]],[1]!Address[ID],[1]!Address[Zone])</f>
        <v>0</v>
      </c>
    </row>
    <row r="2480" spans="1:29" x14ac:dyDescent="0.3">
      <c r="A2480" s="135" t="s">
        <v>15344</v>
      </c>
      <c r="B2480" s="136" t="str">
        <f>_xlfn.XLOOKUP(Customer[[#This Row],[Customer ID]],[1]!Name[ID],[1]!Name[Description(1)])</f>
        <v>PUTRI NUR LAIQQA BT MOHD KAMAL</v>
      </c>
      <c r="C2480" s="137" t="str">
        <f>_xlfn.XLOOKUP(Customer[[#This Row],[Customer ID]],[1]!Name[ID],[1]!Name[Description(2)])</f>
        <v>(PRODUCTION KILANG BOTOL)</v>
      </c>
      <c r="D2480" s="137">
        <f>_xlfn.XLOOKUP(Customer[[#This Row],[Customer ID]],[1]!Address[ID],[1]!Address[PIC])</f>
        <v>0</v>
      </c>
      <c r="E2480" s="137" t="str">
        <f>_xlfn.XLOOKUP(Customer[[#This Row],[Customer ID]],[1]!Address[ID],[1]!Address[Full Address])</f>
        <v>NO 63 JALAN DPK 9TAMAN DESA PERMAI KUNDUR</v>
      </c>
      <c r="F2480" s="90" t="s">
        <v>15345</v>
      </c>
      <c r="G2480" s="90" t="s">
        <v>15346</v>
      </c>
      <c r="H2480" s="90"/>
      <c r="I2480" s="90" t="b">
        <f>ISNUMBER(VALUE(LEFT(Customer[[#This Row],[Address Line 3 (30 char)]],1)))</f>
        <v>0</v>
      </c>
      <c r="J2480" s="12" t="s">
        <v>203</v>
      </c>
      <c r="K2480" s="90">
        <v>71400</v>
      </c>
      <c r="L2480" s="12" t="s">
        <v>35</v>
      </c>
      <c r="M2480" s="13" t="e">
        <v>#N/A</v>
      </c>
      <c r="N2480" s="14" t="e">
        <v>#N/A</v>
      </c>
      <c r="O2480" s="138" t="e">
        <v>#N/A</v>
      </c>
      <c r="P2480" s="138" t="e">
        <v>#N/A</v>
      </c>
      <c r="Q2480" s="19" t="s">
        <v>15347</v>
      </c>
      <c r="R2480" s="139" t="s">
        <v>15348</v>
      </c>
      <c r="S2480" s="16" t="s">
        <v>89</v>
      </c>
      <c r="T2480" s="16" t="s">
        <v>89</v>
      </c>
      <c r="U2480" s="137">
        <f>_xlfn.XLOOKUP(Customer[[#This Row],[Customer ID]],[1]!Address[ID],[1]!Address[Phone No.(2)])</f>
        <v>0</v>
      </c>
      <c r="V2480" s="137" t="str">
        <f>_xlfn.XLOOKUP(Customer[[#This Row],[Customer ID]],[1]!Address[ID],[1]!Address[Type])</f>
        <v>WALK IN</v>
      </c>
      <c r="W2480" s="137">
        <f>_xlfn.XLOOKUP(Customer[[#This Row],[Customer ID]],[1]!Address[ID],[1]!Address[CT])</f>
        <v>0</v>
      </c>
      <c r="X2480" s="137"/>
      <c r="Y2480" s="140" t="s">
        <v>6284</v>
      </c>
      <c r="Z2480" s="140" t="e">
        <f>_xlfn.XLOOKUP(Customer[[#This Row],[NewType]],$AF$36:$AF$54,$AG$36:$AG$54)</f>
        <v>#N/A</v>
      </c>
      <c r="AA2480" s="140" t="s">
        <v>15349</v>
      </c>
      <c r="AB2480" s="137" t="str">
        <f>_xlfn.XLOOKUP(Customer[[#This Row],[Customer ID]],[1]!Address[ID],[1]!Address[Subtype])</f>
        <v>STAFF</v>
      </c>
      <c r="AC2480" s="141" t="str">
        <f>_xlfn.XLOOKUP(Customer[[#This Row],[Customer ID]],[1]!Address[ID],[1]!Address[Zone])</f>
        <v>SOUTH</v>
      </c>
    </row>
  </sheetData>
  <conditionalFormatting sqref="AA1:AA2480">
    <cfRule type="duplicateValues" dxfId="34" priority="1"/>
    <cfRule type="duplicateValues" dxfId="33" priority="2"/>
  </conditionalFormatting>
  <dataValidations count="1">
    <dataValidation type="textLength" operator="lessThan" allowBlank="1" showInputMessage="1" showErrorMessage="1" sqref="J318 G1036:G1071 F442 F841 F846 F848 F856 F866 F868 F875:F877 K881 F881:F882 J902:J903 F903 F908 F951 K1181 F1141:F1153 F1181 F1191:F1192 J1218:K1218 F1231 F1235 K1239 K1257 K1267 H1217:I1229 K1278 F1262:F1267 F1279 F1292:F1293 J1309 F1331:F1332 F1353 F1362 F1365 K1370 H1356:I1361 F1032:F1071 F1015:F1030 G1016:G1032 G1034 G1080:G1134 G1073:G1078 F1073:F1104 F1106:F1139 H1155:I1178 F1246:F1260 H1271:I1274 H1372:I1393 G1445:G1495 F1370:F1395 F1397:F1401 H1395:I1408 H1410:I1411 G1371:G1443 F1403:F1468 F1470:F1480 F1482:F1486 J1537 F1488:F1548 J1570 F1551:F2480 F1354:G1361 F1294:G1330 F1268:G1278 F1193:G1230 F1154:G1180 F909:G950 F883:G902 F443:G840 F1072:G1072 F842:G845 F847:G847 F849:G855 F857:G865 F867:G867 H869:I871 F869:G874 F878:G880 F904:G907 F952:G1014 F1182:G1190 F1232:G1234 F1236:G1245 F1280:G1291 F1333:G1352 F1363:G1364 F1366:G1369 G1136:G1152 G1247:G1266 F1:G441 J872 H1413:I1496 H1363:I1370 H1328:I1354 H1276:I1326 H1231:I1269 H1180:I1215 H1073:I1153 H951:I1071 H901:I949 H873:I899 H834:I867 H1:I832 H868:J868 H1362:J1362 G1497:I2480" xr:uid="{93E47B81-C27A-4030-B93C-F9022C1A2E7B}">
      <formula1>31</formula1>
    </dataValidation>
  </dataValidations>
  <hyperlinks>
    <hyperlink ref="Q2011" r:id="rId1" xr:uid="{181F8735-12EA-43B8-8AEE-2F00CCBFE934}"/>
    <hyperlink ref="Q2012" r:id="rId2" xr:uid="{CA726102-0C9A-4614-8319-1B012BAEEDF5}"/>
    <hyperlink ref="Q2013" r:id="rId3" xr:uid="{6A120456-F9AD-4858-BE8D-C312C70ADEE9}"/>
    <hyperlink ref="Q2014" r:id="rId4" xr:uid="{AE28CB13-D75A-4006-A969-1B193D8217D6}"/>
    <hyperlink ref="Q2017" r:id="rId5" xr:uid="{BE2351C4-C294-40F0-A29E-FD5FD27A2093}"/>
    <hyperlink ref="Q2018" r:id="rId6" xr:uid="{08553D54-B5B4-4B05-BBF0-6FEFC5C218D5}"/>
    <hyperlink ref="Q2019" r:id="rId7" xr:uid="{3B7F6390-2788-4D36-A1D2-B827D8352447}"/>
    <hyperlink ref="Q2020" r:id="rId8" xr:uid="{5331C296-20E6-49DE-BF0B-50BD3F23FE45}"/>
    <hyperlink ref="Q2021" r:id="rId9" xr:uid="{93A86C6D-D7E8-4527-B9E2-FA4D28EC2453}"/>
    <hyperlink ref="Q2022" r:id="rId10" xr:uid="{CE84A239-BE85-49A8-91E4-EBE2C74CCC01}"/>
    <hyperlink ref="Q2023" r:id="rId11" xr:uid="{7D508B14-F79D-4408-A7D1-3F1FD6C8BC24}"/>
    <hyperlink ref="Q2024" r:id="rId12" xr:uid="{197ABDFA-F454-4B5D-921A-151254C639E5}"/>
    <hyperlink ref="Q2026" r:id="rId13" xr:uid="{37390EA6-1C31-49E7-AFBC-31F4F681465E}"/>
    <hyperlink ref="Q2027" r:id="rId14" xr:uid="{FE0B5661-F418-4D92-8A70-666E9EA1C56B}"/>
    <hyperlink ref="Q2028" r:id="rId15" xr:uid="{285FF062-B1C2-4D86-A4C9-F55D9774D547}"/>
    <hyperlink ref="Q2029" r:id="rId16" xr:uid="{25F38788-BBE1-458C-99DC-8237BD7FD30B}"/>
    <hyperlink ref="Q2030" r:id="rId17" xr:uid="{8198E1C6-85C7-4687-B3F7-48CFDF28BE47}"/>
    <hyperlink ref="Q2031" r:id="rId18" xr:uid="{3A384922-52CF-4989-B408-9E0F5D2C3A4F}"/>
    <hyperlink ref="Q2032" r:id="rId19" xr:uid="{57A4D88A-B850-4AD1-990D-1EEE4AC50B5E}"/>
    <hyperlink ref="Q2033" r:id="rId20" xr:uid="{9FE6946B-8E2E-4EF5-82D6-7FB532836B13}"/>
    <hyperlink ref="Q2034" r:id="rId21" xr:uid="{96C15DCB-47D0-4CCE-B72B-942480E88330}"/>
    <hyperlink ref="Q2039" r:id="rId22" xr:uid="{27690926-AD75-4FD2-B633-C856F12F9F56}"/>
    <hyperlink ref="Q2040" r:id="rId23" xr:uid="{4062FAB2-CAB4-4CB4-9C6C-DF7AD1B5EB69}"/>
    <hyperlink ref="Q2041" r:id="rId24" xr:uid="{CC3295F8-8AE5-4EB5-84DB-101C6E5C1703}"/>
    <hyperlink ref="Q2043" r:id="rId25" xr:uid="{FC86783C-6B5E-410F-8238-D239F608628F}"/>
    <hyperlink ref="Q2045" r:id="rId26" xr:uid="{F5CADD91-EFF1-4AC3-9A0B-3EC236E7C73E}"/>
    <hyperlink ref="Q2047" r:id="rId27" xr:uid="{A42FFCF8-53D4-45B7-951E-12705B770DC2}"/>
    <hyperlink ref="Q2049" r:id="rId28" xr:uid="{B953FE80-318E-49F1-9FC7-B50F4FA7DD38}"/>
    <hyperlink ref="Q2050" r:id="rId29" xr:uid="{E08D6A8E-5BD0-4B8A-889D-33D4272E4A89}"/>
    <hyperlink ref="Q2051" r:id="rId30" xr:uid="{3C234359-2B7C-43D1-9157-6C705AC58F34}"/>
    <hyperlink ref="Q2052" r:id="rId31" xr:uid="{0DCB3E9E-0C98-4CD8-BE2A-56B6417D7BBE}"/>
    <hyperlink ref="Q2053" r:id="rId32" xr:uid="{8AC6C7A2-3A60-42D5-99AE-2E64D058F2A1}"/>
    <hyperlink ref="Q2054" r:id="rId33" xr:uid="{1AF7BAA9-576C-4632-9ABF-5B1FE983EC92}"/>
    <hyperlink ref="Q2055" r:id="rId34" xr:uid="{C9576831-1E75-4C2B-A0BB-83F55757E2A6}"/>
    <hyperlink ref="Q2056" r:id="rId35" xr:uid="{4B22765A-95EC-47AD-9489-E17356AB1662}"/>
    <hyperlink ref="Q2057" r:id="rId36" xr:uid="{6A687721-7C5B-4B20-8A6E-AAC96BCF654A}"/>
    <hyperlink ref="Q2058" r:id="rId37" xr:uid="{F815296F-E9AF-4E16-A44F-4BCCCF581244}"/>
    <hyperlink ref="Q2059" r:id="rId38" xr:uid="{D4FA5A7F-C944-4917-8696-8CEFF16E5BBE}"/>
    <hyperlink ref="Q2060" r:id="rId39" xr:uid="{37B5E167-C22B-4820-AA80-121BB3551DF5}"/>
    <hyperlink ref="Q2061" r:id="rId40" xr:uid="{16F05BC0-D455-4ED8-9C66-A51A42D2EDE5}"/>
    <hyperlink ref="Q2062" r:id="rId41" xr:uid="{E72818E1-7C23-4A4B-A5B2-FAFDE59A8114}"/>
    <hyperlink ref="Q2063" r:id="rId42" xr:uid="{7AD5D1C6-5DAF-4E40-A1E0-D272067AC80F}"/>
    <hyperlink ref="Q2066" r:id="rId43" xr:uid="{462AAA07-F7DB-4E15-8664-097A6A6D1F25}"/>
    <hyperlink ref="Q2067" r:id="rId44" xr:uid="{61663DBB-BE17-47B2-9187-74B89C394B4A}"/>
    <hyperlink ref="Q2068" r:id="rId45" xr:uid="{08C0F84D-D149-4417-9C13-45851D917FB7}"/>
    <hyperlink ref="Q2069" r:id="rId46" xr:uid="{9835902C-24D8-4223-8B66-FD2C0E072B4E}"/>
    <hyperlink ref="Q2070" r:id="rId47" xr:uid="{1E77A527-C6F8-49A3-B5F3-5682447F7424}"/>
    <hyperlink ref="Q2071" r:id="rId48" xr:uid="{E9A203CE-F5EE-4BE8-B405-8A013021451C}"/>
    <hyperlink ref="Q2072" r:id="rId49" xr:uid="{8934B8D4-19F1-40E3-BA84-48922231284B}"/>
    <hyperlink ref="Q2073" r:id="rId50" xr:uid="{BAB6173D-8285-470E-84FD-60BF4193753D}"/>
    <hyperlink ref="Q2074" r:id="rId51" xr:uid="{037347F8-3D51-4EFC-95F0-2EC14529C78A}"/>
    <hyperlink ref="Q2075" r:id="rId52" xr:uid="{48B5A9D7-0EE8-4063-8B39-FE0A730755A2}"/>
    <hyperlink ref="Q2076" r:id="rId53" xr:uid="{EC5FAA6D-963C-470A-8997-62E0B666C7CD}"/>
    <hyperlink ref="Q2078" r:id="rId54" xr:uid="{9F318055-03B1-4BF7-B5A0-F4C1FF9CED75}"/>
    <hyperlink ref="Q2079" r:id="rId55" xr:uid="{4B52643E-6E28-4913-B720-30478589E832}"/>
    <hyperlink ref="Q2080" r:id="rId56" xr:uid="{FBEA0F2D-57D5-4C23-B75C-F24A96E649BC}"/>
    <hyperlink ref="Q2081" r:id="rId57" xr:uid="{D73A0C72-D094-4ED3-A69C-05FA0779155C}"/>
    <hyperlink ref="Q2082" r:id="rId58" xr:uid="{552B41A4-9020-4A54-9EB6-CE960B4A3076}"/>
    <hyperlink ref="Q2083" r:id="rId59" xr:uid="{ABAEFDFA-F03F-40EC-85F0-9A60DACD0644}"/>
    <hyperlink ref="Q2084" r:id="rId60" xr:uid="{F2F2D61A-EF5A-4CA8-B92F-17A251BBD50C}"/>
    <hyperlink ref="Q2085" r:id="rId61" xr:uid="{C7C81600-2F88-4806-8E1A-DA8725A00B47}"/>
    <hyperlink ref="Q2086" r:id="rId62" xr:uid="{FBB6B796-ECFB-4817-93D6-38729BF1D340}"/>
    <hyperlink ref="Q2089" r:id="rId63" xr:uid="{9D3220A8-1F8E-4A7D-AB77-EDDB80EEE7ED}"/>
    <hyperlink ref="Q2090" r:id="rId64" xr:uid="{6316C41D-ABB5-458F-8D4F-C6FC09CD2FE3}"/>
    <hyperlink ref="Q2091" r:id="rId65" xr:uid="{A4FDB9B4-93F4-414E-8C95-C4D776EF5544}"/>
    <hyperlink ref="Q2092" r:id="rId66" xr:uid="{0F6366DC-DD0C-4332-9CF8-16C4403A3DEC}"/>
    <hyperlink ref="Q2093" r:id="rId67" xr:uid="{3A64BFE3-5BE9-45AC-B941-A4AC9BA70DC6}"/>
    <hyperlink ref="Q2095" r:id="rId68" xr:uid="{D988A88C-877B-4A92-B565-C7CC4D1C0C3F}"/>
    <hyperlink ref="Q2097" r:id="rId69" xr:uid="{0F3A9C92-375E-429B-A30D-9A1CE0086AC5}"/>
    <hyperlink ref="Q2098" r:id="rId70" xr:uid="{321E1958-00F1-4CF4-8154-7F3FCBD1C61B}"/>
    <hyperlink ref="Q834" r:id="rId71" xr:uid="{6608C01D-8DFB-4B09-8672-DE8322565CFF}"/>
    <hyperlink ref="Q835" r:id="rId72" xr:uid="{E7A44AC9-D01D-4935-A5CF-240403C2974D}"/>
    <hyperlink ref="Q838" r:id="rId73" xr:uid="{FEA57DEE-817E-4ABA-96F8-A2A4081BF1B2}"/>
    <hyperlink ref="Q839" r:id="rId74" xr:uid="{53692741-99CE-4589-AAD2-1880356E1999}"/>
    <hyperlink ref="Q848" r:id="rId75" xr:uid="{98356E02-5E3D-499F-9B15-E797DE7979BB}"/>
    <hyperlink ref="Q863" r:id="rId76" xr:uid="{8EC50FD4-AEF1-42F2-A13A-9D4380700EA9}"/>
    <hyperlink ref="Q870" r:id="rId77" xr:uid="{989FFEB8-84BD-4C31-9205-3077AE937ABA}"/>
    <hyperlink ref="Q871" r:id="rId78" xr:uid="{9098F82B-38E6-4D66-9A07-463A7236D5C7}"/>
    <hyperlink ref="Q872" r:id="rId79" xr:uid="{9FD1878A-DCCD-4328-8EB2-E9E62B9D46EF}"/>
    <hyperlink ref="Q878" r:id="rId80" xr:uid="{08CDCCF5-1A89-40F8-8AC3-B7CCFD4BA4E5}"/>
    <hyperlink ref="Q1419" r:id="rId81" xr:uid="{C4972A98-52C5-43B3-8FE7-60855240AF85}"/>
    <hyperlink ref="Q1448" r:id="rId82" xr:uid="{6A160A74-BE32-4B60-83B0-454BA0A99966}"/>
    <hyperlink ref="Q1456" r:id="rId83" xr:uid="{BBC3B161-F7FB-4A85-A6B1-3F81E64581BA}"/>
    <hyperlink ref="Q1519" r:id="rId84" xr:uid="{8413BC80-88CF-47B8-9023-8CAF29423542}"/>
    <hyperlink ref="Q1523" r:id="rId85" xr:uid="{8167740F-0B14-4D35-8644-5732130A8677}"/>
    <hyperlink ref="Q1529" r:id="rId86" xr:uid="{61DEE1E8-4D05-4A93-830D-97D0963FDE0C}"/>
    <hyperlink ref="Q1546" r:id="rId87" xr:uid="{F48F7972-E143-4D84-B384-529BD0BEC5B3}"/>
    <hyperlink ref="Q1573" r:id="rId88" xr:uid="{166BAE18-5CF2-4905-AD73-9C08CEF8C417}"/>
    <hyperlink ref="Q1577" r:id="rId89" xr:uid="{5EAF8002-F5A1-4D30-B62D-81579471BB1A}"/>
    <hyperlink ref="Q1578" r:id="rId90" xr:uid="{342C1373-8FCF-455C-8697-6F73DAAE14FA}"/>
    <hyperlink ref="Q1593" r:id="rId91" xr:uid="{4CEB750A-0C9F-42B6-AACC-20C69F10221E}"/>
    <hyperlink ref="Q1600" r:id="rId92" xr:uid="{62C92D97-5412-4624-AC45-C5FC44C031D4}"/>
    <hyperlink ref="Q1609" r:id="rId93" xr:uid="{10A710FA-FDEB-4FDF-9C18-93684301468B}"/>
    <hyperlink ref="Q1616" r:id="rId94" xr:uid="{57CEDAF4-6023-4B44-9B26-F4A50FC46B3B}"/>
    <hyperlink ref="Q1619" r:id="rId95" xr:uid="{5EEE4D04-2BF3-4CD0-BE70-55A629C8F0EB}"/>
    <hyperlink ref="Q1624" r:id="rId96" xr:uid="{D3A0BC51-870A-430B-8704-F089DD87C6C2}"/>
    <hyperlink ref="Q1644" r:id="rId97" xr:uid="{18F538FC-3E41-4035-BB6B-23EEA6EE6994}"/>
    <hyperlink ref="Q1663" r:id="rId98" xr:uid="{D2C45C0D-70A8-4748-A430-2222077B14E5}"/>
    <hyperlink ref="Q2114" r:id="rId99" xr:uid="{EC28788D-FDAE-453E-AADB-C375D1698273}"/>
    <hyperlink ref="Q2116" r:id="rId100" xr:uid="{AD2E10F4-59B3-4998-8022-DA1FD18F6BBD}"/>
    <hyperlink ref="Q1676" r:id="rId101" xr:uid="{69127D6F-8781-45F0-8C32-20EDF7FA00D4}"/>
    <hyperlink ref="Q2118" r:id="rId102" xr:uid="{BD8D70C4-24BE-4565-A5C5-D6D9A3E4472C}"/>
    <hyperlink ref="Q2120" r:id="rId103" xr:uid="{1B01173E-8372-45D3-A8DE-0C00E332C41C}"/>
    <hyperlink ref="Q2119" r:id="rId104" xr:uid="{ADBEC81B-F067-4A20-9471-24B080214E17}"/>
    <hyperlink ref="Q2121" r:id="rId105" xr:uid="{177B1ED5-1DBD-4F82-B356-B422BD332E16}"/>
    <hyperlink ref="Q2122" r:id="rId106" xr:uid="{E51FAD2E-2710-4A0D-A971-3533EF2BF7B4}"/>
    <hyperlink ref="Q2123" r:id="rId107" xr:uid="{2A77C392-B1E9-46FA-84BD-88A0527F68E9}"/>
    <hyperlink ref="Q2124" r:id="rId108" xr:uid="{0B180FC2-DCAA-48A4-B6B5-78290E970250}"/>
    <hyperlink ref="Q2125" r:id="rId109" xr:uid="{773C339B-9550-413C-B86A-3D49D248EDFA}"/>
    <hyperlink ref="Q2126" r:id="rId110" xr:uid="{22CA2DCD-E241-4733-B758-67882BB002BD}"/>
    <hyperlink ref="Q2127" r:id="rId111" xr:uid="{1D782F22-84F2-483E-BD8F-8082DA874A63}"/>
    <hyperlink ref="Q2128" r:id="rId112" xr:uid="{4FE50F37-7890-41A0-B26E-023991466653}"/>
    <hyperlink ref="Q2129" r:id="rId113" xr:uid="{E3E6EC2E-57E2-42B8-AFF6-F29D859303E7}"/>
    <hyperlink ref="Q2130" r:id="rId114" xr:uid="{45B74809-CD1C-4D8F-B04B-589EA0D75AB5}"/>
    <hyperlink ref="Q2131" r:id="rId115" xr:uid="{451D96DF-F588-4F10-9F38-183BDAEC3AA7}"/>
    <hyperlink ref="Q2132" r:id="rId116" xr:uid="{0029ABFF-963D-4FF2-AF45-B0CD270FE553}"/>
    <hyperlink ref="Q2133" r:id="rId117" xr:uid="{F4462F7A-989E-46AF-AE9C-7FA49DA8DFA0}"/>
    <hyperlink ref="Q2136" r:id="rId118" xr:uid="{723A005D-0A96-41A2-A34B-2A7B0558ED2D}"/>
    <hyperlink ref="Q2139" r:id="rId119" xr:uid="{A834EC09-51E7-4261-9A91-681E3AD6CA91}"/>
    <hyperlink ref="Q2140" r:id="rId120" xr:uid="{32CE2F78-2ABE-4E67-8554-58048CBF0E12}"/>
    <hyperlink ref="Q2141" r:id="rId121" xr:uid="{D5845015-2B91-4581-B179-CFAFF875DB69}"/>
    <hyperlink ref="Q2142" r:id="rId122" xr:uid="{3CC50C8E-B2CA-48C0-955C-587A36C9BE51}"/>
    <hyperlink ref="Q2144" r:id="rId123" xr:uid="{AE2FC262-4110-4AF9-B30A-A39031216042}"/>
    <hyperlink ref="Q1707" r:id="rId124" xr:uid="{6F0501DC-7D4E-4538-8F73-354083E01D96}"/>
    <hyperlink ref="Q2147" r:id="rId125" xr:uid="{4AF5F883-74AA-44AF-B3F2-82BCB8D19EB1}"/>
    <hyperlink ref="Q2148" r:id="rId126" xr:uid="{449483F3-1F66-4AA5-9B85-88582E5C74DA}"/>
    <hyperlink ref="Q2149" r:id="rId127" xr:uid="{636A083E-6798-47A0-82E7-9E6250BA8542}"/>
    <hyperlink ref="Q2151" r:id="rId128" xr:uid="{B1EC9A79-7773-4387-A67C-E794599492C7}"/>
    <hyperlink ref="Q2153" r:id="rId129" xr:uid="{A7A582BD-5CF2-403F-AC73-090DE940C731}"/>
    <hyperlink ref="Q2154" r:id="rId130" xr:uid="{974FC872-4ECB-4ECB-A855-3674F8C80667}"/>
    <hyperlink ref="Q2155" r:id="rId131" xr:uid="{CA1D6293-0827-439E-8A4F-8B3C37BCBEC4}"/>
    <hyperlink ref="Q2156" r:id="rId132" xr:uid="{92009E67-95F2-42B7-816E-7051F3FD35CD}"/>
    <hyperlink ref="Q2157" r:id="rId133" xr:uid="{E4645912-161D-43C7-A321-2EF7AF0AB7FF}"/>
    <hyperlink ref="Q2159" r:id="rId134" xr:uid="{A18539FB-B9E2-4D7D-9F4B-C9D3CE9DAAE3}"/>
    <hyperlink ref="Q2161" r:id="rId135" xr:uid="{9035762A-8AC8-4DF8-BFAD-4B1A482FE30C}"/>
    <hyperlink ref="Q2163" r:id="rId136" xr:uid="{99FBB250-B1D5-4BCD-A645-D954FD09DE89}"/>
    <hyperlink ref="Q2162" r:id="rId137" xr:uid="{09867A79-A70A-4B14-927A-90973A4BABD9}"/>
    <hyperlink ref="Q2164" r:id="rId138" xr:uid="{2B2B13F4-5289-40E3-8951-05C57370E475}"/>
    <hyperlink ref="Q2165" r:id="rId139" xr:uid="{81018AFF-2583-4B1E-8E97-292EB94785EA}"/>
    <hyperlink ref="Q2166" r:id="rId140" xr:uid="{A5E63755-BA56-418D-93B9-91123690FE20}"/>
    <hyperlink ref="Q2168" r:id="rId141" xr:uid="{5A7244F7-0608-4224-8DDC-440BCF27CC1B}"/>
    <hyperlink ref="Q2169" r:id="rId142" xr:uid="{F8E5B51B-F3F6-4017-89B1-3578010EC4F6}"/>
    <hyperlink ref="Q2170" r:id="rId143" xr:uid="{E29D3753-9BE2-414B-8975-584CD27F43F1}"/>
    <hyperlink ref="Q2171" r:id="rId144" xr:uid="{EA9F77E4-7305-4639-86CE-0AC60441420C}"/>
    <hyperlink ref="Q2173" r:id="rId145" xr:uid="{276E46BD-624D-43ED-8BB9-7A576AE7C30D}"/>
    <hyperlink ref="Q1715" r:id="rId146" xr:uid="{51C3DED7-008E-4F15-8BBB-21D66E3178B8}"/>
    <hyperlink ref="Q1716" r:id="rId147" xr:uid="{C5CCC62C-32F7-4BA5-B7B1-3917115B7678}"/>
    <hyperlink ref="Q1717" r:id="rId148" xr:uid="{04789FBC-38D5-4079-AAAE-0CDC783808EC}"/>
    <hyperlink ref="Q1724" r:id="rId149" xr:uid="{E52E2ABB-4D1B-4EA5-A6AD-8F3516FEDBB6}"/>
    <hyperlink ref="Q1732" r:id="rId150" xr:uid="{324D7D30-F86C-4E03-8903-B4C8D57DB38B}"/>
    <hyperlink ref="Q1734" r:id="rId151" xr:uid="{2055F626-3CC0-41BD-BB97-C9D79D0BD045}"/>
    <hyperlink ref="Q1735" r:id="rId152" xr:uid="{2C7EA20D-2029-4867-8091-F080BC61618D}"/>
    <hyperlink ref="Q1738" r:id="rId153" xr:uid="{67D6FA24-5AF3-4F6B-BABD-798AB2C11E44}"/>
    <hyperlink ref="Q1742" r:id="rId154" xr:uid="{05FF68AF-C9EE-489C-ABB9-5B6FD0BAE3F1}"/>
    <hyperlink ref="Q1744" r:id="rId155" xr:uid="{DB356DCB-44B7-4580-BB40-A41D234BFAD1}"/>
    <hyperlink ref="Q1748" r:id="rId156" xr:uid="{A20A96DA-A9ED-4CF1-B8ED-52FC17C62C32}"/>
    <hyperlink ref="Q1754" r:id="rId157" xr:uid="{2F441648-4E77-43DC-AB4C-5DE8BA8F4595}"/>
    <hyperlink ref="Q1760" r:id="rId158" xr:uid="{9BCE7F25-6801-4ED2-B80B-E365726EDC6A}"/>
    <hyperlink ref="Q1761" r:id="rId159" xr:uid="{E2DF9B4C-2169-47FB-A0AD-FDF036B8D75D}"/>
    <hyperlink ref="Q1763" r:id="rId160" xr:uid="{CD768DE7-911B-46BA-98CC-FA167FC02D94}"/>
    <hyperlink ref="Q1765" r:id="rId161" xr:uid="{D807DD27-35DA-4CC8-98EF-BE3CFC84B105}"/>
    <hyperlink ref="Q1769" r:id="rId162" xr:uid="{FF0A6584-8510-422F-BDB6-108210425D76}"/>
    <hyperlink ref="Q1770" r:id="rId163" xr:uid="{83986D73-9B8D-4DBA-B179-1DFF20FFABA9}"/>
    <hyperlink ref="Q1777" r:id="rId164" xr:uid="{69EF4E4F-9A36-49BF-BB88-FD41D0F36FD8}"/>
    <hyperlink ref="Q2174" r:id="rId165" xr:uid="{7C7064F1-4852-49F4-9D34-0B067A6C9FEE}"/>
    <hyperlink ref="Q2176" r:id="rId166" xr:uid="{F192C999-B025-41DE-A36E-625E227A9D1A}"/>
    <hyperlink ref="Q2177" r:id="rId167" xr:uid="{29C346E0-F077-4658-AFE3-6C205A331039}"/>
    <hyperlink ref="Q1779" r:id="rId168" xr:uid="{0BB77D05-27AD-43F9-9E21-37773A386D33}"/>
    <hyperlink ref="Q1780" r:id="rId169" xr:uid="{77661E58-6D64-4AB2-88D3-3EDD21C16C16}"/>
    <hyperlink ref="Q1782" r:id="rId170" xr:uid="{095C8B27-68EA-42C8-929F-0D87FAA01929}"/>
    <hyperlink ref="Q1783" r:id="rId171" xr:uid="{107B9B48-92D7-4B08-BDF5-A85C20CF058B}"/>
    <hyperlink ref="Q1786" r:id="rId172" xr:uid="{D7530824-229D-4991-8470-BE314092BD8D}"/>
    <hyperlink ref="Q1788" r:id="rId173" xr:uid="{4FE5DC90-32C7-4E6D-85A8-24F4DAF655AA}"/>
    <hyperlink ref="Q1793" r:id="rId174" xr:uid="{726FCF0F-3C16-4D96-9B7E-8EA8933D8A64}"/>
    <hyperlink ref="Q1800" r:id="rId175" xr:uid="{76422318-93EE-4C5C-AA67-76CC0F1A00A8}"/>
    <hyperlink ref="Q1807" r:id="rId176" xr:uid="{A63F036F-6081-4FCC-AD34-E6915C870B39}"/>
    <hyperlink ref="Q1808" r:id="rId177" xr:uid="{AD857EB3-949F-473B-8FA3-5223428E5EC5}"/>
    <hyperlink ref="Q1812" r:id="rId178" xr:uid="{A0B60C37-321C-48B3-B806-4B7F72B6D6EC}"/>
    <hyperlink ref="Q1816" r:id="rId179" xr:uid="{83C6B6CD-351D-458D-89EF-11D81CADB6B2}"/>
    <hyperlink ref="Q1817" r:id="rId180" xr:uid="{F3476646-2A58-4B33-9A35-CB67D3635755}"/>
    <hyperlink ref="Q2178" r:id="rId181" xr:uid="{60D1E257-2B04-4423-997E-C3156092E923}"/>
    <hyperlink ref="Q2180" r:id="rId182" xr:uid="{37D55765-DE63-414D-98FB-FBD03E3AAD6A}"/>
    <hyperlink ref="Q2181" r:id="rId183" xr:uid="{ADF65131-7980-47D8-ACC7-0968FD1AFAB9}"/>
    <hyperlink ref="Q2182" r:id="rId184" xr:uid="{868C0E19-2C08-4F04-8127-F25136EF6EDD}"/>
    <hyperlink ref="Q2184" r:id="rId185" xr:uid="{2939E4BC-FBA9-464C-B43A-84339C6212D2}"/>
    <hyperlink ref="Q2185" r:id="rId186" xr:uid="{950B6145-DF6A-4CF6-81D9-B6AC9AAF0820}"/>
    <hyperlink ref="Q2186" r:id="rId187" xr:uid="{2AC47559-7E1D-4D1F-BFCE-CDDF4765AD4A}"/>
    <hyperlink ref="Q2187" r:id="rId188" xr:uid="{8C9F1B61-61C1-491B-9F52-2ABDEE60058C}"/>
    <hyperlink ref="Q2188" r:id="rId189" xr:uid="{614E24BD-7708-4D28-A51C-1ED6BFEFD5CA}"/>
    <hyperlink ref="Q2189" r:id="rId190" xr:uid="{17BD1D7D-3779-4E75-900A-D0228633A5F6}"/>
    <hyperlink ref="Q2190" r:id="rId191" xr:uid="{8B705274-6772-4869-B3DE-2CF1C85C7880}"/>
    <hyperlink ref="Q2191" r:id="rId192" xr:uid="{0C12DCDA-C593-4682-814C-46A2BF024A37}"/>
    <hyperlink ref="Q2192" r:id="rId193" xr:uid="{3C51C929-3460-40A1-BFAA-FFBE12A56739}"/>
    <hyperlink ref="Q2194" r:id="rId194" xr:uid="{63DC33CC-8D2A-4B21-8A06-ADB363FF916C}"/>
    <hyperlink ref="Q2195" r:id="rId195" xr:uid="{E570CF7D-EB8B-4A5E-89C3-D1CC48DF2595}"/>
    <hyperlink ref="Q1826" r:id="rId196" xr:uid="{3C06B7E6-9F7C-4308-A8AA-95FA96BEDCE9}"/>
    <hyperlink ref="Q2196" r:id="rId197" xr:uid="{BFD586C4-97A7-408B-AD84-A60AC59A36DC}"/>
    <hyperlink ref="Q2197" r:id="rId198" xr:uid="{4D8ECF5F-4242-4F3F-8DC5-B8113ED42A8F}"/>
    <hyperlink ref="Q2198" r:id="rId199" xr:uid="{AB936499-4A36-4E7E-AF0D-4AAE325F8883}"/>
    <hyperlink ref="Q2199" r:id="rId200" xr:uid="{BE7A2305-130E-4FE6-8530-31C4AFA7D89E}"/>
    <hyperlink ref="Q2200" r:id="rId201" xr:uid="{B1AC3B66-CF99-4697-AD53-15FD8FB29301}"/>
    <hyperlink ref="Q2201" r:id="rId202" xr:uid="{07CA3451-8E6B-4EE2-805A-E1AB6B938BC2}"/>
    <hyperlink ref="Q2203" r:id="rId203" xr:uid="{5C063121-83FC-4BC0-B7F4-63787C62B840}"/>
    <hyperlink ref="Q2204" r:id="rId204" xr:uid="{12F1F38F-6C99-4BFB-815E-2DF98F4A2FF9}"/>
    <hyperlink ref="Q2205" r:id="rId205" xr:uid="{DEDB2668-0DAC-4C04-9B48-0BC893C1A04E}"/>
    <hyperlink ref="Q2206" r:id="rId206" xr:uid="{80DC7539-4FE1-4976-A6F6-1F0FB87FCFA3}"/>
    <hyperlink ref="Q2207" r:id="rId207" xr:uid="{A356DC50-B0BC-451C-8206-2D587184ABA0}"/>
    <hyperlink ref="Q2208" r:id="rId208" xr:uid="{C0E45B2F-23F8-4A85-AEEF-68CAEB9B32FD}"/>
    <hyperlink ref="Q2209" r:id="rId209" xr:uid="{D624E6D4-CE83-41A1-9041-5630FFB6320E}"/>
    <hyperlink ref="Q2210" r:id="rId210" xr:uid="{3CB548B0-EF6F-4CA3-8C01-E2E8716F14A1}"/>
    <hyperlink ref="Q2211" r:id="rId211" xr:uid="{F98CB943-90A1-4950-8D21-9EB48A58AF63}"/>
    <hyperlink ref="Q2212" r:id="rId212" xr:uid="{CEAE6051-3739-4F35-9033-DD30599E8B18}"/>
    <hyperlink ref="Q2213" r:id="rId213" xr:uid="{B11D0E9B-657E-441F-91F7-4F3070F87623}"/>
    <hyperlink ref="Q2214" r:id="rId214" xr:uid="{97ACC0FE-EEBC-45E6-9482-8377839A98FA}"/>
    <hyperlink ref="Q2215" r:id="rId215" xr:uid="{CFD90010-33BF-4E32-9F3C-62975E664ECF}"/>
    <hyperlink ref="Q2216" r:id="rId216" xr:uid="{979BF0BA-FFA2-4B2C-A4F0-77F222CF89A1}"/>
    <hyperlink ref="Q2217" r:id="rId217" xr:uid="{DC277B5D-4DBF-482E-B03E-6AD2F04F7715}"/>
    <hyperlink ref="Q2218" r:id="rId218" xr:uid="{9D423245-5EA4-4CDE-BEBC-A61A083124F4}"/>
    <hyperlink ref="Q2220" r:id="rId219" xr:uid="{6172D05C-7E6A-46FF-AA9D-A138496A10A0}"/>
    <hyperlink ref="Q1832" r:id="rId220" xr:uid="{9D0D19A9-CBCE-4FDB-95DF-FE5D118F934A}"/>
    <hyperlink ref="Q2221" r:id="rId221" xr:uid="{667F95E8-1053-4618-9F22-B831BC7B6388}"/>
    <hyperlink ref="Q2223" r:id="rId222" xr:uid="{66F986F4-8683-4D2F-BF27-74106D64DF19}"/>
    <hyperlink ref="Q2224" r:id="rId223" xr:uid="{55821151-B59E-410D-92E4-2A4FBEC78919}"/>
    <hyperlink ref="Q2225" r:id="rId224" xr:uid="{FF4A09D7-3DB2-43F7-A538-142303B89901}"/>
    <hyperlink ref="Q2227" r:id="rId225" xr:uid="{BF8E02D9-9DF6-48AA-8A90-CB7D0DCF3AB7}"/>
    <hyperlink ref="Q2229" r:id="rId226" xr:uid="{99A4692C-E2AD-400C-983C-1BB34472CA12}"/>
    <hyperlink ref="Q2230" r:id="rId227" xr:uid="{A478C3B4-DAB7-4814-A771-951448651F8C}"/>
    <hyperlink ref="Q2232" r:id="rId228" xr:uid="{92487058-710C-4A0A-80BA-DC8D860F5C41}"/>
    <hyperlink ref="Q2233" r:id="rId229" xr:uid="{F8E20F05-F384-40F7-86B9-9AAA0646B5CA}"/>
    <hyperlink ref="Q2234" r:id="rId230" xr:uid="{40DA959A-8478-465D-88EE-2129AF6E96A0}"/>
    <hyperlink ref="Q2237" r:id="rId231" xr:uid="{4ACE91F2-C8F2-4019-AC68-71CA7C681701}"/>
    <hyperlink ref="Q2239" r:id="rId232" xr:uid="{FEA38C5B-7EFF-40C9-8921-5353F98DB033}"/>
    <hyperlink ref="Q2240" r:id="rId233" xr:uid="{B932AA97-F369-479B-8AB1-4A51B616B378}"/>
    <hyperlink ref="Q2241" r:id="rId234" xr:uid="{D43C3C81-4A4D-4AA5-AA23-46FDF760D8E3}"/>
    <hyperlink ref="Q2243" r:id="rId235" xr:uid="{FE62217B-CE27-44A0-B11F-C24082AB83DC}"/>
    <hyperlink ref="Q2244" r:id="rId236" xr:uid="{C42E475F-49DA-4472-AB15-BDC13F187347}"/>
    <hyperlink ref="Q2245" r:id="rId237" xr:uid="{60DC3B59-0A67-4592-93B9-C432FBBA6230}"/>
    <hyperlink ref="Q2246" r:id="rId238" xr:uid="{C0A76C17-2706-4081-9C9A-F8F5BD92B1FE}"/>
    <hyperlink ref="Q2248" r:id="rId239" xr:uid="{B53D959E-B910-43A0-970A-9EA7DC5BD194}"/>
    <hyperlink ref="Q2249" r:id="rId240" xr:uid="{A103A151-4BF2-4AF7-803F-59DDA673308E}"/>
    <hyperlink ref="Q2251" r:id="rId241" xr:uid="{28199BE6-9AAF-457C-BF3E-7448CE4B52EE}"/>
    <hyperlink ref="Q2252" r:id="rId242" xr:uid="{6558506E-589C-4FFA-A0EE-7838A0BE9E08}"/>
    <hyperlink ref="Q2253" r:id="rId243" xr:uid="{89AE5C73-6217-4BEB-8F5E-769625202AA8}"/>
    <hyperlink ref="Q2254" r:id="rId244" xr:uid="{0C102194-9FC6-4AB6-B5A1-CEBE577B0D7B}"/>
    <hyperlink ref="Q2255" r:id="rId245" xr:uid="{76C9A3D9-6AD6-439E-B41B-1FFC288C7308}"/>
    <hyperlink ref="Q2256" r:id="rId246" xr:uid="{7168887D-BF5C-42DE-92F4-DC491F832F49}"/>
    <hyperlink ref="Q2257" r:id="rId247" xr:uid="{6B04A07C-8652-4A65-A282-537FCC9EFC6C}"/>
    <hyperlink ref="Q2261" r:id="rId248" xr:uid="{659E467F-C7C3-47B0-A3CE-749697AB3FCA}"/>
    <hyperlink ref="Q2262" r:id="rId249" xr:uid="{14ABF7F9-0D9C-4AE1-A1DD-1DED3AA34CA0}"/>
    <hyperlink ref="Q2263" r:id="rId250" xr:uid="{EF4AA784-E596-4456-B354-5065B46A5D6A}"/>
    <hyperlink ref="Q3" r:id="rId251" xr:uid="{503A42DB-85F8-4E3C-BDF4-A4C3B21BB5F0}"/>
    <hyperlink ref="Q2264" r:id="rId252" xr:uid="{BC8ED6C5-FA75-411B-BEA5-5D0B64939448}"/>
    <hyperlink ref="Q2265" r:id="rId253" xr:uid="{7994657A-91CC-4A33-9380-FB2F45BEC781}"/>
    <hyperlink ref="Q4" r:id="rId254" xr:uid="{7BE44B3F-3AFF-45C9-8A49-757084D9FB6B}"/>
    <hyperlink ref="Q2266" r:id="rId255" xr:uid="{61088B9E-61B3-4A39-9000-C505D78A2B0D}"/>
    <hyperlink ref="Q2267" r:id="rId256" xr:uid="{574ED503-87FD-4874-AB50-435931D2F870}"/>
    <hyperlink ref="Q5" r:id="rId257" xr:uid="{22112D87-6384-401D-98E6-64BE5AE36828}"/>
    <hyperlink ref="Q2268" r:id="rId258" xr:uid="{9288ECC5-F396-4F9E-8B23-614AD0CF9C4D}"/>
    <hyperlink ref="Q2269" r:id="rId259" xr:uid="{1BCD19FB-75C2-4F0F-8C6B-9F9B3D10D9E4}"/>
    <hyperlink ref="Q2270" r:id="rId260" xr:uid="{330D5497-0071-4A73-AC9C-972905D112E5}"/>
    <hyperlink ref="Q2272" r:id="rId261" xr:uid="{55F98C8B-6050-4E91-8112-21B1089F93EF}"/>
    <hyperlink ref="Q2273" r:id="rId262" xr:uid="{1BC82A41-ACC9-4604-A58F-178651B4DF4C}"/>
    <hyperlink ref="Q2274" r:id="rId263" xr:uid="{071F8119-35CD-4E76-B349-D11816BD05FC}"/>
    <hyperlink ref="Q2275" r:id="rId264" xr:uid="{4C3B078C-F708-4D50-BAD3-21B03148F5BD}"/>
    <hyperlink ref="Q2276" r:id="rId265" xr:uid="{A929D83B-C0A5-499F-9EF5-1C2F63005942}"/>
    <hyperlink ref="Q2277" r:id="rId266" xr:uid="{3B95059D-5D5D-4781-8B83-02A9145C4174}"/>
    <hyperlink ref="Q2278" r:id="rId267" xr:uid="{D7866F8D-4C21-4383-AF8F-9D46F35F60A4}"/>
    <hyperlink ref="Q2279" r:id="rId268" xr:uid="{E1654C1E-1C2D-4FB9-A960-0C04899DAA06}"/>
    <hyperlink ref="Q2280" r:id="rId269" xr:uid="{24818D4E-C363-4EBE-822A-190AD47479E4}"/>
    <hyperlink ref="Q2281" r:id="rId270" xr:uid="{117B1E0F-8F34-449A-A6CA-15A09FD40EB6}"/>
    <hyperlink ref="Q2282" r:id="rId271" xr:uid="{0DC04A7A-1FD2-4FC7-9CFE-C25AE49C1A7D}"/>
    <hyperlink ref="Q2283" r:id="rId272" xr:uid="{F4E88A09-E433-4B82-B034-B1B7B09EC7E9}"/>
    <hyperlink ref="Q2284" r:id="rId273" xr:uid="{07C8ABDD-74CF-40D1-B342-008EE2B7719C}"/>
    <hyperlink ref="Q2285" r:id="rId274" xr:uid="{EEC75A26-070B-4D51-94B8-80A80499806E}"/>
    <hyperlink ref="Q2286" r:id="rId275" xr:uid="{BC2AE9B0-9AF1-4042-B616-64F273D07B29}"/>
    <hyperlink ref="Q2287" r:id="rId276" xr:uid="{9647F72B-222F-4A08-BBB4-7B8603405E44}"/>
    <hyperlink ref="Q2288" r:id="rId277" xr:uid="{147601BB-03BF-4FD9-9786-1E4D08F2C5DC}"/>
    <hyperlink ref="Q2289" r:id="rId278" xr:uid="{F4C1238E-24E4-486A-B16C-14B3EAB18467}"/>
    <hyperlink ref="Q2290" r:id="rId279" xr:uid="{C71206C9-9E94-40A0-B910-47471410C106}"/>
    <hyperlink ref="Q2291" r:id="rId280" xr:uid="{BFD80647-3E5B-47DA-8B45-EA748DE0AD3F}"/>
    <hyperlink ref="Q2294" r:id="rId281" xr:uid="{89819CBE-BFF0-4BE0-8995-2BFDEB4B4DA1}"/>
    <hyperlink ref="Q2293" r:id="rId282" xr:uid="{4EC449A8-12D8-4148-BB6C-D61C46E315E4}"/>
    <hyperlink ref="Q2292" r:id="rId283" xr:uid="{AAE83B9D-2DC2-4872-ABAE-6A8F20A6C62C}"/>
    <hyperlink ref="Q2295" r:id="rId284" xr:uid="{7211CBBD-FC1E-4CC4-81FC-4ADC956ADF9C}"/>
    <hyperlink ref="Q20" r:id="rId285" xr:uid="{D50A65D9-FC1B-4FC8-A018-E011514C2B97}"/>
    <hyperlink ref="Q2296" r:id="rId286" xr:uid="{ADB2CFAA-5A01-44C3-A506-17731B1FAB91}"/>
    <hyperlink ref="Q2298" r:id="rId287" xr:uid="{FACCE40B-E0DB-44E3-8284-4EBB628396EE}"/>
    <hyperlink ref="Q2297" r:id="rId288" xr:uid="{03D99524-A8EE-43C1-8B28-D4532621AD66}"/>
    <hyperlink ref="Q2299" r:id="rId289" xr:uid="{9015B05D-B832-4085-9A08-F2ADE736A53E}"/>
    <hyperlink ref="Q2300" r:id="rId290" xr:uid="{DA3667C3-94C2-4987-AF8A-F9B0DC0F1386}"/>
    <hyperlink ref="Q2301" r:id="rId291" xr:uid="{4A601B25-6801-4D8E-BB10-9652A3930E76}"/>
    <hyperlink ref="Q2302" r:id="rId292" xr:uid="{7DF9F97F-853C-477B-81E5-2DD790626AA7}"/>
    <hyperlink ref="Q2303" r:id="rId293" xr:uid="{79582B5A-F945-42AD-8E9C-A4F2EECB2078}"/>
    <hyperlink ref="Q2304" r:id="rId294" xr:uid="{DBE0650C-1B00-41E6-92B6-B54AE10BAD91}"/>
    <hyperlink ref="Q2305" r:id="rId295" xr:uid="{EF807A7A-B791-49B7-ABF9-210AAE0A555B}"/>
    <hyperlink ref="Q2306" r:id="rId296" xr:uid="{E0DEA128-CC2E-40E8-A207-30B4458EA8AD}"/>
    <hyperlink ref="Q2307" r:id="rId297" xr:uid="{F9690A59-7248-48AC-BAE2-786B7BF9609F}"/>
    <hyperlink ref="Q2308" r:id="rId298" xr:uid="{857BC2B5-FA40-4368-93B6-9DACD0D198D0}"/>
    <hyperlink ref="Q2309" r:id="rId299" xr:uid="{DE2F397F-28F5-4CE0-96AB-3B39761DC0DB}"/>
    <hyperlink ref="Q2311" r:id="rId300" xr:uid="{3AB46377-D08B-4B9A-B0A2-C31683AC83D6}"/>
    <hyperlink ref="Q2312" r:id="rId301" xr:uid="{9519E3A4-4A78-41DF-BF5E-79E0FA7E7D7F}"/>
    <hyperlink ref="Q2313" r:id="rId302" xr:uid="{ED9D0402-3BDF-46E4-9A41-4549DFAD5AE7}"/>
    <hyperlink ref="Q2314" r:id="rId303" xr:uid="{75DEF1DB-BA22-446A-B235-9652A8131B08}"/>
    <hyperlink ref="Q2315" r:id="rId304" xr:uid="{F6573CD4-7FDC-458F-9B6C-A4E61F473215}"/>
    <hyperlink ref="Q2316" r:id="rId305" xr:uid="{BF1ABCD7-227C-4EA5-86B2-FA2835233C4C}"/>
    <hyperlink ref="Q2317" r:id="rId306" xr:uid="{D09738CE-0AFD-4190-B174-4BC503156E3A}"/>
    <hyperlink ref="Q2318" r:id="rId307" xr:uid="{EA96E618-FF07-488B-938E-58EAE19630BE}"/>
    <hyperlink ref="Q2319" r:id="rId308" xr:uid="{A3667E27-4CAA-4F7F-BEED-3714E93E7234}"/>
    <hyperlink ref="Q2320" r:id="rId309" xr:uid="{25649F2E-DB00-4917-86D9-BD4ABF1A8D42}"/>
    <hyperlink ref="Q2321" r:id="rId310" xr:uid="{EDBB5415-9404-4EF5-8508-6F582AB0D71C}"/>
    <hyperlink ref="Q2322" r:id="rId311" xr:uid="{131F4835-275D-46B0-9D68-902613882712}"/>
    <hyperlink ref="Q2323" r:id="rId312" xr:uid="{C40F5F0F-49BE-44EF-B0C8-6D7E90AD877C}"/>
    <hyperlink ref="Q2326" r:id="rId313" xr:uid="{B662F819-BFB2-4EEF-9225-4BD5E6DC2261}"/>
    <hyperlink ref="Q2327" r:id="rId314" xr:uid="{6E34D6EE-D253-4F06-9576-0B9B2241707A}"/>
    <hyperlink ref="Q2330" r:id="rId315" xr:uid="{F9A8F770-0309-4460-9ACA-867E0DE62740}"/>
    <hyperlink ref="Q2331" r:id="rId316" xr:uid="{FB672F52-E33F-4C37-974F-66C3FC5541AB}"/>
    <hyperlink ref="Q2332" r:id="rId317" xr:uid="{01C7FB16-2F5E-4629-8597-1E4C28E977BE}"/>
    <hyperlink ref="Q2333" r:id="rId318" xr:uid="{A5FCE579-935D-4681-8476-F1508C91561C}"/>
    <hyperlink ref="Q2334" r:id="rId319" xr:uid="{E440703D-A636-4B52-8CF1-14F64BEE076F}"/>
    <hyperlink ref="Q2336" r:id="rId320" xr:uid="{089E6A8C-24D0-4F22-AFA8-0B8B96C2A021}"/>
    <hyperlink ref="Q2337" r:id="rId321" xr:uid="{C5409FED-BA25-42C5-9150-771005630858}"/>
    <hyperlink ref="Q2338" r:id="rId322" xr:uid="{1BC7260D-505B-4D27-82FF-E14BABD4FE44}"/>
    <hyperlink ref="Q2339" r:id="rId323" xr:uid="{33C46E48-7057-4BA4-B80E-076222B9C57D}"/>
    <hyperlink ref="Q2340" r:id="rId324" xr:uid="{B114974E-55A6-4CC0-A54A-C5844CE4A2D5}"/>
    <hyperlink ref="Q2341" r:id="rId325" xr:uid="{D4CF7FB7-6FE2-4A66-BD0D-ACB78F480903}"/>
    <hyperlink ref="Q2342" r:id="rId326" xr:uid="{7D0DECC1-8A56-489F-B3C2-E44110E85E88}"/>
    <hyperlink ref="Q2343" r:id="rId327" xr:uid="{EDBCD894-E86E-4CD9-A2E0-7916285FEAFD}"/>
    <hyperlink ref="Q2345" r:id="rId328" xr:uid="{0E6107A1-1C64-49A9-8322-F5DF2E52D58C}"/>
    <hyperlink ref="Q2348" r:id="rId329" xr:uid="{E68FCDD7-6320-46AF-A96E-F2B11BE82D61}"/>
    <hyperlink ref="Q2349" r:id="rId330" xr:uid="{1540265F-D48C-478B-BC64-2673A4F5313E}"/>
    <hyperlink ref="Q2350" r:id="rId331" xr:uid="{8D1DF3E2-E25D-460D-83C3-9F3C2BA0D954}"/>
    <hyperlink ref="Q2351" r:id="rId332" xr:uid="{21ADB910-87B3-4F26-8D3A-CA2CBA62184B}"/>
    <hyperlink ref="Q2352" r:id="rId333" xr:uid="{FF083FC8-0AF5-47E6-AB17-1BBA4C99340C}"/>
    <hyperlink ref="Q9" r:id="rId334" xr:uid="{2FB32F34-D238-4AE9-BF5D-8556D3FA06E8}"/>
    <hyperlink ref="Q2353" r:id="rId335" xr:uid="{2AD9C4ED-CACC-446B-9B96-72E5E2421FD3}"/>
    <hyperlink ref="Q2354" r:id="rId336" xr:uid="{074BA0B4-99D2-4124-9EFF-CD0A119E219D}"/>
    <hyperlink ref="Q2355" r:id="rId337" xr:uid="{8175FEFE-275E-4165-ACD2-7D938B91801D}"/>
    <hyperlink ref="Q10" r:id="rId338" xr:uid="{978B535B-4B2A-4F12-97B6-0DA49399F8D4}"/>
    <hyperlink ref="Q2358" r:id="rId339" xr:uid="{AB059421-4906-4462-B34E-6F5849EF4E34}"/>
    <hyperlink ref="Q2360" r:id="rId340" xr:uid="{089E8871-BA04-4994-AA4D-AFA8ED874DE0}"/>
    <hyperlink ref="Q2361" r:id="rId341" xr:uid="{319A3C1D-2711-4520-90D6-CC38CD08AC5E}"/>
    <hyperlink ref="Q2362" r:id="rId342" xr:uid="{F8C1DCE5-11C9-47D7-91ED-12C568729EB1}"/>
    <hyperlink ref="Q2363" r:id="rId343" xr:uid="{29958DAB-7A0D-454E-98A2-0DA75387B355}"/>
    <hyperlink ref="Q2364" r:id="rId344" xr:uid="{E74510C0-016A-4524-A315-75F5ECA63B80}"/>
    <hyperlink ref="Q2365" r:id="rId345" xr:uid="{64C6B484-584E-4DB9-863F-DCC37DC6B469}"/>
    <hyperlink ref="Q2366" r:id="rId346" xr:uid="{2CF16EF0-6502-4C02-8481-8D2E5623DA2B}"/>
    <hyperlink ref="Q2367" r:id="rId347" xr:uid="{8B5DCEFE-5159-45F8-9893-395F0FE14926}"/>
    <hyperlink ref="Q2368" r:id="rId348" xr:uid="{8364980E-8170-4FF7-B460-FCFBED83BCDD}"/>
    <hyperlink ref="Q2369" r:id="rId349" xr:uid="{DC2E1406-BBF2-4AF0-9F35-E946C32DAF9B}"/>
    <hyperlink ref="Q2370" r:id="rId350" xr:uid="{04449F21-A73D-4EB4-B4FF-1F572A097B6F}"/>
    <hyperlink ref="Q2372" r:id="rId351" xr:uid="{86739818-0BEC-4D79-80F8-7089C520B591}"/>
    <hyperlink ref="Q2373" r:id="rId352" xr:uid="{EA5AE5CC-9AF9-47F0-9C48-DCEEC3115871}"/>
    <hyperlink ref="Q2374" r:id="rId353" xr:uid="{BCD0CB93-E67A-4D56-A630-FA42EA533E85}"/>
    <hyperlink ref="Q2375" r:id="rId354" xr:uid="{77C6248C-10E3-499C-88FD-EB12DD759EAC}"/>
    <hyperlink ref="Q2376" r:id="rId355" xr:uid="{9F2A1099-0324-4693-A1F3-D8E84512B7EC}"/>
    <hyperlink ref="Q2377" r:id="rId356" xr:uid="{3ADD4D4B-4B50-41A5-8712-6E6775245D4A}"/>
    <hyperlink ref="Q2378" r:id="rId357" xr:uid="{C4D99E20-6494-490B-B394-04ED405C94A4}"/>
    <hyperlink ref="Q2379" r:id="rId358" xr:uid="{B3A0728A-470E-4C82-9F70-81F4B32A5F6C}"/>
    <hyperlink ref="Q2380" r:id="rId359" xr:uid="{44A34DBE-AED6-45CD-BF47-48381B1629A0}"/>
    <hyperlink ref="Q2381" r:id="rId360" xr:uid="{697576DE-CDF5-4679-BCFC-285484614B72}"/>
    <hyperlink ref="Q2382" r:id="rId361" xr:uid="{FFCE4F45-32D3-4321-BA24-977F013C855C}"/>
    <hyperlink ref="Q2385" r:id="rId362" xr:uid="{37C98984-113C-4A42-942B-CBD36428D560}"/>
    <hyperlink ref="Q2386" r:id="rId363" xr:uid="{0C5CF1AE-78BF-4D9C-9984-6ECA8235E740}"/>
    <hyperlink ref="Q2387" r:id="rId364" xr:uid="{ACABC869-E041-4A47-B498-0AE8451E331F}"/>
    <hyperlink ref="Q2388" r:id="rId365" xr:uid="{37C5A3A3-9326-499B-AC12-6BA08E9A2DA2}"/>
    <hyperlink ref="Q2389" r:id="rId366" xr:uid="{9210F24E-DADF-49FE-AC50-2A3E16283663}"/>
    <hyperlink ref="Q2390" r:id="rId367" xr:uid="{F1CD4A44-8908-4F95-9CBB-364367813098}"/>
    <hyperlink ref="Q2391" r:id="rId368" xr:uid="{64D44BCF-F8EA-4EA9-B746-BA516722F02B}"/>
    <hyperlink ref="Q2392" r:id="rId369" xr:uid="{4A5F021C-7086-4561-B9B6-288E35705046}"/>
    <hyperlink ref="Q2393" r:id="rId370" xr:uid="{5DF1501B-00D1-4EE9-B4CB-EFCB8625C132}"/>
    <hyperlink ref="Q2394" r:id="rId371" xr:uid="{2D657552-3DD9-4F10-87CB-9EC5A9762270}"/>
    <hyperlink ref="Q2395" r:id="rId372" xr:uid="{A1640D2F-816E-4874-8F6E-FBF0C6F2E4F5}"/>
    <hyperlink ref="Q2396" r:id="rId373" xr:uid="{764964E4-060D-40A9-A26A-E23EB756D228}"/>
    <hyperlink ref="Q2397" r:id="rId374" xr:uid="{113BF408-500D-49AC-890C-48648816C5ED}"/>
    <hyperlink ref="Q2398" r:id="rId375" xr:uid="{4AFB745F-B326-45FB-A7D2-59D48EBB02B8}"/>
    <hyperlink ref="Q2399" r:id="rId376" xr:uid="{956032C6-C584-4B1D-AD41-32CF173057FA}"/>
    <hyperlink ref="Q2400" r:id="rId377" xr:uid="{2C063476-4E9B-4095-8378-E757A26142A3}"/>
    <hyperlink ref="Q2401" r:id="rId378" xr:uid="{648C5627-618D-4A44-BB76-8D772C63492B}"/>
    <hyperlink ref="Q2402" r:id="rId379" xr:uid="{2F269EF6-2974-4BCB-905D-9E378BF1A39A}"/>
    <hyperlink ref="Q2404" r:id="rId380" xr:uid="{7B87E092-929F-42CF-B849-C27F71D87E5D}"/>
    <hyperlink ref="Q2405" r:id="rId381" xr:uid="{1E2B96F1-5C60-458E-9AF2-D7EC6B171F4B}"/>
    <hyperlink ref="Q2406" r:id="rId382" xr:uid="{09D6833C-EB79-460D-99FE-7DA69E8E26E7}"/>
    <hyperlink ref="Q2407" r:id="rId383" xr:uid="{19682008-4778-4ACA-857E-AB3E0319019C}"/>
    <hyperlink ref="Q2408" r:id="rId384" xr:uid="{B15CA26D-8C88-40A2-B4F2-EBC47128325B}"/>
    <hyperlink ref="Q2409" r:id="rId385" xr:uid="{425A8048-68A2-42B8-99AA-D93A391771AC}"/>
    <hyperlink ref="Q2410" r:id="rId386" xr:uid="{399B6D92-9FA3-44DA-A34B-F9A9731813E9}"/>
    <hyperlink ref="Q2411" r:id="rId387" xr:uid="{899A5010-FDDB-4377-BA61-C7846813126E}"/>
    <hyperlink ref="Q2412" r:id="rId388" xr:uid="{87AFF79F-7A68-4F87-8B17-343F5ACDB2CC}"/>
    <hyperlink ref="Q2413" r:id="rId389" xr:uid="{794451E1-7131-4F8A-B519-59319AF0CBDE}"/>
    <hyperlink ref="Q2414" r:id="rId390" xr:uid="{81B872E5-C476-4364-BEB7-667BB97E6D2A}"/>
    <hyperlink ref="Q2415" r:id="rId391" xr:uid="{817A2679-548C-44ED-9F14-2DC2BFCDE1BE}"/>
    <hyperlink ref="Q2416" r:id="rId392" xr:uid="{9B56E18F-06FB-47B9-9E28-14052C2BA191}"/>
    <hyperlink ref="Q2417" r:id="rId393" xr:uid="{D81AC5DC-F998-481F-963D-A07894664F93}"/>
    <hyperlink ref="Q2418" r:id="rId394" xr:uid="{B2884224-EF93-4011-8741-DA4D88F8A73F}"/>
    <hyperlink ref="Q2420" r:id="rId395" xr:uid="{2A61C3B2-6DE8-4793-91C9-9A1F859AD436}"/>
    <hyperlink ref="Q2421" r:id="rId396" xr:uid="{8372AA22-3938-45E5-BB9D-8B93E4B39220}"/>
    <hyperlink ref="Q2423" r:id="rId397" xr:uid="{B90634C4-A98E-4ADD-9807-E6B306A38AF0}"/>
    <hyperlink ref="Q2424" r:id="rId398" xr:uid="{1A561F38-9D10-4ECA-93D0-B3C33FFBD78D}"/>
    <hyperlink ref="Q2425" r:id="rId399" xr:uid="{CB456CA4-23F1-4F0A-9B72-29CD3296BD36}"/>
    <hyperlink ref="Q2426" r:id="rId400" xr:uid="{D2E31CBA-A4C5-489D-93A4-FC2AD93BBA6B}"/>
    <hyperlink ref="Q2427" r:id="rId401" xr:uid="{509D1363-CD3A-46DE-AD55-A03C3AFEB4DC}"/>
    <hyperlink ref="Q2428" r:id="rId402" xr:uid="{E91D56BA-4AA4-4FD2-83D4-D3B3F14EA8BA}"/>
    <hyperlink ref="Q2429" r:id="rId403" xr:uid="{48D2ADF5-5C21-46EB-93E6-FF60F9757A9A}"/>
    <hyperlink ref="Q2430" r:id="rId404" xr:uid="{A1EB8E44-E6FD-4358-8F2B-CAFEE9E7FF59}"/>
    <hyperlink ref="Q2431" r:id="rId405" xr:uid="{96BA386C-E8D8-455B-A038-0B401CA6BD10}"/>
    <hyperlink ref="Q2432" r:id="rId406" xr:uid="{BF773B70-0D75-4D47-A2E3-0B6395896AB2}"/>
    <hyperlink ref="Q2433" r:id="rId407" xr:uid="{3DE110BE-370F-490F-9E04-D0AB416034F1}"/>
    <hyperlink ref="Q2434" r:id="rId408" xr:uid="{47AEF935-965E-47E5-AE7E-F4F6E75D2B43}"/>
    <hyperlink ref="Q2435" r:id="rId409" xr:uid="{9A6A54E5-1FA2-4D31-A251-665A5F7C37A2}"/>
    <hyperlink ref="Q2436" r:id="rId410" xr:uid="{8A208596-549B-4160-A465-202588C594CA}"/>
    <hyperlink ref="Q2437" r:id="rId411" xr:uid="{BB599A79-85CB-4B1C-8302-C5CD6BBEABC0}"/>
    <hyperlink ref="Q2438" r:id="rId412" xr:uid="{CC4C4664-DA0C-4D91-BB90-B34A41089794}"/>
    <hyperlink ref="Q2439" r:id="rId413" xr:uid="{F8D623AD-A84E-4B70-8F50-833DCE6BF809}"/>
    <hyperlink ref="Q2440" r:id="rId414" xr:uid="{0CEE02E8-18C6-4D55-814C-B71604CDF659}"/>
    <hyperlink ref="Q2441" r:id="rId415" xr:uid="{CA897043-D429-465C-9243-B2D23F002F37}"/>
    <hyperlink ref="Q2442" r:id="rId416" xr:uid="{BB29149E-5617-4108-83A1-0DA7DA3AD8F9}"/>
    <hyperlink ref="Q2443" r:id="rId417" xr:uid="{B0A36921-6730-497D-8ED4-ECC386FA2E26}"/>
    <hyperlink ref="Q2444" r:id="rId418" xr:uid="{FB79F656-F3AD-4CB9-9907-4825C43E308A}"/>
    <hyperlink ref="Q2445" r:id="rId419" xr:uid="{6844C9B1-14C5-452F-B4D8-341343BD7698}"/>
    <hyperlink ref="Q2446" r:id="rId420" xr:uid="{912FA6C6-0AEE-48B5-9B3F-CE1E70D3393A}"/>
    <hyperlink ref="Q2447" r:id="rId421" xr:uid="{0AB9A539-185A-41D5-9306-86B2F11DA4D9}"/>
    <hyperlink ref="Q2448" r:id="rId422" xr:uid="{08872163-9BA2-449C-8BAB-365B31D8816B}"/>
    <hyperlink ref="Q2451" r:id="rId423" xr:uid="{02FBE52D-D44F-4B88-AE6A-CCE3F879E565}"/>
    <hyperlink ref="Q2452" r:id="rId424" xr:uid="{952ABB9D-E30B-4FDE-BA72-23D1F3AC33C5}"/>
    <hyperlink ref="Q2454" r:id="rId425" xr:uid="{A9423D67-3811-4F6A-9ADD-A0BB212FF00F}"/>
    <hyperlink ref="Q2455" r:id="rId426" xr:uid="{27C23640-4E57-4787-A5AC-6BB39D7E38E0}"/>
    <hyperlink ref="Q2456" r:id="rId427" xr:uid="{9AD1224E-C480-4A01-AED5-25A11DA3599A}"/>
    <hyperlink ref="Q2457" r:id="rId428" xr:uid="{7508D093-C4BE-49AE-A786-0AB72BD52A5F}"/>
    <hyperlink ref="Q2458" r:id="rId429" xr:uid="{6487D059-DA63-4509-A06C-21D1418C4AE7}"/>
    <hyperlink ref="Q2459" r:id="rId430" xr:uid="{484A8603-F8D0-4781-8A7B-90ED0CADDDBA}"/>
    <hyperlink ref="Q2460" r:id="rId431" xr:uid="{C7E0C296-68CC-4D53-A766-22FF2AD09335}"/>
    <hyperlink ref="Q2461" r:id="rId432" xr:uid="{D3BC03AB-9882-4195-AE5D-95DED7C348CD}"/>
    <hyperlink ref="Q2462" r:id="rId433" xr:uid="{635365EA-AD56-45EB-BC95-512BB0F7C971}"/>
    <hyperlink ref="Q2463" r:id="rId434" xr:uid="{668BC3F4-922F-4221-B927-A48F74CE92DD}"/>
    <hyperlink ref="Q2464" r:id="rId435" xr:uid="{1291EA76-ED9D-41E1-878E-0FA61F208AE3}"/>
    <hyperlink ref="Q2465" r:id="rId436" xr:uid="{9D679208-7292-4B91-A891-DF89D90D0DE8}"/>
    <hyperlink ref="Q2466" r:id="rId437" xr:uid="{62C95E7A-41F1-4588-8C81-43BDDA5FE12B}"/>
    <hyperlink ref="Q2467" r:id="rId438" xr:uid="{001D7130-228A-4207-89BE-80A29B275628}"/>
    <hyperlink ref="Q2468" r:id="rId439" xr:uid="{3040B70B-09E8-4263-9EF2-43FA4D3247FE}"/>
    <hyperlink ref="Q2469" r:id="rId440" xr:uid="{985763BB-11AD-4066-9766-6A02C26D0699}"/>
    <hyperlink ref="Q2471" r:id="rId441" xr:uid="{4B27A18D-DF38-46A0-ABE4-473863CCA511}"/>
    <hyperlink ref="Q2472" r:id="rId442" xr:uid="{ED67EA0B-ED42-45C9-BB69-D852062EF453}"/>
    <hyperlink ref="Q2473" r:id="rId443" xr:uid="{0F73A6DD-F499-4DCD-88FF-9C8B381D4638}"/>
    <hyperlink ref="Q2474" r:id="rId444" xr:uid="{34520163-C77F-4396-864F-E976CCCCC41A}"/>
    <hyperlink ref="Q2475" r:id="rId445" xr:uid="{AC089B75-11B4-4B98-AC84-308BA0C05D37}"/>
    <hyperlink ref="Q2476" r:id="rId446" xr:uid="{343C3820-8212-48D1-99F7-92439A141808}"/>
    <hyperlink ref="Q2477" r:id="rId447" xr:uid="{C8A90786-0BA4-48E6-8875-32A41D337A69}"/>
    <hyperlink ref="Q2480" r:id="rId448" xr:uid="{F84E0500-8D97-4770-8E29-6814F7BA282E}"/>
    <hyperlink ref="Q11" r:id="rId449" xr:uid="{29365178-A76C-40C7-8144-6E65C1B26DF2}"/>
    <hyperlink ref="Q12" r:id="rId450" xr:uid="{F4F3237F-CFD8-4136-975C-91D4CF381AF1}"/>
    <hyperlink ref="Q13" r:id="rId451" xr:uid="{37F8BE2E-177D-4BF8-84C0-2DCB59B5771C}"/>
    <hyperlink ref="Q14" r:id="rId452" xr:uid="{73F89E09-EBBB-44DF-8939-AE1F0640C9A0}"/>
    <hyperlink ref="Q2010" r:id="rId453" xr:uid="{041425BA-946C-4C06-9355-811070C10DEE}"/>
    <hyperlink ref="Q2008" r:id="rId454" xr:uid="{A6DCCCB5-B1C8-4113-90C3-F3A52DC06A6A}"/>
    <hyperlink ref="Q2007" r:id="rId455" xr:uid="{2D52EB4C-9B71-41E1-902B-39BD241155DB}"/>
    <hyperlink ref="Q2006" r:id="rId456" xr:uid="{8F2EE30D-4743-405D-AC9D-99F6825561F1}"/>
    <hyperlink ref="Q2005" r:id="rId457" xr:uid="{F2ADAE6D-9537-4BCC-A5EC-D5E5B8A52DAE}"/>
    <hyperlink ref="Q15" r:id="rId458" xr:uid="{2BF1570F-CD4C-45C6-9D48-F3ABC194D6C4}"/>
    <hyperlink ref="Q2002" r:id="rId459" xr:uid="{B2903FD7-2117-4095-931C-A6E991DCDCDE}"/>
    <hyperlink ref="Q2001" r:id="rId460" xr:uid="{15B28624-2948-4042-BA73-161BF621AF86}"/>
    <hyperlink ref="Q16" r:id="rId461" xr:uid="{74B3BFA4-F827-4B8B-B62C-09EFA64EEE4A}"/>
    <hyperlink ref="Q2000" r:id="rId462" xr:uid="{CDFAC1CE-52C5-41C2-A6CF-E6ECB3E0E08C}"/>
    <hyperlink ref="Q1999" r:id="rId463" xr:uid="{775406F6-62B4-4F3C-ABD5-7F3C1BAF04DB}"/>
    <hyperlink ref="Q1998" r:id="rId464" xr:uid="{C122D2F2-023D-459E-99FB-C2DD5F7605D5}"/>
    <hyperlink ref="Q1997" r:id="rId465" xr:uid="{E6478D0B-1B5A-484C-B7D4-EE331803CEEB}"/>
    <hyperlink ref="Q1995" r:id="rId466" xr:uid="{F07B8B80-52EC-4153-B715-B5E4630A41E8}"/>
    <hyperlink ref="Q17" r:id="rId467" xr:uid="{7DA060DC-90A2-4721-8906-4BD63F836AB3}"/>
    <hyperlink ref="Q1994" r:id="rId468" xr:uid="{860A09F0-7EB1-4E86-B123-2BFFF597E334}"/>
    <hyperlink ref="Q1993" r:id="rId469" xr:uid="{814F2F70-5750-4420-A8B2-5F11176C9FD8}"/>
    <hyperlink ref="Q1992" r:id="rId470" xr:uid="{C9412075-BA07-46F3-BDC4-EAA640186270}"/>
    <hyperlink ref="Q1991" r:id="rId471" xr:uid="{D9C3C313-DC43-4B50-A601-1D64BCE0DA42}"/>
    <hyperlink ref="Q1990" r:id="rId472" xr:uid="{3EDD3A45-6D0B-466F-A6A6-EB97B17C2F44}"/>
    <hyperlink ref="Q1988" r:id="rId473" xr:uid="{29B26847-CAAC-435C-8897-AA120E13A700}"/>
    <hyperlink ref="Q1987" r:id="rId474" xr:uid="{06C3D9DA-AAE2-4576-9960-137A920DC28A}"/>
    <hyperlink ref="Q18" r:id="rId475" xr:uid="{1822EC2D-F71A-498B-AECE-21E071DE1628}"/>
    <hyperlink ref="Q1986" r:id="rId476" xr:uid="{70B8F4C8-FB36-4E2E-A711-EAFD1BAA345E}"/>
    <hyperlink ref="Q1985" r:id="rId477" xr:uid="{C5C77CF9-0D66-4AEE-B2CD-DE5D9F6D1E37}"/>
    <hyperlink ref="Q1984" r:id="rId478" xr:uid="{D376DD26-E4C2-4238-8744-B24087DF3639}"/>
    <hyperlink ref="Q1983" r:id="rId479" xr:uid="{37D42AD2-C1F8-4EF2-86B3-D31AB97C012B}"/>
    <hyperlink ref="Q19" r:id="rId480" xr:uid="{C1B6F6DE-0D12-47F7-9CB6-783B5006D390}"/>
    <hyperlink ref="Q1982" r:id="rId481" xr:uid="{84593527-D22E-4C23-B6D8-0246395B05DD}"/>
    <hyperlink ref="Q1980" r:id="rId482" xr:uid="{4D086016-5765-402B-8B62-0887D3490CE4}"/>
    <hyperlink ref="Q1979" r:id="rId483" xr:uid="{16757D6F-4A89-4C52-8949-E8BA5A742BB5}"/>
    <hyperlink ref="Q1978" r:id="rId484" xr:uid="{333BCAEE-7327-40BE-8796-19BAA73552E5}"/>
    <hyperlink ref="Q1977" r:id="rId485" xr:uid="{E3274211-6D1E-42E3-A546-9B6AF62DFDD0}"/>
    <hyperlink ref="Q1976" r:id="rId486" xr:uid="{06C1D7A9-829C-4908-B40A-880543EB702F}"/>
    <hyperlink ref="Q1975" r:id="rId487" xr:uid="{1DE66EFF-C8D3-419F-8FA8-A26C9AB3DB9C}"/>
    <hyperlink ref="Q1974" r:id="rId488" xr:uid="{F6892803-A15E-44AC-BF4F-8F55C7D7F814}"/>
    <hyperlink ref="Q1973" r:id="rId489" xr:uid="{D45FFEBB-8897-46EC-9F9C-40986F30E04C}"/>
    <hyperlink ref="Q1972" r:id="rId490" xr:uid="{E3D2E34B-A2AA-432A-953F-AC9C3103CAE7}"/>
    <hyperlink ref="Q1971" r:id="rId491" xr:uid="{D23806A2-8EA8-4723-8DF1-1952BABA5303}"/>
    <hyperlink ref="Q1970" r:id="rId492" xr:uid="{3E9E0DD5-9038-4E45-A821-98437C44CF08}"/>
    <hyperlink ref="Q1969" r:id="rId493" xr:uid="{B72E2CEC-D5C3-49E6-952B-87A99CC12AD0}"/>
    <hyperlink ref="Q1968" r:id="rId494" xr:uid="{D8AD883B-2F54-4AD7-8A13-54F7C7051174}"/>
    <hyperlink ref="Q1967" r:id="rId495" xr:uid="{ABEBC545-4FFD-4269-8DB3-5B63FFB2A771}"/>
    <hyperlink ref="Q1966" r:id="rId496" xr:uid="{02A1BFA6-9AF6-425C-82D3-7FCC8D3BA80B}"/>
    <hyperlink ref="Q1965" r:id="rId497" xr:uid="{7FE2FA18-490F-4C18-99BE-2DD12FBA390C}"/>
    <hyperlink ref="Q1964" r:id="rId498" xr:uid="{0106E45F-E0D5-47DB-8BBC-5D6659984CAB}"/>
    <hyperlink ref="Q1963" r:id="rId499" xr:uid="{D1B604F5-1CF0-4D42-9BB4-FA15AF248B4C}"/>
    <hyperlink ref="Q1962" r:id="rId500" xr:uid="{931E964A-ADEE-4653-B29B-026A276E0393}"/>
    <hyperlink ref="Q1961" r:id="rId501" xr:uid="{2174B95C-34B6-4F7D-A061-FB89F91C4C70}"/>
    <hyperlink ref="Q32" r:id="rId502" xr:uid="{26B6E00C-35B1-4A83-913F-E54F1DC08F04}"/>
    <hyperlink ref="Q1960" r:id="rId503" xr:uid="{D7CABF8C-B6F6-44C7-9B57-856899F9796F}"/>
    <hyperlink ref="Q1959" r:id="rId504" xr:uid="{705F984C-3DB5-4862-803A-52765A976739}"/>
    <hyperlink ref="Q1958" r:id="rId505" xr:uid="{B2E94138-4DE0-4F51-A669-22D34AEC073B}"/>
    <hyperlink ref="Q1957" r:id="rId506" xr:uid="{C0CF106C-E7C1-4FD5-BBC6-932A25BEE65F}"/>
    <hyperlink ref="Q21" r:id="rId507" xr:uid="{00980D7A-6ADC-484B-BEFE-9655BF356B8F}"/>
    <hyperlink ref="Q1955" r:id="rId508" xr:uid="{10295ED6-5B84-451F-9030-35F6C68E2D71}"/>
    <hyperlink ref="Q1953" r:id="rId509" xr:uid="{559BD362-9143-44CB-9B16-63DF7D0EE489}"/>
    <hyperlink ref="Q1952" r:id="rId510" xr:uid="{38471A24-0F32-448F-BB67-B46B358A6AEC}"/>
    <hyperlink ref="Q22" r:id="rId511" xr:uid="{A1629E9A-AC31-4D21-A23D-EC6714BAFA4D}"/>
    <hyperlink ref="Q1951" r:id="rId512" xr:uid="{657ADA7D-857A-4BFA-B441-64100CFDE115}"/>
    <hyperlink ref="Q1950" r:id="rId513" xr:uid="{4B5C9DA8-E674-49EC-81AA-461D732AE0C1}"/>
    <hyperlink ref="Q1946" r:id="rId514" xr:uid="{8296EB34-8B0A-46A4-AB88-1B567338A928}"/>
    <hyperlink ref="Q23" r:id="rId515" xr:uid="{28ED1222-8F3E-4A8A-AD83-DD4B72D56F20}"/>
    <hyperlink ref="Q1945" r:id="rId516" xr:uid="{2CA651DD-BADE-4DCD-BB25-4B1FD9C4AD5D}"/>
    <hyperlink ref="Q24" r:id="rId517" xr:uid="{AFFA65A7-6397-492E-9C28-3EC4D2397551}"/>
    <hyperlink ref="Q1944" r:id="rId518" xr:uid="{A10365B6-0FF1-4B62-A95C-AC2CCA9FC66D}"/>
    <hyperlink ref="Q1941" r:id="rId519" xr:uid="{9D34346B-D933-4027-9122-99F257F46541}"/>
    <hyperlink ref="Q1940" r:id="rId520" xr:uid="{3FCC4A64-DAB1-4A46-B2DF-7BEA277EC567}"/>
    <hyperlink ref="Q25" r:id="rId521" xr:uid="{5818303E-A629-4AE1-9F81-50BE040096E5}"/>
    <hyperlink ref="Q1939" r:id="rId522" xr:uid="{F29DCAE7-17CE-4446-B5D3-A883BF3D8EA6}"/>
    <hyperlink ref="Q1938" r:id="rId523" xr:uid="{59AD4226-8867-4823-A19E-DD7E1491F37E}"/>
    <hyperlink ref="Q1937" r:id="rId524" xr:uid="{A81027FD-D361-42CB-9EB9-AC307C7ABD4E}"/>
    <hyperlink ref="Q1936" r:id="rId525" xr:uid="{60171042-6A97-441A-A156-49A1063774D9}"/>
    <hyperlink ref="Q26" r:id="rId526" xr:uid="{17295E9C-C220-48D2-B1E8-AC6B2404CF3D}"/>
    <hyperlink ref="Q1935" r:id="rId527" xr:uid="{B784275A-FF86-4ECB-8A4C-121339C98B6C}"/>
    <hyperlink ref="Q1934" r:id="rId528" xr:uid="{A558DAAD-CB54-4647-8EC8-AA94E27C2B45}"/>
    <hyperlink ref="Q1933" r:id="rId529" xr:uid="{182BE1AA-9779-4A8F-A352-F7266F88A120}"/>
    <hyperlink ref="Q1932" r:id="rId530" xr:uid="{2E6B43C6-3366-4995-A0A1-44C5880639D1}"/>
    <hyperlink ref="Q1931" r:id="rId531" xr:uid="{55F8E953-47A9-42CC-8C0E-B5536F17AA9C}"/>
    <hyperlink ref="Q27" r:id="rId532" xr:uid="{4C15D2A2-E7A6-41D1-91BF-E16AA0A968F1}"/>
    <hyperlink ref="Q1929" r:id="rId533" xr:uid="{D44A68AF-4426-4914-B578-6FDEB8B2D872}"/>
    <hyperlink ref="Q28" r:id="rId534" xr:uid="{36F4C946-73B6-4042-BD15-6929F8D4229E}"/>
    <hyperlink ref="Q1930" r:id="rId535" xr:uid="{2AA81298-9997-454A-B3D0-8655FF6AC700}"/>
    <hyperlink ref="Q1928" r:id="rId536" xr:uid="{C3F809D0-4C97-4CD7-815D-030AC04ACEA1}"/>
    <hyperlink ref="Q1927" r:id="rId537" xr:uid="{FDA74CA0-FF82-400F-BE88-3D696A42E613}"/>
    <hyperlink ref="Q1926" r:id="rId538" xr:uid="{E5A0004C-BADE-4421-850E-A430922FD701}"/>
    <hyperlink ref="Q1925" r:id="rId539" xr:uid="{00902DF0-4F33-4359-A05D-5F00B8611A98}"/>
    <hyperlink ref="Q1924" r:id="rId540" xr:uid="{23D73215-3566-417B-B271-9F696F65A402}"/>
    <hyperlink ref="Q1923" r:id="rId541" xr:uid="{33801BB8-EAFC-4430-9041-0E3E9B3FEDF3}"/>
    <hyperlink ref="Q29" r:id="rId542" xr:uid="{1BBA6DF5-4CC0-4C6D-8908-4A3D00F95D55}"/>
    <hyperlink ref="Q1922" r:id="rId543" xr:uid="{0AA8F45B-297B-41BF-B1F7-F27AB4847A97}"/>
    <hyperlink ref="Q1921" r:id="rId544" xr:uid="{FB6F55EE-8ABD-4E48-80C7-D56E542E4764}"/>
    <hyperlink ref="Q1920" r:id="rId545" xr:uid="{6C5F6441-6659-4561-8D2D-BF95059B177F}"/>
    <hyperlink ref="Q1919" r:id="rId546" xr:uid="{57096F6D-47BA-4FEA-841D-E3A890FB9447}"/>
    <hyperlink ref="Q1918" r:id="rId547" xr:uid="{E09D7930-530B-467F-AE14-6CC7BBF08716}"/>
    <hyperlink ref="Q1917" r:id="rId548" xr:uid="{E6FB812A-11CE-41C6-9532-EFC4DC9DFA9A}"/>
    <hyperlink ref="Q1916" r:id="rId549" xr:uid="{5E9BEC8C-0DFA-4E39-A7CB-2327C1F4D94D}"/>
    <hyperlink ref="Q1915" r:id="rId550" xr:uid="{C1A75B5E-1D63-4E13-B2F4-450B3CE31D18}"/>
    <hyperlink ref="Q1914" r:id="rId551" xr:uid="{951BF870-ACF2-424E-8590-A41F82386758}"/>
    <hyperlink ref="Q1913" r:id="rId552" xr:uid="{7AEE5C0D-D185-4140-A972-F3353981F5D2}"/>
    <hyperlink ref="Q1912" r:id="rId553" xr:uid="{0ABE2481-88E8-48A5-9A82-C24476ECCF83}"/>
    <hyperlink ref="Q1910" r:id="rId554" xr:uid="{4541406E-1C2C-4173-85ED-6EB6DB44941A}"/>
    <hyperlink ref="Q30" r:id="rId555" xr:uid="{CFE1ED9F-0720-4C1A-97A4-587929B2D0B3}"/>
    <hyperlink ref="Q1907" r:id="rId556" xr:uid="{D86E2784-31C2-41CA-A023-1555EE1021A3}"/>
    <hyperlink ref="Q1901" r:id="rId557" xr:uid="{B6ACC841-0DD7-49D2-844E-3F1A13E067E1}"/>
    <hyperlink ref="Q1900" r:id="rId558" xr:uid="{17996549-AD18-417E-8D4A-AA2D6F883F8B}"/>
    <hyperlink ref="Q1896" r:id="rId559" xr:uid="{496B4465-FAC0-4789-859F-2108570BE1B1}"/>
    <hyperlink ref="Q1894" r:id="rId560" xr:uid="{6B2057F1-CB84-4AAB-A24B-55DE1159CA87}"/>
    <hyperlink ref="Q1892" r:id="rId561" xr:uid="{4AABC7F0-A2BD-4F4B-9DF1-5FB199DC6F5F}"/>
    <hyperlink ref="Q1891" r:id="rId562" xr:uid="{F0140799-A889-4FCB-8D88-DC6503E73244}"/>
    <hyperlink ref="Q1889" r:id="rId563" xr:uid="{7B2E73EF-395A-4AD3-83E6-8C0A9BAD3171}"/>
    <hyperlink ref="Q1888" r:id="rId564" xr:uid="{93ADC291-36AD-48D9-9967-924092233F10}"/>
    <hyperlink ref="Q1885" r:id="rId565" xr:uid="{86B65704-DDEF-4D78-A7A7-DAD70957F77A}"/>
    <hyperlink ref="Q31" r:id="rId566" xr:uid="{53D0BDAC-8EDD-4F16-A966-3E5D5F0D782B}"/>
    <hyperlink ref="Q1884" r:id="rId567" xr:uid="{6EFEFD6C-DD4D-461E-97C6-637A27915715}"/>
    <hyperlink ref="Q33" r:id="rId568" xr:uid="{8D2254D3-AC6D-444F-863C-9D39FEE3BAB6}"/>
    <hyperlink ref="Q1881" r:id="rId569" xr:uid="{634C1FA2-6138-436A-A0C5-B291D0C1FCA1}"/>
    <hyperlink ref="Q1880" r:id="rId570" xr:uid="{12939121-CD8D-4219-85D2-A4502D02DE39}"/>
    <hyperlink ref="Q1879" r:id="rId571" xr:uid="{2BB9F2DE-F25E-4CA5-8E58-464A3A8686D4}"/>
    <hyperlink ref="Q1878" r:id="rId572" xr:uid="{3142A7B9-6430-4ED7-A97F-282DDDEE5D27}"/>
    <hyperlink ref="Q1876" r:id="rId573" xr:uid="{57817422-9A88-491F-A933-D73A000829A4}"/>
    <hyperlink ref="Q1873" r:id="rId574" xr:uid="{788DE6F9-0F5E-4D4F-995B-C34002CE5F76}"/>
    <hyperlink ref="Q1872" r:id="rId575" xr:uid="{FAA97B8C-E1C5-4E9A-B151-2DB9A41206F9}"/>
    <hyperlink ref="Q1870" r:id="rId576" xr:uid="{7336F2E6-6AB9-4C0A-89D4-4735B27FE917}"/>
    <hyperlink ref="Q1869" r:id="rId577" xr:uid="{3029BD3B-BC85-496C-BB2E-3BEBE377875E}"/>
    <hyperlink ref="Q1866" r:id="rId578" xr:uid="{D84E8F78-F41A-44CC-8FB5-663A353006EB}"/>
    <hyperlink ref="Q1865" r:id="rId579" xr:uid="{FEFF9403-EE56-4FBB-8A5E-5DBBA2CF590B}"/>
    <hyperlink ref="Q1864" r:id="rId580" xr:uid="{7B5F4EAB-9284-4CCD-8849-FA78D8896ACB}"/>
    <hyperlink ref="Q1863" r:id="rId581" xr:uid="{4E95EC37-D00A-4B29-9ED5-3C0070643E9F}"/>
    <hyperlink ref="Q1862" r:id="rId582" xr:uid="{A5AB36D3-2E01-47C7-9684-FD3C0D5402BE}"/>
    <hyperlink ref="Q1858" r:id="rId583" xr:uid="{4ADB0928-CCD0-4737-A480-31A1E7D0FC35}"/>
    <hyperlink ref="Q1857" r:id="rId584" xr:uid="{3621B8D6-1BF7-4D13-B5B4-CD96A806D3CF}"/>
    <hyperlink ref="Q1854" r:id="rId585" xr:uid="{50ECC153-7829-43C4-9D38-F52548DD1358}"/>
    <hyperlink ref="Q1853" r:id="rId586" xr:uid="{C4F08EA3-E689-4D66-9408-BF26DEA364F2}"/>
    <hyperlink ref="Q1850" r:id="rId587" xr:uid="{490673DF-2CC1-4EF0-9F45-85D289A446C0}"/>
    <hyperlink ref="Q1847" r:id="rId588" xr:uid="{F366D54D-E865-4E2F-8F9A-27C20AE8DCC2}"/>
    <hyperlink ref="Q1842" r:id="rId589" xr:uid="{23C2EEA4-293D-4801-A6A6-9A0EF2F07AD8}"/>
    <hyperlink ref="Q1840" r:id="rId590" xr:uid="{F23A3A0D-C71C-4670-9057-4AF0BA235DFB}"/>
    <hyperlink ref="Q1836" r:id="rId591" xr:uid="{8FA88AAD-B652-427E-BB1B-9E27D948D635}"/>
    <hyperlink ref="Q44" r:id="rId592" xr:uid="{0EC0A286-FD52-4CA9-84AE-3559F56EDC8B}"/>
    <hyperlink ref="Q34" r:id="rId593" xr:uid="{B92BEFF6-82F7-4E43-AA62-1AFDBBFCDF9A}"/>
    <hyperlink ref="Q1700" r:id="rId594" xr:uid="{4E959ABC-7BC4-44C4-B175-0A014336BB89}"/>
    <hyperlink ref="Q1696" r:id="rId595" xr:uid="{C22E034F-BB71-4B92-A03A-B7385CC05736}"/>
    <hyperlink ref="Q1679" r:id="rId596" xr:uid="{A49029FC-98DB-4E67-8944-F7A0D2638219}"/>
    <hyperlink ref="Q35" r:id="rId597" xr:uid="{383C1B70-B720-497A-903E-F2D2FBB79740}"/>
    <hyperlink ref="Q1674" r:id="rId598" xr:uid="{C3A03AD2-A528-4B6D-92D4-D81FAC089595}"/>
    <hyperlink ref="Q36" r:id="rId599" xr:uid="{D1BB6BA8-03A4-4552-81A0-C6F3A2778C9B}"/>
    <hyperlink ref="Q1667" r:id="rId600" xr:uid="{0EA768EC-2024-4BC0-9C91-110A85A781D7}"/>
    <hyperlink ref="Q1665" r:id="rId601" xr:uid="{2748774C-3B38-415A-A4A2-548451EC8D7D}"/>
    <hyperlink ref="Q37" r:id="rId602" xr:uid="{8B218B64-2B3A-4268-ABAC-B5C142CB8091}"/>
    <hyperlink ref="Q1662" r:id="rId603" xr:uid="{D364DCEC-99EE-4687-8D2E-C78D16806CD2}"/>
    <hyperlink ref="Q38" r:id="rId604" xr:uid="{BC460BB9-1ACE-440D-A8C7-E94420CFCF44}"/>
    <hyperlink ref="Q39" r:id="rId605" xr:uid="{7AA2ED84-40D8-431D-AB64-21275D1AEB1B}"/>
    <hyperlink ref="Q40" r:id="rId606" xr:uid="{82F0E2FD-2A73-4465-A9E4-76C68DD47C02}"/>
    <hyperlink ref="Q41" r:id="rId607" xr:uid="{3F654F67-50AD-4721-B748-A4B73E40EBB9}"/>
    <hyperlink ref="Q42" r:id="rId608" xr:uid="{CD567C77-3E31-4C1C-B2B1-4040BED21CAA}"/>
    <hyperlink ref="Q43" r:id="rId609" xr:uid="{277F4988-897E-41D7-842B-FAAEF9724B19}"/>
    <hyperlink ref="Q49" r:id="rId610" xr:uid="{AEFC2200-77BA-431D-AD59-ADBC24556DD2}"/>
    <hyperlink ref="Q45" r:id="rId611" xr:uid="{10EFFE9E-613E-41C8-85DC-203DE41D7060}"/>
    <hyperlink ref="Q46" r:id="rId612" xr:uid="{EE96341D-E22D-459B-9C02-89839F1A0C17}"/>
    <hyperlink ref="Q47" r:id="rId613" xr:uid="{E7AD75D5-37C1-42D5-8F5F-9E7D35FEDD77}"/>
    <hyperlink ref="Q48" r:id="rId614" xr:uid="{FC7F924C-C707-4F2D-9583-ED6B2E5A4F61}"/>
    <hyperlink ref="Q92" r:id="rId615" xr:uid="{4CD7A4E5-2201-43C6-91B4-3A92907F4E82}"/>
    <hyperlink ref="Q50" r:id="rId616" xr:uid="{E023C87B-DEBD-422E-8CE2-89922DFC28C6}"/>
    <hyperlink ref="Q51" r:id="rId617" xr:uid="{F758A9CC-C7F7-4FEF-A865-6B1962AA56A5}"/>
    <hyperlink ref="Q52" r:id="rId618" xr:uid="{58ED3AB9-AE14-4D6A-A49E-DE9C54C63191}"/>
    <hyperlink ref="Q56" r:id="rId619" xr:uid="{9CB92DCB-4F71-4983-A5BC-CC7111E79473}"/>
    <hyperlink ref="Q53" r:id="rId620" xr:uid="{FAE89B05-434A-405F-990D-3471530E363D}"/>
    <hyperlink ref="Q54" r:id="rId621" xr:uid="{E62F2800-A53A-4816-9B0E-2BCFE69E37C1}"/>
    <hyperlink ref="Q55" r:id="rId622" xr:uid="{D58728C7-2793-4C71-8D36-3D6271149688}"/>
    <hyperlink ref="Q57" r:id="rId623" xr:uid="{049E81D8-4A20-4F30-A2BC-7797447720A6}"/>
    <hyperlink ref="Q58" r:id="rId624" xr:uid="{B24C9EDA-3DDF-443E-BF85-F75029199733}"/>
    <hyperlink ref="Q59" r:id="rId625" xr:uid="{8E1BB1B1-572D-44FE-959A-0B278C8B495F}"/>
    <hyperlink ref="Q60" r:id="rId626" xr:uid="{5302C085-7F9C-4FA0-9420-DFCD81A94AE9}"/>
    <hyperlink ref="Q61" r:id="rId627" xr:uid="{92ABA2C5-74F6-4A4A-B99F-72271C61CBC3}"/>
    <hyperlink ref="Q62" r:id="rId628" xr:uid="{F43CAFC6-C638-4C77-810A-575003F45BDF}"/>
    <hyperlink ref="Q63" r:id="rId629" xr:uid="{F1332E40-757A-4A7E-A3F3-A93A79FF0457}"/>
    <hyperlink ref="Q64" r:id="rId630" xr:uid="{CFA4D5E4-7A94-477E-A5DC-F7D037A86C87}"/>
    <hyperlink ref="Q65" r:id="rId631" xr:uid="{F1335110-6CEF-47C8-8927-7828AB4A8CE8}"/>
    <hyperlink ref="Q66" r:id="rId632" xr:uid="{A748AA44-B73E-4DEF-AB5C-953F21B9F163}"/>
    <hyperlink ref="Q67" r:id="rId633" xr:uid="{52CE2D4A-F47F-4C40-B821-01DA9C42364A}"/>
    <hyperlink ref="Q68" r:id="rId634" xr:uid="{CA085C09-2CAE-4930-8B65-DFB8944CCCCE}"/>
    <hyperlink ref="Q69" r:id="rId635" xr:uid="{7C162908-51A4-4DE8-9035-9E9392A7C862}"/>
    <hyperlink ref="Q70" r:id="rId636" xr:uid="{FC37FB81-7016-4D6E-B8BF-53318A81A2BB}"/>
    <hyperlink ref="Q71" r:id="rId637" xr:uid="{9AB32CB5-C598-4D84-8204-4E716FC4CDD2}"/>
    <hyperlink ref="Q72" r:id="rId638" xr:uid="{667E7524-9940-461A-9BAF-0C80C840647B}"/>
    <hyperlink ref="Q73" r:id="rId639" xr:uid="{DD8DFD5A-B244-4CBB-86FD-BE9B7495ADB5}"/>
    <hyperlink ref="Q74" r:id="rId640" xr:uid="{D9B9F73E-F8BC-4501-8EC9-616BE32CDEF6}"/>
    <hyperlink ref="Q75" r:id="rId641" xr:uid="{3BA2ACD8-2454-40AA-9DD2-F5EB6DC2B295}"/>
    <hyperlink ref="Q76" r:id="rId642" xr:uid="{661232D6-3AB4-4939-A2C5-A0A7CFAB1B91}"/>
    <hyperlink ref="Q77" r:id="rId643" xr:uid="{0F2A4B25-BB83-42DA-94D7-AE356293676D}"/>
    <hyperlink ref="Q78" r:id="rId644" xr:uid="{FE21F362-3F08-4B0E-8158-C1C7AC2E89AB}"/>
    <hyperlink ref="Q79" r:id="rId645" xr:uid="{CCBCDFD4-6C74-4B03-A132-15D2946A1B4E}"/>
    <hyperlink ref="Q80" r:id="rId646" xr:uid="{E5E159AB-106E-4740-A5C7-F6D07613D41E}"/>
    <hyperlink ref="Q893" r:id="rId647" xr:uid="{B3ED46C7-CE7A-4C51-81E9-43F7251B5732}"/>
    <hyperlink ref="Q892" r:id="rId648" xr:uid="{D91084C7-58CD-4531-B931-120A6F7929A7}"/>
    <hyperlink ref="Q81" r:id="rId649" xr:uid="{8227FA57-CA00-4D72-BE5F-624D0D7134DD}"/>
    <hyperlink ref="Q82" r:id="rId650" xr:uid="{D09B0547-6DB8-4223-AD26-AD214E0F9AB6}"/>
    <hyperlink ref="Q896" r:id="rId651" xr:uid="{A8A09A96-0BD7-40D1-AF17-47B226476C8B}"/>
    <hyperlink ref="Q83" r:id="rId652" xr:uid="{7F57E1C3-D0A2-4E0C-99B3-C3CDA3F2F48C}"/>
    <hyperlink ref="Q84" r:id="rId653" xr:uid="{D0302807-52AE-4B37-9388-C60482E1493E}"/>
    <hyperlink ref="Q85" r:id="rId654" xr:uid="{DE683D7D-1D71-4164-9B64-65847B5FE21E}"/>
    <hyperlink ref="Q86" r:id="rId655" xr:uid="{E71EB09D-2ED8-4999-A3A5-B1309FF5DB29}"/>
    <hyperlink ref="Q87" r:id="rId656" xr:uid="{DF943E31-AD0A-4C57-AFA4-5368343691DA}"/>
    <hyperlink ref="Q88" r:id="rId657" xr:uid="{5FB231B1-09D6-4CE6-A426-FCE2DB1CFCD0}"/>
    <hyperlink ref="Q89" r:id="rId658" xr:uid="{9D16AA62-6E80-4448-AB65-DFE23E2858EC}"/>
    <hyperlink ref="Q899" r:id="rId659" xr:uid="{E7B49999-C1DB-46EE-B3F8-989623270555}"/>
    <hyperlink ref="Q900" r:id="rId660" xr:uid="{FE5E7134-5855-49EB-BD4B-6E1E64913D65}"/>
    <hyperlink ref="Q90" r:id="rId661" xr:uid="{6DFAA4CF-08F3-40B7-8E44-88572BD6A1E8}"/>
    <hyperlink ref="Q91" r:id="rId662" xr:uid="{A59006F9-0804-4BBE-B94A-B0D46989552F}"/>
    <hyperlink ref="Q120" r:id="rId663" xr:uid="{37A76C37-EE1B-41D8-A6B4-DE063022A47A}"/>
    <hyperlink ref="Q93" r:id="rId664" xr:uid="{90F52D73-6613-4136-A2C1-37B52035CE0D}"/>
    <hyperlink ref="Q905" r:id="rId665" xr:uid="{D1F51E80-9CF1-450E-B797-7D3C510DAAF0}"/>
    <hyperlink ref="Q907" r:id="rId666" xr:uid="{E0C67355-9073-427D-9079-E2E8607E38B7}"/>
    <hyperlink ref="Q914" r:id="rId667" xr:uid="{C0E8EBFB-D23C-478B-A21A-7228575677D6}"/>
    <hyperlink ref="Q915" r:id="rId668" xr:uid="{EB90EF09-716C-4A60-899E-E28AEE60D467}"/>
    <hyperlink ref="Q938" r:id="rId669" xr:uid="{432C190D-B599-4882-BB6F-71ABB98A55ED}"/>
    <hyperlink ref="Q944" r:id="rId670" xr:uid="{83E4E91D-4DFE-4D5B-BA0C-F79524491548}"/>
    <hyperlink ref="Q94" r:id="rId671" xr:uid="{40901B3F-F5C2-487E-90F4-DDCA3DF64C76}"/>
    <hyperlink ref="Q95" r:id="rId672" xr:uid="{7F57E841-87FF-4120-B774-EF4362773653}"/>
    <hyperlink ref="Q96" r:id="rId673" xr:uid="{43A231CD-466E-4EEA-A837-36238B544AF7}"/>
    <hyperlink ref="Q964" r:id="rId674" xr:uid="{12714BEB-A7AE-442C-B72B-D170234FC821}"/>
    <hyperlink ref="Q958" r:id="rId675" xr:uid="{1ADD8E41-5C07-4E8A-8300-A54BCAEBC069}"/>
    <hyperlink ref="Q97" r:id="rId676" xr:uid="{20481FC6-52DE-4B71-911F-0BC74F4A41A4}"/>
    <hyperlink ref="Q98" r:id="rId677" xr:uid="{D237C928-EB9A-4AEA-BA17-E13A124D1DC8}"/>
    <hyperlink ref="Q99" r:id="rId678" xr:uid="{F847AA19-27CA-4598-A904-1617A23F2693}"/>
    <hyperlink ref="Q100" r:id="rId679" xr:uid="{56FC8259-879C-4541-8821-EFE7A233FEA4}"/>
    <hyperlink ref="Q101" r:id="rId680" xr:uid="{361C49EC-3621-4205-BEB1-8EC9F4F92DFE}"/>
    <hyperlink ref="Q983" r:id="rId681" xr:uid="{C009FCA9-E1EF-49F1-A9C0-2B9D6574F700}"/>
    <hyperlink ref="Q986" r:id="rId682" xr:uid="{3010F3E8-3AE4-4797-BFEF-12104A63C456}"/>
    <hyperlink ref="Q990" r:id="rId683" xr:uid="{29449BE4-F588-4AB6-B87A-37577374B1C0}"/>
    <hyperlink ref="Q992" r:id="rId684" xr:uid="{363D69A9-A2F4-44FF-A1E9-E19981428101}"/>
    <hyperlink ref="Q996" r:id="rId685" xr:uid="{65C0CE28-D83A-4162-9190-F654F2F16B18}"/>
    <hyperlink ref="Q1083" r:id="rId686" xr:uid="{2E90DEF0-9921-4967-AF1C-645EDFC5A287}"/>
    <hyperlink ref="Q1084" r:id="rId687" xr:uid="{39B7934A-7586-4092-9347-08F9F6E51CB9}"/>
    <hyperlink ref="Q1085" r:id="rId688" xr:uid="{3C7156C9-ABB5-4B83-9109-D7870892AA80}"/>
    <hyperlink ref="Q1094" r:id="rId689" xr:uid="{57DACD8D-A6EC-4529-8CBB-DC945214D843}"/>
    <hyperlink ref="Q1097" r:id="rId690" xr:uid="{8DE79440-1B53-46A4-9597-85E45A9D2470}"/>
    <hyperlink ref="Q1131" r:id="rId691" xr:uid="{A13E478B-3884-499E-B225-20DC9066206E}"/>
    <hyperlink ref="Q1132" r:id="rId692" xr:uid="{EC1C2067-0B4E-4F9C-B60D-42B3309077ED}"/>
    <hyperlink ref="Q1133" r:id="rId693" xr:uid="{496D4EC0-2C82-4384-B3C5-BB4356D9EE8C}"/>
    <hyperlink ref="Q1134" r:id="rId694" xr:uid="{593DA24F-BD37-42C0-A0D4-240A90EBC9DE}"/>
    <hyperlink ref="Q1135" r:id="rId695" xr:uid="{06FEF91C-194A-4F94-A632-608E7C9A51EC}"/>
    <hyperlink ref="Q1137" r:id="rId696" xr:uid="{AC09ABFA-34A7-4D10-9257-EACD64350A07}"/>
    <hyperlink ref="Q1138" r:id="rId697" xr:uid="{173BCF70-CDCF-488E-85DF-17F398EF6BFF}"/>
    <hyperlink ref="Q102" r:id="rId698" xr:uid="{24891635-59B2-4E96-BEF6-CBC8AF50B613}"/>
    <hyperlink ref="Q103" r:id="rId699" xr:uid="{5706CE7E-F375-48FD-A089-4F9222207867}"/>
    <hyperlink ref="Q104" r:id="rId700" xr:uid="{63593A13-E2F2-4139-B1E6-3DFF00E78999}"/>
    <hyperlink ref="Q105" r:id="rId701" xr:uid="{9DB153FA-4C8C-440A-8723-F7B80496BB9D}"/>
    <hyperlink ref="Q106" r:id="rId702" xr:uid="{F989FD96-52D3-4CEC-8F21-9E7679C4763C}"/>
    <hyperlink ref="Q107" r:id="rId703" xr:uid="{AB46C3BE-B5FF-4D02-B8AA-B5AFF443578E}"/>
    <hyperlink ref="Q108" r:id="rId704" xr:uid="{A0A07E8C-C3BA-4C6C-9750-9243CF8AF365}"/>
    <hyperlink ref="Q109" r:id="rId705" xr:uid="{CD82DD84-ACBA-4310-A636-6F359F8900B5}"/>
    <hyperlink ref="Q110" r:id="rId706" xr:uid="{F58CB6DA-7CE4-46AB-ABB7-B7442257BB34}"/>
    <hyperlink ref="Q111" r:id="rId707" xr:uid="{1A5046F6-1076-4174-90E3-67A7D19973DD}"/>
    <hyperlink ref="Q112" r:id="rId708" xr:uid="{21311320-B15C-4D45-A010-0C1DB97124FC}"/>
    <hyperlink ref="Q113" r:id="rId709" xr:uid="{9DD796EA-1DFB-4402-B5F1-B4C4B9BA7DAE}"/>
    <hyperlink ref="Q115" r:id="rId710" xr:uid="{F3761944-9B3E-4B38-89D4-D0583C325713}"/>
    <hyperlink ref="Q114" r:id="rId711" xr:uid="{590966C9-9430-492E-B6AE-704256794E88}"/>
    <hyperlink ref="Q116" r:id="rId712" xr:uid="{7471488C-60FD-47F1-9923-477A460C8692}"/>
    <hyperlink ref="Q117" r:id="rId713" xr:uid="{90E3E8B8-8CD2-44B3-9F91-6596B4A62393}"/>
    <hyperlink ref="Q118" r:id="rId714" xr:uid="{2B1A0CE9-FE62-4DBE-AF49-68BAD251799D}"/>
    <hyperlink ref="Q119" r:id="rId715" xr:uid="{341BCA90-781A-4FC5-95C2-554CC54D4DCF}"/>
    <hyperlink ref="Q123" r:id="rId716" xr:uid="{F2BBBA88-2239-4176-AEBD-BACA8A566367}"/>
    <hyperlink ref="Q121" r:id="rId717" xr:uid="{93595F07-D568-436F-B480-AA11038387D6}"/>
    <hyperlink ref="Q122" r:id="rId718" xr:uid="{FB25AD08-BA51-4042-A29D-FFCD7398922C}"/>
    <hyperlink ref="Q134" r:id="rId719" xr:uid="{E18F7D80-E410-42FE-9E70-32AC11DB23FB}"/>
    <hyperlink ref="Q124" r:id="rId720" xr:uid="{66886354-BF9B-4A76-A62C-B9D5536A3BD5}"/>
    <hyperlink ref="Q125" r:id="rId721" xr:uid="{1C5EB113-7995-400E-9FE8-B1707A1B1E54}"/>
    <hyperlink ref="Q126" r:id="rId722" xr:uid="{7DE55715-E823-4D36-B5BD-55BE7F7A6E4C}"/>
    <hyperlink ref="Q127" r:id="rId723" xr:uid="{0F27AC56-6CA6-4FB0-B80F-917D80613150}"/>
    <hyperlink ref="Q128" r:id="rId724" xr:uid="{CC85BD5B-3425-4FE7-933A-46C6FBE128A2}"/>
    <hyperlink ref="Q129" r:id="rId725" xr:uid="{F1CA7E63-5AF1-4F09-96CA-442D45D4A5A6}"/>
    <hyperlink ref="Q130" r:id="rId726" xr:uid="{DF946909-DD96-4F50-AB80-BC828C8B389C}"/>
    <hyperlink ref="Q131" r:id="rId727" xr:uid="{8D21A654-8888-486F-ADE5-EED2B684AAF0}"/>
    <hyperlink ref="Q132" r:id="rId728" xr:uid="{DB13DD68-E638-49EE-B8EE-8134D75A39DB}"/>
    <hyperlink ref="Q138" r:id="rId729" xr:uid="{B840611B-5330-411F-BB6F-4E6F61611C7A}"/>
    <hyperlink ref="Q135" r:id="rId730" xr:uid="{FC7AAB91-6BD2-4348-9EF9-10434028010D}"/>
    <hyperlink ref="Q136" r:id="rId731" xr:uid="{0C770A24-106D-4C87-AE1B-9384B0D587E1}"/>
    <hyperlink ref="Q137" r:id="rId732" xr:uid="{64D58BE5-45AA-4F6C-A6DE-D8DF2744D1DF}"/>
    <hyperlink ref="Q139" r:id="rId733" xr:uid="{035C6A3D-6429-4875-B65D-C35879AB823B}"/>
    <hyperlink ref="Q159" r:id="rId734" xr:uid="{6C2E6F19-5BD4-4196-A966-A47711A2AEE9}"/>
    <hyperlink ref="Q140" r:id="rId735" xr:uid="{A3BC964C-FCA0-4038-A6B0-93D07CEDCBDB}"/>
    <hyperlink ref="Q141" r:id="rId736" xr:uid="{66A01538-029A-415C-98B5-4427950D2459}"/>
    <hyperlink ref="Q142" r:id="rId737" xr:uid="{9084CCA2-76B3-4E00-8173-D4B4A3EEDF70}"/>
    <hyperlink ref="Q143" r:id="rId738" xr:uid="{FEB95051-E8BA-4FED-9F9C-5DFC30DCF948}"/>
    <hyperlink ref="Q144" r:id="rId739" xr:uid="{AD437F11-34A4-436A-B6EC-E80C6D9EB9BB}"/>
    <hyperlink ref="Q145" r:id="rId740" xr:uid="{4E3D10BE-46D9-4730-B1F3-EC9BEAC847E5}"/>
    <hyperlink ref="Q146" r:id="rId741" xr:uid="{B2A2C7C6-D191-4A76-B8E8-5BFFCDE488E0}"/>
    <hyperlink ref="Q147" r:id="rId742" xr:uid="{2F98BA99-EF49-4818-9A39-A489A1C7AD56}"/>
    <hyperlink ref="Q148" r:id="rId743" xr:uid="{70640710-BB1B-407F-9CCB-5F81342FA976}"/>
    <hyperlink ref="Q149" r:id="rId744" xr:uid="{277FAE76-EBBD-4B68-99DC-3314BC452B02}"/>
    <hyperlink ref="Q151" r:id="rId745" xr:uid="{7202542A-44B4-4FB9-ACBE-9DA1CA358984}"/>
    <hyperlink ref="Q153" r:id="rId746" xr:uid="{BD0B6FA4-31BA-44CC-BF7F-5A1E9EA26A97}"/>
    <hyperlink ref="Q150" r:id="rId747" xr:uid="{EFBE2183-9FD5-4547-B604-033F49FE4B94}"/>
    <hyperlink ref="Q152" r:id="rId748" xr:uid="{CADDA828-109A-45E9-9414-A3069009FCC1}"/>
    <hyperlink ref="Q154" r:id="rId749" xr:uid="{F6D1E88C-6C34-4ABC-8E37-C51FABF2E4A9}"/>
    <hyperlink ref="Q155" r:id="rId750" xr:uid="{159A7A21-3ABF-44D0-87FF-E23F8F8EEA00}"/>
    <hyperlink ref="Q156" r:id="rId751" xr:uid="{5EB08367-A5DD-40ED-A589-3CD28E6E9931}"/>
    <hyperlink ref="Q157" r:id="rId752" xr:uid="{971298EC-3FA8-4E96-B22C-FD673535B85D}"/>
    <hyperlink ref="Q158" r:id="rId753" xr:uid="{F24B8061-5F89-445A-A20C-A15F99B12D21}"/>
    <hyperlink ref="Q168" r:id="rId754" xr:uid="{000CB3FB-5659-4256-AEB4-209216A99649}"/>
    <hyperlink ref="Q160" r:id="rId755" xr:uid="{72D94371-3650-40B1-AA26-D5D404764DFF}"/>
    <hyperlink ref="Q161" r:id="rId756" xr:uid="{E17EC237-FBE8-4B0B-B57E-B6413ABE164D}"/>
    <hyperlink ref="Q162" r:id="rId757" xr:uid="{15C3F9B5-49BD-4130-B55F-8A7B85454CA4}"/>
    <hyperlink ref="Q164" r:id="rId758" xr:uid="{20FC2F83-393C-42B3-946D-717894F7AB81}"/>
    <hyperlink ref="Q163" r:id="rId759" xr:uid="{45882F47-D1C9-4F56-847B-F0138F603430}"/>
    <hyperlink ref="Q165" r:id="rId760" xr:uid="{272E73CE-5D2F-44DC-A57A-721B6BD59262}"/>
    <hyperlink ref="Q166" r:id="rId761" xr:uid="{164AC8B8-7A9F-4197-9A37-59A1DBC51AF1}"/>
    <hyperlink ref="Q167" r:id="rId762" xr:uid="{7B0B728A-9B2C-4CAB-BA09-B28B9C512F82}"/>
    <hyperlink ref="Q185" r:id="rId763" xr:uid="{178E52CD-91F1-4297-8376-62DA3BEDD752}"/>
    <hyperlink ref="Q169" r:id="rId764" xr:uid="{C324C948-B20A-4383-804E-646239EA99F3}"/>
    <hyperlink ref="Q170" r:id="rId765" xr:uid="{A4F63BC8-D2BA-4984-B5E4-2C261F0D3198}"/>
    <hyperlink ref="Q171" r:id="rId766" xr:uid="{30F89B8B-B5CC-4C56-BCA6-3C395F217982}"/>
    <hyperlink ref="Q172" r:id="rId767" xr:uid="{F7AC9E64-1D87-43D3-9995-350D283AC4D5}"/>
    <hyperlink ref="Q173" r:id="rId768" xr:uid="{6FD7B74A-AE08-4A3F-9C90-3ED5CE0474E5}"/>
    <hyperlink ref="Q174" r:id="rId769" xr:uid="{0498D109-D0D3-4100-99DA-F267FB6065EA}"/>
    <hyperlink ref="Q175" r:id="rId770" xr:uid="{8F5FE6EC-B793-43D0-A40D-3652BA38F033}"/>
    <hyperlink ref="Q176" r:id="rId771" xr:uid="{DC3C9B82-DBC0-4496-A08C-685EC0E948A7}"/>
    <hyperlink ref="Q177" r:id="rId772" xr:uid="{0EC3A1C2-3C95-4D85-8C8F-3CA7DE81261D}"/>
    <hyperlink ref="Q178" r:id="rId773" xr:uid="{53F06A9B-BB1D-4AF3-9512-A3221C60DC75}"/>
    <hyperlink ref="Q179" r:id="rId774" xr:uid="{CA9A6206-7B37-4D56-8BB9-CC525091CA20}"/>
    <hyperlink ref="Q180" r:id="rId775" xr:uid="{21DAF77C-B462-4992-A4B5-76080E36165C}"/>
    <hyperlink ref="Q182" r:id="rId776" xr:uid="{15E18EF3-BC35-4EFD-9B3D-FAD07C11B0F3}"/>
    <hyperlink ref="Q181" r:id="rId777" xr:uid="{BF9C6127-9254-4D37-867F-724E07F9167D}"/>
    <hyperlink ref="Q183" r:id="rId778" xr:uid="{193217B2-6A28-41DA-9601-37E5606B8229}"/>
    <hyperlink ref="Q184" r:id="rId779" xr:uid="{5399B6B2-39D0-42B6-BE74-78A47EC9D5CB}"/>
    <hyperlink ref="Q241" r:id="rId780" xr:uid="{3A3FD08C-03A6-440F-9470-A66B85A6EEF7}"/>
    <hyperlink ref="Q186" r:id="rId781" xr:uid="{E413D80E-B776-481C-BE4B-D7E3D755BBB3}"/>
    <hyperlink ref="Q187" r:id="rId782" xr:uid="{C7306642-56ED-40D1-B732-3C1488DE3757}"/>
    <hyperlink ref="Q188" r:id="rId783" xr:uid="{4B4A2677-F362-4AA9-AC0D-692B4C20D382}"/>
    <hyperlink ref="Q189" r:id="rId784" xr:uid="{3E07C743-B8B3-4FED-9F50-8AC6DD0CC68A}"/>
    <hyperlink ref="Q190" r:id="rId785" xr:uid="{46C3030D-988D-447A-A53C-5B7787F1BF95}"/>
    <hyperlink ref="Q191" r:id="rId786" xr:uid="{2543ACF6-CDF9-4E93-8C73-53B0D7816DF5}"/>
    <hyperlink ref="Q192" r:id="rId787" xr:uid="{B3BA0FA3-1811-426A-B1C2-07EE41776CB9}"/>
    <hyperlink ref="Q193" r:id="rId788" xr:uid="{2B0349F5-9A30-4F37-926D-D64D05CE7294}"/>
    <hyperlink ref="Q194" r:id="rId789" xr:uid="{73ADB3A8-FC2E-43E2-9FB5-5F4435470D2F}"/>
    <hyperlink ref="Q195" r:id="rId790" xr:uid="{56AB7721-98B6-4740-A3C2-D46D9C1F21BD}"/>
    <hyperlink ref="Q196" r:id="rId791" xr:uid="{15C4D281-B07E-4048-8F5D-79B3C509DBFD}"/>
    <hyperlink ref="Q198" r:id="rId792" xr:uid="{4799EB8B-2078-4D81-99D8-41C67598483B}"/>
    <hyperlink ref="Q199" r:id="rId793" xr:uid="{263F3B37-DE99-4E8A-964B-6F1D83533FEC}"/>
    <hyperlink ref="Q200" r:id="rId794" xr:uid="{2086048C-2DA9-4432-AC2D-93A8C8EBAB78}"/>
    <hyperlink ref="Q201" r:id="rId795" xr:uid="{06340927-DAF5-416A-8F18-50C2651F6EA3}"/>
    <hyperlink ref="Q202" r:id="rId796" xr:uid="{2E166C43-A539-4A14-9B8A-18ECDC4CFC28}"/>
    <hyperlink ref="Q203" r:id="rId797" xr:uid="{2FE8FAD7-E663-44B6-8196-B3FB66897B62}"/>
    <hyperlink ref="Q204" r:id="rId798" xr:uid="{E4E14124-F54E-463A-BFDF-6A8023C8C11E}"/>
    <hyperlink ref="Q205" r:id="rId799" xr:uid="{9B89ECB1-C8F0-4B86-AA9E-1A89F2333892}"/>
    <hyperlink ref="Q207" r:id="rId800" xr:uid="{CF5559C1-6F79-4ADF-8585-05C31F16B193}"/>
    <hyperlink ref="Q208" r:id="rId801" xr:uid="{29F763C5-6FF4-4E31-9FBB-1263177665D5}"/>
    <hyperlink ref="Q209" r:id="rId802" xr:uid="{684A9949-8EEF-4BB8-881E-90B930B18B48}"/>
    <hyperlink ref="Q210" r:id="rId803" xr:uid="{8A929AD1-2A6F-4BE7-A76F-3DB52A70172A}"/>
    <hyperlink ref="Q211" r:id="rId804" xr:uid="{D0BAF1F1-B637-4070-BC13-B4FD7021BAA9}"/>
    <hyperlink ref="Q212" r:id="rId805" xr:uid="{75119524-5CF5-42B0-BDBF-2ED91C3211DE}"/>
    <hyperlink ref="Q213" r:id="rId806" xr:uid="{F9B18E52-F88C-46B3-91D7-27B2D96F723F}"/>
    <hyperlink ref="Q214" r:id="rId807" xr:uid="{A9D464FC-4147-4831-A8EB-1C1F6B29E069}"/>
    <hyperlink ref="Q215" r:id="rId808" xr:uid="{AD8A0EA8-0F11-49AF-83F9-F2E41C8E2757}"/>
    <hyperlink ref="Q216" r:id="rId809" xr:uid="{C19D7091-4590-4A19-8A10-56D34DDB7857}"/>
    <hyperlink ref="Q217" r:id="rId810" xr:uid="{9E8C3956-CFB6-43C1-A42F-37BA67BC6167}"/>
    <hyperlink ref="Q218" r:id="rId811" xr:uid="{C6BB209A-B17A-4069-8B0D-EDA411A96929}"/>
    <hyperlink ref="Q219" r:id="rId812" xr:uid="{282A6C5D-D0BF-4B66-8BCF-3AC709003658}"/>
    <hyperlink ref="Q220" r:id="rId813" xr:uid="{DF418D97-347B-421E-BC3B-59E4D00E950A}"/>
    <hyperlink ref="Q221" r:id="rId814" xr:uid="{2F42F6C5-C475-477C-A8F4-730738A933D8}"/>
    <hyperlink ref="Q222" r:id="rId815" xr:uid="{8CDF848E-F436-48E9-B3CC-465FA053601C}"/>
    <hyperlink ref="Q223" r:id="rId816" xr:uid="{519A3EB8-4A50-494D-B623-831C8DE811B9}"/>
    <hyperlink ref="Q224" r:id="rId817" xr:uid="{AFC4263B-927B-418C-B8ED-4D04E41B3D72}"/>
    <hyperlink ref="Q225" r:id="rId818" xr:uid="{2B37FE0B-D908-4216-9936-72949D4AAE36}"/>
    <hyperlink ref="Q226" r:id="rId819" xr:uid="{800F5E61-76CE-4E5B-ADA6-98510FB6A4A4}"/>
    <hyperlink ref="Q227" r:id="rId820" xr:uid="{BA26FDDF-9894-4171-9328-B23570781721}"/>
    <hyperlink ref="Q228" r:id="rId821" xr:uid="{03B06E77-2ED1-4E18-A43B-5A75A2BD552A}"/>
    <hyperlink ref="Q229" r:id="rId822" xr:uid="{DDAE5316-CDEB-43FD-B405-6850474DBB76}"/>
    <hyperlink ref="Q230" r:id="rId823" xr:uid="{577F0555-F3ED-470B-80EE-65555800F146}"/>
    <hyperlink ref="Q231" r:id="rId824" xr:uid="{8EFE2FF4-ABE9-4043-BECC-1D079176C10F}"/>
    <hyperlink ref="Q232" r:id="rId825" xr:uid="{5F0689F7-1840-48A6-9DF5-64F592FFD28C}"/>
    <hyperlink ref="Q233" r:id="rId826" xr:uid="{07E9349C-48AB-4AAE-8A61-C541FAC8BC4C}"/>
    <hyperlink ref="Q234" r:id="rId827" xr:uid="{F771A7DB-0986-4C34-A988-C9CB37C3ACAF}"/>
    <hyperlink ref="Q235" r:id="rId828" xr:uid="{AD18B944-54F7-4ABD-8642-068002861F5F}"/>
    <hyperlink ref="Q236" r:id="rId829" xr:uid="{CBF85CEC-EF35-45DE-9413-7687E7F4B584}"/>
    <hyperlink ref="Q237" r:id="rId830" xr:uid="{76A15259-26D7-40AE-BDB9-A5B4B31F5E1D}"/>
    <hyperlink ref="Q238" r:id="rId831" xr:uid="{2E3B8737-DF95-4BD7-AD07-6165098800D2}"/>
    <hyperlink ref="Q239" r:id="rId832" xr:uid="{EDC37CEF-6EC0-4D35-9349-EC763F9F6BEC}"/>
    <hyperlink ref="Q240" r:id="rId833" xr:uid="{4E32E0BE-D3F9-41C2-8F32-C18525F15C0D}"/>
    <hyperlink ref="Q249" r:id="rId834" xr:uid="{F8997C66-6969-4644-B333-514C730935FD}"/>
    <hyperlink ref="Q242" r:id="rId835" xr:uid="{516D14DE-B065-4B75-B695-584BF59B7AD7}"/>
    <hyperlink ref="Q243" r:id="rId836" xr:uid="{BCDF7B1D-529C-4567-94B5-A2471504BF05}"/>
    <hyperlink ref="Q244" r:id="rId837" xr:uid="{1351AEE3-CB74-4D8D-AA64-D2B4ED98DA83}"/>
    <hyperlink ref="Q245" r:id="rId838" xr:uid="{6A40773D-6845-458C-8EF9-CF73BF76A0AA}"/>
    <hyperlink ref="Q246" r:id="rId839" xr:uid="{83CB478E-E07B-48B1-9383-63AD22D311AA}"/>
    <hyperlink ref="Q247" r:id="rId840" xr:uid="{F8BACF40-03BC-481E-9673-4BA2E0028D34}"/>
    <hyperlink ref="Q248" r:id="rId841" xr:uid="{B6D4783F-7CDB-4086-B1AD-DBF724CA79C8}"/>
    <hyperlink ref="Q255" r:id="rId842" xr:uid="{E5DCAA65-7DB9-4E9D-A90A-3F8D5B5CDEE2}"/>
    <hyperlink ref="Q251" r:id="rId843" xr:uid="{9C40F3FD-D955-4A79-B442-CCF103A8B616}"/>
    <hyperlink ref="Q250" r:id="rId844" xr:uid="{5FFA1DF7-8AC1-4983-B835-432AAB6CC997}"/>
    <hyperlink ref="Q254" r:id="rId845" xr:uid="{1724694E-D2BE-4D4A-9807-906051992652}"/>
    <hyperlink ref="Q259" r:id="rId846" xr:uid="{137318B9-2F9D-4E8D-9EB1-AE05EA999162}"/>
    <hyperlink ref="Q257" r:id="rId847" xr:uid="{034F430E-B4AD-4C82-A850-DF1F94086479}"/>
    <hyperlink ref="Q252" r:id="rId848" xr:uid="{03B73E90-9E2B-4670-981D-5B76041A2372}"/>
    <hyperlink ref="Q253" r:id="rId849" xr:uid="{1C9BDF3F-1451-4D50-BC53-6A7E47584D52}"/>
    <hyperlink ref="Q256" r:id="rId850" xr:uid="{B3D6B47B-FAA0-4E4B-BEE0-CCFFDE25735E}"/>
    <hyperlink ref="Q258" r:id="rId851" xr:uid="{D9EDD0D4-55CD-4962-9341-2B160A1F152B}"/>
    <hyperlink ref="Q287" r:id="rId852" xr:uid="{5C767C0B-CF44-48C7-8508-CD46777739B5}"/>
    <hyperlink ref="Q260" r:id="rId853" xr:uid="{8B3B53C0-FFBD-4D6A-B930-CFBACD4B4406}"/>
    <hyperlink ref="Q261" r:id="rId854" xr:uid="{0DC34239-D7A7-47BB-A57B-785EC5B41AD7}"/>
    <hyperlink ref="Q262" r:id="rId855" xr:uid="{89C3E262-3903-41A9-8E2F-69AC4382F8AE}"/>
    <hyperlink ref="Q263" r:id="rId856" xr:uid="{9077863F-6648-4F98-AB97-61EB21283826}"/>
    <hyperlink ref="Q266" r:id="rId857" xr:uid="{85750C8C-87FA-468F-8A41-1FD634DE75B4}"/>
    <hyperlink ref="Q268" r:id="rId858" xr:uid="{A74CAC29-823C-4401-B72D-46A71B97B9A4}"/>
    <hyperlink ref="Q264" r:id="rId859" xr:uid="{15443BDB-09A6-4C5C-B6C5-2EEDD41038FD}"/>
    <hyperlink ref="Q265" r:id="rId860" xr:uid="{F44F874A-EDFE-4B27-AEBB-CADE6EAB3A9D}"/>
    <hyperlink ref="Q267" r:id="rId861" xr:uid="{2231EBB0-0FB2-4D84-99EE-C5F4F42F5BC8}"/>
    <hyperlink ref="Q269" r:id="rId862" xr:uid="{F5E8B4C4-E98A-46B9-A1DD-3B2296EE9BEA}"/>
    <hyperlink ref="Q270" r:id="rId863" xr:uid="{A74C1E09-BA29-446C-8DA2-ABB19B484BDC}"/>
    <hyperlink ref="Q271" r:id="rId864" xr:uid="{27B9AFFD-221B-4CB8-8E96-DEC62DA17D9A}"/>
    <hyperlink ref="Q272" r:id="rId865" xr:uid="{3106123D-8F88-450D-8F1C-E848BCEC0377}"/>
    <hyperlink ref="Q273" r:id="rId866" xr:uid="{FCC540C3-DCB1-49D9-8E2A-7BA17D897AEC}"/>
    <hyperlink ref="Q274" r:id="rId867" xr:uid="{23016A62-3C73-49B2-95EA-5D952C29D917}"/>
    <hyperlink ref="Q275" r:id="rId868" xr:uid="{E6ECC557-0D98-4ED4-8983-160E23D0FAA5}"/>
    <hyperlink ref="Q276" r:id="rId869" xr:uid="{A5F2166E-D9AA-4456-AB93-FBC696467A7A}"/>
    <hyperlink ref="Q277" r:id="rId870" xr:uid="{BC112580-C759-450B-826D-7F96EBD0A1C5}"/>
    <hyperlink ref="Q278" r:id="rId871" xr:uid="{97D11566-C51B-4FBB-9948-E89C2E51633D}"/>
    <hyperlink ref="Q279" r:id="rId872" xr:uid="{561E1E8B-3A17-4E86-84E4-553E931E2CB3}"/>
    <hyperlink ref="Q280" r:id="rId873" xr:uid="{D4FAFA85-B385-4F27-A1F6-47D3C7775879}"/>
    <hyperlink ref="Q281" r:id="rId874" xr:uid="{5907BE6D-F861-42AB-87C5-93AE07D236F7}"/>
    <hyperlink ref="Q283" r:id="rId875" xr:uid="{E1D6F62A-B234-4F8B-822D-80D7EF46A166}"/>
    <hyperlink ref="Q285" r:id="rId876" xr:uid="{64833C9B-E1A5-4F63-8ED0-BAB47DB2D4B4}"/>
    <hyperlink ref="Q286" r:id="rId877" xr:uid="{DA92D004-0819-48D2-84B3-1227E2C57D39}"/>
    <hyperlink ref="Q289" r:id="rId878" xr:uid="{C7304D72-927C-408D-911A-4051C486A3BB}"/>
    <hyperlink ref="Q282" r:id="rId879" xr:uid="{2AC49F31-761F-4E45-98D8-2AE8C67199B8}"/>
    <hyperlink ref="Q284" r:id="rId880" xr:uid="{637A4579-030A-4D84-8FFE-18290CB0B21A}"/>
    <hyperlink ref="Q293" r:id="rId881" xr:uid="{69804105-D5A9-4074-9C82-3F33F47A5C26}"/>
    <hyperlink ref="Q288" r:id="rId882" xr:uid="{B9BF312C-8EC9-4D1E-AF90-53EE5948FAC4}"/>
    <hyperlink ref="Q290" r:id="rId883" xr:uid="{8D32ACEC-A911-4521-A8CA-7C4C9F478326}"/>
    <hyperlink ref="Q291" r:id="rId884" xr:uid="{7D15C4AE-80C4-4702-B80C-5EE5F300F5C6}"/>
    <hyperlink ref="Q292" r:id="rId885" xr:uid="{52CEC7E5-19FA-4282-A796-500DA9C3C547}"/>
    <hyperlink ref="Q294" r:id="rId886" xr:uid="{E1874DF1-7596-41BE-9B72-240571C2821F}"/>
    <hyperlink ref="Q304" r:id="rId887" xr:uid="{0A7A1932-A36C-4FC9-AB3F-F0D34510349E}"/>
    <hyperlink ref="Q295" r:id="rId888" xr:uid="{847D5E15-C176-42BF-B976-EF068A929CDD}"/>
    <hyperlink ref="Q296" r:id="rId889" xr:uid="{B6322C6A-886C-4C48-AAF4-126F9C1AEC58}"/>
    <hyperlink ref="Q297" r:id="rId890" xr:uid="{626643A4-8D0C-4E77-A165-7CF04B9EEAA5}"/>
    <hyperlink ref="Q299" r:id="rId891" xr:uid="{DF1CA543-6C95-4C74-A212-1DF032828594}"/>
    <hyperlink ref="Q303" r:id="rId892" xr:uid="{018A0625-86CB-4929-85E4-98F45A0FF314}"/>
    <hyperlink ref="Q309" r:id="rId893" xr:uid="{E31D8FD6-ADC3-41B4-8706-530AE8955DE5}"/>
    <hyperlink ref="Q313" r:id="rId894" xr:uid="{1BAB9576-AF95-4295-896F-21292A8A20D8}"/>
    <hyperlink ref="Q314" r:id="rId895" xr:uid="{506050BF-B10C-4834-BCFF-1603D99F14C9}"/>
    <hyperlink ref="Q298" r:id="rId896" xr:uid="{62B487A6-6453-4DF8-955C-1C81E78C0F1B}"/>
    <hyperlink ref="Q300" r:id="rId897" xr:uid="{4F578AD2-7324-4750-A318-51FF5958954F}"/>
    <hyperlink ref="Q301" r:id="rId898" xr:uid="{22F97A20-0441-4715-8E89-7774F1B4674B}"/>
    <hyperlink ref="Q302" r:id="rId899" xr:uid="{696A75DA-1C24-49EA-8626-06E61BB5C838}"/>
    <hyperlink ref="Q6" r:id="rId900" xr:uid="{ADDC552B-7B25-46CE-BD9D-2B5E8BE7378D}"/>
    <hyperlink ref="Q305" r:id="rId901" xr:uid="{C7808878-B55D-47D1-B2A6-ABC1BE68F9B1}"/>
    <hyperlink ref="Q306" r:id="rId902" xr:uid="{74689A66-100D-4019-A9D3-4C254CB1F06B}"/>
    <hyperlink ref="Q307" r:id="rId903" xr:uid="{66860418-ABBE-494E-96F6-E03CBA0A4612}"/>
    <hyperlink ref="Q308" r:id="rId904" xr:uid="{99564B33-4604-4701-8665-D3B626095FBF}"/>
    <hyperlink ref="Q310" r:id="rId905" xr:uid="{FC69887E-6FE9-4A11-9B98-2B9877F09B38}"/>
    <hyperlink ref="Q311" r:id="rId906" xr:uid="{C6B7C68A-D524-4E00-9B34-66D937A1CECD}"/>
    <hyperlink ref="Q312" r:id="rId907" xr:uid="{A8262694-F7CD-4D5A-A6C9-4C691D022B85}"/>
    <hyperlink ref="Q315" r:id="rId908" xr:uid="{FCBFBE3E-4815-4360-9106-28FD776F666D}"/>
    <hyperlink ref="Q316" r:id="rId909" xr:uid="{CE04B84C-6066-434F-9498-6B134E800B29}"/>
    <hyperlink ref="Q317" r:id="rId910" xr:uid="{D316C8F6-B605-4606-BD92-E2264DACC845}"/>
    <hyperlink ref="Q319" r:id="rId911" xr:uid="{AF7376CE-17EF-4040-8F07-7C537DAB94A2}"/>
    <hyperlink ref="Q320" r:id="rId912" xr:uid="{84ABC9EF-D8CB-4F8F-B009-0042964148B9}"/>
    <hyperlink ref="Q321" r:id="rId913" xr:uid="{8E6A654A-E671-4537-B270-F7A4AC3D86DD}"/>
    <hyperlink ref="Q322" r:id="rId914" xr:uid="{17519A6B-C007-46E9-8CAD-42FE72AC1B7E}"/>
    <hyperlink ref="Q323" r:id="rId915" xr:uid="{FD793282-0EA3-4A23-B700-689DC4BE3DD6}"/>
    <hyperlink ref="Q324" r:id="rId916" xr:uid="{F8B07207-DC71-4194-8FFA-10FE8E98E40F}"/>
    <hyperlink ref="Q325" r:id="rId917" xr:uid="{7433FB43-3E25-487F-99D9-5435AED721B9}"/>
    <hyperlink ref="Q326" r:id="rId918" xr:uid="{85A9C63B-3DF6-42C1-8EDD-6D1B0CFD712A}"/>
    <hyperlink ref="Q327" r:id="rId919" xr:uid="{47514618-1DCE-4761-9DF9-281EE0945BA6}"/>
    <hyperlink ref="Q328" r:id="rId920" xr:uid="{782B089E-0C22-4731-9A43-7814F71DCB46}"/>
    <hyperlink ref="Q329" r:id="rId921" xr:uid="{47173A79-ED15-4177-9D07-631DD2CA51A9}"/>
    <hyperlink ref="Q331" r:id="rId922" xr:uid="{77DB00B9-2B1A-442B-A41D-C2323B4C2067}"/>
    <hyperlink ref="Q332" r:id="rId923" xr:uid="{229D7648-1B4C-4F28-987B-08137A3C78F8}"/>
    <hyperlink ref="Q333" r:id="rId924" xr:uid="{DE44EFE7-C197-4EE9-9F3B-57E85B4542F5}"/>
    <hyperlink ref="Q334" r:id="rId925" xr:uid="{BE4107FC-E09B-41A2-96E8-C55D7AA83A16}"/>
    <hyperlink ref="Q335" r:id="rId926" xr:uid="{7AB55D5F-BFF0-4538-A10B-59BBD6851180}"/>
    <hyperlink ref="Q336" r:id="rId927" xr:uid="{DBAFD959-C54C-4B0A-BFB7-2ABACA169809}"/>
    <hyperlink ref="Q337" r:id="rId928" xr:uid="{85940C5C-AA9B-4E1C-8459-2DD4E7FC4ADD}"/>
    <hyperlink ref="Q338" r:id="rId929" xr:uid="{462AE761-05E9-47BB-A95D-3493D702E6E2}"/>
    <hyperlink ref="Q339" r:id="rId930" xr:uid="{E8160819-34EF-49BC-BEB5-2E2431F83EE1}"/>
    <hyperlink ref="Q340" r:id="rId931" xr:uid="{3546EC70-102B-4837-AEA4-338E31ADED27}"/>
    <hyperlink ref="Q341" r:id="rId932" xr:uid="{18A9FCD5-C81F-46BB-938F-FF7AFEC753BE}"/>
    <hyperlink ref="Q342" r:id="rId933" xr:uid="{7C920563-AAB3-4EA2-B2AE-E3F50B7AEFCD}"/>
    <hyperlink ref="Q343" r:id="rId934" xr:uid="{86FF3E4B-5CC4-435D-931B-4B83FC0607EB}"/>
    <hyperlink ref="Q344" r:id="rId935" xr:uid="{2C904093-8E39-46D4-A874-753C123F3CCD}"/>
    <hyperlink ref="Q345" r:id="rId936" xr:uid="{D97086B0-39D4-4B39-98A0-E4009FC32F8C}"/>
    <hyperlink ref="Q346" r:id="rId937" xr:uid="{1C939FCF-E43B-460C-A977-4DF58384660F}"/>
    <hyperlink ref="Q347" r:id="rId938" xr:uid="{54255D55-1EB0-4C85-BF19-63C450BBB072}"/>
    <hyperlink ref="Q348" r:id="rId939" xr:uid="{7D9199E2-A87F-46C4-A1AE-C311D02BC87C}"/>
    <hyperlink ref="Q349" r:id="rId940" xr:uid="{46A97DB5-E603-45BD-9FC6-FCE889AC76F5}"/>
    <hyperlink ref="Q350" r:id="rId941" xr:uid="{1BADA6B2-057F-469D-8E6D-1A699D5C4FA0}"/>
    <hyperlink ref="Q351" r:id="rId942" xr:uid="{A6BD7F79-68D6-479E-9212-A44AE5FC3A62}"/>
    <hyperlink ref="Q352" r:id="rId943" xr:uid="{BB9FE425-214E-43AF-96BC-7BB20DD090E5}"/>
    <hyperlink ref="Q353" r:id="rId944" xr:uid="{432DD770-0E29-4788-A5FD-7A3AA421A3CF}"/>
    <hyperlink ref="Q354" r:id="rId945" xr:uid="{66680900-ACC7-4222-99F8-6AC74A8D4B7F}"/>
    <hyperlink ref="Q355" r:id="rId946" xr:uid="{22E290AE-4941-46C1-96E6-7898B9034705}"/>
    <hyperlink ref="Q356" r:id="rId947" xr:uid="{46FFC134-F890-470C-8F46-265C0FC65779}"/>
    <hyperlink ref="Q357" r:id="rId948" xr:uid="{545A2E16-F55A-4FF4-9832-E35BB42BC4DF}"/>
    <hyperlink ref="Q359" r:id="rId949" xr:uid="{79929778-A76B-4974-AFE6-CB7A91EF562A}"/>
    <hyperlink ref="Q360" r:id="rId950" xr:uid="{477D0A34-CE57-4A16-804C-8A20C7234567}"/>
    <hyperlink ref="Q361" r:id="rId951" xr:uid="{6DEAC0DB-2D31-477B-A97D-06BBF8D195B0}"/>
    <hyperlink ref="Q362" r:id="rId952" xr:uid="{47D6A1A3-91BE-4413-BE77-16A3E9DA3A2A}"/>
    <hyperlink ref="Q363" r:id="rId953" xr:uid="{05207D1F-CC95-420C-81D8-39223055F020}"/>
    <hyperlink ref="Q364" r:id="rId954" xr:uid="{D066E4C6-2062-43A6-9C91-CF9AF7AD3406}"/>
    <hyperlink ref="Q365" r:id="rId955" xr:uid="{BAC3703F-A9DF-4340-A011-E82CAF43EE27}"/>
    <hyperlink ref="Q366" r:id="rId956" xr:uid="{64456ED6-0B67-43EA-A18B-1A72F6E16BBE}"/>
    <hyperlink ref="Q367" r:id="rId957" xr:uid="{1BE4E728-2EEF-42B9-8294-7A68D5F3E7ED}"/>
    <hyperlink ref="Q368" r:id="rId958" xr:uid="{BAC9C37C-A7AF-4B0D-8492-BB5DD7B3B7D6}"/>
    <hyperlink ref="Q370" r:id="rId959" xr:uid="{E115D5A2-683B-40A2-A14F-F148E5C2D33C}"/>
    <hyperlink ref="Q369" r:id="rId960" xr:uid="{159F0E0A-18D0-4705-9EBB-FF2C15387272}"/>
    <hyperlink ref="Q371" r:id="rId961" xr:uid="{181044D5-551F-4D9A-9909-78ECAA90F3F1}"/>
    <hyperlink ref="Q376" r:id="rId962" xr:uid="{5D11C1DA-DED4-4EE9-8E26-F07960706BF7}"/>
    <hyperlink ref="Q372" r:id="rId963" xr:uid="{5D8E9E09-D148-4442-BC3F-4C900091BE0D}"/>
    <hyperlink ref="Q374" r:id="rId964" xr:uid="{96CA598D-32BC-47BC-B37E-4C45794AFC67}"/>
    <hyperlink ref="Q375" r:id="rId965" xr:uid="{A9076EDC-B6A2-4ECB-9A7C-95F29FB7F656}"/>
    <hyperlink ref="Q377" r:id="rId966" xr:uid="{C8B33B7F-D1D3-46B5-BAF5-2FF90B1D44C4}"/>
    <hyperlink ref="Q378" r:id="rId967" xr:uid="{1286DA4C-EAB0-45C2-9D50-639A75E59B73}"/>
    <hyperlink ref="Q379" r:id="rId968" xr:uid="{A72B1315-E16C-4F70-BDD1-D592D2934CE4}"/>
    <hyperlink ref="Q380" r:id="rId969" xr:uid="{D4FD71DF-6040-477B-8906-4F8B887B5FEA}"/>
    <hyperlink ref="Q381" r:id="rId970" xr:uid="{73B5E263-1DAF-4571-B6C3-7C904F42D15B}"/>
    <hyperlink ref="Q382" r:id="rId971" xr:uid="{42FA54E4-FDA5-4ED2-A2BE-F225B6BB0A09}"/>
    <hyperlink ref="Q383" r:id="rId972" xr:uid="{888AEC3D-8FF6-4217-BA05-BC8E09B3DFDC}"/>
    <hyperlink ref="Q384" r:id="rId973" xr:uid="{0CE4382F-79FA-490D-A341-0F112273649D}"/>
    <hyperlink ref="Q385" r:id="rId974" xr:uid="{25F27446-987A-4FFE-AD2C-C2203C22FC20}"/>
    <hyperlink ref="Q386" r:id="rId975" xr:uid="{A5FA1174-7FAC-4424-ACD0-F5CEA8909231}"/>
    <hyperlink ref="Q388" r:id="rId976" xr:uid="{802B284A-4B06-45D0-9A01-68FDA7F76959}"/>
    <hyperlink ref="Q389" r:id="rId977" xr:uid="{3525580D-7B8E-468F-AF62-2F06CDF2CB69}"/>
    <hyperlink ref="Q391" r:id="rId978" xr:uid="{F6E9BD4B-67CA-4072-A0AF-BBB5975E2B6B}"/>
    <hyperlink ref="Q393" r:id="rId979" xr:uid="{AC1F72F6-CB28-4A25-8559-EE2D7D8EEF46}"/>
    <hyperlink ref="Q395" r:id="rId980" xr:uid="{C13EF90B-FF89-4F78-B6EB-B7FD47E900BD}"/>
    <hyperlink ref="Q396" r:id="rId981" xr:uid="{E4C5ED2F-179D-4841-A114-8AF24174038D}"/>
    <hyperlink ref="Q397" r:id="rId982" xr:uid="{27B3012B-FC8F-419E-BC99-D954F4F5F95D}"/>
    <hyperlink ref="Q399" r:id="rId983" xr:uid="{44251E5B-99C1-4E01-80D7-0D30403B77B5}"/>
    <hyperlink ref="Q404" r:id="rId984" xr:uid="{208B405C-D0E8-4939-A6B5-02FEC7C615F9}"/>
    <hyperlink ref="Q406" r:id="rId985" xr:uid="{0548B699-05C5-4429-897E-9A69D980B1D3}"/>
    <hyperlink ref="Q390" r:id="rId986" xr:uid="{0CB24563-BFD8-4B89-89DF-9A36B8BDBC10}"/>
    <hyperlink ref="Q392" r:id="rId987" xr:uid="{90292096-ED9A-4193-BE9B-6BBAB29BAEF7}"/>
    <hyperlink ref="Q394" r:id="rId988" xr:uid="{A5691D7F-4A35-45B0-BA13-EA6AF45889E5}"/>
    <hyperlink ref="Q398" r:id="rId989" xr:uid="{DD4662A9-5D92-441B-AD0C-E45456FC0175}"/>
    <hyperlink ref="Q400" r:id="rId990" xr:uid="{72543A82-43A7-491F-A695-5ED53CF78F89}"/>
    <hyperlink ref="Q401" r:id="rId991" xr:uid="{8B75669C-A5D9-4B6E-A5B1-1C0029571D60}"/>
    <hyperlink ref="Q402" r:id="rId992" xr:uid="{D1A4554B-7DBC-40C7-9EF0-ADF40CE27DA1}"/>
    <hyperlink ref="Q403" r:id="rId993" xr:uid="{DC8B00D1-FBE9-4121-A3D0-FD5619267E1A}"/>
    <hyperlink ref="Q405" r:id="rId994" xr:uid="{A5AF713F-7D2A-4920-B6B1-511C503EB0A0}"/>
    <hyperlink ref="Q407" r:id="rId995" xr:uid="{FE157FD1-43C2-44B2-BFEF-38123E3EC5C0}"/>
    <hyperlink ref="Q408" r:id="rId996" xr:uid="{E8D6D429-D790-4862-8BF3-58D70C048415}"/>
    <hyperlink ref="Q409" r:id="rId997" xr:uid="{5F44F4B8-C513-4AD3-A9BC-F59FA08290BD}"/>
    <hyperlink ref="Q410" r:id="rId998" xr:uid="{6A3BA30D-7232-4FA9-9A09-D37D989F9D41}"/>
    <hyperlink ref="Q411" r:id="rId999" xr:uid="{12DDB300-1009-4599-919E-46BD099C84D0}"/>
    <hyperlink ref="Q412" r:id="rId1000" xr:uid="{C89EDF08-8BBA-4900-BA9A-2DD3662AADFA}"/>
    <hyperlink ref="Q413" r:id="rId1001" xr:uid="{27805A22-10FA-4A01-8C2D-362EA5CB65E0}"/>
    <hyperlink ref="Q414" r:id="rId1002" xr:uid="{4269B185-FA39-4ADA-B627-9A5D17C923AB}"/>
    <hyperlink ref="Q415" r:id="rId1003" xr:uid="{33BD03E1-4C5A-41FE-BC7F-D064C3162287}"/>
    <hyperlink ref="Q416" r:id="rId1004" xr:uid="{45873B6E-9B34-4013-8328-199FD582DD6D}"/>
    <hyperlink ref="Q418" r:id="rId1005" xr:uid="{557004F6-948A-493F-80EC-F21C411AEC31}"/>
    <hyperlink ref="Q417" r:id="rId1006" xr:uid="{4BA23205-ECAB-47F5-BF76-F023579935A1}"/>
    <hyperlink ref="Q419" r:id="rId1007" xr:uid="{824EDA31-2358-42FD-B438-7A57AA0838BC}"/>
    <hyperlink ref="Q420" r:id="rId1008" xr:uid="{4223D54D-E670-444C-B4F5-5AAC19E8F169}"/>
    <hyperlink ref="Q421" r:id="rId1009" xr:uid="{FB720474-8F39-41F6-B3FA-C5AB842C0620}"/>
    <hyperlink ref="Q422" r:id="rId1010" xr:uid="{07A7910D-D68A-44FA-809F-588D11F99951}"/>
    <hyperlink ref="Q423" r:id="rId1011" xr:uid="{752832C2-2ABE-4ECE-B83B-6F5B0650F426}"/>
    <hyperlink ref="Q424" r:id="rId1012" xr:uid="{117CA5AB-4380-425A-8A4D-5DB599FFCDD4}"/>
    <hyperlink ref="Q425" r:id="rId1013" xr:uid="{4D44EA96-820B-493C-AFB0-7366450D79EF}"/>
    <hyperlink ref="Q426" r:id="rId1014" xr:uid="{88B71907-7ADB-4D8D-857B-C24DDF8D46D7}"/>
    <hyperlink ref="Q427" r:id="rId1015" xr:uid="{0B133658-1DD4-4FE2-B640-F118C3995A56}"/>
    <hyperlink ref="Q428" r:id="rId1016" xr:uid="{D0C4AAF9-A912-42E9-9DA9-DDBAA481AE1E}"/>
    <hyperlink ref="Q429" r:id="rId1017" xr:uid="{FFF5A50D-880C-45EF-960D-8234EE709BC3}"/>
    <hyperlink ref="Q430" r:id="rId1018" xr:uid="{E7C90789-975D-482A-A659-562600264B7B}"/>
    <hyperlink ref="Q431" r:id="rId1019" xr:uid="{1BE60562-D200-48D8-8D10-7F5B024BF123}"/>
    <hyperlink ref="Q432" r:id="rId1020" xr:uid="{474ABC75-93BC-4FCE-A153-F7454DCD43F3}"/>
    <hyperlink ref="Q433" r:id="rId1021" xr:uid="{33C45C28-6AF3-4619-A0CD-8BD967B1C9DC}"/>
    <hyperlink ref="Q434" r:id="rId1022" xr:uid="{A92B0BB6-C96C-4A61-8371-8F4F22FE3EC5}"/>
    <hyperlink ref="Q435" r:id="rId1023" xr:uid="{D3AAEFF8-61C6-48CA-85B0-276953333FC4}"/>
    <hyperlink ref="Q436" r:id="rId1024" xr:uid="{85D8A41C-BC8A-45D7-A5BF-04C16CE599F5}"/>
    <hyperlink ref="Q437" r:id="rId1025" xr:uid="{DD9BDB6F-32C4-4F17-86A4-49DD3235335A}"/>
    <hyperlink ref="Q438" r:id="rId1026" xr:uid="{2644907F-EE37-4CE8-BE36-EF164A986C08}"/>
    <hyperlink ref="Q439" r:id="rId1027" xr:uid="{08476EAC-722F-4F29-86F5-58F242953F67}"/>
    <hyperlink ref="Q440" r:id="rId1028" xr:uid="{07395DE1-11BA-4DBC-AEAD-9D15222A19C4}"/>
    <hyperlink ref="Q441" r:id="rId1029" xr:uid="{151B94A3-874F-4DA2-B498-80DEE3976D37}"/>
    <hyperlink ref="Q443" r:id="rId1030" xr:uid="{E8C903D8-4CAC-47E5-92E5-8E12791113C8}"/>
    <hyperlink ref="Q444" r:id="rId1031" xr:uid="{B66FF454-05D4-4DBD-8C85-2D68ECFEB7EA}"/>
    <hyperlink ref="Q445" r:id="rId1032" xr:uid="{E9A29289-88A8-4856-B970-AAE6FA57A079}"/>
    <hyperlink ref="Q446" r:id="rId1033" xr:uid="{26F01075-3373-47A5-A02E-9804190963D9}"/>
    <hyperlink ref="Q447" r:id="rId1034" xr:uid="{08621BE6-0D1A-4D08-9DC2-507C6249F93E}"/>
    <hyperlink ref="Q448" r:id="rId1035" xr:uid="{5ACBE9F3-CA93-44F1-954C-9FA6306C3593}"/>
    <hyperlink ref="Q449" r:id="rId1036" xr:uid="{3A539114-4907-4225-9DB3-29F4D9269726}"/>
    <hyperlink ref="Q450" r:id="rId1037" xr:uid="{79CEAB06-3899-40F2-9B64-EE534BF2C96B}"/>
    <hyperlink ref="Q451" r:id="rId1038" xr:uid="{51774096-86BD-4C2F-9211-7347BD45C58C}"/>
    <hyperlink ref="Q452" r:id="rId1039" xr:uid="{3AAC1DEC-6F1A-4AAD-80FF-5DE57F911964}"/>
    <hyperlink ref="Q453" r:id="rId1040" xr:uid="{2FEDF99A-C9F5-4D52-8768-FB5DA3BAF657}"/>
    <hyperlink ref="Q454" r:id="rId1041" xr:uid="{43270512-9478-454F-95B4-9108CE1EFE72}"/>
    <hyperlink ref="Q455" r:id="rId1042" xr:uid="{84EEAAC7-968C-4708-B667-B1E5CBF7AB4E}"/>
    <hyperlink ref="Q456" r:id="rId1043" xr:uid="{F6E3EC53-382F-419A-A3C4-12FB8EE4EC33}"/>
    <hyperlink ref="Q457" r:id="rId1044" xr:uid="{EFCAB264-D179-44FB-B081-061EEA1E5677}"/>
    <hyperlink ref="Q458" r:id="rId1045" xr:uid="{85EED7AF-384A-41D0-B0B3-4BD0D0B00787}"/>
    <hyperlink ref="Q459" r:id="rId1046" xr:uid="{C37CC605-54FE-4AB2-AB43-6B33D7FD8B73}"/>
    <hyperlink ref="Q460" r:id="rId1047" xr:uid="{5B99E228-181E-4443-A742-D232CD70AA5D}"/>
    <hyperlink ref="Q461" r:id="rId1048" xr:uid="{97FCC4D6-63D5-4FED-B74A-7F1F036D870E}"/>
    <hyperlink ref="Q462" r:id="rId1049" xr:uid="{A7D008FD-50EC-424B-92BF-84E9466C3347}"/>
    <hyperlink ref="Q463" r:id="rId1050" xr:uid="{E0D5B90B-80C3-46BE-9B70-D7539FBE5561}"/>
    <hyperlink ref="Q464" r:id="rId1051" xr:uid="{E6796160-3797-41C6-A611-B70742699D89}"/>
    <hyperlink ref="Q465" r:id="rId1052" xr:uid="{D0AED905-7FA1-432A-9E07-3A716BFF5191}"/>
    <hyperlink ref="Q466" r:id="rId1053" xr:uid="{810206DA-D356-40C3-B805-6DE9B6FAA733}"/>
    <hyperlink ref="Q467" r:id="rId1054" xr:uid="{7D30AD34-B4D6-44B1-A4A8-DB99EB1E350B}"/>
    <hyperlink ref="Q468" r:id="rId1055" xr:uid="{70C8F162-353A-4EC7-9A7A-968A978394E6}"/>
    <hyperlink ref="Q469" r:id="rId1056" xr:uid="{D0DE0D53-B9F0-44ED-A80C-F045742C096E}"/>
    <hyperlink ref="Q470" r:id="rId1057" xr:uid="{2823B5CF-F81E-46BA-A388-DABCA4341E25}"/>
    <hyperlink ref="Q471" r:id="rId1058" xr:uid="{9B67A4EB-AEE7-4540-B688-0B7E63F412DD}"/>
    <hyperlink ref="Q472" r:id="rId1059" xr:uid="{5EC8E60D-B079-4135-814C-D8281C1052BB}"/>
    <hyperlink ref="Q473" r:id="rId1060" xr:uid="{E8C81F49-AB94-4FED-A977-592B231F2C10}"/>
    <hyperlink ref="Q474" r:id="rId1061" xr:uid="{936141A9-EDC2-4BF3-9666-5E0A38C3D2CF}"/>
    <hyperlink ref="Q475" r:id="rId1062" xr:uid="{923CF00E-E19C-4CB1-BB9A-37C4089CA9CE}"/>
    <hyperlink ref="Q476" r:id="rId1063" xr:uid="{DE94C6D7-BCB5-40EB-85E5-7A1116037BC3}"/>
    <hyperlink ref="Q477" r:id="rId1064" xr:uid="{576F400B-9942-4AD8-958C-AE518BD80F85}"/>
    <hyperlink ref="Q478" r:id="rId1065" xr:uid="{59D3C36C-9BBC-4742-8E89-A72630894230}"/>
    <hyperlink ref="Q479" r:id="rId1066" xr:uid="{B321BEE1-A03E-4A43-B747-6ABCBAF6EE03}"/>
    <hyperlink ref="Q480" r:id="rId1067" xr:uid="{AA4C59F2-F08E-414B-90B4-65992D9347D6}"/>
    <hyperlink ref="Q481" r:id="rId1068" xr:uid="{106FCE12-AF57-465A-9B98-DE77C9E2DD9E}"/>
    <hyperlink ref="Q482" r:id="rId1069" xr:uid="{23EA16F6-8DD4-4C58-AB6F-F2D842C23703}"/>
    <hyperlink ref="Q483" r:id="rId1070" xr:uid="{A16607F2-96D8-4B11-83BF-21B3CE0D2F24}"/>
    <hyperlink ref="Q484" r:id="rId1071" xr:uid="{5EA98A07-1284-45A6-93BC-0A3E43687621}"/>
    <hyperlink ref="Q485" r:id="rId1072" xr:uid="{FE6B7F31-4633-464E-A3E0-E2E2FE910F25}"/>
    <hyperlink ref="Q486" r:id="rId1073" xr:uid="{A9483674-AB06-4EF4-AB66-80958E7D411C}"/>
    <hyperlink ref="Q487" r:id="rId1074" xr:uid="{11403BEB-F8D9-4CBD-97CA-ADCCD44CE6E7}"/>
    <hyperlink ref="Q488" r:id="rId1075" xr:uid="{7C10A083-F842-42FB-ADB5-D5EBE0536E3B}"/>
    <hyperlink ref="Q489" r:id="rId1076" xr:uid="{DB69BEB6-9130-4FEE-8ACC-D8A166132544}"/>
    <hyperlink ref="Q490" r:id="rId1077" xr:uid="{948717B7-D53D-42FF-9CCB-C1B1B83AC6E0}"/>
    <hyperlink ref="Q491" r:id="rId1078" xr:uid="{3FCCBE06-47F4-4D05-8856-4F8D62FAE397}"/>
    <hyperlink ref="Q492" r:id="rId1079" xr:uid="{0CAD0CC0-EC92-49FA-9345-0A0B98A29450}"/>
    <hyperlink ref="Q493" r:id="rId1080" xr:uid="{E8B9A72B-EE33-4513-A7C0-810FF442F627}"/>
    <hyperlink ref="Q494" r:id="rId1081" xr:uid="{52C64B90-A7A0-4024-900D-09A6569E388D}"/>
    <hyperlink ref="Q495" r:id="rId1082" xr:uid="{BC4411EC-179F-41DD-A06C-C2034E2B8E50}"/>
    <hyperlink ref="Q496" r:id="rId1083" xr:uid="{30B3125A-AE96-470A-AA10-A6A4475F465F}"/>
    <hyperlink ref="Q497" r:id="rId1084" xr:uid="{4F848D9F-3DC5-4C3C-B05B-8BCC2EC451F1}"/>
    <hyperlink ref="Q498" r:id="rId1085" xr:uid="{94025AA9-07F9-4B9B-81E3-B1CB1B3501AE}"/>
    <hyperlink ref="Q499" r:id="rId1086" xr:uid="{7E3458B3-9BB0-479E-94AF-5E7D83BE756F}"/>
    <hyperlink ref="Q500" r:id="rId1087" xr:uid="{5122DC9C-96F4-46C8-8875-33CC1E17A5E0}"/>
    <hyperlink ref="Q501" r:id="rId1088" xr:uid="{88193F95-D012-4666-B611-5EF51850D1B5}"/>
    <hyperlink ref="Q502" r:id="rId1089" xr:uid="{A73DE3C5-8E7A-487C-AC6C-10ECF8F6E811}"/>
    <hyperlink ref="Q503" r:id="rId1090" xr:uid="{D65AFA7E-417B-4B06-8D51-0DAB470C3F2B}"/>
    <hyperlink ref="Q504" r:id="rId1091" xr:uid="{CAE615C5-93F6-4114-8715-B3B5B0980239}"/>
    <hyperlink ref="Q505" r:id="rId1092" xr:uid="{74F839BC-B66F-4865-B8F2-06F459A2F3AA}"/>
    <hyperlink ref="Q506" r:id="rId1093" xr:uid="{4838D1A2-39D6-4CAC-88AD-183AA93BBFEB}"/>
    <hyperlink ref="Q507" r:id="rId1094" xr:uid="{ECC6AC61-4672-4371-946A-C382B3DC4D2A}"/>
    <hyperlink ref="Q508" r:id="rId1095" xr:uid="{F65480B8-6D78-452D-9AAB-15EE633F0F37}"/>
    <hyperlink ref="Q510" r:id="rId1096" xr:uid="{097A22EA-9F85-4DA4-B5C5-45166F4CE5EE}"/>
    <hyperlink ref="Q511" r:id="rId1097" xr:uid="{3A960FFA-A5BC-4816-96EC-2A67B0BEB176}"/>
    <hyperlink ref="Q512" r:id="rId1098" xr:uid="{5DDC0CD0-80F9-4BDB-B23A-FEE98264947D}"/>
    <hyperlink ref="Q513" r:id="rId1099" xr:uid="{A7AFE41F-B092-49DA-902A-69587FE77D72}"/>
    <hyperlink ref="Q514" r:id="rId1100" xr:uid="{5CEB8EFB-E2AD-4093-BAB8-4770F8F430AD}"/>
    <hyperlink ref="Q515" r:id="rId1101" xr:uid="{402F6C2F-55B8-4726-A93F-2B9435726D60}"/>
    <hyperlink ref="Q516" r:id="rId1102" xr:uid="{2FA45C1F-BFE5-4A6D-85CC-DCCE9AA125F5}"/>
    <hyperlink ref="Q517" r:id="rId1103" xr:uid="{30C51BE1-F01D-4F8A-9F2A-8203A3EC6510}"/>
    <hyperlink ref="Q518" r:id="rId1104" xr:uid="{4384C3FE-3FFE-4728-BD28-4DC25DE7497B}"/>
    <hyperlink ref="Q519" r:id="rId1105" xr:uid="{CD79A3A8-F75A-43D7-BCD3-8902C37A59B8}"/>
    <hyperlink ref="Q520" r:id="rId1106" xr:uid="{473A1B6E-7B8E-4BCB-B665-67E2A352707D}"/>
    <hyperlink ref="Q521" r:id="rId1107" xr:uid="{69A61235-0809-461C-A2D8-AD451B4836DD}"/>
    <hyperlink ref="Q522" r:id="rId1108" xr:uid="{12F1EC3A-F6B0-4370-A4D8-520186B73724}"/>
    <hyperlink ref="Q523" r:id="rId1109" xr:uid="{932569CE-EDBC-47E4-BF77-2CA8F3FAFB84}"/>
    <hyperlink ref="Q524" r:id="rId1110" xr:uid="{C44E0DB0-595A-4A20-AD88-07B4C9CB14CB}"/>
    <hyperlink ref="Q525" r:id="rId1111" xr:uid="{8F3C45B5-4056-48A2-AD3E-832F2B4724C8}"/>
    <hyperlink ref="Q526" r:id="rId1112" xr:uid="{991999A7-140F-436B-A95C-5A3ECF59EA03}"/>
    <hyperlink ref="Q527" r:id="rId1113" xr:uid="{381136A9-C723-490A-9488-E6722C9506FC}"/>
    <hyperlink ref="Q528" r:id="rId1114" xr:uid="{6D88AB13-B80B-453E-A656-E43C40389B26}"/>
    <hyperlink ref="Q529" r:id="rId1115" xr:uid="{8452D29A-1E65-45C1-B140-56EDB9503162}"/>
    <hyperlink ref="Q530" r:id="rId1116" xr:uid="{77A65293-7981-474C-911E-17A2133C68C3}"/>
    <hyperlink ref="Q531" r:id="rId1117" xr:uid="{07B2BCDB-1BAD-4DEC-A222-82E640BDD1E0}"/>
    <hyperlink ref="Q532" r:id="rId1118" xr:uid="{48889E30-72CC-4B4E-98BC-301C258C9509}"/>
    <hyperlink ref="Q533" r:id="rId1119" xr:uid="{2293BDBA-0B59-4B6B-A3B4-BEF8E12245DA}"/>
    <hyperlink ref="Q534" r:id="rId1120" xr:uid="{4037BAD8-3D2D-4BDC-B0BE-2DE366D5439C}"/>
    <hyperlink ref="Q535" r:id="rId1121" xr:uid="{A1A6122F-3953-47E1-9D46-F8380D81CC8E}"/>
    <hyperlink ref="Q536" r:id="rId1122" xr:uid="{58AAF864-D9C0-4D7B-BF63-0CD731B1E8E6}"/>
    <hyperlink ref="Q537" r:id="rId1123" xr:uid="{56899B39-5F0E-4301-9AD8-939A3E067984}"/>
    <hyperlink ref="Q538" r:id="rId1124" xr:uid="{86EA3196-D23E-4190-A048-766A45A1C681}"/>
    <hyperlink ref="Q539" r:id="rId1125" xr:uid="{5E37384E-13E3-49EC-B9AB-2545AE7A203F}"/>
    <hyperlink ref="Q540" r:id="rId1126" xr:uid="{59D60EC2-EEC5-4B7A-B03F-85C9C3691555}"/>
    <hyperlink ref="Q541" r:id="rId1127" xr:uid="{83504C2E-25BE-44DE-BFE8-6B76080A3E40}"/>
    <hyperlink ref="Q542" r:id="rId1128" xr:uid="{2CA2FDCE-9966-4D63-9CFB-B929AF9AF80A}"/>
    <hyperlink ref="Q543" r:id="rId1129" xr:uid="{4EBCE1F5-FD0B-4430-88E6-F159F06E482F}"/>
    <hyperlink ref="Q544" r:id="rId1130" xr:uid="{46A0E85F-2221-4B00-BD55-65A4B7CDBA35}"/>
    <hyperlink ref="Q545" r:id="rId1131" xr:uid="{B9C86735-0C40-40D9-8219-3D82C61875E8}"/>
    <hyperlink ref="Q546" r:id="rId1132" xr:uid="{72370139-8BA9-4165-A0F3-12F10AE1E2FF}"/>
    <hyperlink ref="Q547" r:id="rId1133" xr:uid="{D8A15D7D-24DD-4D6A-9E1F-65699FFEA7C2}"/>
    <hyperlink ref="Q548" r:id="rId1134" xr:uid="{0DF2EB38-B585-4A90-BFE1-04DA8E72091E}"/>
    <hyperlink ref="Q549" r:id="rId1135" xr:uid="{C0C12537-5E1C-4B86-B172-7A56F4C4149E}"/>
    <hyperlink ref="Q550" r:id="rId1136" xr:uid="{792DB73C-EDE6-44F8-9F3A-4B1A8F35801A}"/>
    <hyperlink ref="Q551" r:id="rId1137" xr:uid="{588F73D1-5CDE-4069-8E64-A7BF2873E07E}"/>
    <hyperlink ref="Q552" r:id="rId1138" xr:uid="{4C3C2558-76C6-4F00-899E-9AB8A1FBC5DC}"/>
    <hyperlink ref="Q553" r:id="rId1139" xr:uid="{A8F58022-5F86-4392-9ECE-BA4D3F33835B}"/>
    <hyperlink ref="Q554" r:id="rId1140" xr:uid="{07651A31-9D6E-48F5-A251-782F6BBC2282}"/>
    <hyperlink ref="Q555" r:id="rId1141" xr:uid="{4168DA01-8A21-4A6F-B349-A6208F7AB14F}"/>
    <hyperlink ref="Q556" r:id="rId1142" xr:uid="{C0020E8B-F45A-455E-BCED-1E125C80E7E7}"/>
    <hyperlink ref="Q557" r:id="rId1143" xr:uid="{EDBB415B-063F-4085-A5B9-F8E3118110BA}"/>
    <hyperlink ref="Q558" r:id="rId1144" xr:uid="{C43CF526-82F9-453A-80A5-673300C75054}"/>
    <hyperlink ref="Q559" r:id="rId1145" xr:uid="{7EE33CE6-0A1A-456D-93E2-13206FBC99DB}"/>
    <hyperlink ref="Q560" r:id="rId1146" xr:uid="{A12D14CD-AEE7-48DA-8948-09824D438A75}"/>
    <hyperlink ref="Q561" r:id="rId1147" xr:uid="{B423DA9F-3DBD-4B1D-99D4-F4974138F1BF}"/>
    <hyperlink ref="Q562" r:id="rId1148" xr:uid="{14F6FC2C-08AB-44E4-A8FF-6E68B6CABAB5}"/>
    <hyperlink ref="Q563" r:id="rId1149" xr:uid="{B7538263-AF78-4F57-AF2C-4866019A849C}"/>
    <hyperlink ref="Q564" r:id="rId1150" xr:uid="{9CB8E5BD-22FF-48B5-A12C-AD046964682A}"/>
    <hyperlink ref="Q565" r:id="rId1151" xr:uid="{3A81A262-48CB-4682-9D0F-537CFFB3CA85}"/>
    <hyperlink ref="Q566" r:id="rId1152" xr:uid="{6509C8AF-EA57-4B93-AE1C-9F55EFA13F60}"/>
    <hyperlink ref="Q567" r:id="rId1153" xr:uid="{EFCBE46D-D0C3-4D95-9BB3-5982D5FCE94D}"/>
    <hyperlink ref="Q568" r:id="rId1154" xr:uid="{FE852F24-F7AD-4F49-BD59-AEB7DE0C0D8C}"/>
    <hyperlink ref="Q569" r:id="rId1155" xr:uid="{E2BCBB3B-7518-44A4-A183-B3B774622FAA}"/>
    <hyperlink ref="Q570" r:id="rId1156" xr:uid="{33372E14-ED46-4048-A1C0-740E7E8AF022}"/>
    <hyperlink ref="Q571" r:id="rId1157" xr:uid="{C40A76E4-5600-43EC-B927-7DB64A47DCBA}"/>
    <hyperlink ref="Q572" r:id="rId1158" xr:uid="{4510BD4D-9FE9-44A5-86B6-198F93E3208B}"/>
    <hyperlink ref="Q573" r:id="rId1159" xr:uid="{8236C1E7-E8C7-4DE9-AA55-C3BD76F9DEF2}"/>
    <hyperlink ref="Q574" r:id="rId1160" xr:uid="{D0B2A797-120A-415D-AFE3-E46519A4A22F}"/>
    <hyperlink ref="Q575" r:id="rId1161" xr:uid="{F02CC424-BB71-49B1-9ADA-92ED31F85860}"/>
    <hyperlink ref="Q576" r:id="rId1162" xr:uid="{D1D437F8-12CC-4218-B50C-E2754A693382}"/>
    <hyperlink ref="Q577" r:id="rId1163" xr:uid="{A8A9EDB1-3651-4EBE-A562-7B34BEFB4483}"/>
    <hyperlink ref="Q578" r:id="rId1164" xr:uid="{19DACCE7-863F-4D92-BE41-9E989306ED65}"/>
    <hyperlink ref="Q579" r:id="rId1165" xr:uid="{0E08C882-19BD-43C4-BCD2-031DCCE82D1A}"/>
    <hyperlink ref="Q580" r:id="rId1166" xr:uid="{F648D1CB-EC24-441E-85B9-A0BB150D7103}"/>
    <hyperlink ref="Q581" r:id="rId1167" xr:uid="{66F4C828-CC89-47AC-861F-98DD8E721138}"/>
    <hyperlink ref="Q582" r:id="rId1168" xr:uid="{1CA2DA36-9528-4FE0-B9F0-C10361D946AF}"/>
    <hyperlink ref="Q583" r:id="rId1169" xr:uid="{EF86B69F-79AF-4E79-9D5E-81C1C57AD32A}"/>
    <hyperlink ref="Q584" r:id="rId1170" xr:uid="{94E451D7-77FD-4E9F-A89C-FFA326997837}"/>
    <hyperlink ref="Q586" r:id="rId1171" xr:uid="{02C0CB6D-85F0-4C10-8C74-3A83AE388A61}"/>
    <hyperlink ref="Q585" r:id="rId1172" xr:uid="{84C9F569-3181-4D20-9A78-1BE77A68360D}"/>
    <hyperlink ref="Q587" r:id="rId1173" xr:uid="{61339F92-ED62-46DE-8FB9-BAAD2961D1B1}"/>
    <hyperlink ref="Q588" r:id="rId1174" xr:uid="{E979F89C-E755-4F47-9212-D30318FEB19A}"/>
    <hyperlink ref="Q589" r:id="rId1175" xr:uid="{AB29E09E-68CA-4194-8B6E-D07BC842A300}"/>
    <hyperlink ref="Q590" r:id="rId1176" xr:uid="{8262ADA9-A5DF-4518-B4FB-5FB99AC751BD}"/>
    <hyperlink ref="Q591" r:id="rId1177" xr:uid="{E85B4441-18AB-4BDA-A7E4-9FEAA7E358A4}"/>
    <hyperlink ref="Q592" r:id="rId1178" xr:uid="{8B763A29-2E4C-4EF4-8926-2959869874EC}"/>
    <hyperlink ref="Q594" r:id="rId1179" xr:uid="{5124A7FF-8356-4A1D-B5E5-9AB3D23632E1}"/>
    <hyperlink ref="Q595" r:id="rId1180" xr:uid="{60F97063-57F9-4650-85AD-1D53D2F20508}"/>
    <hyperlink ref="Q596" r:id="rId1181" xr:uid="{4205FA68-75CE-4F21-9ABB-DA78DBA99AA4}"/>
    <hyperlink ref="Q597" r:id="rId1182" xr:uid="{2D37A399-9D36-4A87-8AE3-986743CE6484}"/>
    <hyperlink ref="Q598" r:id="rId1183" xr:uid="{7241BC23-1CC8-4CE9-B1BB-B989CC467874}"/>
    <hyperlink ref="Q599" r:id="rId1184" xr:uid="{3B67E676-3869-4FEF-B4FE-D3D0E2899D81}"/>
    <hyperlink ref="Q600" r:id="rId1185" xr:uid="{BB22E959-DCC9-4C7C-AE85-A9C0B8594368}"/>
    <hyperlink ref="Q601" r:id="rId1186" xr:uid="{5E1BB740-DFE3-4D0F-B975-AB9F3B762EAC}"/>
    <hyperlink ref="Q602" r:id="rId1187" xr:uid="{AFD94BEF-6959-436B-8340-8E8F6DF3E89E}"/>
    <hyperlink ref="Q603" r:id="rId1188" xr:uid="{EBA152D6-B519-4CA1-8720-5844DD01E9B3}"/>
    <hyperlink ref="Q604" r:id="rId1189" xr:uid="{6114AD96-2291-440F-BBA8-F61266163B73}"/>
    <hyperlink ref="Q606" r:id="rId1190" xr:uid="{84EF92B1-A4C8-4824-87F8-748117D1EC8C}"/>
    <hyperlink ref="Q605" r:id="rId1191" xr:uid="{C3F8285D-5BBE-4696-AFF3-82D3630313A5}"/>
    <hyperlink ref="Q607" r:id="rId1192" xr:uid="{51FC069F-3233-4FE2-B2B8-52EA172363AA}"/>
    <hyperlink ref="Q608" r:id="rId1193" xr:uid="{8AABAAE6-1476-4985-AEE2-D6170B1E78F4}"/>
    <hyperlink ref="Q609" r:id="rId1194" xr:uid="{860AFF0D-1508-46D5-B01C-367F987EB87B}"/>
    <hyperlink ref="Q610" r:id="rId1195" xr:uid="{4A0BD42E-D35B-4040-942B-0EBAAE5BA6BA}"/>
    <hyperlink ref="Q611" r:id="rId1196" xr:uid="{217A9CAD-E49E-4D5F-8F50-7ED329C4899D}"/>
    <hyperlink ref="Q612" r:id="rId1197" xr:uid="{49479679-62B3-4503-9D9A-16635CEA5553}"/>
    <hyperlink ref="Q613" r:id="rId1198" xr:uid="{E2B769F3-C37E-4B08-953B-4D7896B4F255}"/>
    <hyperlink ref="Q614" r:id="rId1199" xr:uid="{95BD0FD4-EC04-4669-A8DB-3157AA52AE08}"/>
    <hyperlink ref="Q615" r:id="rId1200" xr:uid="{0295FE82-CC51-4C23-8CD0-5F8E5C8EB832}"/>
    <hyperlink ref="Q616" r:id="rId1201" xr:uid="{D95D6160-425E-4C40-B52B-F339E368ADBD}"/>
    <hyperlink ref="Q617" r:id="rId1202" xr:uid="{3C203B25-A325-4262-8390-03DC7DD9E410}"/>
    <hyperlink ref="Q618" r:id="rId1203" xr:uid="{458B4887-857B-4FEF-A777-96C46B8C88ED}"/>
    <hyperlink ref="Q619" r:id="rId1204" xr:uid="{0A22817E-0794-4850-8B01-80FC2E97BCF8}"/>
    <hyperlink ref="Q620" r:id="rId1205" xr:uid="{0671F08B-DC5A-4C66-AD9D-CA396D4954CF}"/>
    <hyperlink ref="Q621" r:id="rId1206" xr:uid="{30A949B5-8807-4E59-B50E-38C784674F4E}"/>
    <hyperlink ref="Q622" r:id="rId1207" xr:uid="{6F77CC3D-EF23-49AF-957C-F75843F9101C}"/>
    <hyperlink ref="Q623" r:id="rId1208" xr:uid="{8F4363C6-6CD3-4FB2-B0AA-F60AAD8C8C36}"/>
    <hyperlink ref="Q624" r:id="rId1209" xr:uid="{A95C92B5-4730-4FCD-AB4F-F9317472F094}"/>
    <hyperlink ref="Q625" r:id="rId1210" xr:uid="{E0ACC743-55EC-4A3A-9080-494F0B0AA0B8}"/>
    <hyperlink ref="Q626" r:id="rId1211" xr:uid="{7704AE1D-B4C9-42F3-B496-3611E11FE6C2}"/>
    <hyperlink ref="Q627" r:id="rId1212" xr:uid="{65A90FDF-FF3E-4350-B278-F4873465818F}"/>
    <hyperlink ref="Q628" r:id="rId1213" xr:uid="{C9E66686-2AEF-4863-804C-E33A75D1C7F0}"/>
    <hyperlink ref="Q629" r:id="rId1214" xr:uid="{C8132A10-A80F-49B3-99FA-B06DECF94EA3}"/>
    <hyperlink ref="Q630" r:id="rId1215" xr:uid="{11D52DA6-C75A-47DC-B8D2-3AD68CEC7B7C}"/>
    <hyperlink ref="Q631" r:id="rId1216" xr:uid="{091B2FB9-8CB4-4D8D-9E71-8A63CC759671}"/>
    <hyperlink ref="Q632" r:id="rId1217" xr:uid="{0E42FA95-E647-4932-8A4C-EA16385E05D4}"/>
    <hyperlink ref="Q634" r:id="rId1218" xr:uid="{251563C3-9125-4EF0-833D-760CD1EE5948}"/>
    <hyperlink ref="Q635" r:id="rId1219" xr:uid="{85C79CEF-B8DA-4E3D-B7EB-A60BE5FAA71B}"/>
    <hyperlink ref="Q636" r:id="rId1220" xr:uid="{FCC8FC46-6FCC-4D3B-894B-E81033B765DF}"/>
    <hyperlink ref="Q637" r:id="rId1221" xr:uid="{36EFAF9F-8E65-4D0E-8413-88C8AD259FD8}"/>
    <hyperlink ref="Q638" r:id="rId1222" xr:uid="{DD4FDEFB-E640-4818-A8FC-3DF2F774C346}"/>
    <hyperlink ref="Q639" r:id="rId1223" xr:uid="{7ACC41C7-6AA7-4622-AFB9-C72C0B2AA468}"/>
    <hyperlink ref="Q640" r:id="rId1224" xr:uid="{0BA7DA36-CD13-4793-B831-FF84E9F2AE6F}"/>
    <hyperlink ref="Q641" r:id="rId1225" xr:uid="{94226F32-C003-457B-9BF9-C132FCA67E2B}"/>
    <hyperlink ref="Q642" r:id="rId1226" xr:uid="{E6F04B41-BA6F-467A-8840-BAE640415878}"/>
    <hyperlink ref="Q643" r:id="rId1227" xr:uid="{A768B07C-BCDC-4387-8F19-EFA9E5D12911}"/>
    <hyperlink ref="Q644" r:id="rId1228" xr:uid="{3FCBF63C-32E9-42FB-B84C-ECB92177E48F}"/>
    <hyperlink ref="Q645" r:id="rId1229" xr:uid="{876045DA-9B12-4BE7-BADD-4CF53EE77061}"/>
    <hyperlink ref="Q646" r:id="rId1230" xr:uid="{5106C6F2-4DD1-4A0C-BB1B-FEE2FD0B91D5}"/>
    <hyperlink ref="Q647" r:id="rId1231" xr:uid="{7E3E1AE3-728F-4F79-B1C9-1B07F59A86EB}"/>
    <hyperlink ref="Q648" r:id="rId1232" xr:uid="{7108E272-B268-46E4-B99E-12F11DBEC932}"/>
    <hyperlink ref="Q649" r:id="rId1233" xr:uid="{D2DDF303-5369-4916-AE13-7DD32B723F34}"/>
    <hyperlink ref="Q651" r:id="rId1234" xr:uid="{BF411770-F778-4761-A59B-FF9780622B5B}"/>
    <hyperlink ref="Q650" r:id="rId1235" xr:uid="{58F60363-509F-4F4B-8E99-5B85A3EBE099}"/>
    <hyperlink ref="Q652" r:id="rId1236" xr:uid="{3F66BA24-B265-4E9F-BADE-B33F4256CABB}"/>
    <hyperlink ref="Q653" r:id="rId1237" xr:uid="{3653CA7B-B482-4ADB-9C4C-6B18822E4AD8}"/>
    <hyperlink ref="Q654" r:id="rId1238" xr:uid="{EA80E8C1-F71C-437A-9529-8111F053BA47}"/>
    <hyperlink ref="Q655" r:id="rId1239" xr:uid="{AB92B795-FD01-4BFA-943C-BD3AC7723FF8}"/>
    <hyperlink ref="Q656" r:id="rId1240" xr:uid="{7925E31A-1242-42BA-AE78-BCC4885911A0}"/>
    <hyperlink ref="Q657" r:id="rId1241" xr:uid="{8407B38F-01B9-4491-AF58-8E7CADF25CE6}"/>
    <hyperlink ref="Q658" r:id="rId1242" xr:uid="{F320FDC7-9060-4C98-ADA8-18C2FD911C87}"/>
    <hyperlink ref="Q659" r:id="rId1243" xr:uid="{FAF85622-1766-43DD-98AF-3FE24CE3AF0C}"/>
    <hyperlink ref="Q660" r:id="rId1244" xr:uid="{4A2B049F-53A3-4932-985A-5E9CA5FB0FDB}"/>
    <hyperlink ref="Q661" r:id="rId1245" xr:uid="{CA223B1B-6A94-49EB-9450-E4BA2ACED77F}"/>
    <hyperlink ref="Q662" r:id="rId1246" xr:uid="{062E4234-E349-45FC-8FC8-4531D372804F}"/>
    <hyperlink ref="Q663" r:id="rId1247" xr:uid="{4A6F9697-014D-4FB5-96AC-857DF0D19277}"/>
    <hyperlink ref="Q664" r:id="rId1248" xr:uid="{5D14ABBF-63E2-43E6-9DC1-D106D583D6CB}"/>
    <hyperlink ref="Q665" r:id="rId1249" xr:uid="{274E214B-49CD-4A54-96C3-3FB90B517C9C}"/>
    <hyperlink ref="Q666" r:id="rId1250" xr:uid="{95153F16-E662-48E6-A474-5AC20DA4F256}"/>
    <hyperlink ref="Q667" r:id="rId1251" xr:uid="{7047CF7B-AB09-462C-8547-D84F15EDBCCA}"/>
    <hyperlink ref="Q668" r:id="rId1252" xr:uid="{8D913BFD-1219-4A25-82FF-4F3975A10B8F}"/>
    <hyperlink ref="Q669" r:id="rId1253" xr:uid="{DF1800E4-676A-4E42-8F7A-0E888F2AEC24}"/>
    <hyperlink ref="Q670" r:id="rId1254" xr:uid="{6E5E49F4-73CC-4992-B3DE-C3D59E303CEC}"/>
    <hyperlink ref="Q671" r:id="rId1255" xr:uid="{B972CF97-87C4-4E2D-9DB9-6EA5CB840E8D}"/>
    <hyperlink ref="Q672" r:id="rId1256" xr:uid="{72335BE4-4A5E-478B-9DB9-6E33376D7338}"/>
    <hyperlink ref="Q673" r:id="rId1257" xr:uid="{0F5DCC84-EBC3-4941-BD60-A9D25035ED6B}"/>
    <hyperlink ref="Q674" r:id="rId1258" xr:uid="{FF54B6A0-65B5-4648-AFD7-0889C05C08EB}"/>
    <hyperlink ref="Q675" r:id="rId1259" xr:uid="{F4CD9A6E-D796-4DF7-9BE9-7042CFF55685}"/>
    <hyperlink ref="Q676" r:id="rId1260" xr:uid="{94C15B56-8702-43DD-AD85-2D0A9E33D5E3}"/>
    <hyperlink ref="Q677" r:id="rId1261" xr:uid="{06271216-7704-42DC-8286-3E6F31C1F03D}"/>
    <hyperlink ref="Q678" r:id="rId1262" xr:uid="{E4815FB1-BCD3-45BE-B1F2-BE1CD1793F4D}"/>
    <hyperlink ref="Q679" r:id="rId1263" xr:uid="{0C4F99ED-A045-4E97-88FF-EDAED0B6CF6E}"/>
    <hyperlink ref="Q680" r:id="rId1264" xr:uid="{36632AF1-4F4B-4B16-830C-E1F6BBFAAE53}"/>
    <hyperlink ref="Q681" r:id="rId1265" xr:uid="{A54C609C-C431-4228-B7D5-EE9882DABCB6}"/>
    <hyperlink ref="Q682" r:id="rId1266" xr:uid="{6C6794AA-3046-4B0E-9188-65DB626654D1}"/>
    <hyperlink ref="Q683" r:id="rId1267" xr:uid="{CD021F2B-3378-4CCD-864A-9B5E0249BBF1}"/>
    <hyperlink ref="Q684" r:id="rId1268" xr:uid="{C2E1E95F-3F46-457D-9207-15D41DBF0344}"/>
    <hyperlink ref="Q685" r:id="rId1269" xr:uid="{A321821F-F953-46B5-BC49-E1E9A906F64C}"/>
    <hyperlink ref="Q686" r:id="rId1270" xr:uid="{9C2CF3A4-31F6-42E7-8079-83A36090E126}"/>
    <hyperlink ref="Q687" r:id="rId1271" xr:uid="{35C98026-8A07-4609-A373-1B92861E1487}"/>
    <hyperlink ref="Q688" r:id="rId1272" xr:uid="{F7AD52CA-BF98-4C54-B2FB-A9237340E925}"/>
    <hyperlink ref="Q689" r:id="rId1273" xr:uid="{B5BC18E1-D83F-4119-B068-3B0668456EB6}"/>
    <hyperlink ref="Q690" r:id="rId1274" xr:uid="{EDE77754-3300-4F2B-A0DF-F5735E9831D7}"/>
    <hyperlink ref="Q691" r:id="rId1275" xr:uid="{0505043F-586E-40AA-98D3-95BB2B99CD0D}"/>
    <hyperlink ref="Q692" r:id="rId1276" xr:uid="{D11A18DA-1AC1-4260-B4AC-9AC0FAA64910}"/>
    <hyperlink ref="Q693" r:id="rId1277" xr:uid="{35619A2A-D83F-412F-9F81-60BD5CDEEF8C}"/>
    <hyperlink ref="Q694" r:id="rId1278" xr:uid="{ECBF8CAB-7E57-4621-BA06-4BE6F1695A25}"/>
    <hyperlink ref="Q695" r:id="rId1279" xr:uid="{4B8CAD0A-8AAA-4713-972D-78E6D669700D}"/>
    <hyperlink ref="Q696" r:id="rId1280" xr:uid="{65DE1F0E-D2C7-4E3B-AADA-1EF8855E6DA9}"/>
    <hyperlink ref="Q697" r:id="rId1281" xr:uid="{9C62D365-A702-4E0F-8442-48D57B9DBC33}"/>
    <hyperlink ref="Q698" r:id="rId1282" xr:uid="{A56C7AC9-8CCC-456E-9C69-31877204DF15}"/>
    <hyperlink ref="Q699" r:id="rId1283" xr:uid="{27105321-67F9-41D8-940C-6089917F6DB9}"/>
    <hyperlink ref="Q700" r:id="rId1284" xr:uid="{81598371-D205-4C95-809F-5FD684954171}"/>
    <hyperlink ref="Q701" r:id="rId1285" xr:uid="{D136B892-8C0A-4AF7-87D2-CCA1E7A24EEB}"/>
    <hyperlink ref="Q702" r:id="rId1286" xr:uid="{31D7C991-4398-49A9-BFCB-5AFD0D33CF47}"/>
    <hyperlink ref="Q703" r:id="rId1287" xr:uid="{096D174F-A8BF-44F1-BF15-694F65D6114A}"/>
    <hyperlink ref="Q704" r:id="rId1288" xr:uid="{89A5E8A8-1CE6-4F35-A031-5CF652919AD9}"/>
    <hyperlink ref="Q705" r:id="rId1289" xr:uid="{5FE41270-2C1F-4DC9-829C-242C090FF016}"/>
    <hyperlink ref="Q706" r:id="rId1290" xr:uid="{105D1E19-5DC7-4AD0-9F0E-5AE7E9A40EA7}"/>
    <hyperlink ref="Q707" r:id="rId1291" xr:uid="{C5C2CAEA-4F9A-46B3-8C31-9BE50C08AFBD}"/>
    <hyperlink ref="Q708" r:id="rId1292" xr:uid="{72F418F7-7F5A-4702-9911-BDBE4C5ACD7B}"/>
    <hyperlink ref="Q709" r:id="rId1293" xr:uid="{30E6787D-8C26-46F0-8B0B-C4423AB41593}"/>
    <hyperlink ref="Q710" r:id="rId1294" xr:uid="{7508782F-F1E9-4D41-B56D-3DB718DC98AF}"/>
    <hyperlink ref="Q712" r:id="rId1295" xr:uid="{DF4A90A1-03A8-4EFD-A221-41EFCD0B837B}"/>
    <hyperlink ref="Q713" r:id="rId1296" xr:uid="{6F15E57D-714E-4537-891C-830751EF86B3}"/>
    <hyperlink ref="Q1165" r:id="rId1297" xr:uid="{763BB9C4-08E9-44C5-B0A2-AB767CCDA703}"/>
    <hyperlink ref="Q1140" r:id="rId1298" xr:uid="{D632C6A1-E90D-4FB5-9803-35DFDB9B0400}"/>
    <hyperlink ref="Q714" r:id="rId1299" xr:uid="{3897350C-2A8A-4507-AF44-F1FF591B1AAB}"/>
    <hyperlink ref="Q1141" r:id="rId1300" xr:uid="{D5373D2C-C940-43D6-8234-6FEBA722C1DA}"/>
    <hyperlink ref="Q1142" r:id="rId1301" xr:uid="{66EF44DF-EC5B-42F5-B601-8317025993A6}"/>
    <hyperlink ref="Q1146" r:id="rId1302" xr:uid="{963AAE60-B60F-4806-A0F3-08B8DD032867}"/>
    <hyperlink ref="Q1147" r:id="rId1303" xr:uid="{134C0FD4-33FE-4624-B5DB-E85B3DBC6409}"/>
    <hyperlink ref="Q715" r:id="rId1304" xr:uid="{8217C07D-C7BC-426C-AFC4-DA030248B1DF}"/>
    <hyperlink ref="Q1175" r:id="rId1305" xr:uid="{6F08009D-46AD-4615-83AD-509C97A86132}"/>
    <hyperlink ref="Q716" r:id="rId1306" xr:uid="{137E9191-E9C2-498E-AA94-B256CF0EECF7}"/>
    <hyperlink ref="Q717" r:id="rId1307" xr:uid="{AD14F64B-EDB2-44F5-BF3E-393DD6C4ACC4}"/>
    <hyperlink ref="Q718" r:id="rId1308" xr:uid="{180F4DF4-0ADD-43A0-8C0B-E681EF07B89E}"/>
    <hyperlink ref="Q1179" r:id="rId1309" xr:uid="{3CFDE764-41D1-4CD1-A079-96903A4597BA}"/>
    <hyperlink ref="Q1180" r:id="rId1310" xr:uid="{925A9800-DBB6-4BE8-9F90-C1C490771847}"/>
    <hyperlink ref="Q719" r:id="rId1311" xr:uid="{0CB7CB48-B20E-4D4B-B0E3-075EEB10802B}"/>
    <hyperlink ref="Q1182" r:id="rId1312" xr:uid="{D6950AB8-B228-4034-B1B4-493D1DD9C3D9}"/>
    <hyperlink ref="Q1184" r:id="rId1313" xr:uid="{247A303F-BED6-4055-885A-3402CDF855EC}"/>
    <hyperlink ref="Q720" r:id="rId1314" xr:uid="{06B374D4-E58E-4564-AD8D-1114F81D6AFE}"/>
    <hyperlink ref="Q721" r:id="rId1315" xr:uid="{EEFA8487-020A-4D29-A025-C4F1C5CBB022}"/>
    <hyperlink ref="Q1191" r:id="rId1316" xr:uid="{AB99F7D8-6AD7-4837-8835-425F895259E3}"/>
    <hyperlink ref="Q722" r:id="rId1317" xr:uid="{76C935D8-3F92-4968-AAFF-9BC7381325F4}"/>
    <hyperlink ref="Q1195" r:id="rId1318" xr:uid="{515D0454-1231-47E4-88A1-52993FCEB71D}"/>
    <hyperlink ref="Q723" r:id="rId1319" xr:uid="{0F162A13-F19C-4BB2-A337-03332292AD25}"/>
    <hyperlink ref="Q724" r:id="rId1320" xr:uid="{C1F0629B-98E4-4AB5-B1CF-CA6CFB12A597}"/>
    <hyperlink ref="Q725" r:id="rId1321" xr:uid="{504A563B-C1BC-4140-A4E4-89BD1307F3EA}"/>
    <hyperlink ref="Q726" r:id="rId1322" xr:uid="{166966F7-98E2-4C91-AD1C-EDD57CF041C9}"/>
    <hyperlink ref="Q727" r:id="rId1323" xr:uid="{7AC592F7-8E1D-4034-8A08-AF9C30D44ABC}"/>
    <hyperlink ref="Q728" r:id="rId1324" xr:uid="{3461041D-722C-4D68-BEC8-B7559A1EB638}"/>
    <hyperlink ref="Q729" r:id="rId1325" xr:uid="{9A72C538-02D8-44A4-BA21-E7D36D9E99D8}"/>
    <hyperlink ref="Q730" r:id="rId1326" xr:uid="{3457064A-3DE7-4FF8-8A8E-CDECCFE9C30B}"/>
    <hyperlink ref="Q731" r:id="rId1327" xr:uid="{F92FA0D1-26AA-4389-979C-F52B96FC0317}"/>
    <hyperlink ref="Q732" r:id="rId1328" xr:uid="{55473900-AAF4-4887-BD40-B4A6C06BD8D0}"/>
    <hyperlink ref="Q733" r:id="rId1329" xr:uid="{3D04A93F-879E-4887-B367-5A0004C629F6}"/>
    <hyperlink ref="Q734" r:id="rId1330" xr:uid="{BAB69504-D7EA-4228-8ADB-FB2C16D5DC2B}"/>
    <hyperlink ref="Q735" r:id="rId1331" xr:uid="{9B1CC21C-DFDF-45C8-80AA-A7D4E4A3F921}"/>
    <hyperlink ref="Q736" r:id="rId1332" xr:uid="{2A7320C8-1E3F-49FA-B639-73F1F8AAFA76}"/>
    <hyperlink ref="Q737" r:id="rId1333" xr:uid="{E3B73F40-EA3C-4B1F-85D4-24A4502F0B71}"/>
    <hyperlink ref="Q738" r:id="rId1334" xr:uid="{766D5D85-52EE-49F9-AA5D-0DEEABF21C2F}"/>
    <hyperlink ref="Q739" r:id="rId1335" xr:uid="{D21A9583-8BF3-41AD-B0D5-78BA300302AF}"/>
    <hyperlink ref="Q740" r:id="rId1336" xr:uid="{58653146-D8AF-40F8-856B-CE8FE27EDB7D}"/>
    <hyperlink ref="Q741" r:id="rId1337" xr:uid="{A868DAB3-2207-4312-B58D-87DA6AC0BC67}"/>
    <hyperlink ref="Q742" r:id="rId1338" xr:uid="{E92D47A6-A78A-4434-99C8-B207619E0EF1}"/>
    <hyperlink ref="Q743" r:id="rId1339" xr:uid="{738F8CBF-EFE8-4418-B6AB-EFE7DC8A25C5}"/>
    <hyperlink ref="Q744" r:id="rId1340" xr:uid="{C6B2DB87-4AF3-4636-9EAC-825FFBDFD0B4}"/>
    <hyperlink ref="Q1214:Q1215" r:id="rId1341" display="iqramfara007@gmail.com    " xr:uid="{2C5D5C48-9162-47B5-AE3C-624831D70A92}"/>
    <hyperlink ref="Q745" r:id="rId1342" xr:uid="{8D5C212C-51F4-49BC-9581-A718D832A06D}"/>
    <hyperlink ref="Q1219" r:id="rId1343" xr:uid="{466BBB85-E2BD-4B62-99FB-944DFE35F95D}"/>
    <hyperlink ref="Q746" r:id="rId1344" xr:uid="{0F6D5F3C-3BB4-42CF-AF26-D761E369B6C5}"/>
    <hyperlink ref="Q1220" r:id="rId1345" xr:uid="{54DB5664-346A-4D89-B84D-E9479F727C68}"/>
    <hyperlink ref="Q1221" r:id="rId1346" xr:uid="{8EC00684-7C0D-45EB-8486-9B171A02EF20}"/>
    <hyperlink ref="Q747" r:id="rId1347" xr:uid="{C418220F-8A2F-4D47-ADCB-96BCAEF5D623}"/>
    <hyperlink ref="Q1224" r:id="rId1348" xr:uid="{67BC6A00-2848-4C44-974E-5371E5E8009E}"/>
    <hyperlink ref="Q1226" r:id="rId1349" xr:uid="{A8794BB3-8784-48A8-B91E-5C55D51A0ADA}"/>
    <hyperlink ref="Q1227" r:id="rId1350" xr:uid="{A66E6E88-072E-499C-B4E0-ED7AEFA5783D}"/>
    <hyperlink ref="Q748" r:id="rId1351" xr:uid="{945D99E8-E678-45E0-89B8-7171FF42E6E8}"/>
    <hyperlink ref="Q749" r:id="rId1352" xr:uid="{222DC0D3-61CF-498C-A167-1FDB9FA25B01}"/>
    <hyperlink ref="Q1236" r:id="rId1353" xr:uid="{4BF36866-52D9-4518-9DA6-72155004D874}"/>
    <hyperlink ref="Q1237" r:id="rId1354" xr:uid="{5C99F629-A872-4FDE-89BE-C1756B82AD34}"/>
    <hyperlink ref="Q1240" r:id="rId1355" xr:uid="{3FF8644E-EE0C-424D-B40F-459DE811B335}"/>
    <hyperlink ref="Q750" r:id="rId1356" xr:uid="{91C0B1C2-9C39-4269-A35B-E11FD8191AA5}"/>
    <hyperlink ref="Q751" r:id="rId1357" xr:uid="{1AE01D70-9062-4E00-BD08-24D7B4137F59}"/>
    <hyperlink ref="Q752" r:id="rId1358" xr:uid="{A329310C-8513-49E8-AE81-CD835C5AE762}"/>
    <hyperlink ref="Q753" r:id="rId1359" xr:uid="{30668343-0D2C-4B68-A29F-3849745F6FF9}"/>
    <hyperlink ref="Q754" r:id="rId1360" xr:uid="{D3534357-B781-4506-BE36-65E88D8D0424}"/>
    <hyperlink ref="Q1249" r:id="rId1361" xr:uid="{354B35AD-0E9F-4C95-BBE9-A0A8B322C840}"/>
    <hyperlink ref="Q755" r:id="rId1362" xr:uid="{85902D13-58A1-4E6D-814C-AC636DF3C6A4}"/>
    <hyperlink ref="Q1253" r:id="rId1363" xr:uid="{FA41B3B6-6F7D-463E-9B0B-0A91C99A4DDA}"/>
    <hyperlink ref="Q756" r:id="rId1364" xr:uid="{03C40C0B-F422-439F-A4AD-621C92FEA710}"/>
    <hyperlink ref="Q757" r:id="rId1365" xr:uid="{A3CD1846-AF0B-44C5-B5E0-6BB681871812}"/>
    <hyperlink ref="Q1254" r:id="rId1366" xr:uid="{6441CA6A-B59D-4BA0-9EF2-BBDB6E78B3A8}"/>
    <hyperlink ref="Q758" r:id="rId1367" xr:uid="{D4F42DF1-0099-4581-946E-D7D52B19859F}"/>
    <hyperlink ref="Q1257" r:id="rId1368" xr:uid="{E23D9506-2E88-4AC0-A6C9-655E8C3E3B09}"/>
    <hyperlink ref="Q1264" r:id="rId1369" xr:uid="{1129A208-4806-4B50-8CB3-47D31CA3C8D5}"/>
    <hyperlink ref="Q1265" r:id="rId1370" xr:uid="{0EC47147-5300-4A13-9AB9-4F4B8B7970B2}"/>
    <hyperlink ref="Q759" r:id="rId1371" xr:uid="{B7A05D64-0D15-4E1A-A7A2-AF44DFE3A676}"/>
    <hyperlink ref="Q760" r:id="rId1372" xr:uid="{F38182C9-7367-48F4-B3F8-732891CC93E6}"/>
    <hyperlink ref="Q761" r:id="rId1373" xr:uid="{D4F6A7E7-04A6-4F4F-AB1C-F2120C80564D}"/>
    <hyperlink ref="Q1274" r:id="rId1374" xr:uid="{53D7C07B-5689-4A29-85E3-75746EACA5A2}"/>
    <hyperlink ref="Q1275" r:id="rId1375" xr:uid="{430235E4-0636-4ECB-9708-ADAE4F5AAC7E}"/>
    <hyperlink ref="Q1283" r:id="rId1376" xr:uid="{02FA4FE2-87D7-4DCF-BB96-2AE50CCEA6A8}"/>
    <hyperlink ref="Q1287" r:id="rId1377" xr:uid="{69C6F8C0-C06E-4451-AAC2-4DDDDA51CD2F}"/>
    <hyperlink ref="Q762" r:id="rId1378" xr:uid="{5EA83965-24F9-4443-80A0-B8B978CBC979}"/>
    <hyperlink ref="Q1288" r:id="rId1379" xr:uid="{F21E2DBA-5EB1-4CE2-AB8D-EC0BA37C4FDA}"/>
    <hyperlink ref="Q1290" r:id="rId1380" xr:uid="{7AF11B45-B7C7-4C79-82BE-44AAB0813C6F}"/>
    <hyperlink ref="Q1291" r:id="rId1381" xr:uid="{B75EBE6F-9319-456A-B86D-C396529219D2}"/>
    <hyperlink ref="Q763" r:id="rId1382" xr:uid="{66330813-C903-42AE-ACA7-F2B8FAFB1862}"/>
    <hyperlink ref="Q1293" r:id="rId1383" xr:uid="{5687E394-D4BC-40AD-806B-7A6330D5AD3A}"/>
    <hyperlink ref="Q764" r:id="rId1384" xr:uid="{D01A7EB9-D00D-4457-9F41-884229752FDC}"/>
    <hyperlink ref="Q765" r:id="rId1385" xr:uid="{951B63ED-2E07-4F1E-9507-9A59D5150F51}"/>
    <hyperlink ref="Q1298" r:id="rId1386" xr:uid="{8F492857-CB72-4844-8ECC-D6450013C470}"/>
    <hyperlink ref="Q766" r:id="rId1387" xr:uid="{8FF91463-5CAF-420C-B3F8-244713F071D8}"/>
    <hyperlink ref="Q767" r:id="rId1388" xr:uid="{7E76E30B-AC71-445D-ABD3-9C795225A576}"/>
    <hyperlink ref="Q768" r:id="rId1389" xr:uid="{21F328DF-543C-4347-9A9E-7A72FBF9E4B2}"/>
    <hyperlink ref="Q769" r:id="rId1390" xr:uid="{DFEA7E22-5F39-41D1-AEB9-AB34A1770B92}"/>
    <hyperlink ref="Q770" r:id="rId1391" xr:uid="{B668620C-2AED-47EC-AC57-57CC8110A50D}"/>
    <hyperlink ref="Q771" r:id="rId1392" xr:uid="{A6550987-1079-4AB4-8A74-7F8383DA63C8}"/>
    <hyperlink ref="Q772" r:id="rId1393" xr:uid="{A4CBC54C-68D9-4A44-ABAE-C92F5E55428B}"/>
    <hyperlink ref="Q773" r:id="rId1394" xr:uid="{E6ACF819-49FC-4CDF-B5BE-2508885A6BB0}"/>
    <hyperlink ref="Q774" r:id="rId1395" xr:uid="{5211F1DB-8942-4A34-A750-607439F93BC2}"/>
    <hyperlink ref="Q775" r:id="rId1396" xr:uid="{078EEC20-C5D6-479F-9AE3-ABA48DD1A411}"/>
    <hyperlink ref="Q776" r:id="rId1397" xr:uid="{D6A43A30-50BC-4E76-A506-A39243FA659D}"/>
    <hyperlink ref="Q777" r:id="rId1398" xr:uid="{16679320-1D3F-4ACB-8949-A0C194D98D2D}"/>
    <hyperlink ref="Q778" r:id="rId1399" xr:uid="{F7C83452-60ED-4EB1-B0DC-54018A64E16D}"/>
    <hyperlink ref="Q779" r:id="rId1400" xr:uid="{B63F8AA6-120C-4B7B-A98D-207ECB50B7EC}"/>
    <hyperlink ref="Q780" r:id="rId1401" xr:uid="{08E4135B-BD54-409B-B5B1-7121970CFA6F}"/>
    <hyperlink ref="Q781" r:id="rId1402" xr:uid="{1381804C-22E0-4A34-8158-D69BB17B17C0}"/>
    <hyperlink ref="Q782" r:id="rId1403" xr:uid="{CF82C78C-F0E1-4B70-A38D-289A9B220BFC}"/>
    <hyperlink ref="Q783" r:id="rId1404" xr:uid="{643CCE90-F355-4302-9A9A-8ED02AE5A082}"/>
    <hyperlink ref="Q784" r:id="rId1405" xr:uid="{C8EC3FEE-E9FD-48A0-9208-924D6BFE091B}"/>
    <hyperlink ref="Q785" r:id="rId1406" xr:uid="{E69A05B4-FB82-432C-98B3-4329BA3AF40B}"/>
    <hyperlink ref="Q786" r:id="rId1407" xr:uid="{94626993-FE63-4752-8B9E-0A4C117F4466}"/>
    <hyperlink ref="Q787" r:id="rId1408" xr:uid="{1764A856-84EE-43DF-8C41-7BFD49896A29}"/>
    <hyperlink ref="Q788" r:id="rId1409" xr:uid="{A81CF07E-8136-455E-8AC3-40D90B9BDE11}"/>
    <hyperlink ref="Q789" r:id="rId1410" xr:uid="{2D38EA22-D4ED-4B0B-9A65-968BC77A1E4A}"/>
    <hyperlink ref="Q790" r:id="rId1411" xr:uid="{7EEE8CEF-22D7-4BF7-A77D-7F648D6509A3}"/>
    <hyperlink ref="Q792" r:id="rId1412" xr:uid="{4CB87F05-64FA-40A4-9B84-43C57A6959F5}"/>
    <hyperlink ref="Q793" r:id="rId1413" xr:uid="{E51FC5D4-5F96-40C5-95FE-6E0EE69B7441}"/>
    <hyperlink ref="Q794" r:id="rId1414" xr:uid="{0E242487-9940-467C-AC77-539A6F776DDD}"/>
    <hyperlink ref="Q795" r:id="rId1415" xr:uid="{4834275D-E00F-415A-9A73-8F1230B0FCCD}"/>
    <hyperlink ref="Q796" r:id="rId1416" xr:uid="{801BCBAA-E66B-4D7F-B53F-9ABBAF142820}"/>
    <hyperlink ref="Q797" r:id="rId1417" xr:uid="{61991DD0-27D4-4E2A-B109-91274EBFC3D2}"/>
    <hyperlink ref="Q798" r:id="rId1418" xr:uid="{7D7D3EEB-08D3-4294-BCCE-3CB24F6ECB30}"/>
    <hyperlink ref="Q799" r:id="rId1419" xr:uid="{C6AB20B2-F317-4CE9-B763-89C0AF935F6F}"/>
    <hyperlink ref="Q800" r:id="rId1420" xr:uid="{B24CBE07-73B8-4AD9-A3C1-A4C8F6F06EBF}"/>
    <hyperlink ref="Q801" r:id="rId1421" xr:uid="{9315D97F-49CD-4E4D-AF97-AD5859CAB088}"/>
    <hyperlink ref="Q802" r:id="rId1422" xr:uid="{7A29B8D3-4E99-44DA-92CF-653C71763AC1}"/>
    <hyperlink ref="Q803" r:id="rId1423" xr:uid="{95FF9635-0823-46B2-BA69-63ADD3F5B924}"/>
    <hyperlink ref="Q804" r:id="rId1424" xr:uid="{1DB74994-550F-465B-86F4-C7B78A01E959}"/>
    <hyperlink ref="Q805" r:id="rId1425" xr:uid="{A0E80C10-BA05-4A36-9929-1877BEA26F10}"/>
    <hyperlink ref="Q806" r:id="rId1426" xr:uid="{70F4C064-B589-4CC3-B511-A9E166B2E9C4}"/>
    <hyperlink ref="Q807" r:id="rId1427" xr:uid="{643BB472-0E68-4061-9397-54029FEFD06C}"/>
    <hyperlink ref="Q808" r:id="rId1428" xr:uid="{6147E8D2-2471-42FF-B953-011F5E6A0693}"/>
    <hyperlink ref="Q809" r:id="rId1429" xr:uid="{34A6B619-261E-427A-BDE9-0A129E9F16BB}"/>
    <hyperlink ref="Q810" r:id="rId1430" xr:uid="{060FCDB0-FDE9-44EC-AA78-9FE5F321ACED}"/>
    <hyperlink ref="Q811" r:id="rId1431" xr:uid="{E02B510D-B5F9-49CC-90D7-3641242576EF}"/>
    <hyperlink ref="Q812" r:id="rId1432" xr:uid="{6E943192-19C8-42CE-A1AF-82CDD66B2D15}"/>
    <hyperlink ref="Q813" r:id="rId1433" xr:uid="{0D4062B7-AF82-4743-B1BD-6C9C9962F2A1}"/>
    <hyperlink ref="Q814" r:id="rId1434" xr:uid="{5911965C-1820-4755-B82C-25B5364DB963}"/>
    <hyperlink ref="Q815" r:id="rId1435" xr:uid="{6289E32E-7EB4-43F8-8481-90E99D4FCDF5}"/>
    <hyperlink ref="Q1306" r:id="rId1436" xr:uid="{A2B9D308-2AA6-4B45-A647-D6F98F2EA199}"/>
    <hyperlink ref="Q816" r:id="rId1437" xr:uid="{F61EB44E-D591-4222-ACC3-C406DFA1D3A1}"/>
    <hyperlink ref="Q1307" r:id="rId1438" xr:uid="{2C8026F7-7B65-4286-9D35-003C0DA472D9}"/>
    <hyperlink ref="Q817" r:id="rId1439" xr:uid="{6A00EC56-049C-4040-AA9D-C3805E736527}"/>
    <hyperlink ref="Q818" r:id="rId1440" xr:uid="{89DF5F0C-0F55-4C07-BD76-D6D364EBE427}"/>
    <hyperlink ref="Q819" r:id="rId1441" xr:uid="{AD63FC91-4213-427F-B734-895993FF26C4}"/>
    <hyperlink ref="Q820" r:id="rId1442" xr:uid="{8C5A4D8B-571F-470D-99B0-26B9D2A7EEE4}"/>
    <hyperlink ref="Q821" r:id="rId1443" xr:uid="{3D055DEB-A6A5-4D06-98F4-926C97EAC5B9}"/>
    <hyperlink ref="Q822" r:id="rId1444" xr:uid="{6E9708BB-30AE-4569-BD24-24968C124098}"/>
    <hyperlink ref="Q823" r:id="rId1445" xr:uid="{9633A8F1-7EDD-4722-A385-020B5E4BE1AC}"/>
    <hyperlink ref="Q824" r:id="rId1446" xr:uid="{6DD1BF8C-B31E-408B-97AF-FC19F286596F}"/>
    <hyperlink ref="Q825" r:id="rId1447" xr:uid="{216B5959-833E-42E5-98DB-919D1526FE69}"/>
    <hyperlink ref="Q826" r:id="rId1448" xr:uid="{12ECA677-90A9-4EF9-BB4C-FBCD78FEC1F2}"/>
    <hyperlink ref="Q827" r:id="rId1449" xr:uid="{CC1F0255-E5CE-4B20-88A2-75AA8538D971}"/>
    <hyperlink ref="Q1311" r:id="rId1450" xr:uid="{2A237618-B6DF-42FC-A7F3-1394DFD48368}"/>
    <hyperlink ref="Q828" r:id="rId1451" xr:uid="{95BF3FFF-0616-4326-AD1D-4541044BC888}"/>
    <hyperlink ref="Q1312" r:id="rId1452" xr:uid="{7423A0D4-4F7C-470B-850E-E5EF89DEE2DC}"/>
    <hyperlink ref="Q1339" r:id="rId1453" xr:uid="{B054BDFA-425A-4271-A298-DC3C4E401859}"/>
    <hyperlink ref="Q1340" r:id="rId1454" xr:uid="{EB644D38-8111-4E38-81A2-8D45A412A45C}"/>
    <hyperlink ref="Q1342" r:id="rId1455" xr:uid="{FD7F4274-3DCC-42AE-9DEB-183F01715C3D}"/>
    <hyperlink ref="Q1345" r:id="rId1456" xr:uid="{6A2DB805-0218-494A-BD15-8B11AAC28DF2}"/>
    <hyperlink ref="Q1358" r:id="rId1457" xr:uid="{E3C75CB5-8259-4A20-80E5-D274B0328D2E}"/>
    <hyperlink ref="Q1359" r:id="rId1458" xr:uid="{2B2FD953-6F48-45AA-8610-93B3002650A5}"/>
    <hyperlink ref="Q1365" r:id="rId1459" xr:uid="{8AEB1C30-EF46-48E4-A8B4-54779CB25E3E}"/>
    <hyperlink ref="Q1369" r:id="rId1460" xr:uid="{A9B15986-964C-4651-A12F-213AA174AEDF}"/>
    <hyperlink ref="Q1380" r:id="rId1461" xr:uid="{C885C6FF-9C80-4A60-A437-B8DFBECD0CE2}"/>
    <hyperlink ref="Q1381" r:id="rId1462" xr:uid="{66113214-D328-4CE8-8233-E9478B30DBC0}"/>
    <hyperlink ref="Q1382" r:id="rId1463" xr:uid="{026DFCDC-4308-4DDC-8ACB-1A0CD7109A02}"/>
    <hyperlink ref="Q1383" r:id="rId1464" xr:uid="{20714C70-3A46-4DA1-87BE-FE45753AC3D3}"/>
    <hyperlink ref="Q1384" r:id="rId1465" xr:uid="{4465FE46-DF6A-4474-BCEF-65DD3CD280AE}"/>
    <hyperlink ref="Q1389" r:id="rId1466" xr:uid="{C0A6DF1D-FFF7-4A81-A85D-B76BDD4506B6}"/>
    <hyperlink ref="Q1407" r:id="rId1467" xr:uid="{83E09B76-B470-4F45-9DF2-60EB6E0CD408}"/>
    <hyperlink ref="Q1408" r:id="rId1468" xr:uid="{9543AF41-05D0-4496-835B-4694227E83D0}"/>
    <hyperlink ref="Q1411" r:id="rId1469" xr:uid="{69E45BAB-B5D0-4A99-8718-B5DF7E4F8D6B}"/>
    <hyperlink ref="Q1412" r:id="rId1470" xr:uid="{E855D934-F09D-49E6-9AF5-B5109E45805B}"/>
    <hyperlink ref="Q1425" r:id="rId1471" xr:uid="{0EB38AF2-4F54-45F0-B88C-A0EE22DEEF97}"/>
    <hyperlink ref="Q1428" r:id="rId1472" xr:uid="{E0C43F2B-B17A-43EF-BFC8-96B150AFE4F3}"/>
    <hyperlink ref="Q1430" r:id="rId1473" xr:uid="{CE815F65-B9ED-42D8-A80E-492A81F7C6D5}"/>
    <hyperlink ref="Q1438" r:id="rId1474" xr:uid="{BD8FA953-6921-4A46-9188-7D89DA6F5708}"/>
    <hyperlink ref="Q1442" r:id="rId1475" xr:uid="{FE4A09DB-0B8C-40D7-B90B-66741E9BD427}"/>
    <hyperlink ref="Q1443" r:id="rId1476" xr:uid="{06C39A8E-4875-4741-B1C5-78457AE24680}"/>
    <hyperlink ref="Q1444" r:id="rId1477" xr:uid="{117B6163-0B8F-4046-94F1-CD9230060500}"/>
    <hyperlink ref="Q1458" r:id="rId1478" xr:uid="{25457A34-6607-4C5E-B7B6-6A33DEEEB31A}"/>
    <hyperlink ref="Q1459" r:id="rId1479" xr:uid="{0663B125-4A52-4B6A-8C77-BD0A8C73D34B}"/>
    <hyperlink ref="Q1460" r:id="rId1480" xr:uid="{7CB28027-4CB1-4804-A05D-E680F9577F59}"/>
    <hyperlink ref="Q1466" r:id="rId1481" xr:uid="{5BA5430C-9C8F-46B7-AE5F-17AD33A6C48F}"/>
    <hyperlink ref="Q1467" r:id="rId1482" xr:uid="{F9D606C8-D761-4412-8012-55CC998F23D1}"/>
    <hyperlink ref="Q1481" r:id="rId1483" xr:uid="{AF52B7A3-C6A0-47D7-9639-E0055924832F}"/>
    <hyperlink ref="Q1490" r:id="rId1484" xr:uid="{21AF692A-3570-412B-9DAF-FA746630914C}"/>
    <hyperlink ref="Q1506" r:id="rId1485" xr:uid="{BD65D27E-DA45-4635-AA01-1ADB07EA1EEF}"/>
    <hyperlink ref="Q1522" r:id="rId1486" xr:uid="{64B358BC-5FD2-4FEF-9694-FA35EB8755F8}"/>
    <hyperlink ref="Q1524" r:id="rId1487" xr:uid="{FA359B61-906D-48E7-AF2E-E6435BFF7586}"/>
    <hyperlink ref="Q1528" r:id="rId1488" xr:uid="{C1CD30F2-77AD-4F1B-84A4-40E1DD1CCEAF}"/>
    <hyperlink ref="Q1533" r:id="rId1489" xr:uid="{2CE46740-9E19-4CEB-BE3D-51FD2B000908}"/>
    <hyperlink ref="Q1549" r:id="rId1490" xr:uid="{923AF55B-9C58-4131-AA88-A8F3712EE722}"/>
    <hyperlink ref="Q1550" r:id="rId1491" xr:uid="{282E8C03-2D5F-435D-A551-9DC204172466}"/>
    <hyperlink ref="Q1551" r:id="rId1492" xr:uid="{9DFEF886-947B-4598-8E77-419EFB57DF44}"/>
    <hyperlink ref="Q1552" r:id="rId1493" xr:uid="{572704F6-0539-4846-83E7-D43CFF44598E}"/>
    <hyperlink ref="Q1559" r:id="rId1494" xr:uid="{0C39EFC8-F167-46B5-AB28-FACAA73834D8}"/>
    <hyperlink ref="Q1565" r:id="rId1495" xr:uid="{4F5EA57E-C433-4676-B752-C4E3614DE54E}"/>
    <hyperlink ref="Q1567" r:id="rId1496" xr:uid="{B185F721-8AED-49FD-B7C5-E05145C376B1}"/>
    <hyperlink ref="Q1571" r:id="rId1497" xr:uid="{3FBA5463-D5A4-46DE-8733-89D49055E419}"/>
    <hyperlink ref="Q1576" r:id="rId1498" xr:uid="{C755EA16-6659-413F-B01F-EB3C5F0ADA38}"/>
    <hyperlink ref="Q1583" r:id="rId1499" xr:uid="{5B1E2A65-6DB9-444E-AF61-2A967DA2DACA}"/>
    <hyperlink ref="Q1587" r:id="rId1500" xr:uid="{C1930609-51CF-4185-8F37-AFB0C07188EA}"/>
    <hyperlink ref="Q1622" r:id="rId1501" xr:uid="{9A575C01-571C-40DA-84A7-3FDB962F0C38}"/>
    <hyperlink ref="Q1625" r:id="rId1502" xr:uid="{AFA58482-B146-494A-BCF2-EFBEB433DD61}"/>
    <hyperlink ref="Q1631" r:id="rId1503" xr:uid="{BEAE4FE4-65A5-4EFE-8691-5B027A3767C6}"/>
    <hyperlink ref="Q1632" r:id="rId1504" xr:uid="{73F83A41-1703-457D-AD93-684A3E257A0A}"/>
    <hyperlink ref="Q1646" r:id="rId1505" xr:uid="{FB1074E4-FAE5-4517-96AE-94976FFCD139}"/>
    <hyperlink ref="Q829" r:id="rId1506" xr:uid="{AFF85FFE-8439-445A-991A-084505DF9956}"/>
    <hyperlink ref="Q1579" r:id="rId1507" xr:uid="{2E8F09C8-4912-455B-9D1E-B0179C8AE858}"/>
    <hyperlink ref="Q1902" r:id="rId1508" xr:uid="{535D1A63-9E50-4560-8E28-AC8C4C330256}"/>
    <hyperlink ref="Q1472" r:id="rId1509" xr:uid="{72CE316A-5852-4E16-AB0E-6C6D75C7C841}"/>
  </hyperlinks>
  <pageMargins left="0.7" right="0.7" top="0.75" bottom="0.75" header="0.3" footer="0.3"/>
  <tableParts count="1">
    <tablePart r:id="rId15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BubblesO2 IT</dc:creator>
  <cp:lastModifiedBy>BubblesO2 IT</cp:lastModifiedBy>
  <dcterms:created xsi:type="dcterms:W3CDTF">2026-08-05T00:08:17Z</dcterms:created>
  <dcterms:modified xsi:type="dcterms:W3CDTF">2026-08-05T00:09:22Z</dcterms:modified>
</cp:coreProperties>
</file>